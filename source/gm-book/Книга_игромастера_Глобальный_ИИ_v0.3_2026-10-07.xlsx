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Работа\2026-2027\Прочее\The Game\"/>
    </mc:Choice>
  </mc:AlternateContent>
  <xr:revisionPtr revIDLastSave="0" documentId="13_ncr:1_{46F4EC38-9541-4EA2-98EB-2DD9E7CD3F4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Распределение команд" sheetId="1" r:id="rId1"/>
    <sheet name="Случайные события D60" sheetId="2" r:id="rId2"/>
    <sheet name="Войны" sheetId="3" r:id="rId3"/>
  </sheets>
  <calcPr calcId="181029"/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5" i="1"/>
  <c r="EO54" i="3"/>
  <c r="EP54" i="3" s="1"/>
  <c r="EL54" i="3"/>
  <c r="EK54" i="3"/>
  <c r="EJ54" i="3"/>
  <c r="EI54" i="3"/>
  <c r="EH54" i="3"/>
  <c r="EG54" i="3"/>
  <c r="EE54" i="3"/>
  <c r="ED54" i="3"/>
  <c r="EC54" i="3"/>
  <c r="EA54" i="3"/>
  <c r="DZ54" i="3"/>
  <c r="DM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EB54" i="3" s="1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AH54" i="3"/>
  <c r="AG54" i="3"/>
  <c r="AF54" i="3"/>
  <c r="AE54" i="3"/>
  <c r="AD54" i="3"/>
  <c r="AC54" i="3"/>
  <c r="AB54" i="3"/>
  <c r="AA54" i="3"/>
  <c r="Z54" i="3"/>
  <c r="EF54" i="3" s="1"/>
  <c r="Y54" i="3"/>
  <c r="Q54" i="3"/>
  <c r="P54" i="3"/>
  <c r="EO53" i="3"/>
  <c r="EP53" i="3" s="1"/>
  <c r="EL53" i="3"/>
  <c r="EK53" i="3"/>
  <c r="EJ53" i="3"/>
  <c r="EI53" i="3"/>
  <c r="EH53" i="3"/>
  <c r="EG53" i="3"/>
  <c r="EE53" i="3"/>
  <c r="ED53" i="3"/>
  <c r="EC53" i="3"/>
  <c r="EA53" i="3"/>
  <c r="DZ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EB53" i="3" s="1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AH53" i="3"/>
  <c r="AG53" i="3"/>
  <c r="AF53" i="3"/>
  <c r="AE53" i="3"/>
  <c r="AD53" i="3"/>
  <c r="AC53" i="3"/>
  <c r="AB53" i="3"/>
  <c r="AA53" i="3"/>
  <c r="Z53" i="3"/>
  <c r="EF53" i="3" s="1"/>
  <c r="Y53" i="3"/>
  <c r="Q53" i="3"/>
  <c r="P53" i="3"/>
  <c r="EO52" i="3"/>
  <c r="EP52" i="3" s="1"/>
  <c r="EL52" i="3"/>
  <c r="EK52" i="3"/>
  <c r="EJ52" i="3"/>
  <c r="EI52" i="3"/>
  <c r="EH52" i="3"/>
  <c r="EG52" i="3"/>
  <c r="EE52" i="3"/>
  <c r="ED52" i="3"/>
  <c r="EC52" i="3"/>
  <c r="EA52" i="3"/>
  <c r="DZ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EB52" i="3" s="1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AH52" i="3"/>
  <c r="AG52" i="3"/>
  <c r="AF52" i="3"/>
  <c r="AE52" i="3"/>
  <c r="AD52" i="3"/>
  <c r="AC52" i="3"/>
  <c r="AB52" i="3"/>
  <c r="AA52" i="3"/>
  <c r="Z52" i="3"/>
  <c r="EF52" i="3" s="1"/>
  <c r="Y52" i="3"/>
  <c r="Q52" i="3"/>
  <c r="P52" i="3"/>
  <c r="EO51" i="3"/>
  <c r="EP51" i="3" s="1"/>
  <c r="EL51" i="3"/>
  <c r="EK51" i="3"/>
  <c r="EJ51" i="3"/>
  <c r="EI51" i="3"/>
  <c r="EH51" i="3"/>
  <c r="EG51" i="3"/>
  <c r="EE51" i="3"/>
  <c r="ED51" i="3"/>
  <c r="EC51" i="3"/>
  <c r="EA51" i="3"/>
  <c r="DZ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EB51" i="3" s="1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AH51" i="3"/>
  <c r="AG51" i="3"/>
  <c r="AF51" i="3"/>
  <c r="AE51" i="3"/>
  <c r="AD51" i="3"/>
  <c r="AC51" i="3"/>
  <c r="AB51" i="3"/>
  <c r="AA51" i="3"/>
  <c r="Z51" i="3"/>
  <c r="EF51" i="3" s="1"/>
  <c r="Y51" i="3"/>
  <c r="Q51" i="3"/>
  <c r="P51" i="3"/>
  <c r="EO50" i="3"/>
  <c r="EP50" i="3" s="1"/>
  <c r="EL50" i="3"/>
  <c r="EK50" i="3"/>
  <c r="EJ50" i="3"/>
  <c r="EI50" i="3"/>
  <c r="EH50" i="3"/>
  <c r="EG50" i="3"/>
  <c r="EE50" i="3"/>
  <c r="ED50" i="3"/>
  <c r="EC50" i="3"/>
  <c r="EA50" i="3"/>
  <c r="DZ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EB50" i="3" s="1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AH50" i="3"/>
  <c r="AG50" i="3"/>
  <c r="AF50" i="3"/>
  <c r="AE50" i="3"/>
  <c r="AD50" i="3"/>
  <c r="AC50" i="3"/>
  <c r="AB50" i="3"/>
  <c r="AA50" i="3"/>
  <c r="Z50" i="3"/>
  <c r="EF50" i="3" s="1"/>
  <c r="Y50" i="3"/>
  <c r="Q50" i="3"/>
  <c r="P50" i="3"/>
  <c r="EO49" i="3"/>
  <c r="EP49" i="3" s="1"/>
  <c r="EL49" i="3"/>
  <c r="EK49" i="3"/>
  <c r="EJ49" i="3"/>
  <c r="EI49" i="3"/>
  <c r="EH49" i="3"/>
  <c r="EG49" i="3"/>
  <c r="EE49" i="3"/>
  <c r="ED49" i="3"/>
  <c r="EC49" i="3"/>
  <c r="EA49" i="3"/>
  <c r="DZ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EB49" i="3" s="1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AH49" i="3"/>
  <c r="AG49" i="3"/>
  <c r="AF49" i="3"/>
  <c r="AE49" i="3"/>
  <c r="AD49" i="3"/>
  <c r="AC49" i="3"/>
  <c r="AB49" i="3"/>
  <c r="AA49" i="3"/>
  <c r="Z49" i="3"/>
  <c r="EF49" i="3" s="1"/>
  <c r="Y49" i="3"/>
  <c r="Q49" i="3"/>
  <c r="P49" i="3"/>
  <c r="EO48" i="3"/>
  <c r="EP48" i="3" s="1"/>
  <c r="EL48" i="3"/>
  <c r="EK48" i="3"/>
  <c r="EJ48" i="3"/>
  <c r="EI48" i="3"/>
  <c r="EH48" i="3"/>
  <c r="EG48" i="3"/>
  <c r="EE48" i="3"/>
  <c r="ED48" i="3"/>
  <c r="EC48" i="3"/>
  <c r="EA48" i="3"/>
  <c r="DZ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EB48" i="3" s="1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AH48" i="3"/>
  <c r="AG48" i="3"/>
  <c r="AF48" i="3"/>
  <c r="AE48" i="3"/>
  <c r="AD48" i="3"/>
  <c r="AC48" i="3"/>
  <c r="AB48" i="3"/>
  <c r="AA48" i="3"/>
  <c r="Z48" i="3"/>
  <c r="EF48" i="3" s="1"/>
  <c r="Y48" i="3"/>
  <c r="Q48" i="3"/>
  <c r="P48" i="3"/>
  <c r="EO47" i="3"/>
  <c r="EP47" i="3" s="1"/>
  <c r="EL47" i="3"/>
  <c r="EK47" i="3"/>
  <c r="EJ47" i="3"/>
  <c r="EI47" i="3"/>
  <c r="EH47" i="3"/>
  <c r="EG47" i="3"/>
  <c r="EE47" i="3"/>
  <c r="ED47" i="3"/>
  <c r="EC47" i="3"/>
  <c r="EA47" i="3"/>
  <c r="DZ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EB47" i="3" s="1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AH47" i="3"/>
  <c r="AG47" i="3"/>
  <c r="AF47" i="3"/>
  <c r="AE47" i="3"/>
  <c r="AD47" i="3"/>
  <c r="AC47" i="3"/>
  <c r="AB47" i="3"/>
  <c r="AA47" i="3"/>
  <c r="Z47" i="3"/>
  <c r="EF47" i="3" s="1"/>
  <c r="Y47" i="3"/>
  <c r="Q47" i="3"/>
  <c r="P47" i="3"/>
  <c r="EO46" i="3"/>
  <c r="EP46" i="3" s="1"/>
  <c r="EL46" i="3"/>
  <c r="EK46" i="3"/>
  <c r="EJ46" i="3"/>
  <c r="EI46" i="3"/>
  <c r="EH46" i="3"/>
  <c r="EG46" i="3"/>
  <c r="EE46" i="3"/>
  <c r="ED46" i="3"/>
  <c r="EC46" i="3"/>
  <c r="EA46" i="3"/>
  <c r="DZ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EB46" i="3" s="1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AH46" i="3"/>
  <c r="AG46" i="3"/>
  <c r="AF46" i="3"/>
  <c r="AE46" i="3"/>
  <c r="AD46" i="3"/>
  <c r="AC46" i="3"/>
  <c r="AB46" i="3"/>
  <c r="AA46" i="3"/>
  <c r="Z46" i="3"/>
  <c r="EF46" i="3" s="1"/>
  <c r="Y46" i="3"/>
  <c r="Q46" i="3"/>
  <c r="P46" i="3"/>
  <c r="EO45" i="3"/>
  <c r="EP45" i="3" s="1"/>
  <c r="EL45" i="3"/>
  <c r="EK45" i="3"/>
  <c r="EJ45" i="3"/>
  <c r="EI45" i="3"/>
  <c r="EH45" i="3"/>
  <c r="EG45" i="3"/>
  <c r="EE45" i="3"/>
  <c r="ED45" i="3"/>
  <c r="EC45" i="3"/>
  <c r="EA45" i="3"/>
  <c r="DZ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EB45" i="3" s="1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AH45" i="3"/>
  <c r="AG45" i="3"/>
  <c r="AF45" i="3"/>
  <c r="AE45" i="3"/>
  <c r="AD45" i="3"/>
  <c r="AC45" i="3"/>
  <c r="AB45" i="3"/>
  <c r="AA45" i="3"/>
  <c r="Z45" i="3"/>
  <c r="EF45" i="3" s="1"/>
  <c r="Y45" i="3"/>
  <c r="Q45" i="3"/>
  <c r="P45" i="3"/>
  <c r="EO44" i="3"/>
  <c r="EP44" i="3" s="1"/>
  <c r="EL44" i="3"/>
  <c r="EK44" i="3"/>
  <c r="EJ44" i="3"/>
  <c r="EI44" i="3"/>
  <c r="EH44" i="3"/>
  <c r="EG44" i="3"/>
  <c r="EE44" i="3"/>
  <c r="ED44" i="3"/>
  <c r="EC44" i="3"/>
  <c r="EA44" i="3"/>
  <c r="DZ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EB44" i="3" s="1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AH44" i="3"/>
  <c r="AG44" i="3"/>
  <c r="AF44" i="3"/>
  <c r="AE44" i="3"/>
  <c r="AD44" i="3"/>
  <c r="AC44" i="3"/>
  <c r="AB44" i="3"/>
  <c r="AA44" i="3"/>
  <c r="Z44" i="3"/>
  <c r="EF44" i="3" s="1"/>
  <c r="Y44" i="3"/>
  <c r="Q44" i="3"/>
  <c r="P44" i="3"/>
  <c r="EO43" i="3"/>
  <c r="EP43" i="3" s="1"/>
  <c r="EL43" i="3"/>
  <c r="EK43" i="3"/>
  <c r="EJ43" i="3"/>
  <c r="EI43" i="3"/>
  <c r="EH43" i="3"/>
  <c r="EG43" i="3"/>
  <c r="EE43" i="3"/>
  <c r="ED43" i="3"/>
  <c r="EC43" i="3"/>
  <c r="EA43" i="3"/>
  <c r="DZ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EB43" i="3" s="1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AH43" i="3"/>
  <c r="AG43" i="3"/>
  <c r="AF43" i="3"/>
  <c r="AE43" i="3"/>
  <c r="AD43" i="3"/>
  <c r="AC43" i="3"/>
  <c r="AB43" i="3"/>
  <c r="AA43" i="3"/>
  <c r="Z43" i="3"/>
  <c r="EF43" i="3" s="1"/>
  <c r="Y43" i="3"/>
  <c r="Q43" i="3"/>
  <c r="P43" i="3"/>
  <c r="EO42" i="3"/>
  <c r="EP42" i="3" s="1"/>
  <c r="EL42" i="3"/>
  <c r="EK42" i="3"/>
  <c r="EJ42" i="3"/>
  <c r="EI42" i="3"/>
  <c r="EH42" i="3"/>
  <c r="EG42" i="3"/>
  <c r="EE42" i="3"/>
  <c r="ED42" i="3"/>
  <c r="EC42" i="3"/>
  <c r="EA42" i="3"/>
  <c r="DZ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EB42" i="3" s="1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AH42" i="3"/>
  <c r="AG42" i="3"/>
  <c r="AF42" i="3"/>
  <c r="AE42" i="3"/>
  <c r="AD42" i="3"/>
  <c r="AC42" i="3"/>
  <c r="AB42" i="3"/>
  <c r="AA42" i="3"/>
  <c r="Z42" i="3"/>
  <c r="EF42" i="3" s="1"/>
  <c r="Y42" i="3"/>
  <c r="Q42" i="3"/>
  <c r="P42" i="3"/>
  <c r="EO41" i="3"/>
  <c r="EP41" i="3" s="1"/>
  <c r="EL41" i="3"/>
  <c r="EK41" i="3"/>
  <c r="EJ41" i="3"/>
  <c r="EI41" i="3"/>
  <c r="EH41" i="3"/>
  <c r="EG41" i="3"/>
  <c r="EE41" i="3"/>
  <c r="ED41" i="3"/>
  <c r="EC41" i="3"/>
  <c r="EA41" i="3"/>
  <c r="DZ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EB41" i="3" s="1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AH41" i="3"/>
  <c r="AG41" i="3"/>
  <c r="AF41" i="3"/>
  <c r="AE41" i="3"/>
  <c r="AD41" i="3"/>
  <c r="AC41" i="3"/>
  <c r="AB41" i="3"/>
  <c r="AA41" i="3"/>
  <c r="Z41" i="3"/>
  <c r="EF41" i="3" s="1"/>
  <c r="Y41" i="3"/>
  <c r="Q41" i="3"/>
  <c r="P41" i="3"/>
  <c r="EO40" i="3"/>
  <c r="EP40" i="3" s="1"/>
  <c r="EL40" i="3"/>
  <c r="EK40" i="3"/>
  <c r="EJ40" i="3"/>
  <c r="EI40" i="3"/>
  <c r="EH40" i="3"/>
  <c r="EG40" i="3"/>
  <c r="EE40" i="3"/>
  <c r="ED40" i="3"/>
  <c r="EC40" i="3"/>
  <c r="EA40" i="3"/>
  <c r="DZ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EB40" i="3" s="1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AH40" i="3"/>
  <c r="AG40" i="3"/>
  <c r="AF40" i="3"/>
  <c r="AE40" i="3"/>
  <c r="AD40" i="3"/>
  <c r="AC40" i="3"/>
  <c r="AB40" i="3"/>
  <c r="AA40" i="3"/>
  <c r="Z40" i="3"/>
  <c r="EF40" i="3" s="1"/>
  <c r="Y40" i="3"/>
  <c r="Q40" i="3"/>
  <c r="P40" i="3"/>
  <c r="EO39" i="3"/>
  <c r="EP39" i="3" s="1"/>
  <c r="EL39" i="3"/>
  <c r="EK39" i="3"/>
  <c r="EJ39" i="3"/>
  <c r="EI39" i="3"/>
  <c r="EH39" i="3"/>
  <c r="EG39" i="3"/>
  <c r="EE39" i="3"/>
  <c r="ED39" i="3"/>
  <c r="EC39" i="3"/>
  <c r="EA39" i="3"/>
  <c r="DZ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EB39" i="3" s="1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AH39" i="3"/>
  <c r="AG39" i="3"/>
  <c r="AF39" i="3"/>
  <c r="AE39" i="3"/>
  <c r="AD39" i="3"/>
  <c r="AC39" i="3"/>
  <c r="AB39" i="3"/>
  <c r="AA39" i="3"/>
  <c r="Z39" i="3"/>
  <c r="EF39" i="3" s="1"/>
  <c r="Y39" i="3"/>
  <c r="Q39" i="3"/>
  <c r="P39" i="3"/>
  <c r="EO38" i="3"/>
  <c r="EP38" i="3" s="1"/>
  <c r="EL38" i="3"/>
  <c r="EK38" i="3"/>
  <c r="EJ38" i="3"/>
  <c r="EI38" i="3"/>
  <c r="EH38" i="3"/>
  <c r="EG38" i="3"/>
  <c r="EE38" i="3"/>
  <c r="ED38" i="3"/>
  <c r="EC38" i="3"/>
  <c r="EA38" i="3"/>
  <c r="DZ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EB38" i="3" s="1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AH38" i="3"/>
  <c r="AG38" i="3"/>
  <c r="AF38" i="3"/>
  <c r="AE38" i="3"/>
  <c r="AD38" i="3"/>
  <c r="AC38" i="3"/>
  <c r="AB38" i="3"/>
  <c r="AA38" i="3"/>
  <c r="Z38" i="3"/>
  <c r="EF38" i="3" s="1"/>
  <c r="Y38" i="3"/>
  <c r="Q38" i="3"/>
  <c r="P38" i="3"/>
  <c r="EO37" i="3"/>
  <c r="EP37" i="3" s="1"/>
  <c r="EL37" i="3"/>
  <c r="EK37" i="3"/>
  <c r="EJ37" i="3"/>
  <c r="EI37" i="3"/>
  <c r="EH37" i="3"/>
  <c r="EG37" i="3"/>
  <c r="EE37" i="3"/>
  <c r="ED37" i="3"/>
  <c r="EC37" i="3"/>
  <c r="EA37" i="3"/>
  <c r="DZ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EB37" i="3" s="1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AH37" i="3"/>
  <c r="AG37" i="3"/>
  <c r="AF37" i="3"/>
  <c r="AE37" i="3"/>
  <c r="AD37" i="3"/>
  <c r="AC37" i="3"/>
  <c r="AB37" i="3"/>
  <c r="AA37" i="3"/>
  <c r="Z37" i="3"/>
  <c r="EF37" i="3" s="1"/>
  <c r="Y37" i="3"/>
  <c r="Q37" i="3"/>
  <c r="P37" i="3"/>
  <c r="EO36" i="3"/>
  <c r="EP36" i="3" s="1"/>
  <c r="EL36" i="3"/>
  <c r="EK36" i="3"/>
  <c r="EJ36" i="3"/>
  <c r="EI36" i="3"/>
  <c r="EH36" i="3"/>
  <c r="EG36" i="3"/>
  <c r="EE36" i="3"/>
  <c r="ED36" i="3"/>
  <c r="EC36" i="3"/>
  <c r="EA36" i="3"/>
  <c r="DZ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EB36" i="3" s="1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AH36" i="3"/>
  <c r="AG36" i="3"/>
  <c r="AF36" i="3"/>
  <c r="AE36" i="3"/>
  <c r="AD36" i="3"/>
  <c r="AC36" i="3"/>
  <c r="AB36" i="3"/>
  <c r="AA36" i="3"/>
  <c r="Z36" i="3"/>
  <c r="EF36" i="3" s="1"/>
  <c r="Y36" i="3"/>
  <c r="Q36" i="3"/>
  <c r="P36" i="3"/>
  <c r="EO35" i="3"/>
  <c r="EP35" i="3" s="1"/>
  <c r="EL35" i="3"/>
  <c r="EK35" i="3"/>
  <c r="EJ35" i="3"/>
  <c r="EI35" i="3"/>
  <c r="EH35" i="3"/>
  <c r="EG35" i="3"/>
  <c r="EE35" i="3"/>
  <c r="ED35" i="3"/>
  <c r="EC35" i="3"/>
  <c r="EA35" i="3"/>
  <c r="DZ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EB35" i="3" s="1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AH35" i="3"/>
  <c r="AG35" i="3"/>
  <c r="AF35" i="3"/>
  <c r="AE35" i="3"/>
  <c r="AD35" i="3"/>
  <c r="AC35" i="3"/>
  <c r="AB35" i="3"/>
  <c r="AA35" i="3"/>
  <c r="Z35" i="3"/>
  <c r="EF35" i="3" s="1"/>
  <c r="Y35" i="3"/>
  <c r="Q35" i="3"/>
  <c r="P35" i="3"/>
  <c r="EO34" i="3"/>
  <c r="EP34" i="3" s="1"/>
  <c r="EL34" i="3"/>
  <c r="EK34" i="3"/>
  <c r="EJ34" i="3"/>
  <c r="EI34" i="3"/>
  <c r="EH34" i="3"/>
  <c r="EG34" i="3"/>
  <c r="EE34" i="3"/>
  <c r="ED34" i="3"/>
  <c r="EC34" i="3"/>
  <c r="EA34" i="3"/>
  <c r="DZ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EB34" i="3" s="1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AH34" i="3"/>
  <c r="AG34" i="3"/>
  <c r="AF34" i="3"/>
  <c r="AE34" i="3"/>
  <c r="AD34" i="3"/>
  <c r="AC34" i="3"/>
  <c r="AB34" i="3"/>
  <c r="AA34" i="3"/>
  <c r="Z34" i="3"/>
  <c r="EF34" i="3" s="1"/>
  <c r="Y34" i="3"/>
  <c r="Q34" i="3"/>
  <c r="P34" i="3"/>
  <c r="EO33" i="3"/>
  <c r="EP33" i="3" s="1"/>
  <c r="EL33" i="3"/>
  <c r="EK33" i="3"/>
  <c r="EJ33" i="3"/>
  <c r="EI33" i="3"/>
  <c r="EH33" i="3"/>
  <c r="EG33" i="3"/>
  <c r="EE33" i="3"/>
  <c r="ED33" i="3"/>
  <c r="EC33" i="3"/>
  <c r="EA33" i="3"/>
  <c r="DZ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EB33" i="3" s="1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AH33" i="3"/>
  <c r="AG33" i="3"/>
  <c r="AF33" i="3"/>
  <c r="AE33" i="3"/>
  <c r="AD33" i="3"/>
  <c r="AC33" i="3"/>
  <c r="AB33" i="3"/>
  <c r="AA33" i="3"/>
  <c r="Z33" i="3"/>
  <c r="EF33" i="3" s="1"/>
  <c r="Y33" i="3"/>
  <c r="Q33" i="3"/>
  <c r="P33" i="3"/>
  <c r="EO32" i="3"/>
  <c r="EP32" i="3" s="1"/>
  <c r="EL32" i="3"/>
  <c r="EK32" i="3"/>
  <c r="EJ32" i="3"/>
  <c r="EI32" i="3"/>
  <c r="EH32" i="3"/>
  <c r="EG32" i="3"/>
  <c r="EE32" i="3"/>
  <c r="ED32" i="3"/>
  <c r="EC32" i="3"/>
  <c r="EA32" i="3"/>
  <c r="DZ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EB32" i="3" s="1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AH32" i="3"/>
  <c r="AG32" i="3"/>
  <c r="AF32" i="3"/>
  <c r="AE32" i="3"/>
  <c r="AD32" i="3"/>
  <c r="AC32" i="3"/>
  <c r="AB32" i="3"/>
  <c r="AA32" i="3"/>
  <c r="Z32" i="3"/>
  <c r="EF32" i="3" s="1"/>
  <c r="Y32" i="3"/>
  <c r="Q32" i="3"/>
  <c r="P32" i="3"/>
  <c r="EO31" i="3"/>
  <c r="EP31" i="3" s="1"/>
  <c r="EL31" i="3"/>
  <c r="EK31" i="3"/>
  <c r="EJ31" i="3"/>
  <c r="EI31" i="3"/>
  <c r="EH31" i="3"/>
  <c r="EG31" i="3"/>
  <c r="EE31" i="3"/>
  <c r="ED31" i="3"/>
  <c r="EC31" i="3"/>
  <c r="EA31" i="3"/>
  <c r="DZ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EB31" i="3" s="1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AH31" i="3"/>
  <c r="AG31" i="3"/>
  <c r="AF31" i="3"/>
  <c r="AE31" i="3"/>
  <c r="AD31" i="3"/>
  <c r="AC31" i="3"/>
  <c r="AB31" i="3"/>
  <c r="AA31" i="3"/>
  <c r="Z31" i="3"/>
  <c r="EF31" i="3" s="1"/>
  <c r="Y31" i="3"/>
  <c r="Q31" i="3"/>
  <c r="P31" i="3"/>
  <c r="EO30" i="3"/>
  <c r="EP30" i="3" s="1"/>
  <c r="EL30" i="3"/>
  <c r="EK30" i="3"/>
  <c r="EJ30" i="3"/>
  <c r="EI30" i="3"/>
  <c r="EH30" i="3"/>
  <c r="EG30" i="3"/>
  <c r="EE30" i="3"/>
  <c r="ED30" i="3"/>
  <c r="EC30" i="3"/>
  <c r="EA30" i="3"/>
  <c r="DZ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EB30" i="3" s="1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AH30" i="3"/>
  <c r="AG30" i="3"/>
  <c r="AF30" i="3"/>
  <c r="AE30" i="3"/>
  <c r="AD30" i="3"/>
  <c r="AC30" i="3"/>
  <c r="AB30" i="3"/>
  <c r="AA30" i="3"/>
  <c r="Z30" i="3"/>
  <c r="EF30" i="3" s="1"/>
  <c r="Y30" i="3"/>
  <c r="Q30" i="3"/>
  <c r="P30" i="3"/>
  <c r="EO29" i="3"/>
  <c r="EP29" i="3" s="1"/>
  <c r="EL29" i="3"/>
  <c r="EK29" i="3"/>
  <c r="EJ29" i="3"/>
  <c r="EI29" i="3"/>
  <c r="EH29" i="3"/>
  <c r="EG29" i="3"/>
  <c r="EE29" i="3"/>
  <c r="ED29" i="3"/>
  <c r="EC29" i="3"/>
  <c r="EA29" i="3"/>
  <c r="DZ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EB29" i="3" s="1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AH29" i="3"/>
  <c r="AG29" i="3"/>
  <c r="AF29" i="3"/>
  <c r="AE29" i="3"/>
  <c r="AD29" i="3"/>
  <c r="AC29" i="3"/>
  <c r="AB29" i="3"/>
  <c r="AA29" i="3"/>
  <c r="Z29" i="3"/>
  <c r="EF29" i="3" s="1"/>
  <c r="Y29" i="3"/>
  <c r="Q29" i="3"/>
  <c r="P29" i="3"/>
  <c r="EO28" i="3"/>
  <c r="EP28" i="3" s="1"/>
  <c r="EL28" i="3"/>
  <c r="EK28" i="3"/>
  <c r="EJ28" i="3"/>
  <c r="EI28" i="3"/>
  <c r="EH28" i="3"/>
  <c r="EG28" i="3"/>
  <c r="EE28" i="3"/>
  <c r="ED28" i="3"/>
  <c r="EC28" i="3"/>
  <c r="EA28" i="3"/>
  <c r="DZ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EB28" i="3" s="1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AH28" i="3"/>
  <c r="AG28" i="3"/>
  <c r="AF28" i="3"/>
  <c r="AE28" i="3"/>
  <c r="AD28" i="3"/>
  <c r="AC28" i="3"/>
  <c r="AB28" i="3"/>
  <c r="AA28" i="3"/>
  <c r="Z28" i="3"/>
  <c r="EF28" i="3" s="1"/>
  <c r="Y28" i="3"/>
  <c r="Q28" i="3"/>
  <c r="P28" i="3"/>
  <c r="EO27" i="3"/>
  <c r="EP27" i="3" s="1"/>
  <c r="EL27" i="3"/>
  <c r="EK27" i="3"/>
  <c r="EJ27" i="3"/>
  <c r="EI27" i="3"/>
  <c r="EH27" i="3"/>
  <c r="EG27" i="3"/>
  <c r="EE27" i="3"/>
  <c r="ED27" i="3"/>
  <c r="EC27" i="3"/>
  <c r="EA27" i="3"/>
  <c r="DZ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EB27" i="3" s="1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AH27" i="3"/>
  <c r="AG27" i="3"/>
  <c r="AF27" i="3"/>
  <c r="AE27" i="3"/>
  <c r="AD27" i="3"/>
  <c r="AC27" i="3"/>
  <c r="AB27" i="3"/>
  <c r="AA27" i="3"/>
  <c r="Z27" i="3"/>
  <c r="EF27" i="3" s="1"/>
  <c r="Y27" i="3"/>
  <c r="Q27" i="3"/>
  <c r="P27" i="3"/>
  <c r="EO26" i="3"/>
  <c r="EP26" i="3" s="1"/>
  <c r="EL26" i="3"/>
  <c r="EK26" i="3"/>
  <c r="EJ26" i="3"/>
  <c r="EI26" i="3"/>
  <c r="EH26" i="3"/>
  <c r="EG26" i="3"/>
  <c r="EE26" i="3"/>
  <c r="ED26" i="3"/>
  <c r="EC26" i="3"/>
  <c r="EA26" i="3"/>
  <c r="DZ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EB26" i="3" s="1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AH26" i="3"/>
  <c r="AG26" i="3"/>
  <c r="AF26" i="3"/>
  <c r="AE26" i="3"/>
  <c r="AD26" i="3"/>
  <c r="AC26" i="3"/>
  <c r="AB26" i="3"/>
  <c r="AA26" i="3"/>
  <c r="Z26" i="3"/>
  <c r="EF26" i="3" s="1"/>
  <c r="Y26" i="3"/>
  <c r="Q26" i="3"/>
  <c r="P26" i="3"/>
  <c r="EO25" i="3"/>
  <c r="EP25" i="3" s="1"/>
  <c r="EL25" i="3"/>
  <c r="EK25" i="3"/>
  <c r="EJ25" i="3"/>
  <c r="EI25" i="3"/>
  <c r="EH25" i="3"/>
  <c r="EG25" i="3"/>
  <c r="EE25" i="3"/>
  <c r="ED25" i="3"/>
  <c r="EC25" i="3"/>
  <c r="EA25" i="3"/>
  <c r="DZ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EB25" i="3" s="1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AH25" i="3"/>
  <c r="AG25" i="3"/>
  <c r="AF25" i="3"/>
  <c r="AE25" i="3"/>
  <c r="AD25" i="3"/>
  <c r="AC25" i="3"/>
  <c r="AB25" i="3"/>
  <c r="AA25" i="3"/>
  <c r="Z25" i="3"/>
  <c r="EF25" i="3" s="1"/>
  <c r="Y25" i="3"/>
  <c r="Q25" i="3"/>
  <c r="P25" i="3"/>
  <c r="EO24" i="3"/>
  <c r="EP24" i="3" s="1"/>
  <c r="EL24" i="3"/>
  <c r="EK24" i="3"/>
  <c r="EJ24" i="3"/>
  <c r="EI24" i="3"/>
  <c r="EH24" i="3"/>
  <c r="EG24" i="3"/>
  <c r="EE24" i="3"/>
  <c r="ED24" i="3"/>
  <c r="EC24" i="3"/>
  <c r="EA24" i="3"/>
  <c r="DZ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EB24" i="3" s="1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AH24" i="3"/>
  <c r="AG24" i="3"/>
  <c r="AF24" i="3"/>
  <c r="AE24" i="3"/>
  <c r="AD24" i="3"/>
  <c r="AC24" i="3"/>
  <c r="AB24" i="3"/>
  <c r="AA24" i="3"/>
  <c r="Z24" i="3"/>
  <c r="EF24" i="3" s="1"/>
  <c r="Y24" i="3"/>
  <c r="Q24" i="3"/>
  <c r="P24" i="3"/>
  <c r="EO23" i="3"/>
  <c r="EP23" i="3" s="1"/>
  <c r="EL23" i="3"/>
  <c r="EK23" i="3"/>
  <c r="EJ23" i="3"/>
  <c r="EI23" i="3"/>
  <c r="EH23" i="3"/>
  <c r="EG23" i="3"/>
  <c r="EE23" i="3"/>
  <c r="ED23" i="3"/>
  <c r="EC23" i="3"/>
  <c r="EA23" i="3"/>
  <c r="DZ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EB23" i="3" s="1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AH23" i="3"/>
  <c r="AG23" i="3"/>
  <c r="AF23" i="3"/>
  <c r="AE23" i="3"/>
  <c r="AD23" i="3"/>
  <c r="AC23" i="3"/>
  <c r="AB23" i="3"/>
  <c r="AA23" i="3"/>
  <c r="Z23" i="3"/>
  <c r="EF23" i="3" s="1"/>
  <c r="Y23" i="3"/>
  <c r="Q23" i="3"/>
  <c r="P23" i="3"/>
  <c r="EO22" i="3"/>
  <c r="EP22" i="3" s="1"/>
  <c r="EL22" i="3"/>
  <c r="EK22" i="3"/>
  <c r="EJ22" i="3"/>
  <c r="EI22" i="3"/>
  <c r="EH22" i="3"/>
  <c r="EG22" i="3"/>
  <c r="EE22" i="3"/>
  <c r="ED22" i="3"/>
  <c r="EC22" i="3"/>
  <c r="EA22" i="3"/>
  <c r="DZ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EB22" i="3" s="1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AH22" i="3"/>
  <c r="AG22" i="3"/>
  <c r="AF22" i="3"/>
  <c r="AE22" i="3"/>
  <c r="AD22" i="3"/>
  <c r="AC22" i="3"/>
  <c r="AB22" i="3"/>
  <c r="AA22" i="3"/>
  <c r="Z22" i="3"/>
  <c r="EF22" i="3" s="1"/>
  <c r="Y22" i="3"/>
  <c r="Q22" i="3"/>
  <c r="P22" i="3"/>
  <c r="EO21" i="3"/>
  <c r="EP21" i="3" s="1"/>
  <c r="EL21" i="3"/>
  <c r="EK21" i="3"/>
  <c r="EJ21" i="3"/>
  <c r="EI21" i="3"/>
  <c r="EH21" i="3"/>
  <c r="EG21" i="3"/>
  <c r="EE21" i="3"/>
  <c r="ED21" i="3"/>
  <c r="EC21" i="3"/>
  <c r="EA21" i="3"/>
  <c r="DZ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EB21" i="3" s="1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AH21" i="3"/>
  <c r="AG21" i="3"/>
  <c r="AF21" i="3"/>
  <c r="AE21" i="3"/>
  <c r="AD21" i="3"/>
  <c r="AC21" i="3"/>
  <c r="AB21" i="3"/>
  <c r="AA21" i="3"/>
  <c r="Z21" i="3"/>
  <c r="EF21" i="3" s="1"/>
  <c r="Y21" i="3"/>
  <c r="Q21" i="3"/>
  <c r="P21" i="3"/>
  <c r="EO20" i="3"/>
  <c r="EP20" i="3" s="1"/>
  <c r="EL20" i="3"/>
  <c r="EK20" i="3"/>
  <c r="EJ20" i="3"/>
  <c r="EI20" i="3"/>
  <c r="EH20" i="3"/>
  <c r="EG20" i="3"/>
  <c r="EE20" i="3"/>
  <c r="ED20" i="3"/>
  <c r="EC20" i="3"/>
  <c r="EA20" i="3"/>
  <c r="DZ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EB20" i="3" s="1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AH20" i="3"/>
  <c r="AG20" i="3"/>
  <c r="AF20" i="3"/>
  <c r="AE20" i="3"/>
  <c r="AD20" i="3"/>
  <c r="AC20" i="3"/>
  <c r="AB20" i="3"/>
  <c r="AA20" i="3"/>
  <c r="Z20" i="3"/>
  <c r="EF20" i="3" s="1"/>
  <c r="Y20" i="3"/>
  <c r="Q20" i="3"/>
  <c r="P20" i="3"/>
  <c r="EO19" i="3"/>
  <c r="EP19" i="3" s="1"/>
  <c r="EL19" i="3"/>
  <c r="EK19" i="3"/>
  <c r="EJ19" i="3"/>
  <c r="EI19" i="3"/>
  <c r="EH19" i="3"/>
  <c r="EG19" i="3"/>
  <c r="EE19" i="3"/>
  <c r="ED19" i="3"/>
  <c r="EC19" i="3"/>
  <c r="EA19" i="3"/>
  <c r="DZ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EB19" i="3" s="1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AH19" i="3"/>
  <c r="AG19" i="3"/>
  <c r="AF19" i="3"/>
  <c r="AE19" i="3"/>
  <c r="AD19" i="3"/>
  <c r="AC19" i="3"/>
  <c r="AB19" i="3"/>
  <c r="AA19" i="3"/>
  <c r="Z19" i="3"/>
  <c r="EF19" i="3" s="1"/>
  <c r="Y19" i="3"/>
  <c r="Q19" i="3"/>
  <c r="P19" i="3"/>
  <c r="EO18" i="3"/>
  <c r="EP18" i="3" s="1"/>
  <c r="EL18" i="3"/>
  <c r="EK18" i="3"/>
  <c r="EJ18" i="3"/>
  <c r="EI18" i="3"/>
  <c r="EH18" i="3"/>
  <c r="EG18" i="3"/>
  <c r="EE18" i="3"/>
  <c r="ED18" i="3"/>
  <c r="EC18" i="3"/>
  <c r="EA18" i="3"/>
  <c r="DZ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EB18" i="3" s="1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AH18" i="3"/>
  <c r="AG18" i="3"/>
  <c r="AF18" i="3"/>
  <c r="AE18" i="3"/>
  <c r="AD18" i="3"/>
  <c r="AC18" i="3"/>
  <c r="AB18" i="3"/>
  <c r="AA18" i="3"/>
  <c r="Z18" i="3"/>
  <c r="EF18" i="3" s="1"/>
  <c r="Y18" i="3"/>
  <c r="Q18" i="3"/>
  <c r="P18" i="3"/>
  <c r="EO17" i="3"/>
  <c r="EP17" i="3" s="1"/>
  <c r="EL17" i="3"/>
  <c r="EK17" i="3"/>
  <c r="EJ17" i="3"/>
  <c r="EI17" i="3"/>
  <c r="EH17" i="3"/>
  <c r="EG17" i="3"/>
  <c r="EE17" i="3"/>
  <c r="ED17" i="3"/>
  <c r="EC17" i="3"/>
  <c r="EA17" i="3"/>
  <c r="DZ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EB17" i="3" s="1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AH17" i="3"/>
  <c r="AG17" i="3"/>
  <c r="AF17" i="3"/>
  <c r="AE17" i="3"/>
  <c r="AD17" i="3"/>
  <c r="AC17" i="3"/>
  <c r="AB17" i="3"/>
  <c r="AA17" i="3"/>
  <c r="Z17" i="3"/>
  <c r="EF17" i="3" s="1"/>
  <c r="Y17" i="3"/>
  <c r="Q17" i="3"/>
  <c r="P17" i="3"/>
  <c r="EO16" i="3"/>
  <c r="EP16" i="3" s="1"/>
  <c r="EL16" i="3"/>
  <c r="EK16" i="3"/>
  <c r="EJ16" i="3"/>
  <c r="EI16" i="3"/>
  <c r="EH16" i="3"/>
  <c r="EG16" i="3"/>
  <c r="EE16" i="3"/>
  <c r="ED16" i="3"/>
  <c r="EC16" i="3"/>
  <c r="EA16" i="3"/>
  <c r="DZ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EB16" i="3" s="1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AH16" i="3"/>
  <c r="AG16" i="3"/>
  <c r="AF16" i="3"/>
  <c r="AE16" i="3"/>
  <c r="AD16" i="3"/>
  <c r="AC16" i="3"/>
  <c r="AB16" i="3"/>
  <c r="AA16" i="3"/>
  <c r="Z16" i="3"/>
  <c r="EF16" i="3" s="1"/>
  <c r="Y16" i="3"/>
  <c r="Q16" i="3"/>
  <c r="P16" i="3"/>
  <c r="EO15" i="3"/>
  <c r="EP15" i="3" s="1"/>
  <c r="EL15" i="3"/>
  <c r="EK15" i="3"/>
  <c r="EJ15" i="3"/>
  <c r="EI15" i="3"/>
  <c r="EH15" i="3"/>
  <c r="EG15" i="3"/>
  <c r="EE15" i="3"/>
  <c r="ED15" i="3"/>
  <c r="EC15" i="3"/>
  <c r="EA15" i="3"/>
  <c r="DZ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EB15" i="3" s="1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AH15" i="3"/>
  <c r="AG15" i="3"/>
  <c r="AF15" i="3"/>
  <c r="AE15" i="3"/>
  <c r="AD15" i="3"/>
  <c r="AC15" i="3"/>
  <c r="AB15" i="3"/>
  <c r="AA15" i="3"/>
  <c r="Z15" i="3"/>
  <c r="EF15" i="3" s="1"/>
  <c r="Y15" i="3"/>
  <c r="Q15" i="3"/>
  <c r="P15" i="3"/>
  <c r="EO14" i="3"/>
  <c r="EP14" i="3" s="1"/>
  <c r="EL14" i="3"/>
  <c r="EK14" i="3"/>
  <c r="EJ14" i="3"/>
  <c r="EI14" i="3"/>
  <c r="EH14" i="3"/>
  <c r="EG14" i="3"/>
  <c r="EE14" i="3"/>
  <c r="ED14" i="3"/>
  <c r="EC14" i="3"/>
  <c r="EA14" i="3"/>
  <c r="DZ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EB14" i="3" s="1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AH14" i="3"/>
  <c r="AG14" i="3"/>
  <c r="AF14" i="3"/>
  <c r="AE14" i="3"/>
  <c r="AD14" i="3"/>
  <c r="AC14" i="3"/>
  <c r="AB14" i="3"/>
  <c r="AA14" i="3"/>
  <c r="Z14" i="3"/>
  <c r="EF14" i="3" s="1"/>
  <c r="Y14" i="3"/>
  <c r="Q14" i="3"/>
  <c r="P14" i="3"/>
  <c r="EO13" i="3"/>
  <c r="EP13" i="3" s="1"/>
  <c r="EL13" i="3"/>
  <c r="EK13" i="3"/>
  <c r="EJ13" i="3"/>
  <c r="EI13" i="3"/>
  <c r="EH13" i="3"/>
  <c r="EG13" i="3"/>
  <c r="EE13" i="3"/>
  <c r="ED13" i="3"/>
  <c r="EC13" i="3"/>
  <c r="EA13" i="3"/>
  <c r="DZ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EB13" i="3" s="1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AH13" i="3"/>
  <c r="AG13" i="3"/>
  <c r="AF13" i="3"/>
  <c r="AE13" i="3"/>
  <c r="AD13" i="3"/>
  <c r="AC13" i="3"/>
  <c r="AB13" i="3"/>
  <c r="AA13" i="3"/>
  <c r="Z13" i="3"/>
  <c r="EF13" i="3" s="1"/>
  <c r="Y13" i="3"/>
  <c r="Q13" i="3"/>
  <c r="P13" i="3"/>
  <c r="EO12" i="3"/>
  <c r="EP12" i="3" s="1"/>
  <c r="EL12" i="3"/>
  <c r="EK12" i="3"/>
  <c r="EJ12" i="3"/>
  <c r="EI12" i="3"/>
  <c r="EH12" i="3"/>
  <c r="EG12" i="3"/>
  <c r="EE12" i="3"/>
  <c r="ED12" i="3"/>
  <c r="EC12" i="3"/>
  <c r="EA12" i="3"/>
  <c r="DZ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EB12" i="3" s="1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AH12" i="3"/>
  <c r="AG12" i="3"/>
  <c r="AF12" i="3"/>
  <c r="AE12" i="3"/>
  <c r="AD12" i="3"/>
  <c r="AC12" i="3"/>
  <c r="AB12" i="3"/>
  <c r="AA12" i="3"/>
  <c r="Z12" i="3"/>
  <c r="EF12" i="3" s="1"/>
  <c r="Y12" i="3"/>
  <c r="Q12" i="3"/>
  <c r="P12" i="3"/>
  <c r="EO11" i="3"/>
  <c r="EP11" i="3" s="1"/>
  <c r="EL11" i="3"/>
  <c r="EK11" i="3"/>
  <c r="EJ11" i="3"/>
  <c r="EI11" i="3"/>
  <c r="EH11" i="3"/>
  <c r="EG11" i="3"/>
  <c r="EE11" i="3"/>
  <c r="ED11" i="3"/>
  <c r="EC11" i="3"/>
  <c r="EA11" i="3"/>
  <c r="DZ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EB11" i="3" s="1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AH11" i="3"/>
  <c r="AG11" i="3"/>
  <c r="AF11" i="3"/>
  <c r="AE11" i="3"/>
  <c r="AD11" i="3"/>
  <c r="AC11" i="3"/>
  <c r="AB11" i="3"/>
  <c r="AA11" i="3"/>
  <c r="Z11" i="3"/>
  <c r="EF11" i="3" s="1"/>
  <c r="Y11" i="3"/>
  <c r="Q11" i="3"/>
  <c r="P11" i="3"/>
  <c r="EO10" i="3"/>
  <c r="EP10" i="3" s="1"/>
  <c r="EL10" i="3"/>
  <c r="EK10" i="3"/>
  <c r="EJ10" i="3"/>
  <c r="EI10" i="3"/>
  <c r="EH10" i="3"/>
  <c r="EG10" i="3"/>
  <c r="EE10" i="3"/>
  <c r="ED10" i="3"/>
  <c r="EC10" i="3"/>
  <c r="EA10" i="3"/>
  <c r="DZ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EB10" i="3" s="1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AH10" i="3"/>
  <c r="AG10" i="3"/>
  <c r="AF10" i="3"/>
  <c r="AE10" i="3"/>
  <c r="AD10" i="3"/>
  <c r="AC10" i="3"/>
  <c r="AB10" i="3"/>
  <c r="AA10" i="3"/>
  <c r="Z10" i="3"/>
  <c r="EF10" i="3" s="1"/>
  <c r="Y10" i="3"/>
  <c r="Q10" i="3"/>
  <c r="P10" i="3"/>
  <c r="EO9" i="3"/>
  <c r="EP9" i="3" s="1"/>
  <c r="EL9" i="3"/>
  <c r="EK9" i="3"/>
  <c r="EJ9" i="3"/>
  <c r="EI9" i="3"/>
  <c r="EH9" i="3"/>
  <c r="EG9" i="3"/>
  <c r="EE9" i="3"/>
  <c r="ED9" i="3"/>
  <c r="EC9" i="3"/>
  <c r="EA9" i="3"/>
  <c r="DZ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EB9" i="3" s="1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AH9" i="3"/>
  <c r="AG9" i="3"/>
  <c r="AF9" i="3"/>
  <c r="AE9" i="3"/>
  <c r="AD9" i="3"/>
  <c r="AC9" i="3"/>
  <c r="AB9" i="3"/>
  <c r="AA9" i="3"/>
  <c r="Z9" i="3"/>
  <c r="EF9" i="3" s="1"/>
  <c r="Y9" i="3"/>
  <c r="Q9" i="3"/>
  <c r="P9" i="3"/>
  <c r="EO8" i="3"/>
  <c r="EP8" i="3" s="1"/>
  <c r="EL8" i="3"/>
  <c r="EK8" i="3"/>
  <c r="EJ8" i="3"/>
  <c r="EI8" i="3"/>
  <c r="EH8" i="3"/>
  <c r="EG8" i="3"/>
  <c r="EE8" i="3"/>
  <c r="ED8" i="3"/>
  <c r="EC8" i="3"/>
  <c r="EA8" i="3"/>
  <c r="DZ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EB8" i="3" s="1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AH8" i="3"/>
  <c r="AG8" i="3"/>
  <c r="AF8" i="3"/>
  <c r="AE8" i="3"/>
  <c r="AD8" i="3"/>
  <c r="AC8" i="3"/>
  <c r="AB8" i="3"/>
  <c r="AA8" i="3"/>
  <c r="Z8" i="3"/>
  <c r="EF8" i="3" s="1"/>
  <c r="Y8" i="3"/>
  <c r="Q8" i="3"/>
  <c r="P8" i="3"/>
  <c r="EO7" i="3"/>
  <c r="EP7" i="3" s="1"/>
  <c r="EL7" i="3"/>
  <c r="EK7" i="3"/>
  <c r="EJ7" i="3"/>
  <c r="EI7" i="3"/>
  <c r="EH7" i="3"/>
  <c r="EG7" i="3"/>
  <c r="EE7" i="3"/>
  <c r="ED7" i="3"/>
  <c r="EC7" i="3"/>
  <c r="EA7" i="3"/>
  <c r="DZ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EB7" i="3" s="1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AH7" i="3"/>
  <c r="AG7" i="3"/>
  <c r="AF7" i="3"/>
  <c r="AE7" i="3"/>
  <c r="AD7" i="3"/>
  <c r="AC7" i="3"/>
  <c r="AB7" i="3"/>
  <c r="AA7" i="3"/>
  <c r="Z7" i="3"/>
  <c r="EF7" i="3" s="1"/>
  <c r="Y7" i="3"/>
  <c r="Q7" i="3"/>
  <c r="P7" i="3"/>
  <c r="EO6" i="3"/>
  <c r="EP6" i="3" s="1"/>
  <c r="EL6" i="3"/>
  <c r="EK6" i="3"/>
  <c r="EJ6" i="3"/>
  <c r="EI6" i="3"/>
  <c r="EH6" i="3"/>
  <c r="EG6" i="3"/>
  <c r="EE6" i="3"/>
  <c r="ED6" i="3"/>
  <c r="EC6" i="3"/>
  <c r="EA6" i="3"/>
  <c r="DZ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EB6" i="3" s="1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AH6" i="3"/>
  <c r="AG6" i="3"/>
  <c r="AF6" i="3"/>
  <c r="AE6" i="3"/>
  <c r="AD6" i="3"/>
  <c r="AC6" i="3"/>
  <c r="AB6" i="3"/>
  <c r="AA6" i="3"/>
  <c r="Z6" i="3"/>
  <c r="EF6" i="3" s="1"/>
  <c r="Y6" i="3"/>
  <c r="Q6" i="3"/>
  <c r="P6" i="3"/>
  <c r="EL5" i="3"/>
  <c r="EK5" i="3"/>
  <c r="EJ5" i="3"/>
  <c r="EI5" i="3"/>
  <c r="EH5" i="3"/>
  <c r="EG5" i="3"/>
  <c r="EE5" i="3"/>
  <c r="ED5" i="3"/>
  <c r="EC5" i="3"/>
  <c r="EA5" i="3"/>
  <c r="DZ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EB5" i="3" s="1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AF5" i="3"/>
  <c r="AE5" i="3"/>
  <c r="AD5" i="3"/>
  <c r="AC5" i="3"/>
  <c r="AB5" i="3"/>
  <c r="AA5" i="3"/>
  <c r="Q5" i="3"/>
  <c r="P5" i="3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G6" i="1"/>
  <c r="C6" i="1"/>
  <c r="G5" i="1"/>
  <c r="C5" i="1"/>
  <c r="D2" i="1"/>
  <c r="H5" i="2" l="1"/>
  <c r="G5" i="2"/>
  <c r="F5" i="2"/>
  <c r="E5" i="2"/>
  <c r="H6" i="2"/>
  <c r="G6" i="2"/>
  <c r="F6" i="2"/>
  <c r="E6" i="2"/>
  <c r="H7" i="2"/>
  <c r="G7" i="2"/>
  <c r="F7" i="2"/>
  <c r="E7" i="2"/>
  <c r="H8" i="2"/>
  <c r="G8" i="2"/>
  <c r="F8" i="2"/>
  <c r="E8" i="2"/>
  <c r="H9" i="2"/>
  <c r="G9" i="2"/>
  <c r="F9" i="2"/>
  <c r="E9" i="2"/>
  <c r="H10" i="2"/>
  <c r="G10" i="2"/>
  <c r="F10" i="2"/>
  <c r="E10" i="2"/>
  <c r="H11" i="2"/>
  <c r="G11" i="2"/>
  <c r="F11" i="2"/>
  <c r="E11" i="2"/>
  <c r="H12" i="2"/>
  <c r="G12" i="2"/>
  <c r="F12" i="2"/>
  <c r="E12" i="2"/>
  <c r="H13" i="2"/>
  <c r="G13" i="2"/>
  <c r="F13" i="2"/>
  <c r="E13" i="2"/>
  <c r="H14" i="2"/>
  <c r="G14" i="2"/>
  <c r="F14" i="2"/>
  <c r="E14" i="2"/>
  <c r="H15" i="2"/>
  <c r="G15" i="2"/>
  <c r="F15" i="2"/>
  <c r="E15" i="2"/>
  <c r="H16" i="2"/>
  <c r="G16" i="2"/>
  <c r="F16" i="2"/>
  <c r="E16" i="2"/>
  <c r="H17" i="2"/>
  <c r="G17" i="2"/>
  <c r="F17" i="2"/>
  <c r="E17" i="2"/>
  <c r="H18" i="2"/>
  <c r="G18" i="2"/>
  <c r="F18" i="2"/>
  <c r="E18" i="2"/>
  <c r="H19" i="2"/>
  <c r="G19" i="2"/>
  <c r="F19" i="2"/>
  <c r="E19" i="2"/>
  <c r="H20" i="2"/>
  <c r="G20" i="2"/>
  <c r="F20" i="2"/>
  <c r="E20" i="2"/>
  <c r="H21" i="2"/>
  <c r="G21" i="2"/>
  <c r="F21" i="2"/>
  <c r="E21" i="2"/>
  <c r="H22" i="2"/>
  <c r="G22" i="2"/>
  <c r="F22" i="2"/>
  <c r="E22" i="2"/>
  <c r="H23" i="2"/>
  <c r="G23" i="2"/>
  <c r="F23" i="2"/>
  <c r="E23" i="2"/>
  <c r="H24" i="2"/>
  <c r="G24" i="2"/>
  <c r="F24" i="2"/>
  <c r="E24" i="2"/>
  <c r="H25" i="2"/>
  <c r="G25" i="2"/>
  <c r="F25" i="2"/>
  <c r="E25" i="2"/>
  <c r="H26" i="2"/>
  <c r="G26" i="2"/>
  <c r="F26" i="2"/>
  <c r="E26" i="2"/>
  <c r="H27" i="2"/>
  <c r="G27" i="2"/>
  <c r="F27" i="2"/>
  <c r="E27" i="2"/>
  <c r="H28" i="2"/>
  <c r="G28" i="2"/>
  <c r="F28" i="2"/>
  <c r="E28" i="2"/>
  <c r="H29" i="2"/>
  <c r="G29" i="2"/>
  <c r="F29" i="2"/>
  <c r="E29" i="2"/>
  <c r="H30" i="2"/>
  <c r="G30" i="2"/>
  <c r="F30" i="2"/>
  <c r="E30" i="2"/>
  <c r="H31" i="2"/>
  <c r="G31" i="2"/>
  <c r="F31" i="2"/>
  <c r="E31" i="2"/>
  <c r="H32" i="2"/>
  <c r="G32" i="2"/>
  <c r="F32" i="2"/>
  <c r="E32" i="2"/>
  <c r="H33" i="2"/>
  <c r="G33" i="2"/>
  <c r="F33" i="2"/>
  <c r="E33" i="2"/>
  <c r="H34" i="2"/>
  <c r="G34" i="2"/>
  <c r="F34" i="2"/>
  <c r="E34" i="2"/>
  <c r="H35" i="2"/>
  <c r="G35" i="2"/>
  <c r="F35" i="2"/>
  <c r="E35" i="2"/>
  <c r="H36" i="2"/>
  <c r="G36" i="2"/>
  <c r="F36" i="2"/>
  <c r="E36" i="2"/>
  <c r="H37" i="2"/>
  <c r="G37" i="2"/>
  <c r="F37" i="2"/>
  <c r="E37" i="2"/>
  <c r="H38" i="2"/>
  <c r="G38" i="2"/>
  <c r="F38" i="2"/>
  <c r="E38" i="2"/>
  <c r="H39" i="2"/>
  <c r="G39" i="2"/>
  <c r="F39" i="2"/>
  <c r="E39" i="2"/>
  <c r="H40" i="2"/>
  <c r="G40" i="2"/>
  <c r="F40" i="2"/>
  <c r="E40" i="2"/>
  <c r="H41" i="2"/>
  <c r="G41" i="2"/>
  <c r="F41" i="2"/>
  <c r="E41" i="2"/>
  <c r="H42" i="2"/>
  <c r="G42" i="2"/>
  <c r="F42" i="2"/>
  <c r="E42" i="2"/>
  <c r="H43" i="2"/>
  <c r="G43" i="2"/>
  <c r="F43" i="2"/>
  <c r="E43" i="2"/>
  <c r="H44" i="2"/>
  <c r="G44" i="2"/>
  <c r="F44" i="2"/>
  <c r="E44" i="2"/>
  <c r="H45" i="2"/>
  <c r="G45" i="2"/>
  <c r="F45" i="2"/>
  <c r="E45" i="2"/>
  <c r="H46" i="2"/>
  <c r="G46" i="2"/>
  <c r="F46" i="2"/>
  <c r="E46" i="2"/>
  <c r="H47" i="2"/>
  <c r="G47" i="2"/>
  <c r="F47" i="2"/>
  <c r="E47" i="2"/>
  <c r="H48" i="2"/>
  <c r="G48" i="2"/>
  <c r="F48" i="2"/>
  <c r="E48" i="2"/>
  <c r="H49" i="2"/>
  <c r="G49" i="2"/>
  <c r="F49" i="2"/>
  <c r="E49" i="2"/>
  <c r="H50" i="2"/>
  <c r="G50" i="2"/>
  <c r="F50" i="2"/>
  <c r="E50" i="2"/>
  <c r="H51" i="2"/>
  <c r="G51" i="2"/>
  <c r="F51" i="2"/>
  <c r="E51" i="2"/>
  <c r="H52" i="2"/>
  <c r="G52" i="2"/>
  <c r="F52" i="2"/>
  <c r="E52" i="2"/>
  <c r="H53" i="2"/>
  <c r="G53" i="2"/>
  <c r="F53" i="2"/>
  <c r="E53" i="2"/>
  <c r="H54" i="2"/>
  <c r="G54" i="2"/>
  <c r="F54" i="2"/>
  <c r="E54" i="2"/>
  <c r="H55" i="2"/>
  <c r="G55" i="2"/>
  <c r="F55" i="2"/>
  <c r="E55" i="2"/>
  <c r="H56" i="2"/>
  <c r="G56" i="2"/>
  <c r="F56" i="2"/>
  <c r="E56" i="2"/>
  <c r="H57" i="2"/>
  <c r="G57" i="2"/>
  <c r="F57" i="2"/>
  <c r="E57" i="2"/>
  <c r="H58" i="2"/>
  <c r="G58" i="2"/>
  <c r="F58" i="2"/>
  <c r="E58" i="2"/>
  <c r="H59" i="2"/>
  <c r="G59" i="2"/>
  <c r="F59" i="2"/>
  <c r="E59" i="2"/>
  <c r="H60" i="2"/>
  <c r="G60" i="2"/>
  <c r="F60" i="2"/>
  <c r="E60" i="2"/>
  <c r="H61" i="2"/>
  <c r="G61" i="2"/>
  <c r="F61" i="2"/>
  <c r="E61" i="2"/>
  <c r="H62" i="2"/>
  <c r="G62" i="2"/>
  <c r="F62" i="2"/>
  <c r="E62" i="2"/>
  <c r="H63" i="2"/>
  <c r="G63" i="2"/>
  <c r="F63" i="2"/>
  <c r="E63" i="2"/>
  <c r="H64" i="2"/>
  <c r="G64" i="2"/>
  <c r="F64" i="2"/>
  <c r="E64" i="2"/>
  <c r="H65" i="2"/>
  <c r="G65" i="2"/>
  <c r="F65" i="2"/>
  <c r="E65" i="2"/>
  <c r="H66" i="2"/>
  <c r="G66" i="2"/>
  <c r="F66" i="2"/>
  <c r="E66" i="2"/>
  <c r="H67" i="2"/>
  <c r="G67" i="2"/>
  <c r="F67" i="2"/>
  <c r="E67" i="2"/>
  <c r="H68" i="2"/>
  <c r="G68" i="2"/>
  <c r="F68" i="2"/>
  <c r="E68" i="2"/>
  <c r="H69" i="2"/>
  <c r="G69" i="2"/>
  <c r="F69" i="2"/>
  <c r="E69" i="2"/>
  <c r="H70" i="2"/>
  <c r="G70" i="2"/>
  <c r="F70" i="2"/>
  <c r="E70" i="2"/>
  <c r="H71" i="2"/>
  <c r="G71" i="2"/>
  <c r="F71" i="2"/>
  <c r="E71" i="2"/>
  <c r="H72" i="2"/>
  <c r="G72" i="2"/>
  <c r="F72" i="2"/>
  <c r="E72" i="2"/>
  <c r="H73" i="2"/>
  <c r="G73" i="2"/>
  <c r="F73" i="2"/>
  <c r="E73" i="2"/>
  <c r="H74" i="2"/>
  <c r="G74" i="2"/>
  <c r="F74" i="2"/>
  <c r="E74" i="2"/>
  <c r="H75" i="2"/>
  <c r="G75" i="2"/>
  <c r="F75" i="2"/>
  <c r="E75" i="2"/>
  <c r="H76" i="2"/>
  <c r="G76" i="2"/>
  <c r="F76" i="2"/>
  <c r="E76" i="2"/>
  <c r="H77" i="2"/>
  <c r="G77" i="2"/>
  <c r="F77" i="2"/>
  <c r="E77" i="2"/>
  <c r="H78" i="2"/>
  <c r="G78" i="2"/>
  <c r="F78" i="2"/>
  <c r="E78" i="2"/>
  <c r="H79" i="2"/>
  <c r="G79" i="2"/>
  <c r="F79" i="2"/>
  <c r="E79" i="2"/>
  <c r="H80" i="2"/>
  <c r="G80" i="2"/>
  <c r="F80" i="2"/>
  <c r="E80" i="2"/>
  <c r="H81" i="2"/>
  <c r="G81" i="2"/>
  <c r="F81" i="2"/>
  <c r="E81" i="2"/>
  <c r="H82" i="2"/>
  <c r="G82" i="2"/>
  <c r="F82" i="2"/>
  <c r="E82" i="2"/>
  <c r="H83" i="2"/>
  <c r="G83" i="2"/>
  <c r="F83" i="2"/>
  <c r="E83" i="2"/>
  <c r="H84" i="2"/>
  <c r="G84" i="2"/>
  <c r="F84" i="2"/>
  <c r="E84" i="2"/>
  <c r="H85" i="2"/>
  <c r="G85" i="2"/>
  <c r="F85" i="2"/>
  <c r="E85" i="2"/>
  <c r="H86" i="2"/>
  <c r="G86" i="2"/>
  <c r="F86" i="2"/>
  <c r="E86" i="2"/>
  <c r="H87" i="2"/>
  <c r="G87" i="2"/>
  <c r="F87" i="2"/>
  <c r="E87" i="2"/>
  <c r="H88" i="2"/>
  <c r="G88" i="2"/>
  <c r="F88" i="2"/>
  <c r="E88" i="2"/>
  <c r="H89" i="2"/>
  <c r="G89" i="2"/>
  <c r="F89" i="2"/>
  <c r="E89" i="2"/>
  <c r="H90" i="2"/>
  <c r="G90" i="2"/>
  <c r="F90" i="2"/>
  <c r="E90" i="2"/>
  <c r="H91" i="2"/>
  <c r="G91" i="2"/>
  <c r="F91" i="2"/>
  <c r="E91" i="2"/>
  <c r="H92" i="2"/>
  <c r="G92" i="2"/>
  <c r="F92" i="2"/>
  <c r="E92" i="2"/>
  <c r="H93" i="2"/>
  <c r="G93" i="2"/>
  <c r="F93" i="2"/>
  <c r="E93" i="2"/>
  <c r="H94" i="2"/>
  <c r="G94" i="2"/>
  <c r="F94" i="2"/>
  <c r="E94" i="2"/>
  <c r="H95" i="2"/>
  <c r="G95" i="2"/>
  <c r="F95" i="2"/>
  <c r="E95" i="2"/>
  <c r="H96" i="2"/>
  <c r="G96" i="2"/>
  <c r="F96" i="2"/>
  <c r="E96" i="2"/>
  <c r="H97" i="2"/>
  <c r="G97" i="2"/>
  <c r="F97" i="2"/>
  <c r="E97" i="2"/>
  <c r="H98" i="2"/>
  <c r="G98" i="2"/>
  <c r="F98" i="2"/>
  <c r="E98" i="2"/>
  <c r="H99" i="2"/>
  <c r="G99" i="2"/>
  <c r="F99" i="2"/>
  <c r="E99" i="2"/>
  <c r="H100" i="2"/>
  <c r="G100" i="2"/>
  <c r="F100" i="2"/>
  <c r="E100" i="2"/>
  <c r="H101" i="2"/>
  <c r="G101" i="2"/>
  <c r="F101" i="2"/>
  <c r="E101" i="2"/>
  <c r="H102" i="2"/>
  <c r="G102" i="2"/>
  <c r="F102" i="2"/>
  <c r="E102" i="2"/>
  <c r="H103" i="2"/>
  <c r="G103" i="2"/>
  <c r="F103" i="2"/>
  <c r="E103" i="2"/>
  <c r="H104" i="2"/>
  <c r="G104" i="2"/>
  <c r="F104" i="2"/>
  <c r="E104" i="2"/>
  <c r="S5" i="3"/>
  <c r="R5" i="3"/>
  <c r="DP5" i="3"/>
  <c r="DO5" i="3"/>
  <c r="DN5" i="3"/>
  <c r="DS5" i="3"/>
  <c r="DR5" i="3"/>
  <c r="DQ5" i="3"/>
  <c r="DV5" i="3"/>
  <c r="DU5" i="3"/>
  <c r="DT5" i="3"/>
  <c r="DY5" i="3"/>
  <c r="DX5" i="3"/>
  <c r="DW5" i="3"/>
  <c r="S6" i="3"/>
  <c r="R6" i="3"/>
  <c r="ES6" i="3"/>
  <c r="ER6" i="3"/>
  <c r="EQ6" i="3"/>
  <c r="DP6" i="3"/>
  <c r="DO6" i="3"/>
  <c r="DN6" i="3"/>
  <c r="DS6" i="3"/>
  <c r="DR6" i="3"/>
  <c r="DQ6" i="3"/>
  <c r="DV6" i="3"/>
  <c r="DU6" i="3"/>
  <c r="DT6" i="3"/>
  <c r="DY6" i="3"/>
  <c r="DX6" i="3"/>
  <c r="DW6" i="3"/>
  <c r="S7" i="3"/>
  <c r="R7" i="3"/>
  <c r="ES7" i="3"/>
  <c r="ER7" i="3"/>
  <c r="EQ7" i="3"/>
  <c r="DP7" i="3"/>
  <c r="DO7" i="3"/>
  <c r="DN7" i="3"/>
  <c r="DS7" i="3"/>
  <c r="DR7" i="3"/>
  <c r="DQ7" i="3"/>
  <c r="DV7" i="3"/>
  <c r="DU7" i="3"/>
  <c r="DT7" i="3"/>
  <c r="DY7" i="3"/>
  <c r="DX7" i="3"/>
  <c r="DW7" i="3"/>
  <c r="S8" i="3"/>
  <c r="R8" i="3"/>
  <c r="ES8" i="3"/>
  <c r="ER8" i="3"/>
  <c r="EQ8" i="3"/>
  <c r="DP8" i="3"/>
  <c r="DO8" i="3"/>
  <c r="DN8" i="3"/>
  <c r="DS8" i="3"/>
  <c r="DR8" i="3"/>
  <c r="DQ8" i="3"/>
  <c r="DV8" i="3"/>
  <c r="DU8" i="3"/>
  <c r="DT8" i="3"/>
  <c r="DY8" i="3"/>
  <c r="DX8" i="3"/>
  <c r="DW8" i="3"/>
  <c r="S9" i="3"/>
  <c r="R9" i="3"/>
  <c r="ES9" i="3"/>
  <c r="ER9" i="3"/>
  <c r="EQ9" i="3"/>
  <c r="DP9" i="3"/>
  <c r="DO9" i="3"/>
  <c r="DN9" i="3"/>
  <c r="DS9" i="3"/>
  <c r="DR9" i="3"/>
  <c r="DQ9" i="3"/>
  <c r="DV9" i="3"/>
  <c r="DU9" i="3"/>
  <c r="DT9" i="3"/>
  <c r="DY9" i="3"/>
  <c r="DX9" i="3"/>
  <c r="DW9" i="3"/>
  <c r="S10" i="3"/>
  <c r="R10" i="3"/>
  <c r="ES10" i="3"/>
  <c r="ER10" i="3"/>
  <c r="EQ10" i="3"/>
  <c r="DP10" i="3"/>
  <c r="DO10" i="3"/>
  <c r="DN10" i="3"/>
  <c r="DS10" i="3"/>
  <c r="DR10" i="3"/>
  <c r="DQ10" i="3"/>
  <c r="DV10" i="3"/>
  <c r="DU10" i="3"/>
  <c r="DT10" i="3"/>
  <c r="DY10" i="3"/>
  <c r="DX10" i="3"/>
  <c r="DW10" i="3"/>
  <c r="S11" i="3"/>
  <c r="R11" i="3"/>
  <c r="ES11" i="3"/>
  <c r="ER11" i="3"/>
  <c r="EQ11" i="3"/>
  <c r="DP11" i="3"/>
  <c r="DO11" i="3"/>
  <c r="DN11" i="3"/>
  <c r="DS11" i="3"/>
  <c r="DR11" i="3"/>
  <c r="DQ11" i="3"/>
  <c r="DV11" i="3"/>
  <c r="DU11" i="3"/>
  <c r="DT11" i="3"/>
  <c r="DY11" i="3"/>
  <c r="DX11" i="3"/>
  <c r="DW11" i="3"/>
  <c r="S12" i="3"/>
  <c r="R12" i="3"/>
  <c r="ES12" i="3"/>
  <c r="ER12" i="3"/>
  <c r="EQ12" i="3"/>
  <c r="DP12" i="3"/>
  <c r="DO12" i="3"/>
  <c r="DN12" i="3"/>
  <c r="DS12" i="3"/>
  <c r="DR12" i="3"/>
  <c r="DQ12" i="3"/>
  <c r="DV12" i="3"/>
  <c r="DU12" i="3"/>
  <c r="DT12" i="3"/>
  <c r="DY12" i="3"/>
  <c r="DX12" i="3"/>
  <c r="DW12" i="3"/>
  <c r="S13" i="3"/>
  <c r="R13" i="3"/>
  <c r="ES13" i="3"/>
  <c r="ER13" i="3"/>
  <c r="EQ13" i="3"/>
  <c r="DP13" i="3"/>
  <c r="DO13" i="3"/>
  <c r="DN13" i="3"/>
  <c r="DS13" i="3"/>
  <c r="DR13" i="3"/>
  <c r="DQ13" i="3"/>
  <c r="DV13" i="3"/>
  <c r="DU13" i="3"/>
  <c r="DT13" i="3"/>
  <c r="DY13" i="3"/>
  <c r="DX13" i="3"/>
  <c r="DW13" i="3"/>
  <c r="S14" i="3"/>
  <c r="R14" i="3"/>
  <c r="ES14" i="3"/>
  <c r="ER14" i="3"/>
  <c r="EQ14" i="3"/>
  <c r="DP14" i="3"/>
  <c r="DO14" i="3"/>
  <c r="DN14" i="3"/>
  <c r="DS14" i="3"/>
  <c r="DR14" i="3"/>
  <c r="DQ14" i="3"/>
  <c r="DV14" i="3"/>
  <c r="DU14" i="3"/>
  <c r="DT14" i="3"/>
  <c r="DY14" i="3"/>
  <c r="DX14" i="3"/>
  <c r="DW14" i="3"/>
  <c r="S15" i="3"/>
  <c r="R15" i="3"/>
  <c r="ES15" i="3"/>
  <c r="ER15" i="3"/>
  <c r="EQ15" i="3"/>
  <c r="DP15" i="3"/>
  <c r="DO15" i="3"/>
  <c r="DN15" i="3"/>
  <c r="DS15" i="3"/>
  <c r="DR15" i="3"/>
  <c r="DQ15" i="3"/>
  <c r="DV15" i="3"/>
  <c r="DU15" i="3"/>
  <c r="DT15" i="3"/>
  <c r="DY15" i="3"/>
  <c r="DX15" i="3"/>
  <c r="DW15" i="3"/>
  <c r="S16" i="3"/>
  <c r="R16" i="3"/>
  <c r="ES16" i="3"/>
  <c r="ER16" i="3"/>
  <c r="EQ16" i="3"/>
  <c r="DP16" i="3"/>
  <c r="DO16" i="3"/>
  <c r="DN16" i="3"/>
  <c r="DS16" i="3"/>
  <c r="DR16" i="3"/>
  <c r="DQ16" i="3"/>
  <c r="DV16" i="3"/>
  <c r="DU16" i="3"/>
  <c r="DT16" i="3"/>
  <c r="DY16" i="3"/>
  <c r="DX16" i="3"/>
  <c r="DW16" i="3"/>
  <c r="S17" i="3"/>
  <c r="R17" i="3"/>
  <c r="ES17" i="3"/>
  <c r="ER17" i="3"/>
  <c r="EQ17" i="3"/>
  <c r="DP17" i="3"/>
  <c r="DO17" i="3"/>
  <c r="DN17" i="3"/>
  <c r="DS17" i="3"/>
  <c r="DR17" i="3"/>
  <c r="DQ17" i="3"/>
  <c r="DV17" i="3"/>
  <c r="DU17" i="3"/>
  <c r="DT17" i="3"/>
  <c r="DY17" i="3"/>
  <c r="DX17" i="3"/>
  <c r="DW17" i="3"/>
  <c r="S18" i="3"/>
  <c r="R18" i="3"/>
  <c r="ES18" i="3"/>
  <c r="ER18" i="3"/>
  <c r="EQ18" i="3"/>
  <c r="DP18" i="3"/>
  <c r="DO18" i="3"/>
  <c r="DN18" i="3"/>
  <c r="DS18" i="3"/>
  <c r="DR18" i="3"/>
  <c r="DQ18" i="3"/>
  <c r="DV18" i="3"/>
  <c r="DU18" i="3"/>
  <c r="DT18" i="3"/>
  <c r="DY18" i="3"/>
  <c r="DX18" i="3"/>
  <c r="DW18" i="3"/>
  <c r="S19" i="3"/>
  <c r="R19" i="3"/>
  <c r="ES19" i="3"/>
  <c r="ER19" i="3"/>
  <c r="EQ19" i="3"/>
  <c r="DP19" i="3"/>
  <c r="DO19" i="3"/>
  <c r="DN19" i="3"/>
  <c r="DS19" i="3"/>
  <c r="DR19" i="3"/>
  <c r="DQ19" i="3"/>
  <c r="DV19" i="3"/>
  <c r="DU19" i="3"/>
  <c r="DT19" i="3"/>
  <c r="DY19" i="3"/>
  <c r="DX19" i="3"/>
  <c r="DW19" i="3"/>
  <c r="S20" i="3"/>
  <c r="R20" i="3"/>
  <c r="ES20" i="3"/>
  <c r="ER20" i="3"/>
  <c r="EQ20" i="3"/>
  <c r="DP20" i="3"/>
  <c r="DO20" i="3"/>
  <c r="DN20" i="3"/>
  <c r="DS20" i="3"/>
  <c r="DR20" i="3"/>
  <c r="DQ20" i="3"/>
  <c r="DV20" i="3"/>
  <c r="DU20" i="3"/>
  <c r="DT20" i="3"/>
  <c r="DY20" i="3"/>
  <c r="DX20" i="3"/>
  <c r="DW20" i="3"/>
  <c r="S21" i="3"/>
  <c r="R21" i="3"/>
  <c r="ES21" i="3"/>
  <c r="ER21" i="3"/>
  <c r="EQ21" i="3"/>
  <c r="DP21" i="3"/>
  <c r="DO21" i="3"/>
  <c r="DN21" i="3"/>
  <c r="DS21" i="3"/>
  <c r="DR21" i="3"/>
  <c r="DQ21" i="3"/>
  <c r="DV21" i="3"/>
  <c r="DU21" i="3"/>
  <c r="DT21" i="3"/>
  <c r="DY21" i="3"/>
  <c r="DX21" i="3"/>
  <c r="DW21" i="3"/>
  <c r="S22" i="3"/>
  <c r="R22" i="3"/>
  <c r="ES22" i="3"/>
  <c r="ER22" i="3"/>
  <c r="EQ22" i="3"/>
  <c r="DP22" i="3"/>
  <c r="DO22" i="3"/>
  <c r="DN22" i="3"/>
  <c r="DS22" i="3"/>
  <c r="DR22" i="3"/>
  <c r="DQ22" i="3"/>
  <c r="DV22" i="3"/>
  <c r="DU22" i="3"/>
  <c r="DT22" i="3"/>
  <c r="DY22" i="3"/>
  <c r="DX22" i="3"/>
  <c r="DW22" i="3"/>
  <c r="S23" i="3"/>
  <c r="R23" i="3"/>
  <c r="ES23" i="3"/>
  <c r="ER23" i="3"/>
  <c r="EQ23" i="3"/>
  <c r="DP23" i="3"/>
  <c r="DO23" i="3"/>
  <c r="DN23" i="3"/>
  <c r="DS23" i="3"/>
  <c r="DR23" i="3"/>
  <c r="DQ23" i="3"/>
  <c r="DV23" i="3"/>
  <c r="DU23" i="3"/>
  <c r="DT23" i="3"/>
  <c r="DY23" i="3"/>
  <c r="DX23" i="3"/>
  <c r="DW23" i="3"/>
  <c r="S24" i="3"/>
  <c r="R24" i="3"/>
  <c r="ES24" i="3"/>
  <c r="ER24" i="3"/>
  <c r="EQ24" i="3"/>
  <c r="DP24" i="3"/>
  <c r="DO24" i="3"/>
  <c r="DN24" i="3"/>
  <c r="DS24" i="3"/>
  <c r="DR24" i="3"/>
  <c r="DQ24" i="3"/>
  <c r="DV24" i="3"/>
  <c r="DU24" i="3"/>
  <c r="DT24" i="3"/>
  <c r="DY24" i="3"/>
  <c r="DX24" i="3"/>
  <c r="DW24" i="3"/>
  <c r="S25" i="3"/>
  <c r="R25" i="3"/>
  <c r="ES25" i="3"/>
  <c r="ER25" i="3"/>
  <c r="EQ25" i="3"/>
  <c r="DP25" i="3"/>
  <c r="DO25" i="3"/>
  <c r="DN25" i="3"/>
  <c r="DS25" i="3"/>
  <c r="DR25" i="3"/>
  <c r="DQ25" i="3"/>
  <c r="DV25" i="3"/>
  <c r="DU25" i="3"/>
  <c r="DT25" i="3"/>
  <c r="DY25" i="3"/>
  <c r="DX25" i="3"/>
  <c r="DW25" i="3"/>
  <c r="S26" i="3"/>
  <c r="R26" i="3"/>
  <c r="ES26" i="3"/>
  <c r="ER26" i="3"/>
  <c r="EQ26" i="3"/>
  <c r="DP26" i="3"/>
  <c r="DO26" i="3"/>
  <c r="DN26" i="3"/>
  <c r="DS26" i="3"/>
  <c r="DR26" i="3"/>
  <c r="DQ26" i="3"/>
  <c r="DV26" i="3"/>
  <c r="DU26" i="3"/>
  <c r="DT26" i="3"/>
  <c r="DY26" i="3"/>
  <c r="DX26" i="3"/>
  <c r="DW26" i="3"/>
  <c r="S27" i="3"/>
  <c r="R27" i="3"/>
  <c r="ES27" i="3"/>
  <c r="ER27" i="3"/>
  <c r="EQ27" i="3"/>
  <c r="DP27" i="3"/>
  <c r="DO27" i="3"/>
  <c r="DN27" i="3"/>
  <c r="DS27" i="3"/>
  <c r="DR27" i="3"/>
  <c r="DQ27" i="3"/>
  <c r="DV27" i="3"/>
  <c r="DU27" i="3"/>
  <c r="DT27" i="3"/>
  <c r="DY27" i="3"/>
  <c r="DX27" i="3"/>
  <c r="DW27" i="3"/>
  <c r="S28" i="3"/>
  <c r="R28" i="3"/>
  <c r="ES28" i="3"/>
  <c r="ER28" i="3"/>
  <c r="EQ28" i="3"/>
  <c r="DP28" i="3"/>
  <c r="DO28" i="3"/>
  <c r="DN28" i="3"/>
  <c r="DS28" i="3"/>
  <c r="DR28" i="3"/>
  <c r="DQ28" i="3"/>
  <c r="DV28" i="3"/>
  <c r="DU28" i="3"/>
  <c r="DT28" i="3"/>
  <c r="DY28" i="3"/>
  <c r="DX28" i="3"/>
  <c r="DW28" i="3"/>
  <c r="S29" i="3"/>
  <c r="R29" i="3"/>
  <c r="ES29" i="3"/>
  <c r="ER29" i="3"/>
  <c r="EQ29" i="3"/>
  <c r="DP29" i="3"/>
  <c r="DO29" i="3"/>
  <c r="DN29" i="3"/>
  <c r="DS29" i="3"/>
  <c r="DR29" i="3"/>
  <c r="DQ29" i="3"/>
  <c r="DV29" i="3"/>
  <c r="DU29" i="3"/>
  <c r="DT29" i="3"/>
  <c r="DY29" i="3"/>
  <c r="DX29" i="3"/>
  <c r="DW29" i="3"/>
  <c r="S30" i="3"/>
  <c r="R30" i="3"/>
  <c r="ES30" i="3"/>
  <c r="ER30" i="3"/>
  <c r="EQ30" i="3"/>
  <c r="DP30" i="3"/>
  <c r="DO30" i="3"/>
  <c r="DN30" i="3"/>
  <c r="DS30" i="3"/>
  <c r="DR30" i="3"/>
  <c r="DQ30" i="3"/>
  <c r="DV30" i="3"/>
  <c r="DU30" i="3"/>
  <c r="DT30" i="3"/>
  <c r="DY30" i="3"/>
  <c r="DX30" i="3"/>
  <c r="DW30" i="3"/>
  <c r="S31" i="3"/>
  <c r="R31" i="3"/>
  <c r="ES31" i="3"/>
  <c r="ER31" i="3"/>
  <c r="EQ31" i="3"/>
  <c r="DP31" i="3"/>
  <c r="DO31" i="3"/>
  <c r="DN31" i="3"/>
  <c r="DS31" i="3"/>
  <c r="DR31" i="3"/>
  <c r="DQ31" i="3"/>
  <c r="DV31" i="3"/>
  <c r="DU31" i="3"/>
  <c r="DT31" i="3"/>
  <c r="DY31" i="3"/>
  <c r="DX31" i="3"/>
  <c r="DW31" i="3"/>
  <c r="S32" i="3"/>
  <c r="R32" i="3"/>
  <c r="ES32" i="3"/>
  <c r="ER32" i="3"/>
  <c r="EQ32" i="3"/>
  <c r="DP32" i="3"/>
  <c r="DO32" i="3"/>
  <c r="DN32" i="3"/>
  <c r="DS32" i="3"/>
  <c r="DR32" i="3"/>
  <c r="DQ32" i="3"/>
  <c r="DV32" i="3"/>
  <c r="DU32" i="3"/>
  <c r="DT32" i="3"/>
  <c r="DY32" i="3"/>
  <c r="DX32" i="3"/>
  <c r="DW32" i="3"/>
  <c r="S33" i="3"/>
  <c r="R33" i="3"/>
  <c r="ES33" i="3"/>
  <c r="ER33" i="3"/>
  <c r="EQ33" i="3"/>
  <c r="DP33" i="3"/>
  <c r="DO33" i="3"/>
  <c r="DN33" i="3"/>
  <c r="DS33" i="3"/>
  <c r="DR33" i="3"/>
  <c r="DQ33" i="3"/>
  <c r="DV33" i="3"/>
  <c r="DU33" i="3"/>
  <c r="DT33" i="3"/>
  <c r="DY33" i="3"/>
  <c r="DX33" i="3"/>
  <c r="DW33" i="3"/>
  <c r="S34" i="3"/>
  <c r="R34" i="3"/>
  <c r="ES34" i="3"/>
  <c r="ER34" i="3"/>
  <c r="EQ34" i="3"/>
  <c r="DP34" i="3"/>
  <c r="DO34" i="3"/>
  <c r="DN34" i="3"/>
  <c r="DS34" i="3"/>
  <c r="DR34" i="3"/>
  <c r="DQ34" i="3"/>
  <c r="DV34" i="3"/>
  <c r="DU34" i="3"/>
  <c r="DT34" i="3"/>
  <c r="DY34" i="3"/>
  <c r="DX34" i="3"/>
  <c r="DW34" i="3"/>
  <c r="S35" i="3"/>
  <c r="R35" i="3"/>
  <c r="ES35" i="3"/>
  <c r="ER35" i="3"/>
  <c r="EQ35" i="3"/>
  <c r="DP35" i="3"/>
  <c r="DO35" i="3"/>
  <c r="DN35" i="3"/>
  <c r="DS35" i="3"/>
  <c r="DR35" i="3"/>
  <c r="DQ35" i="3"/>
  <c r="DV35" i="3"/>
  <c r="DU35" i="3"/>
  <c r="DT35" i="3"/>
  <c r="DY35" i="3"/>
  <c r="DX35" i="3"/>
  <c r="DW35" i="3"/>
  <c r="S36" i="3"/>
  <c r="R36" i="3"/>
  <c r="ES36" i="3"/>
  <c r="ER36" i="3"/>
  <c r="EQ36" i="3"/>
  <c r="DP36" i="3"/>
  <c r="DO36" i="3"/>
  <c r="DN36" i="3"/>
  <c r="DS36" i="3"/>
  <c r="DR36" i="3"/>
  <c r="DQ36" i="3"/>
  <c r="DV36" i="3"/>
  <c r="DU36" i="3"/>
  <c r="DT36" i="3"/>
  <c r="DY36" i="3"/>
  <c r="DX36" i="3"/>
  <c r="DW36" i="3"/>
  <c r="S37" i="3"/>
  <c r="R37" i="3"/>
  <c r="ES37" i="3"/>
  <c r="ER37" i="3"/>
  <c r="EQ37" i="3"/>
  <c r="DP37" i="3"/>
  <c r="DO37" i="3"/>
  <c r="DN37" i="3"/>
  <c r="DS37" i="3"/>
  <c r="DR37" i="3"/>
  <c r="DQ37" i="3"/>
  <c r="DV37" i="3"/>
  <c r="DU37" i="3"/>
  <c r="DT37" i="3"/>
  <c r="DY37" i="3"/>
  <c r="DX37" i="3"/>
  <c r="DW37" i="3"/>
  <c r="S38" i="3"/>
  <c r="R38" i="3"/>
  <c r="ES38" i="3"/>
  <c r="ER38" i="3"/>
  <c r="EQ38" i="3"/>
  <c r="DP38" i="3"/>
  <c r="DO38" i="3"/>
  <c r="DN38" i="3"/>
  <c r="DS38" i="3"/>
  <c r="DR38" i="3"/>
  <c r="DQ38" i="3"/>
  <c r="DV38" i="3"/>
  <c r="DU38" i="3"/>
  <c r="DT38" i="3"/>
  <c r="DY38" i="3"/>
  <c r="DX38" i="3"/>
  <c r="DW38" i="3"/>
  <c r="S39" i="3"/>
  <c r="R39" i="3"/>
  <c r="ES39" i="3"/>
  <c r="ER39" i="3"/>
  <c r="EQ39" i="3"/>
  <c r="DP39" i="3"/>
  <c r="DO39" i="3"/>
  <c r="DN39" i="3"/>
  <c r="DS39" i="3"/>
  <c r="DR39" i="3"/>
  <c r="DQ39" i="3"/>
  <c r="DV39" i="3"/>
  <c r="DU39" i="3"/>
  <c r="DT39" i="3"/>
  <c r="DY39" i="3"/>
  <c r="DX39" i="3"/>
  <c r="DW39" i="3"/>
  <c r="S40" i="3"/>
  <c r="R40" i="3"/>
  <c r="ES40" i="3"/>
  <c r="ER40" i="3"/>
  <c r="EQ40" i="3"/>
  <c r="DP40" i="3"/>
  <c r="DO40" i="3"/>
  <c r="DN40" i="3"/>
  <c r="DS40" i="3"/>
  <c r="DR40" i="3"/>
  <c r="DQ40" i="3"/>
  <c r="DV40" i="3"/>
  <c r="DU40" i="3"/>
  <c r="DT40" i="3"/>
  <c r="DY40" i="3"/>
  <c r="DX40" i="3"/>
  <c r="DW40" i="3"/>
  <c r="S41" i="3"/>
  <c r="R41" i="3"/>
  <c r="ES41" i="3"/>
  <c r="ER41" i="3"/>
  <c r="EQ41" i="3"/>
  <c r="DP41" i="3"/>
  <c r="DO41" i="3"/>
  <c r="DN41" i="3"/>
  <c r="DS41" i="3"/>
  <c r="DR41" i="3"/>
  <c r="DQ41" i="3"/>
  <c r="DV41" i="3"/>
  <c r="DU41" i="3"/>
  <c r="DT41" i="3"/>
  <c r="DY41" i="3"/>
  <c r="DX41" i="3"/>
  <c r="DW41" i="3"/>
  <c r="S42" i="3"/>
  <c r="R42" i="3"/>
  <c r="ES42" i="3"/>
  <c r="ER42" i="3"/>
  <c r="EQ42" i="3"/>
  <c r="DP42" i="3"/>
  <c r="DO42" i="3"/>
  <c r="DN42" i="3"/>
  <c r="DS42" i="3"/>
  <c r="DR42" i="3"/>
  <c r="DQ42" i="3"/>
  <c r="DV42" i="3"/>
  <c r="DU42" i="3"/>
  <c r="DT42" i="3"/>
  <c r="DY42" i="3"/>
  <c r="DX42" i="3"/>
  <c r="DW42" i="3"/>
  <c r="S43" i="3"/>
  <c r="R43" i="3"/>
  <c r="ES43" i="3"/>
  <c r="ER43" i="3"/>
  <c r="EQ43" i="3"/>
  <c r="DP43" i="3"/>
  <c r="DO43" i="3"/>
  <c r="DN43" i="3"/>
  <c r="DS43" i="3"/>
  <c r="DR43" i="3"/>
  <c r="DQ43" i="3"/>
  <c r="DV43" i="3"/>
  <c r="DU43" i="3"/>
  <c r="DT43" i="3"/>
  <c r="DY43" i="3"/>
  <c r="DX43" i="3"/>
  <c r="DW43" i="3"/>
  <c r="S44" i="3"/>
  <c r="R44" i="3"/>
  <c r="ES44" i="3"/>
  <c r="ER44" i="3"/>
  <c r="EQ44" i="3"/>
  <c r="DP44" i="3"/>
  <c r="DO44" i="3"/>
  <c r="DN44" i="3"/>
  <c r="DS44" i="3"/>
  <c r="DR44" i="3"/>
  <c r="DQ44" i="3"/>
  <c r="DV44" i="3"/>
  <c r="DU44" i="3"/>
  <c r="DT44" i="3"/>
  <c r="DY44" i="3"/>
  <c r="DX44" i="3"/>
  <c r="DW44" i="3"/>
  <c r="S45" i="3"/>
  <c r="R45" i="3"/>
  <c r="ES45" i="3"/>
  <c r="ER45" i="3"/>
  <c r="EQ45" i="3"/>
  <c r="DP45" i="3"/>
  <c r="DO45" i="3"/>
  <c r="DN45" i="3"/>
  <c r="DS45" i="3"/>
  <c r="DR45" i="3"/>
  <c r="DQ45" i="3"/>
  <c r="DV45" i="3"/>
  <c r="DU45" i="3"/>
  <c r="DT45" i="3"/>
  <c r="DY45" i="3"/>
  <c r="DX45" i="3"/>
  <c r="DW45" i="3"/>
  <c r="S46" i="3"/>
  <c r="R46" i="3"/>
  <c r="ES46" i="3"/>
  <c r="ER46" i="3"/>
  <c r="EQ46" i="3"/>
  <c r="DP46" i="3"/>
  <c r="DO46" i="3"/>
  <c r="DN46" i="3"/>
  <c r="DS46" i="3"/>
  <c r="DR46" i="3"/>
  <c r="DQ46" i="3"/>
  <c r="DV46" i="3"/>
  <c r="DU46" i="3"/>
  <c r="DT46" i="3"/>
  <c r="DY46" i="3"/>
  <c r="DX46" i="3"/>
  <c r="DW46" i="3"/>
  <c r="S47" i="3"/>
  <c r="R47" i="3"/>
  <c r="ES47" i="3"/>
  <c r="ER47" i="3"/>
  <c r="EQ47" i="3"/>
  <c r="DP47" i="3"/>
  <c r="DO47" i="3"/>
  <c r="DN47" i="3"/>
  <c r="DS47" i="3"/>
  <c r="DR47" i="3"/>
  <c r="DQ47" i="3"/>
  <c r="DV47" i="3"/>
  <c r="DU47" i="3"/>
  <c r="DT47" i="3"/>
  <c r="DY47" i="3"/>
  <c r="DX47" i="3"/>
  <c r="DW47" i="3"/>
  <c r="S48" i="3"/>
  <c r="R48" i="3"/>
  <c r="ES48" i="3"/>
  <c r="ER48" i="3"/>
  <c r="EQ48" i="3"/>
  <c r="DP48" i="3"/>
  <c r="DO48" i="3"/>
  <c r="DN48" i="3"/>
  <c r="DS48" i="3"/>
  <c r="DR48" i="3"/>
  <c r="DQ48" i="3"/>
  <c r="DV48" i="3"/>
  <c r="DU48" i="3"/>
  <c r="DT48" i="3"/>
  <c r="DY48" i="3"/>
  <c r="DX48" i="3"/>
  <c r="DW48" i="3"/>
  <c r="S49" i="3"/>
  <c r="R49" i="3"/>
  <c r="ES49" i="3"/>
  <c r="ER49" i="3"/>
  <c r="EQ49" i="3"/>
  <c r="DP49" i="3"/>
  <c r="DO49" i="3"/>
  <c r="DN49" i="3"/>
  <c r="DS49" i="3"/>
  <c r="DR49" i="3"/>
  <c r="DQ49" i="3"/>
  <c r="DV49" i="3"/>
  <c r="DU49" i="3"/>
  <c r="DT49" i="3"/>
  <c r="DY49" i="3"/>
  <c r="DX49" i="3"/>
  <c r="DW49" i="3"/>
  <c r="S50" i="3"/>
  <c r="R50" i="3"/>
  <c r="ES50" i="3"/>
  <c r="ER50" i="3"/>
  <c r="EQ50" i="3"/>
  <c r="DP50" i="3"/>
  <c r="DO50" i="3"/>
  <c r="DN50" i="3"/>
  <c r="DS50" i="3"/>
  <c r="DR50" i="3"/>
  <c r="DQ50" i="3"/>
  <c r="DV50" i="3"/>
  <c r="DU50" i="3"/>
  <c r="DT50" i="3"/>
  <c r="DY50" i="3"/>
  <c r="DX50" i="3"/>
  <c r="DW50" i="3"/>
  <c r="S51" i="3"/>
  <c r="R51" i="3"/>
  <c r="ES51" i="3"/>
  <c r="ER51" i="3"/>
  <c r="EQ51" i="3"/>
  <c r="DP51" i="3"/>
  <c r="DO51" i="3"/>
  <c r="DN51" i="3"/>
  <c r="DS51" i="3"/>
  <c r="DR51" i="3"/>
  <c r="DQ51" i="3"/>
  <c r="DV51" i="3"/>
  <c r="DU51" i="3"/>
  <c r="DT51" i="3"/>
  <c r="DY51" i="3"/>
  <c r="DX51" i="3"/>
  <c r="DW51" i="3"/>
  <c r="S52" i="3"/>
  <c r="R52" i="3"/>
  <c r="ES52" i="3"/>
  <c r="ER52" i="3"/>
  <c r="EQ52" i="3"/>
  <c r="DP52" i="3"/>
  <c r="DO52" i="3"/>
  <c r="DN52" i="3"/>
  <c r="DS52" i="3"/>
  <c r="DR52" i="3"/>
  <c r="DQ52" i="3"/>
  <c r="DV52" i="3"/>
  <c r="DU52" i="3"/>
  <c r="DT52" i="3"/>
  <c r="DY52" i="3"/>
  <c r="DX52" i="3"/>
  <c r="DW52" i="3"/>
  <c r="S53" i="3"/>
  <c r="R53" i="3"/>
  <c r="ES53" i="3"/>
  <c r="ER53" i="3"/>
  <c r="EQ53" i="3"/>
  <c r="DP53" i="3"/>
  <c r="DO53" i="3"/>
  <c r="DN53" i="3"/>
  <c r="DS53" i="3"/>
  <c r="DR53" i="3"/>
  <c r="DQ53" i="3"/>
  <c r="DV53" i="3"/>
  <c r="DU53" i="3"/>
  <c r="DT53" i="3"/>
  <c r="DY53" i="3"/>
  <c r="DX53" i="3"/>
  <c r="DW53" i="3"/>
  <c r="S54" i="3"/>
  <c r="R54" i="3"/>
  <c r="ES54" i="3"/>
  <c r="ER54" i="3"/>
  <c r="EQ54" i="3"/>
  <c r="DP54" i="3"/>
  <c r="DO54" i="3"/>
  <c r="DN54" i="3"/>
  <c r="DS54" i="3"/>
  <c r="DR54" i="3"/>
  <c r="DQ54" i="3"/>
  <c r="DV54" i="3"/>
  <c r="DU54" i="3"/>
  <c r="DT54" i="3"/>
  <c r="DY54" i="3"/>
  <c r="DX54" i="3"/>
  <c r="DW54" i="3"/>
  <c r="EN54" i="3" l="1"/>
  <c r="EM54" i="3"/>
  <c r="W54" i="3"/>
  <c r="V54" i="3"/>
  <c r="U54" i="3"/>
  <c r="T54" i="3"/>
  <c r="EN53" i="3"/>
  <c r="EM53" i="3"/>
  <c r="W53" i="3"/>
  <c r="V53" i="3"/>
  <c r="U53" i="3"/>
  <c r="T53" i="3"/>
  <c r="EN52" i="3"/>
  <c r="EM52" i="3"/>
  <c r="W52" i="3"/>
  <c r="V52" i="3"/>
  <c r="U52" i="3"/>
  <c r="T52" i="3"/>
  <c r="EN51" i="3"/>
  <c r="EM51" i="3"/>
  <c r="W51" i="3"/>
  <c r="V51" i="3"/>
  <c r="U51" i="3"/>
  <c r="T51" i="3"/>
  <c r="EN50" i="3"/>
  <c r="EM50" i="3"/>
  <c r="W50" i="3"/>
  <c r="V50" i="3"/>
  <c r="U50" i="3"/>
  <c r="T50" i="3"/>
  <c r="EN49" i="3"/>
  <c r="EM49" i="3"/>
  <c r="W49" i="3"/>
  <c r="V49" i="3"/>
  <c r="U49" i="3"/>
  <c r="T49" i="3"/>
  <c r="EN48" i="3"/>
  <c r="EM48" i="3"/>
  <c r="W48" i="3"/>
  <c r="V48" i="3"/>
  <c r="U48" i="3"/>
  <c r="T48" i="3"/>
  <c r="EN47" i="3"/>
  <c r="EM47" i="3"/>
  <c r="W47" i="3"/>
  <c r="V47" i="3"/>
  <c r="U47" i="3"/>
  <c r="T47" i="3"/>
  <c r="EN46" i="3"/>
  <c r="EM46" i="3"/>
  <c r="W46" i="3"/>
  <c r="V46" i="3"/>
  <c r="U46" i="3"/>
  <c r="T46" i="3"/>
  <c r="EN45" i="3"/>
  <c r="EM45" i="3"/>
  <c r="W45" i="3"/>
  <c r="V45" i="3"/>
  <c r="U45" i="3"/>
  <c r="T45" i="3"/>
  <c r="EN44" i="3"/>
  <c r="EM44" i="3"/>
  <c r="W44" i="3"/>
  <c r="V44" i="3"/>
  <c r="U44" i="3"/>
  <c r="T44" i="3"/>
  <c r="EN43" i="3"/>
  <c r="EM43" i="3"/>
  <c r="W43" i="3"/>
  <c r="V43" i="3"/>
  <c r="U43" i="3"/>
  <c r="T43" i="3"/>
  <c r="EN42" i="3"/>
  <c r="EM42" i="3"/>
  <c r="W42" i="3"/>
  <c r="V42" i="3"/>
  <c r="U42" i="3"/>
  <c r="T42" i="3"/>
  <c r="EN41" i="3"/>
  <c r="EM41" i="3"/>
  <c r="W41" i="3"/>
  <c r="V41" i="3"/>
  <c r="U41" i="3"/>
  <c r="T41" i="3"/>
  <c r="EN40" i="3"/>
  <c r="EM40" i="3"/>
  <c r="W40" i="3"/>
  <c r="V40" i="3"/>
  <c r="U40" i="3"/>
  <c r="T40" i="3"/>
  <c r="EN39" i="3"/>
  <c r="EM39" i="3"/>
  <c r="W39" i="3"/>
  <c r="V39" i="3"/>
  <c r="U39" i="3"/>
  <c r="T39" i="3"/>
  <c r="EN38" i="3"/>
  <c r="EM38" i="3"/>
  <c r="W38" i="3"/>
  <c r="V38" i="3"/>
  <c r="U38" i="3"/>
  <c r="T38" i="3"/>
  <c r="EN37" i="3"/>
  <c r="EM37" i="3"/>
  <c r="W37" i="3"/>
  <c r="V37" i="3"/>
  <c r="U37" i="3"/>
  <c r="T37" i="3"/>
  <c r="EN36" i="3"/>
  <c r="EM36" i="3"/>
  <c r="W36" i="3"/>
  <c r="V36" i="3"/>
  <c r="U36" i="3"/>
  <c r="T36" i="3"/>
  <c r="EN35" i="3"/>
  <c r="EM35" i="3"/>
  <c r="W35" i="3"/>
  <c r="V35" i="3"/>
  <c r="U35" i="3"/>
  <c r="T35" i="3"/>
  <c r="EN34" i="3"/>
  <c r="EM34" i="3"/>
  <c r="W34" i="3"/>
  <c r="V34" i="3"/>
  <c r="U34" i="3"/>
  <c r="T34" i="3"/>
  <c r="EN33" i="3"/>
  <c r="EM33" i="3"/>
  <c r="W33" i="3"/>
  <c r="V33" i="3"/>
  <c r="U33" i="3"/>
  <c r="T33" i="3"/>
  <c r="EN32" i="3"/>
  <c r="EM32" i="3"/>
  <c r="W32" i="3"/>
  <c r="V32" i="3"/>
  <c r="U32" i="3"/>
  <c r="T32" i="3"/>
  <c r="EN31" i="3"/>
  <c r="EM31" i="3"/>
  <c r="W31" i="3"/>
  <c r="V31" i="3"/>
  <c r="U31" i="3"/>
  <c r="T31" i="3"/>
  <c r="EN30" i="3"/>
  <c r="EM30" i="3"/>
  <c r="W30" i="3"/>
  <c r="V30" i="3"/>
  <c r="U30" i="3"/>
  <c r="T30" i="3"/>
  <c r="EN29" i="3"/>
  <c r="EM29" i="3"/>
  <c r="W29" i="3"/>
  <c r="V29" i="3"/>
  <c r="U29" i="3"/>
  <c r="T29" i="3"/>
  <c r="EN28" i="3"/>
  <c r="EM28" i="3"/>
  <c r="W28" i="3"/>
  <c r="V28" i="3"/>
  <c r="U28" i="3"/>
  <c r="T28" i="3"/>
  <c r="EN27" i="3"/>
  <c r="EM27" i="3"/>
  <c r="W27" i="3"/>
  <c r="V27" i="3"/>
  <c r="U27" i="3"/>
  <c r="T27" i="3"/>
  <c r="EN26" i="3"/>
  <c r="EM26" i="3"/>
  <c r="W26" i="3"/>
  <c r="V26" i="3"/>
  <c r="U26" i="3"/>
  <c r="T26" i="3"/>
  <c r="EN25" i="3"/>
  <c r="EM25" i="3"/>
  <c r="W25" i="3"/>
  <c r="V25" i="3"/>
  <c r="U25" i="3"/>
  <c r="T25" i="3"/>
  <c r="EN24" i="3"/>
  <c r="EM24" i="3"/>
  <c r="W24" i="3"/>
  <c r="V24" i="3"/>
  <c r="U24" i="3"/>
  <c r="T24" i="3"/>
  <c r="EN23" i="3"/>
  <c r="EM23" i="3"/>
  <c r="W23" i="3"/>
  <c r="V23" i="3"/>
  <c r="U23" i="3"/>
  <c r="T23" i="3"/>
  <c r="EN22" i="3"/>
  <c r="EM22" i="3"/>
  <c r="W22" i="3"/>
  <c r="V22" i="3"/>
  <c r="U22" i="3"/>
  <c r="T22" i="3"/>
  <c r="EN21" i="3"/>
  <c r="EM21" i="3"/>
  <c r="W21" i="3"/>
  <c r="V21" i="3"/>
  <c r="U21" i="3"/>
  <c r="T21" i="3"/>
  <c r="EN20" i="3"/>
  <c r="EM20" i="3"/>
  <c r="W20" i="3"/>
  <c r="V20" i="3"/>
  <c r="U20" i="3"/>
  <c r="T20" i="3"/>
  <c r="EN19" i="3"/>
  <c r="EM19" i="3"/>
  <c r="W19" i="3"/>
  <c r="V19" i="3"/>
  <c r="U19" i="3"/>
  <c r="T19" i="3"/>
  <c r="EN18" i="3"/>
  <c r="EM18" i="3"/>
  <c r="W18" i="3"/>
  <c r="V18" i="3"/>
  <c r="U18" i="3"/>
  <c r="T18" i="3"/>
  <c r="EN17" i="3"/>
  <c r="EM17" i="3"/>
  <c r="W17" i="3"/>
  <c r="V17" i="3"/>
  <c r="U17" i="3"/>
  <c r="T17" i="3"/>
  <c r="EN16" i="3"/>
  <c r="EM16" i="3"/>
  <c r="W16" i="3"/>
  <c r="V16" i="3"/>
  <c r="U16" i="3"/>
  <c r="T16" i="3"/>
  <c r="EN15" i="3"/>
  <c r="EM15" i="3"/>
  <c r="W15" i="3"/>
  <c r="V15" i="3"/>
  <c r="U15" i="3"/>
  <c r="T15" i="3"/>
  <c r="EN14" i="3"/>
  <c r="EM14" i="3"/>
  <c r="W14" i="3"/>
  <c r="V14" i="3"/>
  <c r="U14" i="3"/>
  <c r="T14" i="3"/>
  <c r="EN13" i="3"/>
  <c r="EM13" i="3"/>
  <c r="W13" i="3"/>
  <c r="V13" i="3"/>
  <c r="U13" i="3"/>
  <c r="T13" i="3"/>
  <c r="EN12" i="3"/>
  <c r="EM12" i="3"/>
  <c r="W12" i="3"/>
  <c r="V12" i="3"/>
  <c r="U12" i="3"/>
  <c r="T12" i="3"/>
  <c r="EN11" i="3"/>
  <c r="EM11" i="3"/>
  <c r="W11" i="3"/>
  <c r="V11" i="3"/>
  <c r="U11" i="3"/>
  <c r="T11" i="3"/>
  <c r="EN10" i="3"/>
  <c r="EM10" i="3"/>
  <c r="W10" i="3"/>
  <c r="V10" i="3"/>
  <c r="U10" i="3"/>
  <c r="T10" i="3"/>
  <c r="EN9" i="3"/>
  <c r="EM9" i="3"/>
  <c r="W9" i="3"/>
  <c r="V9" i="3"/>
  <c r="U9" i="3"/>
  <c r="T9" i="3"/>
  <c r="EN8" i="3"/>
  <c r="EM8" i="3"/>
  <c r="W8" i="3"/>
  <c r="V8" i="3"/>
  <c r="U8" i="3"/>
  <c r="T8" i="3"/>
  <c r="EN7" i="3"/>
  <c r="EM7" i="3"/>
  <c r="W7" i="3"/>
  <c r="V7" i="3"/>
  <c r="U7" i="3"/>
  <c r="T7" i="3"/>
  <c r="EN6" i="3"/>
  <c r="EM6" i="3"/>
  <c r="W6" i="3"/>
  <c r="V6" i="3"/>
  <c r="U6" i="3"/>
  <c r="T6" i="3"/>
  <c r="EN5" i="3"/>
  <c r="EM5" i="3"/>
  <c r="EO5" i="3" s="1"/>
  <c r="W5" i="3"/>
  <c r="V5" i="3"/>
  <c r="U5" i="3"/>
  <c r="T5" i="3"/>
  <c r="EP5" i="3" l="1"/>
  <c r="Z5" i="3"/>
  <c r="EF5" i="3" s="1"/>
  <c r="Y5" i="3"/>
  <c r="ES5" i="3" l="1"/>
  <c r="ER5" i="3"/>
  <c r="EQ5" i="3"/>
  <c r="AG5" i="3" s="1"/>
  <c r="AH5" i="3" s="1"/>
</calcChain>
</file>

<file path=xl/sharedStrings.xml><?xml version="1.0" encoding="utf-8"?>
<sst xmlns="http://schemas.openxmlformats.org/spreadsheetml/2006/main" count="545" uniqueCount="329">
  <si>
    <t>КНИГА ИГРОМАСТЕРА — РАСПРЕДЕЛЕНИЕ КОМАНД</t>
  </si>
  <si>
    <t>СЛУЖЕБНАЯ ЧАСТЬ — НЕ ИЗМЕНЯТЬ</t>
  </si>
  <si>
    <t>Номер жеребьёвки</t>
  </si>
  <si>
    <t>Количество команд</t>
  </si>
  <si>
    <t>Впишите названия команд в столбец B. Страны распределятся автоматически без повторов. Чтобы провести новую жеребьёвку, измените номер в B2.</t>
  </si>
  <si>
    <t>№</t>
  </si>
  <si>
    <t>Команда / группа / фамилия</t>
  </si>
  <si>
    <t>Страна</t>
  </si>
  <si>
    <t>Ключ жеребьёвки</t>
  </si>
  <si>
    <t>Позиция</t>
  </si>
  <si>
    <t>Россия</t>
  </si>
  <si>
    <t>США</t>
  </si>
  <si>
    <t>Китай</t>
  </si>
  <si>
    <t>Индия</t>
  </si>
  <si>
    <t>Великобритания</t>
  </si>
  <si>
    <t>Франция</t>
  </si>
  <si>
    <t>Германия</t>
  </si>
  <si>
    <t>Япония</t>
  </si>
  <si>
    <t>Южная Корея</t>
  </si>
  <si>
    <t>Турция</t>
  </si>
  <si>
    <t>Саудовская Аравия</t>
  </si>
  <si>
    <t>Иран</t>
  </si>
  <si>
    <t>Израиль</t>
  </si>
  <si>
    <t>Бразилия</t>
  </si>
  <si>
    <t>ОАЭ</t>
  </si>
  <si>
    <t>Индонезия</t>
  </si>
  <si>
    <t>КНИГА ИГРОМАСТЕРА — ЖУРНАЛ СЛУЧАЙНЫХ СОБЫТИЙ D60</t>
  </si>
  <si>
    <t>D60</t>
  </si>
  <si>
    <t>Тип</t>
  </si>
  <si>
    <t>Знак</t>
  </si>
  <si>
    <t>Событие</t>
  </si>
  <si>
    <t>Эффект</t>
  </si>
  <si>
    <t>Полная строка</t>
  </si>
  <si>
    <t>Страны</t>
  </si>
  <si>
    <t>Скрытый seed</t>
  </si>
  <si>
    <t>Заполните ход, страну и того, кто бросает кубик. D60 определяется автоматически один раз для строки; справа появляется тип события, адресаты и полный числовой эффект. Повторение событий разрешено.</t>
  </si>
  <si>
    <t>Общемировое</t>
  </si>
  <si>
    <t>+</t>
  </si>
  <si>
    <t>Фундаментальный прорыв в материаловедении</t>
  </si>
  <si>
    <t>Все играющие страны: Химические и технологические материалы: ПЗ +0,20; Полупроводниковое производство: ПП +0,03.</t>
  </si>
  <si>
    <t>D60=1 | Общемировое | + | Фундаментальный прорыв в материаловедении. Все играющие страны: Химические и технологические материалы: ПЗ +0,20; Полупроводниковое производство: ПП +0,03.</t>
  </si>
  <si>
    <t>Резкое глобальное удешевление вычислений</t>
  </si>
  <si>
    <t>Все играющие страны: Вычислительные компоненты: ПЗ +0,20; ЦОД: ПП +0,03; Модельные ресурсы: ПП +0,02.</t>
  </si>
  <si>
    <t>D60=2 | Общемировое | + | Резкое глобальное удешевление вычислений. Все играющие страны: Вычислительные компоненты: ПЗ +0,20; ЦОД: ПП +0,03; Модельные ресурсы: ПП +0,02.</t>
  </si>
  <si>
    <t>Ход</t>
  </si>
  <si>
    <t>Кто бросает</t>
  </si>
  <si>
    <t>Тип события</t>
  </si>
  <si>
    <t>Событие и полный эффект</t>
  </si>
  <si>
    <t>Кому применяется</t>
  </si>
  <si>
    <t>Мировой скачок производительности</t>
  </si>
  <si>
    <t>Все играющие страны: всем 8 сферам внедрения ИИ ВЗ +0,15; Финансовые ресурсы: ВЗ +0,25.</t>
  </si>
  <si>
    <t>D60=3 | Общемировое | + | Мировой скачок производительности. Все играющие страны: всем 8 сферам внедрения ИИ ВЗ +0,15; Финансовые ресурсы: ВЗ +0,25.</t>
  </si>
  <si>
    <t>−</t>
  </si>
  <si>
    <t>Сверхмощная солнечная буря</t>
  </si>
  <si>
    <t>Все играющие страны: Сетевые ресурсы: ВЗ −0,50; ЦОД: ВЗ −0,40; эффективность защиты Афины −15% на 1 ход.</t>
  </si>
  <si>
    <t>D60=4 | Общемировое | − | Сверхмощная солнечная буря. Все играющие страны: Сетевые ресурсы: ВЗ −0,50; ЦОД: ВЗ −0,40; эффективность защиты Афины −15% на 1 ход.</t>
  </si>
  <si>
    <t>Новая глобальная пандемия</t>
  </si>
  <si>
    <t>Все играющие страны: Человеческий ресурс: ВЗ −0,30; Производство: ВЗ −0,40; Экономика: ВЗ −0,40; Государственное управление: ВЗ −0,15.</t>
  </si>
  <si>
    <t>D60=5 | Общемировое | − | Новая глобальная пандемия. Все играющие страны: Человеческий ресурс: ВЗ −0,30; Производство: ВЗ −0,40; Экономика: ВЗ −0,40; Государственное управление: ВЗ −0,15.</t>
  </si>
  <si>
    <t>Сверхизвержение и глобальный климатический шок</t>
  </si>
  <si>
    <t>Все играющие страны: всем 8 сферам ВЗ −0,20; Энергетические ресурсы: ВЗ −0,40; Вода: ВЗ −0,30.</t>
  </si>
  <si>
    <t>D60=6 | Общемировое | − | Сверхизвержение и глобальный климатический шок. Все играющие страны: всем 8 сферам ВЗ −0,20; Энергетические ресурсы: ВЗ −0,40; Вода: ВЗ −0,30.</t>
  </si>
  <si>
    <t>Для бросившей страны</t>
  </si>
  <si>
    <t>Открыто гигантское месторождение критических минералов</t>
  </si>
  <si>
    <t>Минерально-сырьевые ресурсы: ПЗ +0,60; ПП +0,04.</t>
  </si>
  <si>
    <t>D60=7 | Для бросившей страны | + | Открыто гигантское месторождение критических минералов. Минерально-сырьевые ресурсы: ПЗ +0,60; ПП +0,04.</t>
  </si>
  <si>
    <t>Открыто крупное новое энергетическое месторождение</t>
  </si>
  <si>
    <t>Энергетические ресурсы: ПЗ +0,50; ПП +0,04.</t>
  </si>
  <si>
    <t>D60=8 | Для бросившей страны | + | Открыто крупное новое энергетическое месторождение. Энергетические ресурсы: ПЗ +0,50; ПП +0,04.</t>
  </si>
  <si>
    <t>Обнаружен огромный подземный резерв пресной воды</t>
  </si>
  <si>
    <t>Вода: ПЗ +0,50; Производство: ПП +0,02.</t>
  </si>
  <si>
    <t>D60=9 | Для бросившей страны | + | Обнаружен огромный подземный резерв пресной воды. Вода: ПЗ +0,50; Производство: ПП +0,02.</t>
  </si>
  <si>
    <t>Обнаружена исключительно выгодная природная площадка для ЦОД</t>
  </si>
  <si>
    <t>Пространственные ресурсы: ПЗ +0,30; ЦОД: ПП +0,05.</t>
  </si>
  <si>
    <t>D60=10 | Для бросившей страны | + | Обнаружена исключительно выгодная природная площадка для ЦОД. Пространственные ресурсы: ПЗ +0,30; ЦОД: ПП +0,05.</t>
  </si>
  <si>
    <t>Случайно открыт новый промышленный материал</t>
  </si>
  <si>
    <t>Химические и технологические материалы: ПЗ +0,40; Полупроводники: ПП +0,04.</t>
  </si>
  <si>
    <t>D60=11 | Для бросившей страны | + | Случайно открыт новый промышленный материал. Химические и технологические материалы: ПЗ +0,40; Полупроводники: ПП +0,04.</t>
  </si>
  <si>
    <t>Серендепный прорыв в архитектуре вычислителей</t>
  </si>
  <si>
    <t>Вычислительные компоненты: ПЗ +0,35; их прирост: ПП +0,05.</t>
  </si>
  <si>
    <t>D60=12 | Для бросившей страны | + | Серендепный прорыв в архитектуре вычислителей. Вычислительные компоненты: ПЗ +0,35; их прирост: ПП +0,05.</t>
  </si>
  <si>
    <t>Неожиданное фундаментальное математическое открытие</t>
  </si>
  <si>
    <t>Математико-алгоритмические ресурсы: ПЗ +0,40; Методы построения моделей: ПП +0,05.</t>
  </si>
  <si>
    <t>D60=13 | Для бросившей страны | + | Неожиданное фундаментальное математическое открытие. Математико-алгоритмические ресурсы: ПЗ +0,40; Методы построения моделей: ПП +0,05.</t>
  </si>
  <si>
    <t>Случайно найден новый эффективный способ генерации данных</t>
  </si>
  <si>
    <t>Производные данные: ПЗ +0,40; их прирост: ПП +0,05.</t>
  </si>
  <si>
    <t>D60=14 | Для бросившей страны | + | Случайно найден новый эффективный способ генерации данных. Производные данные: ПЗ +0,40; их прирост: ПП +0,05.</t>
  </si>
  <si>
    <t>Обнаружен уникальный массив ранее недоступных данных</t>
  </si>
  <si>
    <t>Исходные данные: ПЗ +0,50; Контекстные ресурсы: ПЗ +0,25.</t>
  </si>
  <si>
    <t>D60=15 | Для бросившей страны | + | Обнаружен уникальный массив ранее недоступных данных. Исходные данные: ПЗ +0,50; Контекстные ресурсы: ПЗ +0,25.</t>
  </si>
  <si>
    <t>Неожиданная массовая квалифицированная миграция извне</t>
  </si>
  <si>
    <t>Человеческий ресурс: ВЗ +0,60; его прирост: ПП +0,04.</t>
  </si>
  <si>
    <t>D60=16 | Для бросившей страны | + | Неожиданная массовая квалифицированная миграция извне. Человеческий ресурс: ВЗ +0,60; его прирост: ПП +0,04.</t>
  </si>
  <si>
    <t>Внешний глобальный инвестиционный бум случайно концентрируется в стране</t>
  </si>
  <si>
    <t>Финансовые ресурсы: ВЗ +0,60; Поставщики и рынок услуг: ВП +0,08.</t>
  </si>
  <si>
    <t>D60=17 | Для бросившей страны | + | Внешний глобальный инвестиционный бум случайно концентрируется в стране. Финансовые ресурсы: ВЗ +0,60; Поставщики и рынок услуг: ВП +0,08.</t>
  </si>
  <si>
    <t>Рекордно благоприятный природно-экономический год</t>
  </si>
  <si>
    <t>Производство: ВЗ +0,50; Экономика: ВЗ +0,40.</t>
  </si>
  <si>
    <t>D60=18 | Для бросившей страны | + | Рекордно благоприятный природно-экономический год. Производство: ВЗ +0,50; Экономика: ВЗ +0,40.</t>
  </si>
  <si>
    <t>Природное изменение открывает новый крупный транспортный маршрут</t>
  </si>
  <si>
    <t>Конкурентная и торговая среда: ПЗ +0,30; Сетевые ресурсы: ПП +0,03.</t>
  </si>
  <si>
    <t>D60=19 | Для бросившей страны | + | Природное изменение открывает новый крупный транспортный маршрут. Конкурентная и торговая среда: ПЗ +0,30; Сетевые ресурсы: ПП +0,03.</t>
  </si>
  <si>
    <t>Неожиданная мировая культурная волна в пользу страны</t>
  </si>
  <si>
    <t>Эффективность Аполлона +20% на 1 ход; Принятие ИИ: ВЗ +0,25.</t>
  </si>
  <si>
    <t>D60=20 | Для бросившей страны | + | Неожиданная мировая культурная волна в пользу страны. Эффективность Аполлона +20% на 1 ход; Принятие ИИ: ВЗ +0,25.</t>
  </si>
  <si>
    <t>Редкий научный прорыв национальной исследовательской группы</t>
  </si>
  <si>
    <t>Познание: ПЗ +0,30; его прирост: ПП +0,04.</t>
  </si>
  <si>
    <t>D60=21 | Для бросившей страны | + | Редкий научный прорыв национальной исследовательской группы. Познание: ПЗ +0,30; его прирост: ПП +0,04.</t>
  </si>
  <si>
    <t>Непредвиденный технологический spillover из другой отрасли</t>
  </si>
  <si>
    <t>Интеграционные ресурсы: ПЗ +0,35; Оцифрованность: ПП +0,04.</t>
  </si>
  <si>
    <t>D60=22 | Для бросившей страны | + | Непредвиденный технологический spillover из другой отрасли. Интеграционные ресурсы: ПЗ +0,35; Оцифрованность: ПП +0,04.</t>
  </si>
  <si>
    <t>Случайный прорыв в робототехнике независимой команды</t>
  </si>
  <si>
    <t>Производство: ПЗ +0,30; Производство: ПП +0,05.</t>
  </si>
  <si>
    <t>D60=23 | Для бросившей страны | + | Случайный прорыв в робототехнике независимой команды. Производство: ПЗ +0,30; Производство: ПП +0,05.</t>
  </si>
  <si>
    <t>Спонтанная волна общественного технологического оптимизма</t>
  </si>
  <si>
    <t>Социальное доверие: ВЗ +0,60; Принятие ИИ: ВЗ +0,50; его прирост: ВП +0,05.</t>
  </si>
  <si>
    <t>D60=24 | Для бросившей страны | + | Спонтанная волна общественного технологического оптимизма. Социальное доверие: ВЗ +0,60; Принятие ИИ: ВЗ +0,50; его прирост: ВП +0,05.</t>
  </si>
  <si>
    <t>Катастрофическое землетрясение</t>
  </si>
  <si>
    <t>Производство: ВЗ −0,70; ЦОД: ВЗ −0,50; Сетевые ресурсы: ВЗ −0,30.</t>
  </si>
  <si>
    <t>D60=25 | Для бросившей страны | − | Катастрофическое землетрясение. Производство: ВЗ −0,70; ЦОД: ВЗ −0,50; Сетевые ресурсы: ВЗ −0,30.</t>
  </si>
  <si>
    <t>Катастрофическое наводнение</t>
  </si>
  <si>
    <t>Производство: ВЗ −0,60; ЦОД: ВЗ −0,35; Экономика: ВЗ −0,30.</t>
  </si>
  <si>
    <t>D60=26 | Для бросившей страны | − | Катастрофическое наводнение. Производство: ВЗ −0,60; ЦОД: ВЗ −0,35; Экономика: ВЗ −0,30.</t>
  </si>
  <si>
    <t>Экстремальная многолетняя засуха</t>
  </si>
  <si>
    <t>Вода: ВЗ −0,70; Энергетика: ВЗ −0,35; Производство: ВЗ −0,35.</t>
  </si>
  <si>
    <t>D60=27 | Для бросившей страны | − | Экстремальная многолетняя засуха. Вода: ВЗ −0,70; Энергетика: ВЗ −0,35; Производство: ВЗ −0,35.</t>
  </si>
  <si>
    <t>Масштабные лесные и природные пожары</t>
  </si>
  <si>
    <t>Пространственные ресурсы: ВЗ −0,40; Производство: ВЗ −0,40; Экономика: ВЗ −0,25.</t>
  </si>
  <si>
    <t>D60=28 | Для бросившей страны | − | Масштабные лесные и природные пожары. Пространственные ресурсы: ВЗ −0,40; Производство: ВЗ −0,40; Экономика: ВЗ −0,25.</t>
  </si>
  <si>
    <t>Аномальная волна жары</t>
  </si>
  <si>
    <t>Энергетика: ВЗ −0,50; ЦОД: ВЗ −0,45; Экономика: ВЗ −0,20.</t>
  </si>
  <si>
    <t>D60=29 | Для бросившей страны | − | Аномальная волна жары. Энергетика: ВЗ −0,50; ЦОД: ВЗ −0,45; Экономика: ВЗ −0,20.</t>
  </si>
  <si>
    <t>Экстремальная холодовая аномалия</t>
  </si>
  <si>
    <t>Энергетика: ВЗ −0,50; Сетевые ресурсы: ВЗ −0,25; Экономика: ВЗ −0,25.</t>
  </si>
  <si>
    <t>D60=30 | Для бросившей страны | − | Экстремальная холодовая аномалия. Энергетика: ВЗ −0,50; Сетевые ресурсы: ВЗ −0,25; Экономика: ВЗ −0,25.</t>
  </si>
  <si>
    <t>Локальная эпидемия нового патогена</t>
  </si>
  <si>
    <t>Человеческий ресурс: ВЗ −0,50; Производство: ВЗ −0,30; Экономика: ВЗ −0,40.</t>
  </si>
  <si>
    <t>D60=31 | Для бросившей страны | − | Локальная эпидемия нового патогена. Человеческий ресурс: ВЗ −0,50; Производство: ВЗ −0,30; Экономика: ВЗ −0,40.</t>
  </si>
  <si>
    <t>Массовая эпизоотия / биологическое поражение продовольственной системы</t>
  </si>
  <si>
    <t>Экономика: ВЗ −0,50; Производство: ВЗ −0,30; Социальное доверие: ВЗ −0,20.</t>
  </si>
  <si>
    <t>D60=32 | Для бросившей страны | − | Массовая эпизоотия / биологическое поражение продовольственной системы. Экономика: ВЗ −0,50; Производство: ВЗ −0,30; Социальное доверие: ВЗ −0,20.</t>
  </si>
  <si>
    <t>Редкий системный дефект энергетической инфраструктуры</t>
  </si>
  <si>
    <t>Энергетические ресурсы: ВЗ −0,60; ЦОД: ВЗ −0,35.</t>
  </si>
  <si>
    <t>D60=33 | Для бросившей страны | − | Редкий системный дефект энергетической инфраструктуры. Энергетические ресурсы: ВЗ −0,60; ЦОД: ВЗ −0,35.</t>
  </si>
  <si>
    <t>Катастрофическое загрязнение производства микроэлектроники</t>
  </si>
  <si>
    <t>Полупроводниковое производство: ВЗ −0,70; Вычислительные компоненты: ВЗ −0,30.</t>
  </si>
  <si>
    <t>D60=34 | Для бросившей страны | − | Катастрофическое загрязнение производства микроэлектроники. Полупроводниковое производство: ВЗ −0,70; Вычислительные компоненты: ВЗ −0,30.</t>
  </si>
  <si>
    <t>Подводное землетрясение повреждает магистральные кабели</t>
  </si>
  <si>
    <t>Сетевые ресурсы: ВЗ −0,70; эффективность Афины −15% на 1 ход.</t>
  </si>
  <si>
    <t>D60=35 | Для бросившей страны | − | Подводное землетрясение повреждает магистральные кабели. Сетевые ресурсы: ВЗ −0,70; эффективность Афины −15% на 1 ход.</t>
  </si>
  <si>
    <t>Неожиданный обвал мировой цены на основной экспорт страны</t>
  </si>
  <si>
    <t>Финансовые ресурсы: ВЗ −0,60; Экономика: ВЗ −0,50.</t>
  </si>
  <si>
    <t>D60=36 | Для бросившей страны | − | Неожиданный обвал мировой цены на основной экспорт страны. Финансовые ресурсы: ВЗ −0,60; Экономика: ВЗ −0,50.</t>
  </si>
  <si>
    <t>Неожиданный мировой скачок цен на критический импорт страны</t>
  </si>
  <si>
    <t>Химические материалы: ВЗ −0,40; Финансовые ресурсы: ВЗ −0,45; Вычислительные компоненты: ВЗ −0,25.</t>
  </si>
  <si>
    <t>D60=37 | Для бросившей страны | − | Неожиданный мировой скачок цен на критический импорт страны. Химические материалы: ВЗ −0,40; Финансовые ресурсы: ВЗ −0,45; Вычислительные компоненты: ВЗ −0,25.</t>
  </si>
  <si>
    <t>Резкий демографический провал</t>
  </si>
  <si>
    <t>Человеческий ресурс: ПП −0,05; Предметная экспертиза: ВП −0,05.</t>
  </si>
  <si>
    <t>D60=38 | Для бросившей страны | − | Резкий демографический провал. Человеческий ресурс: ПП −0,05; Предметная экспертиза: ВП −0,05.</t>
  </si>
  <si>
    <t>Редкий сбой спутниковой инфраструктуры из-за космического события</t>
  </si>
  <si>
    <t>Сетевые ресурсы: ВЗ −0,50; Контекстные данные: ВЗ −0,30; Управление: ВЗ −0,20.</t>
  </si>
  <si>
    <t>D60=39 | Для бросившей страны | − | Редкий сбой спутниковой инфраструктуры из-за космического события. Сетевые ресурсы: ВЗ −0,50; Контекстные данные: ВЗ −0,30; Управление: ВЗ −0,20.</t>
  </si>
  <si>
    <t>Экстремальная гидрологическая аномалия</t>
  </si>
  <si>
    <t>Вода: ВЗ −0,50; Энергетика: ВЗ −0,40; Производство: ВЗ −0,20.</t>
  </si>
  <si>
    <t>D60=40 | Для бросившей страны | − | Экстремальная гидрологическая аномалия. Вода: ВЗ −0,50; Энергетика: ВЗ −0,40; Производство: ВЗ −0,20.</t>
  </si>
  <si>
    <t>Резонансная смертельная авария автономной системы</t>
  </si>
  <si>
    <t>Социальное доверие: ВЗ −0,60; Принятие ИИ: ВЗ −0,60; его прирост: ВП −0,05.</t>
  </si>
  <si>
    <t>D60=41 | Для бросившей страны | − | Резонансная смертельная авария автономной системы. Социальное доверие: ВЗ −0,60; Принятие ИИ: ВЗ −0,60; его прирост: ВП −0,05.</t>
  </si>
  <si>
    <t>Внезапно обнаружена фундаментальная уязвимость класса используемых моделей</t>
  </si>
  <si>
    <t>Модельные ресурсы: ВЗ −0,50; Стек эксплуатации ИИ: ВЗ −0,40; эффективность очков ИИ −15% на 1 ход.</t>
  </si>
  <si>
    <t>D60=42 | Для бросившей страны | − | Внезапно обнаружена фундаментальная уязвимость класса используемых моделей. Модельные ресурсы: ВЗ −0,50; Стек эксплуатации ИИ: ВЗ −0,40; эффективность очков ИИ −15% на 1 ход.</t>
  </si>
  <si>
    <t>Страна + реальные союзники</t>
  </si>
  <si>
    <t>Открыто трансграничное месторождение энергоресурсов</t>
  </si>
  <si>
    <t>Каждой затронутой стране: Энергетика: ПЗ +0,35; ПП +0,03.</t>
  </si>
  <si>
    <t>D60=43 | Страна + реальные союзники | + | Открыто трансграничное месторождение энергоресурсов. Каждой затронутой стране: Энергетика: ПЗ +0,35; ПП +0,03.</t>
  </si>
  <si>
    <t>Природные изменения открывают новый межрегиональный торговый маршрут</t>
  </si>
  <si>
    <t>Каждой затронутой стране: Сетевые ресурсы: ПЗ +0,25; Торговая среда: ПЗ +0,30.</t>
  </si>
  <si>
    <t>D60=44 | Страна + реальные союзники | + | Природные изменения открывают новый межрегиональный торговый маршрут. Каждой затронутой стране: Сетевые ресурсы: ПЗ +0,25; Торговая среда: ПЗ +0,30.</t>
  </si>
  <si>
    <t>Исключительно благоприятный гидрологический цикл региона</t>
  </si>
  <si>
    <t>Каждой затронутой стране: Вода: ВЗ +0,50; Энергетика: ВЗ +0,30; Производство: ВЗ +0,20.</t>
  </si>
  <si>
    <t>D60=45 | Страна + реальные союзники | + | Исключительно благоприятный гидрологический цикл региона. Каждой затронутой стране: Вода: ВЗ +0,50; Энергетика: ВЗ +0,30; Производство: ВЗ +0,20.</t>
  </si>
  <si>
    <t>Случайный фундаментальный научный прорыв внутри блока</t>
  </si>
  <si>
    <t>Каждой затронутой стране: Методы построения моделей: ПЗ +0,20; ПП +0,03.</t>
  </si>
  <si>
    <t>D60=46 | Страна + реальные союзники | + | Случайный фундаментальный научный прорыв внутри блока. Каждой затронутой стране: Методы построения моделей: ПЗ +0,20; ПП +0,03.</t>
  </si>
  <si>
    <t>Мировой ценовой бум на экспортную корзину блока</t>
  </si>
  <si>
    <t>Каждой затронутой стране: Финансовые ресурсы: ВЗ +0,45; Экономика: ВЗ +0,35.</t>
  </si>
  <si>
    <t>D60=47 | Страна + реальные союзники | + | Мировой ценовой бум на экспортную корзину блока. Каждой затронутой стране: Финансовые ресурсы: ВЗ +0,45; Экономика: ВЗ +0,35.</t>
  </si>
  <si>
    <t>Неожиданная миграционная волна квалифицированных специалистов в регион</t>
  </si>
  <si>
    <t>Каждой затронутой стране: Человеческий ресурс: ВЗ +0,40; его прирост: ПП +0,03.</t>
  </si>
  <si>
    <t>D60=48 | Страна + реальные союзники | + | Неожиданная миграционная волна квалифицированных специалистов в регион. Каждой затронутой стране: Человеческий ресурс: ВЗ +0,40; его прирост: ПП +0,03.</t>
  </si>
  <si>
    <t>Глобальная культурная мода неожиданно смещается в пользу блока</t>
  </si>
  <si>
    <t>Каждой затронутой стране: эффективность Аполлона +15% на 1 ход; Социальное доверие: ВЗ +0,20.</t>
  </si>
  <si>
    <t>D60=49 | Страна + реальные союзники | + | Глобальная культурная мода неожиданно смещается в пользу блока. Каждой затронутой стране: эффективность Аполлона +15% на 1 ход; Социальное доверие: ВЗ +0,20.</t>
  </si>
  <si>
    <t>Независимое открытие нового метода киберзащиты внутри блока</t>
  </si>
  <si>
    <t>Каждой затронутой стране: Кибербезопасность: ПЗ +0,25; защита Афины +10% на 1 ход.</t>
  </si>
  <si>
    <t>D60=50 | Страна + реальные союзники | + | Независимое открытие нового метода киберзащиты внутри блока. Каждой затронутой стране: Кибербезопасность: ПЗ +0,25; защита Афины +10% на 1 ход.</t>
  </si>
  <si>
    <t>Резкий внешний рост спроса на продукцию стран блока</t>
  </si>
  <si>
    <t>Каждой затронутой стране: Поставщики и рынок услуг: ВЗ +0,40; Экономика: ВЗ +0,35; Производство: ВЗ +0,20.</t>
  </si>
  <si>
    <t>D60=51 | Страна + реальные союзники | + | Резкий внешний рост спроса на продукцию стран блока. Каждой затронутой стране: Поставщики и рынок услуг: ВЗ +0,40; Экономика: ВЗ +0,35; Производство: ВЗ +0,20.</t>
  </si>
  <si>
    <t>Серия сильных землетрясений в регионе</t>
  </si>
  <si>
    <t>Каждой затронутой стране: Производство: ВЗ −0,50; Сетевые ресурсы: ВЗ −0,35; ЦОД: ВЗ −0,25.</t>
  </si>
  <si>
    <t>D60=52 | Страна + реальные союзники | − | Серия сильных землетрясений в регионе. Каждой затронутой стране: Производство: ВЗ −0,50; Сетевые ресурсы: ВЗ −0,35; ЦОД: ВЗ −0,25.</t>
  </si>
  <si>
    <t>Региональная мегазасуха</t>
  </si>
  <si>
    <t>Каждой затронутой стране: Вода: ВЗ −0,55; Энергетика: ВЗ −0,30; Производство: ВЗ −0,25.</t>
  </si>
  <si>
    <t>D60=53 | Страна + реальные союзники | − | Региональная мегазасуха. Каждой затронутой стране: Вода: ВЗ −0,55; Энергетика: ВЗ −0,30; Производство: ВЗ −0,25.</t>
  </si>
  <si>
    <t>Длительный региональный тепловой купол</t>
  </si>
  <si>
    <t>Каждой затронутой стране: Энергетика: ВЗ −0,40; ЦОД: ВЗ −0,35; Экономика: ВЗ −0,20.</t>
  </si>
  <si>
    <t>D60=54 | Страна + реальные союзники | − | Длительный региональный тепловой купол. Каждой затронутой стране: Энергетика: ВЗ −0,40; ЦОД: ВЗ −0,35; Экономика: ВЗ −0,20.</t>
  </si>
  <si>
    <t>Региональная эпидемия</t>
  </si>
  <si>
    <t>Каждой затронутой стране: Человеческий ресурс: ВЗ −0,40; Экономика: ВЗ −0,30; Производство: ВЗ −0,20.</t>
  </si>
  <si>
    <t>D60=55 | Страна + реальные союзники | − | Региональная эпидемия. Каждой затронутой стране: Человеческий ресурс: ВЗ −0,40; Экономика: ВЗ −0,30; Производство: ВЗ −0,20.</t>
  </si>
  <si>
    <t>Природная катастрофа перекрывает главный транспортный коридор региона</t>
  </si>
  <si>
    <t>Каждой затронутой стране: Торговая среда: ВЗ −0,50; Сети: ВЗ −0,35; эффективность Афины −10% на 1 ход.</t>
  </si>
  <si>
    <t>D60=56 | Страна + реальные союзники | − | Природная катастрофа перекрывает главный транспортный коридор региона. Каждой затронутой стране: Торговая среда: ВЗ −0,50; Сети: ВЗ −0,35; эффективность Афины −10% на 1 ход.</t>
  </si>
  <si>
    <t>Обвал мировых цен на экспортную корзину блока</t>
  </si>
  <si>
    <t>Каждой затронутой стране: Финансовые ресурсы: ВЗ −0,45; Экономика: ВЗ −0,35.</t>
  </si>
  <si>
    <t>D60=57 | Страна + реальные союзники | − | Обвал мировых цен на экспортную корзину блока. Каждой затронутой стране: Финансовые ресурсы: ВЗ −0,45; Экономика: ВЗ −0,35.</t>
  </si>
  <si>
    <t>Финансовая зараза от внешнего глобального кризиса</t>
  </si>
  <si>
    <t>Каждой затронутой стране: Финансовые ресурсы: ВЗ −0,50; Поставщики и рынок услуг: ВЗ −0,30.</t>
  </si>
  <si>
    <t>D60=58 | Страна + реальные союзники | − | Финансовая зараза от внешнего глобального кризиса. Каждой затронутой стране: Финансовые ресурсы: ВЗ −0,50; Поставщики и рынок услуг: ВЗ −0,30.</t>
  </si>
  <si>
    <t>Региональная геомагнитная аномалия</t>
  </si>
  <si>
    <t>Каждой затронутой стране: Сети: ВЗ −0,50; ЦОД: ВЗ −0,40; защита Афины −15% на 1 ход.</t>
  </si>
  <si>
    <t>D60=59 | Страна + реальные союзники | − | Региональная геомагнитная аномалия. Каждой затронутой стране: Сети: ВЗ −0,50; ЦОД: ВЗ −0,40; защита Афины −15% на 1 ход.</t>
  </si>
  <si>
    <t>Синхронный климатический шок нескольких стран региона</t>
  </si>
  <si>
    <t>Каждой затронутой стране: Производство: ВЗ −0,50; Экономика: ВЗ −0,40; Социальное доверие: ВЗ −0,20.</t>
  </si>
  <si>
    <t>D60=60 | Страна + реальные союзники | − | Синхронный климатический шок нескольких стран региона. Каждой затронутой стране: Производство: ВЗ −0,50; Экономика: ВЗ −0,40; Социальное доверие: ВЗ −0,20.</t>
  </si>
  <si>
    <t>КНИГА ИГРОМАСТЕРА — РАЗРЕШЕНИЕ ВОЙН</t>
  </si>
  <si>
    <t>Все 43 ресурса</t>
  </si>
  <si>
    <t>Физические ресурсы</t>
  </si>
  <si>
    <t>Сферы</t>
  </si>
  <si>
    <t>Каналы</t>
  </si>
  <si>
    <t>Одна строка = одна война. Введите ход, атакующую и защищающуюся страны, очки Ареса / Афины / Аполлона, при необходимости модификаторы эффективности и фактический D60 защищающейся стороны. Общая сила: Арес + 0,5×Афина + 0,25×Аполлон. Локальный перевес: минимум 5 эффективных очков и преимущество не менее чем в 2 раза.</t>
  </si>
  <si>
    <t>Минерально-сырьевые ресурсы</t>
  </si>
  <si>
    <t>Производство</t>
  </si>
  <si>
    <t>Ресурсный</t>
  </si>
  <si>
    <t>ВХОДНЫЕ ДАННЫЕ</t>
  </si>
  <si>
    <t>ОБЩАЯ ВЕРОЯТНОСТЬ И D60</t>
  </si>
  <si>
    <t>РЕЗУЛЬТАТЫ И ЭФФЕКТЫ</t>
  </si>
  <si>
    <t>Химические и технологические материалы</t>
  </si>
  <si>
    <t>Управление</t>
  </si>
  <si>
    <t>Общественный</t>
  </si>
  <si>
    <t>Страна A
(атакует)</t>
  </si>
  <si>
    <t>Страна B
(защищается)</t>
  </si>
  <si>
    <t>Арес A</t>
  </si>
  <si>
    <t>Афина A</t>
  </si>
  <si>
    <t>Аполлон A</t>
  </si>
  <si>
    <t>Мод. Арес A</t>
  </si>
  <si>
    <t>Мод. Афина A</t>
  </si>
  <si>
    <t>Мод. Аполлон A</t>
  </si>
  <si>
    <t>Арес B</t>
  </si>
  <si>
    <t>Афина B</t>
  </si>
  <si>
    <t>Аполлон B</t>
  </si>
  <si>
    <t>Мод. Арес B</t>
  </si>
  <si>
    <t>Мод. Афина B</t>
  </si>
  <si>
    <t>Мод. Аполлон B</t>
  </si>
  <si>
    <t>Сила A</t>
  </si>
  <si>
    <t>Сила B</t>
  </si>
  <si>
    <t>P победы A</t>
  </si>
  <si>
    <t>P ничьи</t>
  </si>
  <si>
    <t>P победы B</t>
  </si>
  <si>
    <t>D60: B проигрывает</t>
  </si>
  <si>
    <t>D60: ничья</t>
  </si>
  <si>
    <t>D60: B выигрывает</t>
  </si>
  <si>
    <t>Фактический D60</t>
  </si>
  <si>
    <t>Общий итог</t>
  </si>
  <si>
    <t>Степень общей победы</t>
  </si>
  <si>
    <t>Арес: локальный исход</t>
  </si>
  <si>
    <t>Арес: эффект</t>
  </si>
  <si>
    <t>Афина: локальный исход</t>
  </si>
  <si>
    <t>Афина: эффект</t>
  </si>
  <si>
    <t>Аполлон: локальный исход</t>
  </si>
  <si>
    <t>Аполлон: эффект</t>
  </si>
  <si>
    <t>Общий эффект войны</t>
  </si>
  <si>
    <t>Полный протокол</t>
  </si>
  <si>
    <t>Энергетические ресурсы</t>
  </si>
  <si>
    <t>Познание</t>
  </si>
  <si>
    <t>Дипломатический</t>
  </si>
  <si>
    <t>seed_phys</t>
  </si>
  <si>
    <t>seed_sector</t>
  </si>
  <si>
    <t>seed_country_local</t>
  </si>
  <si>
    <t>seed_res_general</t>
  </si>
  <si>
    <t>seed_sector_general</t>
  </si>
  <si>
    <t>seed_country_general</t>
  </si>
  <si>
    <t>seed_channels</t>
  </si>
  <si>
    <t>Вода и ресурс отвода тепла</t>
  </si>
  <si>
    <t>Пространственные и природно-географические ресурсы</t>
  </si>
  <si>
    <t>Мощности производства полупроводников</t>
  </si>
  <si>
    <t>Вычислительные компоненты</t>
  </si>
  <si>
    <t>ЦОД и вычислительная инфраструктура</t>
  </si>
  <si>
    <t>Сетевые ресурсы</t>
  </si>
  <si>
    <t>Конечные устройства</t>
  </si>
  <si>
    <t>Обучение</t>
  </si>
  <si>
    <t>Война</t>
  </si>
  <si>
    <t>Экономика</t>
  </si>
  <si>
    <t>Государственное управление</t>
  </si>
  <si>
    <t>Принятие ИИ</t>
  </si>
  <si>
    <t>Базовый программный стек вычислений</t>
  </si>
  <si>
    <t>Стек разработки ИИ</t>
  </si>
  <si>
    <t>Стек эксплуатации ИИ</t>
  </si>
  <si>
    <t>Математико-алгоритмические ресурсы</t>
  </si>
  <si>
    <t>Методы построения и совершенствования моделей</t>
  </si>
  <si>
    <t>Исходные данные</t>
  </si>
  <si>
    <t>Производные данные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</si>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</sst>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9C6500"/>
      <name val="Carlito"/>
    </font>
    <font>
      <b/>
      <sz val="11"/>
      <color rgb="FF375623"/>
      <name val="Carlito"/>
    </font>
    <font>
      <i/>
      <sz val="11"/>
      <color rgb="FF555555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666666"/>
      <name val="Carlito"/>
    </font>
    <font>
      <sz val="11"/>
      <name val="Carlito"/>
    </font>
  </fonts>
  <fills count="2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8"/>
      </patternFill>
    </fill>
    <fill>
      <patternFill patternType="solid">
        <fgColor rgb="FF4472C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7F7F7F"/>
      </patternFill>
    </fill>
    <fill>
      <patternFill patternType="solid">
        <fgColor rgb="FF1F4E78"/>
      </patternFill>
    </fill>
    <fill>
      <patternFill patternType="solid">
        <fgColor rgb="FFF3F6F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17365D"/>
      </patternFill>
    </fill>
    <fill>
      <patternFill patternType="solid">
        <fgColor rgb="FFF3F6F8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E7E6E6"/>
      </right>
      <top style="thin">
        <color rgb="FFD9D9D9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D9D9D9"/>
      </top>
      <bottom style="thin">
        <color rgb="FFE7E6E6"/>
      </bottom>
      <diagonal/>
    </border>
    <border>
      <left style="thin">
        <color rgb="FFE7E6E6"/>
      </left>
      <right style="thin">
        <color rgb="FFD9D9D9"/>
      </right>
      <top style="thin">
        <color rgb="FFD9D9D9"/>
      </top>
      <bottom style="thin">
        <color rgb="FFE7E6E6"/>
      </bottom>
      <diagonal/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E7E6E6"/>
      </bottom>
      <diagonal/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D9D9D9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D9D9D9"/>
      </bottom>
      <diagonal/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D9D9D9"/>
      </bottom>
      <diagonal/>
    </border>
    <border>
      <left style="thin">
        <color rgb="FFC9C9C9"/>
      </left>
      <right style="thin">
        <color rgb="FFE7E6E6"/>
      </right>
      <top style="thin">
        <color rgb="FFC9C9C9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C9C9C9"/>
      </top>
      <bottom style="thin">
        <color rgb="FFE7E6E6"/>
      </bottom>
      <diagonal/>
    </border>
    <border>
      <left style="thin">
        <color rgb="FFE7E6E6"/>
      </left>
      <right style="thin">
        <color rgb="FFC9C9C9"/>
      </right>
      <top style="thin">
        <color rgb="FFC9C9C9"/>
      </top>
      <bottom style="thin">
        <color rgb="FFE7E6E6"/>
      </bottom>
      <diagonal/>
    </border>
    <border>
      <left style="thin">
        <color rgb="FFC9C9C9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C9C9C9"/>
      </right>
      <top style="thin">
        <color rgb="FFE7E6E6"/>
      </top>
      <bottom style="thin">
        <color rgb="FFE7E6E6"/>
      </bottom>
      <diagonal/>
    </border>
    <border>
      <left style="thin">
        <color rgb="FFC9C9C9"/>
      </left>
      <right style="thin">
        <color rgb="FFE7E6E6"/>
      </right>
      <top style="thin">
        <color rgb="FFE7E6E6"/>
      </top>
      <bottom style="thin">
        <color rgb="FFC9C9C9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C9C9C9"/>
      </bottom>
      <diagonal/>
    </border>
    <border>
      <left style="thin">
        <color rgb="FFE7E6E6"/>
      </left>
      <right style="thin">
        <color rgb="FFC9C9C9"/>
      </right>
      <top style="thin">
        <color rgb="FFE7E6E6"/>
      </top>
      <bottom style="thin">
        <color rgb="FFC9C9C9"/>
      </bottom>
      <diagonal/>
    </border>
  </borders>
  <cellStyleXfs count="2">
    <xf numFmtId="0" fontId="0" fillId="0" borderId="0"/>
    <xf numFmtId="0" fontId="9" fillId="0" borderId="0"/>
  </cellStyleXfs>
  <cellXfs count="68">
    <xf numFmtId="0" fontId="0" fillId="0" borderId="0" xfId="0"/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7" borderId="2" xfId="1" applyFont="1" applyFill="1" applyBorder="1" applyAlignment="1">
      <alignment horizontal="center" vertical="center"/>
    </xf>
    <xf numFmtId="0" fontId="6" fillId="7" borderId="3" xfId="1" applyFont="1" applyFill="1" applyBorder="1" applyAlignment="1">
      <alignment horizontal="center" vertical="center"/>
    </xf>
    <xf numFmtId="0" fontId="0" fillId="9" borderId="4" xfId="1" applyFont="1" applyFill="1" applyBorder="1" applyAlignment="1">
      <alignment horizontal="center"/>
    </xf>
    <xf numFmtId="0" fontId="0" fillId="4" borderId="5" xfId="1" applyFont="1" applyFill="1" applyBorder="1" applyAlignment="1">
      <alignment wrapText="1"/>
    </xf>
    <xf numFmtId="0" fontId="7" fillId="5" borderId="6" xfId="1" applyFont="1" applyFill="1" applyBorder="1" applyAlignment="1">
      <alignment wrapText="1"/>
    </xf>
    <xf numFmtId="0" fontId="0" fillId="9" borderId="7" xfId="1" applyFont="1" applyFill="1" applyBorder="1" applyAlignment="1">
      <alignment horizontal="center"/>
    </xf>
    <xf numFmtId="0" fontId="0" fillId="4" borderId="8" xfId="1" applyFont="1" applyFill="1" applyBorder="1" applyAlignment="1">
      <alignment wrapText="1"/>
    </xf>
    <xf numFmtId="0" fontId="7" fillId="5" borderId="9" xfId="1" applyFont="1" applyFill="1" applyBorder="1" applyAlignment="1">
      <alignment wrapText="1"/>
    </xf>
    <xf numFmtId="0" fontId="6" fillId="8" borderId="1" xfId="1" applyFont="1" applyFill="1" applyBorder="1" applyAlignment="1">
      <alignment horizontal="center"/>
    </xf>
    <xf numFmtId="0" fontId="6" fillId="8" borderId="2" xfId="1" applyFont="1" applyFill="1" applyBorder="1" applyAlignment="1">
      <alignment horizontal="center"/>
    </xf>
    <xf numFmtId="0" fontId="6" fillId="8" borderId="3" xfId="1" applyFont="1" applyFill="1" applyBorder="1" applyAlignment="1">
      <alignment horizontal="center"/>
    </xf>
    <xf numFmtId="0" fontId="8" fillId="9" borderId="4" xfId="1" applyFont="1" applyFill="1" applyBorder="1"/>
    <xf numFmtId="0" fontId="8" fillId="9" borderId="5" xfId="1" applyFont="1" applyFill="1" applyBorder="1"/>
    <xf numFmtId="0" fontId="8" fillId="9" borderId="6" xfId="1" applyFont="1" applyFill="1" applyBorder="1"/>
    <xf numFmtId="0" fontId="8" fillId="9" borderId="7" xfId="1" applyFont="1" applyFill="1" applyBorder="1"/>
    <xf numFmtId="0" fontId="8" fillId="9" borderId="8" xfId="1" applyFont="1" applyFill="1" applyBorder="1"/>
    <xf numFmtId="0" fontId="6" fillId="13" borderId="0" xfId="1" applyFont="1" applyFill="1" applyAlignment="1">
      <alignment horizontal="center" vertical="center" wrapText="1"/>
    </xf>
    <xf numFmtId="0" fontId="0" fillId="14" borderId="10" xfId="1" applyFont="1" applyFill="1" applyBorder="1" applyAlignment="1">
      <alignment vertical="top"/>
    </xf>
    <xf numFmtId="0" fontId="0" fillId="14" borderId="11" xfId="1" applyFont="1" applyFill="1" applyBorder="1" applyAlignment="1">
      <alignment vertical="top"/>
    </xf>
    <xf numFmtId="0" fontId="0" fillId="15" borderId="11" xfId="1" applyFont="1" applyFill="1" applyBorder="1" applyAlignment="1">
      <alignment horizontal="center" vertical="top"/>
    </xf>
    <xf numFmtId="0" fontId="0" fillId="16" borderId="11" xfId="1" applyFont="1" applyFill="1" applyBorder="1" applyAlignment="1">
      <alignment vertical="top" wrapText="1"/>
    </xf>
    <xf numFmtId="0" fontId="0" fillId="16" borderId="12" xfId="1" applyFont="1" applyFill="1" applyBorder="1" applyAlignment="1">
      <alignment vertical="top" wrapText="1"/>
    </xf>
    <xf numFmtId="0" fontId="0" fillId="14" borderId="13" xfId="1" applyFont="1" applyFill="1" applyBorder="1" applyAlignment="1">
      <alignment vertical="top"/>
    </xf>
    <xf numFmtId="0" fontId="0" fillId="14" borderId="14" xfId="1" applyFont="1" applyFill="1" applyBorder="1" applyAlignment="1">
      <alignment vertical="top"/>
    </xf>
    <xf numFmtId="0" fontId="0" fillId="15" borderId="14" xfId="1" applyFont="1" applyFill="1" applyBorder="1" applyAlignment="1">
      <alignment horizontal="center" vertical="top"/>
    </xf>
    <xf numFmtId="0" fontId="0" fillId="16" borderId="14" xfId="1" applyFont="1" applyFill="1" applyBorder="1" applyAlignment="1">
      <alignment vertical="top" wrapText="1"/>
    </xf>
    <xf numFmtId="0" fontId="0" fillId="16" borderId="15" xfId="1" applyFont="1" applyFill="1" applyBorder="1" applyAlignment="1">
      <alignment vertical="top" wrapText="1"/>
    </xf>
    <xf numFmtId="0" fontId="0" fillId="14" borderId="16" xfId="1" applyFont="1" applyFill="1" applyBorder="1" applyAlignment="1">
      <alignment vertical="top"/>
    </xf>
    <xf numFmtId="0" fontId="0" fillId="14" borderId="17" xfId="1" applyFont="1" applyFill="1" applyBorder="1" applyAlignment="1">
      <alignment vertical="top"/>
    </xf>
    <xf numFmtId="0" fontId="0" fillId="15" borderId="17" xfId="1" applyFont="1" applyFill="1" applyBorder="1" applyAlignment="1">
      <alignment horizontal="center" vertical="top"/>
    </xf>
    <xf numFmtId="0" fontId="0" fillId="16" borderId="17" xfId="1" applyFont="1" applyFill="1" applyBorder="1" applyAlignment="1">
      <alignment vertical="top" wrapText="1"/>
    </xf>
    <xf numFmtId="0" fontId="0" fillId="16" borderId="18" xfId="1" applyFont="1" applyFill="1" applyBorder="1" applyAlignment="1">
      <alignment vertical="top" wrapText="1"/>
    </xf>
    <xf numFmtId="0" fontId="6" fillId="22" borderId="19" xfId="1" applyFont="1" applyFill="1" applyBorder="1" applyAlignment="1">
      <alignment horizontal="center" vertical="center" wrapText="1"/>
    </xf>
    <xf numFmtId="0" fontId="6" fillId="22" borderId="20" xfId="1" applyFont="1" applyFill="1" applyBorder="1" applyAlignment="1">
      <alignment horizontal="center" vertical="center" wrapText="1"/>
    </xf>
    <xf numFmtId="0" fontId="6" fillId="22" borderId="21" xfId="1" applyFont="1" applyFill="1" applyBorder="1" applyAlignment="1">
      <alignment horizontal="center" vertical="center" wrapText="1"/>
    </xf>
    <xf numFmtId="0" fontId="0" fillId="23" borderId="22" xfId="1" applyFont="1" applyFill="1" applyBorder="1" applyAlignment="1">
      <alignment vertical="top"/>
    </xf>
    <xf numFmtId="0" fontId="0" fillId="23" borderId="14" xfId="1" applyFont="1" applyFill="1" applyBorder="1" applyAlignment="1">
      <alignment vertical="top"/>
    </xf>
    <xf numFmtId="9" fontId="0" fillId="23" borderId="14" xfId="1" applyNumberFormat="1" applyFont="1" applyFill="1" applyBorder="1" applyAlignment="1">
      <alignment vertical="top"/>
    </xf>
    <xf numFmtId="2" fontId="0" fillId="24" borderId="14" xfId="1" applyNumberFormat="1" applyFont="1" applyFill="1" applyBorder="1" applyAlignment="1">
      <alignment vertical="top"/>
    </xf>
    <xf numFmtId="164" fontId="0" fillId="24" borderId="14" xfId="1" applyNumberFormat="1" applyFont="1" applyFill="1" applyBorder="1" applyAlignment="1">
      <alignment vertical="top"/>
    </xf>
    <xf numFmtId="0" fontId="0" fillId="24" borderId="14" xfId="1" applyFont="1" applyFill="1" applyBorder="1" applyAlignment="1">
      <alignment vertical="top"/>
    </xf>
    <xf numFmtId="0" fontId="7" fillId="25" borderId="14" xfId="1" applyFont="1" applyFill="1" applyBorder="1" applyAlignment="1">
      <alignment horizontal="center"/>
    </xf>
    <xf numFmtId="0" fontId="0" fillId="26" borderId="14" xfId="1" applyFont="1" applyFill="1" applyBorder="1" applyAlignment="1">
      <alignment vertical="top" wrapText="1"/>
    </xf>
    <xf numFmtId="0" fontId="0" fillId="26" borderId="23" xfId="1" applyFont="1" applyFill="1" applyBorder="1" applyAlignment="1">
      <alignment vertical="top" wrapText="1"/>
    </xf>
    <xf numFmtId="0" fontId="0" fillId="23" borderId="24" xfId="1" applyFont="1" applyFill="1" applyBorder="1" applyAlignment="1">
      <alignment vertical="top"/>
    </xf>
    <xf numFmtId="0" fontId="0" fillId="23" borderId="25" xfId="1" applyFont="1" applyFill="1" applyBorder="1" applyAlignment="1">
      <alignment vertical="top"/>
    </xf>
    <xf numFmtId="9" fontId="0" fillId="23" borderId="25" xfId="1" applyNumberFormat="1" applyFont="1" applyFill="1" applyBorder="1" applyAlignment="1">
      <alignment vertical="top"/>
    </xf>
    <xf numFmtId="2" fontId="0" fillId="24" borderId="25" xfId="1" applyNumberFormat="1" applyFont="1" applyFill="1" applyBorder="1" applyAlignment="1">
      <alignment vertical="top"/>
    </xf>
    <xf numFmtId="164" fontId="0" fillId="24" borderId="25" xfId="1" applyNumberFormat="1" applyFont="1" applyFill="1" applyBorder="1" applyAlignment="1">
      <alignment vertical="top"/>
    </xf>
    <xf numFmtId="0" fontId="0" fillId="24" borderId="25" xfId="1" applyFont="1" applyFill="1" applyBorder="1" applyAlignment="1">
      <alignment vertical="top"/>
    </xf>
    <xf numFmtId="0" fontId="7" fillId="25" borderId="25" xfId="1" applyFont="1" applyFill="1" applyBorder="1" applyAlignment="1">
      <alignment horizontal="center"/>
    </xf>
    <xf numFmtId="0" fontId="0" fillId="26" borderId="25" xfId="1" applyFont="1" applyFill="1" applyBorder="1" applyAlignment="1">
      <alignment vertical="top" wrapText="1"/>
    </xf>
    <xf numFmtId="0" fontId="0" fillId="26" borderId="26" xfId="1" applyFont="1" applyFill="1" applyBorder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5" fillId="6" borderId="0" xfId="1" applyFont="1" applyFill="1" applyAlignment="1">
      <alignment vertical="center" wrapText="1"/>
    </xf>
    <xf numFmtId="0" fontId="6" fillId="10" borderId="0" xfId="1" applyFont="1" applyFill="1" applyAlignment="1">
      <alignment horizontal="center"/>
    </xf>
    <xf numFmtId="0" fontId="1" fillId="11" borderId="0" xfId="1" applyFont="1" applyFill="1" applyAlignment="1">
      <alignment horizontal="center" vertical="center"/>
    </xf>
    <xf numFmtId="0" fontId="5" fillId="12" borderId="0" xfId="1" applyFont="1" applyFill="1" applyAlignment="1">
      <alignment vertical="center" wrapText="1"/>
    </xf>
    <xf numFmtId="0" fontId="1" fillId="20" borderId="0" xfId="1" applyFont="1" applyFill="1" applyAlignment="1">
      <alignment horizontal="center" vertical="center"/>
    </xf>
    <xf numFmtId="0" fontId="5" fillId="21" borderId="0" xfId="1" applyFont="1" applyFill="1" applyAlignment="1">
      <alignment vertical="center" wrapText="1"/>
    </xf>
    <xf numFmtId="0" fontId="6" fillId="17" borderId="0" xfId="1" applyFont="1" applyFill="1" applyAlignment="1">
      <alignment horizontal="center" vertical="center"/>
    </xf>
    <xf numFmtId="0" fontId="6" fillId="18" borderId="0" xfId="1" applyFont="1" applyFill="1" applyAlignment="1">
      <alignment horizontal="center" vertical="center"/>
    </xf>
    <xf numFmtId="0" fontId="6" fillId="19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8"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C6E0B4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C6E0B4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C6E0B4"/>
        </patternFill>
      </fill>
    </dxf>
    <dxf>
      <fill>
        <patternFill>
          <bgColor rgb="FFEAF4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opLeftCell="A3" workbookViewId="0">
      <selection activeCell="D5" sqref="D5"/>
    </sheetView>
  </sheetViews>
  <sheetFormatPr defaultRowHeight="13.8"/>
  <cols>
    <col min="1" max="1" width="6" customWidth="1"/>
    <col min="2" max="2" width="34" customWidth="1"/>
    <col min="3" max="3" width="24" customWidth="1"/>
    <col min="4" max="4" width="18" customWidth="1"/>
    <col min="5" max="5" width="3" customWidth="1"/>
    <col min="6" max="6" width="22" customWidth="1"/>
    <col min="7" max="7" width="18" customWidth="1"/>
    <col min="8" max="8" width="12" customWidth="1"/>
  </cols>
  <sheetData>
    <row r="1" spans="1:8" ht="24" customHeight="1">
      <c r="A1" s="58" t="s">
        <v>0</v>
      </c>
      <c r="B1" s="58"/>
      <c r="C1" s="58"/>
      <c r="D1" s="58"/>
      <c r="F1" s="60" t="s">
        <v>1</v>
      </c>
      <c r="G1" s="60"/>
      <c r="H1" s="60"/>
    </row>
    <row r="2" spans="1:8">
      <c r="A2" s="1" t="s">
        <v>2</v>
      </c>
      <c r="B2" s="2">
        <v>1</v>
      </c>
      <c r="C2" s="1" t="s">
        <v>3</v>
      </c>
      <c r="D2" s="3">
        <f>COUNTIF(B5:B20,"&lt;&gt;")</f>
        <v>0</v>
      </c>
    </row>
    <row r="3" spans="1:8" ht="28.8" customHeight="1">
      <c r="A3" s="59" t="s">
        <v>4</v>
      </c>
      <c r="B3" s="59"/>
      <c r="C3" s="59"/>
      <c r="D3" s="59"/>
    </row>
    <row r="4" spans="1:8">
      <c r="A4" s="4" t="s">
        <v>5</v>
      </c>
      <c r="B4" s="5" t="s">
        <v>6</v>
      </c>
      <c r="C4" s="6" t="s">
        <v>7</v>
      </c>
      <c r="F4" s="13" t="s">
        <v>7</v>
      </c>
      <c r="G4" s="14" t="s">
        <v>8</v>
      </c>
      <c r="H4" s="15" t="s">
        <v>9</v>
      </c>
    </row>
    <row r="5" spans="1:8" ht="17.55" customHeight="1">
      <c r="A5" s="7">
        <v>1</v>
      </c>
      <c r="B5" s="8"/>
      <c r="C5" s="9" t="str">
        <f>IF(B5="","",INDEX($F$5:$F$20,MATCH(COUNTIF($B$5:B5,"&lt;&gt;"),$H$5:$H$20,0)))</f>
        <v/>
      </c>
      <c r="F5" s="16" t="s">
        <v>10</v>
      </c>
      <c r="G5" s="17">
        <f t="shared" ref="G5:G20" si="0">MOD((ROW()-4)*(7919+MOD($B$2*104729,1000))+$B$2*1543,10007)</f>
        <v>184</v>
      </c>
      <c r="H5" s="18">
        <f>RANK(G5,$G$5:$G$20,1)</f>
        <v>1</v>
      </c>
    </row>
    <row r="6" spans="1:8" ht="17.55" customHeight="1">
      <c r="A6" s="7">
        <v>2</v>
      </c>
      <c r="B6" s="8"/>
      <c r="C6" s="9" t="str">
        <f>IF(B6="","",INDEX($F$5:$F$20,MATCH(COUNTIF($B$5:B6,"&lt;&gt;"),$H$5:$H$20,0)))</f>
        <v/>
      </c>
      <c r="F6" s="16" t="s">
        <v>11</v>
      </c>
      <c r="G6" s="17">
        <f t="shared" si="0"/>
        <v>8832</v>
      </c>
      <c r="H6" s="18">
        <f t="shared" ref="H6:H20" si="1">RANK(G6,$G$5:$G$20,1)</f>
        <v>14</v>
      </c>
    </row>
    <row r="7" spans="1:8" ht="17.55" customHeight="1">
      <c r="A7" s="7">
        <v>3</v>
      </c>
      <c r="B7" s="8"/>
      <c r="C7" s="9" t="str">
        <f>IF(B7="","",INDEX($F$5:$F$20,MATCH(COUNTIF($B$5:B7,"&lt;&gt;"),$H$5:$H$20,0)))</f>
        <v/>
      </c>
      <c r="F7" s="16" t="s">
        <v>12</v>
      </c>
      <c r="G7" s="17">
        <f t="shared" si="0"/>
        <v>7473</v>
      </c>
      <c r="H7" s="18">
        <f t="shared" si="1"/>
        <v>12</v>
      </c>
    </row>
    <row r="8" spans="1:8" ht="17.55" customHeight="1">
      <c r="A8" s="7">
        <v>4</v>
      </c>
      <c r="B8" s="8"/>
      <c r="C8" s="9" t="str">
        <f>IF(B8="","",INDEX($F$5:$F$20,MATCH(COUNTIF($B$5:B8,"&lt;&gt;"),$H$5:$H$20,0)))</f>
        <v/>
      </c>
      <c r="F8" s="16" t="s">
        <v>13</v>
      </c>
      <c r="G8" s="17">
        <f t="shared" si="0"/>
        <v>6114</v>
      </c>
      <c r="H8" s="18">
        <f t="shared" si="1"/>
        <v>10</v>
      </c>
    </row>
    <row r="9" spans="1:8" ht="17.55" customHeight="1">
      <c r="A9" s="7">
        <v>5</v>
      </c>
      <c r="B9" s="8"/>
      <c r="C9" s="9" t="str">
        <f>IF(B9="","",INDEX($F$5:$F$20,MATCH(COUNTIF($B$5:B9,"&lt;&gt;"),$H$5:$H$20,0)))</f>
        <v/>
      </c>
      <c r="F9" s="16" t="s">
        <v>14</v>
      </c>
      <c r="G9" s="17">
        <f t="shared" si="0"/>
        <v>4755</v>
      </c>
      <c r="H9" s="18">
        <f t="shared" si="1"/>
        <v>8</v>
      </c>
    </row>
    <row r="10" spans="1:8" ht="17.55" customHeight="1">
      <c r="A10" s="7">
        <v>6</v>
      </c>
      <c r="B10" s="8"/>
      <c r="C10" s="9" t="str">
        <f>IF(B10="","",INDEX($F$5:$F$20,MATCH(COUNTIF($B$5:B10,"&lt;&gt;"),$H$5:$H$20,0)))</f>
        <v/>
      </c>
      <c r="F10" s="16" t="s">
        <v>15</v>
      </c>
      <c r="G10" s="17">
        <f t="shared" si="0"/>
        <v>3396</v>
      </c>
      <c r="H10" s="18">
        <f t="shared" si="1"/>
        <v>6</v>
      </c>
    </row>
    <row r="11" spans="1:8" ht="17.55" customHeight="1">
      <c r="A11" s="7">
        <v>7</v>
      </c>
      <c r="B11" s="8"/>
      <c r="C11" s="9" t="str">
        <f>IF(B11="","",INDEX($F$5:$F$20,MATCH(COUNTIF($B$5:B11,"&lt;&gt;"),$H$5:$H$20,0)))</f>
        <v/>
      </c>
      <c r="F11" s="16" t="s">
        <v>16</v>
      </c>
      <c r="G11" s="17">
        <f t="shared" si="0"/>
        <v>2037</v>
      </c>
      <c r="H11" s="18">
        <f t="shared" si="1"/>
        <v>4</v>
      </c>
    </row>
    <row r="12" spans="1:8" ht="17.55" customHeight="1">
      <c r="A12" s="7">
        <v>8</v>
      </c>
      <c r="B12" s="8"/>
      <c r="C12" s="9" t="str">
        <f>IF(B12="","",INDEX($F$5:$F$20,MATCH(COUNTIF($B$5:B12,"&lt;&gt;"),$H$5:$H$20,0)))</f>
        <v/>
      </c>
      <c r="F12" s="16" t="s">
        <v>17</v>
      </c>
      <c r="G12" s="17">
        <f t="shared" si="0"/>
        <v>678</v>
      </c>
      <c r="H12" s="18">
        <f t="shared" si="1"/>
        <v>2</v>
      </c>
    </row>
    <row r="13" spans="1:8" ht="17.55" customHeight="1">
      <c r="A13" s="7">
        <v>9</v>
      </c>
      <c r="B13" s="8"/>
      <c r="C13" s="9" t="str">
        <f>IF(B13="","",INDEX($F$5:$F$20,MATCH(COUNTIF($B$5:B13,"&lt;&gt;"),$H$5:$H$20,0)))</f>
        <v/>
      </c>
      <c r="F13" s="16" t="s">
        <v>18</v>
      </c>
      <c r="G13" s="17">
        <f t="shared" si="0"/>
        <v>9326</v>
      </c>
      <c r="H13" s="18">
        <f t="shared" si="1"/>
        <v>15</v>
      </c>
    </row>
    <row r="14" spans="1:8" ht="17.55" customHeight="1">
      <c r="A14" s="7">
        <v>10</v>
      </c>
      <c r="B14" s="8"/>
      <c r="C14" s="9" t="str">
        <f>IF(B14="","",INDEX($F$5:$F$20,MATCH(COUNTIF($B$5:B14,"&lt;&gt;"),$H$5:$H$20,0)))</f>
        <v/>
      </c>
      <c r="F14" s="16" t="s">
        <v>19</v>
      </c>
      <c r="G14" s="17">
        <f t="shared" si="0"/>
        <v>7967</v>
      </c>
      <c r="H14" s="18">
        <f t="shared" si="1"/>
        <v>13</v>
      </c>
    </row>
    <row r="15" spans="1:8" ht="17.55" customHeight="1">
      <c r="A15" s="7">
        <v>11</v>
      </c>
      <c r="B15" s="8"/>
      <c r="C15" s="9" t="str">
        <f>IF(B15="","",INDEX($F$5:$F$20,MATCH(COUNTIF($B$5:B15,"&lt;&gt;"),$H$5:$H$20,0)))</f>
        <v/>
      </c>
      <c r="F15" s="16" t="s">
        <v>20</v>
      </c>
      <c r="G15" s="17">
        <f t="shared" si="0"/>
        <v>6608</v>
      </c>
      <c r="H15" s="18">
        <f t="shared" si="1"/>
        <v>11</v>
      </c>
    </row>
    <row r="16" spans="1:8" ht="17.55" customHeight="1">
      <c r="A16" s="7">
        <v>12</v>
      </c>
      <c r="B16" s="8"/>
      <c r="C16" s="9" t="str">
        <f>IF(B16="","",INDEX($F$5:$F$20,MATCH(COUNTIF($B$5:B16,"&lt;&gt;"),$H$5:$H$20,0)))</f>
        <v/>
      </c>
      <c r="F16" s="16" t="s">
        <v>21</v>
      </c>
      <c r="G16" s="17">
        <f t="shared" si="0"/>
        <v>5249</v>
      </c>
      <c r="H16" s="18">
        <f t="shared" si="1"/>
        <v>9</v>
      </c>
    </row>
    <row r="17" spans="1:8" ht="17.55" customHeight="1">
      <c r="A17" s="7">
        <v>13</v>
      </c>
      <c r="B17" s="8"/>
      <c r="C17" s="9" t="str">
        <f>IF(B17="","",INDEX($F$5:$F$20,MATCH(COUNTIF($B$5:B17,"&lt;&gt;"),$H$5:$H$20,0)))</f>
        <v/>
      </c>
      <c r="F17" s="16" t="s">
        <v>22</v>
      </c>
      <c r="G17" s="17">
        <f t="shared" si="0"/>
        <v>3890</v>
      </c>
      <c r="H17" s="18">
        <f t="shared" si="1"/>
        <v>7</v>
      </c>
    </row>
    <row r="18" spans="1:8" ht="17.55" customHeight="1">
      <c r="A18" s="7">
        <v>14</v>
      </c>
      <c r="B18" s="8"/>
      <c r="C18" s="9" t="str">
        <f>IF(B18="","",INDEX($F$5:$F$20,MATCH(COUNTIF($B$5:B18,"&lt;&gt;"),$H$5:$H$20,0)))</f>
        <v/>
      </c>
      <c r="F18" s="16" t="s">
        <v>23</v>
      </c>
      <c r="G18" s="17">
        <f t="shared" si="0"/>
        <v>2531</v>
      </c>
      <c r="H18" s="18">
        <f t="shared" si="1"/>
        <v>5</v>
      </c>
    </row>
    <row r="19" spans="1:8" ht="17.55" customHeight="1">
      <c r="A19" s="7">
        <v>15</v>
      </c>
      <c r="B19" s="8"/>
      <c r="C19" s="9" t="str">
        <f>IF(B19="","",INDEX($F$5:$F$20,MATCH(COUNTIF($B$5:B19,"&lt;&gt;"),$H$5:$H$20,0)))</f>
        <v/>
      </c>
      <c r="F19" s="16" t="s">
        <v>24</v>
      </c>
      <c r="G19" s="17">
        <f t="shared" si="0"/>
        <v>1172</v>
      </c>
      <c r="H19" s="18">
        <f t="shared" si="1"/>
        <v>3</v>
      </c>
    </row>
    <row r="20" spans="1:8" ht="17.55" customHeight="1">
      <c r="A20" s="10">
        <v>16</v>
      </c>
      <c r="B20" s="11"/>
      <c r="C20" s="12" t="str">
        <f>IF(B20="","",INDEX($F$5:$F$20,MATCH(COUNTIF($B$5:B20,"&lt;&gt;"),$H$5:$H$20,0)))</f>
        <v/>
      </c>
      <c r="F20" s="19" t="s">
        <v>25</v>
      </c>
      <c r="G20" s="20">
        <f t="shared" si="0"/>
        <v>9820</v>
      </c>
      <c r="H20" s="18">
        <f t="shared" si="1"/>
        <v>16</v>
      </c>
    </row>
  </sheetData>
  <mergeCells count="3">
    <mergeCell ref="A1:D1"/>
    <mergeCell ref="A3:D3"/>
    <mergeCell ref="F1:H1"/>
  </mergeCells>
  <conditionalFormatting sqref="A5:C20">
    <cfRule type="expression" dxfId="7" priority="1">
      <formula>AND($B5&lt;&gt;"",$C5&lt;&gt;"")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4"/>
  <sheetViews>
    <sheetView topLeftCell="D1" workbookViewId="0">
      <selection activeCell="H5" sqref="H5"/>
    </sheetView>
  </sheetViews>
  <sheetFormatPr defaultRowHeight="13.8"/>
  <cols>
    <col min="1" max="1" width="8" customWidth="1"/>
    <col min="2" max="2" width="22" customWidth="1"/>
    <col min="3" max="3" width="28" customWidth="1"/>
    <col min="4" max="4" width="8" customWidth="1"/>
    <col min="5" max="5" width="24" customWidth="1"/>
    <col min="6" max="6" width="8" customWidth="1"/>
    <col min="7" max="7" width="75" customWidth="1"/>
    <col min="8" max="8" width="28" customWidth="1"/>
    <col min="27" max="34" width="0.19921875" customWidth="1"/>
  </cols>
  <sheetData>
    <row r="1" spans="1:34" ht="24" customHeight="1">
      <c r="A1" s="61" t="s">
        <v>26</v>
      </c>
      <c r="B1" s="61"/>
      <c r="C1" s="61"/>
      <c r="D1" s="61"/>
      <c r="E1" s="61"/>
      <c r="F1" s="61"/>
      <c r="G1" s="61"/>
      <c r="H1" s="61"/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</row>
    <row r="2" spans="1:34" ht="33.6" customHeight="1">
      <c r="A2" s="62" t="s">
        <v>35</v>
      </c>
      <c r="B2" s="62"/>
      <c r="C2" s="62"/>
      <c r="D2" s="62"/>
      <c r="E2" s="62"/>
      <c r="F2" s="62"/>
      <c r="G2" s="62"/>
      <c r="H2" s="62"/>
      <c r="AA2">
        <v>1</v>
      </c>
      <c r="AB2" t="s">
        <v>36</v>
      </c>
      <c r="AC2" t="s">
        <v>37</v>
      </c>
      <c r="AD2" t="s">
        <v>38</v>
      </c>
      <c r="AE2" t="s">
        <v>39</v>
      </c>
      <c r="AF2" t="s">
        <v>40</v>
      </c>
      <c r="AG2" t="s">
        <v>10</v>
      </c>
    </row>
    <row r="3" spans="1:34">
      <c r="AA3">
        <v>2</v>
      </c>
      <c r="AB3" t="s">
        <v>36</v>
      </c>
      <c r="AC3" t="s">
        <v>37</v>
      </c>
      <c r="AD3" t="s">
        <v>41</v>
      </c>
      <c r="AE3" t="s">
        <v>42</v>
      </c>
      <c r="AF3" t="s">
        <v>43</v>
      </c>
      <c r="AG3" t="s">
        <v>11</v>
      </c>
    </row>
    <row r="4" spans="1:34" ht="24" customHeight="1">
      <c r="A4" s="21" t="s">
        <v>44</v>
      </c>
      <c r="B4" s="21" t="s">
        <v>7</v>
      </c>
      <c r="C4" s="21" t="s">
        <v>45</v>
      </c>
      <c r="D4" s="21" t="s">
        <v>27</v>
      </c>
      <c r="E4" s="21" t="s">
        <v>46</v>
      </c>
      <c r="F4" s="21" t="s">
        <v>29</v>
      </c>
      <c r="G4" s="21" t="s">
        <v>47</v>
      </c>
      <c r="H4" s="21" t="s">
        <v>48</v>
      </c>
      <c r="AA4">
        <v>3</v>
      </c>
      <c r="AB4" t="s">
        <v>36</v>
      </c>
      <c r="AC4" t="s">
        <v>37</v>
      </c>
      <c r="AD4" t="s">
        <v>49</v>
      </c>
      <c r="AE4" t="s">
        <v>50</v>
      </c>
      <c r="AF4" t="s">
        <v>51</v>
      </c>
      <c r="AG4" t="s">
        <v>12</v>
      </c>
    </row>
    <row r="5" spans="1:34" ht="31.95" customHeight="1">
      <c r="A5" s="22"/>
      <c r="B5" s="23"/>
      <c r="C5" s="23"/>
      <c r="D5" s="24"/>
      <c r="E5" s="24" t="str">
        <f t="shared" ref="E5:E36" si="0">IF(D5="","",INDEX($AB$2:$AB$61,MATCH(D5,$AA$2:$AA$61,0)))</f>
        <v/>
      </c>
      <c r="F5" s="24" t="str">
        <f t="shared" ref="F5:F36" si="1">IF(D5="","",INDEX($AC$2:$AC$61,MATCH(D5,$AA$2:$AA$61,0)))</f>
        <v/>
      </c>
      <c r="G5" s="25" t="str">
        <f t="shared" ref="G5:G36" si="2">IF(D5="","",INDEX($AF$2:$AF$61,MATCH(D5,$AA$2:$AA$61,0)))</f>
        <v/>
      </c>
      <c r="H5" s="26" t="str">
        <f t="shared" ref="H5:H36" si="3">IF(D5="","",IF(D5&lt;=6,"Все играющие страны",IF(D5&lt;=42,B5,B5&amp;" + реальные союзники")))</f>
        <v/>
      </c>
      <c r="AA5">
        <v>4</v>
      </c>
      <c r="AB5" t="s">
        <v>36</v>
      </c>
      <c r="AC5" t="s">
        <v>52</v>
      </c>
      <c r="AD5" t="s">
        <v>53</v>
      </c>
      <c r="AE5" t="s">
        <v>54</v>
      </c>
      <c r="AF5" t="s">
        <v>55</v>
      </c>
      <c r="AG5" t="s">
        <v>13</v>
      </c>
      <c r="AH5">
        <v>532864880</v>
      </c>
    </row>
    <row r="6" spans="1:34" ht="31.95" customHeight="1">
      <c r="A6" s="27"/>
      <c r="B6" s="28"/>
      <c r="C6" s="28"/>
      <c r="D6" s="29" t="str">
        <f t="shared" ref="D6:D36" si="4">IF(OR(A6="",B6="",C6=""),"",1+MOD($AH6,60))</f>
        <v/>
      </c>
      <c r="E6" s="29" t="str">
        <f t="shared" si="0"/>
        <v/>
      </c>
      <c r="F6" s="29" t="str">
        <f t="shared" si="1"/>
        <v/>
      </c>
      <c r="G6" s="30" t="str">
        <f t="shared" si="2"/>
        <v/>
      </c>
      <c r="H6" s="31" t="str">
        <f t="shared" si="3"/>
        <v/>
      </c>
      <c r="AA6">
        <v>5</v>
      </c>
      <c r="AB6" t="s">
        <v>36</v>
      </c>
      <c r="AC6" t="s">
        <v>52</v>
      </c>
      <c r="AD6" t="s">
        <v>56</v>
      </c>
      <c r="AE6" t="s">
        <v>57</v>
      </c>
      <c r="AF6" t="s">
        <v>58</v>
      </c>
      <c r="AG6" t="s">
        <v>14</v>
      </c>
      <c r="AH6">
        <v>738072406</v>
      </c>
    </row>
    <row r="7" spans="1:34" ht="31.95" customHeight="1">
      <c r="A7" s="27"/>
      <c r="B7" s="28"/>
      <c r="C7" s="28"/>
      <c r="D7" s="29" t="str">
        <f t="shared" si="4"/>
        <v/>
      </c>
      <c r="E7" s="29" t="str">
        <f t="shared" si="0"/>
        <v/>
      </c>
      <c r="F7" s="29" t="str">
        <f t="shared" si="1"/>
        <v/>
      </c>
      <c r="G7" s="30" t="str">
        <f t="shared" si="2"/>
        <v/>
      </c>
      <c r="H7" s="31" t="str">
        <f t="shared" si="3"/>
        <v/>
      </c>
      <c r="AA7">
        <v>6</v>
      </c>
      <c r="AB7" t="s">
        <v>36</v>
      </c>
      <c r="AC7" t="s">
        <v>52</v>
      </c>
      <c r="AD7" t="s">
        <v>59</v>
      </c>
      <c r="AE7" t="s">
        <v>60</v>
      </c>
      <c r="AF7" t="s">
        <v>61</v>
      </c>
      <c r="AG7" t="s">
        <v>15</v>
      </c>
      <c r="AH7">
        <v>146028049</v>
      </c>
    </row>
    <row r="8" spans="1:34" ht="31.95" customHeight="1">
      <c r="A8" s="27"/>
      <c r="B8" s="28"/>
      <c r="C8" s="28"/>
      <c r="D8" s="29" t="str">
        <f t="shared" si="4"/>
        <v/>
      </c>
      <c r="E8" s="29" t="str">
        <f t="shared" si="0"/>
        <v/>
      </c>
      <c r="F8" s="29" t="str">
        <f t="shared" si="1"/>
        <v/>
      </c>
      <c r="G8" s="30" t="str">
        <f t="shared" si="2"/>
        <v/>
      </c>
      <c r="H8" s="31" t="str">
        <f t="shared" si="3"/>
        <v/>
      </c>
      <c r="AA8">
        <v>7</v>
      </c>
      <c r="AB8" t="s">
        <v>62</v>
      </c>
      <c r="AC8" t="s">
        <v>37</v>
      </c>
      <c r="AD8" t="s">
        <v>63</v>
      </c>
      <c r="AE8" t="s">
        <v>64</v>
      </c>
      <c r="AF8" t="s">
        <v>65</v>
      </c>
      <c r="AG8" t="s">
        <v>16</v>
      </c>
      <c r="AH8">
        <v>223180726</v>
      </c>
    </row>
    <row r="9" spans="1:34" ht="31.95" customHeight="1">
      <c r="A9" s="27"/>
      <c r="B9" s="28"/>
      <c r="C9" s="28"/>
      <c r="D9" s="29" t="str">
        <f t="shared" si="4"/>
        <v/>
      </c>
      <c r="E9" s="29" t="str">
        <f t="shared" si="0"/>
        <v/>
      </c>
      <c r="F9" s="29" t="str">
        <f t="shared" si="1"/>
        <v/>
      </c>
      <c r="G9" s="30" t="str">
        <f t="shared" si="2"/>
        <v/>
      </c>
      <c r="H9" s="31" t="str">
        <f t="shared" si="3"/>
        <v/>
      </c>
      <c r="AA9">
        <v>8</v>
      </c>
      <c r="AB9" t="s">
        <v>62</v>
      </c>
      <c r="AC9" t="s">
        <v>37</v>
      </c>
      <c r="AD9" t="s">
        <v>66</v>
      </c>
      <c r="AE9" t="s">
        <v>67</v>
      </c>
      <c r="AF9" t="s">
        <v>68</v>
      </c>
      <c r="AG9" t="s">
        <v>17</v>
      </c>
      <c r="AH9">
        <v>371308414</v>
      </c>
    </row>
    <row r="10" spans="1:34" ht="31.95" customHeight="1">
      <c r="A10" s="27"/>
      <c r="B10" s="28"/>
      <c r="C10" s="28"/>
      <c r="D10" s="29" t="str">
        <f t="shared" si="4"/>
        <v/>
      </c>
      <c r="E10" s="29" t="str">
        <f t="shared" si="0"/>
        <v/>
      </c>
      <c r="F10" s="29" t="str">
        <f t="shared" si="1"/>
        <v/>
      </c>
      <c r="G10" s="30" t="str">
        <f t="shared" si="2"/>
        <v/>
      </c>
      <c r="H10" s="31" t="str">
        <f t="shared" si="3"/>
        <v/>
      </c>
      <c r="AA10">
        <v>9</v>
      </c>
      <c r="AB10" t="s">
        <v>62</v>
      </c>
      <c r="AC10" t="s">
        <v>37</v>
      </c>
      <c r="AD10" t="s">
        <v>69</v>
      </c>
      <c r="AE10" t="s">
        <v>70</v>
      </c>
      <c r="AF10" t="s">
        <v>71</v>
      </c>
      <c r="AG10" t="s">
        <v>18</v>
      </c>
      <c r="AH10">
        <v>680805893</v>
      </c>
    </row>
    <row r="11" spans="1:34" ht="31.95" customHeight="1">
      <c r="A11" s="27"/>
      <c r="B11" s="28"/>
      <c r="C11" s="28"/>
      <c r="D11" s="29" t="str">
        <f t="shared" si="4"/>
        <v/>
      </c>
      <c r="E11" s="29" t="str">
        <f t="shared" si="0"/>
        <v/>
      </c>
      <c r="F11" s="29" t="str">
        <f t="shared" si="1"/>
        <v/>
      </c>
      <c r="G11" s="30" t="str">
        <f t="shared" si="2"/>
        <v/>
      </c>
      <c r="H11" s="31" t="str">
        <f t="shared" si="3"/>
        <v/>
      </c>
      <c r="AA11">
        <v>10</v>
      </c>
      <c r="AB11" t="s">
        <v>62</v>
      </c>
      <c r="AC11" t="s">
        <v>37</v>
      </c>
      <c r="AD11" t="s">
        <v>72</v>
      </c>
      <c r="AE11" t="s">
        <v>73</v>
      </c>
      <c r="AF11" t="s">
        <v>74</v>
      </c>
      <c r="AG11" t="s">
        <v>19</v>
      </c>
      <c r="AH11">
        <v>329834871</v>
      </c>
    </row>
    <row r="12" spans="1:34" ht="31.95" customHeight="1">
      <c r="A12" s="27"/>
      <c r="B12" s="28"/>
      <c r="C12" s="28"/>
      <c r="D12" s="29" t="str">
        <f t="shared" si="4"/>
        <v/>
      </c>
      <c r="E12" s="29" t="str">
        <f t="shared" si="0"/>
        <v/>
      </c>
      <c r="F12" s="29" t="str">
        <f t="shared" si="1"/>
        <v/>
      </c>
      <c r="G12" s="30" t="str">
        <f t="shared" si="2"/>
        <v/>
      </c>
      <c r="H12" s="31" t="str">
        <f t="shared" si="3"/>
        <v/>
      </c>
      <c r="AA12">
        <v>11</v>
      </c>
      <c r="AB12" t="s">
        <v>62</v>
      </c>
      <c r="AC12" t="s">
        <v>37</v>
      </c>
      <c r="AD12" t="s">
        <v>75</v>
      </c>
      <c r="AE12" t="s">
        <v>76</v>
      </c>
      <c r="AF12" t="s">
        <v>77</v>
      </c>
      <c r="AG12" t="s">
        <v>20</v>
      </c>
      <c r="AH12">
        <v>528378035</v>
      </c>
    </row>
    <row r="13" spans="1:34" ht="31.95" customHeight="1">
      <c r="A13" s="27"/>
      <c r="B13" s="28"/>
      <c r="C13" s="28"/>
      <c r="D13" s="29" t="str">
        <f t="shared" si="4"/>
        <v/>
      </c>
      <c r="E13" s="29" t="str">
        <f t="shared" si="0"/>
        <v/>
      </c>
      <c r="F13" s="29" t="str">
        <f t="shared" si="1"/>
        <v/>
      </c>
      <c r="G13" s="30" t="str">
        <f t="shared" si="2"/>
        <v/>
      </c>
      <c r="H13" s="31" t="str">
        <f t="shared" si="3"/>
        <v/>
      </c>
      <c r="AA13">
        <v>12</v>
      </c>
      <c r="AB13" t="s">
        <v>62</v>
      </c>
      <c r="AC13" t="s">
        <v>37</v>
      </c>
      <c r="AD13" t="s">
        <v>78</v>
      </c>
      <c r="AE13" t="s">
        <v>79</v>
      </c>
      <c r="AF13" t="s">
        <v>80</v>
      </c>
      <c r="AG13" t="s">
        <v>21</v>
      </c>
      <c r="AH13">
        <v>264009268</v>
      </c>
    </row>
    <row r="14" spans="1:34" ht="31.95" customHeight="1">
      <c r="A14" s="27"/>
      <c r="B14" s="28"/>
      <c r="C14" s="28"/>
      <c r="D14" s="29" t="str">
        <f t="shared" si="4"/>
        <v/>
      </c>
      <c r="E14" s="29" t="str">
        <f t="shared" si="0"/>
        <v/>
      </c>
      <c r="F14" s="29" t="str">
        <f t="shared" si="1"/>
        <v/>
      </c>
      <c r="G14" s="30" t="str">
        <f t="shared" si="2"/>
        <v/>
      </c>
      <c r="H14" s="31" t="str">
        <f t="shared" si="3"/>
        <v/>
      </c>
      <c r="AA14">
        <v>13</v>
      </c>
      <c r="AB14" t="s">
        <v>62</v>
      </c>
      <c r="AC14" t="s">
        <v>37</v>
      </c>
      <c r="AD14" t="s">
        <v>81</v>
      </c>
      <c r="AE14" t="s">
        <v>82</v>
      </c>
      <c r="AF14" t="s">
        <v>83</v>
      </c>
      <c r="AG14" t="s">
        <v>22</v>
      </c>
      <c r="AH14">
        <v>82397140</v>
      </c>
    </row>
    <row r="15" spans="1:34" ht="31.95" customHeight="1">
      <c r="A15" s="27"/>
      <c r="B15" s="28"/>
      <c r="C15" s="28"/>
      <c r="D15" s="29" t="str">
        <f t="shared" si="4"/>
        <v/>
      </c>
      <c r="E15" s="29" t="str">
        <f t="shared" si="0"/>
        <v/>
      </c>
      <c r="F15" s="29" t="str">
        <f t="shared" si="1"/>
        <v/>
      </c>
      <c r="G15" s="30" t="str">
        <f t="shared" si="2"/>
        <v/>
      </c>
      <c r="H15" s="31" t="str">
        <f t="shared" si="3"/>
        <v/>
      </c>
      <c r="AA15">
        <v>14</v>
      </c>
      <c r="AB15" t="s">
        <v>62</v>
      </c>
      <c r="AC15" t="s">
        <v>37</v>
      </c>
      <c r="AD15" t="s">
        <v>84</v>
      </c>
      <c r="AE15" t="s">
        <v>85</v>
      </c>
      <c r="AF15" t="s">
        <v>86</v>
      </c>
      <c r="AG15" t="s">
        <v>23</v>
      </c>
      <c r="AH15">
        <v>380387154</v>
      </c>
    </row>
    <row r="16" spans="1:34" ht="31.95" customHeight="1">
      <c r="A16" s="27"/>
      <c r="B16" s="28"/>
      <c r="C16" s="28"/>
      <c r="D16" s="29" t="str">
        <f t="shared" si="4"/>
        <v/>
      </c>
      <c r="E16" s="29" t="str">
        <f t="shared" si="0"/>
        <v/>
      </c>
      <c r="F16" s="29" t="str">
        <f t="shared" si="1"/>
        <v/>
      </c>
      <c r="G16" s="30" t="str">
        <f t="shared" si="2"/>
        <v/>
      </c>
      <c r="H16" s="31" t="str">
        <f t="shared" si="3"/>
        <v/>
      </c>
      <c r="AA16">
        <v>15</v>
      </c>
      <c r="AB16" t="s">
        <v>62</v>
      </c>
      <c r="AC16" t="s">
        <v>37</v>
      </c>
      <c r="AD16" t="s">
        <v>87</v>
      </c>
      <c r="AE16" t="s">
        <v>88</v>
      </c>
      <c r="AF16" t="s">
        <v>89</v>
      </c>
      <c r="AG16" t="s">
        <v>24</v>
      </c>
      <c r="AH16">
        <v>821786934</v>
      </c>
    </row>
    <row r="17" spans="1:34" ht="31.95" customHeight="1">
      <c r="A17" s="27"/>
      <c r="B17" s="28"/>
      <c r="C17" s="28"/>
      <c r="D17" s="29" t="str">
        <f t="shared" si="4"/>
        <v/>
      </c>
      <c r="E17" s="29" t="str">
        <f t="shared" si="0"/>
        <v/>
      </c>
      <c r="F17" s="29" t="str">
        <f t="shared" si="1"/>
        <v/>
      </c>
      <c r="G17" s="30" t="str">
        <f t="shared" si="2"/>
        <v/>
      </c>
      <c r="H17" s="31" t="str">
        <f t="shared" si="3"/>
        <v/>
      </c>
      <c r="AA17">
        <v>16</v>
      </c>
      <c r="AB17" t="s">
        <v>62</v>
      </c>
      <c r="AC17" t="s">
        <v>37</v>
      </c>
      <c r="AD17" t="s">
        <v>90</v>
      </c>
      <c r="AE17" t="s">
        <v>91</v>
      </c>
      <c r="AF17" t="s">
        <v>92</v>
      </c>
      <c r="AG17" t="s">
        <v>25</v>
      </c>
      <c r="AH17">
        <v>807402143</v>
      </c>
    </row>
    <row r="18" spans="1:34" ht="31.95" customHeight="1">
      <c r="A18" s="27"/>
      <c r="B18" s="28"/>
      <c r="C18" s="28"/>
      <c r="D18" s="29" t="str">
        <f t="shared" si="4"/>
        <v/>
      </c>
      <c r="E18" s="29" t="str">
        <f t="shared" si="0"/>
        <v/>
      </c>
      <c r="F18" s="29" t="str">
        <f t="shared" si="1"/>
        <v/>
      </c>
      <c r="G18" s="30" t="str">
        <f t="shared" si="2"/>
        <v/>
      </c>
      <c r="H18" s="31" t="str">
        <f t="shared" si="3"/>
        <v/>
      </c>
      <c r="AA18">
        <v>17</v>
      </c>
      <c r="AB18" t="s">
        <v>62</v>
      </c>
      <c r="AC18" t="s">
        <v>37</v>
      </c>
      <c r="AD18" t="s">
        <v>93</v>
      </c>
      <c r="AE18" t="s">
        <v>94</v>
      </c>
      <c r="AF18" t="s">
        <v>95</v>
      </c>
      <c r="AH18">
        <v>392161551</v>
      </c>
    </row>
    <row r="19" spans="1:34" ht="31.95" customHeight="1">
      <c r="A19" s="27"/>
      <c r="B19" s="28"/>
      <c r="C19" s="28"/>
      <c r="D19" s="29" t="str">
        <f t="shared" si="4"/>
        <v/>
      </c>
      <c r="E19" s="29" t="str">
        <f t="shared" si="0"/>
        <v/>
      </c>
      <c r="F19" s="29" t="str">
        <f t="shared" si="1"/>
        <v/>
      </c>
      <c r="G19" s="30" t="str">
        <f t="shared" si="2"/>
        <v/>
      </c>
      <c r="H19" s="31" t="str">
        <f t="shared" si="3"/>
        <v/>
      </c>
      <c r="AA19">
        <v>18</v>
      </c>
      <c r="AB19" t="s">
        <v>62</v>
      </c>
      <c r="AC19" t="s">
        <v>37</v>
      </c>
      <c r="AD19" t="s">
        <v>96</v>
      </c>
      <c r="AE19" t="s">
        <v>97</v>
      </c>
      <c r="AF19" t="s">
        <v>98</v>
      </c>
      <c r="AH19">
        <v>504456211</v>
      </c>
    </row>
    <row r="20" spans="1:34" ht="31.95" customHeight="1">
      <c r="A20" s="27"/>
      <c r="B20" s="28"/>
      <c r="C20" s="28"/>
      <c r="D20" s="29" t="str">
        <f t="shared" si="4"/>
        <v/>
      </c>
      <c r="E20" s="29" t="str">
        <f t="shared" si="0"/>
        <v/>
      </c>
      <c r="F20" s="29" t="str">
        <f t="shared" si="1"/>
        <v/>
      </c>
      <c r="G20" s="30" t="str">
        <f t="shared" si="2"/>
        <v/>
      </c>
      <c r="H20" s="31" t="str">
        <f t="shared" si="3"/>
        <v/>
      </c>
      <c r="AA20">
        <v>19</v>
      </c>
      <c r="AB20" t="s">
        <v>62</v>
      </c>
      <c r="AC20" t="s">
        <v>37</v>
      </c>
      <c r="AD20" t="s">
        <v>99</v>
      </c>
      <c r="AE20" t="s">
        <v>100</v>
      </c>
      <c r="AF20" t="s">
        <v>101</v>
      </c>
      <c r="AH20">
        <v>307204779</v>
      </c>
    </row>
    <row r="21" spans="1:34" ht="31.95" customHeight="1">
      <c r="A21" s="27"/>
      <c r="B21" s="28"/>
      <c r="C21" s="28"/>
      <c r="D21" s="29" t="str">
        <f t="shared" si="4"/>
        <v/>
      </c>
      <c r="E21" s="29" t="str">
        <f t="shared" si="0"/>
        <v/>
      </c>
      <c r="F21" s="29" t="str">
        <f t="shared" si="1"/>
        <v/>
      </c>
      <c r="G21" s="30" t="str">
        <f t="shared" si="2"/>
        <v/>
      </c>
      <c r="H21" s="31" t="str">
        <f t="shared" si="3"/>
        <v/>
      </c>
      <c r="AA21">
        <v>20</v>
      </c>
      <c r="AB21" t="s">
        <v>62</v>
      </c>
      <c r="AC21" t="s">
        <v>37</v>
      </c>
      <c r="AD21" t="s">
        <v>102</v>
      </c>
      <c r="AE21" t="s">
        <v>103</v>
      </c>
      <c r="AF21" t="s">
        <v>104</v>
      </c>
      <c r="AH21">
        <v>816435575</v>
      </c>
    </row>
    <row r="22" spans="1:34" ht="31.95" customHeight="1">
      <c r="A22" s="27"/>
      <c r="B22" s="28"/>
      <c r="C22" s="28"/>
      <c r="D22" s="29" t="str">
        <f t="shared" si="4"/>
        <v/>
      </c>
      <c r="E22" s="29" t="str">
        <f t="shared" si="0"/>
        <v/>
      </c>
      <c r="F22" s="29" t="str">
        <f t="shared" si="1"/>
        <v/>
      </c>
      <c r="G22" s="30" t="str">
        <f t="shared" si="2"/>
        <v/>
      </c>
      <c r="H22" s="31" t="str">
        <f t="shared" si="3"/>
        <v/>
      </c>
      <c r="AA22">
        <v>21</v>
      </c>
      <c r="AB22" t="s">
        <v>62</v>
      </c>
      <c r="AC22" t="s">
        <v>37</v>
      </c>
      <c r="AD22" t="s">
        <v>105</v>
      </c>
      <c r="AE22" t="s">
        <v>106</v>
      </c>
      <c r="AF22" t="s">
        <v>107</v>
      </c>
      <c r="AH22">
        <v>884001445</v>
      </c>
    </row>
    <row r="23" spans="1:34" ht="31.95" customHeight="1">
      <c r="A23" s="27"/>
      <c r="B23" s="28"/>
      <c r="C23" s="28"/>
      <c r="D23" s="29" t="str">
        <f t="shared" si="4"/>
        <v/>
      </c>
      <c r="E23" s="29" t="str">
        <f t="shared" si="0"/>
        <v/>
      </c>
      <c r="F23" s="29" t="str">
        <f t="shared" si="1"/>
        <v/>
      </c>
      <c r="G23" s="30" t="str">
        <f t="shared" si="2"/>
        <v/>
      </c>
      <c r="H23" s="31" t="str">
        <f t="shared" si="3"/>
        <v/>
      </c>
      <c r="AA23">
        <v>22</v>
      </c>
      <c r="AB23" t="s">
        <v>62</v>
      </c>
      <c r="AC23" t="s">
        <v>37</v>
      </c>
      <c r="AD23" t="s">
        <v>108</v>
      </c>
      <c r="AE23" t="s">
        <v>109</v>
      </c>
      <c r="AF23" t="s">
        <v>110</v>
      </c>
      <c r="AH23">
        <v>982991434</v>
      </c>
    </row>
    <row r="24" spans="1:34" ht="31.95" customHeight="1">
      <c r="A24" s="27"/>
      <c r="B24" s="28"/>
      <c r="C24" s="28"/>
      <c r="D24" s="29" t="str">
        <f t="shared" si="4"/>
        <v/>
      </c>
      <c r="E24" s="29" t="str">
        <f t="shared" si="0"/>
        <v/>
      </c>
      <c r="F24" s="29" t="str">
        <f t="shared" si="1"/>
        <v/>
      </c>
      <c r="G24" s="30" t="str">
        <f t="shared" si="2"/>
        <v/>
      </c>
      <c r="H24" s="31" t="str">
        <f t="shared" si="3"/>
        <v/>
      </c>
      <c r="AA24">
        <v>23</v>
      </c>
      <c r="AB24" t="s">
        <v>62</v>
      </c>
      <c r="AC24" t="s">
        <v>37</v>
      </c>
      <c r="AD24" t="s">
        <v>111</v>
      </c>
      <c r="AE24" t="s">
        <v>112</v>
      </c>
      <c r="AF24" t="s">
        <v>113</v>
      </c>
      <c r="AH24">
        <v>874741985</v>
      </c>
    </row>
    <row r="25" spans="1:34" ht="31.95" customHeight="1">
      <c r="A25" s="27"/>
      <c r="B25" s="28"/>
      <c r="C25" s="28"/>
      <c r="D25" s="29" t="str">
        <f t="shared" si="4"/>
        <v/>
      </c>
      <c r="E25" s="29" t="str">
        <f t="shared" si="0"/>
        <v/>
      </c>
      <c r="F25" s="29" t="str">
        <f t="shared" si="1"/>
        <v/>
      </c>
      <c r="G25" s="30" t="str">
        <f t="shared" si="2"/>
        <v/>
      </c>
      <c r="H25" s="31" t="str">
        <f t="shared" si="3"/>
        <v/>
      </c>
      <c r="AA25">
        <v>24</v>
      </c>
      <c r="AB25" t="s">
        <v>62</v>
      </c>
      <c r="AC25" t="s">
        <v>37</v>
      </c>
      <c r="AD25" t="s">
        <v>114</v>
      </c>
      <c r="AE25" t="s">
        <v>115</v>
      </c>
      <c r="AF25" t="s">
        <v>116</v>
      </c>
      <c r="AH25">
        <v>349623356</v>
      </c>
    </row>
    <row r="26" spans="1:34" ht="31.95" customHeight="1">
      <c r="A26" s="27"/>
      <c r="B26" s="28"/>
      <c r="C26" s="28"/>
      <c r="D26" s="29" t="str">
        <f t="shared" si="4"/>
        <v/>
      </c>
      <c r="E26" s="29" t="str">
        <f t="shared" si="0"/>
        <v/>
      </c>
      <c r="F26" s="29" t="str">
        <f t="shared" si="1"/>
        <v/>
      </c>
      <c r="G26" s="30" t="str">
        <f t="shared" si="2"/>
        <v/>
      </c>
      <c r="H26" s="31" t="str">
        <f t="shared" si="3"/>
        <v/>
      </c>
      <c r="AA26">
        <v>25</v>
      </c>
      <c r="AB26" t="s">
        <v>62</v>
      </c>
      <c r="AC26" t="s">
        <v>52</v>
      </c>
      <c r="AD26" t="s">
        <v>117</v>
      </c>
      <c r="AE26" t="s">
        <v>118</v>
      </c>
      <c r="AF26" t="s">
        <v>119</v>
      </c>
      <c r="AH26">
        <v>199338029</v>
      </c>
    </row>
    <row r="27" spans="1:34" ht="31.95" customHeight="1">
      <c r="A27" s="27"/>
      <c r="B27" s="28"/>
      <c r="C27" s="28"/>
      <c r="D27" s="29" t="str">
        <f t="shared" si="4"/>
        <v/>
      </c>
      <c r="E27" s="29" t="str">
        <f t="shared" si="0"/>
        <v/>
      </c>
      <c r="F27" s="29" t="str">
        <f t="shared" si="1"/>
        <v/>
      </c>
      <c r="G27" s="30" t="str">
        <f t="shared" si="2"/>
        <v/>
      </c>
      <c r="H27" s="31" t="str">
        <f t="shared" si="3"/>
        <v/>
      </c>
      <c r="AA27">
        <v>26</v>
      </c>
      <c r="AB27" t="s">
        <v>62</v>
      </c>
      <c r="AC27" t="s">
        <v>52</v>
      </c>
      <c r="AD27" t="s">
        <v>120</v>
      </c>
      <c r="AE27" t="s">
        <v>121</v>
      </c>
      <c r="AF27" t="s">
        <v>122</v>
      </c>
      <c r="AH27">
        <v>238964164</v>
      </c>
    </row>
    <row r="28" spans="1:34" ht="31.95" customHeight="1">
      <c r="A28" s="27"/>
      <c r="B28" s="28"/>
      <c r="C28" s="28"/>
      <c r="D28" s="29" t="str">
        <f t="shared" si="4"/>
        <v/>
      </c>
      <c r="E28" s="29" t="str">
        <f t="shared" si="0"/>
        <v/>
      </c>
      <c r="F28" s="29" t="str">
        <f t="shared" si="1"/>
        <v/>
      </c>
      <c r="G28" s="30" t="str">
        <f t="shared" si="2"/>
        <v/>
      </c>
      <c r="H28" s="31" t="str">
        <f t="shared" si="3"/>
        <v/>
      </c>
      <c r="AA28">
        <v>27</v>
      </c>
      <c r="AB28" t="s">
        <v>62</v>
      </c>
      <c r="AC28" t="s">
        <v>52</v>
      </c>
      <c r="AD28" t="s">
        <v>123</v>
      </c>
      <c r="AE28" t="s">
        <v>124</v>
      </c>
      <c r="AF28" t="s">
        <v>125</v>
      </c>
      <c r="AH28">
        <v>353612485</v>
      </c>
    </row>
    <row r="29" spans="1:34" ht="31.95" customHeight="1">
      <c r="A29" s="27"/>
      <c r="B29" s="28"/>
      <c r="C29" s="28"/>
      <c r="D29" s="29" t="str">
        <f t="shared" si="4"/>
        <v/>
      </c>
      <c r="E29" s="29" t="str">
        <f t="shared" si="0"/>
        <v/>
      </c>
      <c r="F29" s="29" t="str">
        <f t="shared" si="1"/>
        <v/>
      </c>
      <c r="G29" s="30" t="str">
        <f t="shared" si="2"/>
        <v/>
      </c>
      <c r="H29" s="31" t="str">
        <f t="shared" si="3"/>
        <v/>
      </c>
      <c r="AA29">
        <v>28</v>
      </c>
      <c r="AB29" t="s">
        <v>62</v>
      </c>
      <c r="AC29" t="s">
        <v>52</v>
      </c>
      <c r="AD29" t="s">
        <v>126</v>
      </c>
      <c r="AE29" t="s">
        <v>127</v>
      </c>
      <c r="AF29" t="s">
        <v>128</v>
      </c>
      <c r="AH29">
        <v>12291838</v>
      </c>
    </row>
    <row r="30" spans="1:34" ht="31.95" customHeight="1">
      <c r="A30" s="27"/>
      <c r="B30" s="28"/>
      <c r="C30" s="28"/>
      <c r="D30" s="29" t="str">
        <f t="shared" si="4"/>
        <v/>
      </c>
      <c r="E30" s="29" t="str">
        <f t="shared" si="0"/>
        <v/>
      </c>
      <c r="F30" s="29" t="str">
        <f t="shared" si="1"/>
        <v/>
      </c>
      <c r="G30" s="30" t="str">
        <f t="shared" si="2"/>
        <v/>
      </c>
      <c r="H30" s="31" t="str">
        <f t="shared" si="3"/>
        <v/>
      </c>
      <c r="AA30">
        <v>29</v>
      </c>
      <c r="AB30" t="s">
        <v>62</v>
      </c>
      <c r="AC30" t="s">
        <v>52</v>
      </c>
      <c r="AD30" t="s">
        <v>129</v>
      </c>
      <c r="AE30" t="s">
        <v>130</v>
      </c>
      <c r="AF30" t="s">
        <v>131</v>
      </c>
      <c r="AH30">
        <v>242111161</v>
      </c>
    </row>
    <row r="31" spans="1:34" ht="31.95" customHeight="1">
      <c r="A31" s="27"/>
      <c r="B31" s="28"/>
      <c r="C31" s="28"/>
      <c r="D31" s="29" t="str">
        <f t="shared" si="4"/>
        <v/>
      </c>
      <c r="E31" s="29" t="str">
        <f t="shared" si="0"/>
        <v/>
      </c>
      <c r="F31" s="29" t="str">
        <f t="shared" si="1"/>
        <v/>
      </c>
      <c r="G31" s="30" t="str">
        <f t="shared" si="2"/>
        <v/>
      </c>
      <c r="H31" s="31" t="str">
        <f t="shared" si="3"/>
        <v/>
      </c>
      <c r="AA31">
        <v>30</v>
      </c>
      <c r="AB31" t="s">
        <v>62</v>
      </c>
      <c r="AC31" t="s">
        <v>52</v>
      </c>
      <c r="AD31" t="s">
        <v>132</v>
      </c>
      <c r="AE31" t="s">
        <v>133</v>
      </c>
      <c r="AF31" t="s">
        <v>134</v>
      </c>
      <c r="AH31">
        <v>864509722</v>
      </c>
    </row>
    <row r="32" spans="1:34" ht="31.95" customHeight="1">
      <c r="A32" s="27"/>
      <c r="B32" s="28"/>
      <c r="C32" s="28"/>
      <c r="D32" s="29" t="str">
        <f t="shared" si="4"/>
        <v/>
      </c>
      <c r="E32" s="29" t="str">
        <f t="shared" si="0"/>
        <v/>
      </c>
      <c r="F32" s="29" t="str">
        <f t="shared" si="1"/>
        <v/>
      </c>
      <c r="G32" s="30" t="str">
        <f t="shared" si="2"/>
        <v/>
      </c>
      <c r="H32" s="31" t="str">
        <f t="shared" si="3"/>
        <v/>
      </c>
      <c r="AA32">
        <v>31</v>
      </c>
      <c r="AB32" t="s">
        <v>62</v>
      </c>
      <c r="AC32" t="s">
        <v>52</v>
      </c>
      <c r="AD32" t="s">
        <v>135</v>
      </c>
      <c r="AE32" t="s">
        <v>136</v>
      </c>
      <c r="AF32" t="s">
        <v>137</v>
      </c>
      <c r="AH32">
        <v>466789512</v>
      </c>
    </row>
    <row r="33" spans="1:34" ht="31.95" customHeight="1">
      <c r="A33" s="27"/>
      <c r="B33" s="28"/>
      <c r="C33" s="28"/>
      <c r="D33" s="29" t="str">
        <f t="shared" si="4"/>
        <v/>
      </c>
      <c r="E33" s="29" t="str">
        <f t="shared" si="0"/>
        <v/>
      </c>
      <c r="F33" s="29" t="str">
        <f t="shared" si="1"/>
        <v/>
      </c>
      <c r="G33" s="30" t="str">
        <f t="shared" si="2"/>
        <v/>
      </c>
      <c r="H33" s="31" t="str">
        <f t="shared" si="3"/>
        <v/>
      </c>
      <c r="AA33">
        <v>32</v>
      </c>
      <c r="AB33" t="s">
        <v>62</v>
      </c>
      <c r="AC33" t="s">
        <v>52</v>
      </c>
      <c r="AD33" t="s">
        <v>138</v>
      </c>
      <c r="AE33" t="s">
        <v>139</v>
      </c>
      <c r="AF33" t="s">
        <v>140</v>
      </c>
      <c r="AH33">
        <v>271104598</v>
      </c>
    </row>
    <row r="34" spans="1:34" ht="31.95" customHeight="1">
      <c r="A34" s="27"/>
      <c r="B34" s="28"/>
      <c r="C34" s="28"/>
      <c r="D34" s="29" t="str">
        <f t="shared" si="4"/>
        <v/>
      </c>
      <c r="E34" s="29" t="str">
        <f t="shared" si="0"/>
        <v/>
      </c>
      <c r="F34" s="29" t="str">
        <f t="shared" si="1"/>
        <v/>
      </c>
      <c r="G34" s="30" t="str">
        <f t="shared" si="2"/>
        <v/>
      </c>
      <c r="H34" s="31" t="str">
        <f t="shared" si="3"/>
        <v/>
      </c>
      <c r="AA34">
        <v>33</v>
      </c>
      <c r="AB34" t="s">
        <v>62</v>
      </c>
      <c r="AC34" t="s">
        <v>52</v>
      </c>
      <c r="AD34" t="s">
        <v>141</v>
      </c>
      <c r="AE34" t="s">
        <v>142</v>
      </c>
      <c r="AF34" t="s">
        <v>143</v>
      </c>
      <c r="AH34">
        <v>438542442</v>
      </c>
    </row>
    <row r="35" spans="1:34" ht="31.95" customHeight="1">
      <c r="A35" s="27"/>
      <c r="B35" s="28"/>
      <c r="C35" s="28"/>
      <c r="D35" s="29" t="str">
        <f t="shared" si="4"/>
        <v/>
      </c>
      <c r="E35" s="29" t="str">
        <f t="shared" si="0"/>
        <v/>
      </c>
      <c r="F35" s="29" t="str">
        <f t="shared" si="1"/>
        <v/>
      </c>
      <c r="G35" s="30" t="str">
        <f t="shared" si="2"/>
        <v/>
      </c>
      <c r="H35" s="31" t="str">
        <f t="shared" si="3"/>
        <v/>
      </c>
      <c r="AA35">
        <v>34</v>
      </c>
      <c r="AB35" t="s">
        <v>62</v>
      </c>
      <c r="AC35" t="s">
        <v>52</v>
      </c>
      <c r="AD35" t="s">
        <v>144</v>
      </c>
      <c r="AE35" t="s">
        <v>145</v>
      </c>
      <c r="AF35" t="s">
        <v>146</v>
      </c>
      <c r="AH35">
        <v>112101137</v>
      </c>
    </row>
    <row r="36" spans="1:34" ht="31.95" customHeight="1">
      <c r="A36" s="27"/>
      <c r="B36" s="28"/>
      <c r="C36" s="28"/>
      <c r="D36" s="29" t="str">
        <f t="shared" si="4"/>
        <v/>
      </c>
      <c r="E36" s="29" t="str">
        <f t="shared" si="0"/>
        <v/>
      </c>
      <c r="F36" s="29" t="str">
        <f t="shared" si="1"/>
        <v/>
      </c>
      <c r="G36" s="30" t="str">
        <f t="shared" si="2"/>
        <v/>
      </c>
      <c r="H36" s="31" t="str">
        <f t="shared" si="3"/>
        <v/>
      </c>
      <c r="AA36">
        <v>35</v>
      </c>
      <c r="AB36" t="s">
        <v>62</v>
      </c>
      <c r="AC36" t="s">
        <v>52</v>
      </c>
      <c r="AD36" t="s">
        <v>147</v>
      </c>
      <c r="AE36" t="s">
        <v>148</v>
      </c>
      <c r="AF36" t="s">
        <v>149</v>
      </c>
      <c r="AH36">
        <v>906743105</v>
      </c>
    </row>
    <row r="37" spans="1:34" ht="31.95" customHeight="1">
      <c r="A37" s="27"/>
      <c r="B37" s="28"/>
      <c r="C37" s="28"/>
      <c r="D37" s="29" t="str">
        <f t="shared" ref="D37:D68" si="5">IF(OR(A37="",B37="",C37=""),"",1+MOD($AH37,60))</f>
        <v/>
      </c>
      <c r="E37" s="29" t="str">
        <f t="shared" ref="E37:E68" si="6">IF(D37="","",INDEX($AB$2:$AB$61,MATCH(D37,$AA$2:$AA$61,0)))</f>
        <v/>
      </c>
      <c r="F37" s="29" t="str">
        <f t="shared" ref="F37:F68" si="7">IF(D37="","",INDEX($AC$2:$AC$61,MATCH(D37,$AA$2:$AA$61,0)))</f>
        <v/>
      </c>
      <c r="G37" s="30" t="str">
        <f t="shared" ref="G37:G68" si="8">IF(D37="","",INDEX($AF$2:$AF$61,MATCH(D37,$AA$2:$AA$61,0)))</f>
        <v/>
      </c>
      <c r="H37" s="31" t="str">
        <f t="shared" ref="H37:H68" si="9">IF(D37="","",IF(D37&lt;=6,"Все играющие страны",IF(D37&lt;=42,B37,B37&amp;" + реальные союзники")))</f>
        <v/>
      </c>
      <c r="AA37">
        <v>36</v>
      </c>
      <c r="AB37" t="s">
        <v>62</v>
      </c>
      <c r="AC37" t="s">
        <v>52</v>
      </c>
      <c r="AD37" t="s">
        <v>150</v>
      </c>
      <c r="AE37" t="s">
        <v>151</v>
      </c>
      <c r="AF37" t="s">
        <v>152</v>
      </c>
      <c r="AH37">
        <v>891202334</v>
      </c>
    </row>
    <row r="38" spans="1:34" ht="31.95" customHeight="1">
      <c r="A38" s="27"/>
      <c r="B38" s="28"/>
      <c r="C38" s="28"/>
      <c r="D38" s="29" t="str">
        <f t="shared" si="5"/>
        <v/>
      </c>
      <c r="E38" s="29" t="str">
        <f t="shared" si="6"/>
        <v/>
      </c>
      <c r="F38" s="29" t="str">
        <f t="shared" si="7"/>
        <v/>
      </c>
      <c r="G38" s="30" t="str">
        <f t="shared" si="8"/>
        <v/>
      </c>
      <c r="H38" s="31" t="str">
        <f t="shared" si="9"/>
        <v/>
      </c>
      <c r="AA38">
        <v>37</v>
      </c>
      <c r="AB38" t="s">
        <v>62</v>
      </c>
      <c r="AC38" t="s">
        <v>52</v>
      </c>
      <c r="AD38" t="s">
        <v>153</v>
      </c>
      <c r="AE38" t="s">
        <v>154</v>
      </c>
      <c r="AF38" t="s">
        <v>155</v>
      </c>
      <c r="AH38">
        <v>428172009</v>
      </c>
    </row>
    <row r="39" spans="1:34" ht="31.95" customHeight="1">
      <c r="A39" s="27"/>
      <c r="B39" s="28"/>
      <c r="C39" s="28"/>
      <c r="D39" s="29" t="str">
        <f t="shared" si="5"/>
        <v/>
      </c>
      <c r="E39" s="29" t="str">
        <f t="shared" si="6"/>
        <v/>
      </c>
      <c r="F39" s="29" t="str">
        <f t="shared" si="7"/>
        <v/>
      </c>
      <c r="G39" s="30" t="str">
        <f t="shared" si="8"/>
        <v/>
      </c>
      <c r="H39" s="31" t="str">
        <f t="shared" si="9"/>
        <v/>
      </c>
      <c r="AA39">
        <v>38</v>
      </c>
      <c r="AB39" t="s">
        <v>62</v>
      </c>
      <c r="AC39" t="s">
        <v>52</v>
      </c>
      <c r="AD39" t="s">
        <v>156</v>
      </c>
      <c r="AE39" t="s">
        <v>157</v>
      </c>
      <c r="AF39" t="s">
        <v>158</v>
      </c>
      <c r="AH39">
        <v>441810619</v>
      </c>
    </row>
    <row r="40" spans="1:34" ht="31.95" customHeight="1">
      <c r="A40" s="27"/>
      <c r="B40" s="28"/>
      <c r="C40" s="28"/>
      <c r="D40" s="29" t="str">
        <f t="shared" si="5"/>
        <v/>
      </c>
      <c r="E40" s="29" t="str">
        <f t="shared" si="6"/>
        <v/>
      </c>
      <c r="F40" s="29" t="str">
        <f t="shared" si="7"/>
        <v/>
      </c>
      <c r="G40" s="30" t="str">
        <f t="shared" si="8"/>
        <v/>
      </c>
      <c r="H40" s="31" t="str">
        <f t="shared" si="9"/>
        <v/>
      </c>
      <c r="AA40">
        <v>39</v>
      </c>
      <c r="AB40" t="s">
        <v>62</v>
      </c>
      <c r="AC40" t="s">
        <v>52</v>
      </c>
      <c r="AD40" t="s">
        <v>159</v>
      </c>
      <c r="AE40" t="s">
        <v>160</v>
      </c>
      <c r="AF40" t="s">
        <v>161</v>
      </c>
      <c r="AH40">
        <v>737538110</v>
      </c>
    </row>
    <row r="41" spans="1:34" ht="31.95" customHeight="1">
      <c r="A41" s="27"/>
      <c r="B41" s="28"/>
      <c r="C41" s="28"/>
      <c r="D41" s="29" t="str">
        <f t="shared" si="5"/>
        <v/>
      </c>
      <c r="E41" s="29" t="str">
        <f t="shared" si="6"/>
        <v/>
      </c>
      <c r="F41" s="29" t="str">
        <f t="shared" si="7"/>
        <v/>
      </c>
      <c r="G41" s="30" t="str">
        <f t="shared" si="8"/>
        <v/>
      </c>
      <c r="H41" s="31" t="str">
        <f t="shared" si="9"/>
        <v/>
      </c>
      <c r="AA41">
        <v>40</v>
      </c>
      <c r="AB41" t="s">
        <v>62</v>
      </c>
      <c r="AC41" t="s">
        <v>52</v>
      </c>
      <c r="AD41" t="s">
        <v>162</v>
      </c>
      <c r="AE41" t="s">
        <v>163</v>
      </c>
      <c r="AF41" t="s">
        <v>164</v>
      </c>
      <c r="AH41">
        <v>246617847</v>
      </c>
    </row>
    <row r="42" spans="1:34" ht="31.95" customHeight="1">
      <c r="A42" s="27"/>
      <c r="B42" s="28"/>
      <c r="C42" s="28"/>
      <c r="D42" s="29" t="str">
        <f t="shared" si="5"/>
        <v/>
      </c>
      <c r="E42" s="29" t="str">
        <f t="shared" si="6"/>
        <v/>
      </c>
      <c r="F42" s="29" t="str">
        <f t="shared" si="7"/>
        <v/>
      </c>
      <c r="G42" s="30" t="str">
        <f t="shared" si="8"/>
        <v/>
      </c>
      <c r="H42" s="31" t="str">
        <f t="shared" si="9"/>
        <v/>
      </c>
      <c r="AA42">
        <v>41</v>
      </c>
      <c r="AB42" t="s">
        <v>62</v>
      </c>
      <c r="AC42" t="s">
        <v>52</v>
      </c>
      <c r="AD42" t="s">
        <v>165</v>
      </c>
      <c r="AE42" t="s">
        <v>166</v>
      </c>
      <c r="AF42" t="s">
        <v>167</v>
      </c>
      <c r="AH42">
        <v>569400423</v>
      </c>
    </row>
    <row r="43" spans="1:34" ht="31.95" customHeight="1">
      <c r="A43" s="27"/>
      <c r="B43" s="28"/>
      <c r="C43" s="28"/>
      <c r="D43" s="29" t="str">
        <f t="shared" si="5"/>
        <v/>
      </c>
      <c r="E43" s="29" t="str">
        <f t="shared" si="6"/>
        <v/>
      </c>
      <c r="F43" s="29" t="str">
        <f t="shared" si="7"/>
        <v/>
      </c>
      <c r="G43" s="30" t="str">
        <f t="shared" si="8"/>
        <v/>
      </c>
      <c r="H43" s="31" t="str">
        <f t="shared" si="9"/>
        <v/>
      </c>
      <c r="AA43">
        <v>42</v>
      </c>
      <c r="AB43" t="s">
        <v>62</v>
      </c>
      <c r="AC43" t="s">
        <v>52</v>
      </c>
      <c r="AD43" t="s">
        <v>168</v>
      </c>
      <c r="AE43" t="s">
        <v>169</v>
      </c>
      <c r="AF43" t="s">
        <v>170</v>
      </c>
      <c r="AH43">
        <v>205010216</v>
      </c>
    </row>
    <row r="44" spans="1:34" ht="31.95" customHeight="1">
      <c r="A44" s="27"/>
      <c r="B44" s="28"/>
      <c r="C44" s="28"/>
      <c r="D44" s="29" t="str">
        <f t="shared" si="5"/>
        <v/>
      </c>
      <c r="E44" s="29" t="str">
        <f t="shared" si="6"/>
        <v/>
      </c>
      <c r="F44" s="29" t="str">
        <f t="shared" si="7"/>
        <v/>
      </c>
      <c r="G44" s="30" t="str">
        <f t="shared" si="8"/>
        <v/>
      </c>
      <c r="H44" s="31" t="str">
        <f t="shared" si="9"/>
        <v/>
      </c>
      <c r="AA44">
        <v>43</v>
      </c>
      <c r="AB44" t="s">
        <v>171</v>
      </c>
      <c r="AC44" t="s">
        <v>37</v>
      </c>
      <c r="AD44" t="s">
        <v>172</v>
      </c>
      <c r="AE44" t="s">
        <v>173</v>
      </c>
      <c r="AF44" t="s">
        <v>174</v>
      </c>
      <c r="AH44">
        <v>519827369</v>
      </c>
    </row>
    <row r="45" spans="1:34" ht="31.95" customHeight="1">
      <c r="A45" s="27"/>
      <c r="B45" s="28"/>
      <c r="C45" s="28"/>
      <c r="D45" s="29" t="str">
        <f t="shared" si="5"/>
        <v/>
      </c>
      <c r="E45" s="29" t="str">
        <f t="shared" si="6"/>
        <v/>
      </c>
      <c r="F45" s="29" t="str">
        <f t="shared" si="7"/>
        <v/>
      </c>
      <c r="G45" s="30" t="str">
        <f t="shared" si="8"/>
        <v/>
      </c>
      <c r="H45" s="31" t="str">
        <f t="shared" si="9"/>
        <v/>
      </c>
      <c r="AA45">
        <v>44</v>
      </c>
      <c r="AB45" t="s">
        <v>171</v>
      </c>
      <c r="AC45" t="s">
        <v>37</v>
      </c>
      <c r="AD45" t="s">
        <v>175</v>
      </c>
      <c r="AE45" t="s">
        <v>176</v>
      </c>
      <c r="AF45" t="s">
        <v>177</v>
      </c>
      <c r="AH45">
        <v>46825351</v>
      </c>
    </row>
    <row r="46" spans="1:34" ht="31.95" customHeight="1">
      <c r="A46" s="27"/>
      <c r="B46" s="28"/>
      <c r="C46" s="28"/>
      <c r="D46" s="29" t="str">
        <f t="shared" si="5"/>
        <v/>
      </c>
      <c r="E46" s="29" t="str">
        <f t="shared" si="6"/>
        <v/>
      </c>
      <c r="F46" s="29" t="str">
        <f t="shared" si="7"/>
        <v/>
      </c>
      <c r="G46" s="30" t="str">
        <f t="shared" si="8"/>
        <v/>
      </c>
      <c r="H46" s="31" t="str">
        <f t="shared" si="9"/>
        <v/>
      </c>
      <c r="AA46">
        <v>45</v>
      </c>
      <c r="AB46" t="s">
        <v>171</v>
      </c>
      <c r="AC46" t="s">
        <v>37</v>
      </c>
      <c r="AD46" t="s">
        <v>178</v>
      </c>
      <c r="AE46" t="s">
        <v>179</v>
      </c>
      <c r="AF46" t="s">
        <v>180</v>
      </c>
      <c r="AH46">
        <v>785304849</v>
      </c>
    </row>
    <row r="47" spans="1:34" ht="31.95" customHeight="1">
      <c r="A47" s="27"/>
      <c r="B47" s="28"/>
      <c r="C47" s="28"/>
      <c r="D47" s="29" t="str">
        <f t="shared" si="5"/>
        <v/>
      </c>
      <c r="E47" s="29" t="str">
        <f t="shared" si="6"/>
        <v/>
      </c>
      <c r="F47" s="29" t="str">
        <f t="shared" si="7"/>
        <v/>
      </c>
      <c r="G47" s="30" t="str">
        <f t="shared" si="8"/>
        <v/>
      </c>
      <c r="H47" s="31" t="str">
        <f t="shared" si="9"/>
        <v/>
      </c>
      <c r="AA47">
        <v>46</v>
      </c>
      <c r="AB47" t="s">
        <v>171</v>
      </c>
      <c r="AC47" t="s">
        <v>37</v>
      </c>
      <c r="AD47" t="s">
        <v>181</v>
      </c>
      <c r="AE47" t="s">
        <v>182</v>
      </c>
      <c r="AF47" t="s">
        <v>183</v>
      </c>
      <c r="AH47">
        <v>204540469</v>
      </c>
    </row>
    <row r="48" spans="1:34" ht="31.95" customHeight="1">
      <c r="A48" s="27"/>
      <c r="B48" s="28"/>
      <c r="C48" s="28"/>
      <c r="D48" s="29" t="str">
        <f t="shared" si="5"/>
        <v/>
      </c>
      <c r="E48" s="29" t="str">
        <f t="shared" si="6"/>
        <v/>
      </c>
      <c r="F48" s="29" t="str">
        <f t="shared" si="7"/>
        <v/>
      </c>
      <c r="G48" s="30" t="str">
        <f t="shared" si="8"/>
        <v/>
      </c>
      <c r="H48" s="31" t="str">
        <f t="shared" si="9"/>
        <v/>
      </c>
      <c r="AA48">
        <v>47</v>
      </c>
      <c r="AB48" t="s">
        <v>171</v>
      </c>
      <c r="AC48" t="s">
        <v>37</v>
      </c>
      <c r="AD48" t="s">
        <v>184</v>
      </c>
      <c r="AE48" t="s">
        <v>185</v>
      </c>
      <c r="AF48" t="s">
        <v>186</v>
      </c>
      <c r="AH48">
        <v>381720212</v>
      </c>
    </row>
    <row r="49" spans="1:34" ht="31.95" customHeight="1">
      <c r="A49" s="27"/>
      <c r="B49" s="28"/>
      <c r="C49" s="28"/>
      <c r="D49" s="29" t="str">
        <f t="shared" si="5"/>
        <v/>
      </c>
      <c r="E49" s="29" t="str">
        <f t="shared" si="6"/>
        <v/>
      </c>
      <c r="F49" s="29" t="str">
        <f t="shared" si="7"/>
        <v/>
      </c>
      <c r="G49" s="30" t="str">
        <f t="shared" si="8"/>
        <v/>
      </c>
      <c r="H49" s="31" t="str">
        <f t="shared" si="9"/>
        <v/>
      </c>
      <c r="AA49">
        <v>48</v>
      </c>
      <c r="AB49" t="s">
        <v>171</v>
      </c>
      <c r="AC49" t="s">
        <v>37</v>
      </c>
      <c r="AD49" t="s">
        <v>187</v>
      </c>
      <c r="AE49" t="s">
        <v>188</v>
      </c>
      <c r="AF49" t="s">
        <v>189</v>
      </c>
      <c r="AH49">
        <v>195250560</v>
      </c>
    </row>
    <row r="50" spans="1:34" ht="31.95" customHeight="1">
      <c r="A50" s="27"/>
      <c r="B50" s="28"/>
      <c r="C50" s="28"/>
      <c r="D50" s="29" t="str">
        <f t="shared" si="5"/>
        <v/>
      </c>
      <c r="E50" s="29" t="str">
        <f t="shared" si="6"/>
        <v/>
      </c>
      <c r="F50" s="29" t="str">
        <f t="shared" si="7"/>
        <v/>
      </c>
      <c r="G50" s="30" t="str">
        <f t="shared" si="8"/>
        <v/>
      </c>
      <c r="H50" s="31" t="str">
        <f t="shared" si="9"/>
        <v/>
      </c>
      <c r="AA50">
        <v>49</v>
      </c>
      <c r="AB50" t="s">
        <v>171</v>
      </c>
      <c r="AC50" t="s">
        <v>37</v>
      </c>
      <c r="AD50" t="s">
        <v>190</v>
      </c>
      <c r="AE50" t="s">
        <v>191</v>
      </c>
      <c r="AF50" t="s">
        <v>192</v>
      </c>
      <c r="AH50">
        <v>319491525</v>
      </c>
    </row>
    <row r="51" spans="1:34" ht="31.95" customHeight="1">
      <c r="A51" s="27"/>
      <c r="B51" s="28"/>
      <c r="C51" s="28"/>
      <c r="D51" s="29" t="str">
        <f t="shared" si="5"/>
        <v/>
      </c>
      <c r="E51" s="29" t="str">
        <f t="shared" si="6"/>
        <v/>
      </c>
      <c r="F51" s="29" t="str">
        <f t="shared" si="7"/>
        <v/>
      </c>
      <c r="G51" s="30" t="str">
        <f t="shared" si="8"/>
        <v/>
      </c>
      <c r="H51" s="31" t="str">
        <f t="shared" si="9"/>
        <v/>
      </c>
      <c r="AA51">
        <v>50</v>
      </c>
      <c r="AB51" t="s">
        <v>171</v>
      </c>
      <c r="AC51" t="s">
        <v>37</v>
      </c>
      <c r="AD51" t="s">
        <v>193</v>
      </c>
      <c r="AE51" t="s">
        <v>194</v>
      </c>
      <c r="AF51" t="s">
        <v>195</v>
      </c>
      <c r="AH51">
        <v>925374816</v>
      </c>
    </row>
    <row r="52" spans="1:34" ht="31.95" customHeight="1">
      <c r="A52" s="27"/>
      <c r="B52" s="28"/>
      <c r="C52" s="28"/>
      <c r="D52" s="29" t="str">
        <f t="shared" si="5"/>
        <v/>
      </c>
      <c r="E52" s="29" t="str">
        <f t="shared" si="6"/>
        <v/>
      </c>
      <c r="F52" s="29" t="str">
        <f t="shared" si="7"/>
        <v/>
      </c>
      <c r="G52" s="30" t="str">
        <f t="shared" si="8"/>
        <v/>
      </c>
      <c r="H52" s="31" t="str">
        <f t="shared" si="9"/>
        <v/>
      </c>
      <c r="AA52">
        <v>51</v>
      </c>
      <c r="AB52" t="s">
        <v>171</v>
      </c>
      <c r="AC52" t="s">
        <v>37</v>
      </c>
      <c r="AD52" t="s">
        <v>196</v>
      </c>
      <c r="AE52" t="s">
        <v>197</v>
      </c>
      <c r="AF52" t="s">
        <v>198</v>
      </c>
      <c r="AH52">
        <v>722806267</v>
      </c>
    </row>
    <row r="53" spans="1:34" ht="31.95" customHeight="1">
      <c r="A53" s="27"/>
      <c r="B53" s="28"/>
      <c r="C53" s="28"/>
      <c r="D53" s="29" t="str">
        <f t="shared" si="5"/>
        <v/>
      </c>
      <c r="E53" s="29" t="str">
        <f t="shared" si="6"/>
        <v/>
      </c>
      <c r="F53" s="29" t="str">
        <f t="shared" si="7"/>
        <v/>
      </c>
      <c r="G53" s="30" t="str">
        <f t="shared" si="8"/>
        <v/>
      </c>
      <c r="H53" s="31" t="str">
        <f t="shared" si="9"/>
        <v/>
      </c>
      <c r="AA53">
        <v>52</v>
      </c>
      <c r="AB53" t="s">
        <v>171</v>
      </c>
      <c r="AC53" t="s">
        <v>52</v>
      </c>
      <c r="AD53" t="s">
        <v>199</v>
      </c>
      <c r="AE53" t="s">
        <v>200</v>
      </c>
      <c r="AF53" t="s">
        <v>201</v>
      </c>
      <c r="AH53">
        <v>182102689</v>
      </c>
    </row>
    <row r="54" spans="1:34" ht="31.95" customHeight="1">
      <c r="A54" s="27"/>
      <c r="B54" s="28"/>
      <c r="C54" s="28"/>
      <c r="D54" s="29" t="str">
        <f t="shared" si="5"/>
        <v/>
      </c>
      <c r="E54" s="29" t="str">
        <f t="shared" si="6"/>
        <v/>
      </c>
      <c r="F54" s="29" t="str">
        <f t="shared" si="7"/>
        <v/>
      </c>
      <c r="G54" s="30" t="str">
        <f t="shared" si="8"/>
        <v/>
      </c>
      <c r="H54" s="31" t="str">
        <f t="shared" si="9"/>
        <v/>
      </c>
      <c r="AA54">
        <v>53</v>
      </c>
      <c r="AB54" t="s">
        <v>171</v>
      </c>
      <c r="AC54" t="s">
        <v>52</v>
      </c>
      <c r="AD54" t="s">
        <v>202</v>
      </c>
      <c r="AE54" t="s">
        <v>203</v>
      </c>
      <c r="AF54" t="s">
        <v>204</v>
      </c>
      <c r="AH54">
        <v>206099461</v>
      </c>
    </row>
    <row r="55" spans="1:34" ht="31.95" customHeight="1">
      <c r="A55" s="27"/>
      <c r="B55" s="28"/>
      <c r="C55" s="28"/>
      <c r="D55" s="29" t="str">
        <f t="shared" si="5"/>
        <v/>
      </c>
      <c r="E55" s="29" t="str">
        <f t="shared" si="6"/>
        <v/>
      </c>
      <c r="F55" s="29" t="str">
        <f t="shared" si="7"/>
        <v/>
      </c>
      <c r="G55" s="30" t="str">
        <f t="shared" si="8"/>
        <v/>
      </c>
      <c r="H55" s="31" t="str">
        <f t="shared" si="9"/>
        <v/>
      </c>
      <c r="AA55">
        <v>54</v>
      </c>
      <c r="AB55" t="s">
        <v>171</v>
      </c>
      <c r="AC55" t="s">
        <v>52</v>
      </c>
      <c r="AD55" t="s">
        <v>205</v>
      </c>
      <c r="AE55" t="s">
        <v>206</v>
      </c>
      <c r="AF55" t="s">
        <v>207</v>
      </c>
      <c r="AH55">
        <v>65638954</v>
      </c>
    </row>
    <row r="56" spans="1:34" ht="31.95" customHeight="1">
      <c r="A56" s="27"/>
      <c r="B56" s="28"/>
      <c r="C56" s="28"/>
      <c r="D56" s="29" t="str">
        <f t="shared" si="5"/>
        <v/>
      </c>
      <c r="E56" s="29" t="str">
        <f t="shared" si="6"/>
        <v/>
      </c>
      <c r="F56" s="29" t="str">
        <f t="shared" si="7"/>
        <v/>
      </c>
      <c r="G56" s="30" t="str">
        <f t="shared" si="8"/>
        <v/>
      </c>
      <c r="H56" s="31" t="str">
        <f t="shared" si="9"/>
        <v/>
      </c>
      <c r="AA56">
        <v>55</v>
      </c>
      <c r="AB56" t="s">
        <v>171</v>
      </c>
      <c r="AC56" t="s">
        <v>52</v>
      </c>
      <c r="AD56" t="s">
        <v>208</v>
      </c>
      <c r="AE56" t="s">
        <v>209</v>
      </c>
      <c r="AF56" t="s">
        <v>210</v>
      </c>
      <c r="AH56">
        <v>799038259</v>
      </c>
    </row>
    <row r="57" spans="1:34" ht="31.95" customHeight="1">
      <c r="A57" s="27"/>
      <c r="B57" s="28"/>
      <c r="C57" s="28"/>
      <c r="D57" s="29" t="str">
        <f t="shared" si="5"/>
        <v/>
      </c>
      <c r="E57" s="29" t="str">
        <f t="shared" si="6"/>
        <v/>
      </c>
      <c r="F57" s="29" t="str">
        <f t="shared" si="7"/>
        <v/>
      </c>
      <c r="G57" s="30" t="str">
        <f t="shared" si="8"/>
        <v/>
      </c>
      <c r="H57" s="31" t="str">
        <f t="shared" si="9"/>
        <v/>
      </c>
      <c r="AA57">
        <v>56</v>
      </c>
      <c r="AB57" t="s">
        <v>171</v>
      </c>
      <c r="AC57" t="s">
        <v>52</v>
      </c>
      <c r="AD57" t="s">
        <v>211</v>
      </c>
      <c r="AE57" t="s">
        <v>212</v>
      </c>
      <c r="AF57" t="s">
        <v>213</v>
      </c>
      <c r="AH57">
        <v>618832131</v>
      </c>
    </row>
    <row r="58" spans="1:34" ht="31.95" customHeight="1">
      <c r="A58" s="27"/>
      <c r="B58" s="28"/>
      <c r="C58" s="28"/>
      <c r="D58" s="29" t="str">
        <f t="shared" si="5"/>
        <v/>
      </c>
      <c r="E58" s="29" t="str">
        <f t="shared" si="6"/>
        <v/>
      </c>
      <c r="F58" s="29" t="str">
        <f t="shared" si="7"/>
        <v/>
      </c>
      <c r="G58" s="30" t="str">
        <f t="shared" si="8"/>
        <v/>
      </c>
      <c r="H58" s="31" t="str">
        <f t="shared" si="9"/>
        <v/>
      </c>
      <c r="AA58">
        <v>57</v>
      </c>
      <c r="AB58" t="s">
        <v>171</v>
      </c>
      <c r="AC58" t="s">
        <v>52</v>
      </c>
      <c r="AD58" t="s">
        <v>214</v>
      </c>
      <c r="AE58" t="s">
        <v>215</v>
      </c>
      <c r="AF58" t="s">
        <v>216</v>
      </c>
      <c r="AH58">
        <v>316686532</v>
      </c>
    </row>
    <row r="59" spans="1:34" ht="31.95" customHeight="1">
      <c r="A59" s="27"/>
      <c r="B59" s="28"/>
      <c r="C59" s="28"/>
      <c r="D59" s="29" t="str">
        <f t="shared" si="5"/>
        <v/>
      </c>
      <c r="E59" s="29" t="str">
        <f t="shared" si="6"/>
        <v/>
      </c>
      <c r="F59" s="29" t="str">
        <f t="shared" si="7"/>
        <v/>
      </c>
      <c r="G59" s="30" t="str">
        <f t="shared" si="8"/>
        <v/>
      </c>
      <c r="H59" s="31" t="str">
        <f t="shared" si="9"/>
        <v/>
      </c>
      <c r="AA59">
        <v>58</v>
      </c>
      <c r="AB59" t="s">
        <v>171</v>
      </c>
      <c r="AC59" t="s">
        <v>52</v>
      </c>
      <c r="AD59" t="s">
        <v>217</v>
      </c>
      <c r="AE59" t="s">
        <v>218</v>
      </c>
      <c r="AF59" t="s">
        <v>219</v>
      </c>
      <c r="AH59">
        <v>410424696</v>
      </c>
    </row>
    <row r="60" spans="1:34" ht="31.95" customHeight="1">
      <c r="A60" s="27"/>
      <c r="B60" s="28"/>
      <c r="C60" s="28"/>
      <c r="D60" s="29" t="str">
        <f t="shared" si="5"/>
        <v/>
      </c>
      <c r="E60" s="29" t="str">
        <f t="shared" si="6"/>
        <v/>
      </c>
      <c r="F60" s="29" t="str">
        <f t="shared" si="7"/>
        <v/>
      </c>
      <c r="G60" s="30" t="str">
        <f t="shared" si="8"/>
        <v/>
      </c>
      <c r="H60" s="31" t="str">
        <f t="shared" si="9"/>
        <v/>
      </c>
      <c r="AA60">
        <v>59</v>
      </c>
      <c r="AB60" t="s">
        <v>171</v>
      </c>
      <c r="AC60" t="s">
        <v>52</v>
      </c>
      <c r="AD60" t="s">
        <v>220</v>
      </c>
      <c r="AE60" t="s">
        <v>221</v>
      </c>
      <c r="AF60" t="s">
        <v>222</v>
      </c>
      <c r="AH60">
        <v>179946137</v>
      </c>
    </row>
    <row r="61" spans="1:34" ht="31.95" customHeight="1">
      <c r="A61" s="27"/>
      <c r="B61" s="28"/>
      <c r="C61" s="28"/>
      <c r="D61" s="29" t="str">
        <f t="shared" si="5"/>
        <v/>
      </c>
      <c r="E61" s="29" t="str">
        <f t="shared" si="6"/>
        <v/>
      </c>
      <c r="F61" s="29" t="str">
        <f t="shared" si="7"/>
        <v/>
      </c>
      <c r="G61" s="30" t="str">
        <f t="shared" si="8"/>
        <v/>
      </c>
      <c r="H61" s="31" t="str">
        <f t="shared" si="9"/>
        <v/>
      </c>
      <c r="AA61">
        <v>60</v>
      </c>
      <c r="AB61" t="s">
        <v>171</v>
      </c>
      <c r="AC61" t="s">
        <v>52</v>
      </c>
      <c r="AD61" t="s">
        <v>223</v>
      </c>
      <c r="AE61" t="s">
        <v>224</v>
      </c>
      <c r="AF61" t="s">
        <v>225</v>
      </c>
      <c r="AH61">
        <v>687985453</v>
      </c>
    </row>
    <row r="62" spans="1:34" ht="31.95" customHeight="1">
      <c r="A62" s="27"/>
      <c r="B62" s="28"/>
      <c r="C62" s="28"/>
      <c r="D62" s="29" t="str">
        <f t="shared" si="5"/>
        <v/>
      </c>
      <c r="E62" s="29" t="str">
        <f t="shared" si="6"/>
        <v/>
      </c>
      <c r="F62" s="29" t="str">
        <f t="shared" si="7"/>
        <v/>
      </c>
      <c r="G62" s="30" t="str">
        <f t="shared" si="8"/>
        <v/>
      </c>
      <c r="H62" s="31" t="str">
        <f t="shared" si="9"/>
        <v/>
      </c>
      <c r="AH62">
        <v>924600553</v>
      </c>
    </row>
    <row r="63" spans="1:34" ht="31.95" customHeight="1">
      <c r="A63" s="27"/>
      <c r="B63" s="28"/>
      <c r="C63" s="28"/>
      <c r="D63" s="29" t="str">
        <f t="shared" si="5"/>
        <v/>
      </c>
      <c r="E63" s="29" t="str">
        <f t="shared" si="6"/>
        <v/>
      </c>
      <c r="F63" s="29" t="str">
        <f t="shared" si="7"/>
        <v/>
      </c>
      <c r="G63" s="30" t="str">
        <f t="shared" si="8"/>
        <v/>
      </c>
      <c r="H63" s="31" t="str">
        <f t="shared" si="9"/>
        <v/>
      </c>
      <c r="AH63">
        <v>541294182</v>
      </c>
    </row>
    <row r="64" spans="1:34" ht="31.95" customHeight="1">
      <c r="A64" s="27"/>
      <c r="B64" s="28"/>
      <c r="C64" s="28"/>
      <c r="D64" s="29" t="str">
        <f t="shared" si="5"/>
        <v/>
      </c>
      <c r="E64" s="29" t="str">
        <f t="shared" si="6"/>
        <v/>
      </c>
      <c r="F64" s="29" t="str">
        <f t="shared" si="7"/>
        <v/>
      </c>
      <c r="G64" s="30" t="str">
        <f t="shared" si="8"/>
        <v/>
      </c>
      <c r="H64" s="31" t="str">
        <f t="shared" si="9"/>
        <v/>
      </c>
      <c r="AH64">
        <v>941242164</v>
      </c>
    </row>
    <row r="65" spans="1:34" ht="31.95" customHeight="1">
      <c r="A65" s="27"/>
      <c r="B65" s="28"/>
      <c r="C65" s="28"/>
      <c r="D65" s="29" t="str">
        <f t="shared" si="5"/>
        <v/>
      </c>
      <c r="E65" s="29" t="str">
        <f t="shared" si="6"/>
        <v/>
      </c>
      <c r="F65" s="29" t="str">
        <f t="shared" si="7"/>
        <v/>
      </c>
      <c r="G65" s="30" t="str">
        <f t="shared" si="8"/>
        <v/>
      </c>
      <c r="H65" s="31" t="str">
        <f t="shared" si="9"/>
        <v/>
      </c>
      <c r="AH65">
        <v>767134439</v>
      </c>
    </row>
    <row r="66" spans="1:34" ht="31.95" customHeight="1">
      <c r="A66" s="27"/>
      <c r="B66" s="28"/>
      <c r="C66" s="28"/>
      <c r="D66" s="29" t="str">
        <f t="shared" si="5"/>
        <v/>
      </c>
      <c r="E66" s="29" t="str">
        <f t="shared" si="6"/>
        <v/>
      </c>
      <c r="F66" s="29" t="str">
        <f t="shared" si="7"/>
        <v/>
      </c>
      <c r="G66" s="30" t="str">
        <f t="shared" si="8"/>
        <v/>
      </c>
      <c r="H66" s="31" t="str">
        <f t="shared" si="9"/>
        <v/>
      </c>
      <c r="AH66">
        <v>36168518</v>
      </c>
    </row>
    <row r="67" spans="1:34" ht="31.95" customHeight="1">
      <c r="A67" s="27"/>
      <c r="B67" s="28"/>
      <c r="C67" s="28"/>
      <c r="D67" s="29" t="str">
        <f t="shared" si="5"/>
        <v/>
      </c>
      <c r="E67" s="29" t="str">
        <f t="shared" si="6"/>
        <v/>
      </c>
      <c r="F67" s="29" t="str">
        <f t="shared" si="7"/>
        <v/>
      </c>
      <c r="G67" s="30" t="str">
        <f t="shared" si="8"/>
        <v/>
      </c>
      <c r="H67" s="31" t="str">
        <f t="shared" si="9"/>
        <v/>
      </c>
      <c r="AH67">
        <v>825383093</v>
      </c>
    </row>
    <row r="68" spans="1:34" ht="31.95" customHeight="1">
      <c r="A68" s="27"/>
      <c r="B68" s="28"/>
      <c r="C68" s="28"/>
      <c r="D68" s="29" t="str">
        <f t="shared" si="5"/>
        <v/>
      </c>
      <c r="E68" s="29" t="str">
        <f t="shared" si="6"/>
        <v/>
      </c>
      <c r="F68" s="29" t="str">
        <f t="shared" si="7"/>
        <v/>
      </c>
      <c r="G68" s="30" t="str">
        <f t="shared" si="8"/>
        <v/>
      </c>
      <c r="H68" s="31" t="str">
        <f t="shared" si="9"/>
        <v/>
      </c>
      <c r="AH68">
        <v>513678647</v>
      </c>
    </row>
    <row r="69" spans="1:34" ht="31.95" customHeight="1">
      <c r="A69" s="27"/>
      <c r="B69" s="28"/>
      <c r="C69" s="28"/>
      <c r="D69" s="29" t="str">
        <f t="shared" ref="D69:D100" si="10">IF(OR(A69="",B69="",C69=""),"",1+MOD($AH69,60))</f>
        <v/>
      </c>
      <c r="E69" s="29" t="str">
        <f t="shared" ref="E69:E100" si="11">IF(D69="","",INDEX($AB$2:$AB$61,MATCH(D69,$AA$2:$AA$61,0)))</f>
        <v/>
      </c>
      <c r="F69" s="29" t="str">
        <f t="shared" ref="F69:F104" si="12">IF(D69="","",INDEX($AC$2:$AC$61,MATCH(D69,$AA$2:$AA$61,0)))</f>
        <v/>
      </c>
      <c r="G69" s="30" t="str">
        <f t="shared" ref="G69:G104" si="13">IF(D69="","",INDEX($AF$2:$AF$61,MATCH(D69,$AA$2:$AA$61,0)))</f>
        <v/>
      </c>
      <c r="H69" s="31" t="str">
        <f t="shared" ref="H69:H104" si="14">IF(D69="","",IF(D69&lt;=6,"Все играющие страны",IF(D69&lt;=42,B69,B69&amp;" + реальные союзники")))</f>
        <v/>
      </c>
      <c r="AH69">
        <v>310501094</v>
      </c>
    </row>
    <row r="70" spans="1:34" ht="31.95" customHeight="1">
      <c r="A70" s="27"/>
      <c r="B70" s="28"/>
      <c r="C70" s="28"/>
      <c r="D70" s="29" t="str">
        <f t="shared" si="10"/>
        <v/>
      </c>
      <c r="E70" s="29" t="str">
        <f t="shared" si="11"/>
        <v/>
      </c>
      <c r="F70" s="29" t="str">
        <f t="shared" si="12"/>
        <v/>
      </c>
      <c r="G70" s="30" t="str">
        <f t="shared" si="13"/>
        <v/>
      </c>
      <c r="H70" s="31" t="str">
        <f t="shared" si="14"/>
        <v/>
      </c>
      <c r="AH70">
        <v>880394781</v>
      </c>
    </row>
    <row r="71" spans="1:34" ht="31.95" customHeight="1">
      <c r="A71" s="27"/>
      <c r="B71" s="28"/>
      <c r="C71" s="28"/>
      <c r="D71" s="29" t="str">
        <f t="shared" si="10"/>
        <v/>
      </c>
      <c r="E71" s="29" t="str">
        <f t="shared" si="11"/>
        <v/>
      </c>
      <c r="F71" s="29" t="str">
        <f t="shared" si="12"/>
        <v/>
      </c>
      <c r="G71" s="30" t="str">
        <f t="shared" si="13"/>
        <v/>
      </c>
      <c r="H71" s="31" t="str">
        <f t="shared" si="14"/>
        <v/>
      </c>
      <c r="AH71">
        <v>440827963</v>
      </c>
    </row>
    <row r="72" spans="1:34" ht="31.95" customHeight="1">
      <c r="A72" s="27"/>
      <c r="B72" s="28"/>
      <c r="C72" s="28"/>
      <c r="D72" s="29" t="str">
        <f t="shared" si="10"/>
        <v/>
      </c>
      <c r="E72" s="29" t="str">
        <f t="shared" si="11"/>
        <v/>
      </c>
      <c r="F72" s="29" t="str">
        <f t="shared" si="12"/>
        <v/>
      </c>
      <c r="G72" s="30" t="str">
        <f t="shared" si="13"/>
        <v/>
      </c>
      <c r="H72" s="31" t="str">
        <f t="shared" si="14"/>
        <v/>
      </c>
      <c r="AH72">
        <v>970808840</v>
      </c>
    </row>
    <row r="73" spans="1:34" ht="31.95" customHeight="1">
      <c r="A73" s="27"/>
      <c r="B73" s="28"/>
      <c r="C73" s="28"/>
      <c r="D73" s="29" t="str">
        <f t="shared" si="10"/>
        <v/>
      </c>
      <c r="E73" s="29" t="str">
        <f t="shared" si="11"/>
        <v/>
      </c>
      <c r="F73" s="29" t="str">
        <f t="shared" si="12"/>
        <v/>
      </c>
      <c r="G73" s="30" t="str">
        <f t="shared" si="13"/>
        <v/>
      </c>
      <c r="H73" s="31" t="str">
        <f t="shared" si="14"/>
        <v/>
      </c>
      <c r="AH73">
        <v>244227472</v>
      </c>
    </row>
    <row r="74" spans="1:34" ht="31.95" customHeight="1">
      <c r="A74" s="27"/>
      <c r="B74" s="28"/>
      <c r="C74" s="28"/>
      <c r="D74" s="29" t="str">
        <f t="shared" si="10"/>
        <v/>
      </c>
      <c r="E74" s="29" t="str">
        <f t="shared" si="11"/>
        <v/>
      </c>
      <c r="F74" s="29" t="str">
        <f t="shared" si="12"/>
        <v/>
      </c>
      <c r="G74" s="30" t="str">
        <f t="shared" si="13"/>
        <v/>
      </c>
      <c r="H74" s="31" t="str">
        <f t="shared" si="14"/>
        <v/>
      </c>
      <c r="AH74">
        <v>441412827</v>
      </c>
    </row>
    <row r="75" spans="1:34" ht="31.95" customHeight="1">
      <c r="A75" s="27"/>
      <c r="B75" s="28"/>
      <c r="C75" s="28"/>
      <c r="D75" s="29" t="str">
        <f t="shared" si="10"/>
        <v/>
      </c>
      <c r="E75" s="29" t="str">
        <f t="shared" si="11"/>
        <v/>
      </c>
      <c r="F75" s="29" t="str">
        <f t="shared" si="12"/>
        <v/>
      </c>
      <c r="G75" s="30" t="str">
        <f t="shared" si="13"/>
        <v/>
      </c>
      <c r="H75" s="31" t="str">
        <f t="shared" si="14"/>
        <v/>
      </c>
      <c r="AH75">
        <v>265659336</v>
      </c>
    </row>
    <row r="76" spans="1:34" ht="31.95" customHeight="1">
      <c r="A76" s="27"/>
      <c r="B76" s="28"/>
      <c r="C76" s="28"/>
      <c r="D76" s="29" t="str">
        <f t="shared" si="10"/>
        <v/>
      </c>
      <c r="E76" s="29" t="str">
        <f t="shared" si="11"/>
        <v/>
      </c>
      <c r="F76" s="29" t="str">
        <f t="shared" si="12"/>
        <v/>
      </c>
      <c r="G76" s="30" t="str">
        <f t="shared" si="13"/>
        <v/>
      </c>
      <c r="H76" s="31" t="str">
        <f t="shared" si="14"/>
        <v/>
      </c>
      <c r="AH76">
        <v>297075379</v>
      </c>
    </row>
    <row r="77" spans="1:34" ht="31.95" customHeight="1">
      <c r="A77" s="27"/>
      <c r="B77" s="28"/>
      <c r="C77" s="28"/>
      <c r="D77" s="29" t="str">
        <f t="shared" si="10"/>
        <v/>
      </c>
      <c r="E77" s="29" t="str">
        <f t="shared" si="11"/>
        <v/>
      </c>
      <c r="F77" s="29" t="str">
        <f t="shared" si="12"/>
        <v/>
      </c>
      <c r="G77" s="30" t="str">
        <f t="shared" si="13"/>
        <v/>
      </c>
      <c r="H77" s="31" t="str">
        <f t="shared" si="14"/>
        <v/>
      </c>
      <c r="AH77">
        <v>98118694</v>
      </c>
    </row>
    <row r="78" spans="1:34" ht="31.95" customHeight="1">
      <c r="A78" s="27"/>
      <c r="B78" s="28"/>
      <c r="C78" s="28"/>
      <c r="D78" s="29" t="str">
        <f t="shared" si="10"/>
        <v/>
      </c>
      <c r="E78" s="29" t="str">
        <f t="shared" si="11"/>
        <v/>
      </c>
      <c r="F78" s="29" t="str">
        <f t="shared" si="12"/>
        <v/>
      </c>
      <c r="G78" s="30" t="str">
        <f t="shared" si="13"/>
        <v/>
      </c>
      <c r="H78" s="31" t="str">
        <f t="shared" si="14"/>
        <v/>
      </c>
      <c r="AH78">
        <v>913647631</v>
      </c>
    </row>
    <row r="79" spans="1:34" ht="31.95" customHeight="1">
      <c r="A79" s="27"/>
      <c r="B79" s="28"/>
      <c r="C79" s="28"/>
      <c r="D79" s="29" t="str">
        <f t="shared" si="10"/>
        <v/>
      </c>
      <c r="E79" s="29" t="str">
        <f t="shared" si="11"/>
        <v/>
      </c>
      <c r="F79" s="29" t="str">
        <f t="shared" si="12"/>
        <v/>
      </c>
      <c r="G79" s="30" t="str">
        <f t="shared" si="13"/>
        <v/>
      </c>
      <c r="H79" s="31" t="str">
        <f t="shared" si="14"/>
        <v/>
      </c>
      <c r="AH79">
        <v>46476448</v>
      </c>
    </row>
    <row r="80" spans="1:34" ht="31.95" customHeight="1">
      <c r="A80" s="27"/>
      <c r="B80" s="28"/>
      <c r="C80" s="28"/>
      <c r="D80" s="29" t="str">
        <f t="shared" si="10"/>
        <v/>
      </c>
      <c r="E80" s="29" t="str">
        <f t="shared" si="11"/>
        <v/>
      </c>
      <c r="F80" s="29" t="str">
        <f t="shared" si="12"/>
        <v/>
      </c>
      <c r="G80" s="30" t="str">
        <f t="shared" si="13"/>
        <v/>
      </c>
      <c r="H80" s="31" t="str">
        <f t="shared" si="14"/>
        <v/>
      </c>
      <c r="AH80">
        <v>688427728</v>
      </c>
    </row>
    <row r="81" spans="1:34" ht="31.95" customHeight="1">
      <c r="A81" s="27"/>
      <c r="B81" s="28"/>
      <c r="C81" s="28"/>
      <c r="D81" s="29" t="str">
        <f t="shared" si="10"/>
        <v/>
      </c>
      <c r="E81" s="29" t="str">
        <f t="shared" si="11"/>
        <v/>
      </c>
      <c r="F81" s="29" t="str">
        <f t="shared" si="12"/>
        <v/>
      </c>
      <c r="G81" s="30" t="str">
        <f t="shared" si="13"/>
        <v/>
      </c>
      <c r="H81" s="31" t="str">
        <f t="shared" si="14"/>
        <v/>
      </c>
      <c r="AH81">
        <v>294212345</v>
      </c>
    </row>
    <row r="82" spans="1:34" ht="31.95" customHeight="1">
      <c r="A82" s="27"/>
      <c r="B82" s="28"/>
      <c r="C82" s="28"/>
      <c r="D82" s="29" t="str">
        <f t="shared" si="10"/>
        <v/>
      </c>
      <c r="E82" s="29" t="str">
        <f t="shared" si="11"/>
        <v/>
      </c>
      <c r="F82" s="29" t="str">
        <f t="shared" si="12"/>
        <v/>
      </c>
      <c r="G82" s="30" t="str">
        <f t="shared" si="13"/>
        <v/>
      </c>
      <c r="H82" s="31" t="str">
        <f t="shared" si="14"/>
        <v/>
      </c>
      <c r="AH82">
        <v>875459695</v>
      </c>
    </row>
    <row r="83" spans="1:34" ht="31.95" customHeight="1">
      <c r="A83" s="27"/>
      <c r="B83" s="28"/>
      <c r="C83" s="28"/>
      <c r="D83" s="29" t="str">
        <f t="shared" si="10"/>
        <v/>
      </c>
      <c r="E83" s="29" t="str">
        <f t="shared" si="11"/>
        <v/>
      </c>
      <c r="F83" s="29" t="str">
        <f t="shared" si="12"/>
        <v/>
      </c>
      <c r="G83" s="30" t="str">
        <f t="shared" si="13"/>
        <v/>
      </c>
      <c r="H83" s="31" t="str">
        <f t="shared" si="14"/>
        <v/>
      </c>
      <c r="AH83">
        <v>45447030</v>
      </c>
    </row>
    <row r="84" spans="1:34" ht="31.95" customHeight="1">
      <c r="A84" s="27"/>
      <c r="B84" s="28"/>
      <c r="C84" s="28"/>
      <c r="D84" s="29" t="str">
        <f t="shared" si="10"/>
        <v/>
      </c>
      <c r="E84" s="29" t="str">
        <f t="shared" si="11"/>
        <v/>
      </c>
      <c r="F84" s="29" t="str">
        <f t="shared" si="12"/>
        <v/>
      </c>
      <c r="G84" s="30" t="str">
        <f t="shared" si="13"/>
        <v/>
      </c>
      <c r="H84" s="31" t="str">
        <f t="shared" si="14"/>
        <v/>
      </c>
      <c r="AH84">
        <v>934388249</v>
      </c>
    </row>
    <row r="85" spans="1:34" ht="31.95" customHeight="1">
      <c r="A85" s="27"/>
      <c r="B85" s="28"/>
      <c r="C85" s="28"/>
      <c r="D85" s="29" t="str">
        <f t="shared" si="10"/>
        <v/>
      </c>
      <c r="E85" s="29" t="str">
        <f t="shared" si="11"/>
        <v/>
      </c>
      <c r="F85" s="29" t="str">
        <f t="shared" si="12"/>
        <v/>
      </c>
      <c r="G85" s="30" t="str">
        <f t="shared" si="13"/>
        <v/>
      </c>
      <c r="H85" s="31" t="str">
        <f t="shared" si="14"/>
        <v/>
      </c>
      <c r="AH85">
        <v>581610618</v>
      </c>
    </row>
    <row r="86" spans="1:34" ht="31.95" customHeight="1">
      <c r="A86" s="27"/>
      <c r="B86" s="28"/>
      <c r="C86" s="28"/>
      <c r="D86" s="29" t="str">
        <f t="shared" si="10"/>
        <v/>
      </c>
      <c r="E86" s="29" t="str">
        <f t="shared" si="11"/>
        <v/>
      </c>
      <c r="F86" s="29" t="str">
        <f t="shared" si="12"/>
        <v/>
      </c>
      <c r="G86" s="30" t="str">
        <f t="shared" si="13"/>
        <v/>
      </c>
      <c r="H86" s="31" t="str">
        <f t="shared" si="14"/>
        <v/>
      </c>
      <c r="AH86">
        <v>648171489</v>
      </c>
    </row>
    <row r="87" spans="1:34" ht="31.95" customHeight="1">
      <c r="A87" s="27"/>
      <c r="B87" s="28"/>
      <c r="C87" s="28"/>
      <c r="D87" s="29" t="str">
        <f t="shared" si="10"/>
        <v/>
      </c>
      <c r="E87" s="29" t="str">
        <f t="shared" si="11"/>
        <v/>
      </c>
      <c r="F87" s="29" t="str">
        <f t="shared" si="12"/>
        <v/>
      </c>
      <c r="G87" s="30" t="str">
        <f t="shared" si="13"/>
        <v/>
      </c>
      <c r="H87" s="31" t="str">
        <f t="shared" si="14"/>
        <v/>
      </c>
      <c r="AH87">
        <v>993514861</v>
      </c>
    </row>
    <row r="88" spans="1:34" ht="31.95" customHeight="1">
      <c r="A88" s="27"/>
      <c r="B88" s="28"/>
      <c r="C88" s="28"/>
      <c r="D88" s="29" t="str">
        <f t="shared" si="10"/>
        <v/>
      </c>
      <c r="E88" s="29" t="str">
        <f t="shared" si="11"/>
        <v/>
      </c>
      <c r="F88" s="29" t="str">
        <f t="shared" si="12"/>
        <v/>
      </c>
      <c r="G88" s="30" t="str">
        <f t="shared" si="13"/>
        <v/>
      </c>
      <c r="H88" s="31" t="str">
        <f t="shared" si="14"/>
        <v/>
      </c>
      <c r="AH88">
        <v>220079525</v>
      </c>
    </row>
    <row r="89" spans="1:34" ht="31.95" customHeight="1">
      <c r="A89" s="27"/>
      <c r="B89" s="28"/>
      <c r="C89" s="28"/>
      <c r="D89" s="29" t="str">
        <f t="shared" si="10"/>
        <v/>
      </c>
      <c r="E89" s="29" t="str">
        <f t="shared" si="11"/>
        <v/>
      </c>
      <c r="F89" s="29" t="str">
        <f t="shared" si="12"/>
        <v/>
      </c>
      <c r="G89" s="30" t="str">
        <f t="shared" si="13"/>
        <v/>
      </c>
      <c r="H89" s="31" t="str">
        <f t="shared" si="14"/>
        <v/>
      </c>
      <c r="AH89">
        <v>970821017</v>
      </c>
    </row>
    <row r="90" spans="1:34" ht="31.95" customHeight="1">
      <c r="A90" s="27"/>
      <c r="B90" s="28"/>
      <c r="C90" s="28"/>
      <c r="D90" s="29" t="str">
        <f t="shared" si="10"/>
        <v/>
      </c>
      <c r="E90" s="29" t="str">
        <f t="shared" si="11"/>
        <v/>
      </c>
      <c r="F90" s="29" t="str">
        <f t="shared" si="12"/>
        <v/>
      </c>
      <c r="G90" s="30" t="str">
        <f t="shared" si="13"/>
        <v/>
      </c>
      <c r="H90" s="31" t="str">
        <f t="shared" si="14"/>
        <v/>
      </c>
      <c r="AH90">
        <v>373499480</v>
      </c>
    </row>
    <row r="91" spans="1:34" ht="31.95" customHeight="1">
      <c r="A91" s="27"/>
      <c r="B91" s="28"/>
      <c r="C91" s="28"/>
      <c r="D91" s="29" t="str">
        <f t="shared" si="10"/>
        <v/>
      </c>
      <c r="E91" s="29" t="str">
        <f t="shared" si="11"/>
        <v/>
      </c>
      <c r="F91" s="29" t="str">
        <f t="shared" si="12"/>
        <v/>
      </c>
      <c r="G91" s="30" t="str">
        <f t="shared" si="13"/>
        <v/>
      </c>
      <c r="H91" s="31" t="str">
        <f t="shared" si="14"/>
        <v/>
      </c>
      <c r="AH91">
        <v>545199410</v>
      </c>
    </row>
    <row r="92" spans="1:34" ht="31.95" customHeight="1">
      <c r="A92" s="27"/>
      <c r="B92" s="28"/>
      <c r="C92" s="28"/>
      <c r="D92" s="29" t="str">
        <f t="shared" si="10"/>
        <v/>
      </c>
      <c r="E92" s="29" t="str">
        <f t="shared" si="11"/>
        <v/>
      </c>
      <c r="F92" s="29" t="str">
        <f t="shared" si="12"/>
        <v/>
      </c>
      <c r="G92" s="30" t="str">
        <f t="shared" si="13"/>
        <v/>
      </c>
      <c r="H92" s="31" t="str">
        <f t="shared" si="14"/>
        <v/>
      </c>
      <c r="AH92">
        <v>741824879</v>
      </c>
    </row>
    <row r="93" spans="1:34" ht="31.95" customHeight="1">
      <c r="A93" s="27"/>
      <c r="B93" s="28"/>
      <c r="C93" s="28"/>
      <c r="D93" s="29" t="str">
        <f t="shared" si="10"/>
        <v/>
      </c>
      <c r="E93" s="29" t="str">
        <f t="shared" si="11"/>
        <v/>
      </c>
      <c r="F93" s="29" t="str">
        <f t="shared" si="12"/>
        <v/>
      </c>
      <c r="G93" s="30" t="str">
        <f t="shared" si="13"/>
        <v/>
      </c>
      <c r="H93" s="31" t="str">
        <f t="shared" si="14"/>
        <v/>
      </c>
      <c r="AH93">
        <v>442717486</v>
      </c>
    </row>
    <row r="94" spans="1:34" ht="31.95" customHeight="1">
      <c r="A94" s="27"/>
      <c r="B94" s="28"/>
      <c r="C94" s="28"/>
      <c r="D94" s="29" t="str">
        <f t="shared" si="10"/>
        <v/>
      </c>
      <c r="E94" s="29" t="str">
        <f t="shared" si="11"/>
        <v/>
      </c>
      <c r="F94" s="29" t="str">
        <f t="shared" si="12"/>
        <v/>
      </c>
      <c r="G94" s="30" t="str">
        <f t="shared" si="13"/>
        <v/>
      </c>
      <c r="H94" s="31" t="str">
        <f t="shared" si="14"/>
        <v/>
      </c>
      <c r="AH94">
        <v>142514853</v>
      </c>
    </row>
    <row r="95" spans="1:34" ht="31.95" customHeight="1">
      <c r="A95" s="27"/>
      <c r="B95" s="28"/>
      <c r="C95" s="28"/>
      <c r="D95" s="29" t="str">
        <f t="shared" si="10"/>
        <v/>
      </c>
      <c r="E95" s="29" t="str">
        <f t="shared" si="11"/>
        <v/>
      </c>
      <c r="F95" s="29" t="str">
        <f t="shared" si="12"/>
        <v/>
      </c>
      <c r="G95" s="30" t="str">
        <f t="shared" si="13"/>
        <v/>
      </c>
      <c r="H95" s="31" t="str">
        <f t="shared" si="14"/>
        <v/>
      </c>
      <c r="AH95">
        <v>332710195</v>
      </c>
    </row>
    <row r="96" spans="1:34" ht="31.95" customHeight="1">
      <c r="A96" s="27"/>
      <c r="B96" s="28"/>
      <c r="C96" s="28"/>
      <c r="D96" s="29" t="str">
        <f t="shared" si="10"/>
        <v/>
      </c>
      <c r="E96" s="29" t="str">
        <f t="shared" si="11"/>
        <v/>
      </c>
      <c r="F96" s="29" t="str">
        <f t="shared" si="12"/>
        <v/>
      </c>
      <c r="G96" s="30" t="str">
        <f t="shared" si="13"/>
        <v/>
      </c>
      <c r="H96" s="31" t="str">
        <f t="shared" si="14"/>
        <v/>
      </c>
      <c r="AH96">
        <v>921258981</v>
      </c>
    </row>
    <row r="97" spans="1:34" ht="31.95" customHeight="1">
      <c r="A97" s="27"/>
      <c r="B97" s="28"/>
      <c r="C97" s="28"/>
      <c r="D97" s="29" t="str">
        <f t="shared" si="10"/>
        <v/>
      </c>
      <c r="E97" s="29" t="str">
        <f t="shared" si="11"/>
        <v/>
      </c>
      <c r="F97" s="29" t="str">
        <f t="shared" si="12"/>
        <v/>
      </c>
      <c r="G97" s="30" t="str">
        <f t="shared" si="13"/>
        <v/>
      </c>
      <c r="H97" s="31" t="str">
        <f t="shared" si="14"/>
        <v/>
      </c>
      <c r="AH97">
        <v>525006658</v>
      </c>
    </row>
    <row r="98" spans="1:34" ht="31.95" customHeight="1">
      <c r="A98" s="27"/>
      <c r="B98" s="28"/>
      <c r="C98" s="28"/>
      <c r="D98" s="29" t="str">
        <f t="shared" si="10"/>
        <v/>
      </c>
      <c r="E98" s="29" t="str">
        <f t="shared" si="11"/>
        <v/>
      </c>
      <c r="F98" s="29" t="str">
        <f t="shared" si="12"/>
        <v/>
      </c>
      <c r="G98" s="30" t="str">
        <f t="shared" si="13"/>
        <v/>
      </c>
      <c r="H98" s="31" t="str">
        <f t="shared" si="14"/>
        <v/>
      </c>
      <c r="AH98">
        <v>540008236</v>
      </c>
    </row>
    <row r="99" spans="1:34" ht="31.95" customHeight="1">
      <c r="A99" s="27"/>
      <c r="B99" s="28"/>
      <c r="C99" s="28"/>
      <c r="D99" s="29" t="str">
        <f t="shared" si="10"/>
        <v/>
      </c>
      <c r="E99" s="29" t="str">
        <f t="shared" si="11"/>
        <v/>
      </c>
      <c r="F99" s="29" t="str">
        <f t="shared" si="12"/>
        <v/>
      </c>
      <c r="G99" s="30" t="str">
        <f t="shared" si="13"/>
        <v/>
      </c>
      <c r="H99" s="31" t="str">
        <f t="shared" si="14"/>
        <v/>
      </c>
      <c r="AH99">
        <v>419782271</v>
      </c>
    </row>
    <row r="100" spans="1:34" ht="31.95" customHeight="1">
      <c r="A100" s="27"/>
      <c r="B100" s="28"/>
      <c r="C100" s="28"/>
      <c r="D100" s="29" t="str">
        <f t="shared" si="10"/>
        <v/>
      </c>
      <c r="E100" s="29" t="str">
        <f t="shared" si="11"/>
        <v/>
      </c>
      <c r="F100" s="29" t="str">
        <f t="shared" si="12"/>
        <v/>
      </c>
      <c r="G100" s="30" t="str">
        <f t="shared" si="13"/>
        <v/>
      </c>
      <c r="H100" s="31" t="str">
        <f t="shared" si="14"/>
        <v/>
      </c>
      <c r="AH100">
        <v>652282272</v>
      </c>
    </row>
    <row r="101" spans="1:34" ht="31.95" customHeight="1">
      <c r="A101" s="27"/>
      <c r="B101" s="28"/>
      <c r="C101" s="28"/>
      <c r="D101" s="29" t="str">
        <f t="shared" ref="D101:D104" si="15">IF(OR(A101="",B101="",C101=""),"",1+MOD($AH101,60))</f>
        <v/>
      </c>
      <c r="E101" s="29" t="str">
        <f t="shared" ref="E101:E104" si="16">IF(D101="","",INDEX($AB$2:$AB$61,MATCH(D101,$AA$2:$AA$61,0)))</f>
        <v/>
      </c>
      <c r="F101" s="29" t="str">
        <f t="shared" si="12"/>
        <v/>
      </c>
      <c r="G101" s="30" t="str">
        <f t="shared" si="13"/>
        <v/>
      </c>
      <c r="H101" s="31" t="str">
        <f t="shared" si="14"/>
        <v/>
      </c>
      <c r="AH101">
        <v>111919965</v>
      </c>
    </row>
    <row r="102" spans="1:34" ht="31.95" customHeight="1">
      <c r="A102" s="27"/>
      <c r="B102" s="28"/>
      <c r="C102" s="28"/>
      <c r="D102" s="29" t="str">
        <f t="shared" si="15"/>
        <v/>
      </c>
      <c r="E102" s="29" t="str">
        <f t="shared" si="16"/>
        <v/>
      </c>
      <c r="F102" s="29" t="str">
        <f t="shared" si="12"/>
        <v/>
      </c>
      <c r="G102" s="30" t="str">
        <f t="shared" si="13"/>
        <v/>
      </c>
      <c r="H102" s="31" t="str">
        <f t="shared" si="14"/>
        <v/>
      </c>
      <c r="AH102">
        <v>771481894</v>
      </c>
    </row>
    <row r="103" spans="1:34" ht="31.95" customHeight="1">
      <c r="A103" s="27"/>
      <c r="B103" s="28"/>
      <c r="C103" s="28"/>
      <c r="D103" s="29" t="str">
        <f t="shared" si="15"/>
        <v/>
      </c>
      <c r="E103" s="29" t="str">
        <f t="shared" si="16"/>
        <v/>
      </c>
      <c r="F103" s="29" t="str">
        <f t="shared" si="12"/>
        <v/>
      </c>
      <c r="G103" s="30" t="str">
        <f t="shared" si="13"/>
        <v/>
      </c>
      <c r="H103" s="31" t="str">
        <f t="shared" si="14"/>
        <v/>
      </c>
      <c r="AH103">
        <v>825542600</v>
      </c>
    </row>
    <row r="104" spans="1:34" ht="31.95" customHeight="1">
      <c r="A104" s="32"/>
      <c r="B104" s="33"/>
      <c r="C104" s="33"/>
      <c r="D104" s="34" t="str">
        <f t="shared" si="15"/>
        <v/>
      </c>
      <c r="E104" s="34" t="str">
        <f t="shared" si="16"/>
        <v/>
      </c>
      <c r="F104" s="34" t="str">
        <f t="shared" si="12"/>
        <v/>
      </c>
      <c r="G104" s="35" t="str">
        <f t="shared" si="13"/>
        <v/>
      </c>
      <c r="H104" s="36" t="str">
        <f t="shared" si="14"/>
        <v/>
      </c>
      <c r="AH104">
        <v>114067092</v>
      </c>
    </row>
  </sheetData>
  <mergeCells count="2">
    <mergeCell ref="A1:H1"/>
    <mergeCell ref="A2:H2"/>
  </mergeCells>
  <conditionalFormatting sqref="F5:F104">
    <cfRule type="expression" dxfId="6" priority="1">
      <formula>F5="+"</formula>
    </cfRule>
    <cfRule type="expression" dxfId="5" priority="2">
      <formula>F5="−"</formula>
    </cfRule>
  </conditionalFormatting>
  <dataValidations count="1">
    <dataValidation sqref="A5:A104" xr:uid="{00000000-0002-0000-0100-000000000000}">
      <formula1>1</formula1>
      <formula2>15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1000000}">
          <x14:formula1>
            <xm:f>'Распределение команд'!$C$5:$C$20</xm:f>
          </x14:formula1>
          <xm:sqref>B5:B104</xm:sqref>
        </x14:dataValidation>
        <x14:dataValidation type="list" xr:uid="{00000000-0002-0000-0100-000002000000}">
          <x14:formula1>
            <xm:f>'Распределение команд'!$B$5:$B$20</xm:f>
          </x14:formula1>
          <xm:sqref>C5:C104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S54"/>
  <sheetViews>
    <sheetView tabSelected="1" topLeftCell="B1" workbookViewId="0">
      <selection activeCell="R5" sqref="R5"/>
    </sheetView>
  </sheetViews>
  <sheetFormatPr defaultRowHeight="13.8"/>
  <cols>
    <col min="1" max="1" width="7" customWidth="1"/>
    <col min="2" max="3" width="18" customWidth="1"/>
    <col min="4" max="6" width="9" customWidth="1"/>
    <col min="7" max="9" width="10" customWidth="1"/>
    <col min="10" max="12" width="9" customWidth="1"/>
    <col min="13" max="20" width="10" customWidth="1"/>
    <col min="21" max="21" width="16" customWidth="1"/>
    <col min="22" max="22" width="13" customWidth="1"/>
    <col min="23" max="23" width="16" customWidth="1"/>
    <col min="24" max="24" width="11" customWidth="1"/>
    <col min="25" max="25" width="20" customWidth="1"/>
    <col min="26" max="26" width="18" customWidth="1"/>
    <col min="27" max="27" width="26" customWidth="1"/>
    <col min="28" max="28" width="46" customWidth="1"/>
    <col min="29" max="29" width="26" customWidth="1"/>
    <col min="30" max="30" width="46" customWidth="1"/>
    <col min="31" max="31" width="26" customWidth="1"/>
    <col min="32" max="32" width="46" customWidth="1"/>
    <col min="33" max="33" width="62" customWidth="1"/>
    <col min="34" max="34" width="85" customWidth="1"/>
    <col min="53" max="149" width="0.19921875" customWidth="1"/>
  </cols>
  <sheetData>
    <row r="1" spans="1:149" ht="24" customHeight="1">
      <c r="A1" s="63" t="s">
        <v>226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BA1" t="s">
        <v>227</v>
      </c>
      <c r="BB1" t="s">
        <v>228</v>
      </c>
      <c r="BC1" t="s">
        <v>229</v>
      </c>
      <c r="BD1" t="s">
        <v>33</v>
      </c>
      <c r="BE1" t="s">
        <v>230</v>
      </c>
    </row>
    <row r="2" spans="1:149" ht="36.75" customHeight="1">
      <c r="A2" s="64" t="s">
        <v>231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BA2" t="s">
        <v>232</v>
      </c>
      <c r="BB2" t="s">
        <v>232</v>
      </c>
      <c r="BC2" t="s">
        <v>233</v>
      </c>
      <c r="BD2" t="s">
        <v>10</v>
      </c>
      <c r="BE2" t="s">
        <v>234</v>
      </c>
    </row>
    <row r="3" spans="1:149">
      <c r="A3" s="65" t="s">
        <v>235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6" t="s">
        <v>236</v>
      </c>
      <c r="Q3" s="66"/>
      <c r="R3" s="66"/>
      <c r="S3" s="66"/>
      <c r="T3" s="66"/>
      <c r="U3" s="66"/>
      <c r="V3" s="66"/>
      <c r="W3" s="66"/>
      <c r="X3" s="67" t="s">
        <v>237</v>
      </c>
      <c r="Y3" s="67"/>
      <c r="Z3" s="67"/>
      <c r="AA3" s="67"/>
      <c r="AB3" s="67"/>
      <c r="AC3" s="67"/>
      <c r="AD3" s="67"/>
      <c r="AE3" s="67"/>
      <c r="AF3" s="67"/>
      <c r="AG3" s="67"/>
      <c r="AH3" s="67"/>
      <c r="BA3" t="s">
        <v>238</v>
      </c>
      <c r="BB3" t="s">
        <v>238</v>
      </c>
      <c r="BC3" t="s">
        <v>239</v>
      </c>
      <c r="BD3" t="s">
        <v>11</v>
      </c>
      <c r="BE3" t="s">
        <v>240</v>
      </c>
    </row>
    <row r="4" spans="1:149" ht="36" customHeight="1">
      <c r="A4" s="37" t="s">
        <v>44</v>
      </c>
      <c r="B4" s="38" t="s">
        <v>241</v>
      </c>
      <c r="C4" s="38" t="s">
        <v>242</v>
      </c>
      <c r="D4" s="38" t="s">
        <v>243</v>
      </c>
      <c r="E4" s="38" t="s">
        <v>244</v>
      </c>
      <c r="F4" s="38" t="s">
        <v>245</v>
      </c>
      <c r="G4" s="38" t="s">
        <v>246</v>
      </c>
      <c r="H4" s="38" t="s">
        <v>247</v>
      </c>
      <c r="I4" s="38" t="s">
        <v>248</v>
      </c>
      <c r="J4" s="38" t="s">
        <v>249</v>
      </c>
      <c r="K4" s="38" t="s">
        <v>250</v>
      </c>
      <c r="L4" s="38" t="s">
        <v>251</v>
      </c>
      <c r="M4" s="38" t="s">
        <v>252</v>
      </c>
      <c r="N4" s="38" t="s">
        <v>253</v>
      </c>
      <c r="O4" s="38" t="s">
        <v>254</v>
      </c>
      <c r="P4" s="38" t="s">
        <v>255</v>
      </c>
      <c r="Q4" s="38" t="s">
        <v>256</v>
      </c>
      <c r="R4" s="38" t="s">
        <v>257</v>
      </c>
      <c r="S4" s="38" t="s">
        <v>258</v>
      </c>
      <c r="T4" s="38" t="s">
        <v>259</v>
      </c>
      <c r="U4" s="38" t="s">
        <v>260</v>
      </c>
      <c r="V4" s="38" t="s">
        <v>261</v>
      </c>
      <c r="W4" s="38" t="s">
        <v>262</v>
      </c>
      <c r="X4" s="38" t="s">
        <v>263</v>
      </c>
      <c r="Y4" s="38" t="s">
        <v>264</v>
      </c>
      <c r="Z4" s="38" t="s">
        <v>265</v>
      </c>
      <c r="AA4" s="38" t="s">
        <v>266</v>
      </c>
      <c r="AB4" s="38" t="s">
        <v>267</v>
      </c>
      <c r="AC4" s="38" t="s">
        <v>268</v>
      </c>
      <c r="AD4" s="38" t="s">
        <v>269</v>
      </c>
      <c r="AE4" s="38" t="s">
        <v>270</v>
      </c>
      <c r="AF4" s="38" t="s">
        <v>271</v>
      </c>
      <c r="AG4" s="38" t="s">
        <v>272</v>
      </c>
      <c r="AH4" s="39" t="s">
        <v>273</v>
      </c>
      <c r="BA4" t="s">
        <v>274</v>
      </c>
      <c r="BB4" t="s">
        <v>274</v>
      </c>
      <c r="BC4" t="s">
        <v>275</v>
      </c>
      <c r="BD4" t="s">
        <v>12</v>
      </c>
      <c r="BE4" t="s">
        <v>276</v>
      </c>
      <c r="BF4" t="s">
        <v>277</v>
      </c>
      <c r="BG4" t="s">
        <v>278</v>
      </c>
      <c r="BH4" t="s">
        <v>279</v>
      </c>
      <c r="BI4" t="s">
        <v>280</v>
      </c>
      <c r="BJ4" t="s">
        <v>281</v>
      </c>
      <c r="BK4" t="s">
        <v>282</v>
      </c>
      <c r="BL4" t="s">
        <v>283</v>
      </c>
      <c r="BM4" t="s">
        <v>232</v>
      </c>
      <c r="BN4" t="s">
        <v>238</v>
      </c>
      <c r="BO4" t="s">
        <v>274</v>
      </c>
      <c r="BP4" t="s">
        <v>284</v>
      </c>
      <c r="BQ4" t="s">
        <v>285</v>
      </c>
      <c r="BR4" t="s">
        <v>286</v>
      </c>
      <c r="BS4" t="s">
        <v>287</v>
      </c>
      <c r="BT4" t="s">
        <v>288</v>
      </c>
      <c r="BU4" t="s">
        <v>289</v>
      </c>
      <c r="BV4" t="s">
        <v>290</v>
      </c>
      <c r="BW4" t="s">
        <v>233</v>
      </c>
      <c r="BX4" t="s">
        <v>239</v>
      </c>
      <c r="BY4" t="s">
        <v>275</v>
      </c>
      <c r="BZ4" t="s">
        <v>291</v>
      </c>
      <c r="CA4" t="s">
        <v>292</v>
      </c>
      <c r="CB4" t="s">
        <v>293</v>
      </c>
      <c r="CC4" t="s">
        <v>294</v>
      </c>
      <c r="CD4" t="s">
        <v>295</v>
      </c>
      <c r="CE4" t="s">
        <v>10</v>
      </c>
      <c r="CF4" t="s">
        <v>11</v>
      </c>
      <c r="CG4" t="s">
        <v>12</v>
      </c>
      <c r="CH4" t="s">
        <v>13</v>
      </c>
      <c r="CI4" t="s">
        <v>14</v>
      </c>
      <c r="CJ4" t="s">
        <v>15</v>
      </c>
      <c r="CK4" t="s">
        <v>16</v>
      </c>
      <c r="CL4" t="s">
        <v>17</v>
      </c>
      <c r="CM4" t="s">
        <v>18</v>
      </c>
      <c r="CN4" t="s">
        <v>19</v>
      </c>
      <c r="CO4" t="s">
        <v>20</v>
      </c>
      <c r="CP4" t="s">
        <v>21</v>
      </c>
      <c r="CQ4" t="s">
        <v>22</v>
      </c>
      <c r="CR4" t="s">
        <v>23</v>
      </c>
      <c r="CS4" t="s">
        <v>24</v>
      </c>
      <c r="CT4" t="s">
        <v>25</v>
      </c>
      <c r="CU4" t="s">
        <v>10</v>
      </c>
      <c r="CV4" t="s">
        <v>11</v>
      </c>
      <c r="CW4" t="s">
        <v>12</v>
      </c>
      <c r="CX4" t="s">
        <v>13</v>
      </c>
      <c r="CY4" t="s">
        <v>14</v>
      </c>
      <c r="CZ4" t="s">
        <v>15</v>
      </c>
      <c r="DA4" t="s">
        <v>16</v>
      </c>
      <c r="DB4" t="s">
        <v>17</v>
      </c>
      <c r="DC4" t="s">
        <v>18</v>
      </c>
      <c r="DD4" t="s">
        <v>19</v>
      </c>
      <c r="DE4" t="s">
        <v>20</v>
      </c>
      <c r="DF4" t="s">
        <v>21</v>
      </c>
      <c r="DG4" t="s">
        <v>22</v>
      </c>
      <c r="DH4" t="s">
        <v>23</v>
      </c>
      <c r="DI4" t="s">
        <v>24</v>
      </c>
      <c r="DJ4" t="s">
        <v>25</v>
      </c>
      <c r="DK4" t="s">
        <v>234</v>
      </c>
      <c r="DL4" t="s">
        <v>240</v>
      </c>
      <c r="DM4" t="s">
        <v>276</v>
      </c>
    </row>
    <row r="5" spans="1:149" ht="52.8" customHeight="1">
      <c r="A5" s="40"/>
      <c r="B5" s="41"/>
      <c r="C5" s="41"/>
      <c r="D5" s="41"/>
      <c r="E5" s="41"/>
      <c r="F5" s="41"/>
      <c r="G5" s="42"/>
      <c r="H5" s="42"/>
      <c r="I5" s="42"/>
      <c r="J5" s="41"/>
      <c r="K5" s="41"/>
      <c r="L5" s="41"/>
      <c r="M5" s="42"/>
      <c r="N5" s="42"/>
      <c r="O5" s="42"/>
      <c r="P5" s="43" t="str">
        <f t="shared" ref="P5:P36" si="0">IF(OR($B5="",$C5="",SUM($D5:$F5)+SUM($J5:$L5)=0),"",EG5+0.5*EH5+0.25*EI5)</f>
        <v/>
      </c>
      <c r="Q5" s="43" t="str">
        <f t="shared" ref="Q5:Q36" si="1">IF(OR($B5="",$C5="",SUM($D5:$F5)+SUM($J5:$L5)=0),"",EJ5+0.5*EK5+0.25*EL5)</f>
        <v/>
      </c>
      <c r="R5" s="44" t="e">
        <f t="shared" ref="R5:R36" si="2">IF(OR(P5="",Q5="",P5+Q5=0),"",(1-0.2*4*(P5/(P5+Q5))*(Q5/(P5+Q5)))*(P5/(P5+Q5)))</f>
        <v>#VALUE!</v>
      </c>
      <c r="S5" s="44" t="e">
        <f t="shared" ref="S5:S36" si="3">IF(OR(P5="",Q5="",P5+Q5=0),"",0.2*4*(P5/(P5+Q5))*(Q5/(P5+Q5)))</f>
        <v>#VALUE!</v>
      </c>
      <c r="T5" s="44" t="e">
        <f t="shared" ref="T5:T36" si="4">IF(R5="","",1-R5-S5)</f>
        <v>#VALUE!</v>
      </c>
      <c r="U5" s="45" t="e">
        <f t="shared" ref="U5:U36" si="5">IF(R5="","",IF(EM5=0,"—","1–"&amp;EM5))</f>
        <v>#VALUE!</v>
      </c>
      <c r="V5" s="45" t="e">
        <f t="shared" ref="V5:V36" si="6">IF(R5="","",IF(EN5&lt;=EM5,"—",(EM5+1)&amp;"–"&amp;EN5))</f>
        <v>#VALUE!</v>
      </c>
      <c r="W5" s="45" t="e">
        <f t="shared" ref="W5:W36" si="7">IF(R5="","",IF(EN5&gt;=60,"—",(EN5+1)&amp;"–60"))</f>
        <v>#VALUE!</v>
      </c>
      <c r="X5" s="46">
        <v>40</v>
      </c>
      <c r="Y5" s="47" t="e">
        <f t="shared" ref="Y5:Y36" si="8">IF(EO5="","",IF(EO5=1,"Победа "&amp;$B5,IF(EO5=0,"Ничья","Победа "&amp;$C5)))</f>
        <v>#VALUE!</v>
      </c>
      <c r="Z5" s="47" t="e">
        <f t="shared" ref="Z5:Z36" si="9">IF(EO5="","",IF(EO5=0,"—",IF(EP5&lt;=1/3,"Минимальная победа",IF(EP5&lt;=2/3,"Уверенная победа","Разгромная победа"))))</f>
        <v>#VALUE!</v>
      </c>
      <c r="AA5" s="47" t="str">
        <f t="shared" ref="AA5:AA36" si="10">IF(OR($B5="",$C5=""),"",IF(EC5=0,"Нет существенного перевеса",IF(EG5&gt;EJ5,$B5&amp;" — "&amp;IF(EC5=1,"преимущество",IF(EC5=2,"крупная победа","доминирование")),$C5&amp;" — "&amp;IF(EC5=1,"преимущество",IF(EC5=2,"крупная победа","доминирование")))))</f>
        <v/>
      </c>
      <c r="AB5" s="47" t="str">
        <f t="shared" ref="AB5:AB36" si="11">IF(EC5=0,"Нет локального эффекта","Цели: "&amp;DN5&amp;IF(EC5&gt;=2,", "&amp;DO5,"")&amp;IF(EC5&gt;=3,", "&amp;DP5,"")&amp;". "&amp;IF(EG5&gt;EJ5,$B5&amp;": +"&amp;IF(EC5=1,"0,15",IF(EC5=2,"0,20","0,30"))&amp;" к значению и +"&amp;IF(EC5=1,"0,01",IF(EC5=2,"0,02","0,03"))&amp;" к приросту; "&amp;$C5&amp;": −те же величины.",$C5&amp;": +"&amp;IF(EC5=1,"0,15",IF(EC5=2,"0,20","0,30"))&amp;" к значению и +"&amp;IF(EC5=1,"0,01",IF(EC5=2,"0,02","0,03"))&amp;" к приросту; "&amp;$B5&amp;": −те же величины."))</f>
        <v>Нет локального эффекта</v>
      </c>
      <c r="AC5" s="47" t="str">
        <f t="shared" ref="AC5:AC36" si="12">IF(OR($B5="",$C5=""),"",IF(ED5=0,"Нет существенного перевеса",IF(EH5&gt;EK5,$B5&amp;" — "&amp;IF(ED5=1,"преимущество",IF(ED5=2,"крупная победа","доминирование")),$C5&amp;" — "&amp;IF(ED5=1,"преимущество",IF(ED5=2,"крупная победа","доминирование")))))</f>
        <v/>
      </c>
      <c r="AD5" s="47" t="str">
        <f t="shared" ref="AD5:AD36" si="13">IF(ED5=0,"Нет локального эффекта","Сферы: "&amp;DQ5&amp;IF(ED5&gt;=2,", "&amp;DR5,"")&amp;IF(ED5&gt;=3,", "&amp;DS5,"")&amp;". "&amp;IF(EH5&gt;EK5,$B5&amp;": +"&amp;IF(ED5=1,"0,02",IF(ED5=2,"0,03","0,05"))&amp;" к годовому приросту; "&amp;$C5&amp;": −та же величина.",$C5&amp;": +"&amp;IF(ED5=1,"0,02",IF(ED5=2,"0,03","0,05"))&amp;" к годовому приросту; "&amp;$B5&amp;": −та же величина."))</f>
        <v>Нет локального эффекта</v>
      </c>
      <c r="AE5" s="47" t="str">
        <f t="shared" ref="AE5:AE36" si="14">IF(OR($B5="",$C5=""),"",IF(EE5=0,"Нет существенного перевеса",IF(EI5&gt;EL5,$B5&amp;" — "&amp;IF(EE5=1,"преимущество",IF(EE5=2,"крупная победа","доминирование")),$C5&amp;" — "&amp;IF(EE5=1,"преимущество",IF(EE5=2,"крупная победа","доминирование")))))</f>
        <v/>
      </c>
      <c r="AF5" s="47" t="str">
        <f t="shared" ref="AF5:AF36" si="15">IF(EE5=0,"Нет локального эффекта","Страны: "&amp;DT5&amp;IF(EE5&gt;=2,", "&amp;DU5,"")&amp;IF(EE5&gt;=3,", "&amp;DV5,"")&amp;". "&amp;IF(EI5&gt;EL5,$B5&amp;": +"&amp;IF(EE5=1,"0,2",IF(EE5=2,"0,3","0,5"))&amp;" к отношениям; "&amp;$C5&amp;": −та же величина.",$C5&amp;": +"&amp;IF(EE5=1,"0,2",IF(EE5=2,"0,3","0,5"))&amp;" к отношениям; "&amp;$B5&amp;": −та же величина."))</f>
        <v>Нет локального эффекта</v>
      </c>
      <c r="AG5" s="47" t="e">
        <f t="shared" ref="AG5:AG36" si="16">IF(EO5="","",IF(EO5=0,"Ничья: общего дополнительного эффекта нет.",IF(EF5=0,"",IF(OR(DW5="Ресурсный",AND(EF5&gt;=2,DX5="Ресурсный"),AND(EF5&gt;=3,DY5="Ресурсный")),EQ5&amp;" ","")&amp;IF(OR(DW5="Общественный",AND(EF5&gt;=2,DX5="Общественный"),AND(EF5&gt;=3,DY5="Общественный")),ER5&amp;" ","")&amp;IF(OR(DW5="Дипломатический",AND(EF5&gt;=2,DX5="Дипломатический"),AND(EF5&gt;=3,DY5="Дипломатический")),ES5,""))))</f>
        <v>#VALUE!</v>
      </c>
      <c r="AH5" s="48" t="str">
        <f>IF($B5="","","Общий итог: "&amp;IF($Y5="","ожидает D60",$Y5&amp;IF($Z5="—",""," — "&amp;$Z5))&amp;". Арес: "&amp;$AA5&amp;". "&amp;$AB5&amp;" Афина: "&amp;$AC5&amp;". "&amp;$AD5&amp;" Аполлон: "&amp;$AE5&amp;". "&amp;$AF5&amp;IF($AG5="",""," Общий эффект: "&amp;$AG5))</f>
        <v/>
      </c>
      <c r="BA5" t="s">
        <v>284</v>
      </c>
      <c r="BB5" t="s">
        <v>284</v>
      </c>
      <c r="BC5" t="s">
        <v>291</v>
      </c>
      <c r="BD5" t="s">
        <v>13</v>
      </c>
      <c r="BF5">
        <v>352162939</v>
      </c>
      <c r="BG5">
        <v>550872684</v>
      </c>
      <c r="BH5">
        <v>655395108</v>
      </c>
      <c r="BI5">
        <v>815616875</v>
      </c>
      <c r="BJ5">
        <v>483896262</v>
      </c>
      <c r="BK5">
        <v>906601351</v>
      </c>
      <c r="BL5">
        <v>311826627</v>
      </c>
      <c r="BM5">
        <f t="shared" ref="BM5:BM36" si="17">MOD($BF5+1*7919,100003)</f>
        <v>60295</v>
      </c>
      <c r="BN5">
        <f t="shared" ref="BN5:BN36" si="18">MOD($BF5+2*7919,100003)</f>
        <v>68214</v>
      </c>
      <c r="BO5">
        <f t="shared" ref="BO5:BO36" si="19">MOD($BF5+3*7919,100003)</f>
        <v>76133</v>
      </c>
      <c r="BP5">
        <f t="shared" ref="BP5:BP36" si="20">MOD($BF5+4*7919,100003)</f>
        <v>84052</v>
      </c>
      <c r="BQ5">
        <f t="shared" ref="BQ5:BQ36" si="21">MOD($BF5+5*7919,100003)</f>
        <v>91971</v>
      </c>
      <c r="BR5">
        <f t="shared" ref="BR5:BR36" si="22">MOD($BF5+6*7919,100003)</f>
        <v>99890</v>
      </c>
      <c r="BS5">
        <f t="shared" ref="BS5:BS36" si="23">MOD($BF5+7*7919,100003)</f>
        <v>7806</v>
      </c>
      <c r="BT5">
        <f t="shared" ref="BT5:BT36" si="24">MOD($BF5+8*7919,100003)</f>
        <v>15725</v>
      </c>
      <c r="BU5">
        <f t="shared" ref="BU5:BU36" si="25">MOD($BF5+9*7919,100003)</f>
        <v>23644</v>
      </c>
      <c r="BV5">
        <f t="shared" ref="BV5:BV36" si="26">MOD($BF5+10*7919,100003)</f>
        <v>31563</v>
      </c>
      <c r="BW5">
        <f t="shared" ref="BW5:BW36" si="27">MOD($BG5+1*6151,100003)</f>
        <v>62311</v>
      </c>
      <c r="BX5">
        <f t="shared" ref="BX5:BX36" si="28">MOD($BG5+2*6151,100003)</f>
        <v>68462</v>
      </c>
      <c r="BY5">
        <f t="shared" ref="BY5:BY36" si="29">MOD($BG5+3*6151,100003)</f>
        <v>74613</v>
      </c>
      <c r="BZ5">
        <f t="shared" ref="BZ5:BZ36" si="30">MOD($BG5+4*6151,100003)</f>
        <v>80764</v>
      </c>
      <c r="CA5">
        <f t="shared" ref="CA5:CA36" si="31">MOD($BG5+5*6151,100003)</f>
        <v>86915</v>
      </c>
      <c r="CB5">
        <f t="shared" ref="CB5:CB36" si="32">MOD($BG5+6*6151,100003)</f>
        <v>93066</v>
      </c>
      <c r="CC5">
        <f t="shared" ref="CC5:CC36" si="33">MOD($BG5+7*6151,100003)</f>
        <v>99217</v>
      </c>
      <c r="CD5">
        <f t="shared" ref="CD5:CD36" si="34">MOD($BG5+8*6151,100003)</f>
        <v>5365</v>
      </c>
      <c r="CE5">
        <f t="shared" ref="CE5:CE36" si="35">IF(OR(CE$4=$B5,CE$4=$C5),999999,MOD($BH5+1*3571,100003))</f>
        <v>79020</v>
      </c>
      <c r="CF5">
        <f t="shared" ref="CF5:CF36" si="36">IF(OR(CF$4=$B5,CF$4=$C5),999999,MOD($BH5+2*3571,100003))</f>
        <v>82591</v>
      </c>
      <c r="CG5">
        <f t="shared" ref="CG5:CG36" si="37">IF(OR(CG$4=$B5,CG$4=$C5),999999,MOD($BH5+3*3571,100003))</f>
        <v>86162</v>
      </c>
      <c r="CH5">
        <f t="shared" ref="CH5:CH36" si="38">IF(OR(CH$4=$B5,CH$4=$C5),999999,MOD($BH5+4*3571,100003))</f>
        <v>89733</v>
      </c>
      <c r="CI5">
        <f t="shared" ref="CI5:CI36" si="39">IF(OR(CI$4=$B5,CI$4=$C5),999999,MOD($BH5+5*3571,100003))</f>
        <v>93304</v>
      </c>
      <c r="CJ5">
        <f t="shared" ref="CJ5:CJ36" si="40">IF(OR(CJ$4=$B5,CJ$4=$C5),999999,MOD($BH5+6*3571,100003))</f>
        <v>96875</v>
      </c>
      <c r="CK5">
        <f t="shared" ref="CK5:CK36" si="41">IF(OR(CK$4=$B5,CK$4=$C5),999999,MOD($BH5+7*3571,100003))</f>
        <v>443</v>
      </c>
      <c r="CL5">
        <f t="shared" ref="CL5:CL36" si="42">IF(OR(CL$4=$B5,CL$4=$C5),999999,MOD($BH5+8*3571,100003))</f>
        <v>4014</v>
      </c>
      <c r="CM5">
        <f t="shared" ref="CM5:CM36" si="43">IF(OR(CM$4=$B5,CM$4=$C5),999999,MOD($BH5+9*3571,100003))</f>
        <v>7585</v>
      </c>
      <c r="CN5">
        <f t="shared" ref="CN5:CN36" si="44">IF(OR(CN$4=$B5,CN$4=$C5),999999,MOD($BH5+10*3571,100003))</f>
        <v>11156</v>
      </c>
      <c r="CO5">
        <f t="shared" ref="CO5:CO36" si="45">IF(OR(CO$4=$B5,CO$4=$C5),999999,MOD($BH5+11*3571,100003))</f>
        <v>14727</v>
      </c>
      <c r="CP5">
        <f t="shared" ref="CP5:CP36" si="46">IF(OR(CP$4=$B5,CP$4=$C5),999999,MOD($BH5+12*3571,100003))</f>
        <v>18298</v>
      </c>
      <c r="CQ5">
        <f t="shared" ref="CQ5:CQ36" si="47">IF(OR(CQ$4=$B5,CQ$4=$C5),999999,MOD($BH5+13*3571,100003))</f>
        <v>21869</v>
      </c>
      <c r="CR5">
        <f t="shared" ref="CR5:CR36" si="48">IF(OR(CR$4=$B5,CR$4=$C5),999999,MOD($BH5+14*3571,100003))</f>
        <v>25440</v>
      </c>
      <c r="CS5">
        <f t="shared" ref="CS5:CS36" si="49">IF(OR(CS$4=$B5,CS$4=$C5),999999,MOD($BH5+15*3571,100003))</f>
        <v>29011</v>
      </c>
      <c r="CT5">
        <f t="shared" ref="CT5:CT36" si="50">IF(OR(CT$4=$B5,CT$4=$C5),999999,MOD($BH5+16*3571,100003))</f>
        <v>32582</v>
      </c>
      <c r="CU5">
        <f t="shared" ref="CU5:CU36" si="51">IF(OR(CU$4=$B5,CU$4=$C5),999999,MOD($BK5+1*4441,100003))</f>
        <v>78597</v>
      </c>
      <c r="CV5">
        <f t="shared" ref="CV5:CV36" si="52">IF(OR(CV$4=$B5,CV$4=$C5),999999,MOD($BK5+2*4441,100003))</f>
        <v>83038</v>
      </c>
      <c r="CW5">
        <f t="shared" ref="CW5:CW36" si="53">IF(OR(CW$4=$B5,CW$4=$C5),999999,MOD($BK5+3*4441,100003))</f>
        <v>87479</v>
      </c>
      <c r="CX5">
        <f t="shared" ref="CX5:CX36" si="54">IF(OR(CX$4=$B5,CX$4=$C5),999999,MOD($BK5+4*4441,100003))</f>
        <v>91920</v>
      </c>
      <c r="CY5">
        <f t="shared" ref="CY5:CY36" si="55">IF(OR(CY$4=$B5,CY$4=$C5),999999,MOD($BK5+5*4441,100003))</f>
        <v>96361</v>
      </c>
      <c r="CZ5">
        <f t="shared" ref="CZ5:CZ36" si="56">IF(OR(CZ$4=$B5,CZ$4=$C5),999999,MOD($BK5+6*4441,100003))</f>
        <v>799</v>
      </c>
      <c r="DA5">
        <f t="shared" ref="DA5:DA36" si="57">IF(OR(DA$4=$B5,DA$4=$C5),999999,MOD($BK5+7*4441,100003))</f>
        <v>5240</v>
      </c>
      <c r="DB5">
        <f t="shared" ref="DB5:DB36" si="58">IF(OR(DB$4=$B5,DB$4=$C5),999999,MOD($BK5+8*4441,100003))</f>
        <v>9681</v>
      </c>
      <c r="DC5">
        <f t="shared" ref="DC5:DC36" si="59">IF(OR(DC$4=$B5,DC$4=$C5),999999,MOD($BK5+9*4441,100003))</f>
        <v>14122</v>
      </c>
      <c r="DD5">
        <f t="shared" ref="DD5:DD36" si="60">IF(OR(DD$4=$B5,DD$4=$C5),999999,MOD($BK5+10*4441,100003))</f>
        <v>18563</v>
      </c>
      <c r="DE5">
        <f t="shared" ref="DE5:DE36" si="61">IF(OR(DE$4=$B5,DE$4=$C5),999999,MOD($BK5+11*4441,100003))</f>
        <v>23004</v>
      </c>
      <c r="DF5">
        <f t="shared" ref="DF5:DF36" si="62">IF(OR(DF$4=$B5,DF$4=$C5),999999,MOD($BK5+12*4441,100003))</f>
        <v>27445</v>
      </c>
      <c r="DG5">
        <f t="shared" ref="DG5:DG36" si="63">IF(OR(DG$4=$B5,DG$4=$C5),999999,MOD($BK5+13*4441,100003))</f>
        <v>31886</v>
      </c>
      <c r="DH5">
        <f t="shared" ref="DH5:DH36" si="64">IF(OR(DH$4=$B5,DH$4=$C5),999999,MOD($BK5+14*4441,100003))</f>
        <v>36327</v>
      </c>
      <c r="DI5">
        <f t="shared" ref="DI5:DI36" si="65">IF(OR(DI$4=$B5,DI$4=$C5),999999,MOD($BK5+15*4441,100003))</f>
        <v>40768</v>
      </c>
      <c r="DJ5">
        <f t="shared" ref="DJ5:DJ36" si="66">IF(OR(DJ$4=$B5,DJ$4=$C5),999999,MOD($BK5+16*4441,100003))</f>
        <v>45209</v>
      </c>
      <c r="DK5">
        <f t="shared" ref="DK5:DK36" si="67">MOD($BL5+1*2089,100003)</f>
        <v>19362</v>
      </c>
      <c r="DL5">
        <f t="shared" ref="DL5:DL36" si="68">MOD($BL5+2*2089,100003)</f>
        <v>21451</v>
      </c>
      <c r="DM5">
        <f t="shared" ref="DM5:DM36" si="69">MOD($BL5+3*2089,100003)</f>
        <v>23540</v>
      </c>
      <c r="DN5" t="str">
        <f t="shared" ref="DN5:DN36" si="70">INDEX($BM$4:$BV$4,1,MATCH(SMALL(BM5:BV5,1),BM5:BV5,0))</f>
        <v>Вычислительные компоненты</v>
      </c>
      <c r="DO5" t="str">
        <f t="shared" ref="DO5:DO36" si="71">INDEX($BM$4:$BV$4,1,MATCH(SMALL(BM5:BV5,2),BM5:BV5,0))</f>
        <v>ЦОД и вычислительная инфраструктура</v>
      </c>
      <c r="DP5" t="str">
        <f t="shared" ref="DP5:DP36" si="72">INDEX($BM$4:$BV$4,1,MATCH(SMALL(BM5:BV5,3),BM5:BV5,0))</f>
        <v>Сетевые ресурсы</v>
      </c>
      <c r="DQ5" t="str">
        <f t="shared" ref="DQ5:DQ36" si="73">INDEX($BW$4:$CD$4,1,MATCH(SMALL(BW5:CD5,1),BW5:CD5,0))</f>
        <v>Принятие ИИ</v>
      </c>
      <c r="DR5" t="str">
        <f t="shared" ref="DR5:DR36" si="74">INDEX($BW$4:$CD$4,1,MATCH(SMALL(BW5:CD5,2),BW5:CD5,0))</f>
        <v>Производство</v>
      </c>
      <c r="DS5" t="str">
        <f t="shared" ref="DS5:DS36" si="75">INDEX($BW$4:$CD$4,1,MATCH(SMALL(BW5:CD5,3),BW5:CD5,0))</f>
        <v>Управление</v>
      </c>
      <c r="DT5" t="str">
        <f t="shared" ref="DT5:DT36" si="76">INDEX($CE$4:$CT$4,1,MATCH(SMALL(CE5:CT5,1),CE5:CT5,0))</f>
        <v>Германия</v>
      </c>
      <c r="DU5" t="str">
        <f t="shared" ref="DU5:DU36" si="77">INDEX($CE$4:$CT$4,1,MATCH(SMALL(CE5:CT5,2),CE5:CT5,0))</f>
        <v>Япония</v>
      </c>
      <c r="DV5" t="str">
        <f t="shared" ref="DV5:DV36" si="78">INDEX($CE$4:$CT$4,1,MATCH(SMALL(CE5:CT5,3),CE5:CT5,0))</f>
        <v>Южная Корея</v>
      </c>
      <c r="DW5" t="str">
        <f t="shared" ref="DW5:DW36" si="79">INDEX($DK$4:$DM$4,1,MATCH(SMALL(DK5:DM5,1),DK5:DM5,0))</f>
        <v>Ресурсный</v>
      </c>
      <c r="DX5" t="str">
        <f t="shared" ref="DX5:DX36" si="80">INDEX($DK$4:$DM$4,1,MATCH(SMALL(DK5:DM5,2),DK5:DM5,0))</f>
        <v>Общественный</v>
      </c>
      <c r="DY5" t="str">
        <f t="shared" ref="DY5:DY36" si="81">INDEX($DK$4:$DM$4,1,MATCH(SMALL(DK5:DM5,3),DK5:DM5,0))</f>
        <v>Дипломатический</v>
      </c>
      <c r="DZ5" t="str">
        <f t="shared" ref="DZ5:DZ36" si="82">INDEX($BA$2:$BA$44,1+MOD($BI5,43))</f>
        <v>Математико-алгоритмические ресурсы</v>
      </c>
      <c r="EA5" t="str">
        <f t="shared" ref="EA5:EA36" si="83">INDEX($BC$2:$BC$9,1+MOD($BJ5,8))</f>
        <v>Государственное управление</v>
      </c>
      <c r="EB5" t="str">
        <f t="shared" ref="EB5:EB36" si="84">INDEX($CU$4:$DJ$4,1,MATCH(SMALL(CU5:DJ5,1),CU5:DJ5,0))</f>
        <v>Франция</v>
      </c>
      <c r="EC5">
        <f t="shared" ref="EC5:EC36" si="85">IF(OR($B5="",$C5=""),0,IF(AND(EG5&gt;=5,EG5&gt;=5*EJ5),3,IF(AND(EJ5&gt;=5,EJ5&gt;=5*EG5),3,IF(AND(EG5&gt;=5,EG5&gt;=3*EJ5),2,IF(AND(EJ5&gt;=5,EJ5&gt;=3*EG5),2,IF(AND(EG5&gt;=5,EG5&gt;=2*EJ5),1,IF(AND(EJ5&gt;=5,EJ5&gt;=2*EG5),1,0)))))))</f>
        <v>0</v>
      </c>
      <c r="ED5">
        <f t="shared" ref="ED5:ED36" si="86">IF(OR($B5="",$C5=""),0,IF(AND(EH5&gt;=5,EH5&gt;=5*EK5),3,IF(AND(EK5&gt;=5,EK5&gt;=5*EH5),3,IF(AND(EH5&gt;=5,EH5&gt;=3*EK5),2,IF(AND(EK5&gt;=5,EK5&gt;=3*EH5),2,IF(AND(EH5&gt;=5,EH5&gt;=2*EK5),1,IF(AND(EK5&gt;=5,EK5&gt;=2*EH5),1,0)))))))</f>
        <v>0</v>
      </c>
      <c r="EE5">
        <f t="shared" ref="EE5:EE36" si="87">IF(OR($B5="",$C5=""),0,IF(AND(EI5&gt;=5,EI5&gt;=5*EL5),3,IF(AND(EL5&gt;=5,EL5&gt;=5*EI5),3,IF(AND(EI5&gt;=5,EI5&gt;=3*EL5),2,IF(AND(EL5&gt;=5,EL5&gt;=3*EI5),2,IF(AND(EI5&gt;=5,EI5&gt;=2*EL5),1,IF(AND(EL5&gt;=5,EL5&gt;=2*EI5),1,0)))))))</f>
        <v>0</v>
      </c>
      <c r="EF5" t="e">
        <f t="shared" ref="EF5:EF36" si="88">IF($Z5="",0,IF($Z5="Минимальная победа",1,IF($Z5="Уверенная победа",2,IF($Z5="Разгромная победа",3,0))))</f>
        <v>#VALUE!</v>
      </c>
      <c r="EG5" t="str">
        <f t="shared" ref="EG5:EG36" si="89">IF($B5="","",$D5*(1+IF($G5="",0,$G5)))</f>
        <v/>
      </c>
      <c r="EH5" t="str">
        <f t="shared" ref="EH5:EH36" si="90">IF($B5="","",$E5*(1+IF($H5="",0,$H5)))</f>
        <v/>
      </c>
      <c r="EI5" t="str">
        <f t="shared" ref="EI5:EI36" si="91">IF($B5="","",$F5*(1+IF($I5="",0,$I5)))</f>
        <v/>
      </c>
      <c r="EJ5" t="str">
        <f t="shared" ref="EJ5:EJ36" si="92">IF($C5="","",$J5*(1+IF($M5="",0,$M5)))</f>
        <v/>
      </c>
      <c r="EK5" t="str">
        <f t="shared" ref="EK5:EK36" si="93">IF($C5="","",$K5*(1+IF($N5="",0,$N5)))</f>
        <v/>
      </c>
      <c r="EL5" t="str">
        <f t="shared" ref="EL5:EL36" si="94">IF($C5="","",$L5*(1+IF($O5="",0,$O5)))</f>
        <v/>
      </c>
      <c r="EM5" t="e">
        <f t="shared" ref="EM5:EM36" si="95">IF(R5="","",ROUND(60*R5,0))</f>
        <v>#VALUE!</v>
      </c>
      <c r="EN5" t="e">
        <f t="shared" ref="EN5:EN36" si="96">IF(R5="","",ROUND(60*(R5+S5),0))</f>
        <v>#VALUE!</v>
      </c>
      <c r="EO5" t="e">
        <f t="shared" ref="EO5:EO36" si="97">IF($X5="","",IF($X5&lt;=EM5,1,IF($X5&lt;=EN5,0,-1)))</f>
        <v>#VALUE!</v>
      </c>
      <c r="EP5" t="e">
        <f t="shared" ref="EP5:EP36" si="98">IF(EO5="","",IF(EO5=0,0,IF(EO5=1,IF(EM5=0,0,(EM5-$X5+1)/EM5),IF(EN5&gt;=60,0,($X5-EN5)/(60-EN5)))))</f>
        <v>#VALUE!</v>
      </c>
      <c r="EQ5" t="e">
        <f t="shared" ref="EQ5:EQ36" si="99">IF(EF5=0,"",IF(EO5=1,"Ресурс: "&amp;DZ5&amp;". "&amp;$B5&amp;": +"&amp;IF(EF5=1,"0,20",IF(EF5=2,"0,30","0,40"))&amp;" к значению и +"&amp;IF(EF5=1,"0,01",IF(EF5=2,"0,02","0,03"))&amp;" к приросту; "&amp;$C5&amp;": −те же величины.","Ресурс: "&amp;DZ5&amp;". "&amp;$C5&amp;": +"&amp;IF(EF5=1,"0,20",IF(EF5=2,"0,30","0,40"))&amp;" к значению и +"&amp;IF(EF5=1,"0,01",IF(EF5=2,"0,02","0,03"))&amp;" к приросту; "&amp;$B5&amp;": −те же величины."))</f>
        <v>#VALUE!</v>
      </c>
      <c r="ER5" t="e">
        <f t="shared" ref="ER5:ER36" si="100">IF(EF5=0,"",IF(EO5=1,"Сфера: "&amp;EA5&amp;". "&amp;$B5&amp;": +"&amp;IF(EF5=1,"0,02",IF(EF5=2,"0,03","0,05"))&amp;" к годовому приросту; "&amp;$C5&amp;": −та же величина.","Сфера: "&amp;EA5&amp;". "&amp;$C5&amp;": +"&amp;IF(EF5=1,"0,02",IF(EF5=2,"0,03","0,05"))&amp;" к годовому приросту; "&amp;$B5&amp;": −та же величина."))</f>
        <v>#VALUE!</v>
      </c>
      <c r="ES5" t="e">
        <f t="shared" ref="ES5:ES36" si="101">IF(EF5=0,"",IF(EO5=1,"Дипломатия: "&amp;EB5&amp;". "&amp;$B5&amp;": +"&amp;IF(EF5=1,"0,2",IF(EF5=2,"0,3","0,5"))&amp;" к отношениям; "&amp;$C5&amp;": −та же величина.","Дипломатия: "&amp;EB5&amp;". "&amp;$C5&amp;": +"&amp;IF(EF5=1,"0,2",IF(EF5=2,"0,3","0,5"))&amp;" к отношениям; "&amp;$B5&amp;": −та же величина."))</f>
        <v>#VALUE!</v>
      </c>
    </row>
    <row r="6" spans="1:149" ht="52.8" customHeight="1">
      <c r="A6" s="40"/>
      <c r="B6" s="41"/>
      <c r="C6" s="41"/>
      <c r="D6" s="41"/>
      <c r="E6" s="41"/>
      <c r="F6" s="41"/>
      <c r="G6" s="42"/>
      <c r="H6" s="42"/>
      <c r="I6" s="42"/>
      <c r="J6" s="41"/>
      <c r="K6" s="41"/>
      <c r="L6" s="41"/>
      <c r="M6" s="42"/>
      <c r="N6" s="42"/>
      <c r="O6" s="42"/>
      <c r="P6" s="43" t="str">
        <f t="shared" si="0"/>
        <v/>
      </c>
      <c r="Q6" s="43" t="str">
        <f t="shared" si="1"/>
        <v/>
      </c>
      <c r="R6" s="44" t="e">
        <f t="shared" si="2"/>
        <v>#VALUE!</v>
      </c>
      <c r="S6" s="44" t="e">
        <f t="shared" si="3"/>
        <v>#VALUE!</v>
      </c>
      <c r="T6" s="44" t="e">
        <f t="shared" si="4"/>
        <v>#VALUE!</v>
      </c>
      <c r="U6" s="45" t="e">
        <f t="shared" si="5"/>
        <v>#VALUE!</v>
      </c>
      <c r="V6" s="45" t="e">
        <f t="shared" si="6"/>
        <v>#VALUE!</v>
      </c>
      <c r="W6" s="45" t="e">
        <f t="shared" si="7"/>
        <v>#VALUE!</v>
      </c>
      <c r="X6" s="46"/>
      <c r="Y6" s="47" t="str">
        <f t="shared" si="8"/>
        <v/>
      </c>
      <c r="Z6" s="47" t="str">
        <f t="shared" si="9"/>
        <v/>
      </c>
      <c r="AA6" s="47" t="str">
        <f t="shared" si="10"/>
        <v/>
      </c>
      <c r="AB6" s="47" t="str">
        <f t="shared" si="11"/>
        <v>Нет локального эффекта</v>
      </c>
      <c r="AC6" s="47" t="str">
        <f t="shared" si="12"/>
        <v/>
      </c>
      <c r="AD6" s="47" t="str">
        <f t="shared" si="13"/>
        <v>Нет локального эффекта</v>
      </c>
      <c r="AE6" s="47" t="str">
        <f t="shared" si="14"/>
        <v/>
      </c>
      <c r="AF6" s="47" t="str">
        <f t="shared" si="15"/>
        <v>Нет локального эффекта</v>
      </c>
      <c r="AG6" s="47" t="str">
        <f t="shared" si="16"/>
        <v/>
      </c>
      <c r="AH6" s="48" t="str">
        <f>IF($B6="","","Общий итог: "&amp;IF($Y6="","ожидает D61",$Y6&amp;IF($Z6="—",""," — "&amp;$Z6))&amp;". Арес: "&amp;$AA6&amp;". "&amp;$AB6&amp;" Афина: "&amp;$AC6&amp;". "&amp;$AD6&amp;" Аполлон: "&amp;$AE6&amp;". "&amp;$AF6&amp;IF($AG6="",""," Общий эффект: "&amp;$AG6))</f>
        <v/>
      </c>
      <c r="BA6" t="s">
        <v>285</v>
      </c>
      <c r="BB6" t="s">
        <v>285</v>
      </c>
      <c r="BC6" t="s">
        <v>292</v>
      </c>
      <c r="BD6" t="s">
        <v>14</v>
      </c>
      <c r="BF6">
        <v>937185496</v>
      </c>
      <c r="BG6">
        <v>41555561</v>
      </c>
      <c r="BH6">
        <v>651540978</v>
      </c>
      <c r="BI6">
        <v>546207091</v>
      </c>
      <c r="BJ6">
        <v>230005986</v>
      </c>
      <c r="BK6">
        <v>915316581</v>
      </c>
      <c r="BL6">
        <v>15600583</v>
      </c>
      <c r="BM6">
        <f t="shared" si="17"/>
        <v>65302</v>
      </c>
      <c r="BN6">
        <f t="shared" si="18"/>
        <v>73221</v>
      </c>
      <c r="BO6">
        <f t="shared" si="19"/>
        <v>81140</v>
      </c>
      <c r="BP6">
        <f t="shared" si="20"/>
        <v>89059</v>
      </c>
      <c r="BQ6">
        <f t="shared" si="21"/>
        <v>96978</v>
      </c>
      <c r="BR6">
        <f t="shared" si="22"/>
        <v>4894</v>
      </c>
      <c r="BS6">
        <f t="shared" si="23"/>
        <v>12813</v>
      </c>
      <c r="BT6">
        <f t="shared" si="24"/>
        <v>20732</v>
      </c>
      <c r="BU6">
        <f t="shared" si="25"/>
        <v>28651</v>
      </c>
      <c r="BV6">
        <f t="shared" si="26"/>
        <v>36570</v>
      </c>
      <c r="BW6">
        <f t="shared" si="27"/>
        <v>60467</v>
      </c>
      <c r="BX6">
        <f t="shared" si="28"/>
        <v>66618</v>
      </c>
      <c r="BY6">
        <f t="shared" si="29"/>
        <v>72769</v>
      </c>
      <c r="BZ6">
        <f t="shared" si="30"/>
        <v>78920</v>
      </c>
      <c r="CA6">
        <f t="shared" si="31"/>
        <v>85071</v>
      </c>
      <c r="CB6">
        <f t="shared" si="32"/>
        <v>91222</v>
      </c>
      <c r="CC6">
        <f t="shared" si="33"/>
        <v>97373</v>
      </c>
      <c r="CD6">
        <f t="shared" si="34"/>
        <v>3521</v>
      </c>
      <c r="CE6">
        <f t="shared" si="35"/>
        <v>25004</v>
      </c>
      <c r="CF6">
        <f t="shared" si="36"/>
        <v>28575</v>
      </c>
      <c r="CG6">
        <f t="shared" si="37"/>
        <v>32146</v>
      </c>
      <c r="CH6">
        <f t="shared" si="38"/>
        <v>35717</v>
      </c>
      <c r="CI6">
        <f t="shared" si="39"/>
        <v>39288</v>
      </c>
      <c r="CJ6">
        <f t="shared" si="40"/>
        <v>42859</v>
      </c>
      <c r="CK6">
        <f t="shared" si="41"/>
        <v>46430</v>
      </c>
      <c r="CL6">
        <f t="shared" si="42"/>
        <v>50001</v>
      </c>
      <c r="CM6">
        <f t="shared" si="43"/>
        <v>53572</v>
      </c>
      <c r="CN6">
        <f t="shared" si="44"/>
        <v>57143</v>
      </c>
      <c r="CO6">
        <f t="shared" si="45"/>
        <v>60714</v>
      </c>
      <c r="CP6">
        <f t="shared" si="46"/>
        <v>64285</v>
      </c>
      <c r="CQ6">
        <f t="shared" si="47"/>
        <v>67856</v>
      </c>
      <c r="CR6">
        <f t="shared" si="48"/>
        <v>71427</v>
      </c>
      <c r="CS6">
        <f t="shared" si="49"/>
        <v>74998</v>
      </c>
      <c r="CT6">
        <f t="shared" si="50"/>
        <v>78569</v>
      </c>
      <c r="CU6">
        <f t="shared" si="51"/>
        <v>93566</v>
      </c>
      <c r="CV6">
        <f t="shared" si="52"/>
        <v>98007</v>
      </c>
      <c r="CW6">
        <f t="shared" si="53"/>
        <v>2445</v>
      </c>
      <c r="CX6">
        <f t="shared" si="54"/>
        <v>6886</v>
      </c>
      <c r="CY6">
        <f t="shared" si="55"/>
        <v>11327</v>
      </c>
      <c r="CZ6">
        <f t="shared" si="56"/>
        <v>15768</v>
      </c>
      <c r="DA6">
        <f t="shared" si="57"/>
        <v>20209</v>
      </c>
      <c r="DB6">
        <f t="shared" si="58"/>
        <v>24650</v>
      </c>
      <c r="DC6">
        <f t="shared" si="59"/>
        <v>29091</v>
      </c>
      <c r="DD6">
        <f t="shared" si="60"/>
        <v>33532</v>
      </c>
      <c r="DE6">
        <f t="shared" si="61"/>
        <v>37973</v>
      </c>
      <c r="DF6">
        <f t="shared" si="62"/>
        <v>42414</v>
      </c>
      <c r="DG6">
        <f t="shared" si="63"/>
        <v>46855</v>
      </c>
      <c r="DH6">
        <f t="shared" si="64"/>
        <v>51296</v>
      </c>
      <c r="DI6">
        <f t="shared" si="65"/>
        <v>55737</v>
      </c>
      <c r="DJ6">
        <f t="shared" si="66"/>
        <v>60178</v>
      </c>
      <c r="DK6">
        <f t="shared" si="67"/>
        <v>2204</v>
      </c>
      <c r="DL6">
        <f t="shared" si="68"/>
        <v>4293</v>
      </c>
      <c r="DM6">
        <f t="shared" si="69"/>
        <v>6382</v>
      </c>
      <c r="DN6" t="str">
        <f t="shared" si="70"/>
        <v>Мощности производства полупроводников</v>
      </c>
      <c r="DO6" t="str">
        <f t="shared" si="71"/>
        <v>Вычислительные компоненты</v>
      </c>
      <c r="DP6" t="str">
        <f t="shared" si="72"/>
        <v>ЦОД и вычислительная инфраструктура</v>
      </c>
      <c r="DQ6" t="str">
        <f t="shared" si="73"/>
        <v>Принятие ИИ</v>
      </c>
      <c r="DR6" t="str">
        <f t="shared" si="74"/>
        <v>Производство</v>
      </c>
      <c r="DS6" t="str">
        <f t="shared" si="75"/>
        <v>Управление</v>
      </c>
      <c r="DT6" t="str">
        <f t="shared" si="76"/>
        <v>Россия</v>
      </c>
      <c r="DU6" t="str">
        <f t="shared" si="77"/>
        <v>США</v>
      </c>
      <c r="DV6" t="str">
        <f t="shared" si="78"/>
        <v>Китай</v>
      </c>
      <c r="DW6" t="str">
        <f t="shared" si="79"/>
        <v>Ресурсный</v>
      </c>
      <c r="DX6" t="str">
        <f t="shared" si="80"/>
        <v>Общественный</v>
      </c>
      <c r="DY6" t="str">
        <f t="shared" si="81"/>
        <v>Дипломатический</v>
      </c>
      <c r="DZ6" t="str">
        <f t="shared" si="82"/>
        <v>Права доступа к информационным ресурсам</v>
      </c>
      <c r="EA6" t="str">
        <f t="shared" si="83"/>
        <v>Познание</v>
      </c>
      <c r="EB6" t="str">
        <f t="shared" si="84"/>
        <v>Китай</v>
      </c>
      <c r="EC6">
        <f t="shared" si="85"/>
        <v>0</v>
      </c>
      <c r="ED6">
        <f t="shared" si="86"/>
        <v>0</v>
      </c>
      <c r="EE6">
        <f t="shared" si="87"/>
        <v>0</v>
      </c>
      <c r="EF6">
        <f t="shared" si="88"/>
        <v>0</v>
      </c>
      <c r="EG6" t="str">
        <f t="shared" si="89"/>
        <v/>
      </c>
      <c r="EH6" t="str">
        <f t="shared" si="90"/>
        <v/>
      </c>
      <c r="EI6" t="str">
        <f t="shared" si="91"/>
        <v/>
      </c>
      <c r="EJ6" t="str">
        <f t="shared" si="92"/>
        <v/>
      </c>
      <c r="EK6" t="str">
        <f t="shared" si="93"/>
        <v/>
      </c>
      <c r="EL6" t="str">
        <f t="shared" si="94"/>
        <v/>
      </c>
      <c r="EM6" t="e">
        <f t="shared" si="95"/>
        <v>#VALUE!</v>
      </c>
      <c r="EN6" t="e">
        <f t="shared" si="96"/>
        <v>#VALUE!</v>
      </c>
      <c r="EO6" t="str">
        <f t="shared" si="97"/>
        <v/>
      </c>
      <c r="EP6" t="str">
        <f t="shared" si="98"/>
        <v/>
      </c>
      <c r="EQ6" t="str">
        <f t="shared" si="99"/>
        <v/>
      </c>
      <c r="ER6" t="str">
        <f t="shared" si="100"/>
        <v/>
      </c>
      <c r="ES6" t="str">
        <f t="shared" si="101"/>
        <v/>
      </c>
    </row>
    <row r="7" spans="1:149" ht="52.8" customHeight="1">
      <c r="A7" s="40"/>
      <c r="B7" s="41"/>
      <c r="C7" s="41"/>
      <c r="D7" s="41"/>
      <c r="E7" s="41"/>
      <c r="F7" s="41"/>
      <c r="G7" s="42"/>
      <c r="H7" s="42"/>
      <c r="I7" s="42"/>
      <c r="J7" s="41"/>
      <c r="K7" s="41"/>
      <c r="L7" s="41"/>
      <c r="M7" s="42"/>
      <c r="N7" s="42"/>
      <c r="O7" s="42"/>
      <c r="P7" s="43" t="str">
        <f t="shared" si="0"/>
        <v/>
      </c>
      <c r="Q7" s="43" t="str">
        <f t="shared" si="1"/>
        <v/>
      </c>
      <c r="R7" s="44" t="e">
        <f t="shared" si="2"/>
        <v>#VALUE!</v>
      </c>
      <c r="S7" s="44" t="e">
        <f t="shared" si="3"/>
        <v>#VALUE!</v>
      </c>
      <c r="T7" s="44" t="e">
        <f t="shared" si="4"/>
        <v>#VALUE!</v>
      </c>
      <c r="U7" s="45" t="e">
        <f t="shared" si="5"/>
        <v>#VALUE!</v>
      </c>
      <c r="V7" s="45" t="e">
        <f t="shared" si="6"/>
        <v>#VALUE!</v>
      </c>
      <c r="W7" s="45" t="e">
        <f t="shared" si="7"/>
        <v>#VALUE!</v>
      </c>
      <c r="X7" s="46"/>
      <c r="Y7" s="47" t="str">
        <f t="shared" si="8"/>
        <v/>
      </c>
      <c r="Z7" s="47" t="str">
        <f t="shared" si="9"/>
        <v/>
      </c>
      <c r="AA7" s="47" t="str">
        <f t="shared" si="10"/>
        <v/>
      </c>
      <c r="AB7" s="47" t="str">
        <f t="shared" si="11"/>
        <v>Нет локального эффекта</v>
      </c>
      <c r="AC7" s="47" t="str">
        <f t="shared" si="12"/>
        <v/>
      </c>
      <c r="AD7" s="47" t="str">
        <f t="shared" si="13"/>
        <v>Нет локального эффекта</v>
      </c>
      <c r="AE7" s="47" t="str">
        <f t="shared" si="14"/>
        <v/>
      </c>
      <c r="AF7" s="47" t="str">
        <f t="shared" si="15"/>
        <v>Нет локального эффекта</v>
      </c>
      <c r="AG7" s="47" t="str">
        <f t="shared" si="16"/>
        <v/>
      </c>
      <c r="AH7" s="48" t="str">
        <f>IF($B7="","","Общий итог: "&amp;IF($Y7="","ожидает D62",$Y7&amp;IF($Z7="—",""," — "&amp;$Z7))&amp;". Арес: "&amp;$AA7&amp;". "&amp;$AB7&amp;" Афина: "&amp;$AC7&amp;". "&amp;$AD7&amp;" Аполлон: "&amp;$AE7&amp;". "&amp;$AF7&amp;IF($AG7="",""," Общий эффект: "&amp;$AG7))</f>
        <v/>
      </c>
      <c r="BA7" t="s">
        <v>286</v>
      </c>
      <c r="BB7" t="s">
        <v>286</v>
      </c>
      <c r="BC7" t="s">
        <v>293</v>
      </c>
      <c r="BD7" t="s">
        <v>15</v>
      </c>
      <c r="BF7">
        <v>594949754</v>
      </c>
      <c r="BG7">
        <v>167733011</v>
      </c>
      <c r="BH7">
        <v>674853854</v>
      </c>
      <c r="BI7">
        <v>996402888</v>
      </c>
      <c r="BJ7">
        <v>850454560</v>
      </c>
      <c r="BK7">
        <v>91899661</v>
      </c>
      <c r="BL7">
        <v>873960588</v>
      </c>
      <c r="BM7">
        <f t="shared" si="17"/>
        <v>39826</v>
      </c>
      <c r="BN7">
        <f t="shared" si="18"/>
        <v>47745</v>
      </c>
      <c r="BO7">
        <f t="shared" si="19"/>
        <v>55664</v>
      </c>
      <c r="BP7">
        <f t="shared" si="20"/>
        <v>63583</v>
      </c>
      <c r="BQ7">
        <f t="shared" si="21"/>
        <v>71502</v>
      </c>
      <c r="BR7">
        <f t="shared" si="22"/>
        <v>79421</v>
      </c>
      <c r="BS7">
        <f t="shared" si="23"/>
        <v>87340</v>
      </c>
      <c r="BT7">
        <f t="shared" si="24"/>
        <v>95259</v>
      </c>
      <c r="BU7">
        <f t="shared" si="25"/>
        <v>3175</v>
      </c>
      <c r="BV7">
        <f t="shared" si="26"/>
        <v>11094</v>
      </c>
      <c r="BW7">
        <f t="shared" si="27"/>
        <v>34131</v>
      </c>
      <c r="BX7">
        <f t="shared" si="28"/>
        <v>40282</v>
      </c>
      <c r="BY7">
        <f t="shared" si="29"/>
        <v>46433</v>
      </c>
      <c r="BZ7">
        <f t="shared" si="30"/>
        <v>52584</v>
      </c>
      <c r="CA7">
        <f t="shared" si="31"/>
        <v>58735</v>
      </c>
      <c r="CB7">
        <f t="shared" si="32"/>
        <v>64886</v>
      </c>
      <c r="CC7">
        <f t="shared" si="33"/>
        <v>71037</v>
      </c>
      <c r="CD7">
        <f t="shared" si="34"/>
        <v>77188</v>
      </c>
      <c r="CE7">
        <f t="shared" si="35"/>
        <v>37181</v>
      </c>
      <c r="CF7">
        <f t="shared" si="36"/>
        <v>40752</v>
      </c>
      <c r="CG7">
        <f t="shared" si="37"/>
        <v>44323</v>
      </c>
      <c r="CH7">
        <f t="shared" si="38"/>
        <v>47894</v>
      </c>
      <c r="CI7">
        <f t="shared" si="39"/>
        <v>51465</v>
      </c>
      <c r="CJ7">
        <f t="shared" si="40"/>
        <v>55036</v>
      </c>
      <c r="CK7">
        <f t="shared" si="41"/>
        <v>58607</v>
      </c>
      <c r="CL7">
        <f t="shared" si="42"/>
        <v>62178</v>
      </c>
      <c r="CM7">
        <f t="shared" si="43"/>
        <v>65749</v>
      </c>
      <c r="CN7">
        <f t="shared" si="44"/>
        <v>69320</v>
      </c>
      <c r="CO7">
        <f t="shared" si="45"/>
        <v>72891</v>
      </c>
      <c r="CP7">
        <f t="shared" si="46"/>
        <v>76462</v>
      </c>
      <c r="CQ7">
        <f t="shared" si="47"/>
        <v>80033</v>
      </c>
      <c r="CR7">
        <f t="shared" si="48"/>
        <v>83604</v>
      </c>
      <c r="CS7">
        <f t="shared" si="49"/>
        <v>87175</v>
      </c>
      <c r="CT7">
        <f t="shared" si="50"/>
        <v>90746</v>
      </c>
      <c r="CU7">
        <f t="shared" si="51"/>
        <v>1345</v>
      </c>
      <c r="CV7">
        <f t="shared" si="52"/>
        <v>5786</v>
      </c>
      <c r="CW7">
        <f t="shared" si="53"/>
        <v>10227</v>
      </c>
      <c r="CX7">
        <f t="shared" si="54"/>
        <v>14668</v>
      </c>
      <c r="CY7">
        <f t="shared" si="55"/>
        <v>19109</v>
      </c>
      <c r="CZ7">
        <f t="shared" si="56"/>
        <v>23550</v>
      </c>
      <c r="DA7">
        <f t="shared" si="57"/>
        <v>27991</v>
      </c>
      <c r="DB7">
        <f t="shared" si="58"/>
        <v>32432</v>
      </c>
      <c r="DC7">
        <f t="shared" si="59"/>
        <v>36873</v>
      </c>
      <c r="DD7">
        <f t="shared" si="60"/>
        <v>41314</v>
      </c>
      <c r="DE7">
        <f t="shared" si="61"/>
        <v>45755</v>
      </c>
      <c r="DF7">
        <f t="shared" si="62"/>
        <v>50196</v>
      </c>
      <c r="DG7">
        <f t="shared" si="63"/>
        <v>54637</v>
      </c>
      <c r="DH7">
        <f t="shared" si="64"/>
        <v>59078</v>
      </c>
      <c r="DI7">
        <f t="shared" si="65"/>
        <v>63519</v>
      </c>
      <c r="DJ7">
        <f t="shared" si="66"/>
        <v>67960</v>
      </c>
      <c r="DK7">
        <f t="shared" si="67"/>
        <v>36460</v>
      </c>
      <c r="DL7">
        <f t="shared" si="68"/>
        <v>38549</v>
      </c>
      <c r="DM7">
        <f t="shared" si="69"/>
        <v>40638</v>
      </c>
      <c r="DN7" t="str">
        <f t="shared" si="70"/>
        <v>Сетевые ресурсы</v>
      </c>
      <c r="DO7" t="str">
        <f t="shared" si="71"/>
        <v>Конечные устройства</v>
      </c>
      <c r="DP7" t="str">
        <f t="shared" si="72"/>
        <v>Минерально-сырьевые ресурсы</v>
      </c>
      <c r="DQ7" t="str">
        <f t="shared" si="73"/>
        <v>Производство</v>
      </c>
      <c r="DR7" t="str">
        <f t="shared" si="74"/>
        <v>Управление</v>
      </c>
      <c r="DS7" t="str">
        <f t="shared" si="75"/>
        <v>Познание</v>
      </c>
      <c r="DT7" t="str">
        <f t="shared" si="76"/>
        <v>Россия</v>
      </c>
      <c r="DU7" t="str">
        <f t="shared" si="77"/>
        <v>США</v>
      </c>
      <c r="DV7" t="str">
        <f t="shared" si="78"/>
        <v>Китай</v>
      </c>
      <c r="DW7" t="str">
        <f t="shared" si="79"/>
        <v>Ресурсный</v>
      </c>
      <c r="DX7" t="str">
        <f t="shared" si="80"/>
        <v>Общественный</v>
      </c>
      <c r="DY7" t="str">
        <f t="shared" si="81"/>
        <v>Дипломатический</v>
      </c>
      <c r="DZ7" t="str">
        <f t="shared" si="82"/>
        <v>Сетевые ресурсы</v>
      </c>
      <c r="EA7" t="str">
        <f t="shared" si="83"/>
        <v>Производство</v>
      </c>
      <c r="EB7" t="str">
        <f t="shared" si="84"/>
        <v>Россия</v>
      </c>
      <c r="EC7">
        <f t="shared" si="85"/>
        <v>0</v>
      </c>
      <c r="ED7">
        <f t="shared" si="86"/>
        <v>0</v>
      </c>
      <c r="EE7">
        <f t="shared" si="87"/>
        <v>0</v>
      </c>
      <c r="EF7">
        <f t="shared" si="88"/>
        <v>0</v>
      </c>
      <c r="EG7" t="str">
        <f t="shared" si="89"/>
        <v/>
      </c>
      <c r="EH7" t="str">
        <f t="shared" si="90"/>
        <v/>
      </c>
      <c r="EI7" t="str">
        <f t="shared" si="91"/>
        <v/>
      </c>
      <c r="EJ7" t="str">
        <f t="shared" si="92"/>
        <v/>
      </c>
      <c r="EK7" t="str">
        <f t="shared" si="93"/>
        <v/>
      </c>
      <c r="EL7" t="str">
        <f t="shared" si="94"/>
        <v/>
      </c>
      <c r="EM7" t="e">
        <f t="shared" si="95"/>
        <v>#VALUE!</v>
      </c>
      <c r="EN7" t="e">
        <f t="shared" si="96"/>
        <v>#VALUE!</v>
      </c>
      <c r="EO7" t="str">
        <f t="shared" si="97"/>
        <v/>
      </c>
      <c r="EP7" t="str">
        <f t="shared" si="98"/>
        <v/>
      </c>
      <c r="EQ7" t="str">
        <f t="shared" si="99"/>
        <v/>
      </c>
      <c r="ER7" t="str">
        <f t="shared" si="100"/>
        <v/>
      </c>
      <c r="ES7" t="str">
        <f t="shared" si="101"/>
        <v/>
      </c>
    </row>
    <row r="8" spans="1:149" ht="52.8" customHeight="1">
      <c r="A8" s="40"/>
      <c r="B8" s="41"/>
      <c r="C8" s="41"/>
      <c r="D8" s="41"/>
      <c r="E8" s="41"/>
      <c r="F8" s="41"/>
      <c r="G8" s="42"/>
      <c r="H8" s="42"/>
      <c r="I8" s="42"/>
      <c r="J8" s="41"/>
      <c r="K8" s="41"/>
      <c r="L8" s="41"/>
      <c r="M8" s="42"/>
      <c r="N8" s="42"/>
      <c r="O8" s="42"/>
      <c r="P8" s="43" t="str">
        <f t="shared" si="0"/>
        <v/>
      </c>
      <c r="Q8" s="43" t="str">
        <f t="shared" si="1"/>
        <v/>
      </c>
      <c r="R8" s="44" t="e">
        <f t="shared" si="2"/>
        <v>#VALUE!</v>
      </c>
      <c r="S8" s="44" t="e">
        <f t="shared" si="3"/>
        <v>#VALUE!</v>
      </c>
      <c r="T8" s="44" t="e">
        <f t="shared" si="4"/>
        <v>#VALUE!</v>
      </c>
      <c r="U8" s="45" t="e">
        <f t="shared" si="5"/>
        <v>#VALUE!</v>
      </c>
      <c r="V8" s="45" t="e">
        <f t="shared" si="6"/>
        <v>#VALUE!</v>
      </c>
      <c r="W8" s="45" t="e">
        <f t="shared" si="7"/>
        <v>#VALUE!</v>
      </c>
      <c r="X8" s="46"/>
      <c r="Y8" s="47" t="str">
        <f t="shared" si="8"/>
        <v/>
      </c>
      <c r="Z8" s="47" t="str">
        <f t="shared" si="9"/>
        <v/>
      </c>
      <c r="AA8" s="47" t="str">
        <f t="shared" si="10"/>
        <v/>
      </c>
      <c r="AB8" s="47" t="str">
        <f t="shared" si="11"/>
        <v>Нет локального эффекта</v>
      </c>
      <c r="AC8" s="47" t="str">
        <f t="shared" si="12"/>
        <v/>
      </c>
      <c r="AD8" s="47" t="str">
        <f t="shared" si="13"/>
        <v>Нет локального эффекта</v>
      </c>
      <c r="AE8" s="47" t="str">
        <f t="shared" si="14"/>
        <v/>
      </c>
      <c r="AF8" s="47" t="str">
        <f t="shared" si="15"/>
        <v>Нет локального эффекта</v>
      </c>
      <c r="AG8" s="47" t="str">
        <f t="shared" si="16"/>
        <v/>
      </c>
      <c r="AH8" s="48" t="str">
        <f>IF($B8="","","Общий итог: "&amp;IF($Y8="","ожидает D63",$Y8&amp;IF($Z8="—",""," — "&amp;$Z8))&amp;". Арес: "&amp;$AA8&amp;". "&amp;$AB8&amp;" Афина: "&amp;$AC8&amp;". "&amp;$AD8&amp;" Аполлон: "&amp;$AE8&amp;". "&amp;$AF8&amp;IF($AG8="",""," Общий эффект: "&amp;$AG8))</f>
        <v/>
      </c>
      <c r="BA8" t="s">
        <v>287</v>
      </c>
      <c r="BB8" t="s">
        <v>287</v>
      </c>
      <c r="BC8" t="s">
        <v>294</v>
      </c>
      <c r="BD8" t="s">
        <v>16</v>
      </c>
      <c r="BF8">
        <v>542113909</v>
      </c>
      <c r="BG8">
        <v>73610204</v>
      </c>
      <c r="BH8">
        <v>951036711</v>
      </c>
      <c r="BI8">
        <v>662950042</v>
      </c>
      <c r="BJ8">
        <v>113256931</v>
      </c>
      <c r="BK8">
        <v>910021819</v>
      </c>
      <c r="BL8">
        <v>79543138</v>
      </c>
      <c r="BM8">
        <f t="shared" si="17"/>
        <v>5565</v>
      </c>
      <c r="BN8">
        <f t="shared" si="18"/>
        <v>13484</v>
      </c>
      <c r="BO8">
        <f t="shared" si="19"/>
        <v>21403</v>
      </c>
      <c r="BP8">
        <f t="shared" si="20"/>
        <v>29322</v>
      </c>
      <c r="BQ8">
        <f t="shared" si="21"/>
        <v>37241</v>
      </c>
      <c r="BR8">
        <f t="shared" si="22"/>
        <v>45160</v>
      </c>
      <c r="BS8">
        <f t="shared" si="23"/>
        <v>53079</v>
      </c>
      <c r="BT8">
        <f t="shared" si="24"/>
        <v>60998</v>
      </c>
      <c r="BU8">
        <f t="shared" si="25"/>
        <v>68917</v>
      </c>
      <c r="BV8">
        <f t="shared" si="26"/>
        <v>76836</v>
      </c>
      <c r="BW8">
        <f t="shared" si="27"/>
        <v>14147</v>
      </c>
      <c r="BX8">
        <f t="shared" si="28"/>
        <v>20298</v>
      </c>
      <c r="BY8">
        <f t="shared" si="29"/>
        <v>26449</v>
      </c>
      <c r="BZ8">
        <f t="shared" si="30"/>
        <v>32600</v>
      </c>
      <c r="CA8">
        <f t="shared" si="31"/>
        <v>38751</v>
      </c>
      <c r="CB8">
        <f t="shared" si="32"/>
        <v>44902</v>
      </c>
      <c r="CC8">
        <f t="shared" si="33"/>
        <v>51053</v>
      </c>
      <c r="CD8">
        <f t="shared" si="34"/>
        <v>57204</v>
      </c>
      <c r="CE8">
        <f t="shared" si="35"/>
        <v>11752</v>
      </c>
      <c r="CF8">
        <f t="shared" si="36"/>
        <v>15323</v>
      </c>
      <c r="CG8">
        <f t="shared" si="37"/>
        <v>18894</v>
      </c>
      <c r="CH8">
        <f t="shared" si="38"/>
        <v>22465</v>
      </c>
      <c r="CI8">
        <f t="shared" si="39"/>
        <v>26036</v>
      </c>
      <c r="CJ8">
        <f t="shared" si="40"/>
        <v>29607</v>
      </c>
      <c r="CK8">
        <f t="shared" si="41"/>
        <v>33178</v>
      </c>
      <c r="CL8">
        <f t="shared" si="42"/>
        <v>36749</v>
      </c>
      <c r="CM8">
        <f t="shared" si="43"/>
        <v>40320</v>
      </c>
      <c r="CN8">
        <f t="shared" si="44"/>
        <v>43891</v>
      </c>
      <c r="CO8">
        <f t="shared" si="45"/>
        <v>47462</v>
      </c>
      <c r="CP8">
        <f t="shared" si="46"/>
        <v>51033</v>
      </c>
      <c r="CQ8">
        <f t="shared" si="47"/>
        <v>54604</v>
      </c>
      <c r="CR8">
        <f t="shared" si="48"/>
        <v>58175</v>
      </c>
      <c r="CS8">
        <f t="shared" si="49"/>
        <v>61746</v>
      </c>
      <c r="CT8">
        <f t="shared" si="50"/>
        <v>65317</v>
      </c>
      <c r="CU8">
        <f t="shared" si="51"/>
        <v>98963</v>
      </c>
      <c r="CV8">
        <f t="shared" si="52"/>
        <v>3401</v>
      </c>
      <c r="CW8">
        <f t="shared" si="53"/>
        <v>7842</v>
      </c>
      <c r="CX8">
        <f t="shared" si="54"/>
        <v>12283</v>
      </c>
      <c r="CY8">
        <f t="shared" si="55"/>
        <v>16724</v>
      </c>
      <c r="CZ8">
        <f t="shared" si="56"/>
        <v>21165</v>
      </c>
      <c r="DA8">
        <f t="shared" si="57"/>
        <v>25606</v>
      </c>
      <c r="DB8">
        <f t="shared" si="58"/>
        <v>30047</v>
      </c>
      <c r="DC8">
        <f t="shared" si="59"/>
        <v>34488</v>
      </c>
      <c r="DD8">
        <f t="shared" si="60"/>
        <v>38929</v>
      </c>
      <c r="DE8">
        <f t="shared" si="61"/>
        <v>43370</v>
      </c>
      <c r="DF8">
        <f t="shared" si="62"/>
        <v>47811</v>
      </c>
      <c r="DG8">
        <f t="shared" si="63"/>
        <v>52252</v>
      </c>
      <c r="DH8">
        <f t="shared" si="64"/>
        <v>56693</v>
      </c>
      <c r="DI8">
        <f t="shared" si="65"/>
        <v>61134</v>
      </c>
      <c r="DJ8">
        <f t="shared" si="66"/>
        <v>65575</v>
      </c>
      <c r="DK8">
        <f t="shared" si="67"/>
        <v>42842</v>
      </c>
      <c r="DL8">
        <f t="shared" si="68"/>
        <v>44931</v>
      </c>
      <c r="DM8">
        <f t="shared" si="69"/>
        <v>47020</v>
      </c>
      <c r="DN8" t="str">
        <f t="shared" si="70"/>
        <v>Минерально-сырьевые ресурсы</v>
      </c>
      <c r="DO8" t="str">
        <f t="shared" si="71"/>
        <v>Химические и технологические материалы</v>
      </c>
      <c r="DP8" t="str">
        <f t="shared" si="72"/>
        <v>Энергетические ресурсы</v>
      </c>
      <c r="DQ8" t="str">
        <f t="shared" si="73"/>
        <v>Производство</v>
      </c>
      <c r="DR8" t="str">
        <f t="shared" si="74"/>
        <v>Управление</v>
      </c>
      <c r="DS8" t="str">
        <f t="shared" si="75"/>
        <v>Познание</v>
      </c>
      <c r="DT8" t="str">
        <f t="shared" si="76"/>
        <v>Россия</v>
      </c>
      <c r="DU8" t="str">
        <f t="shared" si="77"/>
        <v>США</v>
      </c>
      <c r="DV8" t="str">
        <f t="shared" si="78"/>
        <v>Китай</v>
      </c>
      <c r="DW8" t="str">
        <f t="shared" si="79"/>
        <v>Ресурсный</v>
      </c>
      <c r="DX8" t="str">
        <f t="shared" si="80"/>
        <v>Общественный</v>
      </c>
      <c r="DY8" t="str">
        <f t="shared" si="81"/>
        <v>Дипломатический</v>
      </c>
      <c r="DZ8" t="str">
        <f t="shared" si="82"/>
        <v>Социальное доверие</v>
      </c>
      <c r="EA8" t="str">
        <f t="shared" si="83"/>
        <v>Обучение</v>
      </c>
      <c r="EB8" t="str">
        <f t="shared" si="84"/>
        <v>США</v>
      </c>
      <c r="EC8">
        <f t="shared" si="85"/>
        <v>0</v>
      </c>
      <c r="ED8">
        <f t="shared" si="86"/>
        <v>0</v>
      </c>
      <c r="EE8">
        <f t="shared" si="87"/>
        <v>0</v>
      </c>
      <c r="EF8">
        <f t="shared" si="88"/>
        <v>0</v>
      </c>
      <c r="EG8" t="str">
        <f t="shared" si="89"/>
        <v/>
      </c>
      <c r="EH8" t="str">
        <f t="shared" si="90"/>
        <v/>
      </c>
      <c r="EI8" t="str">
        <f t="shared" si="91"/>
        <v/>
      </c>
      <c r="EJ8" t="str">
        <f t="shared" si="92"/>
        <v/>
      </c>
      <c r="EK8" t="str">
        <f t="shared" si="93"/>
        <v/>
      </c>
      <c r="EL8" t="str">
        <f t="shared" si="94"/>
        <v/>
      </c>
      <c r="EM8" t="e">
        <f t="shared" si="95"/>
        <v>#VALUE!</v>
      </c>
      <c r="EN8" t="e">
        <f t="shared" si="96"/>
        <v>#VALUE!</v>
      </c>
      <c r="EO8" t="str">
        <f t="shared" si="97"/>
        <v/>
      </c>
      <c r="EP8" t="str">
        <f t="shared" si="98"/>
        <v/>
      </c>
      <c r="EQ8" t="str">
        <f t="shared" si="99"/>
        <v/>
      </c>
      <c r="ER8" t="str">
        <f t="shared" si="100"/>
        <v/>
      </c>
      <c r="ES8" t="str">
        <f t="shared" si="101"/>
        <v/>
      </c>
    </row>
    <row r="9" spans="1:149" ht="52.8" customHeight="1">
      <c r="A9" s="40"/>
      <c r="B9" s="41"/>
      <c r="C9" s="41"/>
      <c r="D9" s="41"/>
      <c r="E9" s="41"/>
      <c r="F9" s="41"/>
      <c r="G9" s="42"/>
      <c r="H9" s="42"/>
      <c r="I9" s="42"/>
      <c r="J9" s="41"/>
      <c r="K9" s="41"/>
      <c r="L9" s="41"/>
      <c r="M9" s="42"/>
      <c r="N9" s="42"/>
      <c r="O9" s="42"/>
      <c r="P9" s="43" t="str">
        <f t="shared" si="0"/>
        <v/>
      </c>
      <c r="Q9" s="43" t="str">
        <f t="shared" si="1"/>
        <v/>
      </c>
      <c r="R9" s="44" t="e">
        <f t="shared" si="2"/>
        <v>#VALUE!</v>
      </c>
      <c r="S9" s="44" t="e">
        <f t="shared" si="3"/>
        <v>#VALUE!</v>
      </c>
      <c r="T9" s="44" t="e">
        <f t="shared" si="4"/>
        <v>#VALUE!</v>
      </c>
      <c r="U9" s="45" t="e">
        <f t="shared" si="5"/>
        <v>#VALUE!</v>
      </c>
      <c r="V9" s="45" t="e">
        <f t="shared" si="6"/>
        <v>#VALUE!</v>
      </c>
      <c r="W9" s="45" t="e">
        <f t="shared" si="7"/>
        <v>#VALUE!</v>
      </c>
      <c r="X9" s="46"/>
      <c r="Y9" s="47" t="str">
        <f t="shared" si="8"/>
        <v/>
      </c>
      <c r="Z9" s="47" t="str">
        <f t="shared" si="9"/>
        <v/>
      </c>
      <c r="AA9" s="47" t="str">
        <f t="shared" si="10"/>
        <v/>
      </c>
      <c r="AB9" s="47" t="str">
        <f t="shared" si="11"/>
        <v>Нет локального эффекта</v>
      </c>
      <c r="AC9" s="47" t="str">
        <f t="shared" si="12"/>
        <v/>
      </c>
      <c r="AD9" s="47" t="str">
        <f t="shared" si="13"/>
        <v>Нет локального эффекта</v>
      </c>
      <c r="AE9" s="47" t="str">
        <f t="shared" si="14"/>
        <v/>
      </c>
      <c r="AF9" s="47" t="str">
        <f t="shared" si="15"/>
        <v>Нет локального эффекта</v>
      </c>
      <c r="AG9" s="47" t="str">
        <f t="shared" si="16"/>
        <v/>
      </c>
      <c r="AH9" s="48" t="str">
        <f>IF($B9="","","Общий итог: "&amp;IF($Y9="","ожидает D64",$Y9&amp;IF($Z9="—",""," — "&amp;$Z9))&amp;". Арес: "&amp;$AA9&amp;". "&amp;$AB9&amp;" Афина: "&amp;$AC9&amp;". "&amp;$AD9&amp;" Аполлон: "&amp;$AE9&amp;". "&amp;$AF9&amp;IF($AG9="",""," Общий эффект: "&amp;$AG9))</f>
        <v/>
      </c>
      <c r="BA9" t="s">
        <v>288</v>
      </c>
      <c r="BB9" t="s">
        <v>288</v>
      </c>
      <c r="BC9" t="s">
        <v>295</v>
      </c>
      <c r="BD9" t="s">
        <v>17</v>
      </c>
      <c r="BF9">
        <v>678440852</v>
      </c>
      <c r="BG9">
        <v>848837786</v>
      </c>
      <c r="BH9">
        <v>352498228</v>
      </c>
      <c r="BI9">
        <v>757389810</v>
      </c>
      <c r="BJ9">
        <v>264732360</v>
      </c>
      <c r="BK9">
        <v>688968917</v>
      </c>
      <c r="BL9">
        <v>666454894</v>
      </c>
      <c r="BM9">
        <f t="shared" si="17"/>
        <v>28419</v>
      </c>
      <c r="BN9">
        <f t="shared" si="18"/>
        <v>36338</v>
      </c>
      <c r="BO9">
        <f t="shared" si="19"/>
        <v>44257</v>
      </c>
      <c r="BP9">
        <f t="shared" si="20"/>
        <v>52176</v>
      </c>
      <c r="BQ9">
        <f t="shared" si="21"/>
        <v>60095</v>
      </c>
      <c r="BR9">
        <f t="shared" si="22"/>
        <v>68014</v>
      </c>
      <c r="BS9">
        <f t="shared" si="23"/>
        <v>75933</v>
      </c>
      <c r="BT9">
        <f t="shared" si="24"/>
        <v>83852</v>
      </c>
      <c r="BU9">
        <f t="shared" si="25"/>
        <v>91771</v>
      </c>
      <c r="BV9">
        <f t="shared" si="26"/>
        <v>99690</v>
      </c>
      <c r="BW9">
        <f t="shared" si="27"/>
        <v>18473</v>
      </c>
      <c r="BX9">
        <f t="shared" si="28"/>
        <v>24624</v>
      </c>
      <c r="BY9">
        <f t="shared" si="29"/>
        <v>30775</v>
      </c>
      <c r="BZ9">
        <f t="shared" si="30"/>
        <v>36926</v>
      </c>
      <c r="CA9">
        <f t="shared" si="31"/>
        <v>43077</v>
      </c>
      <c r="CB9">
        <f t="shared" si="32"/>
        <v>49228</v>
      </c>
      <c r="CC9">
        <f t="shared" si="33"/>
        <v>55379</v>
      </c>
      <c r="CD9">
        <f t="shared" si="34"/>
        <v>61530</v>
      </c>
      <c r="CE9">
        <f t="shared" si="35"/>
        <v>91227</v>
      </c>
      <c r="CF9">
        <f t="shared" si="36"/>
        <v>94798</v>
      </c>
      <c r="CG9">
        <f t="shared" si="37"/>
        <v>98369</v>
      </c>
      <c r="CH9">
        <f t="shared" si="38"/>
        <v>1937</v>
      </c>
      <c r="CI9">
        <f t="shared" si="39"/>
        <v>5508</v>
      </c>
      <c r="CJ9">
        <f t="shared" si="40"/>
        <v>9079</v>
      </c>
      <c r="CK9">
        <f t="shared" si="41"/>
        <v>12650</v>
      </c>
      <c r="CL9">
        <f t="shared" si="42"/>
        <v>16221</v>
      </c>
      <c r="CM9">
        <f t="shared" si="43"/>
        <v>19792</v>
      </c>
      <c r="CN9">
        <f t="shared" si="44"/>
        <v>23363</v>
      </c>
      <c r="CO9">
        <f t="shared" si="45"/>
        <v>26934</v>
      </c>
      <c r="CP9">
        <f t="shared" si="46"/>
        <v>30505</v>
      </c>
      <c r="CQ9">
        <f t="shared" si="47"/>
        <v>34076</v>
      </c>
      <c r="CR9">
        <f t="shared" si="48"/>
        <v>37647</v>
      </c>
      <c r="CS9">
        <f t="shared" si="49"/>
        <v>41218</v>
      </c>
      <c r="CT9">
        <f t="shared" si="50"/>
        <v>44789</v>
      </c>
      <c r="CU9">
        <f t="shared" si="51"/>
        <v>52691</v>
      </c>
      <c r="CV9">
        <f t="shared" si="52"/>
        <v>57132</v>
      </c>
      <c r="CW9">
        <f t="shared" si="53"/>
        <v>61573</v>
      </c>
      <c r="CX9">
        <f t="shared" si="54"/>
        <v>66014</v>
      </c>
      <c r="CY9">
        <f t="shared" si="55"/>
        <v>70455</v>
      </c>
      <c r="CZ9">
        <f t="shared" si="56"/>
        <v>74896</v>
      </c>
      <c r="DA9">
        <f t="shared" si="57"/>
        <v>79337</v>
      </c>
      <c r="DB9">
        <f t="shared" si="58"/>
        <v>83778</v>
      </c>
      <c r="DC9">
        <f t="shared" si="59"/>
        <v>88219</v>
      </c>
      <c r="DD9">
        <f t="shared" si="60"/>
        <v>92660</v>
      </c>
      <c r="DE9">
        <f t="shared" si="61"/>
        <v>97101</v>
      </c>
      <c r="DF9">
        <f t="shared" si="62"/>
        <v>1539</v>
      </c>
      <c r="DG9">
        <f t="shared" si="63"/>
        <v>5980</v>
      </c>
      <c r="DH9">
        <f t="shared" si="64"/>
        <v>10421</v>
      </c>
      <c r="DI9">
        <f t="shared" si="65"/>
        <v>14862</v>
      </c>
      <c r="DJ9">
        <f t="shared" si="66"/>
        <v>19303</v>
      </c>
      <c r="DK9">
        <f t="shared" si="67"/>
        <v>36991</v>
      </c>
      <c r="DL9">
        <f t="shared" si="68"/>
        <v>39080</v>
      </c>
      <c r="DM9">
        <f t="shared" si="69"/>
        <v>41169</v>
      </c>
      <c r="DN9" t="str">
        <f t="shared" si="70"/>
        <v>Минерально-сырьевые ресурсы</v>
      </c>
      <c r="DO9" t="str">
        <f t="shared" si="71"/>
        <v>Химические и технологические материалы</v>
      </c>
      <c r="DP9" t="str">
        <f t="shared" si="72"/>
        <v>Энергетические ресурсы</v>
      </c>
      <c r="DQ9" t="str">
        <f t="shared" si="73"/>
        <v>Производство</v>
      </c>
      <c r="DR9" t="str">
        <f t="shared" si="74"/>
        <v>Управление</v>
      </c>
      <c r="DS9" t="str">
        <f t="shared" si="75"/>
        <v>Познание</v>
      </c>
      <c r="DT9" t="str">
        <f t="shared" si="76"/>
        <v>Индия</v>
      </c>
      <c r="DU9" t="str">
        <f t="shared" si="77"/>
        <v>Великобритания</v>
      </c>
      <c r="DV9" t="str">
        <f t="shared" si="78"/>
        <v>Франция</v>
      </c>
      <c r="DW9" t="str">
        <f t="shared" si="79"/>
        <v>Ресурсный</v>
      </c>
      <c r="DX9" t="str">
        <f t="shared" si="80"/>
        <v>Общественный</v>
      </c>
      <c r="DY9" t="str">
        <f t="shared" si="81"/>
        <v>Дипломатический</v>
      </c>
      <c r="DZ9" t="str">
        <f t="shared" si="82"/>
        <v>Кибербезопасностные ресурсы</v>
      </c>
      <c r="EA9" t="str">
        <f t="shared" si="83"/>
        <v>Производство</v>
      </c>
      <c r="EB9" t="str">
        <f t="shared" si="84"/>
        <v>Иран</v>
      </c>
      <c r="EC9">
        <f t="shared" si="85"/>
        <v>0</v>
      </c>
      <c r="ED9">
        <f t="shared" si="86"/>
        <v>0</v>
      </c>
      <c r="EE9">
        <f t="shared" si="87"/>
        <v>0</v>
      </c>
      <c r="EF9">
        <f t="shared" si="88"/>
        <v>0</v>
      </c>
      <c r="EG9" t="str">
        <f t="shared" si="89"/>
        <v/>
      </c>
      <c r="EH9" t="str">
        <f t="shared" si="90"/>
        <v/>
      </c>
      <c r="EI9" t="str">
        <f t="shared" si="91"/>
        <v/>
      </c>
      <c r="EJ9" t="str">
        <f t="shared" si="92"/>
        <v/>
      </c>
      <c r="EK9" t="str">
        <f t="shared" si="93"/>
        <v/>
      </c>
      <c r="EL9" t="str">
        <f t="shared" si="94"/>
        <v/>
      </c>
      <c r="EM9" t="e">
        <f t="shared" si="95"/>
        <v>#VALUE!</v>
      </c>
      <c r="EN9" t="e">
        <f t="shared" si="96"/>
        <v>#VALUE!</v>
      </c>
      <c r="EO9" t="str">
        <f t="shared" si="97"/>
        <v/>
      </c>
      <c r="EP9" t="str">
        <f t="shared" si="98"/>
        <v/>
      </c>
      <c r="EQ9" t="str">
        <f t="shared" si="99"/>
        <v/>
      </c>
      <c r="ER9" t="str">
        <f t="shared" si="100"/>
        <v/>
      </c>
      <c r="ES9" t="str">
        <f t="shared" si="101"/>
        <v/>
      </c>
    </row>
    <row r="10" spans="1:149" ht="52.8" customHeight="1">
      <c r="A10" s="40"/>
      <c r="B10" s="41"/>
      <c r="C10" s="41"/>
      <c r="D10" s="41"/>
      <c r="E10" s="41"/>
      <c r="F10" s="41"/>
      <c r="G10" s="42"/>
      <c r="H10" s="42"/>
      <c r="I10" s="42"/>
      <c r="J10" s="41"/>
      <c r="K10" s="41"/>
      <c r="L10" s="41"/>
      <c r="M10" s="42"/>
      <c r="N10" s="42"/>
      <c r="O10" s="42"/>
      <c r="P10" s="43" t="str">
        <f t="shared" si="0"/>
        <v/>
      </c>
      <c r="Q10" s="43" t="str">
        <f t="shared" si="1"/>
        <v/>
      </c>
      <c r="R10" s="44" t="e">
        <f t="shared" si="2"/>
        <v>#VALUE!</v>
      </c>
      <c r="S10" s="44" t="e">
        <f t="shared" si="3"/>
        <v>#VALUE!</v>
      </c>
      <c r="T10" s="44" t="e">
        <f t="shared" si="4"/>
        <v>#VALUE!</v>
      </c>
      <c r="U10" s="45" t="e">
        <f t="shared" si="5"/>
        <v>#VALUE!</v>
      </c>
      <c r="V10" s="45" t="e">
        <f t="shared" si="6"/>
        <v>#VALUE!</v>
      </c>
      <c r="W10" s="45" t="e">
        <f t="shared" si="7"/>
        <v>#VALUE!</v>
      </c>
      <c r="X10" s="46"/>
      <c r="Y10" s="47" t="str">
        <f t="shared" si="8"/>
        <v/>
      </c>
      <c r="Z10" s="47" t="str">
        <f t="shared" si="9"/>
        <v/>
      </c>
      <c r="AA10" s="47" t="str">
        <f t="shared" si="10"/>
        <v/>
      </c>
      <c r="AB10" s="47" t="str">
        <f t="shared" si="11"/>
        <v>Нет локального эффекта</v>
      </c>
      <c r="AC10" s="47" t="str">
        <f t="shared" si="12"/>
        <v/>
      </c>
      <c r="AD10" s="47" t="str">
        <f t="shared" si="13"/>
        <v>Нет локального эффекта</v>
      </c>
      <c r="AE10" s="47" t="str">
        <f t="shared" si="14"/>
        <v/>
      </c>
      <c r="AF10" s="47" t="str">
        <f t="shared" si="15"/>
        <v>Нет локального эффекта</v>
      </c>
      <c r="AG10" s="47" t="str">
        <f t="shared" si="16"/>
        <v/>
      </c>
      <c r="AH10" s="48" t="str">
        <f>IF($B10="","","Общий итог: "&amp;IF($Y10="","ожидает D65",$Y10&amp;IF($Z10="—",""," — "&amp;$Z10))&amp;". Арес: "&amp;$AA10&amp;". "&amp;$AB10&amp;" Афина: "&amp;$AC10&amp;". "&amp;$AD10&amp;" Аполлон: "&amp;$AE10&amp;". "&amp;$AF10&amp;IF($AG10="",""," Общий эффект: "&amp;$AG10))</f>
        <v/>
      </c>
      <c r="BA10" t="s">
        <v>289</v>
      </c>
      <c r="BB10" t="s">
        <v>289</v>
      </c>
      <c r="BD10" t="s">
        <v>18</v>
      </c>
      <c r="BF10">
        <v>953421482</v>
      </c>
      <c r="BG10">
        <v>677632354</v>
      </c>
      <c r="BH10">
        <v>479224269</v>
      </c>
      <c r="BI10">
        <v>949613951</v>
      </c>
      <c r="BJ10">
        <v>229273461</v>
      </c>
      <c r="BK10">
        <v>75403196</v>
      </c>
      <c r="BL10">
        <v>32480240</v>
      </c>
      <c r="BM10">
        <f t="shared" si="17"/>
        <v>799</v>
      </c>
      <c r="BN10">
        <f t="shared" si="18"/>
        <v>8718</v>
      </c>
      <c r="BO10">
        <f t="shared" si="19"/>
        <v>16637</v>
      </c>
      <c r="BP10">
        <f t="shared" si="20"/>
        <v>24556</v>
      </c>
      <c r="BQ10">
        <f t="shared" si="21"/>
        <v>32475</v>
      </c>
      <c r="BR10">
        <f t="shared" si="22"/>
        <v>40394</v>
      </c>
      <c r="BS10">
        <f t="shared" si="23"/>
        <v>48313</v>
      </c>
      <c r="BT10">
        <f t="shared" si="24"/>
        <v>56232</v>
      </c>
      <c r="BU10">
        <f t="shared" si="25"/>
        <v>64151</v>
      </c>
      <c r="BV10">
        <f t="shared" si="26"/>
        <v>72070</v>
      </c>
      <c r="BW10">
        <f t="shared" si="27"/>
        <v>18177</v>
      </c>
      <c r="BX10">
        <f t="shared" si="28"/>
        <v>24328</v>
      </c>
      <c r="BY10">
        <f t="shared" si="29"/>
        <v>30479</v>
      </c>
      <c r="BZ10">
        <f t="shared" si="30"/>
        <v>36630</v>
      </c>
      <c r="CA10">
        <f t="shared" si="31"/>
        <v>42781</v>
      </c>
      <c r="CB10">
        <f t="shared" si="32"/>
        <v>48932</v>
      </c>
      <c r="CC10">
        <f t="shared" si="33"/>
        <v>55083</v>
      </c>
      <c r="CD10">
        <f t="shared" si="34"/>
        <v>61234</v>
      </c>
      <c r="CE10">
        <f t="shared" si="35"/>
        <v>13464</v>
      </c>
      <c r="CF10">
        <f t="shared" si="36"/>
        <v>17035</v>
      </c>
      <c r="CG10">
        <f t="shared" si="37"/>
        <v>20606</v>
      </c>
      <c r="CH10">
        <f t="shared" si="38"/>
        <v>24177</v>
      </c>
      <c r="CI10">
        <f t="shared" si="39"/>
        <v>27748</v>
      </c>
      <c r="CJ10">
        <f t="shared" si="40"/>
        <v>31319</v>
      </c>
      <c r="CK10">
        <f t="shared" si="41"/>
        <v>34890</v>
      </c>
      <c r="CL10">
        <f t="shared" si="42"/>
        <v>38461</v>
      </c>
      <c r="CM10">
        <f t="shared" si="43"/>
        <v>42032</v>
      </c>
      <c r="CN10">
        <f t="shared" si="44"/>
        <v>45603</v>
      </c>
      <c r="CO10">
        <f t="shared" si="45"/>
        <v>49174</v>
      </c>
      <c r="CP10">
        <f t="shared" si="46"/>
        <v>52745</v>
      </c>
      <c r="CQ10">
        <f t="shared" si="47"/>
        <v>56316</v>
      </c>
      <c r="CR10">
        <f t="shared" si="48"/>
        <v>59887</v>
      </c>
      <c r="CS10">
        <f t="shared" si="49"/>
        <v>63458</v>
      </c>
      <c r="CT10">
        <f t="shared" si="50"/>
        <v>67029</v>
      </c>
      <c r="CU10">
        <f t="shared" si="51"/>
        <v>5375</v>
      </c>
      <c r="CV10">
        <f t="shared" si="52"/>
        <v>9816</v>
      </c>
      <c r="CW10">
        <f t="shared" si="53"/>
        <v>14257</v>
      </c>
      <c r="CX10">
        <f t="shared" si="54"/>
        <v>18698</v>
      </c>
      <c r="CY10">
        <f t="shared" si="55"/>
        <v>23139</v>
      </c>
      <c r="CZ10">
        <f t="shared" si="56"/>
        <v>27580</v>
      </c>
      <c r="DA10">
        <f t="shared" si="57"/>
        <v>32021</v>
      </c>
      <c r="DB10">
        <f t="shared" si="58"/>
        <v>36462</v>
      </c>
      <c r="DC10">
        <f t="shared" si="59"/>
        <v>40903</v>
      </c>
      <c r="DD10">
        <f t="shared" si="60"/>
        <v>45344</v>
      </c>
      <c r="DE10">
        <f t="shared" si="61"/>
        <v>49785</v>
      </c>
      <c r="DF10">
        <f t="shared" si="62"/>
        <v>54226</v>
      </c>
      <c r="DG10">
        <f t="shared" si="63"/>
        <v>58667</v>
      </c>
      <c r="DH10">
        <f t="shared" si="64"/>
        <v>63108</v>
      </c>
      <c r="DI10">
        <f t="shared" si="65"/>
        <v>67549</v>
      </c>
      <c r="DJ10">
        <f t="shared" si="66"/>
        <v>71990</v>
      </c>
      <c r="DK10">
        <f t="shared" si="67"/>
        <v>81357</v>
      </c>
      <c r="DL10">
        <f t="shared" si="68"/>
        <v>83446</v>
      </c>
      <c r="DM10">
        <f t="shared" si="69"/>
        <v>85535</v>
      </c>
      <c r="DN10" t="str">
        <f t="shared" si="70"/>
        <v>Минерально-сырьевые ресурсы</v>
      </c>
      <c r="DO10" t="str">
        <f t="shared" si="71"/>
        <v>Химические и технологические материалы</v>
      </c>
      <c r="DP10" t="str">
        <f t="shared" si="72"/>
        <v>Энергетические ресурсы</v>
      </c>
      <c r="DQ10" t="str">
        <f t="shared" si="73"/>
        <v>Производство</v>
      </c>
      <c r="DR10" t="str">
        <f t="shared" si="74"/>
        <v>Управление</v>
      </c>
      <c r="DS10" t="str">
        <f t="shared" si="75"/>
        <v>Познание</v>
      </c>
      <c r="DT10" t="str">
        <f t="shared" si="76"/>
        <v>Россия</v>
      </c>
      <c r="DU10" t="str">
        <f t="shared" si="77"/>
        <v>США</v>
      </c>
      <c r="DV10" t="str">
        <f t="shared" si="78"/>
        <v>Китай</v>
      </c>
      <c r="DW10" t="str">
        <f t="shared" si="79"/>
        <v>Ресурсный</v>
      </c>
      <c r="DX10" t="str">
        <f t="shared" si="80"/>
        <v>Общественный</v>
      </c>
      <c r="DY10" t="str">
        <f t="shared" si="81"/>
        <v>Дипломатический</v>
      </c>
      <c r="DZ10" t="str">
        <f t="shared" si="82"/>
        <v>Производные данные</v>
      </c>
      <c r="EA10" t="str">
        <f t="shared" si="83"/>
        <v>Экономика</v>
      </c>
      <c r="EB10" t="str">
        <f t="shared" si="84"/>
        <v>Россия</v>
      </c>
      <c r="EC10">
        <f t="shared" si="85"/>
        <v>0</v>
      </c>
      <c r="ED10">
        <f t="shared" si="86"/>
        <v>0</v>
      </c>
      <c r="EE10">
        <f t="shared" si="87"/>
        <v>0</v>
      </c>
      <c r="EF10">
        <f t="shared" si="88"/>
        <v>0</v>
      </c>
      <c r="EG10" t="str">
        <f t="shared" si="89"/>
        <v/>
      </c>
      <c r="EH10" t="str">
        <f t="shared" si="90"/>
        <v/>
      </c>
      <c r="EI10" t="str">
        <f t="shared" si="91"/>
        <v/>
      </c>
      <c r="EJ10" t="str">
        <f t="shared" si="92"/>
        <v/>
      </c>
      <c r="EK10" t="str">
        <f t="shared" si="93"/>
        <v/>
      </c>
      <c r="EL10" t="str">
        <f t="shared" si="94"/>
        <v/>
      </c>
      <c r="EM10" t="e">
        <f t="shared" si="95"/>
        <v>#VALUE!</v>
      </c>
      <c r="EN10" t="e">
        <f t="shared" si="96"/>
        <v>#VALUE!</v>
      </c>
      <c r="EO10" t="str">
        <f t="shared" si="97"/>
        <v/>
      </c>
      <c r="EP10" t="str">
        <f t="shared" si="98"/>
        <v/>
      </c>
      <c r="EQ10" t="str">
        <f t="shared" si="99"/>
        <v/>
      </c>
      <c r="ER10" t="str">
        <f t="shared" si="100"/>
        <v/>
      </c>
      <c r="ES10" t="str">
        <f t="shared" si="101"/>
        <v/>
      </c>
    </row>
    <row r="11" spans="1:149" ht="52.8" customHeight="1">
      <c r="A11" s="40"/>
      <c r="B11" s="41"/>
      <c r="C11" s="41"/>
      <c r="D11" s="41"/>
      <c r="E11" s="41"/>
      <c r="F11" s="41"/>
      <c r="G11" s="42"/>
      <c r="H11" s="42"/>
      <c r="I11" s="42"/>
      <c r="J11" s="41"/>
      <c r="K11" s="41"/>
      <c r="L11" s="41"/>
      <c r="M11" s="42"/>
      <c r="N11" s="42"/>
      <c r="O11" s="42"/>
      <c r="P11" s="43" t="str">
        <f t="shared" si="0"/>
        <v/>
      </c>
      <c r="Q11" s="43" t="str">
        <f t="shared" si="1"/>
        <v/>
      </c>
      <c r="R11" s="44" t="e">
        <f t="shared" si="2"/>
        <v>#VALUE!</v>
      </c>
      <c r="S11" s="44" t="e">
        <f t="shared" si="3"/>
        <v>#VALUE!</v>
      </c>
      <c r="T11" s="44" t="e">
        <f t="shared" si="4"/>
        <v>#VALUE!</v>
      </c>
      <c r="U11" s="45" t="e">
        <f t="shared" si="5"/>
        <v>#VALUE!</v>
      </c>
      <c r="V11" s="45" t="e">
        <f t="shared" si="6"/>
        <v>#VALUE!</v>
      </c>
      <c r="W11" s="45" t="e">
        <f t="shared" si="7"/>
        <v>#VALUE!</v>
      </c>
      <c r="X11" s="46"/>
      <c r="Y11" s="47" t="str">
        <f t="shared" si="8"/>
        <v/>
      </c>
      <c r="Z11" s="47" t="str">
        <f t="shared" si="9"/>
        <v/>
      </c>
      <c r="AA11" s="47" t="str">
        <f t="shared" si="10"/>
        <v/>
      </c>
      <c r="AB11" s="47" t="str">
        <f t="shared" si="11"/>
        <v>Нет локального эффекта</v>
      </c>
      <c r="AC11" s="47" t="str">
        <f t="shared" si="12"/>
        <v/>
      </c>
      <c r="AD11" s="47" t="str">
        <f t="shared" si="13"/>
        <v>Нет локального эффекта</v>
      </c>
      <c r="AE11" s="47" t="str">
        <f t="shared" si="14"/>
        <v/>
      </c>
      <c r="AF11" s="47" t="str">
        <f t="shared" si="15"/>
        <v>Нет локального эффекта</v>
      </c>
      <c r="AG11" s="47" t="str">
        <f t="shared" si="16"/>
        <v/>
      </c>
      <c r="AH11" s="48" t="str">
        <f>IF($B11="","","Общий итог: "&amp;IF($Y11="","ожидает D66",$Y11&amp;IF($Z11="—",""," — "&amp;$Z11))&amp;". Арес: "&amp;$AA11&amp;". "&amp;$AB11&amp;" Афина: "&amp;$AC11&amp;". "&amp;$AD11&amp;" Аполлон: "&amp;$AE11&amp;". "&amp;$AF11&amp;IF($AG11="",""," Общий эффект: "&amp;$AG11))</f>
        <v/>
      </c>
      <c r="BA11" t="s">
        <v>290</v>
      </c>
      <c r="BB11" t="s">
        <v>290</v>
      </c>
      <c r="BD11" t="s">
        <v>19</v>
      </c>
      <c r="BF11">
        <v>137937462</v>
      </c>
      <c r="BG11">
        <v>91269991</v>
      </c>
      <c r="BH11">
        <v>840079593</v>
      </c>
      <c r="BI11">
        <v>449144316</v>
      </c>
      <c r="BJ11">
        <v>571004645</v>
      </c>
      <c r="BK11">
        <v>630265306</v>
      </c>
      <c r="BL11">
        <v>123152524</v>
      </c>
      <c r="BM11">
        <f t="shared" si="17"/>
        <v>41244</v>
      </c>
      <c r="BN11">
        <f t="shared" si="18"/>
        <v>49163</v>
      </c>
      <c r="BO11">
        <f t="shared" si="19"/>
        <v>57082</v>
      </c>
      <c r="BP11">
        <f t="shared" si="20"/>
        <v>65001</v>
      </c>
      <c r="BQ11">
        <f t="shared" si="21"/>
        <v>72920</v>
      </c>
      <c r="BR11">
        <f t="shared" si="22"/>
        <v>80839</v>
      </c>
      <c r="BS11">
        <f t="shared" si="23"/>
        <v>88758</v>
      </c>
      <c r="BT11">
        <f t="shared" si="24"/>
        <v>96677</v>
      </c>
      <c r="BU11">
        <f t="shared" si="25"/>
        <v>4593</v>
      </c>
      <c r="BV11">
        <f t="shared" si="26"/>
        <v>12512</v>
      </c>
      <c r="BW11">
        <f t="shared" si="27"/>
        <v>73406</v>
      </c>
      <c r="BX11">
        <f t="shared" si="28"/>
        <v>79557</v>
      </c>
      <c r="BY11">
        <f t="shared" si="29"/>
        <v>85708</v>
      </c>
      <c r="BZ11">
        <f t="shared" si="30"/>
        <v>91859</v>
      </c>
      <c r="CA11">
        <f t="shared" si="31"/>
        <v>98010</v>
      </c>
      <c r="CB11">
        <f t="shared" si="32"/>
        <v>4158</v>
      </c>
      <c r="CC11">
        <f t="shared" si="33"/>
        <v>10309</v>
      </c>
      <c r="CD11">
        <f t="shared" si="34"/>
        <v>16460</v>
      </c>
      <c r="CE11">
        <f t="shared" si="35"/>
        <v>57964</v>
      </c>
      <c r="CF11">
        <f t="shared" si="36"/>
        <v>61535</v>
      </c>
      <c r="CG11">
        <f t="shared" si="37"/>
        <v>65106</v>
      </c>
      <c r="CH11">
        <f t="shared" si="38"/>
        <v>68677</v>
      </c>
      <c r="CI11">
        <f t="shared" si="39"/>
        <v>72248</v>
      </c>
      <c r="CJ11">
        <f t="shared" si="40"/>
        <v>75819</v>
      </c>
      <c r="CK11">
        <f t="shared" si="41"/>
        <v>79390</v>
      </c>
      <c r="CL11">
        <f t="shared" si="42"/>
        <v>82961</v>
      </c>
      <c r="CM11">
        <f t="shared" si="43"/>
        <v>86532</v>
      </c>
      <c r="CN11">
        <f t="shared" si="44"/>
        <v>90103</v>
      </c>
      <c r="CO11">
        <f t="shared" si="45"/>
        <v>93674</v>
      </c>
      <c r="CP11">
        <f t="shared" si="46"/>
        <v>97245</v>
      </c>
      <c r="CQ11">
        <f t="shared" si="47"/>
        <v>813</v>
      </c>
      <c r="CR11">
        <f t="shared" si="48"/>
        <v>4384</v>
      </c>
      <c r="CS11">
        <f t="shared" si="49"/>
        <v>7955</v>
      </c>
      <c r="CT11">
        <f t="shared" si="50"/>
        <v>11526</v>
      </c>
      <c r="CU11">
        <f t="shared" si="51"/>
        <v>50841</v>
      </c>
      <c r="CV11">
        <f t="shared" si="52"/>
        <v>55282</v>
      </c>
      <c r="CW11">
        <f t="shared" si="53"/>
        <v>59723</v>
      </c>
      <c r="CX11">
        <f t="shared" si="54"/>
        <v>64164</v>
      </c>
      <c r="CY11">
        <f t="shared" si="55"/>
        <v>68605</v>
      </c>
      <c r="CZ11">
        <f t="shared" si="56"/>
        <v>73046</v>
      </c>
      <c r="DA11">
        <f t="shared" si="57"/>
        <v>77487</v>
      </c>
      <c r="DB11">
        <f t="shared" si="58"/>
        <v>81928</v>
      </c>
      <c r="DC11">
        <f t="shared" si="59"/>
        <v>86369</v>
      </c>
      <c r="DD11">
        <f t="shared" si="60"/>
        <v>90810</v>
      </c>
      <c r="DE11">
        <f t="shared" si="61"/>
        <v>95251</v>
      </c>
      <c r="DF11">
        <f t="shared" si="62"/>
        <v>99692</v>
      </c>
      <c r="DG11">
        <f t="shared" si="63"/>
        <v>4130</v>
      </c>
      <c r="DH11">
        <f t="shared" si="64"/>
        <v>8571</v>
      </c>
      <c r="DI11">
        <f t="shared" si="65"/>
        <v>13012</v>
      </c>
      <c r="DJ11">
        <f t="shared" si="66"/>
        <v>17453</v>
      </c>
      <c r="DK11">
        <f t="shared" si="67"/>
        <v>50920</v>
      </c>
      <c r="DL11">
        <f t="shared" si="68"/>
        <v>53009</v>
      </c>
      <c r="DM11">
        <f t="shared" si="69"/>
        <v>55098</v>
      </c>
      <c r="DN11" t="str">
        <f t="shared" si="70"/>
        <v>Сетевые ресурсы</v>
      </c>
      <c r="DO11" t="str">
        <f t="shared" si="71"/>
        <v>Конечные устройства</v>
      </c>
      <c r="DP11" t="str">
        <f t="shared" si="72"/>
        <v>Минерально-сырьевые ресурсы</v>
      </c>
      <c r="DQ11" t="str">
        <f t="shared" si="73"/>
        <v>Экономика</v>
      </c>
      <c r="DR11" t="str">
        <f t="shared" si="74"/>
        <v>Государственное управление</v>
      </c>
      <c r="DS11" t="str">
        <f t="shared" si="75"/>
        <v>Принятие ИИ</v>
      </c>
      <c r="DT11" t="str">
        <f t="shared" si="76"/>
        <v>Израиль</v>
      </c>
      <c r="DU11" t="str">
        <f t="shared" si="77"/>
        <v>Бразилия</v>
      </c>
      <c r="DV11" t="str">
        <f t="shared" si="78"/>
        <v>ОАЭ</v>
      </c>
      <c r="DW11" t="str">
        <f t="shared" si="79"/>
        <v>Ресурсный</v>
      </c>
      <c r="DX11" t="str">
        <f t="shared" si="80"/>
        <v>Общественный</v>
      </c>
      <c r="DY11" t="str">
        <f t="shared" si="81"/>
        <v>Дипломатический</v>
      </c>
      <c r="DZ11" t="str">
        <f t="shared" si="82"/>
        <v>Организационная способность к изменению</v>
      </c>
      <c r="EA11" t="str">
        <f t="shared" si="83"/>
        <v>Экономика</v>
      </c>
      <c r="EB11" t="str">
        <f t="shared" si="84"/>
        <v>Израиль</v>
      </c>
      <c r="EC11">
        <f t="shared" si="85"/>
        <v>0</v>
      </c>
      <c r="ED11">
        <f t="shared" si="86"/>
        <v>0</v>
      </c>
      <c r="EE11">
        <f t="shared" si="87"/>
        <v>0</v>
      </c>
      <c r="EF11">
        <f t="shared" si="88"/>
        <v>0</v>
      </c>
      <c r="EG11" t="str">
        <f t="shared" si="89"/>
        <v/>
      </c>
      <c r="EH11" t="str">
        <f t="shared" si="90"/>
        <v/>
      </c>
      <c r="EI11" t="str">
        <f t="shared" si="91"/>
        <v/>
      </c>
      <c r="EJ11" t="str">
        <f t="shared" si="92"/>
        <v/>
      </c>
      <c r="EK11" t="str">
        <f t="shared" si="93"/>
        <v/>
      </c>
      <c r="EL11" t="str">
        <f t="shared" si="94"/>
        <v/>
      </c>
      <c r="EM11" t="e">
        <f t="shared" si="95"/>
        <v>#VALUE!</v>
      </c>
      <c r="EN11" t="e">
        <f t="shared" si="96"/>
        <v>#VALUE!</v>
      </c>
      <c r="EO11" t="str">
        <f t="shared" si="97"/>
        <v/>
      </c>
      <c r="EP11" t="str">
        <f t="shared" si="98"/>
        <v/>
      </c>
      <c r="EQ11" t="str">
        <f t="shared" si="99"/>
        <v/>
      </c>
      <c r="ER11" t="str">
        <f t="shared" si="100"/>
        <v/>
      </c>
      <c r="ES11" t="str">
        <f t="shared" si="101"/>
        <v/>
      </c>
    </row>
    <row r="12" spans="1:149" ht="52.8" customHeight="1">
      <c r="A12" s="40"/>
      <c r="B12" s="41"/>
      <c r="C12" s="41"/>
      <c r="D12" s="41"/>
      <c r="E12" s="41"/>
      <c r="F12" s="41"/>
      <c r="G12" s="42"/>
      <c r="H12" s="42"/>
      <c r="I12" s="42"/>
      <c r="J12" s="41"/>
      <c r="K12" s="41"/>
      <c r="L12" s="41"/>
      <c r="M12" s="42"/>
      <c r="N12" s="42"/>
      <c r="O12" s="42"/>
      <c r="P12" s="43" t="str">
        <f t="shared" si="0"/>
        <v/>
      </c>
      <c r="Q12" s="43" t="str">
        <f t="shared" si="1"/>
        <v/>
      </c>
      <c r="R12" s="44" t="e">
        <f t="shared" si="2"/>
        <v>#VALUE!</v>
      </c>
      <c r="S12" s="44" t="e">
        <f t="shared" si="3"/>
        <v>#VALUE!</v>
      </c>
      <c r="T12" s="44" t="e">
        <f t="shared" si="4"/>
        <v>#VALUE!</v>
      </c>
      <c r="U12" s="45" t="e">
        <f t="shared" si="5"/>
        <v>#VALUE!</v>
      </c>
      <c r="V12" s="45" t="e">
        <f t="shared" si="6"/>
        <v>#VALUE!</v>
      </c>
      <c r="W12" s="45" t="e">
        <f t="shared" si="7"/>
        <v>#VALUE!</v>
      </c>
      <c r="X12" s="46"/>
      <c r="Y12" s="47" t="str">
        <f t="shared" si="8"/>
        <v/>
      </c>
      <c r="Z12" s="47" t="str">
        <f t="shared" si="9"/>
        <v/>
      </c>
      <c r="AA12" s="47" t="str">
        <f t="shared" si="10"/>
        <v/>
      </c>
      <c r="AB12" s="47" t="str">
        <f t="shared" si="11"/>
        <v>Нет локального эффекта</v>
      </c>
      <c r="AC12" s="47" t="str">
        <f t="shared" si="12"/>
        <v/>
      </c>
      <c r="AD12" s="47" t="str">
        <f t="shared" si="13"/>
        <v>Нет локального эффекта</v>
      </c>
      <c r="AE12" s="47" t="str">
        <f t="shared" si="14"/>
        <v/>
      </c>
      <c r="AF12" s="47" t="str">
        <f t="shared" si="15"/>
        <v>Нет локального эффекта</v>
      </c>
      <c r="AG12" s="47" t="str">
        <f t="shared" si="16"/>
        <v/>
      </c>
      <c r="AH12" s="48" t="str">
        <f>IF($B12="","","Общий итог: "&amp;IF($Y12="","ожидает D67",$Y12&amp;IF($Z12="—",""," — "&amp;$Z12))&amp;". Арес: "&amp;$AA12&amp;". "&amp;$AB12&amp;" Афина: "&amp;$AC12&amp;". "&amp;$AD12&amp;" Аполлон: "&amp;$AE12&amp;". "&amp;$AF12&amp;IF($AG12="",""," Общий эффект: "&amp;$AG12))</f>
        <v/>
      </c>
      <c r="BA12" t="s">
        <v>296</v>
      </c>
      <c r="BD12" t="s">
        <v>20</v>
      </c>
      <c r="BF12">
        <v>198216958</v>
      </c>
      <c r="BG12">
        <v>667722791</v>
      </c>
      <c r="BH12">
        <v>541019867</v>
      </c>
      <c r="BI12">
        <v>53335155</v>
      </c>
      <c r="BJ12">
        <v>870128160</v>
      </c>
      <c r="BK12">
        <v>863478216</v>
      </c>
      <c r="BL12">
        <v>175648754</v>
      </c>
      <c r="BM12">
        <f t="shared" si="17"/>
        <v>18931</v>
      </c>
      <c r="BN12">
        <f t="shared" si="18"/>
        <v>26850</v>
      </c>
      <c r="BO12">
        <f t="shared" si="19"/>
        <v>34769</v>
      </c>
      <c r="BP12">
        <f t="shared" si="20"/>
        <v>42688</v>
      </c>
      <c r="BQ12">
        <f t="shared" si="21"/>
        <v>50607</v>
      </c>
      <c r="BR12">
        <f t="shared" si="22"/>
        <v>58526</v>
      </c>
      <c r="BS12">
        <f t="shared" si="23"/>
        <v>66445</v>
      </c>
      <c r="BT12">
        <f t="shared" si="24"/>
        <v>74364</v>
      </c>
      <c r="BU12">
        <f t="shared" si="25"/>
        <v>82283</v>
      </c>
      <c r="BV12">
        <f t="shared" si="26"/>
        <v>90202</v>
      </c>
      <c r="BW12">
        <f t="shared" si="27"/>
        <v>8911</v>
      </c>
      <c r="BX12">
        <f t="shared" si="28"/>
        <v>15062</v>
      </c>
      <c r="BY12">
        <f t="shared" si="29"/>
        <v>21213</v>
      </c>
      <c r="BZ12">
        <f t="shared" si="30"/>
        <v>27364</v>
      </c>
      <c r="CA12">
        <f t="shared" si="31"/>
        <v>33515</v>
      </c>
      <c r="CB12">
        <f t="shared" si="32"/>
        <v>39666</v>
      </c>
      <c r="CC12">
        <f t="shared" si="33"/>
        <v>45817</v>
      </c>
      <c r="CD12">
        <f t="shared" si="34"/>
        <v>51968</v>
      </c>
      <c r="CE12">
        <f t="shared" si="35"/>
        <v>7208</v>
      </c>
      <c r="CF12">
        <f t="shared" si="36"/>
        <v>10779</v>
      </c>
      <c r="CG12">
        <f t="shared" si="37"/>
        <v>14350</v>
      </c>
      <c r="CH12">
        <f t="shared" si="38"/>
        <v>17921</v>
      </c>
      <c r="CI12">
        <f t="shared" si="39"/>
        <v>21492</v>
      </c>
      <c r="CJ12">
        <f t="shared" si="40"/>
        <v>25063</v>
      </c>
      <c r="CK12">
        <f t="shared" si="41"/>
        <v>28634</v>
      </c>
      <c r="CL12">
        <f t="shared" si="42"/>
        <v>32205</v>
      </c>
      <c r="CM12">
        <f t="shared" si="43"/>
        <v>35776</v>
      </c>
      <c r="CN12">
        <f t="shared" si="44"/>
        <v>39347</v>
      </c>
      <c r="CO12">
        <f t="shared" si="45"/>
        <v>42918</v>
      </c>
      <c r="CP12">
        <f t="shared" si="46"/>
        <v>46489</v>
      </c>
      <c r="CQ12">
        <f t="shared" si="47"/>
        <v>50060</v>
      </c>
      <c r="CR12">
        <f t="shared" si="48"/>
        <v>53631</v>
      </c>
      <c r="CS12">
        <f t="shared" si="49"/>
        <v>57202</v>
      </c>
      <c r="CT12">
        <f t="shared" si="50"/>
        <v>60773</v>
      </c>
      <c r="CU12">
        <f t="shared" si="51"/>
        <v>56755</v>
      </c>
      <c r="CV12">
        <f t="shared" si="52"/>
        <v>61196</v>
      </c>
      <c r="CW12">
        <f t="shared" si="53"/>
        <v>65637</v>
      </c>
      <c r="CX12">
        <f t="shared" si="54"/>
        <v>70078</v>
      </c>
      <c r="CY12">
        <f t="shared" si="55"/>
        <v>74519</v>
      </c>
      <c r="CZ12">
        <f t="shared" si="56"/>
        <v>78960</v>
      </c>
      <c r="DA12">
        <f t="shared" si="57"/>
        <v>83401</v>
      </c>
      <c r="DB12">
        <f t="shared" si="58"/>
        <v>87842</v>
      </c>
      <c r="DC12">
        <f t="shared" si="59"/>
        <v>92283</v>
      </c>
      <c r="DD12">
        <f t="shared" si="60"/>
        <v>96724</v>
      </c>
      <c r="DE12">
        <f t="shared" si="61"/>
        <v>1162</v>
      </c>
      <c r="DF12">
        <f t="shared" si="62"/>
        <v>5603</v>
      </c>
      <c r="DG12">
        <f t="shared" si="63"/>
        <v>10044</v>
      </c>
      <c r="DH12">
        <f t="shared" si="64"/>
        <v>14485</v>
      </c>
      <c r="DI12">
        <f t="shared" si="65"/>
        <v>18926</v>
      </c>
      <c r="DJ12">
        <f t="shared" si="66"/>
        <v>23367</v>
      </c>
      <c r="DK12">
        <f t="shared" si="67"/>
        <v>45575</v>
      </c>
      <c r="DL12">
        <f t="shared" si="68"/>
        <v>47664</v>
      </c>
      <c r="DM12">
        <f t="shared" si="69"/>
        <v>49753</v>
      </c>
      <c r="DN12" t="str">
        <f t="shared" si="70"/>
        <v>Минерально-сырьевые ресурсы</v>
      </c>
      <c r="DO12" t="str">
        <f t="shared" si="71"/>
        <v>Химические и технологические материалы</v>
      </c>
      <c r="DP12" t="str">
        <f t="shared" si="72"/>
        <v>Энергетические ресурсы</v>
      </c>
      <c r="DQ12" t="str">
        <f t="shared" si="73"/>
        <v>Производство</v>
      </c>
      <c r="DR12" t="str">
        <f t="shared" si="74"/>
        <v>Управление</v>
      </c>
      <c r="DS12" t="str">
        <f t="shared" si="75"/>
        <v>Познание</v>
      </c>
      <c r="DT12" t="str">
        <f t="shared" si="76"/>
        <v>Россия</v>
      </c>
      <c r="DU12" t="str">
        <f t="shared" si="77"/>
        <v>США</v>
      </c>
      <c r="DV12" t="str">
        <f t="shared" si="78"/>
        <v>Китай</v>
      </c>
      <c r="DW12" t="str">
        <f t="shared" si="79"/>
        <v>Ресурсный</v>
      </c>
      <c r="DX12" t="str">
        <f t="shared" si="80"/>
        <v>Общественный</v>
      </c>
      <c r="DY12" t="str">
        <f t="shared" si="81"/>
        <v>Дипломатический</v>
      </c>
      <c r="DZ12" t="str">
        <f t="shared" si="82"/>
        <v>Ресурсы оценки</v>
      </c>
      <c r="EA12" t="str">
        <f t="shared" si="83"/>
        <v>Производство</v>
      </c>
      <c r="EB12" t="str">
        <f t="shared" si="84"/>
        <v>Саудовская Аравия</v>
      </c>
      <c r="EC12">
        <f t="shared" si="85"/>
        <v>0</v>
      </c>
      <c r="ED12">
        <f t="shared" si="86"/>
        <v>0</v>
      </c>
      <c r="EE12">
        <f t="shared" si="87"/>
        <v>0</v>
      </c>
      <c r="EF12">
        <f t="shared" si="88"/>
        <v>0</v>
      </c>
      <c r="EG12" t="str">
        <f t="shared" si="89"/>
        <v/>
      </c>
      <c r="EH12" t="str">
        <f t="shared" si="90"/>
        <v/>
      </c>
      <c r="EI12" t="str">
        <f t="shared" si="91"/>
        <v/>
      </c>
      <c r="EJ12" t="str">
        <f t="shared" si="92"/>
        <v/>
      </c>
      <c r="EK12" t="str">
        <f t="shared" si="93"/>
        <v/>
      </c>
      <c r="EL12" t="str">
        <f t="shared" si="94"/>
        <v/>
      </c>
      <c r="EM12" t="e">
        <f t="shared" si="95"/>
        <v>#VALUE!</v>
      </c>
      <c r="EN12" t="e">
        <f t="shared" si="96"/>
        <v>#VALUE!</v>
      </c>
      <c r="EO12" t="str">
        <f t="shared" si="97"/>
        <v/>
      </c>
      <c r="EP12" t="str">
        <f t="shared" si="98"/>
        <v/>
      </c>
      <c r="EQ12" t="str">
        <f t="shared" si="99"/>
        <v/>
      </c>
      <c r="ER12" t="str">
        <f t="shared" si="100"/>
        <v/>
      </c>
      <c r="ES12" t="str">
        <f t="shared" si="101"/>
        <v/>
      </c>
    </row>
    <row r="13" spans="1:149" ht="52.8" customHeight="1">
      <c r="A13" s="40"/>
      <c r="B13" s="41"/>
      <c r="C13" s="41"/>
      <c r="D13" s="41"/>
      <c r="E13" s="41"/>
      <c r="F13" s="41"/>
      <c r="G13" s="42"/>
      <c r="H13" s="42"/>
      <c r="I13" s="42"/>
      <c r="J13" s="41"/>
      <c r="K13" s="41"/>
      <c r="L13" s="41"/>
      <c r="M13" s="42"/>
      <c r="N13" s="42"/>
      <c r="O13" s="42"/>
      <c r="P13" s="43" t="str">
        <f t="shared" si="0"/>
        <v/>
      </c>
      <c r="Q13" s="43" t="str">
        <f t="shared" si="1"/>
        <v/>
      </c>
      <c r="R13" s="44" t="e">
        <f t="shared" si="2"/>
        <v>#VALUE!</v>
      </c>
      <c r="S13" s="44" t="e">
        <f t="shared" si="3"/>
        <v>#VALUE!</v>
      </c>
      <c r="T13" s="44" t="e">
        <f t="shared" si="4"/>
        <v>#VALUE!</v>
      </c>
      <c r="U13" s="45" t="e">
        <f t="shared" si="5"/>
        <v>#VALUE!</v>
      </c>
      <c r="V13" s="45" t="e">
        <f t="shared" si="6"/>
        <v>#VALUE!</v>
      </c>
      <c r="W13" s="45" t="e">
        <f t="shared" si="7"/>
        <v>#VALUE!</v>
      </c>
      <c r="X13" s="46"/>
      <c r="Y13" s="47" t="str">
        <f t="shared" si="8"/>
        <v/>
      </c>
      <c r="Z13" s="47" t="str">
        <f t="shared" si="9"/>
        <v/>
      </c>
      <c r="AA13" s="47" t="str">
        <f t="shared" si="10"/>
        <v/>
      </c>
      <c r="AB13" s="47" t="str">
        <f t="shared" si="11"/>
        <v>Нет локального эффекта</v>
      </c>
      <c r="AC13" s="47" t="str">
        <f t="shared" si="12"/>
        <v/>
      </c>
      <c r="AD13" s="47" t="str">
        <f t="shared" si="13"/>
        <v>Нет локального эффекта</v>
      </c>
      <c r="AE13" s="47" t="str">
        <f t="shared" si="14"/>
        <v/>
      </c>
      <c r="AF13" s="47" t="str">
        <f t="shared" si="15"/>
        <v>Нет локального эффекта</v>
      </c>
      <c r="AG13" s="47" t="str">
        <f t="shared" si="16"/>
        <v/>
      </c>
      <c r="AH13" s="48" t="str">
        <f>IF($B13="","","Общий итог: "&amp;IF($Y13="","ожидает D68",$Y13&amp;IF($Z13="—",""," — "&amp;$Z13))&amp;". Арес: "&amp;$AA13&amp;". "&amp;$AB13&amp;" Афина: "&amp;$AC13&amp;". "&amp;$AD13&amp;" Аполлон: "&amp;$AE13&amp;". "&amp;$AF13&amp;IF($AG13="",""," Общий эффект: "&amp;$AG13))</f>
        <v/>
      </c>
      <c r="BA13" t="s">
        <v>297</v>
      </c>
      <c r="BD13" t="s">
        <v>21</v>
      </c>
      <c r="BF13">
        <v>747401235</v>
      </c>
      <c r="BG13">
        <v>241332564</v>
      </c>
      <c r="BH13">
        <v>950037844</v>
      </c>
      <c r="BI13">
        <v>394576768</v>
      </c>
      <c r="BJ13">
        <v>857209910</v>
      </c>
      <c r="BK13">
        <v>184736994</v>
      </c>
      <c r="BL13">
        <v>218216985</v>
      </c>
      <c r="BM13">
        <f t="shared" si="17"/>
        <v>86735</v>
      </c>
      <c r="BN13">
        <f t="shared" si="18"/>
        <v>94654</v>
      </c>
      <c r="BO13">
        <f t="shared" si="19"/>
        <v>2570</v>
      </c>
      <c r="BP13">
        <f t="shared" si="20"/>
        <v>10489</v>
      </c>
      <c r="BQ13">
        <f t="shared" si="21"/>
        <v>18408</v>
      </c>
      <c r="BR13">
        <f t="shared" si="22"/>
        <v>26327</v>
      </c>
      <c r="BS13">
        <f t="shared" si="23"/>
        <v>34246</v>
      </c>
      <c r="BT13">
        <f t="shared" si="24"/>
        <v>42165</v>
      </c>
      <c r="BU13">
        <f t="shared" si="25"/>
        <v>50084</v>
      </c>
      <c r="BV13">
        <f t="shared" si="26"/>
        <v>58003</v>
      </c>
      <c r="BW13">
        <f t="shared" si="27"/>
        <v>31476</v>
      </c>
      <c r="BX13">
        <f t="shared" si="28"/>
        <v>37627</v>
      </c>
      <c r="BY13">
        <f t="shared" si="29"/>
        <v>43778</v>
      </c>
      <c r="BZ13">
        <f t="shared" si="30"/>
        <v>49929</v>
      </c>
      <c r="CA13">
        <f t="shared" si="31"/>
        <v>56080</v>
      </c>
      <c r="CB13">
        <f t="shared" si="32"/>
        <v>62231</v>
      </c>
      <c r="CC13">
        <f t="shared" si="33"/>
        <v>68382</v>
      </c>
      <c r="CD13">
        <f t="shared" si="34"/>
        <v>74533</v>
      </c>
      <c r="CE13">
        <f t="shared" si="35"/>
        <v>12915</v>
      </c>
      <c r="CF13">
        <f t="shared" si="36"/>
        <v>16486</v>
      </c>
      <c r="CG13">
        <f t="shared" si="37"/>
        <v>20057</v>
      </c>
      <c r="CH13">
        <f t="shared" si="38"/>
        <v>23628</v>
      </c>
      <c r="CI13">
        <f t="shared" si="39"/>
        <v>27199</v>
      </c>
      <c r="CJ13">
        <f t="shared" si="40"/>
        <v>30770</v>
      </c>
      <c r="CK13">
        <f t="shared" si="41"/>
        <v>34341</v>
      </c>
      <c r="CL13">
        <f t="shared" si="42"/>
        <v>37912</v>
      </c>
      <c r="CM13">
        <f t="shared" si="43"/>
        <v>41483</v>
      </c>
      <c r="CN13">
        <f t="shared" si="44"/>
        <v>45054</v>
      </c>
      <c r="CO13">
        <f t="shared" si="45"/>
        <v>48625</v>
      </c>
      <c r="CP13">
        <f t="shared" si="46"/>
        <v>52196</v>
      </c>
      <c r="CQ13">
        <f t="shared" si="47"/>
        <v>55767</v>
      </c>
      <c r="CR13">
        <f t="shared" si="48"/>
        <v>59338</v>
      </c>
      <c r="CS13">
        <f t="shared" si="49"/>
        <v>62909</v>
      </c>
      <c r="CT13">
        <f t="shared" si="50"/>
        <v>66480</v>
      </c>
      <c r="CU13">
        <f t="shared" si="51"/>
        <v>35894</v>
      </c>
      <c r="CV13">
        <f t="shared" si="52"/>
        <v>40335</v>
      </c>
      <c r="CW13">
        <f t="shared" si="53"/>
        <v>44776</v>
      </c>
      <c r="CX13">
        <f t="shared" si="54"/>
        <v>49217</v>
      </c>
      <c r="CY13">
        <f t="shared" si="55"/>
        <v>53658</v>
      </c>
      <c r="CZ13">
        <f t="shared" si="56"/>
        <v>58099</v>
      </c>
      <c r="DA13">
        <f t="shared" si="57"/>
        <v>62540</v>
      </c>
      <c r="DB13">
        <f t="shared" si="58"/>
        <v>66981</v>
      </c>
      <c r="DC13">
        <f t="shared" si="59"/>
        <v>71422</v>
      </c>
      <c r="DD13">
        <f t="shared" si="60"/>
        <v>75863</v>
      </c>
      <c r="DE13">
        <f t="shared" si="61"/>
        <v>80304</v>
      </c>
      <c r="DF13">
        <f t="shared" si="62"/>
        <v>84745</v>
      </c>
      <c r="DG13">
        <f t="shared" si="63"/>
        <v>89186</v>
      </c>
      <c r="DH13">
        <f t="shared" si="64"/>
        <v>93627</v>
      </c>
      <c r="DI13">
        <f t="shared" si="65"/>
        <v>98068</v>
      </c>
      <c r="DJ13">
        <f t="shared" si="66"/>
        <v>2506</v>
      </c>
      <c r="DK13">
        <f t="shared" si="67"/>
        <v>12528</v>
      </c>
      <c r="DL13">
        <f t="shared" si="68"/>
        <v>14617</v>
      </c>
      <c r="DM13">
        <f t="shared" si="69"/>
        <v>16706</v>
      </c>
      <c r="DN13" t="str">
        <f t="shared" si="70"/>
        <v>Энергетические ресурсы</v>
      </c>
      <c r="DO13" t="str">
        <f t="shared" si="71"/>
        <v>Вода и ресурс отвода тепла</v>
      </c>
      <c r="DP13" t="str">
        <f t="shared" si="72"/>
        <v>Пространственные и природно-географические ресурсы</v>
      </c>
      <c r="DQ13" t="str">
        <f t="shared" si="73"/>
        <v>Производство</v>
      </c>
      <c r="DR13" t="str">
        <f t="shared" si="74"/>
        <v>Управление</v>
      </c>
      <c r="DS13" t="str">
        <f t="shared" si="75"/>
        <v>Познание</v>
      </c>
      <c r="DT13" t="str">
        <f t="shared" si="76"/>
        <v>Россия</v>
      </c>
      <c r="DU13" t="str">
        <f t="shared" si="77"/>
        <v>США</v>
      </c>
      <c r="DV13" t="str">
        <f t="shared" si="78"/>
        <v>Китай</v>
      </c>
      <c r="DW13" t="str">
        <f t="shared" si="79"/>
        <v>Ресурсный</v>
      </c>
      <c r="DX13" t="str">
        <f t="shared" si="80"/>
        <v>Общественный</v>
      </c>
      <c r="DY13" t="str">
        <f t="shared" si="81"/>
        <v>Дипломатический</v>
      </c>
      <c r="DZ13" t="str">
        <f t="shared" si="82"/>
        <v>Система управления ИИ</v>
      </c>
      <c r="EA13" t="str">
        <f t="shared" si="83"/>
        <v>Государственное управление</v>
      </c>
      <c r="EB13" t="str">
        <f t="shared" si="84"/>
        <v>Индонезия</v>
      </c>
      <c r="EC13">
        <f t="shared" si="85"/>
        <v>0</v>
      </c>
      <c r="ED13">
        <f t="shared" si="86"/>
        <v>0</v>
      </c>
      <c r="EE13">
        <f t="shared" si="87"/>
        <v>0</v>
      </c>
      <c r="EF13">
        <f t="shared" si="88"/>
        <v>0</v>
      </c>
      <c r="EG13" t="str">
        <f t="shared" si="89"/>
        <v/>
      </c>
      <c r="EH13" t="str">
        <f t="shared" si="90"/>
        <v/>
      </c>
      <c r="EI13" t="str">
        <f t="shared" si="91"/>
        <v/>
      </c>
      <c r="EJ13" t="str">
        <f t="shared" si="92"/>
        <v/>
      </c>
      <c r="EK13" t="str">
        <f t="shared" si="93"/>
        <v/>
      </c>
      <c r="EL13" t="str">
        <f t="shared" si="94"/>
        <v/>
      </c>
      <c r="EM13" t="e">
        <f t="shared" si="95"/>
        <v>#VALUE!</v>
      </c>
      <c r="EN13" t="e">
        <f t="shared" si="96"/>
        <v>#VALUE!</v>
      </c>
      <c r="EO13" t="str">
        <f t="shared" si="97"/>
        <v/>
      </c>
      <c r="EP13" t="str">
        <f t="shared" si="98"/>
        <v/>
      </c>
      <c r="EQ13" t="str">
        <f t="shared" si="99"/>
        <v/>
      </c>
      <c r="ER13" t="str">
        <f t="shared" si="100"/>
        <v/>
      </c>
      <c r="ES13" t="str">
        <f t="shared" si="101"/>
        <v/>
      </c>
    </row>
    <row r="14" spans="1:149" ht="52.8" customHeight="1">
      <c r="A14" s="40"/>
      <c r="B14" s="41"/>
      <c r="C14" s="41"/>
      <c r="D14" s="41"/>
      <c r="E14" s="41"/>
      <c r="F14" s="41"/>
      <c r="G14" s="42"/>
      <c r="H14" s="42"/>
      <c r="I14" s="42"/>
      <c r="J14" s="41"/>
      <c r="K14" s="41"/>
      <c r="L14" s="41"/>
      <c r="M14" s="42"/>
      <c r="N14" s="42"/>
      <c r="O14" s="42"/>
      <c r="P14" s="43" t="str">
        <f t="shared" si="0"/>
        <v/>
      </c>
      <c r="Q14" s="43" t="str">
        <f t="shared" si="1"/>
        <v/>
      </c>
      <c r="R14" s="44" t="e">
        <f t="shared" si="2"/>
        <v>#VALUE!</v>
      </c>
      <c r="S14" s="44" t="e">
        <f t="shared" si="3"/>
        <v>#VALUE!</v>
      </c>
      <c r="T14" s="44" t="e">
        <f t="shared" si="4"/>
        <v>#VALUE!</v>
      </c>
      <c r="U14" s="45" t="e">
        <f t="shared" si="5"/>
        <v>#VALUE!</v>
      </c>
      <c r="V14" s="45" t="e">
        <f t="shared" si="6"/>
        <v>#VALUE!</v>
      </c>
      <c r="W14" s="45" t="e">
        <f t="shared" si="7"/>
        <v>#VALUE!</v>
      </c>
      <c r="X14" s="46"/>
      <c r="Y14" s="47" t="str">
        <f t="shared" si="8"/>
        <v/>
      </c>
      <c r="Z14" s="47" t="str">
        <f t="shared" si="9"/>
        <v/>
      </c>
      <c r="AA14" s="47" t="str">
        <f t="shared" si="10"/>
        <v/>
      </c>
      <c r="AB14" s="47" t="str">
        <f t="shared" si="11"/>
        <v>Нет локального эффекта</v>
      </c>
      <c r="AC14" s="47" t="str">
        <f t="shared" si="12"/>
        <v/>
      </c>
      <c r="AD14" s="47" t="str">
        <f t="shared" si="13"/>
        <v>Нет локального эффекта</v>
      </c>
      <c r="AE14" s="47" t="str">
        <f t="shared" si="14"/>
        <v/>
      </c>
      <c r="AF14" s="47" t="str">
        <f t="shared" si="15"/>
        <v>Нет локального эффекта</v>
      </c>
      <c r="AG14" s="47" t="str">
        <f t="shared" si="16"/>
        <v/>
      </c>
      <c r="AH14" s="48" t="str">
        <f>IF($B14="","","Общий итог: "&amp;IF($Y14="","ожидает D69",$Y14&amp;IF($Z14="—",""," — "&amp;$Z14))&amp;". Арес: "&amp;$AA14&amp;". "&amp;$AB14&amp;" Афина: "&amp;$AC14&amp;". "&amp;$AD14&amp;" Аполлон: "&amp;$AE14&amp;". "&amp;$AF14&amp;IF($AG14="",""," Общий эффект: "&amp;$AG14))</f>
        <v/>
      </c>
      <c r="BA14" t="s">
        <v>298</v>
      </c>
      <c r="BD14" t="s">
        <v>22</v>
      </c>
      <c r="BF14">
        <v>897792042</v>
      </c>
      <c r="BG14">
        <v>15709635</v>
      </c>
      <c r="BH14">
        <v>862969909</v>
      </c>
      <c r="BI14">
        <v>960169061</v>
      </c>
      <c r="BJ14">
        <v>512489692</v>
      </c>
      <c r="BK14">
        <v>624715692</v>
      </c>
      <c r="BL14">
        <v>713653047</v>
      </c>
      <c r="BM14">
        <f t="shared" si="17"/>
        <v>73030</v>
      </c>
      <c r="BN14">
        <f t="shared" si="18"/>
        <v>80949</v>
      </c>
      <c r="BO14">
        <f t="shared" si="19"/>
        <v>88868</v>
      </c>
      <c r="BP14">
        <f t="shared" si="20"/>
        <v>96787</v>
      </c>
      <c r="BQ14">
        <f t="shared" si="21"/>
        <v>4703</v>
      </c>
      <c r="BR14">
        <f t="shared" si="22"/>
        <v>12622</v>
      </c>
      <c r="BS14">
        <f t="shared" si="23"/>
        <v>20541</v>
      </c>
      <c r="BT14">
        <f t="shared" si="24"/>
        <v>28460</v>
      </c>
      <c r="BU14">
        <f t="shared" si="25"/>
        <v>36379</v>
      </c>
      <c r="BV14">
        <f t="shared" si="26"/>
        <v>44298</v>
      </c>
      <c r="BW14">
        <f t="shared" si="27"/>
        <v>15315</v>
      </c>
      <c r="BX14">
        <f t="shared" si="28"/>
        <v>21466</v>
      </c>
      <c r="BY14">
        <f t="shared" si="29"/>
        <v>27617</v>
      </c>
      <c r="BZ14">
        <f t="shared" si="30"/>
        <v>33768</v>
      </c>
      <c r="CA14">
        <f t="shared" si="31"/>
        <v>39919</v>
      </c>
      <c r="CB14">
        <f t="shared" si="32"/>
        <v>46070</v>
      </c>
      <c r="CC14">
        <f t="shared" si="33"/>
        <v>52221</v>
      </c>
      <c r="CD14">
        <f t="shared" si="34"/>
        <v>58372</v>
      </c>
      <c r="CE14">
        <f t="shared" si="35"/>
        <v>47593</v>
      </c>
      <c r="CF14">
        <f t="shared" si="36"/>
        <v>51164</v>
      </c>
      <c r="CG14">
        <f t="shared" si="37"/>
        <v>54735</v>
      </c>
      <c r="CH14">
        <f t="shared" si="38"/>
        <v>58306</v>
      </c>
      <c r="CI14">
        <f t="shared" si="39"/>
        <v>61877</v>
      </c>
      <c r="CJ14">
        <f t="shared" si="40"/>
        <v>65448</v>
      </c>
      <c r="CK14">
        <f t="shared" si="41"/>
        <v>69019</v>
      </c>
      <c r="CL14">
        <f t="shared" si="42"/>
        <v>72590</v>
      </c>
      <c r="CM14">
        <f t="shared" si="43"/>
        <v>76161</v>
      </c>
      <c r="CN14">
        <f t="shared" si="44"/>
        <v>79732</v>
      </c>
      <c r="CO14">
        <f t="shared" si="45"/>
        <v>83303</v>
      </c>
      <c r="CP14">
        <f t="shared" si="46"/>
        <v>86874</v>
      </c>
      <c r="CQ14">
        <f t="shared" si="47"/>
        <v>90445</v>
      </c>
      <c r="CR14">
        <f t="shared" si="48"/>
        <v>94016</v>
      </c>
      <c r="CS14">
        <f t="shared" si="49"/>
        <v>97587</v>
      </c>
      <c r="CT14">
        <f t="shared" si="50"/>
        <v>1155</v>
      </c>
      <c r="CU14">
        <f t="shared" si="51"/>
        <v>1392</v>
      </c>
      <c r="CV14">
        <f t="shared" si="52"/>
        <v>5833</v>
      </c>
      <c r="CW14">
        <f t="shared" si="53"/>
        <v>10274</v>
      </c>
      <c r="CX14">
        <f t="shared" si="54"/>
        <v>14715</v>
      </c>
      <c r="CY14">
        <f t="shared" si="55"/>
        <v>19156</v>
      </c>
      <c r="CZ14">
        <f t="shared" si="56"/>
        <v>23597</v>
      </c>
      <c r="DA14">
        <f t="shared" si="57"/>
        <v>28038</v>
      </c>
      <c r="DB14">
        <f t="shared" si="58"/>
        <v>32479</v>
      </c>
      <c r="DC14">
        <f t="shared" si="59"/>
        <v>36920</v>
      </c>
      <c r="DD14">
        <f t="shared" si="60"/>
        <v>41361</v>
      </c>
      <c r="DE14">
        <f t="shared" si="61"/>
        <v>45802</v>
      </c>
      <c r="DF14">
        <f t="shared" si="62"/>
        <v>50243</v>
      </c>
      <c r="DG14">
        <f t="shared" si="63"/>
        <v>54684</v>
      </c>
      <c r="DH14">
        <f t="shared" si="64"/>
        <v>59125</v>
      </c>
      <c r="DI14">
        <f t="shared" si="65"/>
        <v>63566</v>
      </c>
      <c r="DJ14">
        <f t="shared" si="66"/>
        <v>68007</v>
      </c>
      <c r="DK14">
        <f t="shared" si="67"/>
        <v>33728</v>
      </c>
      <c r="DL14">
        <f t="shared" si="68"/>
        <v>35817</v>
      </c>
      <c r="DM14">
        <f t="shared" si="69"/>
        <v>37906</v>
      </c>
      <c r="DN14" t="str">
        <f t="shared" si="70"/>
        <v>Пространственные и природно-географические ресурсы</v>
      </c>
      <c r="DO14" t="str">
        <f t="shared" si="71"/>
        <v>Мощности производства полупроводников</v>
      </c>
      <c r="DP14" t="str">
        <f t="shared" si="72"/>
        <v>Вычислительные компоненты</v>
      </c>
      <c r="DQ14" t="str">
        <f t="shared" si="73"/>
        <v>Производство</v>
      </c>
      <c r="DR14" t="str">
        <f t="shared" si="74"/>
        <v>Управление</v>
      </c>
      <c r="DS14" t="str">
        <f t="shared" si="75"/>
        <v>Познание</v>
      </c>
      <c r="DT14" t="str">
        <f t="shared" si="76"/>
        <v>Индонезия</v>
      </c>
      <c r="DU14" t="str">
        <f t="shared" si="77"/>
        <v>Россия</v>
      </c>
      <c r="DV14" t="str">
        <f t="shared" si="78"/>
        <v>США</v>
      </c>
      <c r="DW14" t="str">
        <f t="shared" si="79"/>
        <v>Ресурсный</v>
      </c>
      <c r="DX14" t="str">
        <f t="shared" si="80"/>
        <v>Общественный</v>
      </c>
      <c r="DY14" t="str">
        <f t="shared" si="81"/>
        <v>Дипломатический</v>
      </c>
      <c r="DZ14" t="str">
        <f t="shared" si="82"/>
        <v>Энергетические ресурсы</v>
      </c>
      <c r="EA14" t="str">
        <f t="shared" si="83"/>
        <v>Война</v>
      </c>
      <c r="EB14" t="str">
        <f t="shared" si="84"/>
        <v>Россия</v>
      </c>
      <c r="EC14">
        <f t="shared" si="85"/>
        <v>0</v>
      </c>
      <c r="ED14">
        <f t="shared" si="86"/>
        <v>0</v>
      </c>
      <c r="EE14">
        <f t="shared" si="87"/>
        <v>0</v>
      </c>
      <c r="EF14">
        <f t="shared" si="88"/>
        <v>0</v>
      </c>
      <c r="EG14" t="str">
        <f t="shared" si="89"/>
        <v/>
      </c>
      <c r="EH14" t="str">
        <f t="shared" si="90"/>
        <v/>
      </c>
      <c r="EI14" t="str">
        <f t="shared" si="91"/>
        <v/>
      </c>
      <c r="EJ14" t="str">
        <f t="shared" si="92"/>
        <v/>
      </c>
      <c r="EK14" t="str">
        <f t="shared" si="93"/>
        <v/>
      </c>
      <c r="EL14" t="str">
        <f t="shared" si="94"/>
        <v/>
      </c>
      <c r="EM14" t="e">
        <f t="shared" si="95"/>
        <v>#VALUE!</v>
      </c>
      <c r="EN14" t="e">
        <f t="shared" si="96"/>
        <v>#VALUE!</v>
      </c>
      <c r="EO14" t="str">
        <f t="shared" si="97"/>
        <v/>
      </c>
      <c r="EP14" t="str">
        <f t="shared" si="98"/>
        <v/>
      </c>
      <c r="EQ14" t="str">
        <f t="shared" si="99"/>
        <v/>
      </c>
      <c r="ER14" t="str">
        <f t="shared" si="100"/>
        <v/>
      </c>
      <c r="ES14" t="str">
        <f t="shared" si="101"/>
        <v/>
      </c>
    </row>
    <row r="15" spans="1:149" ht="52.8" customHeight="1">
      <c r="A15" s="40"/>
      <c r="B15" s="41"/>
      <c r="C15" s="41"/>
      <c r="D15" s="41"/>
      <c r="E15" s="41"/>
      <c r="F15" s="41"/>
      <c r="G15" s="42"/>
      <c r="H15" s="42"/>
      <c r="I15" s="42"/>
      <c r="J15" s="41"/>
      <c r="K15" s="41"/>
      <c r="L15" s="41"/>
      <c r="M15" s="42"/>
      <c r="N15" s="42"/>
      <c r="O15" s="42"/>
      <c r="P15" s="43" t="str">
        <f t="shared" si="0"/>
        <v/>
      </c>
      <c r="Q15" s="43" t="str">
        <f t="shared" si="1"/>
        <v/>
      </c>
      <c r="R15" s="44" t="e">
        <f t="shared" si="2"/>
        <v>#VALUE!</v>
      </c>
      <c r="S15" s="44" t="e">
        <f t="shared" si="3"/>
        <v>#VALUE!</v>
      </c>
      <c r="T15" s="44" t="e">
        <f t="shared" si="4"/>
        <v>#VALUE!</v>
      </c>
      <c r="U15" s="45" t="e">
        <f t="shared" si="5"/>
        <v>#VALUE!</v>
      </c>
      <c r="V15" s="45" t="e">
        <f t="shared" si="6"/>
        <v>#VALUE!</v>
      </c>
      <c r="W15" s="45" t="e">
        <f t="shared" si="7"/>
        <v>#VALUE!</v>
      </c>
      <c r="X15" s="46"/>
      <c r="Y15" s="47" t="str">
        <f t="shared" si="8"/>
        <v/>
      </c>
      <c r="Z15" s="47" t="str">
        <f t="shared" si="9"/>
        <v/>
      </c>
      <c r="AA15" s="47" t="str">
        <f t="shared" si="10"/>
        <v/>
      </c>
      <c r="AB15" s="47" t="str">
        <f t="shared" si="11"/>
        <v>Нет локального эффекта</v>
      </c>
      <c r="AC15" s="47" t="str">
        <f t="shared" si="12"/>
        <v/>
      </c>
      <c r="AD15" s="47" t="str">
        <f t="shared" si="13"/>
        <v>Нет локального эффекта</v>
      </c>
      <c r="AE15" s="47" t="str">
        <f t="shared" si="14"/>
        <v/>
      </c>
      <c r="AF15" s="47" t="str">
        <f t="shared" si="15"/>
        <v>Нет локального эффекта</v>
      </c>
      <c r="AG15" s="47" t="str">
        <f t="shared" si="16"/>
        <v/>
      </c>
      <c r="AH15" s="48" t="str">
        <f>IF($B15="","","Общий итог: "&amp;IF($Y15="","ожидает D70",$Y15&amp;IF($Z15="—",""," — "&amp;$Z15))&amp;". Арес: "&amp;$AA15&amp;". "&amp;$AB15&amp;" Афина: "&amp;$AC15&amp;". "&amp;$AD15&amp;" Аполлон: "&amp;$AE15&amp;". "&amp;$AF15&amp;IF($AG15="",""," Общий эффект: "&amp;$AG15))</f>
        <v/>
      </c>
      <c r="BA15" t="s">
        <v>299</v>
      </c>
      <c r="BD15" t="s">
        <v>23</v>
      </c>
      <c r="BF15">
        <v>714117652</v>
      </c>
      <c r="BG15">
        <v>800765214</v>
      </c>
      <c r="BH15">
        <v>973487422</v>
      </c>
      <c r="BI15">
        <v>926761707</v>
      </c>
      <c r="BJ15">
        <v>945543482</v>
      </c>
      <c r="BK15">
        <v>13447769</v>
      </c>
      <c r="BL15">
        <v>123880874</v>
      </c>
      <c r="BM15">
        <f t="shared" si="17"/>
        <v>4148</v>
      </c>
      <c r="BN15">
        <f t="shared" si="18"/>
        <v>12067</v>
      </c>
      <c r="BO15">
        <f t="shared" si="19"/>
        <v>19986</v>
      </c>
      <c r="BP15">
        <f t="shared" si="20"/>
        <v>27905</v>
      </c>
      <c r="BQ15">
        <f t="shared" si="21"/>
        <v>35824</v>
      </c>
      <c r="BR15">
        <f t="shared" si="22"/>
        <v>43743</v>
      </c>
      <c r="BS15">
        <f t="shared" si="23"/>
        <v>51662</v>
      </c>
      <c r="BT15">
        <f t="shared" si="24"/>
        <v>59581</v>
      </c>
      <c r="BU15">
        <f t="shared" si="25"/>
        <v>67500</v>
      </c>
      <c r="BV15">
        <f t="shared" si="26"/>
        <v>75419</v>
      </c>
      <c r="BW15">
        <f t="shared" si="27"/>
        <v>47344</v>
      </c>
      <c r="BX15">
        <f t="shared" si="28"/>
        <v>53495</v>
      </c>
      <c r="BY15">
        <f t="shared" si="29"/>
        <v>59646</v>
      </c>
      <c r="BZ15">
        <f t="shared" si="30"/>
        <v>65797</v>
      </c>
      <c r="CA15">
        <f t="shared" si="31"/>
        <v>71948</v>
      </c>
      <c r="CB15">
        <f t="shared" si="32"/>
        <v>78099</v>
      </c>
      <c r="CC15">
        <f t="shared" si="33"/>
        <v>84250</v>
      </c>
      <c r="CD15">
        <f t="shared" si="34"/>
        <v>90401</v>
      </c>
      <c r="CE15">
        <f t="shared" si="35"/>
        <v>61791</v>
      </c>
      <c r="CF15">
        <f t="shared" si="36"/>
        <v>65362</v>
      </c>
      <c r="CG15">
        <f t="shared" si="37"/>
        <v>68933</v>
      </c>
      <c r="CH15">
        <f t="shared" si="38"/>
        <v>72504</v>
      </c>
      <c r="CI15">
        <f t="shared" si="39"/>
        <v>76075</v>
      </c>
      <c r="CJ15">
        <f t="shared" si="40"/>
        <v>79646</v>
      </c>
      <c r="CK15">
        <f t="shared" si="41"/>
        <v>83217</v>
      </c>
      <c r="CL15">
        <f t="shared" si="42"/>
        <v>86788</v>
      </c>
      <c r="CM15">
        <f t="shared" si="43"/>
        <v>90359</v>
      </c>
      <c r="CN15">
        <f t="shared" si="44"/>
        <v>93930</v>
      </c>
      <c r="CO15">
        <f t="shared" si="45"/>
        <v>97501</v>
      </c>
      <c r="CP15">
        <f t="shared" si="46"/>
        <v>1069</v>
      </c>
      <c r="CQ15">
        <f t="shared" si="47"/>
        <v>4640</v>
      </c>
      <c r="CR15">
        <f t="shared" si="48"/>
        <v>8211</v>
      </c>
      <c r="CS15">
        <f t="shared" si="49"/>
        <v>11782</v>
      </c>
      <c r="CT15">
        <f t="shared" si="50"/>
        <v>15353</v>
      </c>
      <c r="CU15">
        <f t="shared" si="51"/>
        <v>51808</v>
      </c>
      <c r="CV15">
        <f t="shared" si="52"/>
        <v>56249</v>
      </c>
      <c r="CW15">
        <f t="shared" si="53"/>
        <v>60690</v>
      </c>
      <c r="CX15">
        <f t="shared" si="54"/>
        <v>65131</v>
      </c>
      <c r="CY15">
        <f t="shared" si="55"/>
        <v>69572</v>
      </c>
      <c r="CZ15">
        <f t="shared" si="56"/>
        <v>74013</v>
      </c>
      <c r="DA15">
        <f t="shared" si="57"/>
        <v>78454</v>
      </c>
      <c r="DB15">
        <f t="shared" si="58"/>
        <v>82895</v>
      </c>
      <c r="DC15">
        <f t="shared" si="59"/>
        <v>87336</v>
      </c>
      <c r="DD15">
        <f t="shared" si="60"/>
        <v>91777</v>
      </c>
      <c r="DE15">
        <f t="shared" si="61"/>
        <v>96218</v>
      </c>
      <c r="DF15">
        <f t="shared" si="62"/>
        <v>656</v>
      </c>
      <c r="DG15">
        <f t="shared" si="63"/>
        <v>5097</v>
      </c>
      <c r="DH15">
        <f t="shared" si="64"/>
        <v>9538</v>
      </c>
      <c r="DI15">
        <f t="shared" si="65"/>
        <v>13979</v>
      </c>
      <c r="DJ15">
        <f t="shared" si="66"/>
        <v>18420</v>
      </c>
      <c r="DK15">
        <f t="shared" si="67"/>
        <v>79249</v>
      </c>
      <c r="DL15">
        <f t="shared" si="68"/>
        <v>81338</v>
      </c>
      <c r="DM15">
        <f t="shared" si="69"/>
        <v>83427</v>
      </c>
      <c r="DN15" t="str">
        <f t="shared" si="70"/>
        <v>Минерально-сырьевые ресурсы</v>
      </c>
      <c r="DO15" t="str">
        <f t="shared" si="71"/>
        <v>Химические и технологические материалы</v>
      </c>
      <c r="DP15" t="str">
        <f t="shared" si="72"/>
        <v>Энергетические ресурсы</v>
      </c>
      <c r="DQ15" t="str">
        <f t="shared" si="73"/>
        <v>Производство</v>
      </c>
      <c r="DR15" t="str">
        <f t="shared" si="74"/>
        <v>Управление</v>
      </c>
      <c r="DS15" t="str">
        <f t="shared" si="75"/>
        <v>Познание</v>
      </c>
      <c r="DT15" t="str">
        <f t="shared" si="76"/>
        <v>Иран</v>
      </c>
      <c r="DU15" t="str">
        <f t="shared" si="77"/>
        <v>Израиль</v>
      </c>
      <c r="DV15" t="str">
        <f t="shared" si="78"/>
        <v>Бразилия</v>
      </c>
      <c r="DW15" t="str">
        <f t="shared" si="79"/>
        <v>Ресурсный</v>
      </c>
      <c r="DX15" t="str">
        <f t="shared" si="80"/>
        <v>Общественный</v>
      </c>
      <c r="DY15" t="str">
        <f t="shared" si="81"/>
        <v>Дипломатический</v>
      </c>
      <c r="DZ15" t="str">
        <f t="shared" si="82"/>
        <v>Социальное доверие</v>
      </c>
      <c r="EA15" t="str">
        <f t="shared" si="83"/>
        <v>Познание</v>
      </c>
      <c r="EB15" t="str">
        <f t="shared" si="84"/>
        <v>Иран</v>
      </c>
      <c r="EC15">
        <f t="shared" si="85"/>
        <v>0</v>
      </c>
      <c r="ED15">
        <f t="shared" si="86"/>
        <v>0</v>
      </c>
      <c r="EE15">
        <f t="shared" si="87"/>
        <v>0</v>
      </c>
      <c r="EF15">
        <f t="shared" si="88"/>
        <v>0</v>
      </c>
      <c r="EG15" t="str">
        <f t="shared" si="89"/>
        <v/>
      </c>
      <c r="EH15" t="str">
        <f t="shared" si="90"/>
        <v/>
      </c>
      <c r="EI15" t="str">
        <f t="shared" si="91"/>
        <v/>
      </c>
      <c r="EJ15" t="str">
        <f t="shared" si="92"/>
        <v/>
      </c>
      <c r="EK15" t="str">
        <f t="shared" si="93"/>
        <v/>
      </c>
      <c r="EL15" t="str">
        <f t="shared" si="94"/>
        <v/>
      </c>
      <c r="EM15" t="e">
        <f t="shared" si="95"/>
        <v>#VALUE!</v>
      </c>
      <c r="EN15" t="e">
        <f t="shared" si="96"/>
        <v>#VALUE!</v>
      </c>
      <c r="EO15" t="str">
        <f t="shared" si="97"/>
        <v/>
      </c>
      <c r="EP15" t="str">
        <f t="shared" si="98"/>
        <v/>
      </c>
      <c r="EQ15" t="str">
        <f t="shared" si="99"/>
        <v/>
      </c>
      <c r="ER15" t="str">
        <f t="shared" si="100"/>
        <v/>
      </c>
      <c r="ES15" t="str">
        <f t="shared" si="101"/>
        <v/>
      </c>
    </row>
    <row r="16" spans="1:149" ht="52.8" customHeight="1">
      <c r="A16" s="40"/>
      <c r="B16" s="41"/>
      <c r="C16" s="41"/>
      <c r="D16" s="41"/>
      <c r="E16" s="41"/>
      <c r="F16" s="41"/>
      <c r="G16" s="42"/>
      <c r="H16" s="42"/>
      <c r="I16" s="42"/>
      <c r="J16" s="41"/>
      <c r="K16" s="41"/>
      <c r="L16" s="41"/>
      <c r="M16" s="42"/>
      <c r="N16" s="42"/>
      <c r="O16" s="42"/>
      <c r="P16" s="43" t="str">
        <f t="shared" si="0"/>
        <v/>
      </c>
      <c r="Q16" s="43" t="str">
        <f t="shared" si="1"/>
        <v/>
      </c>
      <c r="R16" s="44" t="e">
        <f t="shared" si="2"/>
        <v>#VALUE!</v>
      </c>
      <c r="S16" s="44" t="e">
        <f t="shared" si="3"/>
        <v>#VALUE!</v>
      </c>
      <c r="T16" s="44" t="e">
        <f t="shared" si="4"/>
        <v>#VALUE!</v>
      </c>
      <c r="U16" s="45" t="e">
        <f t="shared" si="5"/>
        <v>#VALUE!</v>
      </c>
      <c r="V16" s="45" t="e">
        <f t="shared" si="6"/>
        <v>#VALUE!</v>
      </c>
      <c r="W16" s="45" t="e">
        <f t="shared" si="7"/>
        <v>#VALUE!</v>
      </c>
      <c r="X16" s="46"/>
      <c r="Y16" s="47" t="str">
        <f t="shared" si="8"/>
        <v/>
      </c>
      <c r="Z16" s="47" t="str">
        <f t="shared" si="9"/>
        <v/>
      </c>
      <c r="AA16" s="47" t="str">
        <f t="shared" si="10"/>
        <v/>
      </c>
      <c r="AB16" s="47" t="str">
        <f t="shared" si="11"/>
        <v>Нет локального эффекта</v>
      </c>
      <c r="AC16" s="47" t="str">
        <f t="shared" si="12"/>
        <v/>
      </c>
      <c r="AD16" s="47" t="str">
        <f t="shared" si="13"/>
        <v>Нет локального эффекта</v>
      </c>
      <c r="AE16" s="47" t="str">
        <f t="shared" si="14"/>
        <v/>
      </c>
      <c r="AF16" s="47" t="str">
        <f t="shared" si="15"/>
        <v>Нет локального эффекта</v>
      </c>
      <c r="AG16" s="47" t="str">
        <f t="shared" si="16"/>
        <v/>
      </c>
      <c r="AH16" s="48" t="str">
        <f>IF($B16="","","Общий итог: "&amp;IF($Y16="","ожидает D71",$Y16&amp;IF($Z16="—",""," — "&amp;$Z16))&amp;". Арес: "&amp;$AA16&amp;". "&amp;$AB16&amp;" Афина: "&amp;$AC16&amp;". "&amp;$AD16&amp;" Аполлон: "&amp;$AE16&amp;". "&amp;$AF16&amp;IF($AG16="",""," Общий эффект: "&amp;$AG16))</f>
        <v/>
      </c>
      <c r="BA16" t="s">
        <v>300</v>
      </c>
      <c r="BD16" t="s">
        <v>24</v>
      </c>
      <c r="BF16">
        <v>80951582</v>
      </c>
      <c r="BG16">
        <v>331046833</v>
      </c>
      <c r="BH16">
        <v>126502441</v>
      </c>
      <c r="BI16">
        <v>635141511</v>
      </c>
      <c r="BJ16">
        <v>214185668</v>
      </c>
      <c r="BK16">
        <v>948841162</v>
      </c>
      <c r="BL16">
        <v>44097628</v>
      </c>
      <c r="BM16">
        <f t="shared" si="17"/>
        <v>57074</v>
      </c>
      <c r="BN16">
        <f t="shared" si="18"/>
        <v>64993</v>
      </c>
      <c r="BO16">
        <f t="shared" si="19"/>
        <v>72912</v>
      </c>
      <c r="BP16">
        <f t="shared" si="20"/>
        <v>80831</v>
      </c>
      <c r="BQ16">
        <f t="shared" si="21"/>
        <v>88750</v>
      </c>
      <c r="BR16">
        <f t="shared" si="22"/>
        <v>96669</v>
      </c>
      <c r="BS16">
        <f t="shared" si="23"/>
        <v>4585</v>
      </c>
      <c r="BT16">
        <f t="shared" si="24"/>
        <v>12504</v>
      </c>
      <c r="BU16">
        <f t="shared" si="25"/>
        <v>20423</v>
      </c>
      <c r="BV16">
        <f t="shared" si="26"/>
        <v>28342</v>
      </c>
      <c r="BW16">
        <f t="shared" si="27"/>
        <v>43054</v>
      </c>
      <c r="BX16">
        <f t="shared" si="28"/>
        <v>49205</v>
      </c>
      <c r="BY16">
        <f t="shared" si="29"/>
        <v>55356</v>
      </c>
      <c r="BZ16">
        <f t="shared" si="30"/>
        <v>61507</v>
      </c>
      <c r="CA16">
        <f t="shared" si="31"/>
        <v>67658</v>
      </c>
      <c r="CB16">
        <f t="shared" si="32"/>
        <v>73809</v>
      </c>
      <c r="CC16">
        <f t="shared" si="33"/>
        <v>79960</v>
      </c>
      <c r="CD16">
        <f t="shared" si="34"/>
        <v>86111</v>
      </c>
      <c r="CE16">
        <f t="shared" si="35"/>
        <v>2217</v>
      </c>
      <c r="CF16">
        <f t="shared" si="36"/>
        <v>5788</v>
      </c>
      <c r="CG16">
        <f t="shared" si="37"/>
        <v>9359</v>
      </c>
      <c r="CH16">
        <f t="shared" si="38"/>
        <v>12930</v>
      </c>
      <c r="CI16">
        <f t="shared" si="39"/>
        <v>16501</v>
      </c>
      <c r="CJ16">
        <f t="shared" si="40"/>
        <v>20072</v>
      </c>
      <c r="CK16">
        <f t="shared" si="41"/>
        <v>23643</v>
      </c>
      <c r="CL16">
        <f t="shared" si="42"/>
        <v>27214</v>
      </c>
      <c r="CM16">
        <f t="shared" si="43"/>
        <v>30785</v>
      </c>
      <c r="CN16">
        <f t="shared" si="44"/>
        <v>34356</v>
      </c>
      <c r="CO16">
        <f t="shared" si="45"/>
        <v>37927</v>
      </c>
      <c r="CP16">
        <f t="shared" si="46"/>
        <v>41498</v>
      </c>
      <c r="CQ16">
        <f t="shared" si="47"/>
        <v>45069</v>
      </c>
      <c r="CR16">
        <f t="shared" si="48"/>
        <v>48640</v>
      </c>
      <c r="CS16">
        <f t="shared" si="49"/>
        <v>52211</v>
      </c>
      <c r="CT16">
        <f t="shared" si="50"/>
        <v>55782</v>
      </c>
      <c r="CU16">
        <f t="shared" si="51"/>
        <v>17139</v>
      </c>
      <c r="CV16">
        <f t="shared" si="52"/>
        <v>21580</v>
      </c>
      <c r="CW16">
        <f t="shared" si="53"/>
        <v>26021</v>
      </c>
      <c r="CX16">
        <f t="shared" si="54"/>
        <v>30462</v>
      </c>
      <c r="CY16">
        <f t="shared" si="55"/>
        <v>34903</v>
      </c>
      <c r="CZ16">
        <f t="shared" si="56"/>
        <v>39344</v>
      </c>
      <c r="DA16">
        <f t="shared" si="57"/>
        <v>43785</v>
      </c>
      <c r="DB16">
        <f t="shared" si="58"/>
        <v>48226</v>
      </c>
      <c r="DC16">
        <f t="shared" si="59"/>
        <v>52667</v>
      </c>
      <c r="DD16">
        <f t="shared" si="60"/>
        <v>57108</v>
      </c>
      <c r="DE16">
        <f t="shared" si="61"/>
        <v>61549</v>
      </c>
      <c r="DF16">
        <f t="shared" si="62"/>
        <v>65990</v>
      </c>
      <c r="DG16">
        <f t="shared" si="63"/>
        <v>70431</v>
      </c>
      <c r="DH16">
        <f t="shared" si="64"/>
        <v>74872</v>
      </c>
      <c r="DI16">
        <f t="shared" si="65"/>
        <v>79313</v>
      </c>
      <c r="DJ16">
        <f t="shared" si="66"/>
        <v>83754</v>
      </c>
      <c r="DK16">
        <f t="shared" si="67"/>
        <v>98397</v>
      </c>
      <c r="DL16">
        <f t="shared" si="68"/>
        <v>483</v>
      </c>
      <c r="DM16">
        <f t="shared" si="69"/>
        <v>2572</v>
      </c>
      <c r="DN16" t="str">
        <f t="shared" si="70"/>
        <v>Вычислительные компоненты</v>
      </c>
      <c r="DO16" t="str">
        <f t="shared" si="71"/>
        <v>ЦОД и вычислительная инфраструктура</v>
      </c>
      <c r="DP16" t="str">
        <f t="shared" si="72"/>
        <v>Сетевые ресурсы</v>
      </c>
      <c r="DQ16" t="str">
        <f t="shared" si="73"/>
        <v>Производство</v>
      </c>
      <c r="DR16" t="str">
        <f t="shared" si="74"/>
        <v>Управление</v>
      </c>
      <c r="DS16" t="str">
        <f t="shared" si="75"/>
        <v>Познание</v>
      </c>
      <c r="DT16" t="str">
        <f t="shared" si="76"/>
        <v>Россия</v>
      </c>
      <c r="DU16" t="str">
        <f t="shared" si="77"/>
        <v>США</v>
      </c>
      <c r="DV16" t="str">
        <f t="shared" si="78"/>
        <v>Китай</v>
      </c>
      <c r="DW16" t="str">
        <f t="shared" si="79"/>
        <v>Общественный</v>
      </c>
      <c r="DX16" t="str">
        <f t="shared" si="80"/>
        <v>Дипломатический</v>
      </c>
      <c r="DY16" t="str">
        <f t="shared" si="81"/>
        <v>Ресурсный</v>
      </c>
      <c r="DZ16" t="str">
        <f t="shared" si="82"/>
        <v>Конкурентная и торговая среда</v>
      </c>
      <c r="EA16" t="str">
        <f t="shared" si="83"/>
        <v>Война</v>
      </c>
      <c r="EB16" t="str">
        <f t="shared" si="84"/>
        <v>Россия</v>
      </c>
      <c r="EC16">
        <f t="shared" si="85"/>
        <v>0</v>
      </c>
      <c r="ED16">
        <f t="shared" si="86"/>
        <v>0</v>
      </c>
      <c r="EE16">
        <f t="shared" si="87"/>
        <v>0</v>
      </c>
      <c r="EF16">
        <f t="shared" si="88"/>
        <v>0</v>
      </c>
      <c r="EG16" t="str">
        <f t="shared" si="89"/>
        <v/>
      </c>
      <c r="EH16" t="str">
        <f t="shared" si="90"/>
        <v/>
      </c>
      <c r="EI16" t="str">
        <f t="shared" si="91"/>
        <v/>
      </c>
      <c r="EJ16" t="str">
        <f t="shared" si="92"/>
        <v/>
      </c>
      <c r="EK16" t="str">
        <f t="shared" si="93"/>
        <v/>
      </c>
      <c r="EL16" t="str">
        <f t="shared" si="94"/>
        <v/>
      </c>
      <c r="EM16" t="e">
        <f t="shared" si="95"/>
        <v>#VALUE!</v>
      </c>
      <c r="EN16" t="e">
        <f t="shared" si="96"/>
        <v>#VALUE!</v>
      </c>
      <c r="EO16" t="str">
        <f t="shared" si="97"/>
        <v/>
      </c>
      <c r="EP16" t="str">
        <f t="shared" si="98"/>
        <v/>
      </c>
      <c r="EQ16" t="str">
        <f t="shared" si="99"/>
        <v/>
      </c>
      <c r="ER16" t="str">
        <f t="shared" si="100"/>
        <v/>
      </c>
      <c r="ES16" t="str">
        <f t="shared" si="101"/>
        <v/>
      </c>
    </row>
    <row r="17" spans="1:149" ht="52.8" customHeight="1">
      <c r="A17" s="40"/>
      <c r="B17" s="41"/>
      <c r="C17" s="41"/>
      <c r="D17" s="41"/>
      <c r="E17" s="41"/>
      <c r="F17" s="41"/>
      <c r="G17" s="42"/>
      <c r="H17" s="42"/>
      <c r="I17" s="42"/>
      <c r="J17" s="41"/>
      <c r="K17" s="41"/>
      <c r="L17" s="41"/>
      <c r="M17" s="42"/>
      <c r="N17" s="42"/>
      <c r="O17" s="42"/>
      <c r="P17" s="43" t="str">
        <f t="shared" si="0"/>
        <v/>
      </c>
      <c r="Q17" s="43" t="str">
        <f t="shared" si="1"/>
        <v/>
      </c>
      <c r="R17" s="44" t="e">
        <f t="shared" si="2"/>
        <v>#VALUE!</v>
      </c>
      <c r="S17" s="44" t="e">
        <f t="shared" si="3"/>
        <v>#VALUE!</v>
      </c>
      <c r="T17" s="44" t="e">
        <f t="shared" si="4"/>
        <v>#VALUE!</v>
      </c>
      <c r="U17" s="45" t="e">
        <f t="shared" si="5"/>
        <v>#VALUE!</v>
      </c>
      <c r="V17" s="45" t="e">
        <f t="shared" si="6"/>
        <v>#VALUE!</v>
      </c>
      <c r="W17" s="45" t="e">
        <f t="shared" si="7"/>
        <v>#VALUE!</v>
      </c>
      <c r="X17" s="46"/>
      <c r="Y17" s="47" t="str">
        <f t="shared" si="8"/>
        <v/>
      </c>
      <c r="Z17" s="47" t="str">
        <f t="shared" si="9"/>
        <v/>
      </c>
      <c r="AA17" s="47" t="str">
        <f t="shared" si="10"/>
        <v/>
      </c>
      <c r="AB17" s="47" t="str">
        <f t="shared" si="11"/>
        <v>Нет локального эффекта</v>
      </c>
      <c r="AC17" s="47" t="str">
        <f t="shared" si="12"/>
        <v/>
      </c>
      <c r="AD17" s="47" t="str">
        <f t="shared" si="13"/>
        <v>Нет локального эффекта</v>
      </c>
      <c r="AE17" s="47" t="str">
        <f t="shared" si="14"/>
        <v/>
      </c>
      <c r="AF17" s="47" t="str">
        <f t="shared" si="15"/>
        <v>Нет локального эффекта</v>
      </c>
      <c r="AG17" s="47" t="str">
        <f t="shared" si="16"/>
        <v/>
      </c>
      <c r="AH17" s="48" t="str">
        <f>IF($B17="","","Общий итог: "&amp;IF($Y17="","ожидает D72",$Y17&amp;IF($Z17="—",""," — "&amp;$Z17))&amp;". Арес: "&amp;$AA17&amp;". "&amp;$AB17&amp;" Афина: "&amp;$AC17&amp;". "&amp;$AD17&amp;" Аполлон: "&amp;$AE17&amp;". "&amp;$AF17&amp;IF($AG17="",""," Общий эффект: "&amp;$AG17))</f>
        <v/>
      </c>
      <c r="BA17" t="s">
        <v>301</v>
      </c>
      <c r="BD17" t="s">
        <v>25</v>
      </c>
      <c r="BF17">
        <v>661167423</v>
      </c>
      <c r="BG17">
        <v>815485420</v>
      </c>
      <c r="BH17">
        <v>446273</v>
      </c>
      <c r="BI17">
        <v>977411358</v>
      </c>
      <c r="BJ17">
        <v>995066209</v>
      </c>
      <c r="BK17">
        <v>129174629</v>
      </c>
      <c r="BL17">
        <v>174156138</v>
      </c>
      <c r="BM17">
        <f t="shared" si="17"/>
        <v>55509</v>
      </c>
      <c r="BN17">
        <f t="shared" si="18"/>
        <v>63428</v>
      </c>
      <c r="BO17">
        <f t="shared" si="19"/>
        <v>71347</v>
      </c>
      <c r="BP17">
        <f t="shared" si="20"/>
        <v>79266</v>
      </c>
      <c r="BQ17">
        <f t="shared" si="21"/>
        <v>87185</v>
      </c>
      <c r="BR17">
        <f t="shared" si="22"/>
        <v>95104</v>
      </c>
      <c r="BS17">
        <f t="shared" si="23"/>
        <v>3020</v>
      </c>
      <c r="BT17">
        <f t="shared" si="24"/>
        <v>10939</v>
      </c>
      <c r="BU17">
        <f t="shared" si="25"/>
        <v>18858</v>
      </c>
      <c r="BV17">
        <f t="shared" si="26"/>
        <v>26777</v>
      </c>
      <c r="BW17">
        <f t="shared" si="27"/>
        <v>67109</v>
      </c>
      <c r="BX17">
        <f t="shared" si="28"/>
        <v>73260</v>
      </c>
      <c r="BY17">
        <f t="shared" si="29"/>
        <v>79411</v>
      </c>
      <c r="BZ17">
        <f t="shared" si="30"/>
        <v>85562</v>
      </c>
      <c r="CA17">
        <f t="shared" si="31"/>
        <v>91713</v>
      </c>
      <c r="CB17">
        <f t="shared" si="32"/>
        <v>97864</v>
      </c>
      <c r="CC17">
        <f t="shared" si="33"/>
        <v>4012</v>
      </c>
      <c r="CD17">
        <f t="shared" si="34"/>
        <v>10163</v>
      </c>
      <c r="CE17">
        <f t="shared" si="35"/>
        <v>49832</v>
      </c>
      <c r="CF17">
        <f t="shared" si="36"/>
        <v>53403</v>
      </c>
      <c r="CG17">
        <f t="shared" si="37"/>
        <v>56974</v>
      </c>
      <c r="CH17">
        <f t="shared" si="38"/>
        <v>60545</v>
      </c>
      <c r="CI17">
        <f t="shared" si="39"/>
        <v>64116</v>
      </c>
      <c r="CJ17">
        <f t="shared" si="40"/>
        <v>67687</v>
      </c>
      <c r="CK17">
        <f t="shared" si="41"/>
        <v>71258</v>
      </c>
      <c r="CL17">
        <f t="shared" si="42"/>
        <v>74829</v>
      </c>
      <c r="CM17">
        <f t="shared" si="43"/>
        <v>78400</v>
      </c>
      <c r="CN17">
        <f t="shared" si="44"/>
        <v>81971</v>
      </c>
      <c r="CO17">
        <f t="shared" si="45"/>
        <v>85542</v>
      </c>
      <c r="CP17">
        <f t="shared" si="46"/>
        <v>89113</v>
      </c>
      <c r="CQ17">
        <f t="shared" si="47"/>
        <v>92684</v>
      </c>
      <c r="CR17">
        <f t="shared" si="48"/>
        <v>96255</v>
      </c>
      <c r="CS17">
        <f t="shared" si="49"/>
        <v>99826</v>
      </c>
      <c r="CT17">
        <f t="shared" si="50"/>
        <v>3394</v>
      </c>
      <c r="CU17">
        <f t="shared" si="51"/>
        <v>75197</v>
      </c>
      <c r="CV17">
        <f t="shared" si="52"/>
        <v>79638</v>
      </c>
      <c r="CW17">
        <f t="shared" si="53"/>
        <v>84079</v>
      </c>
      <c r="CX17">
        <f t="shared" si="54"/>
        <v>88520</v>
      </c>
      <c r="CY17">
        <f t="shared" si="55"/>
        <v>92961</v>
      </c>
      <c r="CZ17">
        <f t="shared" si="56"/>
        <v>97402</v>
      </c>
      <c r="DA17">
        <f t="shared" si="57"/>
        <v>1840</v>
      </c>
      <c r="DB17">
        <f t="shared" si="58"/>
        <v>6281</v>
      </c>
      <c r="DC17">
        <f t="shared" si="59"/>
        <v>10722</v>
      </c>
      <c r="DD17">
        <f t="shared" si="60"/>
        <v>15163</v>
      </c>
      <c r="DE17">
        <f t="shared" si="61"/>
        <v>19604</v>
      </c>
      <c r="DF17">
        <f t="shared" si="62"/>
        <v>24045</v>
      </c>
      <c r="DG17">
        <f t="shared" si="63"/>
        <v>28486</v>
      </c>
      <c r="DH17">
        <f t="shared" si="64"/>
        <v>32927</v>
      </c>
      <c r="DI17">
        <f t="shared" si="65"/>
        <v>37368</v>
      </c>
      <c r="DJ17">
        <f t="shared" si="66"/>
        <v>41809</v>
      </c>
      <c r="DK17">
        <f t="shared" si="67"/>
        <v>53004</v>
      </c>
      <c r="DL17">
        <f t="shared" si="68"/>
        <v>55093</v>
      </c>
      <c r="DM17">
        <f t="shared" si="69"/>
        <v>57182</v>
      </c>
      <c r="DN17" t="str">
        <f t="shared" si="70"/>
        <v>Вычислительные компоненты</v>
      </c>
      <c r="DO17" t="str">
        <f t="shared" si="71"/>
        <v>ЦОД и вычислительная инфраструктура</v>
      </c>
      <c r="DP17" t="str">
        <f t="shared" si="72"/>
        <v>Сетевые ресурсы</v>
      </c>
      <c r="DQ17" t="str">
        <f t="shared" si="73"/>
        <v>Государственное управление</v>
      </c>
      <c r="DR17" t="str">
        <f t="shared" si="74"/>
        <v>Принятие ИИ</v>
      </c>
      <c r="DS17" t="str">
        <f t="shared" si="75"/>
        <v>Производство</v>
      </c>
      <c r="DT17" t="str">
        <f t="shared" si="76"/>
        <v>Индонезия</v>
      </c>
      <c r="DU17" t="str">
        <f t="shared" si="77"/>
        <v>Россия</v>
      </c>
      <c r="DV17" t="str">
        <f t="shared" si="78"/>
        <v>США</v>
      </c>
      <c r="DW17" t="str">
        <f t="shared" si="79"/>
        <v>Ресурсный</v>
      </c>
      <c r="DX17" t="str">
        <f t="shared" si="80"/>
        <v>Общественный</v>
      </c>
      <c r="DY17" t="str">
        <f t="shared" si="81"/>
        <v>Дипломатический</v>
      </c>
      <c r="DZ17" t="str">
        <f t="shared" si="82"/>
        <v>Поставщики и рынок технологических услуг</v>
      </c>
      <c r="EA17" t="str">
        <f t="shared" si="83"/>
        <v>Управление</v>
      </c>
      <c r="EB17" t="str">
        <f t="shared" si="84"/>
        <v>Германия</v>
      </c>
      <c r="EC17">
        <f t="shared" si="85"/>
        <v>0</v>
      </c>
      <c r="ED17">
        <f t="shared" si="86"/>
        <v>0</v>
      </c>
      <c r="EE17">
        <f t="shared" si="87"/>
        <v>0</v>
      </c>
      <c r="EF17">
        <f t="shared" si="88"/>
        <v>0</v>
      </c>
      <c r="EG17" t="str">
        <f t="shared" si="89"/>
        <v/>
      </c>
      <c r="EH17" t="str">
        <f t="shared" si="90"/>
        <v/>
      </c>
      <c r="EI17" t="str">
        <f t="shared" si="91"/>
        <v/>
      </c>
      <c r="EJ17" t="str">
        <f t="shared" si="92"/>
        <v/>
      </c>
      <c r="EK17" t="str">
        <f t="shared" si="93"/>
        <v/>
      </c>
      <c r="EL17" t="str">
        <f t="shared" si="94"/>
        <v/>
      </c>
      <c r="EM17" t="e">
        <f t="shared" si="95"/>
        <v>#VALUE!</v>
      </c>
      <c r="EN17" t="e">
        <f t="shared" si="96"/>
        <v>#VALUE!</v>
      </c>
      <c r="EO17" t="str">
        <f t="shared" si="97"/>
        <v/>
      </c>
      <c r="EP17" t="str">
        <f t="shared" si="98"/>
        <v/>
      </c>
      <c r="EQ17" t="str">
        <f t="shared" si="99"/>
        <v/>
      </c>
      <c r="ER17" t="str">
        <f t="shared" si="100"/>
        <v/>
      </c>
      <c r="ES17" t="str">
        <f t="shared" si="101"/>
        <v/>
      </c>
    </row>
    <row r="18" spans="1:149" ht="52.8" customHeight="1">
      <c r="A18" s="40"/>
      <c r="B18" s="41"/>
      <c r="C18" s="41"/>
      <c r="D18" s="41"/>
      <c r="E18" s="41"/>
      <c r="F18" s="41"/>
      <c r="G18" s="42"/>
      <c r="H18" s="42"/>
      <c r="I18" s="42"/>
      <c r="J18" s="41"/>
      <c r="K18" s="41"/>
      <c r="L18" s="41"/>
      <c r="M18" s="42"/>
      <c r="N18" s="42"/>
      <c r="O18" s="42"/>
      <c r="P18" s="43" t="str">
        <f t="shared" si="0"/>
        <v/>
      </c>
      <c r="Q18" s="43" t="str">
        <f t="shared" si="1"/>
        <v/>
      </c>
      <c r="R18" s="44" t="e">
        <f t="shared" si="2"/>
        <v>#VALUE!</v>
      </c>
      <c r="S18" s="44" t="e">
        <f t="shared" si="3"/>
        <v>#VALUE!</v>
      </c>
      <c r="T18" s="44" t="e">
        <f t="shared" si="4"/>
        <v>#VALUE!</v>
      </c>
      <c r="U18" s="45" t="e">
        <f t="shared" si="5"/>
        <v>#VALUE!</v>
      </c>
      <c r="V18" s="45" t="e">
        <f t="shared" si="6"/>
        <v>#VALUE!</v>
      </c>
      <c r="W18" s="45" t="e">
        <f t="shared" si="7"/>
        <v>#VALUE!</v>
      </c>
      <c r="X18" s="46"/>
      <c r="Y18" s="47" t="str">
        <f t="shared" si="8"/>
        <v/>
      </c>
      <c r="Z18" s="47" t="str">
        <f t="shared" si="9"/>
        <v/>
      </c>
      <c r="AA18" s="47" t="str">
        <f t="shared" si="10"/>
        <v/>
      </c>
      <c r="AB18" s="47" t="str">
        <f t="shared" si="11"/>
        <v>Нет локального эффекта</v>
      </c>
      <c r="AC18" s="47" t="str">
        <f t="shared" si="12"/>
        <v/>
      </c>
      <c r="AD18" s="47" t="str">
        <f t="shared" si="13"/>
        <v>Нет локального эффекта</v>
      </c>
      <c r="AE18" s="47" t="str">
        <f t="shared" si="14"/>
        <v/>
      </c>
      <c r="AF18" s="47" t="str">
        <f t="shared" si="15"/>
        <v>Нет локального эффекта</v>
      </c>
      <c r="AG18" s="47" t="str">
        <f t="shared" si="16"/>
        <v/>
      </c>
      <c r="AH18" s="48" t="str">
        <f>IF($B18="","","Общий итог: "&amp;IF($Y18="","ожидает D73",$Y18&amp;IF($Z18="—",""," — "&amp;$Z18))&amp;". Арес: "&amp;$AA18&amp;". "&amp;$AB18&amp;" Афина: "&amp;$AC18&amp;". "&amp;$AD18&amp;" Аполлон: "&amp;$AE18&amp;". "&amp;$AF18&amp;IF($AG18="",""," Общий эффект: "&amp;$AG18))</f>
        <v/>
      </c>
      <c r="BA18" t="s">
        <v>302</v>
      </c>
      <c r="BF18">
        <v>949388669</v>
      </c>
      <c r="BG18">
        <v>988826290</v>
      </c>
      <c r="BH18">
        <v>518690801</v>
      </c>
      <c r="BI18">
        <v>322645474</v>
      </c>
      <c r="BJ18">
        <v>341869600</v>
      </c>
      <c r="BK18">
        <v>615559395</v>
      </c>
      <c r="BL18">
        <v>899400243</v>
      </c>
      <c r="BM18">
        <f t="shared" si="17"/>
        <v>68109</v>
      </c>
      <c r="BN18">
        <f t="shared" si="18"/>
        <v>76028</v>
      </c>
      <c r="BO18">
        <f t="shared" si="19"/>
        <v>83947</v>
      </c>
      <c r="BP18">
        <f t="shared" si="20"/>
        <v>91866</v>
      </c>
      <c r="BQ18">
        <f t="shared" si="21"/>
        <v>99785</v>
      </c>
      <c r="BR18">
        <f t="shared" si="22"/>
        <v>7701</v>
      </c>
      <c r="BS18">
        <f t="shared" si="23"/>
        <v>15620</v>
      </c>
      <c r="BT18">
        <f t="shared" si="24"/>
        <v>23539</v>
      </c>
      <c r="BU18">
        <f t="shared" si="25"/>
        <v>31458</v>
      </c>
      <c r="BV18">
        <f t="shared" si="26"/>
        <v>39377</v>
      </c>
      <c r="BW18">
        <f t="shared" si="27"/>
        <v>2777</v>
      </c>
      <c r="BX18">
        <f t="shared" si="28"/>
        <v>8928</v>
      </c>
      <c r="BY18">
        <f t="shared" si="29"/>
        <v>15079</v>
      </c>
      <c r="BZ18">
        <f t="shared" si="30"/>
        <v>21230</v>
      </c>
      <c r="CA18">
        <f t="shared" si="31"/>
        <v>27381</v>
      </c>
      <c r="CB18">
        <f t="shared" si="32"/>
        <v>33532</v>
      </c>
      <c r="CC18">
        <f t="shared" si="33"/>
        <v>39683</v>
      </c>
      <c r="CD18">
        <f t="shared" si="34"/>
        <v>45834</v>
      </c>
      <c r="CE18">
        <f t="shared" si="35"/>
        <v>78814</v>
      </c>
      <c r="CF18">
        <f t="shared" si="36"/>
        <v>82385</v>
      </c>
      <c r="CG18">
        <f t="shared" si="37"/>
        <v>85956</v>
      </c>
      <c r="CH18">
        <f t="shared" si="38"/>
        <v>89527</v>
      </c>
      <c r="CI18">
        <f t="shared" si="39"/>
        <v>93098</v>
      </c>
      <c r="CJ18">
        <f t="shared" si="40"/>
        <v>96669</v>
      </c>
      <c r="CK18">
        <f t="shared" si="41"/>
        <v>237</v>
      </c>
      <c r="CL18">
        <f t="shared" si="42"/>
        <v>3808</v>
      </c>
      <c r="CM18">
        <f t="shared" si="43"/>
        <v>7379</v>
      </c>
      <c r="CN18">
        <f t="shared" si="44"/>
        <v>10950</v>
      </c>
      <c r="CO18">
        <f t="shared" si="45"/>
        <v>14521</v>
      </c>
      <c r="CP18">
        <f t="shared" si="46"/>
        <v>18092</v>
      </c>
      <c r="CQ18">
        <f t="shared" si="47"/>
        <v>21663</v>
      </c>
      <c r="CR18">
        <f t="shared" si="48"/>
        <v>25234</v>
      </c>
      <c r="CS18">
        <f t="shared" si="49"/>
        <v>28805</v>
      </c>
      <c r="CT18">
        <f t="shared" si="50"/>
        <v>32376</v>
      </c>
      <c r="CU18">
        <f t="shared" si="51"/>
        <v>45371</v>
      </c>
      <c r="CV18">
        <f t="shared" si="52"/>
        <v>49812</v>
      </c>
      <c r="CW18">
        <f t="shared" si="53"/>
        <v>54253</v>
      </c>
      <c r="CX18">
        <f t="shared" si="54"/>
        <v>58694</v>
      </c>
      <c r="CY18">
        <f t="shared" si="55"/>
        <v>63135</v>
      </c>
      <c r="CZ18">
        <f t="shared" si="56"/>
        <v>67576</v>
      </c>
      <c r="DA18">
        <f t="shared" si="57"/>
        <v>72017</v>
      </c>
      <c r="DB18">
        <f t="shared" si="58"/>
        <v>76458</v>
      </c>
      <c r="DC18">
        <f t="shared" si="59"/>
        <v>80899</v>
      </c>
      <c r="DD18">
        <f t="shared" si="60"/>
        <v>85340</v>
      </c>
      <c r="DE18">
        <f t="shared" si="61"/>
        <v>89781</v>
      </c>
      <c r="DF18">
        <f t="shared" si="62"/>
        <v>94222</v>
      </c>
      <c r="DG18">
        <f t="shared" si="63"/>
        <v>98663</v>
      </c>
      <c r="DH18">
        <f t="shared" si="64"/>
        <v>3101</v>
      </c>
      <c r="DI18">
        <f t="shared" si="65"/>
        <v>7542</v>
      </c>
      <c r="DJ18">
        <f t="shared" si="66"/>
        <v>11983</v>
      </c>
      <c r="DK18">
        <f t="shared" si="67"/>
        <v>75353</v>
      </c>
      <c r="DL18">
        <f t="shared" si="68"/>
        <v>77442</v>
      </c>
      <c r="DM18">
        <f t="shared" si="69"/>
        <v>79531</v>
      </c>
      <c r="DN18" t="str">
        <f t="shared" si="70"/>
        <v>Мощности производства полупроводников</v>
      </c>
      <c r="DO18" t="str">
        <f t="shared" si="71"/>
        <v>Вычислительные компоненты</v>
      </c>
      <c r="DP18" t="str">
        <f t="shared" si="72"/>
        <v>ЦОД и вычислительная инфраструктура</v>
      </c>
      <c r="DQ18" t="str">
        <f t="shared" si="73"/>
        <v>Производство</v>
      </c>
      <c r="DR18" t="str">
        <f t="shared" si="74"/>
        <v>Управление</v>
      </c>
      <c r="DS18" t="str">
        <f t="shared" si="75"/>
        <v>Познание</v>
      </c>
      <c r="DT18" t="str">
        <f t="shared" si="76"/>
        <v>Германия</v>
      </c>
      <c r="DU18" t="str">
        <f t="shared" si="77"/>
        <v>Япония</v>
      </c>
      <c r="DV18" t="str">
        <f t="shared" si="78"/>
        <v>Южная Корея</v>
      </c>
      <c r="DW18" t="str">
        <f t="shared" si="79"/>
        <v>Ресурсный</v>
      </c>
      <c r="DX18" t="str">
        <f t="shared" si="80"/>
        <v>Общественный</v>
      </c>
      <c r="DY18" t="str">
        <f t="shared" si="81"/>
        <v>Дипломатический</v>
      </c>
      <c r="DZ18" t="str">
        <f t="shared" si="82"/>
        <v>Мощности производства полупроводников</v>
      </c>
      <c r="EA18" t="str">
        <f t="shared" si="83"/>
        <v>Производство</v>
      </c>
      <c r="EB18" t="str">
        <f t="shared" si="84"/>
        <v>Бразилия</v>
      </c>
      <c r="EC18">
        <f t="shared" si="85"/>
        <v>0</v>
      </c>
      <c r="ED18">
        <f t="shared" si="86"/>
        <v>0</v>
      </c>
      <c r="EE18">
        <f t="shared" si="87"/>
        <v>0</v>
      </c>
      <c r="EF18">
        <f t="shared" si="88"/>
        <v>0</v>
      </c>
      <c r="EG18" t="str">
        <f t="shared" si="89"/>
        <v/>
      </c>
      <c r="EH18" t="str">
        <f t="shared" si="90"/>
        <v/>
      </c>
      <c r="EI18" t="str">
        <f t="shared" si="91"/>
        <v/>
      </c>
      <c r="EJ18" t="str">
        <f t="shared" si="92"/>
        <v/>
      </c>
      <c r="EK18" t="str">
        <f t="shared" si="93"/>
        <v/>
      </c>
      <c r="EL18" t="str">
        <f t="shared" si="94"/>
        <v/>
      </c>
      <c r="EM18" t="e">
        <f t="shared" si="95"/>
        <v>#VALUE!</v>
      </c>
      <c r="EN18" t="e">
        <f t="shared" si="96"/>
        <v>#VALUE!</v>
      </c>
      <c r="EO18" t="str">
        <f t="shared" si="97"/>
        <v/>
      </c>
      <c r="EP18" t="str">
        <f t="shared" si="98"/>
        <v/>
      </c>
      <c r="EQ18" t="str">
        <f t="shared" si="99"/>
        <v/>
      </c>
      <c r="ER18" t="str">
        <f t="shared" si="100"/>
        <v/>
      </c>
      <c r="ES18" t="str">
        <f t="shared" si="101"/>
        <v/>
      </c>
    </row>
    <row r="19" spans="1:149" ht="52.8" customHeight="1">
      <c r="A19" s="40"/>
      <c r="B19" s="41"/>
      <c r="C19" s="41"/>
      <c r="D19" s="41"/>
      <c r="E19" s="41"/>
      <c r="F19" s="41"/>
      <c r="G19" s="42"/>
      <c r="H19" s="42"/>
      <c r="I19" s="42"/>
      <c r="J19" s="41"/>
      <c r="K19" s="41"/>
      <c r="L19" s="41"/>
      <c r="M19" s="42"/>
      <c r="N19" s="42"/>
      <c r="O19" s="42"/>
      <c r="P19" s="43" t="str">
        <f t="shared" si="0"/>
        <v/>
      </c>
      <c r="Q19" s="43" t="str">
        <f t="shared" si="1"/>
        <v/>
      </c>
      <c r="R19" s="44" t="e">
        <f t="shared" si="2"/>
        <v>#VALUE!</v>
      </c>
      <c r="S19" s="44" t="e">
        <f t="shared" si="3"/>
        <v>#VALUE!</v>
      </c>
      <c r="T19" s="44" t="e">
        <f t="shared" si="4"/>
        <v>#VALUE!</v>
      </c>
      <c r="U19" s="45" t="e">
        <f t="shared" si="5"/>
        <v>#VALUE!</v>
      </c>
      <c r="V19" s="45" t="e">
        <f t="shared" si="6"/>
        <v>#VALUE!</v>
      </c>
      <c r="W19" s="45" t="e">
        <f t="shared" si="7"/>
        <v>#VALUE!</v>
      </c>
      <c r="X19" s="46"/>
      <c r="Y19" s="47" t="str">
        <f t="shared" si="8"/>
        <v/>
      </c>
      <c r="Z19" s="47" t="str">
        <f t="shared" si="9"/>
        <v/>
      </c>
      <c r="AA19" s="47" t="str">
        <f t="shared" si="10"/>
        <v/>
      </c>
      <c r="AB19" s="47" t="str">
        <f t="shared" si="11"/>
        <v>Нет локального эффекта</v>
      </c>
      <c r="AC19" s="47" t="str">
        <f t="shared" si="12"/>
        <v/>
      </c>
      <c r="AD19" s="47" t="str">
        <f t="shared" si="13"/>
        <v>Нет локального эффекта</v>
      </c>
      <c r="AE19" s="47" t="str">
        <f t="shared" si="14"/>
        <v/>
      </c>
      <c r="AF19" s="47" t="str">
        <f t="shared" si="15"/>
        <v>Нет локального эффекта</v>
      </c>
      <c r="AG19" s="47" t="str">
        <f t="shared" si="16"/>
        <v/>
      </c>
      <c r="AH19" s="48" t="str">
        <f>IF($B19="","","Общий итог: "&amp;IF($Y19="","ожидает D74",$Y19&amp;IF($Z19="—",""," — "&amp;$Z19))&amp;". Арес: "&amp;$AA19&amp;". "&amp;$AB19&amp;" Афина: "&amp;$AC19&amp;". "&amp;$AD19&amp;" Аполлон: "&amp;$AE19&amp;". "&amp;$AF19&amp;IF($AG19="",""," Общий эффект: "&amp;$AG19))</f>
        <v/>
      </c>
      <c r="BA19" t="s">
        <v>303</v>
      </c>
      <c r="BF19">
        <v>679305143</v>
      </c>
      <c r="BG19">
        <v>727470518</v>
      </c>
      <c r="BH19">
        <v>442284749</v>
      </c>
      <c r="BI19">
        <v>787913853</v>
      </c>
      <c r="BJ19">
        <v>113231444</v>
      </c>
      <c r="BK19">
        <v>533339709</v>
      </c>
      <c r="BL19">
        <v>713848983</v>
      </c>
      <c r="BM19">
        <f t="shared" si="17"/>
        <v>92686</v>
      </c>
      <c r="BN19">
        <f t="shared" si="18"/>
        <v>602</v>
      </c>
      <c r="BO19">
        <f t="shared" si="19"/>
        <v>8521</v>
      </c>
      <c r="BP19">
        <f t="shared" si="20"/>
        <v>16440</v>
      </c>
      <c r="BQ19">
        <f t="shared" si="21"/>
        <v>24359</v>
      </c>
      <c r="BR19">
        <f t="shared" si="22"/>
        <v>32278</v>
      </c>
      <c r="BS19">
        <f t="shared" si="23"/>
        <v>40197</v>
      </c>
      <c r="BT19">
        <f t="shared" si="24"/>
        <v>48116</v>
      </c>
      <c r="BU19">
        <f t="shared" si="25"/>
        <v>56035</v>
      </c>
      <c r="BV19">
        <f t="shared" si="26"/>
        <v>63954</v>
      </c>
      <c r="BW19">
        <f t="shared" si="27"/>
        <v>54847</v>
      </c>
      <c r="BX19">
        <f t="shared" si="28"/>
        <v>60998</v>
      </c>
      <c r="BY19">
        <f t="shared" si="29"/>
        <v>67149</v>
      </c>
      <c r="BZ19">
        <f t="shared" si="30"/>
        <v>73300</v>
      </c>
      <c r="CA19">
        <f t="shared" si="31"/>
        <v>79451</v>
      </c>
      <c r="CB19">
        <f t="shared" si="32"/>
        <v>85602</v>
      </c>
      <c r="CC19">
        <f t="shared" si="33"/>
        <v>91753</v>
      </c>
      <c r="CD19">
        <f t="shared" si="34"/>
        <v>97904</v>
      </c>
      <c r="CE19">
        <f t="shared" si="35"/>
        <v>75054</v>
      </c>
      <c r="CF19">
        <f t="shared" si="36"/>
        <v>78625</v>
      </c>
      <c r="CG19">
        <f t="shared" si="37"/>
        <v>82196</v>
      </c>
      <c r="CH19">
        <f t="shared" si="38"/>
        <v>85767</v>
      </c>
      <c r="CI19">
        <f t="shared" si="39"/>
        <v>89338</v>
      </c>
      <c r="CJ19">
        <f t="shared" si="40"/>
        <v>92909</v>
      </c>
      <c r="CK19">
        <f t="shared" si="41"/>
        <v>96480</v>
      </c>
      <c r="CL19">
        <f t="shared" si="42"/>
        <v>48</v>
      </c>
      <c r="CM19">
        <f t="shared" si="43"/>
        <v>3619</v>
      </c>
      <c r="CN19">
        <f t="shared" si="44"/>
        <v>7190</v>
      </c>
      <c r="CO19">
        <f t="shared" si="45"/>
        <v>10761</v>
      </c>
      <c r="CP19">
        <f t="shared" si="46"/>
        <v>14332</v>
      </c>
      <c r="CQ19">
        <f t="shared" si="47"/>
        <v>17903</v>
      </c>
      <c r="CR19">
        <f t="shared" si="48"/>
        <v>21474</v>
      </c>
      <c r="CS19">
        <f t="shared" si="49"/>
        <v>25045</v>
      </c>
      <c r="CT19">
        <f t="shared" si="50"/>
        <v>28616</v>
      </c>
      <c r="CU19">
        <f t="shared" si="51"/>
        <v>28151</v>
      </c>
      <c r="CV19">
        <f t="shared" si="52"/>
        <v>32592</v>
      </c>
      <c r="CW19">
        <f t="shared" si="53"/>
        <v>37033</v>
      </c>
      <c r="CX19">
        <f t="shared" si="54"/>
        <v>41474</v>
      </c>
      <c r="CY19">
        <f t="shared" si="55"/>
        <v>45915</v>
      </c>
      <c r="CZ19">
        <f t="shared" si="56"/>
        <v>50356</v>
      </c>
      <c r="DA19">
        <f t="shared" si="57"/>
        <v>54797</v>
      </c>
      <c r="DB19">
        <f t="shared" si="58"/>
        <v>59238</v>
      </c>
      <c r="DC19">
        <f t="shared" si="59"/>
        <v>63679</v>
      </c>
      <c r="DD19">
        <f t="shared" si="60"/>
        <v>68120</v>
      </c>
      <c r="DE19">
        <f t="shared" si="61"/>
        <v>72561</v>
      </c>
      <c r="DF19">
        <f t="shared" si="62"/>
        <v>77002</v>
      </c>
      <c r="DG19">
        <f t="shared" si="63"/>
        <v>81443</v>
      </c>
      <c r="DH19">
        <f t="shared" si="64"/>
        <v>85884</v>
      </c>
      <c r="DI19">
        <f t="shared" si="65"/>
        <v>90325</v>
      </c>
      <c r="DJ19">
        <f t="shared" si="66"/>
        <v>94766</v>
      </c>
      <c r="DK19">
        <f t="shared" si="67"/>
        <v>29658</v>
      </c>
      <c r="DL19">
        <f t="shared" si="68"/>
        <v>31747</v>
      </c>
      <c r="DM19">
        <f t="shared" si="69"/>
        <v>33836</v>
      </c>
      <c r="DN19" t="str">
        <f t="shared" si="70"/>
        <v>Химические и технологические материалы</v>
      </c>
      <c r="DO19" t="str">
        <f t="shared" si="71"/>
        <v>Энергетические ресурсы</v>
      </c>
      <c r="DP19" t="str">
        <f t="shared" si="72"/>
        <v>Вода и ресурс отвода тепла</v>
      </c>
      <c r="DQ19" t="str">
        <f t="shared" si="73"/>
        <v>Производство</v>
      </c>
      <c r="DR19" t="str">
        <f t="shared" si="74"/>
        <v>Управление</v>
      </c>
      <c r="DS19" t="str">
        <f t="shared" si="75"/>
        <v>Познание</v>
      </c>
      <c r="DT19" t="str">
        <f t="shared" si="76"/>
        <v>Япония</v>
      </c>
      <c r="DU19" t="str">
        <f t="shared" si="77"/>
        <v>Южная Корея</v>
      </c>
      <c r="DV19" t="str">
        <f t="shared" si="78"/>
        <v>Турция</v>
      </c>
      <c r="DW19" t="str">
        <f t="shared" si="79"/>
        <v>Ресурсный</v>
      </c>
      <c r="DX19" t="str">
        <f t="shared" si="80"/>
        <v>Общественный</v>
      </c>
      <c r="DY19" t="str">
        <f t="shared" si="81"/>
        <v>Дипломатический</v>
      </c>
      <c r="DZ19" t="str">
        <f t="shared" si="82"/>
        <v>Ресурс утилизации и воспроизводства физической базы</v>
      </c>
      <c r="EA19" t="str">
        <f t="shared" si="83"/>
        <v>Война</v>
      </c>
      <c r="EB19" t="str">
        <f t="shared" si="84"/>
        <v>Россия</v>
      </c>
      <c r="EC19">
        <f t="shared" si="85"/>
        <v>0</v>
      </c>
      <c r="ED19">
        <f t="shared" si="86"/>
        <v>0</v>
      </c>
      <c r="EE19">
        <f t="shared" si="87"/>
        <v>0</v>
      </c>
      <c r="EF19">
        <f t="shared" si="88"/>
        <v>0</v>
      </c>
      <c r="EG19" t="str">
        <f t="shared" si="89"/>
        <v/>
      </c>
      <c r="EH19" t="str">
        <f t="shared" si="90"/>
        <v/>
      </c>
      <c r="EI19" t="str">
        <f t="shared" si="91"/>
        <v/>
      </c>
      <c r="EJ19" t="str">
        <f t="shared" si="92"/>
        <v/>
      </c>
      <c r="EK19" t="str">
        <f t="shared" si="93"/>
        <v/>
      </c>
      <c r="EL19" t="str">
        <f t="shared" si="94"/>
        <v/>
      </c>
      <c r="EM19" t="e">
        <f t="shared" si="95"/>
        <v>#VALUE!</v>
      </c>
      <c r="EN19" t="e">
        <f t="shared" si="96"/>
        <v>#VALUE!</v>
      </c>
      <c r="EO19" t="str">
        <f t="shared" si="97"/>
        <v/>
      </c>
      <c r="EP19" t="str">
        <f t="shared" si="98"/>
        <v/>
      </c>
      <c r="EQ19" t="str">
        <f t="shared" si="99"/>
        <v/>
      </c>
      <c r="ER19" t="str">
        <f t="shared" si="100"/>
        <v/>
      </c>
      <c r="ES19" t="str">
        <f t="shared" si="101"/>
        <v/>
      </c>
    </row>
    <row r="20" spans="1:149" ht="52.8" customHeight="1">
      <c r="A20" s="40"/>
      <c r="B20" s="41"/>
      <c r="C20" s="41"/>
      <c r="D20" s="41"/>
      <c r="E20" s="41"/>
      <c r="F20" s="41"/>
      <c r="G20" s="42"/>
      <c r="H20" s="42"/>
      <c r="I20" s="42"/>
      <c r="J20" s="41"/>
      <c r="K20" s="41"/>
      <c r="L20" s="41"/>
      <c r="M20" s="42"/>
      <c r="N20" s="42"/>
      <c r="O20" s="42"/>
      <c r="P20" s="43" t="str">
        <f t="shared" si="0"/>
        <v/>
      </c>
      <c r="Q20" s="43" t="str">
        <f t="shared" si="1"/>
        <v/>
      </c>
      <c r="R20" s="44" t="e">
        <f t="shared" si="2"/>
        <v>#VALUE!</v>
      </c>
      <c r="S20" s="44" t="e">
        <f t="shared" si="3"/>
        <v>#VALUE!</v>
      </c>
      <c r="T20" s="44" t="e">
        <f t="shared" si="4"/>
        <v>#VALUE!</v>
      </c>
      <c r="U20" s="45" t="e">
        <f t="shared" si="5"/>
        <v>#VALUE!</v>
      </c>
      <c r="V20" s="45" t="e">
        <f t="shared" si="6"/>
        <v>#VALUE!</v>
      </c>
      <c r="W20" s="45" t="e">
        <f t="shared" si="7"/>
        <v>#VALUE!</v>
      </c>
      <c r="X20" s="46"/>
      <c r="Y20" s="47" t="str">
        <f t="shared" si="8"/>
        <v/>
      </c>
      <c r="Z20" s="47" t="str">
        <f t="shared" si="9"/>
        <v/>
      </c>
      <c r="AA20" s="47" t="str">
        <f t="shared" si="10"/>
        <v/>
      </c>
      <c r="AB20" s="47" t="str">
        <f t="shared" si="11"/>
        <v>Нет локального эффекта</v>
      </c>
      <c r="AC20" s="47" t="str">
        <f t="shared" si="12"/>
        <v/>
      </c>
      <c r="AD20" s="47" t="str">
        <f t="shared" si="13"/>
        <v>Нет локального эффекта</v>
      </c>
      <c r="AE20" s="47" t="str">
        <f t="shared" si="14"/>
        <v/>
      </c>
      <c r="AF20" s="47" t="str">
        <f t="shared" si="15"/>
        <v>Нет локального эффекта</v>
      </c>
      <c r="AG20" s="47" t="str">
        <f t="shared" si="16"/>
        <v/>
      </c>
      <c r="AH20" s="48" t="str">
        <f>IF($B20="","","Общий итог: "&amp;IF($Y20="","ожидает D75",$Y20&amp;IF($Z20="—",""," — "&amp;$Z20))&amp;". Арес: "&amp;$AA20&amp;". "&amp;$AB20&amp;" Афина: "&amp;$AC20&amp;". "&amp;$AD20&amp;" Аполлон: "&amp;$AE20&amp;". "&amp;$AF20&amp;IF($AG20="",""," Общий эффект: "&amp;$AG20))</f>
        <v/>
      </c>
      <c r="BA20" t="s">
        <v>304</v>
      </c>
      <c r="BF20">
        <v>768990388</v>
      </c>
      <c r="BG20">
        <v>211822695</v>
      </c>
      <c r="BH20">
        <v>116347278</v>
      </c>
      <c r="BI20">
        <v>113965846</v>
      </c>
      <c r="BJ20">
        <v>717336864</v>
      </c>
      <c r="BK20">
        <v>680881010</v>
      </c>
      <c r="BL20">
        <v>301438557</v>
      </c>
      <c r="BM20">
        <f t="shared" si="17"/>
        <v>75240</v>
      </c>
      <c r="BN20">
        <f t="shared" si="18"/>
        <v>83159</v>
      </c>
      <c r="BO20">
        <f t="shared" si="19"/>
        <v>91078</v>
      </c>
      <c r="BP20">
        <f t="shared" si="20"/>
        <v>98997</v>
      </c>
      <c r="BQ20">
        <f t="shared" si="21"/>
        <v>6913</v>
      </c>
      <c r="BR20">
        <f t="shared" si="22"/>
        <v>14832</v>
      </c>
      <c r="BS20">
        <f t="shared" si="23"/>
        <v>22751</v>
      </c>
      <c r="BT20">
        <f t="shared" si="24"/>
        <v>30670</v>
      </c>
      <c r="BU20">
        <f t="shared" si="25"/>
        <v>38589</v>
      </c>
      <c r="BV20">
        <f t="shared" si="26"/>
        <v>46508</v>
      </c>
      <c r="BW20">
        <f t="shared" si="27"/>
        <v>22492</v>
      </c>
      <c r="BX20">
        <f t="shared" si="28"/>
        <v>28643</v>
      </c>
      <c r="BY20">
        <f t="shared" si="29"/>
        <v>34794</v>
      </c>
      <c r="BZ20">
        <f t="shared" si="30"/>
        <v>40945</v>
      </c>
      <c r="CA20">
        <f t="shared" si="31"/>
        <v>47096</v>
      </c>
      <c r="CB20">
        <f t="shared" si="32"/>
        <v>53247</v>
      </c>
      <c r="CC20">
        <f t="shared" si="33"/>
        <v>59398</v>
      </c>
      <c r="CD20">
        <f t="shared" si="34"/>
        <v>65549</v>
      </c>
      <c r="CE20">
        <f t="shared" si="35"/>
        <v>47360</v>
      </c>
      <c r="CF20">
        <f t="shared" si="36"/>
        <v>50931</v>
      </c>
      <c r="CG20">
        <f t="shared" si="37"/>
        <v>54502</v>
      </c>
      <c r="CH20">
        <f t="shared" si="38"/>
        <v>58073</v>
      </c>
      <c r="CI20">
        <f t="shared" si="39"/>
        <v>61644</v>
      </c>
      <c r="CJ20">
        <f t="shared" si="40"/>
        <v>65215</v>
      </c>
      <c r="CK20">
        <f t="shared" si="41"/>
        <v>68786</v>
      </c>
      <c r="CL20">
        <f t="shared" si="42"/>
        <v>72357</v>
      </c>
      <c r="CM20">
        <f t="shared" si="43"/>
        <v>75928</v>
      </c>
      <c r="CN20">
        <f t="shared" si="44"/>
        <v>79499</v>
      </c>
      <c r="CO20">
        <f t="shared" si="45"/>
        <v>83070</v>
      </c>
      <c r="CP20">
        <f t="shared" si="46"/>
        <v>86641</v>
      </c>
      <c r="CQ20">
        <f t="shared" si="47"/>
        <v>90212</v>
      </c>
      <c r="CR20">
        <f t="shared" si="48"/>
        <v>93783</v>
      </c>
      <c r="CS20">
        <f t="shared" si="49"/>
        <v>97354</v>
      </c>
      <c r="CT20">
        <f t="shared" si="50"/>
        <v>922</v>
      </c>
      <c r="CU20">
        <f t="shared" si="51"/>
        <v>65027</v>
      </c>
      <c r="CV20">
        <f t="shared" si="52"/>
        <v>69468</v>
      </c>
      <c r="CW20">
        <f t="shared" si="53"/>
        <v>73909</v>
      </c>
      <c r="CX20">
        <f t="shared" si="54"/>
        <v>78350</v>
      </c>
      <c r="CY20">
        <f t="shared" si="55"/>
        <v>82791</v>
      </c>
      <c r="CZ20">
        <f t="shared" si="56"/>
        <v>87232</v>
      </c>
      <c r="DA20">
        <f t="shared" si="57"/>
        <v>91673</v>
      </c>
      <c r="DB20">
        <f t="shared" si="58"/>
        <v>96114</v>
      </c>
      <c r="DC20">
        <f t="shared" si="59"/>
        <v>552</v>
      </c>
      <c r="DD20">
        <f t="shared" si="60"/>
        <v>4993</v>
      </c>
      <c r="DE20">
        <f t="shared" si="61"/>
        <v>9434</v>
      </c>
      <c r="DF20">
        <f t="shared" si="62"/>
        <v>13875</v>
      </c>
      <c r="DG20">
        <f t="shared" si="63"/>
        <v>18316</v>
      </c>
      <c r="DH20">
        <f t="shared" si="64"/>
        <v>22757</v>
      </c>
      <c r="DI20">
        <f t="shared" si="65"/>
        <v>27198</v>
      </c>
      <c r="DJ20">
        <f t="shared" si="66"/>
        <v>31639</v>
      </c>
      <c r="DK20">
        <f t="shared" si="67"/>
        <v>31604</v>
      </c>
      <c r="DL20">
        <f t="shared" si="68"/>
        <v>33693</v>
      </c>
      <c r="DM20">
        <f t="shared" si="69"/>
        <v>35782</v>
      </c>
      <c r="DN20" t="str">
        <f t="shared" si="70"/>
        <v>Пространственные и природно-географические ресурсы</v>
      </c>
      <c r="DO20" t="str">
        <f t="shared" si="71"/>
        <v>Мощности производства полупроводников</v>
      </c>
      <c r="DP20" t="str">
        <f t="shared" si="72"/>
        <v>Вычислительные компоненты</v>
      </c>
      <c r="DQ20" t="str">
        <f t="shared" si="73"/>
        <v>Производство</v>
      </c>
      <c r="DR20" t="str">
        <f t="shared" si="74"/>
        <v>Управление</v>
      </c>
      <c r="DS20" t="str">
        <f t="shared" si="75"/>
        <v>Познание</v>
      </c>
      <c r="DT20" t="str">
        <f t="shared" si="76"/>
        <v>Индонезия</v>
      </c>
      <c r="DU20" t="str">
        <f t="shared" si="77"/>
        <v>Россия</v>
      </c>
      <c r="DV20" t="str">
        <f t="shared" si="78"/>
        <v>США</v>
      </c>
      <c r="DW20" t="str">
        <f t="shared" si="79"/>
        <v>Ресурсный</v>
      </c>
      <c r="DX20" t="str">
        <f t="shared" si="80"/>
        <v>Общественный</v>
      </c>
      <c r="DY20" t="str">
        <f t="shared" si="81"/>
        <v>Дипломатический</v>
      </c>
      <c r="DZ20" t="str">
        <f t="shared" si="82"/>
        <v>Кибербезопасностные ресурсы</v>
      </c>
      <c r="EA20" t="str">
        <f t="shared" si="83"/>
        <v>Производство</v>
      </c>
      <c r="EB20" t="str">
        <f t="shared" si="84"/>
        <v>Южная Корея</v>
      </c>
      <c r="EC20">
        <f t="shared" si="85"/>
        <v>0</v>
      </c>
      <c r="ED20">
        <f t="shared" si="86"/>
        <v>0</v>
      </c>
      <c r="EE20">
        <f t="shared" si="87"/>
        <v>0</v>
      </c>
      <c r="EF20">
        <f t="shared" si="88"/>
        <v>0</v>
      </c>
      <c r="EG20" t="str">
        <f t="shared" si="89"/>
        <v/>
      </c>
      <c r="EH20" t="str">
        <f t="shared" si="90"/>
        <v/>
      </c>
      <c r="EI20" t="str">
        <f t="shared" si="91"/>
        <v/>
      </c>
      <c r="EJ20" t="str">
        <f t="shared" si="92"/>
        <v/>
      </c>
      <c r="EK20" t="str">
        <f t="shared" si="93"/>
        <v/>
      </c>
      <c r="EL20" t="str">
        <f t="shared" si="94"/>
        <v/>
      </c>
      <c r="EM20" t="e">
        <f t="shared" si="95"/>
        <v>#VALUE!</v>
      </c>
      <c r="EN20" t="e">
        <f t="shared" si="96"/>
        <v>#VALUE!</v>
      </c>
      <c r="EO20" t="str">
        <f t="shared" si="97"/>
        <v/>
      </c>
      <c r="EP20" t="str">
        <f t="shared" si="98"/>
        <v/>
      </c>
      <c r="EQ20" t="str">
        <f t="shared" si="99"/>
        <v/>
      </c>
      <c r="ER20" t="str">
        <f t="shared" si="100"/>
        <v/>
      </c>
      <c r="ES20" t="str">
        <f t="shared" si="101"/>
        <v/>
      </c>
    </row>
    <row r="21" spans="1:149" ht="52.8" customHeight="1">
      <c r="A21" s="40"/>
      <c r="B21" s="41"/>
      <c r="C21" s="41"/>
      <c r="D21" s="41"/>
      <c r="E21" s="41"/>
      <c r="F21" s="41"/>
      <c r="G21" s="42"/>
      <c r="H21" s="42"/>
      <c r="I21" s="42"/>
      <c r="J21" s="41"/>
      <c r="K21" s="41"/>
      <c r="L21" s="41"/>
      <c r="M21" s="42"/>
      <c r="N21" s="42"/>
      <c r="O21" s="42"/>
      <c r="P21" s="43" t="str">
        <f t="shared" si="0"/>
        <v/>
      </c>
      <c r="Q21" s="43" t="str">
        <f t="shared" si="1"/>
        <v/>
      </c>
      <c r="R21" s="44" t="e">
        <f t="shared" si="2"/>
        <v>#VALUE!</v>
      </c>
      <c r="S21" s="44" t="e">
        <f t="shared" si="3"/>
        <v>#VALUE!</v>
      </c>
      <c r="T21" s="44" t="e">
        <f t="shared" si="4"/>
        <v>#VALUE!</v>
      </c>
      <c r="U21" s="45" t="e">
        <f t="shared" si="5"/>
        <v>#VALUE!</v>
      </c>
      <c r="V21" s="45" t="e">
        <f t="shared" si="6"/>
        <v>#VALUE!</v>
      </c>
      <c r="W21" s="45" t="e">
        <f t="shared" si="7"/>
        <v>#VALUE!</v>
      </c>
      <c r="X21" s="46"/>
      <c r="Y21" s="47" t="str">
        <f t="shared" si="8"/>
        <v/>
      </c>
      <c r="Z21" s="47" t="str">
        <f t="shared" si="9"/>
        <v/>
      </c>
      <c r="AA21" s="47" t="str">
        <f t="shared" si="10"/>
        <v/>
      </c>
      <c r="AB21" s="47" t="str">
        <f t="shared" si="11"/>
        <v>Нет локального эффекта</v>
      </c>
      <c r="AC21" s="47" t="str">
        <f t="shared" si="12"/>
        <v/>
      </c>
      <c r="AD21" s="47" t="str">
        <f t="shared" si="13"/>
        <v>Нет локального эффекта</v>
      </c>
      <c r="AE21" s="47" t="str">
        <f t="shared" si="14"/>
        <v/>
      </c>
      <c r="AF21" s="47" t="str">
        <f t="shared" si="15"/>
        <v>Нет локального эффекта</v>
      </c>
      <c r="AG21" s="47" t="str">
        <f t="shared" si="16"/>
        <v/>
      </c>
      <c r="AH21" s="48" t="str">
        <f>IF($B21="","","Общий итог: "&amp;IF($Y21="","ожидает D76",$Y21&amp;IF($Z21="—",""," — "&amp;$Z21))&amp;". Арес: "&amp;$AA21&amp;". "&amp;$AB21&amp;" Афина: "&amp;$AC21&amp;". "&amp;$AD21&amp;" Аполлон: "&amp;$AE21&amp;". "&amp;$AF21&amp;IF($AG21="",""," Общий эффект: "&amp;$AG21))</f>
        <v/>
      </c>
      <c r="BA21" t="s">
        <v>305</v>
      </c>
      <c r="BF21">
        <v>928633115</v>
      </c>
      <c r="BG21">
        <v>243974996</v>
      </c>
      <c r="BH21">
        <v>693729056</v>
      </c>
      <c r="BI21">
        <v>185956472</v>
      </c>
      <c r="BJ21">
        <v>835745412</v>
      </c>
      <c r="BK21">
        <v>940154125</v>
      </c>
      <c r="BL21">
        <v>578944563</v>
      </c>
      <c r="BM21">
        <f t="shared" si="17"/>
        <v>13176</v>
      </c>
      <c r="BN21">
        <f t="shared" si="18"/>
        <v>21095</v>
      </c>
      <c r="BO21">
        <f t="shared" si="19"/>
        <v>29014</v>
      </c>
      <c r="BP21">
        <f t="shared" si="20"/>
        <v>36933</v>
      </c>
      <c r="BQ21">
        <f t="shared" si="21"/>
        <v>44852</v>
      </c>
      <c r="BR21">
        <f t="shared" si="22"/>
        <v>52771</v>
      </c>
      <c r="BS21">
        <f t="shared" si="23"/>
        <v>60690</v>
      </c>
      <c r="BT21">
        <f t="shared" si="24"/>
        <v>68609</v>
      </c>
      <c r="BU21">
        <f t="shared" si="25"/>
        <v>76528</v>
      </c>
      <c r="BV21">
        <f t="shared" si="26"/>
        <v>84447</v>
      </c>
      <c r="BW21">
        <f t="shared" si="27"/>
        <v>73830</v>
      </c>
      <c r="BX21">
        <f t="shared" si="28"/>
        <v>79981</v>
      </c>
      <c r="BY21">
        <f t="shared" si="29"/>
        <v>86132</v>
      </c>
      <c r="BZ21">
        <f t="shared" si="30"/>
        <v>92283</v>
      </c>
      <c r="CA21">
        <f t="shared" si="31"/>
        <v>98434</v>
      </c>
      <c r="CB21">
        <f t="shared" si="32"/>
        <v>4582</v>
      </c>
      <c r="CC21">
        <f t="shared" si="33"/>
        <v>10733</v>
      </c>
      <c r="CD21">
        <f t="shared" si="34"/>
        <v>16884</v>
      </c>
      <c r="CE21">
        <f t="shared" si="35"/>
        <v>11816</v>
      </c>
      <c r="CF21">
        <f t="shared" si="36"/>
        <v>15387</v>
      </c>
      <c r="CG21">
        <f t="shared" si="37"/>
        <v>18958</v>
      </c>
      <c r="CH21">
        <f t="shared" si="38"/>
        <v>22529</v>
      </c>
      <c r="CI21">
        <f t="shared" si="39"/>
        <v>26100</v>
      </c>
      <c r="CJ21">
        <f t="shared" si="40"/>
        <v>29671</v>
      </c>
      <c r="CK21">
        <f t="shared" si="41"/>
        <v>33242</v>
      </c>
      <c r="CL21">
        <f t="shared" si="42"/>
        <v>36813</v>
      </c>
      <c r="CM21">
        <f t="shared" si="43"/>
        <v>40384</v>
      </c>
      <c r="CN21">
        <f t="shared" si="44"/>
        <v>43955</v>
      </c>
      <c r="CO21">
        <f t="shared" si="45"/>
        <v>47526</v>
      </c>
      <c r="CP21">
        <f t="shared" si="46"/>
        <v>51097</v>
      </c>
      <c r="CQ21">
        <f t="shared" si="47"/>
        <v>54668</v>
      </c>
      <c r="CR21">
        <f t="shared" si="48"/>
        <v>58239</v>
      </c>
      <c r="CS21">
        <f t="shared" si="49"/>
        <v>61810</v>
      </c>
      <c r="CT21">
        <f t="shared" si="50"/>
        <v>65381</v>
      </c>
      <c r="CU21">
        <f t="shared" si="51"/>
        <v>30363</v>
      </c>
      <c r="CV21">
        <f t="shared" si="52"/>
        <v>34804</v>
      </c>
      <c r="CW21">
        <f t="shared" si="53"/>
        <v>39245</v>
      </c>
      <c r="CX21">
        <f t="shared" si="54"/>
        <v>43686</v>
      </c>
      <c r="CY21">
        <f t="shared" si="55"/>
        <v>48127</v>
      </c>
      <c r="CZ21">
        <f t="shared" si="56"/>
        <v>52568</v>
      </c>
      <c r="DA21">
        <f t="shared" si="57"/>
        <v>57009</v>
      </c>
      <c r="DB21">
        <f t="shared" si="58"/>
        <v>61450</v>
      </c>
      <c r="DC21">
        <f t="shared" si="59"/>
        <v>65891</v>
      </c>
      <c r="DD21">
        <f t="shared" si="60"/>
        <v>70332</v>
      </c>
      <c r="DE21">
        <f t="shared" si="61"/>
        <v>74773</v>
      </c>
      <c r="DF21">
        <f t="shared" si="62"/>
        <v>79214</v>
      </c>
      <c r="DG21">
        <f t="shared" si="63"/>
        <v>83655</v>
      </c>
      <c r="DH21">
        <f t="shared" si="64"/>
        <v>88096</v>
      </c>
      <c r="DI21">
        <f t="shared" si="65"/>
        <v>92537</v>
      </c>
      <c r="DJ21">
        <f t="shared" si="66"/>
        <v>96978</v>
      </c>
      <c r="DK21">
        <f t="shared" si="67"/>
        <v>29285</v>
      </c>
      <c r="DL21">
        <f t="shared" si="68"/>
        <v>31374</v>
      </c>
      <c r="DM21">
        <f t="shared" si="69"/>
        <v>33463</v>
      </c>
      <c r="DN21" t="str">
        <f t="shared" si="70"/>
        <v>Минерально-сырьевые ресурсы</v>
      </c>
      <c r="DO21" t="str">
        <f t="shared" si="71"/>
        <v>Химические и технологические материалы</v>
      </c>
      <c r="DP21" t="str">
        <f t="shared" si="72"/>
        <v>Энергетические ресурсы</v>
      </c>
      <c r="DQ21" t="str">
        <f t="shared" si="73"/>
        <v>Экономика</v>
      </c>
      <c r="DR21" t="str">
        <f t="shared" si="74"/>
        <v>Государственное управление</v>
      </c>
      <c r="DS21" t="str">
        <f t="shared" si="75"/>
        <v>Принятие ИИ</v>
      </c>
      <c r="DT21" t="str">
        <f t="shared" si="76"/>
        <v>Россия</v>
      </c>
      <c r="DU21" t="str">
        <f t="shared" si="77"/>
        <v>США</v>
      </c>
      <c r="DV21" t="str">
        <f t="shared" si="78"/>
        <v>Китай</v>
      </c>
      <c r="DW21" t="str">
        <f t="shared" si="79"/>
        <v>Ресурсный</v>
      </c>
      <c r="DX21" t="str">
        <f t="shared" si="80"/>
        <v>Общественный</v>
      </c>
      <c r="DY21" t="str">
        <f t="shared" si="81"/>
        <v>Дипломатический</v>
      </c>
      <c r="DZ21" t="str">
        <f t="shared" si="82"/>
        <v>Мощности производства полупроводников</v>
      </c>
      <c r="EA21" t="str">
        <f t="shared" si="83"/>
        <v>Война</v>
      </c>
      <c r="EB21" t="str">
        <f t="shared" si="84"/>
        <v>Россия</v>
      </c>
      <c r="EC21">
        <f t="shared" si="85"/>
        <v>0</v>
      </c>
      <c r="ED21">
        <f t="shared" si="86"/>
        <v>0</v>
      </c>
      <c r="EE21">
        <f t="shared" si="87"/>
        <v>0</v>
      </c>
      <c r="EF21">
        <f t="shared" si="88"/>
        <v>0</v>
      </c>
      <c r="EG21" t="str">
        <f t="shared" si="89"/>
        <v/>
      </c>
      <c r="EH21" t="str">
        <f t="shared" si="90"/>
        <v/>
      </c>
      <c r="EI21" t="str">
        <f t="shared" si="91"/>
        <v/>
      </c>
      <c r="EJ21" t="str">
        <f t="shared" si="92"/>
        <v/>
      </c>
      <c r="EK21" t="str">
        <f t="shared" si="93"/>
        <v/>
      </c>
      <c r="EL21" t="str">
        <f t="shared" si="94"/>
        <v/>
      </c>
      <c r="EM21" t="e">
        <f t="shared" si="95"/>
        <v>#VALUE!</v>
      </c>
      <c r="EN21" t="e">
        <f t="shared" si="96"/>
        <v>#VALUE!</v>
      </c>
      <c r="EO21" t="str">
        <f t="shared" si="97"/>
        <v/>
      </c>
      <c r="EP21" t="str">
        <f t="shared" si="98"/>
        <v/>
      </c>
      <c r="EQ21" t="str">
        <f t="shared" si="99"/>
        <v/>
      </c>
      <c r="ER21" t="str">
        <f t="shared" si="100"/>
        <v/>
      </c>
      <c r="ES21" t="str">
        <f t="shared" si="101"/>
        <v/>
      </c>
    </row>
    <row r="22" spans="1:149" ht="52.8" customHeight="1">
      <c r="A22" s="40"/>
      <c r="B22" s="41"/>
      <c r="C22" s="41"/>
      <c r="D22" s="41"/>
      <c r="E22" s="41"/>
      <c r="F22" s="41"/>
      <c r="G22" s="42"/>
      <c r="H22" s="42"/>
      <c r="I22" s="42"/>
      <c r="J22" s="41"/>
      <c r="K22" s="41"/>
      <c r="L22" s="41"/>
      <c r="M22" s="42"/>
      <c r="N22" s="42"/>
      <c r="O22" s="42"/>
      <c r="P22" s="43" t="str">
        <f t="shared" si="0"/>
        <v/>
      </c>
      <c r="Q22" s="43" t="str">
        <f t="shared" si="1"/>
        <v/>
      </c>
      <c r="R22" s="44" t="e">
        <f t="shared" si="2"/>
        <v>#VALUE!</v>
      </c>
      <c r="S22" s="44" t="e">
        <f t="shared" si="3"/>
        <v>#VALUE!</v>
      </c>
      <c r="T22" s="44" t="e">
        <f t="shared" si="4"/>
        <v>#VALUE!</v>
      </c>
      <c r="U22" s="45" t="e">
        <f t="shared" si="5"/>
        <v>#VALUE!</v>
      </c>
      <c r="V22" s="45" t="e">
        <f t="shared" si="6"/>
        <v>#VALUE!</v>
      </c>
      <c r="W22" s="45" t="e">
        <f t="shared" si="7"/>
        <v>#VALUE!</v>
      </c>
      <c r="X22" s="46"/>
      <c r="Y22" s="47" t="str">
        <f t="shared" si="8"/>
        <v/>
      </c>
      <c r="Z22" s="47" t="str">
        <f t="shared" si="9"/>
        <v/>
      </c>
      <c r="AA22" s="47" t="str">
        <f t="shared" si="10"/>
        <v/>
      </c>
      <c r="AB22" s="47" t="str">
        <f t="shared" si="11"/>
        <v>Нет локального эффекта</v>
      </c>
      <c r="AC22" s="47" t="str">
        <f t="shared" si="12"/>
        <v/>
      </c>
      <c r="AD22" s="47" t="str">
        <f t="shared" si="13"/>
        <v>Нет локального эффекта</v>
      </c>
      <c r="AE22" s="47" t="str">
        <f t="shared" si="14"/>
        <v/>
      </c>
      <c r="AF22" s="47" t="str">
        <f t="shared" si="15"/>
        <v>Нет локального эффекта</v>
      </c>
      <c r="AG22" s="47" t="str">
        <f t="shared" si="16"/>
        <v/>
      </c>
      <c r="AH22" s="48" t="str">
        <f>IF($B22="","","Общий итог: "&amp;IF($Y22="","ожидает D77",$Y22&amp;IF($Z22="—",""," — "&amp;$Z22))&amp;". Арес: "&amp;$AA22&amp;". "&amp;$AB22&amp;" Афина: "&amp;$AC22&amp;". "&amp;$AD22&amp;" Аполлон: "&amp;$AE22&amp;". "&amp;$AF22&amp;IF($AG22="",""," Общий эффект: "&amp;$AG22))</f>
        <v/>
      </c>
      <c r="BA22" t="s">
        <v>306</v>
      </c>
      <c r="BF22">
        <v>91962731</v>
      </c>
      <c r="BG22">
        <v>753215650</v>
      </c>
      <c r="BH22">
        <v>557173208</v>
      </c>
      <c r="BI22">
        <v>918849983</v>
      </c>
      <c r="BJ22">
        <v>896698768</v>
      </c>
      <c r="BK22">
        <v>637198190</v>
      </c>
      <c r="BL22">
        <v>85905800</v>
      </c>
      <c r="BM22">
        <f t="shared" si="17"/>
        <v>67893</v>
      </c>
      <c r="BN22">
        <f t="shared" si="18"/>
        <v>75812</v>
      </c>
      <c r="BO22">
        <f t="shared" si="19"/>
        <v>83731</v>
      </c>
      <c r="BP22">
        <f t="shared" si="20"/>
        <v>91650</v>
      </c>
      <c r="BQ22">
        <f t="shared" si="21"/>
        <v>99569</v>
      </c>
      <c r="BR22">
        <f t="shared" si="22"/>
        <v>7485</v>
      </c>
      <c r="BS22">
        <f t="shared" si="23"/>
        <v>15404</v>
      </c>
      <c r="BT22">
        <f t="shared" si="24"/>
        <v>23323</v>
      </c>
      <c r="BU22">
        <f t="shared" si="25"/>
        <v>31242</v>
      </c>
      <c r="BV22">
        <f t="shared" si="26"/>
        <v>39161</v>
      </c>
      <c r="BW22">
        <f t="shared" si="27"/>
        <v>99208</v>
      </c>
      <c r="BX22">
        <f t="shared" si="28"/>
        <v>5356</v>
      </c>
      <c r="BY22">
        <f t="shared" si="29"/>
        <v>11507</v>
      </c>
      <c r="BZ22">
        <f t="shared" si="30"/>
        <v>17658</v>
      </c>
      <c r="CA22">
        <f t="shared" si="31"/>
        <v>23809</v>
      </c>
      <c r="CB22">
        <f t="shared" si="32"/>
        <v>29960</v>
      </c>
      <c r="CC22">
        <f t="shared" si="33"/>
        <v>36111</v>
      </c>
      <c r="CD22">
        <f t="shared" si="34"/>
        <v>42262</v>
      </c>
      <c r="CE22">
        <f t="shared" si="35"/>
        <v>60066</v>
      </c>
      <c r="CF22">
        <f t="shared" si="36"/>
        <v>63637</v>
      </c>
      <c r="CG22">
        <f t="shared" si="37"/>
        <v>67208</v>
      </c>
      <c r="CH22">
        <f t="shared" si="38"/>
        <v>70779</v>
      </c>
      <c r="CI22">
        <f t="shared" si="39"/>
        <v>74350</v>
      </c>
      <c r="CJ22">
        <f t="shared" si="40"/>
        <v>77921</v>
      </c>
      <c r="CK22">
        <f t="shared" si="41"/>
        <v>81492</v>
      </c>
      <c r="CL22">
        <f t="shared" si="42"/>
        <v>85063</v>
      </c>
      <c r="CM22">
        <f t="shared" si="43"/>
        <v>88634</v>
      </c>
      <c r="CN22">
        <f t="shared" si="44"/>
        <v>92205</v>
      </c>
      <c r="CO22">
        <f t="shared" si="45"/>
        <v>95776</v>
      </c>
      <c r="CP22">
        <f t="shared" si="46"/>
        <v>99347</v>
      </c>
      <c r="CQ22">
        <f t="shared" si="47"/>
        <v>2915</v>
      </c>
      <c r="CR22">
        <f t="shared" si="48"/>
        <v>6486</v>
      </c>
      <c r="CS22">
        <f t="shared" si="49"/>
        <v>10057</v>
      </c>
      <c r="CT22">
        <f t="shared" si="50"/>
        <v>13628</v>
      </c>
      <c r="CU22">
        <f t="shared" si="51"/>
        <v>83518</v>
      </c>
      <c r="CV22">
        <f t="shared" si="52"/>
        <v>87959</v>
      </c>
      <c r="CW22">
        <f t="shared" si="53"/>
        <v>92400</v>
      </c>
      <c r="CX22">
        <f t="shared" si="54"/>
        <v>96841</v>
      </c>
      <c r="CY22">
        <f t="shared" si="55"/>
        <v>1279</v>
      </c>
      <c r="CZ22">
        <f t="shared" si="56"/>
        <v>5720</v>
      </c>
      <c r="DA22">
        <f t="shared" si="57"/>
        <v>10161</v>
      </c>
      <c r="DB22">
        <f t="shared" si="58"/>
        <v>14602</v>
      </c>
      <c r="DC22">
        <f t="shared" si="59"/>
        <v>19043</v>
      </c>
      <c r="DD22">
        <f t="shared" si="60"/>
        <v>23484</v>
      </c>
      <c r="DE22">
        <f t="shared" si="61"/>
        <v>27925</v>
      </c>
      <c r="DF22">
        <f t="shared" si="62"/>
        <v>32366</v>
      </c>
      <c r="DG22">
        <f t="shared" si="63"/>
        <v>36807</v>
      </c>
      <c r="DH22">
        <f t="shared" si="64"/>
        <v>41248</v>
      </c>
      <c r="DI22">
        <f t="shared" si="65"/>
        <v>45689</v>
      </c>
      <c r="DJ22">
        <f t="shared" si="66"/>
        <v>50130</v>
      </c>
      <c r="DK22">
        <f t="shared" si="67"/>
        <v>5312</v>
      </c>
      <c r="DL22">
        <f t="shared" si="68"/>
        <v>7401</v>
      </c>
      <c r="DM22">
        <f t="shared" si="69"/>
        <v>9490</v>
      </c>
      <c r="DN22" t="str">
        <f t="shared" si="70"/>
        <v>Мощности производства полупроводников</v>
      </c>
      <c r="DO22" t="str">
        <f t="shared" si="71"/>
        <v>Вычислительные компоненты</v>
      </c>
      <c r="DP22" t="str">
        <f t="shared" si="72"/>
        <v>ЦОД и вычислительная инфраструктура</v>
      </c>
      <c r="DQ22" t="str">
        <f t="shared" si="73"/>
        <v>Управление</v>
      </c>
      <c r="DR22" t="str">
        <f t="shared" si="74"/>
        <v>Познание</v>
      </c>
      <c r="DS22" t="str">
        <f t="shared" si="75"/>
        <v>Обучение</v>
      </c>
      <c r="DT22" t="str">
        <f t="shared" si="76"/>
        <v>Израиль</v>
      </c>
      <c r="DU22" t="str">
        <f t="shared" si="77"/>
        <v>Бразилия</v>
      </c>
      <c r="DV22" t="str">
        <f t="shared" si="78"/>
        <v>ОАЭ</v>
      </c>
      <c r="DW22" t="str">
        <f t="shared" si="79"/>
        <v>Ресурсный</v>
      </c>
      <c r="DX22" t="str">
        <f t="shared" si="80"/>
        <v>Общественный</v>
      </c>
      <c r="DY22" t="str">
        <f t="shared" si="81"/>
        <v>Дипломатический</v>
      </c>
      <c r="DZ22" t="str">
        <f t="shared" si="82"/>
        <v>Стек разработки ИИ</v>
      </c>
      <c r="EA22" t="str">
        <f t="shared" si="83"/>
        <v>Производство</v>
      </c>
      <c r="EB22" t="str">
        <f t="shared" si="84"/>
        <v>Великобритания</v>
      </c>
      <c r="EC22">
        <f t="shared" si="85"/>
        <v>0</v>
      </c>
      <c r="ED22">
        <f t="shared" si="86"/>
        <v>0</v>
      </c>
      <c r="EE22">
        <f t="shared" si="87"/>
        <v>0</v>
      </c>
      <c r="EF22">
        <f t="shared" si="88"/>
        <v>0</v>
      </c>
      <c r="EG22" t="str">
        <f t="shared" si="89"/>
        <v/>
      </c>
      <c r="EH22" t="str">
        <f t="shared" si="90"/>
        <v/>
      </c>
      <c r="EI22" t="str">
        <f t="shared" si="91"/>
        <v/>
      </c>
      <c r="EJ22" t="str">
        <f t="shared" si="92"/>
        <v/>
      </c>
      <c r="EK22" t="str">
        <f t="shared" si="93"/>
        <v/>
      </c>
      <c r="EL22" t="str">
        <f t="shared" si="94"/>
        <v/>
      </c>
      <c r="EM22" t="e">
        <f t="shared" si="95"/>
        <v>#VALUE!</v>
      </c>
      <c r="EN22" t="e">
        <f t="shared" si="96"/>
        <v>#VALUE!</v>
      </c>
      <c r="EO22" t="str">
        <f t="shared" si="97"/>
        <v/>
      </c>
      <c r="EP22" t="str">
        <f t="shared" si="98"/>
        <v/>
      </c>
      <c r="EQ22" t="str">
        <f t="shared" si="99"/>
        <v/>
      </c>
      <c r="ER22" t="str">
        <f t="shared" si="100"/>
        <v/>
      </c>
      <c r="ES22" t="str">
        <f t="shared" si="101"/>
        <v/>
      </c>
    </row>
    <row r="23" spans="1:149" ht="52.8" customHeight="1">
      <c r="A23" s="40"/>
      <c r="B23" s="41"/>
      <c r="C23" s="41"/>
      <c r="D23" s="41"/>
      <c r="E23" s="41"/>
      <c r="F23" s="41"/>
      <c r="G23" s="42"/>
      <c r="H23" s="42"/>
      <c r="I23" s="42"/>
      <c r="J23" s="41"/>
      <c r="K23" s="41"/>
      <c r="L23" s="41"/>
      <c r="M23" s="42"/>
      <c r="N23" s="42"/>
      <c r="O23" s="42"/>
      <c r="P23" s="43" t="str">
        <f t="shared" si="0"/>
        <v/>
      </c>
      <c r="Q23" s="43" t="str">
        <f t="shared" si="1"/>
        <v/>
      </c>
      <c r="R23" s="44" t="e">
        <f t="shared" si="2"/>
        <v>#VALUE!</v>
      </c>
      <c r="S23" s="44" t="e">
        <f t="shared" si="3"/>
        <v>#VALUE!</v>
      </c>
      <c r="T23" s="44" t="e">
        <f t="shared" si="4"/>
        <v>#VALUE!</v>
      </c>
      <c r="U23" s="45" t="e">
        <f t="shared" si="5"/>
        <v>#VALUE!</v>
      </c>
      <c r="V23" s="45" t="e">
        <f t="shared" si="6"/>
        <v>#VALUE!</v>
      </c>
      <c r="W23" s="45" t="e">
        <f t="shared" si="7"/>
        <v>#VALUE!</v>
      </c>
      <c r="X23" s="46"/>
      <c r="Y23" s="47" t="str">
        <f t="shared" si="8"/>
        <v/>
      </c>
      <c r="Z23" s="47" t="str">
        <f t="shared" si="9"/>
        <v/>
      </c>
      <c r="AA23" s="47" t="str">
        <f t="shared" si="10"/>
        <v/>
      </c>
      <c r="AB23" s="47" t="str">
        <f t="shared" si="11"/>
        <v>Нет локального эффекта</v>
      </c>
      <c r="AC23" s="47" t="str">
        <f t="shared" si="12"/>
        <v/>
      </c>
      <c r="AD23" s="47" t="str">
        <f t="shared" si="13"/>
        <v>Нет локального эффекта</v>
      </c>
      <c r="AE23" s="47" t="str">
        <f t="shared" si="14"/>
        <v/>
      </c>
      <c r="AF23" s="47" t="str">
        <f t="shared" si="15"/>
        <v>Нет локального эффекта</v>
      </c>
      <c r="AG23" s="47" t="str">
        <f t="shared" si="16"/>
        <v/>
      </c>
      <c r="AH23" s="48" t="str">
        <f>IF($B23="","","Общий итог: "&amp;IF($Y23="","ожидает D78",$Y23&amp;IF($Z23="—",""," — "&amp;$Z23))&amp;". Арес: "&amp;$AA23&amp;". "&amp;$AB23&amp;" Афина: "&amp;$AC23&amp;". "&amp;$AD23&amp;" Аполлон: "&amp;$AE23&amp;". "&amp;$AF23&amp;IF($AG23="",""," Общий эффект: "&amp;$AG23))</f>
        <v/>
      </c>
      <c r="BA23" t="s">
        <v>307</v>
      </c>
      <c r="BF23">
        <v>865841937</v>
      </c>
      <c r="BG23">
        <v>289478864</v>
      </c>
      <c r="BH23">
        <v>183994972</v>
      </c>
      <c r="BI23">
        <v>283664862</v>
      </c>
      <c r="BJ23">
        <v>956810430</v>
      </c>
      <c r="BK23">
        <v>181752246</v>
      </c>
      <c r="BL23">
        <v>66882281</v>
      </c>
      <c r="BM23">
        <f t="shared" si="17"/>
        <v>23882</v>
      </c>
      <c r="BN23">
        <f t="shared" si="18"/>
        <v>31801</v>
      </c>
      <c r="BO23">
        <f t="shared" si="19"/>
        <v>39720</v>
      </c>
      <c r="BP23">
        <f t="shared" si="20"/>
        <v>47639</v>
      </c>
      <c r="BQ23">
        <f t="shared" si="21"/>
        <v>55558</v>
      </c>
      <c r="BR23">
        <f t="shared" si="22"/>
        <v>63477</v>
      </c>
      <c r="BS23">
        <f t="shared" si="23"/>
        <v>71396</v>
      </c>
      <c r="BT23">
        <f t="shared" si="24"/>
        <v>79315</v>
      </c>
      <c r="BU23">
        <f t="shared" si="25"/>
        <v>87234</v>
      </c>
      <c r="BV23">
        <f t="shared" si="26"/>
        <v>95153</v>
      </c>
      <c r="BW23">
        <f t="shared" si="27"/>
        <v>76333</v>
      </c>
      <c r="BX23">
        <f t="shared" si="28"/>
        <v>82484</v>
      </c>
      <c r="BY23">
        <f t="shared" si="29"/>
        <v>88635</v>
      </c>
      <c r="BZ23">
        <f t="shared" si="30"/>
        <v>94786</v>
      </c>
      <c r="CA23">
        <f t="shared" si="31"/>
        <v>934</v>
      </c>
      <c r="CB23">
        <f t="shared" si="32"/>
        <v>7085</v>
      </c>
      <c r="CC23">
        <f t="shared" si="33"/>
        <v>13236</v>
      </c>
      <c r="CD23">
        <f t="shared" si="34"/>
        <v>19387</v>
      </c>
      <c r="CE23">
        <f t="shared" si="35"/>
        <v>93026</v>
      </c>
      <c r="CF23">
        <f t="shared" si="36"/>
        <v>96597</v>
      </c>
      <c r="CG23">
        <f t="shared" si="37"/>
        <v>165</v>
      </c>
      <c r="CH23">
        <f t="shared" si="38"/>
        <v>3736</v>
      </c>
      <c r="CI23">
        <f t="shared" si="39"/>
        <v>7307</v>
      </c>
      <c r="CJ23">
        <f t="shared" si="40"/>
        <v>10878</v>
      </c>
      <c r="CK23">
        <f t="shared" si="41"/>
        <v>14449</v>
      </c>
      <c r="CL23">
        <f t="shared" si="42"/>
        <v>18020</v>
      </c>
      <c r="CM23">
        <f t="shared" si="43"/>
        <v>21591</v>
      </c>
      <c r="CN23">
        <f t="shared" si="44"/>
        <v>25162</v>
      </c>
      <c r="CO23">
        <f t="shared" si="45"/>
        <v>28733</v>
      </c>
      <c r="CP23">
        <f t="shared" si="46"/>
        <v>32304</v>
      </c>
      <c r="CQ23">
        <f t="shared" si="47"/>
        <v>35875</v>
      </c>
      <c r="CR23">
        <f t="shared" si="48"/>
        <v>39446</v>
      </c>
      <c r="CS23">
        <f t="shared" si="49"/>
        <v>43017</v>
      </c>
      <c r="CT23">
        <f t="shared" si="50"/>
        <v>46588</v>
      </c>
      <c r="CU23">
        <f t="shared" si="51"/>
        <v>51236</v>
      </c>
      <c r="CV23">
        <f t="shared" si="52"/>
        <v>55677</v>
      </c>
      <c r="CW23">
        <f t="shared" si="53"/>
        <v>60118</v>
      </c>
      <c r="CX23">
        <f t="shared" si="54"/>
        <v>64559</v>
      </c>
      <c r="CY23">
        <f t="shared" si="55"/>
        <v>69000</v>
      </c>
      <c r="CZ23">
        <f t="shared" si="56"/>
        <v>73441</v>
      </c>
      <c r="DA23">
        <f t="shared" si="57"/>
        <v>77882</v>
      </c>
      <c r="DB23">
        <f t="shared" si="58"/>
        <v>82323</v>
      </c>
      <c r="DC23">
        <f t="shared" si="59"/>
        <v>86764</v>
      </c>
      <c r="DD23">
        <f t="shared" si="60"/>
        <v>91205</v>
      </c>
      <c r="DE23">
        <f t="shared" si="61"/>
        <v>95646</v>
      </c>
      <c r="DF23">
        <f t="shared" si="62"/>
        <v>84</v>
      </c>
      <c r="DG23">
        <f t="shared" si="63"/>
        <v>4525</v>
      </c>
      <c r="DH23">
        <f t="shared" si="64"/>
        <v>8966</v>
      </c>
      <c r="DI23">
        <f t="shared" si="65"/>
        <v>13407</v>
      </c>
      <c r="DJ23">
        <f t="shared" si="66"/>
        <v>17848</v>
      </c>
      <c r="DK23">
        <f t="shared" si="67"/>
        <v>82366</v>
      </c>
      <c r="DL23">
        <f t="shared" si="68"/>
        <v>84455</v>
      </c>
      <c r="DM23">
        <f t="shared" si="69"/>
        <v>86544</v>
      </c>
      <c r="DN23" t="str">
        <f t="shared" si="70"/>
        <v>Минерально-сырьевые ресурсы</v>
      </c>
      <c r="DO23" t="str">
        <f t="shared" si="71"/>
        <v>Химические и технологические материалы</v>
      </c>
      <c r="DP23" t="str">
        <f t="shared" si="72"/>
        <v>Энергетические ресурсы</v>
      </c>
      <c r="DQ23" t="str">
        <f t="shared" si="73"/>
        <v>Война</v>
      </c>
      <c r="DR23" t="str">
        <f t="shared" si="74"/>
        <v>Экономика</v>
      </c>
      <c r="DS23" t="str">
        <f t="shared" si="75"/>
        <v>Государственное управление</v>
      </c>
      <c r="DT23" t="str">
        <f t="shared" si="76"/>
        <v>Китай</v>
      </c>
      <c r="DU23" t="str">
        <f t="shared" si="77"/>
        <v>Индия</v>
      </c>
      <c r="DV23" t="str">
        <f t="shared" si="78"/>
        <v>Великобритания</v>
      </c>
      <c r="DW23" t="str">
        <f t="shared" si="79"/>
        <v>Ресурсный</v>
      </c>
      <c r="DX23" t="str">
        <f t="shared" si="80"/>
        <v>Общественный</v>
      </c>
      <c r="DY23" t="str">
        <f t="shared" si="81"/>
        <v>Дипломатический</v>
      </c>
      <c r="DZ23" t="str">
        <f t="shared" si="82"/>
        <v>Стек разработки ИИ</v>
      </c>
      <c r="EA23" t="str">
        <f t="shared" si="83"/>
        <v>Государственное управление</v>
      </c>
      <c r="EB23" t="str">
        <f t="shared" si="84"/>
        <v>Иран</v>
      </c>
      <c r="EC23">
        <f t="shared" si="85"/>
        <v>0</v>
      </c>
      <c r="ED23">
        <f t="shared" si="86"/>
        <v>0</v>
      </c>
      <c r="EE23">
        <f t="shared" si="87"/>
        <v>0</v>
      </c>
      <c r="EF23">
        <f t="shared" si="88"/>
        <v>0</v>
      </c>
      <c r="EG23" t="str">
        <f t="shared" si="89"/>
        <v/>
      </c>
      <c r="EH23" t="str">
        <f t="shared" si="90"/>
        <v/>
      </c>
      <c r="EI23" t="str">
        <f t="shared" si="91"/>
        <v/>
      </c>
      <c r="EJ23" t="str">
        <f t="shared" si="92"/>
        <v/>
      </c>
      <c r="EK23" t="str">
        <f t="shared" si="93"/>
        <v/>
      </c>
      <c r="EL23" t="str">
        <f t="shared" si="94"/>
        <v/>
      </c>
      <c r="EM23" t="e">
        <f t="shared" si="95"/>
        <v>#VALUE!</v>
      </c>
      <c r="EN23" t="e">
        <f t="shared" si="96"/>
        <v>#VALUE!</v>
      </c>
      <c r="EO23" t="str">
        <f t="shared" si="97"/>
        <v/>
      </c>
      <c r="EP23" t="str">
        <f t="shared" si="98"/>
        <v/>
      </c>
      <c r="EQ23" t="str">
        <f t="shared" si="99"/>
        <v/>
      </c>
      <c r="ER23" t="str">
        <f t="shared" si="100"/>
        <v/>
      </c>
      <c r="ES23" t="str">
        <f t="shared" si="101"/>
        <v/>
      </c>
    </row>
    <row r="24" spans="1:149" ht="52.8" customHeight="1">
      <c r="A24" s="40"/>
      <c r="B24" s="41"/>
      <c r="C24" s="41"/>
      <c r="D24" s="41"/>
      <c r="E24" s="41"/>
      <c r="F24" s="41"/>
      <c r="G24" s="42"/>
      <c r="H24" s="42"/>
      <c r="I24" s="42"/>
      <c r="J24" s="41"/>
      <c r="K24" s="41"/>
      <c r="L24" s="41"/>
      <c r="M24" s="42"/>
      <c r="N24" s="42"/>
      <c r="O24" s="42"/>
      <c r="P24" s="43" t="str">
        <f t="shared" si="0"/>
        <v/>
      </c>
      <c r="Q24" s="43" t="str">
        <f t="shared" si="1"/>
        <v/>
      </c>
      <c r="R24" s="44" t="e">
        <f t="shared" si="2"/>
        <v>#VALUE!</v>
      </c>
      <c r="S24" s="44" t="e">
        <f t="shared" si="3"/>
        <v>#VALUE!</v>
      </c>
      <c r="T24" s="44" t="e">
        <f t="shared" si="4"/>
        <v>#VALUE!</v>
      </c>
      <c r="U24" s="45" t="e">
        <f t="shared" si="5"/>
        <v>#VALUE!</v>
      </c>
      <c r="V24" s="45" t="e">
        <f t="shared" si="6"/>
        <v>#VALUE!</v>
      </c>
      <c r="W24" s="45" t="e">
        <f t="shared" si="7"/>
        <v>#VALUE!</v>
      </c>
      <c r="X24" s="46"/>
      <c r="Y24" s="47" t="str">
        <f t="shared" si="8"/>
        <v/>
      </c>
      <c r="Z24" s="47" t="str">
        <f t="shared" si="9"/>
        <v/>
      </c>
      <c r="AA24" s="47" t="str">
        <f t="shared" si="10"/>
        <v/>
      </c>
      <c r="AB24" s="47" t="str">
        <f t="shared" si="11"/>
        <v>Нет локального эффекта</v>
      </c>
      <c r="AC24" s="47" t="str">
        <f t="shared" si="12"/>
        <v/>
      </c>
      <c r="AD24" s="47" t="str">
        <f t="shared" si="13"/>
        <v>Нет локального эффекта</v>
      </c>
      <c r="AE24" s="47" t="str">
        <f t="shared" si="14"/>
        <v/>
      </c>
      <c r="AF24" s="47" t="str">
        <f t="shared" si="15"/>
        <v>Нет локального эффекта</v>
      </c>
      <c r="AG24" s="47" t="str">
        <f t="shared" si="16"/>
        <v/>
      </c>
      <c r="AH24" s="48" t="str">
        <f>IF($B24="","","Общий итог: "&amp;IF($Y24="","ожидает D79",$Y24&amp;IF($Z24="—",""," — "&amp;$Z24))&amp;". Арес: "&amp;$AA24&amp;". "&amp;$AB24&amp;" Афина: "&amp;$AC24&amp;". "&amp;$AD24&amp;" Аполлон: "&amp;$AE24&amp;". "&amp;$AF24&amp;IF($AG24="",""," Общий эффект: "&amp;$AG24))</f>
        <v/>
      </c>
      <c r="BA24" t="s">
        <v>308</v>
      </c>
      <c r="BF24">
        <v>704535999</v>
      </c>
      <c r="BG24">
        <v>208701160</v>
      </c>
      <c r="BH24">
        <v>664164358</v>
      </c>
      <c r="BI24">
        <v>710223979</v>
      </c>
      <c r="BJ24">
        <v>234098781</v>
      </c>
      <c r="BK24">
        <v>263001089</v>
      </c>
      <c r="BL24">
        <v>881068208</v>
      </c>
      <c r="BM24">
        <f t="shared" si="17"/>
        <v>22783</v>
      </c>
      <c r="BN24">
        <f t="shared" si="18"/>
        <v>30702</v>
      </c>
      <c r="BO24">
        <f t="shared" si="19"/>
        <v>38621</v>
      </c>
      <c r="BP24">
        <f t="shared" si="20"/>
        <v>46540</v>
      </c>
      <c r="BQ24">
        <f t="shared" si="21"/>
        <v>54459</v>
      </c>
      <c r="BR24">
        <f t="shared" si="22"/>
        <v>62378</v>
      </c>
      <c r="BS24">
        <f t="shared" si="23"/>
        <v>70297</v>
      </c>
      <c r="BT24">
        <f t="shared" si="24"/>
        <v>78216</v>
      </c>
      <c r="BU24">
        <f t="shared" si="25"/>
        <v>86135</v>
      </c>
      <c r="BV24">
        <f t="shared" si="26"/>
        <v>94054</v>
      </c>
      <c r="BW24">
        <f t="shared" si="27"/>
        <v>1050</v>
      </c>
      <c r="BX24">
        <f t="shared" si="28"/>
        <v>7201</v>
      </c>
      <c r="BY24">
        <f t="shared" si="29"/>
        <v>13352</v>
      </c>
      <c r="BZ24">
        <f t="shared" si="30"/>
        <v>19503</v>
      </c>
      <c r="CA24">
        <f t="shared" si="31"/>
        <v>25654</v>
      </c>
      <c r="CB24">
        <f t="shared" si="32"/>
        <v>31805</v>
      </c>
      <c r="CC24">
        <f t="shared" si="33"/>
        <v>37956</v>
      </c>
      <c r="CD24">
        <f t="shared" si="34"/>
        <v>44107</v>
      </c>
      <c r="CE24">
        <f t="shared" si="35"/>
        <v>48006</v>
      </c>
      <c r="CF24">
        <f t="shared" si="36"/>
        <v>51577</v>
      </c>
      <c r="CG24">
        <f t="shared" si="37"/>
        <v>55148</v>
      </c>
      <c r="CH24">
        <f t="shared" si="38"/>
        <v>58719</v>
      </c>
      <c r="CI24">
        <f t="shared" si="39"/>
        <v>62290</v>
      </c>
      <c r="CJ24">
        <f t="shared" si="40"/>
        <v>65861</v>
      </c>
      <c r="CK24">
        <f t="shared" si="41"/>
        <v>69432</v>
      </c>
      <c r="CL24">
        <f t="shared" si="42"/>
        <v>73003</v>
      </c>
      <c r="CM24">
        <f t="shared" si="43"/>
        <v>76574</v>
      </c>
      <c r="CN24">
        <f t="shared" si="44"/>
        <v>80145</v>
      </c>
      <c r="CO24">
        <f t="shared" si="45"/>
        <v>83716</v>
      </c>
      <c r="CP24">
        <f t="shared" si="46"/>
        <v>87287</v>
      </c>
      <c r="CQ24">
        <f t="shared" si="47"/>
        <v>90858</v>
      </c>
      <c r="CR24">
        <f t="shared" si="48"/>
        <v>94429</v>
      </c>
      <c r="CS24">
        <f t="shared" si="49"/>
        <v>98000</v>
      </c>
      <c r="CT24">
        <f t="shared" si="50"/>
        <v>1568</v>
      </c>
      <c r="CU24">
        <f t="shared" si="51"/>
        <v>97643</v>
      </c>
      <c r="CV24">
        <f t="shared" si="52"/>
        <v>2081</v>
      </c>
      <c r="CW24">
        <f t="shared" si="53"/>
        <v>6522</v>
      </c>
      <c r="CX24">
        <f t="shared" si="54"/>
        <v>10963</v>
      </c>
      <c r="CY24">
        <f t="shared" si="55"/>
        <v>15404</v>
      </c>
      <c r="CZ24">
        <f t="shared" si="56"/>
        <v>19845</v>
      </c>
      <c r="DA24">
        <f t="shared" si="57"/>
        <v>24286</v>
      </c>
      <c r="DB24">
        <f t="shared" si="58"/>
        <v>28727</v>
      </c>
      <c r="DC24">
        <f t="shared" si="59"/>
        <v>33168</v>
      </c>
      <c r="DD24">
        <f t="shared" si="60"/>
        <v>37609</v>
      </c>
      <c r="DE24">
        <f t="shared" si="61"/>
        <v>42050</v>
      </c>
      <c r="DF24">
        <f t="shared" si="62"/>
        <v>46491</v>
      </c>
      <c r="DG24">
        <f t="shared" si="63"/>
        <v>50932</v>
      </c>
      <c r="DH24">
        <f t="shared" si="64"/>
        <v>55373</v>
      </c>
      <c r="DI24">
        <f t="shared" si="65"/>
        <v>59814</v>
      </c>
      <c r="DJ24">
        <f t="shared" si="66"/>
        <v>64255</v>
      </c>
      <c r="DK24">
        <f t="shared" si="67"/>
        <v>43867</v>
      </c>
      <c r="DL24">
        <f t="shared" si="68"/>
        <v>45956</v>
      </c>
      <c r="DM24">
        <f t="shared" si="69"/>
        <v>48045</v>
      </c>
      <c r="DN24" t="str">
        <f t="shared" si="70"/>
        <v>Минерально-сырьевые ресурсы</v>
      </c>
      <c r="DO24" t="str">
        <f t="shared" si="71"/>
        <v>Химические и технологические материалы</v>
      </c>
      <c r="DP24" t="str">
        <f t="shared" si="72"/>
        <v>Энергетические ресурсы</v>
      </c>
      <c r="DQ24" t="str">
        <f t="shared" si="73"/>
        <v>Производство</v>
      </c>
      <c r="DR24" t="str">
        <f t="shared" si="74"/>
        <v>Управление</v>
      </c>
      <c r="DS24" t="str">
        <f t="shared" si="75"/>
        <v>Познание</v>
      </c>
      <c r="DT24" t="str">
        <f t="shared" si="76"/>
        <v>Индонезия</v>
      </c>
      <c r="DU24" t="str">
        <f t="shared" si="77"/>
        <v>Россия</v>
      </c>
      <c r="DV24" t="str">
        <f t="shared" si="78"/>
        <v>США</v>
      </c>
      <c r="DW24" t="str">
        <f t="shared" si="79"/>
        <v>Ресурсный</v>
      </c>
      <c r="DX24" t="str">
        <f t="shared" si="80"/>
        <v>Общественный</v>
      </c>
      <c r="DY24" t="str">
        <f t="shared" si="81"/>
        <v>Дипломатический</v>
      </c>
      <c r="DZ24" t="str">
        <f t="shared" si="82"/>
        <v>Экономическая целесообразность</v>
      </c>
      <c r="EA24" t="str">
        <f t="shared" si="83"/>
        <v>Экономика</v>
      </c>
      <c r="EB24" t="str">
        <f t="shared" si="84"/>
        <v>США</v>
      </c>
      <c r="EC24">
        <f t="shared" si="85"/>
        <v>0</v>
      </c>
      <c r="ED24">
        <f t="shared" si="86"/>
        <v>0</v>
      </c>
      <c r="EE24">
        <f t="shared" si="87"/>
        <v>0</v>
      </c>
      <c r="EF24">
        <f t="shared" si="88"/>
        <v>0</v>
      </c>
      <c r="EG24" t="str">
        <f t="shared" si="89"/>
        <v/>
      </c>
      <c r="EH24" t="str">
        <f t="shared" si="90"/>
        <v/>
      </c>
      <c r="EI24" t="str">
        <f t="shared" si="91"/>
        <v/>
      </c>
      <c r="EJ24" t="str">
        <f t="shared" si="92"/>
        <v/>
      </c>
      <c r="EK24" t="str">
        <f t="shared" si="93"/>
        <v/>
      </c>
      <c r="EL24" t="str">
        <f t="shared" si="94"/>
        <v/>
      </c>
      <c r="EM24" t="e">
        <f t="shared" si="95"/>
        <v>#VALUE!</v>
      </c>
      <c r="EN24" t="e">
        <f t="shared" si="96"/>
        <v>#VALUE!</v>
      </c>
      <c r="EO24" t="str">
        <f t="shared" si="97"/>
        <v/>
      </c>
      <c r="EP24" t="str">
        <f t="shared" si="98"/>
        <v/>
      </c>
      <c r="EQ24" t="str">
        <f t="shared" si="99"/>
        <v/>
      </c>
      <c r="ER24" t="str">
        <f t="shared" si="100"/>
        <v/>
      </c>
      <c r="ES24" t="str">
        <f t="shared" si="101"/>
        <v/>
      </c>
    </row>
    <row r="25" spans="1:149" ht="52.8" customHeight="1">
      <c r="A25" s="40"/>
      <c r="B25" s="41"/>
      <c r="C25" s="41"/>
      <c r="D25" s="41"/>
      <c r="E25" s="41"/>
      <c r="F25" s="41"/>
      <c r="G25" s="42"/>
      <c r="H25" s="42"/>
      <c r="I25" s="42"/>
      <c r="J25" s="41"/>
      <c r="K25" s="41"/>
      <c r="L25" s="41"/>
      <c r="M25" s="42"/>
      <c r="N25" s="42"/>
      <c r="O25" s="42"/>
      <c r="P25" s="43" t="str">
        <f t="shared" si="0"/>
        <v/>
      </c>
      <c r="Q25" s="43" t="str">
        <f t="shared" si="1"/>
        <v/>
      </c>
      <c r="R25" s="44" t="e">
        <f t="shared" si="2"/>
        <v>#VALUE!</v>
      </c>
      <c r="S25" s="44" t="e">
        <f t="shared" si="3"/>
        <v>#VALUE!</v>
      </c>
      <c r="T25" s="44" t="e">
        <f t="shared" si="4"/>
        <v>#VALUE!</v>
      </c>
      <c r="U25" s="45" t="e">
        <f t="shared" si="5"/>
        <v>#VALUE!</v>
      </c>
      <c r="V25" s="45" t="e">
        <f t="shared" si="6"/>
        <v>#VALUE!</v>
      </c>
      <c r="W25" s="45" t="e">
        <f t="shared" si="7"/>
        <v>#VALUE!</v>
      </c>
      <c r="X25" s="46"/>
      <c r="Y25" s="47" t="str">
        <f t="shared" si="8"/>
        <v/>
      </c>
      <c r="Z25" s="47" t="str">
        <f t="shared" si="9"/>
        <v/>
      </c>
      <c r="AA25" s="47" t="str">
        <f t="shared" si="10"/>
        <v/>
      </c>
      <c r="AB25" s="47" t="str">
        <f t="shared" si="11"/>
        <v>Нет локального эффекта</v>
      </c>
      <c r="AC25" s="47" t="str">
        <f t="shared" si="12"/>
        <v/>
      </c>
      <c r="AD25" s="47" t="str">
        <f t="shared" si="13"/>
        <v>Нет локального эффекта</v>
      </c>
      <c r="AE25" s="47" t="str">
        <f t="shared" si="14"/>
        <v/>
      </c>
      <c r="AF25" s="47" t="str">
        <f t="shared" si="15"/>
        <v>Нет локального эффекта</v>
      </c>
      <c r="AG25" s="47" t="str">
        <f t="shared" si="16"/>
        <v/>
      </c>
      <c r="AH25" s="48" t="str">
        <f>IF($B25="","","Общий итог: "&amp;IF($Y25="","ожидает D80",$Y25&amp;IF($Z25="—",""," — "&amp;$Z25))&amp;". Арес: "&amp;$AA25&amp;". "&amp;$AB25&amp;" Афина: "&amp;$AC25&amp;". "&amp;$AD25&amp;" Аполлон: "&amp;$AE25&amp;". "&amp;$AF25&amp;IF($AG25="",""," Общий эффект: "&amp;$AG25))</f>
        <v/>
      </c>
      <c r="BA25" t="s">
        <v>309</v>
      </c>
      <c r="BF25">
        <v>205135522</v>
      </c>
      <c r="BG25">
        <v>644944350</v>
      </c>
      <c r="BH25">
        <v>476640440</v>
      </c>
      <c r="BI25">
        <v>220642135</v>
      </c>
      <c r="BJ25">
        <v>608058172</v>
      </c>
      <c r="BK25">
        <v>202946724</v>
      </c>
      <c r="BL25">
        <v>796528048</v>
      </c>
      <c r="BM25">
        <f t="shared" si="17"/>
        <v>37288</v>
      </c>
      <c r="BN25">
        <f t="shared" si="18"/>
        <v>45207</v>
      </c>
      <c r="BO25">
        <f t="shared" si="19"/>
        <v>53126</v>
      </c>
      <c r="BP25">
        <f t="shared" si="20"/>
        <v>61045</v>
      </c>
      <c r="BQ25">
        <f t="shared" si="21"/>
        <v>68964</v>
      </c>
      <c r="BR25">
        <f t="shared" si="22"/>
        <v>76883</v>
      </c>
      <c r="BS25">
        <f t="shared" si="23"/>
        <v>84802</v>
      </c>
      <c r="BT25">
        <f t="shared" si="24"/>
        <v>92721</v>
      </c>
      <c r="BU25">
        <f t="shared" si="25"/>
        <v>637</v>
      </c>
      <c r="BV25">
        <f t="shared" si="26"/>
        <v>8556</v>
      </c>
      <c r="BW25">
        <f t="shared" si="27"/>
        <v>31154</v>
      </c>
      <c r="BX25">
        <f t="shared" si="28"/>
        <v>37305</v>
      </c>
      <c r="BY25">
        <f t="shared" si="29"/>
        <v>43456</v>
      </c>
      <c r="BZ25">
        <f t="shared" si="30"/>
        <v>49607</v>
      </c>
      <c r="CA25">
        <f t="shared" si="31"/>
        <v>55758</v>
      </c>
      <c r="CB25">
        <f t="shared" si="32"/>
        <v>61909</v>
      </c>
      <c r="CC25">
        <f t="shared" si="33"/>
        <v>68060</v>
      </c>
      <c r="CD25">
        <f t="shared" si="34"/>
        <v>74211</v>
      </c>
      <c r="CE25">
        <f t="shared" si="35"/>
        <v>29713</v>
      </c>
      <c r="CF25">
        <f t="shared" si="36"/>
        <v>33284</v>
      </c>
      <c r="CG25">
        <f t="shared" si="37"/>
        <v>36855</v>
      </c>
      <c r="CH25">
        <f t="shared" si="38"/>
        <v>40426</v>
      </c>
      <c r="CI25">
        <f t="shared" si="39"/>
        <v>43997</v>
      </c>
      <c r="CJ25">
        <f t="shared" si="40"/>
        <v>47568</v>
      </c>
      <c r="CK25">
        <f t="shared" si="41"/>
        <v>51139</v>
      </c>
      <c r="CL25">
        <f t="shared" si="42"/>
        <v>54710</v>
      </c>
      <c r="CM25">
        <f t="shared" si="43"/>
        <v>58281</v>
      </c>
      <c r="CN25">
        <f t="shared" si="44"/>
        <v>61852</v>
      </c>
      <c r="CO25">
        <f t="shared" si="45"/>
        <v>65423</v>
      </c>
      <c r="CP25">
        <f t="shared" si="46"/>
        <v>68994</v>
      </c>
      <c r="CQ25">
        <f t="shared" si="47"/>
        <v>72565</v>
      </c>
      <c r="CR25">
        <f t="shared" si="48"/>
        <v>76136</v>
      </c>
      <c r="CS25">
        <f t="shared" si="49"/>
        <v>79707</v>
      </c>
      <c r="CT25">
        <f t="shared" si="50"/>
        <v>83278</v>
      </c>
      <c r="CU25">
        <f t="shared" si="51"/>
        <v>45078</v>
      </c>
      <c r="CV25">
        <f t="shared" si="52"/>
        <v>49519</v>
      </c>
      <c r="CW25">
        <f t="shared" si="53"/>
        <v>53960</v>
      </c>
      <c r="CX25">
        <f t="shared" si="54"/>
        <v>58401</v>
      </c>
      <c r="CY25">
        <f t="shared" si="55"/>
        <v>62842</v>
      </c>
      <c r="CZ25">
        <f t="shared" si="56"/>
        <v>67283</v>
      </c>
      <c r="DA25">
        <f t="shared" si="57"/>
        <v>71724</v>
      </c>
      <c r="DB25">
        <f t="shared" si="58"/>
        <v>76165</v>
      </c>
      <c r="DC25">
        <f t="shared" si="59"/>
        <v>80606</v>
      </c>
      <c r="DD25">
        <f t="shared" si="60"/>
        <v>85047</v>
      </c>
      <c r="DE25">
        <f t="shared" si="61"/>
        <v>89488</v>
      </c>
      <c r="DF25">
        <f t="shared" si="62"/>
        <v>93929</v>
      </c>
      <c r="DG25">
        <f t="shared" si="63"/>
        <v>98370</v>
      </c>
      <c r="DH25">
        <f t="shared" si="64"/>
        <v>2808</v>
      </c>
      <c r="DI25">
        <f t="shared" si="65"/>
        <v>7249</v>
      </c>
      <c r="DJ25">
        <f t="shared" si="66"/>
        <v>11690</v>
      </c>
      <c r="DK25">
        <f t="shared" si="67"/>
        <v>6242</v>
      </c>
      <c r="DL25">
        <f t="shared" si="68"/>
        <v>8331</v>
      </c>
      <c r="DM25">
        <f t="shared" si="69"/>
        <v>10420</v>
      </c>
      <c r="DN25" t="str">
        <f t="shared" si="70"/>
        <v>Сетевые ресурсы</v>
      </c>
      <c r="DO25" t="str">
        <f t="shared" si="71"/>
        <v>Конечные устройства</v>
      </c>
      <c r="DP25" t="str">
        <f t="shared" si="72"/>
        <v>Минерально-сырьевые ресурсы</v>
      </c>
      <c r="DQ25" t="str">
        <f t="shared" si="73"/>
        <v>Производство</v>
      </c>
      <c r="DR25" t="str">
        <f t="shared" si="74"/>
        <v>Управление</v>
      </c>
      <c r="DS25" t="str">
        <f t="shared" si="75"/>
        <v>Познание</v>
      </c>
      <c r="DT25" t="str">
        <f t="shared" si="76"/>
        <v>Россия</v>
      </c>
      <c r="DU25" t="str">
        <f t="shared" si="77"/>
        <v>США</v>
      </c>
      <c r="DV25" t="str">
        <f t="shared" si="78"/>
        <v>Китай</v>
      </c>
      <c r="DW25" t="str">
        <f t="shared" si="79"/>
        <v>Ресурсный</v>
      </c>
      <c r="DX25" t="str">
        <f t="shared" si="80"/>
        <v>Общественный</v>
      </c>
      <c r="DY25" t="str">
        <f t="shared" si="81"/>
        <v>Дипломатический</v>
      </c>
      <c r="DZ25" t="str">
        <f t="shared" si="82"/>
        <v>Ресурсы оценки</v>
      </c>
      <c r="EA25" t="str">
        <f t="shared" si="83"/>
        <v>Война</v>
      </c>
      <c r="EB25" t="str">
        <f t="shared" si="84"/>
        <v>Бразилия</v>
      </c>
      <c r="EC25">
        <f t="shared" si="85"/>
        <v>0</v>
      </c>
      <c r="ED25">
        <f t="shared" si="86"/>
        <v>0</v>
      </c>
      <c r="EE25">
        <f t="shared" si="87"/>
        <v>0</v>
      </c>
      <c r="EF25">
        <f t="shared" si="88"/>
        <v>0</v>
      </c>
      <c r="EG25" t="str">
        <f t="shared" si="89"/>
        <v/>
      </c>
      <c r="EH25" t="str">
        <f t="shared" si="90"/>
        <v/>
      </c>
      <c r="EI25" t="str">
        <f t="shared" si="91"/>
        <v/>
      </c>
      <c r="EJ25" t="str">
        <f t="shared" si="92"/>
        <v/>
      </c>
      <c r="EK25" t="str">
        <f t="shared" si="93"/>
        <v/>
      </c>
      <c r="EL25" t="str">
        <f t="shared" si="94"/>
        <v/>
      </c>
      <c r="EM25" t="e">
        <f t="shared" si="95"/>
        <v>#VALUE!</v>
      </c>
      <c r="EN25" t="e">
        <f t="shared" si="96"/>
        <v>#VALUE!</v>
      </c>
      <c r="EO25" t="str">
        <f t="shared" si="97"/>
        <v/>
      </c>
      <c r="EP25" t="str">
        <f t="shared" si="98"/>
        <v/>
      </c>
      <c r="EQ25" t="str">
        <f t="shared" si="99"/>
        <v/>
      </c>
      <c r="ER25" t="str">
        <f t="shared" si="100"/>
        <v/>
      </c>
      <c r="ES25" t="str">
        <f t="shared" si="101"/>
        <v/>
      </c>
    </row>
    <row r="26" spans="1:149" ht="52.8" customHeight="1">
      <c r="A26" s="40"/>
      <c r="B26" s="41"/>
      <c r="C26" s="41"/>
      <c r="D26" s="41"/>
      <c r="E26" s="41"/>
      <c r="F26" s="41"/>
      <c r="G26" s="42"/>
      <c r="H26" s="42"/>
      <c r="I26" s="42"/>
      <c r="J26" s="41"/>
      <c r="K26" s="41"/>
      <c r="L26" s="41"/>
      <c r="M26" s="42"/>
      <c r="N26" s="42"/>
      <c r="O26" s="42"/>
      <c r="P26" s="43" t="str">
        <f t="shared" si="0"/>
        <v/>
      </c>
      <c r="Q26" s="43" t="str">
        <f t="shared" si="1"/>
        <v/>
      </c>
      <c r="R26" s="44" t="e">
        <f t="shared" si="2"/>
        <v>#VALUE!</v>
      </c>
      <c r="S26" s="44" t="e">
        <f t="shared" si="3"/>
        <v>#VALUE!</v>
      </c>
      <c r="T26" s="44" t="e">
        <f t="shared" si="4"/>
        <v>#VALUE!</v>
      </c>
      <c r="U26" s="45" t="e">
        <f t="shared" si="5"/>
        <v>#VALUE!</v>
      </c>
      <c r="V26" s="45" t="e">
        <f t="shared" si="6"/>
        <v>#VALUE!</v>
      </c>
      <c r="W26" s="45" t="e">
        <f t="shared" si="7"/>
        <v>#VALUE!</v>
      </c>
      <c r="X26" s="46"/>
      <c r="Y26" s="47" t="str">
        <f t="shared" si="8"/>
        <v/>
      </c>
      <c r="Z26" s="47" t="str">
        <f t="shared" si="9"/>
        <v/>
      </c>
      <c r="AA26" s="47" t="str">
        <f t="shared" si="10"/>
        <v/>
      </c>
      <c r="AB26" s="47" t="str">
        <f t="shared" si="11"/>
        <v>Нет локального эффекта</v>
      </c>
      <c r="AC26" s="47" t="str">
        <f t="shared" si="12"/>
        <v/>
      </c>
      <c r="AD26" s="47" t="str">
        <f t="shared" si="13"/>
        <v>Нет локального эффекта</v>
      </c>
      <c r="AE26" s="47" t="str">
        <f t="shared" si="14"/>
        <v/>
      </c>
      <c r="AF26" s="47" t="str">
        <f t="shared" si="15"/>
        <v>Нет локального эффекта</v>
      </c>
      <c r="AG26" s="47" t="str">
        <f t="shared" si="16"/>
        <v/>
      </c>
      <c r="AH26" s="48" t="str">
        <f>IF($B26="","","Общий итог: "&amp;IF($Y26="","ожидает D81",$Y26&amp;IF($Z26="—",""," — "&amp;$Z26))&amp;". Арес: "&amp;$AA26&amp;". "&amp;$AB26&amp;" Афина: "&amp;$AC26&amp;". "&amp;$AD26&amp;" Аполлон: "&amp;$AE26&amp;". "&amp;$AF26&amp;IF($AG26="",""," Общий эффект: "&amp;$AG26))</f>
        <v/>
      </c>
      <c r="BA26" t="s">
        <v>310</v>
      </c>
      <c r="BF26">
        <v>502514187</v>
      </c>
      <c r="BG26">
        <v>121739824</v>
      </c>
      <c r="BH26">
        <v>242388783</v>
      </c>
      <c r="BI26">
        <v>859046444</v>
      </c>
      <c r="BJ26">
        <v>867070205</v>
      </c>
      <c r="BK26">
        <v>489706758</v>
      </c>
      <c r="BL26">
        <v>703361082</v>
      </c>
      <c r="BM26">
        <f t="shared" si="17"/>
        <v>7031</v>
      </c>
      <c r="BN26">
        <f t="shared" si="18"/>
        <v>14950</v>
      </c>
      <c r="BO26">
        <f t="shared" si="19"/>
        <v>22869</v>
      </c>
      <c r="BP26">
        <f t="shared" si="20"/>
        <v>30788</v>
      </c>
      <c r="BQ26">
        <f t="shared" si="21"/>
        <v>38707</v>
      </c>
      <c r="BR26">
        <f t="shared" si="22"/>
        <v>46626</v>
      </c>
      <c r="BS26">
        <f t="shared" si="23"/>
        <v>54545</v>
      </c>
      <c r="BT26">
        <f t="shared" si="24"/>
        <v>62464</v>
      </c>
      <c r="BU26">
        <f t="shared" si="25"/>
        <v>70383</v>
      </c>
      <c r="BV26">
        <f t="shared" si="26"/>
        <v>78302</v>
      </c>
      <c r="BW26">
        <f t="shared" si="27"/>
        <v>42324</v>
      </c>
      <c r="BX26">
        <f t="shared" si="28"/>
        <v>48475</v>
      </c>
      <c r="BY26">
        <f t="shared" si="29"/>
        <v>54626</v>
      </c>
      <c r="BZ26">
        <f t="shared" si="30"/>
        <v>60777</v>
      </c>
      <c r="CA26">
        <f t="shared" si="31"/>
        <v>66928</v>
      </c>
      <c r="CB26">
        <f t="shared" si="32"/>
        <v>73079</v>
      </c>
      <c r="CC26">
        <f t="shared" si="33"/>
        <v>79230</v>
      </c>
      <c r="CD26">
        <f t="shared" si="34"/>
        <v>85381</v>
      </c>
      <c r="CE26">
        <f t="shared" si="35"/>
        <v>85085</v>
      </c>
      <c r="CF26">
        <f t="shared" si="36"/>
        <v>88656</v>
      </c>
      <c r="CG26">
        <f t="shared" si="37"/>
        <v>92227</v>
      </c>
      <c r="CH26">
        <f t="shared" si="38"/>
        <v>95798</v>
      </c>
      <c r="CI26">
        <f t="shared" si="39"/>
        <v>99369</v>
      </c>
      <c r="CJ26">
        <f t="shared" si="40"/>
        <v>2937</v>
      </c>
      <c r="CK26">
        <f t="shared" si="41"/>
        <v>6508</v>
      </c>
      <c r="CL26">
        <f t="shared" si="42"/>
        <v>10079</v>
      </c>
      <c r="CM26">
        <f t="shared" si="43"/>
        <v>13650</v>
      </c>
      <c r="CN26">
        <f t="shared" si="44"/>
        <v>17221</v>
      </c>
      <c r="CO26">
        <f t="shared" si="45"/>
        <v>20792</v>
      </c>
      <c r="CP26">
        <f t="shared" si="46"/>
        <v>24363</v>
      </c>
      <c r="CQ26">
        <f t="shared" si="47"/>
        <v>27934</v>
      </c>
      <c r="CR26">
        <f t="shared" si="48"/>
        <v>31505</v>
      </c>
      <c r="CS26">
        <f t="shared" si="49"/>
        <v>35076</v>
      </c>
      <c r="CT26">
        <f t="shared" si="50"/>
        <v>38647</v>
      </c>
      <c r="CU26">
        <f t="shared" si="51"/>
        <v>96511</v>
      </c>
      <c r="CV26">
        <f t="shared" si="52"/>
        <v>949</v>
      </c>
      <c r="CW26">
        <f t="shared" si="53"/>
        <v>5390</v>
      </c>
      <c r="CX26">
        <f t="shared" si="54"/>
        <v>9831</v>
      </c>
      <c r="CY26">
        <f t="shared" si="55"/>
        <v>14272</v>
      </c>
      <c r="CZ26">
        <f t="shared" si="56"/>
        <v>18713</v>
      </c>
      <c r="DA26">
        <f t="shared" si="57"/>
        <v>23154</v>
      </c>
      <c r="DB26">
        <f t="shared" si="58"/>
        <v>27595</v>
      </c>
      <c r="DC26">
        <f t="shared" si="59"/>
        <v>32036</v>
      </c>
      <c r="DD26">
        <f t="shared" si="60"/>
        <v>36477</v>
      </c>
      <c r="DE26">
        <f t="shared" si="61"/>
        <v>40918</v>
      </c>
      <c r="DF26">
        <f t="shared" si="62"/>
        <v>45359</v>
      </c>
      <c r="DG26">
        <f t="shared" si="63"/>
        <v>49800</v>
      </c>
      <c r="DH26">
        <f t="shared" si="64"/>
        <v>54241</v>
      </c>
      <c r="DI26">
        <f t="shared" si="65"/>
        <v>58682</v>
      </c>
      <c r="DJ26">
        <f t="shared" si="66"/>
        <v>63123</v>
      </c>
      <c r="DK26">
        <f t="shared" si="67"/>
        <v>42072</v>
      </c>
      <c r="DL26">
        <f t="shared" si="68"/>
        <v>44161</v>
      </c>
      <c r="DM26">
        <f t="shared" si="69"/>
        <v>46250</v>
      </c>
      <c r="DN26" t="str">
        <f t="shared" si="70"/>
        <v>Минерально-сырьевые ресурсы</v>
      </c>
      <c r="DO26" t="str">
        <f t="shared" si="71"/>
        <v>Химические и технологические материалы</v>
      </c>
      <c r="DP26" t="str">
        <f t="shared" si="72"/>
        <v>Энергетические ресурсы</v>
      </c>
      <c r="DQ26" t="str">
        <f t="shared" si="73"/>
        <v>Производство</v>
      </c>
      <c r="DR26" t="str">
        <f t="shared" si="74"/>
        <v>Управление</v>
      </c>
      <c r="DS26" t="str">
        <f t="shared" si="75"/>
        <v>Познание</v>
      </c>
      <c r="DT26" t="str">
        <f t="shared" si="76"/>
        <v>Франция</v>
      </c>
      <c r="DU26" t="str">
        <f t="shared" si="77"/>
        <v>Германия</v>
      </c>
      <c r="DV26" t="str">
        <f t="shared" si="78"/>
        <v>Япония</v>
      </c>
      <c r="DW26" t="str">
        <f t="shared" si="79"/>
        <v>Ресурсный</v>
      </c>
      <c r="DX26" t="str">
        <f t="shared" si="80"/>
        <v>Общественный</v>
      </c>
      <c r="DY26" t="str">
        <f t="shared" si="81"/>
        <v>Дипломатический</v>
      </c>
      <c r="DZ26" t="str">
        <f t="shared" si="82"/>
        <v>Стек эксплуатации ИИ</v>
      </c>
      <c r="EA26" t="str">
        <f t="shared" si="83"/>
        <v>Экономика</v>
      </c>
      <c r="EB26" t="str">
        <f t="shared" si="84"/>
        <v>США</v>
      </c>
      <c r="EC26">
        <f t="shared" si="85"/>
        <v>0</v>
      </c>
      <c r="ED26">
        <f t="shared" si="86"/>
        <v>0</v>
      </c>
      <c r="EE26">
        <f t="shared" si="87"/>
        <v>0</v>
      </c>
      <c r="EF26">
        <f t="shared" si="88"/>
        <v>0</v>
      </c>
      <c r="EG26" t="str">
        <f t="shared" si="89"/>
        <v/>
      </c>
      <c r="EH26" t="str">
        <f t="shared" si="90"/>
        <v/>
      </c>
      <c r="EI26" t="str">
        <f t="shared" si="91"/>
        <v/>
      </c>
      <c r="EJ26" t="str">
        <f t="shared" si="92"/>
        <v/>
      </c>
      <c r="EK26" t="str">
        <f t="shared" si="93"/>
        <v/>
      </c>
      <c r="EL26" t="str">
        <f t="shared" si="94"/>
        <v/>
      </c>
      <c r="EM26" t="e">
        <f t="shared" si="95"/>
        <v>#VALUE!</v>
      </c>
      <c r="EN26" t="e">
        <f t="shared" si="96"/>
        <v>#VALUE!</v>
      </c>
      <c r="EO26" t="str">
        <f t="shared" si="97"/>
        <v/>
      </c>
      <c r="EP26" t="str">
        <f t="shared" si="98"/>
        <v/>
      </c>
      <c r="EQ26" t="str">
        <f t="shared" si="99"/>
        <v/>
      </c>
      <c r="ER26" t="str">
        <f t="shared" si="100"/>
        <v/>
      </c>
      <c r="ES26" t="str">
        <f t="shared" si="101"/>
        <v/>
      </c>
    </row>
    <row r="27" spans="1:149" ht="52.8" customHeight="1">
      <c r="A27" s="40"/>
      <c r="B27" s="41"/>
      <c r="C27" s="41"/>
      <c r="D27" s="41"/>
      <c r="E27" s="41"/>
      <c r="F27" s="41"/>
      <c r="G27" s="42"/>
      <c r="H27" s="42"/>
      <c r="I27" s="42"/>
      <c r="J27" s="41"/>
      <c r="K27" s="41"/>
      <c r="L27" s="41"/>
      <c r="M27" s="42"/>
      <c r="N27" s="42"/>
      <c r="O27" s="42"/>
      <c r="P27" s="43" t="str">
        <f t="shared" si="0"/>
        <v/>
      </c>
      <c r="Q27" s="43" t="str">
        <f t="shared" si="1"/>
        <v/>
      </c>
      <c r="R27" s="44" t="e">
        <f t="shared" si="2"/>
        <v>#VALUE!</v>
      </c>
      <c r="S27" s="44" t="e">
        <f t="shared" si="3"/>
        <v>#VALUE!</v>
      </c>
      <c r="T27" s="44" t="e">
        <f t="shared" si="4"/>
        <v>#VALUE!</v>
      </c>
      <c r="U27" s="45" t="e">
        <f t="shared" si="5"/>
        <v>#VALUE!</v>
      </c>
      <c r="V27" s="45" t="e">
        <f t="shared" si="6"/>
        <v>#VALUE!</v>
      </c>
      <c r="W27" s="45" t="e">
        <f t="shared" si="7"/>
        <v>#VALUE!</v>
      </c>
      <c r="X27" s="46"/>
      <c r="Y27" s="47" t="str">
        <f t="shared" si="8"/>
        <v/>
      </c>
      <c r="Z27" s="47" t="str">
        <f t="shared" si="9"/>
        <v/>
      </c>
      <c r="AA27" s="47" t="str">
        <f t="shared" si="10"/>
        <v/>
      </c>
      <c r="AB27" s="47" t="str">
        <f t="shared" si="11"/>
        <v>Нет локального эффекта</v>
      </c>
      <c r="AC27" s="47" t="str">
        <f t="shared" si="12"/>
        <v/>
      </c>
      <c r="AD27" s="47" t="str">
        <f t="shared" si="13"/>
        <v>Нет локального эффекта</v>
      </c>
      <c r="AE27" s="47" t="str">
        <f t="shared" si="14"/>
        <v/>
      </c>
      <c r="AF27" s="47" t="str">
        <f t="shared" si="15"/>
        <v>Нет локального эффекта</v>
      </c>
      <c r="AG27" s="47" t="str">
        <f t="shared" si="16"/>
        <v/>
      </c>
      <c r="AH27" s="48" t="str">
        <f>IF($B27="","","Общий итог: "&amp;IF($Y27="","ожидает D82",$Y27&amp;IF($Z27="—",""," — "&amp;$Z27))&amp;". Арес: "&amp;$AA27&amp;". "&amp;$AB27&amp;" Афина: "&amp;$AC27&amp;". "&amp;$AD27&amp;" Аполлон: "&amp;$AE27&amp;". "&amp;$AF27&amp;IF($AG27="",""," Общий эффект: "&amp;$AG27))</f>
        <v/>
      </c>
      <c r="BA27" t="s">
        <v>311</v>
      </c>
      <c r="BF27">
        <v>193212409</v>
      </c>
      <c r="BG27">
        <v>758476823</v>
      </c>
      <c r="BH27">
        <v>557603467</v>
      </c>
      <c r="BI27">
        <v>262079508</v>
      </c>
      <c r="BJ27">
        <v>435240159</v>
      </c>
      <c r="BK27">
        <v>559888511</v>
      </c>
      <c r="BL27">
        <v>552615070</v>
      </c>
      <c r="BM27">
        <f t="shared" si="17"/>
        <v>14532</v>
      </c>
      <c r="BN27">
        <f t="shared" si="18"/>
        <v>22451</v>
      </c>
      <c r="BO27">
        <f t="shared" si="19"/>
        <v>30370</v>
      </c>
      <c r="BP27">
        <f t="shared" si="20"/>
        <v>38289</v>
      </c>
      <c r="BQ27">
        <f t="shared" si="21"/>
        <v>46208</v>
      </c>
      <c r="BR27">
        <f t="shared" si="22"/>
        <v>54127</v>
      </c>
      <c r="BS27">
        <f t="shared" si="23"/>
        <v>62046</v>
      </c>
      <c r="BT27">
        <f t="shared" si="24"/>
        <v>69965</v>
      </c>
      <c r="BU27">
        <f t="shared" si="25"/>
        <v>77884</v>
      </c>
      <c r="BV27">
        <f t="shared" si="26"/>
        <v>85803</v>
      </c>
      <c r="BW27">
        <f t="shared" si="27"/>
        <v>60222</v>
      </c>
      <c r="BX27">
        <f t="shared" si="28"/>
        <v>66373</v>
      </c>
      <c r="BY27">
        <f t="shared" si="29"/>
        <v>72524</v>
      </c>
      <c r="BZ27">
        <f t="shared" si="30"/>
        <v>78675</v>
      </c>
      <c r="CA27">
        <f t="shared" si="31"/>
        <v>84826</v>
      </c>
      <c r="CB27">
        <f t="shared" si="32"/>
        <v>90977</v>
      </c>
      <c r="CC27">
        <f t="shared" si="33"/>
        <v>97128</v>
      </c>
      <c r="CD27">
        <f t="shared" si="34"/>
        <v>3276</v>
      </c>
      <c r="CE27">
        <f t="shared" si="35"/>
        <v>90313</v>
      </c>
      <c r="CF27">
        <f t="shared" si="36"/>
        <v>93884</v>
      </c>
      <c r="CG27">
        <f t="shared" si="37"/>
        <v>97455</v>
      </c>
      <c r="CH27">
        <f t="shared" si="38"/>
        <v>1023</v>
      </c>
      <c r="CI27">
        <f t="shared" si="39"/>
        <v>4594</v>
      </c>
      <c r="CJ27">
        <f t="shared" si="40"/>
        <v>8165</v>
      </c>
      <c r="CK27">
        <f t="shared" si="41"/>
        <v>11736</v>
      </c>
      <c r="CL27">
        <f t="shared" si="42"/>
        <v>15307</v>
      </c>
      <c r="CM27">
        <f t="shared" si="43"/>
        <v>18878</v>
      </c>
      <c r="CN27">
        <f t="shared" si="44"/>
        <v>22449</v>
      </c>
      <c r="CO27">
        <f t="shared" si="45"/>
        <v>26020</v>
      </c>
      <c r="CP27">
        <f t="shared" si="46"/>
        <v>29591</v>
      </c>
      <c r="CQ27">
        <f t="shared" si="47"/>
        <v>33162</v>
      </c>
      <c r="CR27">
        <f t="shared" si="48"/>
        <v>36733</v>
      </c>
      <c r="CS27">
        <f t="shared" si="49"/>
        <v>40304</v>
      </c>
      <c r="CT27">
        <f t="shared" si="50"/>
        <v>43875</v>
      </c>
      <c r="CU27">
        <f t="shared" si="51"/>
        <v>76158</v>
      </c>
      <c r="CV27">
        <f t="shared" si="52"/>
        <v>80599</v>
      </c>
      <c r="CW27">
        <f t="shared" si="53"/>
        <v>85040</v>
      </c>
      <c r="CX27">
        <f t="shared" si="54"/>
        <v>89481</v>
      </c>
      <c r="CY27">
        <f t="shared" si="55"/>
        <v>93922</v>
      </c>
      <c r="CZ27">
        <f t="shared" si="56"/>
        <v>98363</v>
      </c>
      <c r="DA27">
        <f t="shared" si="57"/>
        <v>2801</v>
      </c>
      <c r="DB27">
        <f t="shared" si="58"/>
        <v>7242</v>
      </c>
      <c r="DC27">
        <f t="shared" si="59"/>
        <v>11683</v>
      </c>
      <c r="DD27">
        <f t="shared" si="60"/>
        <v>16124</v>
      </c>
      <c r="DE27">
        <f t="shared" si="61"/>
        <v>20565</v>
      </c>
      <c r="DF27">
        <f t="shared" si="62"/>
        <v>25006</v>
      </c>
      <c r="DG27">
        <f t="shared" si="63"/>
        <v>29447</v>
      </c>
      <c r="DH27">
        <f t="shared" si="64"/>
        <v>33888</v>
      </c>
      <c r="DI27">
        <f t="shared" si="65"/>
        <v>38329</v>
      </c>
      <c r="DJ27">
        <f t="shared" si="66"/>
        <v>42770</v>
      </c>
      <c r="DK27">
        <f t="shared" si="67"/>
        <v>581</v>
      </c>
      <c r="DL27">
        <f t="shared" si="68"/>
        <v>2670</v>
      </c>
      <c r="DM27">
        <f t="shared" si="69"/>
        <v>4759</v>
      </c>
      <c r="DN27" t="str">
        <f t="shared" si="70"/>
        <v>Минерально-сырьевые ресурсы</v>
      </c>
      <c r="DO27" t="str">
        <f t="shared" si="71"/>
        <v>Химические и технологические материалы</v>
      </c>
      <c r="DP27" t="str">
        <f t="shared" si="72"/>
        <v>Энергетические ресурсы</v>
      </c>
      <c r="DQ27" t="str">
        <f t="shared" si="73"/>
        <v>Принятие ИИ</v>
      </c>
      <c r="DR27" t="str">
        <f t="shared" si="74"/>
        <v>Производство</v>
      </c>
      <c r="DS27" t="str">
        <f t="shared" si="75"/>
        <v>Управление</v>
      </c>
      <c r="DT27" t="str">
        <f t="shared" si="76"/>
        <v>Индия</v>
      </c>
      <c r="DU27" t="str">
        <f t="shared" si="77"/>
        <v>Великобритания</v>
      </c>
      <c r="DV27" t="str">
        <f t="shared" si="78"/>
        <v>Франция</v>
      </c>
      <c r="DW27" t="str">
        <f t="shared" si="79"/>
        <v>Ресурсный</v>
      </c>
      <c r="DX27" t="str">
        <f t="shared" si="80"/>
        <v>Общественный</v>
      </c>
      <c r="DY27" t="str">
        <f t="shared" si="81"/>
        <v>Дипломатический</v>
      </c>
      <c r="DZ27" t="str">
        <f t="shared" si="82"/>
        <v>Стек эксплуатации ИИ</v>
      </c>
      <c r="EA27" t="str">
        <f t="shared" si="83"/>
        <v>Принятие ИИ</v>
      </c>
      <c r="EB27" t="str">
        <f t="shared" si="84"/>
        <v>Германия</v>
      </c>
      <c r="EC27">
        <f t="shared" si="85"/>
        <v>0</v>
      </c>
      <c r="ED27">
        <f t="shared" si="86"/>
        <v>0</v>
      </c>
      <c r="EE27">
        <f t="shared" si="87"/>
        <v>0</v>
      </c>
      <c r="EF27">
        <f t="shared" si="88"/>
        <v>0</v>
      </c>
      <c r="EG27" t="str">
        <f t="shared" si="89"/>
        <v/>
      </c>
      <c r="EH27" t="str">
        <f t="shared" si="90"/>
        <v/>
      </c>
      <c r="EI27" t="str">
        <f t="shared" si="91"/>
        <v/>
      </c>
      <c r="EJ27" t="str">
        <f t="shared" si="92"/>
        <v/>
      </c>
      <c r="EK27" t="str">
        <f t="shared" si="93"/>
        <v/>
      </c>
      <c r="EL27" t="str">
        <f t="shared" si="94"/>
        <v/>
      </c>
      <c r="EM27" t="e">
        <f t="shared" si="95"/>
        <v>#VALUE!</v>
      </c>
      <c r="EN27" t="e">
        <f t="shared" si="96"/>
        <v>#VALUE!</v>
      </c>
      <c r="EO27" t="str">
        <f t="shared" si="97"/>
        <v/>
      </c>
      <c r="EP27" t="str">
        <f t="shared" si="98"/>
        <v/>
      </c>
      <c r="EQ27" t="str">
        <f t="shared" si="99"/>
        <v/>
      </c>
      <c r="ER27" t="str">
        <f t="shared" si="100"/>
        <v/>
      </c>
      <c r="ES27" t="str">
        <f t="shared" si="101"/>
        <v/>
      </c>
    </row>
    <row r="28" spans="1:149" ht="52.8" customHeight="1">
      <c r="A28" s="40"/>
      <c r="B28" s="41"/>
      <c r="C28" s="41"/>
      <c r="D28" s="41"/>
      <c r="E28" s="41"/>
      <c r="F28" s="41"/>
      <c r="G28" s="42"/>
      <c r="H28" s="42"/>
      <c r="I28" s="42"/>
      <c r="J28" s="41"/>
      <c r="K28" s="41"/>
      <c r="L28" s="41"/>
      <c r="M28" s="42"/>
      <c r="N28" s="42"/>
      <c r="O28" s="42"/>
      <c r="P28" s="43" t="str">
        <f t="shared" si="0"/>
        <v/>
      </c>
      <c r="Q28" s="43" t="str">
        <f t="shared" si="1"/>
        <v/>
      </c>
      <c r="R28" s="44" t="e">
        <f t="shared" si="2"/>
        <v>#VALUE!</v>
      </c>
      <c r="S28" s="44" t="e">
        <f t="shared" si="3"/>
        <v>#VALUE!</v>
      </c>
      <c r="T28" s="44" t="e">
        <f t="shared" si="4"/>
        <v>#VALUE!</v>
      </c>
      <c r="U28" s="45" t="e">
        <f t="shared" si="5"/>
        <v>#VALUE!</v>
      </c>
      <c r="V28" s="45" t="e">
        <f t="shared" si="6"/>
        <v>#VALUE!</v>
      </c>
      <c r="W28" s="45" t="e">
        <f t="shared" si="7"/>
        <v>#VALUE!</v>
      </c>
      <c r="X28" s="46"/>
      <c r="Y28" s="47" t="str">
        <f t="shared" si="8"/>
        <v/>
      </c>
      <c r="Z28" s="47" t="str">
        <f t="shared" si="9"/>
        <v/>
      </c>
      <c r="AA28" s="47" t="str">
        <f t="shared" si="10"/>
        <v/>
      </c>
      <c r="AB28" s="47" t="str">
        <f t="shared" si="11"/>
        <v>Нет локального эффекта</v>
      </c>
      <c r="AC28" s="47" t="str">
        <f t="shared" si="12"/>
        <v/>
      </c>
      <c r="AD28" s="47" t="str">
        <f t="shared" si="13"/>
        <v>Нет локального эффекта</v>
      </c>
      <c r="AE28" s="47" t="str">
        <f t="shared" si="14"/>
        <v/>
      </c>
      <c r="AF28" s="47" t="str">
        <f t="shared" si="15"/>
        <v>Нет локального эффекта</v>
      </c>
      <c r="AG28" s="47" t="str">
        <f t="shared" si="16"/>
        <v/>
      </c>
      <c r="AH28" s="48" t="str">
        <f>IF($B28="","","Общий итог: "&amp;IF($Y28="","ожидает D83",$Y28&amp;IF($Z28="—",""," — "&amp;$Z28))&amp;". Арес: "&amp;$AA28&amp;". "&amp;$AB28&amp;" Афина: "&amp;$AC28&amp;". "&amp;$AD28&amp;" Аполлон: "&amp;$AE28&amp;". "&amp;$AF28&amp;IF($AG28="",""," Общий эффект: "&amp;$AG28))</f>
        <v/>
      </c>
      <c r="BA28" t="s">
        <v>312</v>
      </c>
      <c r="BF28">
        <v>182477890</v>
      </c>
      <c r="BG28">
        <v>196906471</v>
      </c>
      <c r="BH28">
        <v>327850478</v>
      </c>
      <c r="BI28">
        <v>751941467</v>
      </c>
      <c r="BJ28">
        <v>405435699</v>
      </c>
      <c r="BK28">
        <v>703673198</v>
      </c>
      <c r="BL28">
        <v>132776724</v>
      </c>
      <c r="BM28">
        <f t="shared" si="17"/>
        <v>80337</v>
      </c>
      <c r="BN28">
        <f t="shared" si="18"/>
        <v>88256</v>
      </c>
      <c r="BO28">
        <f t="shared" si="19"/>
        <v>96175</v>
      </c>
      <c r="BP28">
        <f t="shared" si="20"/>
        <v>4091</v>
      </c>
      <c r="BQ28">
        <f t="shared" si="21"/>
        <v>12010</v>
      </c>
      <c r="BR28">
        <f t="shared" si="22"/>
        <v>19929</v>
      </c>
      <c r="BS28">
        <f t="shared" si="23"/>
        <v>27848</v>
      </c>
      <c r="BT28">
        <f t="shared" si="24"/>
        <v>35767</v>
      </c>
      <c r="BU28">
        <f t="shared" si="25"/>
        <v>43686</v>
      </c>
      <c r="BV28">
        <f t="shared" si="26"/>
        <v>51605</v>
      </c>
      <c r="BW28">
        <f t="shared" si="27"/>
        <v>6715</v>
      </c>
      <c r="BX28">
        <f t="shared" si="28"/>
        <v>12866</v>
      </c>
      <c r="BY28">
        <f t="shared" si="29"/>
        <v>19017</v>
      </c>
      <c r="BZ28">
        <f t="shared" si="30"/>
        <v>25168</v>
      </c>
      <c r="CA28">
        <f t="shared" si="31"/>
        <v>31319</v>
      </c>
      <c r="CB28">
        <f t="shared" si="32"/>
        <v>37470</v>
      </c>
      <c r="CC28">
        <f t="shared" si="33"/>
        <v>43621</v>
      </c>
      <c r="CD28">
        <f t="shared" si="34"/>
        <v>49772</v>
      </c>
      <c r="CE28">
        <f t="shared" si="35"/>
        <v>44215</v>
      </c>
      <c r="CF28">
        <f t="shared" si="36"/>
        <v>47786</v>
      </c>
      <c r="CG28">
        <f t="shared" si="37"/>
        <v>51357</v>
      </c>
      <c r="CH28">
        <f t="shared" si="38"/>
        <v>54928</v>
      </c>
      <c r="CI28">
        <f t="shared" si="39"/>
        <v>58499</v>
      </c>
      <c r="CJ28">
        <f t="shared" si="40"/>
        <v>62070</v>
      </c>
      <c r="CK28">
        <f t="shared" si="41"/>
        <v>65641</v>
      </c>
      <c r="CL28">
        <f t="shared" si="42"/>
        <v>69212</v>
      </c>
      <c r="CM28">
        <f t="shared" si="43"/>
        <v>72783</v>
      </c>
      <c r="CN28">
        <f t="shared" si="44"/>
        <v>76354</v>
      </c>
      <c r="CO28">
        <f t="shared" si="45"/>
        <v>79925</v>
      </c>
      <c r="CP28">
        <f t="shared" si="46"/>
        <v>83496</v>
      </c>
      <c r="CQ28">
        <f t="shared" si="47"/>
        <v>87067</v>
      </c>
      <c r="CR28">
        <f t="shared" si="48"/>
        <v>90638</v>
      </c>
      <c r="CS28">
        <f t="shared" si="49"/>
        <v>94209</v>
      </c>
      <c r="CT28">
        <f t="shared" si="50"/>
        <v>97780</v>
      </c>
      <c r="CU28">
        <f t="shared" si="51"/>
        <v>56531</v>
      </c>
      <c r="CV28">
        <f t="shared" si="52"/>
        <v>60972</v>
      </c>
      <c r="CW28">
        <f t="shared" si="53"/>
        <v>65413</v>
      </c>
      <c r="CX28">
        <f t="shared" si="54"/>
        <v>69854</v>
      </c>
      <c r="CY28">
        <f t="shared" si="55"/>
        <v>74295</v>
      </c>
      <c r="CZ28">
        <f t="shared" si="56"/>
        <v>78736</v>
      </c>
      <c r="DA28">
        <f t="shared" si="57"/>
        <v>83177</v>
      </c>
      <c r="DB28">
        <f t="shared" si="58"/>
        <v>87618</v>
      </c>
      <c r="DC28">
        <f t="shared" si="59"/>
        <v>92059</v>
      </c>
      <c r="DD28">
        <f t="shared" si="60"/>
        <v>96500</v>
      </c>
      <c r="DE28">
        <f t="shared" si="61"/>
        <v>938</v>
      </c>
      <c r="DF28">
        <f t="shared" si="62"/>
        <v>5379</v>
      </c>
      <c r="DG28">
        <f t="shared" si="63"/>
        <v>9820</v>
      </c>
      <c r="DH28">
        <f t="shared" si="64"/>
        <v>14261</v>
      </c>
      <c r="DI28">
        <f t="shared" si="65"/>
        <v>18702</v>
      </c>
      <c r="DJ28">
        <f t="shared" si="66"/>
        <v>23143</v>
      </c>
      <c r="DK28">
        <f t="shared" si="67"/>
        <v>74832</v>
      </c>
      <c r="DL28">
        <f t="shared" si="68"/>
        <v>76921</v>
      </c>
      <c r="DM28">
        <f t="shared" si="69"/>
        <v>79010</v>
      </c>
      <c r="DN28" t="str">
        <f t="shared" si="70"/>
        <v>Вода и ресурс отвода тепла</v>
      </c>
      <c r="DO28" t="str">
        <f t="shared" si="71"/>
        <v>Пространственные и природно-географические ресурсы</v>
      </c>
      <c r="DP28" t="str">
        <f t="shared" si="72"/>
        <v>Мощности производства полупроводников</v>
      </c>
      <c r="DQ28" t="str">
        <f t="shared" si="73"/>
        <v>Производство</v>
      </c>
      <c r="DR28" t="str">
        <f t="shared" si="74"/>
        <v>Управление</v>
      </c>
      <c r="DS28" t="str">
        <f t="shared" si="75"/>
        <v>Познание</v>
      </c>
      <c r="DT28" t="str">
        <f t="shared" si="76"/>
        <v>Россия</v>
      </c>
      <c r="DU28" t="str">
        <f t="shared" si="77"/>
        <v>США</v>
      </c>
      <c r="DV28" t="str">
        <f t="shared" si="78"/>
        <v>Китай</v>
      </c>
      <c r="DW28" t="str">
        <f t="shared" si="79"/>
        <v>Ресурсный</v>
      </c>
      <c r="DX28" t="str">
        <f t="shared" si="80"/>
        <v>Общественный</v>
      </c>
      <c r="DY28" t="str">
        <f t="shared" si="81"/>
        <v>Дипломатический</v>
      </c>
      <c r="DZ28" t="str">
        <f t="shared" si="82"/>
        <v>Готовность работников к использованию ИИ</v>
      </c>
      <c r="EA28" t="str">
        <f t="shared" si="83"/>
        <v>Обучение</v>
      </c>
      <c r="EB28" t="str">
        <f t="shared" si="84"/>
        <v>Саудовская Аравия</v>
      </c>
      <c r="EC28">
        <f t="shared" si="85"/>
        <v>0</v>
      </c>
      <c r="ED28">
        <f t="shared" si="86"/>
        <v>0</v>
      </c>
      <c r="EE28">
        <f t="shared" si="87"/>
        <v>0</v>
      </c>
      <c r="EF28">
        <f t="shared" si="88"/>
        <v>0</v>
      </c>
      <c r="EG28" t="str">
        <f t="shared" si="89"/>
        <v/>
      </c>
      <c r="EH28" t="str">
        <f t="shared" si="90"/>
        <v/>
      </c>
      <c r="EI28" t="str">
        <f t="shared" si="91"/>
        <v/>
      </c>
      <c r="EJ28" t="str">
        <f t="shared" si="92"/>
        <v/>
      </c>
      <c r="EK28" t="str">
        <f t="shared" si="93"/>
        <v/>
      </c>
      <c r="EL28" t="str">
        <f t="shared" si="94"/>
        <v/>
      </c>
      <c r="EM28" t="e">
        <f t="shared" si="95"/>
        <v>#VALUE!</v>
      </c>
      <c r="EN28" t="e">
        <f t="shared" si="96"/>
        <v>#VALUE!</v>
      </c>
      <c r="EO28" t="str">
        <f t="shared" si="97"/>
        <v/>
      </c>
      <c r="EP28" t="str">
        <f t="shared" si="98"/>
        <v/>
      </c>
      <c r="EQ28" t="str">
        <f t="shared" si="99"/>
        <v/>
      </c>
      <c r="ER28" t="str">
        <f t="shared" si="100"/>
        <v/>
      </c>
      <c r="ES28" t="str">
        <f t="shared" si="101"/>
        <v/>
      </c>
    </row>
    <row r="29" spans="1:149" ht="52.8" customHeight="1">
      <c r="A29" s="40"/>
      <c r="B29" s="41"/>
      <c r="C29" s="41"/>
      <c r="D29" s="41"/>
      <c r="E29" s="41"/>
      <c r="F29" s="41"/>
      <c r="G29" s="42"/>
      <c r="H29" s="42"/>
      <c r="I29" s="42"/>
      <c r="J29" s="41"/>
      <c r="K29" s="41"/>
      <c r="L29" s="41"/>
      <c r="M29" s="42"/>
      <c r="N29" s="42"/>
      <c r="O29" s="42"/>
      <c r="P29" s="43" t="str">
        <f t="shared" si="0"/>
        <v/>
      </c>
      <c r="Q29" s="43" t="str">
        <f t="shared" si="1"/>
        <v/>
      </c>
      <c r="R29" s="44" t="e">
        <f t="shared" si="2"/>
        <v>#VALUE!</v>
      </c>
      <c r="S29" s="44" t="e">
        <f t="shared" si="3"/>
        <v>#VALUE!</v>
      </c>
      <c r="T29" s="44" t="e">
        <f t="shared" si="4"/>
        <v>#VALUE!</v>
      </c>
      <c r="U29" s="45" t="e">
        <f t="shared" si="5"/>
        <v>#VALUE!</v>
      </c>
      <c r="V29" s="45" t="e">
        <f t="shared" si="6"/>
        <v>#VALUE!</v>
      </c>
      <c r="W29" s="45" t="e">
        <f t="shared" si="7"/>
        <v>#VALUE!</v>
      </c>
      <c r="X29" s="46"/>
      <c r="Y29" s="47" t="str">
        <f t="shared" si="8"/>
        <v/>
      </c>
      <c r="Z29" s="47" t="str">
        <f t="shared" si="9"/>
        <v/>
      </c>
      <c r="AA29" s="47" t="str">
        <f t="shared" si="10"/>
        <v/>
      </c>
      <c r="AB29" s="47" t="str">
        <f t="shared" si="11"/>
        <v>Нет локального эффекта</v>
      </c>
      <c r="AC29" s="47" t="str">
        <f t="shared" si="12"/>
        <v/>
      </c>
      <c r="AD29" s="47" t="str">
        <f t="shared" si="13"/>
        <v>Нет локального эффекта</v>
      </c>
      <c r="AE29" s="47" t="str">
        <f t="shared" si="14"/>
        <v/>
      </c>
      <c r="AF29" s="47" t="str">
        <f t="shared" si="15"/>
        <v>Нет локального эффекта</v>
      </c>
      <c r="AG29" s="47" t="str">
        <f t="shared" si="16"/>
        <v/>
      </c>
      <c r="AH29" s="48" t="str">
        <f>IF($B29="","","Общий итог: "&amp;IF($Y29="","ожидает D84",$Y29&amp;IF($Z29="—",""," — "&amp;$Z29))&amp;". Арес: "&amp;$AA29&amp;". "&amp;$AB29&amp;" Афина: "&amp;$AC29&amp;". "&amp;$AD29&amp;" Аполлон: "&amp;$AE29&amp;". "&amp;$AF29&amp;IF($AG29="",""," Общий эффект: "&amp;$AG29))</f>
        <v/>
      </c>
      <c r="BA29" t="s">
        <v>313</v>
      </c>
      <c r="BF29">
        <v>485507795</v>
      </c>
      <c r="BG29">
        <v>531020419</v>
      </c>
      <c r="BH29">
        <v>340617598</v>
      </c>
      <c r="BI29">
        <v>938928108</v>
      </c>
      <c r="BJ29">
        <v>411304411</v>
      </c>
      <c r="BK29">
        <v>842596870</v>
      </c>
      <c r="BL29">
        <v>589147269</v>
      </c>
      <c r="BM29">
        <f t="shared" si="17"/>
        <v>1149</v>
      </c>
      <c r="BN29">
        <f t="shared" si="18"/>
        <v>9068</v>
      </c>
      <c r="BO29">
        <f t="shared" si="19"/>
        <v>16987</v>
      </c>
      <c r="BP29">
        <f t="shared" si="20"/>
        <v>24906</v>
      </c>
      <c r="BQ29">
        <f t="shared" si="21"/>
        <v>32825</v>
      </c>
      <c r="BR29">
        <f t="shared" si="22"/>
        <v>40744</v>
      </c>
      <c r="BS29">
        <f t="shared" si="23"/>
        <v>48663</v>
      </c>
      <c r="BT29">
        <f t="shared" si="24"/>
        <v>56582</v>
      </c>
      <c r="BU29">
        <f t="shared" si="25"/>
        <v>64501</v>
      </c>
      <c r="BV29">
        <f t="shared" si="26"/>
        <v>72420</v>
      </c>
      <c r="BW29">
        <f t="shared" si="27"/>
        <v>10640</v>
      </c>
      <c r="BX29">
        <f t="shared" si="28"/>
        <v>16791</v>
      </c>
      <c r="BY29">
        <f t="shared" si="29"/>
        <v>22942</v>
      </c>
      <c r="BZ29">
        <f t="shared" si="30"/>
        <v>29093</v>
      </c>
      <c r="CA29">
        <f t="shared" si="31"/>
        <v>35244</v>
      </c>
      <c r="CB29">
        <f t="shared" si="32"/>
        <v>41395</v>
      </c>
      <c r="CC29">
        <f t="shared" si="33"/>
        <v>47546</v>
      </c>
      <c r="CD29">
        <f t="shared" si="34"/>
        <v>53697</v>
      </c>
      <c r="CE29">
        <f t="shared" si="35"/>
        <v>10951</v>
      </c>
      <c r="CF29">
        <f t="shared" si="36"/>
        <v>14522</v>
      </c>
      <c r="CG29">
        <f t="shared" si="37"/>
        <v>18093</v>
      </c>
      <c r="CH29">
        <f t="shared" si="38"/>
        <v>21664</v>
      </c>
      <c r="CI29">
        <f t="shared" si="39"/>
        <v>25235</v>
      </c>
      <c r="CJ29">
        <f t="shared" si="40"/>
        <v>28806</v>
      </c>
      <c r="CK29">
        <f t="shared" si="41"/>
        <v>32377</v>
      </c>
      <c r="CL29">
        <f t="shared" si="42"/>
        <v>35948</v>
      </c>
      <c r="CM29">
        <f t="shared" si="43"/>
        <v>39519</v>
      </c>
      <c r="CN29">
        <f t="shared" si="44"/>
        <v>43090</v>
      </c>
      <c r="CO29">
        <f t="shared" si="45"/>
        <v>46661</v>
      </c>
      <c r="CP29">
        <f t="shared" si="46"/>
        <v>50232</v>
      </c>
      <c r="CQ29">
        <f t="shared" si="47"/>
        <v>53803</v>
      </c>
      <c r="CR29">
        <f t="shared" si="48"/>
        <v>57374</v>
      </c>
      <c r="CS29">
        <f t="shared" si="49"/>
        <v>60945</v>
      </c>
      <c r="CT29">
        <f t="shared" si="50"/>
        <v>64516</v>
      </c>
      <c r="CU29">
        <f t="shared" si="51"/>
        <v>76036</v>
      </c>
      <c r="CV29">
        <f t="shared" si="52"/>
        <v>80477</v>
      </c>
      <c r="CW29">
        <f t="shared" si="53"/>
        <v>84918</v>
      </c>
      <c r="CX29">
        <f t="shared" si="54"/>
        <v>89359</v>
      </c>
      <c r="CY29">
        <f t="shared" si="55"/>
        <v>93800</v>
      </c>
      <c r="CZ29">
        <f t="shared" si="56"/>
        <v>98241</v>
      </c>
      <c r="DA29">
        <f t="shared" si="57"/>
        <v>2679</v>
      </c>
      <c r="DB29">
        <f t="shared" si="58"/>
        <v>7120</v>
      </c>
      <c r="DC29">
        <f t="shared" si="59"/>
        <v>11561</v>
      </c>
      <c r="DD29">
        <f t="shared" si="60"/>
        <v>16002</v>
      </c>
      <c r="DE29">
        <f t="shared" si="61"/>
        <v>20443</v>
      </c>
      <c r="DF29">
        <f t="shared" si="62"/>
        <v>24884</v>
      </c>
      <c r="DG29">
        <f t="shared" si="63"/>
        <v>29325</v>
      </c>
      <c r="DH29">
        <f t="shared" si="64"/>
        <v>33766</v>
      </c>
      <c r="DI29">
        <f t="shared" si="65"/>
        <v>38207</v>
      </c>
      <c r="DJ29">
        <f t="shared" si="66"/>
        <v>42648</v>
      </c>
      <c r="DK29">
        <f t="shared" si="67"/>
        <v>31685</v>
      </c>
      <c r="DL29">
        <f t="shared" si="68"/>
        <v>33774</v>
      </c>
      <c r="DM29">
        <f t="shared" si="69"/>
        <v>35863</v>
      </c>
      <c r="DN29" t="str">
        <f t="shared" si="70"/>
        <v>Минерально-сырьевые ресурсы</v>
      </c>
      <c r="DO29" t="str">
        <f t="shared" si="71"/>
        <v>Химические и технологические материалы</v>
      </c>
      <c r="DP29" t="str">
        <f t="shared" si="72"/>
        <v>Энергетические ресурсы</v>
      </c>
      <c r="DQ29" t="str">
        <f t="shared" si="73"/>
        <v>Производство</v>
      </c>
      <c r="DR29" t="str">
        <f t="shared" si="74"/>
        <v>Управление</v>
      </c>
      <c r="DS29" t="str">
        <f t="shared" si="75"/>
        <v>Познание</v>
      </c>
      <c r="DT29" t="str">
        <f t="shared" si="76"/>
        <v>Россия</v>
      </c>
      <c r="DU29" t="str">
        <f t="shared" si="77"/>
        <v>США</v>
      </c>
      <c r="DV29" t="str">
        <f t="shared" si="78"/>
        <v>Китай</v>
      </c>
      <c r="DW29" t="str">
        <f t="shared" si="79"/>
        <v>Ресурсный</v>
      </c>
      <c r="DX29" t="str">
        <f t="shared" si="80"/>
        <v>Общественный</v>
      </c>
      <c r="DY29" t="str">
        <f t="shared" si="81"/>
        <v>Дипломатический</v>
      </c>
      <c r="DZ29" t="str">
        <f t="shared" si="82"/>
        <v>Контекстные информационные ресурсы</v>
      </c>
      <c r="EA29" t="str">
        <f t="shared" si="83"/>
        <v>Обучение</v>
      </c>
      <c r="EB29" t="str">
        <f t="shared" si="84"/>
        <v>Германия</v>
      </c>
      <c r="EC29">
        <f t="shared" si="85"/>
        <v>0</v>
      </c>
      <c r="ED29">
        <f t="shared" si="86"/>
        <v>0</v>
      </c>
      <c r="EE29">
        <f t="shared" si="87"/>
        <v>0</v>
      </c>
      <c r="EF29">
        <f t="shared" si="88"/>
        <v>0</v>
      </c>
      <c r="EG29" t="str">
        <f t="shared" si="89"/>
        <v/>
      </c>
      <c r="EH29" t="str">
        <f t="shared" si="90"/>
        <v/>
      </c>
      <c r="EI29" t="str">
        <f t="shared" si="91"/>
        <v/>
      </c>
      <c r="EJ29" t="str">
        <f t="shared" si="92"/>
        <v/>
      </c>
      <c r="EK29" t="str">
        <f t="shared" si="93"/>
        <v/>
      </c>
      <c r="EL29" t="str">
        <f t="shared" si="94"/>
        <v/>
      </c>
      <c r="EM29" t="e">
        <f t="shared" si="95"/>
        <v>#VALUE!</v>
      </c>
      <c r="EN29" t="e">
        <f t="shared" si="96"/>
        <v>#VALUE!</v>
      </c>
      <c r="EO29" t="str">
        <f t="shared" si="97"/>
        <v/>
      </c>
      <c r="EP29" t="str">
        <f t="shared" si="98"/>
        <v/>
      </c>
      <c r="EQ29" t="str">
        <f t="shared" si="99"/>
        <v/>
      </c>
      <c r="ER29" t="str">
        <f t="shared" si="100"/>
        <v/>
      </c>
      <c r="ES29" t="str">
        <f t="shared" si="101"/>
        <v/>
      </c>
    </row>
    <row r="30" spans="1:149" ht="52.8" customHeight="1">
      <c r="A30" s="40"/>
      <c r="B30" s="41"/>
      <c r="C30" s="41"/>
      <c r="D30" s="41"/>
      <c r="E30" s="41"/>
      <c r="F30" s="41"/>
      <c r="G30" s="42"/>
      <c r="H30" s="42"/>
      <c r="I30" s="42"/>
      <c r="J30" s="41"/>
      <c r="K30" s="41"/>
      <c r="L30" s="41"/>
      <c r="M30" s="42"/>
      <c r="N30" s="42"/>
      <c r="O30" s="42"/>
      <c r="P30" s="43" t="str">
        <f t="shared" si="0"/>
        <v/>
      </c>
      <c r="Q30" s="43" t="str">
        <f t="shared" si="1"/>
        <v/>
      </c>
      <c r="R30" s="44" t="e">
        <f t="shared" si="2"/>
        <v>#VALUE!</v>
      </c>
      <c r="S30" s="44" t="e">
        <f t="shared" si="3"/>
        <v>#VALUE!</v>
      </c>
      <c r="T30" s="44" t="e">
        <f t="shared" si="4"/>
        <v>#VALUE!</v>
      </c>
      <c r="U30" s="45" t="e">
        <f t="shared" si="5"/>
        <v>#VALUE!</v>
      </c>
      <c r="V30" s="45" t="e">
        <f t="shared" si="6"/>
        <v>#VALUE!</v>
      </c>
      <c r="W30" s="45" t="e">
        <f t="shared" si="7"/>
        <v>#VALUE!</v>
      </c>
      <c r="X30" s="46"/>
      <c r="Y30" s="47" t="str">
        <f t="shared" si="8"/>
        <v/>
      </c>
      <c r="Z30" s="47" t="str">
        <f t="shared" si="9"/>
        <v/>
      </c>
      <c r="AA30" s="47" t="str">
        <f t="shared" si="10"/>
        <v/>
      </c>
      <c r="AB30" s="47" t="str">
        <f t="shared" si="11"/>
        <v>Нет локального эффекта</v>
      </c>
      <c r="AC30" s="47" t="str">
        <f t="shared" si="12"/>
        <v/>
      </c>
      <c r="AD30" s="47" t="str">
        <f t="shared" si="13"/>
        <v>Нет локального эффекта</v>
      </c>
      <c r="AE30" s="47" t="str">
        <f t="shared" si="14"/>
        <v/>
      </c>
      <c r="AF30" s="47" t="str">
        <f t="shared" si="15"/>
        <v>Нет локального эффекта</v>
      </c>
      <c r="AG30" s="47" t="str">
        <f t="shared" si="16"/>
        <v/>
      </c>
      <c r="AH30" s="48" t="str">
        <f>IF($B30="","","Общий итог: "&amp;IF($Y30="","ожидает D85",$Y30&amp;IF($Z30="—",""," — "&amp;$Z30))&amp;". Арес: "&amp;$AA30&amp;". "&amp;$AB30&amp;" Афина: "&amp;$AC30&amp;". "&amp;$AD30&amp;" Аполлон: "&amp;$AE30&amp;". "&amp;$AF30&amp;IF($AG30="",""," Общий эффект: "&amp;$AG30))</f>
        <v/>
      </c>
      <c r="BA30" t="s">
        <v>314</v>
      </c>
      <c r="BF30">
        <v>604260651</v>
      </c>
      <c r="BG30">
        <v>985181371</v>
      </c>
      <c r="BH30">
        <v>252078974</v>
      </c>
      <c r="BI30">
        <v>506237396</v>
      </c>
      <c r="BJ30">
        <v>255291757</v>
      </c>
      <c r="BK30">
        <v>455118414</v>
      </c>
      <c r="BL30">
        <v>650991495</v>
      </c>
      <c r="BM30">
        <f t="shared" si="17"/>
        <v>50444</v>
      </c>
      <c r="BN30">
        <f t="shared" si="18"/>
        <v>58363</v>
      </c>
      <c r="BO30">
        <f t="shared" si="19"/>
        <v>66282</v>
      </c>
      <c r="BP30">
        <f t="shared" si="20"/>
        <v>74201</v>
      </c>
      <c r="BQ30">
        <f t="shared" si="21"/>
        <v>82120</v>
      </c>
      <c r="BR30">
        <f t="shared" si="22"/>
        <v>90039</v>
      </c>
      <c r="BS30">
        <f t="shared" si="23"/>
        <v>97958</v>
      </c>
      <c r="BT30">
        <f t="shared" si="24"/>
        <v>5874</v>
      </c>
      <c r="BU30">
        <f t="shared" si="25"/>
        <v>13793</v>
      </c>
      <c r="BV30">
        <f t="shared" si="26"/>
        <v>21712</v>
      </c>
      <c r="BW30">
        <f t="shared" si="27"/>
        <v>57969</v>
      </c>
      <c r="BX30">
        <f t="shared" si="28"/>
        <v>64120</v>
      </c>
      <c r="BY30">
        <f t="shared" si="29"/>
        <v>70271</v>
      </c>
      <c r="BZ30">
        <f t="shared" si="30"/>
        <v>76422</v>
      </c>
      <c r="CA30">
        <f t="shared" si="31"/>
        <v>82573</v>
      </c>
      <c r="CB30">
        <f t="shared" si="32"/>
        <v>88724</v>
      </c>
      <c r="CC30">
        <f t="shared" si="33"/>
        <v>94875</v>
      </c>
      <c r="CD30">
        <f t="shared" si="34"/>
        <v>1023</v>
      </c>
      <c r="CE30">
        <f t="shared" si="35"/>
        <v>74985</v>
      </c>
      <c r="CF30">
        <f t="shared" si="36"/>
        <v>78556</v>
      </c>
      <c r="CG30">
        <f t="shared" si="37"/>
        <v>82127</v>
      </c>
      <c r="CH30">
        <f t="shared" si="38"/>
        <v>85698</v>
      </c>
      <c r="CI30">
        <f t="shared" si="39"/>
        <v>89269</v>
      </c>
      <c r="CJ30">
        <f t="shared" si="40"/>
        <v>92840</v>
      </c>
      <c r="CK30">
        <f t="shared" si="41"/>
        <v>96411</v>
      </c>
      <c r="CL30">
        <f t="shared" si="42"/>
        <v>99982</v>
      </c>
      <c r="CM30">
        <f t="shared" si="43"/>
        <v>3550</v>
      </c>
      <c r="CN30">
        <f t="shared" si="44"/>
        <v>7121</v>
      </c>
      <c r="CO30">
        <f t="shared" si="45"/>
        <v>10692</v>
      </c>
      <c r="CP30">
        <f t="shared" si="46"/>
        <v>14263</v>
      </c>
      <c r="CQ30">
        <f t="shared" si="47"/>
        <v>17834</v>
      </c>
      <c r="CR30">
        <f t="shared" si="48"/>
        <v>21405</v>
      </c>
      <c r="CS30">
        <f t="shared" si="49"/>
        <v>24976</v>
      </c>
      <c r="CT30">
        <f t="shared" si="50"/>
        <v>28547</v>
      </c>
      <c r="CU30">
        <f t="shared" si="51"/>
        <v>9202</v>
      </c>
      <c r="CV30">
        <f t="shared" si="52"/>
        <v>13643</v>
      </c>
      <c r="CW30">
        <f t="shared" si="53"/>
        <v>18084</v>
      </c>
      <c r="CX30">
        <f t="shared" si="54"/>
        <v>22525</v>
      </c>
      <c r="CY30">
        <f t="shared" si="55"/>
        <v>26966</v>
      </c>
      <c r="CZ30">
        <f t="shared" si="56"/>
        <v>31407</v>
      </c>
      <c r="DA30">
        <f t="shared" si="57"/>
        <v>35848</v>
      </c>
      <c r="DB30">
        <f t="shared" si="58"/>
        <v>40289</v>
      </c>
      <c r="DC30">
        <f t="shared" si="59"/>
        <v>44730</v>
      </c>
      <c r="DD30">
        <f t="shared" si="60"/>
        <v>49171</v>
      </c>
      <c r="DE30">
        <f t="shared" si="61"/>
        <v>53612</v>
      </c>
      <c r="DF30">
        <f t="shared" si="62"/>
        <v>58053</v>
      </c>
      <c r="DG30">
        <f t="shared" si="63"/>
        <v>62494</v>
      </c>
      <c r="DH30">
        <f t="shared" si="64"/>
        <v>66935</v>
      </c>
      <c r="DI30">
        <f t="shared" si="65"/>
        <v>71376</v>
      </c>
      <c r="DJ30">
        <f t="shared" si="66"/>
        <v>75817</v>
      </c>
      <c r="DK30">
        <f t="shared" si="67"/>
        <v>74057</v>
      </c>
      <c r="DL30">
        <f t="shared" si="68"/>
        <v>76146</v>
      </c>
      <c r="DM30">
        <f t="shared" si="69"/>
        <v>78235</v>
      </c>
      <c r="DN30" t="str">
        <f t="shared" si="70"/>
        <v>ЦОД и вычислительная инфраструктура</v>
      </c>
      <c r="DO30" t="str">
        <f t="shared" si="71"/>
        <v>Сетевые ресурсы</v>
      </c>
      <c r="DP30" t="str">
        <f t="shared" si="72"/>
        <v>Конечные устройства</v>
      </c>
      <c r="DQ30" t="str">
        <f t="shared" si="73"/>
        <v>Принятие ИИ</v>
      </c>
      <c r="DR30" t="str">
        <f t="shared" si="74"/>
        <v>Производство</v>
      </c>
      <c r="DS30" t="str">
        <f t="shared" si="75"/>
        <v>Управление</v>
      </c>
      <c r="DT30" t="str">
        <f t="shared" si="76"/>
        <v>Южная Корея</v>
      </c>
      <c r="DU30" t="str">
        <f t="shared" si="77"/>
        <v>Турция</v>
      </c>
      <c r="DV30" t="str">
        <f t="shared" si="78"/>
        <v>Саудовская Аравия</v>
      </c>
      <c r="DW30" t="str">
        <f t="shared" si="79"/>
        <v>Ресурсный</v>
      </c>
      <c r="DX30" t="str">
        <f t="shared" si="80"/>
        <v>Общественный</v>
      </c>
      <c r="DY30" t="str">
        <f t="shared" si="81"/>
        <v>Дипломатический</v>
      </c>
      <c r="DZ30" t="str">
        <f t="shared" si="82"/>
        <v>Поставщики и рынок технологических услуг</v>
      </c>
      <c r="EA30" t="str">
        <f t="shared" si="83"/>
        <v>Экономика</v>
      </c>
      <c r="EB30" t="str">
        <f t="shared" si="84"/>
        <v>Россия</v>
      </c>
      <c r="EC30">
        <f t="shared" si="85"/>
        <v>0</v>
      </c>
      <c r="ED30">
        <f t="shared" si="86"/>
        <v>0</v>
      </c>
      <c r="EE30">
        <f t="shared" si="87"/>
        <v>0</v>
      </c>
      <c r="EF30">
        <f t="shared" si="88"/>
        <v>0</v>
      </c>
      <c r="EG30" t="str">
        <f t="shared" si="89"/>
        <v/>
      </c>
      <c r="EH30" t="str">
        <f t="shared" si="90"/>
        <v/>
      </c>
      <c r="EI30" t="str">
        <f t="shared" si="91"/>
        <v/>
      </c>
      <c r="EJ30" t="str">
        <f t="shared" si="92"/>
        <v/>
      </c>
      <c r="EK30" t="str">
        <f t="shared" si="93"/>
        <v/>
      </c>
      <c r="EL30" t="str">
        <f t="shared" si="94"/>
        <v/>
      </c>
      <c r="EM30" t="e">
        <f t="shared" si="95"/>
        <v>#VALUE!</v>
      </c>
      <c r="EN30" t="e">
        <f t="shared" si="96"/>
        <v>#VALUE!</v>
      </c>
      <c r="EO30" t="str">
        <f t="shared" si="97"/>
        <v/>
      </c>
      <c r="EP30" t="str">
        <f t="shared" si="98"/>
        <v/>
      </c>
      <c r="EQ30" t="str">
        <f t="shared" si="99"/>
        <v/>
      </c>
      <c r="ER30" t="str">
        <f t="shared" si="100"/>
        <v/>
      </c>
      <c r="ES30" t="str">
        <f t="shared" si="101"/>
        <v/>
      </c>
    </row>
    <row r="31" spans="1:149" ht="52.8" customHeight="1">
      <c r="A31" s="40"/>
      <c r="B31" s="41"/>
      <c r="C31" s="41"/>
      <c r="D31" s="41"/>
      <c r="E31" s="41"/>
      <c r="F31" s="41"/>
      <c r="G31" s="42"/>
      <c r="H31" s="42"/>
      <c r="I31" s="42"/>
      <c r="J31" s="41"/>
      <c r="K31" s="41"/>
      <c r="L31" s="41"/>
      <c r="M31" s="42"/>
      <c r="N31" s="42"/>
      <c r="O31" s="42"/>
      <c r="P31" s="43" t="str">
        <f t="shared" si="0"/>
        <v/>
      </c>
      <c r="Q31" s="43" t="str">
        <f t="shared" si="1"/>
        <v/>
      </c>
      <c r="R31" s="44" t="e">
        <f t="shared" si="2"/>
        <v>#VALUE!</v>
      </c>
      <c r="S31" s="44" t="e">
        <f t="shared" si="3"/>
        <v>#VALUE!</v>
      </c>
      <c r="T31" s="44" t="e">
        <f t="shared" si="4"/>
        <v>#VALUE!</v>
      </c>
      <c r="U31" s="45" t="e">
        <f t="shared" si="5"/>
        <v>#VALUE!</v>
      </c>
      <c r="V31" s="45" t="e">
        <f t="shared" si="6"/>
        <v>#VALUE!</v>
      </c>
      <c r="W31" s="45" t="e">
        <f t="shared" si="7"/>
        <v>#VALUE!</v>
      </c>
      <c r="X31" s="46"/>
      <c r="Y31" s="47" t="str">
        <f t="shared" si="8"/>
        <v/>
      </c>
      <c r="Z31" s="47" t="str">
        <f t="shared" si="9"/>
        <v/>
      </c>
      <c r="AA31" s="47" t="str">
        <f t="shared" si="10"/>
        <v/>
      </c>
      <c r="AB31" s="47" t="str">
        <f t="shared" si="11"/>
        <v>Нет локального эффекта</v>
      </c>
      <c r="AC31" s="47" t="str">
        <f t="shared" si="12"/>
        <v/>
      </c>
      <c r="AD31" s="47" t="str">
        <f t="shared" si="13"/>
        <v>Нет локального эффекта</v>
      </c>
      <c r="AE31" s="47" t="str">
        <f t="shared" si="14"/>
        <v/>
      </c>
      <c r="AF31" s="47" t="str">
        <f t="shared" si="15"/>
        <v>Нет локального эффекта</v>
      </c>
      <c r="AG31" s="47" t="str">
        <f t="shared" si="16"/>
        <v/>
      </c>
      <c r="AH31" s="48" t="str">
        <f>IF($B31="","","Общий итог: "&amp;IF($Y31="","ожидает D86",$Y31&amp;IF($Z31="—",""," — "&amp;$Z31))&amp;". Арес: "&amp;$AA31&amp;". "&amp;$AB31&amp;" Афина: "&amp;$AC31&amp;". "&amp;$AD31&amp;" Аполлон: "&amp;$AE31&amp;". "&amp;$AF31&amp;IF($AG31="",""," Общий эффект: "&amp;$AG31))</f>
        <v/>
      </c>
      <c r="BA31" t="s">
        <v>315</v>
      </c>
      <c r="BF31">
        <v>225874662</v>
      </c>
      <c r="BG31">
        <v>475654215</v>
      </c>
      <c r="BH31">
        <v>717101696</v>
      </c>
      <c r="BI31">
        <v>898009755</v>
      </c>
      <c r="BJ31">
        <v>189745238</v>
      </c>
      <c r="BK31">
        <v>874068303</v>
      </c>
      <c r="BL31">
        <v>241082509</v>
      </c>
      <c r="BM31">
        <f t="shared" si="17"/>
        <v>75807</v>
      </c>
      <c r="BN31">
        <f t="shared" si="18"/>
        <v>83726</v>
      </c>
      <c r="BO31">
        <f t="shared" si="19"/>
        <v>91645</v>
      </c>
      <c r="BP31">
        <f t="shared" si="20"/>
        <v>99564</v>
      </c>
      <c r="BQ31">
        <f t="shared" si="21"/>
        <v>7480</v>
      </c>
      <c r="BR31">
        <f t="shared" si="22"/>
        <v>15399</v>
      </c>
      <c r="BS31">
        <f t="shared" si="23"/>
        <v>23318</v>
      </c>
      <c r="BT31">
        <f t="shared" si="24"/>
        <v>31237</v>
      </c>
      <c r="BU31">
        <f t="shared" si="25"/>
        <v>39156</v>
      </c>
      <c r="BV31">
        <f t="shared" si="26"/>
        <v>47075</v>
      </c>
      <c r="BW31">
        <f t="shared" si="27"/>
        <v>46098</v>
      </c>
      <c r="BX31">
        <f t="shared" si="28"/>
        <v>52249</v>
      </c>
      <c r="BY31">
        <f t="shared" si="29"/>
        <v>58400</v>
      </c>
      <c r="BZ31">
        <f t="shared" si="30"/>
        <v>64551</v>
      </c>
      <c r="CA31">
        <f t="shared" si="31"/>
        <v>70702</v>
      </c>
      <c r="CB31">
        <f t="shared" si="32"/>
        <v>76853</v>
      </c>
      <c r="CC31">
        <f t="shared" si="33"/>
        <v>83004</v>
      </c>
      <c r="CD31">
        <f t="shared" si="34"/>
        <v>89155</v>
      </c>
      <c r="CE31">
        <f t="shared" si="35"/>
        <v>83757</v>
      </c>
      <c r="CF31">
        <f t="shared" si="36"/>
        <v>87328</v>
      </c>
      <c r="CG31">
        <f t="shared" si="37"/>
        <v>90899</v>
      </c>
      <c r="CH31">
        <f t="shared" si="38"/>
        <v>94470</v>
      </c>
      <c r="CI31">
        <f t="shared" si="39"/>
        <v>98041</v>
      </c>
      <c r="CJ31">
        <f t="shared" si="40"/>
        <v>1609</v>
      </c>
      <c r="CK31">
        <f t="shared" si="41"/>
        <v>5180</v>
      </c>
      <c r="CL31">
        <f t="shared" si="42"/>
        <v>8751</v>
      </c>
      <c r="CM31">
        <f t="shared" si="43"/>
        <v>12322</v>
      </c>
      <c r="CN31">
        <f t="shared" si="44"/>
        <v>15893</v>
      </c>
      <c r="CO31">
        <f t="shared" si="45"/>
        <v>19464</v>
      </c>
      <c r="CP31">
        <f t="shared" si="46"/>
        <v>23035</v>
      </c>
      <c r="CQ31">
        <f t="shared" si="47"/>
        <v>26606</v>
      </c>
      <c r="CR31">
        <f t="shared" si="48"/>
        <v>30177</v>
      </c>
      <c r="CS31">
        <f t="shared" si="49"/>
        <v>33748</v>
      </c>
      <c r="CT31">
        <f t="shared" si="50"/>
        <v>37319</v>
      </c>
      <c r="CU31">
        <f t="shared" si="51"/>
        <v>46524</v>
      </c>
      <c r="CV31">
        <f t="shared" si="52"/>
        <v>50965</v>
      </c>
      <c r="CW31">
        <f t="shared" si="53"/>
        <v>55406</v>
      </c>
      <c r="CX31">
        <f t="shared" si="54"/>
        <v>59847</v>
      </c>
      <c r="CY31">
        <f t="shared" si="55"/>
        <v>64288</v>
      </c>
      <c r="CZ31">
        <f t="shared" si="56"/>
        <v>68729</v>
      </c>
      <c r="DA31">
        <f t="shared" si="57"/>
        <v>73170</v>
      </c>
      <c r="DB31">
        <f t="shared" si="58"/>
        <v>77611</v>
      </c>
      <c r="DC31">
        <f t="shared" si="59"/>
        <v>82052</v>
      </c>
      <c r="DD31">
        <f t="shared" si="60"/>
        <v>86493</v>
      </c>
      <c r="DE31">
        <f t="shared" si="61"/>
        <v>90934</v>
      </c>
      <c r="DF31">
        <f t="shared" si="62"/>
        <v>95375</v>
      </c>
      <c r="DG31">
        <f t="shared" si="63"/>
        <v>99816</v>
      </c>
      <c r="DH31">
        <f t="shared" si="64"/>
        <v>4254</v>
      </c>
      <c r="DI31">
        <f t="shared" si="65"/>
        <v>8695</v>
      </c>
      <c r="DJ31">
        <f t="shared" si="66"/>
        <v>13136</v>
      </c>
      <c r="DK31">
        <f t="shared" si="67"/>
        <v>77368</v>
      </c>
      <c r="DL31">
        <f t="shared" si="68"/>
        <v>79457</v>
      </c>
      <c r="DM31">
        <f t="shared" si="69"/>
        <v>81546</v>
      </c>
      <c r="DN31" t="str">
        <f t="shared" si="70"/>
        <v>Пространственные и природно-географические ресурсы</v>
      </c>
      <c r="DO31" t="str">
        <f t="shared" si="71"/>
        <v>Мощности производства полупроводников</v>
      </c>
      <c r="DP31" t="str">
        <f t="shared" si="72"/>
        <v>Вычислительные компоненты</v>
      </c>
      <c r="DQ31" t="str">
        <f t="shared" si="73"/>
        <v>Производство</v>
      </c>
      <c r="DR31" t="str">
        <f t="shared" si="74"/>
        <v>Управление</v>
      </c>
      <c r="DS31" t="str">
        <f t="shared" si="75"/>
        <v>Познание</v>
      </c>
      <c r="DT31" t="str">
        <f t="shared" si="76"/>
        <v>Франция</v>
      </c>
      <c r="DU31" t="str">
        <f t="shared" si="77"/>
        <v>Германия</v>
      </c>
      <c r="DV31" t="str">
        <f t="shared" si="78"/>
        <v>Япония</v>
      </c>
      <c r="DW31" t="str">
        <f t="shared" si="79"/>
        <v>Ресурсный</v>
      </c>
      <c r="DX31" t="str">
        <f t="shared" si="80"/>
        <v>Общественный</v>
      </c>
      <c r="DY31" t="str">
        <f t="shared" si="81"/>
        <v>Дипломатический</v>
      </c>
      <c r="DZ31" t="str">
        <f t="shared" si="82"/>
        <v>Институциональная инфраструктура</v>
      </c>
      <c r="EA31" t="str">
        <f t="shared" si="83"/>
        <v>Государственное управление</v>
      </c>
      <c r="EB31" t="str">
        <f t="shared" si="84"/>
        <v>Бразилия</v>
      </c>
      <c r="EC31">
        <f t="shared" si="85"/>
        <v>0</v>
      </c>
      <c r="ED31">
        <f t="shared" si="86"/>
        <v>0</v>
      </c>
      <c r="EE31">
        <f t="shared" si="87"/>
        <v>0</v>
      </c>
      <c r="EF31">
        <f t="shared" si="88"/>
        <v>0</v>
      </c>
      <c r="EG31" t="str">
        <f t="shared" si="89"/>
        <v/>
      </c>
      <c r="EH31" t="str">
        <f t="shared" si="90"/>
        <v/>
      </c>
      <c r="EI31" t="str">
        <f t="shared" si="91"/>
        <v/>
      </c>
      <c r="EJ31" t="str">
        <f t="shared" si="92"/>
        <v/>
      </c>
      <c r="EK31" t="str">
        <f t="shared" si="93"/>
        <v/>
      </c>
      <c r="EL31" t="str">
        <f t="shared" si="94"/>
        <v/>
      </c>
      <c r="EM31" t="e">
        <f t="shared" si="95"/>
        <v>#VALUE!</v>
      </c>
      <c r="EN31" t="e">
        <f t="shared" si="96"/>
        <v>#VALUE!</v>
      </c>
      <c r="EO31" t="str">
        <f t="shared" si="97"/>
        <v/>
      </c>
      <c r="EP31" t="str">
        <f t="shared" si="98"/>
        <v/>
      </c>
      <c r="EQ31" t="str">
        <f t="shared" si="99"/>
        <v/>
      </c>
      <c r="ER31" t="str">
        <f t="shared" si="100"/>
        <v/>
      </c>
      <c r="ES31" t="str">
        <f t="shared" si="101"/>
        <v/>
      </c>
    </row>
    <row r="32" spans="1:149" ht="52.8" customHeight="1">
      <c r="A32" s="40"/>
      <c r="B32" s="41"/>
      <c r="C32" s="41"/>
      <c r="D32" s="41"/>
      <c r="E32" s="41"/>
      <c r="F32" s="41"/>
      <c r="G32" s="42"/>
      <c r="H32" s="42"/>
      <c r="I32" s="42"/>
      <c r="J32" s="41"/>
      <c r="K32" s="41"/>
      <c r="L32" s="41"/>
      <c r="M32" s="42"/>
      <c r="N32" s="42"/>
      <c r="O32" s="42"/>
      <c r="P32" s="43" t="str">
        <f t="shared" si="0"/>
        <v/>
      </c>
      <c r="Q32" s="43" t="str">
        <f t="shared" si="1"/>
        <v/>
      </c>
      <c r="R32" s="44" t="e">
        <f t="shared" si="2"/>
        <v>#VALUE!</v>
      </c>
      <c r="S32" s="44" t="e">
        <f t="shared" si="3"/>
        <v>#VALUE!</v>
      </c>
      <c r="T32" s="44" t="e">
        <f t="shared" si="4"/>
        <v>#VALUE!</v>
      </c>
      <c r="U32" s="45" t="e">
        <f t="shared" si="5"/>
        <v>#VALUE!</v>
      </c>
      <c r="V32" s="45" t="e">
        <f t="shared" si="6"/>
        <v>#VALUE!</v>
      </c>
      <c r="W32" s="45" t="e">
        <f t="shared" si="7"/>
        <v>#VALUE!</v>
      </c>
      <c r="X32" s="46"/>
      <c r="Y32" s="47" t="str">
        <f t="shared" si="8"/>
        <v/>
      </c>
      <c r="Z32" s="47" t="str">
        <f t="shared" si="9"/>
        <v/>
      </c>
      <c r="AA32" s="47" t="str">
        <f t="shared" si="10"/>
        <v/>
      </c>
      <c r="AB32" s="47" t="str">
        <f t="shared" si="11"/>
        <v>Нет локального эффекта</v>
      </c>
      <c r="AC32" s="47" t="str">
        <f t="shared" si="12"/>
        <v/>
      </c>
      <c r="AD32" s="47" t="str">
        <f t="shared" si="13"/>
        <v>Нет локального эффекта</v>
      </c>
      <c r="AE32" s="47" t="str">
        <f t="shared" si="14"/>
        <v/>
      </c>
      <c r="AF32" s="47" t="str">
        <f t="shared" si="15"/>
        <v>Нет локального эффекта</v>
      </c>
      <c r="AG32" s="47" t="str">
        <f t="shared" si="16"/>
        <v/>
      </c>
      <c r="AH32" s="48" t="str">
        <f>IF($B32="","","Общий итог: "&amp;IF($Y32="","ожидает D87",$Y32&amp;IF($Z32="—",""," — "&amp;$Z32))&amp;". Арес: "&amp;$AA32&amp;". "&amp;$AB32&amp;" Афина: "&amp;$AC32&amp;". "&amp;$AD32&amp;" Аполлон: "&amp;$AE32&amp;". "&amp;$AF32&amp;IF($AG32="",""," Общий эффект: "&amp;$AG32))</f>
        <v/>
      </c>
      <c r="BA32" t="s">
        <v>316</v>
      </c>
      <c r="BF32">
        <v>116511208</v>
      </c>
      <c r="BG32">
        <v>250411653</v>
      </c>
      <c r="BH32">
        <v>710261610</v>
      </c>
      <c r="BI32">
        <v>398096954</v>
      </c>
      <c r="BJ32">
        <v>528607422</v>
      </c>
      <c r="BK32">
        <v>201073222</v>
      </c>
      <c r="BL32">
        <v>269591497</v>
      </c>
      <c r="BM32">
        <f t="shared" si="17"/>
        <v>15632</v>
      </c>
      <c r="BN32">
        <f t="shared" si="18"/>
        <v>23551</v>
      </c>
      <c r="BO32">
        <f t="shared" si="19"/>
        <v>31470</v>
      </c>
      <c r="BP32">
        <f t="shared" si="20"/>
        <v>39389</v>
      </c>
      <c r="BQ32">
        <f t="shared" si="21"/>
        <v>47308</v>
      </c>
      <c r="BR32">
        <f t="shared" si="22"/>
        <v>55227</v>
      </c>
      <c r="BS32">
        <f t="shared" si="23"/>
        <v>63146</v>
      </c>
      <c r="BT32">
        <f t="shared" si="24"/>
        <v>71065</v>
      </c>
      <c r="BU32">
        <f t="shared" si="25"/>
        <v>78984</v>
      </c>
      <c r="BV32">
        <f t="shared" si="26"/>
        <v>86903</v>
      </c>
      <c r="BW32">
        <f t="shared" si="27"/>
        <v>10292</v>
      </c>
      <c r="BX32">
        <f t="shared" si="28"/>
        <v>16443</v>
      </c>
      <c r="BY32">
        <f t="shared" si="29"/>
        <v>22594</v>
      </c>
      <c r="BZ32">
        <f t="shared" si="30"/>
        <v>28745</v>
      </c>
      <c r="CA32">
        <f t="shared" si="31"/>
        <v>34896</v>
      </c>
      <c r="CB32">
        <f t="shared" si="32"/>
        <v>41047</v>
      </c>
      <c r="CC32">
        <f t="shared" si="33"/>
        <v>47198</v>
      </c>
      <c r="CD32">
        <f t="shared" si="34"/>
        <v>53349</v>
      </c>
      <c r="CE32">
        <f t="shared" si="35"/>
        <v>43875</v>
      </c>
      <c r="CF32">
        <f t="shared" si="36"/>
        <v>47446</v>
      </c>
      <c r="CG32">
        <f t="shared" si="37"/>
        <v>51017</v>
      </c>
      <c r="CH32">
        <f t="shared" si="38"/>
        <v>54588</v>
      </c>
      <c r="CI32">
        <f t="shared" si="39"/>
        <v>58159</v>
      </c>
      <c r="CJ32">
        <f t="shared" si="40"/>
        <v>61730</v>
      </c>
      <c r="CK32">
        <f t="shared" si="41"/>
        <v>65301</v>
      </c>
      <c r="CL32">
        <f t="shared" si="42"/>
        <v>68872</v>
      </c>
      <c r="CM32">
        <f t="shared" si="43"/>
        <v>72443</v>
      </c>
      <c r="CN32">
        <f t="shared" si="44"/>
        <v>76014</v>
      </c>
      <c r="CO32">
        <f t="shared" si="45"/>
        <v>79585</v>
      </c>
      <c r="CP32">
        <f t="shared" si="46"/>
        <v>83156</v>
      </c>
      <c r="CQ32">
        <f t="shared" si="47"/>
        <v>86727</v>
      </c>
      <c r="CR32">
        <f t="shared" si="48"/>
        <v>90298</v>
      </c>
      <c r="CS32">
        <f t="shared" si="49"/>
        <v>93869</v>
      </c>
      <c r="CT32">
        <f t="shared" si="50"/>
        <v>97440</v>
      </c>
      <c r="CU32">
        <f t="shared" si="51"/>
        <v>71633</v>
      </c>
      <c r="CV32">
        <f t="shared" si="52"/>
        <v>76074</v>
      </c>
      <c r="CW32">
        <f t="shared" si="53"/>
        <v>80515</v>
      </c>
      <c r="CX32">
        <f t="shared" si="54"/>
        <v>84956</v>
      </c>
      <c r="CY32">
        <f t="shared" si="55"/>
        <v>89397</v>
      </c>
      <c r="CZ32">
        <f t="shared" si="56"/>
        <v>93838</v>
      </c>
      <c r="DA32">
        <f t="shared" si="57"/>
        <v>98279</v>
      </c>
      <c r="DB32">
        <f t="shared" si="58"/>
        <v>2717</v>
      </c>
      <c r="DC32">
        <f t="shared" si="59"/>
        <v>7158</v>
      </c>
      <c r="DD32">
        <f t="shared" si="60"/>
        <v>11599</v>
      </c>
      <c r="DE32">
        <f t="shared" si="61"/>
        <v>16040</v>
      </c>
      <c r="DF32">
        <f t="shared" si="62"/>
        <v>20481</v>
      </c>
      <c r="DG32">
        <f t="shared" si="63"/>
        <v>24922</v>
      </c>
      <c r="DH32">
        <f t="shared" si="64"/>
        <v>29363</v>
      </c>
      <c r="DI32">
        <f t="shared" si="65"/>
        <v>33804</v>
      </c>
      <c r="DJ32">
        <f t="shared" si="66"/>
        <v>38245</v>
      </c>
      <c r="DK32">
        <f t="shared" si="67"/>
        <v>85501</v>
      </c>
      <c r="DL32">
        <f t="shared" si="68"/>
        <v>87590</v>
      </c>
      <c r="DM32">
        <f t="shared" si="69"/>
        <v>89679</v>
      </c>
      <c r="DN32" t="str">
        <f t="shared" si="70"/>
        <v>Минерально-сырьевые ресурсы</v>
      </c>
      <c r="DO32" t="str">
        <f t="shared" si="71"/>
        <v>Химические и технологические материалы</v>
      </c>
      <c r="DP32" t="str">
        <f t="shared" si="72"/>
        <v>Энергетические ресурсы</v>
      </c>
      <c r="DQ32" t="str">
        <f t="shared" si="73"/>
        <v>Производство</v>
      </c>
      <c r="DR32" t="str">
        <f t="shared" si="74"/>
        <v>Управление</v>
      </c>
      <c r="DS32" t="str">
        <f t="shared" si="75"/>
        <v>Познание</v>
      </c>
      <c r="DT32" t="str">
        <f t="shared" si="76"/>
        <v>Россия</v>
      </c>
      <c r="DU32" t="str">
        <f t="shared" si="77"/>
        <v>США</v>
      </c>
      <c r="DV32" t="str">
        <f t="shared" si="78"/>
        <v>Китай</v>
      </c>
      <c r="DW32" t="str">
        <f t="shared" si="79"/>
        <v>Ресурсный</v>
      </c>
      <c r="DX32" t="str">
        <f t="shared" si="80"/>
        <v>Общественный</v>
      </c>
      <c r="DY32" t="str">
        <f t="shared" si="81"/>
        <v>Дипломатический</v>
      </c>
      <c r="DZ32" t="str">
        <f t="shared" si="82"/>
        <v>Поставщики и рынок технологических услуг</v>
      </c>
      <c r="EA32" t="str">
        <f t="shared" si="83"/>
        <v>Государственное управление</v>
      </c>
      <c r="EB32" t="str">
        <f t="shared" si="84"/>
        <v>Япония</v>
      </c>
      <c r="EC32">
        <f t="shared" si="85"/>
        <v>0</v>
      </c>
      <c r="ED32">
        <f t="shared" si="86"/>
        <v>0</v>
      </c>
      <c r="EE32">
        <f t="shared" si="87"/>
        <v>0</v>
      </c>
      <c r="EF32">
        <f t="shared" si="88"/>
        <v>0</v>
      </c>
      <c r="EG32" t="str">
        <f t="shared" si="89"/>
        <v/>
      </c>
      <c r="EH32" t="str">
        <f t="shared" si="90"/>
        <v/>
      </c>
      <c r="EI32" t="str">
        <f t="shared" si="91"/>
        <v/>
      </c>
      <c r="EJ32" t="str">
        <f t="shared" si="92"/>
        <v/>
      </c>
      <c r="EK32" t="str">
        <f t="shared" si="93"/>
        <v/>
      </c>
      <c r="EL32" t="str">
        <f t="shared" si="94"/>
        <v/>
      </c>
      <c r="EM32" t="e">
        <f t="shared" si="95"/>
        <v>#VALUE!</v>
      </c>
      <c r="EN32" t="e">
        <f t="shared" si="96"/>
        <v>#VALUE!</v>
      </c>
      <c r="EO32" t="str">
        <f t="shared" si="97"/>
        <v/>
      </c>
      <c r="EP32" t="str">
        <f t="shared" si="98"/>
        <v/>
      </c>
      <c r="EQ32" t="str">
        <f t="shared" si="99"/>
        <v/>
      </c>
      <c r="ER32" t="str">
        <f t="shared" si="100"/>
        <v/>
      </c>
      <c r="ES32" t="str">
        <f t="shared" si="101"/>
        <v/>
      </c>
    </row>
    <row r="33" spans="1:149" ht="52.8" customHeight="1">
      <c r="A33" s="40"/>
      <c r="B33" s="41"/>
      <c r="C33" s="41"/>
      <c r="D33" s="41"/>
      <c r="E33" s="41"/>
      <c r="F33" s="41"/>
      <c r="G33" s="42"/>
      <c r="H33" s="42"/>
      <c r="I33" s="42"/>
      <c r="J33" s="41"/>
      <c r="K33" s="41"/>
      <c r="L33" s="41"/>
      <c r="M33" s="42"/>
      <c r="N33" s="42"/>
      <c r="O33" s="42"/>
      <c r="P33" s="43" t="str">
        <f t="shared" si="0"/>
        <v/>
      </c>
      <c r="Q33" s="43" t="str">
        <f t="shared" si="1"/>
        <v/>
      </c>
      <c r="R33" s="44" t="e">
        <f t="shared" si="2"/>
        <v>#VALUE!</v>
      </c>
      <c r="S33" s="44" t="e">
        <f t="shared" si="3"/>
        <v>#VALUE!</v>
      </c>
      <c r="T33" s="44" t="e">
        <f t="shared" si="4"/>
        <v>#VALUE!</v>
      </c>
      <c r="U33" s="45" t="e">
        <f t="shared" si="5"/>
        <v>#VALUE!</v>
      </c>
      <c r="V33" s="45" t="e">
        <f t="shared" si="6"/>
        <v>#VALUE!</v>
      </c>
      <c r="W33" s="45" t="e">
        <f t="shared" si="7"/>
        <v>#VALUE!</v>
      </c>
      <c r="X33" s="46"/>
      <c r="Y33" s="47" t="str">
        <f t="shared" si="8"/>
        <v/>
      </c>
      <c r="Z33" s="47" t="str">
        <f t="shared" si="9"/>
        <v/>
      </c>
      <c r="AA33" s="47" t="str">
        <f t="shared" si="10"/>
        <v/>
      </c>
      <c r="AB33" s="47" t="str">
        <f t="shared" si="11"/>
        <v>Нет локального эффекта</v>
      </c>
      <c r="AC33" s="47" t="str">
        <f t="shared" si="12"/>
        <v/>
      </c>
      <c r="AD33" s="47" t="str">
        <f t="shared" si="13"/>
        <v>Нет локального эффекта</v>
      </c>
      <c r="AE33" s="47" t="str">
        <f t="shared" si="14"/>
        <v/>
      </c>
      <c r="AF33" s="47" t="str">
        <f t="shared" si="15"/>
        <v>Нет локального эффекта</v>
      </c>
      <c r="AG33" s="47" t="str">
        <f t="shared" si="16"/>
        <v/>
      </c>
      <c r="AH33" s="48" t="str">
        <f>IF($B33="","","Общий итог: "&amp;IF($Y33="","ожидает D88",$Y33&amp;IF($Z33="—",""," — "&amp;$Z33))&amp;". Арес: "&amp;$AA33&amp;". "&amp;$AB33&amp;" Афина: "&amp;$AC33&amp;". "&amp;$AD33&amp;" Аполлон: "&amp;$AE33&amp;". "&amp;$AF33&amp;IF($AG33="",""," Общий эффект: "&amp;$AG33))</f>
        <v/>
      </c>
      <c r="BA33" t="s">
        <v>317</v>
      </c>
      <c r="BF33">
        <v>249946211</v>
      </c>
      <c r="BG33">
        <v>835203060</v>
      </c>
      <c r="BH33">
        <v>262141717</v>
      </c>
      <c r="BI33">
        <v>946719698</v>
      </c>
      <c r="BJ33">
        <v>497979003</v>
      </c>
      <c r="BK33">
        <v>615334060</v>
      </c>
      <c r="BL33">
        <v>203914511</v>
      </c>
      <c r="BM33">
        <f t="shared" si="17"/>
        <v>46633</v>
      </c>
      <c r="BN33">
        <f t="shared" si="18"/>
        <v>54552</v>
      </c>
      <c r="BO33">
        <f t="shared" si="19"/>
        <v>62471</v>
      </c>
      <c r="BP33">
        <f t="shared" si="20"/>
        <v>70390</v>
      </c>
      <c r="BQ33">
        <f t="shared" si="21"/>
        <v>78309</v>
      </c>
      <c r="BR33">
        <f t="shared" si="22"/>
        <v>86228</v>
      </c>
      <c r="BS33">
        <f t="shared" si="23"/>
        <v>94147</v>
      </c>
      <c r="BT33">
        <f t="shared" si="24"/>
        <v>2063</v>
      </c>
      <c r="BU33">
        <f t="shared" si="25"/>
        <v>9982</v>
      </c>
      <c r="BV33">
        <f t="shared" si="26"/>
        <v>17901</v>
      </c>
      <c r="BW33">
        <f t="shared" si="27"/>
        <v>84158</v>
      </c>
      <c r="BX33">
        <f t="shared" si="28"/>
        <v>90309</v>
      </c>
      <c r="BY33">
        <f t="shared" si="29"/>
        <v>96460</v>
      </c>
      <c r="BZ33">
        <f t="shared" si="30"/>
        <v>2608</v>
      </c>
      <c r="CA33">
        <f t="shared" si="31"/>
        <v>8759</v>
      </c>
      <c r="CB33">
        <f t="shared" si="32"/>
        <v>14910</v>
      </c>
      <c r="CC33">
        <f t="shared" si="33"/>
        <v>21061</v>
      </c>
      <c r="CD33">
        <f t="shared" si="34"/>
        <v>27212</v>
      </c>
      <c r="CE33">
        <f t="shared" si="35"/>
        <v>37425</v>
      </c>
      <c r="CF33">
        <f t="shared" si="36"/>
        <v>40996</v>
      </c>
      <c r="CG33">
        <f t="shared" si="37"/>
        <v>44567</v>
      </c>
      <c r="CH33">
        <f t="shared" si="38"/>
        <v>48138</v>
      </c>
      <c r="CI33">
        <f t="shared" si="39"/>
        <v>51709</v>
      </c>
      <c r="CJ33">
        <f t="shared" si="40"/>
        <v>55280</v>
      </c>
      <c r="CK33">
        <f t="shared" si="41"/>
        <v>58851</v>
      </c>
      <c r="CL33">
        <f t="shared" si="42"/>
        <v>62422</v>
      </c>
      <c r="CM33">
        <f t="shared" si="43"/>
        <v>65993</v>
      </c>
      <c r="CN33">
        <f t="shared" si="44"/>
        <v>69564</v>
      </c>
      <c r="CO33">
        <f t="shared" si="45"/>
        <v>73135</v>
      </c>
      <c r="CP33">
        <f t="shared" si="46"/>
        <v>76706</v>
      </c>
      <c r="CQ33">
        <f t="shared" si="47"/>
        <v>80277</v>
      </c>
      <c r="CR33">
        <f t="shared" si="48"/>
        <v>83848</v>
      </c>
      <c r="CS33">
        <f t="shared" si="49"/>
        <v>87419</v>
      </c>
      <c r="CT33">
        <f t="shared" si="50"/>
        <v>90990</v>
      </c>
      <c r="CU33">
        <f t="shared" si="51"/>
        <v>20042</v>
      </c>
      <c r="CV33">
        <f t="shared" si="52"/>
        <v>24483</v>
      </c>
      <c r="CW33">
        <f t="shared" si="53"/>
        <v>28924</v>
      </c>
      <c r="CX33">
        <f t="shared" si="54"/>
        <v>33365</v>
      </c>
      <c r="CY33">
        <f t="shared" si="55"/>
        <v>37806</v>
      </c>
      <c r="CZ33">
        <f t="shared" si="56"/>
        <v>42247</v>
      </c>
      <c r="DA33">
        <f t="shared" si="57"/>
        <v>46688</v>
      </c>
      <c r="DB33">
        <f t="shared" si="58"/>
        <v>51129</v>
      </c>
      <c r="DC33">
        <f t="shared" si="59"/>
        <v>55570</v>
      </c>
      <c r="DD33">
        <f t="shared" si="60"/>
        <v>60011</v>
      </c>
      <c r="DE33">
        <f t="shared" si="61"/>
        <v>64452</v>
      </c>
      <c r="DF33">
        <f t="shared" si="62"/>
        <v>68893</v>
      </c>
      <c r="DG33">
        <f t="shared" si="63"/>
        <v>73334</v>
      </c>
      <c r="DH33">
        <f t="shared" si="64"/>
        <v>77775</v>
      </c>
      <c r="DI33">
        <f t="shared" si="65"/>
        <v>82216</v>
      </c>
      <c r="DJ33">
        <f t="shared" si="66"/>
        <v>86657</v>
      </c>
      <c r="DK33">
        <f t="shared" si="67"/>
        <v>10483</v>
      </c>
      <c r="DL33">
        <f t="shared" si="68"/>
        <v>12572</v>
      </c>
      <c r="DM33">
        <f t="shared" si="69"/>
        <v>14661</v>
      </c>
      <c r="DN33" t="str">
        <f t="shared" si="70"/>
        <v>ЦОД и вычислительная инфраструктура</v>
      </c>
      <c r="DO33" t="str">
        <f t="shared" si="71"/>
        <v>Сетевые ресурсы</v>
      </c>
      <c r="DP33" t="str">
        <f t="shared" si="72"/>
        <v>Конечные устройства</v>
      </c>
      <c r="DQ33" t="str">
        <f t="shared" si="73"/>
        <v>Обучение</v>
      </c>
      <c r="DR33" t="str">
        <f t="shared" si="74"/>
        <v>Война</v>
      </c>
      <c r="DS33" t="str">
        <f t="shared" si="75"/>
        <v>Экономика</v>
      </c>
      <c r="DT33" t="str">
        <f t="shared" si="76"/>
        <v>Россия</v>
      </c>
      <c r="DU33" t="str">
        <f t="shared" si="77"/>
        <v>США</v>
      </c>
      <c r="DV33" t="str">
        <f t="shared" si="78"/>
        <v>Китай</v>
      </c>
      <c r="DW33" t="str">
        <f t="shared" si="79"/>
        <v>Ресурсный</v>
      </c>
      <c r="DX33" t="str">
        <f t="shared" si="80"/>
        <v>Общественный</v>
      </c>
      <c r="DY33" t="str">
        <f t="shared" si="81"/>
        <v>Дипломатический</v>
      </c>
      <c r="DZ33" t="str">
        <f t="shared" si="82"/>
        <v>ЦОД и вычислительная инфраструктура</v>
      </c>
      <c r="EA33" t="str">
        <f t="shared" si="83"/>
        <v>Обучение</v>
      </c>
      <c r="EB33" t="str">
        <f t="shared" si="84"/>
        <v>Россия</v>
      </c>
      <c r="EC33">
        <f t="shared" si="85"/>
        <v>0</v>
      </c>
      <c r="ED33">
        <f t="shared" si="86"/>
        <v>0</v>
      </c>
      <c r="EE33">
        <f t="shared" si="87"/>
        <v>0</v>
      </c>
      <c r="EF33">
        <f t="shared" si="88"/>
        <v>0</v>
      </c>
      <c r="EG33" t="str">
        <f t="shared" si="89"/>
        <v/>
      </c>
      <c r="EH33" t="str">
        <f t="shared" si="90"/>
        <v/>
      </c>
      <c r="EI33" t="str">
        <f t="shared" si="91"/>
        <v/>
      </c>
      <c r="EJ33" t="str">
        <f t="shared" si="92"/>
        <v/>
      </c>
      <c r="EK33" t="str">
        <f t="shared" si="93"/>
        <v/>
      </c>
      <c r="EL33" t="str">
        <f t="shared" si="94"/>
        <v/>
      </c>
      <c r="EM33" t="e">
        <f t="shared" si="95"/>
        <v>#VALUE!</v>
      </c>
      <c r="EN33" t="e">
        <f t="shared" si="96"/>
        <v>#VALUE!</v>
      </c>
      <c r="EO33" t="str">
        <f t="shared" si="97"/>
        <v/>
      </c>
      <c r="EP33" t="str">
        <f t="shared" si="98"/>
        <v/>
      </c>
      <c r="EQ33" t="str">
        <f t="shared" si="99"/>
        <v/>
      </c>
      <c r="ER33" t="str">
        <f t="shared" si="100"/>
        <v/>
      </c>
      <c r="ES33" t="str">
        <f t="shared" si="101"/>
        <v/>
      </c>
    </row>
    <row r="34" spans="1:149" ht="52.8" customHeight="1">
      <c r="A34" s="40"/>
      <c r="B34" s="41"/>
      <c r="C34" s="41"/>
      <c r="D34" s="41"/>
      <c r="E34" s="41"/>
      <c r="F34" s="41"/>
      <c r="G34" s="42"/>
      <c r="H34" s="42"/>
      <c r="I34" s="42"/>
      <c r="J34" s="41"/>
      <c r="K34" s="41"/>
      <c r="L34" s="41"/>
      <c r="M34" s="42"/>
      <c r="N34" s="42"/>
      <c r="O34" s="42"/>
      <c r="P34" s="43" t="str">
        <f t="shared" si="0"/>
        <v/>
      </c>
      <c r="Q34" s="43" t="str">
        <f t="shared" si="1"/>
        <v/>
      </c>
      <c r="R34" s="44" t="e">
        <f t="shared" si="2"/>
        <v>#VALUE!</v>
      </c>
      <c r="S34" s="44" t="e">
        <f t="shared" si="3"/>
        <v>#VALUE!</v>
      </c>
      <c r="T34" s="44" t="e">
        <f t="shared" si="4"/>
        <v>#VALUE!</v>
      </c>
      <c r="U34" s="45" t="e">
        <f t="shared" si="5"/>
        <v>#VALUE!</v>
      </c>
      <c r="V34" s="45" t="e">
        <f t="shared" si="6"/>
        <v>#VALUE!</v>
      </c>
      <c r="W34" s="45" t="e">
        <f t="shared" si="7"/>
        <v>#VALUE!</v>
      </c>
      <c r="X34" s="46"/>
      <c r="Y34" s="47" t="str">
        <f t="shared" si="8"/>
        <v/>
      </c>
      <c r="Z34" s="47" t="str">
        <f t="shared" si="9"/>
        <v/>
      </c>
      <c r="AA34" s="47" t="str">
        <f t="shared" si="10"/>
        <v/>
      </c>
      <c r="AB34" s="47" t="str">
        <f t="shared" si="11"/>
        <v>Нет локального эффекта</v>
      </c>
      <c r="AC34" s="47" t="str">
        <f t="shared" si="12"/>
        <v/>
      </c>
      <c r="AD34" s="47" t="str">
        <f t="shared" si="13"/>
        <v>Нет локального эффекта</v>
      </c>
      <c r="AE34" s="47" t="str">
        <f t="shared" si="14"/>
        <v/>
      </c>
      <c r="AF34" s="47" t="str">
        <f t="shared" si="15"/>
        <v>Нет локального эффекта</v>
      </c>
      <c r="AG34" s="47" t="str">
        <f t="shared" si="16"/>
        <v/>
      </c>
      <c r="AH34" s="48" t="str">
        <f>IF($B34="","","Общий итог: "&amp;IF($Y34="","ожидает D89",$Y34&amp;IF($Z34="—",""," — "&amp;$Z34))&amp;". Арес: "&amp;$AA34&amp;". "&amp;$AB34&amp;" Афина: "&amp;$AC34&amp;". "&amp;$AD34&amp;" Аполлон: "&amp;$AE34&amp;". "&amp;$AF34&amp;IF($AG34="",""," Общий эффект: "&amp;$AG34))</f>
        <v/>
      </c>
      <c r="BA34" t="s">
        <v>318</v>
      </c>
      <c r="BF34">
        <v>660871722</v>
      </c>
      <c r="BG34">
        <v>502322412</v>
      </c>
      <c r="BH34">
        <v>185765972</v>
      </c>
      <c r="BI34">
        <v>399347716</v>
      </c>
      <c r="BJ34">
        <v>657685603</v>
      </c>
      <c r="BK34">
        <v>8731886</v>
      </c>
      <c r="BL34">
        <v>513187251</v>
      </c>
      <c r="BM34">
        <f t="shared" si="17"/>
        <v>59817</v>
      </c>
      <c r="BN34">
        <f t="shared" si="18"/>
        <v>67736</v>
      </c>
      <c r="BO34">
        <f t="shared" si="19"/>
        <v>75655</v>
      </c>
      <c r="BP34">
        <f t="shared" si="20"/>
        <v>83574</v>
      </c>
      <c r="BQ34">
        <f t="shared" si="21"/>
        <v>91493</v>
      </c>
      <c r="BR34">
        <f t="shared" si="22"/>
        <v>99412</v>
      </c>
      <c r="BS34">
        <f t="shared" si="23"/>
        <v>7328</v>
      </c>
      <c r="BT34">
        <f t="shared" si="24"/>
        <v>15247</v>
      </c>
      <c r="BU34">
        <f t="shared" si="25"/>
        <v>23166</v>
      </c>
      <c r="BV34">
        <f t="shared" si="26"/>
        <v>31085</v>
      </c>
      <c r="BW34">
        <f t="shared" si="27"/>
        <v>13494</v>
      </c>
      <c r="BX34">
        <f t="shared" si="28"/>
        <v>19645</v>
      </c>
      <c r="BY34">
        <f t="shared" si="29"/>
        <v>25796</v>
      </c>
      <c r="BZ34">
        <f t="shared" si="30"/>
        <v>31947</v>
      </c>
      <c r="CA34">
        <f t="shared" si="31"/>
        <v>38098</v>
      </c>
      <c r="CB34">
        <f t="shared" si="32"/>
        <v>44249</v>
      </c>
      <c r="CC34">
        <f t="shared" si="33"/>
        <v>50400</v>
      </c>
      <c r="CD34">
        <f t="shared" si="34"/>
        <v>56551</v>
      </c>
      <c r="CE34">
        <f t="shared" si="35"/>
        <v>63972</v>
      </c>
      <c r="CF34">
        <f t="shared" si="36"/>
        <v>67543</v>
      </c>
      <c r="CG34">
        <f t="shared" si="37"/>
        <v>71114</v>
      </c>
      <c r="CH34">
        <f t="shared" si="38"/>
        <v>74685</v>
      </c>
      <c r="CI34">
        <f t="shared" si="39"/>
        <v>78256</v>
      </c>
      <c r="CJ34">
        <f t="shared" si="40"/>
        <v>81827</v>
      </c>
      <c r="CK34">
        <f t="shared" si="41"/>
        <v>85398</v>
      </c>
      <c r="CL34">
        <f t="shared" si="42"/>
        <v>88969</v>
      </c>
      <c r="CM34">
        <f t="shared" si="43"/>
        <v>92540</v>
      </c>
      <c r="CN34">
        <f t="shared" si="44"/>
        <v>96111</v>
      </c>
      <c r="CO34">
        <f t="shared" si="45"/>
        <v>99682</v>
      </c>
      <c r="CP34">
        <f t="shared" si="46"/>
        <v>3250</v>
      </c>
      <c r="CQ34">
        <f t="shared" si="47"/>
        <v>6821</v>
      </c>
      <c r="CR34">
        <f t="shared" si="48"/>
        <v>10392</v>
      </c>
      <c r="CS34">
        <f t="shared" si="49"/>
        <v>13963</v>
      </c>
      <c r="CT34">
        <f t="shared" si="50"/>
        <v>17534</v>
      </c>
      <c r="CU34">
        <f t="shared" si="51"/>
        <v>36066</v>
      </c>
      <c r="CV34">
        <f t="shared" si="52"/>
        <v>40507</v>
      </c>
      <c r="CW34">
        <f t="shared" si="53"/>
        <v>44948</v>
      </c>
      <c r="CX34">
        <f t="shared" si="54"/>
        <v>49389</v>
      </c>
      <c r="CY34">
        <f t="shared" si="55"/>
        <v>53830</v>
      </c>
      <c r="CZ34">
        <f t="shared" si="56"/>
        <v>58271</v>
      </c>
      <c r="DA34">
        <f t="shared" si="57"/>
        <v>62712</v>
      </c>
      <c r="DB34">
        <f t="shared" si="58"/>
        <v>67153</v>
      </c>
      <c r="DC34">
        <f t="shared" si="59"/>
        <v>71594</v>
      </c>
      <c r="DD34">
        <f t="shared" si="60"/>
        <v>76035</v>
      </c>
      <c r="DE34">
        <f t="shared" si="61"/>
        <v>80476</v>
      </c>
      <c r="DF34">
        <f t="shared" si="62"/>
        <v>84917</v>
      </c>
      <c r="DG34">
        <f t="shared" si="63"/>
        <v>89358</v>
      </c>
      <c r="DH34">
        <f t="shared" si="64"/>
        <v>93799</v>
      </c>
      <c r="DI34">
        <f t="shared" si="65"/>
        <v>98240</v>
      </c>
      <c r="DJ34">
        <f t="shared" si="66"/>
        <v>2678</v>
      </c>
      <c r="DK34">
        <f t="shared" si="67"/>
        <v>73947</v>
      </c>
      <c r="DL34">
        <f t="shared" si="68"/>
        <v>76036</v>
      </c>
      <c r="DM34">
        <f t="shared" si="69"/>
        <v>78125</v>
      </c>
      <c r="DN34" t="str">
        <f t="shared" si="70"/>
        <v>Вычислительные компоненты</v>
      </c>
      <c r="DO34" t="str">
        <f t="shared" si="71"/>
        <v>ЦОД и вычислительная инфраструктура</v>
      </c>
      <c r="DP34" t="str">
        <f t="shared" si="72"/>
        <v>Сетевые ресурсы</v>
      </c>
      <c r="DQ34" t="str">
        <f t="shared" si="73"/>
        <v>Производство</v>
      </c>
      <c r="DR34" t="str">
        <f t="shared" si="74"/>
        <v>Управление</v>
      </c>
      <c r="DS34" t="str">
        <f t="shared" si="75"/>
        <v>Познание</v>
      </c>
      <c r="DT34" t="str">
        <f t="shared" si="76"/>
        <v>Иран</v>
      </c>
      <c r="DU34" t="str">
        <f t="shared" si="77"/>
        <v>Израиль</v>
      </c>
      <c r="DV34" t="str">
        <f t="shared" si="78"/>
        <v>Бразилия</v>
      </c>
      <c r="DW34" t="str">
        <f t="shared" si="79"/>
        <v>Ресурсный</v>
      </c>
      <c r="DX34" t="str">
        <f t="shared" si="80"/>
        <v>Общественный</v>
      </c>
      <c r="DY34" t="str">
        <f t="shared" si="81"/>
        <v>Дипломатический</v>
      </c>
      <c r="DZ34" t="str">
        <f t="shared" si="82"/>
        <v>Сетевые ресурсы</v>
      </c>
      <c r="EA34" t="str">
        <f t="shared" si="83"/>
        <v>Обучение</v>
      </c>
      <c r="EB34" t="str">
        <f t="shared" si="84"/>
        <v>Индонезия</v>
      </c>
      <c r="EC34">
        <f t="shared" si="85"/>
        <v>0</v>
      </c>
      <c r="ED34">
        <f t="shared" si="86"/>
        <v>0</v>
      </c>
      <c r="EE34">
        <f t="shared" si="87"/>
        <v>0</v>
      </c>
      <c r="EF34">
        <f t="shared" si="88"/>
        <v>0</v>
      </c>
      <c r="EG34" t="str">
        <f t="shared" si="89"/>
        <v/>
      </c>
      <c r="EH34" t="str">
        <f t="shared" si="90"/>
        <v/>
      </c>
      <c r="EI34" t="str">
        <f t="shared" si="91"/>
        <v/>
      </c>
      <c r="EJ34" t="str">
        <f t="shared" si="92"/>
        <v/>
      </c>
      <c r="EK34" t="str">
        <f t="shared" si="93"/>
        <v/>
      </c>
      <c r="EL34" t="str">
        <f t="shared" si="94"/>
        <v/>
      </c>
      <c r="EM34" t="e">
        <f t="shared" si="95"/>
        <v>#VALUE!</v>
      </c>
      <c r="EN34" t="e">
        <f t="shared" si="96"/>
        <v>#VALUE!</v>
      </c>
      <c r="EO34" t="str">
        <f t="shared" si="97"/>
        <v/>
      </c>
      <c r="EP34" t="str">
        <f t="shared" si="98"/>
        <v/>
      </c>
      <c r="EQ34" t="str">
        <f t="shared" si="99"/>
        <v/>
      </c>
      <c r="ER34" t="str">
        <f t="shared" si="100"/>
        <v/>
      </c>
      <c r="ES34" t="str">
        <f t="shared" si="101"/>
        <v/>
      </c>
    </row>
    <row r="35" spans="1:149" ht="52.8" customHeight="1">
      <c r="A35" s="40"/>
      <c r="B35" s="41"/>
      <c r="C35" s="41"/>
      <c r="D35" s="41"/>
      <c r="E35" s="41"/>
      <c r="F35" s="41"/>
      <c r="G35" s="42"/>
      <c r="H35" s="42"/>
      <c r="I35" s="42"/>
      <c r="J35" s="41"/>
      <c r="K35" s="41"/>
      <c r="L35" s="41"/>
      <c r="M35" s="42"/>
      <c r="N35" s="42"/>
      <c r="O35" s="42"/>
      <c r="P35" s="43" t="str">
        <f t="shared" si="0"/>
        <v/>
      </c>
      <c r="Q35" s="43" t="str">
        <f t="shared" si="1"/>
        <v/>
      </c>
      <c r="R35" s="44" t="e">
        <f t="shared" si="2"/>
        <v>#VALUE!</v>
      </c>
      <c r="S35" s="44" t="e">
        <f t="shared" si="3"/>
        <v>#VALUE!</v>
      </c>
      <c r="T35" s="44" t="e">
        <f t="shared" si="4"/>
        <v>#VALUE!</v>
      </c>
      <c r="U35" s="45" t="e">
        <f t="shared" si="5"/>
        <v>#VALUE!</v>
      </c>
      <c r="V35" s="45" t="e">
        <f t="shared" si="6"/>
        <v>#VALUE!</v>
      </c>
      <c r="W35" s="45" t="e">
        <f t="shared" si="7"/>
        <v>#VALUE!</v>
      </c>
      <c r="X35" s="46"/>
      <c r="Y35" s="47" t="str">
        <f t="shared" si="8"/>
        <v/>
      </c>
      <c r="Z35" s="47" t="str">
        <f t="shared" si="9"/>
        <v/>
      </c>
      <c r="AA35" s="47" t="str">
        <f t="shared" si="10"/>
        <v/>
      </c>
      <c r="AB35" s="47" t="str">
        <f t="shared" si="11"/>
        <v>Нет локального эффекта</v>
      </c>
      <c r="AC35" s="47" t="str">
        <f t="shared" si="12"/>
        <v/>
      </c>
      <c r="AD35" s="47" t="str">
        <f t="shared" si="13"/>
        <v>Нет локального эффекта</v>
      </c>
      <c r="AE35" s="47" t="str">
        <f t="shared" si="14"/>
        <v/>
      </c>
      <c r="AF35" s="47" t="str">
        <f t="shared" si="15"/>
        <v>Нет локального эффекта</v>
      </c>
      <c r="AG35" s="47" t="str">
        <f t="shared" si="16"/>
        <v/>
      </c>
      <c r="AH35" s="48" t="str">
        <f>IF($B35="","","Общий итог: "&amp;IF($Y35="","ожидает D90",$Y35&amp;IF($Z35="—",""," — "&amp;$Z35))&amp;". Арес: "&amp;$AA35&amp;". "&amp;$AB35&amp;" Афина: "&amp;$AC35&amp;". "&amp;$AD35&amp;" Аполлон: "&amp;$AE35&amp;". "&amp;$AF35&amp;IF($AG35="",""," Общий эффект: "&amp;$AG35))</f>
        <v/>
      </c>
      <c r="BA35" t="s">
        <v>319</v>
      </c>
      <c r="BF35">
        <v>974177386</v>
      </c>
      <c r="BG35">
        <v>824936877</v>
      </c>
      <c r="BH35">
        <v>440351552</v>
      </c>
      <c r="BI35">
        <v>918991973</v>
      </c>
      <c r="BJ35">
        <v>968469987</v>
      </c>
      <c r="BK35">
        <v>561687900</v>
      </c>
      <c r="BL35">
        <v>335892670</v>
      </c>
      <c r="BM35">
        <f t="shared" si="17"/>
        <v>56082</v>
      </c>
      <c r="BN35">
        <f t="shared" si="18"/>
        <v>64001</v>
      </c>
      <c r="BO35">
        <f t="shared" si="19"/>
        <v>71920</v>
      </c>
      <c r="BP35">
        <f t="shared" si="20"/>
        <v>79839</v>
      </c>
      <c r="BQ35">
        <f t="shared" si="21"/>
        <v>87758</v>
      </c>
      <c r="BR35">
        <f t="shared" si="22"/>
        <v>95677</v>
      </c>
      <c r="BS35">
        <f t="shared" si="23"/>
        <v>3593</v>
      </c>
      <c r="BT35">
        <f t="shared" si="24"/>
        <v>11512</v>
      </c>
      <c r="BU35">
        <f t="shared" si="25"/>
        <v>19431</v>
      </c>
      <c r="BV35">
        <f t="shared" si="26"/>
        <v>27350</v>
      </c>
      <c r="BW35">
        <f t="shared" si="27"/>
        <v>18281</v>
      </c>
      <c r="BX35">
        <f t="shared" si="28"/>
        <v>24432</v>
      </c>
      <c r="BY35">
        <f t="shared" si="29"/>
        <v>30583</v>
      </c>
      <c r="BZ35">
        <f t="shared" si="30"/>
        <v>36734</v>
      </c>
      <c r="CA35">
        <f t="shared" si="31"/>
        <v>42885</v>
      </c>
      <c r="CB35">
        <f t="shared" si="32"/>
        <v>49036</v>
      </c>
      <c r="CC35">
        <f t="shared" si="33"/>
        <v>55187</v>
      </c>
      <c r="CD35">
        <f t="shared" si="34"/>
        <v>61338</v>
      </c>
      <c r="CE35">
        <f t="shared" si="35"/>
        <v>41914</v>
      </c>
      <c r="CF35">
        <f t="shared" si="36"/>
        <v>45485</v>
      </c>
      <c r="CG35">
        <f t="shared" si="37"/>
        <v>49056</v>
      </c>
      <c r="CH35">
        <f t="shared" si="38"/>
        <v>52627</v>
      </c>
      <c r="CI35">
        <f t="shared" si="39"/>
        <v>56198</v>
      </c>
      <c r="CJ35">
        <f t="shared" si="40"/>
        <v>59769</v>
      </c>
      <c r="CK35">
        <f t="shared" si="41"/>
        <v>63340</v>
      </c>
      <c r="CL35">
        <f t="shared" si="42"/>
        <v>66911</v>
      </c>
      <c r="CM35">
        <f t="shared" si="43"/>
        <v>70482</v>
      </c>
      <c r="CN35">
        <f t="shared" si="44"/>
        <v>74053</v>
      </c>
      <c r="CO35">
        <f t="shared" si="45"/>
        <v>77624</v>
      </c>
      <c r="CP35">
        <f t="shared" si="46"/>
        <v>81195</v>
      </c>
      <c r="CQ35">
        <f t="shared" si="47"/>
        <v>84766</v>
      </c>
      <c r="CR35">
        <f t="shared" si="48"/>
        <v>88337</v>
      </c>
      <c r="CS35">
        <f t="shared" si="49"/>
        <v>91908</v>
      </c>
      <c r="CT35">
        <f t="shared" si="50"/>
        <v>95479</v>
      </c>
      <c r="CU35">
        <f t="shared" si="51"/>
        <v>75493</v>
      </c>
      <c r="CV35">
        <f t="shared" si="52"/>
        <v>79934</v>
      </c>
      <c r="CW35">
        <f t="shared" si="53"/>
        <v>84375</v>
      </c>
      <c r="CX35">
        <f t="shared" si="54"/>
        <v>88816</v>
      </c>
      <c r="CY35">
        <f t="shared" si="55"/>
        <v>93257</v>
      </c>
      <c r="CZ35">
        <f t="shared" si="56"/>
        <v>97698</v>
      </c>
      <c r="DA35">
        <f t="shared" si="57"/>
        <v>2136</v>
      </c>
      <c r="DB35">
        <f t="shared" si="58"/>
        <v>6577</v>
      </c>
      <c r="DC35">
        <f t="shared" si="59"/>
        <v>11018</v>
      </c>
      <c r="DD35">
        <f t="shared" si="60"/>
        <v>15459</v>
      </c>
      <c r="DE35">
        <f t="shared" si="61"/>
        <v>19900</v>
      </c>
      <c r="DF35">
        <f t="shared" si="62"/>
        <v>24341</v>
      </c>
      <c r="DG35">
        <f t="shared" si="63"/>
        <v>28782</v>
      </c>
      <c r="DH35">
        <f t="shared" si="64"/>
        <v>33223</v>
      </c>
      <c r="DI35">
        <f t="shared" si="65"/>
        <v>37664</v>
      </c>
      <c r="DJ35">
        <f t="shared" si="66"/>
        <v>42105</v>
      </c>
      <c r="DK35">
        <f t="shared" si="67"/>
        <v>84685</v>
      </c>
      <c r="DL35">
        <f t="shared" si="68"/>
        <v>86774</v>
      </c>
      <c r="DM35">
        <f t="shared" si="69"/>
        <v>88863</v>
      </c>
      <c r="DN35" t="str">
        <f t="shared" si="70"/>
        <v>Вычислительные компоненты</v>
      </c>
      <c r="DO35" t="str">
        <f t="shared" si="71"/>
        <v>ЦОД и вычислительная инфраструктура</v>
      </c>
      <c r="DP35" t="str">
        <f t="shared" si="72"/>
        <v>Сетевые ресурсы</v>
      </c>
      <c r="DQ35" t="str">
        <f t="shared" si="73"/>
        <v>Производство</v>
      </c>
      <c r="DR35" t="str">
        <f t="shared" si="74"/>
        <v>Управление</v>
      </c>
      <c r="DS35" t="str">
        <f t="shared" si="75"/>
        <v>Познание</v>
      </c>
      <c r="DT35" t="str">
        <f t="shared" si="76"/>
        <v>Россия</v>
      </c>
      <c r="DU35" t="str">
        <f t="shared" si="77"/>
        <v>США</v>
      </c>
      <c r="DV35" t="str">
        <f t="shared" si="78"/>
        <v>Китай</v>
      </c>
      <c r="DW35" t="str">
        <f t="shared" si="79"/>
        <v>Ресурсный</v>
      </c>
      <c r="DX35" t="str">
        <f t="shared" si="80"/>
        <v>Общественный</v>
      </c>
      <c r="DY35" t="str">
        <f t="shared" si="81"/>
        <v>Дипломатический</v>
      </c>
      <c r="DZ35" t="str">
        <f t="shared" si="82"/>
        <v>Исходные данные</v>
      </c>
      <c r="EA35" t="str">
        <f t="shared" si="83"/>
        <v>Обучение</v>
      </c>
      <c r="EB35" t="str">
        <f t="shared" si="84"/>
        <v>Германия</v>
      </c>
      <c r="EC35">
        <f t="shared" si="85"/>
        <v>0</v>
      </c>
      <c r="ED35">
        <f t="shared" si="86"/>
        <v>0</v>
      </c>
      <c r="EE35">
        <f t="shared" si="87"/>
        <v>0</v>
      </c>
      <c r="EF35">
        <f t="shared" si="88"/>
        <v>0</v>
      </c>
      <c r="EG35" t="str">
        <f t="shared" si="89"/>
        <v/>
      </c>
      <c r="EH35" t="str">
        <f t="shared" si="90"/>
        <v/>
      </c>
      <c r="EI35" t="str">
        <f t="shared" si="91"/>
        <v/>
      </c>
      <c r="EJ35" t="str">
        <f t="shared" si="92"/>
        <v/>
      </c>
      <c r="EK35" t="str">
        <f t="shared" si="93"/>
        <v/>
      </c>
      <c r="EL35" t="str">
        <f t="shared" si="94"/>
        <v/>
      </c>
      <c r="EM35" t="e">
        <f t="shared" si="95"/>
        <v>#VALUE!</v>
      </c>
      <c r="EN35" t="e">
        <f t="shared" si="96"/>
        <v>#VALUE!</v>
      </c>
      <c r="EO35" t="str">
        <f t="shared" si="97"/>
        <v/>
      </c>
      <c r="EP35" t="str">
        <f t="shared" si="98"/>
        <v/>
      </c>
      <c r="EQ35" t="str">
        <f t="shared" si="99"/>
        <v/>
      </c>
      <c r="ER35" t="str">
        <f t="shared" si="100"/>
        <v/>
      </c>
      <c r="ES35" t="str">
        <f t="shared" si="101"/>
        <v/>
      </c>
    </row>
    <row r="36" spans="1:149" ht="52.8" customHeight="1">
      <c r="A36" s="40"/>
      <c r="B36" s="41"/>
      <c r="C36" s="41"/>
      <c r="D36" s="41"/>
      <c r="E36" s="41"/>
      <c r="F36" s="41"/>
      <c r="G36" s="42"/>
      <c r="H36" s="42"/>
      <c r="I36" s="42"/>
      <c r="J36" s="41"/>
      <c r="K36" s="41"/>
      <c r="L36" s="41"/>
      <c r="M36" s="42"/>
      <c r="N36" s="42"/>
      <c r="O36" s="42"/>
      <c r="P36" s="43" t="str">
        <f t="shared" si="0"/>
        <v/>
      </c>
      <c r="Q36" s="43" t="str">
        <f t="shared" si="1"/>
        <v/>
      </c>
      <c r="R36" s="44" t="e">
        <f t="shared" si="2"/>
        <v>#VALUE!</v>
      </c>
      <c r="S36" s="44" t="e">
        <f t="shared" si="3"/>
        <v>#VALUE!</v>
      </c>
      <c r="T36" s="44" t="e">
        <f t="shared" si="4"/>
        <v>#VALUE!</v>
      </c>
      <c r="U36" s="45" t="e">
        <f t="shared" si="5"/>
        <v>#VALUE!</v>
      </c>
      <c r="V36" s="45" t="e">
        <f t="shared" si="6"/>
        <v>#VALUE!</v>
      </c>
      <c r="W36" s="45" t="e">
        <f t="shared" si="7"/>
        <v>#VALUE!</v>
      </c>
      <c r="X36" s="46"/>
      <c r="Y36" s="47" t="str">
        <f t="shared" si="8"/>
        <v/>
      </c>
      <c r="Z36" s="47" t="str">
        <f t="shared" si="9"/>
        <v/>
      </c>
      <c r="AA36" s="47" t="str">
        <f t="shared" si="10"/>
        <v/>
      </c>
      <c r="AB36" s="47" t="str">
        <f t="shared" si="11"/>
        <v>Нет локального эффекта</v>
      </c>
      <c r="AC36" s="47" t="str">
        <f t="shared" si="12"/>
        <v/>
      </c>
      <c r="AD36" s="47" t="str">
        <f t="shared" si="13"/>
        <v>Нет локального эффекта</v>
      </c>
      <c r="AE36" s="47" t="str">
        <f t="shared" si="14"/>
        <v/>
      </c>
      <c r="AF36" s="47" t="str">
        <f t="shared" si="15"/>
        <v>Нет локального эффекта</v>
      </c>
      <c r="AG36" s="47" t="str">
        <f t="shared" si="16"/>
        <v/>
      </c>
      <c r="AH36" s="48" t="str">
        <f>IF($B36="","","Общий итог: "&amp;IF($Y36="","ожидает D91",$Y36&amp;IF($Z36="—",""," — "&amp;$Z36))&amp;". Арес: "&amp;$AA36&amp;". "&amp;$AB36&amp;" Афина: "&amp;$AC36&amp;". "&amp;$AD36&amp;" Аполлон: "&amp;$AE36&amp;". "&amp;$AF36&amp;IF($AG36="",""," Общий эффект: "&amp;$AG36))</f>
        <v/>
      </c>
      <c r="BA36" t="s">
        <v>320</v>
      </c>
      <c r="BF36">
        <v>938022560</v>
      </c>
      <c r="BG36">
        <v>823108367</v>
      </c>
      <c r="BH36">
        <v>737082672</v>
      </c>
      <c r="BI36">
        <v>783828522</v>
      </c>
      <c r="BJ36">
        <v>375765848</v>
      </c>
      <c r="BK36">
        <v>90867720</v>
      </c>
      <c r="BL36">
        <v>506151450</v>
      </c>
      <c r="BM36">
        <f t="shared" si="17"/>
        <v>2339</v>
      </c>
      <c r="BN36">
        <f t="shared" si="18"/>
        <v>10258</v>
      </c>
      <c r="BO36">
        <f t="shared" si="19"/>
        <v>18177</v>
      </c>
      <c r="BP36">
        <f t="shared" si="20"/>
        <v>26096</v>
      </c>
      <c r="BQ36">
        <f t="shared" si="21"/>
        <v>34015</v>
      </c>
      <c r="BR36">
        <f t="shared" si="22"/>
        <v>41934</v>
      </c>
      <c r="BS36">
        <f t="shared" si="23"/>
        <v>49853</v>
      </c>
      <c r="BT36">
        <f t="shared" si="24"/>
        <v>57772</v>
      </c>
      <c r="BU36">
        <f t="shared" si="25"/>
        <v>65691</v>
      </c>
      <c r="BV36">
        <f t="shared" si="26"/>
        <v>73610</v>
      </c>
      <c r="BW36">
        <f t="shared" si="27"/>
        <v>89828</v>
      </c>
      <c r="BX36">
        <f t="shared" si="28"/>
        <v>95979</v>
      </c>
      <c r="BY36">
        <f t="shared" si="29"/>
        <v>2127</v>
      </c>
      <c r="BZ36">
        <f t="shared" si="30"/>
        <v>8278</v>
      </c>
      <c r="CA36">
        <f t="shared" si="31"/>
        <v>14429</v>
      </c>
      <c r="CB36">
        <f t="shared" si="32"/>
        <v>20580</v>
      </c>
      <c r="CC36">
        <f t="shared" si="33"/>
        <v>26731</v>
      </c>
      <c r="CD36">
        <f t="shared" si="34"/>
        <v>32882</v>
      </c>
      <c r="CE36">
        <f t="shared" si="35"/>
        <v>64133</v>
      </c>
      <c r="CF36">
        <f t="shared" si="36"/>
        <v>67704</v>
      </c>
      <c r="CG36">
        <f t="shared" si="37"/>
        <v>71275</v>
      </c>
      <c r="CH36">
        <f t="shared" si="38"/>
        <v>74846</v>
      </c>
      <c r="CI36">
        <f t="shared" si="39"/>
        <v>78417</v>
      </c>
      <c r="CJ36">
        <f t="shared" si="40"/>
        <v>81988</v>
      </c>
      <c r="CK36">
        <f t="shared" si="41"/>
        <v>85559</v>
      </c>
      <c r="CL36">
        <f t="shared" si="42"/>
        <v>89130</v>
      </c>
      <c r="CM36">
        <f t="shared" si="43"/>
        <v>92701</v>
      </c>
      <c r="CN36">
        <f t="shared" si="44"/>
        <v>96272</v>
      </c>
      <c r="CO36">
        <f t="shared" si="45"/>
        <v>99843</v>
      </c>
      <c r="CP36">
        <f t="shared" si="46"/>
        <v>3411</v>
      </c>
      <c r="CQ36">
        <f t="shared" si="47"/>
        <v>6982</v>
      </c>
      <c r="CR36">
        <f t="shared" si="48"/>
        <v>10553</v>
      </c>
      <c r="CS36">
        <f t="shared" si="49"/>
        <v>14124</v>
      </c>
      <c r="CT36">
        <f t="shared" si="50"/>
        <v>17695</v>
      </c>
      <c r="CU36">
        <f t="shared" si="51"/>
        <v>69437</v>
      </c>
      <c r="CV36">
        <f t="shared" si="52"/>
        <v>73878</v>
      </c>
      <c r="CW36">
        <f t="shared" si="53"/>
        <v>78319</v>
      </c>
      <c r="CX36">
        <f t="shared" si="54"/>
        <v>82760</v>
      </c>
      <c r="CY36">
        <f t="shared" si="55"/>
        <v>87201</v>
      </c>
      <c r="CZ36">
        <f t="shared" si="56"/>
        <v>91642</v>
      </c>
      <c r="DA36">
        <f t="shared" si="57"/>
        <v>96083</v>
      </c>
      <c r="DB36">
        <f t="shared" si="58"/>
        <v>521</v>
      </c>
      <c r="DC36">
        <f t="shared" si="59"/>
        <v>4962</v>
      </c>
      <c r="DD36">
        <f t="shared" si="60"/>
        <v>9403</v>
      </c>
      <c r="DE36">
        <f t="shared" si="61"/>
        <v>13844</v>
      </c>
      <c r="DF36">
        <f t="shared" si="62"/>
        <v>18285</v>
      </c>
      <c r="DG36">
        <f t="shared" si="63"/>
        <v>22726</v>
      </c>
      <c r="DH36">
        <f t="shared" si="64"/>
        <v>27167</v>
      </c>
      <c r="DI36">
        <f t="shared" si="65"/>
        <v>31608</v>
      </c>
      <c r="DJ36">
        <f t="shared" si="66"/>
        <v>36049</v>
      </c>
      <c r="DK36">
        <f t="shared" si="67"/>
        <v>38356</v>
      </c>
      <c r="DL36">
        <f t="shared" si="68"/>
        <v>40445</v>
      </c>
      <c r="DM36">
        <f t="shared" si="69"/>
        <v>42534</v>
      </c>
      <c r="DN36" t="str">
        <f t="shared" si="70"/>
        <v>Минерально-сырьевые ресурсы</v>
      </c>
      <c r="DO36" t="str">
        <f t="shared" si="71"/>
        <v>Химические и технологические материалы</v>
      </c>
      <c r="DP36" t="str">
        <f t="shared" si="72"/>
        <v>Энергетические ресурсы</v>
      </c>
      <c r="DQ36" t="str">
        <f t="shared" si="73"/>
        <v>Познание</v>
      </c>
      <c r="DR36" t="str">
        <f t="shared" si="74"/>
        <v>Обучение</v>
      </c>
      <c r="DS36" t="str">
        <f t="shared" si="75"/>
        <v>Война</v>
      </c>
      <c r="DT36" t="str">
        <f t="shared" si="76"/>
        <v>Иран</v>
      </c>
      <c r="DU36" t="str">
        <f t="shared" si="77"/>
        <v>Израиль</v>
      </c>
      <c r="DV36" t="str">
        <f t="shared" si="78"/>
        <v>Бразилия</v>
      </c>
      <c r="DW36" t="str">
        <f t="shared" si="79"/>
        <v>Ресурсный</v>
      </c>
      <c r="DX36" t="str">
        <f t="shared" si="80"/>
        <v>Общественный</v>
      </c>
      <c r="DY36" t="str">
        <f t="shared" si="81"/>
        <v>Дипломатический</v>
      </c>
      <c r="DZ36" t="str">
        <f t="shared" si="82"/>
        <v>Стек эксплуатации ИИ</v>
      </c>
      <c r="EA36" t="str">
        <f t="shared" si="83"/>
        <v>Производство</v>
      </c>
      <c r="EB36" t="str">
        <f t="shared" si="84"/>
        <v>Япония</v>
      </c>
      <c r="EC36">
        <f t="shared" si="85"/>
        <v>0</v>
      </c>
      <c r="ED36">
        <f t="shared" si="86"/>
        <v>0</v>
      </c>
      <c r="EE36">
        <f t="shared" si="87"/>
        <v>0</v>
      </c>
      <c r="EF36">
        <f t="shared" si="88"/>
        <v>0</v>
      </c>
      <c r="EG36" t="str">
        <f t="shared" si="89"/>
        <v/>
      </c>
      <c r="EH36" t="str">
        <f t="shared" si="90"/>
        <v/>
      </c>
      <c r="EI36" t="str">
        <f t="shared" si="91"/>
        <v/>
      </c>
      <c r="EJ36" t="str">
        <f t="shared" si="92"/>
        <v/>
      </c>
      <c r="EK36" t="str">
        <f t="shared" si="93"/>
        <v/>
      </c>
      <c r="EL36" t="str">
        <f t="shared" si="94"/>
        <v/>
      </c>
      <c r="EM36" t="e">
        <f t="shared" si="95"/>
        <v>#VALUE!</v>
      </c>
      <c r="EN36" t="e">
        <f t="shared" si="96"/>
        <v>#VALUE!</v>
      </c>
      <c r="EO36" t="str">
        <f t="shared" si="97"/>
        <v/>
      </c>
      <c r="EP36" t="str">
        <f t="shared" si="98"/>
        <v/>
      </c>
      <c r="EQ36" t="str">
        <f t="shared" si="99"/>
        <v/>
      </c>
      <c r="ER36" t="str">
        <f t="shared" si="100"/>
        <v/>
      </c>
      <c r="ES36" t="str">
        <f t="shared" si="101"/>
        <v/>
      </c>
    </row>
    <row r="37" spans="1:149" ht="52.8" customHeight="1">
      <c r="A37" s="40"/>
      <c r="B37" s="41"/>
      <c r="C37" s="41"/>
      <c r="D37" s="41"/>
      <c r="E37" s="41"/>
      <c r="F37" s="41"/>
      <c r="G37" s="42"/>
      <c r="H37" s="42"/>
      <c r="I37" s="42"/>
      <c r="J37" s="41"/>
      <c r="K37" s="41"/>
      <c r="L37" s="41"/>
      <c r="M37" s="42"/>
      <c r="N37" s="42"/>
      <c r="O37" s="42"/>
      <c r="P37" s="43" t="str">
        <f t="shared" ref="P37:P54" si="102">IF(OR($B37="",$C37="",SUM($D37:$F37)+SUM($J37:$L37)=0),"",EG37+0.5*EH37+0.25*EI37)</f>
        <v/>
      </c>
      <c r="Q37" s="43" t="str">
        <f t="shared" ref="Q37:Q54" si="103">IF(OR($B37="",$C37="",SUM($D37:$F37)+SUM($J37:$L37)=0),"",EJ37+0.5*EK37+0.25*EL37)</f>
        <v/>
      </c>
      <c r="R37" s="44" t="e">
        <f t="shared" ref="R37:R54" si="104">IF(OR(P37="",Q37="",P37+Q37=0),"",(1-0.2*4*(P37/(P37+Q37))*(Q37/(P37+Q37)))*(P37/(P37+Q37)))</f>
        <v>#VALUE!</v>
      </c>
      <c r="S37" s="44" t="e">
        <f t="shared" ref="S37:S54" si="105">IF(OR(P37="",Q37="",P37+Q37=0),"",0.2*4*(P37/(P37+Q37))*(Q37/(P37+Q37)))</f>
        <v>#VALUE!</v>
      </c>
      <c r="T37" s="44" t="e">
        <f t="shared" ref="T37:T54" si="106">IF(R37="","",1-R37-S37)</f>
        <v>#VALUE!</v>
      </c>
      <c r="U37" s="45" t="e">
        <f t="shared" ref="U37:U54" si="107">IF(R37="","",IF(EM37=0,"—","1–"&amp;EM37))</f>
        <v>#VALUE!</v>
      </c>
      <c r="V37" s="45" t="e">
        <f t="shared" ref="V37:V54" si="108">IF(R37="","",IF(EN37&lt;=EM37,"—",(EM37+1)&amp;"–"&amp;EN37))</f>
        <v>#VALUE!</v>
      </c>
      <c r="W37" s="45" t="e">
        <f t="shared" ref="W37:W54" si="109">IF(R37="","",IF(EN37&gt;=60,"—",(EN37+1)&amp;"–60"))</f>
        <v>#VALUE!</v>
      </c>
      <c r="X37" s="46"/>
      <c r="Y37" s="47" t="str">
        <f t="shared" ref="Y37:Y54" si="110">IF(EO37="","",IF(EO37=1,"Победа "&amp;$B37,IF(EO37=0,"Ничья","Победа "&amp;$C37)))</f>
        <v/>
      </c>
      <c r="Z37" s="47" t="str">
        <f t="shared" ref="Z37:Z54" si="111">IF(EO37="","",IF(EO37=0,"—",IF(EP37&lt;=1/3,"Минимальная победа",IF(EP37&lt;=2/3,"Уверенная победа","Разгромная победа"))))</f>
        <v/>
      </c>
      <c r="AA37" s="47" t="str">
        <f t="shared" ref="AA37:AA54" si="112">IF(OR($B37="",$C37=""),"",IF(EC37=0,"Нет существенного перевеса",IF(EG37&gt;EJ37,$B37&amp;" — "&amp;IF(EC37=1,"преимущество",IF(EC37=2,"крупная победа","доминирование")),$C37&amp;" — "&amp;IF(EC37=1,"преимущество",IF(EC37=2,"крупная победа","доминирование")))))</f>
        <v/>
      </c>
      <c r="AB37" s="47" t="str">
        <f t="shared" ref="AB37:AB54" si="113">IF(EC37=0,"Нет локального эффекта","Цели: "&amp;DN37&amp;IF(EC37&gt;=2,", "&amp;DO37,"")&amp;IF(EC37&gt;=3,", "&amp;DP37,"")&amp;". "&amp;IF(EG37&gt;EJ37,$B37&amp;": +"&amp;IF(EC37=1,"0,15",IF(EC37=2,"0,20","0,30"))&amp;" к значению и +"&amp;IF(EC37=1,"0,01",IF(EC37=2,"0,02","0,03"))&amp;" к приросту; "&amp;$C37&amp;": −те же величины.",$C37&amp;": +"&amp;IF(EC37=1,"0,15",IF(EC37=2,"0,20","0,30"))&amp;" к значению и +"&amp;IF(EC37=1,"0,01",IF(EC37=2,"0,02","0,03"))&amp;" к приросту; "&amp;$B37&amp;": −те же величины."))</f>
        <v>Нет локального эффекта</v>
      </c>
      <c r="AC37" s="47" t="str">
        <f t="shared" ref="AC37:AC54" si="114">IF(OR($B37="",$C37=""),"",IF(ED37=0,"Нет существенного перевеса",IF(EH37&gt;EK37,$B37&amp;" — "&amp;IF(ED37=1,"преимущество",IF(ED37=2,"крупная победа","доминирование")),$C37&amp;" — "&amp;IF(ED37=1,"преимущество",IF(ED37=2,"крупная победа","доминирование")))))</f>
        <v/>
      </c>
      <c r="AD37" s="47" t="str">
        <f t="shared" ref="AD37:AD54" si="115">IF(ED37=0,"Нет локального эффекта","Сферы: "&amp;DQ37&amp;IF(ED37&gt;=2,", "&amp;DR37,"")&amp;IF(ED37&gt;=3,", "&amp;DS37,"")&amp;". "&amp;IF(EH37&gt;EK37,$B37&amp;": +"&amp;IF(ED37=1,"0,02",IF(ED37=2,"0,03","0,05"))&amp;" к годовому приросту; "&amp;$C37&amp;": −та же величина.",$C37&amp;": +"&amp;IF(ED37=1,"0,02",IF(ED37=2,"0,03","0,05"))&amp;" к годовому приросту; "&amp;$B37&amp;": −та же величина."))</f>
        <v>Нет локального эффекта</v>
      </c>
      <c r="AE37" s="47" t="str">
        <f t="shared" ref="AE37:AE54" si="116">IF(OR($B37="",$C37=""),"",IF(EE37=0,"Нет существенного перевеса",IF(EI37&gt;EL37,$B37&amp;" — "&amp;IF(EE37=1,"преимущество",IF(EE37=2,"крупная победа","доминирование")),$C37&amp;" — "&amp;IF(EE37=1,"преимущество",IF(EE37=2,"крупная победа","доминирование")))))</f>
        <v/>
      </c>
      <c r="AF37" s="47" t="str">
        <f t="shared" ref="AF37:AF54" si="117">IF(EE37=0,"Нет локального эффекта","Страны: "&amp;DT37&amp;IF(EE37&gt;=2,", "&amp;DU37,"")&amp;IF(EE37&gt;=3,", "&amp;DV37,"")&amp;". "&amp;IF(EI37&gt;EL37,$B37&amp;": +"&amp;IF(EE37=1,"0,2",IF(EE37=2,"0,3","0,5"))&amp;" к отношениям; "&amp;$C37&amp;": −та же величина.",$C37&amp;": +"&amp;IF(EE37=1,"0,2",IF(EE37=2,"0,3","0,5"))&amp;" к отношениям; "&amp;$B37&amp;": −та же величина."))</f>
        <v>Нет локального эффекта</v>
      </c>
      <c r="AG37" s="47" t="str">
        <f t="shared" ref="AG37:AG54" si="118">IF(EO37="","",IF(EO37=0,"Ничья: общего дополнительного эффекта нет.",IF(EF37=0,"",IF(OR(DW37="Ресурсный",AND(EF37&gt;=2,DX37="Ресурсный"),AND(EF37&gt;=3,DY37="Ресурсный")),EQ37&amp;" ","")&amp;IF(OR(DW37="Общественный",AND(EF37&gt;=2,DX37="Общественный"),AND(EF37&gt;=3,DY37="Общественный")),ER37&amp;" ","")&amp;IF(OR(DW37="Дипломатический",AND(EF37&gt;=2,DX37="Дипломатический"),AND(EF37&gt;=3,DY37="Дипломатический")),ES37,""))))</f>
        <v/>
      </c>
      <c r="AH37" s="48" t="str">
        <f>IF($B37="","","Общий итог: "&amp;IF($Y37="","ожидает D92",$Y37&amp;IF($Z37="—",""," — "&amp;$Z37))&amp;". Арес: "&amp;$AA37&amp;". "&amp;$AB37&amp;" Афина: "&amp;$AC37&amp;". "&amp;$AD37&amp;" Аполлон: "&amp;$AE37&amp;". "&amp;$AF37&amp;IF($AG37="",""," Общий эффект: "&amp;$AG37))</f>
        <v/>
      </c>
      <c r="BA37" t="s">
        <v>321</v>
      </c>
      <c r="BF37">
        <v>264099781</v>
      </c>
      <c r="BG37">
        <v>327236483</v>
      </c>
      <c r="BH37">
        <v>897184405</v>
      </c>
      <c r="BI37">
        <v>586785543</v>
      </c>
      <c r="BJ37">
        <v>246346827</v>
      </c>
      <c r="BK37">
        <v>389155523</v>
      </c>
      <c r="BL37">
        <v>594936106</v>
      </c>
      <c r="BM37">
        <f t="shared" ref="BM37:BM54" si="119">MOD($BF37+1*7919,100003)</f>
        <v>99780</v>
      </c>
      <c r="BN37">
        <f t="shared" ref="BN37:BN54" si="120">MOD($BF37+2*7919,100003)</f>
        <v>7696</v>
      </c>
      <c r="BO37">
        <f t="shared" ref="BO37:BO54" si="121">MOD($BF37+3*7919,100003)</f>
        <v>15615</v>
      </c>
      <c r="BP37">
        <f t="shared" ref="BP37:BP54" si="122">MOD($BF37+4*7919,100003)</f>
        <v>23534</v>
      </c>
      <c r="BQ37">
        <f t="shared" ref="BQ37:BQ54" si="123">MOD($BF37+5*7919,100003)</f>
        <v>31453</v>
      </c>
      <c r="BR37">
        <f t="shared" ref="BR37:BR54" si="124">MOD($BF37+6*7919,100003)</f>
        <v>39372</v>
      </c>
      <c r="BS37">
        <f t="shared" ref="BS37:BS54" si="125">MOD($BF37+7*7919,100003)</f>
        <v>47291</v>
      </c>
      <c r="BT37">
        <f t="shared" ref="BT37:BT54" si="126">MOD($BF37+8*7919,100003)</f>
        <v>55210</v>
      </c>
      <c r="BU37">
        <f t="shared" ref="BU37:BU54" si="127">MOD($BF37+9*7919,100003)</f>
        <v>63129</v>
      </c>
      <c r="BV37">
        <f t="shared" ref="BV37:BV54" si="128">MOD($BF37+10*7919,100003)</f>
        <v>71048</v>
      </c>
      <c r="BW37">
        <f t="shared" ref="BW37:BW54" si="129">MOD($BG37+1*6151,100003)</f>
        <v>32818</v>
      </c>
      <c r="BX37">
        <f t="shared" ref="BX37:BX54" si="130">MOD($BG37+2*6151,100003)</f>
        <v>38969</v>
      </c>
      <c r="BY37">
        <f t="shared" ref="BY37:BY54" si="131">MOD($BG37+3*6151,100003)</f>
        <v>45120</v>
      </c>
      <c r="BZ37">
        <f t="shared" ref="BZ37:BZ54" si="132">MOD($BG37+4*6151,100003)</f>
        <v>51271</v>
      </c>
      <c r="CA37">
        <f t="shared" ref="CA37:CA54" si="133">MOD($BG37+5*6151,100003)</f>
        <v>57422</v>
      </c>
      <c r="CB37">
        <f t="shared" ref="CB37:CB54" si="134">MOD($BG37+6*6151,100003)</f>
        <v>63573</v>
      </c>
      <c r="CC37">
        <f t="shared" ref="CC37:CC54" si="135">MOD($BG37+7*6151,100003)</f>
        <v>69724</v>
      </c>
      <c r="CD37">
        <f t="shared" ref="CD37:CD54" si="136">MOD($BG37+8*6151,100003)</f>
        <v>75875</v>
      </c>
      <c r="CE37">
        <f t="shared" ref="CE37:CE54" si="137">IF(OR(CE$4=$B37,CE$4=$C37),999999,MOD($BH37+1*3571,100003))</f>
        <v>61063</v>
      </c>
      <c r="CF37">
        <f t="shared" ref="CF37:CF54" si="138">IF(OR(CF$4=$B37,CF$4=$C37),999999,MOD($BH37+2*3571,100003))</f>
        <v>64634</v>
      </c>
      <c r="CG37">
        <f t="shared" ref="CG37:CG54" si="139">IF(OR(CG$4=$B37,CG$4=$C37),999999,MOD($BH37+3*3571,100003))</f>
        <v>68205</v>
      </c>
      <c r="CH37">
        <f t="shared" ref="CH37:CH54" si="140">IF(OR(CH$4=$B37,CH$4=$C37),999999,MOD($BH37+4*3571,100003))</f>
        <v>71776</v>
      </c>
      <c r="CI37">
        <f t="shared" ref="CI37:CI54" si="141">IF(OR(CI$4=$B37,CI$4=$C37),999999,MOD($BH37+5*3571,100003))</f>
        <v>75347</v>
      </c>
      <c r="CJ37">
        <f t="shared" ref="CJ37:CJ54" si="142">IF(OR(CJ$4=$B37,CJ$4=$C37),999999,MOD($BH37+6*3571,100003))</f>
        <v>78918</v>
      </c>
      <c r="CK37">
        <f t="shared" ref="CK37:CK54" si="143">IF(OR(CK$4=$B37,CK$4=$C37),999999,MOD($BH37+7*3571,100003))</f>
        <v>82489</v>
      </c>
      <c r="CL37">
        <f t="shared" ref="CL37:CL54" si="144">IF(OR(CL$4=$B37,CL$4=$C37),999999,MOD($BH37+8*3571,100003))</f>
        <v>86060</v>
      </c>
      <c r="CM37">
        <f t="shared" ref="CM37:CM54" si="145">IF(OR(CM$4=$B37,CM$4=$C37),999999,MOD($BH37+9*3571,100003))</f>
        <v>89631</v>
      </c>
      <c r="CN37">
        <f t="shared" ref="CN37:CN54" si="146">IF(OR(CN$4=$B37,CN$4=$C37),999999,MOD($BH37+10*3571,100003))</f>
        <v>93202</v>
      </c>
      <c r="CO37">
        <f t="shared" ref="CO37:CO54" si="147">IF(OR(CO$4=$B37,CO$4=$C37),999999,MOD($BH37+11*3571,100003))</f>
        <v>96773</v>
      </c>
      <c r="CP37">
        <f t="shared" ref="CP37:CP54" si="148">IF(OR(CP$4=$B37,CP$4=$C37),999999,MOD($BH37+12*3571,100003))</f>
        <v>341</v>
      </c>
      <c r="CQ37">
        <f t="shared" ref="CQ37:CQ54" si="149">IF(OR(CQ$4=$B37,CQ$4=$C37),999999,MOD($BH37+13*3571,100003))</f>
        <v>3912</v>
      </c>
      <c r="CR37">
        <f t="shared" ref="CR37:CR54" si="150">IF(OR(CR$4=$B37,CR$4=$C37),999999,MOD($BH37+14*3571,100003))</f>
        <v>7483</v>
      </c>
      <c r="CS37">
        <f t="shared" ref="CS37:CS54" si="151">IF(OR(CS$4=$B37,CS$4=$C37),999999,MOD($BH37+15*3571,100003))</f>
        <v>11054</v>
      </c>
      <c r="CT37">
        <f t="shared" ref="CT37:CT54" si="152">IF(OR(CT$4=$B37,CT$4=$C37),999999,MOD($BH37+16*3571,100003))</f>
        <v>14625</v>
      </c>
      <c r="CU37">
        <f t="shared" ref="CU37:CU54" si="153">IF(OR(CU$4=$B37,CU$4=$C37),999999,MOD($BK37+1*4441,100003))</f>
        <v>48291</v>
      </c>
      <c r="CV37">
        <f t="shared" ref="CV37:CV54" si="154">IF(OR(CV$4=$B37,CV$4=$C37),999999,MOD($BK37+2*4441,100003))</f>
        <v>52732</v>
      </c>
      <c r="CW37">
        <f t="shared" ref="CW37:CW54" si="155">IF(OR(CW$4=$B37,CW$4=$C37),999999,MOD($BK37+3*4441,100003))</f>
        <v>57173</v>
      </c>
      <c r="CX37">
        <f t="shared" ref="CX37:CX54" si="156">IF(OR(CX$4=$B37,CX$4=$C37),999999,MOD($BK37+4*4441,100003))</f>
        <v>61614</v>
      </c>
      <c r="CY37">
        <f t="shared" ref="CY37:CY54" si="157">IF(OR(CY$4=$B37,CY$4=$C37),999999,MOD($BK37+5*4441,100003))</f>
        <v>66055</v>
      </c>
      <c r="CZ37">
        <f t="shared" ref="CZ37:CZ54" si="158">IF(OR(CZ$4=$B37,CZ$4=$C37),999999,MOD($BK37+6*4441,100003))</f>
        <v>70496</v>
      </c>
      <c r="DA37">
        <f t="shared" ref="DA37:DA54" si="159">IF(OR(DA$4=$B37,DA$4=$C37),999999,MOD($BK37+7*4441,100003))</f>
        <v>74937</v>
      </c>
      <c r="DB37">
        <f t="shared" ref="DB37:DB54" si="160">IF(OR(DB$4=$B37,DB$4=$C37),999999,MOD($BK37+8*4441,100003))</f>
        <v>79378</v>
      </c>
      <c r="DC37">
        <f t="shared" ref="DC37:DC54" si="161">IF(OR(DC$4=$B37,DC$4=$C37),999999,MOD($BK37+9*4441,100003))</f>
        <v>83819</v>
      </c>
      <c r="DD37">
        <f t="shared" ref="DD37:DD54" si="162">IF(OR(DD$4=$B37,DD$4=$C37),999999,MOD($BK37+10*4441,100003))</f>
        <v>88260</v>
      </c>
      <c r="DE37">
        <f t="shared" ref="DE37:DE54" si="163">IF(OR(DE$4=$B37,DE$4=$C37),999999,MOD($BK37+11*4441,100003))</f>
        <v>92701</v>
      </c>
      <c r="DF37">
        <f t="shared" ref="DF37:DF54" si="164">IF(OR(DF$4=$B37,DF$4=$C37),999999,MOD($BK37+12*4441,100003))</f>
        <v>97142</v>
      </c>
      <c r="DG37">
        <f t="shared" ref="DG37:DG54" si="165">IF(OR(DG$4=$B37,DG$4=$C37),999999,MOD($BK37+13*4441,100003))</f>
        <v>1580</v>
      </c>
      <c r="DH37">
        <f t="shared" ref="DH37:DH54" si="166">IF(OR(DH$4=$B37,DH$4=$C37),999999,MOD($BK37+14*4441,100003))</f>
        <v>6021</v>
      </c>
      <c r="DI37">
        <f t="shared" ref="DI37:DI54" si="167">IF(OR(DI$4=$B37,DI$4=$C37),999999,MOD($BK37+15*4441,100003))</f>
        <v>10462</v>
      </c>
      <c r="DJ37">
        <f t="shared" ref="DJ37:DJ54" si="168">IF(OR(DJ$4=$B37,DJ$4=$C37),999999,MOD($BK37+16*4441,100003))</f>
        <v>14903</v>
      </c>
      <c r="DK37">
        <f t="shared" ref="DK37:DK54" si="169">MOD($BL37+1*2089,100003)</f>
        <v>20348</v>
      </c>
      <c r="DL37">
        <f t="shared" ref="DL37:DL54" si="170">MOD($BL37+2*2089,100003)</f>
        <v>22437</v>
      </c>
      <c r="DM37">
        <f t="shared" ref="DM37:DM54" si="171">MOD($BL37+3*2089,100003)</f>
        <v>24526</v>
      </c>
      <c r="DN37" t="str">
        <f t="shared" ref="DN37:DN54" si="172">INDEX($BM$4:$BV$4,1,MATCH(SMALL(BM37:BV37,1),BM37:BV37,0))</f>
        <v>Химические и технологические материалы</v>
      </c>
      <c r="DO37" t="str">
        <f t="shared" ref="DO37:DO54" si="173">INDEX($BM$4:$BV$4,1,MATCH(SMALL(BM37:BV37,2),BM37:BV37,0))</f>
        <v>Энергетические ресурсы</v>
      </c>
      <c r="DP37" t="str">
        <f t="shared" ref="DP37:DP54" si="174">INDEX($BM$4:$BV$4,1,MATCH(SMALL(BM37:BV37,3),BM37:BV37,0))</f>
        <v>Вода и ресурс отвода тепла</v>
      </c>
      <c r="DQ37" t="str">
        <f t="shared" ref="DQ37:DQ54" si="175">INDEX($BW$4:$CD$4,1,MATCH(SMALL(BW37:CD37,1),BW37:CD37,0))</f>
        <v>Производство</v>
      </c>
      <c r="DR37" t="str">
        <f t="shared" ref="DR37:DR54" si="176">INDEX($BW$4:$CD$4,1,MATCH(SMALL(BW37:CD37,2),BW37:CD37,0))</f>
        <v>Управление</v>
      </c>
      <c r="DS37" t="str">
        <f t="shared" ref="DS37:DS54" si="177">INDEX($BW$4:$CD$4,1,MATCH(SMALL(BW37:CD37,3),BW37:CD37,0))</f>
        <v>Познание</v>
      </c>
      <c r="DT37" t="str">
        <f t="shared" ref="DT37:DT54" si="178">INDEX($CE$4:$CT$4,1,MATCH(SMALL(CE37:CT37,1),CE37:CT37,0))</f>
        <v>Иран</v>
      </c>
      <c r="DU37" t="str">
        <f t="shared" ref="DU37:DU54" si="179">INDEX($CE$4:$CT$4,1,MATCH(SMALL(CE37:CT37,2),CE37:CT37,0))</f>
        <v>Израиль</v>
      </c>
      <c r="DV37" t="str">
        <f t="shared" ref="DV37:DV54" si="180">INDEX($CE$4:$CT$4,1,MATCH(SMALL(CE37:CT37,3),CE37:CT37,0))</f>
        <v>Бразилия</v>
      </c>
      <c r="DW37" t="str">
        <f t="shared" ref="DW37:DW54" si="181">INDEX($DK$4:$DM$4,1,MATCH(SMALL(DK37:DM37,1),DK37:DM37,0))</f>
        <v>Ресурсный</v>
      </c>
      <c r="DX37" t="str">
        <f t="shared" ref="DX37:DX54" si="182">INDEX($DK$4:$DM$4,1,MATCH(SMALL(DK37:DM37,2),DK37:DM37,0))</f>
        <v>Общественный</v>
      </c>
      <c r="DY37" t="str">
        <f t="shared" ref="DY37:DY54" si="183">INDEX($DK$4:$DM$4,1,MATCH(SMALL(DK37:DM37,3),DK37:DM37,0))</f>
        <v>Дипломатический</v>
      </c>
      <c r="DZ37" t="str">
        <f t="shared" ref="DZ37:DZ54" si="184">INDEX($BA$2:$BA$44,1+MOD($BI37,43))</f>
        <v>Модельные ресурсы</v>
      </c>
      <c r="EA37" t="str">
        <f t="shared" ref="EA37:EA54" si="185">INDEX($BC$2:$BC$9,1+MOD($BJ37,8))</f>
        <v>Обучение</v>
      </c>
      <c r="EB37" t="str">
        <f t="shared" ref="EB37:EB54" si="186">INDEX($CU$4:$DJ$4,1,MATCH(SMALL(CU37:DJ37,1),CU37:DJ37,0))</f>
        <v>Израиль</v>
      </c>
      <c r="EC37">
        <f t="shared" ref="EC37:EC54" si="187">IF(OR($B37="",$C37=""),0,IF(AND(EG37&gt;=5,EG37&gt;=5*EJ37),3,IF(AND(EJ37&gt;=5,EJ37&gt;=5*EG37),3,IF(AND(EG37&gt;=5,EG37&gt;=3*EJ37),2,IF(AND(EJ37&gt;=5,EJ37&gt;=3*EG37),2,IF(AND(EG37&gt;=5,EG37&gt;=2*EJ37),1,IF(AND(EJ37&gt;=5,EJ37&gt;=2*EG37),1,0)))))))</f>
        <v>0</v>
      </c>
      <c r="ED37">
        <f t="shared" ref="ED37:ED54" si="188">IF(OR($B37="",$C37=""),0,IF(AND(EH37&gt;=5,EH37&gt;=5*EK37),3,IF(AND(EK37&gt;=5,EK37&gt;=5*EH37),3,IF(AND(EH37&gt;=5,EH37&gt;=3*EK37),2,IF(AND(EK37&gt;=5,EK37&gt;=3*EH37),2,IF(AND(EH37&gt;=5,EH37&gt;=2*EK37),1,IF(AND(EK37&gt;=5,EK37&gt;=2*EH37),1,0)))))))</f>
        <v>0</v>
      </c>
      <c r="EE37">
        <f t="shared" ref="EE37:EE54" si="189">IF(OR($B37="",$C37=""),0,IF(AND(EI37&gt;=5,EI37&gt;=5*EL37),3,IF(AND(EL37&gt;=5,EL37&gt;=5*EI37),3,IF(AND(EI37&gt;=5,EI37&gt;=3*EL37),2,IF(AND(EL37&gt;=5,EL37&gt;=3*EI37),2,IF(AND(EI37&gt;=5,EI37&gt;=2*EL37),1,IF(AND(EL37&gt;=5,EL37&gt;=2*EI37),1,0)))))))</f>
        <v>0</v>
      </c>
      <c r="EF37">
        <f t="shared" ref="EF37:EF54" si="190">IF($Z37="",0,IF($Z37="Минимальная победа",1,IF($Z37="Уверенная победа",2,IF($Z37="Разгромная победа",3,0))))</f>
        <v>0</v>
      </c>
      <c r="EG37" t="str">
        <f t="shared" ref="EG37:EG54" si="191">IF($B37="","",$D37*(1+IF($G37="",0,$G37)))</f>
        <v/>
      </c>
      <c r="EH37" t="str">
        <f t="shared" ref="EH37:EH54" si="192">IF($B37="","",$E37*(1+IF($H37="",0,$H37)))</f>
        <v/>
      </c>
      <c r="EI37" t="str">
        <f t="shared" ref="EI37:EI54" si="193">IF($B37="","",$F37*(1+IF($I37="",0,$I37)))</f>
        <v/>
      </c>
      <c r="EJ37" t="str">
        <f t="shared" ref="EJ37:EJ54" si="194">IF($C37="","",$J37*(1+IF($M37="",0,$M37)))</f>
        <v/>
      </c>
      <c r="EK37" t="str">
        <f t="shared" ref="EK37:EK54" si="195">IF($C37="","",$K37*(1+IF($N37="",0,$N37)))</f>
        <v/>
      </c>
      <c r="EL37" t="str">
        <f t="shared" ref="EL37:EL54" si="196">IF($C37="","",$L37*(1+IF($O37="",0,$O37)))</f>
        <v/>
      </c>
      <c r="EM37" t="e">
        <f t="shared" ref="EM37:EM54" si="197">IF(R37="","",ROUND(60*R37,0))</f>
        <v>#VALUE!</v>
      </c>
      <c r="EN37" t="e">
        <f t="shared" ref="EN37:EN54" si="198">IF(R37="","",ROUND(60*(R37+S37),0))</f>
        <v>#VALUE!</v>
      </c>
      <c r="EO37" t="str">
        <f t="shared" ref="EO37:EO54" si="199">IF($X37="","",IF($X37&lt;=EM37,1,IF($X37&lt;=EN37,0,-1)))</f>
        <v/>
      </c>
      <c r="EP37" t="str">
        <f t="shared" ref="EP37:EP54" si="200">IF(EO37="","",IF(EO37=0,0,IF(EO37=1,IF(EM37=0,0,(EM37-$X37+1)/EM37),IF(EN37&gt;=60,0,($X37-EN37)/(60-EN37)))))</f>
        <v/>
      </c>
      <c r="EQ37" t="str">
        <f t="shared" ref="EQ37:EQ54" si="201">IF(EF37=0,"",IF(EO37=1,"Ресурс: "&amp;DZ37&amp;". "&amp;$B37&amp;": +"&amp;IF(EF37=1,"0,20",IF(EF37=2,"0,30","0,40"))&amp;" к значению и +"&amp;IF(EF37=1,"0,01",IF(EF37=2,"0,02","0,03"))&amp;" к приросту; "&amp;$C37&amp;": −те же величины.","Ресурс: "&amp;DZ37&amp;". "&amp;$C37&amp;": +"&amp;IF(EF37=1,"0,20",IF(EF37=2,"0,30","0,40"))&amp;" к значению и +"&amp;IF(EF37=1,"0,01",IF(EF37=2,"0,02","0,03"))&amp;" к приросту; "&amp;$B37&amp;": −те же величины."))</f>
        <v/>
      </c>
      <c r="ER37" t="str">
        <f t="shared" ref="ER37:ER54" si="202">IF(EF37=0,"",IF(EO37=1,"Сфера: "&amp;EA37&amp;". "&amp;$B37&amp;": +"&amp;IF(EF37=1,"0,02",IF(EF37=2,"0,03","0,05"))&amp;" к годовому приросту; "&amp;$C37&amp;": −та же величина.","Сфера: "&amp;EA37&amp;". "&amp;$C37&amp;": +"&amp;IF(EF37=1,"0,02",IF(EF37=2,"0,03","0,05"))&amp;" к годовому приросту; "&amp;$B37&amp;": −та же величина."))</f>
        <v/>
      </c>
      <c r="ES37" t="str">
        <f t="shared" ref="ES37:ES54" si="203">IF(EF37=0,"",IF(EO37=1,"Дипломатия: "&amp;EB37&amp;". "&amp;$B37&amp;": +"&amp;IF(EF37=1,"0,2",IF(EF37=2,"0,3","0,5"))&amp;" к отношениям; "&amp;$C37&amp;": −та же величина.","Дипломатия: "&amp;EB37&amp;". "&amp;$C37&amp;": +"&amp;IF(EF37=1,"0,2",IF(EF37=2,"0,3","0,5"))&amp;" к отношениям; "&amp;$B37&amp;": −та же величина."))</f>
        <v/>
      </c>
    </row>
    <row r="38" spans="1:149" ht="52.8" customHeight="1">
      <c r="A38" s="40"/>
      <c r="B38" s="41"/>
      <c r="C38" s="41"/>
      <c r="D38" s="41"/>
      <c r="E38" s="41"/>
      <c r="F38" s="41"/>
      <c r="G38" s="42"/>
      <c r="H38" s="42"/>
      <c r="I38" s="42"/>
      <c r="J38" s="41"/>
      <c r="K38" s="41"/>
      <c r="L38" s="41"/>
      <c r="M38" s="42"/>
      <c r="N38" s="42"/>
      <c r="O38" s="42"/>
      <c r="P38" s="43" t="str">
        <f t="shared" si="102"/>
        <v/>
      </c>
      <c r="Q38" s="43" t="str">
        <f t="shared" si="103"/>
        <v/>
      </c>
      <c r="R38" s="44" t="e">
        <f t="shared" si="104"/>
        <v>#VALUE!</v>
      </c>
      <c r="S38" s="44" t="e">
        <f t="shared" si="105"/>
        <v>#VALUE!</v>
      </c>
      <c r="T38" s="44" t="e">
        <f t="shared" si="106"/>
        <v>#VALUE!</v>
      </c>
      <c r="U38" s="45" t="e">
        <f t="shared" si="107"/>
        <v>#VALUE!</v>
      </c>
      <c r="V38" s="45" t="e">
        <f t="shared" si="108"/>
        <v>#VALUE!</v>
      </c>
      <c r="W38" s="45" t="e">
        <f t="shared" si="109"/>
        <v>#VALUE!</v>
      </c>
      <c r="X38" s="46"/>
      <c r="Y38" s="47" t="str">
        <f t="shared" si="110"/>
        <v/>
      </c>
      <c r="Z38" s="47" t="str">
        <f t="shared" si="111"/>
        <v/>
      </c>
      <c r="AA38" s="47" t="str">
        <f t="shared" si="112"/>
        <v/>
      </c>
      <c r="AB38" s="47" t="str">
        <f t="shared" si="113"/>
        <v>Нет локального эффекта</v>
      </c>
      <c r="AC38" s="47" t="str">
        <f t="shared" si="114"/>
        <v/>
      </c>
      <c r="AD38" s="47" t="str">
        <f t="shared" si="115"/>
        <v>Нет локального эффекта</v>
      </c>
      <c r="AE38" s="47" t="str">
        <f t="shared" si="116"/>
        <v/>
      </c>
      <c r="AF38" s="47" t="str">
        <f t="shared" si="117"/>
        <v>Нет локального эффекта</v>
      </c>
      <c r="AG38" s="47" t="str">
        <f t="shared" si="118"/>
        <v/>
      </c>
      <c r="AH38" s="48" t="str">
        <f>IF($B38="","","Общий итог: "&amp;IF($Y38="","ожидает D93",$Y38&amp;IF($Z38="—",""," — "&amp;$Z38))&amp;". Арес: "&amp;$AA38&amp;". "&amp;$AB38&amp;" Афина: "&amp;$AC38&amp;". "&amp;$AD38&amp;" Аполлон: "&amp;$AE38&amp;". "&amp;$AF38&amp;IF($AG38="",""," Общий эффект: "&amp;$AG38))</f>
        <v/>
      </c>
      <c r="BA38" t="s">
        <v>322</v>
      </c>
      <c r="BF38">
        <v>930356243</v>
      </c>
      <c r="BG38">
        <v>961499988</v>
      </c>
      <c r="BH38">
        <v>948399374</v>
      </c>
      <c r="BI38">
        <v>324535403</v>
      </c>
      <c r="BJ38">
        <v>328937827</v>
      </c>
      <c r="BK38">
        <v>188861969</v>
      </c>
      <c r="BL38">
        <v>423620350</v>
      </c>
      <c r="BM38">
        <f t="shared" si="119"/>
        <v>36253</v>
      </c>
      <c r="BN38">
        <f t="shared" si="120"/>
        <v>44172</v>
      </c>
      <c r="BO38">
        <f t="shared" si="121"/>
        <v>52091</v>
      </c>
      <c r="BP38">
        <f t="shared" si="122"/>
        <v>60010</v>
      </c>
      <c r="BQ38">
        <f t="shared" si="123"/>
        <v>67929</v>
      </c>
      <c r="BR38">
        <f t="shared" si="124"/>
        <v>75848</v>
      </c>
      <c r="BS38">
        <f t="shared" si="125"/>
        <v>83767</v>
      </c>
      <c r="BT38">
        <f t="shared" si="126"/>
        <v>91686</v>
      </c>
      <c r="BU38">
        <f t="shared" si="127"/>
        <v>99605</v>
      </c>
      <c r="BV38">
        <f t="shared" si="128"/>
        <v>7521</v>
      </c>
      <c r="BW38">
        <f t="shared" si="129"/>
        <v>77297</v>
      </c>
      <c r="BX38">
        <f t="shared" si="130"/>
        <v>83448</v>
      </c>
      <c r="BY38">
        <f t="shared" si="131"/>
        <v>89599</v>
      </c>
      <c r="BZ38">
        <f t="shared" si="132"/>
        <v>95750</v>
      </c>
      <c r="CA38">
        <f t="shared" si="133"/>
        <v>1898</v>
      </c>
      <c r="CB38">
        <f t="shared" si="134"/>
        <v>8049</v>
      </c>
      <c r="CC38">
        <f t="shared" si="135"/>
        <v>14200</v>
      </c>
      <c r="CD38">
        <f t="shared" si="136"/>
        <v>20351</v>
      </c>
      <c r="CE38">
        <f t="shared" si="137"/>
        <v>74496</v>
      </c>
      <c r="CF38">
        <f t="shared" si="138"/>
        <v>78067</v>
      </c>
      <c r="CG38">
        <f t="shared" si="139"/>
        <v>81638</v>
      </c>
      <c r="CH38">
        <f t="shared" si="140"/>
        <v>85209</v>
      </c>
      <c r="CI38">
        <f t="shared" si="141"/>
        <v>88780</v>
      </c>
      <c r="CJ38">
        <f t="shared" si="142"/>
        <v>92351</v>
      </c>
      <c r="CK38">
        <f t="shared" si="143"/>
        <v>95922</v>
      </c>
      <c r="CL38">
        <f t="shared" si="144"/>
        <v>99493</v>
      </c>
      <c r="CM38">
        <f t="shared" si="145"/>
        <v>3061</v>
      </c>
      <c r="CN38">
        <f t="shared" si="146"/>
        <v>6632</v>
      </c>
      <c r="CO38">
        <f t="shared" si="147"/>
        <v>10203</v>
      </c>
      <c r="CP38">
        <f t="shared" si="148"/>
        <v>13774</v>
      </c>
      <c r="CQ38">
        <f t="shared" si="149"/>
        <v>17345</v>
      </c>
      <c r="CR38">
        <f t="shared" si="150"/>
        <v>20916</v>
      </c>
      <c r="CS38">
        <f t="shared" si="151"/>
        <v>24487</v>
      </c>
      <c r="CT38">
        <f t="shared" si="152"/>
        <v>28058</v>
      </c>
      <c r="CU38">
        <f t="shared" si="153"/>
        <v>60746</v>
      </c>
      <c r="CV38">
        <f t="shared" si="154"/>
        <v>65187</v>
      </c>
      <c r="CW38">
        <f t="shared" si="155"/>
        <v>69628</v>
      </c>
      <c r="CX38">
        <f t="shared" si="156"/>
        <v>74069</v>
      </c>
      <c r="CY38">
        <f t="shared" si="157"/>
        <v>78510</v>
      </c>
      <c r="CZ38">
        <f t="shared" si="158"/>
        <v>82951</v>
      </c>
      <c r="DA38">
        <f t="shared" si="159"/>
        <v>87392</v>
      </c>
      <c r="DB38">
        <f t="shared" si="160"/>
        <v>91833</v>
      </c>
      <c r="DC38">
        <f t="shared" si="161"/>
        <v>96274</v>
      </c>
      <c r="DD38">
        <f t="shared" si="162"/>
        <v>712</v>
      </c>
      <c r="DE38">
        <f t="shared" si="163"/>
        <v>5153</v>
      </c>
      <c r="DF38">
        <f t="shared" si="164"/>
        <v>9594</v>
      </c>
      <c r="DG38">
        <f t="shared" si="165"/>
        <v>14035</v>
      </c>
      <c r="DH38">
        <f t="shared" si="166"/>
        <v>18476</v>
      </c>
      <c r="DI38">
        <f t="shared" si="167"/>
        <v>22917</v>
      </c>
      <c r="DJ38">
        <f t="shared" si="168"/>
        <v>27358</v>
      </c>
      <c r="DK38">
        <f t="shared" si="169"/>
        <v>9731</v>
      </c>
      <c r="DL38">
        <f t="shared" si="170"/>
        <v>11820</v>
      </c>
      <c r="DM38">
        <f t="shared" si="171"/>
        <v>13909</v>
      </c>
      <c r="DN38" t="str">
        <f t="shared" si="172"/>
        <v>Конечные устройства</v>
      </c>
      <c r="DO38" t="str">
        <f t="shared" si="173"/>
        <v>Минерально-сырьевые ресурсы</v>
      </c>
      <c r="DP38" t="str">
        <f t="shared" si="174"/>
        <v>Химические и технологические материалы</v>
      </c>
      <c r="DQ38" t="str">
        <f t="shared" si="175"/>
        <v>Война</v>
      </c>
      <c r="DR38" t="str">
        <f t="shared" si="176"/>
        <v>Экономика</v>
      </c>
      <c r="DS38" t="str">
        <f t="shared" si="177"/>
        <v>Государственное управление</v>
      </c>
      <c r="DT38" t="str">
        <f t="shared" si="178"/>
        <v>Южная Корея</v>
      </c>
      <c r="DU38" t="str">
        <f t="shared" si="179"/>
        <v>Турция</v>
      </c>
      <c r="DV38" t="str">
        <f t="shared" si="180"/>
        <v>Саудовская Аравия</v>
      </c>
      <c r="DW38" t="str">
        <f t="shared" si="181"/>
        <v>Ресурсный</v>
      </c>
      <c r="DX38" t="str">
        <f t="shared" si="182"/>
        <v>Общественный</v>
      </c>
      <c r="DY38" t="str">
        <f t="shared" si="183"/>
        <v>Дипломатический</v>
      </c>
      <c r="DZ38" t="str">
        <f t="shared" si="184"/>
        <v>Ресурс обновления и восстановления</v>
      </c>
      <c r="EA38" t="str">
        <f t="shared" si="185"/>
        <v>Обучение</v>
      </c>
      <c r="EB38" t="str">
        <f t="shared" si="186"/>
        <v>Турция</v>
      </c>
      <c r="EC38">
        <f t="shared" si="187"/>
        <v>0</v>
      </c>
      <c r="ED38">
        <f t="shared" si="188"/>
        <v>0</v>
      </c>
      <c r="EE38">
        <f t="shared" si="189"/>
        <v>0</v>
      </c>
      <c r="EF38">
        <f t="shared" si="190"/>
        <v>0</v>
      </c>
      <c r="EG38" t="str">
        <f t="shared" si="191"/>
        <v/>
      </c>
      <c r="EH38" t="str">
        <f t="shared" si="192"/>
        <v/>
      </c>
      <c r="EI38" t="str">
        <f t="shared" si="193"/>
        <v/>
      </c>
      <c r="EJ38" t="str">
        <f t="shared" si="194"/>
        <v/>
      </c>
      <c r="EK38" t="str">
        <f t="shared" si="195"/>
        <v/>
      </c>
      <c r="EL38" t="str">
        <f t="shared" si="196"/>
        <v/>
      </c>
      <c r="EM38" t="e">
        <f t="shared" si="197"/>
        <v>#VALUE!</v>
      </c>
      <c r="EN38" t="e">
        <f t="shared" si="198"/>
        <v>#VALUE!</v>
      </c>
      <c r="EO38" t="str">
        <f t="shared" si="199"/>
        <v/>
      </c>
      <c r="EP38" t="str">
        <f t="shared" si="200"/>
        <v/>
      </c>
      <c r="EQ38" t="str">
        <f t="shared" si="201"/>
        <v/>
      </c>
      <c r="ER38" t="str">
        <f t="shared" si="202"/>
        <v/>
      </c>
      <c r="ES38" t="str">
        <f t="shared" si="203"/>
        <v/>
      </c>
    </row>
    <row r="39" spans="1:149" ht="52.8" customHeight="1">
      <c r="A39" s="40"/>
      <c r="B39" s="41"/>
      <c r="C39" s="41"/>
      <c r="D39" s="41"/>
      <c r="E39" s="41"/>
      <c r="F39" s="41"/>
      <c r="G39" s="42"/>
      <c r="H39" s="42"/>
      <c r="I39" s="42"/>
      <c r="J39" s="41"/>
      <c r="K39" s="41"/>
      <c r="L39" s="41"/>
      <c r="M39" s="42"/>
      <c r="N39" s="42"/>
      <c r="O39" s="42"/>
      <c r="P39" s="43" t="str">
        <f t="shared" si="102"/>
        <v/>
      </c>
      <c r="Q39" s="43" t="str">
        <f t="shared" si="103"/>
        <v/>
      </c>
      <c r="R39" s="44" t="e">
        <f t="shared" si="104"/>
        <v>#VALUE!</v>
      </c>
      <c r="S39" s="44" t="e">
        <f t="shared" si="105"/>
        <v>#VALUE!</v>
      </c>
      <c r="T39" s="44" t="e">
        <f t="shared" si="106"/>
        <v>#VALUE!</v>
      </c>
      <c r="U39" s="45" t="e">
        <f t="shared" si="107"/>
        <v>#VALUE!</v>
      </c>
      <c r="V39" s="45" t="e">
        <f t="shared" si="108"/>
        <v>#VALUE!</v>
      </c>
      <c r="W39" s="45" t="e">
        <f t="shared" si="109"/>
        <v>#VALUE!</v>
      </c>
      <c r="X39" s="46"/>
      <c r="Y39" s="47" t="str">
        <f t="shared" si="110"/>
        <v/>
      </c>
      <c r="Z39" s="47" t="str">
        <f t="shared" si="111"/>
        <v/>
      </c>
      <c r="AA39" s="47" t="str">
        <f t="shared" si="112"/>
        <v/>
      </c>
      <c r="AB39" s="47" t="str">
        <f t="shared" si="113"/>
        <v>Нет локального эффекта</v>
      </c>
      <c r="AC39" s="47" t="str">
        <f t="shared" si="114"/>
        <v/>
      </c>
      <c r="AD39" s="47" t="str">
        <f t="shared" si="115"/>
        <v>Нет локального эффекта</v>
      </c>
      <c r="AE39" s="47" t="str">
        <f t="shared" si="116"/>
        <v/>
      </c>
      <c r="AF39" s="47" t="str">
        <f t="shared" si="117"/>
        <v>Нет локального эффекта</v>
      </c>
      <c r="AG39" s="47" t="str">
        <f t="shared" si="118"/>
        <v/>
      </c>
      <c r="AH39" s="48" t="str">
        <f>IF($B39="","","Общий итог: "&amp;IF($Y39="","ожидает D94",$Y39&amp;IF($Z39="—",""," — "&amp;$Z39))&amp;". Арес: "&amp;$AA39&amp;". "&amp;$AB39&amp;" Афина: "&amp;$AC39&amp;". "&amp;$AD39&amp;" Аполлон: "&amp;$AE39&amp;". "&amp;$AF39&amp;IF($AG39="",""," Общий эффект: "&amp;$AG39))</f>
        <v/>
      </c>
      <c r="BA39" t="s">
        <v>323</v>
      </c>
      <c r="BF39">
        <v>757984060</v>
      </c>
      <c r="BG39">
        <v>385609470</v>
      </c>
      <c r="BH39">
        <v>780070523</v>
      </c>
      <c r="BI39">
        <v>898972777</v>
      </c>
      <c r="BJ39">
        <v>924348796</v>
      </c>
      <c r="BK39">
        <v>367982660</v>
      </c>
      <c r="BL39">
        <v>87993611</v>
      </c>
      <c r="BM39">
        <f t="shared" si="119"/>
        <v>69242</v>
      </c>
      <c r="BN39">
        <f t="shared" si="120"/>
        <v>77161</v>
      </c>
      <c r="BO39">
        <f t="shared" si="121"/>
        <v>85080</v>
      </c>
      <c r="BP39">
        <f t="shared" si="122"/>
        <v>92999</v>
      </c>
      <c r="BQ39">
        <f t="shared" si="123"/>
        <v>915</v>
      </c>
      <c r="BR39">
        <f t="shared" si="124"/>
        <v>8834</v>
      </c>
      <c r="BS39">
        <f t="shared" si="125"/>
        <v>16753</v>
      </c>
      <c r="BT39">
        <f t="shared" si="126"/>
        <v>24672</v>
      </c>
      <c r="BU39">
        <f t="shared" si="127"/>
        <v>32591</v>
      </c>
      <c r="BV39">
        <f t="shared" si="128"/>
        <v>40510</v>
      </c>
      <c r="BW39">
        <f t="shared" si="129"/>
        <v>4053</v>
      </c>
      <c r="BX39">
        <f t="shared" si="130"/>
        <v>10204</v>
      </c>
      <c r="BY39">
        <f t="shared" si="131"/>
        <v>16355</v>
      </c>
      <c r="BZ39">
        <f t="shared" si="132"/>
        <v>22506</v>
      </c>
      <c r="CA39">
        <f t="shared" si="133"/>
        <v>28657</v>
      </c>
      <c r="CB39">
        <f t="shared" si="134"/>
        <v>34808</v>
      </c>
      <c r="CC39">
        <f t="shared" si="135"/>
        <v>40959</v>
      </c>
      <c r="CD39">
        <f t="shared" si="136"/>
        <v>47110</v>
      </c>
      <c r="CE39">
        <f t="shared" si="137"/>
        <v>50694</v>
      </c>
      <c r="CF39">
        <f t="shared" si="138"/>
        <v>54265</v>
      </c>
      <c r="CG39">
        <f t="shared" si="139"/>
        <v>57836</v>
      </c>
      <c r="CH39">
        <f t="shared" si="140"/>
        <v>61407</v>
      </c>
      <c r="CI39">
        <f t="shared" si="141"/>
        <v>64978</v>
      </c>
      <c r="CJ39">
        <f t="shared" si="142"/>
        <v>68549</v>
      </c>
      <c r="CK39">
        <f t="shared" si="143"/>
        <v>72120</v>
      </c>
      <c r="CL39">
        <f t="shared" si="144"/>
        <v>75691</v>
      </c>
      <c r="CM39">
        <f t="shared" si="145"/>
        <v>79262</v>
      </c>
      <c r="CN39">
        <f t="shared" si="146"/>
        <v>82833</v>
      </c>
      <c r="CO39">
        <f t="shared" si="147"/>
        <v>86404</v>
      </c>
      <c r="CP39">
        <f t="shared" si="148"/>
        <v>89975</v>
      </c>
      <c r="CQ39">
        <f t="shared" si="149"/>
        <v>93546</v>
      </c>
      <c r="CR39">
        <f t="shared" si="150"/>
        <v>97117</v>
      </c>
      <c r="CS39">
        <f t="shared" si="151"/>
        <v>685</v>
      </c>
      <c r="CT39">
        <f t="shared" si="152"/>
        <v>4256</v>
      </c>
      <c r="CU39">
        <f t="shared" si="153"/>
        <v>76064</v>
      </c>
      <c r="CV39">
        <f t="shared" si="154"/>
        <v>80505</v>
      </c>
      <c r="CW39">
        <f t="shared" si="155"/>
        <v>84946</v>
      </c>
      <c r="CX39">
        <f t="shared" si="156"/>
        <v>89387</v>
      </c>
      <c r="CY39">
        <f t="shared" si="157"/>
        <v>93828</v>
      </c>
      <c r="CZ39">
        <f t="shared" si="158"/>
        <v>98269</v>
      </c>
      <c r="DA39">
        <f t="shared" si="159"/>
        <v>2707</v>
      </c>
      <c r="DB39">
        <f t="shared" si="160"/>
        <v>7148</v>
      </c>
      <c r="DC39">
        <f t="shared" si="161"/>
        <v>11589</v>
      </c>
      <c r="DD39">
        <f t="shared" si="162"/>
        <v>16030</v>
      </c>
      <c r="DE39">
        <f t="shared" si="163"/>
        <v>20471</v>
      </c>
      <c r="DF39">
        <f t="shared" si="164"/>
        <v>24912</v>
      </c>
      <c r="DG39">
        <f t="shared" si="165"/>
        <v>29353</v>
      </c>
      <c r="DH39">
        <f t="shared" si="166"/>
        <v>33794</v>
      </c>
      <c r="DI39">
        <f t="shared" si="167"/>
        <v>38235</v>
      </c>
      <c r="DJ39">
        <f t="shared" si="168"/>
        <v>42676</v>
      </c>
      <c r="DK39">
        <f t="shared" si="169"/>
        <v>93063</v>
      </c>
      <c r="DL39">
        <f t="shared" si="170"/>
        <v>95152</v>
      </c>
      <c r="DM39">
        <f t="shared" si="171"/>
        <v>97241</v>
      </c>
      <c r="DN39" t="str">
        <f t="shared" si="172"/>
        <v>Пространственные и природно-географические ресурсы</v>
      </c>
      <c r="DO39" t="str">
        <f t="shared" si="173"/>
        <v>Мощности производства полупроводников</v>
      </c>
      <c r="DP39" t="str">
        <f t="shared" si="174"/>
        <v>Вычислительные компоненты</v>
      </c>
      <c r="DQ39" t="str">
        <f t="shared" si="175"/>
        <v>Производство</v>
      </c>
      <c r="DR39" t="str">
        <f t="shared" si="176"/>
        <v>Управление</v>
      </c>
      <c r="DS39" t="str">
        <f t="shared" si="177"/>
        <v>Познание</v>
      </c>
      <c r="DT39" t="str">
        <f t="shared" si="178"/>
        <v>ОАЭ</v>
      </c>
      <c r="DU39" t="str">
        <f t="shared" si="179"/>
        <v>Индонезия</v>
      </c>
      <c r="DV39" t="str">
        <f t="shared" si="180"/>
        <v>Россия</v>
      </c>
      <c r="DW39" t="str">
        <f t="shared" si="181"/>
        <v>Ресурсный</v>
      </c>
      <c r="DX39" t="str">
        <f t="shared" si="182"/>
        <v>Общественный</v>
      </c>
      <c r="DY39" t="str">
        <f t="shared" si="183"/>
        <v>Дипломатический</v>
      </c>
      <c r="DZ39" t="str">
        <f t="shared" si="184"/>
        <v>Организационная способность к изменению</v>
      </c>
      <c r="EA39" t="str">
        <f t="shared" si="185"/>
        <v>Война</v>
      </c>
      <c r="EB39" t="str">
        <f t="shared" si="186"/>
        <v>Германия</v>
      </c>
      <c r="EC39">
        <f t="shared" si="187"/>
        <v>0</v>
      </c>
      <c r="ED39">
        <f t="shared" si="188"/>
        <v>0</v>
      </c>
      <c r="EE39">
        <f t="shared" si="189"/>
        <v>0</v>
      </c>
      <c r="EF39">
        <f t="shared" si="190"/>
        <v>0</v>
      </c>
      <c r="EG39" t="str">
        <f t="shared" si="191"/>
        <v/>
      </c>
      <c r="EH39" t="str">
        <f t="shared" si="192"/>
        <v/>
      </c>
      <c r="EI39" t="str">
        <f t="shared" si="193"/>
        <v/>
      </c>
      <c r="EJ39" t="str">
        <f t="shared" si="194"/>
        <v/>
      </c>
      <c r="EK39" t="str">
        <f t="shared" si="195"/>
        <v/>
      </c>
      <c r="EL39" t="str">
        <f t="shared" si="196"/>
        <v/>
      </c>
      <c r="EM39" t="e">
        <f t="shared" si="197"/>
        <v>#VALUE!</v>
      </c>
      <c r="EN39" t="e">
        <f t="shared" si="198"/>
        <v>#VALUE!</v>
      </c>
      <c r="EO39" t="str">
        <f t="shared" si="199"/>
        <v/>
      </c>
      <c r="EP39" t="str">
        <f t="shared" si="200"/>
        <v/>
      </c>
      <c r="EQ39" t="str">
        <f t="shared" si="201"/>
        <v/>
      </c>
      <c r="ER39" t="str">
        <f t="shared" si="202"/>
        <v/>
      </c>
      <c r="ES39" t="str">
        <f t="shared" si="203"/>
        <v/>
      </c>
    </row>
    <row r="40" spans="1:149" ht="52.8" customHeight="1">
      <c r="A40" s="40"/>
      <c r="B40" s="41"/>
      <c r="C40" s="41"/>
      <c r="D40" s="41"/>
      <c r="E40" s="41"/>
      <c r="F40" s="41"/>
      <c r="G40" s="42"/>
      <c r="H40" s="42"/>
      <c r="I40" s="42"/>
      <c r="J40" s="41"/>
      <c r="K40" s="41"/>
      <c r="L40" s="41"/>
      <c r="M40" s="42"/>
      <c r="N40" s="42"/>
      <c r="O40" s="42"/>
      <c r="P40" s="43" t="str">
        <f t="shared" si="102"/>
        <v/>
      </c>
      <c r="Q40" s="43" t="str">
        <f t="shared" si="103"/>
        <v/>
      </c>
      <c r="R40" s="44" t="e">
        <f t="shared" si="104"/>
        <v>#VALUE!</v>
      </c>
      <c r="S40" s="44" t="e">
        <f t="shared" si="105"/>
        <v>#VALUE!</v>
      </c>
      <c r="T40" s="44" t="e">
        <f t="shared" si="106"/>
        <v>#VALUE!</v>
      </c>
      <c r="U40" s="45" t="e">
        <f t="shared" si="107"/>
        <v>#VALUE!</v>
      </c>
      <c r="V40" s="45" t="e">
        <f t="shared" si="108"/>
        <v>#VALUE!</v>
      </c>
      <c r="W40" s="45" t="e">
        <f t="shared" si="109"/>
        <v>#VALUE!</v>
      </c>
      <c r="X40" s="46"/>
      <c r="Y40" s="47" t="str">
        <f t="shared" si="110"/>
        <v/>
      </c>
      <c r="Z40" s="47" t="str">
        <f t="shared" si="111"/>
        <v/>
      </c>
      <c r="AA40" s="47" t="str">
        <f t="shared" si="112"/>
        <v/>
      </c>
      <c r="AB40" s="47" t="str">
        <f t="shared" si="113"/>
        <v>Нет локального эффекта</v>
      </c>
      <c r="AC40" s="47" t="str">
        <f t="shared" si="114"/>
        <v/>
      </c>
      <c r="AD40" s="47" t="str">
        <f t="shared" si="115"/>
        <v>Нет локального эффекта</v>
      </c>
      <c r="AE40" s="47" t="str">
        <f t="shared" si="116"/>
        <v/>
      </c>
      <c r="AF40" s="47" t="str">
        <f t="shared" si="117"/>
        <v>Нет локального эффекта</v>
      </c>
      <c r="AG40" s="47" t="str">
        <f t="shared" si="118"/>
        <v/>
      </c>
      <c r="AH40" s="48" t="str">
        <f>IF($B40="","","Общий итог: "&amp;IF($Y40="","ожидает D95",$Y40&amp;IF($Z40="—",""," — "&amp;$Z40))&amp;". Арес: "&amp;$AA40&amp;". "&amp;$AB40&amp;" Афина: "&amp;$AC40&amp;". "&amp;$AD40&amp;" Аполлон: "&amp;$AE40&amp;". "&amp;$AF40&amp;IF($AG40="",""," Общий эффект: "&amp;$AG40))</f>
        <v/>
      </c>
      <c r="BA40" t="s">
        <v>324</v>
      </c>
      <c r="BF40">
        <v>926831926</v>
      </c>
      <c r="BG40">
        <v>907096596</v>
      </c>
      <c r="BH40">
        <v>826669999</v>
      </c>
      <c r="BI40">
        <v>471327764</v>
      </c>
      <c r="BJ40">
        <v>488174134</v>
      </c>
      <c r="BK40">
        <v>499687142</v>
      </c>
      <c r="BL40">
        <v>47688768</v>
      </c>
      <c r="BM40">
        <f t="shared" si="119"/>
        <v>12041</v>
      </c>
      <c r="BN40">
        <f t="shared" si="120"/>
        <v>19960</v>
      </c>
      <c r="BO40">
        <f t="shared" si="121"/>
        <v>27879</v>
      </c>
      <c r="BP40">
        <f t="shared" si="122"/>
        <v>35798</v>
      </c>
      <c r="BQ40">
        <f t="shared" si="123"/>
        <v>43717</v>
      </c>
      <c r="BR40">
        <f t="shared" si="124"/>
        <v>51636</v>
      </c>
      <c r="BS40">
        <f t="shared" si="125"/>
        <v>59555</v>
      </c>
      <c r="BT40">
        <f t="shared" si="126"/>
        <v>67474</v>
      </c>
      <c r="BU40">
        <f t="shared" si="127"/>
        <v>75393</v>
      </c>
      <c r="BV40">
        <f t="shared" si="128"/>
        <v>83312</v>
      </c>
      <c r="BW40">
        <f t="shared" si="129"/>
        <v>75537</v>
      </c>
      <c r="BX40">
        <f t="shared" si="130"/>
        <v>81688</v>
      </c>
      <c r="BY40">
        <f t="shared" si="131"/>
        <v>87839</v>
      </c>
      <c r="BZ40">
        <f t="shared" si="132"/>
        <v>93990</v>
      </c>
      <c r="CA40">
        <f t="shared" si="133"/>
        <v>138</v>
      </c>
      <c r="CB40">
        <f t="shared" si="134"/>
        <v>6289</v>
      </c>
      <c r="CC40">
        <f t="shared" si="135"/>
        <v>12440</v>
      </c>
      <c r="CD40">
        <f t="shared" si="136"/>
        <v>18591</v>
      </c>
      <c r="CE40">
        <f t="shared" si="137"/>
        <v>48772</v>
      </c>
      <c r="CF40">
        <f t="shared" si="138"/>
        <v>52343</v>
      </c>
      <c r="CG40">
        <f t="shared" si="139"/>
        <v>55914</v>
      </c>
      <c r="CH40">
        <f t="shared" si="140"/>
        <v>59485</v>
      </c>
      <c r="CI40">
        <f t="shared" si="141"/>
        <v>63056</v>
      </c>
      <c r="CJ40">
        <f t="shared" si="142"/>
        <v>66627</v>
      </c>
      <c r="CK40">
        <f t="shared" si="143"/>
        <v>70198</v>
      </c>
      <c r="CL40">
        <f t="shared" si="144"/>
        <v>73769</v>
      </c>
      <c r="CM40">
        <f t="shared" si="145"/>
        <v>77340</v>
      </c>
      <c r="CN40">
        <f t="shared" si="146"/>
        <v>80911</v>
      </c>
      <c r="CO40">
        <f t="shared" si="147"/>
        <v>84482</v>
      </c>
      <c r="CP40">
        <f t="shared" si="148"/>
        <v>88053</v>
      </c>
      <c r="CQ40">
        <f t="shared" si="149"/>
        <v>91624</v>
      </c>
      <c r="CR40">
        <f t="shared" si="150"/>
        <v>95195</v>
      </c>
      <c r="CS40">
        <f t="shared" si="151"/>
        <v>98766</v>
      </c>
      <c r="CT40">
        <f t="shared" si="152"/>
        <v>2334</v>
      </c>
      <c r="CU40">
        <f t="shared" si="153"/>
        <v>76595</v>
      </c>
      <c r="CV40">
        <f t="shared" si="154"/>
        <v>81036</v>
      </c>
      <c r="CW40">
        <f t="shared" si="155"/>
        <v>85477</v>
      </c>
      <c r="CX40">
        <f t="shared" si="156"/>
        <v>89918</v>
      </c>
      <c r="CY40">
        <f t="shared" si="157"/>
        <v>94359</v>
      </c>
      <c r="CZ40">
        <f t="shared" si="158"/>
        <v>98800</v>
      </c>
      <c r="DA40">
        <f t="shared" si="159"/>
        <v>3238</v>
      </c>
      <c r="DB40">
        <f t="shared" si="160"/>
        <v>7679</v>
      </c>
      <c r="DC40">
        <f t="shared" si="161"/>
        <v>12120</v>
      </c>
      <c r="DD40">
        <f t="shared" si="162"/>
        <v>16561</v>
      </c>
      <c r="DE40">
        <f t="shared" si="163"/>
        <v>21002</v>
      </c>
      <c r="DF40">
        <f t="shared" si="164"/>
        <v>25443</v>
      </c>
      <c r="DG40">
        <f t="shared" si="165"/>
        <v>29884</v>
      </c>
      <c r="DH40">
        <f t="shared" si="166"/>
        <v>34325</v>
      </c>
      <c r="DI40">
        <f t="shared" si="167"/>
        <v>38766</v>
      </c>
      <c r="DJ40">
        <f t="shared" si="168"/>
        <v>43207</v>
      </c>
      <c r="DK40">
        <f t="shared" si="169"/>
        <v>89429</v>
      </c>
      <c r="DL40">
        <f t="shared" si="170"/>
        <v>91518</v>
      </c>
      <c r="DM40">
        <f t="shared" si="171"/>
        <v>93607</v>
      </c>
      <c r="DN40" t="str">
        <f t="shared" si="172"/>
        <v>Минерально-сырьевые ресурсы</v>
      </c>
      <c r="DO40" t="str">
        <f t="shared" si="173"/>
        <v>Химические и технологические материалы</v>
      </c>
      <c r="DP40" t="str">
        <f t="shared" si="174"/>
        <v>Энергетические ресурсы</v>
      </c>
      <c r="DQ40" t="str">
        <f t="shared" si="175"/>
        <v>Война</v>
      </c>
      <c r="DR40" t="str">
        <f t="shared" si="176"/>
        <v>Экономика</v>
      </c>
      <c r="DS40" t="str">
        <f t="shared" si="177"/>
        <v>Государственное управление</v>
      </c>
      <c r="DT40" t="str">
        <f t="shared" si="178"/>
        <v>Индонезия</v>
      </c>
      <c r="DU40" t="str">
        <f t="shared" si="179"/>
        <v>Россия</v>
      </c>
      <c r="DV40" t="str">
        <f t="shared" si="180"/>
        <v>США</v>
      </c>
      <c r="DW40" t="str">
        <f t="shared" si="181"/>
        <v>Ресурсный</v>
      </c>
      <c r="DX40" t="str">
        <f t="shared" si="182"/>
        <v>Общественный</v>
      </c>
      <c r="DY40" t="str">
        <f t="shared" si="183"/>
        <v>Дипломатический</v>
      </c>
      <c r="DZ40" t="str">
        <f t="shared" si="184"/>
        <v>Институциональная инфраструктура</v>
      </c>
      <c r="EA40" t="str">
        <f t="shared" si="185"/>
        <v>Государственное управление</v>
      </c>
      <c r="EB40" t="str">
        <f t="shared" si="186"/>
        <v>Германия</v>
      </c>
      <c r="EC40">
        <f t="shared" si="187"/>
        <v>0</v>
      </c>
      <c r="ED40">
        <f t="shared" si="188"/>
        <v>0</v>
      </c>
      <c r="EE40">
        <f t="shared" si="189"/>
        <v>0</v>
      </c>
      <c r="EF40">
        <f t="shared" si="190"/>
        <v>0</v>
      </c>
      <c r="EG40" t="str">
        <f t="shared" si="191"/>
        <v/>
      </c>
      <c r="EH40" t="str">
        <f t="shared" si="192"/>
        <v/>
      </c>
      <c r="EI40" t="str">
        <f t="shared" si="193"/>
        <v/>
      </c>
      <c r="EJ40" t="str">
        <f t="shared" si="194"/>
        <v/>
      </c>
      <c r="EK40" t="str">
        <f t="shared" si="195"/>
        <v/>
      </c>
      <c r="EL40" t="str">
        <f t="shared" si="196"/>
        <v/>
      </c>
      <c r="EM40" t="e">
        <f t="shared" si="197"/>
        <v>#VALUE!</v>
      </c>
      <c r="EN40" t="e">
        <f t="shared" si="198"/>
        <v>#VALUE!</v>
      </c>
      <c r="EO40" t="str">
        <f t="shared" si="199"/>
        <v/>
      </c>
      <c r="EP40" t="str">
        <f t="shared" si="200"/>
        <v/>
      </c>
      <c r="EQ40" t="str">
        <f t="shared" si="201"/>
        <v/>
      </c>
      <c r="ER40" t="str">
        <f t="shared" si="202"/>
        <v/>
      </c>
      <c r="ES40" t="str">
        <f t="shared" si="203"/>
        <v/>
      </c>
    </row>
    <row r="41" spans="1:149" ht="52.8" customHeight="1">
      <c r="A41" s="40"/>
      <c r="B41" s="41"/>
      <c r="C41" s="41"/>
      <c r="D41" s="41"/>
      <c r="E41" s="41"/>
      <c r="F41" s="41"/>
      <c r="G41" s="42"/>
      <c r="H41" s="42"/>
      <c r="I41" s="42"/>
      <c r="J41" s="41"/>
      <c r="K41" s="41"/>
      <c r="L41" s="41"/>
      <c r="M41" s="42"/>
      <c r="N41" s="42"/>
      <c r="O41" s="42"/>
      <c r="P41" s="43" t="str">
        <f t="shared" si="102"/>
        <v/>
      </c>
      <c r="Q41" s="43" t="str">
        <f t="shared" si="103"/>
        <v/>
      </c>
      <c r="R41" s="44" t="e">
        <f t="shared" si="104"/>
        <v>#VALUE!</v>
      </c>
      <c r="S41" s="44" t="e">
        <f t="shared" si="105"/>
        <v>#VALUE!</v>
      </c>
      <c r="T41" s="44" t="e">
        <f t="shared" si="106"/>
        <v>#VALUE!</v>
      </c>
      <c r="U41" s="45" t="e">
        <f t="shared" si="107"/>
        <v>#VALUE!</v>
      </c>
      <c r="V41" s="45" t="e">
        <f t="shared" si="108"/>
        <v>#VALUE!</v>
      </c>
      <c r="W41" s="45" t="e">
        <f t="shared" si="109"/>
        <v>#VALUE!</v>
      </c>
      <c r="X41" s="46"/>
      <c r="Y41" s="47" t="str">
        <f t="shared" si="110"/>
        <v/>
      </c>
      <c r="Z41" s="47" t="str">
        <f t="shared" si="111"/>
        <v/>
      </c>
      <c r="AA41" s="47" t="str">
        <f t="shared" si="112"/>
        <v/>
      </c>
      <c r="AB41" s="47" t="str">
        <f t="shared" si="113"/>
        <v>Нет локального эффекта</v>
      </c>
      <c r="AC41" s="47" t="str">
        <f t="shared" si="114"/>
        <v/>
      </c>
      <c r="AD41" s="47" t="str">
        <f t="shared" si="115"/>
        <v>Нет локального эффекта</v>
      </c>
      <c r="AE41" s="47" t="str">
        <f t="shared" si="116"/>
        <v/>
      </c>
      <c r="AF41" s="47" t="str">
        <f t="shared" si="117"/>
        <v>Нет локального эффекта</v>
      </c>
      <c r="AG41" s="47" t="str">
        <f t="shared" si="118"/>
        <v/>
      </c>
      <c r="AH41" s="48" t="str">
        <f>IF($B41="","","Общий итог: "&amp;IF($Y41="","ожидает D96",$Y41&amp;IF($Z41="—",""," — "&amp;$Z41))&amp;". Арес: "&amp;$AA41&amp;". "&amp;$AB41&amp;" Афина: "&amp;$AC41&amp;". "&amp;$AD41&amp;" Аполлон: "&amp;$AE41&amp;". "&amp;$AF41&amp;IF($AG41="",""," Общий эффект: "&amp;$AG41))</f>
        <v/>
      </c>
      <c r="BA41" t="s">
        <v>325</v>
      </c>
      <c r="BF41">
        <v>421907594</v>
      </c>
      <c r="BG41">
        <v>303786468</v>
      </c>
      <c r="BH41">
        <v>40117958</v>
      </c>
      <c r="BI41">
        <v>177419793</v>
      </c>
      <c r="BJ41">
        <v>692145221</v>
      </c>
      <c r="BK41">
        <v>184878864</v>
      </c>
      <c r="BL41">
        <v>329969264</v>
      </c>
      <c r="BM41">
        <f t="shared" si="119"/>
        <v>2856</v>
      </c>
      <c r="BN41">
        <f t="shared" si="120"/>
        <v>10775</v>
      </c>
      <c r="BO41">
        <f t="shared" si="121"/>
        <v>18694</v>
      </c>
      <c r="BP41">
        <f t="shared" si="122"/>
        <v>26613</v>
      </c>
      <c r="BQ41">
        <f t="shared" si="123"/>
        <v>34532</v>
      </c>
      <c r="BR41">
        <f t="shared" si="124"/>
        <v>42451</v>
      </c>
      <c r="BS41">
        <f t="shared" si="125"/>
        <v>50370</v>
      </c>
      <c r="BT41">
        <f t="shared" si="126"/>
        <v>58289</v>
      </c>
      <c r="BU41">
        <f t="shared" si="127"/>
        <v>66208</v>
      </c>
      <c r="BV41">
        <f t="shared" si="128"/>
        <v>74127</v>
      </c>
      <c r="BW41">
        <f t="shared" si="129"/>
        <v>83508</v>
      </c>
      <c r="BX41">
        <f t="shared" si="130"/>
        <v>89659</v>
      </c>
      <c r="BY41">
        <f t="shared" si="131"/>
        <v>95810</v>
      </c>
      <c r="BZ41">
        <f t="shared" si="132"/>
        <v>1958</v>
      </c>
      <c r="CA41">
        <f t="shared" si="133"/>
        <v>8109</v>
      </c>
      <c r="CB41">
        <f t="shared" si="134"/>
        <v>14260</v>
      </c>
      <c r="CC41">
        <f t="shared" si="135"/>
        <v>20411</v>
      </c>
      <c r="CD41">
        <f t="shared" si="136"/>
        <v>26562</v>
      </c>
      <c r="CE41">
        <f t="shared" si="137"/>
        <v>20326</v>
      </c>
      <c r="CF41">
        <f t="shared" si="138"/>
        <v>23897</v>
      </c>
      <c r="CG41">
        <f t="shared" si="139"/>
        <v>27468</v>
      </c>
      <c r="CH41">
        <f t="shared" si="140"/>
        <v>31039</v>
      </c>
      <c r="CI41">
        <f t="shared" si="141"/>
        <v>34610</v>
      </c>
      <c r="CJ41">
        <f t="shared" si="142"/>
        <v>38181</v>
      </c>
      <c r="CK41">
        <f t="shared" si="143"/>
        <v>41752</v>
      </c>
      <c r="CL41">
        <f t="shared" si="144"/>
        <v>45323</v>
      </c>
      <c r="CM41">
        <f t="shared" si="145"/>
        <v>48894</v>
      </c>
      <c r="CN41">
        <f t="shared" si="146"/>
        <v>52465</v>
      </c>
      <c r="CO41">
        <f t="shared" si="147"/>
        <v>56036</v>
      </c>
      <c r="CP41">
        <f t="shared" si="148"/>
        <v>59607</v>
      </c>
      <c r="CQ41">
        <f t="shared" si="149"/>
        <v>63178</v>
      </c>
      <c r="CR41">
        <f t="shared" si="150"/>
        <v>66749</v>
      </c>
      <c r="CS41">
        <f t="shared" si="151"/>
        <v>70320</v>
      </c>
      <c r="CT41">
        <f t="shared" si="152"/>
        <v>73891</v>
      </c>
      <c r="CU41">
        <f t="shared" si="153"/>
        <v>77761</v>
      </c>
      <c r="CV41">
        <f t="shared" si="154"/>
        <v>82202</v>
      </c>
      <c r="CW41">
        <f t="shared" si="155"/>
        <v>86643</v>
      </c>
      <c r="CX41">
        <f t="shared" si="156"/>
        <v>91084</v>
      </c>
      <c r="CY41">
        <f t="shared" si="157"/>
        <v>95525</v>
      </c>
      <c r="CZ41">
        <f t="shared" si="158"/>
        <v>99966</v>
      </c>
      <c r="DA41">
        <f t="shared" si="159"/>
        <v>4404</v>
      </c>
      <c r="DB41">
        <f t="shared" si="160"/>
        <v>8845</v>
      </c>
      <c r="DC41">
        <f t="shared" si="161"/>
        <v>13286</v>
      </c>
      <c r="DD41">
        <f t="shared" si="162"/>
        <v>17727</v>
      </c>
      <c r="DE41">
        <f t="shared" si="163"/>
        <v>22168</v>
      </c>
      <c r="DF41">
        <f t="shared" si="164"/>
        <v>26609</v>
      </c>
      <c r="DG41">
        <f t="shared" si="165"/>
        <v>31050</v>
      </c>
      <c r="DH41">
        <f t="shared" si="166"/>
        <v>35491</v>
      </c>
      <c r="DI41">
        <f t="shared" si="167"/>
        <v>39932</v>
      </c>
      <c r="DJ41">
        <f t="shared" si="168"/>
        <v>44373</v>
      </c>
      <c r="DK41">
        <f t="shared" si="169"/>
        <v>61456</v>
      </c>
      <c r="DL41">
        <f t="shared" si="170"/>
        <v>63545</v>
      </c>
      <c r="DM41">
        <f t="shared" si="171"/>
        <v>65634</v>
      </c>
      <c r="DN41" t="str">
        <f t="shared" si="172"/>
        <v>Минерально-сырьевые ресурсы</v>
      </c>
      <c r="DO41" t="str">
        <f t="shared" si="173"/>
        <v>Химические и технологические материалы</v>
      </c>
      <c r="DP41" t="str">
        <f t="shared" si="174"/>
        <v>Энергетические ресурсы</v>
      </c>
      <c r="DQ41" t="str">
        <f t="shared" si="175"/>
        <v>Обучение</v>
      </c>
      <c r="DR41" t="str">
        <f t="shared" si="176"/>
        <v>Война</v>
      </c>
      <c r="DS41" t="str">
        <f t="shared" si="177"/>
        <v>Экономика</v>
      </c>
      <c r="DT41" t="str">
        <f t="shared" si="178"/>
        <v>Россия</v>
      </c>
      <c r="DU41" t="str">
        <f t="shared" si="179"/>
        <v>США</v>
      </c>
      <c r="DV41" t="str">
        <f t="shared" si="180"/>
        <v>Китай</v>
      </c>
      <c r="DW41" t="str">
        <f t="shared" si="181"/>
        <v>Ресурсный</v>
      </c>
      <c r="DX41" t="str">
        <f t="shared" si="182"/>
        <v>Общественный</v>
      </c>
      <c r="DY41" t="str">
        <f t="shared" si="183"/>
        <v>Дипломатический</v>
      </c>
      <c r="DZ41" t="str">
        <f t="shared" si="184"/>
        <v>Поставщики и рынок технологических услуг</v>
      </c>
      <c r="EA41" t="str">
        <f t="shared" si="185"/>
        <v>Экономика</v>
      </c>
      <c r="EB41" t="str">
        <f t="shared" si="186"/>
        <v>Германия</v>
      </c>
      <c r="EC41">
        <f t="shared" si="187"/>
        <v>0</v>
      </c>
      <c r="ED41">
        <f t="shared" si="188"/>
        <v>0</v>
      </c>
      <c r="EE41">
        <f t="shared" si="189"/>
        <v>0</v>
      </c>
      <c r="EF41">
        <f t="shared" si="190"/>
        <v>0</v>
      </c>
      <c r="EG41" t="str">
        <f t="shared" si="191"/>
        <v/>
      </c>
      <c r="EH41" t="str">
        <f t="shared" si="192"/>
        <v/>
      </c>
      <c r="EI41" t="str">
        <f t="shared" si="193"/>
        <v/>
      </c>
      <c r="EJ41" t="str">
        <f t="shared" si="194"/>
        <v/>
      </c>
      <c r="EK41" t="str">
        <f t="shared" si="195"/>
        <v/>
      </c>
      <c r="EL41" t="str">
        <f t="shared" si="196"/>
        <v/>
      </c>
      <c r="EM41" t="e">
        <f t="shared" si="197"/>
        <v>#VALUE!</v>
      </c>
      <c r="EN41" t="e">
        <f t="shared" si="198"/>
        <v>#VALUE!</v>
      </c>
      <c r="EO41" t="str">
        <f t="shared" si="199"/>
        <v/>
      </c>
      <c r="EP41" t="str">
        <f t="shared" si="200"/>
        <v/>
      </c>
      <c r="EQ41" t="str">
        <f t="shared" si="201"/>
        <v/>
      </c>
      <c r="ER41" t="str">
        <f t="shared" si="202"/>
        <v/>
      </c>
      <c r="ES41" t="str">
        <f t="shared" si="203"/>
        <v/>
      </c>
    </row>
    <row r="42" spans="1:149" ht="52.8" customHeight="1">
      <c r="A42" s="40"/>
      <c r="B42" s="41"/>
      <c r="C42" s="41"/>
      <c r="D42" s="41"/>
      <c r="E42" s="41"/>
      <c r="F42" s="41"/>
      <c r="G42" s="42"/>
      <c r="H42" s="42"/>
      <c r="I42" s="42"/>
      <c r="J42" s="41"/>
      <c r="K42" s="41"/>
      <c r="L42" s="41"/>
      <c r="M42" s="42"/>
      <c r="N42" s="42"/>
      <c r="O42" s="42"/>
      <c r="P42" s="43" t="str">
        <f t="shared" si="102"/>
        <v/>
      </c>
      <c r="Q42" s="43" t="str">
        <f t="shared" si="103"/>
        <v/>
      </c>
      <c r="R42" s="44" t="e">
        <f t="shared" si="104"/>
        <v>#VALUE!</v>
      </c>
      <c r="S42" s="44" t="e">
        <f t="shared" si="105"/>
        <v>#VALUE!</v>
      </c>
      <c r="T42" s="44" t="e">
        <f t="shared" si="106"/>
        <v>#VALUE!</v>
      </c>
      <c r="U42" s="45" t="e">
        <f t="shared" si="107"/>
        <v>#VALUE!</v>
      </c>
      <c r="V42" s="45" t="e">
        <f t="shared" si="108"/>
        <v>#VALUE!</v>
      </c>
      <c r="W42" s="45" t="e">
        <f t="shared" si="109"/>
        <v>#VALUE!</v>
      </c>
      <c r="X42" s="46"/>
      <c r="Y42" s="47" t="str">
        <f t="shared" si="110"/>
        <v/>
      </c>
      <c r="Z42" s="47" t="str">
        <f t="shared" si="111"/>
        <v/>
      </c>
      <c r="AA42" s="47" t="str">
        <f t="shared" si="112"/>
        <v/>
      </c>
      <c r="AB42" s="47" t="str">
        <f t="shared" si="113"/>
        <v>Нет локального эффекта</v>
      </c>
      <c r="AC42" s="47" t="str">
        <f t="shared" si="114"/>
        <v/>
      </c>
      <c r="AD42" s="47" t="str">
        <f t="shared" si="115"/>
        <v>Нет локального эффекта</v>
      </c>
      <c r="AE42" s="47" t="str">
        <f t="shared" si="116"/>
        <v/>
      </c>
      <c r="AF42" s="47" t="str">
        <f t="shared" si="117"/>
        <v>Нет локального эффекта</v>
      </c>
      <c r="AG42" s="47" t="str">
        <f t="shared" si="118"/>
        <v/>
      </c>
      <c r="AH42" s="48" t="str">
        <f>IF($B42="","","Общий итог: "&amp;IF($Y42="","ожидает D97",$Y42&amp;IF($Z42="—",""," — "&amp;$Z42))&amp;". Арес: "&amp;$AA42&amp;". "&amp;$AB42&amp;" Афина: "&amp;$AC42&amp;". "&amp;$AD42&amp;" Аполлон: "&amp;$AE42&amp;". "&amp;$AF42&amp;IF($AG42="",""," Общий эффект: "&amp;$AG42))</f>
        <v/>
      </c>
      <c r="BA42" t="s">
        <v>326</v>
      </c>
      <c r="BF42">
        <v>70481818</v>
      </c>
      <c r="BG42">
        <v>411662720</v>
      </c>
      <c r="BH42">
        <v>453879763</v>
      </c>
      <c r="BI42">
        <v>396915647</v>
      </c>
      <c r="BJ42">
        <v>719811774</v>
      </c>
      <c r="BK42">
        <v>777303915</v>
      </c>
      <c r="BL42">
        <v>853043535</v>
      </c>
      <c r="BM42">
        <f t="shared" si="119"/>
        <v>87625</v>
      </c>
      <c r="BN42">
        <f t="shared" si="120"/>
        <v>95544</v>
      </c>
      <c r="BO42">
        <f t="shared" si="121"/>
        <v>3460</v>
      </c>
      <c r="BP42">
        <f t="shared" si="122"/>
        <v>11379</v>
      </c>
      <c r="BQ42">
        <f t="shared" si="123"/>
        <v>19298</v>
      </c>
      <c r="BR42">
        <f t="shared" si="124"/>
        <v>27217</v>
      </c>
      <c r="BS42">
        <f t="shared" si="125"/>
        <v>35136</v>
      </c>
      <c r="BT42">
        <f t="shared" si="126"/>
        <v>43055</v>
      </c>
      <c r="BU42">
        <f t="shared" si="127"/>
        <v>50974</v>
      </c>
      <c r="BV42">
        <f t="shared" si="128"/>
        <v>58893</v>
      </c>
      <c r="BW42">
        <f t="shared" si="129"/>
        <v>56523</v>
      </c>
      <c r="BX42">
        <f t="shared" si="130"/>
        <v>62674</v>
      </c>
      <c r="BY42">
        <f t="shared" si="131"/>
        <v>68825</v>
      </c>
      <c r="BZ42">
        <f t="shared" si="132"/>
        <v>74976</v>
      </c>
      <c r="CA42">
        <f t="shared" si="133"/>
        <v>81127</v>
      </c>
      <c r="CB42">
        <f t="shared" si="134"/>
        <v>87278</v>
      </c>
      <c r="CC42">
        <f t="shared" si="135"/>
        <v>93429</v>
      </c>
      <c r="CD42">
        <f t="shared" si="136"/>
        <v>99580</v>
      </c>
      <c r="CE42">
        <f t="shared" si="137"/>
        <v>69720</v>
      </c>
      <c r="CF42">
        <f t="shared" si="138"/>
        <v>73291</v>
      </c>
      <c r="CG42">
        <f t="shared" si="139"/>
        <v>76862</v>
      </c>
      <c r="CH42">
        <f t="shared" si="140"/>
        <v>80433</v>
      </c>
      <c r="CI42">
        <f t="shared" si="141"/>
        <v>84004</v>
      </c>
      <c r="CJ42">
        <f t="shared" si="142"/>
        <v>87575</v>
      </c>
      <c r="CK42">
        <f t="shared" si="143"/>
        <v>91146</v>
      </c>
      <c r="CL42">
        <f t="shared" si="144"/>
        <v>94717</v>
      </c>
      <c r="CM42">
        <f t="shared" si="145"/>
        <v>98288</v>
      </c>
      <c r="CN42">
        <f t="shared" si="146"/>
        <v>1856</v>
      </c>
      <c r="CO42">
        <f t="shared" si="147"/>
        <v>5427</v>
      </c>
      <c r="CP42">
        <f t="shared" si="148"/>
        <v>8998</v>
      </c>
      <c r="CQ42">
        <f t="shared" si="149"/>
        <v>12569</v>
      </c>
      <c r="CR42">
        <f t="shared" si="150"/>
        <v>16140</v>
      </c>
      <c r="CS42">
        <f t="shared" si="151"/>
        <v>19711</v>
      </c>
      <c r="CT42">
        <f t="shared" si="152"/>
        <v>23282</v>
      </c>
      <c r="CU42">
        <f t="shared" si="153"/>
        <v>85040</v>
      </c>
      <c r="CV42">
        <f t="shared" si="154"/>
        <v>89481</v>
      </c>
      <c r="CW42">
        <f t="shared" si="155"/>
        <v>93922</v>
      </c>
      <c r="CX42">
        <f t="shared" si="156"/>
        <v>98363</v>
      </c>
      <c r="CY42">
        <f t="shared" si="157"/>
        <v>2801</v>
      </c>
      <c r="CZ42">
        <f t="shared" si="158"/>
        <v>7242</v>
      </c>
      <c r="DA42">
        <f t="shared" si="159"/>
        <v>11683</v>
      </c>
      <c r="DB42">
        <f t="shared" si="160"/>
        <v>16124</v>
      </c>
      <c r="DC42">
        <f t="shared" si="161"/>
        <v>20565</v>
      </c>
      <c r="DD42">
        <f t="shared" si="162"/>
        <v>25006</v>
      </c>
      <c r="DE42">
        <f t="shared" si="163"/>
        <v>29447</v>
      </c>
      <c r="DF42">
        <f t="shared" si="164"/>
        <v>33888</v>
      </c>
      <c r="DG42">
        <f t="shared" si="165"/>
        <v>38329</v>
      </c>
      <c r="DH42">
        <f t="shared" si="166"/>
        <v>42770</v>
      </c>
      <c r="DI42">
        <f t="shared" si="167"/>
        <v>47211</v>
      </c>
      <c r="DJ42">
        <f t="shared" si="168"/>
        <v>51652</v>
      </c>
      <c r="DK42">
        <f t="shared" si="169"/>
        <v>20034</v>
      </c>
      <c r="DL42">
        <f t="shared" si="170"/>
        <v>22123</v>
      </c>
      <c r="DM42">
        <f t="shared" si="171"/>
        <v>24212</v>
      </c>
      <c r="DN42" t="str">
        <f t="shared" si="172"/>
        <v>Энергетические ресурсы</v>
      </c>
      <c r="DO42" t="str">
        <f t="shared" si="173"/>
        <v>Вода и ресурс отвода тепла</v>
      </c>
      <c r="DP42" t="str">
        <f t="shared" si="174"/>
        <v>Пространственные и природно-географические ресурсы</v>
      </c>
      <c r="DQ42" t="str">
        <f t="shared" si="175"/>
        <v>Производство</v>
      </c>
      <c r="DR42" t="str">
        <f t="shared" si="176"/>
        <v>Управление</v>
      </c>
      <c r="DS42" t="str">
        <f t="shared" si="177"/>
        <v>Познание</v>
      </c>
      <c r="DT42" t="str">
        <f t="shared" si="178"/>
        <v>Турция</v>
      </c>
      <c r="DU42" t="str">
        <f t="shared" si="179"/>
        <v>Саудовская Аравия</v>
      </c>
      <c r="DV42" t="str">
        <f t="shared" si="180"/>
        <v>Иран</v>
      </c>
      <c r="DW42" t="str">
        <f t="shared" si="181"/>
        <v>Ресурсный</v>
      </c>
      <c r="DX42" t="str">
        <f t="shared" si="182"/>
        <v>Общественный</v>
      </c>
      <c r="DY42" t="str">
        <f t="shared" si="183"/>
        <v>Дипломатический</v>
      </c>
      <c r="DZ42" t="str">
        <f t="shared" si="184"/>
        <v>Ресурсы оценки</v>
      </c>
      <c r="EA42" t="str">
        <f t="shared" si="185"/>
        <v>Государственное управление</v>
      </c>
      <c r="EB42" t="str">
        <f t="shared" si="186"/>
        <v>Великобритания</v>
      </c>
      <c r="EC42">
        <f t="shared" si="187"/>
        <v>0</v>
      </c>
      <c r="ED42">
        <f t="shared" si="188"/>
        <v>0</v>
      </c>
      <c r="EE42">
        <f t="shared" si="189"/>
        <v>0</v>
      </c>
      <c r="EF42">
        <f t="shared" si="190"/>
        <v>0</v>
      </c>
      <c r="EG42" t="str">
        <f t="shared" si="191"/>
        <v/>
      </c>
      <c r="EH42" t="str">
        <f t="shared" si="192"/>
        <v/>
      </c>
      <c r="EI42" t="str">
        <f t="shared" si="193"/>
        <v/>
      </c>
      <c r="EJ42" t="str">
        <f t="shared" si="194"/>
        <v/>
      </c>
      <c r="EK42" t="str">
        <f t="shared" si="195"/>
        <v/>
      </c>
      <c r="EL42" t="str">
        <f t="shared" si="196"/>
        <v/>
      </c>
      <c r="EM42" t="e">
        <f t="shared" si="197"/>
        <v>#VALUE!</v>
      </c>
      <c r="EN42" t="e">
        <f t="shared" si="198"/>
        <v>#VALUE!</v>
      </c>
      <c r="EO42" t="str">
        <f t="shared" si="199"/>
        <v/>
      </c>
      <c r="EP42" t="str">
        <f t="shared" si="200"/>
        <v/>
      </c>
      <c r="EQ42" t="str">
        <f t="shared" si="201"/>
        <v/>
      </c>
      <c r="ER42" t="str">
        <f t="shared" si="202"/>
        <v/>
      </c>
      <c r="ES42" t="str">
        <f t="shared" si="203"/>
        <v/>
      </c>
    </row>
    <row r="43" spans="1:149" ht="52.8" customHeight="1">
      <c r="A43" s="40"/>
      <c r="B43" s="41"/>
      <c r="C43" s="41"/>
      <c r="D43" s="41"/>
      <c r="E43" s="41"/>
      <c r="F43" s="41"/>
      <c r="G43" s="42"/>
      <c r="H43" s="42"/>
      <c r="I43" s="42"/>
      <c r="J43" s="41"/>
      <c r="K43" s="41"/>
      <c r="L43" s="41"/>
      <c r="M43" s="42"/>
      <c r="N43" s="42"/>
      <c r="O43" s="42"/>
      <c r="P43" s="43" t="str">
        <f t="shared" si="102"/>
        <v/>
      </c>
      <c r="Q43" s="43" t="str">
        <f t="shared" si="103"/>
        <v/>
      </c>
      <c r="R43" s="44" t="e">
        <f t="shared" si="104"/>
        <v>#VALUE!</v>
      </c>
      <c r="S43" s="44" t="e">
        <f t="shared" si="105"/>
        <v>#VALUE!</v>
      </c>
      <c r="T43" s="44" t="e">
        <f t="shared" si="106"/>
        <v>#VALUE!</v>
      </c>
      <c r="U43" s="45" t="e">
        <f t="shared" si="107"/>
        <v>#VALUE!</v>
      </c>
      <c r="V43" s="45" t="e">
        <f t="shared" si="108"/>
        <v>#VALUE!</v>
      </c>
      <c r="W43" s="45" t="e">
        <f t="shared" si="109"/>
        <v>#VALUE!</v>
      </c>
      <c r="X43" s="46"/>
      <c r="Y43" s="47" t="str">
        <f t="shared" si="110"/>
        <v/>
      </c>
      <c r="Z43" s="47" t="str">
        <f t="shared" si="111"/>
        <v/>
      </c>
      <c r="AA43" s="47" t="str">
        <f t="shared" si="112"/>
        <v/>
      </c>
      <c r="AB43" s="47" t="str">
        <f t="shared" si="113"/>
        <v>Нет локального эффекта</v>
      </c>
      <c r="AC43" s="47" t="str">
        <f t="shared" si="114"/>
        <v/>
      </c>
      <c r="AD43" s="47" t="str">
        <f t="shared" si="115"/>
        <v>Нет локального эффекта</v>
      </c>
      <c r="AE43" s="47" t="str">
        <f t="shared" si="116"/>
        <v/>
      </c>
      <c r="AF43" s="47" t="str">
        <f t="shared" si="117"/>
        <v>Нет локального эффекта</v>
      </c>
      <c r="AG43" s="47" t="str">
        <f t="shared" si="118"/>
        <v/>
      </c>
      <c r="AH43" s="48" t="str">
        <f>IF($B43="","","Общий итог: "&amp;IF($Y43="","ожидает D98",$Y43&amp;IF($Z43="—",""," — "&amp;$Z43))&amp;". Арес: "&amp;$AA43&amp;". "&amp;$AB43&amp;" Афина: "&amp;$AC43&amp;". "&amp;$AD43&amp;" Аполлон: "&amp;$AE43&amp;". "&amp;$AF43&amp;IF($AG43="",""," Общий эффект: "&amp;$AG43))</f>
        <v/>
      </c>
      <c r="BA43" t="s">
        <v>327</v>
      </c>
      <c r="BF43">
        <v>117758830</v>
      </c>
      <c r="BG43">
        <v>324042201</v>
      </c>
      <c r="BH43">
        <v>670501998</v>
      </c>
      <c r="BI43">
        <v>194479575</v>
      </c>
      <c r="BJ43">
        <v>426778725</v>
      </c>
      <c r="BK43">
        <v>344781804</v>
      </c>
      <c r="BL43">
        <v>323088031</v>
      </c>
      <c r="BM43">
        <f t="shared" si="119"/>
        <v>63218</v>
      </c>
      <c r="BN43">
        <f t="shared" si="120"/>
        <v>71137</v>
      </c>
      <c r="BO43">
        <f t="shared" si="121"/>
        <v>79056</v>
      </c>
      <c r="BP43">
        <f t="shared" si="122"/>
        <v>86975</v>
      </c>
      <c r="BQ43">
        <f t="shared" si="123"/>
        <v>94894</v>
      </c>
      <c r="BR43">
        <f t="shared" si="124"/>
        <v>2810</v>
      </c>
      <c r="BS43">
        <f t="shared" si="125"/>
        <v>10729</v>
      </c>
      <c r="BT43">
        <f t="shared" si="126"/>
        <v>18648</v>
      </c>
      <c r="BU43">
        <f t="shared" si="127"/>
        <v>26567</v>
      </c>
      <c r="BV43">
        <f t="shared" si="128"/>
        <v>34486</v>
      </c>
      <c r="BW43">
        <f t="shared" si="129"/>
        <v>38632</v>
      </c>
      <c r="BX43">
        <f t="shared" si="130"/>
        <v>44783</v>
      </c>
      <c r="BY43">
        <f t="shared" si="131"/>
        <v>50934</v>
      </c>
      <c r="BZ43">
        <f t="shared" si="132"/>
        <v>57085</v>
      </c>
      <c r="CA43">
        <f t="shared" si="133"/>
        <v>63236</v>
      </c>
      <c r="CB43">
        <f t="shared" si="134"/>
        <v>69387</v>
      </c>
      <c r="CC43">
        <f t="shared" si="135"/>
        <v>75538</v>
      </c>
      <c r="CD43">
        <f t="shared" si="136"/>
        <v>81689</v>
      </c>
      <c r="CE43">
        <f t="shared" si="137"/>
        <v>85457</v>
      </c>
      <c r="CF43">
        <f t="shared" si="138"/>
        <v>89028</v>
      </c>
      <c r="CG43">
        <f t="shared" si="139"/>
        <v>92599</v>
      </c>
      <c r="CH43">
        <f t="shared" si="140"/>
        <v>96170</v>
      </c>
      <c r="CI43">
        <f t="shared" si="141"/>
        <v>99741</v>
      </c>
      <c r="CJ43">
        <f t="shared" si="142"/>
        <v>3309</v>
      </c>
      <c r="CK43">
        <f t="shared" si="143"/>
        <v>6880</v>
      </c>
      <c r="CL43">
        <f t="shared" si="144"/>
        <v>10451</v>
      </c>
      <c r="CM43">
        <f t="shared" si="145"/>
        <v>14022</v>
      </c>
      <c r="CN43">
        <f t="shared" si="146"/>
        <v>17593</v>
      </c>
      <c r="CO43">
        <f t="shared" si="147"/>
        <v>21164</v>
      </c>
      <c r="CP43">
        <f t="shared" si="148"/>
        <v>24735</v>
      </c>
      <c r="CQ43">
        <f t="shared" si="149"/>
        <v>28306</v>
      </c>
      <c r="CR43">
        <f t="shared" si="150"/>
        <v>31877</v>
      </c>
      <c r="CS43">
        <f t="shared" si="151"/>
        <v>35448</v>
      </c>
      <c r="CT43">
        <f t="shared" si="152"/>
        <v>39019</v>
      </c>
      <c r="CU43">
        <f t="shared" si="153"/>
        <v>75904</v>
      </c>
      <c r="CV43">
        <f t="shared" si="154"/>
        <v>80345</v>
      </c>
      <c r="CW43">
        <f t="shared" si="155"/>
        <v>84786</v>
      </c>
      <c r="CX43">
        <f t="shared" si="156"/>
        <v>89227</v>
      </c>
      <c r="CY43">
        <f t="shared" si="157"/>
        <v>93668</v>
      </c>
      <c r="CZ43">
        <f t="shared" si="158"/>
        <v>98109</v>
      </c>
      <c r="DA43">
        <f t="shared" si="159"/>
        <v>2547</v>
      </c>
      <c r="DB43">
        <f t="shared" si="160"/>
        <v>6988</v>
      </c>
      <c r="DC43">
        <f t="shared" si="161"/>
        <v>11429</v>
      </c>
      <c r="DD43">
        <f t="shared" si="162"/>
        <v>15870</v>
      </c>
      <c r="DE43">
        <f t="shared" si="163"/>
        <v>20311</v>
      </c>
      <c r="DF43">
        <f t="shared" si="164"/>
        <v>24752</v>
      </c>
      <c r="DG43">
        <f t="shared" si="165"/>
        <v>29193</v>
      </c>
      <c r="DH43">
        <f t="shared" si="166"/>
        <v>33634</v>
      </c>
      <c r="DI43">
        <f t="shared" si="167"/>
        <v>38075</v>
      </c>
      <c r="DJ43">
        <f t="shared" si="168"/>
        <v>42516</v>
      </c>
      <c r="DK43">
        <f t="shared" si="169"/>
        <v>80430</v>
      </c>
      <c r="DL43">
        <f t="shared" si="170"/>
        <v>82519</v>
      </c>
      <c r="DM43">
        <f t="shared" si="171"/>
        <v>84608</v>
      </c>
      <c r="DN43" t="str">
        <f t="shared" si="172"/>
        <v>Мощности производства полупроводников</v>
      </c>
      <c r="DO43" t="str">
        <f t="shared" si="173"/>
        <v>Вычислительные компоненты</v>
      </c>
      <c r="DP43" t="str">
        <f t="shared" si="174"/>
        <v>ЦОД и вычислительная инфраструктура</v>
      </c>
      <c r="DQ43" t="str">
        <f t="shared" si="175"/>
        <v>Производство</v>
      </c>
      <c r="DR43" t="str">
        <f t="shared" si="176"/>
        <v>Управление</v>
      </c>
      <c r="DS43" t="str">
        <f t="shared" si="177"/>
        <v>Познание</v>
      </c>
      <c r="DT43" t="str">
        <f t="shared" si="178"/>
        <v>Франция</v>
      </c>
      <c r="DU43" t="str">
        <f t="shared" si="179"/>
        <v>Германия</v>
      </c>
      <c r="DV43" t="str">
        <f t="shared" si="180"/>
        <v>Япония</v>
      </c>
      <c r="DW43" t="str">
        <f t="shared" si="181"/>
        <v>Ресурсный</v>
      </c>
      <c r="DX43" t="str">
        <f t="shared" si="182"/>
        <v>Общественный</v>
      </c>
      <c r="DY43" t="str">
        <f t="shared" si="183"/>
        <v>Дипломатический</v>
      </c>
      <c r="DZ43" t="str">
        <f t="shared" si="184"/>
        <v>Конкурентная и торговая среда</v>
      </c>
      <c r="EA43" t="str">
        <f t="shared" si="185"/>
        <v>Экономика</v>
      </c>
      <c r="EB43" t="str">
        <f t="shared" si="186"/>
        <v>Германия</v>
      </c>
      <c r="EC43">
        <f t="shared" si="187"/>
        <v>0</v>
      </c>
      <c r="ED43">
        <f t="shared" si="188"/>
        <v>0</v>
      </c>
      <c r="EE43">
        <f t="shared" si="189"/>
        <v>0</v>
      </c>
      <c r="EF43">
        <f t="shared" si="190"/>
        <v>0</v>
      </c>
      <c r="EG43" t="str">
        <f t="shared" si="191"/>
        <v/>
      </c>
      <c r="EH43" t="str">
        <f t="shared" si="192"/>
        <v/>
      </c>
      <c r="EI43" t="str">
        <f t="shared" si="193"/>
        <v/>
      </c>
      <c r="EJ43" t="str">
        <f t="shared" si="194"/>
        <v/>
      </c>
      <c r="EK43" t="str">
        <f t="shared" si="195"/>
        <v/>
      </c>
      <c r="EL43" t="str">
        <f t="shared" si="196"/>
        <v/>
      </c>
      <c r="EM43" t="e">
        <f t="shared" si="197"/>
        <v>#VALUE!</v>
      </c>
      <c r="EN43" t="e">
        <f t="shared" si="198"/>
        <v>#VALUE!</v>
      </c>
      <c r="EO43" t="str">
        <f t="shared" si="199"/>
        <v/>
      </c>
      <c r="EP43" t="str">
        <f t="shared" si="200"/>
        <v/>
      </c>
      <c r="EQ43" t="str">
        <f t="shared" si="201"/>
        <v/>
      </c>
      <c r="ER43" t="str">
        <f t="shared" si="202"/>
        <v/>
      </c>
      <c r="ES43" t="str">
        <f t="shared" si="203"/>
        <v/>
      </c>
    </row>
    <row r="44" spans="1:149" ht="52.8" customHeight="1">
      <c r="A44" s="40"/>
      <c r="B44" s="41"/>
      <c r="C44" s="41"/>
      <c r="D44" s="41"/>
      <c r="E44" s="41"/>
      <c r="F44" s="41"/>
      <c r="G44" s="42"/>
      <c r="H44" s="42"/>
      <c r="I44" s="42"/>
      <c r="J44" s="41"/>
      <c r="K44" s="41"/>
      <c r="L44" s="41"/>
      <c r="M44" s="42"/>
      <c r="N44" s="42"/>
      <c r="O44" s="42"/>
      <c r="P44" s="43" t="str">
        <f t="shared" si="102"/>
        <v/>
      </c>
      <c r="Q44" s="43" t="str">
        <f t="shared" si="103"/>
        <v/>
      </c>
      <c r="R44" s="44" t="e">
        <f t="shared" si="104"/>
        <v>#VALUE!</v>
      </c>
      <c r="S44" s="44" t="e">
        <f t="shared" si="105"/>
        <v>#VALUE!</v>
      </c>
      <c r="T44" s="44" t="e">
        <f t="shared" si="106"/>
        <v>#VALUE!</v>
      </c>
      <c r="U44" s="45" t="e">
        <f t="shared" si="107"/>
        <v>#VALUE!</v>
      </c>
      <c r="V44" s="45" t="e">
        <f t="shared" si="108"/>
        <v>#VALUE!</v>
      </c>
      <c r="W44" s="45" t="e">
        <f t="shared" si="109"/>
        <v>#VALUE!</v>
      </c>
      <c r="X44" s="46"/>
      <c r="Y44" s="47" t="str">
        <f t="shared" si="110"/>
        <v/>
      </c>
      <c r="Z44" s="47" t="str">
        <f t="shared" si="111"/>
        <v/>
      </c>
      <c r="AA44" s="47" t="str">
        <f t="shared" si="112"/>
        <v/>
      </c>
      <c r="AB44" s="47" t="str">
        <f t="shared" si="113"/>
        <v>Нет локального эффекта</v>
      </c>
      <c r="AC44" s="47" t="str">
        <f t="shared" si="114"/>
        <v/>
      </c>
      <c r="AD44" s="47" t="str">
        <f t="shared" si="115"/>
        <v>Нет локального эффекта</v>
      </c>
      <c r="AE44" s="47" t="str">
        <f t="shared" si="116"/>
        <v/>
      </c>
      <c r="AF44" s="47" t="str">
        <f t="shared" si="117"/>
        <v>Нет локального эффекта</v>
      </c>
      <c r="AG44" s="47" t="str">
        <f t="shared" si="118"/>
        <v/>
      </c>
      <c r="AH44" s="48" t="str">
        <f>IF($B44="","","Общий итог: "&amp;IF($Y44="","ожидает D99",$Y44&amp;IF($Z44="—",""," — "&amp;$Z44))&amp;". Арес: "&amp;$AA44&amp;". "&amp;$AB44&amp;" Афина: "&amp;$AC44&amp;". "&amp;$AD44&amp;" Аполлон: "&amp;$AE44&amp;". "&amp;$AF44&amp;IF($AG44="",""," Общий эффект: "&amp;$AG44))</f>
        <v/>
      </c>
      <c r="BA44" t="s">
        <v>328</v>
      </c>
      <c r="BF44">
        <v>256500008</v>
      </c>
      <c r="BG44">
        <v>239871478</v>
      </c>
      <c r="BH44">
        <v>740737110</v>
      </c>
      <c r="BI44">
        <v>721830477</v>
      </c>
      <c r="BJ44">
        <v>994786952</v>
      </c>
      <c r="BK44">
        <v>489668644</v>
      </c>
      <c r="BL44">
        <v>985131296</v>
      </c>
      <c r="BM44">
        <f t="shared" si="119"/>
        <v>232</v>
      </c>
      <c r="BN44">
        <f t="shared" si="120"/>
        <v>8151</v>
      </c>
      <c r="BO44">
        <f t="shared" si="121"/>
        <v>16070</v>
      </c>
      <c r="BP44">
        <f t="shared" si="122"/>
        <v>23989</v>
      </c>
      <c r="BQ44">
        <f t="shared" si="123"/>
        <v>31908</v>
      </c>
      <c r="BR44">
        <f t="shared" si="124"/>
        <v>39827</v>
      </c>
      <c r="BS44">
        <f t="shared" si="125"/>
        <v>47746</v>
      </c>
      <c r="BT44">
        <f t="shared" si="126"/>
        <v>55665</v>
      </c>
      <c r="BU44">
        <f t="shared" si="127"/>
        <v>63584</v>
      </c>
      <c r="BV44">
        <f t="shared" si="128"/>
        <v>71503</v>
      </c>
      <c r="BW44">
        <f t="shared" si="129"/>
        <v>70435</v>
      </c>
      <c r="BX44">
        <f t="shared" si="130"/>
        <v>76586</v>
      </c>
      <c r="BY44">
        <f t="shared" si="131"/>
        <v>82737</v>
      </c>
      <c r="BZ44">
        <f t="shared" si="132"/>
        <v>88888</v>
      </c>
      <c r="CA44">
        <f t="shared" si="133"/>
        <v>95039</v>
      </c>
      <c r="CB44">
        <f t="shared" si="134"/>
        <v>1187</v>
      </c>
      <c r="CC44">
        <f t="shared" si="135"/>
        <v>7338</v>
      </c>
      <c r="CD44">
        <f t="shared" si="136"/>
        <v>13489</v>
      </c>
      <c r="CE44">
        <f t="shared" si="137"/>
        <v>18460</v>
      </c>
      <c r="CF44">
        <f t="shared" si="138"/>
        <v>22031</v>
      </c>
      <c r="CG44">
        <f t="shared" si="139"/>
        <v>25602</v>
      </c>
      <c r="CH44">
        <f t="shared" si="140"/>
        <v>29173</v>
      </c>
      <c r="CI44">
        <f t="shared" si="141"/>
        <v>32744</v>
      </c>
      <c r="CJ44">
        <f t="shared" si="142"/>
        <v>36315</v>
      </c>
      <c r="CK44">
        <f t="shared" si="143"/>
        <v>39886</v>
      </c>
      <c r="CL44">
        <f t="shared" si="144"/>
        <v>43457</v>
      </c>
      <c r="CM44">
        <f t="shared" si="145"/>
        <v>47028</v>
      </c>
      <c r="CN44">
        <f t="shared" si="146"/>
        <v>50599</v>
      </c>
      <c r="CO44">
        <f t="shared" si="147"/>
        <v>54170</v>
      </c>
      <c r="CP44">
        <f t="shared" si="148"/>
        <v>57741</v>
      </c>
      <c r="CQ44">
        <f t="shared" si="149"/>
        <v>61312</v>
      </c>
      <c r="CR44">
        <f t="shared" si="150"/>
        <v>64883</v>
      </c>
      <c r="CS44">
        <f t="shared" si="151"/>
        <v>68454</v>
      </c>
      <c r="CT44">
        <f t="shared" si="152"/>
        <v>72025</v>
      </c>
      <c r="CU44">
        <f t="shared" si="153"/>
        <v>58397</v>
      </c>
      <c r="CV44">
        <f t="shared" si="154"/>
        <v>62838</v>
      </c>
      <c r="CW44">
        <f t="shared" si="155"/>
        <v>67279</v>
      </c>
      <c r="CX44">
        <f t="shared" si="156"/>
        <v>71720</v>
      </c>
      <c r="CY44">
        <f t="shared" si="157"/>
        <v>76161</v>
      </c>
      <c r="CZ44">
        <f t="shared" si="158"/>
        <v>80602</v>
      </c>
      <c r="DA44">
        <f t="shared" si="159"/>
        <v>85043</v>
      </c>
      <c r="DB44">
        <f t="shared" si="160"/>
        <v>89484</v>
      </c>
      <c r="DC44">
        <f t="shared" si="161"/>
        <v>93925</v>
      </c>
      <c r="DD44">
        <f t="shared" si="162"/>
        <v>98366</v>
      </c>
      <c r="DE44">
        <f t="shared" si="163"/>
        <v>2804</v>
      </c>
      <c r="DF44">
        <f t="shared" si="164"/>
        <v>7245</v>
      </c>
      <c r="DG44">
        <f t="shared" si="165"/>
        <v>11686</v>
      </c>
      <c r="DH44">
        <f t="shared" si="166"/>
        <v>16127</v>
      </c>
      <c r="DI44">
        <f t="shared" si="167"/>
        <v>20568</v>
      </c>
      <c r="DJ44">
        <f t="shared" si="168"/>
        <v>25009</v>
      </c>
      <c r="DK44">
        <f t="shared" si="169"/>
        <v>3832</v>
      </c>
      <c r="DL44">
        <f t="shared" si="170"/>
        <v>5921</v>
      </c>
      <c r="DM44">
        <f t="shared" si="171"/>
        <v>8010</v>
      </c>
      <c r="DN44" t="str">
        <f t="shared" si="172"/>
        <v>Минерально-сырьевые ресурсы</v>
      </c>
      <c r="DO44" t="str">
        <f t="shared" si="173"/>
        <v>Химические и технологические материалы</v>
      </c>
      <c r="DP44" t="str">
        <f t="shared" si="174"/>
        <v>Энергетические ресурсы</v>
      </c>
      <c r="DQ44" t="str">
        <f t="shared" si="175"/>
        <v>Экономика</v>
      </c>
      <c r="DR44" t="str">
        <f t="shared" si="176"/>
        <v>Государственное управление</v>
      </c>
      <c r="DS44" t="str">
        <f t="shared" si="177"/>
        <v>Принятие ИИ</v>
      </c>
      <c r="DT44" t="str">
        <f t="shared" si="178"/>
        <v>Россия</v>
      </c>
      <c r="DU44" t="str">
        <f t="shared" si="179"/>
        <v>США</v>
      </c>
      <c r="DV44" t="str">
        <f t="shared" si="180"/>
        <v>Китай</v>
      </c>
      <c r="DW44" t="str">
        <f t="shared" si="181"/>
        <v>Ресурсный</v>
      </c>
      <c r="DX44" t="str">
        <f t="shared" si="182"/>
        <v>Общественный</v>
      </c>
      <c r="DY44" t="str">
        <f t="shared" si="183"/>
        <v>Дипломатический</v>
      </c>
      <c r="DZ44" t="str">
        <f t="shared" si="184"/>
        <v>Стек эксплуатации ИИ</v>
      </c>
      <c r="EA44" t="str">
        <f t="shared" si="185"/>
        <v>Производство</v>
      </c>
      <c r="EB44" t="str">
        <f t="shared" si="186"/>
        <v>Саудовская Аравия</v>
      </c>
      <c r="EC44">
        <f t="shared" si="187"/>
        <v>0</v>
      </c>
      <c r="ED44">
        <f t="shared" si="188"/>
        <v>0</v>
      </c>
      <c r="EE44">
        <f t="shared" si="189"/>
        <v>0</v>
      </c>
      <c r="EF44">
        <f t="shared" si="190"/>
        <v>0</v>
      </c>
      <c r="EG44" t="str">
        <f t="shared" si="191"/>
        <v/>
      </c>
      <c r="EH44" t="str">
        <f t="shared" si="192"/>
        <v/>
      </c>
      <c r="EI44" t="str">
        <f t="shared" si="193"/>
        <v/>
      </c>
      <c r="EJ44" t="str">
        <f t="shared" si="194"/>
        <v/>
      </c>
      <c r="EK44" t="str">
        <f t="shared" si="195"/>
        <v/>
      </c>
      <c r="EL44" t="str">
        <f t="shared" si="196"/>
        <v/>
      </c>
      <c r="EM44" t="e">
        <f t="shared" si="197"/>
        <v>#VALUE!</v>
      </c>
      <c r="EN44" t="e">
        <f t="shared" si="198"/>
        <v>#VALUE!</v>
      </c>
      <c r="EO44" t="str">
        <f t="shared" si="199"/>
        <v/>
      </c>
      <c r="EP44" t="str">
        <f t="shared" si="200"/>
        <v/>
      </c>
      <c r="EQ44" t="str">
        <f t="shared" si="201"/>
        <v/>
      </c>
      <c r="ER44" t="str">
        <f t="shared" si="202"/>
        <v/>
      </c>
      <c r="ES44" t="str">
        <f t="shared" si="203"/>
        <v/>
      </c>
    </row>
    <row r="45" spans="1:149" ht="52.8" customHeight="1">
      <c r="A45" s="40"/>
      <c r="B45" s="41"/>
      <c r="C45" s="41"/>
      <c r="D45" s="41"/>
      <c r="E45" s="41"/>
      <c r="F45" s="41"/>
      <c r="G45" s="42"/>
      <c r="H45" s="42"/>
      <c r="I45" s="42"/>
      <c r="J45" s="41"/>
      <c r="K45" s="41"/>
      <c r="L45" s="41"/>
      <c r="M45" s="42"/>
      <c r="N45" s="42"/>
      <c r="O45" s="42"/>
      <c r="P45" s="43" t="str">
        <f t="shared" si="102"/>
        <v/>
      </c>
      <c r="Q45" s="43" t="str">
        <f t="shared" si="103"/>
        <v/>
      </c>
      <c r="R45" s="44" t="e">
        <f t="shared" si="104"/>
        <v>#VALUE!</v>
      </c>
      <c r="S45" s="44" t="e">
        <f t="shared" si="105"/>
        <v>#VALUE!</v>
      </c>
      <c r="T45" s="44" t="e">
        <f t="shared" si="106"/>
        <v>#VALUE!</v>
      </c>
      <c r="U45" s="45" t="e">
        <f t="shared" si="107"/>
        <v>#VALUE!</v>
      </c>
      <c r="V45" s="45" t="e">
        <f t="shared" si="108"/>
        <v>#VALUE!</v>
      </c>
      <c r="W45" s="45" t="e">
        <f t="shared" si="109"/>
        <v>#VALUE!</v>
      </c>
      <c r="X45" s="46"/>
      <c r="Y45" s="47" t="str">
        <f t="shared" si="110"/>
        <v/>
      </c>
      <c r="Z45" s="47" t="str">
        <f t="shared" si="111"/>
        <v/>
      </c>
      <c r="AA45" s="47" t="str">
        <f t="shared" si="112"/>
        <v/>
      </c>
      <c r="AB45" s="47" t="str">
        <f t="shared" si="113"/>
        <v>Нет локального эффекта</v>
      </c>
      <c r="AC45" s="47" t="str">
        <f t="shared" si="114"/>
        <v/>
      </c>
      <c r="AD45" s="47" t="str">
        <f t="shared" si="115"/>
        <v>Нет локального эффекта</v>
      </c>
      <c r="AE45" s="47" t="str">
        <f t="shared" si="116"/>
        <v/>
      </c>
      <c r="AF45" s="47" t="str">
        <f t="shared" si="117"/>
        <v>Нет локального эффекта</v>
      </c>
      <c r="AG45" s="47" t="str">
        <f t="shared" si="118"/>
        <v/>
      </c>
      <c r="AH45" s="48" t="str">
        <f>IF($B45="","","Общий итог: "&amp;IF($Y45="","ожидает D100",$Y45&amp;IF($Z45="—",""," — "&amp;$Z45))&amp;". Арес: "&amp;$AA45&amp;". "&amp;$AB45&amp;" Афина: "&amp;$AC45&amp;". "&amp;$AD45&amp;" Аполлон: "&amp;$AE45&amp;". "&amp;$AF45&amp;IF($AG45="",""," Общий эффект: "&amp;$AG45))</f>
        <v/>
      </c>
      <c r="BF45">
        <v>9425917</v>
      </c>
      <c r="BG45">
        <v>946829012</v>
      </c>
      <c r="BH45">
        <v>105208585</v>
      </c>
      <c r="BI45">
        <v>487379692</v>
      </c>
      <c r="BJ45">
        <v>150645868</v>
      </c>
      <c r="BK45">
        <v>672486924</v>
      </c>
      <c r="BL45">
        <v>656131387</v>
      </c>
      <c r="BM45">
        <f t="shared" si="119"/>
        <v>33554</v>
      </c>
      <c r="BN45">
        <f t="shared" si="120"/>
        <v>41473</v>
      </c>
      <c r="BO45">
        <f t="shared" si="121"/>
        <v>49392</v>
      </c>
      <c r="BP45">
        <f t="shared" si="122"/>
        <v>57311</v>
      </c>
      <c r="BQ45">
        <f t="shared" si="123"/>
        <v>65230</v>
      </c>
      <c r="BR45">
        <f t="shared" si="124"/>
        <v>73149</v>
      </c>
      <c r="BS45">
        <f t="shared" si="125"/>
        <v>81068</v>
      </c>
      <c r="BT45">
        <f t="shared" si="126"/>
        <v>88987</v>
      </c>
      <c r="BU45">
        <f t="shared" si="127"/>
        <v>96906</v>
      </c>
      <c r="BV45">
        <f t="shared" si="128"/>
        <v>4822</v>
      </c>
      <c r="BW45">
        <f t="shared" si="129"/>
        <v>6759</v>
      </c>
      <c r="BX45">
        <f t="shared" si="130"/>
        <v>12910</v>
      </c>
      <c r="BY45">
        <f t="shared" si="131"/>
        <v>19061</v>
      </c>
      <c r="BZ45">
        <f t="shared" si="132"/>
        <v>25212</v>
      </c>
      <c r="CA45">
        <f t="shared" si="133"/>
        <v>31363</v>
      </c>
      <c r="CB45">
        <f t="shared" si="134"/>
        <v>37514</v>
      </c>
      <c r="CC45">
        <f t="shared" si="135"/>
        <v>43665</v>
      </c>
      <c r="CD45">
        <f t="shared" si="136"/>
        <v>49816</v>
      </c>
      <c r="CE45">
        <f t="shared" si="137"/>
        <v>9000</v>
      </c>
      <c r="CF45">
        <f t="shared" si="138"/>
        <v>12571</v>
      </c>
      <c r="CG45">
        <f t="shared" si="139"/>
        <v>16142</v>
      </c>
      <c r="CH45">
        <f t="shared" si="140"/>
        <v>19713</v>
      </c>
      <c r="CI45">
        <f t="shared" si="141"/>
        <v>23284</v>
      </c>
      <c r="CJ45">
        <f t="shared" si="142"/>
        <v>26855</v>
      </c>
      <c r="CK45">
        <f t="shared" si="143"/>
        <v>30426</v>
      </c>
      <c r="CL45">
        <f t="shared" si="144"/>
        <v>33997</v>
      </c>
      <c r="CM45">
        <f t="shared" si="145"/>
        <v>37568</v>
      </c>
      <c r="CN45">
        <f t="shared" si="146"/>
        <v>41139</v>
      </c>
      <c r="CO45">
        <f t="shared" si="147"/>
        <v>44710</v>
      </c>
      <c r="CP45">
        <f t="shared" si="148"/>
        <v>48281</v>
      </c>
      <c r="CQ45">
        <f t="shared" si="149"/>
        <v>51852</v>
      </c>
      <c r="CR45">
        <f t="shared" si="150"/>
        <v>55423</v>
      </c>
      <c r="CS45">
        <f t="shared" si="151"/>
        <v>58994</v>
      </c>
      <c r="CT45">
        <f t="shared" si="152"/>
        <v>62565</v>
      </c>
      <c r="CU45">
        <f t="shared" si="153"/>
        <v>71193</v>
      </c>
      <c r="CV45">
        <f t="shared" si="154"/>
        <v>75634</v>
      </c>
      <c r="CW45">
        <f t="shared" si="155"/>
        <v>80075</v>
      </c>
      <c r="CX45">
        <f t="shared" si="156"/>
        <v>84516</v>
      </c>
      <c r="CY45">
        <f t="shared" si="157"/>
        <v>88957</v>
      </c>
      <c r="CZ45">
        <f t="shared" si="158"/>
        <v>93398</v>
      </c>
      <c r="DA45">
        <f t="shared" si="159"/>
        <v>97839</v>
      </c>
      <c r="DB45">
        <f t="shared" si="160"/>
        <v>2277</v>
      </c>
      <c r="DC45">
        <f t="shared" si="161"/>
        <v>6718</v>
      </c>
      <c r="DD45">
        <f t="shared" si="162"/>
        <v>11159</v>
      </c>
      <c r="DE45">
        <f t="shared" si="163"/>
        <v>15600</v>
      </c>
      <c r="DF45">
        <f t="shared" si="164"/>
        <v>20041</v>
      </c>
      <c r="DG45">
        <f t="shared" si="165"/>
        <v>24482</v>
      </c>
      <c r="DH45">
        <f t="shared" si="166"/>
        <v>28923</v>
      </c>
      <c r="DI45">
        <f t="shared" si="167"/>
        <v>33364</v>
      </c>
      <c r="DJ45">
        <f t="shared" si="168"/>
        <v>37805</v>
      </c>
      <c r="DK45">
        <f t="shared" si="169"/>
        <v>13793</v>
      </c>
      <c r="DL45">
        <f t="shared" si="170"/>
        <v>15882</v>
      </c>
      <c r="DM45">
        <f t="shared" si="171"/>
        <v>17971</v>
      </c>
      <c r="DN45" t="str">
        <f t="shared" si="172"/>
        <v>Конечные устройства</v>
      </c>
      <c r="DO45" t="str">
        <f t="shared" si="173"/>
        <v>Минерально-сырьевые ресурсы</v>
      </c>
      <c r="DP45" t="str">
        <f t="shared" si="174"/>
        <v>Химические и технологические материалы</v>
      </c>
      <c r="DQ45" t="str">
        <f t="shared" si="175"/>
        <v>Производство</v>
      </c>
      <c r="DR45" t="str">
        <f t="shared" si="176"/>
        <v>Управление</v>
      </c>
      <c r="DS45" t="str">
        <f t="shared" si="177"/>
        <v>Познание</v>
      </c>
      <c r="DT45" t="str">
        <f t="shared" si="178"/>
        <v>Россия</v>
      </c>
      <c r="DU45" t="str">
        <f t="shared" si="179"/>
        <v>США</v>
      </c>
      <c r="DV45" t="str">
        <f t="shared" si="180"/>
        <v>Китай</v>
      </c>
      <c r="DW45" t="str">
        <f t="shared" si="181"/>
        <v>Ресурсный</v>
      </c>
      <c r="DX45" t="str">
        <f t="shared" si="182"/>
        <v>Общественный</v>
      </c>
      <c r="DY45" t="str">
        <f t="shared" si="183"/>
        <v>Дипломатический</v>
      </c>
      <c r="DZ45" t="str">
        <f t="shared" si="184"/>
        <v>Ресурсы оценки</v>
      </c>
      <c r="EA45" t="str">
        <f t="shared" si="185"/>
        <v>Война</v>
      </c>
      <c r="EB45" t="str">
        <f t="shared" si="186"/>
        <v>Япония</v>
      </c>
      <c r="EC45">
        <f t="shared" si="187"/>
        <v>0</v>
      </c>
      <c r="ED45">
        <f t="shared" si="188"/>
        <v>0</v>
      </c>
      <c r="EE45">
        <f t="shared" si="189"/>
        <v>0</v>
      </c>
      <c r="EF45">
        <f t="shared" si="190"/>
        <v>0</v>
      </c>
      <c r="EG45" t="str">
        <f t="shared" si="191"/>
        <v/>
      </c>
      <c r="EH45" t="str">
        <f t="shared" si="192"/>
        <v/>
      </c>
      <c r="EI45" t="str">
        <f t="shared" si="193"/>
        <v/>
      </c>
      <c r="EJ45" t="str">
        <f t="shared" si="194"/>
        <v/>
      </c>
      <c r="EK45" t="str">
        <f t="shared" si="195"/>
        <v/>
      </c>
      <c r="EL45" t="str">
        <f t="shared" si="196"/>
        <v/>
      </c>
      <c r="EM45" t="e">
        <f t="shared" si="197"/>
        <v>#VALUE!</v>
      </c>
      <c r="EN45" t="e">
        <f t="shared" si="198"/>
        <v>#VALUE!</v>
      </c>
      <c r="EO45" t="str">
        <f t="shared" si="199"/>
        <v/>
      </c>
      <c r="EP45" t="str">
        <f t="shared" si="200"/>
        <v/>
      </c>
      <c r="EQ45" t="str">
        <f t="shared" si="201"/>
        <v/>
      </c>
      <c r="ER45" t="str">
        <f t="shared" si="202"/>
        <v/>
      </c>
      <c r="ES45" t="str">
        <f t="shared" si="203"/>
        <v/>
      </c>
    </row>
    <row r="46" spans="1:149" ht="52.8" customHeight="1">
      <c r="A46" s="40"/>
      <c r="B46" s="41"/>
      <c r="C46" s="41"/>
      <c r="D46" s="41"/>
      <c r="E46" s="41"/>
      <c r="F46" s="41"/>
      <c r="G46" s="42"/>
      <c r="H46" s="42"/>
      <c r="I46" s="42"/>
      <c r="J46" s="41"/>
      <c r="K46" s="41"/>
      <c r="L46" s="41"/>
      <c r="M46" s="42"/>
      <c r="N46" s="42"/>
      <c r="O46" s="42"/>
      <c r="P46" s="43" t="str">
        <f t="shared" si="102"/>
        <v/>
      </c>
      <c r="Q46" s="43" t="str">
        <f t="shared" si="103"/>
        <v/>
      </c>
      <c r="R46" s="44" t="e">
        <f t="shared" si="104"/>
        <v>#VALUE!</v>
      </c>
      <c r="S46" s="44" t="e">
        <f t="shared" si="105"/>
        <v>#VALUE!</v>
      </c>
      <c r="T46" s="44" t="e">
        <f t="shared" si="106"/>
        <v>#VALUE!</v>
      </c>
      <c r="U46" s="45" t="e">
        <f t="shared" si="107"/>
        <v>#VALUE!</v>
      </c>
      <c r="V46" s="45" t="e">
        <f t="shared" si="108"/>
        <v>#VALUE!</v>
      </c>
      <c r="W46" s="45" t="e">
        <f t="shared" si="109"/>
        <v>#VALUE!</v>
      </c>
      <c r="X46" s="46"/>
      <c r="Y46" s="47" t="str">
        <f t="shared" si="110"/>
        <v/>
      </c>
      <c r="Z46" s="47" t="str">
        <f t="shared" si="111"/>
        <v/>
      </c>
      <c r="AA46" s="47" t="str">
        <f t="shared" si="112"/>
        <v/>
      </c>
      <c r="AB46" s="47" t="str">
        <f t="shared" si="113"/>
        <v>Нет локального эффекта</v>
      </c>
      <c r="AC46" s="47" t="str">
        <f t="shared" si="114"/>
        <v/>
      </c>
      <c r="AD46" s="47" t="str">
        <f t="shared" si="115"/>
        <v>Нет локального эффекта</v>
      </c>
      <c r="AE46" s="47" t="str">
        <f t="shared" si="116"/>
        <v/>
      </c>
      <c r="AF46" s="47" t="str">
        <f t="shared" si="117"/>
        <v>Нет локального эффекта</v>
      </c>
      <c r="AG46" s="47" t="str">
        <f t="shared" si="118"/>
        <v/>
      </c>
      <c r="AH46" s="48" t="str">
        <f>IF($B46="","","Общий итог: "&amp;IF($Y46="","ожидает D101",$Y46&amp;IF($Z46="—",""," — "&amp;$Z46))&amp;". Арес: "&amp;$AA46&amp;". "&amp;$AB46&amp;" Афина: "&amp;$AC46&amp;". "&amp;$AD46&amp;" Аполлон: "&amp;$AE46&amp;". "&amp;$AF46&amp;IF($AG46="",""," Общий эффект: "&amp;$AG46))</f>
        <v/>
      </c>
      <c r="BF46">
        <v>899420496</v>
      </c>
      <c r="BG46">
        <v>220596202</v>
      </c>
      <c r="BH46">
        <v>463498465</v>
      </c>
      <c r="BI46">
        <v>856847817</v>
      </c>
      <c r="BJ46">
        <v>925879388</v>
      </c>
      <c r="BK46">
        <v>281845664</v>
      </c>
      <c r="BL46">
        <v>132800522</v>
      </c>
      <c r="BM46">
        <f t="shared" si="119"/>
        <v>1433</v>
      </c>
      <c r="BN46">
        <f t="shared" si="120"/>
        <v>9352</v>
      </c>
      <c r="BO46">
        <f t="shared" si="121"/>
        <v>17271</v>
      </c>
      <c r="BP46">
        <f t="shared" si="122"/>
        <v>25190</v>
      </c>
      <c r="BQ46">
        <f t="shared" si="123"/>
        <v>33109</v>
      </c>
      <c r="BR46">
        <f t="shared" si="124"/>
        <v>41028</v>
      </c>
      <c r="BS46">
        <f t="shared" si="125"/>
        <v>48947</v>
      </c>
      <c r="BT46">
        <f t="shared" si="126"/>
        <v>56866</v>
      </c>
      <c r="BU46">
        <f t="shared" si="127"/>
        <v>64785</v>
      </c>
      <c r="BV46">
        <f t="shared" si="128"/>
        <v>72704</v>
      </c>
      <c r="BW46">
        <f t="shared" si="129"/>
        <v>95738</v>
      </c>
      <c r="BX46">
        <f t="shared" si="130"/>
        <v>1886</v>
      </c>
      <c r="BY46">
        <f t="shared" si="131"/>
        <v>8037</v>
      </c>
      <c r="BZ46">
        <f t="shared" si="132"/>
        <v>14188</v>
      </c>
      <c r="CA46">
        <f t="shared" si="133"/>
        <v>20339</v>
      </c>
      <c r="CB46">
        <f t="shared" si="134"/>
        <v>26490</v>
      </c>
      <c r="CC46">
        <f t="shared" si="135"/>
        <v>32641</v>
      </c>
      <c r="CD46">
        <f t="shared" si="136"/>
        <v>38792</v>
      </c>
      <c r="CE46">
        <f t="shared" si="137"/>
        <v>88134</v>
      </c>
      <c r="CF46">
        <f t="shared" si="138"/>
        <v>91705</v>
      </c>
      <c r="CG46">
        <f t="shared" si="139"/>
        <v>95276</v>
      </c>
      <c r="CH46">
        <f t="shared" si="140"/>
        <v>98847</v>
      </c>
      <c r="CI46">
        <f t="shared" si="141"/>
        <v>2415</v>
      </c>
      <c r="CJ46">
        <f t="shared" si="142"/>
        <v>5986</v>
      </c>
      <c r="CK46">
        <f t="shared" si="143"/>
        <v>9557</v>
      </c>
      <c r="CL46">
        <f t="shared" si="144"/>
        <v>13128</v>
      </c>
      <c r="CM46">
        <f t="shared" si="145"/>
        <v>16699</v>
      </c>
      <c r="CN46">
        <f t="shared" si="146"/>
        <v>20270</v>
      </c>
      <c r="CO46">
        <f t="shared" si="147"/>
        <v>23841</v>
      </c>
      <c r="CP46">
        <f t="shared" si="148"/>
        <v>27412</v>
      </c>
      <c r="CQ46">
        <f t="shared" si="149"/>
        <v>30983</v>
      </c>
      <c r="CR46">
        <f t="shared" si="150"/>
        <v>34554</v>
      </c>
      <c r="CS46">
        <f t="shared" si="151"/>
        <v>38125</v>
      </c>
      <c r="CT46">
        <f t="shared" si="152"/>
        <v>41696</v>
      </c>
      <c r="CU46">
        <f t="shared" si="153"/>
        <v>41651</v>
      </c>
      <c r="CV46">
        <f t="shared" si="154"/>
        <v>46092</v>
      </c>
      <c r="CW46">
        <f t="shared" si="155"/>
        <v>50533</v>
      </c>
      <c r="CX46">
        <f t="shared" si="156"/>
        <v>54974</v>
      </c>
      <c r="CY46">
        <f t="shared" si="157"/>
        <v>59415</v>
      </c>
      <c r="CZ46">
        <f t="shared" si="158"/>
        <v>63856</v>
      </c>
      <c r="DA46">
        <f t="shared" si="159"/>
        <v>68297</v>
      </c>
      <c r="DB46">
        <f t="shared" si="160"/>
        <v>72738</v>
      </c>
      <c r="DC46">
        <f t="shared" si="161"/>
        <v>77179</v>
      </c>
      <c r="DD46">
        <f t="shared" si="162"/>
        <v>81620</v>
      </c>
      <c r="DE46">
        <f t="shared" si="163"/>
        <v>86061</v>
      </c>
      <c r="DF46">
        <f t="shared" si="164"/>
        <v>90502</v>
      </c>
      <c r="DG46">
        <f t="shared" si="165"/>
        <v>94943</v>
      </c>
      <c r="DH46">
        <f t="shared" si="166"/>
        <v>99384</v>
      </c>
      <c r="DI46">
        <f t="shared" si="167"/>
        <v>3822</v>
      </c>
      <c r="DJ46">
        <f t="shared" si="168"/>
        <v>8263</v>
      </c>
      <c r="DK46">
        <f t="shared" si="169"/>
        <v>98630</v>
      </c>
      <c r="DL46">
        <f t="shared" si="170"/>
        <v>716</v>
      </c>
      <c r="DM46">
        <f t="shared" si="171"/>
        <v>2805</v>
      </c>
      <c r="DN46" t="str">
        <f t="shared" si="172"/>
        <v>Минерально-сырьевые ресурсы</v>
      </c>
      <c r="DO46" t="str">
        <f t="shared" si="173"/>
        <v>Химические и технологические материалы</v>
      </c>
      <c r="DP46" t="str">
        <f t="shared" si="174"/>
        <v>Энергетические ресурсы</v>
      </c>
      <c r="DQ46" t="str">
        <f t="shared" si="175"/>
        <v>Управление</v>
      </c>
      <c r="DR46" t="str">
        <f t="shared" si="176"/>
        <v>Познание</v>
      </c>
      <c r="DS46" t="str">
        <f t="shared" si="177"/>
        <v>Обучение</v>
      </c>
      <c r="DT46" t="str">
        <f t="shared" si="178"/>
        <v>Великобритания</v>
      </c>
      <c r="DU46" t="str">
        <f t="shared" si="179"/>
        <v>Франция</v>
      </c>
      <c r="DV46" t="str">
        <f t="shared" si="180"/>
        <v>Германия</v>
      </c>
      <c r="DW46" t="str">
        <f t="shared" si="181"/>
        <v>Общественный</v>
      </c>
      <c r="DX46" t="str">
        <f t="shared" si="182"/>
        <v>Дипломатический</v>
      </c>
      <c r="DY46" t="str">
        <f t="shared" si="183"/>
        <v>Ресурсный</v>
      </c>
      <c r="DZ46" t="str">
        <f t="shared" si="184"/>
        <v>Модельные ресурсы</v>
      </c>
      <c r="EA46" t="str">
        <f t="shared" si="185"/>
        <v>Война</v>
      </c>
      <c r="EB46" t="str">
        <f t="shared" si="186"/>
        <v>ОАЭ</v>
      </c>
      <c r="EC46">
        <f t="shared" si="187"/>
        <v>0</v>
      </c>
      <c r="ED46">
        <f t="shared" si="188"/>
        <v>0</v>
      </c>
      <c r="EE46">
        <f t="shared" si="189"/>
        <v>0</v>
      </c>
      <c r="EF46">
        <f t="shared" si="190"/>
        <v>0</v>
      </c>
      <c r="EG46" t="str">
        <f t="shared" si="191"/>
        <v/>
      </c>
      <c r="EH46" t="str">
        <f t="shared" si="192"/>
        <v/>
      </c>
      <c r="EI46" t="str">
        <f t="shared" si="193"/>
        <v/>
      </c>
      <c r="EJ46" t="str">
        <f t="shared" si="194"/>
        <v/>
      </c>
      <c r="EK46" t="str">
        <f t="shared" si="195"/>
        <v/>
      </c>
      <c r="EL46" t="str">
        <f t="shared" si="196"/>
        <v/>
      </c>
      <c r="EM46" t="e">
        <f t="shared" si="197"/>
        <v>#VALUE!</v>
      </c>
      <c r="EN46" t="e">
        <f t="shared" si="198"/>
        <v>#VALUE!</v>
      </c>
      <c r="EO46" t="str">
        <f t="shared" si="199"/>
        <v/>
      </c>
      <c r="EP46" t="str">
        <f t="shared" si="200"/>
        <v/>
      </c>
      <c r="EQ46" t="str">
        <f t="shared" si="201"/>
        <v/>
      </c>
      <c r="ER46" t="str">
        <f t="shared" si="202"/>
        <v/>
      </c>
      <c r="ES46" t="str">
        <f t="shared" si="203"/>
        <v/>
      </c>
    </row>
    <row r="47" spans="1:149" ht="52.8" customHeight="1">
      <c r="A47" s="40"/>
      <c r="B47" s="41"/>
      <c r="C47" s="41"/>
      <c r="D47" s="41"/>
      <c r="E47" s="41"/>
      <c r="F47" s="41"/>
      <c r="G47" s="42"/>
      <c r="H47" s="42"/>
      <c r="I47" s="42"/>
      <c r="J47" s="41"/>
      <c r="K47" s="41"/>
      <c r="L47" s="41"/>
      <c r="M47" s="42"/>
      <c r="N47" s="42"/>
      <c r="O47" s="42"/>
      <c r="P47" s="43" t="str">
        <f t="shared" si="102"/>
        <v/>
      </c>
      <c r="Q47" s="43" t="str">
        <f t="shared" si="103"/>
        <v/>
      </c>
      <c r="R47" s="44" t="e">
        <f t="shared" si="104"/>
        <v>#VALUE!</v>
      </c>
      <c r="S47" s="44" t="e">
        <f t="shared" si="105"/>
        <v>#VALUE!</v>
      </c>
      <c r="T47" s="44" t="e">
        <f t="shared" si="106"/>
        <v>#VALUE!</v>
      </c>
      <c r="U47" s="45" t="e">
        <f t="shared" si="107"/>
        <v>#VALUE!</v>
      </c>
      <c r="V47" s="45" t="e">
        <f t="shared" si="108"/>
        <v>#VALUE!</v>
      </c>
      <c r="W47" s="45" t="e">
        <f t="shared" si="109"/>
        <v>#VALUE!</v>
      </c>
      <c r="X47" s="46"/>
      <c r="Y47" s="47" t="str">
        <f t="shared" si="110"/>
        <v/>
      </c>
      <c r="Z47" s="47" t="str">
        <f t="shared" si="111"/>
        <v/>
      </c>
      <c r="AA47" s="47" t="str">
        <f t="shared" si="112"/>
        <v/>
      </c>
      <c r="AB47" s="47" t="str">
        <f t="shared" si="113"/>
        <v>Нет локального эффекта</v>
      </c>
      <c r="AC47" s="47" t="str">
        <f t="shared" si="114"/>
        <v/>
      </c>
      <c r="AD47" s="47" t="str">
        <f t="shared" si="115"/>
        <v>Нет локального эффекта</v>
      </c>
      <c r="AE47" s="47" t="str">
        <f t="shared" si="116"/>
        <v/>
      </c>
      <c r="AF47" s="47" t="str">
        <f t="shared" si="117"/>
        <v>Нет локального эффекта</v>
      </c>
      <c r="AG47" s="47" t="str">
        <f t="shared" si="118"/>
        <v/>
      </c>
      <c r="AH47" s="48" t="str">
        <f>IF($B47="","","Общий итог: "&amp;IF($Y47="","ожидает D102",$Y47&amp;IF($Z47="—",""," — "&amp;$Z47))&amp;". Арес: "&amp;$AA47&amp;". "&amp;$AB47&amp;" Афина: "&amp;$AC47&amp;". "&amp;$AD47&amp;" Аполлон: "&amp;$AE47&amp;". "&amp;$AF47&amp;IF($AG47="",""," Общий эффект: "&amp;$AG47))</f>
        <v/>
      </c>
      <c r="BF47">
        <v>596187207</v>
      </c>
      <c r="BG47">
        <v>123467364</v>
      </c>
      <c r="BH47">
        <v>384631465</v>
      </c>
      <c r="BI47">
        <v>254891242</v>
      </c>
      <c r="BJ47">
        <v>254589249</v>
      </c>
      <c r="BK47">
        <v>92130969</v>
      </c>
      <c r="BL47">
        <v>758650072</v>
      </c>
      <c r="BM47">
        <f t="shared" si="119"/>
        <v>77243</v>
      </c>
      <c r="BN47">
        <f t="shared" si="120"/>
        <v>85162</v>
      </c>
      <c r="BO47">
        <f t="shared" si="121"/>
        <v>93081</v>
      </c>
      <c r="BP47">
        <f t="shared" si="122"/>
        <v>997</v>
      </c>
      <c r="BQ47">
        <f t="shared" si="123"/>
        <v>8916</v>
      </c>
      <c r="BR47">
        <f t="shared" si="124"/>
        <v>16835</v>
      </c>
      <c r="BS47">
        <f t="shared" si="125"/>
        <v>24754</v>
      </c>
      <c r="BT47">
        <f t="shared" si="126"/>
        <v>32673</v>
      </c>
      <c r="BU47">
        <f t="shared" si="127"/>
        <v>40592</v>
      </c>
      <c r="BV47">
        <f t="shared" si="128"/>
        <v>48511</v>
      </c>
      <c r="BW47">
        <f t="shared" si="129"/>
        <v>69813</v>
      </c>
      <c r="BX47">
        <f t="shared" si="130"/>
        <v>75964</v>
      </c>
      <c r="BY47">
        <f t="shared" si="131"/>
        <v>82115</v>
      </c>
      <c r="BZ47">
        <f t="shared" si="132"/>
        <v>88266</v>
      </c>
      <c r="CA47">
        <f t="shared" si="133"/>
        <v>94417</v>
      </c>
      <c r="CB47">
        <f t="shared" si="134"/>
        <v>565</v>
      </c>
      <c r="CC47">
        <f t="shared" si="135"/>
        <v>6716</v>
      </c>
      <c r="CD47">
        <f t="shared" si="136"/>
        <v>12867</v>
      </c>
      <c r="CE47">
        <f t="shared" si="137"/>
        <v>23498</v>
      </c>
      <c r="CF47">
        <f t="shared" si="138"/>
        <v>27069</v>
      </c>
      <c r="CG47">
        <f t="shared" si="139"/>
        <v>30640</v>
      </c>
      <c r="CH47">
        <f t="shared" si="140"/>
        <v>34211</v>
      </c>
      <c r="CI47">
        <f t="shared" si="141"/>
        <v>37782</v>
      </c>
      <c r="CJ47">
        <f t="shared" si="142"/>
        <v>41353</v>
      </c>
      <c r="CK47">
        <f t="shared" si="143"/>
        <v>44924</v>
      </c>
      <c r="CL47">
        <f t="shared" si="144"/>
        <v>48495</v>
      </c>
      <c r="CM47">
        <f t="shared" si="145"/>
        <v>52066</v>
      </c>
      <c r="CN47">
        <f t="shared" si="146"/>
        <v>55637</v>
      </c>
      <c r="CO47">
        <f t="shared" si="147"/>
        <v>59208</v>
      </c>
      <c r="CP47">
        <f t="shared" si="148"/>
        <v>62779</v>
      </c>
      <c r="CQ47">
        <f t="shared" si="149"/>
        <v>66350</v>
      </c>
      <c r="CR47">
        <f t="shared" si="150"/>
        <v>69921</v>
      </c>
      <c r="CS47">
        <f t="shared" si="151"/>
        <v>73492</v>
      </c>
      <c r="CT47">
        <f t="shared" si="152"/>
        <v>77063</v>
      </c>
      <c r="CU47">
        <f t="shared" si="153"/>
        <v>32647</v>
      </c>
      <c r="CV47">
        <f t="shared" si="154"/>
        <v>37088</v>
      </c>
      <c r="CW47">
        <f t="shared" si="155"/>
        <v>41529</v>
      </c>
      <c r="CX47">
        <f t="shared" si="156"/>
        <v>45970</v>
      </c>
      <c r="CY47">
        <f t="shared" si="157"/>
        <v>50411</v>
      </c>
      <c r="CZ47">
        <f t="shared" si="158"/>
        <v>54852</v>
      </c>
      <c r="DA47">
        <f t="shared" si="159"/>
        <v>59293</v>
      </c>
      <c r="DB47">
        <f t="shared" si="160"/>
        <v>63734</v>
      </c>
      <c r="DC47">
        <f t="shared" si="161"/>
        <v>68175</v>
      </c>
      <c r="DD47">
        <f t="shared" si="162"/>
        <v>72616</v>
      </c>
      <c r="DE47">
        <f t="shared" si="163"/>
        <v>77057</v>
      </c>
      <c r="DF47">
        <f t="shared" si="164"/>
        <v>81498</v>
      </c>
      <c r="DG47">
        <f t="shared" si="165"/>
        <v>85939</v>
      </c>
      <c r="DH47">
        <f t="shared" si="166"/>
        <v>90380</v>
      </c>
      <c r="DI47">
        <f t="shared" si="167"/>
        <v>94821</v>
      </c>
      <c r="DJ47">
        <f t="shared" si="168"/>
        <v>99262</v>
      </c>
      <c r="DK47">
        <f t="shared" si="169"/>
        <v>29403</v>
      </c>
      <c r="DL47">
        <f t="shared" si="170"/>
        <v>31492</v>
      </c>
      <c r="DM47">
        <f t="shared" si="171"/>
        <v>33581</v>
      </c>
      <c r="DN47" t="str">
        <f t="shared" si="172"/>
        <v>Вода и ресурс отвода тепла</v>
      </c>
      <c r="DO47" t="str">
        <f t="shared" si="173"/>
        <v>Пространственные и природно-географические ресурсы</v>
      </c>
      <c r="DP47" t="str">
        <f t="shared" si="174"/>
        <v>Мощности производства полупроводников</v>
      </c>
      <c r="DQ47" t="str">
        <f t="shared" si="175"/>
        <v>Экономика</v>
      </c>
      <c r="DR47" t="str">
        <f t="shared" si="176"/>
        <v>Государственное управление</v>
      </c>
      <c r="DS47" t="str">
        <f t="shared" si="177"/>
        <v>Принятие ИИ</v>
      </c>
      <c r="DT47" t="str">
        <f t="shared" si="178"/>
        <v>Россия</v>
      </c>
      <c r="DU47" t="str">
        <f t="shared" si="179"/>
        <v>США</v>
      </c>
      <c r="DV47" t="str">
        <f t="shared" si="180"/>
        <v>Китай</v>
      </c>
      <c r="DW47" t="str">
        <f t="shared" si="181"/>
        <v>Ресурсный</v>
      </c>
      <c r="DX47" t="str">
        <f t="shared" si="182"/>
        <v>Общественный</v>
      </c>
      <c r="DY47" t="str">
        <f t="shared" si="183"/>
        <v>Дипломатический</v>
      </c>
      <c r="DZ47" t="str">
        <f t="shared" si="184"/>
        <v>Математико-алгоритмические ресурсы</v>
      </c>
      <c r="EA47" t="str">
        <f t="shared" si="185"/>
        <v>Управление</v>
      </c>
      <c r="EB47" t="str">
        <f t="shared" si="186"/>
        <v>Россия</v>
      </c>
      <c r="EC47">
        <f t="shared" si="187"/>
        <v>0</v>
      </c>
      <c r="ED47">
        <f t="shared" si="188"/>
        <v>0</v>
      </c>
      <c r="EE47">
        <f t="shared" si="189"/>
        <v>0</v>
      </c>
      <c r="EF47">
        <f t="shared" si="190"/>
        <v>0</v>
      </c>
      <c r="EG47" t="str">
        <f t="shared" si="191"/>
        <v/>
      </c>
      <c r="EH47" t="str">
        <f t="shared" si="192"/>
        <v/>
      </c>
      <c r="EI47" t="str">
        <f t="shared" si="193"/>
        <v/>
      </c>
      <c r="EJ47" t="str">
        <f t="shared" si="194"/>
        <v/>
      </c>
      <c r="EK47" t="str">
        <f t="shared" si="195"/>
        <v/>
      </c>
      <c r="EL47" t="str">
        <f t="shared" si="196"/>
        <v/>
      </c>
      <c r="EM47" t="e">
        <f t="shared" si="197"/>
        <v>#VALUE!</v>
      </c>
      <c r="EN47" t="e">
        <f t="shared" si="198"/>
        <v>#VALUE!</v>
      </c>
      <c r="EO47" t="str">
        <f t="shared" si="199"/>
        <v/>
      </c>
      <c r="EP47" t="str">
        <f t="shared" si="200"/>
        <v/>
      </c>
      <c r="EQ47" t="str">
        <f t="shared" si="201"/>
        <v/>
      </c>
      <c r="ER47" t="str">
        <f t="shared" si="202"/>
        <v/>
      </c>
      <c r="ES47" t="str">
        <f t="shared" si="203"/>
        <v/>
      </c>
    </row>
    <row r="48" spans="1:149" ht="52.8" customHeight="1">
      <c r="A48" s="40"/>
      <c r="B48" s="41"/>
      <c r="C48" s="41"/>
      <c r="D48" s="41"/>
      <c r="E48" s="41"/>
      <c r="F48" s="41"/>
      <c r="G48" s="42"/>
      <c r="H48" s="42"/>
      <c r="I48" s="42"/>
      <c r="J48" s="41"/>
      <c r="K48" s="41"/>
      <c r="L48" s="41"/>
      <c r="M48" s="42"/>
      <c r="N48" s="42"/>
      <c r="O48" s="42"/>
      <c r="P48" s="43" t="str">
        <f t="shared" si="102"/>
        <v/>
      </c>
      <c r="Q48" s="43" t="str">
        <f t="shared" si="103"/>
        <v/>
      </c>
      <c r="R48" s="44" t="e">
        <f t="shared" si="104"/>
        <v>#VALUE!</v>
      </c>
      <c r="S48" s="44" t="e">
        <f t="shared" si="105"/>
        <v>#VALUE!</v>
      </c>
      <c r="T48" s="44" t="e">
        <f t="shared" si="106"/>
        <v>#VALUE!</v>
      </c>
      <c r="U48" s="45" t="e">
        <f t="shared" si="107"/>
        <v>#VALUE!</v>
      </c>
      <c r="V48" s="45" t="e">
        <f t="shared" si="108"/>
        <v>#VALUE!</v>
      </c>
      <c r="W48" s="45" t="e">
        <f t="shared" si="109"/>
        <v>#VALUE!</v>
      </c>
      <c r="X48" s="46"/>
      <c r="Y48" s="47" t="str">
        <f t="shared" si="110"/>
        <v/>
      </c>
      <c r="Z48" s="47" t="str">
        <f t="shared" si="111"/>
        <v/>
      </c>
      <c r="AA48" s="47" t="str">
        <f t="shared" si="112"/>
        <v/>
      </c>
      <c r="AB48" s="47" t="str">
        <f t="shared" si="113"/>
        <v>Нет локального эффекта</v>
      </c>
      <c r="AC48" s="47" t="str">
        <f t="shared" si="114"/>
        <v/>
      </c>
      <c r="AD48" s="47" t="str">
        <f t="shared" si="115"/>
        <v>Нет локального эффекта</v>
      </c>
      <c r="AE48" s="47" t="str">
        <f t="shared" si="116"/>
        <v/>
      </c>
      <c r="AF48" s="47" t="str">
        <f t="shared" si="117"/>
        <v>Нет локального эффекта</v>
      </c>
      <c r="AG48" s="47" t="str">
        <f t="shared" si="118"/>
        <v/>
      </c>
      <c r="AH48" s="48" t="str">
        <f>IF($B48="","","Общий итог: "&amp;IF($Y48="","ожидает D103",$Y48&amp;IF($Z48="—",""," — "&amp;$Z48))&amp;". Арес: "&amp;$AA48&amp;". "&amp;$AB48&amp;" Афина: "&amp;$AC48&amp;". "&amp;$AD48&amp;" Аполлон: "&amp;$AE48&amp;". "&amp;$AF48&amp;IF($AG48="",""," Общий эффект: "&amp;$AG48))</f>
        <v/>
      </c>
      <c r="BF48">
        <v>39501781</v>
      </c>
      <c r="BG48">
        <v>218761457</v>
      </c>
      <c r="BH48">
        <v>690014012</v>
      </c>
      <c r="BI48">
        <v>780082079</v>
      </c>
      <c r="BJ48">
        <v>94228466</v>
      </c>
      <c r="BK48">
        <v>635848333</v>
      </c>
      <c r="BL48">
        <v>991125779</v>
      </c>
      <c r="BM48">
        <f t="shared" si="119"/>
        <v>8515</v>
      </c>
      <c r="BN48">
        <f t="shared" si="120"/>
        <v>16434</v>
      </c>
      <c r="BO48">
        <f t="shared" si="121"/>
        <v>24353</v>
      </c>
      <c r="BP48">
        <f t="shared" si="122"/>
        <v>32272</v>
      </c>
      <c r="BQ48">
        <f t="shared" si="123"/>
        <v>40191</v>
      </c>
      <c r="BR48">
        <f t="shared" si="124"/>
        <v>48110</v>
      </c>
      <c r="BS48">
        <f t="shared" si="125"/>
        <v>56029</v>
      </c>
      <c r="BT48">
        <f t="shared" si="126"/>
        <v>63948</v>
      </c>
      <c r="BU48">
        <f t="shared" si="127"/>
        <v>71867</v>
      </c>
      <c r="BV48">
        <f t="shared" si="128"/>
        <v>79786</v>
      </c>
      <c r="BW48">
        <f t="shared" si="129"/>
        <v>61047</v>
      </c>
      <c r="BX48">
        <f t="shared" si="130"/>
        <v>67198</v>
      </c>
      <c r="BY48">
        <f t="shared" si="131"/>
        <v>73349</v>
      </c>
      <c r="BZ48">
        <f t="shared" si="132"/>
        <v>79500</v>
      </c>
      <c r="CA48">
        <f t="shared" si="133"/>
        <v>85651</v>
      </c>
      <c r="CB48">
        <f t="shared" si="134"/>
        <v>91802</v>
      </c>
      <c r="CC48">
        <f t="shared" si="135"/>
        <v>97953</v>
      </c>
      <c r="CD48">
        <f t="shared" si="136"/>
        <v>4101</v>
      </c>
      <c r="CE48">
        <f t="shared" si="137"/>
        <v>96886</v>
      </c>
      <c r="CF48">
        <f t="shared" si="138"/>
        <v>454</v>
      </c>
      <c r="CG48">
        <f t="shared" si="139"/>
        <v>4025</v>
      </c>
      <c r="CH48">
        <f t="shared" si="140"/>
        <v>7596</v>
      </c>
      <c r="CI48">
        <f t="shared" si="141"/>
        <v>11167</v>
      </c>
      <c r="CJ48">
        <f t="shared" si="142"/>
        <v>14738</v>
      </c>
      <c r="CK48">
        <f t="shared" si="143"/>
        <v>18309</v>
      </c>
      <c r="CL48">
        <f t="shared" si="144"/>
        <v>21880</v>
      </c>
      <c r="CM48">
        <f t="shared" si="145"/>
        <v>25451</v>
      </c>
      <c r="CN48">
        <f t="shared" si="146"/>
        <v>29022</v>
      </c>
      <c r="CO48">
        <f t="shared" si="147"/>
        <v>32593</v>
      </c>
      <c r="CP48">
        <f t="shared" si="148"/>
        <v>36164</v>
      </c>
      <c r="CQ48">
        <f t="shared" si="149"/>
        <v>39735</v>
      </c>
      <c r="CR48">
        <f t="shared" si="150"/>
        <v>43306</v>
      </c>
      <c r="CS48">
        <f t="shared" si="151"/>
        <v>46877</v>
      </c>
      <c r="CT48">
        <f t="shared" si="152"/>
        <v>50448</v>
      </c>
      <c r="CU48">
        <f t="shared" si="153"/>
        <v>33700</v>
      </c>
      <c r="CV48">
        <f t="shared" si="154"/>
        <v>38141</v>
      </c>
      <c r="CW48">
        <f t="shared" si="155"/>
        <v>42582</v>
      </c>
      <c r="CX48">
        <f t="shared" si="156"/>
        <v>47023</v>
      </c>
      <c r="CY48">
        <f t="shared" si="157"/>
        <v>51464</v>
      </c>
      <c r="CZ48">
        <f t="shared" si="158"/>
        <v>55905</v>
      </c>
      <c r="DA48">
        <f t="shared" si="159"/>
        <v>60346</v>
      </c>
      <c r="DB48">
        <f t="shared" si="160"/>
        <v>64787</v>
      </c>
      <c r="DC48">
        <f t="shared" si="161"/>
        <v>69228</v>
      </c>
      <c r="DD48">
        <f t="shared" si="162"/>
        <v>73669</v>
      </c>
      <c r="DE48">
        <f t="shared" si="163"/>
        <v>78110</v>
      </c>
      <c r="DF48">
        <f t="shared" si="164"/>
        <v>82551</v>
      </c>
      <c r="DG48">
        <f t="shared" si="165"/>
        <v>86992</v>
      </c>
      <c r="DH48">
        <f t="shared" si="166"/>
        <v>91433</v>
      </c>
      <c r="DI48">
        <f t="shared" si="167"/>
        <v>95874</v>
      </c>
      <c r="DJ48">
        <f t="shared" si="168"/>
        <v>312</v>
      </c>
      <c r="DK48">
        <f t="shared" si="169"/>
        <v>98138</v>
      </c>
      <c r="DL48">
        <f t="shared" si="170"/>
        <v>224</v>
      </c>
      <c r="DM48">
        <f t="shared" si="171"/>
        <v>2313</v>
      </c>
      <c r="DN48" t="str">
        <f t="shared" si="172"/>
        <v>Минерально-сырьевые ресурсы</v>
      </c>
      <c r="DO48" t="str">
        <f t="shared" si="173"/>
        <v>Химические и технологические материалы</v>
      </c>
      <c r="DP48" t="str">
        <f t="shared" si="174"/>
        <v>Энергетические ресурсы</v>
      </c>
      <c r="DQ48" t="str">
        <f t="shared" si="175"/>
        <v>Принятие ИИ</v>
      </c>
      <c r="DR48" t="str">
        <f t="shared" si="176"/>
        <v>Производство</v>
      </c>
      <c r="DS48" t="str">
        <f t="shared" si="177"/>
        <v>Управление</v>
      </c>
      <c r="DT48" t="str">
        <f t="shared" si="178"/>
        <v>США</v>
      </c>
      <c r="DU48" t="str">
        <f t="shared" si="179"/>
        <v>Китай</v>
      </c>
      <c r="DV48" t="str">
        <f t="shared" si="180"/>
        <v>Индия</v>
      </c>
      <c r="DW48" t="str">
        <f t="shared" si="181"/>
        <v>Общественный</v>
      </c>
      <c r="DX48" t="str">
        <f t="shared" si="182"/>
        <v>Дипломатический</v>
      </c>
      <c r="DY48" t="str">
        <f t="shared" si="183"/>
        <v>Ресурсный</v>
      </c>
      <c r="DZ48" t="str">
        <f t="shared" si="184"/>
        <v>Поставщики и рынок технологических услуг</v>
      </c>
      <c r="EA48" t="str">
        <f t="shared" si="185"/>
        <v>Познание</v>
      </c>
      <c r="EB48" t="str">
        <f t="shared" si="186"/>
        <v>Индонезия</v>
      </c>
      <c r="EC48">
        <f t="shared" si="187"/>
        <v>0</v>
      </c>
      <c r="ED48">
        <f t="shared" si="188"/>
        <v>0</v>
      </c>
      <c r="EE48">
        <f t="shared" si="189"/>
        <v>0</v>
      </c>
      <c r="EF48">
        <f t="shared" si="190"/>
        <v>0</v>
      </c>
      <c r="EG48" t="str">
        <f t="shared" si="191"/>
        <v/>
      </c>
      <c r="EH48" t="str">
        <f t="shared" si="192"/>
        <v/>
      </c>
      <c r="EI48" t="str">
        <f t="shared" si="193"/>
        <v/>
      </c>
      <c r="EJ48" t="str">
        <f t="shared" si="194"/>
        <v/>
      </c>
      <c r="EK48" t="str">
        <f t="shared" si="195"/>
        <v/>
      </c>
      <c r="EL48" t="str">
        <f t="shared" si="196"/>
        <v/>
      </c>
      <c r="EM48" t="e">
        <f t="shared" si="197"/>
        <v>#VALUE!</v>
      </c>
      <c r="EN48" t="e">
        <f t="shared" si="198"/>
        <v>#VALUE!</v>
      </c>
      <c r="EO48" t="str">
        <f t="shared" si="199"/>
        <v/>
      </c>
      <c r="EP48" t="str">
        <f t="shared" si="200"/>
        <v/>
      </c>
      <c r="EQ48" t="str">
        <f t="shared" si="201"/>
        <v/>
      </c>
      <c r="ER48" t="str">
        <f t="shared" si="202"/>
        <v/>
      </c>
      <c r="ES48" t="str">
        <f t="shared" si="203"/>
        <v/>
      </c>
    </row>
    <row r="49" spans="1:149" ht="52.8" customHeight="1">
      <c r="A49" s="40"/>
      <c r="B49" s="41"/>
      <c r="C49" s="41"/>
      <c r="D49" s="41"/>
      <c r="E49" s="41"/>
      <c r="F49" s="41"/>
      <c r="G49" s="42"/>
      <c r="H49" s="42"/>
      <c r="I49" s="42"/>
      <c r="J49" s="41"/>
      <c r="K49" s="41"/>
      <c r="L49" s="41"/>
      <c r="M49" s="42"/>
      <c r="N49" s="42"/>
      <c r="O49" s="42"/>
      <c r="P49" s="43" t="str">
        <f t="shared" si="102"/>
        <v/>
      </c>
      <c r="Q49" s="43" t="str">
        <f t="shared" si="103"/>
        <v/>
      </c>
      <c r="R49" s="44" t="e">
        <f t="shared" si="104"/>
        <v>#VALUE!</v>
      </c>
      <c r="S49" s="44" t="e">
        <f t="shared" si="105"/>
        <v>#VALUE!</v>
      </c>
      <c r="T49" s="44" t="e">
        <f t="shared" si="106"/>
        <v>#VALUE!</v>
      </c>
      <c r="U49" s="45" t="e">
        <f t="shared" si="107"/>
        <v>#VALUE!</v>
      </c>
      <c r="V49" s="45" t="e">
        <f t="shared" si="108"/>
        <v>#VALUE!</v>
      </c>
      <c r="W49" s="45" t="e">
        <f t="shared" si="109"/>
        <v>#VALUE!</v>
      </c>
      <c r="X49" s="46"/>
      <c r="Y49" s="47" t="str">
        <f t="shared" si="110"/>
        <v/>
      </c>
      <c r="Z49" s="47" t="str">
        <f t="shared" si="111"/>
        <v/>
      </c>
      <c r="AA49" s="47" t="str">
        <f t="shared" si="112"/>
        <v/>
      </c>
      <c r="AB49" s="47" t="str">
        <f t="shared" si="113"/>
        <v>Нет локального эффекта</v>
      </c>
      <c r="AC49" s="47" t="str">
        <f t="shared" si="114"/>
        <v/>
      </c>
      <c r="AD49" s="47" t="str">
        <f t="shared" si="115"/>
        <v>Нет локального эффекта</v>
      </c>
      <c r="AE49" s="47" t="str">
        <f t="shared" si="116"/>
        <v/>
      </c>
      <c r="AF49" s="47" t="str">
        <f t="shared" si="117"/>
        <v>Нет локального эффекта</v>
      </c>
      <c r="AG49" s="47" t="str">
        <f t="shared" si="118"/>
        <v/>
      </c>
      <c r="AH49" s="48" t="str">
        <f>IF($B49="","","Общий итог: "&amp;IF($Y49="","ожидает D104",$Y49&amp;IF($Z49="—",""," — "&amp;$Z49))&amp;". Арес: "&amp;$AA49&amp;". "&amp;$AB49&amp;" Афина: "&amp;$AC49&amp;". "&amp;$AD49&amp;" Аполлон: "&amp;$AE49&amp;". "&amp;$AF49&amp;IF($AG49="",""," Общий эффект: "&amp;$AG49))</f>
        <v/>
      </c>
      <c r="BF49">
        <v>587776693</v>
      </c>
      <c r="BG49">
        <v>997366079</v>
      </c>
      <c r="BH49">
        <v>89218734</v>
      </c>
      <c r="BI49">
        <v>776021466</v>
      </c>
      <c r="BJ49">
        <v>18910520</v>
      </c>
      <c r="BK49">
        <v>721152741</v>
      </c>
      <c r="BL49">
        <v>430533339</v>
      </c>
      <c r="BM49">
        <f t="shared" si="119"/>
        <v>66981</v>
      </c>
      <c r="BN49">
        <f t="shared" si="120"/>
        <v>74900</v>
      </c>
      <c r="BO49">
        <f t="shared" si="121"/>
        <v>82819</v>
      </c>
      <c r="BP49">
        <f t="shared" si="122"/>
        <v>90738</v>
      </c>
      <c r="BQ49">
        <f t="shared" si="123"/>
        <v>98657</v>
      </c>
      <c r="BR49">
        <f t="shared" si="124"/>
        <v>6573</v>
      </c>
      <c r="BS49">
        <f t="shared" si="125"/>
        <v>14492</v>
      </c>
      <c r="BT49">
        <f t="shared" si="126"/>
        <v>22411</v>
      </c>
      <c r="BU49">
        <f t="shared" si="127"/>
        <v>30330</v>
      </c>
      <c r="BV49">
        <f t="shared" si="128"/>
        <v>38249</v>
      </c>
      <c r="BW49">
        <f t="shared" si="129"/>
        <v>42311</v>
      </c>
      <c r="BX49">
        <f t="shared" si="130"/>
        <v>48462</v>
      </c>
      <c r="BY49">
        <f t="shared" si="131"/>
        <v>54613</v>
      </c>
      <c r="BZ49">
        <f t="shared" si="132"/>
        <v>60764</v>
      </c>
      <c r="CA49">
        <f t="shared" si="133"/>
        <v>66915</v>
      </c>
      <c r="CB49">
        <f t="shared" si="134"/>
        <v>73066</v>
      </c>
      <c r="CC49">
        <f t="shared" si="135"/>
        <v>79217</v>
      </c>
      <c r="CD49">
        <f t="shared" si="136"/>
        <v>85368</v>
      </c>
      <c r="CE49">
        <f t="shared" si="137"/>
        <v>19629</v>
      </c>
      <c r="CF49">
        <f t="shared" si="138"/>
        <v>23200</v>
      </c>
      <c r="CG49">
        <f t="shared" si="139"/>
        <v>26771</v>
      </c>
      <c r="CH49">
        <f t="shared" si="140"/>
        <v>30342</v>
      </c>
      <c r="CI49">
        <f t="shared" si="141"/>
        <v>33913</v>
      </c>
      <c r="CJ49">
        <f t="shared" si="142"/>
        <v>37484</v>
      </c>
      <c r="CK49">
        <f t="shared" si="143"/>
        <v>41055</v>
      </c>
      <c r="CL49">
        <f t="shared" si="144"/>
        <v>44626</v>
      </c>
      <c r="CM49">
        <f t="shared" si="145"/>
        <v>48197</v>
      </c>
      <c r="CN49">
        <f t="shared" si="146"/>
        <v>51768</v>
      </c>
      <c r="CO49">
        <f t="shared" si="147"/>
        <v>55339</v>
      </c>
      <c r="CP49">
        <f t="shared" si="148"/>
        <v>58910</v>
      </c>
      <c r="CQ49">
        <f t="shared" si="149"/>
        <v>62481</v>
      </c>
      <c r="CR49">
        <f t="shared" si="150"/>
        <v>66052</v>
      </c>
      <c r="CS49">
        <f t="shared" si="151"/>
        <v>69623</v>
      </c>
      <c r="CT49">
        <f t="shared" si="152"/>
        <v>73194</v>
      </c>
      <c r="CU49">
        <f t="shared" si="153"/>
        <v>35549</v>
      </c>
      <c r="CV49">
        <f t="shared" si="154"/>
        <v>39990</v>
      </c>
      <c r="CW49">
        <f t="shared" si="155"/>
        <v>44431</v>
      </c>
      <c r="CX49">
        <f t="shared" si="156"/>
        <v>48872</v>
      </c>
      <c r="CY49">
        <f t="shared" si="157"/>
        <v>53313</v>
      </c>
      <c r="CZ49">
        <f t="shared" si="158"/>
        <v>57754</v>
      </c>
      <c r="DA49">
        <f t="shared" si="159"/>
        <v>62195</v>
      </c>
      <c r="DB49">
        <f t="shared" si="160"/>
        <v>66636</v>
      </c>
      <c r="DC49">
        <f t="shared" si="161"/>
        <v>71077</v>
      </c>
      <c r="DD49">
        <f t="shared" si="162"/>
        <v>75518</v>
      </c>
      <c r="DE49">
        <f t="shared" si="163"/>
        <v>79959</v>
      </c>
      <c r="DF49">
        <f t="shared" si="164"/>
        <v>84400</v>
      </c>
      <c r="DG49">
        <f t="shared" si="165"/>
        <v>88841</v>
      </c>
      <c r="DH49">
        <f t="shared" si="166"/>
        <v>93282</v>
      </c>
      <c r="DI49">
        <f t="shared" si="167"/>
        <v>97723</v>
      </c>
      <c r="DJ49">
        <f t="shared" si="168"/>
        <v>2161</v>
      </c>
      <c r="DK49">
        <f t="shared" si="169"/>
        <v>22513</v>
      </c>
      <c r="DL49">
        <f t="shared" si="170"/>
        <v>24602</v>
      </c>
      <c r="DM49">
        <f t="shared" si="171"/>
        <v>26691</v>
      </c>
      <c r="DN49" t="str">
        <f t="shared" si="172"/>
        <v>Мощности производства полупроводников</v>
      </c>
      <c r="DO49" t="str">
        <f t="shared" si="173"/>
        <v>Вычислительные компоненты</v>
      </c>
      <c r="DP49" t="str">
        <f t="shared" si="174"/>
        <v>ЦОД и вычислительная инфраструктура</v>
      </c>
      <c r="DQ49" t="str">
        <f t="shared" si="175"/>
        <v>Производство</v>
      </c>
      <c r="DR49" t="str">
        <f t="shared" si="176"/>
        <v>Управление</v>
      </c>
      <c r="DS49" t="str">
        <f t="shared" si="177"/>
        <v>Познание</v>
      </c>
      <c r="DT49" t="str">
        <f t="shared" si="178"/>
        <v>Россия</v>
      </c>
      <c r="DU49" t="str">
        <f t="shared" si="179"/>
        <v>США</v>
      </c>
      <c r="DV49" t="str">
        <f t="shared" si="180"/>
        <v>Китай</v>
      </c>
      <c r="DW49" t="str">
        <f t="shared" si="181"/>
        <v>Ресурсный</v>
      </c>
      <c r="DX49" t="str">
        <f t="shared" si="182"/>
        <v>Общественный</v>
      </c>
      <c r="DY49" t="str">
        <f t="shared" si="183"/>
        <v>Дипломатический</v>
      </c>
      <c r="DZ49" t="str">
        <f t="shared" si="184"/>
        <v>Социальное доверие</v>
      </c>
      <c r="EA49" t="str">
        <f t="shared" si="185"/>
        <v>Производство</v>
      </c>
      <c r="EB49" t="str">
        <f t="shared" si="186"/>
        <v>Индонезия</v>
      </c>
      <c r="EC49">
        <f t="shared" si="187"/>
        <v>0</v>
      </c>
      <c r="ED49">
        <f t="shared" si="188"/>
        <v>0</v>
      </c>
      <c r="EE49">
        <f t="shared" si="189"/>
        <v>0</v>
      </c>
      <c r="EF49">
        <f t="shared" si="190"/>
        <v>0</v>
      </c>
      <c r="EG49" t="str">
        <f t="shared" si="191"/>
        <v/>
      </c>
      <c r="EH49" t="str">
        <f t="shared" si="192"/>
        <v/>
      </c>
      <c r="EI49" t="str">
        <f t="shared" si="193"/>
        <v/>
      </c>
      <c r="EJ49" t="str">
        <f t="shared" si="194"/>
        <v/>
      </c>
      <c r="EK49" t="str">
        <f t="shared" si="195"/>
        <v/>
      </c>
      <c r="EL49" t="str">
        <f t="shared" si="196"/>
        <v/>
      </c>
      <c r="EM49" t="e">
        <f t="shared" si="197"/>
        <v>#VALUE!</v>
      </c>
      <c r="EN49" t="e">
        <f t="shared" si="198"/>
        <v>#VALUE!</v>
      </c>
      <c r="EO49" t="str">
        <f t="shared" si="199"/>
        <v/>
      </c>
      <c r="EP49" t="str">
        <f t="shared" si="200"/>
        <v/>
      </c>
      <c r="EQ49" t="str">
        <f t="shared" si="201"/>
        <v/>
      </c>
      <c r="ER49" t="str">
        <f t="shared" si="202"/>
        <v/>
      </c>
      <c r="ES49" t="str">
        <f t="shared" si="203"/>
        <v/>
      </c>
    </row>
    <row r="50" spans="1:149" ht="52.8" customHeight="1">
      <c r="A50" s="40"/>
      <c r="B50" s="41"/>
      <c r="C50" s="41"/>
      <c r="D50" s="41"/>
      <c r="E50" s="41"/>
      <c r="F50" s="41"/>
      <c r="G50" s="42"/>
      <c r="H50" s="42"/>
      <c r="I50" s="42"/>
      <c r="J50" s="41"/>
      <c r="K50" s="41"/>
      <c r="L50" s="41"/>
      <c r="M50" s="42"/>
      <c r="N50" s="42"/>
      <c r="O50" s="42"/>
      <c r="P50" s="43" t="str">
        <f t="shared" si="102"/>
        <v/>
      </c>
      <c r="Q50" s="43" t="str">
        <f t="shared" si="103"/>
        <v/>
      </c>
      <c r="R50" s="44" t="e">
        <f t="shared" si="104"/>
        <v>#VALUE!</v>
      </c>
      <c r="S50" s="44" t="e">
        <f t="shared" si="105"/>
        <v>#VALUE!</v>
      </c>
      <c r="T50" s="44" t="e">
        <f t="shared" si="106"/>
        <v>#VALUE!</v>
      </c>
      <c r="U50" s="45" t="e">
        <f t="shared" si="107"/>
        <v>#VALUE!</v>
      </c>
      <c r="V50" s="45" t="e">
        <f t="shared" si="108"/>
        <v>#VALUE!</v>
      </c>
      <c r="W50" s="45" t="e">
        <f t="shared" si="109"/>
        <v>#VALUE!</v>
      </c>
      <c r="X50" s="46"/>
      <c r="Y50" s="47" t="str">
        <f t="shared" si="110"/>
        <v/>
      </c>
      <c r="Z50" s="47" t="str">
        <f t="shared" si="111"/>
        <v/>
      </c>
      <c r="AA50" s="47" t="str">
        <f t="shared" si="112"/>
        <v/>
      </c>
      <c r="AB50" s="47" t="str">
        <f t="shared" si="113"/>
        <v>Нет локального эффекта</v>
      </c>
      <c r="AC50" s="47" t="str">
        <f t="shared" si="114"/>
        <v/>
      </c>
      <c r="AD50" s="47" t="str">
        <f t="shared" si="115"/>
        <v>Нет локального эффекта</v>
      </c>
      <c r="AE50" s="47" t="str">
        <f t="shared" si="116"/>
        <v/>
      </c>
      <c r="AF50" s="47" t="str">
        <f t="shared" si="117"/>
        <v>Нет локального эффекта</v>
      </c>
      <c r="AG50" s="47" t="str">
        <f t="shared" si="118"/>
        <v/>
      </c>
      <c r="AH50" s="48" t="str">
        <f>IF($B50="","","Общий итог: "&amp;IF($Y50="","ожидает D105",$Y50&amp;IF($Z50="—",""," — "&amp;$Z50))&amp;". Арес: "&amp;$AA50&amp;". "&amp;$AB50&amp;" Афина: "&amp;$AC50&amp;". "&amp;$AD50&amp;" Аполлон: "&amp;$AE50&amp;". "&amp;$AF50&amp;IF($AG50="",""," Общий эффект: "&amp;$AG50))</f>
        <v/>
      </c>
      <c r="BF50">
        <v>799204892</v>
      </c>
      <c r="BG50">
        <v>688363391</v>
      </c>
      <c r="BH50">
        <v>642941272</v>
      </c>
      <c r="BI50">
        <v>842471652</v>
      </c>
      <c r="BJ50">
        <v>774403423</v>
      </c>
      <c r="BK50">
        <v>457084929</v>
      </c>
      <c r="BL50">
        <v>180922777</v>
      </c>
      <c r="BM50">
        <f t="shared" si="119"/>
        <v>88838</v>
      </c>
      <c r="BN50">
        <f t="shared" si="120"/>
        <v>96757</v>
      </c>
      <c r="BO50">
        <f t="shared" si="121"/>
        <v>4673</v>
      </c>
      <c r="BP50">
        <f t="shared" si="122"/>
        <v>12592</v>
      </c>
      <c r="BQ50">
        <f t="shared" si="123"/>
        <v>20511</v>
      </c>
      <c r="BR50">
        <f t="shared" si="124"/>
        <v>28430</v>
      </c>
      <c r="BS50">
        <f t="shared" si="125"/>
        <v>36349</v>
      </c>
      <c r="BT50">
        <f t="shared" si="126"/>
        <v>44268</v>
      </c>
      <c r="BU50">
        <f t="shared" si="127"/>
        <v>52187</v>
      </c>
      <c r="BV50">
        <f t="shared" si="128"/>
        <v>60106</v>
      </c>
      <c r="BW50">
        <f t="shared" si="129"/>
        <v>48893</v>
      </c>
      <c r="BX50">
        <f t="shared" si="130"/>
        <v>55044</v>
      </c>
      <c r="BY50">
        <f t="shared" si="131"/>
        <v>61195</v>
      </c>
      <c r="BZ50">
        <f t="shared" si="132"/>
        <v>67346</v>
      </c>
      <c r="CA50">
        <f t="shared" si="133"/>
        <v>73497</v>
      </c>
      <c r="CB50">
        <f t="shared" si="134"/>
        <v>79648</v>
      </c>
      <c r="CC50">
        <f t="shared" si="135"/>
        <v>85799</v>
      </c>
      <c r="CD50">
        <f t="shared" si="136"/>
        <v>91950</v>
      </c>
      <c r="CE50">
        <f t="shared" si="137"/>
        <v>25556</v>
      </c>
      <c r="CF50">
        <f t="shared" si="138"/>
        <v>29127</v>
      </c>
      <c r="CG50">
        <f t="shared" si="139"/>
        <v>32698</v>
      </c>
      <c r="CH50">
        <f t="shared" si="140"/>
        <v>36269</v>
      </c>
      <c r="CI50">
        <f t="shared" si="141"/>
        <v>39840</v>
      </c>
      <c r="CJ50">
        <f t="shared" si="142"/>
        <v>43411</v>
      </c>
      <c r="CK50">
        <f t="shared" si="143"/>
        <v>46982</v>
      </c>
      <c r="CL50">
        <f t="shared" si="144"/>
        <v>50553</v>
      </c>
      <c r="CM50">
        <f t="shared" si="145"/>
        <v>54124</v>
      </c>
      <c r="CN50">
        <f t="shared" si="146"/>
        <v>57695</v>
      </c>
      <c r="CO50">
        <f t="shared" si="147"/>
        <v>61266</v>
      </c>
      <c r="CP50">
        <f t="shared" si="148"/>
        <v>64837</v>
      </c>
      <c r="CQ50">
        <f t="shared" si="149"/>
        <v>68408</v>
      </c>
      <c r="CR50">
        <f t="shared" si="150"/>
        <v>71979</v>
      </c>
      <c r="CS50">
        <f t="shared" si="151"/>
        <v>75550</v>
      </c>
      <c r="CT50">
        <f t="shared" si="152"/>
        <v>79121</v>
      </c>
      <c r="CU50">
        <f t="shared" si="153"/>
        <v>75660</v>
      </c>
      <c r="CV50">
        <f t="shared" si="154"/>
        <v>80101</v>
      </c>
      <c r="CW50">
        <f t="shared" si="155"/>
        <v>84542</v>
      </c>
      <c r="CX50">
        <f t="shared" si="156"/>
        <v>88983</v>
      </c>
      <c r="CY50">
        <f t="shared" si="157"/>
        <v>93424</v>
      </c>
      <c r="CZ50">
        <f t="shared" si="158"/>
        <v>97865</v>
      </c>
      <c r="DA50">
        <f t="shared" si="159"/>
        <v>2303</v>
      </c>
      <c r="DB50">
        <f t="shared" si="160"/>
        <v>6744</v>
      </c>
      <c r="DC50">
        <f t="shared" si="161"/>
        <v>11185</v>
      </c>
      <c r="DD50">
        <f t="shared" si="162"/>
        <v>15626</v>
      </c>
      <c r="DE50">
        <f t="shared" si="163"/>
        <v>20067</v>
      </c>
      <c r="DF50">
        <f t="shared" si="164"/>
        <v>24508</v>
      </c>
      <c r="DG50">
        <f t="shared" si="165"/>
        <v>28949</v>
      </c>
      <c r="DH50">
        <f t="shared" si="166"/>
        <v>33390</v>
      </c>
      <c r="DI50">
        <f t="shared" si="167"/>
        <v>37831</v>
      </c>
      <c r="DJ50">
        <f t="shared" si="168"/>
        <v>42272</v>
      </c>
      <c r="DK50">
        <f t="shared" si="169"/>
        <v>19439</v>
      </c>
      <c r="DL50">
        <f t="shared" si="170"/>
        <v>21528</v>
      </c>
      <c r="DM50">
        <f t="shared" si="171"/>
        <v>23617</v>
      </c>
      <c r="DN50" t="str">
        <f t="shared" si="172"/>
        <v>Энергетические ресурсы</v>
      </c>
      <c r="DO50" t="str">
        <f t="shared" si="173"/>
        <v>Вода и ресурс отвода тепла</v>
      </c>
      <c r="DP50" t="str">
        <f t="shared" si="174"/>
        <v>Пространственные и природно-географические ресурсы</v>
      </c>
      <c r="DQ50" t="str">
        <f t="shared" si="175"/>
        <v>Производство</v>
      </c>
      <c r="DR50" t="str">
        <f t="shared" si="176"/>
        <v>Управление</v>
      </c>
      <c r="DS50" t="str">
        <f t="shared" si="177"/>
        <v>Познание</v>
      </c>
      <c r="DT50" t="str">
        <f t="shared" si="178"/>
        <v>Россия</v>
      </c>
      <c r="DU50" t="str">
        <f t="shared" si="179"/>
        <v>США</v>
      </c>
      <c r="DV50" t="str">
        <f t="shared" si="180"/>
        <v>Китай</v>
      </c>
      <c r="DW50" t="str">
        <f t="shared" si="181"/>
        <v>Ресурсный</v>
      </c>
      <c r="DX50" t="str">
        <f t="shared" si="182"/>
        <v>Общественный</v>
      </c>
      <c r="DY50" t="str">
        <f t="shared" si="183"/>
        <v>Дипломатический</v>
      </c>
      <c r="DZ50" t="str">
        <f t="shared" si="184"/>
        <v>Минерально-сырьевые ресурсы</v>
      </c>
      <c r="EA50" t="str">
        <f t="shared" si="185"/>
        <v>Принятие ИИ</v>
      </c>
      <c r="EB50" t="str">
        <f t="shared" si="186"/>
        <v>Германия</v>
      </c>
      <c r="EC50">
        <f t="shared" si="187"/>
        <v>0</v>
      </c>
      <c r="ED50">
        <f t="shared" si="188"/>
        <v>0</v>
      </c>
      <c r="EE50">
        <f t="shared" si="189"/>
        <v>0</v>
      </c>
      <c r="EF50">
        <f t="shared" si="190"/>
        <v>0</v>
      </c>
      <c r="EG50" t="str">
        <f t="shared" si="191"/>
        <v/>
      </c>
      <c r="EH50" t="str">
        <f t="shared" si="192"/>
        <v/>
      </c>
      <c r="EI50" t="str">
        <f t="shared" si="193"/>
        <v/>
      </c>
      <c r="EJ50" t="str">
        <f t="shared" si="194"/>
        <v/>
      </c>
      <c r="EK50" t="str">
        <f t="shared" si="195"/>
        <v/>
      </c>
      <c r="EL50" t="str">
        <f t="shared" si="196"/>
        <v/>
      </c>
      <c r="EM50" t="e">
        <f t="shared" si="197"/>
        <v>#VALUE!</v>
      </c>
      <c r="EN50" t="e">
        <f t="shared" si="198"/>
        <v>#VALUE!</v>
      </c>
      <c r="EO50" t="str">
        <f t="shared" si="199"/>
        <v/>
      </c>
      <c r="EP50" t="str">
        <f t="shared" si="200"/>
        <v/>
      </c>
      <c r="EQ50" t="str">
        <f t="shared" si="201"/>
        <v/>
      </c>
      <c r="ER50" t="str">
        <f t="shared" si="202"/>
        <v/>
      </c>
      <c r="ES50" t="str">
        <f t="shared" si="203"/>
        <v/>
      </c>
    </row>
    <row r="51" spans="1:149" ht="52.8" customHeight="1">
      <c r="A51" s="40"/>
      <c r="B51" s="41"/>
      <c r="C51" s="41"/>
      <c r="D51" s="41"/>
      <c r="E51" s="41"/>
      <c r="F51" s="41"/>
      <c r="G51" s="42"/>
      <c r="H51" s="42"/>
      <c r="I51" s="42"/>
      <c r="J51" s="41"/>
      <c r="K51" s="41"/>
      <c r="L51" s="41"/>
      <c r="M51" s="42"/>
      <c r="N51" s="42"/>
      <c r="O51" s="42"/>
      <c r="P51" s="43" t="str">
        <f t="shared" si="102"/>
        <v/>
      </c>
      <c r="Q51" s="43" t="str">
        <f t="shared" si="103"/>
        <v/>
      </c>
      <c r="R51" s="44" t="e">
        <f t="shared" si="104"/>
        <v>#VALUE!</v>
      </c>
      <c r="S51" s="44" t="e">
        <f t="shared" si="105"/>
        <v>#VALUE!</v>
      </c>
      <c r="T51" s="44" t="e">
        <f t="shared" si="106"/>
        <v>#VALUE!</v>
      </c>
      <c r="U51" s="45" t="e">
        <f t="shared" si="107"/>
        <v>#VALUE!</v>
      </c>
      <c r="V51" s="45" t="e">
        <f t="shared" si="108"/>
        <v>#VALUE!</v>
      </c>
      <c r="W51" s="45" t="e">
        <f t="shared" si="109"/>
        <v>#VALUE!</v>
      </c>
      <c r="X51" s="46"/>
      <c r="Y51" s="47" t="str">
        <f t="shared" si="110"/>
        <v/>
      </c>
      <c r="Z51" s="47" t="str">
        <f t="shared" si="111"/>
        <v/>
      </c>
      <c r="AA51" s="47" t="str">
        <f t="shared" si="112"/>
        <v/>
      </c>
      <c r="AB51" s="47" t="str">
        <f t="shared" si="113"/>
        <v>Нет локального эффекта</v>
      </c>
      <c r="AC51" s="47" t="str">
        <f t="shared" si="114"/>
        <v/>
      </c>
      <c r="AD51" s="47" t="str">
        <f t="shared" si="115"/>
        <v>Нет локального эффекта</v>
      </c>
      <c r="AE51" s="47" t="str">
        <f t="shared" si="116"/>
        <v/>
      </c>
      <c r="AF51" s="47" t="str">
        <f t="shared" si="117"/>
        <v>Нет локального эффекта</v>
      </c>
      <c r="AG51" s="47" t="str">
        <f t="shared" si="118"/>
        <v/>
      </c>
      <c r="AH51" s="48" t="str">
        <f>IF($B51="","","Общий итог: "&amp;IF($Y51="","ожидает D106",$Y51&amp;IF($Z51="—",""," — "&amp;$Z51))&amp;". Арес: "&amp;$AA51&amp;". "&amp;$AB51&amp;" Афина: "&amp;$AC51&amp;". "&amp;$AD51&amp;" Аполлон: "&amp;$AE51&amp;". "&amp;$AF51&amp;IF($AG51="",""," Общий эффект: "&amp;$AG51))</f>
        <v/>
      </c>
      <c r="BF51">
        <v>874695266</v>
      </c>
      <c r="BG51">
        <v>104140499</v>
      </c>
      <c r="BH51">
        <v>558104045</v>
      </c>
      <c r="BI51">
        <v>533899099</v>
      </c>
      <c r="BJ51">
        <v>834104629</v>
      </c>
      <c r="BK51">
        <v>833757412</v>
      </c>
      <c r="BL51">
        <v>428036671</v>
      </c>
      <c r="BM51">
        <f t="shared" si="119"/>
        <v>76947</v>
      </c>
      <c r="BN51">
        <f t="shared" si="120"/>
        <v>84866</v>
      </c>
      <c r="BO51">
        <f t="shared" si="121"/>
        <v>92785</v>
      </c>
      <c r="BP51">
        <f t="shared" si="122"/>
        <v>701</v>
      </c>
      <c r="BQ51">
        <f t="shared" si="123"/>
        <v>8620</v>
      </c>
      <c r="BR51">
        <f t="shared" si="124"/>
        <v>16539</v>
      </c>
      <c r="BS51">
        <f t="shared" si="125"/>
        <v>24458</v>
      </c>
      <c r="BT51">
        <f t="shared" si="126"/>
        <v>32377</v>
      </c>
      <c r="BU51">
        <f t="shared" si="127"/>
        <v>40296</v>
      </c>
      <c r="BV51">
        <f t="shared" si="128"/>
        <v>48215</v>
      </c>
      <c r="BW51">
        <f t="shared" si="129"/>
        <v>43527</v>
      </c>
      <c r="BX51">
        <f t="shared" si="130"/>
        <v>49678</v>
      </c>
      <c r="BY51">
        <f t="shared" si="131"/>
        <v>55829</v>
      </c>
      <c r="BZ51">
        <f t="shared" si="132"/>
        <v>61980</v>
      </c>
      <c r="CA51">
        <f t="shared" si="133"/>
        <v>68131</v>
      </c>
      <c r="CB51">
        <f t="shared" si="134"/>
        <v>74282</v>
      </c>
      <c r="CC51">
        <f t="shared" si="135"/>
        <v>80433</v>
      </c>
      <c r="CD51">
        <f t="shared" si="136"/>
        <v>86584</v>
      </c>
      <c r="CE51">
        <f t="shared" si="137"/>
        <v>90876</v>
      </c>
      <c r="CF51">
        <f t="shared" si="138"/>
        <v>94447</v>
      </c>
      <c r="CG51">
        <f t="shared" si="139"/>
        <v>98018</v>
      </c>
      <c r="CH51">
        <f t="shared" si="140"/>
        <v>1586</v>
      </c>
      <c r="CI51">
        <f t="shared" si="141"/>
        <v>5157</v>
      </c>
      <c r="CJ51">
        <f t="shared" si="142"/>
        <v>8728</v>
      </c>
      <c r="CK51">
        <f t="shared" si="143"/>
        <v>12299</v>
      </c>
      <c r="CL51">
        <f t="shared" si="144"/>
        <v>15870</v>
      </c>
      <c r="CM51">
        <f t="shared" si="145"/>
        <v>19441</v>
      </c>
      <c r="CN51">
        <f t="shared" si="146"/>
        <v>23012</v>
      </c>
      <c r="CO51">
        <f t="shared" si="147"/>
        <v>26583</v>
      </c>
      <c r="CP51">
        <f t="shared" si="148"/>
        <v>30154</v>
      </c>
      <c r="CQ51">
        <f t="shared" si="149"/>
        <v>33725</v>
      </c>
      <c r="CR51">
        <f t="shared" si="150"/>
        <v>37296</v>
      </c>
      <c r="CS51">
        <f t="shared" si="151"/>
        <v>40867</v>
      </c>
      <c r="CT51">
        <f t="shared" si="152"/>
        <v>44438</v>
      </c>
      <c r="CU51">
        <f t="shared" si="153"/>
        <v>36842</v>
      </c>
      <c r="CV51">
        <f t="shared" si="154"/>
        <v>41283</v>
      </c>
      <c r="CW51">
        <f t="shared" si="155"/>
        <v>45724</v>
      </c>
      <c r="CX51">
        <f t="shared" si="156"/>
        <v>50165</v>
      </c>
      <c r="CY51">
        <f t="shared" si="157"/>
        <v>54606</v>
      </c>
      <c r="CZ51">
        <f t="shared" si="158"/>
        <v>59047</v>
      </c>
      <c r="DA51">
        <f t="shared" si="159"/>
        <v>63488</v>
      </c>
      <c r="DB51">
        <f t="shared" si="160"/>
        <v>67929</v>
      </c>
      <c r="DC51">
        <f t="shared" si="161"/>
        <v>72370</v>
      </c>
      <c r="DD51">
        <f t="shared" si="162"/>
        <v>76811</v>
      </c>
      <c r="DE51">
        <f t="shared" si="163"/>
        <v>81252</v>
      </c>
      <c r="DF51">
        <f t="shared" si="164"/>
        <v>85693</v>
      </c>
      <c r="DG51">
        <f t="shared" si="165"/>
        <v>90134</v>
      </c>
      <c r="DH51">
        <f t="shared" si="166"/>
        <v>94575</v>
      </c>
      <c r="DI51">
        <f t="shared" si="167"/>
        <v>99016</v>
      </c>
      <c r="DJ51">
        <f t="shared" si="168"/>
        <v>3454</v>
      </c>
      <c r="DK51">
        <f t="shared" si="169"/>
        <v>25920</v>
      </c>
      <c r="DL51">
        <f t="shared" si="170"/>
        <v>28009</v>
      </c>
      <c r="DM51">
        <f t="shared" si="171"/>
        <v>30098</v>
      </c>
      <c r="DN51" t="str">
        <f t="shared" si="172"/>
        <v>Вода и ресурс отвода тепла</v>
      </c>
      <c r="DO51" t="str">
        <f t="shared" si="173"/>
        <v>Пространственные и природно-географические ресурсы</v>
      </c>
      <c r="DP51" t="str">
        <f t="shared" si="174"/>
        <v>Мощности производства полупроводников</v>
      </c>
      <c r="DQ51" t="str">
        <f t="shared" si="175"/>
        <v>Производство</v>
      </c>
      <c r="DR51" t="str">
        <f t="shared" si="176"/>
        <v>Управление</v>
      </c>
      <c r="DS51" t="str">
        <f t="shared" si="177"/>
        <v>Познание</v>
      </c>
      <c r="DT51" t="str">
        <f t="shared" si="178"/>
        <v>Индия</v>
      </c>
      <c r="DU51" t="str">
        <f t="shared" si="179"/>
        <v>Великобритания</v>
      </c>
      <c r="DV51" t="str">
        <f t="shared" si="180"/>
        <v>Франция</v>
      </c>
      <c r="DW51" t="str">
        <f t="shared" si="181"/>
        <v>Ресурсный</v>
      </c>
      <c r="DX51" t="str">
        <f t="shared" si="182"/>
        <v>Общественный</v>
      </c>
      <c r="DY51" t="str">
        <f t="shared" si="183"/>
        <v>Дипломатический</v>
      </c>
      <c r="DZ51" t="str">
        <f t="shared" si="184"/>
        <v>Мощности производства полупроводников</v>
      </c>
      <c r="EA51" t="str">
        <f t="shared" si="185"/>
        <v>Экономика</v>
      </c>
      <c r="EB51" t="str">
        <f t="shared" si="186"/>
        <v>Индонезия</v>
      </c>
      <c r="EC51">
        <f t="shared" si="187"/>
        <v>0</v>
      </c>
      <c r="ED51">
        <f t="shared" si="188"/>
        <v>0</v>
      </c>
      <c r="EE51">
        <f t="shared" si="189"/>
        <v>0</v>
      </c>
      <c r="EF51">
        <f t="shared" si="190"/>
        <v>0</v>
      </c>
      <c r="EG51" t="str">
        <f t="shared" si="191"/>
        <v/>
      </c>
      <c r="EH51" t="str">
        <f t="shared" si="192"/>
        <v/>
      </c>
      <c r="EI51" t="str">
        <f t="shared" si="193"/>
        <v/>
      </c>
      <c r="EJ51" t="str">
        <f t="shared" si="194"/>
        <v/>
      </c>
      <c r="EK51" t="str">
        <f t="shared" si="195"/>
        <v/>
      </c>
      <c r="EL51" t="str">
        <f t="shared" si="196"/>
        <v/>
      </c>
      <c r="EM51" t="e">
        <f t="shared" si="197"/>
        <v>#VALUE!</v>
      </c>
      <c r="EN51" t="e">
        <f t="shared" si="198"/>
        <v>#VALUE!</v>
      </c>
      <c r="EO51" t="str">
        <f t="shared" si="199"/>
        <v/>
      </c>
      <c r="EP51" t="str">
        <f t="shared" si="200"/>
        <v/>
      </c>
      <c r="EQ51" t="str">
        <f t="shared" si="201"/>
        <v/>
      </c>
      <c r="ER51" t="str">
        <f t="shared" si="202"/>
        <v/>
      </c>
      <c r="ES51" t="str">
        <f t="shared" si="203"/>
        <v/>
      </c>
    </row>
    <row r="52" spans="1:149" ht="52.8" customHeight="1">
      <c r="A52" s="40"/>
      <c r="B52" s="41"/>
      <c r="C52" s="41"/>
      <c r="D52" s="41"/>
      <c r="E52" s="41"/>
      <c r="F52" s="41"/>
      <c r="G52" s="42"/>
      <c r="H52" s="42"/>
      <c r="I52" s="42"/>
      <c r="J52" s="41"/>
      <c r="K52" s="41"/>
      <c r="L52" s="41"/>
      <c r="M52" s="42"/>
      <c r="N52" s="42"/>
      <c r="O52" s="42"/>
      <c r="P52" s="43" t="str">
        <f t="shared" si="102"/>
        <v/>
      </c>
      <c r="Q52" s="43" t="str">
        <f t="shared" si="103"/>
        <v/>
      </c>
      <c r="R52" s="44" t="e">
        <f t="shared" si="104"/>
        <v>#VALUE!</v>
      </c>
      <c r="S52" s="44" t="e">
        <f t="shared" si="105"/>
        <v>#VALUE!</v>
      </c>
      <c r="T52" s="44" t="e">
        <f t="shared" si="106"/>
        <v>#VALUE!</v>
      </c>
      <c r="U52" s="45" t="e">
        <f t="shared" si="107"/>
        <v>#VALUE!</v>
      </c>
      <c r="V52" s="45" t="e">
        <f t="shared" si="108"/>
        <v>#VALUE!</v>
      </c>
      <c r="W52" s="45" t="e">
        <f t="shared" si="109"/>
        <v>#VALUE!</v>
      </c>
      <c r="X52" s="46"/>
      <c r="Y52" s="47" t="str">
        <f t="shared" si="110"/>
        <v/>
      </c>
      <c r="Z52" s="47" t="str">
        <f t="shared" si="111"/>
        <v/>
      </c>
      <c r="AA52" s="47" t="str">
        <f t="shared" si="112"/>
        <v/>
      </c>
      <c r="AB52" s="47" t="str">
        <f t="shared" si="113"/>
        <v>Нет локального эффекта</v>
      </c>
      <c r="AC52" s="47" t="str">
        <f t="shared" si="114"/>
        <v/>
      </c>
      <c r="AD52" s="47" t="str">
        <f t="shared" si="115"/>
        <v>Нет локального эффекта</v>
      </c>
      <c r="AE52" s="47" t="str">
        <f t="shared" si="116"/>
        <v/>
      </c>
      <c r="AF52" s="47" t="str">
        <f t="shared" si="117"/>
        <v>Нет локального эффекта</v>
      </c>
      <c r="AG52" s="47" t="str">
        <f t="shared" si="118"/>
        <v/>
      </c>
      <c r="AH52" s="48" t="str">
        <f>IF($B52="","","Общий итог: "&amp;IF($Y52="","ожидает D107",$Y52&amp;IF($Z52="—",""," — "&amp;$Z52))&amp;". Арес: "&amp;$AA52&amp;". "&amp;$AB52&amp;" Афина: "&amp;$AC52&amp;". "&amp;$AD52&amp;" Аполлон: "&amp;$AE52&amp;". "&amp;$AF52&amp;IF($AG52="",""," Общий эффект: "&amp;$AG52))</f>
        <v/>
      </c>
      <c r="BF52">
        <v>60348028</v>
      </c>
      <c r="BG52">
        <v>407932402</v>
      </c>
      <c r="BH52">
        <v>521550975</v>
      </c>
      <c r="BI52">
        <v>7246283</v>
      </c>
      <c r="BJ52">
        <v>124366487</v>
      </c>
      <c r="BK52">
        <v>970568940</v>
      </c>
      <c r="BL52">
        <v>889356990</v>
      </c>
      <c r="BM52">
        <f t="shared" si="119"/>
        <v>54138</v>
      </c>
      <c r="BN52">
        <f t="shared" si="120"/>
        <v>62057</v>
      </c>
      <c r="BO52">
        <f t="shared" si="121"/>
        <v>69976</v>
      </c>
      <c r="BP52">
        <f t="shared" si="122"/>
        <v>77895</v>
      </c>
      <c r="BQ52">
        <f t="shared" si="123"/>
        <v>85814</v>
      </c>
      <c r="BR52">
        <f t="shared" si="124"/>
        <v>93733</v>
      </c>
      <c r="BS52">
        <f t="shared" si="125"/>
        <v>1649</v>
      </c>
      <c r="BT52">
        <f t="shared" si="126"/>
        <v>9568</v>
      </c>
      <c r="BU52">
        <f t="shared" si="127"/>
        <v>17487</v>
      </c>
      <c r="BV52">
        <f t="shared" si="128"/>
        <v>25406</v>
      </c>
      <c r="BW52">
        <f t="shared" si="129"/>
        <v>26316</v>
      </c>
      <c r="BX52">
        <f t="shared" si="130"/>
        <v>32467</v>
      </c>
      <c r="BY52">
        <f t="shared" si="131"/>
        <v>38618</v>
      </c>
      <c r="BZ52">
        <f t="shared" si="132"/>
        <v>44769</v>
      </c>
      <c r="CA52">
        <f t="shared" si="133"/>
        <v>50920</v>
      </c>
      <c r="CB52">
        <f t="shared" si="134"/>
        <v>57071</v>
      </c>
      <c r="CC52">
        <f t="shared" si="135"/>
        <v>63222</v>
      </c>
      <c r="CD52">
        <f t="shared" si="136"/>
        <v>69373</v>
      </c>
      <c r="CE52">
        <f t="shared" si="137"/>
        <v>38901</v>
      </c>
      <c r="CF52">
        <f t="shared" si="138"/>
        <v>42472</v>
      </c>
      <c r="CG52">
        <f t="shared" si="139"/>
        <v>46043</v>
      </c>
      <c r="CH52">
        <f t="shared" si="140"/>
        <v>49614</v>
      </c>
      <c r="CI52">
        <f t="shared" si="141"/>
        <v>53185</v>
      </c>
      <c r="CJ52">
        <f t="shared" si="142"/>
        <v>56756</v>
      </c>
      <c r="CK52">
        <f t="shared" si="143"/>
        <v>60327</v>
      </c>
      <c r="CL52">
        <f t="shared" si="144"/>
        <v>63898</v>
      </c>
      <c r="CM52">
        <f t="shared" si="145"/>
        <v>67469</v>
      </c>
      <c r="CN52">
        <f t="shared" si="146"/>
        <v>71040</v>
      </c>
      <c r="CO52">
        <f t="shared" si="147"/>
        <v>74611</v>
      </c>
      <c r="CP52">
        <f t="shared" si="148"/>
        <v>78182</v>
      </c>
      <c r="CQ52">
        <f t="shared" si="149"/>
        <v>81753</v>
      </c>
      <c r="CR52">
        <f t="shared" si="150"/>
        <v>85324</v>
      </c>
      <c r="CS52">
        <f t="shared" si="151"/>
        <v>88895</v>
      </c>
      <c r="CT52">
        <f t="shared" si="152"/>
        <v>92466</v>
      </c>
      <c r="CU52">
        <f t="shared" si="153"/>
        <v>44266</v>
      </c>
      <c r="CV52">
        <f t="shared" si="154"/>
        <v>48707</v>
      </c>
      <c r="CW52">
        <f t="shared" si="155"/>
        <v>53148</v>
      </c>
      <c r="CX52">
        <f t="shared" si="156"/>
        <v>57589</v>
      </c>
      <c r="CY52">
        <f t="shared" si="157"/>
        <v>62030</v>
      </c>
      <c r="CZ52">
        <f t="shared" si="158"/>
        <v>66471</v>
      </c>
      <c r="DA52">
        <f t="shared" si="159"/>
        <v>70912</v>
      </c>
      <c r="DB52">
        <f t="shared" si="160"/>
        <v>75353</v>
      </c>
      <c r="DC52">
        <f t="shared" si="161"/>
        <v>79794</v>
      </c>
      <c r="DD52">
        <f t="shared" si="162"/>
        <v>84235</v>
      </c>
      <c r="DE52">
        <f t="shared" si="163"/>
        <v>88676</v>
      </c>
      <c r="DF52">
        <f t="shared" si="164"/>
        <v>93117</v>
      </c>
      <c r="DG52">
        <f t="shared" si="165"/>
        <v>97558</v>
      </c>
      <c r="DH52">
        <f t="shared" si="166"/>
        <v>1996</v>
      </c>
      <c r="DI52">
        <f t="shared" si="167"/>
        <v>6437</v>
      </c>
      <c r="DJ52">
        <f t="shared" si="168"/>
        <v>10878</v>
      </c>
      <c r="DK52">
        <f t="shared" si="169"/>
        <v>32400</v>
      </c>
      <c r="DL52">
        <f t="shared" si="170"/>
        <v>34489</v>
      </c>
      <c r="DM52">
        <f t="shared" si="171"/>
        <v>36578</v>
      </c>
      <c r="DN52" t="str">
        <f t="shared" si="172"/>
        <v>Вычислительные компоненты</v>
      </c>
      <c r="DO52" t="str">
        <f t="shared" si="173"/>
        <v>ЦОД и вычислительная инфраструктура</v>
      </c>
      <c r="DP52" t="str">
        <f t="shared" si="174"/>
        <v>Сетевые ресурсы</v>
      </c>
      <c r="DQ52" t="str">
        <f t="shared" si="175"/>
        <v>Производство</v>
      </c>
      <c r="DR52" t="str">
        <f t="shared" si="176"/>
        <v>Управление</v>
      </c>
      <c r="DS52" t="str">
        <f t="shared" si="177"/>
        <v>Познание</v>
      </c>
      <c r="DT52" t="str">
        <f t="shared" si="178"/>
        <v>Россия</v>
      </c>
      <c r="DU52" t="str">
        <f t="shared" si="179"/>
        <v>США</v>
      </c>
      <c r="DV52" t="str">
        <f t="shared" si="180"/>
        <v>Китай</v>
      </c>
      <c r="DW52" t="str">
        <f t="shared" si="181"/>
        <v>Ресурсный</v>
      </c>
      <c r="DX52" t="str">
        <f t="shared" si="182"/>
        <v>Общественный</v>
      </c>
      <c r="DY52" t="str">
        <f t="shared" si="183"/>
        <v>Дипломатический</v>
      </c>
      <c r="DZ52" t="str">
        <f t="shared" si="184"/>
        <v>Конечные устройства</v>
      </c>
      <c r="EA52" t="str">
        <f t="shared" si="185"/>
        <v>Принятие ИИ</v>
      </c>
      <c r="EB52" t="str">
        <f t="shared" si="186"/>
        <v>Бразилия</v>
      </c>
      <c r="EC52">
        <f t="shared" si="187"/>
        <v>0</v>
      </c>
      <c r="ED52">
        <f t="shared" si="188"/>
        <v>0</v>
      </c>
      <c r="EE52">
        <f t="shared" si="189"/>
        <v>0</v>
      </c>
      <c r="EF52">
        <f t="shared" si="190"/>
        <v>0</v>
      </c>
      <c r="EG52" t="str">
        <f t="shared" si="191"/>
        <v/>
      </c>
      <c r="EH52" t="str">
        <f t="shared" si="192"/>
        <v/>
      </c>
      <c r="EI52" t="str">
        <f t="shared" si="193"/>
        <v/>
      </c>
      <c r="EJ52" t="str">
        <f t="shared" si="194"/>
        <v/>
      </c>
      <c r="EK52" t="str">
        <f t="shared" si="195"/>
        <v/>
      </c>
      <c r="EL52" t="str">
        <f t="shared" si="196"/>
        <v/>
      </c>
      <c r="EM52" t="e">
        <f t="shared" si="197"/>
        <v>#VALUE!</v>
      </c>
      <c r="EN52" t="e">
        <f t="shared" si="198"/>
        <v>#VALUE!</v>
      </c>
      <c r="EO52" t="str">
        <f t="shared" si="199"/>
        <v/>
      </c>
      <c r="EP52" t="str">
        <f t="shared" si="200"/>
        <v/>
      </c>
      <c r="EQ52" t="str">
        <f t="shared" si="201"/>
        <v/>
      </c>
      <c r="ER52" t="str">
        <f t="shared" si="202"/>
        <v/>
      </c>
      <c r="ES52" t="str">
        <f t="shared" si="203"/>
        <v/>
      </c>
    </row>
    <row r="53" spans="1:149" ht="52.8" customHeight="1">
      <c r="A53" s="40"/>
      <c r="B53" s="41"/>
      <c r="C53" s="41"/>
      <c r="D53" s="41"/>
      <c r="E53" s="41"/>
      <c r="F53" s="41"/>
      <c r="G53" s="42"/>
      <c r="H53" s="42"/>
      <c r="I53" s="42"/>
      <c r="J53" s="41"/>
      <c r="K53" s="41"/>
      <c r="L53" s="41"/>
      <c r="M53" s="42"/>
      <c r="N53" s="42"/>
      <c r="O53" s="42"/>
      <c r="P53" s="43" t="str">
        <f t="shared" si="102"/>
        <v/>
      </c>
      <c r="Q53" s="43" t="str">
        <f t="shared" si="103"/>
        <v/>
      </c>
      <c r="R53" s="44" t="e">
        <f t="shared" si="104"/>
        <v>#VALUE!</v>
      </c>
      <c r="S53" s="44" t="e">
        <f t="shared" si="105"/>
        <v>#VALUE!</v>
      </c>
      <c r="T53" s="44" t="e">
        <f t="shared" si="106"/>
        <v>#VALUE!</v>
      </c>
      <c r="U53" s="45" t="e">
        <f t="shared" si="107"/>
        <v>#VALUE!</v>
      </c>
      <c r="V53" s="45" t="e">
        <f t="shared" si="108"/>
        <v>#VALUE!</v>
      </c>
      <c r="W53" s="45" t="e">
        <f t="shared" si="109"/>
        <v>#VALUE!</v>
      </c>
      <c r="X53" s="46"/>
      <c r="Y53" s="47" t="str">
        <f t="shared" si="110"/>
        <v/>
      </c>
      <c r="Z53" s="47" t="str">
        <f t="shared" si="111"/>
        <v/>
      </c>
      <c r="AA53" s="47" t="str">
        <f t="shared" si="112"/>
        <v/>
      </c>
      <c r="AB53" s="47" t="str">
        <f t="shared" si="113"/>
        <v>Нет локального эффекта</v>
      </c>
      <c r="AC53" s="47" t="str">
        <f t="shared" si="114"/>
        <v/>
      </c>
      <c r="AD53" s="47" t="str">
        <f t="shared" si="115"/>
        <v>Нет локального эффекта</v>
      </c>
      <c r="AE53" s="47" t="str">
        <f t="shared" si="116"/>
        <v/>
      </c>
      <c r="AF53" s="47" t="str">
        <f t="shared" si="117"/>
        <v>Нет локального эффекта</v>
      </c>
      <c r="AG53" s="47" t="str">
        <f t="shared" si="118"/>
        <v/>
      </c>
      <c r="AH53" s="48" t="str">
        <f>IF($B53="","","Общий итог: "&amp;IF($Y53="","ожидает D108",$Y53&amp;IF($Z53="—",""," — "&amp;$Z53))&amp;". Арес: "&amp;$AA53&amp;". "&amp;$AB53&amp;" Афина: "&amp;$AC53&amp;". "&amp;$AD53&amp;" Аполлон: "&amp;$AE53&amp;". "&amp;$AF53&amp;IF($AG53="",""," Общий эффект: "&amp;$AG53))</f>
        <v/>
      </c>
      <c r="BF53">
        <v>295442662</v>
      </c>
      <c r="BG53">
        <v>663515600</v>
      </c>
      <c r="BH53">
        <v>62052506</v>
      </c>
      <c r="BI53">
        <v>874818932</v>
      </c>
      <c r="BJ53">
        <v>160875861</v>
      </c>
      <c r="BK53">
        <v>792404365</v>
      </c>
      <c r="BL53">
        <v>403140183</v>
      </c>
      <c r="BM53">
        <f t="shared" si="119"/>
        <v>41719</v>
      </c>
      <c r="BN53">
        <f t="shared" si="120"/>
        <v>49638</v>
      </c>
      <c r="BO53">
        <f t="shared" si="121"/>
        <v>57557</v>
      </c>
      <c r="BP53">
        <f t="shared" si="122"/>
        <v>65476</v>
      </c>
      <c r="BQ53">
        <f t="shared" si="123"/>
        <v>73395</v>
      </c>
      <c r="BR53">
        <f t="shared" si="124"/>
        <v>81314</v>
      </c>
      <c r="BS53">
        <f t="shared" si="125"/>
        <v>89233</v>
      </c>
      <c r="BT53">
        <f t="shared" si="126"/>
        <v>97152</v>
      </c>
      <c r="BU53">
        <f t="shared" si="127"/>
        <v>5068</v>
      </c>
      <c r="BV53">
        <f t="shared" si="128"/>
        <v>12987</v>
      </c>
      <c r="BW53">
        <f t="shared" si="129"/>
        <v>1846</v>
      </c>
      <c r="BX53">
        <f t="shared" si="130"/>
        <v>7997</v>
      </c>
      <c r="BY53">
        <f t="shared" si="131"/>
        <v>14148</v>
      </c>
      <c r="BZ53">
        <f t="shared" si="132"/>
        <v>20299</v>
      </c>
      <c r="CA53">
        <f t="shared" si="133"/>
        <v>26450</v>
      </c>
      <c r="CB53">
        <f t="shared" si="134"/>
        <v>32601</v>
      </c>
      <c r="CC53">
        <f t="shared" si="135"/>
        <v>38752</v>
      </c>
      <c r="CD53">
        <f t="shared" si="136"/>
        <v>44903</v>
      </c>
      <c r="CE53">
        <f t="shared" si="137"/>
        <v>54217</v>
      </c>
      <c r="CF53">
        <f t="shared" si="138"/>
        <v>57788</v>
      </c>
      <c r="CG53">
        <f t="shared" si="139"/>
        <v>61359</v>
      </c>
      <c r="CH53">
        <f t="shared" si="140"/>
        <v>64930</v>
      </c>
      <c r="CI53">
        <f t="shared" si="141"/>
        <v>68501</v>
      </c>
      <c r="CJ53">
        <f t="shared" si="142"/>
        <v>72072</v>
      </c>
      <c r="CK53">
        <f t="shared" si="143"/>
        <v>75643</v>
      </c>
      <c r="CL53">
        <f t="shared" si="144"/>
        <v>79214</v>
      </c>
      <c r="CM53">
        <f t="shared" si="145"/>
        <v>82785</v>
      </c>
      <c r="CN53">
        <f t="shared" si="146"/>
        <v>86356</v>
      </c>
      <c r="CO53">
        <f t="shared" si="147"/>
        <v>89927</v>
      </c>
      <c r="CP53">
        <f t="shared" si="148"/>
        <v>93498</v>
      </c>
      <c r="CQ53">
        <f t="shared" si="149"/>
        <v>97069</v>
      </c>
      <c r="CR53">
        <f t="shared" si="150"/>
        <v>637</v>
      </c>
      <c r="CS53">
        <f t="shared" si="151"/>
        <v>4208</v>
      </c>
      <c r="CT53">
        <f t="shared" si="152"/>
        <v>7779</v>
      </c>
      <c r="CU53">
        <f t="shared" si="153"/>
        <v>85037</v>
      </c>
      <c r="CV53">
        <f t="shared" si="154"/>
        <v>89478</v>
      </c>
      <c r="CW53">
        <f t="shared" si="155"/>
        <v>93919</v>
      </c>
      <c r="CX53">
        <f t="shared" si="156"/>
        <v>98360</v>
      </c>
      <c r="CY53">
        <f t="shared" si="157"/>
        <v>2798</v>
      </c>
      <c r="CZ53">
        <f t="shared" si="158"/>
        <v>7239</v>
      </c>
      <c r="DA53">
        <f t="shared" si="159"/>
        <v>11680</v>
      </c>
      <c r="DB53">
        <f t="shared" si="160"/>
        <v>16121</v>
      </c>
      <c r="DC53">
        <f t="shared" si="161"/>
        <v>20562</v>
      </c>
      <c r="DD53">
        <f t="shared" si="162"/>
        <v>25003</v>
      </c>
      <c r="DE53">
        <f t="shared" si="163"/>
        <v>29444</v>
      </c>
      <c r="DF53">
        <f t="shared" si="164"/>
        <v>33885</v>
      </c>
      <c r="DG53">
        <f t="shared" si="165"/>
        <v>38326</v>
      </c>
      <c r="DH53">
        <f t="shared" si="166"/>
        <v>42767</v>
      </c>
      <c r="DI53">
        <f t="shared" si="167"/>
        <v>47208</v>
      </c>
      <c r="DJ53">
        <f t="shared" si="168"/>
        <v>51649</v>
      </c>
      <c r="DK53">
        <f t="shared" si="169"/>
        <v>30179</v>
      </c>
      <c r="DL53">
        <f t="shared" si="170"/>
        <v>32268</v>
      </c>
      <c r="DM53">
        <f t="shared" si="171"/>
        <v>34357</v>
      </c>
      <c r="DN53" t="str">
        <f t="shared" si="172"/>
        <v>Сетевые ресурсы</v>
      </c>
      <c r="DO53" t="str">
        <f t="shared" si="173"/>
        <v>Конечные устройства</v>
      </c>
      <c r="DP53" t="str">
        <f t="shared" si="174"/>
        <v>Минерально-сырьевые ресурсы</v>
      </c>
      <c r="DQ53" t="str">
        <f t="shared" si="175"/>
        <v>Производство</v>
      </c>
      <c r="DR53" t="str">
        <f t="shared" si="176"/>
        <v>Управление</v>
      </c>
      <c r="DS53" t="str">
        <f t="shared" si="177"/>
        <v>Познание</v>
      </c>
      <c r="DT53" t="str">
        <f t="shared" si="178"/>
        <v>Бразилия</v>
      </c>
      <c r="DU53" t="str">
        <f t="shared" si="179"/>
        <v>ОАЭ</v>
      </c>
      <c r="DV53" t="str">
        <f t="shared" si="180"/>
        <v>Индонезия</v>
      </c>
      <c r="DW53" t="str">
        <f t="shared" si="181"/>
        <v>Ресурсный</v>
      </c>
      <c r="DX53" t="str">
        <f t="shared" si="182"/>
        <v>Общественный</v>
      </c>
      <c r="DY53" t="str">
        <f t="shared" si="183"/>
        <v>Дипломатический</v>
      </c>
      <c r="DZ53" t="str">
        <f t="shared" si="184"/>
        <v>Методы построения и совершенствования моделей</v>
      </c>
      <c r="EA53" t="str">
        <f t="shared" si="185"/>
        <v>Экономика</v>
      </c>
      <c r="EB53" t="str">
        <f t="shared" si="186"/>
        <v>Великобритания</v>
      </c>
      <c r="EC53">
        <f t="shared" si="187"/>
        <v>0</v>
      </c>
      <c r="ED53">
        <f t="shared" si="188"/>
        <v>0</v>
      </c>
      <c r="EE53">
        <f t="shared" si="189"/>
        <v>0</v>
      </c>
      <c r="EF53">
        <f t="shared" si="190"/>
        <v>0</v>
      </c>
      <c r="EG53" t="str">
        <f t="shared" si="191"/>
        <v/>
      </c>
      <c r="EH53" t="str">
        <f t="shared" si="192"/>
        <v/>
      </c>
      <c r="EI53" t="str">
        <f t="shared" si="193"/>
        <v/>
      </c>
      <c r="EJ53" t="str">
        <f t="shared" si="194"/>
        <v/>
      </c>
      <c r="EK53" t="str">
        <f t="shared" si="195"/>
        <v/>
      </c>
      <c r="EL53" t="str">
        <f t="shared" si="196"/>
        <v/>
      </c>
      <c r="EM53" t="e">
        <f t="shared" si="197"/>
        <v>#VALUE!</v>
      </c>
      <c r="EN53" t="e">
        <f t="shared" si="198"/>
        <v>#VALUE!</v>
      </c>
      <c r="EO53" t="str">
        <f t="shared" si="199"/>
        <v/>
      </c>
      <c r="EP53" t="str">
        <f t="shared" si="200"/>
        <v/>
      </c>
      <c r="EQ53" t="str">
        <f t="shared" si="201"/>
        <v/>
      </c>
      <c r="ER53" t="str">
        <f t="shared" si="202"/>
        <v/>
      </c>
      <c r="ES53" t="str">
        <f t="shared" si="203"/>
        <v/>
      </c>
    </row>
    <row r="54" spans="1:149" ht="52.8" customHeight="1">
      <c r="A54" s="49"/>
      <c r="B54" s="50"/>
      <c r="C54" s="50"/>
      <c r="D54" s="50"/>
      <c r="E54" s="50"/>
      <c r="F54" s="50"/>
      <c r="G54" s="51"/>
      <c r="H54" s="51"/>
      <c r="I54" s="51"/>
      <c r="J54" s="50"/>
      <c r="K54" s="50"/>
      <c r="L54" s="50"/>
      <c r="M54" s="51"/>
      <c r="N54" s="51"/>
      <c r="O54" s="51"/>
      <c r="P54" s="52" t="str">
        <f t="shared" si="102"/>
        <v/>
      </c>
      <c r="Q54" s="52" t="str">
        <f t="shared" si="103"/>
        <v/>
      </c>
      <c r="R54" s="53" t="e">
        <f t="shared" si="104"/>
        <v>#VALUE!</v>
      </c>
      <c r="S54" s="53" t="e">
        <f t="shared" si="105"/>
        <v>#VALUE!</v>
      </c>
      <c r="T54" s="53" t="e">
        <f t="shared" si="106"/>
        <v>#VALUE!</v>
      </c>
      <c r="U54" s="54" t="e">
        <f t="shared" si="107"/>
        <v>#VALUE!</v>
      </c>
      <c r="V54" s="54" t="e">
        <f t="shared" si="108"/>
        <v>#VALUE!</v>
      </c>
      <c r="W54" s="54" t="e">
        <f t="shared" si="109"/>
        <v>#VALUE!</v>
      </c>
      <c r="X54" s="55"/>
      <c r="Y54" s="56" t="str">
        <f t="shared" si="110"/>
        <v/>
      </c>
      <c r="Z54" s="56" t="str">
        <f t="shared" si="111"/>
        <v/>
      </c>
      <c r="AA54" s="56" t="str">
        <f t="shared" si="112"/>
        <v/>
      </c>
      <c r="AB54" s="56" t="str">
        <f t="shared" si="113"/>
        <v>Нет локального эффекта</v>
      </c>
      <c r="AC54" s="56" t="str">
        <f t="shared" si="114"/>
        <v/>
      </c>
      <c r="AD54" s="56" t="str">
        <f t="shared" si="115"/>
        <v>Нет локального эффекта</v>
      </c>
      <c r="AE54" s="56" t="str">
        <f t="shared" si="116"/>
        <v/>
      </c>
      <c r="AF54" s="56" t="str">
        <f t="shared" si="117"/>
        <v>Нет локального эффекта</v>
      </c>
      <c r="AG54" s="56" t="str">
        <f t="shared" si="118"/>
        <v/>
      </c>
      <c r="AH54" s="57" t="str">
        <f>IF($B54="","","Общий итог: "&amp;IF($Y54="","ожидает D109",$Y54&amp;IF($Z54="—",""," — "&amp;$Z54))&amp;". Арес: "&amp;$AA54&amp;". "&amp;$AB54&amp;" Афина: "&amp;$AC54&amp;". "&amp;$AD54&amp;" Аполлон: "&amp;$AE54&amp;". "&amp;$AF54&amp;IF($AG54="",""," Общий эффект: "&amp;$AG54))</f>
        <v/>
      </c>
      <c r="BF54">
        <v>606487277</v>
      </c>
      <c r="BG54">
        <v>82057453</v>
      </c>
      <c r="BH54">
        <v>337625889</v>
      </c>
      <c r="BI54">
        <v>349284439</v>
      </c>
      <c r="BJ54">
        <v>435638657</v>
      </c>
      <c r="BK54">
        <v>872803144</v>
      </c>
      <c r="BL54">
        <v>314662652</v>
      </c>
      <c r="BM54">
        <f t="shared" si="119"/>
        <v>77004</v>
      </c>
      <c r="BN54">
        <f t="shared" si="120"/>
        <v>84923</v>
      </c>
      <c r="BO54">
        <f t="shared" si="121"/>
        <v>92842</v>
      </c>
      <c r="BP54">
        <f t="shared" si="122"/>
        <v>758</v>
      </c>
      <c r="BQ54">
        <f t="shared" si="123"/>
        <v>8677</v>
      </c>
      <c r="BR54">
        <f t="shared" si="124"/>
        <v>16596</v>
      </c>
      <c r="BS54">
        <f t="shared" si="125"/>
        <v>24515</v>
      </c>
      <c r="BT54">
        <f t="shared" si="126"/>
        <v>32434</v>
      </c>
      <c r="BU54">
        <f t="shared" si="127"/>
        <v>40353</v>
      </c>
      <c r="BV54">
        <f t="shared" si="128"/>
        <v>48272</v>
      </c>
      <c r="BW54">
        <f t="shared" si="129"/>
        <v>61144</v>
      </c>
      <c r="BX54">
        <f t="shared" si="130"/>
        <v>67295</v>
      </c>
      <c r="BY54">
        <f t="shared" si="131"/>
        <v>73446</v>
      </c>
      <c r="BZ54">
        <f t="shared" si="132"/>
        <v>79597</v>
      </c>
      <c r="CA54">
        <f t="shared" si="133"/>
        <v>85748</v>
      </c>
      <c r="CB54">
        <f t="shared" si="134"/>
        <v>91899</v>
      </c>
      <c r="CC54">
        <f t="shared" si="135"/>
        <v>98050</v>
      </c>
      <c r="CD54">
        <f t="shared" si="136"/>
        <v>4198</v>
      </c>
      <c r="CE54">
        <f t="shared" si="137"/>
        <v>19332</v>
      </c>
      <c r="CF54">
        <f t="shared" si="138"/>
        <v>22903</v>
      </c>
      <c r="CG54">
        <f t="shared" si="139"/>
        <v>26474</v>
      </c>
      <c r="CH54">
        <f t="shared" si="140"/>
        <v>30045</v>
      </c>
      <c r="CI54">
        <f t="shared" si="141"/>
        <v>33616</v>
      </c>
      <c r="CJ54">
        <f t="shared" si="142"/>
        <v>37187</v>
      </c>
      <c r="CK54">
        <f t="shared" si="143"/>
        <v>40758</v>
      </c>
      <c r="CL54">
        <f t="shared" si="144"/>
        <v>44329</v>
      </c>
      <c r="CM54">
        <f t="shared" si="145"/>
        <v>47900</v>
      </c>
      <c r="CN54">
        <f t="shared" si="146"/>
        <v>51471</v>
      </c>
      <c r="CO54">
        <f t="shared" si="147"/>
        <v>55042</v>
      </c>
      <c r="CP54">
        <f t="shared" si="148"/>
        <v>58613</v>
      </c>
      <c r="CQ54">
        <f t="shared" si="149"/>
        <v>62184</v>
      </c>
      <c r="CR54">
        <f t="shared" si="150"/>
        <v>65755</v>
      </c>
      <c r="CS54">
        <f t="shared" si="151"/>
        <v>69326</v>
      </c>
      <c r="CT54">
        <f t="shared" si="152"/>
        <v>72897</v>
      </c>
      <c r="CU54">
        <f t="shared" si="153"/>
        <v>81404</v>
      </c>
      <c r="CV54">
        <f t="shared" si="154"/>
        <v>85845</v>
      </c>
      <c r="CW54">
        <f t="shared" si="155"/>
        <v>90286</v>
      </c>
      <c r="CX54">
        <f t="shared" si="156"/>
        <v>94727</v>
      </c>
      <c r="CY54">
        <f t="shared" si="157"/>
        <v>99168</v>
      </c>
      <c r="CZ54">
        <f t="shared" si="158"/>
        <v>3606</v>
      </c>
      <c r="DA54">
        <f t="shared" si="159"/>
        <v>8047</v>
      </c>
      <c r="DB54">
        <f t="shared" si="160"/>
        <v>12488</v>
      </c>
      <c r="DC54">
        <f t="shared" si="161"/>
        <v>16929</v>
      </c>
      <c r="DD54">
        <f t="shared" si="162"/>
        <v>21370</v>
      </c>
      <c r="DE54">
        <f t="shared" si="163"/>
        <v>25811</v>
      </c>
      <c r="DF54">
        <f t="shared" si="164"/>
        <v>30252</v>
      </c>
      <c r="DG54">
        <f t="shared" si="165"/>
        <v>34693</v>
      </c>
      <c r="DH54">
        <f t="shared" si="166"/>
        <v>39134</v>
      </c>
      <c r="DI54">
        <f t="shared" si="167"/>
        <v>43575</v>
      </c>
      <c r="DJ54">
        <f t="shared" si="168"/>
        <v>48016</v>
      </c>
      <c r="DK54">
        <f t="shared" si="169"/>
        <v>55303</v>
      </c>
      <c r="DL54">
        <f t="shared" si="170"/>
        <v>57392</v>
      </c>
      <c r="DM54">
        <f t="shared" si="171"/>
        <v>59481</v>
      </c>
      <c r="DN54" t="str">
        <f t="shared" si="172"/>
        <v>Вода и ресурс отвода тепла</v>
      </c>
      <c r="DO54" t="str">
        <f t="shared" si="173"/>
        <v>Пространственные и природно-географические ресурсы</v>
      </c>
      <c r="DP54" t="str">
        <f t="shared" si="174"/>
        <v>Мощности производства полупроводников</v>
      </c>
      <c r="DQ54" t="str">
        <f t="shared" si="175"/>
        <v>Принятие ИИ</v>
      </c>
      <c r="DR54" t="str">
        <f t="shared" si="176"/>
        <v>Производство</v>
      </c>
      <c r="DS54" t="str">
        <f t="shared" si="177"/>
        <v>Управление</v>
      </c>
      <c r="DT54" t="str">
        <f t="shared" si="178"/>
        <v>Россия</v>
      </c>
      <c r="DU54" t="str">
        <f t="shared" si="179"/>
        <v>США</v>
      </c>
      <c r="DV54" t="str">
        <f t="shared" si="180"/>
        <v>Китай</v>
      </c>
      <c r="DW54" t="str">
        <f t="shared" si="181"/>
        <v>Ресурсный</v>
      </c>
      <c r="DX54" t="str">
        <f t="shared" si="182"/>
        <v>Общественный</v>
      </c>
      <c r="DY54" t="str">
        <f t="shared" si="183"/>
        <v>Дипломатический</v>
      </c>
      <c r="DZ54" t="str">
        <f t="shared" si="184"/>
        <v>Поствнедренческий мониторинг</v>
      </c>
      <c r="EA54" t="str">
        <f t="shared" si="185"/>
        <v>Управление</v>
      </c>
      <c r="EB54" t="str">
        <f t="shared" si="186"/>
        <v>Франция</v>
      </c>
      <c r="EC54">
        <f t="shared" si="187"/>
        <v>0</v>
      </c>
      <c r="ED54">
        <f t="shared" si="188"/>
        <v>0</v>
      </c>
      <c r="EE54">
        <f t="shared" si="189"/>
        <v>0</v>
      </c>
      <c r="EF54">
        <f t="shared" si="190"/>
        <v>0</v>
      </c>
      <c r="EG54" t="str">
        <f t="shared" si="191"/>
        <v/>
      </c>
      <c r="EH54" t="str">
        <f t="shared" si="192"/>
        <v/>
      </c>
      <c r="EI54" t="str">
        <f t="shared" si="193"/>
        <v/>
      </c>
      <c r="EJ54" t="str">
        <f t="shared" si="194"/>
        <v/>
      </c>
      <c r="EK54" t="str">
        <f t="shared" si="195"/>
        <v/>
      </c>
      <c r="EL54" t="str">
        <f t="shared" si="196"/>
        <v/>
      </c>
      <c r="EM54" t="e">
        <f t="shared" si="197"/>
        <v>#VALUE!</v>
      </c>
      <c r="EN54" t="e">
        <f t="shared" si="198"/>
        <v>#VALUE!</v>
      </c>
      <c r="EO54" t="str">
        <f t="shared" si="199"/>
        <v/>
      </c>
      <c r="EP54" t="str">
        <f t="shared" si="200"/>
        <v/>
      </c>
      <c r="EQ54" t="str">
        <f t="shared" si="201"/>
        <v/>
      </c>
      <c r="ER54" t="str">
        <f t="shared" si="202"/>
        <v/>
      </c>
      <c r="ES54" t="str">
        <f t="shared" si="203"/>
        <v/>
      </c>
    </row>
  </sheetData>
  <mergeCells count="5">
    <mergeCell ref="A1:AH1"/>
    <mergeCell ref="A2:AH2"/>
    <mergeCell ref="A3:O3"/>
    <mergeCell ref="P3:W3"/>
    <mergeCell ref="X3:AH3"/>
  </mergeCells>
  <conditionalFormatting sqref="Y5:Y54">
    <cfRule type="expression" dxfId="4" priority="1">
      <formula>LEFT(Y5,6)="Победа"</formula>
    </cfRule>
    <cfRule type="expression" dxfId="3" priority="2">
      <formula>Y5="Ничья"</formula>
    </cfRule>
  </conditionalFormatting>
  <conditionalFormatting sqref="AA5:AA54">
    <cfRule type="expression" dxfId="2" priority="3">
      <formula>ISNUMBER(SEARCH("доминирование",AA5))</formula>
    </cfRule>
  </conditionalFormatting>
  <conditionalFormatting sqref="AC5:AC54">
    <cfRule type="expression" dxfId="1" priority="4">
      <formula>ISNUMBER(SEARCH("доминирование",AC5))</formula>
    </cfRule>
  </conditionalFormatting>
  <conditionalFormatting sqref="AE5:AE54">
    <cfRule type="expression" dxfId="0" priority="5">
      <formula>ISNUMBER(SEARCH("доминирование",AE5))</formula>
    </cfRule>
  </conditionalFormatting>
  <dataValidations count="4">
    <dataValidation sqref="A5:A54" xr:uid="{00000000-0002-0000-0200-000000000000}">
      <formula1>1</formula1>
      <formula2>15</formula2>
    </dataValidation>
    <dataValidation type="decimal" operator="greaterThanOrEqual" sqref="D5:F54 J5:L54" xr:uid="{00000000-0002-0000-0200-000002000000}">
      <formula1>0</formula1>
    </dataValidation>
    <dataValidation type="decimal" sqref="G5:I54 M5:O54" xr:uid="{00000000-0002-0000-0200-000004000000}">
      <formula1>-1</formula1>
      <formula2>1</formula2>
    </dataValidation>
    <dataValidation sqref="X5:X54" xr:uid="{00000000-0002-0000-0200-000006000000}">
      <formula1>1</formula1>
      <formula2>60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'Распределение команд'!$C$5:$C$20</xm:f>
          </x14:formula1>
          <xm:sqref>B5:C54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Распределение команд</vt:lpstr>
      <vt:lpstr>Случайные события D60</vt:lpstr>
      <vt:lpstr>Войны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2026-10-06T11:31:40Z</dcterms:modified>
</cp:coreProperties>
</file>