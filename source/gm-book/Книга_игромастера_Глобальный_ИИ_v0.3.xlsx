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4"/>
    <sheet state="visible" name="Распределение команд" sheetId="2" r:id="rId5"/>
    <sheet state="visible" name="Случайные события D60" sheetId="3" r:id="rId6"/>
    <sheet state="visible" name="Войны" sheetId="4" r:id="rId7"/>
  </sheets>
  <definedNames/>
  <calcPr/>
  <extLst>
    <ext uri="GoogleSheetsCustomDataVersion2">
      <go:sheetsCustomData xmlns:go="http://customooxmlschemas.google.com/" r:id="rId8" roundtripDataChecksum="6LGfX7i5/L4qoAJusMXu/paHRrvE3YTsS/FmJGG9p+A="/>
    </ext>
  </extLst>
</workbook>
</file>

<file path=xl/sharedStrings.xml><?xml version="1.0" encoding="utf-8"?>
<sst xmlns="http://schemas.openxmlformats.org/spreadsheetml/2006/main" count="673" uniqueCount="417">
  <si>
    <t>КНИГА ИГРОМАСТЕРА — РАСПРЕДЕЛЕНИЕ КОМАНД</t>
  </si>
  <si>
    <t>Цифровая карта</t>
  </si>
  <si>
    <t>КНИГА ИГРОМАСТЕРА — ЖУРНАЛ СЛУЧАЙНЫХ СОБЫТИЙ D60</t>
  </si>
  <si>
    <t>Приехал</t>
  </si>
  <si>
    <t>СЛУЖЕБНАЯ ЧАСТЬ — НЕ ИЗМЕНЯТЬ</t>
  </si>
  <si>
    <t>Номер жеребьёвки</t>
  </si>
  <si>
    <t>D60</t>
  </si>
  <si>
    <t>Количество команд</t>
  </si>
  <si>
    <t>Тип</t>
  </si>
  <si>
    <t>Знак</t>
  </si>
  <si>
    <t>Событие</t>
  </si>
  <si>
    <t>Эффект</t>
  </si>
  <si>
    <t>Полная строка</t>
  </si>
  <si>
    <t>Страны</t>
  </si>
  <si>
    <t>Скрытый seed</t>
  </si>
  <si>
    <t>Заполните ход, страну и того, кто бросает кубик. D60 определяется автоматически один раз для строки; справа появляется тип события, адресаты и полный числовой эффект. Повторение событий разрешено.</t>
  </si>
  <si>
    <t>Арзамас г.о.г.</t>
  </si>
  <si>
    <t>Володин Илья Александрович</t>
  </si>
  <si>
    <t>Общемировое</t>
  </si>
  <si>
    <t>+</t>
  </si>
  <si>
    <t>Фундаментальный прорыв в материаловедении</t>
  </si>
  <si>
    <t>Все играющие страны: Химические и технологические материалы: ПЗ +0,20; Полупроводниковое производство: ПП +0,03.</t>
  </si>
  <si>
    <t>D60=1 | Общемировое | + | Фундаментальный прорыв в материаловедении. Все играющие страны: Химические и технологические материалы: ПЗ +0,20; Полупроводниковое производство: ПП +0,03.</t>
  </si>
  <si>
    <t>Россия</t>
  </si>
  <si>
    <t>Резкое глобальное удешевление вычислений</t>
  </si>
  <si>
    <t>Все играющие страны: Вычислительные компоненты: ПЗ +0,20; ЦОД: ПП +0,03; Модельные ресурсы: ПП +0,02.</t>
  </si>
  <si>
    <t>D60=2 | Общемировое | + | Резкое глобальное удешевление вычислений. Все играющие страны: Вычислительные компоненты: ПЗ +0,20; ЦОД: ПП +0,03; Модельные ресурсы: ПП +0,02.</t>
  </si>
  <si>
    <t>США</t>
  </si>
  <si>
    <t>КНИГА ИГРОМАСТЕРА — РАЗРЕШЕНИЕ ВОЙН</t>
  </si>
  <si>
    <t>Ход</t>
  </si>
  <si>
    <t>Впишите названия команд в столбец B. Страны распределятся автоматически без повторов. Чтобы провести новую жеребьёвку, измените номер в B2.</t>
  </si>
  <si>
    <t>Страна</t>
  </si>
  <si>
    <t>Кто бросает</t>
  </si>
  <si>
    <t>Ванюшин Руслан Владимирович</t>
  </si>
  <si>
    <t>№</t>
  </si>
  <si>
    <t>Юдин Сергей Сергеевич</t>
  </si>
  <si>
    <t>Тип события</t>
  </si>
  <si>
    <t>Команда / группа / фамилия</t>
  </si>
  <si>
    <t>Богородский муниципальный округ</t>
  </si>
  <si>
    <t>Шунин Никита Николаевич</t>
  </si>
  <si>
    <t>Событие и полный эффект</t>
  </si>
  <si>
    <t>Архипов Денис Васильевич</t>
  </si>
  <si>
    <t>Кому применяется</t>
  </si>
  <si>
    <t>Белов Александр Олегович</t>
  </si>
  <si>
    <t>Мировой скачок производительности</t>
  </si>
  <si>
    <t>Ключ жеребьёвки</t>
  </si>
  <si>
    <t>Все играющие страны: всем 8 сферам внедрения ИИ ВЗ +0,15; Финансовые ресурсы: ВЗ +0,25.</t>
  </si>
  <si>
    <t>D60=3 | Общемировое | + | Мировой скачок производительности. Все играющие страны: всем 8 сферам внедрения ИИ ВЗ +0,15; Финансовые ресурсы: ВЗ +0,25.</t>
  </si>
  <si>
    <t>Китай</t>
  </si>
  <si>
    <t>Большемурашкинский муниципальный округ</t>
  </si>
  <si>
    <t>Антипова Елена Константиновна</t>
  </si>
  <si>
    <t>Позиция</t>
  </si>
  <si>
    <t>Шкилёва Кира Александровна</t>
  </si>
  <si>
    <t>Скворцова Светлана Сергеевна</t>
  </si>
  <si>
    <t>Бор м.о.г.</t>
  </si>
  <si>
    <t>Чагаева Татьяна Владимировна</t>
  </si>
  <si>
    <t>Дяур Августин Андреевич</t>
  </si>
  <si>
    <t>Юдин Константин Сергеевич</t>
  </si>
  <si>
    <t>Кучкин Вячеслав Александрович</t>
  </si>
  <si>
    <t>Бутурлинский муниципальный округ</t>
  </si>
  <si>
    <t>Бобылев Евгений Сергеевич</t>
  </si>
  <si>
    <t>Одинцова Юлия Сергеевна</t>
  </si>
  <si>
    <t>Вадский муниципальный округ</t>
  </si>
  <si>
    <t>Вишневский Алексей Алексеевич</t>
  </si>
  <si>
    <t>Вишневский Сергей Александрович</t>
  </si>
  <si>
    <t>Весельский Глеб Константинович</t>
  </si>
  <si>
    <t>Вознесенский муниципальный округ</t>
  </si>
  <si>
    <t>Давыдов Даниил Александрович</t>
  </si>
  <si>
    <t>Ялышев Павел Иванович</t>
  </si>
  <si>
    <t>Воротынский муниципальный округ</t>
  </si>
  <si>
    <t>Шестакова Александра Антоновна</t>
  </si>
  <si>
    <t>Бакулина Надежда Игоревна</t>
  </si>
  <si>
    <t>Савельева Наталья Александровна</t>
  </si>
  <si>
    <t>Все 43 ресурса</t>
  </si>
  <si>
    <t>Воскресенский муниципальный округ</t>
  </si>
  <si>
    <t>Шляхтина Анна Сергеевна</t>
  </si>
  <si>
    <t>Физические ресурсы</t>
  </si>
  <si>
    <t>Сферы</t>
  </si>
  <si>
    <t>Городецкий муниципальный округ</t>
  </si>
  <si>
    <t>Каналы</t>
  </si>
  <si>
    <t>Егорова Юлия Романовна</t>
  </si>
  <si>
    <t>Дальнеконстантиновский муниципальный округ</t>
  </si>
  <si>
    <t>Цыганов Роман Алексеевич</t>
  </si>
  <si>
    <t>Одна строка = одна война. Введите ход, атакующую и защищающуюся страны, очки Ареса / Афины / Аполлона, при необходимости модификаторы эффективности и фактический D60 защищающейся стороны. Общая сила: Арес + 0,5×Афина + 0,25×Аполлон. Локальный перевес: минимум 5 эффективных очков и преимущество не менее чем в 2 раза.</t>
  </si>
  <si>
    <t>Пруцков Андрей Вячеславович</t>
  </si>
  <si>
    <t>Федорина Елена Евгеньевна (рук)</t>
  </si>
  <si>
    <t xml:space="preserve">Дзержинск г.о.г.                                </t>
  </si>
  <si>
    <t>Кораблев Денис Александрович</t>
  </si>
  <si>
    <t>Княгининский муниципальный округ</t>
  </si>
  <si>
    <t>Шаров Дмитрий Иванович</t>
  </si>
  <si>
    <t>Мохова Анна Николаевна</t>
  </si>
  <si>
    <t>Минерально-сырьевые ресурсы</t>
  </si>
  <si>
    <t>Производство</t>
  </si>
  <si>
    <t>Валявина Наталья Александровна</t>
  </si>
  <si>
    <t>Ресурсный</t>
  </si>
  <si>
    <t>Петрова Татьяна Олеговна</t>
  </si>
  <si>
    <t xml:space="preserve">Краснобаковский муниципальный округ                            </t>
  </si>
  <si>
    <t>ВХОДНЫЕ ДАННЫЕ</t>
  </si>
  <si>
    <t>Поткина Анастасия Анатольевна</t>
  </si>
  <si>
    <t>Жаркова Дарья Сергеевна</t>
  </si>
  <si>
    <t>Ильин Кирилл Олегович</t>
  </si>
  <si>
    <t>Красонооктябрьский муниципальный округ</t>
  </si>
  <si>
    <t>Нурахмятов Нияз Нурахмятович</t>
  </si>
  <si>
    <t>Померанцев Илья Юрьевич</t>
  </si>
  <si>
    <t>Лысковский муниципальный округ</t>
  </si>
  <si>
    <t>Юсин Сергей Сергеевич</t>
  </si>
  <si>
    <t>Хоменко Аркадий Олегович</t>
  </si>
  <si>
    <t>ОБЩАЯ ВЕРОЯТНОСТЬ И D60</t>
  </si>
  <si>
    <t xml:space="preserve">Нижний Новгород г.о.г.                                </t>
  </si>
  <si>
    <t>Индия</t>
  </si>
  <si>
    <t>Кузякин Вячеслав Максимович</t>
  </si>
  <si>
    <t>Павловский муниципальный округ</t>
  </si>
  <si>
    <t>Ляшков Михаил Алексеевич</t>
  </si>
  <si>
    <t>Великобритания</t>
  </si>
  <si>
    <t>Барабанова Мария Сергеевна</t>
  </si>
  <si>
    <t>РЕЗУЛЬТАТЫ И ЭФФЕКТЫ</t>
  </si>
  <si>
    <t>Франция</t>
  </si>
  <si>
    <t>Судакова Полина Александровна</t>
  </si>
  <si>
    <t>−</t>
  </si>
  <si>
    <t>Сверхмощная солнечная буря</t>
  </si>
  <si>
    <t>Все играющие страны: Сетевые ресурсы: ВЗ −0,50; ЦОД: ВЗ −0,40; эффективность защиты Афины −15% на 1 ход.</t>
  </si>
  <si>
    <t>Германия</t>
  </si>
  <si>
    <t>D60=4 | Общемировое | − | Сверхмощная солнечная буря. Все играющие страны: Сетевые ресурсы: ВЗ −0,50; ЦОД: ВЗ −0,40; эффективность защиты Афины −15% на 1 ход.</t>
  </si>
  <si>
    <t>Ханин Максим Александрович</t>
  </si>
  <si>
    <t>Япония</t>
  </si>
  <si>
    <t>Химические и технологические материалы</t>
  </si>
  <si>
    <t>Софронов Артём Алексеевич</t>
  </si>
  <si>
    <t>Управление</t>
  </si>
  <si>
    <t>Общественный</t>
  </si>
  <si>
    <t>Южная Корея</t>
  </si>
  <si>
    <t>Голицына Анастасия Романовна</t>
  </si>
  <si>
    <t>Первомайск м.о.г.</t>
  </si>
  <si>
    <t>Семенчиков Илья Максимович</t>
  </si>
  <si>
    <t>Турция</t>
  </si>
  <si>
    <t>Корнишев Денис Викторович</t>
  </si>
  <si>
    <t>Саудовская Аравия</t>
  </si>
  <si>
    <t>Кузнецова Полина Васильевна</t>
  </si>
  <si>
    <t>Страна A
(атакует)</t>
  </si>
  <si>
    <t>Тиханов Данил Владимировчи</t>
  </si>
  <si>
    <t>Иран</t>
  </si>
  <si>
    <t>Страна B
(защищается)</t>
  </si>
  <si>
    <t>Олейникова Алина Алексеевна</t>
  </si>
  <si>
    <t>Арес A</t>
  </si>
  <si>
    <t>Израиль</t>
  </si>
  <si>
    <t>Афина A</t>
  </si>
  <si>
    <t>Перевозский муниципальный округ</t>
  </si>
  <si>
    <t>Сидоров Евгений Иванович</t>
  </si>
  <si>
    <t>Аполлон A</t>
  </si>
  <si>
    <t>Бразилия</t>
  </si>
  <si>
    <t>Гусев Сергей Юрьевич</t>
  </si>
  <si>
    <t>Мод. Арес A</t>
  </si>
  <si>
    <t>ОАЭ</t>
  </si>
  <si>
    <t>Мод. Афина A</t>
  </si>
  <si>
    <t>Балашов Сергей Анатольевич</t>
  </si>
  <si>
    <t>Мод. Аполлон A</t>
  </si>
  <si>
    <t>Семёновский муниципальный округ</t>
  </si>
  <si>
    <t>Диденко Алексей Андреевич</t>
  </si>
  <si>
    <t>Арес B</t>
  </si>
  <si>
    <t>Афина B</t>
  </si>
  <si>
    <t>Пачуева Арина Андреевна</t>
  </si>
  <si>
    <t>Аполлон B</t>
  </si>
  <si>
    <t>Сеченовский муниципальный округ</t>
  </si>
  <si>
    <t>Мод. Арес B</t>
  </si>
  <si>
    <t>Моисеев Даниил Сергеевич</t>
  </si>
  <si>
    <t>Мод. Афина B</t>
  </si>
  <si>
    <t>Мод. Аполлон B</t>
  </si>
  <si>
    <t>Шаров Евгений Владимирович</t>
  </si>
  <si>
    <t>Сила A</t>
  </si>
  <si>
    <t>Карпов Алексей Васильевич</t>
  </si>
  <si>
    <t>Сила B</t>
  </si>
  <si>
    <t>Спасский муниципальный округ</t>
  </si>
  <si>
    <t>P победы A</t>
  </si>
  <si>
    <t>Горская Дарья Александровна</t>
  </si>
  <si>
    <t>P ничьи</t>
  </si>
  <si>
    <t>Индонезия</t>
  </si>
  <si>
    <t>P победы B</t>
  </si>
  <si>
    <t>Глазов Алексей Андреевич</t>
  </si>
  <si>
    <t>D60: B проигрывает</t>
  </si>
  <si>
    <t>Новая глобальная пандемия</t>
  </si>
  <si>
    <t>Коштенков Иван Алексеевич</t>
  </si>
  <si>
    <t>D60: ничья</t>
  </si>
  <si>
    <t>Все играющие страны: Человеческий ресурс: ВЗ −0,30; Производство: ВЗ −0,40; Экономика: ВЗ −0,40; Государственное управление: ВЗ −0,15.</t>
  </si>
  <si>
    <t>D60=5 | Общемировое | − | Новая глобальная пандемия. Все играющие страны: Человеческий ресурс: ВЗ −0,30; Производство: ВЗ −0,40; Экономика: ВЗ −0,40; Государственное управление: ВЗ −0,15.</t>
  </si>
  <si>
    <t>D60: B выигрывает</t>
  </si>
  <si>
    <t>Фактический D60</t>
  </si>
  <si>
    <t>Общий итог</t>
  </si>
  <si>
    <t>Степень общей победы</t>
  </si>
  <si>
    <t>Арес: локальный исход</t>
  </si>
  <si>
    <t>Арес: эффект</t>
  </si>
  <si>
    <t>Афина: локальный исход</t>
  </si>
  <si>
    <t>Афина: эффект</t>
  </si>
  <si>
    <t>Аполлон: локальный исход</t>
  </si>
  <si>
    <t>Сверхизвержение и глобальный климатический шок</t>
  </si>
  <si>
    <t>Аполлон: эффект</t>
  </si>
  <si>
    <t>Все играющие страны: всем 8 сферам ВЗ −0,20; Энергетические ресурсы: ВЗ −0,40; Вода: ВЗ −0,30.</t>
  </si>
  <si>
    <t>D60=6 | Общемировое | − | Сверхизвержение и глобальный климатический шок. Все играющие страны: всем 8 сферам ВЗ −0,20; Энергетические ресурсы: ВЗ −0,40; Вода: ВЗ −0,30.</t>
  </si>
  <si>
    <t>Общий эффект войны</t>
  </si>
  <si>
    <t>Полный протокол</t>
  </si>
  <si>
    <t>Энергетические ресурсы</t>
  </si>
  <si>
    <t>Для бросившей страны</t>
  </si>
  <si>
    <t>Познание</t>
  </si>
  <si>
    <t>Открыто гигантское месторождение критических минералов</t>
  </si>
  <si>
    <t>Минерально-сырьевые ресурсы: ПЗ +0,60; ПП +0,04.</t>
  </si>
  <si>
    <t>Дипломатический</t>
  </si>
  <si>
    <t>D60=7 | Для бросившей страны | + | Открыто гигантское месторождение критических минералов. Минерально-сырьевые ресурсы: ПЗ +0,60; ПП +0,04.</t>
  </si>
  <si>
    <t>seed_phys</t>
  </si>
  <si>
    <t>seed_sector</t>
  </si>
  <si>
    <t>seed_country_local</t>
  </si>
  <si>
    <t>seed_res_general</t>
  </si>
  <si>
    <t>seed_sector_general</t>
  </si>
  <si>
    <t>seed_country_general</t>
  </si>
  <si>
    <t>seed_channels</t>
  </si>
  <si>
    <t>Открыто крупное новое энергетическое месторождение</t>
  </si>
  <si>
    <t>Энергетические ресурсы: ПЗ +0,50; ПП +0,04.</t>
  </si>
  <si>
    <t>D60=8 | Для бросившей страны | + | Открыто крупное новое энергетическое месторождение. Энергетические ресурсы: ПЗ +0,50; ПП +0,04.</t>
  </si>
  <si>
    <t>Вода и ресурс отвода тепла</t>
  </si>
  <si>
    <t>Пространственные и природно-географические ресурсы</t>
  </si>
  <si>
    <t>Мощности производства полупроводников</t>
  </si>
  <si>
    <t>Вычислительные компоненты</t>
  </si>
  <si>
    <t>Обнаружен огромный подземный резерв пресной воды</t>
  </si>
  <si>
    <t>ЦОД и вычислительная инфраструктура</t>
  </si>
  <si>
    <t>Вода: ПЗ +0,50; Производство: ПП +0,02.</t>
  </si>
  <si>
    <t>D60=9 | Для бросившей страны | + | Обнаружен огромный подземный резерв пресной воды. Вода: ПЗ +0,50; Производство: ПП +0,02.</t>
  </si>
  <si>
    <t>Сетевые ресурсы</t>
  </si>
  <si>
    <t>Конечные устройства</t>
  </si>
  <si>
    <t>Обучение</t>
  </si>
  <si>
    <t>Война</t>
  </si>
  <si>
    <t>Экономика</t>
  </si>
  <si>
    <t>Государственное управление</t>
  </si>
  <si>
    <t>Принятие ИИ</t>
  </si>
  <si>
    <t>Обнаружена исключительно выгодная природная площадка для ЦОД</t>
  </si>
  <si>
    <t>Пространственные ресурсы: ПЗ +0,30; ЦОД: ПП +0,05.</t>
  </si>
  <si>
    <t>D60=10 | Для бросившей страны | + | Обнаружена исключительно выгодная природная площадка для ЦОД. Пространственные ресурсы: ПЗ +0,30; ЦОД: ПП +0,05.</t>
  </si>
  <si>
    <t>Случайно открыт новый промышленный материал</t>
  </si>
  <si>
    <t>Химические и технологические материалы: ПЗ +0,40; Полупроводники: ПП +0,04.</t>
  </si>
  <si>
    <t>D60=11 | Для бросившей страны | + | Случайно открыт новый промышленный материал. Химические и технологические материалы: ПЗ +0,40; Полупроводники: ПП +0,04.</t>
  </si>
  <si>
    <t>Серендепный прорыв в архитектуре вычислителей</t>
  </si>
  <si>
    <t>Вычислительные компоненты: ПЗ +0,35; их прирост: ПП +0,05.</t>
  </si>
  <si>
    <t>D60=12 | Для бросившей страны | + | Серендепный прорыв в архитектуре вычислителей. Вычислительные компоненты: ПЗ +0,35; их прирост: ПП +0,05.</t>
  </si>
  <si>
    <t>Неожиданное фундаментальное математическое открытие</t>
  </si>
  <si>
    <t>Математико-алгоритмические ресурсы: ПЗ +0,40; Методы построения моделей: ПП +0,05.</t>
  </si>
  <si>
    <t>D60=13 | Для бросившей страны | + | Неожиданное фундаментальное математическое открытие. Математико-алгоритмические ресурсы: ПЗ +0,40; Методы построения моделей: ПП +0,05.</t>
  </si>
  <si>
    <t>Случайно найден новый эффективный способ генерации данных</t>
  </si>
  <si>
    <t>Производные данные: ПЗ +0,40; их прирост: ПП +0,05.</t>
  </si>
  <si>
    <t>D60=14 | Для бросившей страны | + | Случайно найден новый эффективный способ генерации данных. Производные данные: ПЗ +0,40; их прирост: ПП +0,05.</t>
  </si>
  <si>
    <t>Обнаружен уникальный массив ранее недоступных данных</t>
  </si>
  <si>
    <t>Исходные данные: ПЗ +0,50; Контекстные ресурсы: ПЗ +0,25.</t>
  </si>
  <si>
    <t>D60=15 | Для бросившей страны | + | Обнаружен уникальный массив ранее недоступных данных. Исходные данные: ПЗ +0,50; Контекстные ресурсы: ПЗ +0,25.</t>
  </si>
  <si>
    <t>Неожиданная массовая квалифицированная миграция извне</t>
  </si>
  <si>
    <t>Человеческий ресурс: ВЗ +0,60; его прирост: ПП +0,04.</t>
  </si>
  <si>
    <t>D60=16 | Для бросившей страны | + | Неожиданная массовая квалифицированная миграция извне. Человеческий ресурс: ВЗ +0,60; его прирост: ПП +0,04.</t>
  </si>
  <si>
    <t>Внешний глобальный инвестиционный бум случайно концентрируется в стране</t>
  </si>
  <si>
    <t>Финансовые ресурсы: ВЗ +0,60; Поставщики и рынок услуг: ВП +0,08.</t>
  </si>
  <si>
    <t>D60=17 | Для бросившей страны | + | Внешний глобальный инвестиционный бум случайно концентрируется в стране. Финансовые ресурсы: ВЗ +0,60; Поставщики и рынок услуг: ВП +0,08.</t>
  </si>
  <si>
    <t>Рекордно благоприятный природно-экономический год</t>
  </si>
  <si>
    <t>Производство: ВЗ +0,50; Экономика: ВЗ +0,40.</t>
  </si>
  <si>
    <t>D60=18 | Для бросившей страны | + | Рекордно благоприятный природно-экономический год. Производство: ВЗ +0,50; Экономика: ВЗ +0,40.</t>
  </si>
  <si>
    <t>Природное изменение открывает новый крупный транспортный маршрут</t>
  </si>
  <si>
    <t>Конкурентная и торговая среда: ПЗ +0,30; Сетевые ресурсы: ПП +0,03.</t>
  </si>
  <si>
    <t>D60=19 | Для бросившей страны | + | Природное изменение открывает новый крупный транспортный маршрут. Конкурентная и торговая среда: ПЗ +0,30; Сетевые ресурсы: ПП +0,03.</t>
  </si>
  <si>
    <t>Неожиданная мировая культурная волна в пользу страны</t>
  </si>
  <si>
    <t>Эффективность Аполлона +20% на 1 ход; Принятие ИИ: ВЗ +0,25.</t>
  </si>
  <si>
    <t>D60=20 | Для бросившей страны | + | Неожиданная мировая культурная волна в пользу страны. Эффективность Аполлона +20% на 1 ход; Принятие ИИ: ВЗ +0,25.</t>
  </si>
  <si>
    <t>Редкий научный прорыв национальной исследовательской группы</t>
  </si>
  <si>
    <t>Познание: ПЗ +0,30; его прирост: ПП +0,04.</t>
  </si>
  <si>
    <t>D60=21 | Для бросившей страны | + | Редкий научный прорыв национальной исследовательской группы. Познание: ПЗ +0,30; его прирост: ПП +0,04.</t>
  </si>
  <si>
    <t>Непредвиденный технологический spillover из другой отрасли</t>
  </si>
  <si>
    <t>Интеграционные ресурсы: ПЗ +0,35; Оцифрованность: ПП +0,04.</t>
  </si>
  <si>
    <t>D60=22 | Для бросившей страны | + | Непредвиденный технологический spillover из другой отрасли. Интеграционные ресурсы: ПЗ +0,35; Оцифрованность: ПП +0,04.</t>
  </si>
  <si>
    <t>Случайный прорыв в робототехнике независимой команды</t>
  </si>
  <si>
    <t>Производство: ПЗ +0,30; Производство: ПП +0,05.</t>
  </si>
  <si>
    <t>D60=23 | Для бросившей страны | + | Случайный прорыв в робототехнике независимой команды. Производство: ПЗ +0,30; Производство: ПП +0,05.</t>
  </si>
  <si>
    <t>Спонтанная волна общественного технологического оптимизма</t>
  </si>
  <si>
    <t>Социальное доверие: ВЗ +0,60; Принятие ИИ: ВЗ +0,50; его прирост: ВП +0,05.</t>
  </si>
  <si>
    <t>D60=24 | Для бросившей страны | + | Спонтанная волна общественного технологического оптимизма. Социальное доверие: ВЗ +0,60; Принятие ИИ: ВЗ +0,50; его прирост: ВП +0,05.</t>
  </si>
  <si>
    <t>Катастрофическое землетрясение</t>
  </si>
  <si>
    <t>Производство: ВЗ −0,70; ЦОД: ВЗ −0,50; Сетевые ресурсы: ВЗ −0,30.</t>
  </si>
  <si>
    <t>D60=25 | Для бросившей страны | − | Катастрофическое землетрясение. Производство: ВЗ −0,70; ЦОД: ВЗ −0,50; Сетевые ресурсы: ВЗ −0,30.</t>
  </si>
  <si>
    <t>Катастрофическое наводнение</t>
  </si>
  <si>
    <t>Производство: ВЗ −0,60; ЦОД: ВЗ −0,35; Экономика: ВЗ −0,30.</t>
  </si>
  <si>
    <t>D60=26 | Для бросившей страны | − | Катастрофическое наводнение. Производство: ВЗ −0,60; ЦОД: ВЗ −0,35; Экономика: ВЗ −0,30.</t>
  </si>
  <si>
    <t>Экстремальная многолетняя засуха</t>
  </si>
  <si>
    <t>Вода: ВЗ −0,70; Энергетика: ВЗ −0,35; Производство: ВЗ −0,35.</t>
  </si>
  <si>
    <t>D60=27 | Для бросившей страны | − | Экстремальная многолетняя засуха. Вода: ВЗ −0,70; Энергетика: ВЗ −0,35; Производство: ВЗ −0,35.</t>
  </si>
  <si>
    <t>Масштабные лесные и природные пожары</t>
  </si>
  <si>
    <t>Пространственные ресурсы: ВЗ −0,40; Производство: ВЗ −0,40; Экономика: ВЗ −0,25.</t>
  </si>
  <si>
    <t>D60=28 | Для бросившей страны | − | Масштабные лесные и природные пожары. Пространственные ресурсы: ВЗ −0,40; Производство: ВЗ −0,40; Экономика: ВЗ −0,25.</t>
  </si>
  <si>
    <t>Аномальная волна жары</t>
  </si>
  <si>
    <t>Энергетика: ВЗ −0,50; ЦОД: ВЗ −0,45; Экономика: ВЗ −0,20.</t>
  </si>
  <si>
    <t>D60=29 | Для бросившей страны | − | Аномальная волна жары. Энергетика: ВЗ −0,50; ЦОД: ВЗ −0,45; Экономика: ВЗ −0,20.</t>
  </si>
  <si>
    <t>Экстремальная холодовая аномалия</t>
  </si>
  <si>
    <t>Энергетика: ВЗ −0,50; Сетевые ресурсы: ВЗ −0,25; Экономика: ВЗ −0,25.</t>
  </si>
  <si>
    <t>D60=30 | Для бросившей страны | − | Экстремальная холодовая аномалия. Энергетика: ВЗ −0,50; Сетевые ресурсы: ВЗ −0,25; Экономика: ВЗ −0,25.</t>
  </si>
  <si>
    <t>Локальная эпидемия нового патогена</t>
  </si>
  <si>
    <t>Человеческий ресурс: ВЗ −0,50; Производство: ВЗ −0,30; Экономика: ВЗ −0,40.</t>
  </si>
  <si>
    <t>D60=31 | Для бросившей страны | − | Локальная эпидемия нового патогена. Человеческий ресурс: ВЗ −0,50; Производство: ВЗ −0,30; Экономика: ВЗ −0,40.</t>
  </si>
  <si>
    <t>Массовая эпизоотия / биологическое поражение продовольственной системы</t>
  </si>
  <si>
    <t>Экономика: ВЗ −0,50; Производство: ВЗ −0,30; Социальное доверие: ВЗ −0,20.</t>
  </si>
  <si>
    <t>D60=32 | Для бросившей страны | − | Массовая эпизоотия / биологическое поражение продовольственной системы. Экономика: ВЗ −0,50; Производство: ВЗ −0,30; Социальное доверие: ВЗ −0,20.</t>
  </si>
  <si>
    <t>Редкий системный дефект энергетической инфраструктуры</t>
  </si>
  <si>
    <t>Энергетические ресурсы: ВЗ −0,60; ЦОД: ВЗ −0,35.</t>
  </si>
  <si>
    <t>D60=33 | Для бросившей страны | − | Редкий системный дефект энергетической инфраструктуры. Энергетические ресурсы: ВЗ −0,60; ЦОД: ВЗ −0,35.</t>
  </si>
  <si>
    <t>Катастрофическое загрязнение производства микроэлектроники</t>
  </si>
  <si>
    <t>Полупроводниковое производство: ВЗ −0,70; Вычислительные компоненты: ВЗ −0,30.</t>
  </si>
  <si>
    <t>D60=34 | Для бросившей страны | − | Катастрофическое загрязнение производства микроэлектроники. Полупроводниковое производство: ВЗ −0,70; Вычислительные компоненты: ВЗ −0,30.</t>
  </si>
  <si>
    <t>Подводное землетрясение повреждает магистральные кабели</t>
  </si>
  <si>
    <t>Сетевые ресурсы: ВЗ −0,70; эффективность Афины −15% на 1 ход.</t>
  </si>
  <si>
    <t>D60=35 | Для бросившей страны | − | Подводное землетрясение повреждает магистральные кабели. Сетевые ресурсы: ВЗ −0,70; эффективность Афины −15% на 1 ход.</t>
  </si>
  <si>
    <t>Неожиданный обвал мировой цены на основной экспорт страны</t>
  </si>
  <si>
    <t>Финансовые ресурсы: ВЗ −0,60; Экономика: ВЗ −0,50.</t>
  </si>
  <si>
    <t>D60=36 | Для бросившей страны | − | Неожиданный обвал мировой цены на основной экспорт страны. Финансовые ресурсы: ВЗ −0,60; Экономика: ВЗ −0,50.</t>
  </si>
  <si>
    <t>Неожиданный мировой скачок цен на критический импорт страны</t>
  </si>
  <si>
    <t>Химические материалы: ВЗ −0,40; Финансовые ресурсы: ВЗ −0,45; Вычислительные компоненты: ВЗ −0,25.</t>
  </si>
  <si>
    <t>D60=37 | Для бросившей страны | − | Неожиданный мировой скачок цен на критический импорт страны. Химические материалы: ВЗ −0,40; Финансовые ресурсы: ВЗ −0,45; Вычислительные компоненты: ВЗ −0,25.</t>
  </si>
  <si>
    <t>Резкий демографический провал</t>
  </si>
  <si>
    <t>Человеческий ресурс: ПП −0,05; Предметная экспертиза: ВП −0,05.</t>
  </si>
  <si>
    <t>D60=38 | Для бросившей страны | − | Резкий демографический провал. Человеческий ресурс: ПП −0,05; Предметная экспертиза: ВП −0,05.</t>
  </si>
  <si>
    <t>Редкий сбой спутниковой инфраструктуры из-за космического события</t>
  </si>
  <si>
    <t>Сетевые ресурсы: ВЗ −0,50; Контекстные данные: ВЗ −0,30; Управление: ВЗ −0,20.</t>
  </si>
  <si>
    <t>D60=39 | Для бросившей страны | − | Редкий сбой спутниковой инфраструктуры из-за космического события. Сетевые ресурсы: ВЗ −0,50; Контекстные данные: ВЗ −0,30; Управление: ВЗ −0,20.</t>
  </si>
  <si>
    <t>Экстремальная гидрологическая аномалия</t>
  </si>
  <si>
    <t>Вода: ВЗ −0,50; Энергетика: ВЗ −0,40; Производство: ВЗ −0,20.</t>
  </si>
  <si>
    <t>D60=40 | Для бросившей страны | − | Экстремальная гидрологическая аномалия. Вода: ВЗ −0,50; Энергетика: ВЗ −0,40; Производство: ВЗ −0,20.</t>
  </si>
  <si>
    <t>Резонансная смертельная авария автономной системы</t>
  </si>
  <si>
    <t>Социальное доверие: ВЗ −0,60; Принятие ИИ: ВЗ −0,60; его прирост: ВП −0,05.</t>
  </si>
  <si>
    <t>D60=41 | Для бросившей страны | − | Резонансная смертельная авария автономной системы. Социальное доверие: ВЗ −0,60; Принятие ИИ: ВЗ −0,60; его прирост: ВП −0,05.</t>
  </si>
  <si>
    <t>Внезапно обнаружена фундаментальная уязвимость класса используемых моделей</t>
  </si>
  <si>
    <t>Модельные ресурсы: ВЗ −0,50; Стек эксплуатации ИИ: ВЗ −0,40; эффективность очков ИИ −15% на 1 ход.</t>
  </si>
  <si>
    <t>D60=42 | Для бросившей страны | − | Внезапно обнаружена фундаментальная уязвимость класса используемых моделей. Модельные ресурсы: ВЗ −0,50; Стек эксплуатации ИИ: ВЗ −0,40; эффективность очков ИИ −15% на 1 ход.</t>
  </si>
  <si>
    <t>Страна + реальные союзники</t>
  </si>
  <si>
    <t>Открыто трансграничное месторождение энергоресурсов</t>
  </si>
  <si>
    <t>Каждой затронутой стране: Энергетика: ПЗ +0,35; ПП +0,03.</t>
  </si>
  <si>
    <t>D60=43 | Страна + реальные союзники | + | Открыто трансграничное месторождение энергоресурсов. Каждой затронутой стране: Энергетика: ПЗ +0,35; ПП +0,03.</t>
  </si>
  <si>
    <t>Природные изменения открывают новый межрегиональный торговый маршрут</t>
  </si>
  <si>
    <t>Каждой затронутой стране: Сетевые ресурсы: ПЗ +0,25; Торговая среда: ПЗ +0,30.</t>
  </si>
  <si>
    <t>D60=44 | Страна + реальные союзники | + | Природные изменения открывают новый межрегиональный торговый маршрут. Каждой затронутой стране: Сетевые ресурсы: ПЗ +0,25; Торговая среда: ПЗ +0,30.</t>
  </si>
  <si>
    <t>Исключительно благоприятный гидрологический цикл региона</t>
  </si>
  <si>
    <t>Каждой затронутой стране: Вода: ВЗ +0,50; Энергетика: ВЗ +0,30; Производство: ВЗ +0,20.</t>
  </si>
  <si>
    <t>D60=45 | Страна + реальные союзники | + | Исключительно благоприятный гидрологический цикл региона. Каждой затронутой стране: Вода: ВЗ +0,50; Энергетика: ВЗ +0,30; Производство: ВЗ +0,20.</t>
  </si>
  <si>
    <t>Случайный фундаментальный научный прорыв внутри блока</t>
  </si>
  <si>
    <t>Каждой затронутой стране: Методы построения моделей: ПЗ +0,20; ПП +0,03.</t>
  </si>
  <si>
    <t>D60=46 | Страна + реальные союзники | + | Случайный фундаментальный научный прорыв внутри блока. Каждой затронутой стране: Методы построения моделей: ПЗ +0,20; ПП +0,03.</t>
  </si>
  <si>
    <t>Мировой ценовой бум на экспортную корзину блока</t>
  </si>
  <si>
    <t>Каждой затронутой стране: Финансовые ресурсы: ВЗ +0,45; Экономика: ВЗ +0,35.</t>
  </si>
  <si>
    <t>D60=47 | Страна + реальные союзники | + | Мировой ценовой бум на экспортную корзину блока. Каждой затронутой стране: Финансовые ресурсы: ВЗ +0,45; Экономика: ВЗ +0,35.</t>
  </si>
  <si>
    <t>Неожиданная миграционная волна квалифицированных специалистов в регион</t>
  </si>
  <si>
    <t>Каждой затронутой стране: Человеческий ресурс: ВЗ +0,40; его прирост: ПП +0,03.</t>
  </si>
  <si>
    <t>D60=48 | Страна + реальные союзники | + | Неожиданная миграционная волна квалифицированных специалистов в регион. Каждой затронутой стране: Человеческий ресурс: ВЗ +0,40; его прирост: ПП +0,03.</t>
  </si>
  <si>
    <t>Глобальная культурная мода неожиданно смещается в пользу блока</t>
  </si>
  <si>
    <t>Каждой затронутой стране: эффективность Аполлона +15% на 1 ход; Социальное доверие: ВЗ +0,20.</t>
  </si>
  <si>
    <t>D60=49 | Страна + реальные союзники | + | Глобальная культурная мода неожиданно смещается в пользу блока. Каждой затронутой стране: эффективность Аполлона +15% на 1 ход; Социальное доверие: ВЗ +0,20.</t>
  </si>
  <si>
    <t>Независимое открытие нового метода киберзащиты внутри блока</t>
  </si>
  <si>
    <t>Каждой затронутой стране: Кибербезопасность: ПЗ +0,25; защита Афины +10% на 1 ход.</t>
  </si>
  <si>
    <t>D60=50 | Страна + реальные союзники | + | Независимое открытие нового метода киберзащиты внутри блока. Каждой затронутой стране: Кибербезопасность: ПЗ +0,25; защита Афины +10% на 1 ход.</t>
  </si>
  <si>
    <t>Резкий внешний рост спроса на продукцию стран блока</t>
  </si>
  <si>
    <t>Каждой затронутой стране: Поставщики и рынок услуг: ВЗ +0,40; Экономика: ВЗ +0,35; Производство: ВЗ +0,20.</t>
  </si>
  <si>
    <t>D60=51 | Страна + реальные союзники | + | Резкий внешний рост спроса на продукцию стран блока. Каждой затронутой стране: Поставщики и рынок услуг: ВЗ +0,40; Экономика: ВЗ +0,35; Производство: ВЗ +0,20.</t>
  </si>
  <si>
    <t>Серия сильных землетрясений в регионе</t>
  </si>
  <si>
    <t>Каждой затронутой стране: Производство: ВЗ −0,50; Сетевые ресурсы: ВЗ −0,35; ЦОД: ВЗ −0,25.</t>
  </si>
  <si>
    <t>D60=52 | Страна + реальные союзники | − | Серия сильных землетрясений в регионе. Каждой затронутой стране: Производство: ВЗ −0,50; Сетевые ресурсы: ВЗ −0,35; ЦОД: ВЗ −0,25.</t>
  </si>
  <si>
    <t>Региональная мегазасуха</t>
  </si>
  <si>
    <t>Каждой затронутой стране: Вода: ВЗ −0,55; Энергетика: ВЗ −0,30; Производство: ВЗ −0,25.</t>
  </si>
  <si>
    <t>D60=53 | Страна + реальные союзники | − | Региональная мегазасуха. Каждой затронутой стране: Вода: ВЗ −0,55; Энергетика: ВЗ −0,30; Производство: ВЗ −0,25.</t>
  </si>
  <si>
    <t>Длительный региональный тепловой купол</t>
  </si>
  <si>
    <t>Каждой затронутой стране: Энергетика: ВЗ −0,40; ЦОД: ВЗ −0,35; Экономика: ВЗ −0,20.</t>
  </si>
  <si>
    <t>D60=54 | Страна + реальные союзники | − | Длительный региональный тепловой купол. Каждой затронутой стране: Энергетика: ВЗ −0,40; ЦОД: ВЗ −0,35; Экономика: ВЗ −0,20.</t>
  </si>
  <si>
    <t>Региональная эпидемия</t>
  </si>
  <si>
    <t>Каждой затронутой стране: Человеческий ресурс: ВЗ −0,40; Экономика: ВЗ −0,30; Производство: ВЗ −0,20.</t>
  </si>
  <si>
    <t>D60=55 | Страна + реальные союзники | − | Региональная эпидемия. Каждой затронутой стране: Человеческий ресурс: ВЗ −0,40; Экономика: ВЗ −0,30; Производство: ВЗ −0,20.</t>
  </si>
  <si>
    <t>Природная катастрофа перекрывает главный транспортный коридор региона</t>
  </si>
  <si>
    <t>Каждой затронутой стране: Торговая среда: ВЗ −0,50; Сети: ВЗ −0,35; эффективность Афины −10% на 1 ход.</t>
  </si>
  <si>
    <t>D60=56 | Страна + реальные союзники | − | Природная катастрофа перекрывает главный транспортный коридор региона. Каждой затронутой стране: Торговая среда: ВЗ −0,50; Сети: ВЗ −0,35; эффективность Афины −10% на 1 ход.</t>
  </si>
  <si>
    <t>Обвал мировых цен на экспортную корзину блока</t>
  </si>
  <si>
    <t>Каждой затронутой стране: Финансовые ресурсы: ВЗ −0,45; Экономика: ВЗ −0,35.</t>
  </si>
  <si>
    <t>D60=57 | Страна + реальные союзники | − | Обвал мировых цен на экспортную корзину блока. Каждой затронутой стране: Финансовые ресурсы: ВЗ −0,45; Экономика: ВЗ −0,35.</t>
  </si>
  <si>
    <t>Финансовая зараза от внешнего глобального кризиса</t>
  </si>
  <si>
    <t>Каждой затронутой стране: Финансовые ресурсы: ВЗ −0,50; Поставщики и рынок услуг: ВЗ −0,30.</t>
  </si>
  <si>
    <t>D60=58 | Страна + реальные союзники | − | Финансовая зараза от внешнего глобального кризиса. Каждой затронутой стране: Финансовые ресурсы: ВЗ −0,50; Поставщики и рынок услуг: ВЗ −0,30.</t>
  </si>
  <si>
    <t>Региональная геомагнитная аномалия</t>
  </si>
  <si>
    <t>Каждой затронутой стране: Сети: ВЗ −0,50; ЦОД: ВЗ −0,40; защита Афины −15% на 1 ход.</t>
  </si>
  <si>
    <t>D60=59 | Страна + реальные союзники | − | Региональная геомагнитная аномалия. Каждой затронутой стране: Сети: ВЗ −0,50; ЦОД: ВЗ −0,40; защита Афины −15% на 1 ход.</t>
  </si>
  <si>
    <t>Синхронный климатический шок нескольких стран региона</t>
  </si>
  <si>
    <t>Каждой затронутой стране: Производство: ВЗ −0,50; Экономика: ВЗ −0,40; Социальное доверие: ВЗ −0,20.</t>
  </si>
  <si>
    <t>D60=60 | Страна + реальные союзники | − | Синхронный климатический шок нескольких стран региона. Каждой затронутой стране: Производство: ВЗ −0,50; Экономика: ВЗ −0,40; Социальное доверие: ВЗ −0,20.</t>
  </si>
  <si>
    <t>Базовый программный стек вычислений</t>
  </si>
  <si>
    <t>Стек разработки ИИ</t>
  </si>
  <si>
    <t>Стек эксплуатации ИИ</t>
  </si>
  <si>
    <t>Математико-алгоритмические ресурсы</t>
  </si>
  <si>
    <t>Методы построения и совершенствования моделей</t>
  </si>
  <si>
    <t>Исходные данные</t>
  </si>
  <si>
    <t>Производные данные</t>
  </si>
  <si>
    <t>Контекстные информационные ресурсы</t>
  </si>
  <si>
    <t>Модельные ресурсы</t>
  </si>
  <si>
    <t>Ресурсы оценки</t>
  </si>
  <si>
    <t>Документационные ресурсы</t>
  </si>
  <si>
    <t>Права доступа к информационным ресурсам</t>
  </si>
  <si>
    <t>Кибербезопасностные ресурсы</t>
  </si>
  <si>
    <t>Квалифицированный человеческий ресурс</t>
  </si>
  <si>
    <t>Предметная экспертиза</t>
  </si>
  <si>
    <t>Оцифрованность деятельности</t>
  </si>
  <si>
    <t>Интеграционные ресурсы</t>
  </si>
  <si>
    <t>Организационная архитектура внедрения</t>
  </si>
  <si>
    <t>Организационная способность к изменению</t>
  </si>
  <si>
    <t>Финансовые ресурсы</t>
  </si>
  <si>
    <t>Поставщики и рынок технологических услуг</t>
  </si>
  <si>
    <t>Экономическая целесообразность</t>
  </si>
  <si>
    <t>Правовая среда</t>
  </si>
  <si>
    <t>Регуляторная и стандартная среда</t>
  </si>
  <si>
    <t>Институциональная инфраструктура</t>
  </si>
  <si>
    <t>Конкурентная и торговая среда</t>
  </si>
  <si>
    <t>Социальное доверие</t>
  </si>
  <si>
    <t>Готовность работников к использованию ИИ</t>
  </si>
  <si>
    <t>Локальная социально-культурная применимость</t>
  </si>
  <si>
    <t>Система управления ИИ</t>
  </si>
  <si>
    <t>Поствнедренческий мониторинг</t>
  </si>
  <si>
    <t>Ресурс обновления и восстановления</t>
  </si>
  <si>
    <t>Ресурс утилизации и воспроизводства физической базы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</si>
</sst>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%"/>
  </numFmts>
  <fonts count="14">
    <font>
      <sz val="11.0"/>
      <color rgb="FF000000"/>
      <name val="Carlito"/>
      <scheme val="minor"/>
    </font>
    <font>
      <sz val="12.0"/>
      <color rgb="FF000000"/>
      <name val="Times New Roman"/>
    </font>
    <font>
      <b/>
      <sz val="16.0"/>
      <color rgb="FFFFFFFF"/>
      <name val="Carlito"/>
    </font>
    <font/>
    <font>
      <b/>
      <sz val="11.0"/>
      <color rgb="FFFFFFFF"/>
      <name val="Carlito"/>
    </font>
    <font>
      <b/>
      <sz val="11.0"/>
      <color rgb="FF1F1F1F"/>
      <name val="Carlito"/>
    </font>
    <font>
      <sz val="12.0"/>
      <color theme="1"/>
      <name val="Times New Roman"/>
    </font>
    <font>
      <b/>
      <sz val="11.0"/>
      <color rgb="FF9C6500"/>
      <name val="Carlito"/>
    </font>
    <font>
      <color theme="1"/>
      <name val="Carlito"/>
      <scheme val="minor"/>
    </font>
    <font>
      <i/>
      <sz val="11.0"/>
      <color rgb="FF555555"/>
      <name val="Carlito"/>
    </font>
    <font>
      <b/>
      <sz val="11.0"/>
      <color rgb="FF375623"/>
      <name val="Carlito"/>
    </font>
    <font>
      <sz val="11.0"/>
      <color theme="1"/>
      <name val="Carlito"/>
    </font>
    <font>
      <b/>
      <sz val="11.0"/>
      <color theme="1"/>
      <name val="Carlito"/>
    </font>
    <font>
      <sz val="11.0"/>
      <color rgb="FF666666"/>
      <name val="Carlito"/>
    </font>
  </fonts>
  <fills count="1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7F7F7F"/>
        <bgColor rgb="FF7F7F7F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F3F6F8"/>
        <bgColor rgb="FFF3F6F8"/>
      </patternFill>
    </fill>
    <fill>
      <patternFill patternType="solid">
        <fgColor rgb="FFE2F0D9"/>
        <bgColor rgb="FFE2F0D9"/>
      </patternFill>
    </fill>
    <fill>
      <patternFill patternType="solid">
        <fgColor rgb="FF4472C4"/>
        <bgColor rgb="FF4472C4"/>
      </patternFill>
    </fill>
    <fill>
      <patternFill patternType="solid">
        <fgColor rgb="FFA5A5A5"/>
        <bgColor rgb="FFA5A5A5"/>
      </patternFill>
    </fill>
    <fill>
      <patternFill patternType="solid">
        <fgColor rgb="FF17365D"/>
        <bgColor rgb="FF17365D"/>
      </patternFill>
    </fill>
    <fill>
      <patternFill patternType="solid">
        <fgColor rgb="FFF2F2F2"/>
        <bgColor rgb="FFF2F2F2"/>
      </patternFill>
    </fill>
    <fill>
      <patternFill patternType="solid">
        <fgColor rgb="FFFFFFFF"/>
        <bgColor rgb="FFFFFFFF"/>
      </patternFill>
    </fill>
    <fill>
      <patternFill patternType="solid">
        <fgColor rgb="FFEAF3F8"/>
        <bgColor rgb="FFEAF3F8"/>
      </patternFill>
    </fill>
    <fill>
      <patternFill patternType="solid">
        <fgColor rgb="FF5B9BD5"/>
        <bgColor rgb="FF5B9BD5"/>
      </patternFill>
    </fill>
    <fill>
      <patternFill patternType="solid">
        <fgColor rgb="FF70AD47"/>
        <bgColor rgb="FF70AD47"/>
      </patternFill>
    </fill>
    <fill>
      <patternFill patternType="solid">
        <fgColor rgb="FFDDEBF7"/>
        <bgColor rgb="FFDDEBF7"/>
      </patternFill>
    </fill>
    <fill>
      <patternFill patternType="solid">
        <fgColor rgb="FFFCE4D6"/>
        <bgColor rgb="FFFCE4D6"/>
      </patternFill>
    </fill>
  </fills>
  <borders count="3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BFBFBF"/>
      </left>
      <right style="thin">
        <color rgb="FFD9D9D9"/>
      </right>
      <top style="thin">
        <color rgb="FFBFBFBF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BFBFBF"/>
      </top>
      <bottom style="thin">
        <color rgb="FFD9D9D9"/>
      </bottom>
    </border>
    <border>
      <left style="thin">
        <color rgb="FFD9D9D9"/>
      </left>
      <right style="thin">
        <color rgb="FFBFBFBF"/>
      </right>
      <top style="thin">
        <color rgb="FFBFBFBF"/>
      </top>
      <bottom style="thin">
        <color rgb="FFD9D9D9"/>
      </bottom>
    </border>
    <border>
      <left style="thin">
        <color rgb="FFD9D9D9"/>
      </left>
      <right style="thin">
        <color rgb="FFE7E6E6"/>
      </right>
      <top style="thin">
        <color rgb="FFD9D9D9"/>
      </top>
      <bottom style="thin">
        <color rgb="FFE7E6E6"/>
      </bottom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E7E6E6"/>
      </left>
      <right style="thin">
        <color rgb="FFE7E6E6"/>
      </right>
      <top style="thin">
        <color rgb="FFD9D9D9"/>
      </top>
      <bottom style="thin">
        <color rgb="FFE7E6E6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D9D9D9"/>
      </bottom>
    </border>
    <border>
      <left style="thin">
        <color rgb="FFE7E6E6"/>
      </left>
      <right style="thin">
        <color rgb="FFD9D9D9"/>
      </right>
      <top style="thin">
        <color rgb="FFD9D9D9"/>
      </top>
      <bottom style="thin">
        <color rgb="FFE7E6E6"/>
      </bottom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C9C9C9"/>
      </left>
      <right style="thin">
        <color rgb="FFE7E6E6"/>
      </right>
      <top style="thin">
        <color rgb="FFC9C9C9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C9C9C9"/>
      </top>
      <bottom style="thin">
        <color rgb="FFE7E6E6"/>
      </bottom>
    </border>
    <border>
      <left style="thin">
        <color rgb="FFBFBFBF"/>
      </left>
      <right style="thin">
        <color rgb="FFD9D9D9"/>
      </right>
      <top style="thin">
        <color rgb="FFD9D9D9"/>
      </top>
      <bottom style="thin">
        <color rgb="FFBFBFBF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BFBFBF"/>
      </bottom>
    </border>
    <border>
      <left style="thin">
        <color rgb="FFD9D9D9"/>
      </left>
      <right style="thin">
        <color rgb="FFBFBFBF"/>
      </right>
      <top style="thin">
        <color rgb="FFD9D9D9"/>
      </top>
      <bottom style="thin">
        <color rgb="FFBFBFBF"/>
      </bottom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C9C9C9"/>
      </right>
      <top style="thin">
        <color rgb="FFC9C9C9"/>
      </top>
      <bottom style="thin">
        <color rgb="FFE7E6E6"/>
      </bottom>
    </border>
    <border>
      <left style="thin">
        <color rgb="FFC9C9C9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C9C9C9"/>
      </right>
      <top style="thin">
        <color rgb="FFE7E6E6"/>
      </top>
      <bottom style="thin">
        <color rgb="FFE7E6E6"/>
      </bottom>
    </border>
    <border>
      <left style="thin">
        <color rgb="FFD9D9D9"/>
      </left>
      <right style="thin">
        <color rgb="FFE7E6E6"/>
      </right>
      <top style="thin">
        <color rgb="FFE7E6E6"/>
      </top>
      <bottom style="thin">
        <color rgb="FFD9D9D9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D9D9D9"/>
      </bottom>
    </border>
    <border>
      <left style="thin">
        <color rgb="FFE7E6E6"/>
      </left>
      <right style="thin">
        <color rgb="FFD9D9D9"/>
      </right>
      <top style="thin">
        <color rgb="FFE7E6E6"/>
      </top>
      <bottom style="thin">
        <color rgb="FFD9D9D9"/>
      </bottom>
    </border>
    <border>
      <left style="thin">
        <color rgb="FFC9C9C9"/>
      </left>
      <right style="thin">
        <color rgb="FFE7E6E6"/>
      </right>
      <top style="thin">
        <color rgb="FFE7E6E6"/>
      </top>
      <bottom style="thin">
        <color rgb="FFC9C9C9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C9C9C9"/>
      </bottom>
    </border>
    <border>
      <left style="thin">
        <color rgb="FFE7E6E6"/>
      </left>
      <right style="thin">
        <color rgb="FFC9C9C9"/>
      </right>
      <top style="thin">
        <color rgb="FFE7E6E6"/>
      </top>
      <bottom style="thin">
        <color rgb="FFC9C9C9"/>
      </bottom>
    </border>
  </borders>
  <cellStyleXfs count="1">
    <xf borderId="0" fillId="0" fontId="0" numFmtId="0" applyAlignment="1" applyFont="1"/>
  </cellStyleXfs>
  <cellXfs count="7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readingOrder="0"/>
    </xf>
    <xf borderId="2" fillId="2" fontId="2" numFmtId="0" xfId="0" applyAlignment="1" applyBorder="1" applyFill="1" applyFont="1">
      <alignment horizontal="center" vertical="center"/>
    </xf>
    <xf borderId="1" fillId="0" fontId="1" numFmtId="0" xfId="0" applyAlignment="1" applyBorder="1" applyFont="1">
      <alignment horizontal="center" readingOrder="0"/>
    </xf>
    <xf borderId="3" fillId="0" fontId="3" numFmtId="0" xfId="0" applyBorder="1" applyFont="1"/>
    <xf borderId="4" fillId="0" fontId="3" numFmtId="0" xfId="0" applyBorder="1" applyFont="1"/>
    <xf borderId="2" fillId="3" fontId="4" numFmtId="0" xfId="0" applyAlignment="1" applyBorder="1" applyFill="1" applyFont="1">
      <alignment horizontal="center"/>
    </xf>
    <xf borderId="5" fillId="4" fontId="5" numFmtId="0" xfId="0" applyAlignment="1" applyBorder="1" applyFill="1" applyFont="1">
      <alignment vertical="center"/>
    </xf>
    <xf borderId="0" fillId="0" fontId="6" numFmtId="0" xfId="0" applyFont="1"/>
    <xf borderId="5" fillId="5" fontId="7" numFmtId="0" xfId="0" applyAlignment="1" applyBorder="1" applyFill="1" applyFont="1">
      <alignment horizontal="center" vertical="center"/>
    </xf>
    <xf borderId="0" fillId="0" fontId="8" numFmtId="0" xfId="0" applyFont="1"/>
    <xf borderId="2" fillId="6" fontId="9" numFmtId="0" xfId="0" applyAlignment="1" applyBorder="1" applyFill="1" applyFont="1">
      <alignment shrinkToFit="0" vertical="center" wrapText="1"/>
    </xf>
    <xf borderId="1" fillId="0" fontId="6" numFmtId="0" xfId="0" applyAlignment="1" applyBorder="1" applyFont="1">
      <alignment readingOrder="0"/>
    </xf>
    <xf borderId="1" fillId="0" fontId="6" numFmtId="0" xfId="0" applyAlignment="1" applyBorder="1" applyFont="1">
      <alignment horizontal="center" readingOrder="0"/>
    </xf>
    <xf borderId="5" fillId="7" fontId="10" numFmtId="0" xfId="0" applyAlignment="1" applyBorder="1" applyFill="1" applyFont="1">
      <alignment horizontal="center" vertical="center"/>
    </xf>
    <xf borderId="5" fillId="8" fontId="4" numFmtId="0" xfId="0" applyAlignment="1" applyBorder="1" applyFill="1" applyFont="1">
      <alignment horizontal="center" shrinkToFit="0" vertical="center" wrapText="1"/>
    </xf>
    <xf borderId="6" fillId="8" fontId="4" numFmtId="0" xfId="0" applyAlignment="1" applyBorder="1" applyFill="1" applyFont="1">
      <alignment horizontal="center" vertical="center"/>
    </xf>
    <xf borderId="7" fillId="8" fontId="4" numFmtId="0" xfId="0" applyAlignment="1" applyBorder="1" applyFill="1" applyFont="1">
      <alignment horizontal="center" vertical="center"/>
    </xf>
    <xf borderId="8" fillId="8" fontId="4" numFmtId="0" xfId="0" applyAlignment="1" applyBorder="1" applyFill="1" applyFont="1">
      <alignment horizontal="center" vertical="center"/>
    </xf>
    <xf borderId="6" fillId="9" fontId="4" numFmtId="0" xfId="0" applyAlignment="1" applyBorder="1" applyFill="1" applyFont="1">
      <alignment horizontal="center"/>
    </xf>
    <xf borderId="7" fillId="9" fontId="4" numFmtId="0" xfId="0" applyAlignment="1" applyBorder="1" applyFill="1" applyFont="1">
      <alignment horizontal="center"/>
    </xf>
    <xf borderId="8" fillId="9" fontId="4" numFmtId="0" xfId="0" applyAlignment="1" applyBorder="1" applyFill="1" applyFont="1">
      <alignment horizontal="center"/>
    </xf>
    <xf borderId="9" fillId="5" fontId="11" numFmtId="0" xfId="0" applyAlignment="1" applyBorder="1" applyFill="1" applyFont="1">
      <alignment vertical="top"/>
    </xf>
    <xf borderId="10" fillId="11" fontId="11" numFmtId="0" xfId="0" applyAlignment="1" applyBorder="1" applyFill="1" applyFont="1">
      <alignment horizontal="center"/>
    </xf>
    <xf borderId="11" fillId="5" fontId="11" numFmtId="0" xfId="0" applyAlignment="1" applyBorder="1" applyFill="1" applyFont="1">
      <alignment vertical="top"/>
    </xf>
    <xf borderId="11" fillId="7" fontId="11" numFmtId="0" xfId="0" applyAlignment="1" applyBorder="1" applyFill="1" applyFont="1">
      <alignment horizontal="center" vertical="top"/>
    </xf>
    <xf borderId="2" fillId="10" fontId="2" numFmtId="0" xfId="0" applyAlignment="1" applyBorder="1" applyFill="1" applyFont="1">
      <alignment horizontal="center" vertical="center"/>
    </xf>
    <xf borderId="12" fillId="5" fontId="11" numFmtId="0" xfId="0" applyAlignment="1" applyBorder="1" applyFill="1" applyFont="1">
      <alignment shrinkToFit="0" wrapText="1"/>
    </xf>
    <xf borderId="13" fillId="7" fontId="12" numFmtId="0" xfId="0" applyAlignment="1" applyBorder="1" applyFill="1" applyFont="1">
      <alignment shrinkToFit="0" wrapText="1"/>
    </xf>
    <xf borderId="10" fillId="11" fontId="13" numFmtId="0" xfId="0" applyBorder="1" applyFill="1" applyFont="1"/>
    <xf borderId="1" fillId="12" fontId="1" numFmtId="0" xfId="0" applyAlignment="1" applyBorder="1" applyFill="1" applyFont="1">
      <alignment horizontal="left" readingOrder="0"/>
    </xf>
    <xf borderId="1" fillId="12" fontId="1" numFmtId="0" xfId="0" applyAlignment="1" applyBorder="1" applyFill="1" applyFont="1">
      <alignment horizontal="center" readingOrder="0"/>
    </xf>
    <xf borderId="11" fillId="13" fontId="11" numFmtId="0" xfId="0" applyAlignment="1" applyBorder="1" applyFill="1" applyFont="1">
      <alignment shrinkToFit="0" vertical="top" wrapText="1"/>
    </xf>
    <xf borderId="12" fillId="11" fontId="13" numFmtId="0" xfId="0" applyBorder="1" applyFill="1" applyFont="1"/>
    <xf borderId="13" fillId="11" fontId="13" numFmtId="0" xfId="0" applyBorder="1" applyFill="1" applyFont="1"/>
    <xf borderId="2" fillId="2" fontId="4" numFmtId="0" xfId="0" applyAlignment="1" applyBorder="1" applyFill="1" applyFont="1">
      <alignment horizontal="center" vertical="center"/>
    </xf>
    <xf borderId="2" fillId="14" fontId="4" numFmtId="0" xfId="0" applyAlignment="1" applyBorder="1" applyFill="1" applyFont="1">
      <alignment horizontal="center" vertical="center"/>
    </xf>
    <xf borderId="1" fillId="12" fontId="1" numFmtId="0" xfId="0" applyAlignment="1" applyBorder="1" applyFill="1" applyFont="1">
      <alignment readingOrder="0"/>
    </xf>
    <xf borderId="14" fillId="13" fontId="11" numFmtId="0" xfId="0" applyAlignment="1" applyBorder="1" applyFill="1" applyFont="1">
      <alignment shrinkToFit="0" vertical="top" wrapText="1"/>
    </xf>
    <xf borderId="2" fillId="15" fontId="4" numFmtId="0" xfId="0" applyAlignment="1" applyBorder="1" applyFill="1" applyFont="1">
      <alignment horizontal="center" vertical="center"/>
    </xf>
    <xf borderId="15" fillId="5" fontId="11" numFmtId="0" xfId="0" applyAlignment="1" applyBorder="1" applyFill="1" applyFont="1">
      <alignment vertical="top"/>
    </xf>
    <xf borderId="16" fillId="5" fontId="11" numFmtId="0" xfId="0" applyAlignment="1" applyBorder="1" applyFill="1" applyFont="1">
      <alignment vertical="top"/>
    </xf>
    <xf borderId="17" fillId="8" fontId="4" numFmtId="0" xfId="0" applyAlignment="1" applyBorder="1" applyFill="1" applyFont="1">
      <alignment horizontal="center" shrinkToFit="0" vertical="center" wrapText="1"/>
    </xf>
    <xf borderId="18" fillId="8" fontId="4" numFmtId="0" xfId="0" applyAlignment="1" applyBorder="1" applyFill="1" applyFont="1">
      <alignment horizontal="center" shrinkToFit="0" vertical="center" wrapText="1"/>
    </xf>
    <xf borderId="16" fillId="7" fontId="11" numFmtId="0" xfId="0" applyAlignment="1" applyBorder="1" applyFill="1" applyFont="1">
      <alignment horizontal="center" vertical="top"/>
    </xf>
    <xf borderId="19" fillId="11" fontId="11" numFmtId="0" xfId="0" applyAlignment="1" applyBorder="1" applyFill="1" applyFont="1">
      <alignment horizontal="center"/>
    </xf>
    <xf borderId="20" fillId="5" fontId="11" numFmtId="0" xfId="0" applyAlignment="1" applyBorder="1" applyFill="1" applyFont="1">
      <alignment shrinkToFit="0" wrapText="1"/>
    </xf>
    <xf borderId="16" fillId="13" fontId="11" numFmtId="0" xfId="0" applyAlignment="1" applyBorder="1" applyFill="1" applyFont="1">
      <alignment shrinkToFit="0" vertical="top" wrapText="1"/>
    </xf>
    <xf borderId="21" fillId="7" fontId="12" numFmtId="0" xfId="0" applyAlignment="1" applyBorder="1" applyFill="1" applyFont="1">
      <alignment shrinkToFit="0" wrapText="1"/>
    </xf>
    <xf borderId="19" fillId="11" fontId="13" numFmtId="0" xfId="0" applyBorder="1" applyFill="1" applyFont="1"/>
    <xf borderId="22" fillId="13" fontId="11" numFmtId="0" xfId="0" applyAlignment="1" applyBorder="1" applyFill="1" applyFont="1">
      <alignment shrinkToFit="0" vertical="top" wrapText="1"/>
    </xf>
    <xf borderId="20" fillId="11" fontId="13" numFmtId="0" xfId="0" applyBorder="1" applyFill="1" applyFont="1"/>
    <xf borderId="0" fillId="0" fontId="8" numFmtId="0" xfId="0" applyAlignment="1" applyFont="1">
      <alignment horizontal="center"/>
    </xf>
    <xf borderId="23" fillId="8" fontId="4" numFmtId="0" xfId="0" applyAlignment="1" applyBorder="1" applyFill="1" applyFont="1">
      <alignment horizontal="center" shrinkToFit="0" vertical="center" wrapText="1"/>
    </xf>
    <xf borderId="24" fillId="5" fontId="11" numFmtId="0" xfId="0" applyAlignment="1" applyBorder="1" applyFill="1" applyFont="1">
      <alignment vertical="top"/>
    </xf>
    <xf borderId="16" fillId="5" fontId="11" numFmtId="9" xfId="0" applyAlignment="1" applyBorder="1" applyFill="1" applyFont="1" applyNumberFormat="1">
      <alignment vertical="top"/>
    </xf>
    <xf borderId="16" fillId="16" fontId="11" numFmtId="2" xfId="0" applyAlignment="1" applyBorder="1" applyFill="1" applyFont="1" applyNumberFormat="1">
      <alignment vertical="top"/>
    </xf>
    <xf borderId="16" fillId="16" fontId="11" numFmtId="164" xfId="0" applyAlignment="1" applyBorder="1" applyFill="1" applyFont="1" applyNumberFormat="1">
      <alignment vertical="top"/>
    </xf>
    <xf borderId="16" fillId="16" fontId="11" numFmtId="0" xfId="0" applyAlignment="1" applyBorder="1" applyFill="1" applyFont="1">
      <alignment vertical="top"/>
    </xf>
    <xf borderId="16" fillId="17" fontId="12" numFmtId="0" xfId="0" applyAlignment="1" applyBorder="1" applyFill="1" applyFont="1">
      <alignment horizontal="center"/>
    </xf>
    <xf borderId="16" fillId="7" fontId="11" numFmtId="0" xfId="0" applyAlignment="1" applyBorder="1" applyFill="1" applyFont="1">
      <alignment shrinkToFit="0" vertical="top" wrapText="1"/>
    </xf>
    <xf borderId="25" fillId="7" fontId="11" numFmtId="0" xfId="0" applyAlignment="1" applyBorder="1" applyFill="1" applyFont="1">
      <alignment shrinkToFit="0" vertical="top" wrapText="1"/>
    </xf>
    <xf borderId="26" fillId="5" fontId="11" numFmtId="0" xfId="0" applyAlignment="1" applyBorder="1" applyFill="1" applyFont="1">
      <alignment vertical="top"/>
    </xf>
    <xf borderId="27" fillId="5" fontId="11" numFmtId="0" xfId="0" applyAlignment="1" applyBorder="1" applyFill="1" applyFont="1">
      <alignment vertical="top"/>
    </xf>
    <xf borderId="27" fillId="7" fontId="11" numFmtId="0" xfId="0" applyAlignment="1" applyBorder="1" applyFill="1" applyFont="1">
      <alignment horizontal="center" vertical="top"/>
    </xf>
    <xf borderId="27" fillId="13" fontId="11" numFmtId="0" xfId="0" applyAlignment="1" applyBorder="1" applyFill="1" applyFont="1">
      <alignment shrinkToFit="0" vertical="top" wrapText="1"/>
    </xf>
    <xf borderId="28" fillId="13" fontId="11" numFmtId="0" xfId="0" applyAlignment="1" applyBorder="1" applyFill="1" applyFont="1">
      <alignment shrinkToFit="0" vertical="top" wrapText="1"/>
    </xf>
    <xf borderId="29" fillId="5" fontId="11" numFmtId="0" xfId="0" applyAlignment="1" applyBorder="1" applyFill="1" applyFont="1">
      <alignment vertical="top"/>
    </xf>
    <xf borderId="30" fillId="5" fontId="11" numFmtId="0" xfId="0" applyAlignment="1" applyBorder="1" applyFill="1" applyFont="1">
      <alignment vertical="top"/>
    </xf>
    <xf borderId="30" fillId="5" fontId="11" numFmtId="9" xfId="0" applyAlignment="1" applyBorder="1" applyFill="1" applyFont="1" applyNumberFormat="1">
      <alignment vertical="top"/>
    </xf>
    <xf borderId="30" fillId="16" fontId="11" numFmtId="2" xfId="0" applyAlignment="1" applyBorder="1" applyFill="1" applyFont="1" applyNumberFormat="1">
      <alignment vertical="top"/>
    </xf>
    <xf borderId="30" fillId="16" fontId="11" numFmtId="164" xfId="0" applyAlignment="1" applyBorder="1" applyFill="1" applyFont="1" applyNumberFormat="1">
      <alignment vertical="top"/>
    </xf>
    <xf borderId="30" fillId="16" fontId="11" numFmtId="0" xfId="0" applyAlignment="1" applyBorder="1" applyFill="1" applyFont="1">
      <alignment vertical="top"/>
    </xf>
    <xf borderId="30" fillId="17" fontId="12" numFmtId="0" xfId="0" applyAlignment="1" applyBorder="1" applyFill="1" applyFont="1">
      <alignment horizontal="center"/>
    </xf>
    <xf borderId="30" fillId="7" fontId="11" numFmtId="0" xfId="0" applyAlignment="1" applyBorder="1" applyFill="1" applyFont="1">
      <alignment shrinkToFit="0" vertical="top" wrapText="1"/>
    </xf>
    <xf borderId="31" fillId="7" fontId="11" numFmtId="0" xfId="0" applyAlignment="1" applyBorder="1" applyFill="1" applyFont="1">
      <alignment shrinkToFit="0" vertical="top" wrapText="1"/>
    </xf>
  </cellXfs>
  <cellStyles count="1">
    <cellStyle xfId="0" name="Normal" builtinId="0"/>
  </cellStyles>
  <dxfs count="5">
    <dxf>
      <font/>
      <fill>
        <patternFill patternType="solid">
          <fgColor rgb="FFEAF4E2"/>
          <bgColor rgb="FFEAF4E2"/>
        </patternFill>
      </fill>
      <border/>
    </dxf>
    <dxf>
      <font>
        <b/>
        <color rgb="FF375623"/>
      </font>
      <fill>
        <patternFill patternType="solid">
          <fgColor rgb="FFC6E0B4"/>
          <bgColor rgb="FFC6E0B4"/>
        </patternFill>
      </fill>
      <border/>
    </dxf>
    <dxf>
      <font>
        <b/>
        <color rgb="FF9C0006"/>
      </font>
      <fill>
        <patternFill patternType="solid">
          <fgColor rgb="FFF4CCCC"/>
          <bgColor rgb="FFF4CCCC"/>
        </patternFill>
      </fill>
      <border/>
    </dxf>
    <dxf>
      <font>
        <b/>
        <color rgb="FF9C6500"/>
      </font>
      <fill>
        <patternFill patternType="solid">
          <fgColor rgb="FFFFF2CC"/>
          <bgColor rgb="FFFFF2CC"/>
        </patternFill>
      </fill>
      <border/>
    </dxf>
    <dxf>
      <font>
        <b/>
      </font>
      <fill>
        <patternFill patternType="solid">
          <fgColor rgb="FFC6E0B4"/>
          <bgColor rgb="FFC6E0B4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45.63"/>
    <col customWidth="1" min="2" max="2" width="40.0"/>
    <col customWidth="1" min="3" max="3" width="12.63"/>
  </cols>
  <sheetData>
    <row r="1">
      <c r="A1" s="1">
        <f>SUM(C2:C64)</f>
        <v>38</v>
      </c>
      <c r="B1" s="2" t="s">
        <v>1</v>
      </c>
      <c r="C1" s="4" t="s">
        <v>3</v>
      </c>
      <c r="D1" s="9">
        <f>ROUNDUP(A1/E1,0)</f>
        <v>13</v>
      </c>
      <c r="E1" s="9">
        <f>ROUNDUP(38/16,0)</f>
        <v>3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</row>
    <row r="2">
      <c r="A2" s="13" t="s">
        <v>16</v>
      </c>
      <c r="B2" s="13" t="s">
        <v>17</v>
      </c>
      <c r="C2" s="14">
        <v>1.0</v>
      </c>
      <c r="E2" s="11">
        <f t="shared" ref="E2:E64" si="1">IF(C2=1,RANDBETWEEN(1,100000),0)</f>
        <v>43088</v>
      </c>
    </row>
    <row r="3">
      <c r="A3" s="13" t="s">
        <v>16</v>
      </c>
      <c r="B3" s="13" t="s">
        <v>33</v>
      </c>
      <c r="C3" s="14">
        <v>0.0</v>
      </c>
      <c r="E3" s="11">
        <f t="shared" si="1"/>
        <v>0</v>
      </c>
    </row>
    <row r="4">
      <c r="A4" s="13" t="s">
        <v>16</v>
      </c>
      <c r="B4" s="13" t="s">
        <v>35</v>
      </c>
      <c r="C4" s="14">
        <v>1.0</v>
      </c>
      <c r="E4" s="11">
        <f t="shared" si="1"/>
        <v>2325</v>
      </c>
    </row>
    <row r="5">
      <c r="A5" s="13" t="s">
        <v>38</v>
      </c>
      <c r="B5" s="13" t="s">
        <v>39</v>
      </c>
      <c r="C5" s="14">
        <v>0.0</v>
      </c>
      <c r="E5" s="11">
        <f t="shared" si="1"/>
        <v>0</v>
      </c>
    </row>
    <row r="6">
      <c r="A6" s="13" t="s">
        <v>38</v>
      </c>
      <c r="B6" s="13" t="s">
        <v>41</v>
      </c>
      <c r="C6" s="14">
        <v>1.0</v>
      </c>
      <c r="E6" s="11">
        <f t="shared" si="1"/>
        <v>93596</v>
      </c>
    </row>
    <row r="7">
      <c r="A7" s="13" t="s">
        <v>38</v>
      </c>
      <c r="B7" s="13" t="s">
        <v>43</v>
      </c>
      <c r="C7" s="14">
        <v>1.0</v>
      </c>
      <c r="E7" s="11">
        <f t="shared" si="1"/>
        <v>17771</v>
      </c>
    </row>
    <row r="8">
      <c r="A8" s="2" t="s">
        <v>49</v>
      </c>
      <c r="B8" s="2" t="s">
        <v>50</v>
      </c>
      <c r="C8" s="4">
        <v>1.0</v>
      </c>
      <c r="E8" s="11">
        <f t="shared" si="1"/>
        <v>78094</v>
      </c>
    </row>
    <row r="9">
      <c r="A9" s="2" t="s">
        <v>49</v>
      </c>
      <c r="B9" s="2" t="s">
        <v>52</v>
      </c>
      <c r="C9" s="4">
        <v>1.0</v>
      </c>
      <c r="E9" s="11">
        <f t="shared" si="1"/>
        <v>39243</v>
      </c>
    </row>
    <row r="10">
      <c r="A10" s="2" t="s">
        <v>49</v>
      </c>
      <c r="B10" s="2" t="s">
        <v>53</v>
      </c>
      <c r="C10" s="4">
        <v>1.0</v>
      </c>
      <c r="E10" s="11">
        <f t="shared" si="1"/>
        <v>84003</v>
      </c>
    </row>
    <row r="11">
      <c r="A11" s="2" t="s">
        <v>54</v>
      </c>
      <c r="B11" s="2" t="s">
        <v>55</v>
      </c>
      <c r="C11" s="4">
        <v>0.0</v>
      </c>
      <c r="E11" s="11">
        <f t="shared" si="1"/>
        <v>0</v>
      </c>
    </row>
    <row r="12">
      <c r="A12" s="2" t="s">
        <v>54</v>
      </c>
      <c r="B12" s="2" t="s">
        <v>56</v>
      </c>
      <c r="C12" s="4">
        <v>1.0</v>
      </c>
      <c r="E12" s="11">
        <f t="shared" si="1"/>
        <v>52054</v>
      </c>
    </row>
    <row r="13">
      <c r="A13" s="2" t="s">
        <v>54</v>
      </c>
      <c r="B13" s="2" t="s">
        <v>57</v>
      </c>
      <c r="C13" s="4">
        <v>0.0</v>
      </c>
      <c r="E13" s="11">
        <f t="shared" si="1"/>
        <v>0</v>
      </c>
    </row>
    <row r="14">
      <c r="A14" s="2" t="s">
        <v>54</v>
      </c>
      <c r="B14" s="2" t="s">
        <v>58</v>
      </c>
      <c r="C14" s="4">
        <v>0.0</v>
      </c>
      <c r="E14" s="11">
        <f t="shared" si="1"/>
        <v>0</v>
      </c>
    </row>
    <row r="15">
      <c r="A15" s="2" t="s">
        <v>59</v>
      </c>
      <c r="B15" s="2" t="s">
        <v>60</v>
      </c>
      <c r="C15" s="4">
        <v>0.0</v>
      </c>
      <c r="E15" s="11">
        <f t="shared" si="1"/>
        <v>0</v>
      </c>
    </row>
    <row r="16">
      <c r="A16" s="2" t="s">
        <v>59</v>
      </c>
      <c r="B16" s="2" t="s">
        <v>61</v>
      </c>
      <c r="C16" s="4">
        <v>0.0</v>
      </c>
      <c r="E16" s="11">
        <f t="shared" si="1"/>
        <v>0</v>
      </c>
    </row>
    <row r="17">
      <c r="A17" s="2" t="s">
        <v>62</v>
      </c>
      <c r="B17" s="2" t="s">
        <v>63</v>
      </c>
      <c r="C17" s="4">
        <v>1.0</v>
      </c>
      <c r="E17" s="11">
        <f t="shared" si="1"/>
        <v>44074</v>
      </c>
    </row>
    <row r="18">
      <c r="A18" s="2" t="s">
        <v>62</v>
      </c>
      <c r="B18" s="2" t="s">
        <v>64</v>
      </c>
      <c r="C18" s="4">
        <v>0.0</v>
      </c>
      <c r="E18" s="11">
        <f t="shared" si="1"/>
        <v>0</v>
      </c>
    </row>
    <row r="19">
      <c r="A19" s="2" t="s">
        <v>62</v>
      </c>
      <c r="B19" s="2" t="s">
        <v>65</v>
      </c>
      <c r="C19" s="4">
        <v>1.0</v>
      </c>
      <c r="E19" s="11">
        <f t="shared" si="1"/>
        <v>80385</v>
      </c>
    </row>
    <row r="20">
      <c r="A20" s="2" t="s">
        <v>66</v>
      </c>
      <c r="B20" s="2" t="s">
        <v>67</v>
      </c>
      <c r="C20" s="4">
        <v>1.0</v>
      </c>
      <c r="E20" s="11">
        <f t="shared" si="1"/>
        <v>90271</v>
      </c>
    </row>
    <row r="21">
      <c r="A21" s="2" t="s">
        <v>66</v>
      </c>
      <c r="B21" s="13" t="s">
        <v>68</v>
      </c>
      <c r="C21" s="14">
        <v>0.0</v>
      </c>
      <c r="E21" s="11">
        <f t="shared" si="1"/>
        <v>0</v>
      </c>
    </row>
    <row r="22">
      <c r="A22" s="2" t="s">
        <v>69</v>
      </c>
      <c r="B22" s="2" t="s">
        <v>70</v>
      </c>
      <c r="C22" s="4">
        <v>0.0</v>
      </c>
      <c r="E22" s="11">
        <f t="shared" si="1"/>
        <v>0</v>
      </c>
    </row>
    <row r="23">
      <c r="A23" s="2" t="s">
        <v>69</v>
      </c>
      <c r="B23" s="2" t="s">
        <v>71</v>
      </c>
      <c r="C23" s="4">
        <v>1.0</v>
      </c>
      <c r="E23" s="11">
        <f t="shared" si="1"/>
        <v>58449</v>
      </c>
    </row>
    <row r="24">
      <c r="A24" s="2" t="s">
        <v>69</v>
      </c>
      <c r="B24" s="2" t="s">
        <v>72</v>
      </c>
      <c r="C24" s="4">
        <v>1.0</v>
      </c>
      <c r="E24" s="11">
        <f t="shared" si="1"/>
        <v>73598</v>
      </c>
    </row>
    <row r="25">
      <c r="A25" s="2" t="s">
        <v>74</v>
      </c>
      <c r="B25" s="2" t="s">
        <v>75</v>
      </c>
      <c r="C25" s="4">
        <v>1.0</v>
      </c>
      <c r="E25" s="11">
        <f t="shared" si="1"/>
        <v>11304</v>
      </c>
    </row>
    <row r="26">
      <c r="A26" s="2" t="s">
        <v>78</v>
      </c>
      <c r="B26" s="2" t="s">
        <v>80</v>
      </c>
      <c r="C26" s="4">
        <v>0.0</v>
      </c>
      <c r="E26" s="11">
        <f t="shared" si="1"/>
        <v>0</v>
      </c>
    </row>
    <row r="27">
      <c r="A27" s="2" t="s">
        <v>81</v>
      </c>
      <c r="B27" s="31" t="s">
        <v>82</v>
      </c>
      <c r="C27" s="32">
        <v>1.0</v>
      </c>
      <c r="E27" s="11">
        <f t="shared" si="1"/>
        <v>23082</v>
      </c>
    </row>
    <row r="28">
      <c r="A28" s="2" t="s">
        <v>81</v>
      </c>
      <c r="B28" s="2" t="s">
        <v>84</v>
      </c>
      <c r="C28" s="4">
        <v>1.0</v>
      </c>
      <c r="E28" s="11">
        <f t="shared" si="1"/>
        <v>81354</v>
      </c>
    </row>
    <row r="29">
      <c r="A29" s="2" t="s">
        <v>81</v>
      </c>
      <c r="B29" s="2" t="s">
        <v>85</v>
      </c>
      <c r="C29" s="4">
        <v>1.0</v>
      </c>
      <c r="E29" s="11">
        <f t="shared" si="1"/>
        <v>29453</v>
      </c>
    </row>
    <row r="30">
      <c r="A30" s="2" t="s">
        <v>86</v>
      </c>
      <c r="B30" s="2" t="s">
        <v>87</v>
      </c>
      <c r="C30" s="4">
        <v>1.0</v>
      </c>
      <c r="E30" s="11">
        <f t="shared" si="1"/>
        <v>98710</v>
      </c>
    </row>
    <row r="31">
      <c r="A31" s="13" t="s">
        <v>88</v>
      </c>
      <c r="B31" s="31" t="s">
        <v>89</v>
      </c>
      <c r="C31" s="32">
        <v>1.0</v>
      </c>
      <c r="E31" s="11">
        <f t="shared" si="1"/>
        <v>38800</v>
      </c>
    </row>
    <row r="32">
      <c r="A32" s="13" t="s">
        <v>88</v>
      </c>
      <c r="B32" s="31" t="s">
        <v>90</v>
      </c>
      <c r="C32" s="32">
        <v>1.0</v>
      </c>
      <c r="E32" s="11">
        <f t="shared" si="1"/>
        <v>64299</v>
      </c>
    </row>
    <row r="33">
      <c r="A33" s="13" t="s">
        <v>88</v>
      </c>
      <c r="B33" s="31" t="s">
        <v>93</v>
      </c>
      <c r="C33" s="32">
        <v>1.0</v>
      </c>
      <c r="E33" s="11">
        <f t="shared" si="1"/>
        <v>94833</v>
      </c>
    </row>
    <row r="34">
      <c r="A34" s="13" t="s">
        <v>88</v>
      </c>
      <c r="B34" s="31" t="s">
        <v>95</v>
      </c>
      <c r="C34" s="32">
        <v>1.0</v>
      </c>
      <c r="E34" s="11">
        <f t="shared" si="1"/>
        <v>85798</v>
      </c>
    </row>
    <row r="35">
      <c r="A35" s="2" t="s">
        <v>96</v>
      </c>
      <c r="B35" s="2" t="s">
        <v>98</v>
      </c>
      <c r="C35" s="4">
        <v>0.0</v>
      </c>
      <c r="E35" s="11">
        <f t="shared" si="1"/>
        <v>0</v>
      </c>
    </row>
    <row r="36">
      <c r="A36" s="2" t="s">
        <v>96</v>
      </c>
      <c r="B36" s="2" t="s">
        <v>99</v>
      </c>
      <c r="C36" s="4">
        <v>0.0</v>
      </c>
      <c r="E36" s="11">
        <f t="shared" si="1"/>
        <v>0</v>
      </c>
    </row>
    <row r="37">
      <c r="A37" s="2" t="s">
        <v>96</v>
      </c>
      <c r="B37" s="2" t="s">
        <v>100</v>
      </c>
      <c r="C37" s="4">
        <v>0.0</v>
      </c>
      <c r="E37" s="11">
        <f t="shared" si="1"/>
        <v>0</v>
      </c>
    </row>
    <row r="38">
      <c r="A38" s="2" t="s">
        <v>101</v>
      </c>
      <c r="B38" s="2" t="s">
        <v>102</v>
      </c>
      <c r="C38" s="4">
        <v>0.0</v>
      </c>
      <c r="E38" s="11">
        <f t="shared" si="1"/>
        <v>0</v>
      </c>
    </row>
    <row r="39">
      <c r="A39" s="2" t="s">
        <v>101</v>
      </c>
      <c r="B39" s="2" t="s">
        <v>103</v>
      </c>
      <c r="C39" s="4">
        <v>1.0</v>
      </c>
      <c r="E39" s="11">
        <f t="shared" si="1"/>
        <v>74118</v>
      </c>
    </row>
    <row r="40">
      <c r="A40" s="2" t="s">
        <v>104</v>
      </c>
      <c r="B40" s="2" t="s">
        <v>105</v>
      </c>
      <c r="C40" s="4">
        <v>1.0</v>
      </c>
      <c r="E40" s="11">
        <f t="shared" si="1"/>
        <v>15318</v>
      </c>
    </row>
    <row r="41">
      <c r="A41" s="2" t="s">
        <v>104</v>
      </c>
      <c r="B41" s="2" t="s">
        <v>106</v>
      </c>
      <c r="C41" s="4">
        <v>1.0</v>
      </c>
      <c r="E41" s="11">
        <f t="shared" si="1"/>
        <v>73693</v>
      </c>
    </row>
    <row r="42">
      <c r="A42" s="13" t="s">
        <v>108</v>
      </c>
      <c r="B42" s="13" t="s">
        <v>110</v>
      </c>
      <c r="C42" s="14">
        <v>1.0</v>
      </c>
      <c r="E42" s="11">
        <f t="shared" si="1"/>
        <v>91846</v>
      </c>
    </row>
    <row r="43">
      <c r="A43" s="2" t="s">
        <v>111</v>
      </c>
      <c r="B43" s="38" t="s">
        <v>112</v>
      </c>
      <c r="C43" s="32">
        <v>1.0</v>
      </c>
      <c r="E43" s="11">
        <f t="shared" si="1"/>
        <v>74175</v>
      </c>
    </row>
    <row r="44">
      <c r="A44" s="2" t="s">
        <v>111</v>
      </c>
      <c r="B44" s="2" t="s">
        <v>114</v>
      </c>
      <c r="C44" s="4">
        <v>0.0</v>
      </c>
      <c r="E44" s="11">
        <f t="shared" si="1"/>
        <v>0</v>
      </c>
    </row>
    <row r="45">
      <c r="A45" s="2" t="s">
        <v>111</v>
      </c>
      <c r="B45" s="2" t="s">
        <v>117</v>
      </c>
      <c r="C45" s="4">
        <v>1.0</v>
      </c>
      <c r="E45" s="11">
        <f t="shared" si="1"/>
        <v>93503</v>
      </c>
    </row>
    <row r="46">
      <c r="A46" s="2" t="s">
        <v>111</v>
      </c>
      <c r="B46" s="2" t="s">
        <v>123</v>
      </c>
      <c r="C46" s="4">
        <v>0.0</v>
      </c>
      <c r="E46" s="11">
        <f t="shared" si="1"/>
        <v>0</v>
      </c>
    </row>
    <row r="47">
      <c r="A47" s="2" t="s">
        <v>111</v>
      </c>
      <c r="B47" s="2" t="s">
        <v>126</v>
      </c>
      <c r="C47" s="4">
        <v>1.0</v>
      </c>
      <c r="E47" s="11">
        <f t="shared" si="1"/>
        <v>61383</v>
      </c>
    </row>
    <row r="48">
      <c r="A48" s="2" t="s">
        <v>111</v>
      </c>
      <c r="B48" s="2" t="s">
        <v>130</v>
      </c>
      <c r="C48" s="4">
        <v>0.0</v>
      </c>
      <c r="E48" s="11">
        <f t="shared" si="1"/>
        <v>0</v>
      </c>
    </row>
    <row r="49">
      <c r="A49" s="13" t="s">
        <v>131</v>
      </c>
      <c r="B49" s="13" t="s">
        <v>132</v>
      </c>
      <c r="C49" s="14">
        <v>1.0</v>
      </c>
      <c r="E49" s="11">
        <f t="shared" si="1"/>
        <v>77972</v>
      </c>
    </row>
    <row r="50">
      <c r="A50" s="13" t="s">
        <v>131</v>
      </c>
      <c r="B50" s="13" t="s">
        <v>134</v>
      </c>
      <c r="C50" s="14">
        <v>1.0</v>
      </c>
      <c r="E50" s="11">
        <f t="shared" si="1"/>
        <v>25673</v>
      </c>
    </row>
    <row r="51">
      <c r="A51" s="13" t="s">
        <v>131</v>
      </c>
      <c r="B51" s="13" t="s">
        <v>136</v>
      </c>
      <c r="C51" s="14">
        <v>1.0</v>
      </c>
      <c r="E51" s="11">
        <f t="shared" si="1"/>
        <v>2315</v>
      </c>
    </row>
    <row r="52">
      <c r="A52" s="13" t="s">
        <v>131</v>
      </c>
      <c r="B52" s="2" t="s">
        <v>138</v>
      </c>
      <c r="C52" s="4">
        <v>1.0</v>
      </c>
      <c r="E52" s="11">
        <f t="shared" si="1"/>
        <v>8624</v>
      </c>
    </row>
    <row r="53">
      <c r="A53" s="13" t="s">
        <v>131</v>
      </c>
      <c r="B53" s="38" t="s">
        <v>141</v>
      </c>
      <c r="C53" s="32">
        <v>1.0</v>
      </c>
      <c r="E53" s="11">
        <f t="shared" si="1"/>
        <v>4696</v>
      </c>
    </row>
    <row r="54">
      <c r="A54" s="2" t="s">
        <v>145</v>
      </c>
      <c r="B54" s="2" t="s">
        <v>146</v>
      </c>
      <c r="C54" s="4">
        <v>1.0</v>
      </c>
      <c r="E54" s="11">
        <f t="shared" si="1"/>
        <v>52299</v>
      </c>
    </row>
    <row r="55">
      <c r="A55" s="2" t="s">
        <v>145</v>
      </c>
      <c r="B55" s="2" t="s">
        <v>149</v>
      </c>
      <c r="C55" s="4">
        <v>0.0</v>
      </c>
      <c r="E55" s="11">
        <f t="shared" si="1"/>
        <v>0</v>
      </c>
    </row>
    <row r="56">
      <c r="A56" s="2" t="s">
        <v>145</v>
      </c>
      <c r="B56" s="2" t="s">
        <v>153</v>
      </c>
      <c r="C56" s="4">
        <v>0.0</v>
      </c>
      <c r="E56" s="11">
        <f t="shared" si="1"/>
        <v>0</v>
      </c>
    </row>
    <row r="57">
      <c r="A57" s="13" t="s">
        <v>155</v>
      </c>
      <c r="B57" s="13" t="s">
        <v>156</v>
      </c>
      <c r="C57" s="14">
        <v>0.0</v>
      </c>
      <c r="E57" s="11">
        <f t="shared" si="1"/>
        <v>0</v>
      </c>
    </row>
    <row r="58">
      <c r="A58" s="13" t="s">
        <v>155</v>
      </c>
      <c r="B58" s="13" t="s">
        <v>159</v>
      </c>
      <c r="C58" s="14">
        <v>0.0</v>
      </c>
      <c r="E58" s="11">
        <f t="shared" si="1"/>
        <v>0</v>
      </c>
    </row>
    <row r="59">
      <c r="A59" s="13" t="s">
        <v>161</v>
      </c>
      <c r="B59" s="13" t="s">
        <v>163</v>
      </c>
      <c r="C59" s="14">
        <v>1.0</v>
      </c>
      <c r="E59" s="11">
        <f t="shared" si="1"/>
        <v>34293</v>
      </c>
    </row>
    <row r="60">
      <c r="A60" s="13" t="s">
        <v>161</v>
      </c>
      <c r="B60" s="13" t="s">
        <v>166</v>
      </c>
      <c r="C60" s="14">
        <v>0.0</v>
      </c>
      <c r="E60" s="11">
        <f t="shared" si="1"/>
        <v>0</v>
      </c>
    </row>
    <row r="61">
      <c r="A61" s="13" t="s">
        <v>161</v>
      </c>
      <c r="B61" s="13" t="s">
        <v>168</v>
      </c>
      <c r="C61" s="14">
        <v>1.0</v>
      </c>
      <c r="E61" s="11">
        <f t="shared" si="1"/>
        <v>55549</v>
      </c>
    </row>
    <row r="62">
      <c r="A62" s="2" t="s">
        <v>170</v>
      </c>
      <c r="B62" s="2" t="s">
        <v>172</v>
      </c>
      <c r="C62" s="4">
        <v>0.0</v>
      </c>
      <c r="E62" s="11">
        <f t="shared" si="1"/>
        <v>0</v>
      </c>
    </row>
    <row r="63">
      <c r="A63" s="2" t="s">
        <v>170</v>
      </c>
      <c r="B63" s="2" t="s">
        <v>176</v>
      </c>
      <c r="C63" s="4">
        <v>1.0</v>
      </c>
      <c r="E63" s="11">
        <f t="shared" si="1"/>
        <v>86350</v>
      </c>
    </row>
    <row r="64">
      <c r="A64" s="2" t="s">
        <v>170</v>
      </c>
      <c r="B64" s="2" t="s">
        <v>179</v>
      </c>
      <c r="C64" s="4">
        <v>0.0</v>
      </c>
      <c r="E64" s="11">
        <f t="shared" si="1"/>
        <v>0</v>
      </c>
    </row>
    <row r="65">
      <c r="C65" s="53"/>
    </row>
    <row r="66">
      <c r="C66" s="53"/>
    </row>
    <row r="67">
      <c r="C67" s="53"/>
    </row>
    <row r="68">
      <c r="C68" s="53"/>
    </row>
    <row r="69">
      <c r="C69" s="53"/>
    </row>
    <row r="70">
      <c r="C70" s="53"/>
    </row>
    <row r="71">
      <c r="C71" s="53"/>
    </row>
    <row r="72">
      <c r="C72" s="53"/>
    </row>
    <row r="73">
      <c r="C73" s="53"/>
    </row>
    <row r="74">
      <c r="C74" s="53"/>
    </row>
    <row r="75">
      <c r="C75" s="53"/>
    </row>
    <row r="76">
      <c r="C76" s="53"/>
    </row>
    <row r="77">
      <c r="C77" s="53"/>
    </row>
    <row r="78">
      <c r="C78" s="53"/>
    </row>
    <row r="79">
      <c r="C79" s="53"/>
    </row>
    <row r="80">
      <c r="C80" s="53"/>
    </row>
    <row r="81">
      <c r="C81" s="53"/>
    </row>
    <row r="82">
      <c r="C82" s="53"/>
    </row>
    <row r="83">
      <c r="C83" s="53"/>
    </row>
    <row r="84">
      <c r="C84" s="53"/>
    </row>
    <row r="85">
      <c r="C85" s="53"/>
    </row>
    <row r="86">
      <c r="C86" s="53"/>
    </row>
    <row r="87">
      <c r="C87" s="53"/>
    </row>
    <row r="88">
      <c r="C88" s="53"/>
    </row>
    <row r="89">
      <c r="C89" s="53"/>
    </row>
    <row r="90">
      <c r="C90" s="53"/>
    </row>
    <row r="91">
      <c r="C91" s="53"/>
    </row>
    <row r="92">
      <c r="C92" s="53"/>
    </row>
    <row r="93">
      <c r="C93" s="53"/>
    </row>
    <row r="94">
      <c r="C94" s="53"/>
    </row>
    <row r="95">
      <c r="C95" s="53"/>
    </row>
    <row r="96">
      <c r="C96" s="53"/>
    </row>
    <row r="97">
      <c r="C97" s="53"/>
    </row>
    <row r="98">
      <c r="C98" s="53"/>
    </row>
    <row r="99">
      <c r="C99" s="53"/>
    </row>
    <row r="100">
      <c r="C100" s="53"/>
    </row>
    <row r="101">
      <c r="C101" s="53"/>
    </row>
    <row r="102">
      <c r="C102" s="53"/>
    </row>
    <row r="103">
      <c r="C103" s="53"/>
    </row>
    <row r="104">
      <c r="C104" s="53"/>
    </row>
    <row r="105">
      <c r="C105" s="53"/>
    </row>
    <row r="106">
      <c r="C106" s="53"/>
    </row>
    <row r="107">
      <c r="C107" s="53"/>
    </row>
    <row r="108">
      <c r="C108" s="53"/>
    </row>
    <row r="109">
      <c r="C109" s="53"/>
    </row>
    <row r="110">
      <c r="C110" s="53"/>
    </row>
    <row r="111">
      <c r="C111" s="53"/>
    </row>
    <row r="112">
      <c r="C112" s="53"/>
    </row>
    <row r="113">
      <c r="C113" s="53"/>
    </row>
    <row r="114">
      <c r="C114" s="53"/>
    </row>
    <row r="115">
      <c r="C115" s="53"/>
    </row>
    <row r="116">
      <c r="C116" s="53"/>
    </row>
    <row r="117">
      <c r="C117" s="53"/>
    </row>
    <row r="118">
      <c r="C118" s="53"/>
    </row>
    <row r="119">
      <c r="C119" s="53"/>
    </row>
    <row r="120">
      <c r="C120" s="53"/>
    </row>
    <row r="121">
      <c r="C121" s="53"/>
    </row>
    <row r="122">
      <c r="C122" s="53"/>
    </row>
    <row r="123">
      <c r="C123" s="53"/>
    </row>
    <row r="124">
      <c r="C124" s="53"/>
    </row>
    <row r="125">
      <c r="C125" s="53"/>
    </row>
    <row r="126">
      <c r="C126" s="53"/>
    </row>
    <row r="127">
      <c r="C127" s="53"/>
    </row>
    <row r="128">
      <c r="C128" s="53"/>
    </row>
    <row r="129">
      <c r="C129" s="53"/>
    </row>
    <row r="130">
      <c r="C130" s="53"/>
    </row>
    <row r="131">
      <c r="C131" s="53"/>
    </row>
    <row r="132">
      <c r="C132" s="53"/>
    </row>
    <row r="133">
      <c r="C133" s="53"/>
    </row>
    <row r="134">
      <c r="C134" s="53"/>
    </row>
    <row r="135">
      <c r="C135" s="53"/>
    </row>
    <row r="136">
      <c r="C136" s="53"/>
    </row>
    <row r="137">
      <c r="C137" s="53"/>
    </row>
    <row r="138">
      <c r="C138" s="53"/>
    </row>
    <row r="139">
      <c r="C139" s="53"/>
    </row>
    <row r="140">
      <c r="C140" s="53"/>
    </row>
    <row r="141">
      <c r="C141" s="53"/>
    </row>
    <row r="142">
      <c r="C142" s="53"/>
    </row>
    <row r="143">
      <c r="C143" s="53"/>
    </row>
    <row r="144">
      <c r="C144" s="53"/>
    </row>
    <row r="145">
      <c r="C145" s="53"/>
    </row>
    <row r="146">
      <c r="C146" s="53"/>
    </row>
    <row r="147">
      <c r="C147" s="53"/>
    </row>
    <row r="148">
      <c r="C148" s="53"/>
    </row>
    <row r="149">
      <c r="C149" s="53"/>
    </row>
    <row r="150">
      <c r="C150" s="53"/>
    </row>
    <row r="151">
      <c r="C151" s="53"/>
    </row>
    <row r="152">
      <c r="C152" s="53"/>
    </row>
    <row r="153">
      <c r="C153" s="53"/>
    </row>
    <row r="154">
      <c r="C154" s="53"/>
    </row>
    <row r="155">
      <c r="C155" s="53"/>
    </row>
    <row r="156">
      <c r="C156" s="53"/>
    </row>
    <row r="157">
      <c r="C157" s="53"/>
    </row>
    <row r="158">
      <c r="C158" s="53"/>
    </row>
    <row r="159">
      <c r="C159" s="53"/>
    </row>
    <row r="160">
      <c r="C160" s="53"/>
    </row>
    <row r="161">
      <c r="C161" s="53"/>
    </row>
    <row r="162">
      <c r="C162" s="53"/>
    </row>
    <row r="163">
      <c r="C163" s="53"/>
    </row>
    <row r="164">
      <c r="C164" s="53"/>
    </row>
    <row r="165">
      <c r="C165" s="53"/>
    </row>
    <row r="166">
      <c r="C166" s="53"/>
    </row>
    <row r="167">
      <c r="C167" s="53"/>
    </row>
    <row r="168">
      <c r="C168" s="53"/>
    </row>
    <row r="169">
      <c r="C169" s="53"/>
    </row>
    <row r="170">
      <c r="C170" s="53"/>
    </row>
    <row r="171">
      <c r="C171" s="53"/>
    </row>
    <row r="172">
      <c r="C172" s="53"/>
    </row>
    <row r="173">
      <c r="C173" s="53"/>
    </row>
    <row r="174">
      <c r="C174" s="53"/>
    </row>
    <row r="175">
      <c r="C175" s="53"/>
    </row>
    <row r="176">
      <c r="C176" s="53"/>
    </row>
    <row r="177">
      <c r="C177" s="53"/>
    </row>
    <row r="178">
      <c r="C178" s="53"/>
    </row>
    <row r="179">
      <c r="C179" s="53"/>
    </row>
    <row r="180">
      <c r="C180" s="53"/>
    </row>
    <row r="181">
      <c r="C181" s="53"/>
    </row>
    <row r="182">
      <c r="C182" s="53"/>
    </row>
    <row r="183">
      <c r="C183" s="53"/>
    </row>
    <row r="184">
      <c r="C184" s="53"/>
    </row>
    <row r="185">
      <c r="C185" s="53"/>
    </row>
    <row r="186">
      <c r="C186" s="53"/>
    </row>
    <row r="187">
      <c r="C187" s="53"/>
    </row>
    <row r="188">
      <c r="C188" s="53"/>
    </row>
    <row r="189">
      <c r="C189" s="53"/>
    </row>
    <row r="190">
      <c r="C190" s="53"/>
    </row>
    <row r="191">
      <c r="C191" s="53"/>
    </row>
    <row r="192">
      <c r="C192" s="53"/>
    </row>
    <row r="193">
      <c r="C193" s="53"/>
    </row>
    <row r="194">
      <c r="C194" s="53"/>
    </row>
    <row r="195">
      <c r="C195" s="53"/>
    </row>
    <row r="196">
      <c r="C196" s="53"/>
    </row>
    <row r="197">
      <c r="C197" s="53"/>
    </row>
    <row r="198">
      <c r="C198" s="53"/>
    </row>
    <row r="199">
      <c r="C199" s="53"/>
    </row>
    <row r="200">
      <c r="C200" s="53"/>
    </row>
    <row r="201">
      <c r="C201" s="53"/>
    </row>
    <row r="202">
      <c r="C202" s="53"/>
    </row>
    <row r="203">
      <c r="C203" s="53"/>
    </row>
    <row r="204">
      <c r="C204" s="53"/>
    </row>
    <row r="205">
      <c r="C205" s="53"/>
    </row>
    <row r="206">
      <c r="C206" s="53"/>
    </row>
    <row r="207">
      <c r="C207" s="53"/>
    </row>
    <row r="208">
      <c r="C208" s="53"/>
    </row>
    <row r="209">
      <c r="C209" s="53"/>
    </row>
    <row r="210">
      <c r="C210" s="53"/>
    </row>
    <row r="211">
      <c r="C211" s="53"/>
    </row>
    <row r="212">
      <c r="C212" s="53"/>
    </row>
    <row r="213">
      <c r="C213" s="53"/>
    </row>
    <row r="214">
      <c r="C214" s="53"/>
    </row>
    <row r="215">
      <c r="C215" s="53"/>
    </row>
    <row r="216">
      <c r="C216" s="53"/>
    </row>
    <row r="217">
      <c r="C217" s="53"/>
    </row>
    <row r="218">
      <c r="C218" s="53"/>
    </row>
    <row r="219">
      <c r="C219" s="53"/>
    </row>
    <row r="220">
      <c r="C220" s="53"/>
    </row>
    <row r="221">
      <c r="C221" s="53"/>
    </row>
    <row r="222">
      <c r="C222" s="53"/>
    </row>
    <row r="223">
      <c r="C223" s="53"/>
    </row>
    <row r="224">
      <c r="C224" s="53"/>
    </row>
    <row r="225">
      <c r="C225" s="53"/>
    </row>
    <row r="226">
      <c r="C226" s="53"/>
    </row>
    <row r="227">
      <c r="C227" s="53"/>
    </row>
    <row r="228">
      <c r="C228" s="53"/>
    </row>
    <row r="229">
      <c r="C229" s="53"/>
    </row>
    <row r="230">
      <c r="C230" s="53"/>
    </row>
    <row r="231">
      <c r="C231" s="53"/>
    </row>
    <row r="232">
      <c r="C232" s="53"/>
    </row>
    <row r="233">
      <c r="C233" s="53"/>
    </row>
    <row r="234">
      <c r="C234" s="53"/>
    </row>
    <row r="235">
      <c r="C235" s="53"/>
    </row>
    <row r="236">
      <c r="C236" s="53"/>
    </row>
    <row r="237">
      <c r="C237" s="53"/>
    </row>
    <row r="238">
      <c r="C238" s="53"/>
    </row>
    <row r="239">
      <c r="C239" s="53"/>
    </row>
    <row r="240">
      <c r="C240" s="53"/>
    </row>
    <row r="241">
      <c r="C241" s="53"/>
    </row>
    <row r="242">
      <c r="C242" s="53"/>
    </row>
    <row r="243">
      <c r="C243" s="53"/>
    </row>
    <row r="244">
      <c r="C244" s="53"/>
    </row>
    <row r="245">
      <c r="C245" s="53"/>
    </row>
    <row r="246">
      <c r="C246" s="53"/>
    </row>
    <row r="247">
      <c r="C247" s="53"/>
    </row>
    <row r="248">
      <c r="C248" s="53"/>
    </row>
    <row r="249">
      <c r="C249" s="53"/>
    </row>
    <row r="250">
      <c r="C250" s="53"/>
    </row>
    <row r="251">
      <c r="C251" s="53"/>
    </row>
    <row r="252">
      <c r="C252" s="53"/>
    </row>
    <row r="253">
      <c r="C253" s="53"/>
    </row>
    <row r="254">
      <c r="C254" s="53"/>
    </row>
    <row r="255">
      <c r="C255" s="53"/>
    </row>
    <row r="256">
      <c r="C256" s="53"/>
    </row>
    <row r="257">
      <c r="C257" s="53"/>
    </row>
    <row r="258">
      <c r="C258" s="53"/>
    </row>
    <row r="259">
      <c r="C259" s="53"/>
    </row>
    <row r="260">
      <c r="C260" s="53"/>
    </row>
    <row r="261">
      <c r="C261" s="53"/>
    </row>
    <row r="262">
      <c r="C262" s="53"/>
    </row>
    <row r="263">
      <c r="C263" s="53"/>
    </row>
    <row r="264">
      <c r="C264" s="53"/>
    </row>
    <row r="265">
      <c r="C265" s="53"/>
    </row>
    <row r="266">
      <c r="C266" s="53"/>
    </row>
    <row r="267">
      <c r="C267" s="53"/>
    </row>
    <row r="268">
      <c r="C268" s="53"/>
    </row>
    <row r="269">
      <c r="C269" s="53"/>
    </row>
    <row r="270">
      <c r="C270" s="53"/>
    </row>
    <row r="271">
      <c r="C271" s="53"/>
    </row>
    <row r="272">
      <c r="C272" s="53"/>
    </row>
    <row r="273">
      <c r="C273" s="53"/>
    </row>
    <row r="274">
      <c r="C274" s="53"/>
    </row>
    <row r="275">
      <c r="C275" s="53"/>
    </row>
    <row r="276">
      <c r="C276" s="53"/>
    </row>
    <row r="277">
      <c r="C277" s="53"/>
    </row>
    <row r="278">
      <c r="C278" s="53"/>
    </row>
    <row r="279">
      <c r="C279" s="53"/>
    </row>
    <row r="280">
      <c r="C280" s="53"/>
    </row>
    <row r="281">
      <c r="C281" s="53"/>
    </row>
    <row r="282">
      <c r="C282" s="53"/>
    </row>
    <row r="283">
      <c r="C283" s="53"/>
    </row>
    <row r="284">
      <c r="C284" s="53"/>
    </row>
    <row r="285">
      <c r="C285" s="53"/>
    </row>
    <row r="286">
      <c r="C286" s="53"/>
    </row>
    <row r="287">
      <c r="C287" s="53"/>
    </row>
    <row r="288">
      <c r="C288" s="53"/>
    </row>
    <row r="289">
      <c r="C289" s="53"/>
    </row>
    <row r="290">
      <c r="C290" s="53"/>
    </row>
    <row r="291">
      <c r="C291" s="53"/>
    </row>
    <row r="292">
      <c r="C292" s="53"/>
    </row>
    <row r="293">
      <c r="C293" s="53"/>
    </row>
    <row r="294">
      <c r="C294" s="53"/>
    </row>
    <row r="295">
      <c r="C295" s="53"/>
    </row>
    <row r="296">
      <c r="C296" s="53"/>
    </row>
    <row r="297">
      <c r="C297" s="53"/>
    </row>
    <row r="298">
      <c r="C298" s="53"/>
    </row>
    <row r="299">
      <c r="C299" s="53"/>
    </row>
    <row r="300">
      <c r="C300" s="53"/>
    </row>
    <row r="301">
      <c r="C301" s="53"/>
    </row>
    <row r="302">
      <c r="C302" s="53"/>
    </row>
    <row r="303">
      <c r="C303" s="53"/>
    </row>
    <row r="304">
      <c r="C304" s="53"/>
    </row>
    <row r="305">
      <c r="C305" s="53"/>
    </row>
    <row r="306">
      <c r="C306" s="53"/>
    </row>
    <row r="307">
      <c r="C307" s="53"/>
    </row>
    <row r="308">
      <c r="C308" s="53"/>
    </row>
    <row r="309">
      <c r="C309" s="53"/>
    </row>
    <row r="310">
      <c r="C310" s="53"/>
    </row>
    <row r="311">
      <c r="C311" s="53"/>
    </row>
    <row r="312">
      <c r="C312" s="53"/>
    </row>
    <row r="313">
      <c r="C313" s="53"/>
    </row>
    <row r="314">
      <c r="C314" s="53"/>
    </row>
    <row r="315">
      <c r="C315" s="53"/>
    </row>
    <row r="316">
      <c r="C316" s="53"/>
    </row>
    <row r="317">
      <c r="C317" s="53"/>
    </row>
    <row r="318">
      <c r="C318" s="53"/>
    </row>
    <row r="319">
      <c r="C319" s="53"/>
    </row>
    <row r="320">
      <c r="C320" s="53"/>
    </row>
    <row r="321">
      <c r="C321" s="53"/>
    </row>
    <row r="322">
      <c r="C322" s="53"/>
    </row>
    <row r="323">
      <c r="C323" s="53"/>
    </row>
    <row r="324">
      <c r="C324" s="53"/>
    </row>
    <row r="325">
      <c r="C325" s="53"/>
    </row>
    <row r="326">
      <c r="C326" s="53"/>
    </row>
    <row r="327">
      <c r="C327" s="53"/>
    </row>
    <row r="328">
      <c r="C328" s="53"/>
    </row>
    <row r="329">
      <c r="C329" s="53"/>
    </row>
    <row r="330">
      <c r="C330" s="53"/>
    </row>
    <row r="331">
      <c r="C331" s="53"/>
    </row>
    <row r="332">
      <c r="C332" s="53"/>
    </row>
    <row r="333">
      <c r="C333" s="53"/>
    </row>
    <row r="334">
      <c r="C334" s="53"/>
    </row>
    <row r="335">
      <c r="C335" s="53"/>
    </row>
    <row r="336">
      <c r="C336" s="53"/>
    </row>
    <row r="337">
      <c r="C337" s="53"/>
    </row>
    <row r="338">
      <c r="C338" s="53"/>
    </row>
    <row r="339">
      <c r="C339" s="53"/>
    </row>
    <row r="340">
      <c r="C340" s="53"/>
    </row>
    <row r="341">
      <c r="C341" s="53"/>
    </row>
    <row r="342">
      <c r="C342" s="53"/>
    </row>
    <row r="343">
      <c r="C343" s="53"/>
    </row>
    <row r="344">
      <c r="C344" s="53"/>
    </row>
    <row r="345">
      <c r="C345" s="53"/>
    </row>
    <row r="346">
      <c r="C346" s="53"/>
    </row>
    <row r="347">
      <c r="C347" s="53"/>
    </row>
    <row r="348">
      <c r="C348" s="53"/>
    </row>
    <row r="349">
      <c r="C349" s="53"/>
    </row>
    <row r="350">
      <c r="C350" s="53"/>
    </row>
    <row r="351">
      <c r="C351" s="53"/>
    </row>
    <row r="352">
      <c r="C352" s="53"/>
    </row>
    <row r="353">
      <c r="C353" s="53"/>
    </row>
    <row r="354">
      <c r="C354" s="53"/>
    </row>
    <row r="355">
      <c r="C355" s="53"/>
    </row>
    <row r="356">
      <c r="C356" s="53"/>
    </row>
    <row r="357">
      <c r="C357" s="53"/>
    </row>
    <row r="358">
      <c r="C358" s="53"/>
    </row>
    <row r="359">
      <c r="C359" s="53"/>
    </row>
    <row r="360">
      <c r="C360" s="53"/>
    </row>
    <row r="361">
      <c r="C361" s="53"/>
    </row>
    <row r="362">
      <c r="C362" s="53"/>
    </row>
    <row r="363">
      <c r="C363" s="53"/>
    </row>
    <row r="364">
      <c r="C364" s="53"/>
    </row>
    <row r="365">
      <c r="C365" s="53"/>
    </row>
    <row r="366">
      <c r="C366" s="53"/>
    </row>
    <row r="367">
      <c r="C367" s="53"/>
    </row>
    <row r="368">
      <c r="C368" s="53"/>
    </row>
    <row r="369">
      <c r="C369" s="53"/>
    </row>
    <row r="370">
      <c r="C370" s="53"/>
    </row>
    <row r="371">
      <c r="C371" s="53"/>
    </row>
    <row r="372">
      <c r="C372" s="53"/>
    </row>
    <row r="373">
      <c r="C373" s="53"/>
    </row>
    <row r="374">
      <c r="C374" s="53"/>
    </row>
    <row r="375">
      <c r="C375" s="53"/>
    </row>
    <row r="376">
      <c r="C376" s="53"/>
    </row>
    <row r="377">
      <c r="C377" s="53"/>
    </row>
    <row r="378">
      <c r="C378" s="53"/>
    </row>
    <row r="379">
      <c r="C379" s="53"/>
    </row>
    <row r="380">
      <c r="C380" s="53"/>
    </row>
    <row r="381">
      <c r="C381" s="53"/>
    </row>
    <row r="382">
      <c r="C382" s="53"/>
    </row>
    <row r="383">
      <c r="C383" s="53"/>
    </row>
    <row r="384">
      <c r="C384" s="53"/>
    </row>
    <row r="385">
      <c r="C385" s="53"/>
    </row>
    <row r="386">
      <c r="C386" s="53"/>
    </row>
    <row r="387">
      <c r="C387" s="53"/>
    </row>
    <row r="388">
      <c r="C388" s="53"/>
    </row>
    <row r="389">
      <c r="C389" s="53"/>
    </row>
    <row r="390">
      <c r="C390" s="53"/>
    </row>
    <row r="391">
      <c r="C391" s="53"/>
    </row>
    <row r="392">
      <c r="C392" s="53"/>
    </row>
    <row r="393">
      <c r="C393" s="53"/>
    </row>
    <row r="394">
      <c r="C394" s="53"/>
    </row>
    <row r="395">
      <c r="C395" s="53"/>
    </row>
    <row r="396">
      <c r="C396" s="53"/>
    </row>
    <row r="397">
      <c r="C397" s="53"/>
    </row>
    <row r="398">
      <c r="C398" s="53"/>
    </row>
    <row r="399">
      <c r="C399" s="53"/>
    </row>
    <row r="400">
      <c r="C400" s="53"/>
    </row>
    <row r="401">
      <c r="C401" s="53"/>
    </row>
    <row r="402">
      <c r="C402" s="53"/>
    </row>
    <row r="403">
      <c r="C403" s="53"/>
    </row>
    <row r="404">
      <c r="C404" s="53"/>
    </row>
    <row r="405">
      <c r="C405" s="53"/>
    </row>
    <row r="406">
      <c r="C406" s="53"/>
    </row>
    <row r="407">
      <c r="C407" s="53"/>
    </row>
    <row r="408">
      <c r="C408" s="53"/>
    </row>
    <row r="409">
      <c r="C409" s="53"/>
    </row>
    <row r="410">
      <c r="C410" s="53"/>
    </row>
    <row r="411">
      <c r="C411" s="53"/>
    </row>
    <row r="412">
      <c r="C412" s="53"/>
    </row>
    <row r="413">
      <c r="C413" s="53"/>
    </row>
    <row r="414">
      <c r="C414" s="53"/>
    </row>
    <row r="415">
      <c r="C415" s="53"/>
    </row>
    <row r="416">
      <c r="C416" s="53"/>
    </row>
    <row r="417">
      <c r="C417" s="53"/>
    </row>
    <row r="418">
      <c r="C418" s="53"/>
    </row>
    <row r="419">
      <c r="C419" s="53"/>
    </row>
    <row r="420">
      <c r="C420" s="53"/>
    </row>
    <row r="421">
      <c r="C421" s="53"/>
    </row>
    <row r="422">
      <c r="C422" s="53"/>
    </row>
    <row r="423">
      <c r="C423" s="53"/>
    </row>
    <row r="424">
      <c r="C424" s="53"/>
    </row>
    <row r="425">
      <c r="C425" s="53"/>
    </row>
    <row r="426">
      <c r="C426" s="53"/>
    </row>
    <row r="427">
      <c r="C427" s="53"/>
    </row>
    <row r="428">
      <c r="C428" s="53"/>
    </row>
    <row r="429">
      <c r="C429" s="53"/>
    </row>
    <row r="430">
      <c r="C430" s="53"/>
    </row>
    <row r="431">
      <c r="C431" s="53"/>
    </row>
    <row r="432">
      <c r="C432" s="53"/>
    </row>
    <row r="433">
      <c r="C433" s="53"/>
    </row>
    <row r="434">
      <c r="C434" s="53"/>
    </row>
    <row r="435">
      <c r="C435" s="53"/>
    </row>
    <row r="436">
      <c r="C436" s="53"/>
    </row>
    <row r="437">
      <c r="C437" s="53"/>
    </row>
    <row r="438">
      <c r="C438" s="53"/>
    </row>
    <row r="439">
      <c r="C439" s="53"/>
    </row>
    <row r="440">
      <c r="C440" s="53"/>
    </row>
    <row r="441">
      <c r="C441" s="53"/>
    </row>
    <row r="442">
      <c r="C442" s="53"/>
    </row>
    <row r="443">
      <c r="C443" s="53"/>
    </row>
    <row r="444">
      <c r="C444" s="53"/>
    </row>
    <row r="445">
      <c r="C445" s="53"/>
    </row>
    <row r="446">
      <c r="C446" s="53"/>
    </row>
    <row r="447">
      <c r="C447" s="53"/>
    </row>
    <row r="448">
      <c r="C448" s="53"/>
    </row>
    <row r="449">
      <c r="C449" s="53"/>
    </row>
    <row r="450">
      <c r="C450" s="53"/>
    </row>
    <row r="451">
      <c r="C451" s="53"/>
    </row>
    <row r="452">
      <c r="C452" s="53"/>
    </row>
    <row r="453">
      <c r="C453" s="53"/>
    </row>
    <row r="454">
      <c r="C454" s="53"/>
    </row>
    <row r="455">
      <c r="C455" s="53"/>
    </row>
    <row r="456">
      <c r="C456" s="53"/>
    </row>
    <row r="457">
      <c r="C457" s="53"/>
    </row>
    <row r="458">
      <c r="C458" s="53"/>
    </row>
    <row r="459">
      <c r="C459" s="53"/>
    </row>
    <row r="460">
      <c r="C460" s="53"/>
    </row>
    <row r="461">
      <c r="C461" s="53"/>
    </row>
    <row r="462">
      <c r="C462" s="53"/>
    </row>
    <row r="463">
      <c r="C463" s="53"/>
    </row>
    <row r="464">
      <c r="C464" s="53"/>
    </row>
    <row r="465">
      <c r="C465" s="53"/>
    </row>
    <row r="466">
      <c r="C466" s="53"/>
    </row>
    <row r="467">
      <c r="C467" s="53"/>
    </row>
    <row r="468">
      <c r="C468" s="53"/>
    </row>
    <row r="469">
      <c r="C469" s="53"/>
    </row>
    <row r="470">
      <c r="C470" s="53"/>
    </row>
    <row r="471">
      <c r="C471" s="53"/>
    </row>
    <row r="472">
      <c r="C472" s="53"/>
    </row>
    <row r="473">
      <c r="C473" s="53"/>
    </row>
    <row r="474">
      <c r="C474" s="53"/>
    </row>
    <row r="475">
      <c r="C475" s="53"/>
    </row>
    <row r="476">
      <c r="C476" s="53"/>
    </row>
    <row r="477">
      <c r="C477" s="53"/>
    </row>
    <row r="478">
      <c r="C478" s="53"/>
    </row>
    <row r="479">
      <c r="C479" s="53"/>
    </row>
    <row r="480">
      <c r="C480" s="53"/>
    </row>
    <row r="481">
      <c r="C481" s="53"/>
    </row>
    <row r="482">
      <c r="C482" s="53"/>
    </row>
    <row r="483">
      <c r="C483" s="53"/>
    </row>
    <row r="484">
      <c r="C484" s="53"/>
    </row>
    <row r="485">
      <c r="C485" s="53"/>
    </row>
    <row r="486">
      <c r="C486" s="53"/>
    </row>
    <row r="487">
      <c r="C487" s="53"/>
    </row>
    <row r="488">
      <c r="C488" s="53"/>
    </row>
    <row r="489">
      <c r="C489" s="53"/>
    </row>
    <row r="490">
      <c r="C490" s="53"/>
    </row>
    <row r="491">
      <c r="C491" s="53"/>
    </row>
    <row r="492">
      <c r="C492" s="53"/>
    </row>
    <row r="493">
      <c r="C493" s="53"/>
    </row>
    <row r="494">
      <c r="C494" s="53"/>
    </row>
    <row r="495">
      <c r="C495" s="53"/>
    </row>
    <row r="496">
      <c r="C496" s="53"/>
    </row>
    <row r="497">
      <c r="C497" s="53"/>
    </row>
    <row r="498">
      <c r="C498" s="53"/>
    </row>
    <row r="499">
      <c r="C499" s="53"/>
    </row>
    <row r="500">
      <c r="C500" s="53"/>
    </row>
    <row r="501">
      <c r="C501" s="53"/>
    </row>
    <row r="502">
      <c r="C502" s="53"/>
    </row>
    <row r="503">
      <c r="C503" s="53"/>
    </row>
    <row r="504">
      <c r="C504" s="53"/>
    </row>
    <row r="505">
      <c r="C505" s="53"/>
    </row>
    <row r="506">
      <c r="C506" s="53"/>
    </row>
    <row r="507">
      <c r="C507" s="53"/>
    </row>
    <row r="508">
      <c r="C508" s="53"/>
    </row>
    <row r="509">
      <c r="C509" s="53"/>
    </row>
    <row r="510">
      <c r="C510" s="53"/>
    </row>
    <row r="511">
      <c r="C511" s="53"/>
    </row>
    <row r="512">
      <c r="C512" s="53"/>
    </row>
    <row r="513">
      <c r="C513" s="53"/>
    </row>
    <row r="514">
      <c r="C514" s="53"/>
    </row>
    <row r="515">
      <c r="C515" s="53"/>
    </row>
    <row r="516">
      <c r="C516" s="53"/>
    </row>
    <row r="517">
      <c r="C517" s="53"/>
    </row>
    <row r="518">
      <c r="C518" s="53"/>
    </row>
    <row r="519">
      <c r="C519" s="53"/>
    </row>
    <row r="520">
      <c r="C520" s="53"/>
    </row>
    <row r="521">
      <c r="C521" s="53"/>
    </row>
    <row r="522">
      <c r="C522" s="53"/>
    </row>
    <row r="523">
      <c r="C523" s="53"/>
    </row>
    <row r="524">
      <c r="C524" s="53"/>
    </row>
    <row r="525">
      <c r="C525" s="53"/>
    </row>
    <row r="526">
      <c r="C526" s="53"/>
    </row>
    <row r="527">
      <c r="C527" s="53"/>
    </row>
    <row r="528">
      <c r="C528" s="53"/>
    </row>
    <row r="529">
      <c r="C529" s="53"/>
    </row>
    <row r="530">
      <c r="C530" s="53"/>
    </row>
    <row r="531">
      <c r="C531" s="53"/>
    </row>
    <row r="532">
      <c r="C532" s="53"/>
    </row>
    <row r="533">
      <c r="C533" s="53"/>
    </row>
    <row r="534">
      <c r="C534" s="53"/>
    </row>
    <row r="535">
      <c r="C535" s="53"/>
    </row>
    <row r="536">
      <c r="C536" s="53"/>
    </row>
    <row r="537">
      <c r="C537" s="53"/>
    </row>
    <row r="538">
      <c r="C538" s="53"/>
    </row>
    <row r="539">
      <c r="C539" s="53"/>
    </row>
    <row r="540">
      <c r="C540" s="53"/>
    </row>
    <row r="541">
      <c r="C541" s="53"/>
    </row>
    <row r="542">
      <c r="C542" s="53"/>
    </row>
    <row r="543">
      <c r="C543" s="53"/>
    </row>
    <row r="544">
      <c r="C544" s="53"/>
    </row>
    <row r="545">
      <c r="C545" s="53"/>
    </row>
    <row r="546">
      <c r="C546" s="53"/>
    </row>
    <row r="547">
      <c r="C547" s="53"/>
    </row>
    <row r="548">
      <c r="C548" s="53"/>
    </row>
    <row r="549">
      <c r="C549" s="53"/>
    </row>
    <row r="550">
      <c r="C550" s="53"/>
    </row>
    <row r="551">
      <c r="C551" s="53"/>
    </row>
    <row r="552">
      <c r="C552" s="53"/>
    </row>
    <row r="553">
      <c r="C553" s="53"/>
    </row>
    <row r="554">
      <c r="C554" s="53"/>
    </row>
    <row r="555">
      <c r="C555" s="53"/>
    </row>
    <row r="556">
      <c r="C556" s="53"/>
    </row>
    <row r="557">
      <c r="C557" s="53"/>
    </row>
    <row r="558">
      <c r="C558" s="53"/>
    </row>
    <row r="559">
      <c r="C559" s="53"/>
    </row>
    <row r="560">
      <c r="C560" s="53"/>
    </row>
    <row r="561">
      <c r="C561" s="53"/>
    </row>
    <row r="562">
      <c r="C562" s="53"/>
    </row>
    <row r="563">
      <c r="C563" s="53"/>
    </row>
    <row r="564">
      <c r="C564" s="53"/>
    </row>
    <row r="565">
      <c r="C565" s="53"/>
    </row>
    <row r="566">
      <c r="C566" s="53"/>
    </row>
    <row r="567">
      <c r="C567" s="53"/>
    </row>
    <row r="568">
      <c r="C568" s="53"/>
    </row>
    <row r="569">
      <c r="C569" s="53"/>
    </row>
    <row r="570">
      <c r="C570" s="53"/>
    </row>
    <row r="571">
      <c r="C571" s="53"/>
    </row>
    <row r="572">
      <c r="C572" s="53"/>
    </row>
    <row r="573">
      <c r="C573" s="53"/>
    </row>
    <row r="574">
      <c r="C574" s="53"/>
    </row>
    <row r="575">
      <c r="C575" s="53"/>
    </row>
    <row r="576">
      <c r="C576" s="53"/>
    </row>
    <row r="577">
      <c r="C577" s="53"/>
    </row>
    <row r="578">
      <c r="C578" s="53"/>
    </row>
    <row r="579">
      <c r="C579" s="53"/>
    </row>
    <row r="580">
      <c r="C580" s="53"/>
    </row>
    <row r="581">
      <c r="C581" s="53"/>
    </row>
    <row r="582">
      <c r="C582" s="53"/>
    </row>
    <row r="583">
      <c r="C583" s="53"/>
    </row>
    <row r="584">
      <c r="C584" s="53"/>
    </row>
    <row r="585">
      <c r="C585" s="53"/>
    </row>
    <row r="586">
      <c r="C586" s="53"/>
    </row>
    <row r="587">
      <c r="C587" s="53"/>
    </row>
    <row r="588">
      <c r="C588" s="53"/>
    </row>
    <row r="589">
      <c r="C589" s="53"/>
    </row>
    <row r="590">
      <c r="C590" s="53"/>
    </row>
    <row r="591">
      <c r="C591" s="53"/>
    </row>
    <row r="592">
      <c r="C592" s="53"/>
    </row>
    <row r="593">
      <c r="C593" s="53"/>
    </row>
    <row r="594">
      <c r="C594" s="53"/>
    </row>
    <row r="595">
      <c r="C595" s="53"/>
    </row>
    <row r="596">
      <c r="C596" s="53"/>
    </row>
    <row r="597">
      <c r="C597" s="53"/>
    </row>
    <row r="598">
      <c r="C598" s="53"/>
    </row>
    <row r="599">
      <c r="C599" s="53"/>
    </row>
    <row r="600">
      <c r="C600" s="53"/>
    </row>
    <row r="601">
      <c r="C601" s="53"/>
    </row>
    <row r="602">
      <c r="C602" s="53"/>
    </row>
    <row r="603">
      <c r="C603" s="53"/>
    </row>
    <row r="604">
      <c r="C604" s="53"/>
    </row>
    <row r="605">
      <c r="C605" s="53"/>
    </row>
    <row r="606">
      <c r="C606" s="53"/>
    </row>
    <row r="607">
      <c r="C607" s="53"/>
    </row>
    <row r="608">
      <c r="C608" s="53"/>
    </row>
    <row r="609">
      <c r="C609" s="53"/>
    </row>
    <row r="610">
      <c r="C610" s="53"/>
    </row>
    <row r="611">
      <c r="C611" s="53"/>
    </row>
    <row r="612">
      <c r="C612" s="53"/>
    </row>
    <row r="613">
      <c r="C613" s="53"/>
    </row>
    <row r="614">
      <c r="C614" s="53"/>
    </row>
    <row r="615">
      <c r="C615" s="53"/>
    </row>
    <row r="616">
      <c r="C616" s="53"/>
    </row>
    <row r="617">
      <c r="C617" s="53"/>
    </row>
    <row r="618">
      <c r="C618" s="53"/>
    </row>
    <row r="619">
      <c r="C619" s="53"/>
    </row>
    <row r="620">
      <c r="C620" s="53"/>
    </row>
    <row r="621">
      <c r="C621" s="53"/>
    </row>
    <row r="622">
      <c r="C622" s="53"/>
    </row>
    <row r="623">
      <c r="C623" s="53"/>
    </row>
    <row r="624">
      <c r="C624" s="53"/>
    </row>
    <row r="625">
      <c r="C625" s="53"/>
    </row>
    <row r="626">
      <c r="C626" s="53"/>
    </row>
    <row r="627">
      <c r="C627" s="53"/>
    </row>
    <row r="628">
      <c r="C628" s="53"/>
    </row>
    <row r="629">
      <c r="C629" s="53"/>
    </row>
    <row r="630">
      <c r="C630" s="53"/>
    </row>
    <row r="631">
      <c r="C631" s="53"/>
    </row>
    <row r="632">
      <c r="C632" s="53"/>
    </row>
    <row r="633">
      <c r="C633" s="53"/>
    </row>
    <row r="634">
      <c r="C634" s="53"/>
    </row>
    <row r="635">
      <c r="C635" s="53"/>
    </row>
    <row r="636">
      <c r="C636" s="53"/>
    </row>
    <row r="637">
      <c r="C637" s="53"/>
    </row>
    <row r="638">
      <c r="C638" s="53"/>
    </row>
    <row r="639">
      <c r="C639" s="53"/>
    </row>
    <row r="640">
      <c r="C640" s="53"/>
    </row>
    <row r="641">
      <c r="C641" s="53"/>
    </row>
    <row r="642">
      <c r="C642" s="53"/>
    </row>
    <row r="643">
      <c r="C643" s="53"/>
    </row>
    <row r="644">
      <c r="C644" s="53"/>
    </row>
    <row r="645">
      <c r="C645" s="53"/>
    </row>
    <row r="646">
      <c r="C646" s="53"/>
    </row>
    <row r="647">
      <c r="C647" s="53"/>
    </row>
    <row r="648">
      <c r="C648" s="53"/>
    </row>
    <row r="649">
      <c r="C649" s="53"/>
    </row>
    <row r="650">
      <c r="C650" s="53"/>
    </row>
    <row r="651">
      <c r="C651" s="53"/>
    </row>
    <row r="652">
      <c r="C652" s="53"/>
    </row>
    <row r="653">
      <c r="C653" s="53"/>
    </row>
    <row r="654">
      <c r="C654" s="53"/>
    </row>
    <row r="655">
      <c r="C655" s="53"/>
    </row>
    <row r="656">
      <c r="C656" s="53"/>
    </row>
    <row r="657">
      <c r="C657" s="53"/>
    </row>
    <row r="658">
      <c r="C658" s="53"/>
    </row>
    <row r="659">
      <c r="C659" s="53"/>
    </row>
    <row r="660">
      <c r="C660" s="53"/>
    </row>
    <row r="661">
      <c r="C661" s="53"/>
    </row>
    <row r="662">
      <c r="C662" s="53"/>
    </row>
    <row r="663">
      <c r="C663" s="53"/>
    </row>
    <row r="664">
      <c r="C664" s="53"/>
    </row>
    <row r="665">
      <c r="C665" s="53"/>
    </row>
    <row r="666">
      <c r="C666" s="53"/>
    </row>
    <row r="667">
      <c r="C667" s="53"/>
    </row>
    <row r="668">
      <c r="C668" s="53"/>
    </row>
    <row r="669">
      <c r="C669" s="53"/>
    </row>
    <row r="670">
      <c r="C670" s="53"/>
    </row>
    <row r="671">
      <c r="C671" s="53"/>
    </row>
    <row r="672">
      <c r="C672" s="53"/>
    </row>
    <row r="673">
      <c r="C673" s="53"/>
    </row>
    <row r="674">
      <c r="C674" s="53"/>
    </row>
    <row r="675">
      <c r="C675" s="53"/>
    </row>
    <row r="676">
      <c r="C676" s="53"/>
    </row>
    <row r="677">
      <c r="C677" s="53"/>
    </row>
    <row r="678">
      <c r="C678" s="53"/>
    </row>
    <row r="679">
      <c r="C679" s="53"/>
    </row>
    <row r="680">
      <c r="C680" s="53"/>
    </row>
    <row r="681">
      <c r="C681" s="53"/>
    </row>
    <row r="682">
      <c r="C682" s="53"/>
    </row>
    <row r="683">
      <c r="C683" s="53"/>
    </row>
    <row r="684">
      <c r="C684" s="53"/>
    </row>
    <row r="685">
      <c r="C685" s="53"/>
    </row>
    <row r="686">
      <c r="C686" s="53"/>
    </row>
    <row r="687">
      <c r="C687" s="53"/>
    </row>
    <row r="688">
      <c r="C688" s="53"/>
    </row>
    <row r="689">
      <c r="C689" s="53"/>
    </row>
    <row r="690">
      <c r="C690" s="53"/>
    </row>
    <row r="691">
      <c r="C691" s="53"/>
    </row>
    <row r="692">
      <c r="C692" s="53"/>
    </row>
    <row r="693">
      <c r="C693" s="53"/>
    </row>
    <row r="694">
      <c r="C694" s="53"/>
    </row>
    <row r="695">
      <c r="C695" s="53"/>
    </row>
    <row r="696">
      <c r="C696" s="53"/>
    </row>
    <row r="697">
      <c r="C697" s="53"/>
    </row>
    <row r="698">
      <c r="C698" s="53"/>
    </row>
    <row r="699">
      <c r="C699" s="53"/>
    </row>
    <row r="700">
      <c r="C700" s="53"/>
    </row>
    <row r="701">
      <c r="C701" s="53"/>
    </row>
    <row r="702">
      <c r="C702" s="53"/>
    </row>
    <row r="703">
      <c r="C703" s="53"/>
    </row>
    <row r="704">
      <c r="C704" s="53"/>
    </row>
    <row r="705">
      <c r="C705" s="53"/>
    </row>
    <row r="706">
      <c r="C706" s="53"/>
    </row>
    <row r="707">
      <c r="C707" s="53"/>
    </row>
    <row r="708">
      <c r="C708" s="53"/>
    </row>
    <row r="709">
      <c r="C709" s="53"/>
    </row>
    <row r="710">
      <c r="C710" s="53"/>
    </row>
    <row r="711">
      <c r="C711" s="53"/>
    </row>
    <row r="712">
      <c r="C712" s="53"/>
    </row>
    <row r="713">
      <c r="C713" s="53"/>
    </row>
    <row r="714">
      <c r="C714" s="53"/>
    </row>
    <row r="715">
      <c r="C715" s="53"/>
    </row>
    <row r="716">
      <c r="C716" s="53"/>
    </row>
    <row r="717">
      <c r="C717" s="53"/>
    </row>
    <row r="718">
      <c r="C718" s="53"/>
    </row>
    <row r="719">
      <c r="C719" s="53"/>
    </row>
    <row r="720">
      <c r="C720" s="53"/>
    </row>
    <row r="721">
      <c r="C721" s="53"/>
    </row>
    <row r="722">
      <c r="C722" s="53"/>
    </row>
    <row r="723">
      <c r="C723" s="53"/>
    </row>
    <row r="724">
      <c r="C724" s="53"/>
    </row>
    <row r="725">
      <c r="C725" s="53"/>
    </row>
    <row r="726">
      <c r="C726" s="53"/>
    </row>
    <row r="727">
      <c r="C727" s="53"/>
    </row>
    <row r="728">
      <c r="C728" s="53"/>
    </row>
    <row r="729">
      <c r="C729" s="53"/>
    </row>
    <row r="730">
      <c r="C730" s="53"/>
    </row>
    <row r="731">
      <c r="C731" s="53"/>
    </row>
    <row r="732">
      <c r="C732" s="53"/>
    </row>
    <row r="733">
      <c r="C733" s="53"/>
    </row>
    <row r="734">
      <c r="C734" s="53"/>
    </row>
    <row r="735">
      <c r="C735" s="53"/>
    </row>
    <row r="736">
      <c r="C736" s="53"/>
    </row>
    <row r="737">
      <c r="C737" s="53"/>
    </row>
    <row r="738">
      <c r="C738" s="53"/>
    </row>
    <row r="739">
      <c r="C739" s="53"/>
    </row>
    <row r="740">
      <c r="C740" s="53"/>
    </row>
    <row r="741">
      <c r="C741" s="53"/>
    </row>
    <row r="742">
      <c r="C742" s="53"/>
    </row>
    <row r="743">
      <c r="C743" s="53"/>
    </row>
    <row r="744">
      <c r="C744" s="53"/>
    </row>
    <row r="745">
      <c r="C745" s="53"/>
    </row>
    <row r="746">
      <c r="C746" s="53"/>
    </row>
    <row r="747">
      <c r="C747" s="53"/>
    </row>
    <row r="748">
      <c r="C748" s="53"/>
    </row>
    <row r="749">
      <c r="C749" s="53"/>
    </row>
    <row r="750">
      <c r="C750" s="53"/>
    </row>
    <row r="751">
      <c r="C751" s="53"/>
    </row>
    <row r="752">
      <c r="C752" s="53"/>
    </row>
    <row r="753">
      <c r="C753" s="53"/>
    </row>
    <row r="754">
      <c r="C754" s="53"/>
    </row>
    <row r="755">
      <c r="C755" s="53"/>
    </row>
    <row r="756">
      <c r="C756" s="53"/>
    </row>
    <row r="757">
      <c r="C757" s="53"/>
    </row>
    <row r="758">
      <c r="C758" s="53"/>
    </row>
    <row r="759">
      <c r="C759" s="53"/>
    </row>
    <row r="760">
      <c r="C760" s="53"/>
    </row>
    <row r="761">
      <c r="C761" s="53"/>
    </row>
    <row r="762">
      <c r="C762" s="53"/>
    </row>
    <row r="763">
      <c r="C763" s="53"/>
    </row>
    <row r="764">
      <c r="C764" s="53"/>
    </row>
    <row r="765">
      <c r="C765" s="53"/>
    </row>
    <row r="766">
      <c r="C766" s="53"/>
    </row>
    <row r="767">
      <c r="C767" s="53"/>
    </row>
    <row r="768">
      <c r="C768" s="53"/>
    </row>
    <row r="769">
      <c r="C769" s="53"/>
    </row>
    <row r="770">
      <c r="C770" s="53"/>
    </row>
    <row r="771">
      <c r="C771" s="53"/>
    </row>
    <row r="772">
      <c r="C772" s="53"/>
    </row>
    <row r="773">
      <c r="C773" s="53"/>
    </row>
    <row r="774">
      <c r="C774" s="53"/>
    </row>
    <row r="775">
      <c r="C775" s="53"/>
    </row>
    <row r="776">
      <c r="C776" s="53"/>
    </row>
    <row r="777">
      <c r="C777" s="53"/>
    </row>
    <row r="778">
      <c r="C778" s="53"/>
    </row>
    <row r="779">
      <c r="C779" s="53"/>
    </row>
    <row r="780">
      <c r="C780" s="53"/>
    </row>
    <row r="781">
      <c r="C781" s="53"/>
    </row>
    <row r="782">
      <c r="C782" s="53"/>
    </row>
    <row r="783">
      <c r="C783" s="53"/>
    </row>
    <row r="784">
      <c r="C784" s="53"/>
    </row>
    <row r="785">
      <c r="C785" s="53"/>
    </row>
    <row r="786">
      <c r="C786" s="53"/>
    </row>
    <row r="787">
      <c r="C787" s="53"/>
    </row>
    <row r="788">
      <c r="C788" s="53"/>
    </row>
    <row r="789">
      <c r="C789" s="53"/>
    </row>
    <row r="790">
      <c r="C790" s="53"/>
    </row>
    <row r="791">
      <c r="C791" s="53"/>
    </row>
    <row r="792">
      <c r="C792" s="53"/>
    </row>
    <row r="793">
      <c r="C793" s="53"/>
    </row>
    <row r="794">
      <c r="C794" s="53"/>
    </row>
    <row r="795">
      <c r="C795" s="53"/>
    </row>
    <row r="796">
      <c r="C796" s="53"/>
    </row>
    <row r="797">
      <c r="C797" s="53"/>
    </row>
    <row r="798">
      <c r="C798" s="53"/>
    </row>
    <row r="799">
      <c r="C799" s="53"/>
    </row>
    <row r="800">
      <c r="C800" s="53"/>
    </row>
    <row r="801">
      <c r="C801" s="53"/>
    </row>
    <row r="802">
      <c r="C802" s="53"/>
    </row>
    <row r="803">
      <c r="C803" s="53"/>
    </row>
    <row r="804">
      <c r="C804" s="53"/>
    </row>
    <row r="805">
      <c r="C805" s="53"/>
    </row>
    <row r="806">
      <c r="C806" s="53"/>
    </row>
    <row r="807">
      <c r="C807" s="53"/>
    </row>
    <row r="808">
      <c r="C808" s="53"/>
    </row>
    <row r="809">
      <c r="C809" s="53"/>
    </row>
    <row r="810">
      <c r="C810" s="53"/>
    </row>
    <row r="811">
      <c r="C811" s="53"/>
    </row>
    <row r="812">
      <c r="C812" s="53"/>
    </row>
    <row r="813">
      <c r="C813" s="53"/>
    </row>
    <row r="814">
      <c r="C814" s="53"/>
    </row>
    <row r="815">
      <c r="C815" s="53"/>
    </row>
    <row r="816">
      <c r="C816" s="53"/>
    </row>
    <row r="817">
      <c r="C817" s="53"/>
    </row>
    <row r="818">
      <c r="C818" s="53"/>
    </row>
    <row r="819">
      <c r="C819" s="53"/>
    </row>
    <row r="820">
      <c r="C820" s="53"/>
    </row>
    <row r="821">
      <c r="C821" s="53"/>
    </row>
    <row r="822">
      <c r="C822" s="53"/>
    </row>
    <row r="823">
      <c r="C823" s="53"/>
    </row>
    <row r="824">
      <c r="C824" s="53"/>
    </row>
    <row r="825">
      <c r="C825" s="53"/>
    </row>
    <row r="826">
      <c r="C826" s="53"/>
    </row>
    <row r="827">
      <c r="C827" s="53"/>
    </row>
    <row r="828">
      <c r="C828" s="53"/>
    </row>
    <row r="829">
      <c r="C829" s="53"/>
    </row>
    <row r="830">
      <c r="C830" s="53"/>
    </row>
    <row r="831">
      <c r="C831" s="53"/>
    </row>
    <row r="832">
      <c r="C832" s="53"/>
    </row>
    <row r="833">
      <c r="C833" s="53"/>
    </row>
    <row r="834">
      <c r="C834" s="53"/>
    </row>
    <row r="835">
      <c r="C835" s="53"/>
    </row>
    <row r="836">
      <c r="C836" s="53"/>
    </row>
    <row r="837">
      <c r="C837" s="53"/>
    </row>
    <row r="838">
      <c r="C838" s="53"/>
    </row>
    <row r="839">
      <c r="C839" s="53"/>
    </row>
    <row r="840">
      <c r="C840" s="53"/>
    </row>
    <row r="841">
      <c r="C841" s="53"/>
    </row>
    <row r="842">
      <c r="C842" s="53"/>
    </row>
    <row r="843">
      <c r="C843" s="53"/>
    </row>
    <row r="844">
      <c r="C844" s="53"/>
    </row>
    <row r="845">
      <c r="C845" s="53"/>
    </row>
    <row r="846">
      <c r="C846" s="53"/>
    </row>
    <row r="847">
      <c r="C847" s="53"/>
    </row>
    <row r="848">
      <c r="C848" s="53"/>
    </row>
    <row r="849">
      <c r="C849" s="53"/>
    </row>
    <row r="850">
      <c r="C850" s="53"/>
    </row>
    <row r="851">
      <c r="C851" s="53"/>
    </row>
    <row r="852">
      <c r="C852" s="53"/>
    </row>
    <row r="853">
      <c r="C853" s="53"/>
    </row>
    <row r="854">
      <c r="C854" s="53"/>
    </row>
    <row r="855">
      <c r="C855" s="53"/>
    </row>
    <row r="856">
      <c r="C856" s="53"/>
    </row>
    <row r="857">
      <c r="C857" s="53"/>
    </row>
    <row r="858">
      <c r="C858" s="53"/>
    </row>
    <row r="859">
      <c r="C859" s="53"/>
    </row>
    <row r="860">
      <c r="C860" s="53"/>
    </row>
    <row r="861">
      <c r="C861" s="53"/>
    </row>
    <row r="862">
      <c r="C862" s="53"/>
    </row>
    <row r="863">
      <c r="C863" s="53"/>
    </row>
    <row r="864">
      <c r="C864" s="53"/>
    </row>
    <row r="865">
      <c r="C865" s="53"/>
    </row>
    <row r="866">
      <c r="C866" s="53"/>
    </row>
    <row r="867">
      <c r="C867" s="53"/>
    </row>
    <row r="868">
      <c r="C868" s="53"/>
    </row>
    <row r="869">
      <c r="C869" s="53"/>
    </row>
    <row r="870">
      <c r="C870" s="53"/>
    </row>
    <row r="871">
      <c r="C871" s="53"/>
    </row>
    <row r="872">
      <c r="C872" s="53"/>
    </row>
    <row r="873">
      <c r="C873" s="53"/>
    </row>
    <row r="874">
      <c r="C874" s="53"/>
    </row>
    <row r="875">
      <c r="C875" s="53"/>
    </row>
    <row r="876">
      <c r="C876" s="53"/>
    </row>
    <row r="877">
      <c r="C877" s="53"/>
    </row>
    <row r="878">
      <c r="C878" s="53"/>
    </row>
    <row r="879">
      <c r="C879" s="53"/>
    </row>
    <row r="880">
      <c r="C880" s="53"/>
    </row>
    <row r="881">
      <c r="C881" s="53"/>
    </row>
    <row r="882">
      <c r="C882" s="53"/>
    </row>
    <row r="883">
      <c r="C883" s="53"/>
    </row>
    <row r="884">
      <c r="C884" s="53"/>
    </row>
    <row r="885">
      <c r="C885" s="53"/>
    </row>
    <row r="886">
      <c r="C886" s="53"/>
    </row>
    <row r="887">
      <c r="C887" s="53"/>
    </row>
    <row r="888">
      <c r="C888" s="53"/>
    </row>
    <row r="889">
      <c r="C889" s="53"/>
    </row>
    <row r="890">
      <c r="C890" s="53"/>
    </row>
    <row r="891">
      <c r="C891" s="53"/>
    </row>
    <row r="892">
      <c r="C892" s="53"/>
    </row>
    <row r="893">
      <c r="C893" s="53"/>
    </row>
    <row r="894">
      <c r="C894" s="53"/>
    </row>
    <row r="895">
      <c r="C895" s="53"/>
    </row>
    <row r="896">
      <c r="C896" s="53"/>
    </row>
    <row r="897">
      <c r="C897" s="53"/>
    </row>
    <row r="898">
      <c r="C898" s="53"/>
    </row>
    <row r="899">
      <c r="C899" s="53"/>
    </row>
    <row r="900">
      <c r="C900" s="53"/>
    </row>
    <row r="901">
      <c r="C901" s="53"/>
    </row>
    <row r="902">
      <c r="C902" s="53"/>
    </row>
    <row r="903">
      <c r="C903" s="53"/>
    </row>
    <row r="904">
      <c r="C904" s="53"/>
    </row>
    <row r="905">
      <c r="C905" s="53"/>
    </row>
    <row r="906">
      <c r="C906" s="53"/>
    </row>
    <row r="907">
      <c r="C907" s="53"/>
    </row>
    <row r="908">
      <c r="C908" s="53"/>
    </row>
    <row r="909">
      <c r="C909" s="53"/>
    </row>
    <row r="910">
      <c r="C910" s="53"/>
    </row>
    <row r="911">
      <c r="C911" s="53"/>
    </row>
    <row r="912">
      <c r="C912" s="53"/>
    </row>
    <row r="913">
      <c r="C913" s="53"/>
    </row>
    <row r="914">
      <c r="C914" s="53"/>
    </row>
    <row r="915">
      <c r="C915" s="53"/>
    </row>
    <row r="916">
      <c r="C916" s="53"/>
    </row>
    <row r="917">
      <c r="C917" s="53"/>
    </row>
    <row r="918">
      <c r="C918" s="53"/>
    </row>
    <row r="919">
      <c r="C919" s="53"/>
    </row>
    <row r="920">
      <c r="C920" s="53"/>
    </row>
    <row r="921">
      <c r="C921" s="53"/>
    </row>
    <row r="922">
      <c r="C922" s="53"/>
    </row>
    <row r="923">
      <c r="C923" s="53"/>
    </row>
    <row r="924">
      <c r="C924" s="53"/>
    </row>
    <row r="925">
      <c r="C925" s="53"/>
    </row>
    <row r="926">
      <c r="C926" s="53"/>
    </row>
    <row r="927">
      <c r="C927" s="53"/>
    </row>
    <row r="928">
      <c r="C928" s="53"/>
    </row>
    <row r="929">
      <c r="C929" s="53"/>
    </row>
    <row r="930">
      <c r="C930" s="53"/>
    </row>
    <row r="931">
      <c r="C931" s="53"/>
    </row>
    <row r="932">
      <c r="C932" s="53"/>
    </row>
    <row r="933">
      <c r="C933" s="53"/>
    </row>
    <row r="934">
      <c r="C934" s="53"/>
    </row>
    <row r="935">
      <c r="C935" s="53"/>
    </row>
    <row r="936">
      <c r="C936" s="53"/>
    </row>
    <row r="937">
      <c r="C937" s="53"/>
    </row>
    <row r="938">
      <c r="C938" s="53"/>
    </row>
    <row r="939">
      <c r="C939" s="53"/>
    </row>
    <row r="940">
      <c r="C940" s="53"/>
    </row>
    <row r="941">
      <c r="C941" s="53"/>
    </row>
    <row r="942">
      <c r="C942" s="53"/>
    </row>
    <row r="943">
      <c r="C943" s="53"/>
    </row>
    <row r="944">
      <c r="C944" s="53"/>
    </row>
    <row r="945">
      <c r="C945" s="53"/>
    </row>
    <row r="946">
      <c r="C946" s="53"/>
    </row>
    <row r="947">
      <c r="C947" s="53"/>
    </row>
    <row r="948">
      <c r="C948" s="53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0"/>
    <col customWidth="1" min="2" max="2" width="34.0"/>
    <col customWidth="1" min="3" max="3" width="24.0"/>
    <col customWidth="1" min="4" max="4" width="18.0"/>
    <col customWidth="1" min="5" max="5" width="3.0"/>
    <col customWidth="1" min="6" max="6" width="22.0"/>
    <col customWidth="1" min="7" max="7" width="18.0"/>
    <col customWidth="1" min="8" max="8" width="12.0"/>
    <col customWidth="1" min="9" max="26" width="8.63"/>
  </cols>
  <sheetData>
    <row r="1" ht="24.0" customHeight="1">
      <c r="A1" s="3" t="s">
        <v>0</v>
      </c>
      <c r="B1" s="5"/>
      <c r="C1" s="5"/>
      <c r="D1" s="6"/>
      <c r="F1" s="7" t="s">
        <v>4</v>
      </c>
      <c r="G1" s="5"/>
      <c r="H1" s="6"/>
    </row>
    <row r="2" ht="13.5" customHeight="1">
      <c r="A2" s="8" t="s">
        <v>5</v>
      </c>
      <c r="B2" s="10">
        <v>1.0</v>
      </c>
      <c r="C2" s="8" t="s">
        <v>7</v>
      </c>
      <c r="D2" s="15">
        <f>COUNTIF(B5:B20,"&lt;&gt;")</f>
        <v>0</v>
      </c>
    </row>
    <row r="3" ht="28.5" customHeight="1">
      <c r="A3" s="12" t="s">
        <v>30</v>
      </c>
      <c r="B3" s="5"/>
      <c r="C3" s="5"/>
      <c r="D3" s="6"/>
    </row>
    <row r="4" ht="13.5" customHeight="1">
      <c r="A4" s="17" t="s">
        <v>34</v>
      </c>
      <c r="B4" s="18" t="s">
        <v>37</v>
      </c>
      <c r="C4" s="19" t="s">
        <v>31</v>
      </c>
      <c r="F4" s="20" t="s">
        <v>31</v>
      </c>
      <c r="G4" s="21" t="s">
        <v>45</v>
      </c>
      <c r="H4" s="22" t="s">
        <v>51</v>
      </c>
    </row>
    <row r="5" ht="17.25" customHeight="1">
      <c r="A5" s="24">
        <v>1.0</v>
      </c>
      <c r="B5" s="28"/>
      <c r="C5" s="29" t="str">
        <f t="shared" ref="C5:C20" si="1">IF(B5="","",INDEX($F$5:$F$20,MATCH(COUNTIF($B$5:B5,"&lt;&gt;"),$H$5:$H$20,0)))</f>
        <v/>
      </c>
      <c r="F5" s="30" t="s">
        <v>23</v>
      </c>
      <c r="G5" s="34">
        <f t="shared" ref="G5:G20" si="2">MOD((ROW()-4)*(7919+MOD($B$2*104729,1000))+$B$2*1543,10007)</f>
        <v>184</v>
      </c>
      <c r="H5" s="35">
        <f t="shared" ref="H5:H20" si="3">RANK(G5,$G$5:$G$20,1)</f>
        <v>1</v>
      </c>
    </row>
    <row r="6" ht="17.25" customHeight="1">
      <c r="A6" s="24">
        <v>2.0</v>
      </c>
      <c r="B6" s="28"/>
      <c r="C6" s="29" t="str">
        <f t="shared" si="1"/>
        <v/>
      </c>
      <c r="F6" s="30" t="s">
        <v>27</v>
      </c>
      <c r="G6" s="34">
        <f t="shared" si="2"/>
        <v>8832</v>
      </c>
      <c r="H6" s="35">
        <f t="shared" si="3"/>
        <v>14</v>
      </c>
    </row>
    <row r="7" ht="17.25" customHeight="1">
      <c r="A7" s="24">
        <v>3.0</v>
      </c>
      <c r="B7" s="28"/>
      <c r="C7" s="29" t="str">
        <f t="shared" si="1"/>
        <v/>
      </c>
      <c r="F7" s="30" t="s">
        <v>48</v>
      </c>
      <c r="G7" s="34">
        <f t="shared" si="2"/>
        <v>7473</v>
      </c>
      <c r="H7" s="35">
        <f t="shared" si="3"/>
        <v>12</v>
      </c>
    </row>
    <row r="8" ht="17.25" customHeight="1">
      <c r="A8" s="24">
        <v>4.0</v>
      </c>
      <c r="B8" s="28"/>
      <c r="C8" s="29" t="str">
        <f t="shared" si="1"/>
        <v/>
      </c>
      <c r="F8" s="30" t="s">
        <v>109</v>
      </c>
      <c r="G8" s="34">
        <f t="shared" si="2"/>
        <v>6114</v>
      </c>
      <c r="H8" s="35">
        <f t="shared" si="3"/>
        <v>10</v>
      </c>
    </row>
    <row r="9" ht="17.25" customHeight="1">
      <c r="A9" s="24">
        <v>5.0</v>
      </c>
      <c r="B9" s="28"/>
      <c r="C9" s="29" t="str">
        <f t="shared" si="1"/>
        <v/>
      </c>
      <c r="F9" s="30" t="s">
        <v>113</v>
      </c>
      <c r="G9" s="34">
        <f t="shared" si="2"/>
        <v>4755</v>
      </c>
      <c r="H9" s="35">
        <f t="shared" si="3"/>
        <v>8</v>
      </c>
    </row>
    <row r="10" ht="17.25" customHeight="1">
      <c r="A10" s="24">
        <v>6.0</v>
      </c>
      <c r="B10" s="28"/>
      <c r="C10" s="29" t="str">
        <f t="shared" si="1"/>
        <v/>
      </c>
      <c r="F10" s="30" t="s">
        <v>116</v>
      </c>
      <c r="G10" s="34">
        <f t="shared" si="2"/>
        <v>3396</v>
      </c>
      <c r="H10" s="35">
        <f t="shared" si="3"/>
        <v>6</v>
      </c>
    </row>
    <row r="11" ht="17.25" customHeight="1">
      <c r="A11" s="24">
        <v>7.0</v>
      </c>
      <c r="B11" s="28"/>
      <c r="C11" s="29" t="str">
        <f t="shared" si="1"/>
        <v/>
      </c>
      <c r="F11" s="30" t="s">
        <v>121</v>
      </c>
      <c r="G11" s="34">
        <f t="shared" si="2"/>
        <v>2037</v>
      </c>
      <c r="H11" s="35">
        <f t="shared" si="3"/>
        <v>4</v>
      </c>
    </row>
    <row r="12" ht="17.25" customHeight="1">
      <c r="A12" s="24">
        <v>8.0</v>
      </c>
      <c r="B12" s="28"/>
      <c r="C12" s="29" t="str">
        <f t="shared" si="1"/>
        <v/>
      </c>
      <c r="F12" s="30" t="s">
        <v>124</v>
      </c>
      <c r="G12" s="34">
        <f t="shared" si="2"/>
        <v>678</v>
      </c>
      <c r="H12" s="35">
        <f t="shared" si="3"/>
        <v>2</v>
      </c>
    </row>
    <row r="13" ht="17.25" customHeight="1">
      <c r="A13" s="24">
        <v>9.0</v>
      </c>
      <c r="B13" s="28"/>
      <c r="C13" s="29" t="str">
        <f t="shared" si="1"/>
        <v/>
      </c>
      <c r="F13" s="30" t="s">
        <v>129</v>
      </c>
      <c r="G13" s="34">
        <f t="shared" si="2"/>
        <v>9326</v>
      </c>
      <c r="H13" s="35">
        <f t="shared" si="3"/>
        <v>15</v>
      </c>
    </row>
    <row r="14" ht="17.25" customHeight="1">
      <c r="A14" s="24">
        <v>10.0</v>
      </c>
      <c r="B14" s="28"/>
      <c r="C14" s="29" t="str">
        <f t="shared" si="1"/>
        <v/>
      </c>
      <c r="F14" s="30" t="s">
        <v>133</v>
      </c>
      <c r="G14" s="34">
        <f t="shared" si="2"/>
        <v>7967</v>
      </c>
      <c r="H14" s="35">
        <f t="shared" si="3"/>
        <v>13</v>
      </c>
    </row>
    <row r="15" ht="17.25" customHeight="1">
      <c r="A15" s="24">
        <v>11.0</v>
      </c>
      <c r="B15" s="28"/>
      <c r="C15" s="29" t="str">
        <f t="shared" si="1"/>
        <v/>
      </c>
      <c r="F15" s="30" t="s">
        <v>135</v>
      </c>
      <c r="G15" s="34">
        <f t="shared" si="2"/>
        <v>6608</v>
      </c>
      <c r="H15" s="35">
        <f t="shared" si="3"/>
        <v>11</v>
      </c>
    </row>
    <row r="16" ht="17.25" customHeight="1">
      <c r="A16" s="24">
        <v>12.0</v>
      </c>
      <c r="B16" s="28"/>
      <c r="C16" s="29" t="str">
        <f t="shared" si="1"/>
        <v/>
      </c>
      <c r="F16" s="30" t="s">
        <v>139</v>
      </c>
      <c r="G16" s="34">
        <f t="shared" si="2"/>
        <v>5249</v>
      </c>
      <c r="H16" s="35">
        <f t="shared" si="3"/>
        <v>9</v>
      </c>
    </row>
    <row r="17" ht="17.25" customHeight="1">
      <c r="A17" s="24">
        <v>13.0</v>
      </c>
      <c r="B17" s="28"/>
      <c r="C17" s="29" t="str">
        <f t="shared" si="1"/>
        <v/>
      </c>
      <c r="F17" s="30" t="s">
        <v>143</v>
      </c>
      <c r="G17" s="34">
        <f t="shared" si="2"/>
        <v>3890</v>
      </c>
      <c r="H17" s="35">
        <f t="shared" si="3"/>
        <v>7</v>
      </c>
    </row>
    <row r="18" ht="17.25" customHeight="1">
      <c r="A18" s="24">
        <v>14.0</v>
      </c>
      <c r="B18" s="28"/>
      <c r="C18" s="29" t="str">
        <f t="shared" si="1"/>
        <v/>
      </c>
      <c r="F18" s="30" t="s">
        <v>148</v>
      </c>
      <c r="G18" s="34">
        <f t="shared" si="2"/>
        <v>2531</v>
      </c>
      <c r="H18" s="35">
        <f t="shared" si="3"/>
        <v>5</v>
      </c>
    </row>
    <row r="19" ht="17.25" customHeight="1">
      <c r="A19" s="24">
        <v>15.0</v>
      </c>
      <c r="B19" s="28"/>
      <c r="C19" s="29" t="str">
        <f t="shared" si="1"/>
        <v/>
      </c>
      <c r="F19" s="30" t="s">
        <v>151</v>
      </c>
      <c r="G19" s="34">
        <f t="shared" si="2"/>
        <v>1172</v>
      </c>
      <c r="H19" s="35">
        <f t="shared" si="3"/>
        <v>3</v>
      </c>
    </row>
    <row r="20" ht="17.25" customHeight="1">
      <c r="A20" s="46">
        <v>16.0</v>
      </c>
      <c r="B20" s="47"/>
      <c r="C20" s="49" t="str">
        <f t="shared" si="1"/>
        <v/>
      </c>
      <c r="F20" s="50" t="s">
        <v>174</v>
      </c>
      <c r="G20" s="52">
        <f t="shared" si="2"/>
        <v>9820</v>
      </c>
      <c r="H20" s="35">
        <f t="shared" si="3"/>
        <v>16</v>
      </c>
    </row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3">
    <mergeCell ref="A1:D1"/>
    <mergeCell ref="F1:H1"/>
    <mergeCell ref="A3:D3"/>
  </mergeCells>
  <conditionalFormatting sqref="A5:C20">
    <cfRule type="expression" dxfId="0" priority="1">
      <formula>AND($B5&lt;&gt;"",$C5&lt;&gt;"")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2.0"/>
    <col customWidth="1" min="3" max="3" width="28.0"/>
    <col customWidth="1" min="4" max="4" width="8.0"/>
    <col customWidth="1" min="5" max="5" width="24.0"/>
    <col customWidth="1" min="6" max="6" width="8.0"/>
    <col customWidth="1" min="7" max="7" width="75.0"/>
    <col customWidth="1" min="8" max="8" width="28.0"/>
    <col customWidth="1" min="9" max="26" width="8.63"/>
    <col customWidth="1" min="27" max="34" width="0.25"/>
  </cols>
  <sheetData>
    <row r="1" ht="24.0" customHeight="1">
      <c r="A1" s="3" t="s">
        <v>2</v>
      </c>
      <c r="B1" s="5"/>
      <c r="C1" s="5"/>
      <c r="D1" s="5"/>
      <c r="E1" s="5"/>
      <c r="F1" s="5"/>
      <c r="G1" s="5"/>
      <c r="H1" s="6"/>
      <c r="AA1" s="11" t="s">
        <v>6</v>
      </c>
      <c r="AB1" s="11" t="s">
        <v>8</v>
      </c>
      <c r="AC1" s="11" t="s">
        <v>9</v>
      </c>
      <c r="AD1" s="11" t="s">
        <v>10</v>
      </c>
      <c r="AE1" s="11" t="s">
        <v>11</v>
      </c>
      <c r="AF1" s="11" t="s">
        <v>12</v>
      </c>
      <c r="AG1" s="11" t="s">
        <v>13</v>
      </c>
      <c r="AH1" s="11" t="s">
        <v>14</v>
      </c>
    </row>
    <row r="2" ht="33.0" customHeight="1">
      <c r="A2" s="12" t="s">
        <v>15</v>
      </c>
      <c r="B2" s="5"/>
      <c r="C2" s="5"/>
      <c r="D2" s="5"/>
      <c r="E2" s="5"/>
      <c r="F2" s="5"/>
      <c r="G2" s="5"/>
      <c r="H2" s="6"/>
      <c r="AA2" s="11">
        <v>1.0</v>
      </c>
      <c r="AB2" s="11" t="s">
        <v>18</v>
      </c>
      <c r="AC2" s="11" t="s">
        <v>19</v>
      </c>
      <c r="AD2" s="11" t="s">
        <v>20</v>
      </c>
      <c r="AE2" s="11" t="s">
        <v>21</v>
      </c>
      <c r="AF2" s="11" t="s">
        <v>22</v>
      </c>
      <c r="AG2" s="11" t="s">
        <v>23</v>
      </c>
    </row>
    <row r="3" ht="13.5" customHeight="1">
      <c r="AA3" s="11">
        <v>2.0</v>
      </c>
      <c r="AB3" s="11" t="s">
        <v>18</v>
      </c>
      <c r="AC3" s="11" t="s">
        <v>19</v>
      </c>
      <c r="AD3" s="11" t="s">
        <v>24</v>
      </c>
      <c r="AE3" s="11" t="s">
        <v>25</v>
      </c>
      <c r="AF3" s="11" t="s">
        <v>26</v>
      </c>
      <c r="AG3" s="11" t="s">
        <v>27</v>
      </c>
    </row>
    <row r="4" ht="24.0" customHeight="1">
      <c r="A4" s="16" t="s">
        <v>29</v>
      </c>
      <c r="B4" s="16" t="s">
        <v>31</v>
      </c>
      <c r="C4" s="16" t="s">
        <v>32</v>
      </c>
      <c r="D4" s="16" t="s">
        <v>6</v>
      </c>
      <c r="E4" s="16" t="s">
        <v>36</v>
      </c>
      <c r="F4" s="16" t="s">
        <v>9</v>
      </c>
      <c r="G4" s="16" t="s">
        <v>40</v>
      </c>
      <c r="H4" s="16" t="s">
        <v>42</v>
      </c>
      <c r="AA4" s="11">
        <v>3.0</v>
      </c>
      <c r="AB4" s="11" t="s">
        <v>18</v>
      </c>
      <c r="AC4" s="11" t="s">
        <v>19</v>
      </c>
      <c r="AD4" s="11" t="s">
        <v>44</v>
      </c>
      <c r="AE4" s="11" t="s">
        <v>46</v>
      </c>
      <c r="AF4" s="11" t="s">
        <v>47</v>
      </c>
      <c r="AG4" s="11" t="s">
        <v>48</v>
      </c>
    </row>
    <row r="5" ht="31.5" customHeight="1">
      <c r="A5" s="23"/>
      <c r="B5" s="25"/>
      <c r="C5" s="25"/>
      <c r="D5" s="26"/>
      <c r="E5" s="26" t="str">
        <f t="shared" ref="E5:E104" si="1">IF(D5="","",INDEX($AB$2:$AB$61,MATCH(D5,$AA$2:$AA$61,0)))</f>
        <v/>
      </c>
      <c r="F5" s="26" t="str">
        <f t="shared" ref="F5:F104" si="2">IF(D5="","",INDEX($AC$2:$AC$61,MATCH(D5,$AA$2:$AA$61,0)))</f>
        <v/>
      </c>
      <c r="G5" s="33" t="str">
        <f t="shared" ref="G5:G104" si="3">IF(D5="","",INDEX($AF$2:$AF$61,MATCH(D5,$AA$2:$AA$61,0)))</f>
        <v/>
      </c>
      <c r="H5" s="39" t="str">
        <f t="shared" ref="H5:H104" si="4">IF(D5="","",IF(D5&lt;=6,"Все играющие страны",IF(D5&lt;=42,B5,B5&amp;" + реальные союзники")))</f>
        <v/>
      </c>
      <c r="AA5" s="11">
        <v>4.0</v>
      </c>
      <c r="AB5" s="11" t="s">
        <v>18</v>
      </c>
      <c r="AC5" s="11" t="s">
        <v>118</v>
      </c>
      <c r="AD5" s="11" t="s">
        <v>119</v>
      </c>
      <c r="AE5" s="11" t="s">
        <v>120</v>
      </c>
      <c r="AF5" s="11" t="s">
        <v>122</v>
      </c>
      <c r="AG5" s="11" t="s">
        <v>109</v>
      </c>
      <c r="AH5" s="11">
        <v>5.3286488E8</v>
      </c>
    </row>
    <row r="6" ht="31.5" customHeight="1">
      <c r="A6" s="41"/>
      <c r="B6" s="42"/>
      <c r="C6" s="42"/>
      <c r="D6" s="45" t="str">
        <f t="shared" ref="D6:D104" si="5">IF(OR(A6="",B6="",C6=""),"",1+MOD($AH6,60))</f>
        <v/>
      </c>
      <c r="E6" s="45" t="str">
        <f t="shared" si="1"/>
        <v/>
      </c>
      <c r="F6" s="45" t="str">
        <f t="shared" si="2"/>
        <v/>
      </c>
      <c r="G6" s="48" t="str">
        <f t="shared" si="3"/>
        <v/>
      </c>
      <c r="H6" s="51" t="str">
        <f t="shared" si="4"/>
        <v/>
      </c>
      <c r="AA6" s="11">
        <v>5.0</v>
      </c>
      <c r="AB6" s="11" t="s">
        <v>18</v>
      </c>
      <c r="AC6" s="11" t="s">
        <v>118</v>
      </c>
      <c r="AD6" s="11" t="s">
        <v>178</v>
      </c>
      <c r="AE6" s="11" t="s">
        <v>181</v>
      </c>
      <c r="AF6" s="11" t="s">
        <v>182</v>
      </c>
      <c r="AG6" s="11" t="s">
        <v>113</v>
      </c>
      <c r="AH6" s="11">
        <v>7.38072406E8</v>
      </c>
    </row>
    <row r="7" ht="31.5" customHeight="1">
      <c r="A7" s="41"/>
      <c r="B7" s="42"/>
      <c r="C7" s="42"/>
      <c r="D7" s="45" t="str">
        <f t="shared" si="5"/>
        <v/>
      </c>
      <c r="E7" s="45" t="str">
        <f t="shared" si="1"/>
        <v/>
      </c>
      <c r="F7" s="45" t="str">
        <f t="shared" si="2"/>
        <v/>
      </c>
      <c r="G7" s="48" t="str">
        <f t="shared" si="3"/>
        <v/>
      </c>
      <c r="H7" s="51" t="str">
        <f t="shared" si="4"/>
        <v/>
      </c>
      <c r="AA7" s="11">
        <v>6.0</v>
      </c>
      <c r="AB7" s="11" t="s">
        <v>18</v>
      </c>
      <c r="AC7" s="11" t="s">
        <v>118</v>
      </c>
      <c r="AD7" s="11" t="s">
        <v>192</v>
      </c>
      <c r="AE7" s="11" t="s">
        <v>194</v>
      </c>
      <c r="AF7" s="11" t="s">
        <v>195</v>
      </c>
      <c r="AG7" s="11" t="s">
        <v>116</v>
      </c>
      <c r="AH7" s="11">
        <v>1.46028049E8</v>
      </c>
    </row>
    <row r="8" ht="31.5" customHeight="1">
      <c r="A8" s="41"/>
      <c r="B8" s="42"/>
      <c r="C8" s="42"/>
      <c r="D8" s="45" t="str">
        <f t="shared" si="5"/>
        <v/>
      </c>
      <c r="E8" s="45" t="str">
        <f t="shared" si="1"/>
        <v/>
      </c>
      <c r="F8" s="45" t="str">
        <f t="shared" si="2"/>
        <v/>
      </c>
      <c r="G8" s="48" t="str">
        <f t="shared" si="3"/>
        <v/>
      </c>
      <c r="H8" s="51" t="str">
        <f t="shared" si="4"/>
        <v/>
      </c>
      <c r="AA8" s="11">
        <v>7.0</v>
      </c>
      <c r="AB8" s="11" t="s">
        <v>199</v>
      </c>
      <c r="AC8" s="11" t="s">
        <v>19</v>
      </c>
      <c r="AD8" s="11" t="s">
        <v>201</v>
      </c>
      <c r="AE8" s="11" t="s">
        <v>202</v>
      </c>
      <c r="AF8" s="11" t="s">
        <v>204</v>
      </c>
      <c r="AG8" s="11" t="s">
        <v>121</v>
      </c>
      <c r="AH8" s="11">
        <v>2.23180726E8</v>
      </c>
    </row>
    <row r="9" ht="31.5" customHeight="1">
      <c r="A9" s="41"/>
      <c r="B9" s="42"/>
      <c r="C9" s="42"/>
      <c r="D9" s="45" t="str">
        <f t="shared" si="5"/>
        <v/>
      </c>
      <c r="E9" s="45" t="str">
        <f t="shared" si="1"/>
        <v/>
      </c>
      <c r="F9" s="45" t="str">
        <f t="shared" si="2"/>
        <v/>
      </c>
      <c r="G9" s="48" t="str">
        <f t="shared" si="3"/>
        <v/>
      </c>
      <c r="H9" s="51" t="str">
        <f t="shared" si="4"/>
        <v/>
      </c>
      <c r="AA9" s="11">
        <v>8.0</v>
      </c>
      <c r="AB9" s="11" t="s">
        <v>199</v>
      </c>
      <c r="AC9" s="11" t="s">
        <v>19</v>
      </c>
      <c r="AD9" s="11" t="s">
        <v>212</v>
      </c>
      <c r="AE9" s="11" t="s">
        <v>213</v>
      </c>
      <c r="AF9" s="11" t="s">
        <v>214</v>
      </c>
      <c r="AG9" s="11" t="s">
        <v>124</v>
      </c>
      <c r="AH9" s="11">
        <v>3.71308414E8</v>
      </c>
    </row>
    <row r="10" ht="31.5" customHeight="1">
      <c r="A10" s="41"/>
      <c r="B10" s="42"/>
      <c r="C10" s="42"/>
      <c r="D10" s="45" t="str">
        <f t="shared" si="5"/>
        <v/>
      </c>
      <c r="E10" s="45" t="str">
        <f t="shared" si="1"/>
        <v/>
      </c>
      <c r="F10" s="45" t="str">
        <f t="shared" si="2"/>
        <v/>
      </c>
      <c r="G10" s="48" t="str">
        <f t="shared" si="3"/>
        <v/>
      </c>
      <c r="H10" s="51" t="str">
        <f t="shared" si="4"/>
        <v/>
      </c>
      <c r="AA10" s="11">
        <v>9.0</v>
      </c>
      <c r="AB10" s="11" t="s">
        <v>199</v>
      </c>
      <c r="AC10" s="11" t="s">
        <v>19</v>
      </c>
      <c r="AD10" s="11" t="s">
        <v>219</v>
      </c>
      <c r="AE10" s="11" t="s">
        <v>221</v>
      </c>
      <c r="AF10" s="11" t="s">
        <v>222</v>
      </c>
      <c r="AG10" s="11" t="s">
        <v>129</v>
      </c>
      <c r="AH10" s="11">
        <v>6.80805893E8</v>
      </c>
    </row>
    <row r="11" ht="31.5" customHeight="1">
      <c r="A11" s="41"/>
      <c r="B11" s="42"/>
      <c r="C11" s="42"/>
      <c r="D11" s="45" t="str">
        <f t="shared" si="5"/>
        <v/>
      </c>
      <c r="E11" s="45" t="str">
        <f t="shared" si="1"/>
        <v/>
      </c>
      <c r="F11" s="45" t="str">
        <f t="shared" si="2"/>
        <v/>
      </c>
      <c r="G11" s="48" t="str">
        <f t="shared" si="3"/>
        <v/>
      </c>
      <c r="H11" s="51" t="str">
        <f t="shared" si="4"/>
        <v/>
      </c>
      <c r="AA11" s="11">
        <v>10.0</v>
      </c>
      <c r="AB11" s="11" t="s">
        <v>199</v>
      </c>
      <c r="AC11" s="11" t="s">
        <v>19</v>
      </c>
      <c r="AD11" s="11" t="s">
        <v>230</v>
      </c>
      <c r="AE11" s="11" t="s">
        <v>231</v>
      </c>
      <c r="AF11" s="11" t="s">
        <v>232</v>
      </c>
      <c r="AG11" s="11" t="s">
        <v>133</v>
      </c>
      <c r="AH11" s="11">
        <v>3.29834871E8</v>
      </c>
    </row>
    <row r="12" ht="31.5" customHeight="1">
      <c r="A12" s="41"/>
      <c r="B12" s="42"/>
      <c r="C12" s="42"/>
      <c r="D12" s="45" t="str">
        <f t="shared" si="5"/>
        <v/>
      </c>
      <c r="E12" s="45" t="str">
        <f t="shared" si="1"/>
        <v/>
      </c>
      <c r="F12" s="45" t="str">
        <f t="shared" si="2"/>
        <v/>
      </c>
      <c r="G12" s="48" t="str">
        <f t="shared" si="3"/>
        <v/>
      </c>
      <c r="H12" s="51" t="str">
        <f t="shared" si="4"/>
        <v/>
      </c>
      <c r="AA12" s="11">
        <v>11.0</v>
      </c>
      <c r="AB12" s="11" t="s">
        <v>199</v>
      </c>
      <c r="AC12" s="11" t="s">
        <v>19</v>
      </c>
      <c r="AD12" s="11" t="s">
        <v>233</v>
      </c>
      <c r="AE12" s="11" t="s">
        <v>234</v>
      </c>
      <c r="AF12" s="11" t="s">
        <v>235</v>
      </c>
      <c r="AG12" s="11" t="s">
        <v>135</v>
      </c>
      <c r="AH12" s="11">
        <v>5.28378035E8</v>
      </c>
    </row>
    <row r="13" ht="31.5" customHeight="1">
      <c r="A13" s="41"/>
      <c r="B13" s="42"/>
      <c r="C13" s="42"/>
      <c r="D13" s="45" t="str">
        <f t="shared" si="5"/>
        <v/>
      </c>
      <c r="E13" s="45" t="str">
        <f t="shared" si="1"/>
        <v/>
      </c>
      <c r="F13" s="45" t="str">
        <f t="shared" si="2"/>
        <v/>
      </c>
      <c r="G13" s="48" t="str">
        <f t="shared" si="3"/>
        <v/>
      </c>
      <c r="H13" s="51" t="str">
        <f t="shared" si="4"/>
        <v/>
      </c>
      <c r="AA13" s="11">
        <v>12.0</v>
      </c>
      <c r="AB13" s="11" t="s">
        <v>199</v>
      </c>
      <c r="AC13" s="11" t="s">
        <v>19</v>
      </c>
      <c r="AD13" s="11" t="s">
        <v>236</v>
      </c>
      <c r="AE13" s="11" t="s">
        <v>237</v>
      </c>
      <c r="AF13" s="11" t="s">
        <v>238</v>
      </c>
      <c r="AG13" s="11" t="s">
        <v>139</v>
      </c>
      <c r="AH13" s="11">
        <v>2.64009268E8</v>
      </c>
    </row>
    <row r="14" ht="31.5" customHeight="1">
      <c r="A14" s="41"/>
      <c r="B14" s="42"/>
      <c r="C14" s="42"/>
      <c r="D14" s="45" t="str">
        <f t="shared" si="5"/>
        <v/>
      </c>
      <c r="E14" s="45" t="str">
        <f t="shared" si="1"/>
        <v/>
      </c>
      <c r="F14" s="45" t="str">
        <f t="shared" si="2"/>
        <v/>
      </c>
      <c r="G14" s="48" t="str">
        <f t="shared" si="3"/>
        <v/>
      </c>
      <c r="H14" s="51" t="str">
        <f t="shared" si="4"/>
        <v/>
      </c>
      <c r="AA14" s="11">
        <v>13.0</v>
      </c>
      <c r="AB14" s="11" t="s">
        <v>199</v>
      </c>
      <c r="AC14" s="11" t="s">
        <v>19</v>
      </c>
      <c r="AD14" s="11" t="s">
        <v>239</v>
      </c>
      <c r="AE14" s="11" t="s">
        <v>240</v>
      </c>
      <c r="AF14" s="11" t="s">
        <v>241</v>
      </c>
      <c r="AG14" s="11" t="s">
        <v>143</v>
      </c>
      <c r="AH14" s="11">
        <v>8.239714E7</v>
      </c>
    </row>
    <row r="15" ht="31.5" customHeight="1">
      <c r="A15" s="41"/>
      <c r="B15" s="42"/>
      <c r="C15" s="42"/>
      <c r="D15" s="45" t="str">
        <f t="shared" si="5"/>
        <v/>
      </c>
      <c r="E15" s="45" t="str">
        <f t="shared" si="1"/>
        <v/>
      </c>
      <c r="F15" s="45" t="str">
        <f t="shared" si="2"/>
        <v/>
      </c>
      <c r="G15" s="48" t="str">
        <f t="shared" si="3"/>
        <v/>
      </c>
      <c r="H15" s="51" t="str">
        <f t="shared" si="4"/>
        <v/>
      </c>
      <c r="AA15" s="11">
        <v>14.0</v>
      </c>
      <c r="AB15" s="11" t="s">
        <v>199</v>
      </c>
      <c r="AC15" s="11" t="s">
        <v>19</v>
      </c>
      <c r="AD15" s="11" t="s">
        <v>242</v>
      </c>
      <c r="AE15" s="11" t="s">
        <v>243</v>
      </c>
      <c r="AF15" s="11" t="s">
        <v>244</v>
      </c>
      <c r="AG15" s="11" t="s">
        <v>148</v>
      </c>
      <c r="AH15" s="11">
        <v>3.80387154E8</v>
      </c>
    </row>
    <row r="16" ht="31.5" customHeight="1">
      <c r="A16" s="41"/>
      <c r="B16" s="42"/>
      <c r="C16" s="42"/>
      <c r="D16" s="45" t="str">
        <f t="shared" si="5"/>
        <v/>
      </c>
      <c r="E16" s="45" t="str">
        <f t="shared" si="1"/>
        <v/>
      </c>
      <c r="F16" s="45" t="str">
        <f t="shared" si="2"/>
        <v/>
      </c>
      <c r="G16" s="48" t="str">
        <f t="shared" si="3"/>
        <v/>
      </c>
      <c r="H16" s="51" t="str">
        <f t="shared" si="4"/>
        <v/>
      </c>
      <c r="AA16" s="11">
        <v>15.0</v>
      </c>
      <c r="AB16" s="11" t="s">
        <v>199</v>
      </c>
      <c r="AC16" s="11" t="s">
        <v>19</v>
      </c>
      <c r="AD16" s="11" t="s">
        <v>245</v>
      </c>
      <c r="AE16" s="11" t="s">
        <v>246</v>
      </c>
      <c r="AF16" s="11" t="s">
        <v>247</v>
      </c>
      <c r="AG16" s="11" t="s">
        <v>151</v>
      </c>
      <c r="AH16" s="11">
        <v>8.21786934E8</v>
      </c>
    </row>
    <row r="17" ht="31.5" customHeight="1">
      <c r="A17" s="41"/>
      <c r="B17" s="42"/>
      <c r="C17" s="42"/>
      <c r="D17" s="45" t="str">
        <f t="shared" si="5"/>
        <v/>
      </c>
      <c r="E17" s="45" t="str">
        <f t="shared" si="1"/>
        <v/>
      </c>
      <c r="F17" s="45" t="str">
        <f t="shared" si="2"/>
        <v/>
      </c>
      <c r="G17" s="48" t="str">
        <f t="shared" si="3"/>
        <v/>
      </c>
      <c r="H17" s="51" t="str">
        <f t="shared" si="4"/>
        <v/>
      </c>
      <c r="AA17" s="11">
        <v>16.0</v>
      </c>
      <c r="AB17" s="11" t="s">
        <v>199</v>
      </c>
      <c r="AC17" s="11" t="s">
        <v>19</v>
      </c>
      <c r="AD17" s="11" t="s">
        <v>248</v>
      </c>
      <c r="AE17" s="11" t="s">
        <v>249</v>
      </c>
      <c r="AF17" s="11" t="s">
        <v>250</v>
      </c>
      <c r="AG17" s="11" t="s">
        <v>174</v>
      </c>
      <c r="AH17" s="11">
        <v>8.07402143E8</v>
      </c>
    </row>
    <row r="18" ht="31.5" customHeight="1">
      <c r="A18" s="41"/>
      <c r="B18" s="42"/>
      <c r="C18" s="42"/>
      <c r="D18" s="45" t="str">
        <f t="shared" si="5"/>
        <v/>
      </c>
      <c r="E18" s="45" t="str">
        <f t="shared" si="1"/>
        <v/>
      </c>
      <c r="F18" s="45" t="str">
        <f t="shared" si="2"/>
        <v/>
      </c>
      <c r="G18" s="48" t="str">
        <f t="shared" si="3"/>
        <v/>
      </c>
      <c r="H18" s="51" t="str">
        <f t="shared" si="4"/>
        <v/>
      </c>
      <c r="AA18" s="11">
        <v>17.0</v>
      </c>
      <c r="AB18" s="11" t="s">
        <v>199</v>
      </c>
      <c r="AC18" s="11" t="s">
        <v>19</v>
      </c>
      <c r="AD18" s="11" t="s">
        <v>251</v>
      </c>
      <c r="AE18" s="11" t="s">
        <v>252</v>
      </c>
      <c r="AF18" s="11" t="s">
        <v>253</v>
      </c>
      <c r="AH18" s="11">
        <v>3.92161551E8</v>
      </c>
    </row>
    <row r="19" ht="31.5" customHeight="1">
      <c r="A19" s="41"/>
      <c r="B19" s="42"/>
      <c r="C19" s="42"/>
      <c r="D19" s="45" t="str">
        <f t="shared" si="5"/>
        <v/>
      </c>
      <c r="E19" s="45" t="str">
        <f t="shared" si="1"/>
        <v/>
      </c>
      <c r="F19" s="45" t="str">
        <f t="shared" si="2"/>
        <v/>
      </c>
      <c r="G19" s="48" t="str">
        <f t="shared" si="3"/>
        <v/>
      </c>
      <c r="H19" s="51" t="str">
        <f t="shared" si="4"/>
        <v/>
      </c>
      <c r="AA19" s="11">
        <v>18.0</v>
      </c>
      <c r="AB19" s="11" t="s">
        <v>199</v>
      </c>
      <c r="AC19" s="11" t="s">
        <v>19</v>
      </c>
      <c r="AD19" s="11" t="s">
        <v>254</v>
      </c>
      <c r="AE19" s="11" t="s">
        <v>255</v>
      </c>
      <c r="AF19" s="11" t="s">
        <v>256</v>
      </c>
      <c r="AH19" s="11">
        <v>5.04456211E8</v>
      </c>
    </row>
    <row r="20" ht="31.5" customHeight="1">
      <c r="A20" s="41"/>
      <c r="B20" s="42"/>
      <c r="C20" s="42"/>
      <c r="D20" s="45" t="str">
        <f t="shared" si="5"/>
        <v/>
      </c>
      <c r="E20" s="45" t="str">
        <f t="shared" si="1"/>
        <v/>
      </c>
      <c r="F20" s="45" t="str">
        <f t="shared" si="2"/>
        <v/>
      </c>
      <c r="G20" s="48" t="str">
        <f t="shared" si="3"/>
        <v/>
      </c>
      <c r="H20" s="51" t="str">
        <f t="shared" si="4"/>
        <v/>
      </c>
      <c r="AA20" s="11">
        <v>19.0</v>
      </c>
      <c r="AB20" s="11" t="s">
        <v>199</v>
      </c>
      <c r="AC20" s="11" t="s">
        <v>19</v>
      </c>
      <c r="AD20" s="11" t="s">
        <v>257</v>
      </c>
      <c r="AE20" s="11" t="s">
        <v>258</v>
      </c>
      <c r="AF20" s="11" t="s">
        <v>259</v>
      </c>
      <c r="AH20" s="11">
        <v>3.07204779E8</v>
      </c>
    </row>
    <row r="21" ht="31.5" customHeight="1">
      <c r="A21" s="41"/>
      <c r="B21" s="42"/>
      <c r="C21" s="42"/>
      <c r="D21" s="45" t="str">
        <f t="shared" si="5"/>
        <v/>
      </c>
      <c r="E21" s="45" t="str">
        <f t="shared" si="1"/>
        <v/>
      </c>
      <c r="F21" s="45" t="str">
        <f t="shared" si="2"/>
        <v/>
      </c>
      <c r="G21" s="48" t="str">
        <f t="shared" si="3"/>
        <v/>
      </c>
      <c r="H21" s="51" t="str">
        <f t="shared" si="4"/>
        <v/>
      </c>
      <c r="AA21" s="11">
        <v>20.0</v>
      </c>
      <c r="AB21" s="11" t="s">
        <v>199</v>
      </c>
      <c r="AC21" s="11" t="s">
        <v>19</v>
      </c>
      <c r="AD21" s="11" t="s">
        <v>260</v>
      </c>
      <c r="AE21" s="11" t="s">
        <v>261</v>
      </c>
      <c r="AF21" s="11" t="s">
        <v>262</v>
      </c>
      <c r="AH21" s="11">
        <v>8.16435575E8</v>
      </c>
    </row>
    <row r="22" ht="31.5" customHeight="1">
      <c r="A22" s="41"/>
      <c r="B22" s="42"/>
      <c r="C22" s="42"/>
      <c r="D22" s="45" t="str">
        <f t="shared" si="5"/>
        <v/>
      </c>
      <c r="E22" s="45" t="str">
        <f t="shared" si="1"/>
        <v/>
      </c>
      <c r="F22" s="45" t="str">
        <f t="shared" si="2"/>
        <v/>
      </c>
      <c r="G22" s="48" t="str">
        <f t="shared" si="3"/>
        <v/>
      </c>
      <c r="H22" s="51" t="str">
        <f t="shared" si="4"/>
        <v/>
      </c>
      <c r="AA22" s="11">
        <v>21.0</v>
      </c>
      <c r="AB22" s="11" t="s">
        <v>199</v>
      </c>
      <c r="AC22" s="11" t="s">
        <v>19</v>
      </c>
      <c r="AD22" s="11" t="s">
        <v>263</v>
      </c>
      <c r="AE22" s="11" t="s">
        <v>264</v>
      </c>
      <c r="AF22" s="11" t="s">
        <v>265</v>
      </c>
      <c r="AH22" s="11">
        <v>8.84001445E8</v>
      </c>
    </row>
    <row r="23" ht="31.5" customHeight="1">
      <c r="A23" s="41"/>
      <c r="B23" s="42"/>
      <c r="C23" s="42"/>
      <c r="D23" s="45" t="str">
        <f t="shared" si="5"/>
        <v/>
      </c>
      <c r="E23" s="45" t="str">
        <f t="shared" si="1"/>
        <v/>
      </c>
      <c r="F23" s="45" t="str">
        <f t="shared" si="2"/>
        <v/>
      </c>
      <c r="G23" s="48" t="str">
        <f t="shared" si="3"/>
        <v/>
      </c>
      <c r="H23" s="51" t="str">
        <f t="shared" si="4"/>
        <v/>
      </c>
      <c r="AA23" s="11">
        <v>22.0</v>
      </c>
      <c r="AB23" s="11" t="s">
        <v>199</v>
      </c>
      <c r="AC23" s="11" t="s">
        <v>19</v>
      </c>
      <c r="AD23" s="11" t="s">
        <v>266</v>
      </c>
      <c r="AE23" s="11" t="s">
        <v>267</v>
      </c>
      <c r="AF23" s="11" t="s">
        <v>268</v>
      </c>
      <c r="AH23" s="11">
        <v>9.82991434E8</v>
      </c>
    </row>
    <row r="24" ht="31.5" customHeight="1">
      <c r="A24" s="41"/>
      <c r="B24" s="42"/>
      <c r="C24" s="42"/>
      <c r="D24" s="45" t="str">
        <f t="shared" si="5"/>
        <v/>
      </c>
      <c r="E24" s="45" t="str">
        <f t="shared" si="1"/>
        <v/>
      </c>
      <c r="F24" s="45" t="str">
        <f t="shared" si="2"/>
        <v/>
      </c>
      <c r="G24" s="48" t="str">
        <f t="shared" si="3"/>
        <v/>
      </c>
      <c r="H24" s="51" t="str">
        <f t="shared" si="4"/>
        <v/>
      </c>
      <c r="AA24" s="11">
        <v>23.0</v>
      </c>
      <c r="AB24" s="11" t="s">
        <v>199</v>
      </c>
      <c r="AC24" s="11" t="s">
        <v>19</v>
      </c>
      <c r="AD24" s="11" t="s">
        <v>269</v>
      </c>
      <c r="AE24" s="11" t="s">
        <v>270</v>
      </c>
      <c r="AF24" s="11" t="s">
        <v>271</v>
      </c>
      <c r="AH24" s="11">
        <v>8.74741985E8</v>
      </c>
    </row>
    <row r="25" ht="31.5" customHeight="1">
      <c r="A25" s="41"/>
      <c r="B25" s="42"/>
      <c r="C25" s="42"/>
      <c r="D25" s="45" t="str">
        <f t="shared" si="5"/>
        <v/>
      </c>
      <c r="E25" s="45" t="str">
        <f t="shared" si="1"/>
        <v/>
      </c>
      <c r="F25" s="45" t="str">
        <f t="shared" si="2"/>
        <v/>
      </c>
      <c r="G25" s="48" t="str">
        <f t="shared" si="3"/>
        <v/>
      </c>
      <c r="H25" s="51" t="str">
        <f t="shared" si="4"/>
        <v/>
      </c>
      <c r="AA25" s="11">
        <v>24.0</v>
      </c>
      <c r="AB25" s="11" t="s">
        <v>199</v>
      </c>
      <c r="AC25" s="11" t="s">
        <v>19</v>
      </c>
      <c r="AD25" s="11" t="s">
        <v>272</v>
      </c>
      <c r="AE25" s="11" t="s">
        <v>273</v>
      </c>
      <c r="AF25" s="11" t="s">
        <v>274</v>
      </c>
      <c r="AH25" s="11">
        <v>3.49623356E8</v>
      </c>
    </row>
    <row r="26" ht="31.5" customHeight="1">
      <c r="A26" s="41"/>
      <c r="B26" s="42"/>
      <c r="C26" s="42"/>
      <c r="D26" s="45" t="str">
        <f t="shared" si="5"/>
        <v/>
      </c>
      <c r="E26" s="45" t="str">
        <f t="shared" si="1"/>
        <v/>
      </c>
      <c r="F26" s="45" t="str">
        <f t="shared" si="2"/>
        <v/>
      </c>
      <c r="G26" s="48" t="str">
        <f t="shared" si="3"/>
        <v/>
      </c>
      <c r="H26" s="51" t="str">
        <f t="shared" si="4"/>
        <v/>
      </c>
      <c r="AA26" s="11">
        <v>25.0</v>
      </c>
      <c r="AB26" s="11" t="s">
        <v>199</v>
      </c>
      <c r="AC26" s="11" t="s">
        <v>118</v>
      </c>
      <c r="AD26" s="11" t="s">
        <v>275</v>
      </c>
      <c r="AE26" s="11" t="s">
        <v>276</v>
      </c>
      <c r="AF26" s="11" t="s">
        <v>277</v>
      </c>
      <c r="AH26" s="11">
        <v>1.99338029E8</v>
      </c>
    </row>
    <row r="27" ht="31.5" customHeight="1">
      <c r="A27" s="41"/>
      <c r="B27" s="42"/>
      <c r="C27" s="42"/>
      <c r="D27" s="45" t="str">
        <f t="shared" si="5"/>
        <v/>
      </c>
      <c r="E27" s="45" t="str">
        <f t="shared" si="1"/>
        <v/>
      </c>
      <c r="F27" s="45" t="str">
        <f t="shared" si="2"/>
        <v/>
      </c>
      <c r="G27" s="48" t="str">
        <f t="shared" si="3"/>
        <v/>
      </c>
      <c r="H27" s="51" t="str">
        <f t="shared" si="4"/>
        <v/>
      </c>
      <c r="AA27" s="11">
        <v>26.0</v>
      </c>
      <c r="AB27" s="11" t="s">
        <v>199</v>
      </c>
      <c r="AC27" s="11" t="s">
        <v>118</v>
      </c>
      <c r="AD27" s="11" t="s">
        <v>278</v>
      </c>
      <c r="AE27" s="11" t="s">
        <v>279</v>
      </c>
      <c r="AF27" s="11" t="s">
        <v>280</v>
      </c>
      <c r="AH27" s="11">
        <v>2.38964164E8</v>
      </c>
    </row>
    <row r="28" ht="31.5" customHeight="1">
      <c r="A28" s="41"/>
      <c r="B28" s="42"/>
      <c r="C28" s="42"/>
      <c r="D28" s="45" t="str">
        <f t="shared" si="5"/>
        <v/>
      </c>
      <c r="E28" s="45" t="str">
        <f t="shared" si="1"/>
        <v/>
      </c>
      <c r="F28" s="45" t="str">
        <f t="shared" si="2"/>
        <v/>
      </c>
      <c r="G28" s="48" t="str">
        <f t="shared" si="3"/>
        <v/>
      </c>
      <c r="H28" s="51" t="str">
        <f t="shared" si="4"/>
        <v/>
      </c>
      <c r="AA28" s="11">
        <v>27.0</v>
      </c>
      <c r="AB28" s="11" t="s">
        <v>199</v>
      </c>
      <c r="AC28" s="11" t="s">
        <v>118</v>
      </c>
      <c r="AD28" s="11" t="s">
        <v>281</v>
      </c>
      <c r="AE28" s="11" t="s">
        <v>282</v>
      </c>
      <c r="AF28" s="11" t="s">
        <v>283</v>
      </c>
      <c r="AH28" s="11">
        <v>3.53612485E8</v>
      </c>
    </row>
    <row r="29" ht="31.5" customHeight="1">
      <c r="A29" s="41"/>
      <c r="B29" s="42"/>
      <c r="C29" s="42"/>
      <c r="D29" s="45" t="str">
        <f t="shared" si="5"/>
        <v/>
      </c>
      <c r="E29" s="45" t="str">
        <f t="shared" si="1"/>
        <v/>
      </c>
      <c r="F29" s="45" t="str">
        <f t="shared" si="2"/>
        <v/>
      </c>
      <c r="G29" s="48" t="str">
        <f t="shared" si="3"/>
        <v/>
      </c>
      <c r="H29" s="51" t="str">
        <f t="shared" si="4"/>
        <v/>
      </c>
      <c r="AA29" s="11">
        <v>28.0</v>
      </c>
      <c r="AB29" s="11" t="s">
        <v>199</v>
      </c>
      <c r="AC29" s="11" t="s">
        <v>118</v>
      </c>
      <c r="AD29" s="11" t="s">
        <v>284</v>
      </c>
      <c r="AE29" s="11" t="s">
        <v>285</v>
      </c>
      <c r="AF29" s="11" t="s">
        <v>286</v>
      </c>
      <c r="AH29" s="11">
        <v>1.2291838E7</v>
      </c>
    </row>
    <row r="30" ht="31.5" customHeight="1">
      <c r="A30" s="41"/>
      <c r="B30" s="42"/>
      <c r="C30" s="42"/>
      <c r="D30" s="45" t="str">
        <f t="shared" si="5"/>
        <v/>
      </c>
      <c r="E30" s="45" t="str">
        <f t="shared" si="1"/>
        <v/>
      </c>
      <c r="F30" s="45" t="str">
        <f t="shared" si="2"/>
        <v/>
      </c>
      <c r="G30" s="48" t="str">
        <f t="shared" si="3"/>
        <v/>
      </c>
      <c r="H30" s="51" t="str">
        <f t="shared" si="4"/>
        <v/>
      </c>
      <c r="AA30" s="11">
        <v>29.0</v>
      </c>
      <c r="AB30" s="11" t="s">
        <v>199</v>
      </c>
      <c r="AC30" s="11" t="s">
        <v>118</v>
      </c>
      <c r="AD30" s="11" t="s">
        <v>287</v>
      </c>
      <c r="AE30" s="11" t="s">
        <v>288</v>
      </c>
      <c r="AF30" s="11" t="s">
        <v>289</v>
      </c>
      <c r="AH30" s="11">
        <v>2.42111161E8</v>
      </c>
    </row>
    <row r="31" ht="31.5" customHeight="1">
      <c r="A31" s="41"/>
      <c r="B31" s="42"/>
      <c r="C31" s="42"/>
      <c r="D31" s="45" t="str">
        <f t="shared" si="5"/>
        <v/>
      </c>
      <c r="E31" s="45" t="str">
        <f t="shared" si="1"/>
        <v/>
      </c>
      <c r="F31" s="45" t="str">
        <f t="shared" si="2"/>
        <v/>
      </c>
      <c r="G31" s="48" t="str">
        <f t="shared" si="3"/>
        <v/>
      </c>
      <c r="H31" s="51" t="str">
        <f t="shared" si="4"/>
        <v/>
      </c>
      <c r="AA31" s="11">
        <v>30.0</v>
      </c>
      <c r="AB31" s="11" t="s">
        <v>199</v>
      </c>
      <c r="AC31" s="11" t="s">
        <v>118</v>
      </c>
      <c r="AD31" s="11" t="s">
        <v>290</v>
      </c>
      <c r="AE31" s="11" t="s">
        <v>291</v>
      </c>
      <c r="AF31" s="11" t="s">
        <v>292</v>
      </c>
      <c r="AH31" s="11">
        <v>8.64509722E8</v>
      </c>
    </row>
    <row r="32" ht="31.5" customHeight="1">
      <c r="A32" s="41"/>
      <c r="B32" s="42"/>
      <c r="C32" s="42"/>
      <c r="D32" s="45" t="str">
        <f t="shared" si="5"/>
        <v/>
      </c>
      <c r="E32" s="45" t="str">
        <f t="shared" si="1"/>
        <v/>
      </c>
      <c r="F32" s="45" t="str">
        <f t="shared" si="2"/>
        <v/>
      </c>
      <c r="G32" s="48" t="str">
        <f t="shared" si="3"/>
        <v/>
      </c>
      <c r="H32" s="51" t="str">
        <f t="shared" si="4"/>
        <v/>
      </c>
      <c r="AA32" s="11">
        <v>31.0</v>
      </c>
      <c r="AB32" s="11" t="s">
        <v>199</v>
      </c>
      <c r="AC32" s="11" t="s">
        <v>118</v>
      </c>
      <c r="AD32" s="11" t="s">
        <v>293</v>
      </c>
      <c r="AE32" s="11" t="s">
        <v>294</v>
      </c>
      <c r="AF32" s="11" t="s">
        <v>295</v>
      </c>
      <c r="AH32" s="11">
        <v>4.66789512E8</v>
      </c>
    </row>
    <row r="33" ht="31.5" customHeight="1">
      <c r="A33" s="41"/>
      <c r="B33" s="42"/>
      <c r="C33" s="42"/>
      <c r="D33" s="45" t="str">
        <f t="shared" si="5"/>
        <v/>
      </c>
      <c r="E33" s="45" t="str">
        <f t="shared" si="1"/>
        <v/>
      </c>
      <c r="F33" s="45" t="str">
        <f t="shared" si="2"/>
        <v/>
      </c>
      <c r="G33" s="48" t="str">
        <f t="shared" si="3"/>
        <v/>
      </c>
      <c r="H33" s="51" t="str">
        <f t="shared" si="4"/>
        <v/>
      </c>
      <c r="AA33" s="11">
        <v>32.0</v>
      </c>
      <c r="AB33" s="11" t="s">
        <v>199</v>
      </c>
      <c r="AC33" s="11" t="s">
        <v>118</v>
      </c>
      <c r="AD33" s="11" t="s">
        <v>296</v>
      </c>
      <c r="AE33" s="11" t="s">
        <v>297</v>
      </c>
      <c r="AF33" s="11" t="s">
        <v>298</v>
      </c>
      <c r="AH33" s="11">
        <v>2.71104598E8</v>
      </c>
    </row>
    <row r="34" ht="31.5" customHeight="1">
      <c r="A34" s="41"/>
      <c r="B34" s="42"/>
      <c r="C34" s="42"/>
      <c r="D34" s="45" t="str">
        <f t="shared" si="5"/>
        <v/>
      </c>
      <c r="E34" s="45" t="str">
        <f t="shared" si="1"/>
        <v/>
      </c>
      <c r="F34" s="45" t="str">
        <f t="shared" si="2"/>
        <v/>
      </c>
      <c r="G34" s="48" t="str">
        <f t="shared" si="3"/>
        <v/>
      </c>
      <c r="H34" s="51" t="str">
        <f t="shared" si="4"/>
        <v/>
      </c>
      <c r="AA34" s="11">
        <v>33.0</v>
      </c>
      <c r="AB34" s="11" t="s">
        <v>199</v>
      </c>
      <c r="AC34" s="11" t="s">
        <v>118</v>
      </c>
      <c r="AD34" s="11" t="s">
        <v>299</v>
      </c>
      <c r="AE34" s="11" t="s">
        <v>300</v>
      </c>
      <c r="AF34" s="11" t="s">
        <v>301</v>
      </c>
      <c r="AH34" s="11">
        <v>4.38542442E8</v>
      </c>
    </row>
    <row r="35" ht="31.5" customHeight="1">
      <c r="A35" s="41"/>
      <c r="B35" s="42"/>
      <c r="C35" s="42"/>
      <c r="D35" s="45" t="str">
        <f t="shared" si="5"/>
        <v/>
      </c>
      <c r="E35" s="45" t="str">
        <f t="shared" si="1"/>
        <v/>
      </c>
      <c r="F35" s="45" t="str">
        <f t="shared" si="2"/>
        <v/>
      </c>
      <c r="G35" s="48" t="str">
        <f t="shared" si="3"/>
        <v/>
      </c>
      <c r="H35" s="51" t="str">
        <f t="shared" si="4"/>
        <v/>
      </c>
      <c r="AA35" s="11">
        <v>34.0</v>
      </c>
      <c r="AB35" s="11" t="s">
        <v>199</v>
      </c>
      <c r="AC35" s="11" t="s">
        <v>118</v>
      </c>
      <c r="AD35" s="11" t="s">
        <v>302</v>
      </c>
      <c r="AE35" s="11" t="s">
        <v>303</v>
      </c>
      <c r="AF35" s="11" t="s">
        <v>304</v>
      </c>
      <c r="AH35" s="11">
        <v>1.12101137E8</v>
      </c>
    </row>
    <row r="36" ht="31.5" customHeight="1">
      <c r="A36" s="41"/>
      <c r="B36" s="42"/>
      <c r="C36" s="42"/>
      <c r="D36" s="45" t="str">
        <f t="shared" si="5"/>
        <v/>
      </c>
      <c r="E36" s="45" t="str">
        <f t="shared" si="1"/>
        <v/>
      </c>
      <c r="F36" s="45" t="str">
        <f t="shared" si="2"/>
        <v/>
      </c>
      <c r="G36" s="48" t="str">
        <f t="shared" si="3"/>
        <v/>
      </c>
      <c r="H36" s="51" t="str">
        <f t="shared" si="4"/>
        <v/>
      </c>
      <c r="AA36" s="11">
        <v>35.0</v>
      </c>
      <c r="AB36" s="11" t="s">
        <v>199</v>
      </c>
      <c r="AC36" s="11" t="s">
        <v>118</v>
      </c>
      <c r="AD36" s="11" t="s">
        <v>305</v>
      </c>
      <c r="AE36" s="11" t="s">
        <v>306</v>
      </c>
      <c r="AF36" s="11" t="s">
        <v>307</v>
      </c>
      <c r="AH36" s="11">
        <v>9.06743105E8</v>
      </c>
    </row>
    <row r="37" ht="31.5" customHeight="1">
      <c r="A37" s="41"/>
      <c r="B37" s="42"/>
      <c r="C37" s="42"/>
      <c r="D37" s="45" t="str">
        <f t="shared" si="5"/>
        <v/>
      </c>
      <c r="E37" s="45" t="str">
        <f t="shared" si="1"/>
        <v/>
      </c>
      <c r="F37" s="45" t="str">
        <f t="shared" si="2"/>
        <v/>
      </c>
      <c r="G37" s="48" t="str">
        <f t="shared" si="3"/>
        <v/>
      </c>
      <c r="H37" s="51" t="str">
        <f t="shared" si="4"/>
        <v/>
      </c>
      <c r="AA37" s="11">
        <v>36.0</v>
      </c>
      <c r="AB37" s="11" t="s">
        <v>199</v>
      </c>
      <c r="AC37" s="11" t="s">
        <v>118</v>
      </c>
      <c r="AD37" s="11" t="s">
        <v>308</v>
      </c>
      <c r="AE37" s="11" t="s">
        <v>309</v>
      </c>
      <c r="AF37" s="11" t="s">
        <v>310</v>
      </c>
      <c r="AH37" s="11">
        <v>8.91202334E8</v>
      </c>
    </row>
    <row r="38" ht="31.5" customHeight="1">
      <c r="A38" s="41"/>
      <c r="B38" s="42"/>
      <c r="C38" s="42"/>
      <c r="D38" s="45" t="str">
        <f t="shared" si="5"/>
        <v/>
      </c>
      <c r="E38" s="45" t="str">
        <f t="shared" si="1"/>
        <v/>
      </c>
      <c r="F38" s="45" t="str">
        <f t="shared" si="2"/>
        <v/>
      </c>
      <c r="G38" s="48" t="str">
        <f t="shared" si="3"/>
        <v/>
      </c>
      <c r="H38" s="51" t="str">
        <f t="shared" si="4"/>
        <v/>
      </c>
      <c r="AA38" s="11">
        <v>37.0</v>
      </c>
      <c r="AB38" s="11" t="s">
        <v>199</v>
      </c>
      <c r="AC38" s="11" t="s">
        <v>118</v>
      </c>
      <c r="AD38" s="11" t="s">
        <v>311</v>
      </c>
      <c r="AE38" s="11" t="s">
        <v>312</v>
      </c>
      <c r="AF38" s="11" t="s">
        <v>313</v>
      </c>
      <c r="AH38" s="11">
        <v>4.28172009E8</v>
      </c>
    </row>
    <row r="39" ht="31.5" customHeight="1">
      <c r="A39" s="41"/>
      <c r="B39" s="42"/>
      <c r="C39" s="42"/>
      <c r="D39" s="45" t="str">
        <f t="shared" si="5"/>
        <v/>
      </c>
      <c r="E39" s="45" t="str">
        <f t="shared" si="1"/>
        <v/>
      </c>
      <c r="F39" s="45" t="str">
        <f t="shared" si="2"/>
        <v/>
      </c>
      <c r="G39" s="48" t="str">
        <f t="shared" si="3"/>
        <v/>
      </c>
      <c r="H39" s="51" t="str">
        <f t="shared" si="4"/>
        <v/>
      </c>
      <c r="AA39" s="11">
        <v>38.0</v>
      </c>
      <c r="AB39" s="11" t="s">
        <v>199</v>
      </c>
      <c r="AC39" s="11" t="s">
        <v>118</v>
      </c>
      <c r="AD39" s="11" t="s">
        <v>314</v>
      </c>
      <c r="AE39" s="11" t="s">
        <v>315</v>
      </c>
      <c r="AF39" s="11" t="s">
        <v>316</v>
      </c>
      <c r="AH39" s="11">
        <v>4.41810619E8</v>
      </c>
    </row>
    <row r="40" ht="31.5" customHeight="1">
      <c r="A40" s="41"/>
      <c r="B40" s="42"/>
      <c r="C40" s="42"/>
      <c r="D40" s="45" t="str">
        <f t="shared" si="5"/>
        <v/>
      </c>
      <c r="E40" s="45" t="str">
        <f t="shared" si="1"/>
        <v/>
      </c>
      <c r="F40" s="45" t="str">
        <f t="shared" si="2"/>
        <v/>
      </c>
      <c r="G40" s="48" t="str">
        <f t="shared" si="3"/>
        <v/>
      </c>
      <c r="H40" s="51" t="str">
        <f t="shared" si="4"/>
        <v/>
      </c>
      <c r="AA40" s="11">
        <v>39.0</v>
      </c>
      <c r="AB40" s="11" t="s">
        <v>199</v>
      </c>
      <c r="AC40" s="11" t="s">
        <v>118</v>
      </c>
      <c r="AD40" s="11" t="s">
        <v>317</v>
      </c>
      <c r="AE40" s="11" t="s">
        <v>318</v>
      </c>
      <c r="AF40" s="11" t="s">
        <v>319</v>
      </c>
      <c r="AH40" s="11">
        <v>7.3753811E8</v>
      </c>
    </row>
    <row r="41" ht="31.5" customHeight="1">
      <c r="A41" s="41"/>
      <c r="B41" s="42"/>
      <c r="C41" s="42"/>
      <c r="D41" s="45" t="str">
        <f t="shared" si="5"/>
        <v/>
      </c>
      <c r="E41" s="45" t="str">
        <f t="shared" si="1"/>
        <v/>
      </c>
      <c r="F41" s="45" t="str">
        <f t="shared" si="2"/>
        <v/>
      </c>
      <c r="G41" s="48" t="str">
        <f t="shared" si="3"/>
        <v/>
      </c>
      <c r="H41" s="51" t="str">
        <f t="shared" si="4"/>
        <v/>
      </c>
      <c r="AA41" s="11">
        <v>40.0</v>
      </c>
      <c r="AB41" s="11" t="s">
        <v>199</v>
      </c>
      <c r="AC41" s="11" t="s">
        <v>118</v>
      </c>
      <c r="AD41" s="11" t="s">
        <v>320</v>
      </c>
      <c r="AE41" s="11" t="s">
        <v>321</v>
      </c>
      <c r="AF41" s="11" t="s">
        <v>322</v>
      </c>
      <c r="AH41" s="11">
        <v>2.46617847E8</v>
      </c>
    </row>
    <row r="42" ht="31.5" customHeight="1">
      <c r="A42" s="41"/>
      <c r="B42" s="42"/>
      <c r="C42" s="42"/>
      <c r="D42" s="45" t="str">
        <f t="shared" si="5"/>
        <v/>
      </c>
      <c r="E42" s="45" t="str">
        <f t="shared" si="1"/>
        <v/>
      </c>
      <c r="F42" s="45" t="str">
        <f t="shared" si="2"/>
        <v/>
      </c>
      <c r="G42" s="48" t="str">
        <f t="shared" si="3"/>
        <v/>
      </c>
      <c r="H42" s="51" t="str">
        <f t="shared" si="4"/>
        <v/>
      </c>
      <c r="AA42" s="11">
        <v>41.0</v>
      </c>
      <c r="AB42" s="11" t="s">
        <v>199</v>
      </c>
      <c r="AC42" s="11" t="s">
        <v>118</v>
      </c>
      <c r="AD42" s="11" t="s">
        <v>323</v>
      </c>
      <c r="AE42" s="11" t="s">
        <v>324</v>
      </c>
      <c r="AF42" s="11" t="s">
        <v>325</v>
      </c>
      <c r="AH42" s="11">
        <v>5.69400423E8</v>
      </c>
    </row>
    <row r="43" ht="31.5" customHeight="1">
      <c r="A43" s="41"/>
      <c r="B43" s="42"/>
      <c r="C43" s="42"/>
      <c r="D43" s="45" t="str">
        <f t="shared" si="5"/>
        <v/>
      </c>
      <c r="E43" s="45" t="str">
        <f t="shared" si="1"/>
        <v/>
      </c>
      <c r="F43" s="45" t="str">
        <f t="shared" si="2"/>
        <v/>
      </c>
      <c r="G43" s="48" t="str">
        <f t="shared" si="3"/>
        <v/>
      </c>
      <c r="H43" s="51" t="str">
        <f t="shared" si="4"/>
        <v/>
      </c>
      <c r="AA43" s="11">
        <v>42.0</v>
      </c>
      <c r="AB43" s="11" t="s">
        <v>199</v>
      </c>
      <c r="AC43" s="11" t="s">
        <v>118</v>
      </c>
      <c r="AD43" s="11" t="s">
        <v>326</v>
      </c>
      <c r="AE43" s="11" t="s">
        <v>327</v>
      </c>
      <c r="AF43" s="11" t="s">
        <v>328</v>
      </c>
      <c r="AH43" s="11">
        <v>2.05010216E8</v>
      </c>
    </row>
    <row r="44" ht="31.5" customHeight="1">
      <c r="A44" s="41"/>
      <c r="B44" s="42"/>
      <c r="C44" s="42"/>
      <c r="D44" s="45" t="str">
        <f t="shared" si="5"/>
        <v/>
      </c>
      <c r="E44" s="45" t="str">
        <f t="shared" si="1"/>
        <v/>
      </c>
      <c r="F44" s="45" t="str">
        <f t="shared" si="2"/>
        <v/>
      </c>
      <c r="G44" s="48" t="str">
        <f t="shared" si="3"/>
        <v/>
      </c>
      <c r="H44" s="51" t="str">
        <f t="shared" si="4"/>
        <v/>
      </c>
      <c r="AA44" s="11">
        <v>43.0</v>
      </c>
      <c r="AB44" s="11" t="s">
        <v>329</v>
      </c>
      <c r="AC44" s="11" t="s">
        <v>19</v>
      </c>
      <c r="AD44" s="11" t="s">
        <v>330</v>
      </c>
      <c r="AE44" s="11" t="s">
        <v>331</v>
      </c>
      <c r="AF44" s="11" t="s">
        <v>332</v>
      </c>
      <c r="AH44" s="11">
        <v>5.19827369E8</v>
      </c>
    </row>
    <row r="45" ht="31.5" customHeight="1">
      <c r="A45" s="41"/>
      <c r="B45" s="42"/>
      <c r="C45" s="42"/>
      <c r="D45" s="45" t="str">
        <f t="shared" si="5"/>
        <v/>
      </c>
      <c r="E45" s="45" t="str">
        <f t="shared" si="1"/>
        <v/>
      </c>
      <c r="F45" s="45" t="str">
        <f t="shared" si="2"/>
        <v/>
      </c>
      <c r="G45" s="48" t="str">
        <f t="shared" si="3"/>
        <v/>
      </c>
      <c r="H45" s="51" t="str">
        <f t="shared" si="4"/>
        <v/>
      </c>
      <c r="AA45" s="11">
        <v>44.0</v>
      </c>
      <c r="AB45" s="11" t="s">
        <v>329</v>
      </c>
      <c r="AC45" s="11" t="s">
        <v>19</v>
      </c>
      <c r="AD45" s="11" t="s">
        <v>333</v>
      </c>
      <c r="AE45" s="11" t="s">
        <v>334</v>
      </c>
      <c r="AF45" s="11" t="s">
        <v>335</v>
      </c>
      <c r="AH45" s="11">
        <v>4.6825351E7</v>
      </c>
    </row>
    <row r="46" ht="31.5" customHeight="1">
      <c r="A46" s="41"/>
      <c r="B46" s="42"/>
      <c r="C46" s="42"/>
      <c r="D46" s="45" t="str">
        <f t="shared" si="5"/>
        <v/>
      </c>
      <c r="E46" s="45" t="str">
        <f t="shared" si="1"/>
        <v/>
      </c>
      <c r="F46" s="45" t="str">
        <f t="shared" si="2"/>
        <v/>
      </c>
      <c r="G46" s="48" t="str">
        <f t="shared" si="3"/>
        <v/>
      </c>
      <c r="H46" s="51" t="str">
        <f t="shared" si="4"/>
        <v/>
      </c>
      <c r="AA46" s="11">
        <v>45.0</v>
      </c>
      <c r="AB46" s="11" t="s">
        <v>329</v>
      </c>
      <c r="AC46" s="11" t="s">
        <v>19</v>
      </c>
      <c r="AD46" s="11" t="s">
        <v>336</v>
      </c>
      <c r="AE46" s="11" t="s">
        <v>337</v>
      </c>
      <c r="AF46" s="11" t="s">
        <v>338</v>
      </c>
      <c r="AH46" s="11">
        <v>7.85304849E8</v>
      </c>
    </row>
    <row r="47" ht="31.5" customHeight="1">
      <c r="A47" s="41"/>
      <c r="B47" s="42"/>
      <c r="C47" s="42"/>
      <c r="D47" s="45" t="str">
        <f t="shared" si="5"/>
        <v/>
      </c>
      <c r="E47" s="45" t="str">
        <f t="shared" si="1"/>
        <v/>
      </c>
      <c r="F47" s="45" t="str">
        <f t="shared" si="2"/>
        <v/>
      </c>
      <c r="G47" s="48" t="str">
        <f t="shared" si="3"/>
        <v/>
      </c>
      <c r="H47" s="51" t="str">
        <f t="shared" si="4"/>
        <v/>
      </c>
      <c r="AA47" s="11">
        <v>46.0</v>
      </c>
      <c r="AB47" s="11" t="s">
        <v>329</v>
      </c>
      <c r="AC47" s="11" t="s">
        <v>19</v>
      </c>
      <c r="AD47" s="11" t="s">
        <v>339</v>
      </c>
      <c r="AE47" s="11" t="s">
        <v>340</v>
      </c>
      <c r="AF47" s="11" t="s">
        <v>341</v>
      </c>
      <c r="AH47" s="11">
        <v>2.04540469E8</v>
      </c>
    </row>
    <row r="48" ht="31.5" customHeight="1">
      <c r="A48" s="41"/>
      <c r="B48" s="42"/>
      <c r="C48" s="42"/>
      <c r="D48" s="45" t="str">
        <f t="shared" si="5"/>
        <v/>
      </c>
      <c r="E48" s="45" t="str">
        <f t="shared" si="1"/>
        <v/>
      </c>
      <c r="F48" s="45" t="str">
        <f t="shared" si="2"/>
        <v/>
      </c>
      <c r="G48" s="48" t="str">
        <f t="shared" si="3"/>
        <v/>
      </c>
      <c r="H48" s="51" t="str">
        <f t="shared" si="4"/>
        <v/>
      </c>
      <c r="AA48" s="11">
        <v>47.0</v>
      </c>
      <c r="AB48" s="11" t="s">
        <v>329</v>
      </c>
      <c r="AC48" s="11" t="s">
        <v>19</v>
      </c>
      <c r="AD48" s="11" t="s">
        <v>342</v>
      </c>
      <c r="AE48" s="11" t="s">
        <v>343</v>
      </c>
      <c r="AF48" s="11" t="s">
        <v>344</v>
      </c>
      <c r="AH48" s="11">
        <v>3.81720212E8</v>
      </c>
    </row>
    <row r="49" ht="31.5" customHeight="1">
      <c r="A49" s="41"/>
      <c r="B49" s="42"/>
      <c r="C49" s="42"/>
      <c r="D49" s="45" t="str">
        <f t="shared" si="5"/>
        <v/>
      </c>
      <c r="E49" s="45" t="str">
        <f t="shared" si="1"/>
        <v/>
      </c>
      <c r="F49" s="45" t="str">
        <f t="shared" si="2"/>
        <v/>
      </c>
      <c r="G49" s="48" t="str">
        <f t="shared" si="3"/>
        <v/>
      </c>
      <c r="H49" s="51" t="str">
        <f t="shared" si="4"/>
        <v/>
      </c>
      <c r="AA49" s="11">
        <v>48.0</v>
      </c>
      <c r="AB49" s="11" t="s">
        <v>329</v>
      </c>
      <c r="AC49" s="11" t="s">
        <v>19</v>
      </c>
      <c r="AD49" s="11" t="s">
        <v>345</v>
      </c>
      <c r="AE49" s="11" t="s">
        <v>346</v>
      </c>
      <c r="AF49" s="11" t="s">
        <v>347</v>
      </c>
      <c r="AH49" s="11">
        <v>1.9525056E8</v>
      </c>
    </row>
    <row r="50" ht="31.5" customHeight="1">
      <c r="A50" s="41"/>
      <c r="B50" s="42"/>
      <c r="C50" s="42"/>
      <c r="D50" s="45" t="str">
        <f t="shared" si="5"/>
        <v/>
      </c>
      <c r="E50" s="45" t="str">
        <f t="shared" si="1"/>
        <v/>
      </c>
      <c r="F50" s="45" t="str">
        <f t="shared" si="2"/>
        <v/>
      </c>
      <c r="G50" s="48" t="str">
        <f t="shared" si="3"/>
        <v/>
      </c>
      <c r="H50" s="51" t="str">
        <f t="shared" si="4"/>
        <v/>
      </c>
      <c r="AA50" s="11">
        <v>49.0</v>
      </c>
      <c r="AB50" s="11" t="s">
        <v>329</v>
      </c>
      <c r="AC50" s="11" t="s">
        <v>19</v>
      </c>
      <c r="AD50" s="11" t="s">
        <v>348</v>
      </c>
      <c r="AE50" s="11" t="s">
        <v>349</v>
      </c>
      <c r="AF50" s="11" t="s">
        <v>350</v>
      </c>
      <c r="AH50" s="11">
        <v>3.19491525E8</v>
      </c>
    </row>
    <row r="51" ht="31.5" customHeight="1">
      <c r="A51" s="41"/>
      <c r="B51" s="42"/>
      <c r="C51" s="42"/>
      <c r="D51" s="45" t="str">
        <f t="shared" si="5"/>
        <v/>
      </c>
      <c r="E51" s="45" t="str">
        <f t="shared" si="1"/>
        <v/>
      </c>
      <c r="F51" s="45" t="str">
        <f t="shared" si="2"/>
        <v/>
      </c>
      <c r="G51" s="48" t="str">
        <f t="shared" si="3"/>
        <v/>
      </c>
      <c r="H51" s="51" t="str">
        <f t="shared" si="4"/>
        <v/>
      </c>
      <c r="AA51" s="11">
        <v>50.0</v>
      </c>
      <c r="AB51" s="11" t="s">
        <v>329</v>
      </c>
      <c r="AC51" s="11" t="s">
        <v>19</v>
      </c>
      <c r="AD51" s="11" t="s">
        <v>351</v>
      </c>
      <c r="AE51" s="11" t="s">
        <v>352</v>
      </c>
      <c r="AF51" s="11" t="s">
        <v>353</v>
      </c>
      <c r="AH51" s="11">
        <v>9.25374816E8</v>
      </c>
    </row>
    <row r="52" ht="31.5" customHeight="1">
      <c r="A52" s="41"/>
      <c r="B52" s="42"/>
      <c r="C52" s="42"/>
      <c r="D52" s="45" t="str">
        <f t="shared" si="5"/>
        <v/>
      </c>
      <c r="E52" s="45" t="str">
        <f t="shared" si="1"/>
        <v/>
      </c>
      <c r="F52" s="45" t="str">
        <f t="shared" si="2"/>
        <v/>
      </c>
      <c r="G52" s="48" t="str">
        <f t="shared" si="3"/>
        <v/>
      </c>
      <c r="H52" s="51" t="str">
        <f t="shared" si="4"/>
        <v/>
      </c>
      <c r="AA52" s="11">
        <v>51.0</v>
      </c>
      <c r="AB52" s="11" t="s">
        <v>329</v>
      </c>
      <c r="AC52" s="11" t="s">
        <v>19</v>
      </c>
      <c r="AD52" s="11" t="s">
        <v>354</v>
      </c>
      <c r="AE52" s="11" t="s">
        <v>355</v>
      </c>
      <c r="AF52" s="11" t="s">
        <v>356</v>
      </c>
      <c r="AH52" s="11">
        <v>7.22806267E8</v>
      </c>
    </row>
    <row r="53" ht="31.5" customHeight="1">
      <c r="A53" s="41"/>
      <c r="B53" s="42"/>
      <c r="C53" s="42"/>
      <c r="D53" s="45" t="str">
        <f t="shared" si="5"/>
        <v/>
      </c>
      <c r="E53" s="45" t="str">
        <f t="shared" si="1"/>
        <v/>
      </c>
      <c r="F53" s="45" t="str">
        <f t="shared" si="2"/>
        <v/>
      </c>
      <c r="G53" s="48" t="str">
        <f t="shared" si="3"/>
        <v/>
      </c>
      <c r="H53" s="51" t="str">
        <f t="shared" si="4"/>
        <v/>
      </c>
      <c r="AA53" s="11">
        <v>52.0</v>
      </c>
      <c r="AB53" s="11" t="s">
        <v>329</v>
      </c>
      <c r="AC53" s="11" t="s">
        <v>118</v>
      </c>
      <c r="AD53" s="11" t="s">
        <v>357</v>
      </c>
      <c r="AE53" s="11" t="s">
        <v>358</v>
      </c>
      <c r="AF53" s="11" t="s">
        <v>359</v>
      </c>
      <c r="AH53" s="11">
        <v>1.82102689E8</v>
      </c>
    </row>
    <row r="54" ht="31.5" customHeight="1">
      <c r="A54" s="41"/>
      <c r="B54" s="42"/>
      <c r="C54" s="42"/>
      <c r="D54" s="45" t="str">
        <f t="shared" si="5"/>
        <v/>
      </c>
      <c r="E54" s="45" t="str">
        <f t="shared" si="1"/>
        <v/>
      </c>
      <c r="F54" s="45" t="str">
        <f t="shared" si="2"/>
        <v/>
      </c>
      <c r="G54" s="48" t="str">
        <f t="shared" si="3"/>
        <v/>
      </c>
      <c r="H54" s="51" t="str">
        <f t="shared" si="4"/>
        <v/>
      </c>
      <c r="AA54" s="11">
        <v>53.0</v>
      </c>
      <c r="AB54" s="11" t="s">
        <v>329</v>
      </c>
      <c r="AC54" s="11" t="s">
        <v>118</v>
      </c>
      <c r="AD54" s="11" t="s">
        <v>360</v>
      </c>
      <c r="AE54" s="11" t="s">
        <v>361</v>
      </c>
      <c r="AF54" s="11" t="s">
        <v>362</v>
      </c>
      <c r="AH54" s="11">
        <v>2.06099461E8</v>
      </c>
    </row>
    <row r="55" ht="31.5" customHeight="1">
      <c r="A55" s="41"/>
      <c r="B55" s="42"/>
      <c r="C55" s="42"/>
      <c r="D55" s="45" t="str">
        <f t="shared" si="5"/>
        <v/>
      </c>
      <c r="E55" s="45" t="str">
        <f t="shared" si="1"/>
        <v/>
      </c>
      <c r="F55" s="45" t="str">
        <f t="shared" si="2"/>
        <v/>
      </c>
      <c r="G55" s="48" t="str">
        <f t="shared" si="3"/>
        <v/>
      </c>
      <c r="H55" s="51" t="str">
        <f t="shared" si="4"/>
        <v/>
      </c>
      <c r="AA55" s="11">
        <v>54.0</v>
      </c>
      <c r="AB55" s="11" t="s">
        <v>329</v>
      </c>
      <c r="AC55" s="11" t="s">
        <v>118</v>
      </c>
      <c r="AD55" s="11" t="s">
        <v>363</v>
      </c>
      <c r="AE55" s="11" t="s">
        <v>364</v>
      </c>
      <c r="AF55" s="11" t="s">
        <v>365</v>
      </c>
      <c r="AH55" s="11">
        <v>6.5638954E7</v>
      </c>
    </row>
    <row r="56" ht="31.5" customHeight="1">
      <c r="A56" s="41"/>
      <c r="B56" s="42"/>
      <c r="C56" s="42"/>
      <c r="D56" s="45" t="str">
        <f t="shared" si="5"/>
        <v/>
      </c>
      <c r="E56" s="45" t="str">
        <f t="shared" si="1"/>
        <v/>
      </c>
      <c r="F56" s="45" t="str">
        <f t="shared" si="2"/>
        <v/>
      </c>
      <c r="G56" s="48" t="str">
        <f t="shared" si="3"/>
        <v/>
      </c>
      <c r="H56" s="51" t="str">
        <f t="shared" si="4"/>
        <v/>
      </c>
      <c r="AA56" s="11">
        <v>55.0</v>
      </c>
      <c r="AB56" s="11" t="s">
        <v>329</v>
      </c>
      <c r="AC56" s="11" t="s">
        <v>118</v>
      </c>
      <c r="AD56" s="11" t="s">
        <v>366</v>
      </c>
      <c r="AE56" s="11" t="s">
        <v>367</v>
      </c>
      <c r="AF56" s="11" t="s">
        <v>368</v>
      </c>
      <c r="AH56" s="11">
        <v>7.99038259E8</v>
      </c>
    </row>
    <row r="57" ht="31.5" customHeight="1">
      <c r="A57" s="41"/>
      <c r="B57" s="42"/>
      <c r="C57" s="42"/>
      <c r="D57" s="45" t="str">
        <f t="shared" si="5"/>
        <v/>
      </c>
      <c r="E57" s="45" t="str">
        <f t="shared" si="1"/>
        <v/>
      </c>
      <c r="F57" s="45" t="str">
        <f t="shared" si="2"/>
        <v/>
      </c>
      <c r="G57" s="48" t="str">
        <f t="shared" si="3"/>
        <v/>
      </c>
      <c r="H57" s="51" t="str">
        <f t="shared" si="4"/>
        <v/>
      </c>
      <c r="AA57" s="11">
        <v>56.0</v>
      </c>
      <c r="AB57" s="11" t="s">
        <v>329</v>
      </c>
      <c r="AC57" s="11" t="s">
        <v>118</v>
      </c>
      <c r="AD57" s="11" t="s">
        <v>369</v>
      </c>
      <c r="AE57" s="11" t="s">
        <v>370</v>
      </c>
      <c r="AF57" s="11" t="s">
        <v>371</v>
      </c>
      <c r="AH57" s="11">
        <v>6.18832131E8</v>
      </c>
    </row>
    <row r="58" ht="31.5" customHeight="1">
      <c r="A58" s="41"/>
      <c r="B58" s="42"/>
      <c r="C58" s="42"/>
      <c r="D58" s="45" t="str">
        <f t="shared" si="5"/>
        <v/>
      </c>
      <c r="E58" s="45" t="str">
        <f t="shared" si="1"/>
        <v/>
      </c>
      <c r="F58" s="45" t="str">
        <f t="shared" si="2"/>
        <v/>
      </c>
      <c r="G58" s="48" t="str">
        <f t="shared" si="3"/>
        <v/>
      </c>
      <c r="H58" s="51" t="str">
        <f t="shared" si="4"/>
        <v/>
      </c>
      <c r="AA58" s="11">
        <v>57.0</v>
      </c>
      <c r="AB58" s="11" t="s">
        <v>329</v>
      </c>
      <c r="AC58" s="11" t="s">
        <v>118</v>
      </c>
      <c r="AD58" s="11" t="s">
        <v>372</v>
      </c>
      <c r="AE58" s="11" t="s">
        <v>373</v>
      </c>
      <c r="AF58" s="11" t="s">
        <v>374</v>
      </c>
      <c r="AH58" s="11">
        <v>3.16686532E8</v>
      </c>
    </row>
    <row r="59" ht="31.5" customHeight="1">
      <c r="A59" s="41"/>
      <c r="B59" s="42"/>
      <c r="C59" s="42"/>
      <c r="D59" s="45" t="str">
        <f t="shared" si="5"/>
        <v/>
      </c>
      <c r="E59" s="45" t="str">
        <f t="shared" si="1"/>
        <v/>
      </c>
      <c r="F59" s="45" t="str">
        <f t="shared" si="2"/>
        <v/>
      </c>
      <c r="G59" s="48" t="str">
        <f t="shared" si="3"/>
        <v/>
      </c>
      <c r="H59" s="51" t="str">
        <f t="shared" si="4"/>
        <v/>
      </c>
      <c r="AA59" s="11">
        <v>58.0</v>
      </c>
      <c r="AB59" s="11" t="s">
        <v>329</v>
      </c>
      <c r="AC59" s="11" t="s">
        <v>118</v>
      </c>
      <c r="AD59" s="11" t="s">
        <v>375</v>
      </c>
      <c r="AE59" s="11" t="s">
        <v>376</v>
      </c>
      <c r="AF59" s="11" t="s">
        <v>377</v>
      </c>
      <c r="AH59" s="11">
        <v>4.10424696E8</v>
      </c>
    </row>
    <row r="60" ht="31.5" customHeight="1">
      <c r="A60" s="41"/>
      <c r="B60" s="42"/>
      <c r="C60" s="42"/>
      <c r="D60" s="45" t="str">
        <f t="shared" si="5"/>
        <v/>
      </c>
      <c r="E60" s="45" t="str">
        <f t="shared" si="1"/>
        <v/>
      </c>
      <c r="F60" s="45" t="str">
        <f t="shared" si="2"/>
        <v/>
      </c>
      <c r="G60" s="48" t="str">
        <f t="shared" si="3"/>
        <v/>
      </c>
      <c r="H60" s="51" t="str">
        <f t="shared" si="4"/>
        <v/>
      </c>
      <c r="AA60" s="11">
        <v>59.0</v>
      </c>
      <c r="AB60" s="11" t="s">
        <v>329</v>
      </c>
      <c r="AC60" s="11" t="s">
        <v>118</v>
      </c>
      <c r="AD60" s="11" t="s">
        <v>378</v>
      </c>
      <c r="AE60" s="11" t="s">
        <v>379</v>
      </c>
      <c r="AF60" s="11" t="s">
        <v>380</v>
      </c>
      <c r="AH60" s="11">
        <v>1.79946137E8</v>
      </c>
    </row>
    <row r="61" ht="31.5" customHeight="1">
      <c r="A61" s="41"/>
      <c r="B61" s="42"/>
      <c r="C61" s="42"/>
      <c r="D61" s="45" t="str">
        <f t="shared" si="5"/>
        <v/>
      </c>
      <c r="E61" s="45" t="str">
        <f t="shared" si="1"/>
        <v/>
      </c>
      <c r="F61" s="45" t="str">
        <f t="shared" si="2"/>
        <v/>
      </c>
      <c r="G61" s="48" t="str">
        <f t="shared" si="3"/>
        <v/>
      </c>
      <c r="H61" s="51" t="str">
        <f t="shared" si="4"/>
        <v/>
      </c>
      <c r="AA61" s="11">
        <v>60.0</v>
      </c>
      <c r="AB61" s="11" t="s">
        <v>329</v>
      </c>
      <c r="AC61" s="11" t="s">
        <v>118</v>
      </c>
      <c r="AD61" s="11" t="s">
        <v>381</v>
      </c>
      <c r="AE61" s="11" t="s">
        <v>382</v>
      </c>
      <c r="AF61" s="11" t="s">
        <v>383</v>
      </c>
      <c r="AH61" s="11">
        <v>6.87985453E8</v>
      </c>
    </row>
    <row r="62" ht="31.5" customHeight="1">
      <c r="A62" s="41"/>
      <c r="B62" s="42"/>
      <c r="C62" s="42"/>
      <c r="D62" s="45" t="str">
        <f t="shared" si="5"/>
        <v/>
      </c>
      <c r="E62" s="45" t="str">
        <f t="shared" si="1"/>
        <v/>
      </c>
      <c r="F62" s="45" t="str">
        <f t="shared" si="2"/>
        <v/>
      </c>
      <c r="G62" s="48" t="str">
        <f t="shared" si="3"/>
        <v/>
      </c>
      <c r="H62" s="51" t="str">
        <f t="shared" si="4"/>
        <v/>
      </c>
      <c r="AH62" s="11">
        <v>9.24600553E8</v>
      </c>
    </row>
    <row r="63" ht="31.5" customHeight="1">
      <c r="A63" s="41"/>
      <c r="B63" s="42"/>
      <c r="C63" s="42"/>
      <c r="D63" s="45" t="str">
        <f t="shared" si="5"/>
        <v/>
      </c>
      <c r="E63" s="45" t="str">
        <f t="shared" si="1"/>
        <v/>
      </c>
      <c r="F63" s="45" t="str">
        <f t="shared" si="2"/>
        <v/>
      </c>
      <c r="G63" s="48" t="str">
        <f t="shared" si="3"/>
        <v/>
      </c>
      <c r="H63" s="51" t="str">
        <f t="shared" si="4"/>
        <v/>
      </c>
      <c r="AH63" s="11">
        <v>5.41294182E8</v>
      </c>
    </row>
    <row r="64" ht="31.5" customHeight="1">
      <c r="A64" s="41"/>
      <c r="B64" s="42"/>
      <c r="C64" s="42"/>
      <c r="D64" s="45" t="str">
        <f t="shared" si="5"/>
        <v/>
      </c>
      <c r="E64" s="45" t="str">
        <f t="shared" si="1"/>
        <v/>
      </c>
      <c r="F64" s="45" t="str">
        <f t="shared" si="2"/>
        <v/>
      </c>
      <c r="G64" s="48" t="str">
        <f t="shared" si="3"/>
        <v/>
      </c>
      <c r="H64" s="51" t="str">
        <f t="shared" si="4"/>
        <v/>
      </c>
      <c r="AH64" s="11">
        <v>9.41242164E8</v>
      </c>
    </row>
    <row r="65" ht="31.5" customHeight="1">
      <c r="A65" s="41"/>
      <c r="B65" s="42"/>
      <c r="C65" s="42"/>
      <c r="D65" s="45" t="str">
        <f t="shared" si="5"/>
        <v/>
      </c>
      <c r="E65" s="45" t="str">
        <f t="shared" si="1"/>
        <v/>
      </c>
      <c r="F65" s="45" t="str">
        <f t="shared" si="2"/>
        <v/>
      </c>
      <c r="G65" s="48" t="str">
        <f t="shared" si="3"/>
        <v/>
      </c>
      <c r="H65" s="51" t="str">
        <f t="shared" si="4"/>
        <v/>
      </c>
      <c r="AH65" s="11">
        <v>7.67134439E8</v>
      </c>
    </row>
    <row r="66" ht="31.5" customHeight="1">
      <c r="A66" s="41"/>
      <c r="B66" s="42"/>
      <c r="C66" s="42"/>
      <c r="D66" s="45" t="str">
        <f t="shared" si="5"/>
        <v/>
      </c>
      <c r="E66" s="45" t="str">
        <f t="shared" si="1"/>
        <v/>
      </c>
      <c r="F66" s="45" t="str">
        <f t="shared" si="2"/>
        <v/>
      </c>
      <c r="G66" s="48" t="str">
        <f t="shared" si="3"/>
        <v/>
      </c>
      <c r="H66" s="51" t="str">
        <f t="shared" si="4"/>
        <v/>
      </c>
      <c r="AH66" s="11">
        <v>3.6168518E7</v>
      </c>
    </row>
    <row r="67" ht="31.5" customHeight="1">
      <c r="A67" s="41"/>
      <c r="B67" s="42"/>
      <c r="C67" s="42"/>
      <c r="D67" s="45" t="str">
        <f t="shared" si="5"/>
        <v/>
      </c>
      <c r="E67" s="45" t="str">
        <f t="shared" si="1"/>
        <v/>
      </c>
      <c r="F67" s="45" t="str">
        <f t="shared" si="2"/>
        <v/>
      </c>
      <c r="G67" s="48" t="str">
        <f t="shared" si="3"/>
        <v/>
      </c>
      <c r="H67" s="51" t="str">
        <f t="shared" si="4"/>
        <v/>
      </c>
      <c r="AH67" s="11">
        <v>8.25383093E8</v>
      </c>
    </row>
    <row r="68" ht="31.5" customHeight="1">
      <c r="A68" s="41"/>
      <c r="B68" s="42"/>
      <c r="C68" s="42"/>
      <c r="D68" s="45" t="str">
        <f t="shared" si="5"/>
        <v/>
      </c>
      <c r="E68" s="45" t="str">
        <f t="shared" si="1"/>
        <v/>
      </c>
      <c r="F68" s="45" t="str">
        <f t="shared" si="2"/>
        <v/>
      </c>
      <c r="G68" s="48" t="str">
        <f t="shared" si="3"/>
        <v/>
      </c>
      <c r="H68" s="51" t="str">
        <f t="shared" si="4"/>
        <v/>
      </c>
      <c r="AH68" s="11">
        <v>5.13678647E8</v>
      </c>
    </row>
    <row r="69" ht="31.5" customHeight="1">
      <c r="A69" s="41"/>
      <c r="B69" s="42"/>
      <c r="C69" s="42"/>
      <c r="D69" s="45" t="str">
        <f t="shared" si="5"/>
        <v/>
      </c>
      <c r="E69" s="45" t="str">
        <f t="shared" si="1"/>
        <v/>
      </c>
      <c r="F69" s="45" t="str">
        <f t="shared" si="2"/>
        <v/>
      </c>
      <c r="G69" s="48" t="str">
        <f t="shared" si="3"/>
        <v/>
      </c>
      <c r="H69" s="51" t="str">
        <f t="shared" si="4"/>
        <v/>
      </c>
      <c r="AH69" s="11">
        <v>3.10501094E8</v>
      </c>
    </row>
    <row r="70" ht="31.5" customHeight="1">
      <c r="A70" s="41"/>
      <c r="B70" s="42"/>
      <c r="C70" s="42"/>
      <c r="D70" s="45" t="str">
        <f t="shared" si="5"/>
        <v/>
      </c>
      <c r="E70" s="45" t="str">
        <f t="shared" si="1"/>
        <v/>
      </c>
      <c r="F70" s="45" t="str">
        <f t="shared" si="2"/>
        <v/>
      </c>
      <c r="G70" s="48" t="str">
        <f t="shared" si="3"/>
        <v/>
      </c>
      <c r="H70" s="51" t="str">
        <f t="shared" si="4"/>
        <v/>
      </c>
      <c r="AH70" s="11">
        <v>8.80394781E8</v>
      </c>
    </row>
    <row r="71" ht="31.5" customHeight="1">
      <c r="A71" s="41"/>
      <c r="B71" s="42"/>
      <c r="C71" s="42"/>
      <c r="D71" s="45" t="str">
        <f t="shared" si="5"/>
        <v/>
      </c>
      <c r="E71" s="45" t="str">
        <f t="shared" si="1"/>
        <v/>
      </c>
      <c r="F71" s="45" t="str">
        <f t="shared" si="2"/>
        <v/>
      </c>
      <c r="G71" s="48" t="str">
        <f t="shared" si="3"/>
        <v/>
      </c>
      <c r="H71" s="51" t="str">
        <f t="shared" si="4"/>
        <v/>
      </c>
      <c r="AH71" s="11">
        <v>4.40827963E8</v>
      </c>
    </row>
    <row r="72" ht="31.5" customHeight="1">
      <c r="A72" s="41"/>
      <c r="B72" s="42"/>
      <c r="C72" s="42"/>
      <c r="D72" s="45" t="str">
        <f t="shared" si="5"/>
        <v/>
      </c>
      <c r="E72" s="45" t="str">
        <f t="shared" si="1"/>
        <v/>
      </c>
      <c r="F72" s="45" t="str">
        <f t="shared" si="2"/>
        <v/>
      </c>
      <c r="G72" s="48" t="str">
        <f t="shared" si="3"/>
        <v/>
      </c>
      <c r="H72" s="51" t="str">
        <f t="shared" si="4"/>
        <v/>
      </c>
      <c r="AH72" s="11">
        <v>9.7080884E8</v>
      </c>
    </row>
    <row r="73" ht="31.5" customHeight="1">
      <c r="A73" s="41"/>
      <c r="B73" s="42"/>
      <c r="C73" s="42"/>
      <c r="D73" s="45" t="str">
        <f t="shared" si="5"/>
        <v/>
      </c>
      <c r="E73" s="45" t="str">
        <f t="shared" si="1"/>
        <v/>
      </c>
      <c r="F73" s="45" t="str">
        <f t="shared" si="2"/>
        <v/>
      </c>
      <c r="G73" s="48" t="str">
        <f t="shared" si="3"/>
        <v/>
      </c>
      <c r="H73" s="51" t="str">
        <f t="shared" si="4"/>
        <v/>
      </c>
      <c r="AH73" s="11">
        <v>2.44227472E8</v>
      </c>
    </row>
    <row r="74" ht="31.5" customHeight="1">
      <c r="A74" s="41"/>
      <c r="B74" s="42"/>
      <c r="C74" s="42"/>
      <c r="D74" s="45" t="str">
        <f t="shared" si="5"/>
        <v/>
      </c>
      <c r="E74" s="45" t="str">
        <f t="shared" si="1"/>
        <v/>
      </c>
      <c r="F74" s="45" t="str">
        <f t="shared" si="2"/>
        <v/>
      </c>
      <c r="G74" s="48" t="str">
        <f t="shared" si="3"/>
        <v/>
      </c>
      <c r="H74" s="51" t="str">
        <f t="shared" si="4"/>
        <v/>
      </c>
      <c r="AH74" s="11">
        <v>4.41412827E8</v>
      </c>
    </row>
    <row r="75" ht="31.5" customHeight="1">
      <c r="A75" s="41"/>
      <c r="B75" s="42"/>
      <c r="C75" s="42"/>
      <c r="D75" s="45" t="str">
        <f t="shared" si="5"/>
        <v/>
      </c>
      <c r="E75" s="45" t="str">
        <f t="shared" si="1"/>
        <v/>
      </c>
      <c r="F75" s="45" t="str">
        <f t="shared" si="2"/>
        <v/>
      </c>
      <c r="G75" s="48" t="str">
        <f t="shared" si="3"/>
        <v/>
      </c>
      <c r="H75" s="51" t="str">
        <f t="shared" si="4"/>
        <v/>
      </c>
      <c r="AH75" s="11">
        <v>2.65659336E8</v>
      </c>
    </row>
    <row r="76" ht="31.5" customHeight="1">
      <c r="A76" s="41"/>
      <c r="B76" s="42"/>
      <c r="C76" s="42"/>
      <c r="D76" s="45" t="str">
        <f t="shared" si="5"/>
        <v/>
      </c>
      <c r="E76" s="45" t="str">
        <f t="shared" si="1"/>
        <v/>
      </c>
      <c r="F76" s="45" t="str">
        <f t="shared" si="2"/>
        <v/>
      </c>
      <c r="G76" s="48" t="str">
        <f t="shared" si="3"/>
        <v/>
      </c>
      <c r="H76" s="51" t="str">
        <f t="shared" si="4"/>
        <v/>
      </c>
      <c r="AH76" s="11">
        <v>2.97075379E8</v>
      </c>
    </row>
    <row r="77" ht="31.5" customHeight="1">
      <c r="A77" s="41"/>
      <c r="B77" s="42"/>
      <c r="C77" s="42"/>
      <c r="D77" s="45" t="str">
        <f t="shared" si="5"/>
        <v/>
      </c>
      <c r="E77" s="45" t="str">
        <f t="shared" si="1"/>
        <v/>
      </c>
      <c r="F77" s="45" t="str">
        <f t="shared" si="2"/>
        <v/>
      </c>
      <c r="G77" s="48" t="str">
        <f t="shared" si="3"/>
        <v/>
      </c>
      <c r="H77" s="51" t="str">
        <f t="shared" si="4"/>
        <v/>
      </c>
      <c r="AH77" s="11">
        <v>9.8118694E7</v>
      </c>
    </row>
    <row r="78" ht="31.5" customHeight="1">
      <c r="A78" s="41"/>
      <c r="B78" s="42"/>
      <c r="C78" s="42"/>
      <c r="D78" s="45" t="str">
        <f t="shared" si="5"/>
        <v/>
      </c>
      <c r="E78" s="45" t="str">
        <f t="shared" si="1"/>
        <v/>
      </c>
      <c r="F78" s="45" t="str">
        <f t="shared" si="2"/>
        <v/>
      </c>
      <c r="G78" s="48" t="str">
        <f t="shared" si="3"/>
        <v/>
      </c>
      <c r="H78" s="51" t="str">
        <f t="shared" si="4"/>
        <v/>
      </c>
      <c r="AH78" s="11">
        <v>9.13647631E8</v>
      </c>
    </row>
    <row r="79" ht="31.5" customHeight="1">
      <c r="A79" s="41"/>
      <c r="B79" s="42"/>
      <c r="C79" s="42"/>
      <c r="D79" s="45" t="str">
        <f t="shared" si="5"/>
        <v/>
      </c>
      <c r="E79" s="45" t="str">
        <f t="shared" si="1"/>
        <v/>
      </c>
      <c r="F79" s="45" t="str">
        <f t="shared" si="2"/>
        <v/>
      </c>
      <c r="G79" s="48" t="str">
        <f t="shared" si="3"/>
        <v/>
      </c>
      <c r="H79" s="51" t="str">
        <f t="shared" si="4"/>
        <v/>
      </c>
      <c r="AH79" s="11">
        <v>4.6476448E7</v>
      </c>
    </row>
    <row r="80" ht="31.5" customHeight="1">
      <c r="A80" s="41"/>
      <c r="B80" s="42"/>
      <c r="C80" s="42"/>
      <c r="D80" s="45" t="str">
        <f t="shared" si="5"/>
        <v/>
      </c>
      <c r="E80" s="45" t="str">
        <f t="shared" si="1"/>
        <v/>
      </c>
      <c r="F80" s="45" t="str">
        <f t="shared" si="2"/>
        <v/>
      </c>
      <c r="G80" s="48" t="str">
        <f t="shared" si="3"/>
        <v/>
      </c>
      <c r="H80" s="51" t="str">
        <f t="shared" si="4"/>
        <v/>
      </c>
      <c r="AH80" s="11">
        <v>6.88427728E8</v>
      </c>
    </row>
    <row r="81" ht="31.5" customHeight="1">
      <c r="A81" s="41"/>
      <c r="B81" s="42"/>
      <c r="C81" s="42"/>
      <c r="D81" s="45" t="str">
        <f t="shared" si="5"/>
        <v/>
      </c>
      <c r="E81" s="45" t="str">
        <f t="shared" si="1"/>
        <v/>
      </c>
      <c r="F81" s="45" t="str">
        <f t="shared" si="2"/>
        <v/>
      </c>
      <c r="G81" s="48" t="str">
        <f t="shared" si="3"/>
        <v/>
      </c>
      <c r="H81" s="51" t="str">
        <f t="shared" si="4"/>
        <v/>
      </c>
      <c r="AH81" s="11">
        <v>2.94212345E8</v>
      </c>
    </row>
    <row r="82" ht="31.5" customHeight="1">
      <c r="A82" s="41"/>
      <c r="B82" s="42"/>
      <c r="C82" s="42"/>
      <c r="D82" s="45" t="str">
        <f t="shared" si="5"/>
        <v/>
      </c>
      <c r="E82" s="45" t="str">
        <f t="shared" si="1"/>
        <v/>
      </c>
      <c r="F82" s="45" t="str">
        <f t="shared" si="2"/>
        <v/>
      </c>
      <c r="G82" s="48" t="str">
        <f t="shared" si="3"/>
        <v/>
      </c>
      <c r="H82" s="51" t="str">
        <f t="shared" si="4"/>
        <v/>
      </c>
      <c r="AH82" s="11">
        <v>8.75459695E8</v>
      </c>
    </row>
    <row r="83" ht="31.5" customHeight="1">
      <c r="A83" s="41"/>
      <c r="B83" s="42"/>
      <c r="C83" s="42"/>
      <c r="D83" s="45" t="str">
        <f t="shared" si="5"/>
        <v/>
      </c>
      <c r="E83" s="45" t="str">
        <f t="shared" si="1"/>
        <v/>
      </c>
      <c r="F83" s="45" t="str">
        <f t="shared" si="2"/>
        <v/>
      </c>
      <c r="G83" s="48" t="str">
        <f t="shared" si="3"/>
        <v/>
      </c>
      <c r="H83" s="51" t="str">
        <f t="shared" si="4"/>
        <v/>
      </c>
      <c r="AH83" s="11">
        <v>4.544703E7</v>
      </c>
    </row>
    <row r="84" ht="31.5" customHeight="1">
      <c r="A84" s="41"/>
      <c r="B84" s="42"/>
      <c r="C84" s="42"/>
      <c r="D84" s="45" t="str">
        <f t="shared" si="5"/>
        <v/>
      </c>
      <c r="E84" s="45" t="str">
        <f t="shared" si="1"/>
        <v/>
      </c>
      <c r="F84" s="45" t="str">
        <f t="shared" si="2"/>
        <v/>
      </c>
      <c r="G84" s="48" t="str">
        <f t="shared" si="3"/>
        <v/>
      </c>
      <c r="H84" s="51" t="str">
        <f t="shared" si="4"/>
        <v/>
      </c>
      <c r="AH84" s="11">
        <v>9.34388249E8</v>
      </c>
    </row>
    <row r="85" ht="31.5" customHeight="1">
      <c r="A85" s="41"/>
      <c r="B85" s="42"/>
      <c r="C85" s="42"/>
      <c r="D85" s="45" t="str">
        <f t="shared" si="5"/>
        <v/>
      </c>
      <c r="E85" s="45" t="str">
        <f t="shared" si="1"/>
        <v/>
      </c>
      <c r="F85" s="45" t="str">
        <f t="shared" si="2"/>
        <v/>
      </c>
      <c r="G85" s="48" t="str">
        <f t="shared" si="3"/>
        <v/>
      </c>
      <c r="H85" s="51" t="str">
        <f t="shared" si="4"/>
        <v/>
      </c>
      <c r="AH85" s="11">
        <v>5.81610618E8</v>
      </c>
    </row>
    <row r="86" ht="31.5" customHeight="1">
      <c r="A86" s="41"/>
      <c r="B86" s="42"/>
      <c r="C86" s="42"/>
      <c r="D86" s="45" t="str">
        <f t="shared" si="5"/>
        <v/>
      </c>
      <c r="E86" s="45" t="str">
        <f t="shared" si="1"/>
        <v/>
      </c>
      <c r="F86" s="45" t="str">
        <f t="shared" si="2"/>
        <v/>
      </c>
      <c r="G86" s="48" t="str">
        <f t="shared" si="3"/>
        <v/>
      </c>
      <c r="H86" s="51" t="str">
        <f t="shared" si="4"/>
        <v/>
      </c>
      <c r="AH86" s="11">
        <v>6.48171489E8</v>
      </c>
    </row>
    <row r="87" ht="31.5" customHeight="1">
      <c r="A87" s="41"/>
      <c r="B87" s="42"/>
      <c r="C87" s="42"/>
      <c r="D87" s="45" t="str">
        <f t="shared" si="5"/>
        <v/>
      </c>
      <c r="E87" s="45" t="str">
        <f t="shared" si="1"/>
        <v/>
      </c>
      <c r="F87" s="45" t="str">
        <f t="shared" si="2"/>
        <v/>
      </c>
      <c r="G87" s="48" t="str">
        <f t="shared" si="3"/>
        <v/>
      </c>
      <c r="H87" s="51" t="str">
        <f t="shared" si="4"/>
        <v/>
      </c>
      <c r="AH87" s="11">
        <v>9.93514861E8</v>
      </c>
    </row>
    <row r="88" ht="31.5" customHeight="1">
      <c r="A88" s="41"/>
      <c r="B88" s="42"/>
      <c r="C88" s="42"/>
      <c r="D88" s="45" t="str">
        <f t="shared" si="5"/>
        <v/>
      </c>
      <c r="E88" s="45" t="str">
        <f t="shared" si="1"/>
        <v/>
      </c>
      <c r="F88" s="45" t="str">
        <f t="shared" si="2"/>
        <v/>
      </c>
      <c r="G88" s="48" t="str">
        <f t="shared" si="3"/>
        <v/>
      </c>
      <c r="H88" s="51" t="str">
        <f t="shared" si="4"/>
        <v/>
      </c>
      <c r="AH88" s="11">
        <v>2.20079525E8</v>
      </c>
    </row>
    <row r="89" ht="31.5" customHeight="1">
      <c r="A89" s="41"/>
      <c r="B89" s="42"/>
      <c r="C89" s="42"/>
      <c r="D89" s="45" t="str">
        <f t="shared" si="5"/>
        <v/>
      </c>
      <c r="E89" s="45" t="str">
        <f t="shared" si="1"/>
        <v/>
      </c>
      <c r="F89" s="45" t="str">
        <f t="shared" si="2"/>
        <v/>
      </c>
      <c r="G89" s="48" t="str">
        <f t="shared" si="3"/>
        <v/>
      </c>
      <c r="H89" s="51" t="str">
        <f t="shared" si="4"/>
        <v/>
      </c>
      <c r="AH89" s="11">
        <v>9.70821017E8</v>
      </c>
    </row>
    <row r="90" ht="31.5" customHeight="1">
      <c r="A90" s="41"/>
      <c r="B90" s="42"/>
      <c r="C90" s="42"/>
      <c r="D90" s="45" t="str">
        <f t="shared" si="5"/>
        <v/>
      </c>
      <c r="E90" s="45" t="str">
        <f t="shared" si="1"/>
        <v/>
      </c>
      <c r="F90" s="45" t="str">
        <f t="shared" si="2"/>
        <v/>
      </c>
      <c r="G90" s="48" t="str">
        <f t="shared" si="3"/>
        <v/>
      </c>
      <c r="H90" s="51" t="str">
        <f t="shared" si="4"/>
        <v/>
      </c>
      <c r="AH90" s="11">
        <v>3.7349948E8</v>
      </c>
    </row>
    <row r="91" ht="31.5" customHeight="1">
      <c r="A91" s="41"/>
      <c r="B91" s="42"/>
      <c r="C91" s="42"/>
      <c r="D91" s="45" t="str">
        <f t="shared" si="5"/>
        <v/>
      </c>
      <c r="E91" s="45" t="str">
        <f t="shared" si="1"/>
        <v/>
      </c>
      <c r="F91" s="45" t="str">
        <f t="shared" si="2"/>
        <v/>
      </c>
      <c r="G91" s="48" t="str">
        <f t="shared" si="3"/>
        <v/>
      </c>
      <c r="H91" s="51" t="str">
        <f t="shared" si="4"/>
        <v/>
      </c>
      <c r="AH91" s="11">
        <v>5.4519941E8</v>
      </c>
    </row>
    <row r="92" ht="31.5" customHeight="1">
      <c r="A92" s="41"/>
      <c r="B92" s="42"/>
      <c r="C92" s="42"/>
      <c r="D92" s="45" t="str">
        <f t="shared" si="5"/>
        <v/>
      </c>
      <c r="E92" s="45" t="str">
        <f t="shared" si="1"/>
        <v/>
      </c>
      <c r="F92" s="45" t="str">
        <f t="shared" si="2"/>
        <v/>
      </c>
      <c r="G92" s="48" t="str">
        <f t="shared" si="3"/>
        <v/>
      </c>
      <c r="H92" s="51" t="str">
        <f t="shared" si="4"/>
        <v/>
      </c>
      <c r="AH92" s="11">
        <v>7.41824879E8</v>
      </c>
    </row>
    <row r="93" ht="31.5" customHeight="1">
      <c r="A93" s="41"/>
      <c r="B93" s="42"/>
      <c r="C93" s="42"/>
      <c r="D93" s="45" t="str">
        <f t="shared" si="5"/>
        <v/>
      </c>
      <c r="E93" s="45" t="str">
        <f t="shared" si="1"/>
        <v/>
      </c>
      <c r="F93" s="45" t="str">
        <f t="shared" si="2"/>
        <v/>
      </c>
      <c r="G93" s="48" t="str">
        <f t="shared" si="3"/>
        <v/>
      </c>
      <c r="H93" s="51" t="str">
        <f t="shared" si="4"/>
        <v/>
      </c>
      <c r="AH93" s="11">
        <v>4.42717486E8</v>
      </c>
    </row>
    <row r="94" ht="31.5" customHeight="1">
      <c r="A94" s="41"/>
      <c r="B94" s="42"/>
      <c r="C94" s="42"/>
      <c r="D94" s="45" t="str">
        <f t="shared" si="5"/>
        <v/>
      </c>
      <c r="E94" s="45" t="str">
        <f t="shared" si="1"/>
        <v/>
      </c>
      <c r="F94" s="45" t="str">
        <f t="shared" si="2"/>
        <v/>
      </c>
      <c r="G94" s="48" t="str">
        <f t="shared" si="3"/>
        <v/>
      </c>
      <c r="H94" s="51" t="str">
        <f t="shared" si="4"/>
        <v/>
      </c>
      <c r="AH94" s="11">
        <v>1.42514853E8</v>
      </c>
    </row>
    <row r="95" ht="31.5" customHeight="1">
      <c r="A95" s="41"/>
      <c r="B95" s="42"/>
      <c r="C95" s="42"/>
      <c r="D95" s="45" t="str">
        <f t="shared" si="5"/>
        <v/>
      </c>
      <c r="E95" s="45" t="str">
        <f t="shared" si="1"/>
        <v/>
      </c>
      <c r="F95" s="45" t="str">
        <f t="shared" si="2"/>
        <v/>
      </c>
      <c r="G95" s="48" t="str">
        <f t="shared" si="3"/>
        <v/>
      </c>
      <c r="H95" s="51" t="str">
        <f t="shared" si="4"/>
        <v/>
      </c>
      <c r="AH95" s="11">
        <v>3.32710195E8</v>
      </c>
    </row>
    <row r="96" ht="31.5" customHeight="1">
      <c r="A96" s="41"/>
      <c r="B96" s="42"/>
      <c r="C96" s="42"/>
      <c r="D96" s="45" t="str">
        <f t="shared" si="5"/>
        <v/>
      </c>
      <c r="E96" s="45" t="str">
        <f t="shared" si="1"/>
        <v/>
      </c>
      <c r="F96" s="45" t="str">
        <f t="shared" si="2"/>
        <v/>
      </c>
      <c r="G96" s="48" t="str">
        <f t="shared" si="3"/>
        <v/>
      </c>
      <c r="H96" s="51" t="str">
        <f t="shared" si="4"/>
        <v/>
      </c>
      <c r="AH96" s="11">
        <v>9.21258981E8</v>
      </c>
    </row>
    <row r="97" ht="31.5" customHeight="1">
      <c r="A97" s="41"/>
      <c r="B97" s="42"/>
      <c r="C97" s="42"/>
      <c r="D97" s="45" t="str">
        <f t="shared" si="5"/>
        <v/>
      </c>
      <c r="E97" s="45" t="str">
        <f t="shared" si="1"/>
        <v/>
      </c>
      <c r="F97" s="45" t="str">
        <f t="shared" si="2"/>
        <v/>
      </c>
      <c r="G97" s="48" t="str">
        <f t="shared" si="3"/>
        <v/>
      </c>
      <c r="H97" s="51" t="str">
        <f t="shared" si="4"/>
        <v/>
      </c>
      <c r="AH97" s="11">
        <v>5.25006658E8</v>
      </c>
    </row>
    <row r="98" ht="31.5" customHeight="1">
      <c r="A98" s="41"/>
      <c r="B98" s="42"/>
      <c r="C98" s="42"/>
      <c r="D98" s="45" t="str">
        <f t="shared" si="5"/>
        <v/>
      </c>
      <c r="E98" s="45" t="str">
        <f t="shared" si="1"/>
        <v/>
      </c>
      <c r="F98" s="45" t="str">
        <f t="shared" si="2"/>
        <v/>
      </c>
      <c r="G98" s="48" t="str">
        <f t="shared" si="3"/>
        <v/>
      </c>
      <c r="H98" s="51" t="str">
        <f t="shared" si="4"/>
        <v/>
      </c>
      <c r="AH98" s="11">
        <v>5.40008236E8</v>
      </c>
    </row>
    <row r="99" ht="31.5" customHeight="1">
      <c r="A99" s="41"/>
      <c r="B99" s="42"/>
      <c r="C99" s="42"/>
      <c r="D99" s="45" t="str">
        <f t="shared" si="5"/>
        <v/>
      </c>
      <c r="E99" s="45" t="str">
        <f t="shared" si="1"/>
        <v/>
      </c>
      <c r="F99" s="45" t="str">
        <f t="shared" si="2"/>
        <v/>
      </c>
      <c r="G99" s="48" t="str">
        <f t="shared" si="3"/>
        <v/>
      </c>
      <c r="H99" s="51" t="str">
        <f t="shared" si="4"/>
        <v/>
      </c>
      <c r="AH99" s="11">
        <v>4.19782271E8</v>
      </c>
    </row>
    <row r="100" ht="31.5" customHeight="1">
      <c r="A100" s="41"/>
      <c r="B100" s="42"/>
      <c r="C100" s="42"/>
      <c r="D100" s="45" t="str">
        <f t="shared" si="5"/>
        <v/>
      </c>
      <c r="E100" s="45" t="str">
        <f t="shared" si="1"/>
        <v/>
      </c>
      <c r="F100" s="45" t="str">
        <f t="shared" si="2"/>
        <v/>
      </c>
      <c r="G100" s="48" t="str">
        <f t="shared" si="3"/>
        <v/>
      </c>
      <c r="H100" s="51" t="str">
        <f t="shared" si="4"/>
        <v/>
      </c>
      <c r="AH100" s="11">
        <v>6.52282272E8</v>
      </c>
    </row>
    <row r="101" ht="31.5" customHeight="1">
      <c r="A101" s="41"/>
      <c r="B101" s="42"/>
      <c r="C101" s="42"/>
      <c r="D101" s="45" t="str">
        <f t="shared" si="5"/>
        <v/>
      </c>
      <c r="E101" s="45" t="str">
        <f t="shared" si="1"/>
        <v/>
      </c>
      <c r="F101" s="45" t="str">
        <f t="shared" si="2"/>
        <v/>
      </c>
      <c r="G101" s="48" t="str">
        <f t="shared" si="3"/>
        <v/>
      </c>
      <c r="H101" s="51" t="str">
        <f t="shared" si="4"/>
        <v/>
      </c>
      <c r="AH101" s="11">
        <v>1.11919965E8</v>
      </c>
    </row>
    <row r="102" ht="31.5" customHeight="1">
      <c r="A102" s="41"/>
      <c r="B102" s="42"/>
      <c r="C102" s="42"/>
      <c r="D102" s="45" t="str">
        <f t="shared" si="5"/>
        <v/>
      </c>
      <c r="E102" s="45" t="str">
        <f t="shared" si="1"/>
        <v/>
      </c>
      <c r="F102" s="45" t="str">
        <f t="shared" si="2"/>
        <v/>
      </c>
      <c r="G102" s="48" t="str">
        <f t="shared" si="3"/>
        <v/>
      </c>
      <c r="H102" s="51" t="str">
        <f t="shared" si="4"/>
        <v/>
      </c>
      <c r="AH102" s="11">
        <v>7.71481894E8</v>
      </c>
    </row>
    <row r="103" ht="31.5" customHeight="1">
      <c r="A103" s="41"/>
      <c r="B103" s="42"/>
      <c r="C103" s="42"/>
      <c r="D103" s="45" t="str">
        <f t="shared" si="5"/>
        <v/>
      </c>
      <c r="E103" s="45" t="str">
        <f t="shared" si="1"/>
        <v/>
      </c>
      <c r="F103" s="45" t="str">
        <f t="shared" si="2"/>
        <v/>
      </c>
      <c r="G103" s="48" t="str">
        <f t="shared" si="3"/>
        <v/>
      </c>
      <c r="H103" s="51" t="str">
        <f t="shared" si="4"/>
        <v/>
      </c>
      <c r="AH103" s="11">
        <v>8.255426E8</v>
      </c>
    </row>
    <row r="104" ht="31.5" customHeight="1">
      <c r="A104" s="63"/>
      <c r="B104" s="64"/>
      <c r="C104" s="64"/>
      <c r="D104" s="65" t="str">
        <f t="shared" si="5"/>
        <v/>
      </c>
      <c r="E104" s="65" t="str">
        <f t="shared" si="1"/>
        <v/>
      </c>
      <c r="F104" s="65" t="str">
        <f t="shared" si="2"/>
        <v/>
      </c>
      <c r="G104" s="66" t="str">
        <f t="shared" si="3"/>
        <v/>
      </c>
      <c r="H104" s="67" t="str">
        <f t="shared" si="4"/>
        <v/>
      </c>
      <c r="AH104" s="11">
        <v>1.14067092E8</v>
      </c>
    </row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2">
    <mergeCell ref="A1:H1"/>
    <mergeCell ref="A2:H2"/>
  </mergeCells>
  <conditionalFormatting sqref="F5:F104">
    <cfRule type="expression" dxfId="1" priority="1">
      <formula>F5="+"</formula>
    </cfRule>
  </conditionalFormatting>
  <conditionalFormatting sqref="F5:F104">
    <cfRule type="expression" dxfId="2" priority="2">
      <formula>F5="−"</formula>
    </cfRule>
  </conditionalFormatting>
  <dataValidations>
    <dataValidation type="list" allowBlank="1" sqref="C5:C104">
      <formula1>'Распределение команд'!$B$5:$B$20</formula1>
    </dataValidation>
    <dataValidation type="list" allowBlank="1" sqref="B5:B104">
      <formula1>'Распределение команд'!$C$5:$C$20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7.0"/>
    <col customWidth="1" min="2" max="3" width="18.0"/>
    <col customWidth="1" min="4" max="6" width="9.0"/>
    <col customWidth="1" min="7" max="9" width="10.0"/>
    <col customWidth="1" min="10" max="12" width="9.0"/>
    <col customWidth="1" min="13" max="20" width="10.0"/>
    <col customWidth="1" min="21" max="21" width="16.0"/>
    <col customWidth="1" min="22" max="22" width="13.0"/>
    <col customWidth="1" min="23" max="23" width="16.0"/>
    <col customWidth="1" min="24" max="24" width="11.0"/>
    <col customWidth="1" min="25" max="25" width="20.0"/>
    <col customWidth="1" min="26" max="26" width="18.0"/>
    <col customWidth="1" min="27" max="27" width="26.0"/>
    <col customWidth="1" min="28" max="28" width="46.0"/>
    <col customWidth="1" min="29" max="29" width="26.0"/>
    <col customWidth="1" min="30" max="30" width="46.0"/>
    <col customWidth="1" min="31" max="31" width="26.0"/>
    <col customWidth="1" min="32" max="32" width="46.0"/>
    <col customWidth="1" min="33" max="33" width="62.0"/>
    <col customWidth="1" min="34" max="34" width="85.0"/>
    <col customWidth="1" min="35" max="52" width="8.63"/>
    <col customWidth="1" min="53" max="149" width="0.25"/>
  </cols>
  <sheetData>
    <row r="1" ht="24.0" customHeight="1">
      <c r="A1" s="27" t="s">
        <v>28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6"/>
      <c r="BA1" s="11" t="s">
        <v>73</v>
      </c>
      <c r="BB1" s="11" t="s">
        <v>76</v>
      </c>
      <c r="BC1" s="11" t="s">
        <v>77</v>
      </c>
      <c r="BD1" s="11" t="s">
        <v>13</v>
      </c>
      <c r="BE1" s="11" t="s">
        <v>79</v>
      </c>
    </row>
    <row r="2" ht="36.75" customHeight="1">
      <c r="A2" s="12" t="s">
        <v>83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6"/>
      <c r="BA2" s="11" t="s">
        <v>91</v>
      </c>
      <c r="BB2" s="11" t="s">
        <v>91</v>
      </c>
      <c r="BC2" s="11" t="s">
        <v>92</v>
      </c>
      <c r="BD2" s="11" t="s">
        <v>23</v>
      </c>
      <c r="BE2" s="11" t="s">
        <v>94</v>
      </c>
    </row>
    <row r="3" ht="13.5" customHeight="1">
      <c r="A3" s="36" t="s">
        <v>97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6"/>
      <c r="P3" s="37" t="s">
        <v>107</v>
      </c>
      <c r="Q3" s="5"/>
      <c r="R3" s="5"/>
      <c r="S3" s="5"/>
      <c r="T3" s="5"/>
      <c r="U3" s="5"/>
      <c r="V3" s="5"/>
      <c r="W3" s="6"/>
      <c r="X3" s="40" t="s">
        <v>115</v>
      </c>
      <c r="Y3" s="5"/>
      <c r="Z3" s="5"/>
      <c r="AA3" s="5"/>
      <c r="AB3" s="5"/>
      <c r="AC3" s="5"/>
      <c r="AD3" s="5"/>
      <c r="AE3" s="5"/>
      <c r="AF3" s="5"/>
      <c r="AG3" s="5"/>
      <c r="AH3" s="6"/>
      <c r="BA3" s="11" t="s">
        <v>125</v>
      </c>
      <c r="BB3" s="11" t="s">
        <v>125</v>
      </c>
      <c r="BC3" s="11" t="s">
        <v>127</v>
      </c>
      <c r="BD3" s="11" t="s">
        <v>27</v>
      </c>
      <c r="BE3" s="11" t="s">
        <v>128</v>
      </c>
    </row>
    <row r="4" ht="36.0" customHeight="1">
      <c r="A4" s="43" t="s">
        <v>29</v>
      </c>
      <c r="B4" s="44" t="s">
        <v>137</v>
      </c>
      <c r="C4" s="44" t="s">
        <v>140</v>
      </c>
      <c r="D4" s="44" t="s">
        <v>142</v>
      </c>
      <c r="E4" s="44" t="s">
        <v>144</v>
      </c>
      <c r="F4" s="44" t="s">
        <v>147</v>
      </c>
      <c r="G4" s="44" t="s">
        <v>150</v>
      </c>
      <c r="H4" s="44" t="s">
        <v>152</v>
      </c>
      <c r="I4" s="44" t="s">
        <v>154</v>
      </c>
      <c r="J4" s="44" t="s">
        <v>157</v>
      </c>
      <c r="K4" s="44" t="s">
        <v>158</v>
      </c>
      <c r="L4" s="44" t="s">
        <v>160</v>
      </c>
      <c r="M4" s="44" t="s">
        <v>162</v>
      </c>
      <c r="N4" s="44" t="s">
        <v>164</v>
      </c>
      <c r="O4" s="44" t="s">
        <v>165</v>
      </c>
      <c r="P4" s="44" t="s">
        <v>167</v>
      </c>
      <c r="Q4" s="44" t="s">
        <v>169</v>
      </c>
      <c r="R4" s="44" t="s">
        <v>171</v>
      </c>
      <c r="S4" s="44" t="s">
        <v>173</v>
      </c>
      <c r="T4" s="44" t="s">
        <v>175</v>
      </c>
      <c r="U4" s="44" t="s">
        <v>177</v>
      </c>
      <c r="V4" s="44" t="s">
        <v>180</v>
      </c>
      <c r="W4" s="44" t="s">
        <v>183</v>
      </c>
      <c r="X4" s="44" t="s">
        <v>184</v>
      </c>
      <c r="Y4" s="44" t="s">
        <v>185</v>
      </c>
      <c r="Z4" s="44" t="s">
        <v>186</v>
      </c>
      <c r="AA4" s="44" t="s">
        <v>187</v>
      </c>
      <c r="AB4" s="44" t="s">
        <v>188</v>
      </c>
      <c r="AC4" s="44" t="s">
        <v>189</v>
      </c>
      <c r="AD4" s="44" t="s">
        <v>190</v>
      </c>
      <c r="AE4" s="44" t="s">
        <v>191</v>
      </c>
      <c r="AF4" s="44" t="s">
        <v>193</v>
      </c>
      <c r="AG4" s="44" t="s">
        <v>196</v>
      </c>
      <c r="AH4" s="54" t="s">
        <v>197</v>
      </c>
      <c r="BA4" s="11" t="s">
        <v>198</v>
      </c>
      <c r="BB4" s="11" t="s">
        <v>198</v>
      </c>
      <c r="BC4" s="11" t="s">
        <v>200</v>
      </c>
      <c r="BD4" s="11" t="s">
        <v>48</v>
      </c>
      <c r="BE4" s="11" t="s">
        <v>203</v>
      </c>
      <c r="BF4" s="11" t="s">
        <v>205</v>
      </c>
      <c r="BG4" s="11" t="s">
        <v>206</v>
      </c>
      <c r="BH4" s="11" t="s">
        <v>207</v>
      </c>
      <c r="BI4" s="11" t="s">
        <v>208</v>
      </c>
      <c r="BJ4" s="11" t="s">
        <v>209</v>
      </c>
      <c r="BK4" s="11" t="s">
        <v>210</v>
      </c>
      <c r="BL4" s="11" t="s">
        <v>211</v>
      </c>
      <c r="BM4" s="11" t="s">
        <v>91</v>
      </c>
      <c r="BN4" s="11" t="s">
        <v>125</v>
      </c>
      <c r="BO4" s="11" t="s">
        <v>198</v>
      </c>
      <c r="BP4" s="11" t="s">
        <v>215</v>
      </c>
      <c r="BQ4" s="11" t="s">
        <v>216</v>
      </c>
      <c r="BR4" s="11" t="s">
        <v>217</v>
      </c>
      <c r="BS4" s="11" t="s">
        <v>218</v>
      </c>
      <c r="BT4" s="11" t="s">
        <v>220</v>
      </c>
      <c r="BU4" s="11" t="s">
        <v>223</v>
      </c>
      <c r="BV4" s="11" t="s">
        <v>224</v>
      </c>
      <c r="BW4" s="11" t="s">
        <v>92</v>
      </c>
      <c r="BX4" s="11" t="s">
        <v>127</v>
      </c>
      <c r="BY4" s="11" t="s">
        <v>200</v>
      </c>
      <c r="BZ4" s="11" t="s">
        <v>225</v>
      </c>
      <c r="CA4" s="11" t="s">
        <v>226</v>
      </c>
      <c r="CB4" s="11" t="s">
        <v>227</v>
      </c>
      <c r="CC4" s="11" t="s">
        <v>228</v>
      </c>
      <c r="CD4" s="11" t="s">
        <v>229</v>
      </c>
      <c r="CE4" s="11" t="s">
        <v>23</v>
      </c>
      <c r="CF4" s="11" t="s">
        <v>27</v>
      </c>
      <c r="CG4" s="11" t="s">
        <v>48</v>
      </c>
      <c r="CH4" s="11" t="s">
        <v>109</v>
      </c>
      <c r="CI4" s="11" t="s">
        <v>113</v>
      </c>
      <c r="CJ4" s="11" t="s">
        <v>116</v>
      </c>
      <c r="CK4" s="11" t="s">
        <v>121</v>
      </c>
      <c r="CL4" s="11" t="s">
        <v>124</v>
      </c>
      <c r="CM4" s="11" t="s">
        <v>129</v>
      </c>
      <c r="CN4" s="11" t="s">
        <v>133</v>
      </c>
      <c r="CO4" s="11" t="s">
        <v>135</v>
      </c>
      <c r="CP4" s="11" t="s">
        <v>139</v>
      </c>
      <c r="CQ4" s="11" t="s">
        <v>143</v>
      </c>
      <c r="CR4" s="11" t="s">
        <v>148</v>
      </c>
      <c r="CS4" s="11" t="s">
        <v>151</v>
      </c>
      <c r="CT4" s="11" t="s">
        <v>174</v>
      </c>
      <c r="CU4" s="11" t="s">
        <v>23</v>
      </c>
      <c r="CV4" s="11" t="s">
        <v>27</v>
      </c>
      <c r="CW4" s="11" t="s">
        <v>48</v>
      </c>
      <c r="CX4" s="11" t="s">
        <v>109</v>
      </c>
      <c r="CY4" s="11" t="s">
        <v>113</v>
      </c>
      <c r="CZ4" s="11" t="s">
        <v>116</v>
      </c>
      <c r="DA4" s="11" t="s">
        <v>121</v>
      </c>
      <c r="DB4" s="11" t="s">
        <v>124</v>
      </c>
      <c r="DC4" s="11" t="s">
        <v>129</v>
      </c>
      <c r="DD4" s="11" t="s">
        <v>133</v>
      </c>
      <c r="DE4" s="11" t="s">
        <v>135</v>
      </c>
      <c r="DF4" s="11" t="s">
        <v>139</v>
      </c>
      <c r="DG4" s="11" t="s">
        <v>143</v>
      </c>
      <c r="DH4" s="11" t="s">
        <v>148</v>
      </c>
      <c r="DI4" s="11" t="s">
        <v>151</v>
      </c>
      <c r="DJ4" s="11" t="s">
        <v>174</v>
      </c>
      <c r="DK4" s="11" t="s">
        <v>94</v>
      </c>
      <c r="DL4" s="11" t="s">
        <v>128</v>
      </c>
      <c r="DM4" s="11" t="s">
        <v>203</v>
      </c>
    </row>
    <row r="5" ht="52.5" customHeight="1">
      <c r="A5" s="55"/>
      <c r="B5" s="42"/>
      <c r="C5" s="42"/>
      <c r="D5" s="42"/>
      <c r="E5" s="42"/>
      <c r="F5" s="42"/>
      <c r="G5" s="56"/>
      <c r="H5" s="56"/>
      <c r="I5" s="56"/>
      <c r="J5" s="42"/>
      <c r="K5" s="42"/>
      <c r="L5" s="42"/>
      <c r="M5" s="56"/>
      <c r="N5" s="56"/>
      <c r="O5" s="56"/>
      <c r="P5" s="57" t="str">
        <f t="shared" ref="P5:P54" si="2">IF(OR($B5="",$C5="",SUM($D5:$F5)+SUM($J5:$L5)=0),"",EG5+0.5*EH5+0.25*EI5)</f>
        <v/>
      </c>
      <c r="Q5" s="57" t="str">
        <f t="shared" ref="Q5:Q54" si="3">IF(OR($B5="",$C5="",SUM($D5:$F5)+SUM($J5:$L5)=0),"",EJ5+0.5*EK5+0.25*EL5)</f>
        <v/>
      </c>
      <c r="R5" s="58" t="str">
        <f t="shared" ref="R5:R54" si="4">IF(OR(P5="",Q5="",P5+Q5=0),"",(1-0.2*4*(P5/(P5+Q5))*(Q5/(P5+Q5)))*(P5/(P5+Q5)))</f>
        <v/>
      </c>
      <c r="S5" s="58" t="str">
        <f t="shared" ref="S5:S54" si="5">IF(OR(P5="",Q5="",P5+Q5=0),"",0.2*4*(P5/(P5+Q5))*(Q5/(P5+Q5)))</f>
        <v/>
      </c>
      <c r="T5" s="58" t="str">
        <f t="shared" ref="T5:T54" si="6">IF(R5="","",1-R5-S5)</f>
        <v/>
      </c>
      <c r="U5" s="59" t="str">
        <f t="shared" ref="U5:U54" si="7">IF(R5="","",IF(EM5=0,"—","1–"&amp;EM5))</f>
        <v/>
      </c>
      <c r="V5" s="59" t="str">
        <f t="shared" ref="V5:V54" si="8">IF(R5="","",IF(EN5&lt;=EM5,"—",(EM5+1)&amp;"–"&amp;EN5))</f>
        <v/>
      </c>
      <c r="W5" s="59" t="str">
        <f t="shared" ref="W5:W54" si="9">IF(R5="","",IF(EN5&gt;=60,"—",(EN5+1)&amp;"–60"))</f>
        <v/>
      </c>
      <c r="X5" s="60">
        <v>40.0</v>
      </c>
      <c r="Y5" s="61" t="str">
        <f t="shared" ref="Y5:Y54" si="10">IF(EO5="","",IF(EO5=1,"Победа "&amp;$B5,IF(EO5=0,"Ничья","Победа "&amp;$C5)))</f>
        <v>Победа </v>
      </c>
      <c r="Z5" s="61" t="str">
        <f t="shared" ref="Z5:Z54" si="11">IF(EO5="","",IF(EO5=0,"—",IF(EP5&lt;=1/3,"Минимальная победа",IF(EP5&lt;=2/3,"Уверенная победа","Разгромная победа"))))</f>
        <v>#DIV/0!</v>
      </c>
      <c r="AA5" s="61" t="str">
        <f t="shared" ref="AA5:AA54" si="12">IF(OR($B5="",$C5=""),"",IF(EC5=0,"Нет существенного перевеса",IF(EG5&gt;EJ5,$B5&amp;" — "&amp;IF(EC5=1,"преимущество",IF(EC5=2,"крупная победа","доминирование")),$C5&amp;" — "&amp;IF(EC5=1,"преимущество",IF(EC5=2,"крупная победа","доминирование")))))</f>
        <v/>
      </c>
      <c r="AB5" s="61" t="str">
        <f t="shared" ref="AB5:AB54" si="13">IF(EC5=0,"Нет локального эффекта","Цели: "&amp;DN5&amp;IF(EC5&gt;=2,", "&amp;DO5,"")&amp;IF(EC5&gt;=3,", "&amp;DP5,"")&amp;". "&amp;IF(EG5&gt;EJ5,$B5&amp;": +"&amp;IF(EC5=1,"0,15",IF(EC5=2,"0,20","0,30"))&amp;" к значению и +"&amp;IF(EC5=1,"0,01",IF(EC5=2,"0,02","0,03"))&amp;" к приросту; "&amp;$C5&amp;": −те же величины.",$C5&amp;": +"&amp;IF(EC5=1,"0,15",IF(EC5=2,"0,20","0,30"))&amp;" к значению и +"&amp;IF(EC5=1,"0,01",IF(EC5=2,"0,02","0,03"))&amp;" к приросту; "&amp;$B5&amp;": −те же величины."))</f>
        <v>Нет локального эффекта</v>
      </c>
      <c r="AC5" s="61" t="str">
        <f t="shared" ref="AC5:AC54" si="14">IF(OR($B5="",$C5=""),"",IF(ED5=0,"Нет существенного перевеса",IF(EH5&gt;EK5,$B5&amp;" — "&amp;IF(ED5=1,"преимущество",IF(ED5=2,"крупная победа","доминирование")),$C5&amp;" — "&amp;IF(ED5=1,"преимущество",IF(ED5=2,"крупная победа","доминирование")))))</f>
        <v/>
      </c>
      <c r="AD5" s="61" t="str">
        <f t="shared" ref="AD5:AD54" si="15">IF(ED5=0,"Нет локального эффекта","Сферы: "&amp;DQ5&amp;IF(ED5&gt;=2,", "&amp;DR5,"")&amp;IF(ED5&gt;=3,", "&amp;DS5,"")&amp;". "&amp;IF(EH5&gt;EK5,$B5&amp;": +"&amp;IF(ED5=1,"0,02",IF(ED5=2,"0,03","0,05"))&amp;" к годовому приросту; "&amp;$C5&amp;": −та же величина.",$C5&amp;": +"&amp;IF(ED5=1,"0,02",IF(ED5=2,"0,03","0,05"))&amp;" к годовому приросту; "&amp;$B5&amp;": −та же величина."))</f>
        <v>Нет локального эффекта</v>
      </c>
      <c r="AE5" s="61" t="str">
        <f t="shared" ref="AE5:AE54" si="16">IF(OR($B5="",$C5=""),"",IF(EE5=0,"Нет существенного перевеса",IF(EI5&gt;EL5,$B5&amp;" — "&amp;IF(EE5=1,"преимущество",IF(EE5=2,"крупная победа","доминирование")),$C5&amp;" — "&amp;IF(EE5=1,"преимущество",IF(EE5=2,"крупная победа","доминирование")))))</f>
        <v/>
      </c>
      <c r="AF5" s="61" t="str">
        <f t="shared" ref="AF5:AF54" si="17">IF(EE5=0,"Нет локального эффекта","Страны: "&amp;DT5&amp;IF(EE5&gt;=2,", "&amp;DU5,"")&amp;IF(EE5&gt;=3,", "&amp;DV5,"")&amp;". "&amp;IF(EI5&gt;EL5,$B5&amp;": +"&amp;IF(EE5=1,"0,2",IF(EE5=2,"0,3","0,5"))&amp;" к отношениям; "&amp;$C5&amp;": −та же величина.",$C5&amp;": +"&amp;IF(EE5=1,"0,2",IF(EE5=2,"0,3","0,5"))&amp;" к отношениям; "&amp;$B5&amp;": −та же величина."))</f>
        <v>Нет локального эффекта</v>
      </c>
      <c r="AG5" s="61" t="str">
        <f t="shared" ref="AG5:AG54" si="18">IF(EO5="","",IF(EO5=0,"Ничья: общего дополнительного эффекта нет.",IF(EF5=0,"",IF(OR(DW5="Ресурсный",AND(EF5&gt;=2,DX5="Ресурсный"),AND(EF5&gt;=3,DY5="Ресурсный")),EQ5&amp;" ","")&amp;IF(OR(DW5="Общественный",AND(EF5&gt;=2,DX5="Общественный"),AND(EF5&gt;=3,DY5="Общественный")),ER5&amp;" ","")&amp;IF(OR(DW5="Дипломатический",AND(EF5&gt;=2,DX5="Дипломатический"),AND(EF5&gt;=3,DY5="Дипломатический")),ES5,""))))</f>
        <v>#DIV/0!</v>
      </c>
      <c r="AH5" s="62" t="str">
        <f>IF($B5="","","Общий итог: "&amp;IF($Y5="","ожидает D60",$Y5&amp;IF($Z5="—",""," — "&amp;$Z5))&amp;". Арес: "&amp;$AA5&amp;". "&amp;$AB5&amp;" Афина: "&amp;$AC5&amp;". "&amp;$AD5&amp;" Аполлон: "&amp;$AE5&amp;". "&amp;$AF5&amp;IF($AG5="",""," Общий эффект: "&amp;$AG5))</f>
        <v/>
      </c>
      <c r="BA5" s="11" t="s">
        <v>215</v>
      </c>
      <c r="BB5" s="11" t="s">
        <v>215</v>
      </c>
      <c r="BC5" s="11" t="s">
        <v>225</v>
      </c>
      <c r="BD5" s="11" t="s">
        <v>109</v>
      </c>
      <c r="BF5" s="11">
        <v>3.52162939E8</v>
      </c>
      <c r="BG5" s="11">
        <v>5.50872684E8</v>
      </c>
      <c r="BH5" s="11">
        <v>6.55395108E8</v>
      </c>
      <c r="BI5" s="11">
        <v>8.15616875E8</v>
      </c>
      <c r="BJ5" s="11">
        <v>4.83896262E8</v>
      </c>
      <c r="BK5" s="11">
        <v>9.06601351E8</v>
      </c>
      <c r="BL5" s="11">
        <v>3.11826627E8</v>
      </c>
      <c r="BM5" s="11">
        <f t="shared" ref="BM5:BM54" si="19">MOD($BF5+1*7919,100003)</f>
        <v>60295</v>
      </c>
      <c r="BN5" s="11">
        <f t="shared" ref="BN5:BN54" si="20">MOD($BF5+2*7919,100003)</f>
        <v>68214</v>
      </c>
      <c r="BO5" s="11">
        <f t="shared" ref="BO5:BO54" si="21">MOD($BF5+3*7919,100003)</f>
        <v>76133</v>
      </c>
      <c r="BP5" s="11">
        <f t="shared" ref="BP5:BP54" si="22">MOD($BF5+4*7919,100003)</f>
        <v>84052</v>
      </c>
      <c r="BQ5" s="11">
        <f t="shared" ref="BQ5:BQ54" si="23">MOD($BF5+5*7919,100003)</f>
        <v>91971</v>
      </c>
      <c r="BR5" s="11">
        <f t="shared" ref="BR5:BR54" si="24">MOD($BF5+6*7919,100003)</f>
        <v>99890</v>
      </c>
      <c r="BS5" s="11">
        <f t="shared" ref="BS5:BS54" si="25">MOD($BF5+7*7919,100003)</f>
        <v>7806</v>
      </c>
      <c r="BT5" s="11">
        <f t="shared" ref="BT5:BT54" si="26">MOD($BF5+8*7919,100003)</f>
        <v>15725</v>
      </c>
      <c r="BU5" s="11">
        <f t="shared" ref="BU5:BU54" si="27">MOD($BF5+9*7919,100003)</f>
        <v>23644</v>
      </c>
      <c r="BV5" s="11">
        <f t="shared" ref="BV5:BV54" si="28">MOD($BF5+10*7919,100003)</f>
        <v>31563</v>
      </c>
      <c r="BW5" s="11">
        <f t="shared" ref="BW5:BW54" si="29">MOD($BG5+1*6151,100003)</f>
        <v>62311</v>
      </c>
      <c r="BX5" s="11">
        <f t="shared" ref="BX5:BX54" si="30">MOD($BG5+2*6151,100003)</f>
        <v>68462</v>
      </c>
      <c r="BY5" s="11">
        <f t="shared" ref="BY5:BY54" si="31">MOD($BG5+3*6151,100003)</f>
        <v>74613</v>
      </c>
      <c r="BZ5" s="11">
        <f t="shared" ref="BZ5:BZ54" si="32">MOD($BG5+4*6151,100003)</f>
        <v>80764</v>
      </c>
      <c r="CA5" s="11">
        <f t="shared" ref="CA5:CA54" si="33">MOD($BG5+5*6151,100003)</f>
        <v>86915</v>
      </c>
      <c r="CB5" s="11">
        <f t="shared" ref="CB5:CB54" si="34">MOD($BG5+6*6151,100003)</f>
        <v>93066</v>
      </c>
      <c r="CC5" s="11">
        <f t="shared" ref="CC5:CC54" si="35">MOD($BG5+7*6151,100003)</f>
        <v>99217</v>
      </c>
      <c r="CD5" s="11">
        <f t="shared" ref="CD5:CD54" si="36">MOD($BG5+8*6151,100003)</f>
        <v>5365</v>
      </c>
      <c r="CE5" s="11">
        <f t="shared" ref="CE5:CE54" si="37">IF(OR(CE$4=$B5,CE$4=$C5),999999,MOD($BH5+1*3571,100003))</f>
        <v>79020</v>
      </c>
      <c r="CF5" s="11">
        <f t="shared" ref="CF5:CF54" si="38">IF(OR(CF$4=$B5,CF$4=$C5),999999,MOD($BH5+2*3571,100003))</f>
        <v>82591</v>
      </c>
      <c r="CG5" s="11">
        <f t="shared" ref="CG5:CG54" si="39">IF(OR(CG$4=$B5,CG$4=$C5),999999,MOD($BH5+3*3571,100003))</f>
        <v>86162</v>
      </c>
      <c r="CH5" s="11">
        <f t="shared" ref="CH5:CH54" si="40">IF(OR(CH$4=$B5,CH$4=$C5),999999,MOD($BH5+4*3571,100003))</f>
        <v>89733</v>
      </c>
      <c r="CI5" s="11">
        <f t="shared" ref="CI5:CI54" si="41">IF(OR(CI$4=$B5,CI$4=$C5),999999,MOD($BH5+5*3571,100003))</f>
        <v>93304</v>
      </c>
      <c r="CJ5" s="11">
        <f t="shared" ref="CJ5:CJ54" si="42">IF(OR(CJ$4=$B5,CJ$4=$C5),999999,MOD($BH5+6*3571,100003))</f>
        <v>96875</v>
      </c>
      <c r="CK5" s="11">
        <f t="shared" ref="CK5:CK54" si="43">IF(OR(CK$4=$B5,CK$4=$C5),999999,MOD($BH5+7*3571,100003))</f>
        <v>443</v>
      </c>
      <c r="CL5" s="11">
        <f t="shared" ref="CL5:CL54" si="44">IF(OR(CL$4=$B5,CL$4=$C5),999999,MOD($BH5+8*3571,100003))</f>
        <v>4014</v>
      </c>
      <c r="CM5" s="11">
        <f t="shared" ref="CM5:CM54" si="45">IF(OR(CM$4=$B5,CM$4=$C5),999999,MOD($BH5+9*3571,100003))</f>
        <v>7585</v>
      </c>
      <c r="CN5" s="11">
        <f t="shared" ref="CN5:CN54" si="46">IF(OR(CN$4=$B5,CN$4=$C5),999999,MOD($BH5+10*3571,100003))</f>
        <v>11156</v>
      </c>
      <c r="CO5" s="11">
        <f t="shared" ref="CO5:CO54" si="47">IF(OR(CO$4=$B5,CO$4=$C5),999999,MOD($BH5+11*3571,100003))</f>
        <v>14727</v>
      </c>
      <c r="CP5" s="11">
        <f t="shared" ref="CP5:CP54" si="48">IF(OR(CP$4=$B5,CP$4=$C5),999999,MOD($BH5+12*3571,100003))</f>
        <v>18298</v>
      </c>
      <c r="CQ5" s="11">
        <f t="shared" ref="CQ5:CQ54" si="49">IF(OR(CQ$4=$B5,CQ$4=$C5),999999,MOD($BH5+13*3571,100003))</f>
        <v>21869</v>
      </c>
      <c r="CR5" s="11">
        <f t="shared" ref="CR5:CR54" si="50">IF(OR(CR$4=$B5,CR$4=$C5),999999,MOD($BH5+14*3571,100003))</f>
        <v>25440</v>
      </c>
      <c r="CS5" s="11">
        <f t="shared" ref="CS5:CS54" si="51">IF(OR(CS$4=$B5,CS$4=$C5),999999,MOD($BH5+15*3571,100003))</f>
        <v>29011</v>
      </c>
      <c r="CT5" s="11">
        <f t="shared" ref="CT5:CT54" si="52">IF(OR(CT$4=$B5,CT$4=$C5),999999,MOD($BH5+16*3571,100003))</f>
        <v>32582</v>
      </c>
      <c r="CU5" s="11">
        <f t="shared" ref="CU5:CU54" si="53">IF(OR(CU$4=$B5,CU$4=$C5),999999,MOD($BK5+1*4441,100003))</f>
        <v>78597</v>
      </c>
      <c r="CV5" s="11">
        <f t="shared" ref="CV5:CV54" si="54">IF(OR(CV$4=$B5,CV$4=$C5),999999,MOD($BK5+2*4441,100003))</f>
        <v>83038</v>
      </c>
      <c r="CW5" s="11">
        <f t="shared" ref="CW5:CW54" si="55">IF(OR(CW$4=$B5,CW$4=$C5),999999,MOD($BK5+3*4441,100003))</f>
        <v>87479</v>
      </c>
      <c r="CX5" s="11">
        <f t="shared" ref="CX5:CX54" si="56">IF(OR(CX$4=$B5,CX$4=$C5),999999,MOD($BK5+4*4441,100003))</f>
        <v>91920</v>
      </c>
      <c r="CY5" s="11">
        <f t="shared" ref="CY5:CY54" si="57">IF(OR(CY$4=$B5,CY$4=$C5),999999,MOD($BK5+5*4441,100003))</f>
        <v>96361</v>
      </c>
      <c r="CZ5" s="11">
        <f t="shared" ref="CZ5:CZ54" si="58">IF(OR(CZ$4=$B5,CZ$4=$C5),999999,MOD($BK5+6*4441,100003))</f>
        <v>799</v>
      </c>
      <c r="DA5" s="11">
        <f t="shared" ref="DA5:DA54" si="59">IF(OR(DA$4=$B5,DA$4=$C5),999999,MOD($BK5+7*4441,100003))</f>
        <v>5240</v>
      </c>
      <c r="DB5" s="11">
        <f t="shared" ref="DB5:DB54" si="60">IF(OR(DB$4=$B5,DB$4=$C5),999999,MOD($BK5+8*4441,100003))</f>
        <v>9681</v>
      </c>
      <c r="DC5" s="11">
        <f t="shared" ref="DC5:DC54" si="61">IF(OR(DC$4=$B5,DC$4=$C5),999999,MOD($BK5+9*4441,100003))</f>
        <v>14122</v>
      </c>
      <c r="DD5" s="11">
        <f t="shared" ref="DD5:DD54" si="62">IF(OR(DD$4=$B5,DD$4=$C5),999999,MOD($BK5+10*4441,100003))</f>
        <v>18563</v>
      </c>
      <c r="DE5" s="11">
        <f t="shared" ref="DE5:DE54" si="63">IF(OR(DE$4=$B5,DE$4=$C5),999999,MOD($BK5+11*4441,100003))</f>
        <v>23004</v>
      </c>
      <c r="DF5" s="11">
        <f t="shared" ref="DF5:DF54" si="64">IF(OR(DF$4=$B5,DF$4=$C5),999999,MOD($BK5+12*4441,100003))</f>
        <v>27445</v>
      </c>
      <c r="DG5" s="11">
        <f t="shared" ref="DG5:DG54" si="65">IF(OR(DG$4=$B5,DG$4=$C5),999999,MOD($BK5+13*4441,100003))</f>
        <v>31886</v>
      </c>
      <c r="DH5" s="11">
        <f t="shared" ref="DH5:DH54" si="66">IF(OR(DH$4=$B5,DH$4=$C5),999999,MOD($BK5+14*4441,100003))</f>
        <v>36327</v>
      </c>
      <c r="DI5" s="11">
        <f t="shared" ref="DI5:DI54" si="67">IF(OR(DI$4=$B5,DI$4=$C5),999999,MOD($BK5+15*4441,100003))</f>
        <v>40768</v>
      </c>
      <c r="DJ5" s="11">
        <f t="shared" ref="DJ5:DJ54" si="68">IF(OR(DJ$4=$B5,DJ$4=$C5),999999,MOD($BK5+16*4441,100003))</f>
        <v>45209</v>
      </c>
      <c r="DK5" s="11">
        <f t="shared" ref="DK5:DK54" si="69">MOD($BL5+1*2089,100003)</f>
        <v>19362</v>
      </c>
      <c r="DL5" s="11">
        <f t="shared" ref="DL5:DL54" si="70">MOD($BL5+2*2089,100003)</f>
        <v>21451</v>
      </c>
      <c r="DM5" s="11">
        <f t="shared" ref="DM5:DM54" si="71">MOD($BL5+3*2089,100003)</f>
        <v>23540</v>
      </c>
      <c r="DN5" s="11" t="str">
        <f t="shared" ref="DN5:DN54" si="72">INDEX($BM$4:$BV$4,1,MATCH(SMALL(BM5:BV5,1),BM5:BV5,0))</f>
        <v>Вычислительные компоненты</v>
      </c>
      <c r="DO5" s="11" t="str">
        <f t="shared" ref="DO5:DO54" si="73">INDEX($BM$4:$BV$4,1,MATCH(SMALL(BM5:BV5,2),BM5:BV5,0))</f>
        <v>ЦОД и вычислительная инфраструктура</v>
      </c>
      <c r="DP5" s="11" t="str">
        <f t="shared" ref="DP5:DP54" si="74">INDEX($BM$4:$BV$4,1,MATCH(SMALL(BM5:BV5,3),BM5:BV5,0))</f>
        <v>Сетевые ресурсы</v>
      </c>
      <c r="DQ5" s="11" t="str">
        <f t="shared" ref="DQ5:DQ54" si="75">INDEX($BW$4:$CD$4,1,MATCH(SMALL(BW5:CD5,1),BW5:CD5,0))</f>
        <v>Принятие ИИ</v>
      </c>
      <c r="DR5" s="11" t="str">
        <f t="shared" ref="DR5:DR54" si="76">INDEX($BW$4:$CD$4,1,MATCH(SMALL(BW5:CD5,2),BW5:CD5,0))</f>
        <v>Производство</v>
      </c>
      <c r="DS5" s="11" t="str">
        <f t="shared" ref="DS5:DS54" si="77">INDEX($BW$4:$CD$4,1,MATCH(SMALL(BW5:CD5,3),BW5:CD5,0))</f>
        <v>Управление</v>
      </c>
      <c r="DT5" s="11" t="str">
        <f t="shared" ref="DT5:DT54" si="78">INDEX($CE$4:$CT$4,1,MATCH(SMALL(CE5:CT5,1),CE5:CT5,0))</f>
        <v>Германия</v>
      </c>
      <c r="DU5" s="11" t="str">
        <f t="shared" ref="DU5:DU54" si="79">INDEX($CE$4:$CT$4,1,MATCH(SMALL(CE5:CT5,2),CE5:CT5,0))</f>
        <v>Япония</v>
      </c>
      <c r="DV5" s="11" t="str">
        <f t="shared" ref="DV5:DV54" si="80">INDEX($CE$4:$CT$4,1,MATCH(SMALL(CE5:CT5,3),CE5:CT5,0))</f>
        <v>Южная Корея</v>
      </c>
      <c r="DW5" s="11" t="str">
        <f t="shared" ref="DW5:DW54" si="81">INDEX($DK$4:$DM$4,1,MATCH(SMALL(DK5:DM5,1),DK5:DM5,0))</f>
        <v>Ресурсный</v>
      </c>
      <c r="DX5" s="11" t="str">
        <f t="shared" ref="DX5:DX54" si="82">INDEX($DK$4:$DM$4,1,MATCH(SMALL(DK5:DM5,2),DK5:DM5,0))</f>
        <v>Общественный</v>
      </c>
      <c r="DY5" s="11" t="str">
        <f t="shared" ref="DY5:DY54" si="83">INDEX($DK$4:$DM$4,1,MATCH(SMALL(DK5:DM5,3),DK5:DM5,0))</f>
        <v>Дипломатический</v>
      </c>
      <c r="DZ5" s="11" t="str">
        <f t="shared" ref="DZ5:DZ54" si="84">INDEX($BA$2:$BA$44,1+MOD($BI5,43))</f>
        <v>Математико-алгоритмические ресурсы</v>
      </c>
      <c r="EA5" s="11" t="str">
        <f t="shared" ref="EA5:EA54" si="85">INDEX($BC$2:$BC$9,1+MOD($BJ5,8))</f>
        <v>Государственное управление</v>
      </c>
      <c r="EB5" s="11" t="str">
        <f t="shared" ref="EB5:EB54" si="86">INDEX($CU$4:$DJ$4,1,MATCH(SMALL(CU5:DJ5,1),CU5:DJ5,0))</f>
        <v>Франция</v>
      </c>
      <c r="EC5" s="11">
        <f t="shared" ref="EC5:EE5" si="1">IF(OR($B5="",$C5=""),0,IF(AND(EG5&gt;=5,EG5&gt;=5*EJ5),3,IF(AND(EJ5&gt;=5,EJ5&gt;=5*EG5),3,IF(AND(EG5&gt;=5,EG5&gt;=3*EJ5),2,IF(AND(EJ5&gt;=5,EJ5&gt;=3*EG5),2,IF(AND(EG5&gt;=5,EG5&gt;=2*EJ5),1,IF(AND(EJ5&gt;=5,EJ5&gt;=2*EG5),1,0)))))))</f>
        <v>0</v>
      </c>
      <c r="ED5" s="11">
        <f t="shared" si="1"/>
        <v>0</v>
      </c>
      <c r="EE5" s="11">
        <f t="shared" si="1"/>
        <v>0</v>
      </c>
      <c r="EF5" s="11" t="str">
        <f t="shared" ref="EF5:EF54" si="88">IF($Z5="",0,IF($Z5="Минимальная победа",1,IF($Z5="Уверенная победа",2,IF($Z5="Разгромная победа",3,0))))</f>
        <v>#DIV/0!</v>
      </c>
      <c r="EG5" s="11" t="str">
        <f t="shared" ref="EG5:EG54" si="89">IF($B5="","",$D5*(1+IF($G5="",0,$G5)))</f>
        <v/>
      </c>
      <c r="EH5" s="11" t="str">
        <f t="shared" ref="EH5:EH54" si="90">IF($B5="","",$E5*(1+IF($H5="",0,$H5)))</f>
        <v/>
      </c>
      <c r="EI5" s="11" t="str">
        <f t="shared" ref="EI5:EI54" si="91">IF($B5="","",$F5*(1+IF($I5="",0,$I5)))</f>
        <v/>
      </c>
      <c r="EJ5" s="11" t="str">
        <f t="shared" ref="EJ5:EJ54" si="92">IF($C5="","",$J5*(1+IF($M5="",0,$M5)))</f>
        <v/>
      </c>
      <c r="EK5" s="11" t="str">
        <f t="shared" ref="EK5:EK54" si="93">IF($C5="","",$K5*(1+IF($N5="",0,$N5)))</f>
        <v/>
      </c>
      <c r="EL5" s="11" t="str">
        <f t="shared" ref="EL5:EL54" si="94">IF($C5="","",$L5*(1+IF($O5="",0,$O5)))</f>
        <v/>
      </c>
      <c r="EM5" s="11" t="str">
        <f t="shared" ref="EM5:EM54" si="95">IF(R5="","",ROUND(60*R5,0))</f>
        <v/>
      </c>
      <c r="EN5" s="11" t="str">
        <f t="shared" ref="EN5:EN54" si="96">IF(R5="","",ROUND(60*(R5+S5),0))</f>
        <v/>
      </c>
      <c r="EO5" s="11">
        <f t="shared" ref="EO5:EO54" si="97">IF($X5="","",IF($X5&lt;=EM5,1,IF($X5&lt;=EN5,0,-1)))</f>
        <v>1</v>
      </c>
      <c r="EP5" s="11" t="str">
        <f t="shared" ref="EP5:EP54" si="98">IF(EO5="","",IF(EO5=0,0,IF(EO5=1,IF(EM5=0,0,(EM5-$X5+1)/EM5),IF(EN5&gt;=60,0,($X5-EN5)/(60-EN5)))))</f>
        <v>#DIV/0!</v>
      </c>
      <c r="EQ5" s="11" t="str">
        <f t="shared" ref="EQ5:EQ54" si="99">IF(EF5=0,"",IF(EO5=1,"Ресурс: "&amp;DZ5&amp;". "&amp;$B5&amp;": +"&amp;IF(EF5=1,"0,20",IF(EF5=2,"0,30","0,40"))&amp;" к значению и +"&amp;IF(EF5=1,"0,01",IF(EF5=2,"0,02","0,03"))&amp;" к приросту; "&amp;$C5&amp;": −те же величины.","Ресурс: "&amp;DZ5&amp;". "&amp;$C5&amp;": +"&amp;IF(EF5=1,"0,20",IF(EF5=2,"0,30","0,40"))&amp;" к значению и +"&amp;IF(EF5=1,"0,01",IF(EF5=2,"0,02","0,03"))&amp;" к приросту; "&amp;$B5&amp;": −те же величины."))</f>
        <v>#DIV/0!</v>
      </c>
      <c r="ER5" s="11" t="str">
        <f t="shared" ref="ER5:ER54" si="100">IF(EF5=0,"",IF(EO5=1,"Сфера: "&amp;EA5&amp;". "&amp;$B5&amp;": +"&amp;IF(EF5=1,"0,02",IF(EF5=2,"0,03","0,05"))&amp;" к годовому приросту; "&amp;$C5&amp;": −та же величина.","Сфера: "&amp;EA5&amp;". "&amp;$C5&amp;": +"&amp;IF(EF5=1,"0,02",IF(EF5=2,"0,03","0,05"))&amp;" к годовому приросту; "&amp;$B5&amp;": −та же величина."))</f>
        <v>#DIV/0!</v>
      </c>
      <c r="ES5" s="11" t="str">
        <f t="shared" ref="ES5:ES54" si="101">IF(EF5=0,"",IF(EO5=1,"Дипломатия: "&amp;EB5&amp;". "&amp;$B5&amp;": +"&amp;IF(EF5=1,"0,2",IF(EF5=2,"0,3","0,5"))&amp;" к отношениям; "&amp;$C5&amp;": −та же величина.","Дипломатия: "&amp;EB5&amp;". "&amp;$C5&amp;": +"&amp;IF(EF5=1,"0,2",IF(EF5=2,"0,3","0,5"))&amp;" к отношениям; "&amp;$B5&amp;": −та же величина."))</f>
        <v>#DIV/0!</v>
      </c>
    </row>
    <row r="6" ht="52.5" customHeight="1">
      <c r="A6" s="55"/>
      <c r="B6" s="42"/>
      <c r="C6" s="42"/>
      <c r="D6" s="42"/>
      <c r="E6" s="42"/>
      <c r="F6" s="42"/>
      <c r="G6" s="56"/>
      <c r="H6" s="56"/>
      <c r="I6" s="56"/>
      <c r="J6" s="42"/>
      <c r="K6" s="42"/>
      <c r="L6" s="42"/>
      <c r="M6" s="56"/>
      <c r="N6" s="56"/>
      <c r="O6" s="56"/>
      <c r="P6" s="57" t="str">
        <f t="shared" si="2"/>
        <v/>
      </c>
      <c r="Q6" s="57" t="str">
        <f t="shared" si="3"/>
        <v/>
      </c>
      <c r="R6" s="58" t="str">
        <f t="shared" si="4"/>
        <v/>
      </c>
      <c r="S6" s="58" t="str">
        <f t="shared" si="5"/>
        <v/>
      </c>
      <c r="T6" s="58" t="str">
        <f t="shared" si="6"/>
        <v/>
      </c>
      <c r="U6" s="59" t="str">
        <f t="shared" si="7"/>
        <v/>
      </c>
      <c r="V6" s="59" t="str">
        <f t="shared" si="8"/>
        <v/>
      </c>
      <c r="W6" s="59" t="str">
        <f t="shared" si="9"/>
        <v/>
      </c>
      <c r="X6" s="60"/>
      <c r="Y6" s="61" t="str">
        <f t="shared" si="10"/>
        <v/>
      </c>
      <c r="Z6" s="61" t="str">
        <f t="shared" si="11"/>
        <v/>
      </c>
      <c r="AA6" s="61" t="str">
        <f t="shared" si="12"/>
        <v/>
      </c>
      <c r="AB6" s="61" t="str">
        <f t="shared" si="13"/>
        <v>Нет локального эффекта</v>
      </c>
      <c r="AC6" s="61" t="str">
        <f t="shared" si="14"/>
        <v/>
      </c>
      <c r="AD6" s="61" t="str">
        <f t="shared" si="15"/>
        <v>Нет локального эффекта</v>
      </c>
      <c r="AE6" s="61" t="str">
        <f t="shared" si="16"/>
        <v/>
      </c>
      <c r="AF6" s="61" t="str">
        <f t="shared" si="17"/>
        <v>Нет локального эффекта</v>
      </c>
      <c r="AG6" s="61" t="str">
        <f t="shared" si="18"/>
        <v/>
      </c>
      <c r="AH6" s="62" t="str">
        <f>IF($B6="","","Общий итог: "&amp;IF($Y6="","ожидает D61",$Y6&amp;IF($Z6="—",""," — "&amp;$Z6))&amp;". Арес: "&amp;$AA6&amp;". "&amp;$AB6&amp;" Афина: "&amp;$AC6&amp;". "&amp;$AD6&amp;" Аполлон: "&amp;$AE6&amp;". "&amp;$AF6&amp;IF($AG6="",""," Общий эффект: "&amp;$AG6))</f>
        <v/>
      </c>
      <c r="BA6" s="11" t="s">
        <v>216</v>
      </c>
      <c r="BB6" s="11" t="s">
        <v>216</v>
      </c>
      <c r="BC6" s="11" t="s">
        <v>226</v>
      </c>
      <c r="BD6" s="11" t="s">
        <v>113</v>
      </c>
      <c r="BF6" s="11">
        <v>9.37185496E8</v>
      </c>
      <c r="BG6" s="11">
        <v>4.1555561E7</v>
      </c>
      <c r="BH6" s="11">
        <v>6.51540978E8</v>
      </c>
      <c r="BI6" s="11">
        <v>5.46207091E8</v>
      </c>
      <c r="BJ6" s="11">
        <v>2.30005986E8</v>
      </c>
      <c r="BK6" s="11">
        <v>9.15316581E8</v>
      </c>
      <c r="BL6" s="11">
        <v>1.5600583E7</v>
      </c>
      <c r="BM6" s="11">
        <f t="shared" si="19"/>
        <v>65302</v>
      </c>
      <c r="BN6" s="11">
        <f t="shared" si="20"/>
        <v>73221</v>
      </c>
      <c r="BO6" s="11">
        <f t="shared" si="21"/>
        <v>81140</v>
      </c>
      <c r="BP6" s="11">
        <f t="shared" si="22"/>
        <v>89059</v>
      </c>
      <c r="BQ6" s="11">
        <f t="shared" si="23"/>
        <v>96978</v>
      </c>
      <c r="BR6" s="11">
        <f t="shared" si="24"/>
        <v>4894</v>
      </c>
      <c r="BS6" s="11">
        <f t="shared" si="25"/>
        <v>12813</v>
      </c>
      <c r="BT6" s="11">
        <f t="shared" si="26"/>
        <v>20732</v>
      </c>
      <c r="BU6" s="11">
        <f t="shared" si="27"/>
        <v>28651</v>
      </c>
      <c r="BV6" s="11">
        <f t="shared" si="28"/>
        <v>36570</v>
      </c>
      <c r="BW6" s="11">
        <f t="shared" si="29"/>
        <v>60467</v>
      </c>
      <c r="BX6" s="11">
        <f t="shared" si="30"/>
        <v>66618</v>
      </c>
      <c r="BY6" s="11">
        <f t="shared" si="31"/>
        <v>72769</v>
      </c>
      <c r="BZ6" s="11">
        <f t="shared" si="32"/>
        <v>78920</v>
      </c>
      <c r="CA6" s="11">
        <f t="shared" si="33"/>
        <v>85071</v>
      </c>
      <c r="CB6" s="11">
        <f t="shared" si="34"/>
        <v>91222</v>
      </c>
      <c r="CC6" s="11">
        <f t="shared" si="35"/>
        <v>97373</v>
      </c>
      <c r="CD6" s="11">
        <f t="shared" si="36"/>
        <v>3521</v>
      </c>
      <c r="CE6" s="11">
        <f t="shared" si="37"/>
        <v>25004</v>
      </c>
      <c r="CF6" s="11">
        <f t="shared" si="38"/>
        <v>28575</v>
      </c>
      <c r="CG6" s="11">
        <f t="shared" si="39"/>
        <v>32146</v>
      </c>
      <c r="CH6" s="11">
        <f t="shared" si="40"/>
        <v>35717</v>
      </c>
      <c r="CI6" s="11">
        <f t="shared" si="41"/>
        <v>39288</v>
      </c>
      <c r="CJ6" s="11">
        <f t="shared" si="42"/>
        <v>42859</v>
      </c>
      <c r="CK6" s="11">
        <f t="shared" si="43"/>
        <v>46430</v>
      </c>
      <c r="CL6" s="11">
        <f t="shared" si="44"/>
        <v>50001</v>
      </c>
      <c r="CM6" s="11">
        <f t="shared" si="45"/>
        <v>53572</v>
      </c>
      <c r="CN6" s="11">
        <f t="shared" si="46"/>
        <v>57143</v>
      </c>
      <c r="CO6" s="11">
        <f t="shared" si="47"/>
        <v>60714</v>
      </c>
      <c r="CP6" s="11">
        <f t="shared" si="48"/>
        <v>64285</v>
      </c>
      <c r="CQ6" s="11">
        <f t="shared" si="49"/>
        <v>67856</v>
      </c>
      <c r="CR6" s="11">
        <f t="shared" si="50"/>
        <v>71427</v>
      </c>
      <c r="CS6" s="11">
        <f t="shared" si="51"/>
        <v>74998</v>
      </c>
      <c r="CT6" s="11">
        <f t="shared" si="52"/>
        <v>78569</v>
      </c>
      <c r="CU6" s="11">
        <f t="shared" si="53"/>
        <v>93566</v>
      </c>
      <c r="CV6" s="11">
        <f t="shared" si="54"/>
        <v>98007</v>
      </c>
      <c r="CW6" s="11">
        <f t="shared" si="55"/>
        <v>2445</v>
      </c>
      <c r="CX6" s="11">
        <f t="shared" si="56"/>
        <v>6886</v>
      </c>
      <c r="CY6" s="11">
        <f t="shared" si="57"/>
        <v>11327</v>
      </c>
      <c r="CZ6" s="11">
        <f t="shared" si="58"/>
        <v>15768</v>
      </c>
      <c r="DA6" s="11">
        <f t="shared" si="59"/>
        <v>20209</v>
      </c>
      <c r="DB6" s="11">
        <f t="shared" si="60"/>
        <v>24650</v>
      </c>
      <c r="DC6" s="11">
        <f t="shared" si="61"/>
        <v>29091</v>
      </c>
      <c r="DD6" s="11">
        <f t="shared" si="62"/>
        <v>33532</v>
      </c>
      <c r="DE6" s="11">
        <f t="shared" si="63"/>
        <v>37973</v>
      </c>
      <c r="DF6" s="11">
        <f t="shared" si="64"/>
        <v>42414</v>
      </c>
      <c r="DG6" s="11">
        <f t="shared" si="65"/>
        <v>46855</v>
      </c>
      <c r="DH6" s="11">
        <f t="shared" si="66"/>
        <v>51296</v>
      </c>
      <c r="DI6" s="11">
        <f t="shared" si="67"/>
        <v>55737</v>
      </c>
      <c r="DJ6" s="11">
        <f t="shared" si="68"/>
        <v>60178</v>
      </c>
      <c r="DK6" s="11">
        <f t="shared" si="69"/>
        <v>2204</v>
      </c>
      <c r="DL6" s="11">
        <f t="shared" si="70"/>
        <v>4293</v>
      </c>
      <c r="DM6" s="11">
        <f t="shared" si="71"/>
        <v>6382</v>
      </c>
      <c r="DN6" s="11" t="str">
        <f t="shared" si="72"/>
        <v>Мощности производства полупроводников</v>
      </c>
      <c r="DO6" s="11" t="str">
        <f t="shared" si="73"/>
        <v>Вычислительные компоненты</v>
      </c>
      <c r="DP6" s="11" t="str">
        <f t="shared" si="74"/>
        <v>ЦОД и вычислительная инфраструктура</v>
      </c>
      <c r="DQ6" s="11" t="str">
        <f t="shared" si="75"/>
        <v>Принятие ИИ</v>
      </c>
      <c r="DR6" s="11" t="str">
        <f t="shared" si="76"/>
        <v>Производство</v>
      </c>
      <c r="DS6" s="11" t="str">
        <f t="shared" si="77"/>
        <v>Управление</v>
      </c>
      <c r="DT6" s="11" t="str">
        <f t="shared" si="78"/>
        <v>Россия</v>
      </c>
      <c r="DU6" s="11" t="str">
        <f t="shared" si="79"/>
        <v>США</v>
      </c>
      <c r="DV6" s="11" t="str">
        <f t="shared" si="80"/>
        <v>Китай</v>
      </c>
      <c r="DW6" s="11" t="str">
        <f t="shared" si="81"/>
        <v>Ресурсный</v>
      </c>
      <c r="DX6" s="11" t="str">
        <f t="shared" si="82"/>
        <v>Общественный</v>
      </c>
      <c r="DY6" s="11" t="str">
        <f t="shared" si="83"/>
        <v>Дипломатический</v>
      </c>
      <c r="DZ6" s="11" t="str">
        <f t="shared" si="84"/>
        <v>Права доступа к информационным ресурсам</v>
      </c>
      <c r="EA6" s="11" t="str">
        <f t="shared" si="85"/>
        <v>Познание</v>
      </c>
      <c r="EB6" s="11" t="str">
        <f t="shared" si="86"/>
        <v>Китай</v>
      </c>
      <c r="EC6" s="11">
        <f t="shared" ref="EC6:EE6" si="87">IF(OR($B6="",$C6=""),0,IF(AND(EG6&gt;=5,EG6&gt;=5*EJ6),3,IF(AND(EJ6&gt;=5,EJ6&gt;=5*EG6),3,IF(AND(EG6&gt;=5,EG6&gt;=3*EJ6),2,IF(AND(EJ6&gt;=5,EJ6&gt;=3*EG6),2,IF(AND(EG6&gt;=5,EG6&gt;=2*EJ6),1,IF(AND(EJ6&gt;=5,EJ6&gt;=2*EG6),1,0)))))))</f>
        <v>0</v>
      </c>
      <c r="ED6" s="11">
        <f t="shared" si="87"/>
        <v>0</v>
      </c>
      <c r="EE6" s="11">
        <f t="shared" si="87"/>
        <v>0</v>
      </c>
      <c r="EF6" s="11">
        <f t="shared" si="88"/>
        <v>0</v>
      </c>
      <c r="EG6" s="11" t="str">
        <f t="shared" si="89"/>
        <v/>
      </c>
      <c r="EH6" s="11" t="str">
        <f t="shared" si="90"/>
        <v/>
      </c>
      <c r="EI6" s="11" t="str">
        <f t="shared" si="91"/>
        <v/>
      </c>
      <c r="EJ6" s="11" t="str">
        <f t="shared" si="92"/>
        <v/>
      </c>
      <c r="EK6" s="11" t="str">
        <f t="shared" si="93"/>
        <v/>
      </c>
      <c r="EL6" s="11" t="str">
        <f t="shared" si="94"/>
        <v/>
      </c>
      <c r="EM6" s="11" t="str">
        <f t="shared" si="95"/>
        <v/>
      </c>
      <c r="EN6" s="11" t="str">
        <f t="shared" si="96"/>
        <v/>
      </c>
      <c r="EO6" s="11" t="str">
        <f t="shared" si="97"/>
        <v/>
      </c>
      <c r="EP6" s="11" t="str">
        <f t="shared" si="98"/>
        <v/>
      </c>
      <c r="EQ6" s="11" t="str">
        <f t="shared" si="99"/>
        <v/>
      </c>
      <c r="ER6" s="11" t="str">
        <f t="shared" si="100"/>
        <v/>
      </c>
      <c r="ES6" s="11" t="str">
        <f t="shared" si="101"/>
        <v/>
      </c>
    </row>
    <row r="7" ht="52.5" customHeight="1">
      <c r="A7" s="55"/>
      <c r="B7" s="42"/>
      <c r="C7" s="42"/>
      <c r="D7" s="42"/>
      <c r="E7" s="42"/>
      <c r="F7" s="42"/>
      <c r="G7" s="56"/>
      <c r="H7" s="56"/>
      <c r="I7" s="56"/>
      <c r="J7" s="42"/>
      <c r="K7" s="42"/>
      <c r="L7" s="42"/>
      <c r="M7" s="56"/>
      <c r="N7" s="56"/>
      <c r="O7" s="56"/>
      <c r="P7" s="57" t="str">
        <f t="shared" si="2"/>
        <v/>
      </c>
      <c r="Q7" s="57" t="str">
        <f t="shared" si="3"/>
        <v/>
      </c>
      <c r="R7" s="58" t="str">
        <f t="shared" si="4"/>
        <v/>
      </c>
      <c r="S7" s="58" t="str">
        <f t="shared" si="5"/>
        <v/>
      </c>
      <c r="T7" s="58" t="str">
        <f t="shared" si="6"/>
        <v/>
      </c>
      <c r="U7" s="59" t="str">
        <f t="shared" si="7"/>
        <v/>
      </c>
      <c r="V7" s="59" t="str">
        <f t="shared" si="8"/>
        <v/>
      </c>
      <c r="W7" s="59" t="str">
        <f t="shared" si="9"/>
        <v/>
      </c>
      <c r="X7" s="60"/>
      <c r="Y7" s="61" t="str">
        <f t="shared" si="10"/>
        <v/>
      </c>
      <c r="Z7" s="61" t="str">
        <f t="shared" si="11"/>
        <v/>
      </c>
      <c r="AA7" s="61" t="str">
        <f t="shared" si="12"/>
        <v/>
      </c>
      <c r="AB7" s="61" t="str">
        <f t="shared" si="13"/>
        <v>Нет локального эффекта</v>
      </c>
      <c r="AC7" s="61" t="str">
        <f t="shared" si="14"/>
        <v/>
      </c>
      <c r="AD7" s="61" t="str">
        <f t="shared" si="15"/>
        <v>Нет локального эффекта</v>
      </c>
      <c r="AE7" s="61" t="str">
        <f t="shared" si="16"/>
        <v/>
      </c>
      <c r="AF7" s="61" t="str">
        <f t="shared" si="17"/>
        <v>Нет локального эффекта</v>
      </c>
      <c r="AG7" s="61" t="str">
        <f t="shared" si="18"/>
        <v/>
      </c>
      <c r="AH7" s="62" t="str">
        <f>IF($B7="","","Общий итог: "&amp;IF($Y7="","ожидает D62",$Y7&amp;IF($Z7="—",""," — "&amp;$Z7))&amp;". Арес: "&amp;$AA7&amp;". "&amp;$AB7&amp;" Афина: "&amp;$AC7&amp;". "&amp;$AD7&amp;" Аполлон: "&amp;$AE7&amp;". "&amp;$AF7&amp;IF($AG7="",""," Общий эффект: "&amp;$AG7))</f>
        <v/>
      </c>
      <c r="BA7" s="11" t="s">
        <v>217</v>
      </c>
      <c r="BB7" s="11" t="s">
        <v>217</v>
      </c>
      <c r="BC7" s="11" t="s">
        <v>227</v>
      </c>
      <c r="BD7" s="11" t="s">
        <v>116</v>
      </c>
      <c r="BF7" s="11">
        <v>5.94949754E8</v>
      </c>
      <c r="BG7" s="11">
        <v>1.67733011E8</v>
      </c>
      <c r="BH7" s="11">
        <v>6.74853854E8</v>
      </c>
      <c r="BI7" s="11">
        <v>9.96402888E8</v>
      </c>
      <c r="BJ7" s="11">
        <v>8.5045456E8</v>
      </c>
      <c r="BK7" s="11">
        <v>9.1899661E7</v>
      </c>
      <c r="BL7" s="11">
        <v>8.73960588E8</v>
      </c>
      <c r="BM7" s="11">
        <f t="shared" si="19"/>
        <v>39826</v>
      </c>
      <c r="BN7" s="11">
        <f t="shared" si="20"/>
        <v>47745</v>
      </c>
      <c r="BO7" s="11">
        <f t="shared" si="21"/>
        <v>55664</v>
      </c>
      <c r="BP7" s="11">
        <f t="shared" si="22"/>
        <v>63583</v>
      </c>
      <c r="BQ7" s="11">
        <f t="shared" si="23"/>
        <v>71502</v>
      </c>
      <c r="BR7" s="11">
        <f t="shared" si="24"/>
        <v>79421</v>
      </c>
      <c r="BS7" s="11">
        <f t="shared" si="25"/>
        <v>87340</v>
      </c>
      <c r="BT7" s="11">
        <f t="shared" si="26"/>
        <v>95259</v>
      </c>
      <c r="BU7" s="11">
        <f t="shared" si="27"/>
        <v>3175</v>
      </c>
      <c r="BV7" s="11">
        <f t="shared" si="28"/>
        <v>11094</v>
      </c>
      <c r="BW7" s="11">
        <f t="shared" si="29"/>
        <v>34131</v>
      </c>
      <c r="BX7" s="11">
        <f t="shared" si="30"/>
        <v>40282</v>
      </c>
      <c r="BY7" s="11">
        <f t="shared" si="31"/>
        <v>46433</v>
      </c>
      <c r="BZ7" s="11">
        <f t="shared" si="32"/>
        <v>52584</v>
      </c>
      <c r="CA7" s="11">
        <f t="shared" si="33"/>
        <v>58735</v>
      </c>
      <c r="CB7" s="11">
        <f t="shared" si="34"/>
        <v>64886</v>
      </c>
      <c r="CC7" s="11">
        <f t="shared" si="35"/>
        <v>71037</v>
      </c>
      <c r="CD7" s="11">
        <f t="shared" si="36"/>
        <v>77188</v>
      </c>
      <c r="CE7" s="11">
        <f t="shared" si="37"/>
        <v>37181</v>
      </c>
      <c r="CF7" s="11">
        <f t="shared" si="38"/>
        <v>40752</v>
      </c>
      <c r="CG7" s="11">
        <f t="shared" si="39"/>
        <v>44323</v>
      </c>
      <c r="CH7" s="11">
        <f t="shared" si="40"/>
        <v>47894</v>
      </c>
      <c r="CI7" s="11">
        <f t="shared" si="41"/>
        <v>51465</v>
      </c>
      <c r="CJ7" s="11">
        <f t="shared" si="42"/>
        <v>55036</v>
      </c>
      <c r="CK7" s="11">
        <f t="shared" si="43"/>
        <v>58607</v>
      </c>
      <c r="CL7" s="11">
        <f t="shared" si="44"/>
        <v>62178</v>
      </c>
      <c r="CM7" s="11">
        <f t="shared" si="45"/>
        <v>65749</v>
      </c>
      <c r="CN7" s="11">
        <f t="shared" si="46"/>
        <v>69320</v>
      </c>
      <c r="CO7" s="11">
        <f t="shared" si="47"/>
        <v>72891</v>
      </c>
      <c r="CP7" s="11">
        <f t="shared" si="48"/>
        <v>76462</v>
      </c>
      <c r="CQ7" s="11">
        <f t="shared" si="49"/>
        <v>80033</v>
      </c>
      <c r="CR7" s="11">
        <f t="shared" si="50"/>
        <v>83604</v>
      </c>
      <c r="CS7" s="11">
        <f t="shared" si="51"/>
        <v>87175</v>
      </c>
      <c r="CT7" s="11">
        <f t="shared" si="52"/>
        <v>90746</v>
      </c>
      <c r="CU7" s="11">
        <f t="shared" si="53"/>
        <v>1345</v>
      </c>
      <c r="CV7" s="11">
        <f t="shared" si="54"/>
        <v>5786</v>
      </c>
      <c r="CW7" s="11">
        <f t="shared" si="55"/>
        <v>10227</v>
      </c>
      <c r="CX7" s="11">
        <f t="shared" si="56"/>
        <v>14668</v>
      </c>
      <c r="CY7" s="11">
        <f t="shared" si="57"/>
        <v>19109</v>
      </c>
      <c r="CZ7" s="11">
        <f t="shared" si="58"/>
        <v>23550</v>
      </c>
      <c r="DA7" s="11">
        <f t="shared" si="59"/>
        <v>27991</v>
      </c>
      <c r="DB7" s="11">
        <f t="shared" si="60"/>
        <v>32432</v>
      </c>
      <c r="DC7" s="11">
        <f t="shared" si="61"/>
        <v>36873</v>
      </c>
      <c r="DD7" s="11">
        <f t="shared" si="62"/>
        <v>41314</v>
      </c>
      <c r="DE7" s="11">
        <f t="shared" si="63"/>
        <v>45755</v>
      </c>
      <c r="DF7" s="11">
        <f t="shared" si="64"/>
        <v>50196</v>
      </c>
      <c r="DG7" s="11">
        <f t="shared" si="65"/>
        <v>54637</v>
      </c>
      <c r="DH7" s="11">
        <f t="shared" si="66"/>
        <v>59078</v>
      </c>
      <c r="DI7" s="11">
        <f t="shared" si="67"/>
        <v>63519</v>
      </c>
      <c r="DJ7" s="11">
        <f t="shared" si="68"/>
        <v>67960</v>
      </c>
      <c r="DK7" s="11">
        <f t="shared" si="69"/>
        <v>36460</v>
      </c>
      <c r="DL7" s="11">
        <f t="shared" si="70"/>
        <v>38549</v>
      </c>
      <c r="DM7" s="11">
        <f t="shared" si="71"/>
        <v>40638</v>
      </c>
      <c r="DN7" s="11" t="str">
        <f t="shared" si="72"/>
        <v>Сетевые ресурсы</v>
      </c>
      <c r="DO7" s="11" t="str">
        <f t="shared" si="73"/>
        <v>Конечные устройства</v>
      </c>
      <c r="DP7" s="11" t="str">
        <f t="shared" si="74"/>
        <v>Минерально-сырьевые ресурсы</v>
      </c>
      <c r="DQ7" s="11" t="str">
        <f t="shared" si="75"/>
        <v>Производство</v>
      </c>
      <c r="DR7" s="11" t="str">
        <f t="shared" si="76"/>
        <v>Управление</v>
      </c>
      <c r="DS7" s="11" t="str">
        <f t="shared" si="77"/>
        <v>Познание</v>
      </c>
      <c r="DT7" s="11" t="str">
        <f t="shared" si="78"/>
        <v>Россия</v>
      </c>
      <c r="DU7" s="11" t="str">
        <f t="shared" si="79"/>
        <v>США</v>
      </c>
      <c r="DV7" s="11" t="str">
        <f t="shared" si="80"/>
        <v>Китай</v>
      </c>
      <c r="DW7" s="11" t="str">
        <f t="shared" si="81"/>
        <v>Ресурсный</v>
      </c>
      <c r="DX7" s="11" t="str">
        <f t="shared" si="82"/>
        <v>Общественный</v>
      </c>
      <c r="DY7" s="11" t="str">
        <f t="shared" si="83"/>
        <v>Дипломатический</v>
      </c>
      <c r="DZ7" s="11" t="str">
        <f t="shared" si="84"/>
        <v>Сетевые ресурсы</v>
      </c>
      <c r="EA7" s="11" t="str">
        <f t="shared" si="85"/>
        <v>Производство</v>
      </c>
      <c r="EB7" s="11" t="str">
        <f t="shared" si="86"/>
        <v>Россия</v>
      </c>
      <c r="EC7" s="11">
        <f t="shared" ref="EC7:EE7" si="102">IF(OR($B7="",$C7=""),0,IF(AND(EG7&gt;=5,EG7&gt;=5*EJ7),3,IF(AND(EJ7&gt;=5,EJ7&gt;=5*EG7),3,IF(AND(EG7&gt;=5,EG7&gt;=3*EJ7),2,IF(AND(EJ7&gt;=5,EJ7&gt;=3*EG7),2,IF(AND(EG7&gt;=5,EG7&gt;=2*EJ7),1,IF(AND(EJ7&gt;=5,EJ7&gt;=2*EG7),1,0)))))))</f>
        <v>0</v>
      </c>
      <c r="ED7" s="11">
        <f t="shared" si="102"/>
        <v>0</v>
      </c>
      <c r="EE7" s="11">
        <f t="shared" si="102"/>
        <v>0</v>
      </c>
      <c r="EF7" s="11">
        <f t="shared" si="88"/>
        <v>0</v>
      </c>
      <c r="EG7" s="11" t="str">
        <f t="shared" si="89"/>
        <v/>
      </c>
      <c r="EH7" s="11" t="str">
        <f t="shared" si="90"/>
        <v/>
      </c>
      <c r="EI7" s="11" t="str">
        <f t="shared" si="91"/>
        <v/>
      </c>
      <c r="EJ7" s="11" t="str">
        <f t="shared" si="92"/>
        <v/>
      </c>
      <c r="EK7" s="11" t="str">
        <f t="shared" si="93"/>
        <v/>
      </c>
      <c r="EL7" s="11" t="str">
        <f t="shared" si="94"/>
        <v/>
      </c>
      <c r="EM7" s="11" t="str">
        <f t="shared" si="95"/>
        <v/>
      </c>
      <c r="EN7" s="11" t="str">
        <f t="shared" si="96"/>
        <v/>
      </c>
      <c r="EO7" s="11" t="str">
        <f t="shared" si="97"/>
        <v/>
      </c>
      <c r="EP7" s="11" t="str">
        <f t="shared" si="98"/>
        <v/>
      </c>
      <c r="EQ7" s="11" t="str">
        <f t="shared" si="99"/>
        <v/>
      </c>
      <c r="ER7" s="11" t="str">
        <f t="shared" si="100"/>
        <v/>
      </c>
      <c r="ES7" s="11" t="str">
        <f t="shared" si="101"/>
        <v/>
      </c>
    </row>
    <row r="8" ht="52.5" customHeight="1">
      <c r="A8" s="55"/>
      <c r="B8" s="42"/>
      <c r="C8" s="42"/>
      <c r="D8" s="42"/>
      <c r="E8" s="42"/>
      <c r="F8" s="42"/>
      <c r="G8" s="56"/>
      <c r="H8" s="56"/>
      <c r="I8" s="56"/>
      <c r="J8" s="42"/>
      <c r="K8" s="42"/>
      <c r="L8" s="42"/>
      <c r="M8" s="56"/>
      <c r="N8" s="56"/>
      <c r="O8" s="56"/>
      <c r="P8" s="57" t="str">
        <f t="shared" si="2"/>
        <v/>
      </c>
      <c r="Q8" s="57" t="str">
        <f t="shared" si="3"/>
        <v/>
      </c>
      <c r="R8" s="58" t="str">
        <f t="shared" si="4"/>
        <v/>
      </c>
      <c r="S8" s="58" t="str">
        <f t="shared" si="5"/>
        <v/>
      </c>
      <c r="T8" s="58" t="str">
        <f t="shared" si="6"/>
        <v/>
      </c>
      <c r="U8" s="59" t="str">
        <f t="shared" si="7"/>
        <v/>
      </c>
      <c r="V8" s="59" t="str">
        <f t="shared" si="8"/>
        <v/>
      </c>
      <c r="W8" s="59" t="str">
        <f t="shared" si="9"/>
        <v/>
      </c>
      <c r="X8" s="60"/>
      <c r="Y8" s="61" t="str">
        <f t="shared" si="10"/>
        <v/>
      </c>
      <c r="Z8" s="61" t="str">
        <f t="shared" si="11"/>
        <v/>
      </c>
      <c r="AA8" s="61" t="str">
        <f t="shared" si="12"/>
        <v/>
      </c>
      <c r="AB8" s="61" t="str">
        <f t="shared" si="13"/>
        <v>Нет локального эффекта</v>
      </c>
      <c r="AC8" s="61" t="str">
        <f t="shared" si="14"/>
        <v/>
      </c>
      <c r="AD8" s="61" t="str">
        <f t="shared" si="15"/>
        <v>Нет локального эффекта</v>
      </c>
      <c r="AE8" s="61" t="str">
        <f t="shared" si="16"/>
        <v/>
      </c>
      <c r="AF8" s="61" t="str">
        <f t="shared" si="17"/>
        <v>Нет локального эффекта</v>
      </c>
      <c r="AG8" s="61" t="str">
        <f t="shared" si="18"/>
        <v/>
      </c>
      <c r="AH8" s="62" t="str">
        <f>IF($B8="","","Общий итог: "&amp;IF($Y8="","ожидает D63",$Y8&amp;IF($Z8="—",""," — "&amp;$Z8))&amp;". Арес: "&amp;$AA8&amp;". "&amp;$AB8&amp;" Афина: "&amp;$AC8&amp;". "&amp;$AD8&amp;" Аполлон: "&amp;$AE8&amp;". "&amp;$AF8&amp;IF($AG8="",""," Общий эффект: "&amp;$AG8))</f>
        <v/>
      </c>
      <c r="BA8" s="11" t="s">
        <v>218</v>
      </c>
      <c r="BB8" s="11" t="s">
        <v>218</v>
      </c>
      <c r="BC8" s="11" t="s">
        <v>228</v>
      </c>
      <c r="BD8" s="11" t="s">
        <v>121</v>
      </c>
      <c r="BF8" s="11">
        <v>5.42113909E8</v>
      </c>
      <c r="BG8" s="11">
        <v>7.3610204E7</v>
      </c>
      <c r="BH8" s="11">
        <v>9.51036711E8</v>
      </c>
      <c r="BI8" s="11">
        <v>6.62950042E8</v>
      </c>
      <c r="BJ8" s="11">
        <v>1.13256931E8</v>
      </c>
      <c r="BK8" s="11">
        <v>9.10021819E8</v>
      </c>
      <c r="BL8" s="11">
        <v>7.9543138E7</v>
      </c>
      <c r="BM8" s="11">
        <f t="shared" si="19"/>
        <v>5565</v>
      </c>
      <c r="BN8" s="11">
        <f t="shared" si="20"/>
        <v>13484</v>
      </c>
      <c r="BO8" s="11">
        <f t="shared" si="21"/>
        <v>21403</v>
      </c>
      <c r="BP8" s="11">
        <f t="shared" si="22"/>
        <v>29322</v>
      </c>
      <c r="BQ8" s="11">
        <f t="shared" si="23"/>
        <v>37241</v>
      </c>
      <c r="BR8" s="11">
        <f t="shared" si="24"/>
        <v>45160</v>
      </c>
      <c r="BS8" s="11">
        <f t="shared" si="25"/>
        <v>53079</v>
      </c>
      <c r="BT8" s="11">
        <f t="shared" si="26"/>
        <v>60998</v>
      </c>
      <c r="BU8" s="11">
        <f t="shared" si="27"/>
        <v>68917</v>
      </c>
      <c r="BV8" s="11">
        <f t="shared" si="28"/>
        <v>76836</v>
      </c>
      <c r="BW8" s="11">
        <f t="shared" si="29"/>
        <v>14147</v>
      </c>
      <c r="BX8" s="11">
        <f t="shared" si="30"/>
        <v>20298</v>
      </c>
      <c r="BY8" s="11">
        <f t="shared" si="31"/>
        <v>26449</v>
      </c>
      <c r="BZ8" s="11">
        <f t="shared" si="32"/>
        <v>32600</v>
      </c>
      <c r="CA8" s="11">
        <f t="shared" si="33"/>
        <v>38751</v>
      </c>
      <c r="CB8" s="11">
        <f t="shared" si="34"/>
        <v>44902</v>
      </c>
      <c r="CC8" s="11">
        <f t="shared" si="35"/>
        <v>51053</v>
      </c>
      <c r="CD8" s="11">
        <f t="shared" si="36"/>
        <v>57204</v>
      </c>
      <c r="CE8" s="11">
        <f t="shared" si="37"/>
        <v>11752</v>
      </c>
      <c r="CF8" s="11">
        <f t="shared" si="38"/>
        <v>15323</v>
      </c>
      <c r="CG8" s="11">
        <f t="shared" si="39"/>
        <v>18894</v>
      </c>
      <c r="CH8" s="11">
        <f t="shared" si="40"/>
        <v>22465</v>
      </c>
      <c r="CI8" s="11">
        <f t="shared" si="41"/>
        <v>26036</v>
      </c>
      <c r="CJ8" s="11">
        <f t="shared" si="42"/>
        <v>29607</v>
      </c>
      <c r="CK8" s="11">
        <f t="shared" si="43"/>
        <v>33178</v>
      </c>
      <c r="CL8" s="11">
        <f t="shared" si="44"/>
        <v>36749</v>
      </c>
      <c r="CM8" s="11">
        <f t="shared" si="45"/>
        <v>40320</v>
      </c>
      <c r="CN8" s="11">
        <f t="shared" si="46"/>
        <v>43891</v>
      </c>
      <c r="CO8" s="11">
        <f t="shared" si="47"/>
        <v>47462</v>
      </c>
      <c r="CP8" s="11">
        <f t="shared" si="48"/>
        <v>51033</v>
      </c>
      <c r="CQ8" s="11">
        <f t="shared" si="49"/>
        <v>54604</v>
      </c>
      <c r="CR8" s="11">
        <f t="shared" si="50"/>
        <v>58175</v>
      </c>
      <c r="CS8" s="11">
        <f t="shared" si="51"/>
        <v>61746</v>
      </c>
      <c r="CT8" s="11">
        <f t="shared" si="52"/>
        <v>65317</v>
      </c>
      <c r="CU8" s="11">
        <f t="shared" si="53"/>
        <v>98963</v>
      </c>
      <c r="CV8" s="11">
        <f t="shared" si="54"/>
        <v>3401</v>
      </c>
      <c r="CW8" s="11">
        <f t="shared" si="55"/>
        <v>7842</v>
      </c>
      <c r="CX8" s="11">
        <f t="shared" si="56"/>
        <v>12283</v>
      </c>
      <c r="CY8" s="11">
        <f t="shared" si="57"/>
        <v>16724</v>
      </c>
      <c r="CZ8" s="11">
        <f t="shared" si="58"/>
        <v>21165</v>
      </c>
      <c r="DA8" s="11">
        <f t="shared" si="59"/>
        <v>25606</v>
      </c>
      <c r="DB8" s="11">
        <f t="shared" si="60"/>
        <v>30047</v>
      </c>
      <c r="DC8" s="11">
        <f t="shared" si="61"/>
        <v>34488</v>
      </c>
      <c r="DD8" s="11">
        <f t="shared" si="62"/>
        <v>38929</v>
      </c>
      <c r="DE8" s="11">
        <f t="shared" si="63"/>
        <v>43370</v>
      </c>
      <c r="DF8" s="11">
        <f t="shared" si="64"/>
        <v>47811</v>
      </c>
      <c r="DG8" s="11">
        <f t="shared" si="65"/>
        <v>52252</v>
      </c>
      <c r="DH8" s="11">
        <f t="shared" si="66"/>
        <v>56693</v>
      </c>
      <c r="DI8" s="11">
        <f t="shared" si="67"/>
        <v>61134</v>
      </c>
      <c r="DJ8" s="11">
        <f t="shared" si="68"/>
        <v>65575</v>
      </c>
      <c r="DK8" s="11">
        <f t="shared" si="69"/>
        <v>42842</v>
      </c>
      <c r="DL8" s="11">
        <f t="shared" si="70"/>
        <v>44931</v>
      </c>
      <c r="DM8" s="11">
        <f t="shared" si="71"/>
        <v>47020</v>
      </c>
      <c r="DN8" s="11" t="str">
        <f t="shared" si="72"/>
        <v>Минерально-сырьевые ресурсы</v>
      </c>
      <c r="DO8" s="11" t="str">
        <f t="shared" si="73"/>
        <v>Химические и технологические материалы</v>
      </c>
      <c r="DP8" s="11" t="str">
        <f t="shared" si="74"/>
        <v>Энергетические ресурсы</v>
      </c>
      <c r="DQ8" s="11" t="str">
        <f t="shared" si="75"/>
        <v>Производство</v>
      </c>
      <c r="DR8" s="11" t="str">
        <f t="shared" si="76"/>
        <v>Управление</v>
      </c>
      <c r="DS8" s="11" t="str">
        <f t="shared" si="77"/>
        <v>Познание</v>
      </c>
      <c r="DT8" s="11" t="str">
        <f t="shared" si="78"/>
        <v>Россия</v>
      </c>
      <c r="DU8" s="11" t="str">
        <f t="shared" si="79"/>
        <v>США</v>
      </c>
      <c r="DV8" s="11" t="str">
        <f t="shared" si="80"/>
        <v>Китай</v>
      </c>
      <c r="DW8" s="11" t="str">
        <f t="shared" si="81"/>
        <v>Ресурсный</v>
      </c>
      <c r="DX8" s="11" t="str">
        <f t="shared" si="82"/>
        <v>Общественный</v>
      </c>
      <c r="DY8" s="11" t="str">
        <f t="shared" si="83"/>
        <v>Дипломатический</v>
      </c>
      <c r="DZ8" s="11" t="str">
        <f t="shared" si="84"/>
        <v>Социальное доверие</v>
      </c>
      <c r="EA8" s="11" t="str">
        <f t="shared" si="85"/>
        <v>Обучение</v>
      </c>
      <c r="EB8" s="11" t="str">
        <f t="shared" si="86"/>
        <v>США</v>
      </c>
      <c r="EC8" s="11">
        <f t="shared" ref="EC8:EE8" si="103">IF(OR($B8="",$C8=""),0,IF(AND(EG8&gt;=5,EG8&gt;=5*EJ8),3,IF(AND(EJ8&gt;=5,EJ8&gt;=5*EG8),3,IF(AND(EG8&gt;=5,EG8&gt;=3*EJ8),2,IF(AND(EJ8&gt;=5,EJ8&gt;=3*EG8),2,IF(AND(EG8&gt;=5,EG8&gt;=2*EJ8),1,IF(AND(EJ8&gt;=5,EJ8&gt;=2*EG8),1,0)))))))</f>
        <v>0</v>
      </c>
      <c r="ED8" s="11">
        <f t="shared" si="103"/>
        <v>0</v>
      </c>
      <c r="EE8" s="11">
        <f t="shared" si="103"/>
        <v>0</v>
      </c>
      <c r="EF8" s="11">
        <f t="shared" si="88"/>
        <v>0</v>
      </c>
      <c r="EG8" s="11" t="str">
        <f t="shared" si="89"/>
        <v/>
      </c>
      <c r="EH8" s="11" t="str">
        <f t="shared" si="90"/>
        <v/>
      </c>
      <c r="EI8" s="11" t="str">
        <f t="shared" si="91"/>
        <v/>
      </c>
      <c r="EJ8" s="11" t="str">
        <f t="shared" si="92"/>
        <v/>
      </c>
      <c r="EK8" s="11" t="str">
        <f t="shared" si="93"/>
        <v/>
      </c>
      <c r="EL8" s="11" t="str">
        <f t="shared" si="94"/>
        <v/>
      </c>
      <c r="EM8" s="11" t="str">
        <f t="shared" si="95"/>
        <v/>
      </c>
      <c r="EN8" s="11" t="str">
        <f t="shared" si="96"/>
        <v/>
      </c>
      <c r="EO8" s="11" t="str">
        <f t="shared" si="97"/>
        <v/>
      </c>
      <c r="EP8" s="11" t="str">
        <f t="shared" si="98"/>
        <v/>
      </c>
      <c r="EQ8" s="11" t="str">
        <f t="shared" si="99"/>
        <v/>
      </c>
      <c r="ER8" s="11" t="str">
        <f t="shared" si="100"/>
        <v/>
      </c>
      <c r="ES8" s="11" t="str">
        <f t="shared" si="101"/>
        <v/>
      </c>
    </row>
    <row r="9" ht="52.5" customHeight="1">
      <c r="A9" s="55"/>
      <c r="B9" s="42"/>
      <c r="C9" s="42"/>
      <c r="D9" s="42"/>
      <c r="E9" s="42"/>
      <c r="F9" s="42"/>
      <c r="G9" s="56"/>
      <c r="H9" s="56"/>
      <c r="I9" s="56"/>
      <c r="J9" s="42"/>
      <c r="K9" s="42"/>
      <c r="L9" s="42"/>
      <c r="M9" s="56"/>
      <c r="N9" s="56"/>
      <c r="O9" s="56"/>
      <c r="P9" s="57" t="str">
        <f t="shared" si="2"/>
        <v/>
      </c>
      <c r="Q9" s="57" t="str">
        <f t="shared" si="3"/>
        <v/>
      </c>
      <c r="R9" s="58" t="str">
        <f t="shared" si="4"/>
        <v/>
      </c>
      <c r="S9" s="58" t="str">
        <f t="shared" si="5"/>
        <v/>
      </c>
      <c r="T9" s="58" t="str">
        <f t="shared" si="6"/>
        <v/>
      </c>
      <c r="U9" s="59" t="str">
        <f t="shared" si="7"/>
        <v/>
      </c>
      <c r="V9" s="59" t="str">
        <f t="shared" si="8"/>
        <v/>
      </c>
      <c r="W9" s="59" t="str">
        <f t="shared" si="9"/>
        <v/>
      </c>
      <c r="X9" s="60"/>
      <c r="Y9" s="61" t="str">
        <f t="shared" si="10"/>
        <v/>
      </c>
      <c r="Z9" s="61" t="str">
        <f t="shared" si="11"/>
        <v/>
      </c>
      <c r="AA9" s="61" t="str">
        <f t="shared" si="12"/>
        <v/>
      </c>
      <c r="AB9" s="61" t="str">
        <f t="shared" si="13"/>
        <v>Нет локального эффекта</v>
      </c>
      <c r="AC9" s="61" t="str">
        <f t="shared" si="14"/>
        <v/>
      </c>
      <c r="AD9" s="61" t="str">
        <f t="shared" si="15"/>
        <v>Нет локального эффекта</v>
      </c>
      <c r="AE9" s="61" t="str">
        <f t="shared" si="16"/>
        <v/>
      </c>
      <c r="AF9" s="61" t="str">
        <f t="shared" si="17"/>
        <v>Нет локального эффекта</v>
      </c>
      <c r="AG9" s="61" t="str">
        <f t="shared" si="18"/>
        <v/>
      </c>
      <c r="AH9" s="62" t="str">
        <f>IF($B9="","","Общий итог: "&amp;IF($Y9="","ожидает D64",$Y9&amp;IF($Z9="—",""," — "&amp;$Z9))&amp;". Арес: "&amp;$AA9&amp;". "&amp;$AB9&amp;" Афина: "&amp;$AC9&amp;". "&amp;$AD9&amp;" Аполлон: "&amp;$AE9&amp;". "&amp;$AF9&amp;IF($AG9="",""," Общий эффект: "&amp;$AG9))</f>
        <v/>
      </c>
      <c r="BA9" s="11" t="s">
        <v>220</v>
      </c>
      <c r="BB9" s="11" t="s">
        <v>220</v>
      </c>
      <c r="BC9" s="11" t="s">
        <v>229</v>
      </c>
      <c r="BD9" s="11" t="s">
        <v>124</v>
      </c>
      <c r="BF9" s="11">
        <v>6.78440852E8</v>
      </c>
      <c r="BG9" s="11">
        <v>8.48837786E8</v>
      </c>
      <c r="BH9" s="11">
        <v>3.52498228E8</v>
      </c>
      <c r="BI9" s="11">
        <v>7.5738981E8</v>
      </c>
      <c r="BJ9" s="11">
        <v>2.6473236E8</v>
      </c>
      <c r="BK9" s="11">
        <v>6.88968917E8</v>
      </c>
      <c r="BL9" s="11">
        <v>6.66454894E8</v>
      </c>
      <c r="BM9" s="11">
        <f t="shared" si="19"/>
        <v>28419</v>
      </c>
      <c r="BN9" s="11">
        <f t="shared" si="20"/>
        <v>36338</v>
      </c>
      <c r="BO9" s="11">
        <f t="shared" si="21"/>
        <v>44257</v>
      </c>
      <c r="BP9" s="11">
        <f t="shared" si="22"/>
        <v>52176</v>
      </c>
      <c r="BQ9" s="11">
        <f t="shared" si="23"/>
        <v>60095</v>
      </c>
      <c r="BR9" s="11">
        <f t="shared" si="24"/>
        <v>68014</v>
      </c>
      <c r="BS9" s="11">
        <f t="shared" si="25"/>
        <v>75933</v>
      </c>
      <c r="BT9" s="11">
        <f t="shared" si="26"/>
        <v>83852</v>
      </c>
      <c r="BU9" s="11">
        <f t="shared" si="27"/>
        <v>91771</v>
      </c>
      <c r="BV9" s="11">
        <f t="shared" si="28"/>
        <v>99690</v>
      </c>
      <c r="BW9" s="11">
        <f t="shared" si="29"/>
        <v>18473</v>
      </c>
      <c r="BX9" s="11">
        <f t="shared" si="30"/>
        <v>24624</v>
      </c>
      <c r="BY9" s="11">
        <f t="shared" si="31"/>
        <v>30775</v>
      </c>
      <c r="BZ9" s="11">
        <f t="shared" si="32"/>
        <v>36926</v>
      </c>
      <c r="CA9" s="11">
        <f t="shared" si="33"/>
        <v>43077</v>
      </c>
      <c r="CB9" s="11">
        <f t="shared" si="34"/>
        <v>49228</v>
      </c>
      <c r="CC9" s="11">
        <f t="shared" si="35"/>
        <v>55379</v>
      </c>
      <c r="CD9" s="11">
        <f t="shared" si="36"/>
        <v>61530</v>
      </c>
      <c r="CE9" s="11">
        <f t="shared" si="37"/>
        <v>91227</v>
      </c>
      <c r="CF9" s="11">
        <f t="shared" si="38"/>
        <v>94798</v>
      </c>
      <c r="CG9" s="11">
        <f t="shared" si="39"/>
        <v>98369</v>
      </c>
      <c r="CH9" s="11">
        <f t="shared" si="40"/>
        <v>1937</v>
      </c>
      <c r="CI9" s="11">
        <f t="shared" si="41"/>
        <v>5508</v>
      </c>
      <c r="CJ9" s="11">
        <f t="shared" si="42"/>
        <v>9079</v>
      </c>
      <c r="CK9" s="11">
        <f t="shared" si="43"/>
        <v>12650</v>
      </c>
      <c r="CL9" s="11">
        <f t="shared" si="44"/>
        <v>16221</v>
      </c>
      <c r="CM9" s="11">
        <f t="shared" si="45"/>
        <v>19792</v>
      </c>
      <c r="CN9" s="11">
        <f t="shared" si="46"/>
        <v>23363</v>
      </c>
      <c r="CO9" s="11">
        <f t="shared" si="47"/>
        <v>26934</v>
      </c>
      <c r="CP9" s="11">
        <f t="shared" si="48"/>
        <v>30505</v>
      </c>
      <c r="CQ9" s="11">
        <f t="shared" si="49"/>
        <v>34076</v>
      </c>
      <c r="CR9" s="11">
        <f t="shared" si="50"/>
        <v>37647</v>
      </c>
      <c r="CS9" s="11">
        <f t="shared" si="51"/>
        <v>41218</v>
      </c>
      <c r="CT9" s="11">
        <f t="shared" si="52"/>
        <v>44789</v>
      </c>
      <c r="CU9" s="11">
        <f t="shared" si="53"/>
        <v>52691</v>
      </c>
      <c r="CV9" s="11">
        <f t="shared" si="54"/>
        <v>57132</v>
      </c>
      <c r="CW9" s="11">
        <f t="shared" si="55"/>
        <v>61573</v>
      </c>
      <c r="CX9" s="11">
        <f t="shared" si="56"/>
        <v>66014</v>
      </c>
      <c r="CY9" s="11">
        <f t="shared" si="57"/>
        <v>70455</v>
      </c>
      <c r="CZ9" s="11">
        <f t="shared" si="58"/>
        <v>74896</v>
      </c>
      <c r="DA9" s="11">
        <f t="shared" si="59"/>
        <v>79337</v>
      </c>
      <c r="DB9" s="11">
        <f t="shared" si="60"/>
        <v>83778</v>
      </c>
      <c r="DC9" s="11">
        <f t="shared" si="61"/>
        <v>88219</v>
      </c>
      <c r="DD9" s="11">
        <f t="shared" si="62"/>
        <v>92660</v>
      </c>
      <c r="DE9" s="11">
        <f t="shared" si="63"/>
        <v>97101</v>
      </c>
      <c r="DF9" s="11">
        <f t="shared" si="64"/>
        <v>1539</v>
      </c>
      <c r="DG9" s="11">
        <f t="shared" si="65"/>
        <v>5980</v>
      </c>
      <c r="DH9" s="11">
        <f t="shared" si="66"/>
        <v>10421</v>
      </c>
      <c r="DI9" s="11">
        <f t="shared" si="67"/>
        <v>14862</v>
      </c>
      <c r="DJ9" s="11">
        <f t="shared" si="68"/>
        <v>19303</v>
      </c>
      <c r="DK9" s="11">
        <f t="shared" si="69"/>
        <v>36991</v>
      </c>
      <c r="DL9" s="11">
        <f t="shared" si="70"/>
        <v>39080</v>
      </c>
      <c r="DM9" s="11">
        <f t="shared" si="71"/>
        <v>41169</v>
      </c>
      <c r="DN9" s="11" t="str">
        <f t="shared" si="72"/>
        <v>Минерально-сырьевые ресурсы</v>
      </c>
      <c r="DO9" s="11" t="str">
        <f t="shared" si="73"/>
        <v>Химические и технологические материалы</v>
      </c>
      <c r="DP9" s="11" t="str">
        <f t="shared" si="74"/>
        <v>Энергетические ресурсы</v>
      </c>
      <c r="DQ9" s="11" t="str">
        <f t="shared" si="75"/>
        <v>Производство</v>
      </c>
      <c r="DR9" s="11" t="str">
        <f t="shared" si="76"/>
        <v>Управление</v>
      </c>
      <c r="DS9" s="11" t="str">
        <f t="shared" si="77"/>
        <v>Познание</v>
      </c>
      <c r="DT9" s="11" t="str">
        <f t="shared" si="78"/>
        <v>Индия</v>
      </c>
      <c r="DU9" s="11" t="str">
        <f t="shared" si="79"/>
        <v>Великобритания</v>
      </c>
      <c r="DV9" s="11" t="str">
        <f t="shared" si="80"/>
        <v>Франция</v>
      </c>
      <c r="DW9" s="11" t="str">
        <f t="shared" si="81"/>
        <v>Ресурсный</v>
      </c>
      <c r="DX9" s="11" t="str">
        <f t="shared" si="82"/>
        <v>Общественный</v>
      </c>
      <c r="DY9" s="11" t="str">
        <f t="shared" si="83"/>
        <v>Дипломатический</v>
      </c>
      <c r="DZ9" s="11" t="str">
        <f t="shared" si="84"/>
        <v>Кибербезопасностные ресурсы</v>
      </c>
      <c r="EA9" s="11" t="str">
        <f t="shared" si="85"/>
        <v>Производство</v>
      </c>
      <c r="EB9" s="11" t="str">
        <f t="shared" si="86"/>
        <v>Иран</v>
      </c>
      <c r="EC9" s="11">
        <f t="shared" ref="EC9:EE9" si="104">IF(OR($B9="",$C9=""),0,IF(AND(EG9&gt;=5,EG9&gt;=5*EJ9),3,IF(AND(EJ9&gt;=5,EJ9&gt;=5*EG9),3,IF(AND(EG9&gt;=5,EG9&gt;=3*EJ9),2,IF(AND(EJ9&gt;=5,EJ9&gt;=3*EG9),2,IF(AND(EG9&gt;=5,EG9&gt;=2*EJ9),1,IF(AND(EJ9&gt;=5,EJ9&gt;=2*EG9),1,0)))))))</f>
        <v>0</v>
      </c>
      <c r="ED9" s="11">
        <f t="shared" si="104"/>
        <v>0</v>
      </c>
      <c r="EE9" s="11">
        <f t="shared" si="104"/>
        <v>0</v>
      </c>
      <c r="EF9" s="11">
        <f t="shared" si="88"/>
        <v>0</v>
      </c>
      <c r="EG9" s="11" t="str">
        <f t="shared" si="89"/>
        <v/>
      </c>
      <c r="EH9" s="11" t="str">
        <f t="shared" si="90"/>
        <v/>
      </c>
      <c r="EI9" s="11" t="str">
        <f t="shared" si="91"/>
        <v/>
      </c>
      <c r="EJ9" s="11" t="str">
        <f t="shared" si="92"/>
        <v/>
      </c>
      <c r="EK9" s="11" t="str">
        <f t="shared" si="93"/>
        <v/>
      </c>
      <c r="EL9" s="11" t="str">
        <f t="shared" si="94"/>
        <v/>
      </c>
      <c r="EM9" s="11" t="str">
        <f t="shared" si="95"/>
        <v/>
      </c>
      <c r="EN9" s="11" t="str">
        <f t="shared" si="96"/>
        <v/>
      </c>
      <c r="EO9" s="11" t="str">
        <f t="shared" si="97"/>
        <v/>
      </c>
      <c r="EP9" s="11" t="str">
        <f t="shared" si="98"/>
        <v/>
      </c>
      <c r="EQ9" s="11" t="str">
        <f t="shared" si="99"/>
        <v/>
      </c>
      <c r="ER9" s="11" t="str">
        <f t="shared" si="100"/>
        <v/>
      </c>
      <c r="ES9" s="11" t="str">
        <f t="shared" si="101"/>
        <v/>
      </c>
    </row>
    <row r="10" ht="52.5" customHeight="1">
      <c r="A10" s="55"/>
      <c r="B10" s="42"/>
      <c r="C10" s="42"/>
      <c r="D10" s="42"/>
      <c r="E10" s="42"/>
      <c r="F10" s="42"/>
      <c r="G10" s="56"/>
      <c r="H10" s="56"/>
      <c r="I10" s="56"/>
      <c r="J10" s="42"/>
      <c r="K10" s="42"/>
      <c r="L10" s="42"/>
      <c r="M10" s="56"/>
      <c r="N10" s="56"/>
      <c r="O10" s="56"/>
      <c r="P10" s="57" t="str">
        <f t="shared" si="2"/>
        <v/>
      </c>
      <c r="Q10" s="57" t="str">
        <f t="shared" si="3"/>
        <v/>
      </c>
      <c r="R10" s="58" t="str">
        <f t="shared" si="4"/>
        <v/>
      </c>
      <c r="S10" s="58" t="str">
        <f t="shared" si="5"/>
        <v/>
      </c>
      <c r="T10" s="58" t="str">
        <f t="shared" si="6"/>
        <v/>
      </c>
      <c r="U10" s="59" t="str">
        <f t="shared" si="7"/>
        <v/>
      </c>
      <c r="V10" s="59" t="str">
        <f t="shared" si="8"/>
        <v/>
      </c>
      <c r="W10" s="59" t="str">
        <f t="shared" si="9"/>
        <v/>
      </c>
      <c r="X10" s="60"/>
      <c r="Y10" s="61" t="str">
        <f t="shared" si="10"/>
        <v/>
      </c>
      <c r="Z10" s="61" t="str">
        <f t="shared" si="11"/>
        <v/>
      </c>
      <c r="AA10" s="61" t="str">
        <f t="shared" si="12"/>
        <v/>
      </c>
      <c r="AB10" s="61" t="str">
        <f t="shared" si="13"/>
        <v>Нет локального эффекта</v>
      </c>
      <c r="AC10" s="61" t="str">
        <f t="shared" si="14"/>
        <v/>
      </c>
      <c r="AD10" s="61" t="str">
        <f t="shared" si="15"/>
        <v>Нет локального эффекта</v>
      </c>
      <c r="AE10" s="61" t="str">
        <f t="shared" si="16"/>
        <v/>
      </c>
      <c r="AF10" s="61" t="str">
        <f t="shared" si="17"/>
        <v>Нет локального эффекта</v>
      </c>
      <c r="AG10" s="61" t="str">
        <f t="shared" si="18"/>
        <v/>
      </c>
      <c r="AH10" s="62" t="str">
        <f>IF($B10="","","Общий итог: "&amp;IF($Y10="","ожидает D65",$Y10&amp;IF($Z10="—",""," — "&amp;$Z10))&amp;". Арес: "&amp;$AA10&amp;". "&amp;$AB10&amp;" Афина: "&amp;$AC10&amp;". "&amp;$AD10&amp;" Аполлон: "&amp;$AE10&amp;". "&amp;$AF10&amp;IF($AG10="",""," Общий эффект: "&amp;$AG10))</f>
        <v/>
      </c>
      <c r="BA10" s="11" t="s">
        <v>223</v>
      </c>
      <c r="BB10" s="11" t="s">
        <v>223</v>
      </c>
      <c r="BD10" s="11" t="s">
        <v>129</v>
      </c>
      <c r="BF10" s="11">
        <v>9.53421482E8</v>
      </c>
      <c r="BG10" s="11">
        <v>6.77632354E8</v>
      </c>
      <c r="BH10" s="11">
        <v>4.79224269E8</v>
      </c>
      <c r="BI10" s="11">
        <v>9.49613951E8</v>
      </c>
      <c r="BJ10" s="11">
        <v>2.29273461E8</v>
      </c>
      <c r="BK10" s="11">
        <v>7.5403196E7</v>
      </c>
      <c r="BL10" s="11">
        <v>3.248024E7</v>
      </c>
      <c r="BM10" s="11">
        <f t="shared" si="19"/>
        <v>799</v>
      </c>
      <c r="BN10" s="11">
        <f t="shared" si="20"/>
        <v>8718</v>
      </c>
      <c r="BO10" s="11">
        <f t="shared" si="21"/>
        <v>16637</v>
      </c>
      <c r="BP10" s="11">
        <f t="shared" si="22"/>
        <v>24556</v>
      </c>
      <c r="BQ10" s="11">
        <f t="shared" si="23"/>
        <v>32475</v>
      </c>
      <c r="BR10" s="11">
        <f t="shared" si="24"/>
        <v>40394</v>
      </c>
      <c r="BS10" s="11">
        <f t="shared" si="25"/>
        <v>48313</v>
      </c>
      <c r="BT10" s="11">
        <f t="shared" si="26"/>
        <v>56232</v>
      </c>
      <c r="BU10" s="11">
        <f t="shared" si="27"/>
        <v>64151</v>
      </c>
      <c r="BV10" s="11">
        <f t="shared" si="28"/>
        <v>72070</v>
      </c>
      <c r="BW10" s="11">
        <f t="shared" si="29"/>
        <v>18177</v>
      </c>
      <c r="BX10" s="11">
        <f t="shared" si="30"/>
        <v>24328</v>
      </c>
      <c r="BY10" s="11">
        <f t="shared" si="31"/>
        <v>30479</v>
      </c>
      <c r="BZ10" s="11">
        <f t="shared" si="32"/>
        <v>36630</v>
      </c>
      <c r="CA10" s="11">
        <f t="shared" si="33"/>
        <v>42781</v>
      </c>
      <c r="CB10" s="11">
        <f t="shared" si="34"/>
        <v>48932</v>
      </c>
      <c r="CC10" s="11">
        <f t="shared" si="35"/>
        <v>55083</v>
      </c>
      <c r="CD10" s="11">
        <f t="shared" si="36"/>
        <v>61234</v>
      </c>
      <c r="CE10" s="11">
        <f t="shared" si="37"/>
        <v>13464</v>
      </c>
      <c r="CF10" s="11">
        <f t="shared" si="38"/>
        <v>17035</v>
      </c>
      <c r="CG10" s="11">
        <f t="shared" si="39"/>
        <v>20606</v>
      </c>
      <c r="CH10" s="11">
        <f t="shared" si="40"/>
        <v>24177</v>
      </c>
      <c r="CI10" s="11">
        <f t="shared" si="41"/>
        <v>27748</v>
      </c>
      <c r="CJ10" s="11">
        <f t="shared" si="42"/>
        <v>31319</v>
      </c>
      <c r="CK10" s="11">
        <f t="shared" si="43"/>
        <v>34890</v>
      </c>
      <c r="CL10" s="11">
        <f t="shared" si="44"/>
        <v>38461</v>
      </c>
      <c r="CM10" s="11">
        <f t="shared" si="45"/>
        <v>42032</v>
      </c>
      <c r="CN10" s="11">
        <f t="shared" si="46"/>
        <v>45603</v>
      </c>
      <c r="CO10" s="11">
        <f t="shared" si="47"/>
        <v>49174</v>
      </c>
      <c r="CP10" s="11">
        <f t="shared" si="48"/>
        <v>52745</v>
      </c>
      <c r="CQ10" s="11">
        <f t="shared" si="49"/>
        <v>56316</v>
      </c>
      <c r="CR10" s="11">
        <f t="shared" si="50"/>
        <v>59887</v>
      </c>
      <c r="CS10" s="11">
        <f t="shared" si="51"/>
        <v>63458</v>
      </c>
      <c r="CT10" s="11">
        <f t="shared" si="52"/>
        <v>67029</v>
      </c>
      <c r="CU10" s="11">
        <f t="shared" si="53"/>
        <v>5375</v>
      </c>
      <c r="CV10" s="11">
        <f t="shared" si="54"/>
        <v>9816</v>
      </c>
      <c r="CW10" s="11">
        <f t="shared" si="55"/>
        <v>14257</v>
      </c>
      <c r="CX10" s="11">
        <f t="shared" si="56"/>
        <v>18698</v>
      </c>
      <c r="CY10" s="11">
        <f t="shared" si="57"/>
        <v>23139</v>
      </c>
      <c r="CZ10" s="11">
        <f t="shared" si="58"/>
        <v>27580</v>
      </c>
      <c r="DA10" s="11">
        <f t="shared" si="59"/>
        <v>32021</v>
      </c>
      <c r="DB10" s="11">
        <f t="shared" si="60"/>
        <v>36462</v>
      </c>
      <c r="DC10" s="11">
        <f t="shared" si="61"/>
        <v>40903</v>
      </c>
      <c r="DD10" s="11">
        <f t="shared" si="62"/>
        <v>45344</v>
      </c>
      <c r="DE10" s="11">
        <f t="shared" si="63"/>
        <v>49785</v>
      </c>
      <c r="DF10" s="11">
        <f t="shared" si="64"/>
        <v>54226</v>
      </c>
      <c r="DG10" s="11">
        <f t="shared" si="65"/>
        <v>58667</v>
      </c>
      <c r="DH10" s="11">
        <f t="shared" si="66"/>
        <v>63108</v>
      </c>
      <c r="DI10" s="11">
        <f t="shared" si="67"/>
        <v>67549</v>
      </c>
      <c r="DJ10" s="11">
        <f t="shared" si="68"/>
        <v>71990</v>
      </c>
      <c r="DK10" s="11">
        <f t="shared" si="69"/>
        <v>81357</v>
      </c>
      <c r="DL10" s="11">
        <f t="shared" si="70"/>
        <v>83446</v>
      </c>
      <c r="DM10" s="11">
        <f t="shared" si="71"/>
        <v>85535</v>
      </c>
      <c r="DN10" s="11" t="str">
        <f t="shared" si="72"/>
        <v>Минерально-сырьевые ресурсы</v>
      </c>
      <c r="DO10" s="11" t="str">
        <f t="shared" si="73"/>
        <v>Химические и технологические материалы</v>
      </c>
      <c r="DP10" s="11" t="str">
        <f t="shared" si="74"/>
        <v>Энергетические ресурсы</v>
      </c>
      <c r="DQ10" s="11" t="str">
        <f t="shared" si="75"/>
        <v>Производство</v>
      </c>
      <c r="DR10" s="11" t="str">
        <f t="shared" si="76"/>
        <v>Управление</v>
      </c>
      <c r="DS10" s="11" t="str">
        <f t="shared" si="77"/>
        <v>Познание</v>
      </c>
      <c r="DT10" s="11" t="str">
        <f t="shared" si="78"/>
        <v>Россия</v>
      </c>
      <c r="DU10" s="11" t="str">
        <f t="shared" si="79"/>
        <v>США</v>
      </c>
      <c r="DV10" s="11" t="str">
        <f t="shared" si="80"/>
        <v>Китай</v>
      </c>
      <c r="DW10" s="11" t="str">
        <f t="shared" si="81"/>
        <v>Ресурсный</v>
      </c>
      <c r="DX10" s="11" t="str">
        <f t="shared" si="82"/>
        <v>Общественный</v>
      </c>
      <c r="DY10" s="11" t="str">
        <f t="shared" si="83"/>
        <v>Дипломатический</v>
      </c>
      <c r="DZ10" s="11" t="str">
        <f t="shared" si="84"/>
        <v>Производные данные</v>
      </c>
      <c r="EA10" s="11" t="str">
        <f t="shared" si="85"/>
        <v>Экономика</v>
      </c>
      <c r="EB10" s="11" t="str">
        <f t="shared" si="86"/>
        <v>Россия</v>
      </c>
      <c r="EC10" s="11">
        <f t="shared" ref="EC10:EE10" si="105">IF(OR($B10="",$C10=""),0,IF(AND(EG10&gt;=5,EG10&gt;=5*EJ10),3,IF(AND(EJ10&gt;=5,EJ10&gt;=5*EG10),3,IF(AND(EG10&gt;=5,EG10&gt;=3*EJ10),2,IF(AND(EJ10&gt;=5,EJ10&gt;=3*EG10),2,IF(AND(EG10&gt;=5,EG10&gt;=2*EJ10),1,IF(AND(EJ10&gt;=5,EJ10&gt;=2*EG10),1,0)))))))</f>
        <v>0</v>
      </c>
      <c r="ED10" s="11">
        <f t="shared" si="105"/>
        <v>0</v>
      </c>
      <c r="EE10" s="11">
        <f t="shared" si="105"/>
        <v>0</v>
      </c>
      <c r="EF10" s="11">
        <f t="shared" si="88"/>
        <v>0</v>
      </c>
      <c r="EG10" s="11" t="str">
        <f t="shared" si="89"/>
        <v/>
      </c>
      <c r="EH10" s="11" t="str">
        <f t="shared" si="90"/>
        <v/>
      </c>
      <c r="EI10" s="11" t="str">
        <f t="shared" si="91"/>
        <v/>
      </c>
      <c r="EJ10" s="11" t="str">
        <f t="shared" si="92"/>
        <v/>
      </c>
      <c r="EK10" s="11" t="str">
        <f t="shared" si="93"/>
        <v/>
      </c>
      <c r="EL10" s="11" t="str">
        <f t="shared" si="94"/>
        <v/>
      </c>
      <c r="EM10" s="11" t="str">
        <f t="shared" si="95"/>
        <v/>
      </c>
      <c r="EN10" s="11" t="str">
        <f t="shared" si="96"/>
        <v/>
      </c>
      <c r="EO10" s="11" t="str">
        <f t="shared" si="97"/>
        <v/>
      </c>
      <c r="EP10" s="11" t="str">
        <f t="shared" si="98"/>
        <v/>
      </c>
      <c r="EQ10" s="11" t="str">
        <f t="shared" si="99"/>
        <v/>
      </c>
      <c r="ER10" s="11" t="str">
        <f t="shared" si="100"/>
        <v/>
      </c>
      <c r="ES10" s="11" t="str">
        <f t="shared" si="101"/>
        <v/>
      </c>
    </row>
    <row r="11" ht="52.5" customHeight="1">
      <c r="A11" s="55"/>
      <c r="B11" s="42"/>
      <c r="C11" s="42"/>
      <c r="D11" s="42"/>
      <c r="E11" s="42"/>
      <c r="F11" s="42"/>
      <c r="G11" s="56"/>
      <c r="H11" s="56"/>
      <c r="I11" s="56"/>
      <c r="J11" s="42"/>
      <c r="K11" s="42"/>
      <c r="L11" s="42"/>
      <c r="M11" s="56"/>
      <c r="N11" s="56"/>
      <c r="O11" s="56"/>
      <c r="P11" s="57" t="str">
        <f t="shared" si="2"/>
        <v/>
      </c>
      <c r="Q11" s="57" t="str">
        <f t="shared" si="3"/>
        <v/>
      </c>
      <c r="R11" s="58" t="str">
        <f t="shared" si="4"/>
        <v/>
      </c>
      <c r="S11" s="58" t="str">
        <f t="shared" si="5"/>
        <v/>
      </c>
      <c r="T11" s="58" t="str">
        <f t="shared" si="6"/>
        <v/>
      </c>
      <c r="U11" s="59" t="str">
        <f t="shared" si="7"/>
        <v/>
      </c>
      <c r="V11" s="59" t="str">
        <f t="shared" si="8"/>
        <v/>
      </c>
      <c r="W11" s="59" t="str">
        <f t="shared" si="9"/>
        <v/>
      </c>
      <c r="X11" s="60"/>
      <c r="Y11" s="61" t="str">
        <f t="shared" si="10"/>
        <v/>
      </c>
      <c r="Z11" s="61" t="str">
        <f t="shared" si="11"/>
        <v/>
      </c>
      <c r="AA11" s="61" t="str">
        <f t="shared" si="12"/>
        <v/>
      </c>
      <c r="AB11" s="61" t="str">
        <f t="shared" si="13"/>
        <v>Нет локального эффекта</v>
      </c>
      <c r="AC11" s="61" t="str">
        <f t="shared" si="14"/>
        <v/>
      </c>
      <c r="AD11" s="61" t="str">
        <f t="shared" si="15"/>
        <v>Нет локального эффекта</v>
      </c>
      <c r="AE11" s="61" t="str">
        <f t="shared" si="16"/>
        <v/>
      </c>
      <c r="AF11" s="61" t="str">
        <f t="shared" si="17"/>
        <v>Нет локального эффекта</v>
      </c>
      <c r="AG11" s="61" t="str">
        <f t="shared" si="18"/>
        <v/>
      </c>
      <c r="AH11" s="62" t="str">
        <f>IF($B11="","","Общий итог: "&amp;IF($Y11="","ожидает D66",$Y11&amp;IF($Z11="—",""," — "&amp;$Z11))&amp;". Арес: "&amp;$AA11&amp;". "&amp;$AB11&amp;" Афина: "&amp;$AC11&amp;". "&amp;$AD11&amp;" Аполлон: "&amp;$AE11&amp;". "&amp;$AF11&amp;IF($AG11="",""," Общий эффект: "&amp;$AG11))</f>
        <v/>
      </c>
      <c r="BA11" s="11" t="s">
        <v>224</v>
      </c>
      <c r="BB11" s="11" t="s">
        <v>224</v>
      </c>
      <c r="BD11" s="11" t="s">
        <v>133</v>
      </c>
      <c r="BF11" s="11">
        <v>1.37937462E8</v>
      </c>
      <c r="BG11" s="11">
        <v>9.1269991E7</v>
      </c>
      <c r="BH11" s="11">
        <v>8.40079593E8</v>
      </c>
      <c r="BI11" s="11">
        <v>4.49144316E8</v>
      </c>
      <c r="BJ11" s="11">
        <v>5.71004645E8</v>
      </c>
      <c r="BK11" s="11">
        <v>6.30265306E8</v>
      </c>
      <c r="BL11" s="11">
        <v>1.23152524E8</v>
      </c>
      <c r="BM11" s="11">
        <f t="shared" si="19"/>
        <v>41244</v>
      </c>
      <c r="BN11" s="11">
        <f t="shared" si="20"/>
        <v>49163</v>
      </c>
      <c r="BO11" s="11">
        <f t="shared" si="21"/>
        <v>57082</v>
      </c>
      <c r="BP11" s="11">
        <f t="shared" si="22"/>
        <v>65001</v>
      </c>
      <c r="BQ11" s="11">
        <f t="shared" si="23"/>
        <v>72920</v>
      </c>
      <c r="BR11" s="11">
        <f t="shared" si="24"/>
        <v>80839</v>
      </c>
      <c r="BS11" s="11">
        <f t="shared" si="25"/>
        <v>88758</v>
      </c>
      <c r="BT11" s="11">
        <f t="shared" si="26"/>
        <v>96677</v>
      </c>
      <c r="BU11" s="11">
        <f t="shared" si="27"/>
        <v>4593</v>
      </c>
      <c r="BV11" s="11">
        <f t="shared" si="28"/>
        <v>12512</v>
      </c>
      <c r="BW11" s="11">
        <f t="shared" si="29"/>
        <v>73406</v>
      </c>
      <c r="BX11" s="11">
        <f t="shared" si="30"/>
        <v>79557</v>
      </c>
      <c r="BY11" s="11">
        <f t="shared" si="31"/>
        <v>85708</v>
      </c>
      <c r="BZ11" s="11">
        <f t="shared" si="32"/>
        <v>91859</v>
      </c>
      <c r="CA11" s="11">
        <f t="shared" si="33"/>
        <v>98010</v>
      </c>
      <c r="CB11" s="11">
        <f t="shared" si="34"/>
        <v>4158</v>
      </c>
      <c r="CC11" s="11">
        <f t="shared" si="35"/>
        <v>10309</v>
      </c>
      <c r="CD11" s="11">
        <f t="shared" si="36"/>
        <v>16460</v>
      </c>
      <c r="CE11" s="11">
        <f t="shared" si="37"/>
        <v>57964</v>
      </c>
      <c r="CF11" s="11">
        <f t="shared" si="38"/>
        <v>61535</v>
      </c>
      <c r="CG11" s="11">
        <f t="shared" si="39"/>
        <v>65106</v>
      </c>
      <c r="CH11" s="11">
        <f t="shared" si="40"/>
        <v>68677</v>
      </c>
      <c r="CI11" s="11">
        <f t="shared" si="41"/>
        <v>72248</v>
      </c>
      <c r="CJ11" s="11">
        <f t="shared" si="42"/>
        <v>75819</v>
      </c>
      <c r="CK11" s="11">
        <f t="shared" si="43"/>
        <v>79390</v>
      </c>
      <c r="CL11" s="11">
        <f t="shared" si="44"/>
        <v>82961</v>
      </c>
      <c r="CM11" s="11">
        <f t="shared" si="45"/>
        <v>86532</v>
      </c>
      <c r="CN11" s="11">
        <f t="shared" si="46"/>
        <v>90103</v>
      </c>
      <c r="CO11" s="11">
        <f t="shared" si="47"/>
        <v>93674</v>
      </c>
      <c r="CP11" s="11">
        <f t="shared" si="48"/>
        <v>97245</v>
      </c>
      <c r="CQ11" s="11">
        <f t="shared" si="49"/>
        <v>813</v>
      </c>
      <c r="CR11" s="11">
        <f t="shared" si="50"/>
        <v>4384</v>
      </c>
      <c r="CS11" s="11">
        <f t="shared" si="51"/>
        <v>7955</v>
      </c>
      <c r="CT11" s="11">
        <f t="shared" si="52"/>
        <v>11526</v>
      </c>
      <c r="CU11" s="11">
        <f t="shared" si="53"/>
        <v>50841</v>
      </c>
      <c r="CV11" s="11">
        <f t="shared" si="54"/>
        <v>55282</v>
      </c>
      <c r="CW11" s="11">
        <f t="shared" si="55"/>
        <v>59723</v>
      </c>
      <c r="CX11" s="11">
        <f t="shared" si="56"/>
        <v>64164</v>
      </c>
      <c r="CY11" s="11">
        <f t="shared" si="57"/>
        <v>68605</v>
      </c>
      <c r="CZ11" s="11">
        <f t="shared" si="58"/>
        <v>73046</v>
      </c>
      <c r="DA11" s="11">
        <f t="shared" si="59"/>
        <v>77487</v>
      </c>
      <c r="DB11" s="11">
        <f t="shared" si="60"/>
        <v>81928</v>
      </c>
      <c r="DC11" s="11">
        <f t="shared" si="61"/>
        <v>86369</v>
      </c>
      <c r="DD11" s="11">
        <f t="shared" si="62"/>
        <v>90810</v>
      </c>
      <c r="DE11" s="11">
        <f t="shared" si="63"/>
        <v>95251</v>
      </c>
      <c r="DF11" s="11">
        <f t="shared" si="64"/>
        <v>99692</v>
      </c>
      <c r="DG11" s="11">
        <f t="shared" si="65"/>
        <v>4130</v>
      </c>
      <c r="DH11" s="11">
        <f t="shared" si="66"/>
        <v>8571</v>
      </c>
      <c r="DI11" s="11">
        <f t="shared" si="67"/>
        <v>13012</v>
      </c>
      <c r="DJ11" s="11">
        <f t="shared" si="68"/>
        <v>17453</v>
      </c>
      <c r="DK11" s="11">
        <f t="shared" si="69"/>
        <v>50920</v>
      </c>
      <c r="DL11" s="11">
        <f t="shared" si="70"/>
        <v>53009</v>
      </c>
      <c r="DM11" s="11">
        <f t="shared" si="71"/>
        <v>55098</v>
      </c>
      <c r="DN11" s="11" t="str">
        <f t="shared" si="72"/>
        <v>Сетевые ресурсы</v>
      </c>
      <c r="DO11" s="11" t="str">
        <f t="shared" si="73"/>
        <v>Конечные устройства</v>
      </c>
      <c r="DP11" s="11" t="str">
        <f t="shared" si="74"/>
        <v>Минерально-сырьевые ресурсы</v>
      </c>
      <c r="DQ11" s="11" t="str">
        <f t="shared" si="75"/>
        <v>Экономика</v>
      </c>
      <c r="DR11" s="11" t="str">
        <f t="shared" si="76"/>
        <v>Государственное управление</v>
      </c>
      <c r="DS11" s="11" t="str">
        <f t="shared" si="77"/>
        <v>Принятие ИИ</v>
      </c>
      <c r="DT11" s="11" t="str">
        <f t="shared" si="78"/>
        <v>Израиль</v>
      </c>
      <c r="DU11" s="11" t="str">
        <f t="shared" si="79"/>
        <v>Бразилия</v>
      </c>
      <c r="DV11" s="11" t="str">
        <f t="shared" si="80"/>
        <v>ОАЭ</v>
      </c>
      <c r="DW11" s="11" t="str">
        <f t="shared" si="81"/>
        <v>Ресурсный</v>
      </c>
      <c r="DX11" s="11" t="str">
        <f t="shared" si="82"/>
        <v>Общественный</v>
      </c>
      <c r="DY11" s="11" t="str">
        <f t="shared" si="83"/>
        <v>Дипломатический</v>
      </c>
      <c r="DZ11" s="11" t="str">
        <f t="shared" si="84"/>
        <v>Организационная способность к изменению</v>
      </c>
      <c r="EA11" s="11" t="str">
        <f t="shared" si="85"/>
        <v>Экономика</v>
      </c>
      <c r="EB11" s="11" t="str">
        <f t="shared" si="86"/>
        <v>Израиль</v>
      </c>
      <c r="EC11" s="11">
        <f t="shared" ref="EC11:EE11" si="106">IF(OR($B11="",$C11=""),0,IF(AND(EG11&gt;=5,EG11&gt;=5*EJ11),3,IF(AND(EJ11&gt;=5,EJ11&gt;=5*EG11),3,IF(AND(EG11&gt;=5,EG11&gt;=3*EJ11),2,IF(AND(EJ11&gt;=5,EJ11&gt;=3*EG11),2,IF(AND(EG11&gt;=5,EG11&gt;=2*EJ11),1,IF(AND(EJ11&gt;=5,EJ11&gt;=2*EG11),1,0)))))))</f>
        <v>0</v>
      </c>
      <c r="ED11" s="11">
        <f t="shared" si="106"/>
        <v>0</v>
      </c>
      <c r="EE11" s="11">
        <f t="shared" si="106"/>
        <v>0</v>
      </c>
      <c r="EF11" s="11">
        <f t="shared" si="88"/>
        <v>0</v>
      </c>
      <c r="EG11" s="11" t="str">
        <f t="shared" si="89"/>
        <v/>
      </c>
      <c r="EH11" s="11" t="str">
        <f t="shared" si="90"/>
        <v/>
      </c>
      <c r="EI11" s="11" t="str">
        <f t="shared" si="91"/>
        <v/>
      </c>
      <c r="EJ11" s="11" t="str">
        <f t="shared" si="92"/>
        <v/>
      </c>
      <c r="EK11" s="11" t="str">
        <f t="shared" si="93"/>
        <v/>
      </c>
      <c r="EL11" s="11" t="str">
        <f t="shared" si="94"/>
        <v/>
      </c>
      <c r="EM11" s="11" t="str">
        <f t="shared" si="95"/>
        <v/>
      </c>
      <c r="EN11" s="11" t="str">
        <f t="shared" si="96"/>
        <v/>
      </c>
      <c r="EO11" s="11" t="str">
        <f t="shared" si="97"/>
        <v/>
      </c>
      <c r="EP11" s="11" t="str">
        <f t="shared" si="98"/>
        <v/>
      </c>
      <c r="EQ11" s="11" t="str">
        <f t="shared" si="99"/>
        <v/>
      </c>
      <c r="ER11" s="11" t="str">
        <f t="shared" si="100"/>
        <v/>
      </c>
      <c r="ES11" s="11" t="str">
        <f t="shared" si="101"/>
        <v/>
      </c>
    </row>
    <row r="12" ht="52.5" customHeight="1">
      <c r="A12" s="55"/>
      <c r="B12" s="42"/>
      <c r="C12" s="42"/>
      <c r="D12" s="42"/>
      <c r="E12" s="42"/>
      <c r="F12" s="42"/>
      <c r="G12" s="56"/>
      <c r="H12" s="56"/>
      <c r="I12" s="56"/>
      <c r="J12" s="42"/>
      <c r="K12" s="42"/>
      <c r="L12" s="42"/>
      <c r="M12" s="56"/>
      <c r="N12" s="56"/>
      <c r="O12" s="56"/>
      <c r="P12" s="57" t="str">
        <f t="shared" si="2"/>
        <v/>
      </c>
      <c r="Q12" s="57" t="str">
        <f t="shared" si="3"/>
        <v/>
      </c>
      <c r="R12" s="58" t="str">
        <f t="shared" si="4"/>
        <v/>
      </c>
      <c r="S12" s="58" t="str">
        <f t="shared" si="5"/>
        <v/>
      </c>
      <c r="T12" s="58" t="str">
        <f t="shared" si="6"/>
        <v/>
      </c>
      <c r="U12" s="59" t="str">
        <f t="shared" si="7"/>
        <v/>
      </c>
      <c r="V12" s="59" t="str">
        <f t="shared" si="8"/>
        <v/>
      </c>
      <c r="W12" s="59" t="str">
        <f t="shared" si="9"/>
        <v/>
      </c>
      <c r="X12" s="60"/>
      <c r="Y12" s="61" t="str">
        <f t="shared" si="10"/>
        <v/>
      </c>
      <c r="Z12" s="61" t="str">
        <f t="shared" si="11"/>
        <v/>
      </c>
      <c r="AA12" s="61" t="str">
        <f t="shared" si="12"/>
        <v/>
      </c>
      <c r="AB12" s="61" t="str">
        <f t="shared" si="13"/>
        <v>Нет локального эффекта</v>
      </c>
      <c r="AC12" s="61" t="str">
        <f t="shared" si="14"/>
        <v/>
      </c>
      <c r="AD12" s="61" t="str">
        <f t="shared" si="15"/>
        <v>Нет локального эффекта</v>
      </c>
      <c r="AE12" s="61" t="str">
        <f t="shared" si="16"/>
        <v/>
      </c>
      <c r="AF12" s="61" t="str">
        <f t="shared" si="17"/>
        <v>Нет локального эффекта</v>
      </c>
      <c r="AG12" s="61" t="str">
        <f t="shared" si="18"/>
        <v/>
      </c>
      <c r="AH12" s="62" t="str">
        <f>IF($B12="","","Общий итог: "&amp;IF($Y12="","ожидает D67",$Y12&amp;IF($Z12="—",""," — "&amp;$Z12))&amp;". Арес: "&amp;$AA12&amp;". "&amp;$AB12&amp;" Афина: "&amp;$AC12&amp;". "&amp;$AD12&amp;" Аполлон: "&amp;$AE12&amp;". "&amp;$AF12&amp;IF($AG12="",""," Общий эффект: "&amp;$AG12))</f>
        <v/>
      </c>
      <c r="BA12" s="11" t="s">
        <v>384</v>
      </c>
      <c r="BD12" s="11" t="s">
        <v>135</v>
      </c>
      <c r="BF12" s="11">
        <v>1.98216958E8</v>
      </c>
      <c r="BG12" s="11">
        <v>6.67722791E8</v>
      </c>
      <c r="BH12" s="11">
        <v>5.41019867E8</v>
      </c>
      <c r="BI12" s="11">
        <v>5.3335155E7</v>
      </c>
      <c r="BJ12" s="11">
        <v>8.7012816E8</v>
      </c>
      <c r="BK12" s="11">
        <v>8.63478216E8</v>
      </c>
      <c r="BL12" s="11">
        <v>1.75648754E8</v>
      </c>
      <c r="BM12" s="11">
        <f t="shared" si="19"/>
        <v>18931</v>
      </c>
      <c r="BN12" s="11">
        <f t="shared" si="20"/>
        <v>26850</v>
      </c>
      <c r="BO12" s="11">
        <f t="shared" si="21"/>
        <v>34769</v>
      </c>
      <c r="BP12" s="11">
        <f t="shared" si="22"/>
        <v>42688</v>
      </c>
      <c r="BQ12" s="11">
        <f t="shared" si="23"/>
        <v>50607</v>
      </c>
      <c r="BR12" s="11">
        <f t="shared" si="24"/>
        <v>58526</v>
      </c>
      <c r="BS12" s="11">
        <f t="shared" si="25"/>
        <v>66445</v>
      </c>
      <c r="BT12" s="11">
        <f t="shared" si="26"/>
        <v>74364</v>
      </c>
      <c r="BU12" s="11">
        <f t="shared" si="27"/>
        <v>82283</v>
      </c>
      <c r="BV12" s="11">
        <f t="shared" si="28"/>
        <v>90202</v>
      </c>
      <c r="BW12" s="11">
        <f t="shared" si="29"/>
        <v>8911</v>
      </c>
      <c r="BX12" s="11">
        <f t="shared" si="30"/>
        <v>15062</v>
      </c>
      <c r="BY12" s="11">
        <f t="shared" si="31"/>
        <v>21213</v>
      </c>
      <c r="BZ12" s="11">
        <f t="shared" si="32"/>
        <v>27364</v>
      </c>
      <c r="CA12" s="11">
        <f t="shared" si="33"/>
        <v>33515</v>
      </c>
      <c r="CB12" s="11">
        <f t="shared" si="34"/>
        <v>39666</v>
      </c>
      <c r="CC12" s="11">
        <f t="shared" si="35"/>
        <v>45817</v>
      </c>
      <c r="CD12" s="11">
        <f t="shared" si="36"/>
        <v>51968</v>
      </c>
      <c r="CE12" s="11">
        <f t="shared" si="37"/>
        <v>7208</v>
      </c>
      <c r="CF12" s="11">
        <f t="shared" si="38"/>
        <v>10779</v>
      </c>
      <c r="CG12" s="11">
        <f t="shared" si="39"/>
        <v>14350</v>
      </c>
      <c r="CH12" s="11">
        <f t="shared" si="40"/>
        <v>17921</v>
      </c>
      <c r="CI12" s="11">
        <f t="shared" si="41"/>
        <v>21492</v>
      </c>
      <c r="CJ12" s="11">
        <f t="shared" si="42"/>
        <v>25063</v>
      </c>
      <c r="CK12" s="11">
        <f t="shared" si="43"/>
        <v>28634</v>
      </c>
      <c r="CL12" s="11">
        <f t="shared" si="44"/>
        <v>32205</v>
      </c>
      <c r="CM12" s="11">
        <f t="shared" si="45"/>
        <v>35776</v>
      </c>
      <c r="CN12" s="11">
        <f t="shared" si="46"/>
        <v>39347</v>
      </c>
      <c r="CO12" s="11">
        <f t="shared" si="47"/>
        <v>42918</v>
      </c>
      <c r="CP12" s="11">
        <f t="shared" si="48"/>
        <v>46489</v>
      </c>
      <c r="CQ12" s="11">
        <f t="shared" si="49"/>
        <v>50060</v>
      </c>
      <c r="CR12" s="11">
        <f t="shared" si="50"/>
        <v>53631</v>
      </c>
      <c r="CS12" s="11">
        <f t="shared" si="51"/>
        <v>57202</v>
      </c>
      <c r="CT12" s="11">
        <f t="shared" si="52"/>
        <v>60773</v>
      </c>
      <c r="CU12" s="11">
        <f t="shared" si="53"/>
        <v>56755</v>
      </c>
      <c r="CV12" s="11">
        <f t="shared" si="54"/>
        <v>61196</v>
      </c>
      <c r="CW12" s="11">
        <f t="shared" si="55"/>
        <v>65637</v>
      </c>
      <c r="CX12" s="11">
        <f t="shared" si="56"/>
        <v>70078</v>
      </c>
      <c r="CY12" s="11">
        <f t="shared" si="57"/>
        <v>74519</v>
      </c>
      <c r="CZ12" s="11">
        <f t="shared" si="58"/>
        <v>78960</v>
      </c>
      <c r="DA12" s="11">
        <f t="shared" si="59"/>
        <v>83401</v>
      </c>
      <c r="DB12" s="11">
        <f t="shared" si="60"/>
        <v>87842</v>
      </c>
      <c r="DC12" s="11">
        <f t="shared" si="61"/>
        <v>92283</v>
      </c>
      <c r="DD12" s="11">
        <f t="shared" si="62"/>
        <v>96724</v>
      </c>
      <c r="DE12" s="11">
        <f t="shared" si="63"/>
        <v>1162</v>
      </c>
      <c r="DF12" s="11">
        <f t="shared" si="64"/>
        <v>5603</v>
      </c>
      <c r="DG12" s="11">
        <f t="shared" si="65"/>
        <v>10044</v>
      </c>
      <c r="DH12" s="11">
        <f t="shared" si="66"/>
        <v>14485</v>
      </c>
      <c r="DI12" s="11">
        <f t="shared" si="67"/>
        <v>18926</v>
      </c>
      <c r="DJ12" s="11">
        <f t="shared" si="68"/>
        <v>23367</v>
      </c>
      <c r="DK12" s="11">
        <f t="shared" si="69"/>
        <v>45575</v>
      </c>
      <c r="DL12" s="11">
        <f t="shared" si="70"/>
        <v>47664</v>
      </c>
      <c r="DM12" s="11">
        <f t="shared" si="71"/>
        <v>49753</v>
      </c>
      <c r="DN12" s="11" t="str">
        <f t="shared" si="72"/>
        <v>Минерально-сырьевые ресурсы</v>
      </c>
      <c r="DO12" s="11" t="str">
        <f t="shared" si="73"/>
        <v>Химические и технологические материалы</v>
      </c>
      <c r="DP12" s="11" t="str">
        <f t="shared" si="74"/>
        <v>Энергетические ресурсы</v>
      </c>
      <c r="DQ12" s="11" t="str">
        <f t="shared" si="75"/>
        <v>Производство</v>
      </c>
      <c r="DR12" s="11" t="str">
        <f t="shared" si="76"/>
        <v>Управление</v>
      </c>
      <c r="DS12" s="11" t="str">
        <f t="shared" si="77"/>
        <v>Познание</v>
      </c>
      <c r="DT12" s="11" t="str">
        <f t="shared" si="78"/>
        <v>Россия</v>
      </c>
      <c r="DU12" s="11" t="str">
        <f t="shared" si="79"/>
        <v>США</v>
      </c>
      <c r="DV12" s="11" t="str">
        <f t="shared" si="80"/>
        <v>Китай</v>
      </c>
      <c r="DW12" s="11" t="str">
        <f t="shared" si="81"/>
        <v>Ресурсный</v>
      </c>
      <c r="DX12" s="11" t="str">
        <f t="shared" si="82"/>
        <v>Общественный</v>
      </c>
      <c r="DY12" s="11" t="str">
        <f t="shared" si="83"/>
        <v>Дипломатический</v>
      </c>
      <c r="DZ12" s="11" t="str">
        <f t="shared" si="84"/>
        <v>Ресурсы оценки</v>
      </c>
      <c r="EA12" s="11" t="str">
        <f t="shared" si="85"/>
        <v>Производство</v>
      </c>
      <c r="EB12" s="11" t="str">
        <f t="shared" si="86"/>
        <v>Саудовская Аравия</v>
      </c>
      <c r="EC12" s="11">
        <f t="shared" ref="EC12:EE12" si="107">IF(OR($B12="",$C12=""),0,IF(AND(EG12&gt;=5,EG12&gt;=5*EJ12),3,IF(AND(EJ12&gt;=5,EJ12&gt;=5*EG12),3,IF(AND(EG12&gt;=5,EG12&gt;=3*EJ12),2,IF(AND(EJ12&gt;=5,EJ12&gt;=3*EG12),2,IF(AND(EG12&gt;=5,EG12&gt;=2*EJ12),1,IF(AND(EJ12&gt;=5,EJ12&gt;=2*EG12),1,0)))))))</f>
        <v>0</v>
      </c>
      <c r="ED12" s="11">
        <f t="shared" si="107"/>
        <v>0</v>
      </c>
      <c r="EE12" s="11">
        <f t="shared" si="107"/>
        <v>0</v>
      </c>
      <c r="EF12" s="11">
        <f t="shared" si="88"/>
        <v>0</v>
      </c>
      <c r="EG12" s="11" t="str">
        <f t="shared" si="89"/>
        <v/>
      </c>
      <c r="EH12" s="11" t="str">
        <f t="shared" si="90"/>
        <v/>
      </c>
      <c r="EI12" s="11" t="str">
        <f t="shared" si="91"/>
        <v/>
      </c>
      <c r="EJ12" s="11" t="str">
        <f t="shared" si="92"/>
        <v/>
      </c>
      <c r="EK12" s="11" t="str">
        <f t="shared" si="93"/>
        <v/>
      </c>
      <c r="EL12" s="11" t="str">
        <f t="shared" si="94"/>
        <v/>
      </c>
      <c r="EM12" s="11" t="str">
        <f t="shared" si="95"/>
        <v/>
      </c>
      <c r="EN12" s="11" t="str">
        <f t="shared" si="96"/>
        <v/>
      </c>
      <c r="EO12" s="11" t="str">
        <f t="shared" si="97"/>
        <v/>
      </c>
      <c r="EP12" s="11" t="str">
        <f t="shared" si="98"/>
        <v/>
      </c>
      <c r="EQ12" s="11" t="str">
        <f t="shared" si="99"/>
        <v/>
      </c>
      <c r="ER12" s="11" t="str">
        <f t="shared" si="100"/>
        <v/>
      </c>
      <c r="ES12" s="11" t="str">
        <f t="shared" si="101"/>
        <v/>
      </c>
    </row>
    <row r="13" ht="52.5" customHeight="1">
      <c r="A13" s="55"/>
      <c r="B13" s="42"/>
      <c r="C13" s="42"/>
      <c r="D13" s="42"/>
      <c r="E13" s="42"/>
      <c r="F13" s="42"/>
      <c r="G13" s="56"/>
      <c r="H13" s="56"/>
      <c r="I13" s="56"/>
      <c r="J13" s="42"/>
      <c r="K13" s="42"/>
      <c r="L13" s="42"/>
      <c r="M13" s="56"/>
      <c r="N13" s="56"/>
      <c r="O13" s="56"/>
      <c r="P13" s="57" t="str">
        <f t="shared" si="2"/>
        <v/>
      </c>
      <c r="Q13" s="57" t="str">
        <f t="shared" si="3"/>
        <v/>
      </c>
      <c r="R13" s="58" t="str">
        <f t="shared" si="4"/>
        <v/>
      </c>
      <c r="S13" s="58" t="str">
        <f t="shared" si="5"/>
        <v/>
      </c>
      <c r="T13" s="58" t="str">
        <f t="shared" si="6"/>
        <v/>
      </c>
      <c r="U13" s="59" t="str">
        <f t="shared" si="7"/>
        <v/>
      </c>
      <c r="V13" s="59" t="str">
        <f t="shared" si="8"/>
        <v/>
      </c>
      <c r="W13" s="59" t="str">
        <f t="shared" si="9"/>
        <v/>
      </c>
      <c r="X13" s="60"/>
      <c r="Y13" s="61" t="str">
        <f t="shared" si="10"/>
        <v/>
      </c>
      <c r="Z13" s="61" t="str">
        <f t="shared" si="11"/>
        <v/>
      </c>
      <c r="AA13" s="61" t="str">
        <f t="shared" si="12"/>
        <v/>
      </c>
      <c r="AB13" s="61" t="str">
        <f t="shared" si="13"/>
        <v>Нет локального эффекта</v>
      </c>
      <c r="AC13" s="61" t="str">
        <f t="shared" si="14"/>
        <v/>
      </c>
      <c r="AD13" s="61" t="str">
        <f t="shared" si="15"/>
        <v>Нет локального эффекта</v>
      </c>
      <c r="AE13" s="61" t="str">
        <f t="shared" si="16"/>
        <v/>
      </c>
      <c r="AF13" s="61" t="str">
        <f t="shared" si="17"/>
        <v>Нет локального эффекта</v>
      </c>
      <c r="AG13" s="61" t="str">
        <f t="shared" si="18"/>
        <v/>
      </c>
      <c r="AH13" s="62" t="str">
        <f>IF($B13="","","Общий итог: "&amp;IF($Y13="","ожидает D68",$Y13&amp;IF($Z13="—",""," — "&amp;$Z13))&amp;". Арес: "&amp;$AA13&amp;". "&amp;$AB13&amp;" Афина: "&amp;$AC13&amp;". "&amp;$AD13&amp;" Аполлон: "&amp;$AE13&amp;". "&amp;$AF13&amp;IF($AG13="",""," Общий эффект: "&amp;$AG13))</f>
        <v/>
      </c>
      <c r="BA13" s="11" t="s">
        <v>385</v>
      </c>
      <c r="BD13" s="11" t="s">
        <v>139</v>
      </c>
      <c r="BF13" s="11">
        <v>7.47401235E8</v>
      </c>
      <c r="BG13" s="11">
        <v>2.41332564E8</v>
      </c>
      <c r="BH13" s="11">
        <v>9.50037844E8</v>
      </c>
      <c r="BI13" s="11">
        <v>3.94576768E8</v>
      </c>
      <c r="BJ13" s="11">
        <v>8.5720991E8</v>
      </c>
      <c r="BK13" s="11">
        <v>1.84736994E8</v>
      </c>
      <c r="BL13" s="11">
        <v>2.18216985E8</v>
      </c>
      <c r="BM13" s="11">
        <f t="shared" si="19"/>
        <v>86735</v>
      </c>
      <c r="BN13" s="11">
        <f t="shared" si="20"/>
        <v>94654</v>
      </c>
      <c r="BO13" s="11">
        <f t="shared" si="21"/>
        <v>2570</v>
      </c>
      <c r="BP13" s="11">
        <f t="shared" si="22"/>
        <v>10489</v>
      </c>
      <c r="BQ13" s="11">
        <f t="shared" si="23"/>
        <v>18408</v>
      </c>
      <c r="BR13" s="11">
        <f t="shared" si="24"/>
        <v>26327</v>
      </c>
      <c r="BS13" s="11">
        <f t="shared" si="25"/>
        <v>34246</v>
      </c>
      <c r="BT13" s="11">
        <f t="shared" si="26"/>
        <v>42165</v>
      </c>
      <c r="BU13" s="11">
        <f t="shared" si="27"/>
        <v>50084</v>
      </c>
      <c r="BV13" s="11">
        <f t="shared" si="28"/>
        <v>58003</v>
      </c>
      <c r="BW13" s="11">
        <f t="shared" si="29"/>
        <v>31476</v>
      </c>
      <c r="BX13" s="11">
        <f t="shared" si="30"/>
        <v>37627</v>
      </c>
      <c r="BY13" s="11">
        <f t="shared" si="31"/>
        <v>43778</v>
      </c>
      <c r="BZ13" s="11">
        <f t="shared" si="32"/>
        <v>49929</v>
      </c>
      <c r="CA13" s="11">
        <f t="shared" si="33"/>
        <v>56080</v>
      </c>
      <c r="CB13" s="11">
        <f t="shared" si="34"/>
        <v>62231</v>
      </c>
      <c r="CC13" s="11">
        <f t="shared" si="35"/>
        <v>68382</v>
      </c>
      <c r="CD13" s="11">
        <f t="shared" si="36"/>
        <v>74533</v>
      </c>
      <c r="CE13" s="11">
        <f t="shared" si="37"/>
        <v>12915</v>
      </c>
      <c r="CF13" s="11">
        <f t="shared" si="38"/>
        <v>16486</v>
      </c>
      <c r="CG13" s="11">
        <f t="shared" si="39"/>
        <v>20057</v>
      </c>
      <c r="CH13" s="11">
        <f t="shared" si="40"/>
        <v>23628</v>
      </c>
      <c r="CI13" s="11">
        <f t="shared" si="41"/>
        <v>27199</v>
      </c>
      <c r="CJ13" s="11">
        <f t="shared" si="42"/>
        <v>30770</v>
      </c>
      <c r="CK13" s="11">
        <f t="shared" si="43"/>
        <v>34341</v>
      </c>
      <c r="CL13" s="11">
        <f t="shared" si="44"/>
        <v>37912</v>
      </c>
      <c r="CM13" s="11">
        <f t="shared" si="45"/>
        <v>41483</v>
      </c>
      <c r="CN13" s="11">
        <f t="shared" si="46"/>
        <v>45054</v>
      </c>
      <c r="CO13" s="11">
        <f t="shared" si="47"/>
        <v>48625</v>
      </c>
      <c r="CP13" s="11">
        <f t="shared" si="48"/>
        <v>52196</v>
      </c>
      <c r="CQ13" s="11">
        <f t="shared" si="49"/>
        <v>55767</v>
      </c>
      <c r="CR13" s="11">
        <f t="shared" si="50"/>
        <v>59338</v>
      </c>
      <c r="CS13" s="11">
        <f t="shared" si="51"/>
        <v>62909</v>
      </c>
      <c r="CT13" s="11">
        <f t="shared" si="52"/>
        <v>66480</v>
      </c>
      <c r="CU13" s="11">
        <f t="shared" si="53"/>
        <v>35894</v>
      </c>
      <c r="CV13" s="11">
        <f t="shared" si="54"/>
        <v>40335</v>
      </c>
      <c r="CW13" s="11">
        <f t="shared" si="55"/>
        <v>44776</v>
      </c>
      <c r="CX13" s="11">
        <f t="shared" si="56"/>
        <v>49217</v>
      </c>
      <c r="CY13" s="11">
        <f t="shared" si="57"/>
        <v>53658</v>
      </c>
      <c r="CZ13" s="11">
        <f t="shared" si="58"/>
        <v>58099</v>
      </c>
      <c r="DA13" s="11">
        <f t="shared" si="59"/>
        <v>62540</v>
      </c>
      <c r="DB13" s="11">
        <f t="shared" si="60"/>
        <v>66981</v>
      </c>
      <c r="DC13" s="11">
        <f t="shared" si="61"/>
        <v>71422</v>
      </c>
      <c r="DD13" s="11">
        <f t="shared" si="62"/>
        <v>75863</v>
      </c>
      <c r="DE13" s="11">
        <f t="shared" si="63"/>
        <v>80304</v>
      </c>
      <c r="DF13" s="11">
        <f t="shared" si="64"/>
        <v>84745</v>
      </c>
      <c r="DG13" s="11">
        <f t="shared" si="65"/>
        <v>89186</v>
      </c>
      <c r="DH13" s="11">
        <f t="shared" si="66"/>
        <v>93627</v>
      </c>
      <c r="DI13" s="11">
        <f t="shared" si="67"/>
        <v>98068</v>
      </c>
      <c r="DJ13" s="11">
        <f t="shared" si="68"/>
        <v>2506</v>
      </c>
      <c r="DK13" s="11">
        <f t="shared" si="69"/>
        <v>12528</v>
      </c>
      <c r="DL13" s="11">
        <f t="shared" si="70"/>
        <v>14617</v>
      </c>
      <c r="DM13" s="11">
        <f t="shared" si="71"/>
        <v>16706</v>
      </c>
      <c r="DN13" s="11" t="str">
        <f t="shared" si="72"/>
        <v>Энергетические ресурсы</v>
      </c>
      <c r="DO13" s="11" t="str">
        <f t="shared" si="73"/>
        <v>Вода и ресурс отвода тепла</v>
      </c>
      <c r="DP13" s="11" t="str">
        <f t="shared" si="74"/>
        <v>Пространственные и природно-географические ресурсы</v>
      </c>
      <c r="DQ13" s="11" t="str">
        <f t="shared" si="75"/>
        <v>Производство</v>
      </c>
      <c r="DR13" s="11" t="str">
        <f t="shared" si="76"/>
        <v>Управление</v>
      </c>
      <c r="DS13" s="11" t="str">
        <f t="shared" si="77"/>
        <v>Познание</v>
      </c>
      <c r="DT13" s="11" t="str">
        <f t="shared" si="78"/>
        <v>Россия</v>
      </c>
      <c r="DU13" s="11" t="str">
        <f t="shared" si="79"/>
        <v>США</v>
      </c>
      <c r="DV13" s="11" t="str">
        <f t="shared" si="80"/>
        <v>Китай</v>
      </c>
      <c r="DW13" s="11" t="str">
        <f t="shared" si="81"/>
        <v>Ресурсный</v>
      </c>
      <c r="DX13" s="11" t="str">
        <f t="shared" si="82"/>
        <v>Общественный</v>
      </c>
      <c r="DY13" s="11" t="str">
        <f t="shared" si="83"/>
        <v>Дипломатический</v>
      </c>
      <c r="DZ13" s="11" t="str">
        <f t="shared" si="84"/>
        <v>Система управления ИИ</v>
      </c>
      <c r="EA13" s="11" t="str">
        <f t="shared" si="85"/>
        <v>Государственное управление</v>
      </c>
      <c r="EB13" s="11" t="str">
        <f t="shared" si="86"/>
        <v>Индонезия</v>
      </c>
      <c r="EC13" s="11">
        <f t="shared" ref="EC13:EE13" si="108">IF(OR($B13="",$C13=""),0,IF(AND(EG13&gt;=5,EG13&gt;=5*EJ13),3,IF(AND(EJ13&gt;=5,EJ13&gt;=5*EG13),3,IF(AND(EG13&gt;=5,EG13&gt;=3*EJ13),2,IF(AND(EJ13&gt;=5,EJ13&gt;=3*EG13),2,IF(AND(EG13&gt;=5,EG13&gt;=2*EJ13),1,IF(AND(EJ13&gt;=5,EJ13&gt;=2*EG13),1,0)))))))</f>
        <v>0</v>
      </c>
      <c r="ED13" s="11">
        <f t="shared" si="108"/>
        <v>0</v>
      </c>
      <c r="EE13" s="11">
        <f t="shared" si="108"/>
        <v>0</v>
      </c>
      <c r="EF13" s="11">
        <f t="shared" si="88"/>
        <v>0</v>
      </c>
      <c r="EG13" s="11" t="str">
        <f t="shared" si="89"/>
        <v/>
      </c>
      <c r="EH13" s="11" t="str">
        <f t="shared" si="90"/>
        <v/>
      </c>
      <c r="EI13" s="11" t="str">
        <f t="shared" si="91"/>
        <v/>
      </c>
      <c r="EJ13" s="11" t="str">
        <f t="shared" si="92"/>
        <v/>
      </c>
      <c r="EK13" s="11" t="str">
        <f t="shared" si="93"/>
        <v/>
      </c>
      <c r="EL13" s="11" t="str">
        <f t="shared" si="94"/>
        <v/>
      </c>
      <c r="EM13" s="11" t="str">
        <f t="shared" si="95"/>
        <v/>
      </c>
      <c r="EN13" s="11" t="str">
        <f t="shared" si="96"/>
        <v/>
      </c>
      <c r="EO13" s="11" t="str">
        <f t="shared" si="97"/>
        <v/>
      </c>
      <c r="EP13" s="11" t="str">
        <f t="shared" si="98"/>
        <v/>
      </c>
      <c r="EQ13" s="11" t="str">
        <f t="shared" si="99"/>
        <v/>
      </c>
      <c r="ER13" s="11" t="str">
        <f t="shared" si="100"/>
        <v/>
      </c>
      <c r="ES13" s="11" t="str">
        <f t="shared" si="101"/>
        <v/>
      </c>
    </row>
    <row r="14" ht="52.5" customHeight="1">
      <c r="A14" s="55"/>
      <c r="B14" s="42"/>
      <c r="C14" s="42"/>
      <c r="D14" s="42"/>
      <c r="E14" s="42"/>
      <c r="F14" s="42"/>
      <c r="G14" s="56"/>
      <c r="H14" s="56"/>
      <c r="I14" s="56"/>
      <c r="J14" s="42"/>
      <c r="K14" s="42"/>
      <c r="L14" s="42"/>
      <c r="M14" s="56"/>
      <c r="N14" s="56"/>
      <c r="O14" s="56"/>
      <c r="P14" s="57" t="str">
        <f t="shared" si="2"/>
        <v/>
      </c>
      <c r="Q14" s="57" t="str">
        <f t="shared" si="3"/>
        <v/>
      </c>
      <c r="R14" s="58" t="str">
        <f t="shared" si="4"/>
        <v/>
      </c>
      <c r="S14" s="58" t="str">
        <f t="shared" si="5"/>
        <v/>
      </c>
      <c r="T14" s="58" t="str">
        <f t="shared" si="6"/>
        <v/>
      </c>
      <c r="U14" s="59" t="str">
        <f t="shared" si="7"/>
        <v/>
      </c>
      <c r="V14" s="59" t="str">
        <f t="shared" si="8"/>
        <v/>
      </c>
      <c r="W14" s="59" t="str">
        <f t="shared" si="9"/>
        <v/>
      </c>
      <c r="X14" s="60"/>
      <c r="Y14" s="61" t="str">
        <f t="shared" si="10"/>
        <v/>
      </c>
      <c r="Z14" s="61" t="str">
        <f t="shared" si="11"/>
        <v/>
      </c>
      <c r="AA14" s="61" t="str">
        <f t="shared" si="12"/>
        <v/>
      </c>
      <c r="AB14" s="61" t="str">
        <f t="shared" si="13"/>
        <v>Нет локального эффекта</v>
      </c>
      <c r="AC14" s="61" t="str">
        <f t="shared" si="14"/>
        <v/>
      </c>
      <c r="AD14" s="61" t="str">
        <f t="shared" si="15"/>
        <v>Нет локального эффекта</v>
      </c>
      <c r="AE14" s="61" t="str">
        <f t="shared" si="16"/>
        <v/>
      </c>
      <c r="AF14" s="61" t="str">
        <f t="shared" si="17"/>
        <v>Нет локального эффекта</v>
      </c>
      <c r="AG14" s="61" t="str">
        <f t="shared" si="18"/>
        <v/>
      </c>
      <c r="AH14" s="62" t="str">
        <f>IF($B14="","","Общий итог: "&amp;IF($Y14="","ожидает D69",$Y14&amp;IF($Z14="—",""," — "&amp;$Z14))&amp;". Арес: "&amp;$AA14&amp;". "&amp;$AB14&amp;" Афина: "&amp;$AC14&amp;". "&amp;$AD14&amp;" Аполлон: "&amp;$AE14&amp;". "&amp;$AF14&amp;IF($AG14="",""," Общий эффект: "&amp;$AG14))</f>
        <v/>
      </c>
      <c r="BA14" s="11" t="s">
        <v>386</v>
      </c>
      <c r="BD14" s="11" t="s">
        <v>143</v>
      </c>
      <c r="BF14" s="11">
        <v>8.97792042E8</v>
      </c>
      <c r="BG14" s="11">
        <v>1.5709635E7</v>
      </c>
      <c r="BH14" s="11">
        <v>8.62969909E8</v>
      </c>
      <c r="BI14" s="11">
        <v>9.60169061E8</v>
      </c>
      <c r="BJ14" s="11">
        <v>5.12489692E8</v>
      </c>
      <c r="BK14" s="11">
        <v>6.24715692E8</v>
      </c>
      <c r="BL14" s="11">
        <v>7.13653047E8</v>
      </c>
      <c r="BM14" s="11">
        <f t="shared" si="19"/>
        <v>73030</v>
      </c>
      <c r="BN14" s="11">
        <f t="shared" si="20"/>
        <v>80949</v>
      </c>
      <c r="BO14" s="11">
        <f t="shared" si="21"/>
        <v>88868</v>
      </c>
      <c r="BP14" s="11">
        <f t="shared" si="22"/>
        <v>96787</v>
      </c>
      <c r="BQ14" s="11">
        <f t="shared" si="23"/>
        <v>4703</v>
      </c>
      <c r="BR14" s="11">
        <f t="shared" si="24"/>
        <v>12622</v>
      </c>
      <c r="BS14" s="11">
        <f t="shared" si="25"/>
        <v>20541</v>
      </c>
      <c r="BT14" s="11">
        <f t="shared" si="26"/>
        <v>28460</v>
      </c>
      <c r="BU14" s="11">
        <f t="shared" si="27"/>
        <v>36379</v>
      </c>
      <c r="BV14" s="11">
        <f t="shared" si="28"/>
        <v>44298</v>
      </c>
      <c r="BW14" s="11">
        <f t="shared" si="29"/>
        <v>15315</v>
      </c>
      <c r="BX14" s="11">
        <f t="shared" si="30"/>
        <v>21466</v>
      </c>
      <c r="BY14" s="11">
        <f t="shared" si="31"/>
        <v>27617</v>
      </c>
      <c r="BZ14" s="11">
        <f t="shared" si="32"/>
        <v>33768</v>
      </c>
      <c r="CA14" s="11">
        <f t="shared" si="33"/>
        <v>39919</v>
      </c>
      <c r="CB14" s="11">
        <f t="shared" si="34"/>
        <v>46070</v>
      </c>
      <c r="CC14" s="11">
        <f t="shared" si="35"/>
        <v>52221</v>
      </c>
      <c r="CD14" s="11">
        <f t="shared" si="36"/>
        <v>58372</v>
      </c>
      <c r="CE14" s="11">
        <f t="shared" si="37"/>
        <v>47593</v>
      </c>
      <c r="CF14" s="11">
        <f t="shared" si="38"/>
        <v>51164</v>
      </c>
      <c r="CG14" s="11">
        <f t="shared" si="39"/>
        <v>54735</v>
      </c>
      <c r="CH14" s="11">
        <f t="shared" si="40"/>
        <v>58306</v>
      </c>
      <c r="CI14" s="11">
        <f t="shared" si="41"/>
        <v>61877</v>
      </c>
      <c r="CJ14" s="11">
        <f t="shared" si="42"/>
        <v>65448</v>
      </c>
      <c r="CK14" s="11">
        <f t="shared" si="43"/>
        <v>69019</v>
      </c>
      <c r="CL14" s="11">
        <f t="shared" si="44"/>
        <v>72590</v>
      </c>
      <c r="CM14" s="11">
        <f t="shared" si="45"/>
        <v>76161</v>
      </c>
      <c r="CN14" s="11">
        <f t="shared" si="46"/>
        <v>79732</v>
      </c>
      <c r="CO14" s="11">
        <f t="shared" si="47"/>
        <v>83303</v>
      </c>
      <c r="CP14" s="11">
        <f t="shared" si="48"/>
        <v>86874</v>
      </c>
      <c r="CQ14" s="11">
        <f t="shared" si="49"/>
        <v>90445</v>
      </c>
      <c r="CR14" s="11">
        <f t="shared" si="50"/>
        <v>94016</v>
      </c>
      <c r="CS14" s="11">
        <f t="shared" si="51"/>
        <v>97587</v>
      </c>
      <c r="CT14" s="11">
        <f t="shared" si="52"/>
        <v>1155</v>
      </c>
      <c r="CU14" s="11">
        <f t="shared" si="53"/>
        <v>1392</v>
      </c>
      <c r="CV14" s="11">
        <f t="shared" si="54"/>
        <v>5833</v>
      </c>
      <c r="CW14" s="11">
        <f t="shared" si="55"/>
        <v>10274</v>
      </c>
      <c r="CX14" s="11">
        <f t="shared" si="56"/>
        <v>14715</v>
      </c>
      <c r="CY14" s="11">
        <f t="shared" si="57"/>
        <v>19156</v>
      </c>
      <c r="CZ14" s="11">
        <f t="shared" si="58"/>
        <v>23597</v>
      </c>
      <c r="DA14" s="11">
        <f t="shared" si="59"/>
        <v>28038</v>
      </c>
      <c r="DB14" s="11">
        <f t="shared" si="60"/>
        <v>32479</v>
      </c>
      <c r="DC14" s="11">
        <f t="shared" si="61"/>
        <v>36920</v>
      </c>
      <c r="DD14" s="11">
        <f t="shared" si="62"/>
        <v>41361</v>
      </c>
      <c r="DE14" s="11">
        <f t="shared" si="63"/>
        <v>45802</v>
      </c>
      <c r="DF14" s="11">
        <f t="shared" si="64"/>
        <v>50243</v>
      </c>
      <c r="DG14" s="11">
        <f t="shared" si="65"/>
        <v>54684</v>
      </c>
      <c r="DH14" s="11">
        <f t="shared" si="66"/>
        <v>59125</v>
      </c>
      <c r="DI14" s="11">
        <f t="shared" si="67"/>
        <v>63566</v>
      </c>
      <c r="DJ14" s="11">
        <f t="shared" si="68"/>
        <v>68007</v>
      </c>
      <c r="DK14" s="11">
        <f t="shared" si="69"/>
        <v>33728</v>
      </c>
      <c r="DL14" s="11">
        <f t="shared" si="70"/>
        <v>35817</v>
      </c>
      <c r="DM14" s="11">
        <f t="shared" si="71"/>
        <v>37906</v>
      </c>
      <c r="DN14" s="11" t="str">
        <f t="shared" si="72"/>
        <v>Пространственные и природно-географические ресурсы</v>
      </c>
      <c r="DO14" s="11" t="str">
        <f t="shared" si="73"/>
        <v>Мощности производства полупроводников</v>
      </c>
      <c r="DP14" s="11" t="str">
        <f t="shared" si="74"/>
        <v>Вычислительные компоненты</v>
      </c>
      <c r="DQ14" s="11" t="str">
        <f t="shared" si="75"/>
        <v>Производство</v>
      </c>
      <c r="DR14" s="11" t="str">
        <f t="shared" si="76"/>
        <v>Управление</v>
      </c>
      <c r="DS14" s="11" t="str">
        <f t="shared" si="77"/>
        <v>Познание</v>
      </c>
      <c r="DT14" s="11" t="str">
        <f t="shared" si="78"/>
        <v>Индонезия</v>
      </c>
      <c r="DU14" s="11" t="str">
        <f t="shared" si="79"/>
        <v>Россия</v>
      </c>
      <c r="DV14" s="11" t="str">
        <f t="shared" si="80"/>
        <v>США</v>
      </c>
      <c r="DW14" s="11" t="str">
        <f t="shared" si="81"/>
        <v>Ресурсный</v>
      </c>
      <c r="DX14" s="11" t="str">
        <f t="shared" si="82"/>
        <v>Общественный</v>
      </c>
      <c r="DY14" s="11" t="str">
        <f t="shared" si="83"/>
        <v>Дипломатический</v>
      </c>
      <c r="DZ14" s="11" t="str">
        <f t="shared" si="84"/>
        <v>Энергетические ресурсы</v>
      </c>
      <c r="EA14" s="11" t="str">
        <f t="shared" si="85"/>
        <v>Война</v>
      </c>
      <c r="EB14" s="11" t="str">
        <f t="shared" si="86"/>
        <v>Россия</v>
      </c>
      <c r="EC14" s="11">
        <f t="shared" ref="EC14:EE14" si="109">IF(OR($B14="",$C14=""),0,IF(AND(EG14&gt;=5,EG14&gt;=5*EJ14),3,IF(AND(EJ14&gt;=5,EJ14&gt;=5*EG14),3,IF(AND(EG14&gt;=5,EG14&gt;=3*EJ14),2,IF(AND(EJ14&gt;=5,EJ14&gt;=3*EG14),2,IF(AND(EG14&gt;=5,EG14&gt;=2*EJ14),1,IF(AND(EJ14&gt;=5,EJ14&gt;=2*EG14),1,0)))))))</f>
        <v>0</v>
      </c>
      <c r="ED14" s="11">
        <f t="shared" si="109"/>
        <v>0</v>
      </c>
      <c r="EE14" s="11">
        <f t="shared" si="109"/>
        <v>0</v>
      </c>
      <c r="EF14" s="11">
        <f t="shared" si="88"/>
        <v>0</v>
      </c>
      <c r="EG14" s="11" t="str">
        <f t="shared" si="89"/>
        <v/>
      </c>
      <c r="EH14" s="11" t="str">
        <f t="shared" si="90"/>
        <v/>
      </c>
      <c r="EI14" s="11" t="str">
        <f t="shared" si="91"/>
        <v/>
      </c>
      <c r="EJ14" s="11" t="str">
        <f t="shared" si="92"/>
        <v/>
      </c>
      <c r="EK14" s="11" t="str">
        <f t="shared" si="93"/>
        <v/>
      </c>
      <c r="EL14" s="11" t="str">
        <f t="shared" si="94"/>
        <v/>
      </c>
      <c r="EM14" s="11" t="str">
        <f t="shared" si="95"/>
        <v/>
      </c>
      <c r="EN14" s="11" t="str">
        <f t="shared" si="96"/>
        <v/>
      </c>
      <c r="EO14" s="11" t="str">
        <f t="shared" si="97"/>
        <v/>
      </c>
      <c r="EP14" s="11" t="str">
        <f t="shared" si="98"/>
        <v/>
      </c>
      <c r="EQ14" s="11" t="str">
        <f t="shared" si="99"/>
        <v/>
      </c>
      <c r="ER14" s="11" t="str">
        <f t="shared" si="100"/>
        <v/>
      </c>
      <c r="ES14" s="11" t="str">
        <f t="shared" si="101"/>
        <v/>
      </c>
    </row>
    <row r="15" ht="52.5" customHeight="1">
      <c r="A15" s="55"/>
      <c r="B15" s="42"/>
      <c r="C15" s="42"/>
      <c r="D15" s="42"/>
      <c r="E15" s="42"/>
      <c r="F15" s="42"/>
      <c r="G15" s="56"/>
      <c r="H15" s="56"/>
      <c r="I15" s="56"/>
      <c r="J15" s="42"/>
      <c r="K15" s="42"/>
      <c r="L15" s="42"/>
      <c r="M15" s="56"/>
      <c r="N15" s="56"/>
      <c r="O15" s="56"/>
      <c r="P15" s="57" t="str">
        <f t="shared" si="2"/>
        <v/>
      </c>
      <c r="Q15" s="57" t="str">
        <f t="shared" si="3"/>
        <v/>
      </c>
      <c r="R15" s="58" t="str">
        <f t="shared" si="4"/>
        <v/>
      </c>
      <c r="S15" s="58" t="str">
        <f t="shared" si="5"/>
        <v/>
      </c>
      <c r="T15" s="58" t="str">
        <f t="shared" si="6"/>
        <v/>
      </c>
      <c r="U15" s="59" t="str">
        <f t="shared" si="7"/>
        <v/>
      </c>
      <c r="V15" s="59" t="str">
        <f t="shared" si="8"/>
        <v/>
      </c>
      <c r="W15" s="59" t="str">
        <f t="shared" si="9"/>
        <v/>
      </c>
      <c r="X15" s="60"/>
      <c r="Y15" s="61" t="str">
        <f t="shared" si="10"/>
        <v/>
      </c>
      <c r="Z15" s="61" t="str">
        <f t="shared" si="11"/>
        <v/>
      </c>
      <c r="AA15" s="61" t="str">
        <f t="shared" si="12"/>
        <v/>
      </c>
      <c r="AB15" s="61" t="str">
        <f t="shared" si="13"/>
        <v>Нет локального эффекта</v>
      </c>
      <c r="AC15" s="61" t="str">
        <f t="shared" si="14"/>
        <v/>
      </c>
      <c r="AD15" s="61" t="str">
        <f t="shared" si="15"/>
        <v>Нет локального эффекта</v>
      </c>
      <c r="AE15" s="61" t="str">
        <f t="shared" si="16"/>
        <v/>
      </c>
      <c r="AF15" s="61" t="str">
        <f t="shared" si="17"/>
        <v>Нет локального эффекта</v>
      </c>
      <c r="AG15" s="61" t="str">
        <f t="shared" si="18"/>
        <v/>
      </c>
      <c r="AH15" s="62" t="str">
        <f>IF($B15="","","Общий итог: "&amp;IF($Y15="","ожидает D70",$Y15&amp;IF($Z15="—",""," — "&amp;$Z15))&amp;". Арес: "&amp;$AA15&amp;". "&amp;$AB15&amp;" Афина: "&amp;$AC15&amp;". "&amp;$AD15&amp;" Аполлон: "&amp;$AE15&amp;". "&amp;$AF15&amp;IF($AG15="",""," Общий эффект: "&amp;$AG15))</f>
        <v/>
      </c>
      <c r="BA15" s="11" t="s">
        <v>387</v>
      </c>
      <c r="BD15" s="11" t="s">
        <v>148</v>
      </c>
      <c r="BF15" s="11">
        <v>7.14117652E8</v>
      </c>
      <c r="BG15" s="11">
        <v>8.00765214E8</v>
      </c>
      <c r="BH15" s="11">
        <v>9.73487422E8</v>
      </c>
      <c r="BI15" s="11">
        <v>9.26761707E8</v>
      </c>
      <c r="BJ15" s="11">
        <v>9.45543482E8</v>
      </c>
      <c r="BK15" s="11">
        <v>1.3447769E7</v>
      </c>
      <c r="BL15" s="11">
        <v>1.23880874E8</v>
      </c>
      <c r="BM15" s="11">
        <f t="shared" si="19"/>
        <v>4148</v>
      </c>
      <c r="BN15" s="11">
        <f t="shared" si="20"/>
        <v>12067</v>
      </c>
      <c r="BO15" s="11">
        <f t="shared" si="21"/>
        <v>19986</v>
      </c>
      <c r="BP15" s="11">
        <f t="shared" si="22"/>
        <v>27905</v>
      </c>
      <c r="BQ15" s="11">
        <f t="shared" si="23"/>
        <v>35824</v>
      </c>
      <c r="BR15" s="11">
        <f t="shared" si="24"/>
        <v>43743</v>
      </c>
      <c r="BS15" s="11">
        <f t="shared" si="25"/>
        <v>51662</v>
      </c>
      <c r="BT15" s="11">
        <f t="shared" si="26"/>
        <v>59581</v>
      </c>
      <c r="BU15" s="11">
        <f t="shared" si="27"/>
        <v>67500</v>
      </c>
      <c r="BV15" s="11">
        <f t="shared" si="28"/>
        <v>75419</v>
      </c>
      <c r="BW15" s="11">
        <f t="shared" si="29"/>
        <v>47344</v>
      </c>
      <c r="BX15" s="11">
        <f t="shared" si="30"/>
        <v>53495</v>
      </c>
      <c r="BY15" s="11">
        <f t="shared" si="31"/>
        <v>59646</v>
      </c>
      <c r="BZ15" s="11">
        <f t="shared" si="32"/>
        <v>65797</v>
      </c>
      <c r="CA15" s="11">
        <f t="shared" si="33"/>
        <v>71948</v>
      </c>
      <c r="CB15" s="11">
        <f t="shared" si="34"/>
        <v>78099</v>
      </c>
      <c r="CC15" s="11">
        <f t="shared" si="35"/>
        <v>84250</v>
      </c>
      <c r="CD15" s="11">
        <f t="shared" si="36"/>
        <v>90401</v>
      </c>
      <c r="CE15" s="11">
        <f t="shared" si="37"/>
        <v>61791</v>
      </c>
      <c r="CF15" s="11">
        <f t="shared" si="38"/>
        <v>65362</v>
      </c>
      <c r="CG15" s="11">
        <f t="shared" si="39"/>
        <v>68933</v>
      </c>
      <c r="CH15" s="11">
        <f t="shared" si="40"/>
        <v>72504</v>
      </c>
      <c r="CI15" s="11">
        <f t="shared" si="41"/>
        <v>76075</v>
      </c>
      <c r="CJ15" s="11">
        <f t="shared" si="42"/>
        <v>79646</v>
      </c>
      <c r="CK15" s="11">
        <f t="shared" si="43"/>
        <v>83217</v>
      </c>
      <c r="CL15" s="11">
        <f t="shared" si="44"/>
        <v>86788</v>
      </c>
      <c r="CM15" s="11">
        <f t="shared" si="45"/>
        <v>90359</v>
      </c>
      <c r="CN15" s="11">
        <f t="shared" si="46"/>
        <v>93930</v>
      </c>
      <c r="CO15" s="11">
        <f t="shared" si="47"/>
        <v>97501</v>
      </c>
      <c r="CP15" s="11">
        <f t="shared" si="48"/>
        <v>1069</v>
      </c>
      <c r="CQ15" s="11">
        <f t="shared" si="49"/>
        <v>4640</v>
      </c>
      <c r="CR15" s="11">
        <f t="shared" si="50"/>
        <v>8211</v>
      </c>
      <c r="CS15" s="11">
        <f t="shared" si="51"/>
        <v>11782</v>
      </c>
      <c r="CT15" s="11">
        <f t="shared" si="52"/>
        <v>15353</v>
      </c>
      <c r="CU15" s="11">
        <f t="shared" si="53"/>
        <v>51808</v>
      </c>
      <c r="CV15" s="11">
        <f t="shared" si="54"/>
        <v>56249</v>
      </c>
      <c r="CW15" s="11">
        <f t="shared" si="55"/>
        <v>60690</v>
      </c>
      <c r="CX15" s="11">
        <f t="shared" si="56"/>
        <v>65131</v>
      </c>
      <c r="CY15" s="11">
        <f t="shared" si="57"/>
        <v>69572</v>
      </c>
      <c r="CZ15" s="11">
        <f t="shared" si="58"/>
        <v>74013</v>
      </c>
      <c r="DA15" s="11">
        <f t="shared" si="59"/>
        <v>78454</v>
      </c>
      <c r="DB15" s="11">
        <f t="shared" si="60"/>
        <v>82895</v>
      </c>
      <c r="DC15" s="11">
        <f t="shared" si="61"/>
        <v>87336</v>
      </c>
      <c r="DD15" s="11">
        <f t="shared" si="62"/>
        <v>91777</v>
      </c>
      <c r="DE15" s="11">
        <f t="shared" si="63"/>
        <v>96218</v>
      </c>
      <c r="DF15" s="11">
        <f t="shared" si="64"/>
        <v>656</v>
      </c>
      <c r="DG15" s="11">
        <f t="shared" si="65"/>
        <v>5097</v>
      </c>
      <c r="DH15" s="11">
        <f t="shared" si="66"/>
        <v>9538</v>
      </c>
      <c r="DI15" s="11">
        <f t="shared" si="67"/>
        <v>13979</v>
      </c>
      <c r="DJ15" s="11">
        <f t="shared" si="68"/>
        <v>18420</v>
      </c>
      <c r="DK15" s="11">
        <f t="shared" si="69"/>
        <v>79249</v>
      </c>
      <c r="DL15" s="11">
        <f t="shared" si="70"/>
        <v>81338</v>
      </c>
      <c r="DM15" s="11">
        <f t="shared" si="71"/>
        <v>83427</v>
      </c>
      <c r="DN15" s="11" t="str">
        <f t="shared" si="72"/>
        <v>Минерально-сырьевые ресурсы</v>
      </c>
      <c r="DO15" s="11" t="str">
        <f t="shared" si="73"/>
        <v>Химические и технологические материалы</v>
      </c>
      <c r="DP15" s="11" t="str">
        <f t="shared" si="74"/>
        <v>Энергетические ресурсы</v>
      </c>
      <c r="DQ15" s="11" t="str">
        <f t="shared" si="75"/>
        <v>Производство</v>
      </c>
      <c r="DR15" s="11" t="str">
        <f t="shared" si="76"/>
        <v>Управление</v>
      </c>
      <c r="DS15" s="11" t="str">
        <f t="shared" si="77"/>
        <v>Познание</v>
      </c>
      <c r="DT15" s="11" t="str">
        <f t="shared" si="78"/>
        <v>Иран</v>
      </c>
      <c r="DU15" s="11" t="str">
        <f t="shared" si="79"/>
        <v>Израиль</v>
      </c>
      <c r="DV15" s="11" t="str">
        <f t="shared" si="80"/>
        <v>Бразилия</v>
      </c>
      <c r="DW15" s="11" t="str">
        <f t="shared" si="81"/>
        <v>Ресурсный</v>
      </c>
      <c r="DX15" s="11" t="str">
        <f t="shared" si="82"/>
        <v>Общественный</v>
      </c>
      <c r="DY15" s="11" t="str">
        <f t="shared" si="83"/>
        <v>Дипломатический</v>
      </c>
      <c r="DZ15" s="11" t="str">
        <f t="shared" si="84"/>
        <v>Социальное доверие</v>
      </c>
      <c r="EA15" s="11" t="str">
        <f t="shared" si="85"/>
        <v>Познание</v>
      </c>
      <c r="EB15" s="11" t="str">
        <f t="shared" si="86"/>
        <v>Иран</v>
      </c>
      <c r="EC15" s="11">
        <f t="shared" ref="EC15:EE15" si="110">IF(OR($B15="",$C15=""),0,IF(AND(EG15&gt;=5,EG15&gt;=5*EJ15),3,IF(AND(EJ15&gt;=5,EJ15&gt;=5*EG15),3,IF(AND(EG15&gt;=5,EG15&gt;=3*EJ15),2,IF(AND(EJ15&gt;=5,EJ15&gt;=3*EG15),2,IF(AND(EG15&gt;=5,EG15&gt;=2*EJ15),1,IF(AND(EJ15&gt;=5,EJ15&gt;=2*EG15),1,0)))))))</f>
        <v>0</v>
      </c>
      <c r="ED15" s="11">
        <f t="shared" si="110"/>
        <v>0</v>
      </c>
      <c r="EE15" s="11">
        <f t="shared" si="110"/>
        <v>0</v>
      </c>
      <c r="EF15" s="11">
        <f t="shared" si="88"/>
        <v>0</v>
      </c>
      <c r="EG15" s="11" t="str">
        <f t="shared" si="89"/>
        <v/>
      </c>
      <c r="EH15" s="11" t="str">
        <f t="shared" si="90"/>
        <v/>
      </c>
      <c r="EI15" s="11" t="str">
        <f t="shared" si="91"/>
        <v/>
      </c>
      <c r="EJ15" s="11" t="str">
        <f t="shared" si="92"/>
        <v/>
      </c>
      <c r="EK15" s="11" t="str">
        <f t="shared" si="93"/>
        <v/>
      </c>
      <c r="EL15" s="11" t="str">
        <f t="shared" si="94"/>
        <v/>
      </c>
      <c r="EM15" s="11" t="str">
        <f t="shared" si="95"/>
        <v/>
      </c>
      <c r="EN15" s="11" t="str">
        <f t="shared" si="96"/>
        <v/>
      </c>
      <c r="EO15" s="11" t="str">
        <f t="shared" si="97"/>
        <v/>
      </c>
      <c r="EP15" s="11" t="str">
        <f t="shared" si="98"/>
        <v/>
      </c>
      <c r="EQ15" s="11" t="str">
        <f t="shared" si="99"/>
        <v/>
      </c>
      <c r="ER15" s="11" t="str">
        <f t="shared" si="100"/>
        <v/>
      </c>
      <c r="ES15" s="11" t="str">
        <f t="shared" si="101"/>
        <v/>
      </c>
    </row>
    <row r="16" ht="52.5" customHeight="1">
      <c r="A16" s="55"/>
      <c r="B16" s="42"/>
      <c r="C16" s="42"/>
      <c r="D16" s="42"/>
      <c r="E16" s="42"/>
      <c r="F16" s="42"/>
      <c r="G16" s="56"/>
      <c r="H16" s="56"/>
      <c r="I16" s="56"/>
      <c r="J16" s="42"/>
      <c r="K16" s="42"/>
      <c r="L16" s="42"/>
      <c r="M16" s="56"/>
      <c r="N16" s="56"/>
      <c r="O16" s="56"/>
      <c r="P16" s="57" t="str">
        <f t="shared" si="2"/>
        <v/>
      </c>
      <c r="Q16" s="57" t="str">
        <f t="shared" si="3"/>
        <v/>
      </c>
      <c r="R16" s="58" t="str">
        <f t="shared" si="4"/>
        <v/>
      </c>
      <c r="S16" s="58" t="str">
        <f t="shared" si="5"/>
        <v/>
      </c>
      <c r="T16" s="58" t="str">
        <f t="shared" si="6"/>
        <v/>
      </c>
      <c r="U16" s="59" t="str">
        <f t="shared" si="7"/>
        <v/>
      </c>
      <c r="V16" s="59" t="str">
        <f t="shared" si="8"/>
        <v/>
      </c>
      <c r="W16" s="59" t="str">
        <f t="shared" si="9"/>
        <v/>
      </c>
      <c r="X16" s="60"/>
      <c r="Y16" s="61" t="str">
        <f t="shared" si="10"/>
        <v/>
      </c>
      <c r="Z16" s="61" t="str">
        <f t="shared" si="11"/>
        <v/>
      </c>
      <c r="AA16" s="61" t="str">
        <f t="shared" si="12"/>
        <v/>
      </c>
      <c r="AB16" s="61" t="str">
        <f t="shared" si="13"/>
        <v>Нет локального эффекта</v>
      </c>
      <c r="AC16" s="61" t="str">
        <f t="shared" si="14"/>
        <v/>
      </c>
      <c r="AD16" s="61" t="str">
        <f t="shared" si="15"/>
        <v>Нет локального эффекта</v>
      </c>
      <c r="AE16" s="61" t="str">
        <f t="shared" si="16"/>
        <v/>
      </c>
      <c r="AF16" s="61" t="str">
        <f t="shared" si="17"/>
        <v>Нет локального эффекта</v>
      </c>
      <c r="AG16" s="61" t="str">
        <f t="shared" si="18"/>
        <v/>
      </c>
      <c r="AH16" s="62" t="str">
        <f>IF($B16="","","Общий итог: "&amp;IF($Y16="","ожидает D71",$Y16&amp;IF($Z16="—",""," — "&amp;$Z16))&amp;". Арес: "&amp;$AA16&amp;". "&amp;$AB16&amp;" Афина: "&amp;$AC16&amp;". "&amp;$AD16&amp;" Аполлон: "&amp;$AE16&amp;". "&amp;$AF16&amp;IF($AG16="",""," Общий эффект: "&amp;$AG16))</f>
        <v/>
      </c>
      <c r="BA16" s="11" t="s">
        <v>388</v>
      </c>
      <c r="BD16" s="11" t="s">
        <v>151</v>
      </c>
      <c r="BF16" s="11">
        <v>8.0951582E7</v>
      </c>
      <c r="BG16" s="11">
        <v>3.31046833E8</v>
      </c>
      <c r="BH16" s="11">
        <v>1.26502441E8</v>
      </c>
      <c r="BI16" s="11">
        <v>6.35141511E8</v>
      </c>
      <c r="BJ16" s="11">
        <v>2.14185668E8</v>
      </c>
      <c r="BK16" s="11">
        <v>9.48841162E8</v>
      </c>
      <c r="BL16" s="11">
        <v>4.4097628E7</v>
      </c>
      <c r="BM16" s="11">
        <f t="shared" si="19"/>
        <v>57074</v>
      </c>
      <c r="BN16" s="11">
        <f t="shared" si="20"/>
        <v>64993</v>
      </c>
      <c r="BO16" s="11">
        <f t="shared" si="21"/>
        <v>72912</v>
      </c>
      <c r="BP16" s="11">
        <f t="shared" si="22"/>
        <v>80831</v>
      </c>
      <c r="BQ16" s="11">
        <f t="shared" si="23"/>
        <v>88750</v>
      </c>
      <c r="BR16" s="11">
        <f t="shared" si="24"/>
        <v>96669</v>
      </c>
      <c r="BS16" s="11">
        <f t="shared" si="25"/>
        <v>4585</v>
      </c>
      <c r="BT16" s="11">
        <f t="shared" si="26"/>
        <v>12504</v>
      </c>
      <c r="BU16" s="11">
        <f t="shared" si="27"/>
        <v>20423</v>
      </c>
      <c r="BV16" s="11">
        <f t="shared" si="28"/>
        <v>28342</v>
      </c>
      <c r="BW16" s="11">
        <f t="shared" si="29"/>
        <v>43054</v>
      </c>
      <c r="BX16" s="11">
        <f t="shared" si="30"/>
        <v>49205</v>
      </c>
      <c r="BY16" s="11">
        <f t="shared" si="31"/>
        <v>55356</v>
      </c>
      <c r="BZ16" s="11">
        <f t="shared" si="32"/>
        <v>61507</v>
      </c>
      <c r="CA16" s="11">
        <f t="shared" si="33"/>
        <v>67658</v>
      </c>
      <c r="CB16" s="11">
        <f t="shared" si="34"/>
        <v>73809</v>
      </c>
      <c r="CC16" s="11">
        <f t="shared" si="35"/>
        <v>79960</v>
      </c>
      <c r="CD16" s="11">
        <f t="shared" si="36"/>
        <v>86111</v>
      </c>
      <c r="CE16" s="11">
        <f t="shared" si="37"/>
        <v>2217</v>
      </c>
      <c r="CF16" s="11">
        <f t="shared" si="38"/>
        <v>5788</v>
      </c>
      <c r="CG16" s="11">
        <f t="shared" si="39"/>
        <v>9359</v>
      </c>
      <c r="CH16" s="11">
        <f t="shared" si="40"/>
        <v>12930</v>
      </c>
      <c r="CI16" s="11">
        <f t="shared" si="41"/>
        <v>16501</v>
      </c>
      <c r="CJ16" s="11">
        <f t="shared" si="42"/>
        <v>20072</v>
      </c>
      <c r="CK16" s="11">
        <f t="shared" si="43"/>
        <v>23643</v>
      </c>
      <c r="CL16" s="11">
        <f t="shared" si="44"/>
        <v>27214</v>
      </c>
      <c r="CM16" s="11">
        <f t="shared" si="45"/>
        <v>30785</v>
      </c>
      <c r="CN16" s="11">
        <f t="shared" si="46"/>
        <v>34356</v>
      </c>
      <c r="CO16" s="11">
        <f t="shared" si="47"/>
        <v>37927</v>
      </c>
      <c r="CP16" s="11">
        <f t="shared" si="48"/>
        <v>41498</v>
      </c>
      <c r="CQ16" s="11">
        <f t="shared" si="49"/>
        <v>45069</v>
      </c>
      <c r="CR16" s="11">
        <f t="shared" si="50"/>
        <v>48640</v>
      </c>
      <c r="CS16" s="11">
        <f t="shared" si="51"/>
        <v>52211</v>
      </c>
      <c r="CT16" s="11">
        <f t="shared" si="52"/>
        <v>55782</v>
      </c>
      <c r="CU16" s="11">
        <f t="shared" si="53"/>
        <v>17139</v>
      </c>
      <c r="CV16" s="11">
        <f t="shared" si="54"/>
        <v>21580</v>
      </c>
      <c r="CW16" s="11">
        <f t="shared" si="55"/>
        <v>26021</v>
      </c>
      <c r="CX16" s="11">
        <f t="shared" si="56"/>
        <v>30462</v>
      </c>
      <c r="CY16" s="11">
        <f t="shared" si="57"/>
        <v>34903</v>
      </c>
      <c r="CZ16" s="11">
        <f t="shared" si="58"/>
        <v>39344</v>
      </c>
      <c r="DA16" s="11">
        <f t="shared" si="59"/>
        <v>43785</v>
      </c>
      <c r="DB16" s="11">
        <f t="shared" si="60"/>
        <v>48226</v>
      </c>
      <c r="DC16" s="11">
        <f t="shared" si="61"/>
        <v>52667</v>
      </c>
      <c r="DD16" s="11">
        <f t="shared" si="62"/>
        <v>57108</v>
      </c>
      <c r="DE16" s="11">
        <f t="shared" si="63"/>
        <v>61549</v>
      </c>
      <c r="DF16" s="11">
        <f t="shared" si="64"/>
        <v>65990</v>
      </c>
      <c r="DG16" s="11">
        <f t="shared" si="65"/>
        <v>70431</v>
      </c>
      <c r="DH16" s="11">
        <f t="shared" si="66"/>
        <v>74872</v>
      </c>
      <c r="DI16" s="11">
        <f t="shared" si="67"/>
        <v>79313</v>
      </c>
      <c r="DJ16" s="11">
        <f t="shared" si="68"/>
        <v>83754</v>
      </c>
      <c r="DK16" s="11">
        <f t="shared" si="69"/>
        <v>98397</v>
      </c>
      <c r="DL16" s="11">
        <f t="shared" si="70"/>
        <v>483</v>
      </c>
      <c r="DM16" s="11">
        <f t="shared" si="71"/>
        <v>2572</v>
      </c>
      <c r="DN16" s="11" t="str">
        <f t="shared" si="72"/>
        <v>Вычислительные компоненты</v>
      </c>
      <c r="DO16" s="11" t="str">
        <f t="shared" si="73"/>
        <v>ЦОД и вычислительная инфраструктура</v>
      </c>
      <c r="DP16" s="11" t="str">
        <f t="shared" si="74"/>
        <v>Сетевые ресурсы</v>
      </c>
      <c r="DQ16" s="11" t="str">
        <f t="shared" si="75"/>
        <v>Производство</v>
      </c>
      <c r="DR16" s="11" t="str">
        <f t="shared" si="76"/>
        <v>Управление</v>
      </c>
      <c r="DS16" s="11" t="str">
        <f t="shared" si="77"/>
        <v>Познание</v>
      </c>
      <c r="DT16" s="11" t="str">
        <f t="shared" si="78"/>
        <v>Россия</v>
      </c>
      <c r="DU16" s="11" t="str">
        <f t="shared" si="79"/>
        <v>США</v>
      </c>
      <c r="DV16" s="11" t="str">
        <f t="shared" si="80"/>
        <v>Китай</v>
      </c>
      <c r="DW16" s="11" t="str">
        <f t="shared" si="81"/>
        <v>Общественный</v>
      </c>
      <c r="DX16" s="11" t="str">
        <f t="shared" si="82"/>
        <v>Дипломатический</v>
      </c>
      <c r="DY16" s="11" t="str">
        <f t="shared" si="83"/>
        <v>Ресурсный</v>
      </c>
      <c r="DZ16" s="11" t="str">
        <f t="shared" si="84"/>
        <v>Конкурентная и торговая среда</v>
      </c>
      <c r="EA16" s="11" t="str">
        <f t="shared" si="85"/>
        <v>Война</v>
      </c>
      <c r="EB16" s="11" t="str">
        <f t="shared" si="86"/>
        <v>Россия</v>
      </c>
      <c r="EC16" s="11">
        <f t="shared" ref="EC16:EE16" si="111">IF(OR($B16="",$C16=""),0,IF(AND(EG16&gt;=5,EG16&gt;=5*EJ16),3,IF(AND(EJ16&gt;=5,EJ16&gt;=5*EG16),3,IF(AND(EG16&gt;=5,EG16&gt;=3*EJ16),2,IF(AND(EJ16&gt;=5,EJ16&gt;=3*EG16),2,IF(AND(EG16&gt;=5,EG16&gt;=2*EJ16),1,IF(AND(EJ16&gt;=5,EJ16&gt;=2*EG16),1,0)))))))</f>
        <v>0</v>
      </c>
      <c r="ED16" s="11">
        <f t="shared" si="111"/>
        <v>0</v>
      </c>
      <c r="EE16" s="11">
        <f t="shared" si="111"/>
        <v>0</v>
      </c>
      <c r="EF16" s="11">
        <f t="shared" si="88"/>
        <v>0</v>
      </c>
      <c r="EG16" s="11" t="str">
        <f t="shared" si="89"/>
        <v/>
      </c>
      <c r="EH16" s="11" t="str">
        <f t="shared" si="90"/>
        <v/>
      </c>
      <c r="EI16" s="11" t="str">
        <f t="shared" si="91"/>
        <v/>
      </c>
      <c r="EJ16" s="11" t="str">
        <f t="shared" si="92"/>
        <v/>
      </c>
      <c r="EK16" s="11" t="str">
        <f t="shared" si="93"/>
        <v/>
      </c>
      <c r="EL16" s="11" t="str">
        <f t="shared" si="94"/>
        <v/>
      </c>
      <c r="EM16" s="11" t="str">
        <f t="shared" si="95"/>
        <v/>
      </c>
      <c r="EN16" s="11" t="str">
        <f t="shared" si="96"/>
        <v/>
      </c>
      <c r="EO16" s="11" t="str">
        <f t="shared" si="97"/>
        <v/>
      </c>
      <c r="EP16" s="11" t="str">
        <f t="shared" si="98"/>
        <v/>
      </c>
      <c r="EQ16" s="11" t="str">
        <f t="shared" si="99"/>
        <v/>
      </c>
      <c r="ER16" s="11" t="str">
        <f t="shared" si="100"/>
        <v/>
      </c>
      <c r="ES16" s="11" t="str">
        <f t="shared" si="101"/>
        <v/>
      </c>
    </row>
    <row r="17" ht="52.5" customHeight="1">
      <c r="A17" s="55"/>
      <c r="B17" s="42"/>
      <c r="C17" s="42"/>
      <c r="D17" s="42"/>
      <c r="E17" s="42"/>
      <c r="F17" s="42"/>
      <c r="G17" s="56"/>
      <c r="H17" s="56"/>
      <c r="I17" s="56"/>
      <c r="J17" s="42"/>
      <c r="K17" s="42"/>
      <c r="L17" s="42"/>
      <c r="M17" s="56"/>
      <c r="N17" s="56"/>
      <c r="O17" s="56"/>
      <c r="P17" s="57" t="str">
        <f t="shared" si="2"/>
        <v/>
      </c>
      <c r="Q17" s="57" t="str">
        <f t="shared" si="3"/>
        <v/>
      </c>
      <c r="R17" s="58" t="str">
        <f t="shared" si="4"/>
        <v/>
      </c>
      <c r="S17" s="58" t="str">
        <f t="shared" si="5"/>
        <v/>
      </c>
      <c r="T17" s="58" t="str">
        <f t="shared" si="6"/>
        <v/>
      </c>
      <c r="U17" s="59" t="str">
        <f t="shared" si="7"/>
        <v/>
      </c>
      <c r="V17" s="59" t="str">
        <f t="shared" si="8"/>
        <v/>
      </c>
      <c r="W17" s="59" t="str">
        <f t="shared" si="9"/>
        <v/>
      </c>
      <c r="X17" s="60"/>
      <c r="Y17" s="61" t="str">
        <f t="shared" si="10"/>
        <v/>
      </c>
      <c r="Z17" s="61" t="str">
        <f t="shared" si="11"/>
        <v/>
      </c>
      <c r="AA17" s="61" t="str">
        <f t="shared" si="12"/>
        <v/>
      </c>
      <c r="AB17" s="61" t="str">
        <f t="shared" si="13"/>
        <v>Нет локального эффекта</v>
      </c>
      <c r="AC17" s="61" t="str">
        <f t="shared" si="14"/>
        <v/>
      </c>
      <c r="AD17" s="61" t="str">
        <f t="shared" si="15"/>
        <v>Нет локального эффекта</v>
      </c>
      <c r="AE17" s="61" t="str">
        <f t="shared" si="16"/>
        <v/>
      </c>
      <c r="AF17" s="61" t="str">
        <f t="shared" si="17"/>
        <v>Нет локального эффекта</v>
      </c>
      <c r="AG17" s="61" t="str">
        <f t="shared" si="18"/>
        <v/>
      </c>
      <c r="AH17" s="62" t="str">
        <f>IF($B17="","","Общий итог: "&amp;IF($Y17="","ожидает D72",$Y17&amp;IF($Z17="—",""," — "&amp;$Z17))&amp;". Арес: "&amp;$AA17&amp;". "&amp;$AB17&amp;" Афина: "&amp;$AC17&amp;". "&amp;$AD17&amp;" Аполлон: "&amp;$AE17&amp;". "&amp;$AF17&amp;IF($AG17="",""," Общий эффект: "&amp;$AG17))</f>
        <v/>
      </c>
      <c r="BA17" s="11" t="s">
        <v>389</v>
      </c>
      <c r="BD17" s="11" t="s">
        <v>174</v>
      </c>
      <c r="BF17" s="11">
        <v>6.61167423E8</v>
      </c>
      <c r="BG17" s="11">
        <v>8.1548542E8</v>
      </c>
      <c r="BH17" s="11">
        <v>446273.0</v>
      </c>
      <c r="BI17" s="11">
        <v>9.77411358E8</v>
      </c>
      <c r="BJ17" s="11">
        <v>9.95066209E8</v>
      </c>
      <c r="BK17" s="11">
        <v>1.29174629E8</v>
      </c>
      <c r="BL17" s="11">
        <v>1.74156138E8</v>
      </c>
      <c r="BM17" s="11">
        <f t="shared" si="19"/>
        <v>55509</v>
      </c>
      <c r="BN17" s="11">
        <f t="shared" si="20"/>
        <v>63428</v>
      </c>
      <c r="BO17" s="11">
        <f t="shared" si="21"/>
        <v>71347</v>
      </c>
      <c r="BP17" s="11">
        <f t="shared" si="22"/>
        <v>79266</v>
      </c>
      <c r="BQ17" s="11">
        <f t="shared" si="23"/>
        <v>87185</v>
      </c>
      <c r="BR17" s="11">
        <f t="shared" si="24"/>
        <v>95104</v>
      </c>
      <c r="BS17" s="11">
        <f t="shared" si="25"/>
        <v>3020</v>
      </c>
      <c r="BT17" s="11">
        <f t="shared" si="26"/>
        <v>10939</v>
      </c>
      <c r="BU17" s="11">
        <f t="shared" si="27"/>
        <v>18858</v>
      </c>
      <c r="BV17" s="11">
        <f t="shared" si="28"/>
        <v>26777</v>
      </c>
      <c r="BW17" s="11">
        <f t="shared" si="29"/>
        <v>67109</v>
      </c>
      <c r="BX17" s="11">
        <f t="shared" si="30"/>
        <v>73260</v>
      </c>
      <c r="BY17" s="11">
        <f t="shared" si="31"/>
        <v>79411</v>
      </c>
      <c r="BZ17" s="11">
        <f t="shared" si="32"/>
        <v>85562</v>
      </c>
      <c r="CA17" s="11">
        <f t="shared" si="33"/>
        <v>91713</v>
      </c>
      <c r="CB17" s="11">
        <f t="shared" si="34"/>
        <v>97864</v>
      </c>
      <c r="CC17" s="11">
        <f t="shared" si="35"/>
        <v>4012</v>
      </c>
      <c r="CD17" s="11">
        <f t="shared" si="36"/>
        <v>10163</v>
      </c>
      <c r="CE17" s="11">
        <f t="shared" si="37"/>
        <v>49832</v>
      </c>
      <c r="CF17" s="11">
        <f t="shared" si="38"/>
        <v>53403</v>
      </c>
      <c r="CG17" s="11">
        <f t="shared" si="39"/>
        <v>56974</v>
      </c>
      <c r="CH17" s="11">
        <f t="shared" si="40"/>
        <v>60545</v>
      </c>
      <c r="CI17" s="11">
        <f t="shared" si="41"/>
        <v>64116</v>
      </c>
      <c r="CJ17" s="11">
        <f t="shared" si="42"/>
        <v>67687</v>
      </c>
      <c r="CK17" s="11">
        <f t="shared" si="43"/>
        <v>71258</v>
      </c>
      <c r="CL17" s="11">
        <f t="shared" si="44"/>
        <v>74829</v>
      </c>
      <c r="CM17" s="11">
        <f t="shared" si="45"/>
        <v>78400</v>
      </c>
      <c r="CN17" s="11">
        <f t="shared" si="46"/>
        <v>81971</v>
      </c>
      <c r="CO17" s="11">
        <f t="shared" si="47"/>
        <v>85542</v>
      </c>
      <c r="CP17" s="11">
        <f t="shared" si="48"/>
        <v>89113</v>
      </c>
      <c r="CQ17" s="11">
        <f t="shared" si="49"/>
        <v>92684</v>
      </c>
      <c r="CR17" s="11">
        <f t="shared" si="50"/>
        <v>96255</v>
      </c>
      <c r="CS17" s="11">
        <f t="shared" si="51"/>
        <v>99826</v>
      </c>
      <c r="CT17" s="11">
        <f t="shared" si="52"/>
        <v>3394</v>
      </c>
      <c r="CU17" s="11">
        <f t="shared" si="53"/>
        <v>75197</v>
      </c>
      <c r="CV17" s="11">
        <f t="shared" si="54"/>
        <v>79638</v>
      </c>
      <c r="CW17" s="11">
        <f t="shared" si="55"/>
        <v>84079</v>
      </c>
      <c r="CX17" s="11">
        <f t="shared" si="56"/>
        <v>88520</v>
      </c>
      <c r="CY17" s="11">
        <f t="shared" si="57"/>
        <v>92961</v>
      </c>
      <c r="CZ17" s="11">
        <f t="shared" si="58"/>
        <v>97402</v>
      </c>
      <c r="DA17" s="11">
        <f t="shared" si="59"/>
        <v>1840</v>
      </c>
      <c r="DB17" s="11">
        <f t="shared" si="60"/>
        <v>6281</v>
      </c>
      <c r="DC17" s="11">
        <f t="shared" si="61"/>
        <v>10722</v>
      </c>
      <c r="DD17" s="11">
        <f t="shared" si="62"/>
        <v>15163</v>
      </c>
      <c r="DE17" s="11">
        <f t="shared" si="63"/>
        <v>19604</v>
      </c>
      <c r="DF17" s="11">
        <f t="shared" si="64"/>
        <v>24045</v>
      </c>
      <c r="DG17" s="11">
        <f t="shared" si="65"/>
        <v>28486</v>
      </c>
      <c r="DH17" s="11">
        <f t="shared" si="66"/>
        <v>32927</v>
      </c>
      <c r="DI17" s="11">
        <f t="shared" si="67"/>
        <v>37368</v>
      </c>
      <c r="DJ17" s="11">
        <f t="shared" si="68"/>
        <v>41809</v>
      </c>
      <c r="DK17" s="11">
        <f t="shared" si="69"/>
        <v>53004</v>
      </c>
      <c r="DL17" s="11">
        <f t="shared" si="70"/>
        <v>55093</v>
      </c>
      <c r="DM17" s="11">
        <f t="shared" si="71"/>
        <v>57182</v>
      </c>
      <c r="DN17" s="11" t="str">
        <f t="shared" si="72"/>
        <v>Вычислительные компоненты</v>
      </c>
      <c r="DO17" s="11" t="str">
        <f t="shared" si="73"/>
        <v>ЦОД и вычислительная инфраструктура</v>
      </c>
      <c r="DP17" s="11" t="str">
        <f t="shared" si="74"/>
        <v>Сетевые ресурсы</v>
      </c>
      <c r="DQ17" s="11" t="str">
        <f t="shared" si="75"/>
        <v>Государственное управление</v>
      </c>
      <c r="DR17" s="11" t="str">
        <f t="shared" si="76"/>
        <v>Принятие ИИ</v>
      </c>
      <c r="DS17" s="11" t="str">
        <f t="shared" si="77"/>
        <v>Производство</v>
      </c>
      <c r="DT17" s="11" t="str">
        <f t="shared" si="78"/>
        <v>Индонезия</v>
      </c>
      <c r="DU17" s="11" t="str">
        <f t="shared" si="79"/>
        <v>Россия</v>
      </c>
      <c r="DV17" s="11" t="str">
        <f t="shared" si="80"/>
        <v>США</v>
      </c>
      <c r="DW17" s="11" t="str">
        <f t="shared" si="81"/>
        <v>Ресурсный</v>
      </c>
      <c r="DX17" s="11" t="str">
        <f t="shared" si="82"/>
        <v>Общественный</v>
      </c>
      <c r="DY17" s="11" t="str">
        <f t="shared" si="83"/>
        <v>Дипломатический</v>
      </c>
      <c r="DZ17" s="11" t="str">
        <f t="shared" si="84"/>
        <v>Поставщики и рынок технологических услуг</v>
      </c>
      <c r="EA17" s="11" t="str">
        <f t="shared" si="85"/>
        <v>Управление</v>
      </c>
      <c r="EB17" s="11" t="str">
        <f t="shared" si="86"/>
        <v>Германия</v>
      </c>
      <c r="EC17" s="11">
        <f t="shared" ref="EC17:EE17" si="112">IF(OR($B17="",$C17=""),0,IF(AND(EG17&gt;=5,EG17&gt;=5*EJ17),3,IF(AND(EJ17&gt;=5,EJ17&gt;=5*EG17),3,IF(AND(EG17&gt;=5,EG17&gt;=3*EJ17),2,IF(AND(EJ17&gt;=5,EJ17&gt;=3*EG17),2,IF(AND(EG17&gt;=5,EG17&gt;=2*EJ17),1,IF(AND(EJ17&gt;=5,EJ17&gt;=2*EG17),1,0)))))))</f>
        <v>0</v>
      </c>
      <c r="ED17" s="11">
        <f t="shared" si="112"/>
        <v>0</v>
      </c>
      <c r="EE17" s="11">
        <f t="shared" si="112"/>
        <v>0</v>
      </c>
      <c r="EF17" s="11">
        <f t="shared" si="88"/>
        <v>0</v>
      </c>
      <c r="EG17" s="11" t="str">
        <f t="shared" si="89"/>
        <v/>
      </c>
      <c r="EH17" s="11" t="str">
        <f t="shared" si="90"/>
        <v/>
      </c>
      <c r="EI17" s="11" t="str">
        <f t="shared" si="91"/>
        <v/>
      </c>
      <c r="EJ17" s="11" t="str">
        <f t="shared" si="92"/>
        <v/>
      </c>
      <c r="EK17" s="11" t="str">
        <f t="shared" si="93"/>
        <v/>
      </c>
      <c r="EL17" s="11" t="str">
        <f t="shared" si="94"/>
        <v/>
      </c>
      <c r="EM17" s="11" t="str">
        <f t="shared" si="95"/>
        <v/>
      </c>
      <c r="EN17" s="11" t="str">
        <f t="shared" si="96"/>
        <v/>
      </c>
      <c r="EO17" s="11" t="str">
        <f t="shared" si="97"/>
        <v/>
      </c>
      <c r="EP17" s="11" t="str">
        <f t="shared" si="98"/>
        <v/>
      </c>
      <c r="EQ17" s="11" t="str">
        <f t="shared" si="99"/>
        <v/>
      </c>
      <c r="ER17" s="11" t="str">
        <f t="shared" si="100"/>
        <v/>
      </c>
      <c r="ES17" s="11" t="str">
        <f t="shared" si="101"/>
        <v/>
      </c>
    </row>
    <row r="18" ht="52.5" customHeight="1">
      <c r="A18" s="55"/>
      <c r="B18" s="42"/>
      <c r="C18" s="42"/>
      <c r="D18" s="42"/>
      <c r="E18" s="42"/>
      <c r="F18" s="42"/>
      <c r="G18" s="56"/>
      <c r="H18" s="56"/>
      <c r="I18" s="56"/>
      <c r="J18" s="42"/>
      <c r="K18" s="42"/>
      <c r="L18" s="42"/>
      <c r="M18" s="56"/>
      <c r="N18" s="56"/>
      <c r="O18" s="56"/>
      <c r="P18" s="57" t="str">
        <f t="shared" si="2"/>
        <v/>
      </c>
      <c r="Q18" s="57" t="str">
        <f t="shared" si="3"/>
        <v/>
      </c>
      <c r="R18" s="58" t="str">
        <f t="shared" si="4"/>
        <v/>
      </c>
      <c r="S18" s="58" t="str">
        <f t="shared" si="5"/>
        <v/>
      </c>
      <c r="T18" s="58" t="str">
        <f t="shared" si="6"/>
        <v/>
      </c>
      <c r="U18" s="59" t="str">
        <f t="shared" si="7"/>
        <v/>
      </c>
      <c r="V18" s="59" t="str">
        <f t="shared" si="8"/>
        <v/>
      </c>
      <c r="W18" s="59" t="str">
        <f t="shared" si="9"/>
        <v/>
      </c>
      <c r="X18" s="60"/>
      <c r="Y18" s="61" t="str">
        <f t="shared" si="10"/>
        <v/>
      </c>
      <c r="Z18" s="61" t="str">
        <f t="shared" si="11"/>
        <v/>
      </c>
      <c r="AA18" s="61" t="str">
        <f t="shared" si="12"/>
        <v/>
      </c>
      <c r="AB18" s="61" t="str">
        <f t="shared" si="13"/>
        <v>Нет локального эффекта</v>
      </c>
      <c r="AC18" s="61" t="str">
        <f t="shared" si="14"/>
        <v/>
      </c>
      <c r="AD18" s="61" t="str">
        <f t="shared" si="15"/>
        <v>Нет локального эффекта</v>
      </c>
      <c r="AE18" s="61" t="str">
        <f t="shared" si="16"/>
        <v/>
      </c>
      <c r="AF18" s="61" t="str">
        <f t="shared" si="17"/>
        <v>Нет локального эффекта</v>
      </c>
      <c r="AG18" s="61" t="str">
        <f t="shared" si="18"/>
        <v/>
      </c>
      <c r="AH18" s="62" t="str">
        <f>IF($B18="","","Общий итог: "&amp;IF($Y18="","ожидает D73",$Y18&amp;IF($Z18="—",""," — "&amp;$Z18))&amp;". Арес: "&amp;$AA18&amp;". "&amp;$AB18&amp;" Афина: "&amp;$AC18&amp;". "&amp;$AD18&amp;" Аполлон: "&amp;$AE18&amp;". "&amp;$AF18&amp;IF($AG18="",""," Общий эффект: "&amp;$AG18))</f>
        <v/>
      </c>
      <c r="BA18" s="11" t="s">
        <v>390</v>
      </c>
      <c r="BF18" s="11">
        <v>9.49388669E8</v>
      </c>
      <c r="BG18" s="11">
        <v>9.8882629E8</v>
      </c>
      <c r="BH18" s="11">
        <v>5.18690801E8</v>
      </c>
      <c r="BI18" s="11">
        <v>3.22645474E8</v>
      </c>
      <c r="BJ18" s="11">
        <v>3.418696E8</v>
      </c>
      <c r="BK18" s="11">
        <v>6.15559395E8</v>
      </c>
      <c r="BL18" s="11">
        <v>8.99400243E8</v>
      </c>
      <c r="BM18" s="11">
        <f t="shared" si="19"/>
        <v>68109</v>
      </c>
      <c r="BN18" s="11">
        <f t="shared" si="20"/>
        <v>76028</v>
      </c>
      <c r="BO18" s="11">
        <f t="shared" si="21"/>
        <v>83947</v>
      </c>
      <c r="BP18" s="11">
        <f t="shared" si="22"/>
        <v>91866</v>
      </c>
      <c r="BQ18" s="11">
        <f t="shared" si="23"/>
        <v>99785</v>
      </c>
      <c r="BR18" s="11">
        <f t="shared" si="24"/>
        <v>7701</v>
      </c>
      <c r="BS18" s="11">
        <f t="shared" si="25"/>
        <v>15620</v>
      </c>
      <c r="BT18" s="11">
        <f t="shared" si="26"/>
        <v>23539</v>
      </c>
      <c r="BU18" s="11">
        <f t="shared" si="27"/>
        <v>31458</v>
      </c>
      <c r="BV18" s="11">
        <f t="shared" si="28"/>
        <v>39377</v>
      </c>
      <c r="BW18" s="11">
        <f t="shared" si="29"/>
        <v>2777</v>
      </c>
      <c r="BX18" s="11">
        <f t="shared" si="30"/>
        <v>8928</v>
      </c>
      <c r="BY18" s="11">
        <f t="shared" si="31"/>
        <v>15079</v>
      </c>
      <c r="BZ18" s="11">
        <f t="shared" si="32"/>
        <v>21230</v>
      </c>
      <c r="CA18" s="11">
        <f t="shared" si="33"/>
        <v>27381</v>
      </c>
      <c r="CB18" s="11">
        <f t="shared" si="34"/>
        <v>33532</v>
      </c>
      <c r="CC18" s="11">
        <f t="shared" si="35"/>
        <v>39683</v>
      </c>
      <c r="CD18" s="11">
        <f t="shared" si="36"/>
        <v>45834</v>
      </c>
      <c r="CE18" s="11">
        <f t="shared" si="37"/>
        <v>78814</v>
      </c>
      <c r="CF18" s="11">
        <f t="shared" si="38"/>
        <v>82385</v>
      </c>
      <c r="CG18" s="11">
        <f t="shared" si="39"/>
        <v>85956</v>
      </c>
      <c r="CH18" s="11">
        <f t="shared" si="40"/>
        <v>89527</v>
      </c>
      <c r="CI18" s="11">
        <f t="shared" si="41"/>
        <v>93098</v>
      </c>
      <c r="CJ18" s="11">
        <f t="shared" si="42"/>
        <v>96669</v>
      </c>
      <c r="CK18" s="11">
        <f t="shared" si="43"/>
        <v>237</v>
      </c>
      <c r="CL18" s="11">
        <f t="shared" si="44"/>
        <v>3808</v>
      </c>
      <c r="CM18" s="11">
        <f t="shared" si="45"/>
        <v>7379</v>
      </c>
      <c r="CN18" s="11">
        <f t="shared" si="46"/>
        <v>10950</v>
      </c>
      <c r="CO18" s="11">
        <f t="shared" si="47"/>
        <v>14521</v>
      </c>
      <c r="CP18" s="11">
        <f t="shared" si="48"/>
        <v>18092</v>
      </c>
      <c r="CQ18" s="11">
        <f t="shared" si="49"/>
        <v>21663</v>
      </c>
      <c r="CR18" s="11">
        <f t="shared" si="50"/>
        <v>25234</v>
      </c>
      <c r="CS18" s="11">
        <f t="shared" si="51"/>
        <v>28805</v>
      </c>
      <c r="CT18" s="11">
        <f t="shared" si="52"/>
        <v>32376</v>
      </c>
      <c r="CU18" s="11">
        <f t="shared" si="53"/>
        <v>45371</v>
      </c>
      <c r="CV18" s="11">
        <f t="shared" si="54"/>
        <v>49812</v>
      </c>
      <c r="CW18" s="11">
        <f t="shared" si="55"/>
        <v>54253</v>
      </c>
      <c r="CX18" s="11">
        <f t="shared" si="56"/>
        <v>58694</v>
      </c>
      <c r="CY18" s="11">
        <f t="shared" si="57"/>
        <v>63135</v>
      </c>
      <c r="CZ18" s="11">
        <f t="shared" si="58"/>
        <v>67576</v>
      </c>
      <c r="DA18" s="11">
        <f t="shared" si="59"/>
        <v>72017</v>
      </c>
      <c r="DB18" s="11">
        <f t="shared" si="60"/>
        <v>76458</v>
      </c>
      <c r="DC18" s="11">
        <f t="shared" si="61"/>
        <v>80899</v>
      </c>
      <c r="DD18" s="11">
        <f t="shared" si="62"/>
        <v>85340</v>
      </c>
      <c r="DE18" s="11">
        <f t="shared" si="63"/>
        <v>89781</v>
      </c>
      <c r="DF18" s="11">
        <f t="shared" si="64"/>
        <v>94222</v>
      </c>
      <c r="DG18" s="11">
        <f t="shared" si="65"/>
        <v>98663</v>
      </c>
      <c r="DH18" s="11">
        <f t="shared" si="66"/>
        <v>3101</v>
      </c>
      <c r="DI18" s="11">
        <f t="shared" si="67"/>
        <v>7542</v>
      </c>
      <c r="DJ18" s="11">
        <f t="shared" si="68"/>
        <v>11983</v>
      </c>
      <c r="DK18" s="11">
        <f t="shared" si="69"/>
        <v>75353</v>
      </c>
      <c r="DL18" s="11">
        <f t="shared" si="70"/>
        <v>77442</v>
      </c>
      <c r="DM18" s="11">
        <f t="shared" si="71"/>
        <v>79531</v>
      </c>
      <c r="DN18" s="11" t="str">
        <f t="shared" si="72"/>
        <v>Мощности производства полупроводников</v>
      </c>
      <c r="DO18" s="11" t="str">
        <f t="shared" si="73"/>
        <v>Вычислительные компоненты</v>
      </c>
      <c r="DP18" s="11" t="str">
        <f t="shared" si="74"/>
        <v>ЦОД и вычислительная инфраструктура</v>
      </c>
      <c r="DQ18" s="11" t="str">
        <f t="shared" si="75"/>
        <v>Производство</v>
      </c>
      <c r="DR18" s="11" t="str">
        <f t="shared" si="76"/>
        <v>Управление</v>
      </c>
      <c r="DS18" s="11" t="str">
        <f t="shared" si="77"/>
        <v>Познание</v>
      </c>
      <c r="DT18" s="11" t="str">
        <f t="shared" si="78"/>
        <v>Германия</v>
      </c>
      <c r="DU18" s="11" t="str">
        <f t="shared" si="79"/>
        <v>Япония</v>
      </c>
      <c r="DV18" s="11" t="str">
        <f t="shared" si="80"/>
        <v>Южная Корея</v>
      </c>
      <c r="DW18" s="11" t="str">
        <f t="shared" si="81"/>
        <v>Ресурсный</v>
      </c>
      <c r="DX18" s="11" t="str">
        <f t="shared" si="82"/>
        <v>Общественный</v>
      </c>
      <c r="DY18" s="11" t="str">
        <f t="shared" si="83"/>
        <v>Дипломатический</v>
      </c>
      <c r="DZ18" s="11" t="str">
        <f t="shared" si="84"/>
        <v>Мощности производства полупроводников</v>
      </c>
      <c r="EA18" s="11" t="str">
        <f t="shared" si="85"/>
        <v>Производство</v>
      </c>
      <c r="EB18" s="11" t="str">
        <f t="shared" si="86"/>
        <v>Бразилия</v>
      </c>
      <c r="EC18" s="11">
        <f t="shared" ref="EC18:EE18" si="113">IF(OR($B18="",$C18=""),0,IF(AND(EG18&gt;=5,EG18&gt;=5*EJ18),3,IF(AND(EJ18&gt;=5,EJ18&gt;=5*EG18),3,IF(AND(EG18&gt;=5,EG18&gt;=3*EJ18),2,IF(AND(EJ18&gt;=5,EJ18&gt;=3*EG18),2,IF(AND(EG18&gt;=5,EG18&gt;=2*EJ18),1,IF(AND(EJ18&gt;=5,EJ18&gt;=2*EG18),1,0)))))))</f>
        <v>0</v>
      </c>
      <c r="ED18" s="11">
        <f t="shared" si="113"/>
        <v>0</v>
      </c>
      <c r="EE18" s="11">
        <f t="shared" si="113"/>
        <v>0</v>
      </c>
      <c r="EF18" s="11">
        <f t="shared" si="88"/>
        <v>0</v>
      </c>
      <c r="EG18" s="11" t="str">
        <f t="shared" si="89"/>
        <v/>
      </c>
      <c r="EH18" s="11" t="str">
        <f t="shared" si="90"/>
        <v/>
      </c>
      <c r="EI18" s="11" t="str">
        <f t="shared" si="91"/>
        <v/>
      </c>
      <c r="EJ18" s="11" t="str">
        <f t="shared" si="92"/>
        <v/>
      </c>
      <c r="EK18" s="11" t="str">
        <f t="shared" si="93"/>
        <v/>
      </c>
      <c r="EL18" s="11" t="str">
        <f t="shared" si="94"/>
        <v/>
      </c>
      <c r="EM18" s="11" t="str">
        <f t="shared" si="95"/>
        <v/>
      </c>
      <c r="EN18" s="11" t="str">
        <f t="shared" si="96"/>
        <v/>
      </c>
      <c r="EO18" s="11" t="str">
        <f t="shared" si="97"/>
        <v/>
      </c>
      <c r="EP18" s="11" t="str">
        <f t="shared" si="98"/>
        <v/>
      </c>
      <c r="EQ18" s="11" t="str">
        <f t="shared" si="99"/>
        <v/>
      </c>
      <c r="ER18" s="11" t="str">
        <f t="shared" si="100"/>
        <v/>
      </c>
      <c r="ES18" s="11" t="str">
        <f t="shared" si="101"/>
        <v/>
      </c>
    </row>
    <row r="19" ht="52.5" customHeight="1">
      <c r="A19" s="55"/>
      <c r="B19" s="42"/>
      <c r="C19" s="42"/>
      <c r="D19" s="42"/>
      <c r="E19" s="42"/>
      <c r="F19" s="42"/>
      <c r="G19" s="56"/>
      <c r="H19" s="56"/>
      <c r="I19" s="56"/>
      <c r="J19" s="42"/>
      <c r="K19" s="42"/>
      <c r="L19" s="42"/>
      <c r="M19" s="56"/>
      <c r="N19" s="56"/>
      <c r="O19" s="56"/>
      <c r="P19" s="57" t="str">
        <f t="shared" si="2"/>
        <v/>
      </c>
      <c r="Q19" s="57" t="str">
        <f t="shared" si="3"/>
        <v/>
      </c>
      <c r="R19" s="58" t="str">
        <f t="shared" si="4"/>
        <v/>
      </c>
      <c r="S19" s="58" t="str">
        <f t="shared" si="5"/>
        <v/>
      </c>
      <c r="T19" s="58" t="str">
        <f t="shared" si="6"/>
        <v/>
      </c>
      <c r="U19" s="59" t="str">
        <f t="shared" si="7"/>
        <v/>
      </c>
      <c r="V19" s="59" t="str">
        <f t="shared" si="8"/>
        <v/>
      </c>
      <c r="W19" s="59" t="str">
        <f t="shared" si="9"/>
        <v/>
      </c>
      <c r="X19" s="60"/>
      <c r="Y19" s="61" t="str">
        <f t="shared" si="10"/>
        <v/>
      </c>
      <c r="Z19" s="61" t="str">
        <f t="shared" si="11"/>
        <v/>
      </c>
      <c r="AA19" s="61" t="str">
        <f t="shared" si="12"/>
        <v/>
      </c>
      <c r="AB19" s="61" t="str">
        <f t="shared" si="13"/>
        <v>Нет локального эффекта</v>
      </c>
      <c r="AC19" s="61" t="str">
        <f t="shared" si="14"/>
        <v/>
      </c>
      <c r="AD19" s="61" t="str">
        <f t="shared" si="15"/>
        <v>Нет локального эффекта</v>
      </c>
      <c r="AE19" s="61" t="str">
        <f t="shared" si="16"/>
        <v/>
      </c>
      <c r="AF19" s="61" t="str">
        <f t="shared" si="17"/>
        <v>Нет локального эффекта</v>
      </c>
      <c r="AG19" s="61" t="str">
        <f t="shared" si="18"/>
        <v/>
      </c>
      <c r="AH19" s="62" t="str">
        <f>IF($B19="","","Общий итог: "&amp;IF($Y19="","ожидает D74",$Y19&amp;IF($Z19="—",""," — "&amp;$Z19))&amp;". Арес: "&amp;$AA19&amp;". "&amp;$AB19&amp;" Афина: "&amp;$AC19&amp;". "&amp;$AD19&amp;" Аполлон: "&amp;$AE19&amp;". "&amp;$AF19&amp;IF($AG19="",""," Общий эффект: "&amp;$AG19))</f>
        <v/>
      </c>
      <c r="BA19" s="11" t="s">
        <v>391</v>
      </c>
      <c r="BF19" s="11">
        <v>6.79305143E8</v>
      </c>
      <c r="BG19" s="11">
        <v>7.27470518E8</v>
      </c>
      <c r="BH19" s="11">
        <v>4.42284749E8</v>
      </c>
      <c r="BI19" s="11">
        <v>7.87913853E8</v>
      </c>
      <c r="BJ19" s="11">
        <v>1.13231444E8</v>
      </c>
      <c r="BK19" s="11">
        <v>5.33339709E8</v>
      </c>
      <c r="BL19" s="11">
        <v>7.13848983E8</v>
      </c>
      <c r="BM19" s="11">
        <f t="shared" si="19"/>
        <v>92686</v>
      </c>
      <c r="BN19" s="11">
        <f t="shared" si="20"/>
        <v>602</v>
      </c>
      <c r="BO19" s="11">
        <f t="shared" si="21"/>
        <v>8521</v>
      </c>
      <c r="BP19" s="11">
        <f t="shared" si="22"/>
        <v>16440</v>
      </c>
      <c r="BQ19" s="11">
        <f t="shared" si="23"/>
        <v>24359</v>
      </c>
      <c r="BR19" s="11">
        <f t="shared" si="24"/>
        <v>32278</v>
      </c>
      <c r="BS19" s="11">
        <f t="shared" si="25"/>
        <v>40197</v>
      </c>
      <c r="BT19" s="11">
        <f t="shared" si="26"/>
        <v>48116</v>
      </c>
      <c r="BU19" s="11">
        <f t="shared" si="27"/>
        <v>56035</v>
      </c>
      <c r="BV19" s="11">
        <f t="shared" si="28"/>
        <v>63954</v>
      </c>
      <c r="BW19" s="11">
        <f t="shared" si="29"/>
        <v>54847</v>
      </c>
      <c r="BX19" s="11">
        <f t="shared" si="30"/>
        <v>60998</v>
      </c>
      <c r="BY19" s="11">
        <f t="shared" si="31"/>
        <v>67149</v>
      </c>
      <c r="BZ19" s="11">
        <f t="shared" si="32"/>
        <v>73300</v>
      </c>
      <c r="CA19" s="11">
        <f t="shared" si="33"/>
        <v>79451</v>
      </c>
      <c r="CB19" s="11">
        <f t="shared" si="34"/>
        <v>85602</v>
      </c>
      <c r="CC19" s="11">
        <f t="shared" si="35"/>
        <v>91753</v>
      </c>
      <c r="CD19" s="11">
        <f t="shared" si="36"/>
        <v>97904</v>
      </c>
      <c r="CE19" s="11">
        <f t="shared" si="37"/>
        <v>75054</v>
      </c>
      <c r="CF19" s="11">
        <f t="shared" si="38"/>
        <v>78625</v>
      </c>
      <c r="CG19" s="11">
        <f t="shared" si="39"/>
        <v>82196</v>
      </c>
      <c r="CH19" s="11">
        <f t="shared" si="40"/>
        <v>85767</v>
      </c>
      <c r="CI19" s="11">
        <f t="shared" si="41"/>
        <v>89338</v>
      </c>
      <c r="CJ19" s="11">
        <f t="shared" si="42"/>
        <v>92909</v>
      </c>
      <c r="CK19" s="11">
        <f t="shared" si="43"/>
        <v>96480</v>
      </c>
      <c r="CL19" s="11">
        <f t="shared" si="44"/>
        <v>48</v>
      </c>
      <c r="CM19" s="11">
        <f t="shared" si="45"/>
        <v>3619</v>
      </c>
      <c r="CN19" s="11">
        <f t="shared" si="46"/>
        <v>7190</v>
      </c>
      <c r="CO19" s="11">
        <f t="shared" si="47"/>
        <v>10761</v>
      </c>
      <c r="CP19" s="11">
        <f t="shared" si="48"/>
        <v>14332</v>
      </c>
      <c r="CQ19" s="11">
        <f t="shared" si="49"/>
        <v>17903</v>
      </c>
      <c r="CR19" s="11">
        <f t="shared" si="50"/>
        <v>21474</v>
      </c>
      <c r="CS19" s="11">
        <f t="shared" si="51"/>
        <v>25045</v>
      </c>
      <c r="CT19" s="11">
        <f t="shared" si="52"/>
        <v>28616</v>
      </c>
      <c r="CU19" s="11">
        <f t="shared" si="53"/>
        <v>28151</v>
      </c>
      <c r="CV19" s="11">
        <f t="shared" si="54"/>
        <v>32592</v>
      </c>
      <c r="CW19" s="11">
        <f t="shared" si="55"/>
        <v>37033</v>
      </c>
      <c r="CX19" s="11">
        <f t="shared" si="56"/>
        <v>41474</v>
      </c>
      <c r="CY19" s="11">
        <f t="shared" si="57"/>
        <v>45915</v>
      </c>
      <c r="CZ19" s="11">
        <f t="shared" si="58"/>
        <v>50356</v>
      </c>
      <c r="DA19" s="11">
        <f t="shared" si="59"/>
        <v>54797</v>
      </c>
      <c r="DB19" s="11">
        <f t="shared" si="60"/>
        <v>59238</v>
      </c>
      <c r="DC19" s="11">
        <f t="shared" si="61"/>
        <v>63679</v>
      </c>
      <c r="DD19" s="11">
        <f t="shared" si="62"/>
        <v>68120</v>
      </c>
      <c r="DE19" s="11">
        <f t="shared" si="63"/>
        <v>72561</v>
      </c>
      <c r="DF19" s="11">
        <f t="shared" si="64"/>
        <v>77002</v>
      </c>
      <c r="DG19" s="11">
        <f t="shared" si="65"/>
        <v>81443</v>
      </c>
      <c r="DH19" s="11">
        <f t="shared" si="66"/>
        <v>85884</v>
      </c>
      <c r="DI19" s="11">
        <f t="shared" si="67"/>
        <v>90325</v>
      </c>
      <c r="DJ19" s="11">
        <f t="shared" si="68"/>
        <v>94766</v>
      </c>
      <c r="DK19" s="11">
        <f t="shared" si="69"/>
        <v>29658</v>
      </c>
      <c r="DL19" s="11">
        <f t="shared" si="70"/>
        <v>31747</v>
      </c>
      <c r="DM19" s="11">
        <f t="shared" si="71"/>
        <v>33836</v>
      </c>
      <c r="DN19" s="11" t="str">
        <f t="shared" si="72"/>
        <v>Химические и технологические материалы</v>
      </c>
      <c r="DO19" s="11" t="str">
        <f t="shared" si="73"/>
        <v>Энергетические ресурсы</v>
      </c>
      <c r="DP19" s="11" t="str">
        <f t="shared" si="74"/>
        <v>Вода и ресурс отвода тепла</v>
      </c>
      <c r="DQ19" s="11" t="str">
        <f t="shared" si="75"/>
        <v>Производство</v>
      </c>
      <c r="DR19" s="11" t="str">
        <f t="shared" si="76"/>
        <v>Управление</v>
      </c>
      <c r="DS19" s="11" t="str">
        <f t="shared" si="77"/>
        <v>Познание</v>
      </c>
      <c r="DT19" s="11" t="str">
        <f t="shared" si="78"/>
        <v>Япония</v>
      </c>
      <c r="DU19" s="11" t="str">
        <f t="shared" si="79"/>
        <v>Южная Корея</v>
      </c>
      <c r="DV19" s="11" t="str">
        <f t="shared" si="80"/>
        <v>Турция</v>
      </c>
      <c r="DW19" s="11" t="str">
        <f t="shared" si="81"/>
        <v>Ресурсный</v>
      </c>
      <c r="DX19" s="11" t="str">
        <f t="shared" si="82"/>
        <v>Общественный</v>
      </c>
      <c r="DY19" s="11" t="str">
        <f t="shared" si="83"/>
        <v>Дипломатический</v>
      </c>
      <c r="DZ19" s="11" t="str">
        <f t="shared" si="84"/>
        <v>Ресурс утилизации и воспроизводства физической базы</v>
      </c>
      <c r="EA19" s="11" t="str">
        <f t="shared" si="85"/>
        <v>Война</v>
      </c>
      <c r="EB19" s="11" t="str">
        <f t="shared" si="86"/>
        <v>Россия</v>
      </c>
      <c r="EC19" s="11">
        <f t="shared" ref="EC19:EE19" si="114">IF(OR($B19="",$C19=""),0,IF(AND(EG19&gt;=5,EG19&gt;=5*EJ19),3,IF(AND(EJ19&gt;=5,EJ19&gt;=5*EG19),3,IF(AND(EG19&gt;=5,EG19&gt;=3*EJ19),2,IF(AND(EJ19&gt;=5,EJ19&gt;=3*EG19),2,IF(AND(EG19&gt;=5,EG19&gt;=2*EJ19),1,IF(AND(EJ19&gt;=5,EJ19&gt;=2*EG19),1,0)))))))</f>
        <v>0</v>
      </c>
      <c r="ED19" s="11">
        <f t="shared" si="114"/>
        <v>0</v>
      </c>
      <c r="EE19" s="11">
        <f t="shared" si="114"/>
        <v>0</v>
      </c>
      <c r="EF19" s="11">
        <f t="shared" si="88"/>
        <v>0</v>
      </c>
      <c r="EG19" s="11" t="str">
        <f t="shared" si="89"/>
        <v/>
      </c>
      <c r="EH19" s="11" t="str">
        <f t="shared" si="90"/>
        <v/>
      </c>
      <c r="EI19" s="11" t="str">
        <f t="shared" si="91"/>
        <v/>
      </c>
      <c r="EJ19" s="11" t="str">
        <f t="shared" si="92"/>
        <v/>
      </c>
      <c r="EK19" s="11" t="str">
        <f t="shared" si="93"/>
        <v/>
      </c>
      <c r="EL19" s="11" t="str">
        <f t="shared" si="94"/>
        <v/>
      </c>
      <c r="EM19" s="11" t="str">
        <f t="shared" si="95"/>
        <v/>
      </c>
      <c r="EN19" s="11" t="str">
        <f t="shared" si="96"/>
        <v/>
      </c>
      <c r="EO19" s="11" t="str">
        <f t="shared" si="97"/>
        <v/>
      </c>
      <c r="EP19" s="11" t="str">
        <f t="shared" si="98"/>
        <v/>
      </c>
      <c r="EQ19" s="11" t="str">
        <f t="shared" si="99"/>
        <v/>
      </c>
      <c r="ER19" s="11" t="str">
        <f t="shared" si="100"/>
        <v/>
      </c>
      <c r="ES19" s="11" t="str">
        <f t="shared" si="101"/>
        <v/>
      </c>
    </row>
    <row r="20" ht="52.5" customHeight="1">
      <c r="A20" s="55"/>
      <c r="B20" s="42"/>
      <c r="C20" s="42"/>
      <c r="D20" s="42"/>
      <c r="E20" s="42"/>
      <c r="F20" s="42"/>
      <c r="G20" s="56"/>
      <c r="H20" s="56"/>
      <c r="I20" s="56"/>
      <c r="J20" s="42"/>
      <c r="K20" s="42"/>
      <c r="L20" s="42"/>
      <c r="M20" s="56"/>
      <c r="N20" s="56"/>
      <c r="O20" s="56"/>
      <c r="P20" s="57" t="str">
        <f t="shared" si="2"/>
        <v/>
      </c>
      <c r="Q20" s="57" t="str">
        <f t="shared" si="3"/>
        <v/>
      </c>
      <c r="R20" s="58" t="str">
        <f t="shared" si="4"/>
        <v/>
      </c>
      <c r="S20" s="58" t="str">
        <f t="shared" si="5"/>
        <v/>
      </c>
      <c r="T20" s="58" t="str">
        <f t="shared" si="6"/>
        <v/>
      </c>
      <c r="U20" s="59" t="str">
        <f t="shared" si="7"/>
        <v/>
      </c>
      <c r="V20" s="59" t="str">
        <f t="shared" si="8"/>
        <v/>
      </c>
      <c r="W20" s="59" t="str">
        <f t="shared" si="9"/>
        <v/>
      </c>
      <c r="X20" s="60"/>
      <c r="Y20" s="61" t="str">
        <f t="shared" si="10"/>
        <v/>
      </c>
      <c r="Z20" s="61" t="str">
        <f t="shared" si="11"/>
        <v/>
      </c>
      <c r="AA20" s="61" t="str">
        <f t="shared" si="12"/>
        <v/>
      </c>
      <c r="AB20" s="61" t="str">
        <f t="shared" si="13"/>
        <v>Нет локального эффекта</v>
      </c>
      <c r="AC20" s="61" t="str">
        <f t="shared" si="14"/>
        <v/>
      </c>
      <c r="AD20" s="61" t="str">
        <f t="shared" si="15"/>
        <v>Нет локального эффекта</v>
      </c>
      <c r="AE20" s="61" t="str">
        <f t="shared" si="16"/>
        <v/>
      </c>
      <c r="AF20" s="61" t="str">
        <f t="shared" si="17"/>
        <v>Нет локального эффекта</v>
      </c>
      <c r="AG20" s="61" t="str">
        <f t="shared" si="18"/>
        <v/>
      </c>
      <c r="AH20" s="62" t="str">
        <f>IF($B20="","","Общий итог: "&amp;IF($Y20="","ожидает D75",$Y20&amp;IF($Z20="—",""," — "&amp;$Z20))&amp;". Арес: "&amp;$AA20&amp;". "&amp;$AB20&amp;" Афина: "&amp;$AC20&amp;". "&amp;$AD20&amp;" Аполлон: "&amp;$AE20&amp;". "&amp;$AF20&amp;IF($AG20="",""," Общий эффект: "&amp;$AG20))</f>
        <v/>
      </c>
      <c r="BA20" s="11" t="s">
        <v>392</v>
      </c>
      <c r="BF20" s="11">
        <v>7.68990388E8</v>
      </c>
      <c r="BG20" s="11">
        <v>2.11822695E8</v>
      </c>
      <c r="BH20" s="11">
        <v>1.16347278E8</v>
      </c>
      <c r="BI20" s="11">
        <v>1.13965846E8</v>
      </c>
      <c r="BJ20" s="11">
        <v>7.17336864E8</v>
      </c>
      <c r="BK20" s="11">
        <v>6.8088101E8</v>
      </c>
      <c r="BL20" s="11">
        <v>3.01438557E8</v>
      </c>
      <c r="BM20" s="11">
        <f t="shared" si="19"/>
        <v>75240</v>
      </c>
      <c r="BN20" s="11">
        <f t="shared" si="20"/>
        <v>83159</v>
      </c>
      <c r="BO20" s="11">
        <f t="shared" si="21"/>
        <v>91078</v>
      </c>
      <c r="BP20" s="11">
        <f t="shared" si="22"/>
        <v>98997</v>
      </c>
      <c r="BQ20" s="11">
        <f t="shared" si="23"/>
        <v>6913</v>
      </c>
      <c r="BR20" s="11">
        <f t="shared" si="24"/>
        <v>14832</v>
      </c>
      <c r="BS20" s="11">
        <f t="shared" si="25"/>
        <v>22751</v>
      </c>
      <c r="BT20" s="11">
        <f t="shared" si="26"/>
        <v>30670</v>
      </c>
      <c r="BU20" s="11">
        <f t="shared" si="27"/>
        <v>38589</v>
      </c>
      <c r="BV20" s="11">
        <f t="shared" si="28"/>
        <v>46508</v>
      </c>
      <c r="BW20" s="11">
        <f t="shared" si="29"/>
        <v>22492</v>
      </c>
      <c r="BX20" s="11">
        <f t="shared" si="30"/>
        <v>28643</v>
      </c>
      <c r="BY20" s="11">
        <f t="shared" si="31"/>
        <v>34794</v>
      </c>
      <c r="BZ20" s="11">
        <f t="shared" si="32"/>
        <v>40945</v>
      </c>
      <c r="CA20" s="11">
        <f t="shared" si="33"/>
        <v>47096</v>
      </c>
      <c r="CB20" s="11">
        <f t="shared" si="34"/>
        <v>53247</v>
      </c>
      <c r="CC20" s="11">
        <f t="shared" si="35"/>
        <v>59398</v>
      </c>
      <c r="CD20" s="11">
        <f t="shared" si="36"/>
        <v>65549</v>
      </c>
      <c r="CE20" s="11">
        <f t="shared" si="37"/>
        <v>47360</v>
      </c>
      <c r="CF20" s="11">
        <f t="shared" si="38"/>
        <v>50931</v>
      </c>
      <c r="CG20" s="11">
        <f t="shared" si="39"/>
        <v>54502</v>
      </c>
      <c r="CH20" s="11">
        <f t="shared" si="40"/>
        <v>58073</v>
      </c>
      <c r="CI20" s="11">
        <f t="shared" si="41"/>
        <v>61644</v>
      </c>
      <c r="CJ20" s="11">
        <f t="shared" si="42"/>
        <v>65215</v>
      </c>
      <c r="CK20" s="11">
        <f t="shared" si="43"/>
        <v>68786</v>
      </c>
      <c r="CL20" s="11">
        <f t="shared" si="44"/>
        <v>72357</v>
      </c>
      <c r="CM20" s="11">
        <f t="shared" si="45"/>
        <v>75928</v>
      </c>
      <c r="CN20" s="11">
        <f t="shared" si="46"/>
        <v>79499</v>
      </c>
      <c r="CO20" s="11">
        <f t="shared" si="47"/>
        <v>83070</v>
      </c>
      <c r="CP20" s="11">
        <f t="shared" si="48"/>
        <v>86641</v>
      </c>
      <c r="CQ20" s="11">
        <f t="shared" si="49"/>
        <v>90212</v>
      </c>
      <c r="CR20" s="11">
        <f t="shared" si="50"/>
        <v>93783</v>
      </c>
      <c r="CS20" s="11">
        <f t="shared" si="51"/>
        <v>97354</v>
      </c>
      <c r="CT20" s="11">
        <f t="shared" si="52"/>
        <v>922</v>
      </c>
      <c r="CU20" s="11">
        <f t="shared" si="53"/>
        <v>65027</v>
      </c>
      <c r="CV20" s="11">
        <f t="shared" si="54"/>
        <v>69468</v>
      </c>
      <c r="CW20" s="11">
        <f t="shared" si="55"/>
        <v>73909</v>
      </c>
      <c r="CX20" s="11">
        <f t="shared" si="56"/>
        <v>78350</v>
      </c>
      <c r="CY20" s="11">
        <f t="shared" si="57"/>
        <v>82791</v>
      </c>
      <c r="CZ20" s="11">
        <f t="shared" si="58"/>
        <v>87232</v>
      </c>
      <c r="DA20" s="11">
        <f t="shared" si="59"/>
        <v>91673</v>
      </c>
      <c r="DB20" s="11">
        <f t="shared" si="60"/>
        <v>96114</v>
      </c>
      <c r="DC20" s="11">
        <f t="shared" si="61"/>
        <v>552</v>
      </c>
      <c r="DD20" s="11">
        <f t="shared" si="62"/>
        <v>4993</v>
      </c>
      <c r="DE20" s="11">
        <f t="shared" si="63"/>
        <v>9434</v>
      </c>
      <c r="DF20" s="11">
        <f t="shared" si="64"/>
        <v>13875</v>
      </c>
      <c r="DG20" s="11">
        <f t="shared" si="65"/>
        <v>18316</v>
      </c>
      <c r="DH20" s="11">
        <f t="shared" si="66"/>
        <v>22757</v>
      </c>
      <c r="DI20" s="11">
        <f t="shared" si="67"/>
        <v>27198</v>
      </c>
      <c r="DJ20" s="11">
        <f t="shared" si="68"/>
        <v>31639</v>
      </c>
      <c r="DK20" s="11">
        <f t="shared" si="69"/>
        <v>31604</v>
      </c>
      <c r="DL20" s="11">
        <f t="shared" si="70"/>
        <v>33693</v>
      </c>
      <c r="DM20" s="11">
        <f t="shared" si="71"/>
        <v>35782</v>
      </c>
      <c r="DN20" s="11" t="str">
        <f t="shared" si="72"/>
        <v>Пространственные и природно-географические ресурсы</v>
      </c>
      <c r="DO20" s="11" t="str">
        <f t="shared" si="73"/>
        <v>Мощности производства полупроводников</v>
      </c>
      <c r="DP20" s="11" t="str">
        <f t="shared" si="74"/>
        <v>Вычислительные компоненты</v>
      </c>
      <c r="DQ20" s="11" t="str">
        <f t="shared" si="75"/>
        <v>Производство</v>
      </c>
      <c r="DR20" s="11" t="str">
        <f t="shared" si="76"/>
        <v>Управление</v>
      </c>
      <c r="DS20" s="11" t="str">
        <f t="shared" si="77"/>
        <v>Познание</v>
      </c>
      <c r="DT20" s="11" t="str">
        <f t="shared" si="78"/>
        <v>Индонезия</v>
      </c>
      <c r="DU20" s="11" t="str">
        <f t="shared" si="79"/>
        <v>Россия</v>
      </c>
      <c r="DV20" s="11" t="str">
        <f t="shared" si="80"/>
        <v>США</v>
      </c>
      <c r="DW20" s="11" t="str">
        <f t="shared" si="81"/>
        <v>Ресурсный</v>
      </c>
      <c r="DX20" s="11" t="str">
        <f t="shared" si="82"/>
        <v>Общественный</v>
      </c>
      <c r="DY20" s="11" t="str">
        <f t="shared" si="83"/>
        <v>Дипломатический</v>
      </c>
      <c r="DZ20" s="11" t="str">
        <f t="shared" si="84"/>
        <v>Кибербезопасностные ресурсы</v>
      </c>
      <c r="EA20" s="11" t="str">
        <f t="shared" si="85"/>
        <v>Производство</v>
      </c>
      <c r="EB20" s="11" t="str">
        <f t="shared" si="86"/>
        <v>Южная Корея</v>
      </c>
      <c r="EC20" s="11">
        <f t="shared" ref="EC20:EE20" si="115">IF(OR($B20="",$C20=""),0,IF(AND(EG20&gt;=5,EG20&gt;=5*EJ20),3,IF(AND(EJ20&gt;=5,EJ20&gt;=5*EG20),3,IF(AND(EG20&gt;=5,EG20&gt;=3*EJ20),2,IF(AND(EJ20&gt;=5,EJ20&gt;=3*EG20),2,IF(AND(EG20&gt;=5,EG20&gt;=2*EJ20),1,IF(AND(EJ20&gt;=5,EJ20&gt;=2*EG20),1,0)))))))</f>
        <v>0</v>
      </c>
      <c r="ED20" s="11">
        <f t="shared" si="115"/>
        <v>0</v>
      </c>
      <c r="EE20" s="11">
        <f t="shared" si="115"/>
        <v>0</v>
      </c>
      <c r="EF20" s="11">
        <f t="shared" si="88"/>
        <v>0</v>
      </c>
      <c r="EG20" s="11" t="str">
        <f t="shared" si="89"/>
        <v/>
      </c>
      <c r="EH20" s="11" t="str">
        <f t="shared" si="90"/>
        <v/>
      </c>
      <c r="EI20" s="11" t="str">
        <f t="shared" si="91"/>
        <v/>
      </c>
      <c r="EJ20" s="11" t="str">
        <f t="shared" si="92"/>
        <v/>
      </c>
      <c r="EK20" s="11" t="str">
        <f t="shared" si="93"/>
        <v/>
      </c>
      <c r="EL20" s="11" t="str">
        <f t="shared" si="94"/>
        <v/>
      </c>
      <c r="EM20" s="11" t="str">
        <f t="shared" si="95"/>
        <v/>
      </c>
      <c r="EN20" s="11" t="str">
        <f t="shared" si="96"/>
        <v/>
      </c>
      <c r="EO20" s="11" t="str">
        <f t="shared" si="97"/>
        <v/>
      </c>
      <c r="EP20" s="11" t="str">
        <f t="shared" si="98"/>
        <v/>
      </c>
      <c r="EQ20" s="11" t="str">
        <f t="shared" si="99"/>
        <v/>
      </c>
      <c r="ER20" s="11" t="str">
        <f t="shared" si="100"/>
        <v/>
      </c>
      <c r="ES20" s="11" t="str">
        <f t="shared" si="101"/>
        <v/>
      </c>
    </row>
    <row r="21" ht="52.5" customHeight="1">
      <c r="A21" s="55"/>
      <c r="B21" s="42"/>
      <c r="C21" s="42"/>
      <c r="D21" s="42"/>
      <c r="E21" s="42"/>
      <c r="F21" s="42"/>
      <c r="G21" s="56"/>
      <c r="H21" s="56"/>
      <c r="I21" s="56"/>
      <c r="J21" s="42"/>
      <c r="K21" s="42"/>
      <c r="L21" s="42"/>
      <c r="M21" s="56"/>
      <c r="N21" s="56"/>
      <c r="O21" s="56"/>
      <c r="P21" s="57" t="str">
        <f t="shared" si="2"/>
        <v/>
      </c>
      <c r="Q21" s="57" t="str">
        <f t="shared" si="3"/>
        <v/>
      </c>
      <c r="R21" s="58" t="str">
        <f t="shared" si="4"/>
        <v/>
      </c>
      <c r="S21" s="58" t="str">
        <f t="shared" si="5"/>
        <v/>
      </c>
      <c r="T21" s="58" t="str">
        <f t="shared" si="6"/>
        <v/>
      </c>
      <c r="U21" s="59" t="str">
        <f t="shared" si="7"/>
        <v/>
      </c>
      <c r="V21" s="59" t="str">
        <f t="shared" si="8"/>
        <v/>
      </c>
      <c r="W21" s="59" t="str">
        <f t="shared" si="9"/>
        <v/>
      </c>
      <c r="X21" s="60"/>
      <c r="Y21" s="61" t="str">
        <f t="shared" si="10"/>
        <v/>
      </c>
      <c r="Z21" s="61" t="str">
        <f t="shared" si="11"/>
        <v/>
      </c>
      <c r="AA21" s="61" t="str">
        <f t="shared" si="12"/>
        <v/>
      </c>
      <c r="AB21" s="61" t="str">
        <f t="shared" si="13"/>
        <v>Нет локального эффекта</v>
      </c>
      <c r="AC21" s="61" t="str">
        <f t="shared" si="14"/>
        <v/>
      </c>
      <c r="AD21" s="61" t="str">
        <f t="shared" si="15"/>
        <v>Нет локального эффекта</v>
      </c>
      <c r="AE21" s="61" t="str">
        <f t="shared" si="16"/>
        <v/>
      </c>
      <c r="AF21" s="61" t="str">
        <f t="shared" si="17"/>
        <v>Нет локального эффекта</v>
      </c>
      <c r="AG21" s="61" t="str">
        <f t="shared" si="18"/>
        <v/>
      </c>
      <c r="AH21" s="62" t="str">
        <f>IF($B21="","","Общий итог: "&amp;IF($Y21="","ожидает D76",$Y21&amp;IF($Z21="—",""," — "&amp;$Z21))&amp;". Арес: "&amp;$AA21&amp;". "&amp;$AB21&amp;" Афина: "&amp;$AC21&amp;". "&amp;$AD21&amp;" Аполлон: "&amp;$AE21&amp;". "&amp;$AF21&amp;IF($AG21="",""," Общий эффект: "&amp;$AG21))</f>
        <v/>
      </c>
      <c r="BA21" s="11" t="s">
        <v>393</v>
      </c>
      <c r="BF21" s="11">
        <v>9.28633115E8</v>
      </c>
      <c r="BG21" s="11">
        <v>2.43974996E8</v>
      </c>
      <c r="BH21" s="11">
        <v>6.93729056E8</v>
      </c>
      <c r="BI21" s="11">
        <v>1.85956472E8</v>
      </c>
      <c r="BJ21" s="11">
        <v>8.35745412E8</v>
      </c>
      <c r="BK21" s="11">
        <v>9.40154125E8</v>
      </c>
      <c r="BL21" s="11">
        <v>5.78944563E8</v>
      </c>
      <c r="BM21" s="11">
        <f t="shared" si="19"/>
        <v>13176</v>
      </c>
      <c r="BN21" s="11">
        <f t="shared" si="20"/>
        <v>21095</v>
      </c>
      <c r="BO21" s="11">
        <f t="shared" si="21"/>
        <v>29014</v>
      </c>
      <c r="BP21" s="11">
        <f t="shared" si="22"/>
        <v>36933</v>
      </c>
      <c r="BQ21" s="11">
        <f t="shared" si="23"/>
        <v>44852</v>
      </c>
      <c r="BR21" s="11">
        <f t="shared" si="24"/>
        <v>52771</v>
      </c>
      <c r="BS21" s="11">
        <f t="shared" si="25"/>
        <v>60690</v>
      </c>
      <c r="BT21" s="11">
        <f t="shared" si="26"/>
        <v>68609</v>
      </c>
      <c r="BU21" s="11">
        <f t="shared" si="27"/>
        <v>76528</v>
      </c>
      <c r="BV21" s="11">
        <f t="shared" si="28"/>
        <v>84447</v>
      </c>
      <c r="BW21" s="11">
        <f t="shared" si="29"/>
        <v>73830</v>
      </c>
      <c r="BX21" s="11">
        <f t="shared" si="30"/>
        <v>79981</v>
      </c>
      <c r="BY21" s="11">
        <f t="shared" si="31"/>
        <v>86132</v>
      </c>
      <c r="BZ21" s="11">
        <f t="shared" si="32"/>
        <v>92283</v>
      </c>
      <c r="CA21" s="11">
        <f t="shared" si="33"/>
        <v>98434</v>
      </c>
      <c r="CB21" s="11">
        <f t="shared" si="34"/>
        <v>4582</v>
      </c>
      <c r="CC21" s="11">
        <f t="shared" si="35"/>
        <v>10733</v>
      </c>
      <c r="CD21" s="11">
        <f t="shared" si="36"/>
        <v>16884</v>
      </c>
      <c r="CE21" s="11">
        <f t="shared" si="37"/>
        <v>11816</v>
      </c>
      <c r="CF21" s="11">
        <f t="shared" si="38"/>
        <v>15387</v>
      </c>
      <c r="CG21" s="11">
        <f t="shared" si="39"/>
        <v>18958</v>
      </c>
      <c r="CH21" s="11">
        <f t="shared" si="40"/>
        <v>22529</v>
      </c>
      <c r="CI21" s="11">
        <f t="shared" si="41"/>
        <v>26100</v>
      </c>
      <c r="CJ21" s="11">
        <f t="shared" si="42"/>
        <v>29671</v>
      </c>
      <c r="CK21" s="11">
        <f t="shared" si="43"/>
        <v>33242</v>
      </c>
      <c r="CL21" s="11">
        <f t="shared" si="44"/>
        <v>36813</v>
      </c>
      <c r="CM21" s="11">
        <f t="shared" si="45"/>
        <v>40384</v>
      </c>
      <c r="CN21" s="11">
        <f t="shared" si="46"/>
        <v>43955</v>
      </c>
      <c r="CO21" s="11">
        <f t="shared" si="47"/>
        <v>47526</v>
      </c>
      <c r="CP21" s="11">
        <f t="shared" si="48"/>
        <v>51097</v>
      </c>
      <c r="CQ21" s="11">
        <f t="shared" si="49"/>
        <v>54668</v>
      </c>
      <c r="CR21" s="11">
        <f t="shared" si="50"/>
        <v>58239</v>
      </c>
      <c r="CS21" s="11">
        <f t="shared" si="51"/>
        <v>61810</v>
      </c>
      <c r="CT21" s="11">
        <f t="shared" si="52"/>
        <v>65381</v>
      </c>
      <c r="CU21" s="11">
        <f t="shared" si="53"/>
        <v>30363</v>
      </c>
      <c r="CV21" s="11">
        <f t="shared" si="54"/>
        <v>34804</v>
      </c>
      <c r="CW21" s="11">
        <f t="shared" si="55"/>
        <v>39245</v>
      </c>
      <c r="CX21" s="11">
        <f t="shared" si="56"/>
        <v>43686</v>
      </c>
      <c r="CY21" s="11">
        <f t="shared" si="57"/>
        <v>48127</v>
      </c>
      <c r="CZ21" s="11">
        <f t="shared" si="58"/>
        <v>52568</v>
      </c>
      <c r="DA21" s="11">
        <f t="shared" si="59"/>
        <v>57009</v>
      </c>
      <c r="DB21" s="11">
        <f t="shared" si="60"/>
        <v>61450</v>
      </c>
      <c r="DC21" s="11">
        <f t="shared" si="61"/>
        <v>65891</v>
      </c>
      <c r="DD21" s="11">
        <f t="shared" si="62"/>
        <v>70332</v>
      </c>
      <c r="DE21" s="11">
        <f t="shared" si="63"/>
        <v>74773</v>
      </c>
      <c r="DF21" s="11">
        <f t="shared" si="64"/>
        <v>79214</v>
      </c>
      <c r="DG21" s="11">
        <f t="shared" si="65"/>
        <v>83655</v>
      </c>
      <c r="DH21" s="11">
        <f t="shared" si="66"/>
        <v>88096</v>
      </c>
      <c r="DI21" s="11">
        <f t="shared" si="67"/>
        <v>92537</v>
      </c>
      <c r="DJ21" s="11">
        <f t="shared" si="68"/>
        <v>96978</v>
      </c>
      <c r="DK21" s="11">
        <f t="shared" si="69"/>
        <v>29285</v>
      </c>
      <c r="DL21" s="11">
        <f t="shared" si="70"/>
        <v>31374</v>
      </c>
      <c r="DM21" s="11">
        <f t="shared" si="71"/>
        <v>33463</v>
      </c>
      <c r="DN21" s="11" t="str">
        <f t="shared" si="72"/>
        <v>Минерально-сырьевые ресурсы</v>
      </c>
      <c r="DO21" s="11" t="str">
        <f t="shared" si="73"/>
        <v>Химические и технологические материалы</v>
      </c>
      <c r="DP21" s="11" t="str">
        <f t="shared" si="74"/>
        <v>Энергетические ресурсы</v>
      </c>
      <c r="DQ21" s="11" t="str">
        <f t="shared" si="75"/>
        <v>Экономика</v>
      </c>
      <c r="DR21" s="11" t="str">
        <f t="shared" si="76"/>
        <v>Государственное управление</v>
      </c>
      <c r="DS21" s="11" t="str">
        <f t="shared" si="77"/>
        <v>Принятие ИИ</v>
      </c>
      <c r="DT21" s="11" t="str">
        <f t="shared" si="78"/>
        <v>Россия</v>
      </c>
      <c r="DU21" s="11" t="str">
        <f t="shared" si="79"/>
        <v>США</v>
      </c>
      <c r="DV21" s="11" t="str">
        <f t="shared" si="80"/>
        <v>Китай</v>
      </c>
      <c r="DW21" s="11" t="str">
        <f t="shared" si="81"/>
        <v>Ресурсный</v>
      </c>
      <c r="DX21" s="11" t="str">
        <f t="shared" si="82"/>
        <v>Общественный</v>
      </c>
      <c r="DY21" s="11" t="str">
        <f t="shared" si="83"/>
        <v>Дипломатический</v>
      </c>
      <c r="DZ21" s="11" t="str">
        <f t="shared" si="84"/>
        <v>Мощности производства полупроводников</v>
      </c>
      <c r="EA21" s="11" t="str">
        <f t="shared" si="85"/>
        <v>Война</v>
      </c>
      <c r="EB21" s="11" t="str">
        <f t="shared" si="86"/>
        <v>Россия</v>
      </c>
      <c r="EC21" s="11">
        <f t="shared" ref="EC21:EE21" si="116">IF(OR($B21="",$C21=""),0,IF(AND(EG21&gt;=5,EG21&gt;=5*EJ21),3,IF(AND(EJ21&gt;=5,EJ21&gt;=5*EG21),3,IF(AND(EG21&gt;=5,EG21&gt;=3*EJ21),2,IF(AND(EJ21&gt;=5,EJ21&gt;=3*EG21),2,IF(AND(EG21&gt;=5,EG21&gt;=2*EJ21),1,IF(AND(EJ21&gt;=5,EJ21&gt;=2*EG21),1,0)))))))</f>
        <v>0</v>
      </c>
      <c r="ED21" s="11">
        <f t="shared" si="116"/>
        <v>0</v>
      </c>
      <c r="EE21" s="11">
        <f t="shared" si="116"/>
        <v>0</v>
      </c>
      <c r="EF21" s="11">
        <f t="shared" si="88"/>
        <v>0</v>
      </c>
      <c r="EG21" s="11" t="str">
        <f t="shared" si="89"/>
        <v/>
      </c>
      <c r="EH21" s="11" t="str">
        <f t="shared" si="90"/>
        <v/>
      </c>
      <c r="EI21" s="11" t="str">
        <f t="shared" si="91"/>
        <v/>
      </c>
      <c r="EJ21" s="11" t="str">
        <f t="shared" si="92"/>
        <v/>
      </c>
      <c r="EK21" s="11" t="str">
        <f t="shared" si="93"/>
        <v/>
      </c>
      <c r="EL21" s="11" t="str">
        <f t="shared" si="94"/>
        <v/>
      </c>
      <c r="EM21" s="11" t="str">
        <f t="shared" si="95"/>
        <v/>
      </c>
      <c r="EN21" s="11" t="str">
        <f t="shared" si="96"/>
        <v/>
      </c>
      <c r="EO21" s="11" t="str">
        <f t="shared" si="97"/>
        <v/>
      </c>
      <c r="EP21" s="11" t="str">
        <f t="shared" si="98"/>
        <v/>
      </c>
      <c r="EQ21" s="11" t="str">
        <f t="shared" si="99"/>
        <v/>
      </c>
      <c r="ER21" s="11" t="str">
        <f t="shared" si="100"/>
        <v/>
      </c>
      <c r="ES21" s="11" t="str">
        <f t="shared" si="101"/>
        <v/>
      </c>
    </row>
    <row r="22" ht="52.5" customHeight="1">
      <c r="A22" s="55"/>
      <c r="B22" s="42"/>
      <c r="C22" s="42"/>
      <c r="D22" s="42"/>
      <c r="E22" s="42"/>
      <c r="F22" s="42"/>
      <c r="G22" s="56"/>
      <c r="H22" s="56"/>
      <c r="I22" s="56"/>
      <c r="J22" s="42"/>
      <c r="K22" s="42"/>
      <c r="L22" s="42"/>
      <c r="M22" s="56"/>
      <c r="N22" s="56"/>
      <c r="O22" s="56"/>
      <c r="P22" s="57" t="str">
        <f t="shared" si="2"/>
        <v/>
      </c>
      <c r="Q22" s="57" t="str">
        <f t="shared" si="3"/>
        <v/>
      </c>
      <c r="R22" s="58" t="str">
        <f t="shared" si="4"/>
        <v/>
      </c>
      <c r="S22" s="58" t="str">
        <f t="shared" si="5"/>
        <v/>
      </c>
      <c r="T22" s="58" t="str">
        <f t="shared" si="6"/>
        <v/>
      </c>
      <c r="U22" s="59" t="str">
        <f t="shared" si="7"/>
        <v/>
      </c>
      <c r="V22" s="59" t="str">
        <f t="shared" si="8"/>
        <v/>
      </c>
      <c r="W22" s="59" t="str">
        <f t="shared" si="9"/>
        <v/>
      </c>
      <c r="X22" s="60"/>
      <c r="Y22" s="61" t="str">
        <f t="shared" si="10"/>
        <v/>
      </c>
      <c r="Z22" s="61" t="str">
        <f t="shared" si="11"/>
        <v/>
      </c>
      <c r="AA22" s="61" t="str">
        <f t="shared" si="12"/>
        <v/>
      </c>
      <c r="AB22" s="61" t="str">
        <f t="shared" si="13"/>
        <v>Нет локального эффекта</v>
      </c>
      <c r="AC22" s="61" t="str">
        <f t="shared" si="14"/>
        <v/>
      </c>
      <c r="AD22" s="61" t="str">
        <f t="shared" si="15"/>
        <v>Нет локального эффекта</v>
      </c>
      <c r="AE22" s="61" t="str">
        <f t="shared" si="16"/>
        <v/>
      </c>
      <c r="AF22" s="61" t="str">
        <f t="shared" si="17"/>
        <v>Нет локального эффекта</v>
      </c>
      <c r="AG22" s="61" t="str">
        <f t="shared" si="18"/>
        <v/>
      </c>
      <c r="AH22" s="62" t="str">
        <f>IF($B22="","","Общий итог: "&amp;IF($Y22="","ожидает D77",$Y22&amp;IF($Z22="—",""," — "&amp;$Z22))&amp;". Арес: "&amp;$AA22&amp;". "&amp;$AB22&amp;" Афина: "&amp;$AC22&amp;". "&amp;$AD22&amp;" Аполлон: "&amp;$AE22&amp;". "&amp;$AF22&amp;IF($AG22="",""," Общий эффект: "&amp;$AG22))</f>
        <v/>
      </c>
      <c r="BA22" s="11" t="s">
        <v>394</v>
      </c>
      <c r="BF22" s="11">
        <v>9.1962731E7</v>
      </c>
      <c r="BG22" s="11">
        <v>7.5321565E8</v>
      </c>
      <c r="BH22" s="11">
        <v>5.57173208E8</v>
      </c>
      <c r="BI22" s="11">
        <v>9.18849983E8</v>
      </c>
      <c r="BJ22" s="11">
        <v>8.96698768E8</v>
      </c>
      <c r="BK22" s="11">
        <v>6.3719819E8</v>
      </c>
      <c r="BL22" s="11">
        <v>8.59058E7</v>
      </c>
      <c r="BM22" s="11">
        <f t="shared" si="19"/>
        <v>67893</v>
      </c>
      <c r="BN22" s="11">
        <f t="shared" si="20"/>
        <v>75812</v>
      </c>
      <c r="BO22" s="11">
        <f t="shared" si="21"/>
        <v>83731</v>
      </c>
      <c r="BP22" s="11">
        <f t="shared" si="22"/>
        <v>91650</v>
      </c>
      <c r="BQ22" s="11">
        <f t="shared" si="23"/>
        <v>99569</v>
      </c>
      <c r="BR22" s="11">
        <f t="shared" si="24"/>
        <v>7485</v>
      </c>
      <c r="BS22" s="11">
        <f t="shared" si="25"/>
        <v>15404</v>
      </c>
      <c r="BT22" s="11">
        <f t="shared" si="26"/>
        <v>23323</v>
      </c>
      <c r="BU22" s="11">
        <f t="shared" si="27"/>
        <v>31242</v>
      </c>
      <c r="BV22" s="11">
        <f t="shared" si="28"/>
        <v>39161</v>
      </c>
      <c r="BW22" s="11">
        <f t="shared" si="29"/>
        <v>99208</v>
      </c>
      <c r="BX22" s="11">
        <f t="shared" si="30"/>
        <v>5356</v>
      </c>
      <c r="BY22" s="11">
        <f t="shared" si="31"/>
        <v>11507</v>
      </c>
      <c r="BZ22" s="11">
        <f t="shared" si="32"/>
        <v>17658</v>
      </c>
      <c r="CA22" s="11">
        <f t="shared" si="33"/>
        <v>23809</v>
      </c>
      <c r="CB22" s="11">
        <f t="shared" si="34"/>
        <v>29960</v>
      </c>
      <c r="CC22" s="11">
        <f t="shared" si="35"/>
        <v>36111</v>
      </c>
      <c r="CD22" s="11">
        <f t="shared" si="36"/>
        <v>42262</v>
      </c>
      <c r="CE22" s="11">
        <f t="shared" si="37"/>
        <v>60066</v>
      </c>
      <c r="CF22" s="11">
        <f t="shared" si="38"/>
        <v>63637</v>
      </c>
      <c r="CG22" s="11">
        <f t="shared" si="39"/>
        <v>67208</v>
      </c>
      <c r="CH22" s="11">
        <f t="shared" si="40"/>
        <v>70779</v>
      </c>
      <c r="CI22" s="11">
        <f t="shared" si="41"/>
        <v>74350</v>
      </c>
      <c r="CJ22" s="11">
        <f t="shared" si="42"/>
        <v>77921</v>
      </c>
      <c r="CK22" s="11">
        <f t="shared" si="43"/>
        <v>81492</v>
      </c>
      <c r="CL22" s="11">
        <f t="shared" si="44"/>
        <v>85063</v>
      </c>
      <c r="CM22" s="11">
        <f t="shared" si="45"/>
        <v>88634</v>
      </c>
      <c r="CN22" s="11">
        <f t="shared" si="46"/>
        <v>92205</v>
      </c>
      <c r="CO22" s="11">
        <f t="shared" si="47"/>
        <v>95776</v>
      </c>
      <c r="CP22" s="11">
        <f t="shared" si="48"/>
        <v>99347</v>
      </c>
      <c r="CQ22" s="11">
        <f t="shared" si="49"/>
        <v>2915</v>
      </c>
      <c r="CR22" s="11">
        <f t="shared" si="50"/>
        <v>6486</v>
      </c>
      <c r="CS22" s="11">
        <f t="shared" si="51"/>
        <v>10057</v>
      </c>
      <c r="CT22" s="11">
        <f t="shared" si="52"/>
        <v>13628</v>
      </c>
      <c r="CU22" s="11">
        <f t="shared" si="53"/>
        <v>83518</v>
      </c>
      <c r="CV22" s="11">
        <f t="shared" si="54"/>
        <v>87959</v>
      </c>
      <c r="CW22" s="11">
        <f t="shared" si="55"/>
        <v>92400</v>
      </c>
      <c r="CX22" s="11">
        <f t="shared" si="56"/>
        <v>96841</v>
      </c>
      <c r="CY22" s="11">
        <f t="shared" si="57"/>
        <v>1279</v>
      </c>
      <c r="CZ22" s="11">
        <f t="shared" si="58"/>
        <v>5720</v>
      </c>
      <c r="DA22" s="11">
        <f t="shared" si="59"/>
        <v>10161</v>
      </c>
      <c r="DB22" s="11">
        <f t="shared" si="60"/>
        <v>14602</v>
      </c>
      <c r="DC22" s="11">
        <f t="shared" si="61"/>
        <v>19043</v>
      </c>
      <c r="DD22" s="11">
        <f t="shared" si="62"/>
        <v>23484</v>
      </c>
      <c r="DE22" s="11">
        <f t="shared" si="63"/>
        <v>27925</v>
      </c>
      <c r="DF22" s="11">
        <f t="shared" si="64"/>
        <v>32366</v>
      </c>
      <c r="DG22" s="11">
        <f t="shared" si="65"/>
        <v>36807</v>
      </c>
      <c r="DH22" s="11">
        <f t="shared" si="66"/>
        <v>41248</v>
      </c>
      <c r="DI22" s="11">
        <f t="shared" si="67"/>
        <v>45689</v>
      </c>
      <c r="DJ22" s="11">
        <f t="shared" si="68"/>
        <v>50130</v>
      </c>
      <c r="DK22" s="11">
        <f t="shared" si="69"/>
        <v>5312</v>
      </c>
      <c r="DL22" s="11">
        <f t="shared" si="70"/>
        <v>7401</v>
      </c>
      <c r="DM22" s="11">
        <f t="shared" si="71"/>
        <v>9490</v>
      </c>
      <c r="DN22" s="11" t="str">
        <f t="shared" si="72"/>
        <v>Мощности производства полупроводников</v>
      </c>
      <c r="DO22" s="11" t="str">
        <f t="shared" si="73"/>
        <v>Вычислительные компоненты</v>
      </c>
      <c r="DP22" s="11" t="str">
        <f t="shared" si="74"/>
        <v>ЦОД и вычислительная инфраструктура</v>
      </c>
      <c r="DQ22" s="11" t="str">
        <f t="shared" si="75"/>
        <v>Управление</v>
      </c>
      <c r="DR22" s="11" t="str">
        <f t="shared" si="76"/>
        <v>Познание</v>
      </c>
      <c r="DS22" s="11" t="str">
        <f t="shared" si="77"/>
        <v>Обучение</v>
      </c>
      <c r="DT22" s="11" t="str">
        <f t="shared" si="78"/>
        <v>Израиль</v>
      </c>
      <c r="DU22" s="11" t="str">
        <f t="shared" si="79"/>
        <v>Бразилия</v>
      </c>
      <c r="DV22" s="11" t="str">
        <f t="shared" si="80"/>
        <v>ОАЭ</v>
      </c>
      <c r="DW22" s="11" t="str">
        <f t="shared" si="81"/>
        <v>Ресурсный</v>
      </c>
      <c r="DX22" s="11" t="str">
        <f t="shared" si="82"/>
        <v>Общественный</v>
      </c>
      <c r="DY22" s="11" t="str">
        <f t="shared" si="83"/>
        <v>Дипломатический</v>
      </c>
      <c r="DZ22" s="11" t="str">
        <f t="shared" si="84"/>
        <v>Стек разработки ИИ</v>
      </c>
      <c r="EA22" s="11" t="str">
        <f t="shared" si="85"/>
        <v>Производство</v>
      </c>
      <c r="EB22" s="11" t="str">
        <f t="shared" si="86"/>
        <v>Великобритания</v>
      </c>
      <c r="EC22" s="11">
        <f t="shared" ref="EC22:EE22" si="117">IF(OR($B22="",$C22=""),0,IF(AND(EG22&gt;=5,EG22&gt;=5*EJ22),3,IF(AND(EJ22&gt;=5,EJ22&gt;=5*EG22),3,IF(AND(EG22&gt;=5,EG22&gt;=3*EJ22),2,IF(AND(EJ22&gt;=5,EJ22&gt;=3*EG22),2,IF(AND(EG22&gt;=5,EG22&gt;=2*EJ22),1,IF(AND(EJ22&gt;=5,EJ22&gt;=2*EG22),1,0)))))))</f>
        <v>0</v>
      </c>
      <c r="ED22" s="11">
        <f t="shared" si="117"/>
        <v>0</v>
      </c>
      <c r="EE22" s="11">
        <f t="shared" si="117"/>
        <v>0</v>
      </c>
      <c r="EF22" s="11">
        <f t="shared" si="88"/>
        <v>0</v>
      </c>
      <c r="EG22" s="11" t="str">
        <f t="shared" si="89"/>
        <v/>
      </c>
      <c r="EH22" s="11" t="str">
        <f t="shared" si="90"/>
        <v/>
      </c>
      <c r="EI22" s="11" t="str">
        <f t="shared" si="91"/>
        <v/>
      </c>
      <c r="EJ22" s="11" t="str">
        <f t="shared" si="92"/>
        <v/>
      </c>
      <c r="EK22" s="11" t="str">
        <f t="shared" si="93"/>
        <v/>
      </c>
      <c r="EL22" s="11" t="str">
        <f t="shared" si="94"/>
        <v/>
      </c>
      <c r="EM22" s="11" t="str">
        <f t="shared" si="95"/>
        <v/>
      </c>
      <c r="EN22" s="11" t="str">
        <f t="shared" si="96"/>
        <v/>
      </c>
      <c r="EO22" s="11" t="str">
        <f t="shared" si="97"/>
        <v/>
      </c>
      <c r="EP22" s="11" t="str">
        <f t="shared" si="98"/>
        <v/>
      </c>
      <c r="EQ22" s="11" t="str">
        <f t="shared" si="99"/>
        <v/>
      </c>
      <c r="ER22" s="11" t="str">
        <f t="shared" si="100"/>
        <v/>
      </c>
      <c r="ES22" s="11" t="str">
        <f t="shared" si="101"/>
        <v/>
      </c>
    </row>
    <row r="23" ht="52.5" customHeight="1">
      <c r="A23" s="55"/>
      <c r="B23" s="42"/>
      <c r="C23" s="42"/>
      <c r="D23" s="42"/>
      <c r="E23" s="42"/>
      <c r="F23" s="42"/>
      <c r="G23" s="56"/>
      <c r="H23" s="56"/>
      <c r="I23" s="56"/>
      <c r="J23" s="42"/>
      <c r="K23" s="42"/>
      <c r="L23" s="42"/>
      <c r="M23" s="56"/>
      <c r="N23" s="56"/>
      <c r="O23" s="56"/>
      <c r="P23" s="57" t="str">
        <f t="shared" si="2"/>
        <v/>
      </c>
      <c r="Q23" s="57" t="str">
        <f t="shared" si="3"/>
        <v/>
      </c>
      <c r="R23" s="58" t="str">
        <f t="shared" si="4"/>
        <v/>
      </c>
      <c r="S23" s="58" t="str">
        <f t="shared" si="5"/>
        <v/>
      </c>
      <c r="T23" s="58" t="str">
        <f t="shared" si="6"/>
        <v/>
      </c>
      <c r="U23" s="59" t="str">
        <f t="shared" si="7"/>
        <v/>
      </c>
      <c r="V23" s="59" t="str">
        <f t="shared" si="8"/>
        <v/>
      </c>
      <c r="W23" s="59" t="str">
        <f t="shared" si="9"/>
        <v/>
      </c>
      <c r="X23" s="60"/>
      <c r="Y23" s="61" t="str">
        <f t="shared" si="10"/>
        <v/>
      </c>
      <c r="Z23" s="61" t="str">
        <f t="shared" si="11"/>
        <v/>
      </c>
      <c r="AA23" s="61" t="str">
        <f t="shared" si="12"/>
        <v/>
      </c>
      <c r="AB23" s="61" t="str">
        <f t="shared" si="13"/>
        <v>Нет локального эффекта</v>
      </c>
      <c r="AC23" s="61" t="str">
        <f t="shared" si="14"/>
        <v/>
      </c>
      <c r="AD23" s="61" t="str">
        <f t="shared" si="15"/>
        <v>Нет локального эффекта</v>
      </c>
      <c r="AE23" s="61" t="str">
        <f t="shared" si="16"/>
        <v/>
      </c>
      <c r="AF23" s="61" t="str">
        <f t="shared" si="17"/>
        <v>Нет локального эффекта</v>
      </c>
      <c r="AG23" s="61" t="str">
        <f t="shared" si="18"/>
        <v/>
      </c>
      <c r="AH23" s="62" t="str">
        <f>IF($B23="","","Общий итог: "&amp;IF($Y23="","ожидает D78",$Y23&amp;IF($Z23="—",""," — "&amp;$Z23))&amp;". Арес: "&amp;$AA23&amp;". "&amp;$AB23&amp;" Афина: "&amp;$AC23&amp;". "&amp;$AD23&amp;" Аполлон: "&amp;$AE23&amp;". "&amp;$AF23&amp;IF($AG23="",""," Общий эффект: "&amp;$AG23))</f>
        <v/>
      </c>
      <c r="BA23" s="11" t="s">
        <v>395</v>
      </c>
      <c r="BF23" s="11">
        <v>8.65841937E8</v>
      </c>
      <c r="BG23" s="11">
        <v>2.89478864E8</v>
      </c>
      <c r="BH23" s="11">
        <v>1.83994972E8</v>
      </c>
      <c r="BI23" s="11">
        <v>2.83664862E8</v>
      </c>
      <c r="BJ23" s="11">
        <v>9.5681043E8</v>
      </c>
      <c r="BK23" s="11">
        <v>1.81752246E8</v>
      </c>
      <c r="BL23" s="11">
        <v>6.6882281E7</v>
      </c>
      <c r="BM23" s="11">
        <f t="shared" si="19"/>
        <v>23882</v>
      </c>
      <c r="BN23" s="11">
        <f t="shared" si="20"/>
        <v>31801</v>
      </c>
      <c r="BO23" s="11">
        <f t="shared" si="21"/>
        <v>39720</v>
      </c>
      <c r="BP23" s="11">
        <f t="shared" si="22"/>
        <v>47639</v>
      </c>
      <c r="BQ23" s="11">
        <f t="shared" si="23"/>
        <v>55558</v>
      </c>
      <c r="BR23" s="11">
        <f t="shared" si="24"/>
        <v>63477</v>
      </c>
      <c r="BS23" s="11">
        <f t="shared" si="25"/>
        <v>71396</v>
      </c>
      <c r="BT23" s="11">
        <f t="shared" si="26"/>
        <v>79315</v>
      </c>
      <c r="BU23" s="11">
        <f t="shared" si="27"/>
        <v>87234</v>
      </c>
      <c r="BV23" s="11">
        <f t="shared" si="28"/>
        <v>95153</v>
      </c>
      <c r="BW23" s="11">
        <f t="shared" si="29"/>
        <v>76333</v>
      </c>
      <c r="BX23" s="11">
        <f t="shared" si="30"/>
        <v>82484</v>
      </c>
      <c r="BY23" s="11">
        <f t="shared" si="31"/>
        <v>88635</v>
      </c>
      <c r="BZ23" s="11">
        <f t="shared" si="32"/>
        <v>94786</v>
      </c>
      <c r="CA23" s="11">
        <f t="shared" si="33"/>
        <v>934</v>
      </c>
      <c r="CB23" s="11">
        <f t="shared" si="34"/>
        <v>7085</v>
      </c>
      <c r="CC23" s="11">
        <f t="shared" si="35"/>
        <v>13236</v>
      </c>
      <c r="CD23" s="11">
        <f t="shared" si="36"/>
        <v>19387</v>
      </c>
      <c r="CE23" s="11">
        <f t="shared" si="37"/>
        <v>93026</v>
      </c>
      <c r="CF23" s="11">
        <f t="shared" si="38"/>
        <v>96597</v>
      </c>
      <c r="CG23" s="11">
        <f t="shared" si="39"/>
        <v>165</v>
      </c>
      <c r="CH23" s="11">
        <f t="shared" si="40"/>
        <v>3736</v>
      </c>
      <c r="CI23" s="11">
        <f t="shared" si="41"/>
        <v>7307</v>
      </c>
      <c r="CJ23" s="11">
        <f t="shared" si="42"/>
        <v>10878</v>
      </c>
      <c r="CK23" s="11">
        <f t="shared" si="43"/>
        <v>14449</v>
      </c>
      <c r="CL23" s="11">
        <f t="shared" si="44"/>
        <v>18020</v>
      </c>
      <c r="CM23" s="11">
        <f t="shared" si="45"/>
        <v>21591</v>
      </c>
      <c r="CN23" s="11">
        <f t="shared" si="46"/>
        <v>25162</v>
      </c>
      <c r="CO23" s="11">
        <f t="shared" si="47"/>
        <v>28733</v>
      </c>
      <c r="CP23" s="11">
        <f t="shared" si="48"/>
        <v>32304</v>
      </c>
      <c r="CQ23" s="11">
        <f t="shared" si="49"/>
        <v>35875</v>
      </c>
      <c r="CR23" s="11">
        <f t="shared" si="50"/>
        <v>39446</v>
      </c>
      <c r="CS23" s="11">
        <f t="shared" si="51"/>
        <v>43017</v>
      </c>
      <c r="CT23" s="11">
        <f t="shared" si="52"/>
        <v>46588</v>
      </c>
      <c r="CU23" s="11">
        <f t="shared" si="53"/>
        <v>51236</v>
      </c>
      <c r="CV23" s="11">
        <f t="shared" si="54"/>
        <v>55677</v>
      </c>
      <c r="CW23" s="11">
        <f t="shared" si="55"/>
        <v>60118</v>
      </c>
      <c r="CX23" s="11">
        <f t="shared" si="56"/>
        <v>64559</v>
      </c>
      <c r="CY23" s="11">
        <f t="shared" si="57"/>
        <v>69000</v>
      </c>
      <c r="CZ23" s="11">
        <f t="shared" si="58"/>
        <v>73441</v>
      </c>
      <c r="DA23" s="11">
        <f t="shared" si="59"/>
        <v>77882</v>
      </c>
      <c r="DB23" s="11">
        <f t="shared" si="60"/>
        <v>82323</v>
      </c>
      <c r="DC23" s="11">
        <f t="shared" si="61"/>
        <v>86764</v>
      </c>
      <c r="DD23" s="11">
        <f t="shared" si="62"/>
        <v>91205</v>
      </c>
      <c r="DE23" s="11">
        <f t="shared" si="63"/>
        <v>95646</v>
      </c>
      <c r="DF23" s="11">
        <f t="shared" si="64"/>
        <v>84</v>
      </c>
      <c r="DG23" s="11">
        <f t="shared" si="65"/>
        <v>4525</v>
      </c>
      <c r="DH23" s="11">
        <f t="shared" si="66"/>
        <v>8966</v>
      </c>
      <c r="DI23" s="11">
        <f t="shared" si="67"/>
        <v>13407</v>
      </c>
      <c r="DJ23" s="11">
        <f t="shared" si="68"/>
        <v>17848</v>
      </c>
      <c r="DK23" s="11">
        <f t="shared" si="69"/>
        <v>82366</v>
      </c>
      <c r="DL23" s="11">
        <f t="shared" si="70"/>
        <v>84455</v>
      </c>
      <c r="DM23" s="11">
        <f t="shared" si="71"/>
        <v>86544</v>
      </c>
      <c r="DN23" s="11" t="str">
        <f t="shared" si="72"/>
        <v>Минерально-сырьевые ресурсы</v>
      </c>
      <c r="DO23" s="11" t="str">
        <f t="shared" si="73"/>
        <v>Химические и технологические материалы</v>
      </c>
      <c r="DP23" s="11" t="str">
        <f t="shared" si="74"/>
        <v>Энергетические ресурсы</v>
      </c>
      <c r="DQ23" s="11" t="str">
        <f t="shared" si="75"/>
        <v>Война</v>
      </c>
      <c r="DR23" s="11" t="str">
        <f t="shared" si="76"/>
        <v>Экономика</v>
      </c>
      <c r="DS23" s="11" t="str">
        <f t="shared" si="77"/>
        <v>Государственное управление</v>
      </c>
      <c r="DT23" s="11" t="str">
        <f t="shared" si="78"/>
        <v>Китай</v>
      </c>
      <c r="DU23" s="11" t="str">
        <f t="shared" si="79"/>
        <v>Индия</v>
      </c>
      <c r="DV23" s="11" t="str">
        <f t="shared" si="80"/>
        <v>Великобритания</v>
      </c>
      <c r="DW23" s="11" t="str">
        <f t="shared" si="81"/>
        <v>Ресурсный</v>
      </c>
      <c r="DX23" s="11" t="str">
        <f t="shared" si="82"/>
        <v>Общественный</v>
      </c>
      <c r="DY23" s="11" t="str">
        <f t="shared" si="83"/>
        <v>Дипломатический</v>
      </c>
      <c r="DZ23" s="11" t="str">
        <f t="shared" si="84"/>
        <v>Стек разработки ИИ</v>
      </c>
      <c r="EA23" s="11" t="str">
        <f t="shared" si="85"/>
        <v>Государственное управление</v>
      </c>
      <c r="EB23" s="11" t="str">
        <f t="shared" si="86"/>
        <v>Иран</v>
      </c>
      <c r="EC23" s="11">
        <f t="shared" ref="EC23:EE23" si="118">IF(OR($B23="",$C23=""),0,IF(AND(EG23&gt;=5,EG23&gt;=5*EJ23),3,IF(AND(EJ23&gt;=5,EJ23&gt;=5*EG23),3,IF(AND(EG23&gt;=5,EG23&gt;=3*EJ23),2,IF(AND(EJ23&gt;=5,EJ23&gt;=3*EG23),2,IF(AND(EG23&gt;=5,EG23&gt;=2*EJ23),1,IF(AND(EJ23&gt;=5,EJ23&gt;=2*EG23),1,0)))))))</f>
        <v>0</v>
      </c>
      <c r="ED23" s="11">
        <f t="shared" si="118"/>
        <v>0</v>
      </c>
      <c r="EE23" s="11">
        <f t="shared" si="118"/>
        <v>0</v>
      </c>
      <c r="EF23" s="11">
        <f t="shared" si="88"/>
        <v>0</v>
      </c>
      <c r="EG23" s="11" t="str">
        <f t="shared" si="89"/>
        <v/>
      </c>
      <c r="EH23" s="11" t="str">
        <f t="shared" si="90"/>
        <v/>
      </c>
      <c r="EI23" s="11" t="str">
        <f t="shared" si="91"/>
        <v/>
      </c>
      <c r="EJ23" s="11" t="str">
        <f t="shared" si="92"/>
        <v/>
      </c>
      <c r="EK23" s="11" t="str">
        <f t="shared" si="93"/>
        <v/>
      </c>
      <c r="EL23" s="11" t="str">
        <f t="shared" si="94"/>
        <v/>
      </c>
      <c r="EM23" s="11" t="str">
        <f t="shared" si="95"/>
        <v/>
      </c>
      <c r="EN23" s="11" t="str">
        <f t="shared" si="96"/>
        <v/>
      </c>
      <c r="EO23" s="11" t="str">
        <f t="shared" si="97"/>
        <v/>
      </c>
      <c r="EP23" s="11" t="str">
        <f t="shared" si="98"/>
        <v/>
      </c>
      <c r="EQ23" s="11" t="str">
        <f t="shared" si="99"/>
        <v/>
      </c>
      <c r="ER23" s="11" t="str">
        <f t="shared" si="100"/>
        <v/>
      </c>
      <c r="ES23" s="11" t="str">
        <f t="shared" si="101"/>
        <v/>
      </c>
    </row>
    <row r="24" ht="52.5" customHeight="1">
      <c r="A24" s="55"/>
      <c r="B24" s="42"/>
      <c r="C24" s="42"/>
      <c r="D24" s="42"/>
      <c r="E24" s="42"/>
      <c r="F24" s="42"/>
      <c r="G24" s="56"/>
      <c r="H24" s="56"/>
      <c r="I24" s="56"/>
      <c r="J24" s="42"/>
      <c r="K24" s="42"/>
      <c r="L24" s="42"/>
      <c r="M24" s="56"/>
      <c r="N24" s="56"/>
      <c r="O24" s="56"/>
      <c r="P24" s="57" t="str">
        <f t="shared" si="2"/>
        <v/>
      </c>
      <c r="Q24" s="57" t="str">
        <f t="shared" si="3"/>
        <v/>
      </c>
      <c r="R24" s="58" t="str">
        <f t="shared" si="4"/>
        <v/>
      </c>
      <c r="S24" s="58" t="str">
        <f t="shared" si="5"/>
        <v/>
      </c>
      <c r="T24" s="58" t="str">
        <f t="shared" si="6"/>
        <v/>
      </c>
      <c r="U24" s="59" t="str">
        <f t="shared" si="7"/>
        <v/>
      </c>
      <c r="V24" s="59" t="str">
        <f t="shared" si="8"/>
        <v/>
      </c>
      <c r="W24" s="59" t="str">
        <f t="shared" si="9"/>
        <v/>
      </c>
      <c r="X24" s="60"/>
      <c r="Y24" s="61" t="str">
        <f t="shared" si="10"/>
        <v/>
      </c>
      <c r="Z24" s="61" t="str">
        <f t="shared" si="11"/>
        <v/>
      </c>
      <c r="AA24" s="61" t="str">
        <f t="shared" si="12"/>
        <v/>
      </c>
      <c r="AB24" s="61" t="str">
        <f t="shared" si="13"/>
        <v>Нет локального эффекта</v>
      </c>
      <c r="AC24" s="61" t="str">
        <f t="shared" si="14"/>
        <v/>
      </c>
      <c r="AD24" s="61" t="str">
        <f t="shared" si="15"/>
        <v>Нет локального эффекта</v>
      </c>
      <c r="AE24" s="61" t="str">
        <f t="shared" si="16"/>
        <v/>
      </c>
      <c r="AF24" s="61" t="str">
        <f t="shared" si="17"/>
        <v>Нет локального эффекта</v>
      </c>
      <c r="AG24" s="61" t="str">
        <f t="shared" si="18"/>
        <v/>
      </c>
      <c r="AH24" s="62" t="str">
        <f>IF($B24="","","Общий итог: "&amp;IF($Y24="","ожидает D79",$Y24&amp;IF($Z24="—",""," — "&amp;$Z24))&amp;". Арес: "&amp;$AA24&amp;". "&amp;$AB24&amp;" Афина: "&amp;$AC24&amp;". "&amp;$AD24&amp;" Аполлон: "&amp;$AE24&amp;". "&amp;$AF24&amp;IF($AG24="",""," Общий эффект: "&amp;$AG24))</f>
        <v/>
      </c>
      <c r="BA24" s="11" t="s">
        <v>396</v>
      </c>
      <c r="BF24" s="11">
        <v>7.04535999E8</v>
      </c>
      <c r="BG24" s="11">
        <v>2.0870116E8</v>
      </c>
      <c r="BH24" s="11">
        <v>6.64164358E8</v>
      </c>
      <c r="BI24" s="11">
        <v>7.10223979E8</v>
      </c>
      <c r="BJ24" s="11">
        <v>2.34098781E8</v>
      </c>
      <c r="BK24" s="11">
        <v>2.63001089E8</v>
      </c>
      <c r="BL24" s="11">
        <v>8.81068208E8</v>
      </c>
      <c r="BM24" s="11">
        <f t="shared" si="19"/>
        <v>22783</v>
      </c>
      <c r="BN24" s="11">
        <f t="shared" si="20"/>
        <v>30702</v>
      </c>
      <c r="BO24" s="11">
        <f t="shared" si="21"/>
        <v>38621</v>
      </c>
      <c r="BP24" s="11">
        <f t="shared" si="22"/>
        <v>46540</v>
      </c>
      <c r="BQ24" s="11">
        <f t="shared" si="23"/>
        <v>54459</v>
      </c>
      <c r="BR24" s="11">
        <f t="shared" si="24"/>
        <v>62378</v>
      </c>
      <c r="BS24" s="11">
        <f t="shared" si="25"/>
        <v>70297</v>
      </c>
      <c r="BT24" s="11">
        <f t="shared" si="26"/>
        <v>78216</v>
      </c>
      <c r="BU24" s="11">
        <f t="shared" si="27"/>
        <v>86135</v>
      </c>
      <c r="BV24" s="11">
        <f t="shared" si="28"/>
        <v>94054</v>
      </c>
      <c r="BW24" s="11">
        <f t="shared" si="29"/>
        <v>1050</v>
      </c>
      <c r="BX24" s="11">
        <f t="shared" si="30"/>
        <v>7201</v>
      </c>
      <c r="BY24" s="11">
        <f t="shared" si="31"/>
        <v>13352</v>
      </c>
      <c r="BZ24" s="11">
        <f t="shared" si="32"/>
        <v>19503</v>
      </c>
      <c r="CA24" s="11">
        <f t="shared" si="33"/>
        <v>25654</v>
      </c>
      <c r="CB24" s="11">
        <f t="shared" si="34"/>
        <v>31805</v>
      </c>
      <c r="CC24" s="11">
        <f t="shared" si="35"/>
        <v>37956</v>
      </c>
      <c r="CD24" s="11">
        <f t="shared" si="36"/>
        <v>44107</v>
      </c>
      <c r="CE24" s="11">
        <f t="shared" si="37"/>
        <v>48006</v>
      </c>
      <c r="CF24" s="11">
        <f t="shared" si="38"/>
        <v>51577</v>
      </c>
      <c r="CG24" s="11">
        <f t="shared" si="39"/>
        <v>55148</v>
      </c>
      <c r="CH24" s="11">
        <f t="shared" si="40"/>
        <v>58719</v>
      </c>
      <c r="CI24" s="11">
        <f t="shared" si="41"/>
        <v>62290</v>
      </c>
      <c r="CJ24" s="11">
        <f t="shared" si="42"/>
        <v>65861</v>
      </c>
      <c r="CK24" s="11">
        <f t="shared" si="43"/>
        <v>69432</v>
      </c>
      <c r="CL24" s="11">
        <f t="shared" si="44"/>
        <v>73003</v>
      </c>
      <c r="CM24" s="11">
        <f t="shared" si="45"/>
        <v>76574</v>
      </c>
      <c r="CN24" s="11">
        <f t="shared" si="46"/>
        <v>80145</v>
      </c>
      <c r="CO24" s="11">
        <f t="shared" si="47"/>
        <v>83716</v>
      </c>
      <c r="CP24" s="11">
        <f t="shared" si="48"/>
        <v>87287</v>
      </c>
      <c r="CQ24" s="11">
        <f t="shared" si="49"/>
        <v>90858</v>
      </c>
      <c r="CR24" s="11">
        <f t="shared" si="50"/>
        <v>94429</v>
      </c>
      <c r="CS24" s="11">
        <f t="shared" si="51"/>
        <v>98000</v>
      </c>
      <c r="CT24" s="11">
        <f t="shared" si="52"/>
        <v>1568</v>
      </c>
      <c r="CU24" s="11">
        <f t="shared" si="53"/>
        <v>97643</v>
      </c>
      <c r="CV24" s="11">
        <f t="shared" si="54"/>
        <v>2081</v>
      </c>
      <c r="CW24" s="11">
        <f t="shared" si="55"/>
        <v>6522</v>
      </c>
      <c r="CX24" s="11">
        <f t="shared" si="56"/>
        <v>10963</v>
      </c>
      <c r="CY24" s="11">
        <f t="shared" si="57"/>
        <v>15404</v>
      </c>
      <c r="CZ24" s="11">
        <f t="shared" si="58"/>
        <v>19845</v>
      </c>
      <c r="DA24" s="11">
        <f t="shared" si="59"/>
        <v>24286</v>
      </c>
      <c r="DB24" s="11">
        <f t="shared" si="60"/>
        <v>28727</v>
      </c>
      <c r="DC24" s="11">
        <f t="shared" si="61"/>
        <v>33168</v>
      </c>
      <c r="DD24" s="11">
        <f t="shared" si="62"/>
        <v>37609</v>
      </c>
      <c r="DE24" s="11">
        <f t="shared" si="63"/>
        <v>42050</v>
      </c>
      <c r="DF24" s="11">
        <f t="shared" si="64"/>
        <v>46491</v>
      </c>
      <c r="DG24" s="11">
        <f t="shared" si="65"/>
        <v>50932</v>
      </c>
      <c r="DH24" s="11">
        <f t="shared" si="66"/>
        <v>55373</v>
      </c>
      <c r="DI24" s="11">
        <f t="shared" si="67"/>
        <v>59814</v>
      </c>
      <c r="DJ24" s="11">
        <f t="shared" si="68"/>
        <v>64255</v>
      </c>
      <c r="DK24" s="11">
        <f t="shared" si="69"/>
        <v>43867</v>
      </c>
      <c r="DL24" s="11">
        <f t="shared" si="70"/>
        <v>45956</v>
      </c>
      <c r="DM24" s="11">
        <f t="shared" si="71"/>
        <v>48045</v>
      </c>
      <c r="DN24" s="11" t="str">
        <f t="shared" si="72"/>
        <v>Минерально-сырьевые ресурсы</v>
      </c>
      <c r="DO24" s="11" t="str">
        <f t="shared" si="73"/>
        <v>Химические и технологические материалы</v>
      </c>
      <c r="DP24" s="11" t="str">
        <f t="shared" si="74"/>
        <v>Энергетические ресурсы</v>
      </c>
      <c r="DQ24" s="11" t="str">
        <f t="shared" si="75"/>
        <v>Производство</v>
      </c>
      <c r="DR24" s="11" t="str">
        <f t="shared" si="76"/>
        <v>Управление</v>
      </c>
      <c r="DS24" s="11" t="str">
        <f t="shared" si="77"/>
        <v>Познание</v>
      </c>
      <c r="DT24" s="11" t="str">
        <f t="shared" si="78"/>
        <v>Индонезия</v>
      </c>
      <c r="DU24" s="11" t="str">
        <f t="shared" si="79"/>
        <v>Россия</v>
      </c>
      <c r="DV24" s="11" t="str">
        <f t="shared" si="80"/>
        <v>США</v>
      </c>
      <c r="DW24" s="11" t="str">
        <f t="shared" si="81"/>
        <v>Ресурсный</v>
      </c>
      <c r="DX24" s="11" t="str">
        <f t="shared" si="82"/>
        <v>Общественный</v>
      </c>
      <c r="DY24" s="11" t="str">
        <f t="shared" si="83"/>
        <v>Дипломатический</v>
      </c>
      <c r="DZ24" s="11" t="str">
        <f t="shared" si="84"/>
        <v>Экономическая целесообразность</v>
      </c>
      <c r="EA24" s="11" t="str">
        <f t="shared" si="85"/>
        <v>Экономика</v>
      </c>
      <c r="EB24" s="11" t="str">
        <f t="shared" si="86"/>
        <v>США</v>
      </c>
      <c r="EC24" s="11">
        <f t="shared" ref="EC24:EE24" si="119">IF(OR($B24="",$C24=""),0,IF(AND(EG24&gt;=5,EG24&gt;=5*EJ24),3,IF(AND(EJ24&gt;=5,EJ24&gt;=5*EG24),3,IF(AND(EG24&gt;=5,EG24&gt;=3*EJ24),2,IF(AND(EJ24&gt;=5,EJ24&gt;=3*EG24),2,IF(AND(EG24&gt;=5,EG24&gt;=2*EJ24),1,IF(AND(EJ24&gt;=5,EJ24&gt;=2*EG24),1,0)))))))</f>
        <v>0</v>
      </c>
      <c r="ED24" s="11">
        <f t="shared" si="119"/>
        <v>0</v>
      </c>
      <c r="EE24" s="11">
        <f t="shared" si="119"/>
        <v>0</v>
      </c>
      <c r="EF24" s="11">
        <f t="shared" si="88"/>
        <v>0</v>
      </c>
      <c r="EG24" s="11" t="str">
        <f t="shared" si="89"/>
        <v/>
      </c>
      <c r="EH24" s="11" t="str">
        <f t="shared" si="90"/>
        <v/>
      </c>
      <c r="EI24" s="11" t="str">
        <f t="shared" si="91"/>
        <v/>
      </c>
      <c r="EJ24" s="11" t="str">
        <f t="shared" si="92"/>
        <v/>
      </c>
      <c r="EK24" s="11" t="str">
        <f t="shared" si="93"/>
        <v/>
      </c>
      <c r="EL24" s="11" t="str">
        <f t="shared" si="94"/>
        <v/>
      </c>
      <c r="EM24" s="11" t="str">
        <f t="shared" si="95"/>
        <v/>
      </c>
      <c r="EN24" s="11" t="str">
        <f t="shared" si="96"/>
        <v/>
      </c>
      <c r="EO24" s="11" t="str">
        <f t="shared" si="97"/>
        <v/>
      </c>
      <c r="EP24" s="11" t="str">
        <f t="shared" si="98"/>
        <v/>
      </c>
      <c r="EQ24" s="11" t="str">
        <f t="shared" si="99"/>
        <v/>
      </c>
      <c r="ER24" s="11" t="str">
        <f t="shared" si="100"/>
        <v/>
      </c>
      <c r="ES24" s="11" t="str">
        <f t="shared" si="101"/>
        <v/>
      </c>
    </row>
    <row r="25" ht="52.5" customHeight="1">
      <c r="A25" s="55"/>
      <c r="B25" s="42"/>
      <c r="C25" s="42"/>
      <c r="D25" s="42"/>
      <c r="E25" s="42"/>
      <c r="F25" s="42"/>
      <c r="G25" s="56"/>
      <c r="H25" s="56"/>
      <c r="I25" s="56"/>
      <c r="J25" s="42"/>
      <c r="K25" s="42"/>
      <c r="L25" s="42"/>
      <c r="M25" s="56"/>
      <c r="N25" s="56"/>
      <c r="O25" s="56"/>
      <c r="P25" s="57" t="str">
        <f t="shared" si="2"/>
        <v/>
      </c>
      <c r="Q25" s="57" t="str">
        <f t="shared" si="3"/>
        <v/>
      </c>
      <c r="R25" s="58" t="str">
        <f t="shared" si="4"/>
        <v/>
      </c>
      <c r="S25" s="58" t="str">
        <f t="shared" si="5"/>
        <v/>
      </c>
      <c r="T25" s="58" t="str">
        <f t="shared" si="6"/>
        <v/>
      </c>
      <c r="U25" s="59" t="str">
        <f t="shared" si="7"/>
        <v/>
      </c>
      <c r="V25" s="59" t="str">
        <f t="shared" si="8"/>
        <v/>
      </c>
      <c r="W25" s="59" t="str">
        <f t="shared" si="9"/>
        <v/>
      </c>
      <c r="X25" s="60"/>
      <c r="Y25" s="61" t="str">
        <f t="shared" si="10"/>
        <v/>
      </c>
      <c r="Z25" s="61" t="str">
        <f t="shared" si="11"/>
        <v/>
      </c>
      <c r="AA25" s="61" t="str">
        <f t="shared" si="12"/>
        <v/>
      </c>
      <c r="AB25" s="61" t="str">
        <f t="shared" si="13"/>
        <v>Нет локального эффекта</v>
      </c>
      <c r="AC25" s="61" t="str">
        <f t="shared" si="14"/>
        <v/>
      </c>
      <c r="AD25" s="61" t="str">
        <f t="shared" si="15"/>
        <v>Нет локального эффекта</v>
      </c>
      <c r="AE25" s="61" t="str">
        <f t="shared" si="16"/>
        <v/>
      </c>
      <c r="AF25" s="61" t="str">
        <f t="shared" si="17"/>
        <v>Нет локального эффекта</v>
      </c>
      <c r="AG25" s="61" t="str">
        <f t="shared" si="18"/>
        <v/>
      </c>
      <c r="AH25" s="62" t="str">
        <f>IF($B25="","","Общий итог: "&amp;IF($Y25="","ожидает D80",$Y25&amp;IF($Z25="—",""," — "&amp;$Z25))&amp;". Арес: "&amp;$AA25&amp;". "&amp;$AB25&amp;" Афина: "&amp;$AC25&amp;". "&amp;$AD25&amp;" Аполлон: "&amp;$AE25&amp;". "&amp;$AF25&amp;IF($AG25="",""," Общий эффект: "&amp;$AG25))</f>
        <v/>
      </c>
      <c r="BA25" s="11" t="s">
        <v>397</v>
      </c>
      <c r="BF25" s="11">
        <v>2.05135522E8</v>
      </c>
      <c r="BG25" s="11">
        <v>6.4494435E8</v>
      </c>
      <c r="BH25" s="11">
        <v>4.7664044E8</v>
      </c>
      <c r="BI25" s="11">
        <v>2.20642135E8</v>
      </c>
      <c r="BJ25" s="11">
        <v>6.08058172E8</v>
      </c>
      <c r="BK25" s="11">
        <v>2.02946724E8</v>
      </c>
      <c r="BL25" s="11">
        <v>7.96528048E8</v>
      </c>
      <c r="BM25" s="11">
        <f t="shared" si="19"/>
        <v>37288</v>
      </c>
      <c r="BN25" s="11">
        <f t="shared" si="20"/>
        <v>45207</v>
      </c>
      <c r="BO25" s="11">
        <f t="shared" si="21"/>
        <v>53126</v>
      </c>
      <c r="BP25" s="11">
        <f t="shared" si="22"/>
        <v>61045</v>
      </c>
      <c r="BQ25" s="11">
        <f t="shared" si="23"/>
        <v>68964</v>
      </c>
      <c r="BR25" s="11">
        <f t="shared" si="24"/>
        <v>76883</v>
      </c>
      <c r="BS25" s="11">
        <f t="shared" si="25"/>
        <v>84802</v>
      </c>
      <c r="BT25" s="11">
        <f t="shared" si="26"/>
        <v>92721</v>
      </c>
      <c r="BU25" s="11">
        <f t="shared" si="27"/>
        <v>637</v>
      </c>
      <c r="BV25" s="11">
        <f t="shared" si="28"/>
        <v>8556</v>
      </c>
      <c r="BW25" s="11">
        <f t="shared" si="29"/>
        <v>31154</v>
      </c>
      <c r="BX25" s="11">
        <f t="shared" si="30"/>
        <v>37305</v>
      </c>
      <c r="BY25" s="11">
        <f t="shared" si="31"/>
        <v>43456</v>
      </c>
      <c r="BZ25" s="11">
        <f t="shared" si="32"/>
        <v>49607</v>
      </c>
      <c r="CA25" s="11">
        <f t="shared" si="33"/>
        <v>55758</v>
      </c>
      <c r="CB25" s="11">
        <f t="shared" si="34"/>
        <v>61909</v>
      </c>
      <c r="CC25" s="11">
        <f t="shared" si="35"/>
        <v>68060</v>
      </c>
      <c r="CD25" s="11">
        <f t="shared" si="36"/>
        <v>74211</v>
      </c>
      <c r="CE25" s="11">
        <f t="shared" si="37"/>
        <v>29713</v>
      </c>
      <c r="CF25" s="11">
        <f t="shared" si="38"/>
        <v>33284</v>
      </c>
      <c r="CG25" s="11">
        <f t="shared" si="39"/>
        <v>36855</v>
      </c>
      <c r="CH25" s="11">
        <f t="shared" si="40"/>
        <v>40426</v>
      </c>
      <c r="CI25" s="11">
        <f t="shared" si="41"/>
        <v>43997</v>
      </c>
      <c r="CJ25" s="11">
        <f t="shared" si="42"/>
        <v>47568</v>
      </c>
      <c r="CK25" s="11">
        <f t="shared" si="43"/>
        <v>51139</v>
      </c>
      <c r="CL25" s="11">
        <f t="shared" si="44"/>
        <v>54710</v>
      </c>
      <c r="CM25" s="11">
        <f t="shared" si="45"/>
        <v>58281</v>
      </c>
      <c r="CN25" s="11">
        <f t="shared" si="46"/>
        <v>61852</v>
      </c>
      <c r="CO25" s="11">
        <f t="shared" si="47"/>
        <v>65423</v>
      </c>
      <c r="CP25" s="11">
        <f t="shared" si="48"/>
        <v>68994</v>
      </c>
      <c r="CQ25" s="11">
        <f t="shared" si="49"/>
        <v>72565</v>
      </c>
      <c r="CR25" s="11">
        <f t="shared" si="50"/>
        <v>76136</v>
      </c>
      <c r="CS25" s="11">
        <f t="shared" si="51"/>
        <v>79707</v>
      </c>
      <c r="CT25" s="11">
        <f t="shared" si="52"/>
        <v>83278</v>
      </c>
      <c r="CU25" s="11">
        <f t="shared" si="53"/>
        <v>45078</v>
      </c>
      <c r="CV25" s="11">
        <f t="shared" si="54"/>
        <v>49519</v>
      </c>
      <c r="CW25" s="11">
        <f t="shared" si="55"/>
        <v>53960</v>
      </c>
      <c r="CX25" s="11">
        <f t="shared" si="56"/>
        <v>58401</v>
      </c>
      <c r="CY25" s="11">
        <f t="shared" si="57"/>
        <v>62842</v>
      </c>
      <c r="CZ25" s="11">
        <f t="shared" si="58"/>
        <v>67283</v>
      </c>
      <c r="DA25" s="11">
        <f t="shared" si="59"/>
        <v>71724</v>
      </c>
      <c r="DB25" s="11">
        <f t="shared" si="60"/>
        <v>76165</v>
      </c>
      <c r="DC25" s="11">
        <f t="shared" si="61"/>
        <v>80606</v>
      </c>
      <c r="DD25" s="11">
        <f t="shared" si="62"/>
        <v>85047</v>
      </c>
      <c r="DE25" s="11">
        <f t="shared" si="63"/>
        <v>89488</v>
      </c>
      <c r="DF25" s="11">
        <f t="shared" si="64"/>
        <v>93929</v>
      </c>
      <c r="DG25" s="11">
        <f t="shared" si="65"/>
        <v>98370</v>
      </c>
      <c r="DH25" s="11">
        <f t="shared" si="66"/>
        <v>2808</v>
      </c>
      <c r="DI25" s="11">
        <f t="shared" si="67"/>
        <v>7249</v>
      </c>
      <c r="DJ25" s="11">
        <f t="shared" si="68"/>
        <v>11690</v>
      </c>
      <c r="DK25" s="11">
        <f t="shared" si="69"/>
        <v>6242</v>
      </c>
      <c r="DL25" s="11">
        <f t="shared" si="70"/>
        <v>8331</v>
      </c>
      <c r="DM25" s="11">
        <f t="shared" si="71"/>
        <v>10420</v>
      </c>
      <c r="DN25" s="11" t="str">
        <f t="shared" si="72"/>
        <v>Сетевые ресурсы</v>
      </c>
      <c r="DO25" s="11" t="str">
        <f t="shared" si="73"/>
        <v>Конечные устройства</v>
      </c>
      <c r="DP25" s="11" t="str">
        <f t="shared" si="74"/>
        <v>Минерально-сырьевые ресурсы</v>
      </c>
      <c r="DQ25" s="11" t="str">
        <f t="shared" si="75"/>
        <v>Производство</v>
      </c>
      <c r="DR25" s="11" t="str">
        <f t="shared" si="76"/>
        <v>Управление</v>
      </c>
      <c r="DS25" s="11" t="str">
        <f t="shared" si="77"/>
        <v>Познание</v>
      </c>
      <c r="DT25" s="11" t="str">
        <f t="shared" si="78"/>
        <v>Россия</v>
      </c>
      <c r="DU25" s="11" t="str">
        <f t="shared" si="79"/>
        <v>США</v>
      </c>
      <c r="DV25" s="11" t="str">
        <f t="shared" si="80"/>
        <v>Китай</v>
      </c>
      <c r="DW25" s="11" t="str">
        <f t="shared" si="81"/>
        <v>Ресурсный</v>
      </c>
      <c r="DX25" s="11" t="str">
        <f t="shared" si="82"/>
        <v>Общественный</v>
      </c>
      <c r="DY25" s="11" t="str">
        <f t="shared" si="83"/>
        <v>Дипломатический</v>
      </c>
      <c r="DZ25" s="11" t="str">
        <f t="shared" si="84"/>
        <v>Ресурсы оценки</v>
      </c>
      <c r="EA25" s="11" t="str">
        <f t="shared" si="85"/>
        <v>Война</v>
      </c>
      <c r="EB25" s="11" t="str">
        <f t="shared" si="86"/>
        <v>Бразилия</v>
      </c>
      <c r="EC25" s="11">
        <f t="shared" ref="EC25:EE25" si="120">IF(OR($B25="",$C25=""),0,IF(AND(EG25&gt;=5,EG25&gt;=5*EJ25),3,IF(AND(EJ25&gt;=5,EJ25&gt;=5*EG25),3,IF(AND(EG25&gt;=5,EG25&gt;=3*EJ25),2,IF(AND(EJ25&gt;=5,EJ25&gt;=3*EG25),2,IF(AND(EG25&gt;=5,EG25&gt;=2*EJ25),1,IF(AND(EJ25&gt;=5,EJ25&gt;=2*EG25),1,0)))))))</f>
        <v>0</v>
      </c>
      <c r="ED25" s="11">
        <f t="shared" si="120"/>
        <v>0</v>
      </c>
      <c r="EE25" s="11">
        <f t="shared" si="120"/>
        <v>0</v>
      </c>
      <c r="EF25" s="11">
        <f t="shared" si="88"/>
        <v>0</v>
      </c>
      <c r="EG25" s="11" t="str">
        <f t="shared" si="89"/>
        <v/>
      </c>
      <c r="EH25" s="11" t="str">
        <f t="shared" si="90"/>
        <v/>
      </c>
      <c r="EI25" s="11" t="str">
        <f t="shared" si="91"/>
        <v/>
      </c>
      <c r="EJ25" s="11" t="str">
        <f t="shared" si="92"/>
        <v/>
      </c>
      <c r="EK25" s="11" t="str">
        <f t="shared" si="93"/>
        <v/>
      </c>
      <c r="EL25" s="11" t="str">
        <f t="shared" si="94"/>
        <v/>
      </c>
      <c r="EM25" s="11" t="str">
        <f t="shared" si="95"/>
        <v/>
      </c>
      <c r="EN25" s="11" t="str">
        <f t="shared" si="96"/>
        <v/>
      </c>
      <c r="EO25" s="11" t="str">
        <f t="shared" si="97"/>
        <v/>
      </c>
      <c r="EP25" s="11" t="str">
        <f t="shared" si="98"/>
        <v/>
      </c>
      <c r="EQ25" s="11" t="str">
        <f t="shared" si="99"/>
        <v/>
      </c>
      <c r="ER25" s="11" t="str">
        <f t="shared" si="100"/>
        <v/>
      </c>
      <c r="ES25" s="11" t="str">
        <f t="shared" si="101"/>
        <v/>
      </c>
    </row>
    <row r="26" ht="52.5" customHeight="1">
      <c r="A26" s="55"/>
      <c r="B26" s="42"/>
      <c r="C26" s="42"/>
      <c r="D26" s="42"/>
      <c r="E26" s="42"/>
      <c r="F26" s="42"/>
      <c r="G26" s="56"/>
      <c r="H26" s="56"/>
      <c r="I26" s="56"/>
      <c r="J26" s="42"/>
      <c r="K26" s="42"/>
      <c r="L26" s="42"/>
      <c r="M26" s="56"/>
      <c r="N26" s="56"/>
      <c r="O26" s="56"/>
      <c r="P26" s="57" t="str">
        <f t="shared" si="2"/>
        <v/>
      </c>
      <c r="Q26" s="57" t="str">
        <f t="shared" si="3"/>
        <v/>
      </c>
      <c r="R26" s="58" t="str">
        <f t="shared" si="4"/>
        <v/>
      </c>
      <c r="S26" s="58" t="str">
        <f t="shared" si="5"/>
        <v/>
      </c>
      <c r="T26" s="58" t="str">
        <f t="shared" si="6"/>
        <v/>
      </c>
      <c r="U26" s="59" t="str">
        <f t="shared" si="7"/>
        <v/>
      </c>
      <c r="V26" s="59" t="str">
        <f t="shared" si="8"/>
        <v/>
      </c>
      <c r="W26" s="59" t="str">
        <f t="shared" si="9"/>
        <v/>
      </c>
      <c r="X26" s="60"/>
      <c r="Y26" s="61" t="str">
        <f t="shared" si="10"/>
        <v/>
      </c>
      <c r="Z26" s="61" t="str">
        <f t="shared" si="11"/>
        <v/>
      </c>
      <c r="AA26" s="61" t="str">
        <f t="shared" si="12"/>
        <v/>
      </c>
      <c r="AB26" s="61" t="str">
        <f t="shared" si="13"/>
        <v>Нет локального эффекта</v>
      </c>
      <c r="AC26" s="61" t="str">
        <f t="shared" si="14"/>
        <v/>
      </c>
      <c r="AD26" s="61" t="str">
        <f t="shared" si="15"/>
        <v>Нет локального эффекта</v>
      </c>
      <c r="AE26" s="61" t="str">
        <f t="shared" si="16"/>
        <v/>
      </c>
      <c r="AF26" s="61" t="str">
        <f t="shared" si="17"/>
        <v>Нет локального эффекта</v>
      </c>
      <c r="AG26" s="61" t="str">
        <f t="shared" si="18"/>
        <v/>
      </c>
      <c r="AH26" s="62" t="str">
        <f>IF($B26="","","Общий итог: "&amp;IF($Y26="","ожидает D81",$Y26&amp;IF($Z26="—",""," — "&amp;$Z26))&amp;". Арес: "&amp;$AA26&amp;". "&amp;$AB26&amp;" Афина: "&amp;$AC26&amp;". "&amp;$AD26&amp;" Аполлон: "&amp;$AE26&amp;". "&amp;$AF26&amp;IF($AG26="",""," Общий эффект: "&amp;$AG26))</f>
        <v/>
      </c>
      <c r="BA26" s="11" t="s">
        <v>398</v>
      </c>
      <c r="BF26" s="11">
        <v>5.02514187E8</v>
      </c>
      <c r="BG26" s="11">
        <v>1.21739824E8</v>
      </c>
      <c r="BH26" s="11">
        <v>2.42388783E8</v>
      </c>
      <c r="BI26" s="11">
        <v>8.59046444E8</v>
      </c>
      <c r="BJ26" s="11">
        <v>8.67070205E8</v>
      </c>
      <c r="BK26" s="11">
        <v>4.89706758E8</v>
      </c>
      <c r="BL26" s="11">
        <v>7.03361082E8</v>
      </c>
      <c r="BM26" s="11">
        <f t="shared" si="19"/>
        <v>7031</v>
      </c>
      <c r="BN26" s="11">
        <f t="shared" si="20"/>
        <v>14950</v>
      </c>
      <c r="BO26" s="11">
        <f t="shared" si="21"/>
        <v>22869</v>
      </c>
      <c r="BP26" s="11">
        <f t="shared" si="22"/>
        <v>30788</v>
      </c>
      <c r="BQ26" s="11">
        <f t="shared" si="23"/>
        <v>38707</v>
      </c>
      <c r="BR26" s="11">
        <f t="shared" si="24"/>
        <v>46626</v>
      </c>
      <c r="BS26" s="11">
        <f t="shared" si="25"/>
        <v>54545</v>
      </c>
      <c r="BT26" s="11">
        <f t="shared" si="26"/>
        <v>62464</v>
      </c>
      <c r="BU26" s="11">
        <f t="shared" si="27"/>
        <v>70383</v>
      </c>
      <c r="BV26" s="11">
        <f t="shared" si="28"/>
        <v>78302</v>
      </c>
      <c r="BW26" s="11">
        <f t="shared" si="29"/>
        <v>42324</v>
      </c>
      <c r="BX26" s="11">
        <f t="shared" si="30"/>
        <v>48475</v>
      </c>
      <c r="BY26" s="11">
        <f t="shared" si="31"/>
        <v>54626</v>
      </c>
      <c r="BZ26" s="11">
        <f t="shared" si="32"/>
        <v>60777</v>
      </c>
      <c r="CA26" s="11">
        <f t="shared" si="33"/>
        <v>66928</v>
      </c>
      <c r="CB26" s="11">
        <f t="shared" si="34"/>
        <v>73079</v>
      </c>
      <c r="CC26" s="11">
        <f t="shared" si="35"/>
        <v>79230</v>
      </c>
      <c r="CD26" s="11">
        <f t="shared" si="36"/>
        <v>85381</v>
      </c>
      <c r="CE26" s="11">
        <f t="shared" si="37"/>
        <v>85085</v>
      </c>
      <c r="CF26" s="11">
        <f t="shared" si="38"/>
        <v>88656</v>
      </c>
      <c r="CG26" s="11">
        <f t="shared" si="39"/>
        <v>92227</v>
      </c>
      <c r="CH26" s="11">
        <f t="shared" si="40"/>
        <v>95798</v>
      </c>
      <c r="CI26" s="11">
        <f t="shared" si="41"/>
        <v>99369</v>
      </c>
      <c r="CJ26" s="11">
        <f t="shared" si="42"/>
        <v>2937</v>
      </c>
      <c r="CK26" s="11">
        <f t="shared" si="43"/>
        <v>6508</v>
      </c>
      <c r="CL26" s="11">
        <f t="shared" si="44"/>
        <v>10079</v>
      </c>
      <c r="CM26" s="11">
        <f t="shared" si="45"/>
        <v>13650</v>
      </c>
      <c r="CN26" s="11">
        <f t="shared" si="46"/>
        <v>17221</v>
      </c>
      <c r="CO26" s="11">
        <f t="shared" si="47"/>
        <v>20792</v>
      </c>
      <c r="CP26" s="11">
        <f t="shared" si="48"/>
        <v>24363</v>
      </c>
      <c r="CQ26" s="11">
        <f t="shared" si="49"/>
        <v>27934</v>
      </c>
      <c r="CR26" s="11">
        <f t="shared" si="50"/>
        <v>31505</v>
      </c>
      <c r="CS26" s="11">
        <f t="shared" si="51"/>
        <v>35076</v>
      </c>
      <c r="CT26" s="11">
        <f t="shared" si="52"/>
        <v>38647</v>
      </c>
      <c r="CU26" s="11">
        <f t="shared" si="53"/>
        <v>96511</v>
      </c>
      <c r="CV26" s="11">
        <f t="shared" si="54"/>
        <v>949</v>
      </c>
      <c r="CW26" s="11">
        <f t="shared" si="55"/>
        <v>5390</v>
      </c>
      <c r="CX26" s="11">
        <f t="shared" si="56"/>
        <v>9831</v>
      </c>
      <c r="CY26" s="11">
        <f t="shared" si="57"/>
        <v>14272</v>
      </c>
      <c r="CZ26" s="11">
        <f t="shared" si="58"/>
        <v>18713</v>
      </c>
      <c r="DA26" s="11">
        <f t="shared" si="59"/>
        <v>23154</v>
      </c>
      <c r="DB26" s="11">
        <f t="shared" si="60"/>
        <v>27595</v>
      </c>
      <c r="DC26" s="11">
        <f t="shared" si="61"/>
        <v>32036</v>
      </c>
      <c r="DD26" s="11">
        <f t="shared" si="62"/>
        <v>36477</v>
      </c>
      <c r="DE26" s="11">
        <f t="shared" si="63"/>
        <v>40918</v>
      </c>
      <c r="DF26" s="11">
        <f t="shared" si="64"/>
        <v>45359</v>
      </c>
      <c r="DG26" s="11">
        <f t="shared" si="65"/>
        <v>49800</v>
      </c>
      <c r="DH26" s="11">
        <f t="shared" si="66"/>
        <v>54241</v>
      </c>
      <c r="DI26" s="11">
        <f t="shared" si="67"/>
        <v>58682</v>
      </c>
      <c r="DJ26" s="11">
        <f t="shared" si="68"/>
        <v>63123</v>
      </c>
      <c r="DK26" s="11">
        <f t="shared" si="69"/>
        <v>42072</v>
      </c>
      <c r="DL26" s="11">
        <f t="shared" si="70"/>
        <v>44161</v>
      </c>
      <c r="DM26" s="11">
        <f t="shared" si="71"/>
        <v>46250</v>
      </c>
      <c r="DN26" s="11" t="str">
        <f t="shared" si="72"/>
        <v>Минерально-сырьевые ресурсы</v>
      </c>
      <c r="DO26" s="11" t="str">
        <f t="shared" si="73"/>
        <v>Химические и технологические материалы</v>
      </c>
      <c r="DP26" s="11" t="str">
        <f t="shared" si="74"/>
        <v>Энергетические ресурсы</v>
      </c>
      <c r="DQ26" s="11" t="str">
        <f t="shared" si="75"/>
        <v>Производство</v>
      </c>
      <c r="DR26" s="11" t="str">
        <f t="shared" si="76"/>
        <v>Управление</v>
      </c>
      <c r="DS26" s="11" t="str">
        <f t="shared" si="77"/>
        <v>Познание</v>
      </c>
      <c r="DT26" s="11" t="str">
        <f t="shared" si="78"/>
        <v>Франция</v>
      </c>
      <c r="DU26" s="11" t="str">
        <f t="shared" si="79"/>
        <v>Германия</v>
      </c>
      <c r="DV26" s="11" t="str">
        <f t="shared" si="80"/>
        <v>Япония</v>
      </c>
      <c r="DW26" s="11" t="str">
        <f t="shared" si="81"/>
        <v>Ресурсный</v>
      </c>
      <c r="DX26" s="11" t="str">
        <f t="shared" si="82"/>
        <v>Общественный</v>
      </c>
      <c r="DY26" s="11" t="str">
        <f t="shared" si="83"/>
        <v>Дипломатический</v>
      </c>
      <c r="DZ26" s="11" t="str">
        <f t="shared" si="84"/>
        <v>Стек эксплуатации ИИ</v>
      </c>
      <c r="EA26" s="11" t="str">
        <f t="shared" si="85"/>
        <v>Экономика</v>
      </c>
      <c r="EB26" s="11" t="str">
        <f t="shared" si="86"/>
        <v>США</v>
      </c>
      <c r="EC26" s="11">
        <f t="shared" ref="EC26:EE26" si="121">IF(OR($B26="",$C26=""),0,IF(AND(EG26&gt;=5,EG26&gt;=5*EJ26),3,IF(AND(EJ26&gt;=5,EJ26&gt;=5*EG26),3,IF(AND(EG26&gt;=5,EG26&gt;=3*EJ26),2,IF(AND(EJ26&gt;=5,EJ26&gt;=3*EG26),2,IF(AND(EG26&gt;=5,EG26&gt;=2*EJ26),1,IF(AND(EJ26&gt;=5,EJ26&gt;=2*EG26),1,0)))))))</f>
        <v>0</v>
      </c>
      <c r="ED26" s="11">
        <f t="shared" si="121"/>
        <v>0</v>
      </c>
      <c r="EE26" s="11">
        <f t="shared" si="121"/>
        <v>0</v>
      </c>
      <c r="EF26" s="11">
        <f t="shared" si="88"/>
        <v>0</v>
      </c>
      <c r="EG26" s="11" t="str">
        <f t="shared" si="89"/>
        <v/>
      </c>
      <c r="EH26" s="11" t="str">
        <f t="shared" si="90"/>
        <v/>
      </c>
      <c r="EI26" s="11" t="str">
        <f t="shared" si="91"/>
        <v/>
      </c>
      <c r="EJ26" s="11" t="str">
        <f t="shared" si="92"/>
        <v/>
      </c>
      <c r="EK26" s="11" t="str">
        <f t="shared" si="93"/>
        <v/>
      </c>
      <c r="EL26" s="11" t="str">
        <f t="shared" si="94"/>
        <v/>
      </c>
      <c r="EM26" s="11" t="str">
        <f t="shared" si="95"/>
        <v/>
      </c>
      <c r="EN26" s="11" t="str">
        <f t="shared" si="96"/>
        <v/>
      </c>
      <c r="EO26" s="11" t="str">
        <f t="shared" si="97"/>
        <v/>
      </c>
      <c r="EP26" s="11" t="str">
        <f t="shared" si="98"/>
        <v/>
      </c>
      <c r="EQ26" s="11" t="str">
        <f t="shared" si="99"/>
        <v/>
      </c>
      <c r="ER26" s="11" t="str">
        <f t="shared" si="100"/>
        <v/>
      </c>
      <c r="ES26" s="11" t="str">
        <f t="shared" si="101"/>
        <v/>
      </c>
    </row>
    <row r="27" ht="52.5" customHeight="1">
      <c r="A27" s="55"/>
      <c r="B27" s="42"/>
      <c r="C27" s="42"/>
      <c r="D27" s="42"/>
      <c r="E27" s="42"/>
      <c r="F27" s="42"/>
      <c r="G27" s="56"/>
      <c r="H27" s="56"/>
      <c r="I27" s="56"/>
      <c r="J27" s="42"/>
      <c r="K27" s="42"/>
      <c r="L27" s="42"/>
      <c r="M27" s="56"/>
      <c r="N27" s="56"/>
      <c r="O27" s="56"/>
      <c r="P27" s="57" t="str">
        <f t="shared" si="2"/>
        <v/>
      </c>
      <c r="Q27" s="57" t="str">
        <f t="shared" si="3"/>
        <v/>
      </c>
      <c r="R27" s="58" t="str">
        <f t="shared" si="4"/>
        <v/>
      </c>
      <c r="S27" s="58" t="str">
        <f t="shared" si="5"/>
        <v/>
      </c>
      <c r="T27" s="58" t="str">
        <f t="shared" si="6"/>
        <v/>
      </c>
      <c r="U27" s="59" t="str">
        <f t="shared" si="7"/>
        <v/>
      </c>
      <c r="V27" s="59" t="str">
        <f t="shared" si="8"/>
        <v/>
      </c>
      <c r="W27" s="59" t="str">
        <f t="shared" si="9"/>
        <v/>
      </c>
      <c r="X27" s="60"/>
      <c r="Y27" s="61" t="str">
        <f t="shared" si="10"/>
        <v/>
      </c>
      <c r="Z27" s="61" t="str">
        <f t="shared" si="11"/>
        <v/>
      </c>
      <c r="AA27" s="61" t="str">
        <f t="shared" si="12"/>
        <v/>
      </c>
      <c r="AB27" s="61" t="str">
        <f t="shared" si="13"/>
        <v>Нет локального эффекта</v>
      </c>
      <c r="AC27" s="61" t="str">
        <f t="shared" si="14"/>
        <v/>
      </c>
      <c r="AD27" s="61" t="str">
        <f t="shared" si="15"/>
        <v>Нет локального эффекта</v>
      </c>
      <c r="AE27" s="61" t="str">
        <f t="shared" si="16"/>
        <v/>
      </c>
      <c r="AF27" s="61" t="str">
        <f t="shared" si="17"/>
        <v>Нет локального эффекта</v>
      </c>
      <c r="AG27" s="61" t="str">
        <f t="shared" si="18"/>
        <v/>
      </c>
      <c r="AH27" s="62" t="str">
        <f>IF($B27="","","Общий итог: "&amp;IF($Y27="","ожидает D82",$Y27&amp;IF($Z27="—",""," — "&amp;$Z27))&amp;". Арес: "&amp;$AA27&amp;". "&amp;$AB27&amp;" Афина: "&amp;$AC27&amp;". "&amp;$AD27&amp;" Аполлон: "&amp;$AE27&amp;". "&amp;$AF27&amp;IF($AG27="",""," Общий эффект: "&amp;$AG27))</f>
        <v/>
      </c>
      <c r="BA27" s="11" t="s">
        <v>399</v>
      </c>
      <c r="BF27" s="11">
        <v>1.93212409E8</v>
      </c>
      <c r="BG27" s="11">
        <v>7.58476823E8</v>
      </c>
      <c r="BH27" s="11">
        <v>5.57603467E8</v>
      </c>
      <c r="BI27" s="11">
        <v>2.62079508E8</v>
      </c>
      <c r="BJ27" s="11">
        <v>4.35240159E8</v>
      </c>
      <c r="BK27" s="11">
        <v>5.59888511E8</v>
      </c>
      <c r="BL27" s="11">
        <v>5.5261507E8</v>
      </c>
      <c r="BM27" s="11">
        <f t="shared" si="19"/>
        <v>14532</v>
      </c>
      <c r="BN27" s="11">
        <f t="shared" si="20"/>
        <v>22451</v>
      </c>
      <c r="BO27" s="11">
        <f t="shared" si="21"/>
        <v>30370</v>
      </c>
      <c r="BP27" s="11">
        <f t="shared" si="22"/>
        <v>38289</v>
      </c>
      <c r="BQ27" s="11">
        <f t="shared" si="23"/>
        <v>46208</v>
      </c>
      <c r="BR27" s="11">
        <f t="shared" si="24"/>
        <v>54127</v>
      </c>
      <c r="BS27" s="11">
        <f t="shared" si="25"/>
        <v>62046</v>
      </c>
      <c r="BT27" s="11">
        <f t="shared" si="26"/>
        <v>69965</v>
      </c>
      <c r="BU27" s="11">
        <f t="shared" si="27"/>
        <v>77884</v>
      </c>
      <c r="BV27" s="11">
        <f t="shared" si="28"/>
        <v>85803</v>
      </c>
      <c r="BW27" s="11">
        <f t="shared" si="29"/>
        <v>60222</v>
      </c>
      <c r="BX27" s="11">
        <f t="shared" si="30"/>
        <v>66373</v>
      </c>
      <c r="BY27" s="11">
        <f t="shared" si="31"/>
        <v>72524</v>
      </c>
      <c r="BZ27" s="11">
        <f t="shared" si="32"/>
        <v>78675</v>
      </c>
      <c r="CA27" s="11">
        <f t="shared" si="33"/>
        <v>84826</v>
      </c>
      <c r="CB27" s="11">
        <f t="shared" si="34"/>
        <v>90977</v>
      </c>
      <c r="CC27" s="11">
        <f t="shared" si="35"/>
        <v>97128</v>
      </c>
      <c r="CD27" s="11">
        <f t="shared" si="36"/>
        <v>3276</v>
      </c>
      <c r="CE27" s="11">
        <f t="shared" si="37"/>
        <v>90313</v>
      </c>
      <c r="CF27" s="11">
        <f t="shared" si="38"/>
        <v>93884</v>
      </c>
      <c r="CG27" s="11">
        <f t="shared" si="39"/>
        <v>97455</v>
      </c>
      <c r="CH27" s="11">
        <f t="shared" si="40"/>
        <v>1023</v>
      </c>
      <c r="CI27" s="11">
        <f t="shared" si="41"/>
        <v>4594</v>
      </c>
      <c r="CJ27" s="11">
        <f t="shared" si="42"/>
        <v>8165</v>
      </c>
      <c r="CK27" s="11">
        <f t="shared" si="43"/>
        <v>11736</v>
      </c>
      <c r="CL27" s="11">
        <f t="shared" si="44"/>
        <v>15307</v>
      </c>
      <c r="CM27" s="11">
        <f t="shared" si="45"/>
        <v>18878</v>
      </c>
      <c r="CN27" s="11">
        <f t="shared" si="46"/>
        <v>22449</v>
      </c>
      <c r="CO27" s="11">
        <f t="shared" si="47"/>
        <v>26020</v>
      </c>
      <c r="CP27" s="11">
        <f t="shared" si="48"/>
        <v>29591</v>
      </c>
      <c r="CQ27" s="11">
        <f t="shared" si="49"/>
        <v>33162</v>
      </c>
      <c r="CR27" s="11">
        <f t="shared" si="50"/>
        <v>36733</v>
      </c>
      <c r="CS27" s="11">
        <f t="shared" si="51"/>
        <v>40304</v>
      </c>
      <c r="CT27" s="11">
        <f t="shared" si="52"/>
        <v>43875</v>
      </c>
      <c r="CU27" s="11">
        <f t="shared" si="53"/>
        <v>76158</v>
      </c>
      <c r="CV27" s="11">
        <f t="shared" si="54"/>
        <v>80599</v>
      </c>
      <c r="CW27" s="11">
        <f t="shared" si="55"/>
        <v>85040</v>
      </c>
      <c r="CX27" s="11">
        <f t="shared" si="56"/>
        <v>89481</v>
      </c>
      <c r="CY27" s="11">
        <f t="shared" si="57"/>
        <v>93922</v>
      </c>
      <c r="CZ27" s="11">
        <f t="shared" si="58"/>
        <v>98363</v>
      </c>
      <c r="DA27" s="11">
        <f t="shared" si="59"/>
        <v>2801</v>
      </c>
      <c r="DB27" s="11">
        <f t="shared" si="60"/>
        <v>7242</v>
      </c>
      <c r="DC27" s="11">
        <f t="shared" si="61"/>
        <v>11683</v>
      </c>
      <c r="DD27" s="11">
        <f t="shared" si="62"/>
        <v>16124</v>
      </c>
      <c r="DE27" s="11">
        <f t="shared" si="63"/>
        <v>20565</v>
      </c>
      <c r="DF27" s="11">
        <f t="shared" si="64"/>
        <v>25006</v>
      </c>
      <c r="DG27" s="11">
        <f t="shared" si="65"/>
        <v>29447</v>
      </c>
      <c r="DH27" s="11">
        <f t="shared" si="66"/>
        <v>33888</v>
      </c>
      <c r="DI27" s="11">
        <f t="shared" si="67"/>
        <v>38329</v>
      </c>
      <c r="DJ27" s="11">
        <f t="shared" si="68"/>
        <v>42770</v>
      </c>
      <c r="DK27" s="11">
        <f t="shared" si="69"/>
        <v>581</v>
      </c>
      <c r="DL27" s="11">
        <f t="shared" si="70"/>
        <v>2670</v>
      </c>
      <c r="DM27" s="11">
        <f t="shared" si="71"/>
        <v>4759</v>
      </c>
      <c r="DN27" s="11" t="str">
        <f t="shared" si="72"/>
        <v>Минерально-сырьевые ресурсы</v>
      </c>
      <c r="DO27" s="11" t="str">
        <f t="shared" si="73"/>
        <v>Химические и технологические материалы</v>
      </c>
      <c r="DP27" s="11" t="str">
        <f t="shared" si="74"/>
        <v>Энергетические ресурсы</v>
      </c>
      <c r="DQ27" s="11" t="str">
        <f t="shared" si="75"/>
        <v>Принятие ИИ</v>
      </c>
      <c r="DR27" s="11" t="str">
        <f t="shared" si="76"/>
        <v>Производство</v>
      </c>
      <c r="DS27" s="11" t="str">
        <f t="shared" si="77"/>
        <v>Управление</v>
      </c>
      <c r="DT27" s="11" t="str">
        <f t="shared" si="78"/>
        <v>Индия</v>
      </c>
      <c r="DU27" s="11" t="str">
        <f t="shared" si="79"/>
        <v>Великобритания</v>
      </c>
      <c r="DV27" s="11" t="str">
        <f t="shared" si="80"/>
        <v>Франция</v>
      </c>
      <c r="DW27" s="11" t="str">
        <f t="shared" si="81"/>
        <v>Ресурсный</v>
      </c>
      <c r="DX27" s="11" t="str">
        <f t="shared" si="82"/>
        <v>Общественный</v>
      </c>
      <c r="DY27" s="11" t="str">
        <f t="shared" si="83"/>
        <v>Дипломатический</v>
      </c>
      <c r="DZ27" s="11" t="str">
        <f t="shared" si="84"/>
        <v>Стек эксплуатации ИИ</v>
      </c>
      <c r="EA27" s="11" t="str">
        <f t="shared" si="85"/>
        <v>Принятие ИИ</v>
      </c>
      <c r="EB27" s="11" t="str">
        <f t="shared" si="86"/>
        <v>Германия</v>
      </c>
      <c r="EC27" s="11">
        <f t="shared" ref="EC27:EE27" si="122">IF(OR($B27="",$C27=""),0,IF(AND(EG27&gt;=5,EG27&gt;=5*EJ27),3,IF(AND(EJ27&gt;=5,EJ27&gt;=5*EG27),3,IF(AND(EG27&gt;=5,EG27&gt;=3*EJ27),2,IF(AND(EJ27&gt;=5,EJ27&gt;=3*EG27),2,IF(AND(EG27&gt;=5,EG27&gt;=2*EJ27),1,IF(AND(EJ27&gt;=5,EJ27&gt;=2*EG27),1,0)))))))</f>
        <v>0</v>
      </c>
      <c r="ED27" s="11">
        <f t="shared" si="122"/>
        <v>0</v>
      </c>
      <c r="EE27" s="11">
        <f t="shared" si="122"/>
        <v>0</v>
      </c>
      <c r="EF27" s="11">
        <f t="shared" si="88"/>
        <v>0</v>
      </c>
      <c r="EG27" s="11" t="str">
        <f t="shared" si="89"/>
        <v/>
      </c>
      <c r="EH27" s="11" t="str">
        <f t="shared" si="90"/>
        <v/>
      </c>
      <c r="EI27" s="11" t="str">
        <f t="shared" si="91"/>
        <v/>
      </c>
      <c r="EJ27" s="11" t="str">
        <f t="shared" si="92"/>
        <v/>
      </c>
      <c r="EK27" s="11" t="str">
        <f t="shared" si="93"/>
        <v/>
      </c>
      <c r="EL27" s="11" t="str">
        <f t="shared" si="94"/>
        <v/>
      </c>
      <c r="EM27" s="11" t="str">
        <f t="shared" si="95"/>
        <v/>
      </c>
      <c r="EN27" s="11" t="str">
        <f t="shared" si="96"/>
        <v/>
      </c>
      <c r="EO27" s="11" t="str">
        <f t="shared" si="97"/>
        <v/>
      </c>
      <c r="EP27" s="11" t="str">
        <f t="shared" si="98"/>
        <v/>
      </c>
      <c r="EQ27" s="11" t="str">
        <f t="shared" si="99"/>
        <v/>
      </c>
      <c r="ER27" s="11" t="str">
        <f t="shared" si="100"/>
        <v/>
      </c>
      <c r="ES27" s="11" t="str">
        <f t="shared" si="101"/>
        <v/>
      </c>
    </row>
    <row r="28" ht="52.5" customHeight="1">
      <c r="A28" s="55"/>
      <c r="B28" s="42"/>
      <c r="C28" s="42"/>
      <c r="D28" s="42"/>
      <c r="E28" s="42"/>
      <c r="F28" s="42"/>
      <c r="G28" s="56"/>
      <c r="H28" s="56"/>
      <c r="I28" s="56"/>
      <c r="J28" s="42"/>
      <c r="K28" s="42"/>
      <c r="L28" s="42"/>
      <c r="M28" s="56"/>
      <c r="N28" s="56"/>
      <c r="O28" s="56"/>
      <c r="P28" s="57" t="str">
        <f t="shared" si="2"/>
        <v/>
      </c>
      <c r="Q28" s="57" t="str">
        <f t="shared" si="3"/>
        <v/>
      </c>
      <c r="R28" s="58" t="str">
        <f t="shared" si="4"/>
        <v/>
      </c>
      <c r="S28" s="58" t="str">
        <f t="shared" si="5"/>
        <v/>
      </c>
      <c r="T28" s="58" t="str">
        <f t="shared" si="6"/>
        <v/>
      </c>
      <c r="U28" s="59" t="str">
        <f t="shared" si="7"/>
        <v/>
      </c>
      <c r="V28" s="59" t="str">
        <f t="shared" si="8"/>
        <v/>
      </c>
      <c r="W28" s="59" t="str">
        <f t="shared" si="9"/>
        <v/>
      </c>
      <c r="X28" s="60"/>
      <c r="Y28" s="61" t="str">
        <f t="shared" si="10"/>
        <v/>
      </c>
      <c r="Z28" s="61" t="str">
        <f t="shared" si="11"/>
        <v/>
      </c>
      <c r="AA28" s="61" t="str">
        <f t="shared" si="12"/>
        <v/>
      </c>
      <c r="AB28" s="61" t="str">
        <f t="shared" si="13"/>
        <v>Нет локального эффекта</v>
      </c>
      <c r="AC28" s="61" t="str">
        <f t="shared" si="14"/>
        <v/>
      </c>
      <c r="AD28" s="61" t="str">
        <f t="shared" si="15"/>
        <v>Нет локального эффекта</v>
      </c>
      <c r="AE28" s="61" t="str">
        <f t="shared" si="16"/>
        <v/>
      </c>
      <c r="AF28" s="61" t="str">
        <f t="shared" si="17"/>
        <v>Нет локального эффекта</v>
      </c>
      <c r="AG28" s="61" t="str">
        <f t="shared" si="18"/>
        <v/>
      </c>
      <c r="AH28" s="62" t="str">
        <f>IF($B28="","","Общий итог: "&amp;IF($Y28="","ожидает D83",$Y28&amp;IF($Z28="—",""," — "&amp;$Z28))&amp;". Арес: "&amp;$AA28&amp;". "&amp;$AB28&amp;" Афина: "&amp;$AC28&amp;". "&amp;$AD28&amp;" Аполлон: "&amp;$AE28&amp;". "&amp;$AF28&amp;IF($AG28="",""," Общий эффект: "&amp;$AG28))</f>
        <v/>
      </c>
      <c r="BA28" s="11" t="s">
        <v>400</v>
      </c>
      <c r="BF28" s="11">
        <v>1.8247789E8</v>
      </c>
      <c r="BG28" s="11">
        <v>1.96906471E8</v>
      </c>
      <c r="BH28" s="11">
        <v>3.27850478E8</v>
      </c>
      <c r="BI28" s="11">
        <v>7.51941467E8</v>
      </c>
      <c r="BJ28" s="11">
        <v>4.05435699E8</v>
      </c>
      <c r="BK28" s="11">
        <v>7.03673198E8</v>
      </c>
      <c r="BL28" s="11">
        <v>1.32776724E8</v>
      </c>
      <c r="BM28" s="11">
        <f t="shared" si="19"/>
        <v>80337</v>
      </c>
      <c r="BN28" s="11">
        <f t="shared" si="20"/>
        <v>88256</v>
      </c>
      <c r="BO28" s="11">
        <f t="shared" si="21"/>
        <v>96175</v>
      </c>
      <c r="BP28" s="11">
        <f t="shared" si="22"/>
        <v>4091</v>
      </c>
      <c r="BQ28" s="11">
        <f t="shared" si="23"/>
        <v>12010</v>
      </c>
      <c r="BR28" s="11">
        <f t="shared" si="24"/>
        <v>19929</v>
      </c>
      <c r="BS28" s="11">
        <f t="shared" si="25"/>
        <v>27848</v>
      </c>
      <c r="BT28" s="11">
        <f t="shared" si="26"/>
        <v>35767</v>
      </c>
      <c r="BU28" s="11">
        <f t="shared" si="27"/>
        <v>43686</v>
      </c>
      <c r="BV28" s="11">
        <f t="shared" si="28"/>
        <v>51605</v>
      </c>
      <c r="BW28" s="11">
        <f t="shared" si="29"/>
        <v>6715</v>
      </c>
      <c r="BX28" s="11">
        <f t="shared" si="30"/>
        <v>12866</v>
      </c>
      <c r="BY28" s="11">
        <f t="shared" si="31"/>
        <v>19017</v>
      </c>
      <c r="BZ28" s="11">
        <f t="shared" si="32"/>
        <v>25168</v>
      </c>
      <c r="CA28" s="11">
        <f t="shared" si="33"/>
        <v>31319</v>
      </c>
      <c r="CB28" s="11">
        <f t="shared" si="34"/>
        <v>37470</v>
      </c>
      <c r="CC28" s="11">
        <f t="shared" si="35"/>
        <v>43621</v>
      </c>
      <c r="CD28" s="11">
        <f t="shared" si="36"/>
        <v>49772</v>
      </c>
      <c r="CE28" s="11">
        <f t="shared" si="37"/>
        <v>44215</v>
      </c>
      <c r="CF28" s="11">
        <f t="shared" si="38"/>
        <v>47786</v>
      </c>
      <c r="CG28" s="11">
        <f t="shared" si="39"/>
        <v>51357</v>
      </c>
      <c r="CH28" s="11">
        <f t="shared" si="40"/>
        <v>54928</v>
      </c>
      <c r="CI28" s="11">
        <f t="shared" si="41"/>
        <v>58499</v>
      </c>
      <c r="CJ28" s="11">
        <f t="shared" si="42"/>
        <v>62070</v>
      </c>
      <c r="CK28" s="11">
        <f t="shared" si="43"/>
        <v>65641</v>
      </c>
      <c r="CL28" s="11">
        <f t="shared" si="44"/>
        <v>69212</v>
      </c>
      <c r="CM28" s="11">
        <f t="shared" si="45"/>
        <v>72783</v>
      </c>
      <c r="CN28" s="11">
        <f t="shared" si="46"/>
        <v>76354</v>
      </c>
      <c r="CO28" s="11">
        <f t="shared" si="47"/>
        <v>79925</v>
      </c>
      <c r="CP28" s="11">
        <f t="shared" si="48"/>
        <v>83496</v>
      </c>
      <c r="CQ28" s="11">
        <f t="shared" si="49"/>
        <v>87067</v>
      </c>
      <c r="CR28" s="11">
        <f t="shared" si="50"/>
        <v>90638</v>
      </c>
      <c r="CS28" s="11">
        <f t="shared" si="51"/>
        <v>94209</v>
      </c>
      <c r="CT28" s="11">
        <f t="shared" si="52"/>
        <v>97780</v>
      </c>
      <c r="CU28" s="11">
        <f t="shared" si="53"/>
        <v>56531</v>
      </c>
      <c r="CV28" s="11">
        <f t="shared" si="54"/>
        <v>60972</v>
      </c>
      <c r="CW28" s="11">
        <f t="shared" si="55"/>
        <v>65413</v>
      </c>
      <c r="CX28" s="11">
        <f t="shared" si="56"/>
        <v>69854</v>
      </c>
      <c r="CY28" s="11">
        <f t="shared" si="57"/>
        <v>74295</v>
      </c>
      <c r="CZ28" s="11">
        <f t="shared" si="58"/>
        <v>78736</v>
      </c>
      <c r="DA28" s="11">
        <f t="shared" si="59"/>
        <v>83177</v>
      </c>
      <c r="DB28" s="11">
        <f t="shared" si="60"/>
        <v>87618</v>
      </c>
      <c r="DC28" s="11">
        <f t="shared" si="61"/>
        <v>92059</v>
      </c>
      <c r="DD28" s="11">
        <f t="shared" si="62"/>
        <v>96500</v>
      </c>
      <c r="DE28" s="11">
        <f t="shared" si="63"/>
        <v>938</v>
      </c>
      <c r="DF28" s="11">
        <f t="shared" si="64"/>
        <v>5379</v>
      </c>
      <c r="DG28" s="11">
        <f t="shared" si="65"/>
        <v>9820</v>
      </c>
      <c r="DH28" s="11">
        <f t="shared" si="66"/>
        <v>14261</v>
      </c>
      <c r="DI28" s="11">
        <f t="shared" si="67"/>
        <v>18702</v>
      </c>
      <c r="DJ28" s="11">
        <f t="shared" si="68"/>
        <v>23143</v>
      </c>
      <c r="DK28" s="11">
        <f t="shared" si="69"/>
        <v>74832</v>
      </c>
      <c r="DL28" s="11">
        <f t="shared" si="70"/>
        <v>76921</v>
      </c>
      <c r="DM28" s="11">
        <f t="shared" si="71"/>
        <v>79010</v>
      </c>
      <c r="DN28" s="11" t="str">
        <f t="shared" si="72"/>
        <v>Вода и ресурс отвода тепла</v>
      </c>
      <c r="DO28" s="11" t="str">
        <f t="shared" si="73"/>
        <v>Пространственные и природно-географические ресурсы</v>
      </c>
      <c r="DP28" s="11" t="str">
        <f t="shared" si="74"/>
        <v>Мощности производства полупроводников</v>
      </c>
      <c r="DQ28" s="11" t="str">
        <f t="shared" si="75"/>
        <v>Производство</v>
      </c>
      <c r="DR28" s="11" t="str">
        <f t="shared" si="76"/>
        <v>Управление</v>
      </c>
      <c r="DS28" s="11" t="str">
        <f t="shared" si="77"/>
        <v>Познание</v>
      </c>
      <c r="DT28" s="11" t="str">
        <f t="shared" si="78"/>
        <v>Россия</v>
      </c>
      <c r="DU28" s="11" t="str">
        <f t="shared" si="79"/>
        <v>США</v>
      </c>
      <c r="DV28" s="11" t="str">
        <f t="shared" si="80"/>
        <v>Китай</v>
      </c>
      <c r="DW28" s="11" t="str">
        <f t="shared" si="81"/>
        <v>Ресурсный</v>
      </c>
      <c r="DX28" s="11" t="str">
        <f t="shared" si="82"/>
        <v>Общественный</v>
      </c>
      <c r="DY28" s="11" t="str">
        <f t="shared" si="83"/>
        <v>Дипломатический</v>
      </c>
      <c r="DZ28" s="11" t="str">
        <f t="shared" si="84"/>
        <v>Готовность работников к использованию ИИ</v>
      </c>
      <c r="EA28" s="11" t="str">
        <f t="shared" si="85"/>
        <v>Обучение</v>
      </c>
      <c r="EB28" s="11" t="str">
        <f t="shared" si="86"/>
        <v>Саудовская Аравия</v>
      </c>
      <c r="EC28" s="11">
        <f t="shared" ref="EC28:EE28" si="123">IF(OR($B28="",$C28=""),0,IF(AND(EG28&gt;=5,EG28&gt;=5*EJ28),3,IF(AND(EJ28&gt;=5,EJ28&gt;=5*EG28),3,IF(AND(EG28&gt;=5,EG28&gt;=3*EJ28),2,IF(AND(EJ28&gt;=5,EJ28&gt;=3*EG28),2,IF(AND(EG28&gt;=5,EG28&gt;=2*EJ28),1,IF(AND(EJ28&gt;=5,EJ28&gt;=2*EG28),1,0)))))))</f>
        <v>0</v>
      </c>
      <c r="ED28" s="11">
        <f t="shared" si="123"/>
        <v>0</v>
      </c>
      <c r="EE28" s="11">
        <f t="shared" si="123"/>
        <v>0</v>
      </c>
      <c r="EF28" s="11">
        <f t="shared" si="88"/>
        <v>0</v>
      </c>
      <c r="EG28" s="11" t="str">
        <f t="shared" si="89"/>
        <v/>
      </c>
      <c r="EH28" s="11" t="str">
        <f t="shared" si="90"/>
        <v/>
      </c>
      <c r="EI28" s="11" t="str">
        <f t="shared" si="91"/>
        <v/>
      </c>
      <c r="EJ28" s="11" t="str">
        <f t="shared" si="92"/>
        <v/>
      </c>
      <c r="EK28" s="11" t="str">
        <f t="shared" si="93"/>
        <v/>
      </c>
      <c r="EL28" s="11" t="str">
        <f t="shared" si="94"/>
        <v/>
      </c>
      <c r="EM28" s="11" t="str">
        <f t="shared" si="95"/>
        <v/>
      </c>
      <c r="EN28" s="11" t="str">
        <f t="shared" si="96"/>
        <v/>
      </c>
      <c r="EO28" s="11" t="str">
        <f t="shared" si="97"/>
        <v/>
      </c>
      <c r="EP28" s="11" t="str">
        <f t="shared" si="98"/>
        <v/>
      </c>
      <c r="EQ28" s="11" t="str">
        <f t="shared" si="99"/>
        <v/>
      </c>
      <c r="ER28" s="11" t="str">
        <f t="shared" si="100"/>
        <v/>
      </c>
      <c r="ES28" s="11" t="str">
        <f t="shared" si="101"/>
        <v/>
      </c>
    </row>
    <row r="29" ht="52.5" customHeight="1">
      <c r="A29" s="55"/>
      <c r="B29" s="42"/>
      <c r="C29" s="42"/>
      <c r="D29" s="42"/>
      <c r="E29" s="42"/>
      <c r="F29" s="42"/>
      <c r="G29" s="56"/>
      <c r="H29" s="56"/>
      <c r="I29" s="56"/>
      <c r="J29" s="42"/>
      <c r="K29" s="42"/>
      <c r="L29" s="42"/>
      <c r="M29" s="56"/>
      <c r="N29" s="56"/>
      <c r="O29" s="56"/>
      <c r="P29" s="57" t="str">
        <f t="shared" si="2"/>
        <v/>
      </c>
      <c r="Q29" s="57" t="str">
        <f t="shared" si="3"/>
        <v/>
      </c>
      <c r="R29" s="58" t="str">
        <f t="shared" si="4"/>
        <v/>
      </c>
      <c r="S29" s="58" t="str">
        <f t="shared" si="5"/>
        <v/>
      </c>
      <c r="T29" s="58" t="str">
        <f t="shared" si="6"/>
        <v/>
      </c>
      <c r="U29" s="59" t="str">
        <f t="shared" si="7"/>
        <v/>
      </c>
      <c r="V29" s="59" t="str">
        <f t="shared" si="8"/>
        <v/>
      </c>
      <c r="W29" s="59" t="str">
        <f t="shared" si="9"/>
        <v/>
      </c>
      <c r="X29" s="60"/>
      <c r="Y29" s="61" t="str">
        <f t="shared" si="10"/>
        <v/>
      </c>
      <c r="Z29" s="61" t="str">
        <f t="shared" si="11"/>
        <v/>
      </c>
      <c r="AA29" s="61" t="str">
        <f t="shared" si="12"/>
        <v/>
      </c>
      <c r="AB29" s="61" t="str">
        <f t="shared" si="13"/>
        <v>Нет локального эффекта</v>
      </c>
      <c r="AC29" s="61" t="str">
        <f t="shared" si="14"/>
        <v/>
      </c>
      <c r="AD29" s="61" t="str">
        <f t="shared" si="15"/>
        <v>Нет локального эффекта</v>
      </c>
      <c r="AE29" s="61" t="str">
        <f t="shared" si="16"/>
        <v/>
      </c>
      <c r="AF29" s="61" t="str">
        <f t="shared" si="17"/>
        <v>Нет локального эффекта</v>
      </c>
      <c r="AG29" s="61" t="str">
        <f t="shared" si="18"/>
        <v/>
      </c>
      <c r="AH29" s="62" t="str">
        <f>IF($B29="","","Общий итог: "&amp;IF($Y29="","ожидает D84",$Y29&amp;IF($Z29="—",""," — "&amp;$Z29))&amp;". Арес: "&amp;$AA29&amp;". "&amp;$AB29&amp;" Афина: "&amp;$AC29&amp;". "&amp;$AD29&amp;" Аполлон: "&amp;$AE29&amp;". "&amp;$AF29&amp;IF($AG29="",""," Общий эффект: "&amp;$AG29))</f>
        <v/>
      </c>
      <c r="BA29" s="11" t="s">
        <v>401</v>
      </c>
      <c r="BF29" s="11">
        <v>4.85507795E8</v>
      </c>
      <c r="BG29" s="11">
        <v>5.31020419E8</v>
      </c>
      <c r="BH29" s="11">
        <v>3.40617598E8</v>
      </c>
      <c r="BI29" s="11">
        <v>9.38928108E8</v>
      </c>
      <c r="BJ29" s="11">
        <v>4.11304411E8</v>
      </c>
      <c r="BK29" s="11">
        <v>8.4259687E8</v>
      </c>
      <c r="BL29" s="11">
        <v>5.89147269E8</v>
      </c>
      <c r="BM29" s="11">
        <f t="shared" si="19"/>
        <v>1149</v>
      </c>
      <c r="BN29" s="11">
        <f t="shared" si="20"/>
        <v>9068</v>
      </c>
      <c r="BO29" s="11">
        <f t="shared" si="21"/>
        <v>16987</v>
      </c>
      <c r="BP29" s="11">
        <f t="shared" si="22"/>
        <v>24906</v>
      </c>
      <c r="BQ29" s="11">
        <f t="shared" si="23"/>
        <v>32825</v>
      </c>
      <c r="BR29" s="11">
        <f t="shared" si="24"/>
        <v>40744</v>
      </c>
      <c r="BS29" s="11">
        <f t="shared" si="25"/>
        <v>48663</v>
      </c>
      <c r="BT29" s="11">
        <f t="shared" si="26"/>
        <v>56582</v>
      </c>
      <c r="BU29" s="11">
        <f t="shared" si="27"/>
        <v>64501</v>
      </c>
      <c r="BV29" s="11">
        <f t="shared" si="28"/>
        <v>72420</v>
      </c>
      <c r="BW29" s="11">
        <f t="shared" si="29"/>
        <v>10640</v>
      </c>
      <c r="BX29" s="11">
        <f t="shared" si="30"/>
        <v>16791</v>
      </c>
      <c r="BY29" s="11">
        <f t="shared" si="31"/>
        <v>22942</v>
      </c>
      <c r="BZ29" s="11">
        <f t="shared" si="32"/>
        <v>29093</v>
      </c>
      <c r="CA29" s="11">
        <f t="shared" si="33"/>
        <v>35244</v>
      </c>
      <c r="CB29" s="11">
        <f t="shared" si="34"/>
        <v>41395</v>
      </c>
      <c r="CC29" s="11">
        <f t="shared" si="35"/>
        <v>47546</v>
      </c>
      <c r="CD29" s="11">
        <f t="shared" si="36"/>
        <v>53697</v>
      </c>
      <c r="CE29" s="11">
        <f t="shared" si="37"/>
        <v>10951</v>
      </c>
      <c r="CF29" s="11">
        <f t="shared" si="38"/>
        <v>14522</v>
      </c>
      <c r="CG29" s="11">
        <f t="shared" si="39"/>
        <v>18093</v>
      </c>
      <c r="CH29" s="11">
        <f t="shared" si="40"/>
        <v>21664</v>
      </c>
      <c r="CI29" s="11">
        <f t="shared" si="41"/>
        <v>25235</v>
      </c>
      <c r="CJ29" s="11">
        <f t="shared" si="42"/>
        <v>28806</v>
      </c>
      <c r="CK29" s="11">
        <f t="shared" si="43"/>
        <v>32377</v>
      </c>
      <c r="CL29" s="11">
        <f t="shared" si="44"/>
        <v>35948</v>
      </c>
      <c r="CM29" s="11">
        <f t="shared" si="45"/>
        <v>39519</v>
      </c>
      <c r="CN29" s="11">
        <f t="shared" si="46"/>
        <v>43090</v>
      </c>
      <c r="CO29" s="11">
        <f t="shared" si="47"/>
        <v>46661</v>
      </c>
      <c r="CP29" s="11">
        <f t="shared" si="48"/>
        <v>50232</v>
      </c>
      <c r="CQ29" s="11">
        <f t="shared" si="49"/>
        <v>53803</v>
      </c>
      <c r="CR29" s="11">
        <f t="shared" si="50"/>
        <v>57374</v>
      </c>
      <c r="CS29" s="11">
        <f t="shared" si="51"/>
        <v>60945</v>
      </c>
      <c r="CT29" s="11">
        <f t="shared" si="52"/>
        <v>64516</v>
      </c>
      <c r="CU29" s="11">
        <f t="shared" si="53"/>
        <v>76036</v>
      </c>
      <c r="CV29" s="11">
        <f t="shared" si="54"/>
        <v>80477</v>
      </c>
      <c r="CW29" s="11">
        <f t="shared" si="55"/>
        <v>84918</v>
      </c>
      <c r="CX29" s="11">
        <f t="shared" si="56"/>
        <v>89359</v>
      </c>
      <c r="CY29" s="11">
        <f t="shared" si="57"/>
        <v>93800</v>
      </c>
      <c r="CZ29" s="11">
        <f t="shared" si="58"/>
        <v>98241</v>
      </c>
      <c r="DA29" s="11">
        <f t="shared" si="59"/>
        <v>2679</v>
      </c>
      <c r="DB29" s="11">
        <f t="shared" si="60"/>
        <v>7120</v>
      </c>
      <c r="DC29" s="11">
        <f t="shared" si="61"/>
        <v>11561</v>
      </c>
      <c r="DD29" s="11">
        <f t="shared" si="62"/>
        <v>16002</v>
      </c>
      <c r="DE29" s="11">
        <f t="shared" si="63"/>
        <v>20443</v>
      </c>
      <c r="DF29" s="11">
        <f t="shared" si="64"/>
        <v>24884</v>
      </c>
      <c r="DG29" s="11">
        <f t="shared" si="65"/>
        <v>29325</v>
      </c>
      <c r="DH29" s="11">
        <f t="shared" si="66"/>
        <v>33766</v>
      </c>
      <c r="DI29" s="11">
        <f t="shared" si="67"/>
        <v>38207</v>
      </c>
      <c r="DJ29" s="11">
        <f t="shared" si="68"/>
        <v>42648</v>
      </c>
      <c r="DK29" s="11">
        <f t="shared" si="69"/>
        <v>31685</v>
      </c>
      <c r="DL29" s="11">
        <f t="shared" si="70"/>
        <v>33774</v>
      </c>
      <c r="DM29" s="11">
        <f t="shared" si="71"/>
        <v>35863</v>
      </c>
      <c r="DN29" s="11" t="str">
        <f t="shared" si="72"/>
        <v>Минерально-сырьевые ресурсы</v>
      </c>
      <c r="DO29" s="11" t="str">
        <f t="shared" si="73"/>
        <v>Химические и технологические материалы</v>
      </c>
      <c r="DP29" s="11" t="str">
        <f t="shared" si="74"/>
        <v>Энергетические ресурсы</v>
      </c>
      <c r="DQ29" s="11" t="str">
        <f t="shared" si="75"/>
        <v>Производство</v>
      </c>
      <c r="DR29" s="11" t="str">
        <f t="shared" si="76"/>
        <v>Управление</v>
      </c>
      <c r="DS29" s="11" t="str">
        <f t="shared" si="77"/>
        <v>Познание</v>
      </c>
      <c r="DT29" s="11" t="str">
        <f t="shared" si="78"/>
        <v>Россия</v>
      </c>
      <c r="DU29" s="11" t="str">
        <f t="shared" si="79"/>
        <v>США</v>
      </c>
      <c r="DV29" s="11" t="str">
        <f t="shared" si="80"/>
        <v>Китай</v>
      </c>
      <c r="DW29" s="11" t="str">
        <f t="shared" si="81"/>
        <v>Ресурсный</v>
      </c>
      <c r="DX29" s="11" t="str">
        <f t="shared" si="82"/>
        <v>Общественный</v>
      </c>
      <c r="DY29" s="11" t="str">
        <f t="shared" si="83"/>
        <v>Дипломатический</v>
      </c>
      <c r="DZ29" s="11" t="str">
        <f t="shared" si="84"/>
        <v>Контекстные информационные ресурсы</v>
      </c>
      <c r="EA29" s="11" t="str">
        <f t="shared" si="85"/>
        <v>Обучение</v>
      </c>
      <c r="EB29" s="11" t="str">
        <f t="shared" si="86"/>
        <v>Германия</v>
      </c>
      <c r="EC29" s="11">
        <f t="shared" ref="EC29:EE29" si="124">IF(OR($B29="",$C29=""),0,IF(AND(EG29&gt;=5,EG29&gt;=5*EJ29),3,IF(AND(EJ29&gt;=5,EJ29&gt;=5*EG29),3,IF(AND(EG29&gt;=5,EG29&gt;=3*EJ29),2,IF(AND(EJ29&gt;=5,EJ29&gt;=3*EG29),2,IF(AND(EG29&gt;=5,EG29&gt;=2*EJ29),1,IF(AND(EJ29&gt;=5,EJ29&gt;=2*EG29),1,0)))))))</f>
        <v>0</v>
      </c>
      <c r="ED29" s="11">
        <f t="shared" si="124"/>
        <v>0</v>
      </c>
      <c r="EE29" s="11">
        <f t="shared" si="124"/>
        <v>0</v>
      </c>
      <c r="EF29" s="11">
        <f t="shared" si="88"/>
        <v>0</v>
      </c>
      <c r="EG29" s="11" t="str">
        <f t="shared" si="89"/>
        <v/>
      </c>
      <c r="EH29" s="11" t="str">
        <f t="shared" si="90"/>
        <v/>
      </c>
      <c r="EI29" s="11" t="str">
        <f t="shared" si="91"/>
        <v/>
      </c>
      <c r="EJ29" s="11" t="str">
        <f t="shared" si="92"/>
        <v/>
      </c>
      <c r="EK29" s="11" t="str">
        <f t="shared" si="93"/>
        <v/>
      </c>
      <c r="EL29" s="11" t="str">
        <f t="shared" si="94"/>
        <v/>
      </c>
      <c r="EM29" s="11" t="str">
        <f t="shared" si="95"/>
        <v/>
      </c>
      <c r="EN29" s="11" t="str">
        <f t="shared" si="96"/>
        <v/>
      </c>
      <c r="EO29" s="11" t="str">
        <f t="shared" si="97"/>
        <v/>
      </c>
      <c r="EP29" s="11" t="str">
        <f t="shared" si="98"/>
        <v/>
      </c>
      <c r="EQ29" s="11" t="str">
        <f t="shared" si="99"/>
        <v/>
      </c>
      <c r="ER29" s="11" t="str">
        <f t="shared" si="100"/>
        <v/>
      </c>
      <c r="ES29" s="11" t="str">
        <f t="shared" si="101"/>
        <v/>
      </c>
    </row>
    <row r="30" ht="52.5" customHeight="1">
      <c r="A30" s="55"/>
      <c r="B30" s="42"/>
      <c r="C30" s="42"/>
      <c r="D30" s="42"/>
      <c r="E30" s="42"/>
      <c r="F30" s="42"/>
      <c r="G30" s="56"/>
      <c r="H30" s="56"/>
      <c r="I30" s="56"/>
      <c r="J30" s="42"/>
      <c r="K30" s="42"/>
      <c r="L30" s="42"/>
      <c r="M30" s="56"/>
      <c r="N30" s="56"/>
      <c r="O30" s="56"/>
      <c r="P30" s="57" t="str">
        <f t="shared" si="2"/>
        <v/>
      </c>
      <c r="Q30" s="57" t="str">
        <f t="shared" si="3"/>
        <v/>
      </c>
      <c r="R30" s="58" t="str">
        <f t="shared" si="4"/>
        <v/>
      </c>
      <c r="S30" s="58" t="str">
        <f t="shared" si="5"/>
        <v/>
      </c>
      <c r="T30" s="58" t="str">
        <f t="shared" si="6"/>
        <v/>
      </c>
      <c r="U30" s="59" t="str">
        <f t="shared" si="7"/>
        <v/>
      </c>
      <c r="V30" s="59" t="str">
        <f t="shared" si="8"/>
        <v/>
      </c>
      <c r="W30" s="59" t="str">
        <f t="shared" si="9"/>
        <v/>
      </c>
      <c r="X30" s="60"/>
      <c r="Y30" s="61" t="str">
        <f t="shared" si="10"/>
        <v/>
      </c>
      <c r="Z30" s="61" t="str">
        <f t="shared" si="11"/>
        <v/>
      </c>
      <c r="AA30" s="61" t="str">
        <f t="shared" si="12"/>
        <v/>
      </c>
      <c r="AB30" s="61" t="str">
        <f t="shared" si="13"/>
        <v>Нет локального эффекта</v>
      </c>
      <c r="AC30" s="61" t="str">
        <f t="shared" si="14"/>
        <v/>
      </c>
      <c r="AD30" s="61" t="str">
        <f t="shared" si="15"/>
        <v>Нет локального эффекта</v>
      </c>
      <c r="AE30" s="61" t="str">
        <f t="shared" si="16"/>
        <v/>
      </c>
      <c r="AF30" s="61" t="str">
        <f t="shared" si="17"/>
        <v>Нет локального эффекта</v>
      </c>
      <c r="AG30" s="61" t="str">
        <f t="shared" si="18"/>
        <v/>
      </c>
      <c r="AH30" s="62" t="str">
        <f>IF($B30="","","Общий итог: "&amp;IF($Y30="","ожидает D85",$Y30&amp;IF($Z30="—",""," — "&amp;$Z30))&amp;". Арес: "&amp;$AA30&amp;". "&amp;$AB30&amp;" Афина: "&amp;$AC30&amp;". "&amp;$AD30&amp;" Аполлон: "&amp;$AE30&amp;". "&amp;$AF30&amp;IF($AG30="",""," Общий эффект: "&amp;$AG30))</f>
        <v/>
      </c>
      <c r="BA30" s="11" t="s">
        <v>402</v>
      </c>
      <c r="BF30" s="11">
        <v>6.04260651E8</v>
      </c>
      <c r="BG30" s="11">
        <v>9.85181371E8</v>
      </c>
      <c r="BH30" s="11">
        <v>2.52078974E8</v>
      </c>
      <c r="BI30" s="11">
        <v>5.06237396E8</v>
      </c>
      <c r="BJ30" s="11">
        <v>2.55291757E8</v>
      </c>
      <c r="BK30" s="11">
        <v>4.55118414E8</v>
      </c>
      <c r="BL30" s="11">
        <v>6.50991495E8</v>
      </c>
      <c r="BM30" s="11">
        <f t="shared" si="19"/>
        <v>50444</v>
      </c>
      <c r="BN30" s="11">
        <f t="shared" si="20"/>
        <v>58363</v>
      </c>
      <c r="BO30" s="11">
        <f t="shared" si="21"/>
        <v>66282</v>
      </c>
      <c r="BP30" s="11">
        <f t="shared" si="22"/>
        <v>74201</v>
      </c>
      <c r="BQ30" s="11">
        <f t="shared" si="23"/>
        <v>82120</v>
      </c>
      <c r="BR30" s="11">
        <f t="shared" si="24"/>
        <v>90039</v>
      </c>
      <c r="BS30" s="11">
        <f t="shared" si="25"/>
        <v>97958</v>
      </c>
      <c r="BT30" s="11">
        <f t="shared" si="26"/>
        <v>5874</v>
      </c>
      <c r="BU30" s="11">
        <f t="shared" si="27"/>
        <v>13793</v>
      </c>
      <c r="BV30" s="11">
        <f t="shared" si="28"/>
        <v>21712</v>
      </c>
      <c r="BW30" s="11">
        <f t="shared" si="29"/>
        <v>57969</v>
      </c>
      <c r="BX30" s="11">
        <f t="shared" si="30"/>
        <v>64120</v>
      </c>
      <c r="BY30" s="11">
        <f t="shared" si="31"/>
        <v>70271</v>
      </c>
      <c r="BZ30" s="11">
        <f t="shared" si="32"/>
        <v>76422</v>
      </c>
      <c r="CA30" s="11">
        <f t="shared" si="33"/>
        <v>82573</v>
      </c>
      <c r="CB30" s="11">
        <f t="shared" si="34"/>
        <v>88724</v>
      </c>
      <c r="CC30" s="11">
        <f t="shared" si="35"/>
        <v>94875</v>
      </c>
      <c r="CD30" s="11">
        <f t="shared" si="36"/>
        <v>1023</v>
      </c>
      <c r="CE30" s="11">
        <f t="shared" si="37"/>
        <v>74985</v>
      </c>
      <c r="CF30" s="11">
        <f t="shared" si="38"/>
        <v>78556</v>
      </c>
      <c r="CG30" s="11">
        <f t="shared" si="39"/>
        <v>82127</v>
      </c>
      <c r="CH30" s="11">
        <f t="shared" si="40"/>
        <v>85698</v>
      </c>
      <c r="CI30" s="11">
        <f t="shared" si="41"/>
        <v>89269</v>
      </c>
      <c r="CJ30" s="11">
        <f t="shared" si="42"/>
        <v>92840</v>
      </c>
      <c r="CK30" s="11">
        <f t="shared" si="43"/>
        <v>96411</v>
      </c>
      <c r="CL30" s="11">
        <f t="shared" si="44"/>
        <v>99982</v>
      </c>
      <c r="CM30" s="11">
        <f t="shared" si="45"/>
        <v>3550</v>
      </c>
      <c r="CN30" s="11">
        <f t="shared" si="46"/>
        <v>7121</v>
      </c>
      <c r="CO30" s="11">
        <f t="shared" si="47"/>
        <v>10692</v>
      </c>
      <c r="CP30" s="11">
        <f t="shared" si="48"/>
        <v>14263</v>
      </c>
      <c r="CQ30" s="11">
        <f t="shared" si="49"/>
        <v>17834</v>
      </c>
      <c r="CR30" s="11">
        <f t="shared" si="50"/>
        <v>21405</v>
      </c>
      <c r="CS30" s="11">
        <f t="shared" si="51"/>
        <v>24976</v>
      </c>
      <c r="CT30" s="11">
        <f t="shared" si="52"/>
        <v>28547</v>
      </c>
      <c r="CU30" s="11">
        <f t="shared" si="53"/>
        <v>9202</v>
      </c>
      <c r="CV30" s="11">
        <f t="shared" si="54"/>
        <v>13643</v>
      </c>
      <c r="CW30" s="11">
        <f t="shared" si="55"/>
        <v>18084</v>
      </c>
      <c r="CX30" s="11">
        <f t="shared" si="56"/>
        <v>22525</v>
      </c>
      <c r="CY30" s="11">
        <f t="shared" si="57"/>
        <v>26966</v>
      </c>
      <c r="CZ30" s="11">
        <f t="shared" si="58"/>
        <v>31407</v>
      </c>
      <c r="DA30" s="11">
        <f t="shared" si="59"/>
        <v>35848</v>
      </c>
      <c r="DB30" s="11">
        <f t="shared" si="60"/>
        <v>40289</v>
      </c>
      <c r="DC30" s="11">
        <f t="shared" si="61"/>
        <v>44730</v>
      </c>
      <c r="DD30" s="11">
        <f t="shared" si="62"/>
        <v>49171</v>
      </c>
      <c r="DE30" s="11">
        <f t="shared" si="63"/>
        <v>53612</v>
      </c>
      <c r="DF30" s="11">
        <f t="shared" si="64"/>
        <v>58053</v>
      </c>
      <c r="DG30" s="11">
        <f t="shared" si="65"/>
        <v>62494</v>
      </c>
      <c r="DH30" s="11">
        <f t="shared" si="66"/>
        <v>66935</v>
      </c>
      <c r="DI30" s="11">
        <f t="shared" si="67"/>
        <v>71376</v>
      </c>
      <c r="DJ30" s="11">
        <f t="shared" si="68"/>
        <v>75817</v>
      </c>
      <c r="DK30" s="11">
        <f t="shared" si="69"/>
        <v>74057</v>
      </c>
      <c r="DL30" s="11">
        <f t="shared" si="70"/>
        <v>76146</v>
      </c>
      <c r="DM30" s="11">
        <f t="shared" si="71"/>
        <v>78235</v>
      </c>
      <c r="DN30" s="11" t="str">
        <f t="shared" si="72"/>
        <v>ЦОД и вычислительная инфраструктура</v>
      </c>
      <c r="DO30" s="11" t="str">
        <f t="shared" si="73"/>
        <v>Сетевые ресурсы</v>
      </c>
      <c r="DP30" s="11" t="str">
        <f t="shared" si="74"/>
        <v>Конечные устройства</v>
      </c>
      <c r="DQ30" s="11" t="str">
        <f t="shared" si="75"/>
        <v>Принятие ИИ</v>
      </c>
      <c r="DR30" s="11" t="str">
        <f t="shared" si="76"/>
        <v>Производство</v>
      </c>
      <c r="DS30" s="11" t="str">
        <f t="shared" si="77"/>
        <v>Управление</v>
      </c>
      <c r="DT30" s="11" t="str">
        <f t="shared" si="78"/>
        <v>Южная Корея</v>
      </c>
      <c r="DU30" s="11" t="str">
        <f t="shared" si="79"/>
        <v>Турция</v>
      </c>
      <c r="DV30" s="11" t="str">
        <f t="shared" si="80"/>
        <v>Саудовская Аравия</v>
      </c>
      <c r="DW30" s="11" t="str">
        <f t="shared" si="81"/>
        <v>Ресурсный</v>
      </c>
      <c r="DX30" s="11" t="str">
        <f t="shared" si="82"/>
        <v>Общественный</v>
      </c>
      <c r="DY30" s="11" t="str">
        <f t="shared" si="83"/>
        <v>Дипломатический</v>
      </c>
      <c r="DZ30" s="11" t="str">
        <f t="shared" si="84"/>
        <v>Поставщики и рынок технологических услуг</v>
      </c>
      <c r="EA30" s="11" t="str">
        <f t="shared" si="85"/>
        <v>Экономика</v>
      </c>
      <c r="EB30" s="11" t="str">
        <f t="shared" si="86"/>
        <v>Россия</v>
      </c>
      <c r="EC30" s="11">
        <f t="shared" ref="EC30:EE30" si="125">IF(OR($B30="",$C30=""),0,IF(AND(EG30&gt;=5,EG30&gt;=5*EJ30),3,IF(AND(EJ30&gt;=5,EJ30&gt;=5*EG30),3,IF(AND(EG30&gt;=5,EG30&gt;=3*EJ30),2,IF(AND(EJ30&gt;=5,EJ30&gt;=3*EG30),2,IF(AND(EG30&gt;=5,EG30&gt;=2*EJ30),1,IF(AND(EJ30&gt;=5,EJ30&gt;=2*EG30),1,0)))))))</f>
        <v>0</v>
      </c>
      <c r="ED30" s="11">
        <f t="shared" si="125"/>
        <v>0</v>
      </c>
      <c r="EE30" s="11">
        <f t="shared" si="125"/>
        <v>0</v>
      </c>
      <c r="EF30" s="11">
        <f t="shared" si="88"/>
        <v>0</v>
      </c>
      <c r="EG30" s="11" t="str">
        <f t="shared" si="89"/>
        <v/>
      </c>
      <c r="EH30" s="11" t="str">
        <f t="shared" si="90"/>
        <v/>
      </c>
      <c r="EI30" s="11" t="str">
        <f t="shared" si="91"/>
        <v/>
      </c>
      <c r="EJ30" s="11" t="str">
        <f t="shared" si="92"/>
        <v/>
      </c>
      <c r="EK30" s="11" t="str">
        <f t="shared" si="93"/>
        <v/>
      </c>
      <c r="EL30" s="11" t="str">
        <f t="shared" si="94"/>
        <v/>
      </c>
      <c r="EM30" s="11" t="str">
        <f t="shared" si="95"/>
        <v/>
      </c>
      <c r="EN30" s="11" t="str">
        <f t="shared" si="96"/>
        <v/>
      </c>
      <c r="EO30" s="11" t="str">
        <f t="shared" si="97"/>
        <v/>
      </c>
      <c r="EP30" s="11" t="str">
        <f t="shared" si="98"/>
        <v/>
      </c>
      <c r="EQ30" s="11" t="str">
        <f t="shared" si="99"/>
        <v/>
      </c>
      <c r="ER30" s="11" t="str">
        <f t="shared" si="100"/>
        <v/>
      </c>
      <c r="ES30" s="11" t="str">
        <f t="shared" si="101"/>
        <v/>
      </c>
    </row>
    <row r="31" ht="52.5" customHeight="1">
      <c r="A31" s="55"/>
      <c r="B31" s="42"/>
      <c r="C31" s="42"/>
      <c r="D31" s="42"/>
      <c r="E31" s="42"/>
      <c r="F31" s="42"/>
      <c r="G31" s="56"/>
      <c r="H31" s="56"/>
      <c r="I31" s="56"/>
      <c r="J31" s="42"/>
      <c r="K31" s="42"/>
      <c r="L31" s="42"/>
      <c r="M31" s="56"/>
      <c r="N31" s="56"/>
      <c r="O31" s="56"/>
      <c r="P31" s="57" t="str">
        <f t="shared" si="2"/>
        <v/>
      </c>
      <c r="Q31" s="57" t="str">
        <f t="shared" si="3"/>
        <v/>
      </c>
      <c r="R31" s="58" t="str">
        <f t="shared" si="4"/>
        <v/>
      </c>
      <c r="S31" s="58" t="str">
        <f t="shared" si="5"/>
        <v/>
      </c>
      <c r="T31" s="58" t="str">
        <f t="shared" si="6"/>
        <v/>
      </c>
      <c r="U31" s="59" t="str">
        <f t="shared" si="7"/>
        <v/>
      </c>
      <c r="V31" s="59" t="str">
        <f t="shared" si="8"/>
        <v/>
      </c>
      <c r="W31" s="59" t="str">
        <f t="shared" si="9"/>
        <v/>
      </c>
      <c r="X31" s="60"/>
      <c r="Y31" s="61" t="str">
        <f t="shared" si="10"/>
        <v/>
      </c>
      <c r="Z31" s="61" t="str">
        <f t="shared" si="11"/>
        <v/>
      </c>
      <c r="AA31" s="61" t="str">
        <f t="shared" si="12"/>
        <v/>
      </c>
      <c r="AB31" s="61" t="str">
        <f t="shared" si="13"/>
        <v>Нет локального эффекта</v>
      </c>
      <c r="AC31" s="61" t="str">
        <f t="shared" si="14"/>
        <v/>
      </c>
      <c r="AD31" s="61" t="str">
        <f t="shared" si="15"/>
        <v>Нет локального эффекта</v>
      </c>
      <c r="AE31" s="61" t="str">
        <f t="shared" si="16"/>
        <v/>
      </c>
      <c r="AF31" s="61" t="str">
        <f t="shared" si="17"/>
        <v>Нет локального эффекта</v>
      </c>
      <c r="AG31" s="61" t="str">
        <f t="shared" si="18"/>
        <v/>
      </c>
      <c r="AH31" s="62" t="str">
        <f>IF($B31="","","Общий итог: "&amp;IF($Y31="","ожидает D86",$Y31&amp;IF($Z31="—",""," — "&amp;$Z31))&amp;". Арес: "&amp;$AA31&amp;". "&amp;$AB31&amp;" Афина: "&amp;$AC31&amp;". "&amp;$AD31&amp;" Аполлон: "&amp;$AE31&amp;". "&amp;$AF31&amp;IF($AG31="",""," Общий эффект: "&amp;$AG31))</f>
        <v/>
      </c>
      <c r="BA31" s="11" t="s">
        <v>403</v>
      </c>
      <c r="BF31" s="11">
        <v>2.25874662E8</v>
      </c>
      <c r="BG31" s="11">
        <v>4.75654215E8</v>
      </c>
      <c r="BH31" s="11">
        <v>7.17101696E8</v>
      </c>
      <c r="BI31" s="11">
        <v>8.98009755E8</v>
      </c>
      <c r="BJ31" s="11">
        <v>1.89745238E8</v>
      </c>
      <c r="BK31" s="11">
        <v>8.74068303E8</v>
      </c>
      <c r="BL31" s="11">
        <v>2.41082509E8</v>
      </c>
      <c r="BM31" s="11">
        <f t="shared" si="19"/>
        <v>75807</v>
      </c>
      <c r="BN31" s="11">
        <f t="shared" si="20"/>
        <v>83726</v>
      </c>
      <c r="BO31" s="11">
        <f t="shared" si="21"/>
        <v>91645</v>
      </c>
      <c r="BP31" s="11">
        <f t="shared" si="22"/>
        <v>99564</v>
      </c>
      <c r="BQ31" s="11">
        <f t="shared" si="23"/>
        <v>7480</v>
      </c>
      <c r="BR31" s="11">
        <f t="shared" si="24"/>
        <v>15399</v>
      </c>
      <c r="BS31" s="11">
        <f t="shared" si="25"/>
        <v>23318</v>
      </c>
      <c r="BT31" s="11">
        <f t="shared" si="26"/>
        <v>31237</v>
      </c>
      <c r="BU31" s="11">
        <f t="shared" si="27"/>
        <v>39156</v>
      </c>
      <c r="BV31" s="11">
        <f t="shared" si="28"/>
        <v>47075</v>
      </c>
      <c r="BW31" s="11">
        <f t="shared" si="29"/>
        <v>46098</v>
      </c>
      <c r="BX31" s="11">
        <f t="shared" si="30"/>
        <v>52249</v>
      </c>
      <c r="BY31" s="11">
        <f t="shared" si="31"/>
        <v>58400</v>
      </c>
      <c r="BZ31" s="11">
        <f t="shared" si="32"/>
        <v>64551</v>
      </c>
      <c r="CA31" s="11">
        <f t="shared" si="33"/>
        <v>70702</v>
      </c>
      <c r="CB31" s="11">
        <f t="shared" si="34"/>
        <v>76853</v>
      </c>
      <c r="CC31" s="11">
        <f t="shared" si="35"/>
        <v>83004</v>
      </c>
      <c r="CD31" s="11">
        <f t="shared" si="36"/>
        <v>89155</v>
      </c>
      <c r="CE31" s="11">
        <f t="shared" si="37"/>
        <v>83757</v>
      </c>
      <c r="CF31" s="11">
        <f t="shared" si="38"/>
        <v>87328</v>
      </c>
      <c r="CG31" s="11">
        <f t="shared" si="39"/>
        <v>90899</v>
      </c>
      <c r="CH31" s="11">
        <f t="shared" si="40"/>
        <v>94470</v>
      </c>
      <c r="CI31" s="11">
        <f t="shared" si="41"/>
        <v>98041</v>
      </c>
      <c r="CJ31" s="11">
        <f t="shared" si="42"/>
        <v>1609</v>
      </c>
      <c r="CK31" s="11">
        <f t="shared" si="43"/>
        <v>5180</v>
      </c>
      <c r="CL31" s="11">
        <f t="shared" si="44"/>
        <v>8751</v>
      </c>
      <c r="CM31" s="11">
        <f t="shared" si="45"/>
        <v>12322</v>
      </c>
      <c r="CN31" s="11">
        <f t="shared" si="46"/>
        <v>15893</v>
      </c>
      <c r="CO31" s="11">
        <f t="shared" si="47"/>
        <v>19464</v>
      </c>
      <c r="CP31" s="11">
        <f t="shared" si="48"/>
        <v>23035</v>
      </c>
      <c r="CQ31" s="11">
        <f t="shared" si="49"/>
        <v>26606</v>
      </c>
      <c r="CR31" s="11">
        <f t="shared" si="50"/>
        <v>30177</v>
      </c>
      <c r="CS31" s="11">
        <f t="shared" si="51"/>
        <v>33748</v>
      </c>
      <c r="CT31" s="11">
        <f t="shared" si="52"/>
        <v>37319</v>
      </c>
      <c r="CU31" s="11">
        <f t="shared" si="53"/>
        <v>46524</v>
      </c>
      <c r="CV31" s="11">
        <f t="shared" si="54"/>
        <v>50965</v>
      </c>
      <c r="CW31" s="11">
        <f t="shared" si="55"/>
        <v>55406</v>
      </c>
      <c r="CX31" s="11">
        <f t="shared" si="56"/>
        <v>59847</v>
      </c>
      <c r="CY31" s="11">
        <f t="shared" si="57"/>
        <v>64288</v>
      </c>
      <c r="CZ31" s="11">
        <f t="shared" si="58"/>
        <v>68729</v>
      </c>
      <c r="DA31" s="11">
        <f t="shared" si="59"/>
        <v>73170</v>
      </c>
      <c r="DB31" s="11">
        <f t="shared" si="60"/>
        <v>77611</v>
      </c>
      <c r="DC31" s="11">
        <f t="shared" si="61"/>
        <v>82052</v>
      </c>
      <c r="DD31" s="11">
        <f t="shared" si="62"/>
        <v>86493</v>
      </c>
      <c r="DE31" s="11">
        <f t="shared" si="63"/>
        <v>90934</v>
      </c>
      <c r="DF31" s="11">
        <f t="shared" si="64"/>
        <v>95375</v>
      </c>
      <c r="DG31" s="11">
        <f t="shared" si="65"/>
        <v>99816</v>
      </c>
      <c r="DH31" s="11">
        <f t="shared" si="66"/>
        <v>4254</v>
      </c>
      <c r="DI31" s="11">
        <f t="shared" si="67"/>
        <v>8695</v>
      </c>
      <c r="DJ31" s="11">
        <f t="shared" si="68"/>
        <v>13136</v>
      </c>
      <c r="DK31" s="11">
        <f t="shared" si="69"/>
        <v>77368</v>
      </c>
      <c r="DL31" s="11">
        <f t="shared" si="70"/>
        <v>79457</v>
      </c>
      <c r="DM31" s="11">
        <f t="shared" si="71"/>
        <v>81546</v>
      </c>
      <c r="DN31" s="11" t="str">
        <f t="shared" si="72"/>
        <v>Пространственные и природно-географические ресурсы</v>
      </c>
      <c r="DO31" s="11" t="str">
        <f t="shared" si="73"/>
        <v>Мощности производства полупроводников</v>
      </c>
      <c r="DP31" s="11" t="str">
        <f t="shared" si="74"/>
        <v>Вычислительные компоненты</v>
      </c>
      <c r="DQ31" s="11" t="str">
        <f t="shared" si="75"/>
        <v>Производство</v>
      </c>
      <c r="DR31" s="11" t="str">
        <f t="shared" si="76"/>
        <v>Управление</v>
      </c>
      <c r="DS31" s="11" t="str">
        <f t="shared" si="77"/>
        <v>Познание</v>
      </c>
      <c r="DT31" s="11" t="str">
        <f t="shared" si="78"/>
        <v>Франция</v>
      </c>
      <c r="DU31" s="11" t="str">
        <f t="shared" si="79"/>
        <v>Германия</v>
      </c>
      <c r="DV31" s="11" t="str">
        <f t="shared" si="80"/>
        <v>Япония</v>
      </c>
      <c r="DW31" s="11" t="str">
        <f t="shared" si="81"/>
        <v>Ресурсный</v>
      </c>
      <c r="DX31" s="11" t="str">
        <f t="shared" si="82"/>
        <v>Общественный</v>
      </c>
      <c r="DY31" s="11" t="str">
        <f t="shared" si="83"/>
        <v>Дипломатический</v>
      </c>
      <c r="DZ31" s="11" t="str">
        <f t="shared" si="84"/>
        <v>Институциональная инфраструктура</v>
      </c>
      <c r="EA31" s="11" t="str">
        <f t="shared" si="85"/>
        <v>Государственное управление</v>
      </c>
      <c r="EB31" s="11" t="str">
        <f t="shared" si="86"/>
        <v>Бразилия</v>
      </c>
      <c r="EC31" s="11">
        <f t="shared" ref="EC31:EE31" si="126">IF(OR($B31="",$C31=""),0,IF(AND(EG31&gt;=5,EG31&gt;=5*EJ31),3,IF(AND(EJ31&gt;=5,EJ31&gt;=5*EG31),3,IF(AND(EG31&gt;=5,EG31&gt;=3*EJ31),2,IF(AND(EJ31&gt;=5,EJ31&gt;=3*EG31),2,IF(AND(EG31&gt;=5,EG31&gt;=2*EJ31),1,IF(AND(EJ31&gt;=5,EJ31&gt;=2*EG31),1,0)))))))</f>
        <v>0</v>
      </c>
      <c r="ED31" s="11">
        <f t="shared" si="126"/>
        <v>0</v>
      </c>
      <c r="EE31" s="11">
        <f t="shared" si="126"/>
        <v>0</v>
      </c>
      <c r="EF31" s="11">
        <f t="shared" si="88"/>
        <v>0</v>
      </c>
      <c r="EG31" s="11" t="str">
        <f t="shared" si="89"/>
        <v/>
      </c>
      <c r="EH31" s="11" t="str">
        <f t="shared" si="90"/>
        <v/>
      </c>
      <c r="EI31" s="11" t="str">
        <f t="shared" si="91"/>
        <v/>
      </c>
      <c r="EJ31" s="11" t="str">
        <f t="shared" si="92"/>
        <v/>
      </c>
      <c r="EK31" s="11" t="str">
        <f t="shared" si="93"/>
        <v/>
      </c>
      <c r="EL31" s="11" t="str">
        <f t="shared" si="94"/>
        <v/>
      </c>
      <c r="EM31" s="11" t="str">
        <f t="shared" si="95"/>
        <v/>
      </c>
      <c r="EN31" s="11" t="str">
        <f t="shared" si="96"/>
        <v/>
      </c>
      <c r="EO31" s="11" t="str">
        <f t="shared" si="97"/>
        <v/>
      </c>
      <c r="EP31" s="11" t="str">
        <f t="shared" si="98"/>
        <v/>
      </c>
      <c r="EQ31" s="11" t="str">
        <f t="shared" si="99"/>
        <v/>
      </c>
      <c r="ER31" s="11" t="str">
        <f t="shared" si="100"/>
        <v/>
      </c>
      <c r="ES31" s="11" t="str">
        <f t="shared" si="101"/>
        <v/>
      </c>
    </row>
    <row r="32" ht="52.5" customHeight="1">
      <c r="A32" s="55"/>
      <c r="B32" s="42"/>
      <c r="C32" s="42"/>
      <c r="D32" s="42"/>
      <c r="E32" s="42"/>
      <c r="F32" s="42"/>
      <c r="G32" s="56"/>
      <c r="H32" s="56"/>
      <c r="I32" s="56"/>
      <c r="J32" s="42"/>
      <c r="K32" s="42"/>
      <c r="L32" s="42"/>
      <c r="M32" s="56"/>
      <c r="N32" s="56"/>
      <c r="O32" s="56"/>
      <c r="P32" s="57" t="str">
        <f t="shared" si="2"/>
        <v/>
      </c>
      <c r="Q32" s="57" t="str">
        <f t="shared" si="3"/>
        <v/>
      </c>
      <c r="R32" s="58" t="str">
        <f t="shared" si="4"/>
        <v/>
      </c>
      <c r="S32" s="58" t="str">
        <f t="shared" si="5"/>
        <v/>
      </c>
      <c r="T32" s="58" t="str">
        <f t="shared" si="6"/>
        <v/>
      </c>
      <c r="U32" s="59" t="str">
        <f t="shared" si="7"/>
        <v/>
      </c>
      <c r="V32" s="59" t="str">
        <f t="shared" si="8"/>
        <v/>
      </c>
      <c r="W32" s="59" t="str">
        <f t="shared" si="9"/>
        <v/>
      </c>
      <c r="X32" s="60"/>
      <c r="Y32" s="61" t="str">
        <f t="shared" si="10"/>
        <v/>
      </c>
      <c r="Z32" s="61" t="str">
        <f t="shared" si="11"/>
        <v/>
      </c>
      <c r="AA32" s="61" t="str">
        <f t="shared" si="12"/>
        <v/>
      </c>
      <c r="AB32" s="61" t="str">
        <f t="shared" si="13"/>
        <v>Нет локального эффекта</v>
      </c>
      <c r="AC32" s="61" t="str">
        <f t="shared" si="14"/>
        <v/>
      </c>
      <c r="AD32" s="61" t="str">
        <f t="shared" si="15"/>
        <v>Нет локального эффекта</v>
      </c>
      <c r="AE32" s="61" t="str">
        <f t="shared" si="16"/>
        <v/>
      </c>
      <c r="AF32" s="61" t="str">
        <f t="shared" si="17"/>
        <v>Нет локального эффекта</v>
      </c>
      <c r="AG32" s="61" t="str">
        <f t="shared" si="18"/>
        <v/>
      </c>
      <c r="AH32" s="62" t="str">
        <f>IF($B32="","","Общий итог: "&amp;IF($Y32="","ожидает D87",$Y32&amp;IF($Z32="—",""," — "&amp;$Z32))&amp;". Арес: "&amp;$AA32&amp;". "&amp;$AB32&amp;" Афина: "&amp;$AC32&amp;". "&amp;$AD32&amp;" Аполлон: "&amp;$AE32&amp;". "&amp;$AF32&amp;IF($AG32="",""," Общий эффект: "&amp;$AG32))</f>
        <v/>
      </c>
      <c r="BA32" s="11" t="s">
        <v>404</v>
      </c>
      <c r="BF32" s="11">
        <v>1.16511208E8</v>
      </c>
      <c r="BG32" s="11">
        <v>2.50411653E8</v>
      </c>
      <c r="BH32" s="11">
        <v>7.1026161E8</v>
      </c>
      <c r="BI32" s="11">
        <v>3.98096954E8</v>
      </c>
      <c r="BJ32" s="11">
        <v>5.28607422E8</v>
      </c>
      <c r="BK32" s="11">
        <v>2.01073222E8</v>
      </c>
      <c r="BL32" s="11">
        <v>2.69591497E8</v>
      </c>
      <c r="BM32" s="11">
        <f t="shared" si="19"/>
        <v>15632</v>
      </c>
      <c r="BN32" s="11">
        <f t="shared" si="20"/>
        <v>23551</v>
      </c>
      <c r="BO32" s="11">
        <f t="shared" si="21"/>
        <v>31470</v>
      </c>
      <c r="BP32" s="11">
        <f t="shared" si="22"/>
        <v>39389</v>
      </c>
      <c r="BQ32" s="11">
        <f t="shared" si="23"/>
        <v>47308</v>
      </c>
      <c r="BR32" s="11">
        <f t="shared" si="24"/>
        <v>55227</v>
      </c>
      <c r="BS32" s="11">
        <f t="shared" si="25"/>
        <v>63146</v>
      </c>
      <c r="BT32" s="11">
        <f t="shared" si="26"/>
        <v>71065</v>
      </c>
      <c r="BU32" s="11">
        <f t="shared" si="27"/>
        <v>78984</v>
      </c>
      <c r="BV32" s="11">
        <f t="shared" si="28"/>
        <v>86903</v>
      </c>
      <c r="BW32" s="11">
        <f t="shared" si="29"/>
        <v>10292</v>
      </c>
      <c r="BX32" s="11">
        <f t="shared" si="30"/>
        <v>16443</v>
      </c>
      <c r="BY32" s="11">
        <f t="shared" si="31"/>
        <v>22594</v>
      </c>
      <c r="BZ32" s="11">
        <f t="shared" si="32"/>
        <v>28745</v>
      </c>
      <c r="CA32" s="11">
        <f t="shared" si="33"/>
        <v>34896</v>
      </c>
      <c r="CB32" s="11">
        <f t="shared" si="34"/>
        <v>41047</v>
      </c>
      <c r="CC32" s="11">
        <f t="shared" si="35"/>
        <v>47198</v>
      </c>
      <c r="CD32" s="11">
        <f t="shared" si="36"/>
        <v>53349</v>
      </c>
      <c r="CE32" s="11">
        <f t="shared" si="37"/>
        <v>43875</v>
      </c>
      <c r="CF32" s="11">
        <f t="shared" si="38"/>
        <v>47446</v>
      </c>
      <c r="CG32" s="11">
        <f t="shared" si="39"/>
        <v>51017</v>
      </c>
      <c r="CH32" s="11">
        <f t="shared" si="40"/>
        <v>54588</v>
      </c>
      <c r="CI32" s="11">
        <f t="shared" si="41"/>
        <v>58159</v>
      </c>
      <c r="CJ32" s="11">
        <f t="shared" si="42"/>
        <v>61730</v>
      </c>
      <c r="CK32" s="11">
        <f t="shared" si="43"/>
        <v>65301</v>
      </c>
      <c r="CL32" s="11">
        <f t="shared" si="44"/>
        <v>68872</v>
      </c>
      <c r="CM32" s="11">
        <f t="shared" si="45"/>
        <v>72443</v>
      </c>
      <c r="CN32" s="11">
        <f t="shared" si="46"/>
        <v>76014</v>
      </c>
      <c r="CO32" s="11">
        <f t="shared" si="47"/>
        <v>79585</v>
      </c>
      <c r="CP32" s="11">
        <f t="shared" si="48"/>
        <v>83156</v>
      </c>
      <c r="CQ32" s="11">
        <f t="shared" si="49"/>
        <v>86727</v>
      </c>
      <c r="CR32" s="11">
        <f t="shared" si="50"/>
        <v>90298</v>
      </c>
      <c r="CS32" s="11">
        <f t="shared" si="51"/>
        <v>93869</v>
      </c>
      <c r="CT32" s="11">
        <f t="shared" si="52"/>
        <v>97440</v>
      </c>
      <c r="CU32" s="11">
        <f t="shared" si="53"/>
        <v>71633</v>
      </c>
      <c r="CV32" s="11">
        <f t="shared" si="54"/>
        <v>76074</v>
      </c>
      <c r="CW32" s="11">
        <f t="shared" si="55"/>
        <v>80515</v>
      </c>
      <c r="CX32" s="11">
        <f t="shared" si="56"/>
        <v>84956</v>
      </c>
      <c r="CY32" s="11">
        <f t="shared" si="57"/>
        <v>89397</v>
      </c>
      <c r="CZ32" s="11">
        <f t="shared" si="58"/>
        <v>93838</v>
      </c>
      <c r="DA32" s="11">
        <f t="shared" si="59"/>
        <v>98279</v>
      </c>
      <c r="DB32" s="11">
        <f t="shared" si="60"/>
        <v>2717</v>
      </c>
      <c r="DC32" s="11">
        <f t="shared" si="61"/>
        <v>7158</v>
      </c>
      <c r="DD32" s="11">
        <f t="shared" si="62"/>
        <v>11599</v>
      </c>
      <c r="DE32" s="11">
        <f t="shared" si="63"/>
        <v>16040</v>
      </c>
      <c r="DF32" s="11">
        <f t="shared" si="64"/>
        <v>20481</v>
      </c>
      <c r="DG32" s="11">
        <f t="shared" si="65"/>
        <v>24922</v>
      </c>
      <c r="DH32" s="11">
        <f t="shared" si="66"/>
        <v>29363</v>
      </c>
      <c r="DI32" s="11">
        <f t="shared" si="67"/>
        <v>33804</v>
      </c>
      <c r="DJ32" s="11">
        <f t="shared" si="68"/>
        <v>38245</v>
      </c>
      <c r="DK32" s="11">
        <f t="shared" si="69"/>
        <v>85501</v>
      </c>
      <c r="DL32" s="11">
        <f t="shared" si="70"/>
        <v>87590</v>
      </c>
      <c r="DM32" s="11">
        <f t="shared" si="71"/>
        <v>89679</v>
      </c>
      <c r="DN32" s="11" t="str">
        <f t="shared" si="72"/>
        <v>Минерально-сырьевые ресурсы</v>
      </c>
      <c r="DO32" s="11" t="str">
        <f t="shared" si="73"/>
        <v>Химические и технологические материалы</v>
      </c>
      <c r="DP32" s="11" t="str">
        <f t="shared" si="74"/>
        <v>Энергетические ресурсы</v>
      </c>
      <c r="DQ32" s="11" t="str">
        <f t="shared" si="75"/>
        <v>Производство</v>
      </c>
      <c r="DR32" s="11" t="str">
        <f t="shared" si="76"/>
        <v>Управление</v>
      </c>
      <c r="DS32" s="11" t="str">
        <f t="shared" si="77"/>
        <v>Познание</v>
      </c>
      <c r="DT32" s="11" t="str">
        <f t="shared" si="78"/>
        <v>Россия</v>
      </c>
      <c r="DU32" s="11" t="str">
        <f t="shared" si="79"/>
        <v>США</v>
      </c>
      <c r="DV32" s="11" t="str">
        <f t="shared" si="80"/>
        <v>Китай</v>
      </c>
      <c r="DW32" s="11" t="str">
        <f t="shared" si="81"/>
        <v>Ресурсный</v>
      </c>
      <c r="DX32" s="11" t="str">
        <f t="shared" si="82"/>
        <v>Общественный</v>
      </c>
      <c r="DY32" s="11" t="str">
        <f t="shared" si="83"/>
        <v>Дипломатический</v>
      </c>
      <c r="DZ32" s="11" t="str">
        <f t="shared" si="84"/>
        <v>Поставщики и рынок технологических услуг</v>
      </c>
      <c r="EA32" s="11" t="str">
        <f t="shared" si="85"/>
        <v>Государственное управление</v>
      </c>
      <c r="EB32" s="11" t="str">
        <f t="shared" si="86"/>
        <v>Япония</v>
      </c>
      <c r="EC32" s="11">
        <f t="shared" ref="EC32:EE32" si="127">IF(OR($B32="",$C32=""),0,IF(AND(EG32&gt;=5,EG32&gt;=5*EJ32),3,IF(AND(EJ32&gt;=5,EJ32&gt;=5*EG32),3,IF(AND(EG32&gt;=5,EG32&gt;=3*EJ32),2,IF(AND(EJ32&gt;=5,EJ32&gt;=3*EG32),2,IF(AND(EG32&gt;=5,EG32&gt;=2*EJ32),1,IF(AND(EJ32&gt;=5,EJ32&gt;=2*EG32),1,0)))))))</f>
        <v>0</v>
      </c>
      <c r="ED32" s="11">
        <f t="shared" si="127"/>
        <v>0</v>
      </c>
      <c r="EE32" s="11">
        <f t="shared" si="127"/>
        <v>0</v>
      </c>
      <c r="EF32" s="11">
        <f t="shared" si="88"/>
        <v>0</v>
      </c>
      <c r="EG32" s="11" t="str">
        <f t="shared" si="89"/>
        <v/>
      </c>
      <c r="EH32" s="11" t="str">
        <f t="shared" si="90"/>
        <v/>
      </c>
      <c r="EI32" s="11" t="str">
        <f t="shared" si="91"/>
        <v/>
      </c>
      <c r="EJ32" s="11" t="str">
        <f t="shared" si="92"/>
        <v/>
      </c>
      <c r="EK32" s="11" t="str">
        <f t="shared" si="93"/>
        <v/>
      </c>
      <c r="EL32" s="11" t="str">
        <f t="shared" si="94"/>
        <v/>
      </c>
      <c r="EM32" s="11" t="str">
        <f t="shared" si="95"/>
        <v/>
      </c>
      <c r="EN32" s="11" t="str">
        <f t="shared" si="96"/>
        <v/>
      </c>
      <c r="EO32" s="11" t="str">
        <f t="shared" si="97"/>
        <v/>
      </c>
      <c r="EP32" s="11" t="str">
        <f t="shared" si="98"/>
        <v/>
      </c>
      <c r="EQ32" s="11" t="str">
        <f t="shared" si="99"/>
        <v/>
      </c>
      <c r="ER32" s="11" t="str">
        <f t="shared" si="100"/>
        <v/>
      </c>
      <c r="ES32" s="11" t="str">
        <f t="shared" si="101"/>
        <v/>
      </c>
    </row>
    <row r="33" ht="52.5" customHeight="1">
      <c r="A33" s="55"/>
      <c r="B33" s="42"/>
      <c r="C33" s="42"/>
      <c r="D33" s="42"/>
      <c r="E33" s="42"/>
      <c r="F33" s="42"/>
      <c r="G33" s="56"/>
      <c r="H33" s="56"/>
      <c r="I33" s="56"/>
      <c r="J33" s="42"/>
      <c r="K33" s="42"/>
      <c r="L33" s="42"/>
      <c r="M33" s="56"/>
      <c r="N33" s="56"/>
      <c r="O33" s="56"/>
      <c r="P33" s="57" t="str">
        <f t="shared" si="2"/>
        <v/>
      </c>
      <c r="Q33" s="57" t="str">
        <f t="shared" si="3"/>
        <v/>
      </c>
      <c r="R33" s="58" t="str">
        <f t="shared" si="4"/>
        <v/>
      </c>
      <c r="S33" s="58" t="str">
        <f t="shared" si="5"/>
        <v/>
      </c>
      <c r="T33" s="58" t="str">
        <f t="shared" si="6"/>
        <v/>
      </c>
      <c r="U33" s="59" t="str">
        <f t="shared" si="7"/>
        <v/>
      </c>
      <c r="V33" s="59" t="str">
        <f t="shared" si="8"/>
        <v/>
      </c>
      <c r="W33" s="59" t="str">
        <f t="shared" si="9"/>
        <v/>
      </c>
      <c r="X33" s="60"/>
      <c r="Y33" s="61" t="str">
        <f t="shared" si="10"/>
        <v/>
      </c>
      <c r="Z33" s="61" t="str">
        <f t="shared" si="11"/>
        <v/>
      </c>
      <c r="AA33" s="61" t="str">
        <f t="shared" si="12"/>
        <v/>
      </c>
      <c r="AB33" s="61" t="str">
        <f t="shared" si="13"/>
        <v>Нет локального эффекта</v>
      </c>
      <c r="AC33" s="61" t="str">
        <f t="shared" si="14"/>
        <v/>
      </c>
      <c r="AD33" s="61" t="str">
        <f t="shared" si="15"/>
        <v>Нет локального эффекта</v>
      </c>
      <c r="AE33" s="61" t="str">
        <f t="shared" si="16"/>
        <v/>
      </c>
      <c r="AF33" s="61" t="str">
        <f t="shared" si="17"/>
        <v>Нет локального эффекта</v>
      </c>
      <c r="AG33" s="61" t="str">
        <f t="shared" si="18"/>
        <v/>
      </c>
      <c r="AH33" s="62" t="str">
        <f>IF($B33="","","Общий итог: "&amp;IF($Y33="","ожидает D88",$Y33&amp;IF($Z33="—",""," — "&amp;$Z33))&amp;". Арес: "&amp;$AA33&amp;". "&amp;$AB33&amp;" Афина: "&amp;$AC33&amp;". "&amp;$AD33&amp;" Аполлон: "&amp;$AE33&amp;". "&amp;$AF33&amp;IF($AG33="",""," Общий эффект: "&amp;$AG33))</f>
        <v/>
      </c>
      <c r="BA33" s="11" t="s">
        <v>405</v>
      </c>
      <c r="BF33" s="11">
        <v>2.49946211E8</v>
      </c>
      <c r="BG33" s="11">
        <v>8.3520306E8</v>
      </c>
      <c r="BH33" s="11">
        <v>2.62141717E8</v>
      </c>
      <c r="BI33" s="11">
        <v>9.46719698E8</v>
      </c>
      <c r="BJ33" s="11">
        <v>4.97979003E8</v>
      </c>
      <c r="BK33" s="11">
        <v>6.1533406E8</v>
      </c>
      <c r="BL33" s="11">
        <v>2.03914511E8</v>
      </c>
      <c r="BM33" s="11">
        <f t="shared" si="19"/>
        <v>46633</v>
      </c>
      <c r="BN33" s="11">
        <f t="shared" si="20"/>
        <v>54552</v>
      </c>
      <c r="BO33" s="11">
        <f t="shared" si="21"/>
        <v>62471</v>
      </c>
      <c r="BP33" s="11">
        <f t="shared" si="22"/>
        <v>70390</v>
      </c>
      <c r="BQ33" s="11">
        <f t="shared" si="23"/>
        <v>78309</v>
      </c>
      <c r="BR33" s="11">
        <f t="shared" si="24"/>
        <v>86228</v>
      </c>
      <c r="BS33" s="11">
        <f t="shared" si="25"/>
        <v>94147</v>
      </c>
      <c r="BT33" s="11">
        <f t="shared" si="26"/>
        <v>2063</v>
      </c>
      <c r="BU33" s="11">
        <f t="shared" si="27"/>
        <v>9982</v>
      </c>
      <c r="BV33" s="11">
        <f t="shared" si="28"/>
        <v>17901</v>
      </c>
      <c r="BW33" s="11">
        <f t="shared" si="29"/>
        <v>84158</v>
      </c>
      <c r="BX33" s="11">
        <f t="shared" si="30"/>
        <v>90309</v>
      </c>
      <c r="BY33" s="11">
        <f t="shared" si="31"/>
        <v>96460</v>
      </c>
      <c r="BZ33" s="11">
        <f t="shared" si="32"/>
        <v>2608</v>
      </c>
      <c r="CA33" s="11">
        <f t="shared" si="33"/>
        <v>8759</v>
      </c>
      <c r="CB33" s="11">
        <f t="shared" si="34"/>
        <v>14910</v>
      </c>
      <c r="CC33" s="11">
        <f t="shared" si="35"/>
        <v>21061</v>
      </c>
      <c r="CD33" s="11">
        <f t="shared" si="36"/>
        <v>27212</v>
      </c>
      <c r="CE33" s="11">
        <f t="shared" si="37"/>
        <v>37425</v>
      </c>
      <c r="CF33" s="11">
        <f t="shared" si="38"/>
        <v>40996</v>
      </c>
      <c r="CG33" s="11">
        <f t="shared" si="39"/>
        <v>44567</v>
      </c>
      <c r="CH33" s="11">
        <f t="shared" si="40"/>
        <v>48138</v>
      </c>
      <c r="CI33" s="11">
        <f t="shared" si="41"/>
        <v>51709</v>
      </c>
      <c r="CJ33" s="11">
        <f t="shared" si="42"/>
        <v>55280</v>
      </c>
      <c r="CK33" s="11">
        <f t="shared" si="43"/>
        <v>58851</v>
      </c>
      <c r="CL33" s="11">
        <f t="shared" si="44"/>
        <v>62422</v>
      </c>
      <c r="CM33" s="11">
        <f t="shared" si="45"/>
        <v>65993</v>
      </c>
      <c r="CN33" s="11">
        <f t="shared" si="46"/>
        <v>69564</v>
      </c>
      <c r="CO33" s="11">
        <f t="shared" si="47"/>
        <v>73135</v>
      </c>
      <c r="CP33" s="11">
        <f t="shared" si="48"/>
        <v>76706</v>
      </c>
      <c r="CQ33" s="11">
        <f t="shared" si="49"/>
        <v>80277</v>
      </c>
      <c r="CR33" s="11">
        <f t="shared" si="50"/>
        <v>83848</v>
      </c>
      <c r="CS33" s="11">
        <f t="shared" si="51"/>
        <v>87419</v>
      </c>
      <c r="CT33" s="11">
        <f t="shared" si="52"/>
        <v>90990</v>
      </c>
      <c r="CU33" s="11">
        <f t="shared" si="53"/>
        <v>20042</v>
      </c>
      <c r="CV33" s="11">
        <f t="shared" si="54"/>
        <v>24483</v>
      </c>
      <c r="CW33" s="11">
        <f t="shared" si="55"/>
        <v>28924</v>
      </c>
      <c r="CX33" s="11">
        <f t="shared" si="56"/>
        <v>33365</v>
      </c>
      <c r="CY33" s="11">
        <f t="shared" si="57"/>
        <v>37806</v>
      </c>
      <c r="CZ33" s="11">
        <f t="shared" si="58"/>
        <v>42247</v>
      </c>
      <c r="DA33" s="11">
        <f t="shared" si="59"/>
        <v>46688</v>
      </c>
      <c r="DB33" s="11">
        <f t="shared" si="60"/>
        <v>51129</v>
      </c>
      <c r="DC33" s="11">
        <f t="shared" si="61"/>
        <v>55570</v>
      </c>
      <c r="DD33" s="11">
        <f t="shared" si="62"/>
        <v>60011</v>
      </c>
      <c r="DE33" s="11">
        <f t="shared" si="63"/>
        <v>64452</v>
      </c>
      <c r="DF33" s="11">
        <f t="shared" si="64"/>
        <v>68893</v>
      </c>
      <c r="DG33" s="11">
        <f t="shared" si="65"/>
        <v>73334</v>
      </c>
      <c r="DH33" s="11">
        <f t="shared" si="66"/>
        <v>77775</v>
      </c>
      <c r="DI33" s="11">
        <f t="shared" si="67"/>
        <v>82216</v>
      </c>
      <c r="DJ33" s="11">
        <f t="shared" si="68"/>
        <v>86657</v>
      </c>
      <c r="DK33" s="11">
        <f t="shared" si="69"/>
        <v>10483</v>
      </c>
      <c r="DL33" s="11">
        <f t="shared" si="70"/>
        <v>12572</v>
      </c>
      <c r="DM33" s="11">
        <f t="shared" si="71"/>
        <v>14661</v>
      </c>
      <c r="DN33" s="11" t="str">
        <f t="shared" si="72"/>
        <v>ЦОД и вычислительная инфраструктура</v>
      </c>
      <c r="DO33" s="11" t="str">
        <f t="shared" si="73"/>
        <v>Сетевые ресурсы</v>
      </c>
      <c r="DP33" s="11" t="str">
        <f t="shared" si="74"/>
        <v>Конечные устройства</v>
      </c>
      <c r="DQ33" s="11" t="str">
        <f t="shared" si="75"/>
        <v>Обучение</v>
      </c>
      <c r="DR33" s="11" t="str">
        <f t="shared" si="76"/>
        <v>Война</v>
      </c>
      <c r="DS33" s="11" t="str">
        <f t="shared" si="77"/>
        <v>Экономика</v>
      </c>
      <c r="DT33" s="11" t="str">
        <f t="shared" si="78"/>
        <v>Россия</v>
      </c>
      <c r="DU33" s="11" t="str">
        <f t="shared" si="79"/>
        <v>США</v>
      </c>
      <c r="DV33" s="11" t="str">
        <f t="shared" si="80"/>
        <v>Китай</v>
      </c>
      <c r="DW33" s="11" t="str">
        <f t="shared" si="81"/>
        <v>Ресурсный</v>
      </c>
      <c r="DX33" s="11" t="str">
        <f t="shared" si="82"/>
        <v>Общественный</v>
      </c>
      <c r="DY33" s="11" t="str">
        <f t="shared" si="83"/>
        <v>Дипломатический</v>
      </c>
      <c r="DZ33" s="11" t="str">
        <f t="shared" si="84"/>
        <v>ЦОД и вычислительная инфраструктура</v>
      </c>
      <c r="EA33" s="11" t="str">
        <f t="shared" si="85"/>
        <v>Обучение</v>
      </c>
      <c r="EB33" s="11" t="str">
        <f t="shared" si="86"/>
        <v>Россия</v>
      </c>
      <c r="EC33" s="11">
        <f t="shared" ref="EC33:EE33" si="128">IF(OR($B33="",$C33=""),0,IF(AND(EG33&gt;=5,EG33&gt;=5*EJ33),3,IF(AND(EJ33&gt;=5,EJ33&gt;=5*EG33),3,IF(AND(EG33&gt;=5,EG33&gt;=3*EJ33),2,IF(AND(EJ33&gt;=5,EJ33&gt;=3*EG33),2,IF(AND(EG33&gt;=5,EG33&gt;=2*EJ33),1,IF(AND(EJ33&gt;=5,EJ33&gt;=2*EG33),1,0)))))))</f>
        <v>0</v>
      </c>
      <c r="ED33" s="11">
        <f t="shared" si="128"/>
        <v>0</v>
      </c>
      <c r="EE33" s="11">
        <f t="shared" si="128"/>
        <v>0</v>
      </c>
      <c r="EF33" s="11">
        <f t="shared" si="88"/>
        <v>0</v>
      </c>
      <c r="EG33" s="11" t="str">
        <f t="shared" si="89"/>
        <v/>
      </c>
      <c r="EH33" s="11" t="str">
        <f t="shared" si="90"/>
        <v/>
      </c>
      <c r="EI33" s="11" t="str">
        <f t="shared" si="91"/>
        <v/>
      </c>
      <c r="EJ33" s="11" t="str">
        <f t="shared" si="92"/>
        <v/>
      </c>
      <c r="EK33" s="11" t="str">
        <f t="shared" si="93"/>
        <v/>
      </c>
      <c r="EL33" s="11" t="str">
        <f t="shared" si="94"/>
        <v/>
      </c>
      <c r="EM33" s="11" t="str">
        <f t="shared" si="95"/>
        <v/>
      </c>
      <c r="EN33" s="11" t="str">
        <f t="shared" si="96"/>
        <v/>
      </c>
      <c r="EO33" s="11" t="str">
        <f t="shared" si="97"/>
        <v/>
      </c>
      <c r="EP33" s="11" t="str">
        <f t="shared" si="98"/>
        <v/>
      </c>
      <c r="EQ33" s="11" t="str">
        <f t="shared" si="99"/>
        <v/>
      </c>
      <c r="ER33" s="11" t="str">
        <f t="shared" si="100"/>
        <v/>
      </c>
      <c r="ES33" s="11" t="str">
        <f t="shared" si="101"/>
        <v/>
      </c>
    </row>
    <row r="34" ht="52.5" customHeight="1">
      <c r="A34" s="55"/>
      <c r="B34" s="42"/>
      <c r="C34" s="42"/>
      <c r="D34" s="42"/>
      <c r="E34" s="42"/>
      <c r="F34" s="42"/>
      <c r="G34" s="56"/>
      <c r="H34" s="56"/>
      <c r="I34" s="56"/>
      <c r="J34" s="42"/>
      <c r="K34" s="42"/>
      <c r="L34" s="42"/>
      <c r="M34" s="56"/>
      <c r="N34" s="56"/>
      <c r="O34" s="56"/>
      <c r="P34" s="57" t="str">
        <f t="shared" si="2"/>
        <v/>
      </c>
      <c r="Q34" s="57" t="str">
        <f t="shared" si="3"/>
        <v/>
      </c>
      <c r="R34" s="58" t="str">
        <f t="shared" si="4"/>
        <v/>
      </c>
      <c r="S34" s="58" t="str">
        <f t="shared" si="5"/>
        <v/>
      </c>
      <c r="T34" s="58" t="str">
        <f t="shared" si="6"/>
        <v/>
      </c>
      <c r="U34" s="59" t="str">
        <f t="shared" si="7"/>
        <v/>
      </c>
      <c r="V34" s="59" t="str">
        <f t="shared" si="8"/>
        <v/>
      </c>
      <c r="W34" s="59" t="str">
        <f t="shared" si="9"/>
        <v/>
      </c>
      <c r="X34" s="60"/>
      <c r="Y34" s="61" t="str">
        <f t="shared" si="10"/>
        <v/>
      </c>
      <c r="Z34" s="61" t="str">
        <f t="shared" si="11"/>
        <v/>
      </c>
      <c r="AA34" s="61" t="str">
        <f t="shared" si="12"/>
        <v/>
      </c>
      <c r="AB34" s="61" t="str">
        <f t="shared" si="13"/>
        <v>Нет локального эффекта</v>
      </c>
      <c r="AC34" s="61" t="str">
        <f t="shared" si="14"/>
        <v/>
      </c>
      <c r="AD34" s="61" t="str">
        <f t="shared" si="15"/>
        <v>Нет локального эффекта</v>
      </c>
      <c r="AE34" s="61" t="str">
        <f t="shared" si="16"/>
        <v/>
      </c>
      <c r="AF34" s="61" t="str">
        <f t="shared" si="17"/>
        <v>Нет локального эффекта</v>
      </c>
      <c r="AG34" s="61" t="str">
        <f t="shared" si="18"/>
        <v/>
      </c>
      <c r="AH34" s="62" t="str">
        <f>IF($B34="","","Общий итог: "&amp;IF($Y34="","ожидает D89",$Y34&amp;IF($Z34="—",""," — "&amp;$Z34))&amp;". Арес: "&amp;$AA34&amp;". "&amp;$AB34&amp;" Афина: "&amp;$AC34&amp;". "&amp;$AD34&amp;" Аполлон: "&amp;$AE34&amp;". "&amp;$AF34&amp;IF($AG34="",""," Общий эффект: "&amp;$AG34))</f>
        <v/>
      </c>
      <c r="BA34" s="11" t="s">
        <v>406</v>
      </c>
      <c r="BF34" s="11">
        <v>6.60871722E8</v>
      </c>
      <c r="BG34" s="11">
        <v>5.02322412E8</v>
      </c>
      <c r="BH34" s="11">
        <v>1.85765972E8</v>
      </c>
      <c r="BI34" s="11">
        <v>3.99347716E8</v>
      </c>
      <c r="BJ34" s="11">
        <v>6.57685603E8</v>
      </c>
      <c r="BK34" s="11">
        <v>8731886.0</v>
      </c>
      <c r="BL34" s="11">
        <v>5.13187251E8</v>
      </c>
      <c r="BM34" s="11">
        <f t="shared" si="19"/>
        <v>59817</v>
      </c>
      <c r="BN34" s="11">
        <f t="shared" si="20"/>
        <v>67736</v>
      </c>
      <c r="BO34" s="11">
        <f t="shared" si="21"/>
        <v>75655</v>
      </c>
      <c r="BP34" s="11">
        <f t="shared" si="22"/>
        <v>83574</v>
      </c>
      <c r="BQ34" s="11">
        <f t="shared" si="23"/>
        <v>91493</v>
      </c>
      <c r="BR34" s="11">
        <f t="shared" si="24"/>
        <v>99412</v>
      </c>
      <c r="BS34" s="11">
        <f t="shared" si="25"/>
        <v>7328</v>
      </c>
      <c r="BT34" s="11">
        <f t="shared" si="26"/>
        <v>15247</v>
      </c>
      <c r="BU34" s="11">
        <f t="shared" si="27"/>
        <v>23166</v>
      </c>
      <c r="BV34" s="11">
        <f t="shared" si="28"/>
        <v>31085</v>
      </c>
      <c r="BW34" s="11">
        <f t="shared" si="29"/>
        <v>13494</v>
      </c>
      <c r="BX34" s="11">
        <f t="shared" si="30"/>
        <v>19645</v>
      </c>
      <c r="BY34" s="11">
        <f t="shared" si="31"/>
        <v>25796</v>
      </c>
      <c r="BZ34" s="11">
        <f t="shared" si="32"/>
        <v>31947</v>
      </c>
      <c r="CA34" s="11">
        <f t="shared" si="33"/>
        <v>38098</v>
      </c>
      <c r="CB34" s="11">
        <f t="shared" si="34"/>
        <v>44249</v>
      </c>
      <c r="CC34" s="11">
        <f t="shared" si="35"/>
        <v>50400</v>
      </c>
      <c r="CD34" s="11">
        <f t="shared" si="36"/>
        <v>56551</v>
      </c>
      <c r="CE34" s="11">
        <f t="shared" si="37"/>
        <v>63972</v>
      </c>
      <c r="CF34" s="11">
        <f t="shared" si="38"/>
        <v>67543</v>
      </c>
      <c r="CG34" s="11">
        <f t="shared" si="39"/>
        <v>71114</v>
      </c>
      <c r="CH34" s="11">
        <f t="shared" si="40"/>
        <v>74685</v>
      </c>
      <c r="CI34" s="11">
        <f t="shared" si="41"/>
        <v>78256</v>
      </c>
      <c r="CJ34" s="11">
        <f t="shared" si="42"/>
        <v>81827</v>
      </c>
      <c r="CK34" s="11">
        <f t="shared" si="43"/>
        <v>85398</v>
      </c>
      <c r="CL34" s="11">
        <f t="shared" si="44"/>
        <v>88969</v>
      </c>
      <c r="CM34" s="11">
        <f t="shared" si="45"/>
        <v>92540</v>
      </c>
      <c r="CN34" s="11">
        <f t="shared" si="46"/>
        <v>96111</v>
      </c>
      <c r="CO34" s="11">
        <f t="shared" si="47"/>
        <v>99682</v>
      </c>
      <c r="CP34" s="11">
        <f t="shared" si="48"/>
        <v>3250</v>
      </c>
      <c r="CQ34" s="11">
        <f t="shared" si="49"/>
        <v>6821</v>
      </c>
      <c r="CR34" s="11">
        <f t="shared" si="50"/>
        <v>10392</v>
      </c>
      <c r="CS34" s="11">
        <f t="shared" si="51"/>
        <v>13963</v>
      </c>
      <c r="CT34" s="11">
        <f t="shared" si="52"/>
        <v>17534</v>
      </c>
      <c r="CU34" s="11">
        <f t="shared" si="53"/>
        <v>36066</v>
      </c>
      <c r="CV34" s="11">
        <f t="shared" si="54"/>
        <v>40507</v>
      </c>
      <c r="CW34" s="11">
        <f t="shared" si="55"/>
        <v>44948</v>
      </c>
      <c r="CX34" s="11">
        <f t="shared" si="56"/>
        <v>49389</v>
      </c>
      <c r="CY34" s="11">
        <f t="shared" si="57"/>
        <v>53830</v>
      </c>
      <c r="CZ34" s="11">
        <f t="shared" si="58"/>
        <v>58271</v>
      </c>
      <c r="DA34" s="11">
        <f t="shared" si="59"/>
        <v>62712</v>
      </c>
      <c r="DB34" s="11">
        <f t="shared" si="60"/>
        <v>67153</v>
      </c>
      <c r="DC34" s="11">
        <f t="shared" si="61"/>
        <v>71594</v>
      </c>
      <c r="DD34" s="11">
        <f t="shared" si="62"/>
        <v>76035</v>
      </c>
      <c r="DE34" s="11">
        <f t="shared" si="63"/>
        <v>80476</v>
      </c>
      <c r="DF34" s="11">
        <f t="shared" si="64"/>
        <v>84917</v>
      </c>
      <c r="DG34" s="11">
        <f t="shared" si="65"/>
        <v>89358</v>
      </c>
      <c r="DH34" s="11">
        <f t="shared" si="66"/>
        <v>93799</v>
      </c>
      <c r="DI34" s="11">
        <f t="shared" si="67"/>
        <v>98240</v>
      </c>
      <c r="DJ34" s="11">
        <f t="shared" si="68"/>
        <v>2678</v>
      </c>
      <c r="DK34" s="11">
        <f t="shared" si="69"/>
        <v>73947</v>
      </c>
      <c r="DL34" s="11">
        <f t="shared" si="70"/>
        <v>76036</v>
      </c>
      <c r="DM34" s="11">
        <f t="shared" si="71"/>
        <v>78125</v>
      </c>
      <c r="DN34" s="11" t="str">
        <f t="shared" si="72"/>
        <v>Вычислительные компоненты</v>
      </c>
      <c r="DO34" s="11" t="str">
        <f t="shared" si="73"/>
        <v>ЦОД и вычислительная инфраструктура</v>
      </c>
      <c r="DP34" s="11" t="str">
        <f t="shared" si="74"/>
        <v>Сетевые ресурсы</v>
      </c>
      <c r="DQ34" s="11" t="str">
        <f t="shared" si="75"/>
        <v>Производство</v>
      </c>
      <c r="DR34" s="11" t="str">
        <f t="shared" si="76"/>
        <v>Управление</v>
      </c>
      <c r="DS34" s="11" t="str">
        <f t="shared" si="77"/>
        <v>Познание</v>
      </c>
      <c r="DT34" s="11" t="str">
        <f t="shared" si="78"/>
        <v>Иран</v>
      </c>
      <c r="DU34" s="11" t="str">
        <f t="shared" si="79"/>
        <v>Израиль</v>
      </c>
      <c r="DV34" s="11" t="str">
        <f t="shared" si="80"/>
        <v>Бразилия</v>
      </c>
      <c r="DW34" s="11" t="str">
        <f t="shared" si="81"/>
        <v>Ресурсный</v>
      </c>
      <c r="DX34" s="11" t="str">
        <f t="shared" si="82"/>
        <v>Общественный</v>
      </c>
      <c r="DY34" s="11" t="str">
        <f t="shared" si="83"/>
        <v>Дипломатический</v>
      </c>
      <c r="DZ34" s="11" t="str">
        <f t="shared" si="84"/>
        <v>Сетевые ресурсы</v>
      </c>
      <c r="EA34" s="11" t="str">
        <f t="shared" si="85"/>
        <v>Обучение</v>
      </c>
      <c r="EB34" s="11" t="str">
        <f t="shared" si="86"/>
        <v>Индонезия</v>
      </c>
      <c r="EC34" s="11">
        <f t="shared" ref="EC34:EE34" si="129">IF(OR($B34="",$C34=""),0,IF(AND(EG34&gt;=5,EG34&gt;=5*EJ34),3,IF(AND(EJ34&gt;=5,EJ34&gt;=5*EG34),3,IF(AND(EG34&gt;=5,EG34&gt;=3*EJ34),2,IF(AND(EJ34&gt;=5,EJ34&gt;=3*EG34),2,IF(AND(EG34&gt;=5,EG34&gt;=2*EJ34),1,IF(AND(EJ34&gt;=5,EJ34&gt;=2*EG34),1,0)))))))</f>
        <v>0</v>
      </c>
      <c r="ED34" s="11">
        <f t="shared" si="129"/>
        <v>0</v>
      </c>
      <c r="EE34" s="11">
        <f t="shared" si="129"/>
        <v>0</v>
      </c>
      <c r="EF34" s="11">
        <f t="shared" si="88"/>
        <v>0</v>
      </c>
      <c r="EG34" s="11" t="str">
        <f t="shared" si="89"/>
        <v/>
      </c>
      <c r="EH34" s="11" t="str">
        <f t="shared" si="90"/>
        <v/>
      </c>
      <c r="EI34" s="11" t="str">
        <f t="shared" si="91"/>
        <v/>
      </c>
      <c r="EJ34" s="11" t="str">
        <f t="shared" si="92"/>
        <v/>
      </c>
      <c r="EK34" s="11" t="str">
        <f t="shared" si="93"/>
        <v/>
      </c>
      <c r="EL34" s="11" t="str">
        <f t="shared" si="94"/>
        <v/>
      </c>
      <c r="EM34" s="11" t="str">
        <f t="shared" si="95"/>
        <v/>
      </c>
      <c r="EN34" s="11" t="str">
        <f t="shared" si="96"/>
        <v/>
      </c>
      <c r="EO34" s="11" t="str">
        <f t="shared" si="97"/>
        <v/>
      </c>
      <c r="EP34" s="11" t="str">
        <f t="shared" si="98"/>
        <v/>
      </c>
      <c r="EQ34" s="11" t="str">
        <f t="shared" si="99"/>
        <v/>
      </c>
      <c r="ER34" s="11" t="str">
        <f t="shared" si="100"/>
        <v/>
      </c>
      <c r="ES34" s="11" t="str">
        <f t="shared" si="101"/>
        <v/>
      </c>
    </row>
    <row r="35" ht="52.5" customHeight="1">
      <c r="A35" s="55"/>
      <c r="B35" s="42"/>
      <c r="C35" s="42"/>
      <c r="D35" s="42"/>
      <c r="E35" s="42"/>
      <c r="F35" s="42"/>
      <c r="G35" s="56"/>
      <c r="H35" s="56"/>
      <c r="I35" s="56"/>
      <c r="J35" s="42"/>
      <c r="K35" s="42"/>
      <c r="L35" s="42"/>
      <c r="M35" s="56"/>
      <c r="N35" s="56"/>
      <c r="O35" s="56"/>
      <c r="P35" s="57" t="str">
        <f t="shared" si="2"/>
        <v/>
      </c>
      <c r="Q35" s="57" t="str">
        <f t="shared" si="3"/>
        <v/>
      </c>
      <c r="R35" s="58" t="str">
        <f t="shared" si="4"/>
        <v/>
      </c>
      <c r="S35" s="58" t="str">
        <f t="shared" si="5"/>
        <v/>
      </c>
      <c r="T35" s="58" t="str">
        <f t="shared" si="6"/>
        <v/>
      </c>
      <c r="U35" s="59" t="str">
        <f t="shared" si="7"/>
        <v/>
      </c>
      <c r="V35" s="59" t="str">
        <f t="shared" si="8"/>
        <v/>
      </c>
      <c r="W35" s="59" t="str">
        <f t="shared" si="9"/>
        <v/>
      </c>
      <c r="X35" s="60"/>
      <c r="Y35" s="61" t="str">
        <f t="shared" si="10"/>
        <v/>
      </c>
      <c r="Z35" s="61" t="str">
        <f t="shared" si="11"/>
        <v/>
      </c>
      <c r="AA35" s="61" t="str">
        <f t="shared" si="12"/>
        <v/>
      </c>
      <c r="AB35" s="61" t="str">
        <f t="shared" si="13"/>
        <v>Нет локального эффекта</v>
      </c>
      <c r="AC35" s="61" t="str">
        <f t="shared" si="14"/>
        <v/>
      </c>
      <c r="AD35" s="61" t="str">
        <f t="shared" si="15"/>
        <v>Нет локального эффекта</v>
      </c>
      <c r="AE35" s="61" t="str">
        <f t="shared" si="16"/>
        <v/>
      </c>
      <c r="AF35" s="61" t="str">
        <f t="shared" si="17"/>
        <v>Нет локального эффекта</v>
      </c>
      <c r="AG35" s="61" t="str">
        <f t="shared" si="18"/>
        <v/>
      </c>
      <c r="AH35" s="62" t="str">
        <f>IF($B35="","","Общий итог: "&amp;IF($Y35="","ожидает D90",$Y35&amp;IF($Z35="—",""," — "&amp;$Z35))&amp;". Арес: "&amp;$AA35&amp;". "&amp;$AB35&amp;" Афина: "&amp;$AC35&amp;". "&amp;$AD35&amp;" Аполлон: "&amp;$AE35&amp;". "&amp;$AF35&amp;IF($AG35="",""," Общий эффект: "&amp;$AG35))</f>
        <v/>
      </c>
      <c r="BA35" s="11" t="s">
        <v>407</v>
      </c>
      <c r="BF35" s="11">
        <v>9.74177386E8</v>
      </c>
      <c r="BG35" s="11">
        <v>8.24936877E8</v>
      </c>
      <c r="BH35" s="11">
        <v>4.40351552E8</v>
      </c>
      <c r="BI35" s="11">
        <v>9.18991973E8</v>
      </c>
      <c r="BJ35" s="11">
        <v>9.68469987E8</v>
      </c>
      <c r="BK35" s="11">
        <v>5.616879E8</v>
      </c>
      <c r="BL35" s="11">
        <v>3.3589267E8</v>
      </c>
      <c r="BM35" s="11">
        <f t="shared" si="19"/>
        <v>56082</v>
      </c>
      <c r="BN35" s="11">
        <f t="shared" si="20"/>
        <v>64001</v>
      </c>
      <c r="BO35" s="11">
        <f t="shared" si="21"/>
        <v>71920</v>
      </c>
      <c r="BP35" s="11">
        <f t="shared" si="22"/>
        <v>79839</v>
      </c>
      <c r="BQ35" s="11">
        <f t="shared" si="23"/>
        <v>87758</v>
      </c>
      <c r="BR35" s="11">
        <f t="shared" si="24"/>
        <v>95677</v>
      </c>
      <c r="BS35" s="11">
        <f t="shared" si="25"/>
        <v>3593</v>
      </c>
      <c r="BT35" s="11">
        <f t="shared" si="26"/>
        <v>11512</v>
      </c>
      <c r="BU35" s="11">
        <f t="shared" si="27"/>
        <v>19431</v>
      </c>
      <c r="BV35" s="11">
        <f t="shared" si="28"/>
        <v>27350</v>
      </c>
      <c r="BW35" s="11">
        <f t="shared" si="29"/>
        <v>18281</v>
      </c>
      <c r="BX35" s="11">
        <f t="shared" si="30"/>
        <v>24432</v>
      </c>
      <c r="BY35" s="11">
        <f t="shared" si="31"/>
        <v>30583</v>
      </c>
      <c r="BZ35" s="11">
        <f t="shared" si="32"/>
        <v>36734</v>
      </c>
      <c r="CA35" s="11">
        <f t="shared" si="33"/>
        <v>42885</v>
      </c>
      <c r="CB35" s="11">
        <f t="shared" si="34"/>
        <v>49036</v>
      </c>
      <c r="CC35" s="11">
        <f t="shared" si="35"/>
        <v>55187</v>
      </c>
      <c r="CD35" s="11">
        <f t="shared" si="36"/>
        <v>61338</v>
      </c>
      <c r="CE35" s="11">
        <f t="shared" si="37"/>
        <v>41914</v>
      </c>
      <c r="CF35" s="11">
        <f t="shared" si="38"/>
        <v>45485</v>
      </c>
      <c r="CG35" s="11">
        <f t="shared" si="39"/>
        <v>49056</v>
      </c>
      <c r="CH35" s="11">
        <f t="shared" si="40"/>
        <v>52627</v>
      </c>
      <c r="CI35" s="11">
        <f t="shared" si="41"/>
        <v>56198</v>
      </c>
      <c r="CJ35" s="11">
        <f t="shared" si="42"/>
        <v>59769</v>
      </c>
      <c r="CK35" s="11">
        <f t="shared" si="43"/>
        <v>63340</v>
      </c>
      <c r="CL35" s="11">
        <f t="shared" si="44"/>
        <v>66911</v>
      </c>
      <c r="CM35" s="11">
        <f t="shared" si="45"/>
        <v>70482</v>
      </c>
      <c r="CN35" s="11">
        <f t="shared" si="46"/>
        <v>74053</v>
      </c>
      <c r="CO35" s="11">
        <f t="shared" si="47"/>
        <v>77624</v>
      </c>
      <c r="CP35" s="11">
        <f t="shared" si="48"/>
        <v>81195</v>
      </c>
      <c r="CQ35" s="11">
        <f t="shared" si="49"/>
        <v>84766</v>
      </c>
      <c r="CR35" s="11">
        <f t="shared" si="50"/>
        <v>88337</v>
      </c>
      <c r="CS35" s="11">
        <f t="shared" si="51"/>
        <v>91908</v>
      </c>
      <c r="CT35" s="11">
        <f t="shared" si="52"/>
        <v>95479</v>
      </c>
      <c r="CU35" s="11">
        <f t="shared" si="53"/>
        <v>75493</v>
      </c>
      <c r="CV35" s="11">
        <f t="shared" si="54"/>
        <v>79934</v>
      </c>
      <c r="CW35" s="11">
        <f t="shared" si="55"/>
        <v>84375</v>
      </c>
      <c r="CX35" s="11">
        <f t="shared" si="56"/>
        <v>88816</v>
      </c>
      <c r="CY35" s="11">
        <f t="shared" si="57"/>
        <v>93257</v>
      </c>
      <c r="CZ35" s="11">
        <f t="shared" si="58"/>
        <v>97698</v>
      </c>
      <c r="DA35" s="11">
        <f t="shared" si="59"/>
        <v>2136</v>
      </c>
      <c r="DB35" s="11">
        <f t="shared" si="60"/>
        <v>6577</v>
      </c>
      <c r="DC35" s="11">
        <f t="shared" si="61"/>
        <v>11018</v>
      </c>
      <c r="DD35" s="11">
        <f t="shared" si="62"/>
        <v>15459</v>
      </c>
      <c r="DE35" s="11">
        <f t="shared" si="63"/>
        <v>19900</v>
      </c>
      <c r="DF35" s="11">
        <f t="shared" si="64"/>
        <v>24341</v>
      </c>
      <c r="DG35" s="11">
        <f t="shared" si="65"/>
        <v>28782</v>
      </c>
      <c r="DH35" s="11">
        <f t="shared" si="66"/>
        <v>33223</v>
      </c>
      <c r="DI35" s="11">
        <f t="shared" si="67"/>
        <v>37664</v>
      </c>
      <c r="DJ35" s="11">
        <f t="shared" si="68"/>
        <v>42105</v>
      </c>
      <c r="DK35" s="11">
        <f t="shared" si="69"/>
        <v>84685</v>
      </c>
      <c r="DL35" s="11">
        <f t="shared" si="70"/>
        <v>86774</v>
      </c>
      <c r="DM35" s="11">
        <f t="shared" si="71"/>
        <v>88863</v>
      </c>
      <c r="DN35" s="11" t="str">
        <f t="shared" si="72"/>
        <v>Вычислительные компоненты</v>
      </c>
      <c r="DO35" s="11" t="str">
        <f t="shared" si="73"/>
        <v>ЦОД и вычислительная инфраструктура</v>
      </c>
      <c r="DP35" s="11" t="str">
        <f t="shared" si="74"/>
        <v>Сетевые ресурсы</v>
      </c>
      <c r="DQ35" s="11" t="str">
        <f t="shared" si="75"/>
        <v>Производство</v>
      </c>
      <c r="DR35" s="11" t="str">
        <f t="shared" si="76"/>
        <v>Управление</v>
      </c>
      <c r="DS35" s="11" t="str">
        <f t="shared" si="77"/>
        <v>Познание</v>
      </c>
      <c r="DT35" s="11" t="str">
        <f t="shared" si="78"/>
        <v>Россия</v>
      </c>
      <c r="DU35" s="11" t="str">
        <f t="shared" si="79"/>
        <v>США</v>
      </c>
      <c r="DV35" s="11" t="str">
        <f t="shared" si="80"/>
        <v>Китай</v>
      </c>
      <c r="DW35" s="11" t="str">
        <f t="shared" si="81"/>
        <v>Ресурсный</v>
      </c>
      <c r="DX35" s="11" t="str">
        <f t="shared" si="82"/>
        <v>Общественный</v>
      </c>
      <c r="DY35" s="11" t="str">
        <f t="shared" si="83"/>
        <v>Дипломатический</v>
      </c>
      <c r="DZ35" s="11" t="str">
        <f t="shared" si="84"/>
        <v>Исходные данные</v>
      </c>
      <c r="EA35" s="11" t="str">
        <f t="shared" si="85"/>
        <v>Обучение</v>
      </c>
      <c r="EB35" s="11" t="str">
        <f t="shared" si="86"/>
        <v>Германия</v>
      </c>
      <c r="EC35" s="11">
        <f t="shared" ref="EC35:EE35" si="130">IF(OR($B35="",$C35=""),0,IF(AND(EG35&gt;=5,EG35&gt;=5*EJ35),3,IF(AND(EJ35&gt;=5,EJ35&gt;=5*EG35),3,IF(AND(EG35&gt;=5,EG35&gt;=3*EJ35),2,IF(AND(EJ35&gt;=5,EJ35&gt;=3*EG35),2,IF(AND(EG35&gt;=5,EG35&gt;=2*EJ35),1,IF(AND(EJ35&gt;=5,EJ35&gt;=2*EG35),1,0)))))))</f>
        <v>0</v>
      </c>
      <c r="ED35" s="11">
        <f t="shared" si="130"/>
        <v>0</v>
      </c>
      <c r="EE35" s="11">
        <f t="shared" si="130"/>
        <v>0</v>
      </c>
      <c r="EF35" s="11">
        <f t="shared" si="88"/>
        <v>0</v>
      </c>
      <c r="EG35" s="11" t="str">
        <f t="shared" si="89"/>
        <v/>
      </c>
      <c r="EH35" s="11" t="str">
        <f t="shared" si="90"/>
        <v/>
      </c>
      <c r="EI35" s="11" t="str">
        <f t="shared" si="91"/>
        <v/>
      </c>
      <c r="EJ35" s="11" t="str">
        <f t="shared" si="92"/>
        <v/>
      </c>
      <c r="EK35" s="11" t="str">
        <f t="shared" si="93"/>
        <v/>
      </c>
      <c r="EL35" s="11" t="str">
        <f t="shared" si="94"/>
        <v/>
      </c>
      <c r="EM35" s="11" t="str">
        <f t="shared" si="95"/>
        <v/>
      </c>
      <c r="EN35" s="11" t="str">
        <f t="shared" si="96"/>
        <v/>
      </c>
      <c r="EO35" s="11" t="str">
        <f t="shared" si="97"/>
        <v/>
      </c>
      <c r="EP35" s="11" t="str">
        <f t="shared" si="98"/>
        <v/>
      </c>
      <c r="EQ35" s="11" t="str">
        <f t="shared" si="99"/>
        <v/>
      </c>
      <c r="ER35" s="11" t="str">
        <f t="shared" si="100"/>
        <v/>
      </c>
      <c r="ES35" s="11" t="str">
        <f t="shared" si="101"/>
        <v/>
      </c>
    </row>
    <row r="36" ht="52.5" customHeight="1">
      <c r="A36" s="55"/>
      <c r="B36" s="42"/>
      <c r="C36" s="42"/>
      <c r="D36" s="42"/>
      <c r="E36" s="42"/>
      <c r="F36" s="42"/>
      <c r="G36" s="56"/>
      <c r="H36" s="56"/>
      <c r="I36" s="56"/>
      <c r="J36" s="42"/>
      <c r="K36" s="42"/>
      <c r="L36" s="42"/>
      <c r="M36" s="56"/>
      <c r="N36" s="56"/>
      <c r="O36" s="56"/>
      <c r="P36" s="57" t="str">
        <f t="shared" si="2"/>
        <v/>
      </c>
      <c r="Q36" s="57" t="str">
        <f t="shared" si="3"/>
        <v/>
      </c>
      <c r="R36" s="58" t="str">
        <f t="shared" si="4"/>
        <v/>
      </c>
      <c r="S36" s="58" t="str">
        <f t="shared" si="5"/>
        <v/>
      </c>
      <c r="T36" s="58" t="str">
        <f t="shared" si="6"/>
        <v/>
      </c>
      <c r="U36" s="59" t="str">
        <f t="shared" si="7"/>
        <v/>
      </c>
      <c r="V36" s="59" t="str">
        <f t="shared" si="8"/>
        <v/>
      </c>
      <c r="W36" s="59" t="str">
        <f t="shared" si="9"/>
        <v/>
      </c>
      <c r="X36" s="60"/>
      <c r="Y36" s="61" t="str">
        <f t="shared" si="10"/>
        <v/>
      </c>
      <c r="Z36" s="61" t="str">
        <f t="shared" si="11"/>
        <v/>
      </c>
      <c r="AA36" s="61" t="str">
        <f t="shared" si="12"/>
        <v/>
      </c>
      <c r="AB36" s="61" t="str">
        <f t="shared" si="13"/>
        <v>Нет локального эффекта</v>
      </c>
      <c r="AC36" s="61" t="str">
        <f t="shared" si="14"/>
        <v/>
      </c>
      <c r="AD36" s="61" t="str">
        <f t="shared" si="15"/>
        <v>Нет локального эффекта</v>
      </c>
      <c r="AE36" s="61" t="str">
        <f t="shared" si="16"/>
        <v/>
      </c>
      <c r="AF36" s="61" t="str">
        <f t="shared" si="17"/>
        <v>Нет локального эффекта</v>
      </c>
      <c r="AG36" s="61" t="str">
        <f t="shared" si="18"/>
        <v/>
      </c>
      <c r="AH36" s="62" t="str">
        <f>IF($B36="","","Общий итог: "&amp;IF($Y36="","ожидает D91",$Y36&amp;IF($Z36="—",""," — "&amp;$Z36))&amp;". Арес: "&amp;$AA36&amp;". "&amp;$AB36&amp;" Афина: "&amp;$AC36&amp;". "&amp;$AD36&amp;" Аполлон: "&amp;$AE36&amp;". "&amp;$AF36&amp;IF($AG36="",""," Общий эффект: "&amp;$AG36))</f>
        <v/>
      </c>
      <c r="BA36" s="11" t="s">
        <v>408</v>
      </c>
      <c r="BF36" s="11">
        <v>9.3802256E8</v>
      </c>
      <c r="BG36" s="11">
        <v>8.23108367E8</v>
      </c>
      <c r="BH36" s="11">
        <v>7.37082672E8</v>
      </c>
      <c r="BI36" s="11">
        <v>7.83828522E8</v>
      </c>
      <c r="BJ36" s="11">
        <v>3.75765848E8</v>
      </c>
      <c r="BK36" s="11">
        <v>9.086772E7</v>
      </c>
      <c r="BL36" s="11">
        <v>5.0615145E8</v>
      </c>
      <c r="BM36" s="11">
        <f t="shared" si="19"/>
        <v>2339</v>
      </c>
      <c r="BN36" s="11">
        <f t="shared" si="20"/>
        <v>10258</v>
      </c>
      <c r="BO36" s="11">
        <f t="shared" si="21"/>
        <v>18177</v>
      </c>
      <c r="BP36" s="11">
        <f t="shared" si="22"/>
        <v>26096</v>
      </c>
      <c r="BQ36" s="11">
        <f t="shared" si="23"/>
        <v>34015</v>
      </c>
      <c r="BR36" s="11">
        <f t="shared" si="24"/>
        <v>41934</v>
      </c>
      <c r="BS36" s="11">
        <f t="shared" si="25"/>
        <v>49853</v>
      </c>
      <c r="BT36" s="11">
        <f t="shared" si="26"/>
        <v>57772</v>
      </c>
      <c r="BU36" s="11">
        <f t="shared" si="27"/>
        <v>65691</v>
      </c>
      <c r="BV36" s="11">
        <f t="shared" si="28"/>
        <v>73610</v>
      </c>
      <c r="BW36" s="11">
        <f t="shared" si="29"/>
        <v>89828</v>
      </c>
      <c r="BX36" s="11">
        <f t="shared" si="30"/>
        <v>95979</v>
      </c>
      <c r="BY36" s="11">
        <f t="shared" si="31"/>
        <v>2127</v>
      </c>
      <c r="BZ36" s="11">
        <f t="shared" si="32"/>
        <v>8278</v>
      </c>
      <c r="CA36" s="11">
        <f t="shared" si="33"/>
        <v>14429</v>
      </c>
      <c r="CB36" s="11">
        <f t="shared" si="34"/>
        <v>20580</v>
      </c>
      <c r="CC36" s="11">
        <f t="shared" si="35"/>
        <v>26731</v>
      </c>
      <c r="CD36" s="11">
        <f t="shared" si="36"/>
        <v>32882</v>
      </c>
      <c r="CE36" s="11">
        <f t="shared" si="37"/>
        <v>64133</v>
      </c>
      <c r="CF36" s="11">
        <f t="shared" si="38"/>
        <v>67704</v>
      </c>
      <c r="CG36" s="11">
        <f t="shared" si="39"/>
        <v>71275</v>
      </c>
      <c r="CH36" s="11">
        <f t="shared" si="40"/>
        <v>74846</v>
      </c>
      <c r="CI36" s="11">
        <f t="shared" si="41"/>
        <v>78417</v>
      </c>
      <c r="CJ36" s="11">
        <f t="shared" si="42"/>
        <v>81988</v>
      </c>
      <c r="CK36" s="11">
        <f t="shared" si="43"/>
        <v>85559</v>
      </c>
      <c r="CL36" s="11">
        <f t="shared" si="44"/>
        <v>89130</v>
      </c>
      <c r="CM36" s="11">
        <f t="shared" si="45"/>
        <v>92701</v>
      </c>
      <c r="CN36" s="11">
        <f t="shared" si="46"/>
        <v>96272</v>
      </c>
      <c r="CO36" s="11">
        <f t="shared" si="47"/>
        <v>99843</v>
      </c>
      <c r="CP36" s="11">
        <f t="shared" si="48"/>
        <v>3411</v>
      </c>
      <c r="CQ36" s="11">
        <f t="shared" si="49"/>
        <v>6982</v>
      </c>
      <c r="CR36" s="11">
        <f t="shared" si="50"/>
        <v>10553</v>
      </c>
      <c r="CS36" s="11">
        <f t="shared" si="51"/>
        <v>14124</v>
      </c>
      <c r="CT36" s="11">
        <f t="shared" si="52"/>
        <v>17695</v>
      </c>
      <c r="CU36" s="11">
        <f t="shared" si="53"/>
        <v>69437</v>
      </c>
      <c r="CV36" s="11">
        <f t="shared" si="54"/>
        <v>73878</v>
      </c>
      <c r="CW36" s="11">
        <f t="shared" si="55"/>
        <v>78319</v>
      </c>
      <c r="CX36" s="11">
        <f t="shared" si="56"/>
        <v>82760</v>
      </c>
      <c r="CY36" s="11">
        <f t="shared" si="57"/>
        <v>87201</v>
      </c>
      <c r="CZ36" s="11">
        <f t="shared" si="58"/>
        <v>91642</v>
      </c>
      <c r="DA36" s="11">
        <f t="shared" si="59"/>
        <v>96083</v>
      </c>
      <c r="DB36" s="11">
        <f t="shared" si="60"/>
        <v>521</v>
      </c>
      <c r="DC36" s="11">
        <f t="shared" si="61"/>
        <v>4962</v>
      </c>
      <c r="DD36" s="11">
        <f t="shared" si="62"/>
        <v>9403</v>
      </c>
      <c r="DE36" s="11">
        <f t="shared" si="63"/>
        <v>13844</v>
      </c>
      <c r="DF36" s="11">
        <f t="shared" si="64"/>
        <v>18285</v>
      </c>
      <c r="DG36" s="11">
        <f t="shared" si="65"/>
        <v>22726</v>
      </c>
      <c r="DH36" s="11">
        <f t="shared" si="66"/>
        <v>27167</v>
      </c>
      <c r="DI36" s="11">
        <f t="shared" si="67"/>
        <v>31608</v>
      </c>
      <c r="DJ36" s="11">
        <f t="shared" si="68"/>
        <v>36049</v>
      </c>
      <c r="DK36" s="11">
        <f t="shared" si="69"/>
        <v>38356</v>
      </c>
      <c r="DL36" s="11">
        <f t="shared" si="70"/>
        <v>40445</v>
      </c>
      <c r="DM36" s="11">
        <f t="shared" si="71"/>
        <v>42534</v>
      </c>
      <c r="DN36" s="11" t="str">
        <f t="shared" si="72"/>
        <v>Минерально-сырьевые ресурсы</v>
      </c>
      <c r="DO36" s="11" t="str">
        <f t="shared" si="73"/>
        <v>Химические и технологические материалы</v>
      </c>
      <c r="DP36" s="11" t="str">
        <f t="shared" si="74"/>
        <v>Энергетические ресурсы</v>
      </c>
      <c r="DQ36" s="11" t="str">
        <f t="shared" si="75"/>
        <v>Познание</v>
      </c>
      <c r="DR36" s="11" t="str">
        <f t="shared" si="76"/>
        <v>Обучение</v>
      </c>
      <c r="DS36" s="11" t="str">
        <f t="shared" si="77"/>
        <v>Война</v>
      </c>
      <c r="DT36" s="11" t="str">
        <f t="shared" si="78"/>
        <v>Иран</v>
      </c>
      <c r="DU36" s="11" t="str">
        <f t="shared" si="79"/>
        <v>Израиль</v>
      </c>
      <c r="DV36" s="11" t="str">
        <f t="shared" si="80"/>
        <v>Бразилия</v>
      </c>
      <c r="DW36" s="11" t="str">
        <f t="shared" si="81"/>
        <v>Ресурсный</v>
      </c>
      <c r="DX36" s="11" t="str">
        <f t="shared" si="82"/>
        <v>Общественный</v>
      </c>
      <c r="DY36" s="11" t="str">
        <f t="shared" si="83"/>
        <v>Дипломатический</v>
      </c>
      <c r="DZ36" s="11" t="str">
        <f t="shared" si="84"/>
        <v>Стек эксплуатации ИИ</v>
      </c>
      <c r="EA36" s="11" t="str">
        <f t="shared" si="85"/>
        <v>Производство</v>
      </c>
      <c r="EB36" s="11" t="str">
        <f t="shared" si="86"/>
        <v>Япония</v>
      </c>
      <c r="EC36" s="11">
        <f t="shared" ref="EC36:EE36" si="131">IF(OR($B36="",$C36=""),0,IF(AND(EG36&gt;=5,EG36&gt;=5*EJ36),3,IF(AND(EJ36&gt;=5,EJ36&gt;=5*EG36),3,IF(AND(EG36&gt;=5,EG36&gt;=3*EJ36),2,IF(AND(EJ36&gt;=5,EJ36&gt;=3*EG36),2,IF(AND(EG36&gt;=5,EG36&gt;=2*EJ36),1,IF(AND(EJ36&gt;=5,EJ36&gt;=2*EG36),1,0)))))))</f>
        <v>0</v>
      </c>
      <c r="ED36" s="11">
        <f t="shared" si="131"/>
        <v>0</v>
      </c>
      <c r="EE36" s="11">
        <f t="shared" si="131"/>
        <v>0</v>
      </c>
      <c r="EF36" s="11">
        <f t="shared" si="88"/>
        <v>0</v>
      </c>
      <c r="EG36" s="11" t="str">
        <f t="shared" si="89"/>
        <v/>
      </c>
      <c r="EH36" s="11" t="str">
        <f t="shared" si="90"/>
        <v/>
      </c>
      <c r="EI36" s="11" t="str">
        <f t="shared" si="91"/>
        <v/>
      </c>
      <c r="EJ36" s="11" t="str">
        <f t="shared" si="92"/>
        <v/>
      </c>
      <c r="EK36" s="11" t="str">
        <f t="shared" si="93"/>
        <v/>
      </c>
      <c r="EL36" s="11" t="str">
        <f t="shared" si="94"/>
        <v/>
      </c>
      <c r="EM36" s="11" t="str">
        <f t="shared" si="95"/>
        <v/>
      </c>
      <c r="EN36" s="11" t="str">
        <f t="shared" si="96"/>
        <v/>
      </c>
      <c r="EO36" s="11" t="str">
        <f t="shared" si="97"/>
        <v/>
      </c>
      <c r="EP36" s="11" t="str">
        <f t="shared" si="98"/>
        <v/>
      </c>
      <c r="EQ36" s="11" t="str">
        <f t="shared" si="99"/>
        <v/>
      </c>
      <c r="ER36" s="11" t="str">
        <f t="shared" si="100"/>
        <v/>
      </c>
      <c r="ES36" s="11" t="str">
        <f t="shared" si="101"/>
        <v/>
      </c>
    </row>
    <row r="37" ht="52.5" customHeight="1">
      <c r="A37" s="55"/>
      <c r="B37" s="42"/>
      <c r="C37" s="42"/>
      <c r="D37" s="42"/>
      <c r="E37" s="42"/>
      <c r="F37" s="42"/>
      <c r="G37" s="56"/>
      <c r="H37" s="56"/>
      <c r="I37" s="56"/>
      <c r="J37" s="42"/>
      <c r="K37" s="42"/>
      <c r="L37" s="42"/>
      <c r="M37" s="56"/>
      <c r="N37" s="56"/>
      <c r="O37" s="56"/>
      <c r="P37" s="57" t="str">
        <f t="shared" si="2"/>
        <v/>
      </c>
      <c r="Q37" s="57" t="str">
        <f t="shared" si="3"/>
        <v/>
      </c>
      <c r="R37" s="58" t="str">
        <f t="shared" si="4"/>
        <v/>
      </c>
      <c r="S37" s="58" t="str">
        <f t="shared" si="5"/>
        <v/>
      </c>
      <c r="T37" s="58" t="str">
        <f t="shared" si="6"/>
        <v/>
      </c>
      <c r="U37" s="59" t="str">
        <f t="shared" si="7"/>
        <v/>
      </c>
      <c r="V37" s="59" t="str">
        <f t="shared" si="8"/>
        <v/>
      </c>
      <c r="W37" s="59" t="str">
        <f t="shared" si="9"/>
        <v/>
      </c>
      <c r="X37" s="60"/>
      <c r="Y37" s="61" t="str">
        <f t="shared" si="10"/>
        <v/>
      </c>
      <c r="Z37" s="61" t="str">
        <f t="shared" si="11"/>
        <v/>
      </c>
      <c r="AA37" s="61" t="str">
        <f t="shared" si="12"/>
        <v/>
      </c>
      <c r="AB37" s="61" t="str">
        <f t="shared" si="13"/>
        <v>Нет локального эффекта</v>
      </c>
      <c r="AC37" s="61" t="str">
        <f t="shared" si="14"/>
        <v/>
      </c>
      <c r="AD37" s="61" t="str">
        <f t="shared" si="15"/>
        <v>Нет локального эффекта</v>
      </c>
      <c r="AE37" s="61" t="str">
        <f t="shared" si="16"/>
        <v/>
      </c>
      <c r="AF37" s="61" t="str">
        <f t="shared" si="17"/>
        <v>Нет локального эффекта</v>
      </c>
      <c r="AG37" s="61" t="str">
        <f t="shared" si="18"/>
        <v/>
      </c>
      <c r="AH37" s="62" t="str">
        <f>IF($B37="","","Общий итог: "&amp;IF($Y37="","ожидает D92",$Y37&amp;IF($Z37="—",""," — "&amp;$Z37))&amp;". Арес: "&amp;$AA37&amp;". "&amp;$AB37&amp;" Афина: "&amp;$AC37&amp;". "&amp;$AD37&amp;" Аполлон: "&amp;$AE37&amp;". "&amp;$AF37&amp;IF($AG37="",""," Общий эффект: "&amp;$AG37))</f>
        <v/>
      </c>
      <c r="BA37" s="11" t="s">
        <v>409</v>
      </c>
      <c r="BF37" s="11">
        <v>2.64099781E8</v>
      </c>
      <c r="BG37" s="11">
        <v>3.27236483E8</v>
      </c>
      <c r="BH37" s="11">
        <v>8.97184405E8</v>
      </c>
      <c r="BI37" s="11">
        <v>5.86785543E8</v>
      </c>
      <c r="BJ37" s="11">
        <v>2.46346827E8</v>
      </c>
      <c r="BK37" s="11">
        <v>3.89155523E8</v>
      </c>
      <c r="BL37" s="11">
        <v>5.94936106E8</v>
      </c>
      <c r="BM37" s="11">
        <f t="shared" si="19"/>
        <v>99780</v>
      </c>
      <c r="BN37" s="11">
        <f t="shared" si="20"/>
        <v>7696</v>
      </c>
      <c r="BO37" s="11">
        <f t="shared" si="21"/>
        <v>15615</v>
      </c>
      <c r="BP37" s="11">
        <f t="shared" si="22"/>
        <v>23534</v>
      </c>
      <c r="BQ37" s="11">
        <f t="shared" si="23"/>
        <v>31453</v>
      </c>
      <c r="BR37" s="11">
        <f t="shared" si="24"/>
        <v>39372</v>
      </c>
      <c r="BS37" s="11">
        <f t="shared" si="25"/>
        <v>47291</v>
      </c>
      <c r="BT37" s="11">
        <f t="shared" si="26"/>
        <v>55210</v>
      </c>
      <c r="BU37" s="11">
        <f t="shared" si="27"/>
        <v>63129</v>
      </c>
      <c r="BV37" s="11">
        <f t="shared" si="28"/>
        <v>71048</v>
      </c>
      <c r="BW37" s="11">
        <f t="shared" si="29"/>
        <v>32818</v>
      </c>
      <c r="BX37" s="11">
        <f t="shared" si="30"/>
        <v>38969</v>
      </c>
      <c r="BY37" s="11">
        <f t="shared" si="31"/>
        <v>45120</v>
      </c>
      <c r="BZ37" s="11">
        <f t="shared" si="32"/>
        <v>51271</v>
      </c>
      <c r="CA37" s="11">
        <f t="shared" si="33"/>
        <v>57422</v>
      </c>
      <c r="CB37" s="11">
        <f t="shared" si="34"/>
        <v>63573</v>
      </c>
      <c r="CC37" s="11">
        <f t="shared" si="35"/>
        <v>69724</v>
      </c>
      <c r="CD37" s="11">
        <f t="shared" si="36"/>
        <v>75875</v>
      </c>
      <c r="CE37" s="11">
        <f t="shared" si="37"/>
        <v>61063</v>
      </c>
      <c r="CF37" s="11">
        <f t="shared" si="38"/>
        <v>64634</v>
      </c>
      <c r="CG37" s="11">
        <f t="shared" si="39"/>
        <v>68205</v>
      </c>
      <c r="CH37" s="11">
        <f t="shared" si="40"/>
        <v>71776</v>
      </c>
      <c r="CI37" s="11">
        <f t="shared" si="41"/>
        <v>75347</v>
      </c>
      <c r="CJ37" s="11">
        <f t="shared" si="42"/>
        <v>78918</v>
      </c>
      <c r="CK37" s="11">
        <f t="shared" si="43"/>
        <v>82489</v>
      </c>
      <c r="CL37" s="11">
        <f t="shared" si="44"/>
        <v>86060</v>
      </c>
      <c r="CM37" s="11">
        <f t="shared" si="45"/>
        <v>89631</v>
      </c>
      <c r="CN37" s="11">
        <f t="shared" si="46"/>
        <v>93202</v>
      </c>
      <c r="CO37" s="11">
        <f t="shared" si="47"/>
        <v>96773</v>
      </c>
      <c r="CP37" s="11">
        <f t="shared" si="48"/>
        <v>341</v>
      </c>
      <c r="CQ37" s="11">
        <f t="shared" si="49"/>
        <v>3912</v>
      </c>
      <c r="CR37" s="11">
        <f t="shared" si="50"/>
        <v>7483</v>
      </c>
      <c r="CS37" s="11">
        <f t="shared" si="51"/>
        <v>11054</v>
      </c>
      <c r="CT37" s="11">
        <f t="shared" si="52"/>
        <v>14625</v>
      </c>
      <c r="CU37" s="11">
        <f t="shared" si="53"/>
        <v>48291</v>
      </c>
      <c r="CV37" s="11">
        <f t="shared" si="54"/>
        <v>52732</v>
      </c>
      <c r="CW37" s="11">
        <f t="shared" si="55"/>
        <v>57173</v>
      </c>
      <c r="CX37" s="11">
        <f t="shared" si="56"/>
        <v>61614</v>
      </c>
      <c r="CY37" s="11">
        <f t="shared" si="57"/>
        <v>66055</v>
      </c>
      <c r="CZ37" s="11">
        <f t="shared" si="58"/>
        <v>70496</v>
      </c>
      <c r="DA37" s="11">
        <f t="shared" si="59"/>
        <v>74937</v>
      </c>
      <c r="DB37" s="11">
        <f t="shared" si="60"/>
        <v>79378</v>
      </c>
      <c r="DC37" s="11">
        <f t="shared" si="61"/>
        <v>83819</v>
      </c>
      <c r="DD37" s="11">
        <f t="shared" si="62"/>
        <v>88260</v>
      </c>
      <c r="DE37" s="11">
        <f t="shared" si="63"/>
        <v>92701</v>
      </c>
      <c r="DF37" s="11">
        <f t="shared" si="64"/>
        <v>97142</v>
      </c>
      <c r="DG37" s="11">
        <f t="shared" si="65"/>
        <v>1580</v>
      </c>
      <c r="DH37" s="11">
        <f t="shared" si="66"/>
        <v>6021</v>
      </c>
      <c r="DI37" s="11">
        <f t="shared" si="67"/>
        <v>10462</v>
      </c>
      <c r="DJ37" s="11">
        <f t="shared" si="68"/>
        <v>14903</v>
      </c>
      <c r="DK37" s="11">
        <f t="shared" si="69"/>
        <v>20348</v>
      </c>
      <c r="DL37" s="11">
        <f t="shared" si="70"/>
        <v>22437</v>
      </c>
      <c r="DM37" s="11">
        <f t="shared" si="71"/>
        <v>24526</v>
      </c>
      <c r="DN37" s="11" t="str">
        <f t="shared" si="72"/>
        <v>Химические и технологические материалы</v>
      </c>
      <c r="DO37" s="11" t="str">
        <f t="shared" si="73"/>
        <v>Энергетические ресурсы</v>
      </c>
      <c r="DP37" s="11" t="str">
        <f t="shared" si="74"/>
        <v>Вода и ресурс отвода тепла</v>
      </c>
      <c r="DQ37" s="11" t="str">
        <f t="shared" si="75"/>
        <v>Производство</v>
      </c>
      <c r="DR37" s="11" t="str">
        <f t="shared" si="76"/>
        <v>Управление</v>
      </c>
      <c r="DS37" s="11" t="str">
        <f t="shared" si="77"/>
        <v>Познание</v>
      </c>
      <c r="DT37" s="11" t="str">
        <f t="shared" si="78"/>
        <v>Иран</v>
      </c>
      <c r="DU37" s="11" t="str">
        <f t="shared" si="79"/>
        <v>Израиль</v>
      </c>
      <c r="DV37" s="11" t="str">
        <f t="shared" si="80"/>
        <v>Бразилия</v>
      </c>
      <c r="DW37" s="11" t="str">
        <f t="shared" si="81"/>
        <v>Ресурсный</v>
      </c>
      <c r="DX37" s="11" t="str">
        <f t="shared" si="82"/>
        <v>Общественный</v>
      </c>
      <c r="DY37" s="11" t="str">
        <f t="shared" si="83"/>
        <v>Дипломатический</v>
      </c>
      <c r="DZ37" s="11" t="str">
        <f t="shared" si="84"/>
        <v>Модельные ресурсы</v>
      </c>
      <c r="EA37" s="11" t="str">
        <f t="shared" si="85"/>
        <v>Обучение</v>
      </c>
      <c r="EB37" s="11" t="str">
        <f t="shared" si="86"/>
        <v>Израиль</v>
      </c>
      <c r="EC37" s="11">
        <f t="shared" ref="EC37:EE37" si="132">IF(OR($B37="",$C37=""),0,IF(AND(EG37&gt;=5,EG37&gt;=5*EJ37),3,IF(AND(EJ37&gt;=5,EJ37&gt;=5*EG37),3,IF(AND(EG37&gt;=5,EG37&gt;=3*EJ37),2,IF(AND(EJ37&gt;=5,EJ37&gt;=3*EG37),2,IF(AND(EG37&gt;=5,EG37&gt;=2*EJ37),1,IF(AND(EJ37&gt;=5,EJ37&gt;=2*EG37),1,0)))))))</f>
        <v>0</v>
      </c>
      <c r="ED37" s="11">
        <f t="shared" si="132"/>
        <v>0</v>
      </c>
      <c r="EE37" s="11">
        <f t="shared" si="132"/>
        <v>0</v>
      </c>
      <c r="EF37" s="11">
        <f t="shared" si="88"/>
        <v>0</v>
      </c>
      <c r="EG37" s="11" t="str">
        <f t="shared" si="89"/>
        <v/>
      </c>
      <c r="EH37" s="11" t="str">
        <f t="shared" si="90"/>
        <v/>
      </c>
      <c r="EI37" s="11" t="str">
        <f t="shared" si="91"/>
        <v/>
      </c>
      <c r="EJ37" s="11" t="str">
        <f t="shared" si="92"/>
        <v/>
      </c>
      <c r="EK37" s="11" t="str">
        <f t="shared" si="93"/>
        <v/>
      </c>
      <c r="EL37" s="11" t="str">
        <f t="shared" si="94"/>
        <v/>
      </c>
      <c r="EM37" s="11" t="str">
        <f t="shared" si="95"/>
        <v/>
      </c>
      <c r="EN37" s="11" t="str">
        <f t="shared" si="96"/>
        <v/>
      </c>
      <c r="EO37" s="11" t="str">
        <f t="shared" si="97"/>
        <v/>
      </c>
      <c r="EP37" s="11" t="str">
        <f t="shared" si="98"/>
        <v/>
      </c>
      <c r="EQ37" s="11" t="str">
        <f t="shared" si="99"/>
        <v/>
      </c>
      <c r="ER37" s="11" t="str">
        <f t="shared" si="100"/>
        <v/>
      </c>
      <c r="ES37" s="11" t="str">
        <f t="shared" si="101"/>
        <v/>
      </c>
    </row>
    <row r="38" ht="52.5" customHeight="1">
      <c r="A38" s="55"/>
      <c r="B38" s="42"/>
      <c r="C38" s="42"/>
      <c r="D38" s="42"/>
      <c r="E38" s="42"/>
      <c r="F38" s="42"/>
      <c r="G38" s="56"/>
      <c r="H38" s="56"/>
      <c r="I38" s="56"/>
      <c r="J38" s="42"/>
      <c r="K38" s="42"/>
      <c r="L38" s="42"/>
      <c r="M38" s="56"/>
      <c r="N38" s="56"/>
      <c r="O38" s="56"/>
      <c r="P38" s="57" t="str">
        <f t="shared" si="2"/>
        <v/>
      </c>
      <c r="Q38" s="57" t="str">
        <f t="shared" si="3"/>
        <v/>
      </c>
      <c r="R38" s="58" t="str">
        <f t="shared" si="4"/>
        <v/>
      </c>
      <c r="S38" s="58" t="str">
        <f t="shared" si="5"/>
        <v/>
      </c>
      <c r="T38" s="58" t="str">
        <f t="shared" si="6"/>
        <v/>
      </c>
      <c r="U38" s="59" t="str">
        <f t="shared" si="7"/>
        <v/>
      </c>
      <c r="V38" s="59" t="str">
        <f t="shared" si="8"/>
        <v/>
      </c>
      <c r="W38" s="59" t="str">
        <f t="shared" si="9"/>
        <v/>
      </c>
      <c r="X38" s="60"/>
      <c r="Y38" s="61" t="str">
        <f t="shared" si="10"/>
        <v/>
      </c>
      <c r="Z38" s="61" t="str">
        <f t="shared" si="11"/>
        <v/>
      </c>
      <c r="AA38" s="61" t="str">
        <f t="shared" si="12"/>
        <v/>
      </c>
      <c r="AB38" s="61" t="str">
        <f t="shared" si="13"/>
        <v>Нет локального эффекта</v>
      </c>
      <c r="AC38" s="61" t="str">
        <f t="shared" si="14"/>
        <v/>
      </c>
      <c r="AD38" s="61" t="str">
        <f t="shared" si="15"/>
        <v>Нет локального эффекта</v>
      </c>
      <c r="AE38" s="61" t="str">
        <f t="shared" si="16"/>
        <v/>
      </c>
      <c r="AF38" s="61" t="str">
        <f t="shared" si="17"/>
        <v>Нет локального эффекта</v>
      </c>
      <c r="AG38" s="61" t="str">
        <f t="shared" si="18"/>
        <v/>
      </c>
      <c r="AH38" s="62" t="str">
        <f>IF($B38="","","Общий итог: "&amp;IF($Y38="","ожидает D93",$Y38&amp;IF($Z38="—",""," — "&amp;$Z38))&amp;". Арес: "&amp;$AA38&amp;". "&amp;$AB38&amp;" Афина: "&amp;$AC38&amp;". "&amp;$AD38&amp;" Аполлон: "&amp;$AE38&amp;". "&amp;$AF38&amp;IF($AG38="",""," Общий эффект: "&amp;$AG38))</f>
        <v/>
      </c>
      <c r="BA38" s="11" t="s">
        <v>410</v>
      </c>
      <c r="BF38" s="11">
        <v>9.30356243E8</v>
      </c>
      <c r="BG38" s="11">
        <v>9.61499988E8</v>
      </c>
      <c r="BH38" s="11">
        <v>9.48399374E8</v>
      </c>
      <c r="BI38" s="11">
        <v>3.24535403E8</v>
      </c>
      <c r="BJ38" s="11">
        <v>3.28937827E8</v>
      </c>
      <c r="BK38" s="11">
        <v>1.88861969E8</v>
      </c>
      <c r="BL38" s="11">
        <v>4.2362035E8</v>
      </c>
      <c r="BM38" s="11">
        <f t="shared" si="19"/>
        <v>36253</v>
      </c>
      <c r="BN38" s="11">
        <f t="shared" si="20"/>
        <v>44172</v>
      </c>
      <c r="BO38" s="11">
        <f t="shared" si="21"/>
        <v>52091</v>
      </c>
      <c r="BP38" s="11">
        <f t="shared" si="22"/>
        <v>60010</v>
      </c>
      <c r="BQ38" s="11">
        <f t="shared" si="23"/>
        <v>67929</v>
      </c>
      <c r="BR38" s="11">
        <f t="shared" si="24"/>
        <v>75848</v>
      </c>
      <c r="BS38" s="11">
        <f t="shared" si="25"/>
        <v>83767</v>
      </c>
      <c r="BT38" s="11">
        <f t="shared" si="26"/>
        <v>91686</v>
      </c>
      <c r="BU38" s="11">
        <f t="shared" si="27"/>
        <v>99605</v>
      </c>
      <c r="BV38" s="11">
        <f t="shared" si="28"/>
        <v>7521</v>
      </c>
      <c r="BW38" s="11">
        <f t="shared" si="29"/>
        <v>77297</v>
      </c>
      <c r="BX38" s="11">
        <f t="shared" si="30"/>
        <v>83448</v>
      </c>
      <c r="BY38" s="11">
        <f t="shared" si="31"/>
        <v>89599</v>
      </c>
      <c r="BZ38" s="11">
        <f t="shared" si="32"/>
        <v>95750</v>
      </c>
      <c r="CA38" s="11">
        <f t="shared" si="33"/>
        <v>1898</v>
      </c>
      <c r="CB38" s="11">
        <f t="shared" si="34"/>
        <v>8049</v>
      </c>
      <c r="CC38" s="11">
        <f t="shared" si="35"/>
        <v>14200</v>
      </c>
      <c r="CD38" s="11">
        <f t="shared" si="36"/>
        <v>20351</v>
      </c>
      <c r="CE38" s="11">
        <f t="shared" si="37"/>
        <v>74496</v>
      </c>
      <c r="CF38" s="11">
        <f t="shared" si="38"/>
        <v>78067</v>
      </c>
      <c r="CG38" s="11">
        <f t="shared" si="39"/>
        <v>81638</v>
      </c>
      <c r="CH38" s="11">
        <f t="shared" si="40"/>
        <v>85209</v>
      </c>
      <c r="CI38" s="11">
        <f t="shared" si="41"/>
        <v>88780</v>
      </c>
      <c r="CJ38" s="11">
        <f t="shared" si="42"/>
        <v>92351</v>
      </c>
      <c r="CK38" s="11">
        <f t="shared" si="43"/>
        <v>95922</v>
      </c>
      <c r="CL38" s="11">
        <f t="shared" si="44"/>
        <v>99493</v>
      </c>
      <c r="CM38" s="11">
        <f t="shared" si="45"/>
        <v>3061</v>
      </c>
      <c r="CN38" s="11">
        <f t="shared" si="46"/>
        <v>6632</v>
      </c>
      <c r="CO38" s="11">
        <f t="shared" si="47"/>
        <v>10203</v>
      </c>
      <c r="CP38" s="11">
        <f t="shared" si="48"/>
        <v>13774</v>
      </c>
      <c r="CQ38" s="11">
        <f t="shared" si="49"/>
        <v>17345</v>
      </c>
      <c r="CR38" s="11">
        <f t="shared" si="50"/>
        <v>20916</v>
      </c>
      <c r="CS38" s="11">
        <f t="shared" si="51"/>
        <v>24487</v>
      </c>
      <c r="CT38" s="11">
        <f t="shared" si="52"/>
        <v>28058</v>
      </c>
      <c r="CU38" s="11">
        <f t="shared" si="53"/>
        <v>60746</v>
      </c>
      <c r="CV38" s="11">
        <f t="shared" si="54"/>
        <v>65187</v>
      </c>
      <c r="CW38" s="11">
        <f t="shared" si="55"/>
        <v>69628</v>
      </c>
      <c r="CX38" s="11">
        <f t="shared" si="56"/>
        <v>74069</v>
      </c>
      <c r="CY38" s="11">
        <f t="shared" si="57"/>
        <v>78510</v>
      </c>
      <c r="CZ38" s="11">
        <f t="shared" si="58"/>
        <v>82951</v>
      </c>
      <c r="DA38" s="11">
        <f t="shared" si="59"/>
        <v>87392</v>
      </c>
      <c r="DB38" s="11">
        <f t="shared" si="60"/>
        <v>91833</v>
      </c>
      <c r="DC38" s="11">
        <f t="shared" si="61"/>
        <v>96274</v>
      </c>
      <c r="DD38" s="11">
        <f t="shared" si="62"/>
        <v>712</v>
      </c>
      <c r="DE38" s="11">
        <f t="shared" si="63"/>
        <v>5153</v>
      </c>
      <c r="DF38" s="11">
        <f t="shared" si="64"/>
        <v>9594</v>
      </c>
      <c r="DG38" s="11">
        <f t="shared" si="65"/>
        <v>14035</v>
      </c>
      <c r="DH38" s="11">
        <f t="shared" si="66"/>
        <v>18476</v>
      </c>
      <c r="DI38" s="11">
        <f t="shared" si="67"/>
        <v>22917</v>
      </c>
      <c r="DJ38" s="11">
        <f t="shared" si="68"/>
        <v>27358</v>
      </c>
      <c r="DK38" s="11">
        <f t="shared" si="69"/>
        <v>9731</v>
      </c>
      <c r="DL38" s="11">
        <f t="shared" si="70"/>
        <v>11820</v>
      </c>
      <c r="DM38" s="11">
        <f t="shared" si="71"/>
        <v>13909</v>
      </c>
      <c r="DN38" s="11" t="str">
        <f t="shared" si="72"/>
        <v>Конечные устройства</v>
      </c>
      <c r="DO38" s="11" t="str">
        <f t="shared" si="73"/>
        <v>Минерально-сырьевые ресурсы</v>
      </c>
      <c r="DP38" s="11" t="str">
        <f t="shared" si="74"/>
        <v>Химические и технологические материалы</v>
      </c>
      <c r="DQ38" s="11" t="str">
        <f t="shared" si="75"/>
        <v>Война</v>
      </c>
      <c r="DR38" s="11" t="str">
        <f t="shared" si="76"/>
        <v>Экономика</v>
      </c>
      <c r="DS38" s="11" t="str">
        <f t="shared" si="77"/>
        <v>Государственное управление</v>
      </c>
      <c r="DT38" s="11" t="str">
        <f t="shared" si="78"/>
        <v>Южная Корея</v>
      </c>
      <c r="DU38" s="11" t="str">
        <f t="shared" si="79"/>
        <v>Турция</v>
      </c>
      <c r="DV38" s="11" t="str">
        <f t="shared" si="80"/>
        <v>Саудовская Аравия</v>
      </c>
      <c r="DW38" s="11" t="str">
        <f t="shared" si="81"/>
        <v>Ресурсный</v>
      </c>
      <c r="DX38" s="11" t="str">
        <f t="shared" si="82"/>
        <v>Общественный</v>
      </c>
      <c r="DY38" s="11" t="str">
        <f t="shared" si="83"/>
        <v>Дипломатический</v>
      </c>
      <c r="DZ38" s="11" t="str">
        <f t="shared" si="84"/>
        <v>Ресурс обновления и восстановления</v>
      </c>
      <c r="EA38" s="11" t="str">
        <f t="shared" si="85"/>
        <v>Обучение</v>
      </c>
      <c r="EB38" s="11" t="str">
        <f t="shared" si="86"/>
        <v>Турция</v>
      </c>
      <c r="EC38" s="11">
        <f t="shared" ref="EC38:EE38" si="133">IF(OR($B38="",$C38=""),0,IF(AND(EG38&gt;=5,EG38&gt;=5*EJ38),3,IF(AND(EJ38&gt;=5,EJ38&gt;=5*EG38),3,IF(AND(EG38&gt;=5,EG38&gt;=3*EJ38),2,IF(AND(EJ38&gt;=5,EJ38&gt;=3*EG38),2,IF(AND(EG38&gt;=5,EG38&gt;=2*EJ38),1,IF(AND(EJ38&gt;=5,EJ38&gt;=2*EG38),1,0)))))))</f>
        <v>0</v>
      </c>
      <c r="ED38" s="11">
        <f t="shared" si="133"/>
        <v>0</v>
      </c>
      <c r="EE38" s="11">
        <f t="shared" si="133"/>
        <v>0</v>
      </c>
      <c r="EF38" s="11">
        <f t="shared" si="88"/>
        <v>0</v>
      </c>
      <c r="EG38" s="11" t="str">
        <f t="shared" si="89"/>
        <v/>
      </c>
      <c r="EH38" s="11" t="str">
        <f t="shared" si="90"/>
        <v/>
      </c>
      <c r="EI38" s="11" t="str">
        <f t="shared" si="91"/>
        <v/>
      </c>
      <c r="EJ38" s="11" t="str">
        <f t="shared" si="92"/>
        <v/>
      </c>
      <c r="EK38" s="11" t="str">
        <f t="shared" si="93"/>
        <v/>
      </c>
      <c r="EL38" s="11" t="str">
        <f t="shared" si="94"/>
        <v/>
      </c>
      <c r="EM38" s="11" t="str">
        <f t="shared" si="95"/>
        <v/>
      </c>
      <c r="EN38" s="11" t="str">
        <f t="shared" si="96"/>
        <v/>
      </c>
      <c r="EO38" s="11" t="str">
        <f t="shared" si="97"/>
        <v/>
      </c>
      <c r="EP38" s="11" t="str">
        <f t="shared" si="98"/>
        <v/>
      </c>
      <c r="EQ38" s="11" t="str">
        <f t="shared" si="99"/>
        <v/>
      </c>
      <c r="ER38" s="11" t="str">
        <f t="shared" si="100"/>
        <v/>
      </c>
      <c r="ES38" s="11" t="str">
        <f t="shared" si="101"/>
        <v/>
      </c>
    </row>
    <row r="39" ht="52.5" customHeight="1">
      <c r="A39" s="55"/>
      <c r="B39" s="42"/>
      <c r="C39" s="42"/>
      <c r="D39" s="42"/>
      <c r="E39" s="42"/>
      <c r="F39" s="42"/>
      <c r="G39" s="56"/>
      <c r="H39" s="56"/>
      <c r="I39" s="56"/>
      <c r="J39" s="42"/>
      <c r="K39" s="42"/>
      <c r="L39" s="42"/>
      <c r="M39" s="56"/>
      <c r="N39" s="56"/>
      <c r="O39" s="56"/>
      <c r="P39" s="57" t="str">
        <f t="shared" si="2"/>
        <v/>
      </c>
      <c r="Q39" s="57" t="str">
        <f t="shared" si="3"/>
        <v/>
      </c>
      <c r="R39" s="58" t="str">
        <f t="shared" si="4"/>
        <v/>
      </c>
      <c r="S39" s="58" t="str">
        <f t="shared" si="5"/>
        <v/>
      </c>
      <c r="T39" s="58" t="str">
        <f t="shared" si="6"/>
        <v/>
      </c>
      <c r="U39" s="59" t="str">
        <f t="shared" si="7"/>
        <v/>
      </c>
      <c r="V39" s="59" t="str">
        <f t="shared" si="8"/>
        <v/>
      </c>
      <c r="W39" s="59" t="str">
        <f t="shared" si="9"/>
        <v/>
      </c>
      <c r="X39" s="60"/>
      <c r="Y39" s="61" t="str">
        <f t="shared" si="10"/>
        <v/>
      </c>
      <c r="Z39" s="61" t="str">
        <f t="shared" si="11"/>
        <v/>
      </c>
      <c r="AA39" s="61" t="str">
        <f t="shared" si="12"/>
        <v/>
      </c>
      <c r="AB39" s="61" t="str">
        <f t="shared" si="13"/>
        <v>Нет локального эффекта</v>
      </c>
      <c r="AC39" s="61" t="str">
        <f t="shared" si="14"/>
        <v/>
      </c>
      <c r="AD39" s="61" t="str">
        <f t="shared" si="15"/>
        <v>Нет локального эффекта</v>
      </c>
      <c r="AE39" s="61" t="str">
        <f t="shared" si="16"/>
        <v/>
      </c>
      <c r="AF39" s="61" t="str">
        <f t="shared" si="17"/>
        <v>Нет локального эффекта</v>
      </c>
      <c r="AG39" s="61" t="str">
        <f t="shared" si="18"/>
        <v/>
      </c>
      <c r="AH39" s="62" t="str">
        <f>IF($B39="","","Общий итог: "&amp;IF($Y39="","ожидает D94",$Y39&amp;IF($Z39="—",""," — "&amp;$Z39))&amp;". Арес: "&amp;$AA39&amp;". "&amp;$AB39&amp;" Афина: "&amp;$AC39&amp;". "&amp;$AD39&amp;" Аполлон: "&amp;$AE39&amp;". "&amp;$AF39&amp;IF($AG39="",""," Общий эффект: "&amp;$AG39))</f>
        <v/>
      </c>
      <c r="BA39" s="11" t="s">
        <v>411</v>
      </c>
      <c r="BF39" s="11">
        <v>7.5798406E8</v>
      </c>
      <c r="BG39" s="11">
        <v>3.8560947E8</v>
      </c>
      <c r="BH39" s="11">
        <v>7.80070523E8</v>
      </c>
      <c r="BI39" s="11">
        <v>8.98972777E8</v>
      </c>
      <c r="BJ39" s="11">
        <v>9.24348796E8</v>
      </c>
      <c r="BK39" s="11">
        <v>3.6798266E8</v>
      </c>
      <c r="BL39" s="11">
        <v>8.7993611E7</v>
      </c>
      <c r="BM39" s="11">
        <f t="shared" si="19"/>
        <v>69242</v>
      </c>
      <c r="BN39" s="11">
        <f t="shared" si="20"/>
        <v>77161</v>
      </c>
      <c r="BO39" s="11">
        <f t="shared" si="21"/>
        <v>85080</v>
      </c>
      <c r="BP39" s="11">
        <f t="shared" si="22"/>
        <v>92999</v>
      </c>
      <c r="BQ39" s="11">
        <f t="shared" si="23"/>
        <v>915</v>
      </c>
      <c r="BR39" s="11">
        <f t="shared" si="24"/>
        <v>8834</v>
      </c>
      <c r="BS39" s="11">
        <f t="shared" si="25"/>
        <v>16753</v>
      </c>
      <c r="BT39" s="11">
        <f t="shared" si="26"/>
        <v>24672</v>
      </c>
      <c r="BU39" s="11">
        <f t="shared" si="27"/>
        <v>32591</v>
      </c>
      <c r="BV39" s="11">
        <f t="shared" si="28"/>
        <v>40510</v>
      </c>
      <c r="BW39" s="11">
        <f t="shared" si="29"/>
        <v>4053</v>
      </c>
      <c r="BX39" s="11">
        <f t="shared" si="30"/>
        <v>10204</v>
      </c>
      <c r="BY39" s="11">
        <f t="shared" si="31"/>
        <v>16355</v>
      </c>
      <c r="BZ39" s="11">
        <f t="shared" si="32"/>
        <v>22506</v>
      </c>
      <c r="CA39" s="11">
        <f t="shared" si="33"/>
        <v>28657</v>
      </c>
      <c r="CB39" s="11">
        <f t="shared" si="34"/>
        <v>34808</v>
      </c>
      <c r="CC39" s="11">
        <f t="shared" si="35"/>
        <v>40959</v>
      </c>
      <c r="CD39" s="11">
        <f t="shared" si="36"/>
        <v>47110</v>
      </c>
      <c r="CE39" s="11">
        <f t="shared" si="37"/>
        <v>50694</v>
      </c>
      <c r="CF39" s="11">
        <f t="shared" si="38"/>
        <v>54265</v>
      </c>
      <c r="CG39" s="11">
        <f t="shared" si="39"/>
        <v>57836</v>
      </c>
      <c r="CH39" s="11">
        <f t="shared" si="40"/>
        <v>61407</v>
      </c>
      <c r="CI39" s="11">
        <f t="shared" si="41"/>
        <v>64978</v>
      </c>
      <c r="CJ39" s="11">
        <f t="shared" si="42"/>
        <v>68549</v>
      </c>
      <c r="CK39" s="11">
        <f t="shared" si="43"/>
        <v>72120</v>
      </c>
      <c r="CL39" s="11">
        <f t="shared" si="44"/>
        <v>75691</v>
      </c>
      <c r="CM39" s="11">
        <f t="shared" si="45"/>
        <v>79262</v>
      </c>
      <c r="CN39" s="11">
        <f t="shared" si="46"/>
        <v>82833</v>
      </c>
      <c r="CO39" s="11">
        <f t="shared" si="47"/>
        <v>86404</v>
      </c>
      <c r="CP39" s="11">
        <f t="shared" si="48"/>
        <v>89975</v>
      </c>
      <c r="CQ39" s="11">
        <f t="shared" si="49"/>
        <v>93546</v>
      </c>
      <c r="CR39" s="11">
        <f t="shared" si="50"/>
        <v>97117</v>
      </c>
      <c r="CS39" s="11">
        <f t="shared" si="51"/>
        <v>685</v>
      </c>
      <c r="CT39" s="11">
        <f t="shared" si="52"/>
        <v>4256</v>
      </c>
      <c r="CU39" s="11">
        <f t="shared" si="53"/>
        <v>76064</v>
      </c>
      <c r="CV39" s="11">
        <f t="shared" si="54"/>
        <v>80505</v>
      </c>
      <c r="CW39" s="11">
        <f t="shared" si="55"/>
        <v>84946</v>
      </c>
      <c r="CX39" s="11">
        <f t="shared" si="56"/>
        <v>89387</v>
      </c>
      <c r="CY39" s="11">
        <f t="shared" si="57"/>
        <v>93828</v>
      </c>
      <c r="CZ39" s="11">
        <f t="shared" si="58"/>
        <v>98269</v>
      </c>
      <c r="DA39" s="11">
        <f t="shared" si="59"/>
        <v>2707</v>
      </c>
      <c r="DB39" s="11">
        <f t="shared" si="60"/>
        <v>7148</v>
      </c>
      <c r="DC39" s="11">
        <f t="shared" si="61"/>
        <v>11589</v>
      </c>
      <c r="DD39" s="11">
        <f t="shared" si="62"/>
        <v>16030</v>
      </c>
      <c r="DE39" s="11">
        <f t="shared" si="63"/>
        <v>20471</v>
      </c>
      <c r="DF39" s="11">
        <f t="shared" si="64"/>
        <v>24912</v>
      </c>
      <c r="DG39" s="11">
        <f t="shared" si="65"/>
        <v>29353</v>
      </c>
      <c r="DH39" s="11">
        <f t="shared" si="66"/>
        <v>33794</v>
      </c>
      <c r="DI39" s="11">
        <f t="shared" si="67"/>
        <v>38235</v>
      </c>
      <c r="DJ39" s="11">
        <f t="shared" si="68"/>
        <v>42676</v>
      </c>
      <c r="DK39" s="11">
        <f t="shared" si="69"/>
        <v>93063</v>
      </c>
      <c r="DL39" s="11">
        <f t="shared" si="70"/>
        <v>95152</v>
      </c>
      <c r="DM39" s="11">
        <f t="shared" si="71"/>
        <v>97241</v>
      </c>
      <c r="DN39" s="11" t="str">
        <f t="shared" si="72"/>
        <v>Пространственные и природно-географические ресурсы</v>
      </c>
      <c r="DO39" s="11" t="str">
        <f t="shared" si="73"/>
        <v>Мощности производства полупроводников</v>
      </c>
      <c r="DP39" s="11" t="str">
        <f t="shared" si="74"/>
        <v>Вычислительные компоненты</v>
      </c>
      <c r="DQ39" s="11" t="str">
        <f t="shared" si="75"/>
        <v>Производство</v>
      </c>
      <c r="DR39" s="11" t="str">
        <f t="shared" si="76"/>
        <v>Управление</v>
      </c>
      <c r="DS39" s="11" t="str">
        <f t="shared" si="77"/>
        <v>Познание</v>
      </c>
      <c r="DT39" s="11" t="str">
        <f t="shared" si="78"/>
        <v>ОАЭ</v>
      </c>
      <c r="DU39" s="11" t="str">
        <f t="shared" si="79"/>
        <v>Индонезия</v>
      </c>
      <c r="DV39" s="11" t="str">
        <f t="shared" si="80"/>
        <v>Россия</v>
      </c>
      <c r="DW39" s="11" t="str">
        <f t="shared" si="81"/>
        <v>Ресурсный</v>
      </c>
      <c r="DX39" s="11" t="str">
        <f t="shared" si="82"/>
        <v>Общественный</v>
      </c>
      <c r="DY39" s="11" t="str">
        <f t="shared" si="83"/>
        <v>Дипломатический</v>
      </c>
      <c r="DZ39" s="11" t="str">
        <f t="shared" si="84"/>
        <v>Организационная способность к изменению</v>
      </c>
      <c r="EA39" s="11" t="str">
        <f t="shared" si="85"/>
        <v>Война</v>
      </c>
      <c r="EB39" s="11" t="str">
        <f t="shared" si="86"/>
        <v>Германия</v>
      </c>
      <c r="EC39" s="11">
        <f t="shared" ref="EC39:EE39" si="134">IF(OR($B39="",$C39=""),0,IF(AND(EG39&gt;=5,EG39&gt;=5*EJ39),3,IF(AND(EJ39&gt;=5,EJ39&gt;=5*EG39),3,IF(AND(EG39&gt;=5,EG39&gt;=3*EJ39),2,IF(AND(EJ39&gt;=5,EJ39&gt;=3*EG39),2,IF(AND(EG39&gt;=5,EG39&gt;=2*EJ39),1,IF(AND(EJ39&gt;=5,EJ39&gt;=2*EG39),1,0)))))))</f>
        <v>0</v>
      </c>
      <c r="ED39" s="11">
        <f t="shared" si="134"/>
        <v>0</v>
      </c>
      <c r="EE39" s="11">
        <f t="shared" si="134"/>
        <v>0</v>
      </c>
      <c r="EF39" s="11">
        <f t="shared" si="88"/>
        <v>0</v>
      </c>
      <c r="EG39" s="11" t="str">
        <f t="shared" si="89"/>
        <v/>
      </c>
      <c r="EH39" s="11" t="str">
        <f t="shared" si="90"/>
        <v/>
      </c>
      <c r="EI39" s="11" t="str">
        <f t="shared" si="91"/>
        <v/>
      </c>
      <c r="EJ39" s="11" t="str">
        <f t="shared" si="92"/>
        <v/>
      </c>
      <c r="EK39" s="11" t="str">
        <f t="shared" si="93"/>
        <v/>
      </c>
      <c r="EL39" s="11" t="str">
        <f t="shared" si="94"/>
        <v/>
      </c>
      <c r="EM39" s="11" t="str">
        <f t="shared" si="95"/>
        <v/>
      </c>
      <c r="EN39" s="11" t="str">
        <f t="shared" si="96"/>
        <v/>
      </c>
      <c r="EO39" s="11" t="str">
        <f t="shared" si="97"/>
        <v/>
      </c>
      <c r="EP39" s="11" t="str">
        <f t="shared" si="98"/>
        <v/>
      </c>
      <c r="EQ39" s="11" t="str">
        <f t="shared" si="99"/>
        <v/>
      </c>
      <c r="ER39" s="11" t="str">
        <f t="shared" si="100"/>
        <v/>
      </c>
      <c r="ES39" s="11" t="str">
        <f t="shared" si="101"/>
        <v/>
      </c>
    </row>
    <row r="40" ht="52.5" customHeight="1">
      <c r="A40" s="55"/>
      <c r="B40" s="42"/>
      <c r="C40" s="42"/>
      <c r="D40" s="42"/>
      <c r="E40" s="42"/>
      <c r="F40" s="42"/>
      <c r="G40" s="56"/>
      <c r="H40" s="56"/>
      <c r="I40" s="56"/>
      <c r="J40" s="42"/>
      <c r="K40" s="42"/>
      <c r="L40" s="42"/>
      <c r="M40" s="56"/>
      <c r="N40" s="56"/>
      <c r="O40" s="56"/>
      <c r="P40" s="57" t="str">
        <f t="shared" si="2"/>
        <v/>
      </c>
      <c r="Q40" s="57" t="str">
        <f t="shared" si="3"/>
        <v/>
      </c>
      <c r="R40" s="58" t="str">
        <f t="shared" si="4"/>
        <v/>
      </c>
      <c r="S40" s="58" t="str">
        <f t="shared" si="5"/>
        <v/>
      </c>
      <c r="T40" s="58" t="str">
        <f t="shared" si="6"/>
        <v/>
      </c>
      <c r="U40" s="59" t="str">
        <f t="shared" si="7"/>
        <v/>
      </c>
      <c r="V40" s="59" t="str">
        <f t="shared" si="8"/>
        <v/>
      </c>
      <c r="W40" s="59" t="str">
        <f t="shared" si="9"/>
        <v/>
      </c>
      <c r="X40" s="60"/>
      <c r="Y40" s="61" t="str">
        <f t="shared" si="10"/>
        <v/>
      </c>
      <c r="Z40" s="61" t="str">
        <f t="shared" si="11"/>
        <v/>
      </c>
      <c r="AA40" s="61" t="str">
        <f t="shared" si="12"/>
        <v/>
      </c>
      <c r="AB40" s="61" t="str">
        <f t="shared" si="13"/>
        <v>Нет локального эффекта</v>
      </c>
      <c r="AC40" s="61" t="str">
        <f t="shared" si="14"/>
        <v/>
      </c>
      <c r="AD40" s="61" t="str">
        <f t="shared" si="15"/>
        <v>Нет локального эффекта</v>
      </c>
      <c r="AE40" s="61" t="str">
        <f t="shared" si="16"/>
        <v/>
      </c>
      <c r="AF40" s="61" t="str">
        <f t="shared" si="17"/>
        <v>Нет локального эффекта</v>
      </c>
      <c r="AG40" s="61" t="str">
        <f t="shared" si="18"/>
        <v/>
      </c>
      <c r="AH40" s="62" t="str">
        <f>IF($B40="","","Общий итог: "&amp;IF($Y40="","ожидает D95",$Y40&amp;IF($Z40="—",""," — "&amp;$Z40))&amp;". Арес: "&amp;$AA40&amp;". "&amp;$AB40&amp;" Афина: "&amp;$AC40&amp;". "&amp;$AD40&amp;" Аполлон: "&amp;$AE40&amp;". "&amp;$AF40&amp;IF($AG40="",""," Общий эффект: "&amp;$AG40))</f>
        <v/>
      </c>
      <c r="BA40" s="11" t="s">
        <v>412</v>
      </c>
      <c r="BF40" s="11">
        <v>9.26831926E8</v>
      </c>
      <c r="BG40" s="11">
        <v>9.07096596E8</v>
      </c>
      <c r="BH40" s="11">
        <v>8.26669999E8</v>
      </c>
      <c r="BI40" s="11">
        <v>4.71327764E8</v>
      </c>
      <c r="BJ40" s="11">
        <v>4.88174134E8</v>
      </c>
      <c r="BK40" s="11">
        <v>4.99687142E8</v>
      </c>
      <c r="BL40" s="11">
        <v>4.7688768E7</v>
      </c>
      <c r="BM40" s="11">
        <f t="shared" si="19"/>
        <v>12041</v>
      </c>
      <c r="BN40" s="11">
        <f t="shared" si="20"/>
        <v>19960</v>
      </c>
      <c r="BO40" s="11">
        <f t="shared" si="21"/>
        <v>27879</v>
      </c>
      <c r="BP40" s="11">
        <f t="shared" si="22"/>
        <v>35798</v>
      </c>
      <c r="BQ40" s="11">
        <f t="shared" si="23"/>
        <v>43717</v>
      </c>
      <c r="BR40" s="11">
        <f t="shared" si="24"/>
        <v>51636</v>
      </c>
      <c r="BS40" s="11">
        <f t="shared" si="25"/>
        <v>59555</v>
      </c>
      <c r="BT40" s="11">
        <f t="shared" si="26"/>
        <v>67474</v>
      </c>
      <c r="BU40" s="11">
        <f t="shared" si="27"/>
        <v>75393</v>
      </c>
      <c r="BV40" s="11">
        <f t="shared" si="28"/>
        <v>83312</v>
      </c>
      <c r="BW40" s="11">
        <f t="shared" si="29"/>
        <v>75537</v>
      </c>
      <c r="BX40" s="11">
        <f t="shared" si="30"/>
        <v>81688</v>
      </c>
      <c r="BY40" s="11">
        <f t="shared" si="31"/>
        <v>87839</v>
      </c>
      <c r="BZ40" s="11">
        <f t="shared" si="32"/>
        <v>93990</v>
      </c>
      <c r="CA40" s="11">
        <f t="shared" si="33"/>
        <v>138</v>
      </c>
      <c r="CB40" s="11">
        <f t="shared" si="34"/>
        <v>6289</v>
      </c>
      <c r="CC40" s="11">
        <f t="shared" si="35"/>
        <v>12440</v>
      </c>
      <c r="CD40" s="11">
        <f t="shared" si="36"/>
        <v>18591</v>
      </c>
      <c r="CE40" s="11">
        <f t="shared" si="37"/>
        <v>48772</v>
      </c>
      <c r="CF40" s="11">
        <f t="shared" si="38"/>
        <v>52343</v>
      </c>
      <c r="CG40" s="11">
        <f t="shared" si="39"/>
        <v>55914</v>
      </c>
      <c r="CH40" s="11">
        <f t="shared" si="40"/>
        <v>59485</v>
      </c>
      <c r="CI40" s="11">
        <f t="shared" si="41"/>
        <v>63056</v>
      </c>
      <c r="CJ40" s="11">
        <f t="shared" si="42"/>
        <v>66627</v>
      </c>
      <c r="CK40" s="11">
        <f t="shared" si="43"/>
        <v>70198</v>
      </c>
      <c r="CL40" s="11">
        <f t="shared" si="44"/>
        <v>73769</v>
      </c>
      <c r="CM40" s="11">
        <f t="shared" si="45"/>
        <v>77340</v>
      </c>
      <c r="CN40" s="11">
        <f t="shared" si="46"/>
        <v>80911</v>
      </c>
      <c r="CO40" s="11">
        <f t="shared" si="47"/>
        <v>84482</v>
      </c>
      <c r="CP40" s="11">
        <f t="shared" si="48"/>
        <v>88053</v>
      </c>
      <c r="CQ40" s="11">
        <f t="shared" si="49"/>
        <v>91624</v>
      </c>
      <c r="CR40" s="11">
        <f t="shared" si="50"/>
        <v>95195</v>
      </c>
      <c r="CS40" s="11">
        <f t="shared" si="51"/>
        <v>98766</v>
      </c>
      <c r="CT40" s="11">
        <f t="shared" si="52"/>
        <v>2334</v>
      </c>
      <c r="CU40" s="11">
        <f t="shared" si="53"/>
        <v>76595</v>
      </c>
      <c r="CV40" s="11">
        <f t="shared" si="54"/>
        <v>81036</v>
      </c>
      <c r="CW40" s="11">
        <f t="shared" si="55"/>
        <v>85477</v>
      </c>
      <c r="CX40" s="11">
        <f t="shared" si="56"/>
        <v>89918</v>
      </c>
      <c r="CY40" s="11">
        <f t="shared" si="57"/>
        <v>94359</v>
      </c>
      <c r="CZ40" s="11">
        <f t="shared" si="58"/>
        <v>98800</v>
      </c>
      <c r="DA40" s="11">
        <f t="shared" si="59"/>
        <v>3238</v>
      </c>
      <c r="DB40" s="11">
        <f t="shared" si="60"/>
        <v>7679</v>
      </c>
      <c r="DC40" s="11">
        <f t="shared" si="61"/>
        <v>12120</v>
      </c>
      <c r="DD40" s="11">
        <f t="shared" si="62"/>
        <v>16561</v>
      </c>
      <c r="DE40" s="11">
        <f t="shared" si="63"/>
        <v>21002</v>
      </c>
      <c r="DF40" s="11">
        <f t="shared" si="64"/>
        <v>25443</v>
      </c>
      <c r="DG40" s="11">
        <f t="shared" si="65"/>
        <v>29884</v>
      </c>
      <c r="DH40" s="11">
        <f t="shared" si="66"/>
        <v>34325</v>
      </c>
      <c r="DI40" s="11">
        <f t="shared" si="67"/>
        <v>38766</v>
      </c>
      <c r="DJ40" s="11">
        <f t="shared" si="68"/>
        <v>43207</v>
      </c>
      <c r="DK40" s="11">
        <f t="shared" si="69"/>
        <v>89429</v>
      </c>
      <c r="DL40" s="11">
        <f t="shared" si="70"/>
        <v>91518</v>
      </c>
      <c r="DM40" s="11">
        <f t="shared" si="71"/>
        <v>93607</v>
      </c>
      <c r="DN40" s="11" t="str">
        <f t="shared" si="72"/>
        <v>Минерально-сырьевые ресурсы</v>
      </c>
      <c r="DO40" s="11" t="str">
        <f t="shared" si="73"/>
        <v>Химические и технологические материалы</v>
      </c>
      <c r="DP40" s="11" t="str">
        <f t="shared" si="74"/>
        <v>Энергетические ресурсы</v>
      </c>
      <c r="DQ40" s="11" t="str">
        <f t="shared" si="75"/>
        <v>Война</v>
      </c>
      <c r="DR40" s="11" t="str">
        <f t="shared" si="76"/>
        <v>Экономика</v>
      </c>
      <c r="DS40" s="11" t="str">
        <f t="shared" si="77"/>
        <v>Государственное управление</v>
      </c>
      <c r="DT40" s="11" t="str">
        <f t="shared" si="78"/>
        <v>Индонезия</v>
      </c>
      <c r="DU40" s="11" t="str">
        <f t="shared" si="79"/>
        <v>Россия</v>
      </c>
      <c r="DV40" s="11" t="str">
        <f t="shared" si="80"/>
        <v>США</v>
      </c>
      <c r="DW40" s="11" t="str">
        <f t="shared" si="81"/>
        <v>Ресурсный</v>
      </c>
      <c r="DX40" s="11" t="str">
        <f t="shared" si="82"/>
        <v>Общественный</v>
      </c>
      <c r="DY40" s="11" t="str">
        <f t="shared" si="83"/>
        <v>Дипломатический</v>
      </c>
      <c r="DZ40" s="11" t="str">
        <f t="shared" si="84"/>
        <v>Институциональная инфраструктура</v>
      </c>
      <c r="EA40" s="11" t="str">
        <f t="shared" si="85"/>
        <v>Государственное управление</v>
      </c>
      <c r="EB40" s="11" t="str">
        <f t="shared" si="86"/>
        <v>Германия</v>
      </c>
      <c r="EC40" s="11">
        <f t="shared" ref="EC40:EE40" si="135">IF(OR($B40="",$C40=""),0,IF(AND(EG40&gt;=5,EG40&gt;=5*EJ40),3,IF(AND(EJ40&gt;=5,EJ40&gt;=5*EG40),3,IF(AND(EG40&gt;=5,EG40&gt;=3*EJ40),2,IF(AND(EJ40&gt;=5,EJ40&gt;=3*EG40),2,IF(AND(EG40&gt;=5,EG40&gt;=2*EJ40),1,IF(AND(EJ40&gt;=5,EJ40&gt;=2*EG40),1,0)))))))</f>
        <v>0</v>
      </c>
      <c r="ED40" s="11">
        <f t="shared" si="135"/>
        <v>0</v>
      </c>
      <c r="EE40" s="11">
        <f t="shared" si="135"/>
        <v>0</v>
      </c>
      <c r="EF40" s="11">
        <f t="shared" si="88"/>
        <v>0</v>
      </c>
      <c r="EG40" s="11" t="str">
        <f t="shared" si="89"/>
        <v/>
      </c>
      <c r="EH40" s="11" t="str">
        <f t="shared" si="90"/>
        <v/>
      </c>
      <c r="EI40" s="11" t="str">
        <f t="shared" si="91"/>
        <v/>
      </c>
      <c r="EJ40" s="11" t="str">
        <f t="shared" si="92"/>
        <v/>
      </c>
      <c r="EK40" s="11" t="str">
        <f t="shared" si="93"/>
        <v/>
      </c>
      <c r="EL40" s="11" t="str">
        <f t="shared" si="94"/>
        <v/>
      </c>
      <c r="EM40" s="11" t="str">
        <f t="shared" si="95"/>
        <v/>
      </c>
      <c r="EN40" s="11" t="str">
        <f t="shared" si="96"/>
        <v/>
      </c>
      <c r="EO40" s="11" t="str">
        <f t="shared" si="97"/>
        <v/>
      </c>
      <c r="EP40" s="11" t="str">
        <f t="shared" si="98"/>
        <v/>
      </c>
      <c r="EQ40" s="11" t="str">
        <f t="shared" si="99"/>
        <v/>
      </c>
      <c r="ER40" s="11" t="str">
        <f t="shared" si="100"/>
        <v/>
      </c>
      <c r="ES40" s="11" t="str">
        <f t="shared" si="101"/>
        <v/>
      </c>
    </row>
    <row r="41" ht="52.5" customHeight="1">
      <c r="A41" s="55"/>
      <c r="B41" s="42"/>
      <c r="C41" s="42"/>
      <c r="D41" s="42"/>
      <c r="E41" s="42"/>
      <c r="F41" s="42"/>
      <c r="G41" s="56"/>
      <c r="H41" s="56"/>
      <c r="I41" s="56"/>
      <c r="J41" s="42"/>
      <c r="K41" s="42"/>
      <c r="L41" s="42"/>
      <c r="M41" s="56"/>
      <c r="N41" s="56"/>
      <c r="O41" s="56"/>
      <c r="P41" s="57" t="str">
        <f t="shared" si="2"/>
        <v/>
      </c>
      <c r="Q41" s="57" t="str">
        <f t="shared" si="3"/>
        <v/>
      </c>
      <c r="R41" s="58" t="str">
        <f t="shared" si="4"/>
        <v/>
      </c>
      <c r="S41" s="58" t="str">
        <f t="shared" si="5"/>
        <v/>
      </c>
      <c r="T41" s="58" t="str">
        <f t="shared" si="6"/>
        <v/>
      </c>
      <c r="U41" s="59" t="str">
        <f t="shared" si="7"/>
        <v/>
      </c>
      <c r="V41" s="59" t="str">
        <f t="shared" si="8"/>
        <v/>
      </c>
      <c r="W41" s="59" t="str">
        <f t="shared" si="9"/>
        <v/>
      </c>
      <c r="X41" s="60"/>
      <c r="Y41" s="61" t="str">
        <f t="shared" si="10"/>
        <v/>
      </c>
      <c r="Z41" s="61" t="str">
        <f t="shared" si="11"/>
        <v/>
      </c>
      <c r="AA41" s="61" t="str">
        <f t="shared" si="12"/>
        <v/>
      </c>
      <c r="AB41" s="61" t="str">
        <f t="shared" si="13"/>
        <v>Нет локального эффекта</v>
      </c>
      <c r="AC41" s="61" t="str">
        <f t="shared" si="14"/>
        <v/>
      </c>
      <c r="AD41" s="61" t="str">
        <f t="shared" si="15"/>
        <v>Нет локального эффекта</v>
      </c>
      <c r="AE41" s="61" t="str">
        <f t="shared" si="16"/>
        <v/>
      </c>
      <c r="AF41" s="61" t="str">
        <f t="shared" si="17"/>
        <v>Нет локального эффекта</v>
      </c>
      <c r="AG41" s="61" t="str">
        <f t="shared" si="18"/>
        <v/>
      </c>
      <c r="AH41" s="62" t="str">
        <f>IF($B41="","","Общий итог: "&amp;IF($Y41="","ожидает D96",$Y41&amp;IF($Z41="—",""," — "&amp;$Z41))&amp;". Арес: "&amp;$AA41&amp;". "&amp;$AB41&amp;" Афина: "&amp;$AC41&amp;". "&amp;$AD41&amp;" Аполлон: "&amp;$AE41&amp;". "&amp;$AF41&amp;IF($AG41="",""," Общий эффект: "&amp;$AG41))</f>
        <v/>
      </c>
      <c r="BA41" s="11" t="s">
        <v>413</v>
      </c>
      <c r="BF41" s="11">
        <v>4.21907594E8</v>
      </c>
      <c r="BG41" s="11">
        <v>3.03786468E8</v>
      </c>
      <c r="BH41" s="11">
        <v>4.0117958E7</v>
      </c>
      <c r="BI41" s="11">
        <v>1.77419793E8</v>
      </c>
      <c r="BJ41" s="11">
        <v>6.92145221E8</v>
      </c>
      <c r="BK41" s="11">
        <v>1.84878864E8</v>
      </c>
      <c r="BL41" s="11">
        <v>3.29969264E8</v>
      </c>
      <c r="BM41" s="11">
        <f t="shared" si="19"/>
        <v>2856</v>
      </c>
      <c r="BN41" s="11">
        <f t="shared" si="20"/>
        <v>10775</v>
      </c>
      <c r="BO41" s="11">
        <f t="shared" si="21"/>
        <v>18694</v>
      </c>
      <c r="BP41" s="11">
        <f t="shared" si="22"/>
        <v>26613</v>
      </c>
      <c r="BQ41" s="11">
        <f t="shared" si="23"/>
        <v>34532</v>
      </c>
      <c r="BR41" s="11">
        <f t="shared" si="24"/>
        <v>42451</v>
      </c>
      <c r="BS41" s="11">
        <f t="shared" si="25"/>
        <v>50370</v>
      </c>
      <c r="BT41" s="11">
        <f t="shared" si="26"/>
        <v>58289</v>
      </c>
      <c r="BU41" s="11">
        <f t="shared" si="27"/>
        <v>66208</v>
      </c>
      <c r="BV41" s="11">
        <f t="shared" si="28"/>
        <v>74127</v>
      </c>
      <c r="BW41" s="11">
        <f t="shared" si="29"/>
        <v>83508</v>
      </c>
      <c r="BX41" s="11">
        <f t="shared" si="30"/>
        <v>89659</v>
      </c>
      <c r="BY41" s="11">
        <f t="shared" si="31"/>
        <v>95810</v>
      </c>
      <c r="BZ41" s="11">
        <f t="shared" si="32"/>
        <v>1958</v>
      </c>
      <c r="CA41" s="11">
        <f t="shared" si="33"/>
        <v>8109</v>
      </c>
      <c r="CB41" s="11">
        <f t="shared" si="34"/>
        <v>14260</v>
      </c>
      <c r="CC41" s="11">
        <f t="shared" si="35"/>
        <v>20411</v>
      </c>
      <c r="CD41" s="11">
        <f t="shared" si="36"/>
        <v>26562</v>
      </c>
      <c r="CE41" s="11">
        <f t="shared" si="37"/>
        <v>20326</v>
      </c>
      <c r="CF41" s="11">
        <f t="shared" si="38"/>
        <v>23897</v>
      </c>
      <c r="CG41" s="11">
        <f t="shared" si="39"/>
        <v>27468</v>
      </c>
      <c r="CH41" s="11">
        <f t="shared" si="40"/>
        <v>31039</v>
      </c>
      <c r="CI41" s="11">
        <f t="shared" si="41"/>
        <v>34610</v>
      </c>
      <c r="CJ41" s="11">
        <f t="shared" si="42"/>
        <v>38181</v>
      </c>
      <c r="CK41" s="11">
        <f t="shared" si="43"/>
        <v>41752</v>
      </c>
      <c r="CL41" s="11">
        <f t="shared" si="44"/>
        <v>45323</v>
      </c>
      <c r="CM41" s="11">
        <f t="shared" si="45"/>
        <v>48894</v>
      </c>
      <c r="CN41" s="11">
        <f t="shared" si="46"/>
        <v>52465</v>
      </c>
      <c r="CO41" s="11">
        <f t="shared" si="47"/>
        <v>56036</v>
      </c>
      <c r="CP41" s="11">
        <f t="shared" si="48"/>
        <v>59607</v>
      </c>
      <c r="CQ41" s="11">
        <f t="shared" si="49"/>
        <v>63178</v>
      </c>
      <c r="CR41" s="11">
        <f t="shared" si="50"/>
        <v>66749</v>
      </c>
      <c r="CS41" s="11">
        <f t="shared" si="51"/>
        <v>70320</v>
      </c>
      <c r="CT41" s="11">
        <f t="shared" si="52"/>
        <v>73891</v>
      </c>
      <c r="CU41" s="11">
        <f t="shared" si="53"/>
        <v>77761</v>
      </c>
      <c r="CV41" s="11">
        <f t="shared" si="54"/>
        <v>82202</v>
      </c>
      <c r="CW41" s="11">
        <f t="shared" si="55"/>
        <v>86643</v>
      </c>
      <c r="CX41" s="11">
        <f t="shared" si="56"/>
        <v>91084</v>
      </c>
      <c r="CY41" s="11">
        <f t="shared" si="57"/>
        <v>95525</v>
      </c>
      <c r="CZ41" s="11">
        <f t="shared" si="58"/>
        <v>99966</v>
      </c>
      <c r="DA41" s="11">
        <f t="shared" si="59"/>
        <v>4404</v>
      </c>
      <c r="DB41" s="11">
        <f t="shared" si="60"/>
        <v>8845</v>
      </c>
      <c r="DC41" s="11">
        <f t="shared" si="61"/>
        <v>13286</v>
      </c>
      <c r="DD41" s="11">
        <f t="shared" si="62"/>
        <v>17727</v>
      </c>
      <c r="DE41" s="11">
        <f t="shared" si="63"/>
        <v>22168</v>
      </c>
      <c r="DF41" s="11">
        <f t="shared" si="64"/>
        <v>26609</v>
      </c>
      <c r="DG41" s="11">
        <f t="shared" si="65"/>
        <v>31050</v>
      </c>
      <c r="DH41" s="11">
        <f t="shared" si="66"/>
        <v>35491</v>
      </c>
      <c r="DI41" s="11">
        <f t="shared" si="67"/>
        <v>39932</v>
      </c>
      <c r="DJ41" s="11">
        <f t="shared" si="68"/>
        <v>44373</v>
      </c>
      <c r="DK41" s="11">
        <f t="shared" si="69"/>
        <v>61456</v>
      </c>
      <c r="DL41" s="11">
        <f t="shared" si="70"/>
        <v>63545</v>
      </c>
      <c r="DM41" s="11">
        <f t="shared" si="71"/>
        <v>65634</v>
      </c>
      <c r="DN41" s="11" t="str">
        <f t="shared" si="72"/>
        <v>Минерально-сырьевые ресурсы</v>
      </c>
      <c r="DO41" s="11" t="str">
        <f t="shared" si="73"/>
        <v>Химические и технологические материалы</v>
      </c>
      <c r="DP41" s="11" t="str">
        <f t="shared" si="74"/>
        <v>Энергетические ресурсы</v>
      </c>
      <c r="DQ41" s="11" t="str">
        <f t="shared" si="75"/>
        <v>Обучение</v>
      </c>
      <c r="DR41" s="11" t="str">
        <f t="shared" si="76"/>
        <v>Война</v>
      </c>
      <c r="DS41" s="11" t="str">
        <f t="shared" si="77"/>
        <v>Экономика</v>
      </c>
      <c r="DT41" s="11" t="str">
        <f t="shared" si="78"/>
        <v>Россия</v>
      </c>
      <c r="DU41" s="11" t="str">
        <f t="shared" si="79"/>
        <v>США</v>
      </c>
      <c r="DV41" s="11" t="str">
        <f t="shared" si="80"/>
        <v>Китай</v>
      </c>
      <c r="DW41" s="11" t="str">
        <f t="shared" si="81"/>
        <v>Ресурсный</v>
      </c>
      <c r="DX41" s="11" t="str">
        <f t="shared" si="82"/>
        <v>Общественный</v>
      </c>
      <c r="DY41" s="11" t="str">
        <f t="shared" si="83"/>
        <v>Дипломатический</v>
      </c>
      <c r="DZ41" s="11" t="str">
        <f t="shared" si="84"/>
        <v>Поставщики и рынок технологических услуг</v>
      </c>
      <c r="EA41" s="11" t="str">
        <f t="shared" si="85"/>
        <v>Экономика</v>
      </c>
      <c r="EB41" s="11" t="str">
        <f t="shared" si="86"/>
        <v>Германия</v>
      </c>
      <c r="EC41" s="11">
        <f t="shared" ref="EC41:EE41" si="136">IF(OR($B41="",$C41=""),0,IF(AND(EG41&gt;=5,EG41&gt;=5*EJ41),3,IF(AND(EJ41&gt;=5,EJ41&gt;=5*EG41),3,IF(AND(EG41&gt;=5,EG41&gt;=3*EJ41),2,IF(AND(EJ41&gt;=5,EJ41&gt;=3*EG41),2,IF(AND(EG41&gt;=5,EG41&gt;=2*EJ41),1,IF(AND(EJ41&gt;=5,EJ41&gt;=2*EG41),1,0)))))))</f>
        <v>0</v>
      </c>
      <c r="ED41" s="11">
        <f t="shared" si="136"/>
        <v>0</v>
      </c>
      <c r="EE41" s="11">
        <f t="shared" si="136"/>
        <v>0</v>
      </c>
      <c r="EF41" s="11">
        <f t="shared" si="88"/>
        <v>0</v>
      </c>
      <c r="EG41" s="11" t="str">
        <f t="shared" si="89"/>
        <v/>
      </c>
      <c r="EH41" s="11" t="str">
        <f t="shared" si="90"/>
        <v/>
      </c>
      <c r="EI41" s="11" t="str">
        <f t="shared" si="91"/>
        <v/>
      </c>
      <c r="EJ41" s="11" t="str">
        <f t="shared" si="92"/>
        <v/>
      </c>
      <c r="EK41" s="11" t="str">
        <f t="shared" si="93"/>
        <v/>
      </c>
      <c r="EL41" s="11" t="str">
        <f t="shared" si="94"/>
        <v/>
      </c>
      <c r="EM41" s="11" t="str">
        <f t="shared" si="95"/>
        <v/>
      </c>
      <c r="EN41" s="11" t="str">
        <f t="shared" si="96"/>
        <v/>
      </c>
      <c r="EO41" s="11" t="str">
        <f t="shared" si="97"/>
        <v/>
      </c>
      <c r="EP41" s="11" t="str">
        <f t="shared" si="98"/>
        <v/>
      </c>
      <c r="EQ41" s="11" t="str">
        <f t="shared" si="99"/>
        <v/>
      </c>
      <c r="ER41" s="11" t="str">
        <f t="shared" si="100"/>
        <v/>
      </c>
      <c r="ES41" s="11" t="str">
        <f t="shared" si="101"/>
        <v/>
      </c>
    </row>
    <row r="42" ht="52.5" customHeight="1">
      <c r="A42" s="55"/>
      <c r="B42" s="42"/>
      <c r="C42" s="42"/>
      <c r="D42" s="42"/>
      <c r="E42" s="42"/>
      <c r="F42" s="42"/>
      <c r="G42" s="56"/>
      <c r="H42" s="56"/>
      <c r="I42" s="56"/>
      <c r="J42" s="42"/>
      <c r="K42" s="42"/>
      <c r="L42" s="42"/>
      <c r="M42" s="56"/>
      <c r="N42" s="56"/>
      <c r="O42" s="56"/>
      <c r="P42" s="57" t="str">
        <f t="shared" si="2"/>
        <v/>
      </c>
      <c r="Q42" s="57" t="str">
        <f t="shared" si="3"/>
        <v/>
      </c>
      <c r="R42" s="58" t="str">
        <f t="shared" si="4"/>
        <v/>
      </c>
      <c r="S42" s="58" t="str">
        <f t="shared" si="5"/>
        <v/>
      </c>
      <c r="T42" s="58" t="str">
        <f t="shared" si="6"/>
        <v/>
      </c>
      <c r="U42" s="59" t="str">
        <f t="shared" si="7"/>
        <v/>
      </c>
      <c r="V42" s="59" t="str">
        <f t="shared" si="8"/>
        <v/>
      </c>
      <c r="W42" s="59" t="str">
        <f t="shared" si="9"/>
        <v/>
      </c>
      <c r="X42" s="60"/>
      <c r="Y42" s="61" t="str">
        <f t="shared" si="10"/>
        <v/>
      </c>
      <c r="Z42" s="61" t="str">
        <f t="shared" si="11"/>
        <v/>
      </c>
      <c r="AA42" s="61" t="str">
        <f t="shared" si="12"/>
        <v/>
      </c>
      <c r="AB42" s="61" t="str">
        <f t="shared" si="13"/>
        <v>Нет локального эффекта</v>
      </c>
      <c r="AC42" s="61" t="str">
        <f t="shared" si="14"/>
        <v/>
      </c>
      <c r="AD42" s="61" t="str">
        <f t="shared" si="15"/>
        <v>Нет локального эффекта</v>
      </c>
      <c r="AE42" s="61" t="str">
        <f t="shared" si="16"/>
        <v/>
      </c>
      <c r="AF42" s="61" t="str">
        <f t="shared" si="17"/>
        <v>Нет локального эффекта</v>
      </c>
      <c r="AG42" s="61" t="str">
        <f t="shared" si="18"/>
        <v/>
      </c>
      <c r="AH42" s="62" t="str">
        <f>IF($B42="","","Общий итог: "&amp;IF($Y42="","ожидает D97",$Y42&amp;IF($Z42="—",""," — "&amp;$Z42))&amp;". Арес: "&amp;$AA42&amp;". "&amp;$AB42&amp;" Афина: "&amp;$AC42&amp;". "&amp;$AD42&amp;" Аполлон: "&amp;$AE42&amp;". "&amp;$AF42&amp;IF($AG42="",""," Общий эффект: "&amp;$AG42))</f>
        <v/>
      </c>
      <c r="BA42" s="11" t="s">
        <v>414</v>
      </c>
      <c r="BF42" s="11">
        <v>7.0481818E7</v>
      </c>
      <c r="BG42" s="11">
        <v>4.1166272E8</v>
      </c>
      <c r="BH42" s="11">
        <v>4.53879763E8</v>
      </c>
      <c r="BI42" s="11">
        <v>3.96915647E8</v>
      </c>
      <c r="BJ42" s="11">
        <v>7.19811774E8</v>
      </c>
      <c r="BK42" s="11">
        <v>7.77303915E8</v>
      </c>
      <c r="BL42" s="11">
        <v>8.53043535E8</v>
      </c>
      <c r="BM42" s="11">
        <f t="shared" si="19"/>
        <v>87625</v>
      </c>
      <c r="BN42" s="11">
        <f t="shared" si="20"/>
        <v>95544</v>
      </c>
      <c r="BO42" s="11">
        <f t="shared" si="21"/>
        <v>3460</v>
      </c>
      <c r="BP42" s="11">
        <f t="shared" si="22"/>
        <v>11379</v>
      </c>
      <c r="BQ42" s="11">
        <f t="shared" si="23"/>
        <v>19298</v>
      </c>
      <c r="BR42" s="11">
        <f t="shared" si="24"/>
        <v>27217</v>
      </c>
      <c r="BS42" s="11">
        <f t="shared" si="25"/>
        <v>35136</v>
      </c>
      <c r="BT42" s="11">
        <f t="shared" si="26"/>
        <v>43055</v>
      </c>
      <c r="BU42" s="11">
        <f t="shared" si="27"/>
        <v>50974</v>
      </c>
      <c r="BV42" s="11">
        <f t="shared" si="28"/>
        <v>58893</v>
      </c>
      <c r="BW42" s="11">
        <f t="shared" si="29"/>
        <v>56523</v>
      </c>
      <c r="BX42" s="11">
        <f t="shared" si="30"/>
        <v>62674</v>
      </c>
      <c r="BY42" s="11">
        <f t="shared" si="31"/>
        <v>68825</v>
      </c>
      <c r="BZ42" s="11">
        <f t="shared" si="32"/>
        <v>74976</v>
      </c>
      <c r="CA42" s="11">
        <f t="shared" si="33"/>
        <v>81127</v>
      </c>
      <c r="CB42" s="11">
        <f t="shared" si="34"/>
        <v>87278</v>
      </c>
      <c r="CC42" s="11">
        <f t="shared" si="35"/>
        <v>93429</v>
      </c>
      <c r="CD42" s="11">
        <f t="shared" si="36"/>
        <v>99580</v>
      </c>
      <c r="CE42" s="11">
        <f t="shared" si="37"/>
        <v>69720</v>
      </c>
      <c r="CF42" s="11">
        <f t="shared" si="38"/>
        <v>73291</v>
      </c>
      <c r="CG42" s="11">
        <f t="shared" si="39"/>
        <v>76862</v>
      </c>
      <c r="CH42" s="11">
        <f t="shared" si="40"/>
        <v>80433</v>
      </c>
      <c r="CI42" s="11">
        <f t="shared" si="41"/>
        <v>84004</v>
      </c>
      <c r="CJ42" s="11">
        <f t="shared" si="42"/>
        <v>87575</v>
      </c>
      <c r="CK42" s="11">
        <f t="shared" si="43"/>
        <v>91146</v>
      </c>
      <c r="CL42" s="11">
        <f t="shared" si="44"/>
        <v>94717</v>
      </c>
      <c r="CM42" s="11">
        <f t="shared" si="45"/>
        <v>98288</v>
      </c>
      <c r="CN42" s="11">
        <f t="shared" si="46"/>
        <v>1856</v>
      </c>
      <c r="CO42" s="11">
        <f t="shared" si="47"/>
        <v>5427</v>
      </c>
      <c r="CP42" s="11">
        <f t="shared" si="48"/>
        <v>8998</v>
      </c>
      <c r="CQ42" s="11">
        <f t="shared" si="49"/>
        <v>12569</v>
      </c>
      <c r="CR42" s="11">
        <f t="shared" si="50"/>
        <v>16140</v>
      </c>
      <c r="CS42" s="11">
        <f t="shared" si="51"/>
        <v>19711</v>
      </c>
      <c r="CT42" s="11">
        <f t="shared" si="52"/>
        <v>23282</v>
      </c>
      <c r="CU42" s="11">
        <f t="shared" si="53"/>
        <v>85040</v>
      </c>
      <c r="CV42" s="11">
        <f t="shared" si="54"/>
        <v>89481</v>
      </c>
      <c r="CW42" s="11">
        <f t="shared" si="55"/>
        <v>93922</v>
      </c>
      <c r="CX42" s="11">
        <f t="shared" si="56"/>
        <v>98363</v>
      </c>
      <c r="CY42" s="11">
        <f t="shared" si="57"/>
        <v>2801</v>
      </c>
      <c r="CZ42" s="11">
        <f t="shared" si="58"/>
        <v>7242</v>
      </c>
      <c r="DA42" s="11">
        <f t="shared" si="59"/>
        <v>11683</v>
      </c>
      <c r="DB42" s="11">
        <f t="shared" si="60"/>
        <v>16124</v>
      </c>
      <c r="DC42" s="11">
        <f t="shared" si="61"/>
        <v>20565</v>
      </c>
      <c r="DD42" s="11">
        <f t="shared" si="62"/>
        <v>25006</v>
      </c>
      <c r="DE42" s="11">
        <f t="shared" si="63"/>
        <v>29447</v>
      </c>
      <c r="DF42" s="11">
        <f t="shared" si="64"/>
        <v>33888</v>
      </c>
      <c r="DG42" s="11">
        <f t="shared" si="65"/>
        <v>38329</v>
      </c>
      <c r="DH42" s="11">
        <f t="shared" si="66"/>
        <v>42770</v>
      </c>
      <c r="DI42" s="11">
        <f t="shared" si="67"/>
        <v>47211</v>
      </c>
      <c r="DJ42" s="11">
        <f t="shared" si="68"/>
        <v>51652</v>
      </c>
      <c r="DK42" s="11">
        <f t="shared" si="69"/>
        <v>20034</v>
      </c>
      <c r="DL42" s="11">
        <f t="shared" si="70"/>
        <v>22123</v>
      </c>
      <c r="DM42" s="11">
        <f t="shared" si="71"/>
        <v>24212</v>
      </c>
      <c r="DN42" s="11" t="str">
        <f t="shared" si="72"/>
        <v>Энергетические ресурсы</v>
      </c>
      <c r="DO42" s="11" t="str">
        <f t="shared" si="73"/>
        <v>Вода и ресурс отвода тепла</v>
      </c>
      <c r="DP42" s="11" t="str">
        <f t="shared" si="74"/>
        <v>Пространственные и природно-географические ресурсы</v>
      </c>
      <c r="DQ42" s="11" t="str">
        <f t="shared" si="75"/>
        <v>Производство</v>
      </c>
      <c r="DR42" s="11" t="str">
        <f t="shared" si="76"/>
        <v>Управление</v>
      </c>
      <c r="DS42" s="11" t="str">
        <f t="shared" si="77"/>
        <v>Познание</v>
      </c>
      <c r="DT42" s="11" t="str">
        <f t="shared" si="78"/>
        <v>Турция</v>
      </c>
      <c r="DU42" s="11" t="str">
        <f t="shared" si="79"/>
        <v>Саудовская Аравия</v>
      </c>
      <c r="DV42" s="11" t="str">
        <f t="shared" si="80"/>
        <v>Иран</v>
      </c>
      <c r="DW42" s="11" t="str">
        <f t="shared" si="81"/>
        <v>Ресурсный</v>
      </c>
      <c r="DX42" s="11" t="str">
        <f t="shared" si="82"/>
        <v>Общественный</v>
      </c>
      <c r="DY42" s="11" t="str">
        <f t="shared" si="83"/>
        <v>Дипломатический</v>
      </c>
      <c r="DZ42" s="11" t="str">
        <f t="shared" si="84"/>
        <v>Ресурсы оценки</v>
      </c>
      <c r="EA42" s="11" t="str">
        <f t="shared" si="85"/>
        <v>Государственное управление</v>
      </c>
      <c r="EB42" s="11" t="str">
        <f t="shared" si="86"/>
        <v>Великобритания</v>
      </c>
      <c r="EC42" s="11">
        <f t="shared" ref="EC42:EE42" si="137">IF(OR($B42="",$C42=""),0,IF(AND(EG42&gt;=5,EG42&gt;=5*EJ42),3,IF(AND(EJ42&gt;=5,EJ42&gt;=5*EG42),3,IF(AND(EG42&gt;=5,EG42&gt;=3*EJ42),2,IF(AND(EJ42&gt;=5,EJ42&gt;=3*EG42),2,IF(AND(EG42&gt;=5,EG42&gt;=2*EJ42),1,IF(AND(EJ42&gt;=5,EJ42&gt;=2*EG42),1,0)))))))</f>
        <v>0</v>
      </c>
      <c r="ED42" s="11">
        <f t="shared" si="137"/>
        <v>0</v>
      </c>
      <c r="EE42" s="11">
        <f t="shared" si="137"/>
        <v>0</v>
      </c>
      <c r="EF42" s="11">
        <f t="shared" si="88"/>
        <v>0</v>
      </c>
      <c r="EG42" s="11" t="str">
        <f t="shared" si="89"/>
        <v/>
      </c>
      <c r="EH42" s="11" t="str">
        <f t="shared" si="90"/>
        <v/>
      </c>
      <c r="EI42" s="11" t="str">
        <f t="shared" si="91"/>
        <v/>
      </c>
      <c r="EJ42" s="11" t="str">
        <f t="shared" si="92"/>
        <v/>
      </c>
      <c r="EK42" s="11" t="str">
        <f t="shared" si="93"/>
        <v/>
      </c>
      <c r="EL42" s="11" t="str">
        <f t="shared" si="94"/>
        <v/>
      </c>
      <c r="EM42" s="11" t="str">
        <f t="shared" si="95"/>
        <v/>
      </c>
      <c r="EN42" s="11" t="str">
        <f t="shared" si="96"/>
        <v/>
      </c>
      <c r="EO42" s="11" t="str">
        <f t="shared" si="97"/>
        <v/>
      </c>
      <c r="EP42" s="11" t="str">
        <f t="shared" si="98"/>
        <v/>
      </c>
      <c r="EQ42" s="11" t="str">
        <f t="shared" si="99"/>
        <v/>
      </c>
      <c r="ER42" s="11" t="str">
        <f t="shared" si="100"/>
        <v/>
      </c>
      <c r="ES42" s="11" t="str">
        <f t="shared" si="101"/>
        <v/>
      </c>
    </row>
    <row r="43" ht="52.5" customHeight="1">
      <c r="A43" s="55"/>
      <c r="B43" s="42"/>
      <c r="C43" s="42"/>
      <c r="D43" s="42"/>
      <c r="E43" s="42"/>
      <c r="F43" s="42"/>
      <c r="G43" s="56"/>
      <c r="H43" s="56"/>
      <c r="I43" s="56"/>
      <c r="J43" s="42"/>
      <c r="K43" s="42"/>
      <c r="L43" s="42"/>
      <c r="M43" s="56"/>
      <c r="N43" s="56"/>
      <c r="O43" s="56"/>
      <c r="P43" s="57" t="str">
        <f t="shared" si="2"/>
        <v/>
      </c>
      <c r="Q43" s="57" t="str">
        <f t="shared" si="3"/>
        <v/>
      </c>
      <c r="R43" s="58" t="str">
        <f t="shared" si="4"/>
        <v/>
      </c>
      <c r="S43" s="58" t="str">
        <f t="shared" si="5"/>
        <v/>
      </c>
      <c r="T43" s="58" t="str">
        <f t="shared" si="6"/>
        <v/>
      </c>
      <c r="U43" s="59" t="str">
        <f t="shared" si="7"/>
        <v/>
      </c>
      <c r="V43" s="59" t="str">
        <f t="shared" si="8"/>
        <v/>
      </c>
      <c r="W43" s="59" t="str">
        <f t="shared" si="9"/>
        <v/>
      </c>
      <c r="X43" s="60"/>
      <c r="Y43" s="61" t="str">
        <f t="shared" si="10"/>
        <v/>
      </c>
      <c r="Z43" s="61" t="str">
        <f t="shared" si="11"/>
        <v/>
      </c>
      <c r="AA43" s="61" t="str">
        <f t="shared" si="12"/>
        <v/>
      </c>
      <c r="AB43" s="61" t="str">
        <f t="shared" si="13"/>
        <v>Нет локального эффекта</v>
      </c>
      <c r="AC43" s="61" t="str">
        <f t="shared" si="14"/>
        <v/>
      </c>
      <c r="AD43" s="61" t="str">
        <f t="shared" si="15"/>
        <v>Нет локального эффекта</v>
      </c>
      <c r="AE43" s="61" t="str">
        <f t="shared" si="16"/>
        <v/>
      </c>
      <c r="AF43" s="61" t="str">
        <f t="shared" si="17"/>
        <v>Нет локального эффекта</v>
      </c>
      <c r="AG43" s="61" t="str">
        <f t="shared" si="18"/>
        <v/>
      </c>
      <c r="AH43" s="62" t="str">
        <f>IF($B43="","","Общий итог: "&amp;IF($Y43="","ожидает D98",$Y43&amp;IF($Z43="—",""," — "&amp;$Z43))&amp;". Арес: "&amp;$AA43&amp;". "&amp;$AB43&amp;" Афина: "&amp;$AC43&amp;". "&amp;$AD43&amp;" Аполлон: "&amp;$AE43&amp;". "&amp;$AF43&amp;IF($AG43="",""," Общий эффект: "&amp;$AG43))</f>
        <v/>
      </c>
      <c r="BA43" s="11" t="s">
        <v>415</v>
      </c>
      <c r="BF43" s="11">
        <v>1.1775883E8</v>
      </c>
      <c r="BG43" s="11">
        <v>3.24042201E8</v>
      </c>
      <c r="BH43" s="11">
        <v>6.70501998E8</v>
      </c>
      <c r="BI43" s="11">
        <v>1.94479575E8</v>
      </c>
      <c r="BJ43" s="11">
        <v>4.26778725E8</v>
      </c>
      <c r="BK43" s="11">
        <v>3.44781804E8</v>
      </c>
      <c r="BL43" s="11">
        <v>3.23088031E8</v>
      </c>
      <c r="BM43" s="11">
        <f t="shared" si="19"/>
        <v>63218</v>
      </c>
      <c r="BN43" s="11">
        <f t="shared" si="20"/>
        <v>71137</v>
      </c>
      <c r="BO43" s="11">
        <f t="shared" si="21"/>
        <v>79056</v>
      </c>
      <c r="BP43" s="11">
        <f t="shared" si="22"/>
        <v>86975</v>
      </c>
      <c r="BQ43" s="11">
        <f t="shared" si="23"/>
        <v>94894</v>
      </c>
      <c r="BR43" s="11">
        <f t="shared" si="24"/>
        <v>2810</v>
      </c>
      <c r="BS43" s="11">
        <f t="shared" si="25"/>
        <v>10729</v>
      </c>
      <c r="BT43" s="11">
        <f t="shared" si="26"/>
        <v>18648</v>
      </c>
      <c r="BU43" s="11">
        <f t="shared" si="27"/>
        <v>26567</v>
      </c>
      <c r="BV43" s="11">
        <f t="shared" si="28"/>
        <v>34486</v>
      </c>
      <c r="BW43" s="11">
        <f t="shared" si="29"/>
        <v>38632</v>
      </c>
      <c r="BX43" s="11">
        <f t="shared" si="30"/>
        <v>44783</v>
      </c>
      <c r="BY43" s="11">
        <f t="shared" si="31"/>
        <v>50934</v>
      </c>
      <c r="BZ43" s="11">
        <f t="shared" si="32"/>
        <v>57085</v>
      </c>
      <c r="CA43" s="11">
        <f t="shared" si="33"/>
        <v>63236</v>
      </c>
      <c r="CB43" s="11">
        <f t="shared" si="34"/>
        <v>69387</v>
      </c>
      <c r="CC43" s="11">
        <f t="shared" si="35"/>
        <v>75538</v>
      </c>
      <c r="CD43" s="11">
        <f t="shared" si="36"/>
        <v>81689</v>
      </c>
      <c r="CE43" s="11">
        <f t="shared" si="37"/>
        <v>85457</v>
      </c>
      <c r="CF43" s="11">
        <f t="shared" si="38"/>
        <v>89028</v>
      </c>
      <c r="CG43" s="11">
        <f t="shared" si="39"/>
        <v>92599</v>
      </c>
      <c r="CH43" s="11">
        <f t="shared" si="40"/>
        <v>96170</v>
      </c>
      <c r="CI43" s="11">
        <f t="shared" si="41"/>
        <v>99741</v>
      </c>
      <c r="CJ43" s="11">
        <f t="shared" si="42"/>
        <v>3309</v>
      </c>
      <c r="CK43" s="11">
        <f t="shared" si="43"/>
        <v>6880</v>
      </c>
      <c r="CL43" s="11">
        <f t="shared" si="44"/>
        <v>10451</v>
      </c>
      <c r="CM43" s="11">
        <f t="shared" si="45"/>
        <v>14022</v>
      </c>
      <c r="CN43" s="11">
        <f t="shared" si="46"/>
        <v>17593</v>
      </c>
      <c r="CO43" s="11">
        <f t="shared" si="47"/>
        <v>21164</v>
      </c>
      <c r="CP43" s="11">
        <f t="shared" si="48"/>
        <v>24735</v>
      </c>
      <c r="CQ43" s="11">
        <f t="shared" si="49"/>
        <v>28306</v>
      </c>
      <c r="CR43" s="11">
        <f t="shared" si="50"/>
        <v>31877</v>
      </c>
      <c r="CS43" s="11">
        <f t="shared" si="51"/>
        <v>35448</v>
      </c>
      <c r="CT43" s="11">
        <f t="shared" si="52"/>
        <v>39019</v>
      </c>
      <c r="CU43" s="11">
        <f t="shared" si="53"/>
        <v>75904</v>
      </c>
      <c r="CV43" s="11">
        <f t="shared" si="54"/>
        <v>80345</v>
      </c>
      <c r="CW43" s="11">
        <f t="shared" si="55"/>
        <v>84786</v>
      </c>
      <c r="CX43" s="11">
        <f t="shared" si="56"/>
        <v>89227</v>
      </c>
      <c r="CY43" s="11">
        <f t="shared" si="57"/>
        <v>93668</v>
      </c>
      <c r="CZ43" s="11">
        <f t="shared" si="58"/>
        <v>98109</v>
      </c>
      <c r="DA43" s="11">
        <f t="shared" si="59"/>
        <v>2547</v>
      </c>
      <c r="DB43" s="11">
        <f t="shared" si="60"/>
        <v>6988</v>
      </c>
      <c r="DC43" s="11">
        <f t="shared" si="61"/>
        <v>11429</v>
      </c>
      <c r="DD43" s="11">
        <f t="shared" si="62"/>
        <v>15870</v>
      </c>
      <c r="DE43" s="11">
        <f t="shared" si="63"/>
        <v>20311</v>
      </c>
      <c r="DF43" s="11">
        <f t="shared" si="64"/>
        <v>24752</v>
      </c>
      <c r="DG43" s="11">
        <f t="shared" si="65"/>
        <v>29193</v>
      </c>
      <c r="DH43" s="11">
        <f t="shared" si="66"/>
        <v>33634</v>
      </c>
      <c r="DI43" s="11">
        <f t="shared" si="67"/>
        <v>38075</v>
      </c>
      <c r="DJ43" s="11">
        <f t="shared" si="68"/>
        <v>42516</v>
      </c>
      <c r="DK43" s="11">
        <f t="shared" si="69"/>
        <v>80430</v>
      </c>
      <c r="DL43" s="11">
        <f t="shared" si="70"/>
        <v>82519</v>
      </c>
      <c r="DM43" s="11">
        <f t="shared" si="71"/>
        <v>84608</v>
      </c>
      <c r="DN43" s="11" t="str">
        <f t="shared" si="72"/>
        <v>Мощности производства полупроводников</v>
      </c>
      <c r="DO43" s="11" t="str">
        <f t="shared" si="73"/>
        <v>Вычислительные компоненты</v>
      </c>
      <c r="DP43" s="11" t="str">
        <f t="shared" si="74"/>
        <v>ЦОД и вычислительная инфраструктура</v>
      </c>
      <c r="DQ43" s="11" t="str">
        <f t="shared" si="75"/>
        <v>Производство</v>
      </c>
      <c r="DR43" s="11" t="str">
        <f t="shared" si="76"/>
        <v>Управление</v>
      </c>
      <c r="DS43" s="11" t="str">
        <f t="shared" si="77"/>
        <v>Познание</v>
      </c>
      <c r="DT43" s="11" t="str">
        <f t="shared" si="78"/>
        <v>Франция</v>
      </c>
      <c r="DU43" s="11" t="str">
        <f t="shared" si="79"/>
        <v>Германия</v>
      </c>
      <c r="DV43" s="11" t="str">
        <f t="shared" si="80"/>
        <v>Япония</v>
      </c>
      <c r="DW43" s="11" t="str">
        <f t="shared" si="81"/>
        <v>Ресурсный</v>
      </c>
      <c r="DX43" s="11" t="str">
        <f t="shared" si="82"/>
        <v>Общественный</v>
      </c>
      <c r="DY43" s="11" t="str">
        <f t="shared" si="83"/>
        <v>Дипломатический</v>
      </c>
      <c r="DZ43" s="11" t="str">
        <f t="shared" si="84"/>
        <v>Конкурентная и торговая среда</v>
      </c>
      <c r="EA43" s="11" t="str">
        <f t="shared" si="85"/>
        <v>Экономика</v>
      </c>
      <c r="EB43" s="11" t="str">
        <f t="shared" si="86"/>
        <v>Германия</v>
      </c>
      <c r="EC43" s="11">
        <f t="shared" ref="EC43:EE43" si="138">IF(OR($B43="",$C43=""),0,IF(AND(EG43&gt;=5,EG43&gt;=5*EJ43),3,IF(AND(EJ43&gt;=5,EJ43&gt;=5*EG43),3,IF(AND(EG43&gt;=5,EG43&gt;=3*EJ43),2,IF(AND(EJ43&gt;=5,EJ43&gt;=3*EG43),2,IF(AND(EG43&gt;=5,EG43&gt;=2*EJ43),1,IF(AND(EJ43&gt;=5,EJ43&gt;=2*EG43),1,0)))))))</f>
        <v>0</v>
      </c>
      <c r="ED43" s="11">
        <f t="shared" si="138"/>
        <v>0</v>
      </c>
      <c r="EE43" s="11">
        <f t="shared" si="138"/>
        <v>0</v>
      </c>
      <c r="EF43" s="11">
        <f t="shared" si="88"/>
        <v>0</v>
      </c>
      <c r="EG43" s="11" t="str">
        <f t="shared" si="89"/>
        <v/>
      </c>
      <c r="EH43" s="11" t="str">
        <f t="shared" si="90"/>
        <v/>
      </c>
      <c r="EI43" s="11" t="str">
        <f t="shared" si="91"/>
        <v/>
      </c>
      <c r="EJ43" s="11" t="str">
        <f t="shared" si="92"/>
        <v/>
      </c>
      <c r="EK43" s="11" t="str">
        <f t="shared" si="93"/>
        <v/>
      </c>
      <c r="EL43" s="11" t="str">
        <f t="shared" si="94"/>
        <v/>
      </c>
      <c r="EM43" s="11" t="str">
        <f t="shared" si="95"/>
        <v/>
      </c>
      <c r="EN43" s="11" t="str">
        <f t="shared" si="96"/>
        <v/>
      </c>
      <c r="EO43" s="11" t="str">
        <f t="shared" si="97"/>
        <v/>
      </c>
      <c r="EP43" s="11" t="str">
        <f t="shared" si="98"/>
        <v/>
      </c>
      <c r="EQ43" s="11" t="str">
        <f t="shared" si="99"/>
        <v/>
      </c>
      <c r="ER43" s="11" t="str">
        <f t="shared" si="100"/>
        <v/>
      </c>
      <c r="ES43" s="11" t="str">
        <f t="shared" si="101"/>
        <v/>
      </c>
    </row>
    <row r="44" ht="52.5" customHeight="1">
      <c r="A44" s="55"/>
      <c r="B44" s="42"/>
      <c r="C44" s="42"/>
      <c r="D44" s="42"/>
      <c r="E44" s="42"/>
      <c r="F44" s="42"/>
      <c r="G44" s="56"/>
      <c r="H44" s="56"/>
      <c r="I44" s="56"/>
      <c r="J44" s="42"/>
      <c r="K44" s="42"/>
      <c r="L44" s="42"/>
      <c r="M44" s="56"/>
      <c r="N44" s="56"/>
      <c r="O44" s="56"/>
      <c r="P44" s="57" t="str">
        <f t="shared" si="2"/>
        <v/>
      </c>
      <c r="Q44" s="57" t="str">
        <f t="shared" si="3"/>
        <v/>
      </c>
      <c r="R44" s="58" t="str">
        <f t="shared" si="4"/>
        <v/>
      </c>
      <c r="S44" s="58" t="str">
        <f t="shared" si="5"/>
        <v/>
      </c>
      <c r="T44" s="58" t="str">
        <f t="shared" si="6"/>
        <v/>
      </c>
      <c r="U44" s="59" t="str">
        <f t="shared" si="7"/>
        <v/>
      </c>
      <c r="V44" s="59" t="str">
        <f t="shared" si="8"/>
        <v/>
      </c>
      <c r="W44" s="59" t="str">
        <f t="shared" si="9"/>
        <v/>
      </c>
      <c r="X44" s="60"/>
      <c r="Y44" s="61" t="str">
        <f t="shared" si="10"/>
        <v/>
      </c>
      <c r="Z44" s="61" t="str">
        <f t="shared" si="11"/>
        <v/>
      </c>
      <c r="AA44" s="61" t="str">
        <f t="shared" si="12"/>
        <v/>
      </c>
      <c r="AB44" s="61" t="str">
        <f t="shared" si="13"/>
        <v>Нет локального эффекта</v>
      </c>
      <c r="AC44" s="61" t="str">
        <f t="shared" si="14"/>
        <v/>
      </c>
      <c r="AD44" s="61" t="str">
        <f t="shared" si="15"/>
        <v>Нет локального эффекта</v>
      </c>
      <c r="AE44" s="61" t="str">
        <f t="shared" si="16"/>
        <v/>
      </c>
      <c r="AF44" s="61" t="str">
        <f t="shared" si="17"/>
        <v>Нет локального эффекта</v>
      </c>
      <c r="AG44" s="61" t="str">
        <f t="shared" si="18"/>
        <v/>
      </c>
      <c r="AH44" s="62" t="str">
        <f>IF($B44="","","Общий итог: "&amp;IF($Y44="","ожидает D99",$Y44&amp;IF($Z44="—",""," — "&amp;$Z44))&amp;". Арес: "&amp;$AA44&amp;". "&amp;$AB44&amp;" Афина: "&amp;$AC44&amp;". "&amp;$AD44&amp;" Аполлон: "&amp;$AE44&amp;". "&amp;$AF44&amp;IF($AG44="",""," Общий эффект: "&amp;$AG44))</f>
        <v/>
      </c>
      <c r="BA44" s="11" t="s">
        <v>416</v>
      </c>
      <c r="BF44" s="11">
        <v>2.56500008E8</v>
      </c>
      <c r="BG44" s="11">
        <v>2.39871478E8</v>
      </c>
      <c r="BH44" s="11">
        <v>7.4073711E8</v>
      </c>
      <c r="BI44" s="11">
        <v>7.21830477E8</v>
      </c>
      <c r="BJ44" s="11">
        <v>9.94786952E8</v>
      </c>
      <c r="BK44" s="11">
        <v>4.89668644E8</v>
      </c>
      <c r="BL44" s="11">
        <v>9.85131296E8</v>
      </c>
      <c r="BM44" s="11">
        <f t="shared" si="19"/>
        <v>232</v>
      </c>
      <c r="BN44" s="11">
        <f t="shared" si="20"/>
        <v>8151</v>
      </c>
      <c r="BO44" s="11">
        <f t="shared" si="21"/>
        <v>16070</v>
      </c>
      <c r="BP44" s="11">
        <f t="shared" si="22"/>
        <v>23989</v>
      </c>
      <c r="BQ44" s="11">
        <f t="shared" si="23"/>
        <v>31908</v>
      </c>
      <c r="BR44" s="11">
        <f t="shared" si="24"/>
        <v>39827</v>
      </c>
      <c r="BS44" s="11">
        <f t="shared" si="25"/>
        <v>47746</v>
      </c>
      <c r="BT44" s="11">
        <f t="shared" si="26"/>
        <v>55665</v>
      </c>
      <c r="BU44" s="11">
        <f t="shared" si="27"/>
        <v>63584</v>
      </c>
      <c r="BV44" s="11">
        <f t="shared" si="28"/>
        <v>71503</v>
      </c>
      <c r="BW44" s="11">
        <f t="shared" si="29"/>
        <v>70435</v>
      </c>
      <c r="BX44" s="11">
        <f t="shared" si="30"/>
        <v>76586</v>
      </c>
      <c r="BY44" s="11">
        <f t="shared" si="31"/>
        <v>82737</v>
      </c>
      <c r="BZ44" s="11">
        <f t="shared" si="32"/>
        <v>88888</v>
      </c>
      <c r="CA44" s="11">
        <f t="shared" si="33"/>
        <v>95039</v>
      </c>
      <c r="CB44" s="11">
        <f t="shared" si="34"/>
        <v>1187</v>
      </c>
      <c r="CC44" s="11">
        <f t="shared" si="35"/>
        <v>7338</v>
      </c>
      <c r="CD44" s="11">
        <f t="shared" si="36"/>
        <v>13489</v>
      </c>
      <c r="CE44" s="11">
        <f t="shared" si="37"/>
        <v>18460</v>
      </c>
      <c r="CF44" s="11">
        <f t="shared" si="38"/>
        <v>22031</v>
      </c>
      <c r="CG44" s="11">
        <f t="shared" si="39"/>
        <v>25602</v>
      </c>
      <c r="CH44" s="11">
        <f t="shared" si="40"/>
        <v>29173</v>
      </c>
      <c r="CI44" s="11">
        <f t="shared" si="41"/>
        <v>32744</v>
      </c>
      <c r="CJ44" s="11">
        <f t="shared" si="42"/>
        <v>36315</v>
      </c>
      <c r="CK44" s="11">
        <f t="shared" si="43"/>
        <v>39886</v>
      </c>
      <c r="CL44" s="11">
        <f t="shared" si="44"/>
        <v>43457</v>
      </c>
      <c r="CM44" s="11">
        <f t="shared" si="45"/>
        <v>47028</v>
      </c>
      <c r="CN44" s="11">
        <f t="shared" si="46"/>
        <v>50599</v>
      </c>
      <c r="CO44" s="11">
        <f t="shared" si="47"/>
        <v>54170</v>
      </c>
      <c r="CP44" s="11">
        <f t="shared" si="48"/>
        <v>57741</v>
      </c>
      <c r="CQ44" s="11">
        <f t="shared" si="49"/>
        <v>61312</v>
      </c>
      <c r="CR44" s="11">
        <f t="shared" si="50"/>
        <v>64883</v>
      </c>
      <c r="CS44" s="11">
        <f t="shared" si="51"/>
        <v>68454</v>
      </c>
      <c r="CT44" s="11">
        <f t="shared" si="52"/>
        <v>72025</v>
      </c>
      <c r="CU44" s="11">
        <f t="shared" si="53"/>
        <v>58397</v>
      </c>
      <c r="CV44" s="11">
        <f t="shared" si="54"/>
        <v>62838</v>
      </c>
      <c r="CW44" s="11">
        <f t="shared" si="55"/>
        <v>67279</v>
      </c>
      <c r="CX44" s="11">
        <f t="shared" si="56"/>
        <v>71720</v>
      </c>
      <c r="CY44" s="11">
        <f t="shared" si="57"/>
        <v>76161</v>
      </c>
      <c r="CZ44" s="11">
        <f t="shared" si="58"/>
        <v>80602</v>
      </c>
      <c r="DA44" s="11">
        <f t="shared" si="59"/>
        <v>85043</v>
      </c>
      <c r="DB44" s="11">
        <f t="shared" si="60"/>
        <v>89484</v>
      </c>
      <c r="DC44" s="11">
        <f t="shared" si="61"/>
        <v>93925</v>
      </c>
      <c r="DD44" s="11">
        <f t="shared" si="62"/>
        <v>98366</v>
      </c>
      <c r="DE44" s="11">
        <f t="shared" si="63"/>
        <v>2804</v>
      </c>
      <c r="DF44" s="11">
        <f t="shared" si="64"/>
        <v>7245</v>
      </c>
      <c r="DG44" s="11">
        <f t="shared" si="65"/>
        <v>11686</v>
      </c>
      <c r="DH44" s="11">
        <f t="shared" si="66"/>
        <v>16127</v>
      </c>
      <c r="DI44" s="11">
        <f t="shared" si="67"/>
        <v>20568</v>
      </c>
      <c r="DJ44" s="11">
        <f t="shared" si="68"/>
        <v>25009</v>
      </c>
      <c r="DK44" s="11">
        <f t="shared" si="69"/>
        <v>3832</v>
      </c>
      <c r="DL44" s="11">
        <f t="shared" si="70"/>
        <v>5921</v>
      </c>
      <c r="DM44" s="11">
        <f t="shared" si="71"/>
        <v>8010</v>
      </c>
      <c r="DN44" s="11" t="str">
        <f t="shared" si="72"/>
        <v>Минерально-сырьевые ресурсы</v>
      </c>
      <c r="DO44" s="11" t="str">
        <f t="shared" si="73"/>
        <v>Химические и технологические материалы</v>
      </c>
      <c r="DP44" s="11" t="str">
        <f t="shared" si="74"/>
        <v>Энергетические ресурсы</v>
      </c>
      <c r="DQ44" s="11" t="str">
        <f t="shared" si="75"/>
        <v>Экономика</v>
      </c>
      <c r="DR44" s="11" t="str">
        <f t="shared" si="76"/>
        <v>Государственное управление</v>
      </c>
      <c r="DS44" s="11" t="str">
        <f t="shared" si="77"/>
        <v>Принятие ИИ</v>
      </c>
      <c r="DT44" s="11" t="str">
        <f t="shared" si="78"/>
        <v>Россия</v>
      </c>
      <c r="DU44" s="11" t="str">
        <f t="shared" si="79"/>
        <v>США</v>
      </c>
      <c r="DV44" s="11" t="str">
        <f t="shared" si="80"/>
        <v>Китай</v>
      </c>
      <c r="DW44" s="11" t="str">
        <f t="shared" si="81"/>
        <v>Ресурсный</v>
      </c>
      <c r="DX44" s="11" t="str">
        <f t="shared" si="82"/>
        <v>Общественный</v>
      </c>
      <c r="DY44" s="11" t="str">
        <f t="shared" si="83"/>
        <v>Дипломатический</v>
      </c>
      <c r="DZ44" s="11" t="str">
        <f t="shared" si="84"/>
        <v>Стек эксплуатации ИИ</v>
      </c>
      <c r="EA44" s="11" t="str">
        <f t="shared" si="85"/>
        <v>Производство</v>
      </c>
      <c r="EB44" s="11" t="str">
        <f t="shared" si="86"/>
        <v>Саудовская Аравия</v>
      </c>
      <c r="EC44" s="11">
        <f t="shared" ref="EC44:EE44" si="139">IF(OR($B44="",$C44=""),0,IF(AND(EG44&gt;=5,EG44&gt;=5*EJ44),3,IF(AND(EJ44&gt;=5,EJ44&gt;=5*EG44),3,IF(AND(EG44&gt;=5,EG44&gt;=3*EJ44),2,IF(AND(EJ44&gt;=5,EJ44&gt;=3*EG44),2,IF(AND(EG44&gt;=5,EG44&gt;=2*EJ44),1,IF(AND(EJ44&gt;=5,EJ44&gt;=2*EG44),1,0)))))))</f>
        <v>0</v>
      </c>
      <c r="ED44" s="11">
        <f t="shared" si="139"/>
        <v>0</v>
      </c>
      <c r="EE44" s="11">
        <f t="shared" si="139"/>
        <v>0</v>
      </c>
      <c r="EF44" s="11">
        <f t="shared" si="88"/>
        <v>0</v>
      </c>
      <c r="EG44" s="11" t="str">
        <f t="shared" si="89"/>
        <v/>
      </c>
      <c r="EH44" s="11" t="str">
        <f t="shared" si="90"/>
        <v/>
      </c>
      <c r="EI44" s="11" t="str">
        <f t="shared" si="91"/>
        <v/>
      </c>
      <c r="EJ44" s="11" t="str">
        <f t="shared" si="92"/>
        <v/>
      </c>
      <c r="EK44" s="11" t="str">
        <f t="shared" si="93"/>
        <v/>
      </c>
      <c r="EL44" s="11" t="str">
        <f t="shared" si="94"/>
        <v/>
      </c>
      <c r="EM44" s="11" t="str">
        <f t="shared" si="95"/>
        <v/>
      </c>
      <c r="EN44" s="11" t="str">
        <f t="shared" si="96"/>
        <v/>
      </c>
      <c r="EO44" s="11" t="str">
        <f t="shared" si="97"/>
        <v/>
      </c>
      <c r="EP44" s="11" t="str">
        <f t="shared" si="98"/>
        <v/>
      </c>
      <c r="EQ44" s="11" t="str">
        <f t="shared" si="99"/>
        <v/>
      </c>
      <c r="ER44" s="11" t="str">
        <f t="shared" si="100"/>
        <v/>
      </c>
      <c r="ES44" s="11" t="str">
        <f t="shared" si="101"/>
        <v/>
      </c>
    </row>
    <row r="45" ht="52.5" customHeight="1">
      <c r="A45" s="55"/>
      <c r="B45" s="42"/>
      <c r="C45" s="42"/>
      <c r="D45" s="42"/>
      <c r="E45" s="42"/>
      <c r="F45" s="42"/>
      <c r="G45" s="56"/>
      <c r="H45" s="56"/>
      <c r="I45" s="56"/>
      <c r="J45" s="42"/>
      <c r="K45" s="42"/>
      <c r="L45" s="42"/>
      <c r="M45" s="56"/>
      <c r="N45" s="56"/>
      <c r="O45" s="56"/>
      <c r="P45" s="57" t="str">
        <f t="shared" si="2"/>
        <v/>
      </c>
      <c r="Q45" s="57" t="str">
        <f t="shared" si="3"/>
        <v/>
      </c>
      <c r="R45" s="58" t="str">
        <f t="shared" si="4"/>
        <v/>
      </c>
      <c r="S45" s="58" t="str">
        <f t="shared" si="5"/>
        <v/>
      </c>
      <c r="T45" s="58" t="str">
        <f t="shared" si="6"/>
        <v/>
      </c>
      <c r="U45" s="59" t="str">
        <f t="shared" si="7"/>
        <v/>
      </c>
      <c r="V45" s="59" t="str">
        <f t="shared" si="8"/>
        <v/>
      </c>
      <c r="W45" s="59" t="str">
        <f t="shared" si="9"/>
        <v/>
      </c>
      <c r="X45" s="60"/>
      <c r="Y45" s="61" t="str">
        <f t="shared" si="10"/>
        <v/>
      </c>
      <c r="Z45" s="61" t="str">
        <f t="shared" si="11"/>
        <v/>
      </c>
      <c r="AA45" s="61" t="str">
        <f t="shared" si="12"/>
        <v/>
      </c>
      <c r="AB45" s="61" t="str">
        <f t="shared" si="13"/>
        <v>Нет локального эффекта</v>
      </c>
      <c r="AC45" s="61" t="str">
        <f t="shared" si="14"/>
        <v/>
      </c>
      <c r="AD45" s="61" t="str">
        <f t="shared" si="15"/>
        <v>Нет локального эффекта</v>
      </c>
      <c r="AE45" s="61" t="str">
        <f t="shared" si="16"/>
        <v/>
      </c>
      <c r="AF45" s="61" t="str">
        <f t="shared" si="17"/>
        <v>Нет локального эффекта</v>
      </c>
      <c r="AG45" s="61" t="str">
        <f t="shared" si="18"/>
        <v/>
      </c>
      <c r="AH45" s="62" t="str">
        <f>IF($B45="","","Общий итог: "&amp;IF($Y45="","ожидает D100",$Y45&amp;IF($Z45="—",""," — "&amp;$Z45))&amp;". Арес: "&amp;$AA45&amp;". "&amp;$AB45&amp;" Афина: "&amp;$AC45&amp;". "&amp;$AD45&amp;" Аполлон: "&amp;$AE45&amp;". "&amp;$AF45&amp;IF($AG45="",""," Общий эффект: "&amp;$AG45))</f>
        <v/>
      </c>
      <c r="BF45" s="11">
        <v>9425917.0</v>
      </c>
      <c r="BG45" s="11">
        <v>9.46829012E8</v>
      </c>
      <c r="BH45" s="11">
        <v>1.05208585E8</v>
      </c>
      <c r="BI45" s="11">
        <v>4.87379692E8</v>
      </c>
      <c r="BJ45" s="11">
        <v>1.50645868E8</v>
      </c>
      <c r="BK45" s="11">
        <v>6.72486924E8</v>
      </c>
      <c r="BL45" s="11">
        <v>6.56131387E8</v>
      </c>
      <c r="BM45" s="11">
        <f t="shared" si="19"/>
        <v>33554</v>
      </c>
      <c r="BN45" s="11">
        <f t="shared" si="20"/>
        <v>41473</v>
      </c>
      <c r="BO45" s="11">
        <f t="shared" si="21"/>
        <v>49392</v>
      </c>
      <c r="BP45" s="11">
        <f t="shared" si="22"/>
        <v>57311</v>
      </c>
      <c r="BQ45" s="11">
        <f t="shared" si="23"/>
        <v>65230</v>
      </c>
      <c r="BR45" s="11">
        <f t="shared" si="24"/>
        <v>73149</v>
      </c>
      <c r="BS45" s="11">
        <f t="shared" si="25"/>
        <v>81068</v>
      </c>
      <c r="BT45" s="11">
        <f t="shared" si="26"/>
        <v>88987</v>
      </c>
      <c r="BU45" s="11">
        <f t="shared" si="27"/>
        <v>96906</v>
      </c>
      <c r="BV45" s="11">
        <f t="shared" si="28"/>
        <v>4822</v>
      </c>
      <c r="BW45" s="11">
        <f t="shared" si="29"/>
        <v>6759</v>
      </c>
      <c r="BX45" s="11">
        <f t="shared" si="30"/>
        <v>12910</v>
      </c>
      <c r="BY45" s="11">
        <f t="shared" si="31"/>
        <v>19061</v>
      </c>
      <c r="BZ45" s="11">
        <f t="shared" si="32"/>
        <v>25212</v>
      </c>
      <c r="CA45" s="11">
        <f t="shared" si="33"/>
        <v>31363</v>
      </c>
      <c r="CB45" s="11">
        <f t="shared" si="34"/>
        <v>37514</v>
      </c>
      <c r="CC45" s="11">
        <f t="shared" si="35"/>
        <v>43665</v>
      </c>
      <c r="CD45" s="11">
        <f t="shared" si="36"/>
        <v>49816</v>
      </c>
      <c r="CE45" s="11">
        <f t="shared" si="37"/>
        <v>9000</v>
      </c>
      <c r="CF45" s="11">
        <f t="shared" si="38"/>
        <v>12571</v>
      </c>
      <c r="CG45" s="11">
        <f t="shared" si="39"/>
        <v>16142</v>
      </c>
      <c r="CH45" s="11">
        <f t="shared" si="40"/>
        <v>19713</v>
      </c>
      <c r="CI45" s="11">
        <f t="shared" si="41"/>
        <v>23284</v>
      </c>
      <c r="CJ45" s="11">
        <f t="shared" si="42"/>
        <v>26855</v>
      </c>
      <c r="CK45" s="11">
        <f t="shared" si="43"/>
        <v>30426</v>
      </c>
      <c r="CL45" s="11">
        <f t="shared" si="44"/>
        <v>33997</v>
      </c>
      <c r="CM45" s="11">
        <f t="shared" si="45"/>
        <v>37568</v>
      </c>
      <c r="CN45" s="11">
        <f t="shared" si="46"/>
        <v>41139</v>
      </c>
      <c r="CO45" s="11">
        <f t="shared" si="47"/>
        <v>44710</v>
      </c>
      <c r="CP45" s="11">
        <f t="shared" si="48"/>
        <v>48281</v>
      </c>
      <c r="CQ45" s="11">
        <f t="shared" si="49"/>
        <v>51852</v>
      </c>
      <c r="CR45" s="11">
        <f t="shared" si="50"/>
        <v>55423</v>
      </c>
      <c r="CS45" s="11">
        <f t="shared" si="51"/>
        <v>58994</v>
      </c>
      <c r="CT45" s="11">
        <f t="shared" si="52"/>
        <v>62565</v>
      </c>
      <c r="CU45" s="11">
        <f t="shared" si="53"/>
        <v>71193</v>
      </c>
      <c r="CV45" s="11">
        <f t="shared" si="54"/>
        <v>75634</v>
      </c>
      <c r="CW45" s="11">
        <f t="shared" si="55"/>
        <v>80075</v>
      </c>
      <c r="CX45" s="11">
        <f t="shared" si="56"/>
        <v>84516</v>
      </c>
      <c r="CY45" s="11">
        <f t="shared" si="57"/>
        <v>88957</v>
      </c>
      <c r="CZ45" s="11">
        <f t="shared" si="58"/>
        <v>93398</v>
      </c>
      <c r="DA45" s="11">
        <f t="shared" si="59"/>
        <v>97839</v>
      </c>
      <c r="DB45" s="11">
        <f t="shared" si="60"/>
        <v>2277</v>
      </c>
      <c r="DC45" s="11">
        <f t="shared" si="61"/>
        <v>6718</v>
      </c>
      <c r="DD45" s="11">
        <f t="shared" si="62"/>
        <v>11159</v>
      </c>
      <c r="DE45" s="11">
        <f t="shared" si="63"/>
        <v>15600</v>
      </c>
      <c r="DF45" s="11">
        <f t="shared" si="64"/>
        <v>20041</v>
      </c>
      <c r="DG45" s="11">
        <f t="shared" si="65"/>
        <v>24482</v>
      </c>
      <c r="DH45" s="11">
        <f t="shared" si="66"/>
        <v>28923</v>
      </c>
      <c r="DI45" s="11">
        <f t="shared" si="67"/>
        <v>33364</v>
      </c>
      <c r="DJ45" s="11">
        <f t="shared" si="68"/>
        <v>37805</v>
      </c>
      <c r="DK45" s="11">
        <f t="shared" si="69"/>
        <v>13793</v>
      </c>
      <c r="DL45" s="11">
        <f t="shared" si="70"/>
        <v>15882</v>
      </c>
      <c r="DM45" s="11">
        <f t="shared" si="71"/>
        <v>17971</v>
      </c>
      <c r="DN45" s="11" t="str">
        <f t="shared" si="72"/>
        <v>Конечные устройства</v>
      </c>
      <c r="DO45" s="11" t="str">
        <f t="shared" si="73"/>
        <v>Минерально-сырьевые ресурсы</v>
      </c>
      <c r="DP45" s="11" t="str">
        <f t="shared" si="74"/>
        <v>Химические и технологические материалы</v>
      </c>
      <c r="DQ45" s="11" t="str">
        <f t="shared" si="75"/>
        <v>Производство</v>
      </c>
      <c r="DR45" s="11" t="str">
        <f t="shared" si="76"/>
        <v>Управление</v>
      </c>
      <c r="DS45" s="11" t="str">
        <f t="shared" si="77"/>
        <v>Познание</v>
      </c>
      <c r="DT45" s="11" t="str">
        <f t="shared" si="78"/>
        <v>Россия</v>
      </c>
      <c r="DU45" s="11" t="str">
        <f t="shared" si="79"/>
        <v>США</v>
      </c>
      <c r="DV45" s="11" t="str">
        <f t="shared" si="80"/>
        <v>Китай</v>
      </c>
      <c r="DW45" s="11" t="str">
        <f t="shared" si="81"/>
        <v>Ресурсный</v>
      </c>
      <c r="DX45" s="11" t="str">
        <f t="shared" si="82"/>
        <v>Общественный</v>
      </c>
      <c r="DY45" s="11" t="str">
        <f t="shared" si="83"/>
        <v>Дипломатический</v>
      </c>
      <c r="DZ45" s="11" t="str">
        <f t="shared" si="84"/>
        <v>Ресурсы оценки</v>
      </c>
      <c r="EA45" s="11" t="str">
        <f t="shared" si="85"/>
        <v>Война</v>
      </c>
      <c r="EB45" s="11" t="str">
        <f t="shared" si="86"/>
        <v>Япония</v>
      </c>
      <c r="EC45" s="11">
        <f t="shared" ref="EC45:EE45" si="140">IF(OR($B45="",$C45=""),0,IF(AND(EG45&gt;=5,EG45&gt;=5*EJ45),3,IF(AND(EJ45&gt;=5,EJ45&gt;=5*EG45),3,IF(AND(EG45&gt;=5,EG45&gt;=3*EJ45),2,IF(AND(EJ45&gt;=5,EJ45&gt;=3*EG45),2,IF(AND(EG45&gt;=5,EG45&gt;=2*EJ45),1,IF(AND(EJ45&gt;=5,EJ45&gt;=2*EG45),1,0)))))))</f>
        <v>0</v>
      </c>
      <c r="ED45" s="11">
        <f t="shared" si="140"/>
        <v>0</v>
      </c>
      <c r="EE45" s="11">
        <f t="shared" si="140"/>
        <v>0</v>
      </c>
      <c r="EF45" s="11">
        <f t="shared" si="88"/>
        <v>0</v>
      </c>
      <c r="EG45" s="11" t="str">
        <f t="shared" si="89"/>
        <v/>
      </c>
      <c r="EH45" s="11" t="str">
        <f t="shared" si="90"/>
        <v/>
      </c>
      <c r="EI45" s="11" t="str">
        <f t="shared" si="91"/>
        <v/>
      </c>
      <c r="EJ45" s="11" t="str">
        <f t="shared" si="92"/>
        <v/>
      </c>
      <c r="EK45" s="11" t="str">
        <f t="shared" si="93"/>
        <v/>
      </c>
      <c r="EL45" s="11" t="str">
        <f t="shared" si="94"/>
        <v/>
      </c>
      <c r="EM45" s="11" t="str">
        <f t="shared" si="95"/>
        <v/>
      </c>
      <c r="EN45" s="11" t="str">
        <f t="shared" si="96"/>
        <v/>
      </c>
      <c r="EO45" s="11" t="str">
        <f t="shared" si="97"/>
        <v/>
      </c>
      <c r="EP45" s="11" t="str">
        <f t="shared" si="98"/>
        <v/>
      </c>
      <c r="EQ45" s="11" t="str">
        <f t="shared" si="99"/>
        <v/>
      </c>
      <c r="ER45" s="11" t="str">
        <f t="shared" si="100"/>
        <v/>
      </c>
      <c r="ES45" s="11" t="str">
        <f t="shared" si="101"/>
        <v/>
      </c>
    </row>
    <row r="46" ht="52.5" customHeight="1">
      <c r="A46" s="55"/>
      <c r="B46" s="42"/>
      <c r="C46" s="42"/>
      <c r="D46" s="42"/>
      <c r="E46" s="42"/>
      <c r="F46" s="42"/>
      <c r="G46" s="56"/>
      <c r="H46" s="56"/>
      <c r="I46" s="56"/>
      <c r="J46" s="42"/>
      <c r="K46" s="42"/>
      <c r="L46" s="42"/>
      <c r="M46" s="56"/>
      <c r="N46" s="56"/>
      <c r="O46" s="56"/>
      <c r="P46" s="57" t="str">
        <f t="shared" si="2"/>
        <v/>
      </c>
      <c r="Q46" s="57" t="str">
        <f t="shared" si="3"/>
        <v/>
      </c>
      <c r="R46" s="58" t="str">
        <f t="shared" si="4"/>
        <v/>
      </c>
      <c r="S46" s="58" t="str">
        <f t="shared" si="5"/>
        <v/>
      </c>
      <c r="T46" s="58" t="str">
        <f t="shared" si="6"/>
        <v/>
      </c>
      <c r="U46" s="59" t="str">
        <f t="shared" si="7"/>
        <v/>
      </c>
      <c r="V46" s="59" t="str">
        <f t="shared" si="8"/>
        <v/>
      </c>
      <c r="W46" s="59" t="str">
        <f t="shared" si="9"/>
        <v/>
      </c>
      <c r="X46" s="60"/>
      <c r="Y46" s="61" t="str">
        <f t="shared" si="10"/>
        <v/>
      </c>
      <c r="Z46" s="61" t="str">
        <f t="shared" si="11"/>
        <v/>
      </c>
      <c r="AA46" s="61" t="str">
        <f t="shared" si="12"/>
        <v/>
      </c>
      <c r="AB46" s="61" t="str">
        <f t="shared" si="13"/>
        <v>Нет локального эффекта</v>
      </c>
      <c r="AC46" s="61" t="str">
        <f t="shared" si="14"/>
        <v/>
      </c>
      <c r="AD46" s="61" t="str">
        <f t="shared" si="15"/>
        <v>Нет локального эффекта</v>
      </c>
      <c r="AE46" s="61" t="str">
        <f t="shared" si="16"/>
        <v/>
      </c>
      <c r="AF46" s="61" t="str">
        <f t="shared" si="17"/>
        <v>Нет локального эффекта</v>
      </c>
      <c r="AG46" s="61" t="str">
        <f t="shared" si="18"/>
        <v/>
      </c>
      <c r="AH46" s="62" t="str">
        <f>IF($B46="","","Общий итог: "&amp;IF($Y46="","ожидает D101",$Y46&amp;IF($Z46="—",""," — "&amp;$Z46))&amp;". Арес: "&amp;$AA46&amp;". "&amp;$AB46&amp;" Афина: "&amp;$AC46&amp;". "&amp;$AD46&amp;" Аполлон: "&amp;$AE46&amp;". "&amp;$AF46&amp;IF($AG46="",""," Общий эффект: "&amp;$AG46))</f>
        <v/>
      </c>
      <c r="BF46" s="11">
        <v>8.99420496E8</v>
      </c>
      <c r="BG46" s="11">
        <v>2.20596202E8</v>
      </c>
      <c r="BH46" s="11">
        <v>4.63498465E8</v>
      </c>
      <c r="BI46" s="11">
        <v>8.56847817E8</v>
      </c>
      <c r="BJ46" s="11">
        <v>9.25879388E8</v>
      </c>
      <c r="BK46" s="11">
        <v>2.81845664E8</v>
      </c>
      <c r="BL46" s="11">
        <v>1.32800522E8</v>
      </c>
      <c r="BM46" s="11">
        <f t="shared" si="19"/>
        <v>1433</v>
      </c>
      <c r="BN46" s="11">
        <f t="shared" si="20"/>
        <v>9352</v>
      </c>
      <c r="BO46" s="11">
        <f t="shared" si="21"/>
        <v>17271</v>
      </c>
      <c r="BP46" s="11">
        <f t="shared" si="22"/>
        <v>25190</v>
      </c>
      <c r="BQ46" s="11">
        <f t="shared" si="23"/>
        <v>33109</v>
      </c>
      <c r="BR46" s="11">
        <f t="shared" si="24"/>
        <v>41028</v>
      </c>
      <c r="BS46" s="11">
        <f t="shared" si="25"/>
        <v>48947</v>
      </c>
      <c r="BT46" s="11">
        <f t="shared" si="26"/>
        <v>56866</v>
      </c>
      <c r="BU46" s="11">
        <f t="shared" si="27"/>
        <v>64785</v>
      </c>
      <c r="BV46" s="11">
        <f t="shared" si="28"/>
        <v>72704</v>
      </c>
      <c r="BW46" s="11">
        <f t="shared" si="29"/>
        <v>95738</v>
      </c>
      <c r="BX46" s="11">
        <f t="shared" si="30"/>
        <v>1886</v>
      </c>
      <c r="BY46" s="11">
        <f t="shared" si="31"/>
        <v>8037</v>
      </c>
      <c r="BZ46" s="11">
        <f t="shared" si="32"/>
        <v>14188</v>
      </c>
      <c r="CA46" s="11">
        <f t="shared" si="33"/>
        <v>20339</v>
      </c>
      <c r="CB46" s="11">
        <f t="shared" si="34"/>
        <v>26490</v>
      </c>
      <c r="CC46" s="11">
        <f t="shared" si="35"/>
        <v>32641</v>
      </c>
      <c r="CD46" s="11">
        <f t="shared" si="36"/>
        <v>38792</v>
      </c>
      <c r="CE46" s="11">
        <f t="shared" si="37"/>
        <v>88134</v>
      </c>
      <c r="CF46" s="11">
        <f t="shared" si="38"/>
        <v>91705</v>
      </c>
      <c r="CG46" s="11">
        <f t="shared" si="39"/>
        <v>95276</v>
      </c>
      <c r="CH46" s="11">
        <f t="shared" si="40"/>
        <v>98847</v>
      </c>
      <c r="CI46" s="11">
        <f t="shared" si="41"/>
        <v>2415</v>
      </c>
      <c r="CJ46" s="11">
        <f t="shared" si="42"/>
        <v>5986</v>
      </c>
      <c r="CK46" s="11">
        <f t="shared" si="43"/>
        <v>9557</v>
      </c>
      <c r="CL46" s="11">
        <f t="shared" si="44"/>
        <v>13128</v>
      </c>
      <c r="CM46" s="11">
        <f t="shared" si="45"/>
        <v>16699</v>
      </c>
      <c r="CN46" s="11">
        <f t="shared" si="46"/>
        <v>20270</v>
      </c>
      <c r="CO46" s="11">
        <f t="shared" si="47"/>
        <v>23841</v>
      </c>
      <c r="CP46" s="11">
        <f t="shared" si="48"/>
        <v>27412</v>
      </c>
      <c r="CQ46" s="11">
        <f t="shared" si="49"/>
        <v>30983</v>
      </c>
      <c r="CR46" s="11">
        <f t="shared" si="50"/>
        <v>34554</v>
      </c>
      <c r="CS46" s="11">
        <f t="shared" si="51"/>
        <v>38125</v>
      </c>
      <c r="CT46" s="11">
        <f t="shared" si="52"/>
        <v>41696</v>
      </c>
      <c r="CU46" s="11">
        <f t="shared" si="53"/>
        <v>41651</v>
      </c>
      <c r="CV46" s="11">
        <f t="shared" si="54"/>
        <v>46092</v>
      </c>
      <c r="CW46" s="11">
        <f t="shared" si="55"/>
        <v>50533</v>
      </c>
      <c r="CX46" s="11">
        <f t="shared" si="56"/>
        <v>54974</v>
      </c>
      <c r="CY46" s="11">
        <f t="shared" si="57"/>
        <v>59415</v>
      </c>
      <c r="CZ46" s="11">
        <f t="shared" si="58"/>
        <v>63856</v>
      </c>
      <c r="DA46" s="11">
        <f t="shared" si="59"/>
        <v>68297</v>
      </c>
      <c r="DB46" s="11">
        <f t="shared" si="60"/>
        <v>72738</v>
      </c>
      <c r="DC46" s="11">
        <f t="shared" si="61"/>
        <v>77179</v>
      </c>
      <c r="DD46" s="11">
        <f t="shared" si="62"/>
        <v>81620</v>
      </c>
      <c r="DE46" s="11">
        <f t="shared" si="63"/>
        <v>86061</v>
      </c>
      <c r="DF46" s="11">
        <f t="shared" si="64"/>
        <v>90502</v>
      </c>
      <c r="DG46" s="11">
        <f t="shared" si="65"/>
        <v>94943</v>
      </c>
      <c r="DH46" s="11">
        <f t="shared" si="66"/>
        <v>99384</v>
      </c>
      <c r="DI46" s="11">
        <f t="shared" si="67"/>
        <v>3822</v>
      </c>
      <c r="DJ46" s="11">
        <f t="shared" si="68"/>
        <v>8263</v>
      </c>
      <c r="DK46" s="11">
        <f t="shared" si="69"/>
        <v>98630</v>
      </c>
      <c r="DL46" s="11">
        <f t="shared" si="70"/>
        <v>716</v>
      </c>
      <c r="DM46" s="11">
        <f t="shared" si="71"/>
        <v>2805</v>
      </c>
      <c r="DN46" s="11" t="str">
        <f t="shared" si="72"/>
        <v>Минерально-сырьевые ресурсы</v>
      </c>
      <c r="DO46" s="11" t="str">
        <f t="shared" si="73"/>
        <v>Химические и технологические материалы</v>
      </c>
      <c r="DP46" s="11" t="str">
        <f t="shared" si="74"/>
        <v>Энергетические ресурсы</v>
      </c>
      <c r="DQ46" s="11" t="str">
        <f t="shared" si="75"/>
        <v>Управление</v>
      </c>
      <c r="DR46" s="11" t="str">
        <f t="shared" si="76"/>
        <v>Познание</v>
      </c>
      <c r="DS46" s="11" t="str">
        <f t="shared" si="77"/>
        <v>Обучение</v>
      </c>
      <c r="DT46" s="11" t="str">
        <f t="shared" si="78"/>
        <v>Великобритания</v>
      </c>
      <c r="DU46" s="11" t="str">
        <f t="shared" si="79"/>
        <v>Франция</v>
      </c>
      <c r="DV46" s="11" t="str">
        <f t="shared" si="80"/>
        <v>Германия</v>
      </c>
      <c r="DW46" s="11" t="str">
        <f t="shared" si="81"/>
        <v>Общественный</v>
      </c>
      <c r="DX46" s="11" t="str">
        <f t="shared" si="82"/>
        <v>Дипломатический</v>
      </c>
      <c r="DY46" s="11" t="str">
        <f t="shared" si="83"/>
        <v>Ресурсный</v>
      </c>
      <c r="DZ46" s="11" t="str">
        <f t="shared" si="84"/>
        <v>Модельные ресурсы</v>
      </c>
      <c r="EA46" s="11" t="str">
        <f t="shared" si="85"/>
        <v>Война</v>
      </c>
      <c r="EB46" s="11" t="str">
        <f t="shared" si="86"/>
        <v>ОАЭ</v>
      </c>
      <c r="EC46" s="11">
        <f t="shared" ref="EC46:EE46" si="141">IF(OR($B46="",$C46=""),0,IF(AND(EG46&gt;=5,EG46&gt;=5*EJ46),3,IF(AND(EJ46&gt;=5,EJ46&gt;=5*EG46),3,IF(AND(EG46&gt;=5,EG46&gt;=3*EJ46),2,IF(AND(EJ46&gt;=5,EJ46&gt;=3*EG46),2,IF(AND(EG46&gt;=5,EG46&gt;=2*EJ46),1,IF(AND(EJ46&gt;=5,EJ46&gt;=2*EG46),1,0)))))))</f>
        <v>0</v>
      </c>
      <c r="ED46" s="11">
        <f t="shared" si="141"/>
        <v>0</v>
      </c>
      <c r="EE46" s="11">
        <f t="shared" si="141"/>
        <v>0</v>
      </c>
      <c r="EF46" s="11">
        <f t="shared" si="88"/>
        <v>0</v>
      </c>
      <c r="EG46" s="11" t="str">
        <f t="shared" si="89"/>
        <v/>
      </c>
      <c r="EH46" s="11" t="str">
        <f t="shared" si="90"/>
        <v/>
      </c>
      <c r="EI46" s="11" t="str">
        <f t="shared" si="91"/>
        <v/>
      </c>
      <c r="EJ46" s="11" t="str">
        <f t="shared" si="92"/>
        <v/>
      </c>
      <c r="EK46" s="11" t="str">
        <f t="shared" si="93"/>
        <v/>
      </c>
      <c r="EL46" s="11" t="str">
        <f t="shared" si="94"/>
        <v/>
      </c>
      <c r="EM46" s="11" t="str">
        <f t="shared" si="95"/>
        <v/>
      </c>
      <c r="EN46" s="11" t="str">
        <f t="shared" si="96"/>
        <v/>
      </c>
      <c r="EO46" s="11" t="str">
        <f t="shared" si="97"/>
        <v/>
      </c>
      <c r="EP46" s="11" t="str">
        <f t="shared" si="98"/>
        <v/>
      </c>
      <c r="EQ46" s="11" t="str">
        <f t="shared" si="99"/>
        <v/>
      </c>
      <c r="ER46" s="11" t="str">
        <f t="shared" si="100"/>
        <v/>
      </c>
      <c r="ES46" s="11" t="str">
        <f t="shared" si="101"/>
        <v/>
      </c>
    </row>
    <row r="47" ht="52.5" customHeight="1">
      <c r="A47" s="55"/>
      <c r="B47" s="42"/>
      <c r="C47" s="42"/>
      <c r="D47" s="42"/>
      <c r="E47" s="42"/>
      <c r="F47" s="42"/>
      <c r="G47" s="56"/>
      <c r="H47" s="56"/>
      <c r="I47" s="56"/>
      <c r="J47" s="42"/>
      <c r="K47" s="42"/>
      <c r="L47" s="42"/>
      <c r="M47" s="56"/>
      <c r="N47" s="56"/>
      <c r="O47" s="56"/>
      <c r="P47" s="57" t="str">
        <f t="shared" si="2"/>
        <v/>
      </c>
      <c r="Q47" s="57" t="str">
        <f t="shared" si="3"/>
        <v/>
      </c>
      <c r="R47" s="58" t="str">
        <f t="shared" si="4"/>
        <v/>
      </c>
      <c r="S47" s="58" t="str">
        <f t="shared" si="5"/>
        <v/>
      </c>
      <c r="T47" s="58" t="str">
        <f t="shared" si="6"/>
        <v/>
      </c>
      <c r="U47" s="59" t="str">
        <f t="shared" si="7"/>
        <v/>
      </c>
      <c r="V47" s="59" t="str">
        <f t="shared" si="8"/>
        <v/>
      </c>
      <c r="W47" s="59" t="str">
        <f t="shared" si="9"/>
        <v/>
      </c>
      <c r="X47" s="60"/>
      <c r="Y47" s="61" t="str">
        <f t="shared" si="10"/>
        <v/>
      </c>
      <c r="Z47" s="61" t="str">
        <f t="shared" si="11"/>
        <v/>
      </c>
      <c r="AA47" s="61" t="str">
        <f t="shared" si="12"/>
        <v/>
      </c>
      <c r="AB47" s="61" t="str">
        <f t="shared" si="13"/>
        <v>Нет локального эффекта</v>
      </c>
      <c r="AC47" s="61" t="str">
        <f t="shared" si="14"/>
        <v/>
      </c>
      <c r="AD47" s="61" t="str">
        <f t="shared" si="15"/>
        <v>Нет локального эффекта</v>
      </c>
      <c r="AE47" s="61" t="str">
        <f t="shared" si="16"/>
        <v/>
      </c>
      <c r="AF47" s="61" t="str">
        <f t="shared" si="17"/>
        <v>Нет локального эффекта</v>
      </c>
      <c r="AG47" s="61" t="str">
        <f t="shared" si="18"/>
        <v/>
      </c>
      <c r="AH47" s="62" t="str">
        <f>IF($B47="","","Общий итог: "&amp;IF($Y47="","ожидает D102",$Y47&amp;IF($Z47="—",""," — "&amp;$Z47))&amp;". Арес: "&amp;$AA47&amp;". "&amp;$AB47&amp;" Афина: "&amp;$AC47&amp;". "&amp;$AD47&amp;" Аполлон: "&amp;$AE47&amp;". "&amp;$AF47&amp;IF($AG47="",""," Общий эффект: "&amp;$AG47))</f>
        <v/>
      </c>
      <c r="BF47" s="11">
        <v>5.96187207E8</v>
      </c>
      <c r="BG47" s="11">
        <v>1.23467364E8</v>
      </c>
      <c r="BH47" s="11">
        <v>3.84631465E8</v>
      </c>
      <c r="BI47" s="11">
        <v>2.54891242E8</v>
      </c>
      <c r="BJ47" s="11">
        <v>2.54589249E8</v>
      </c>
      <c r="BK47" s="11">
        <v>9.2130969E7</v>
      </c>
      <c r="BL47" s="11">
        <v>7.58650072E8</v>
      </c>
      <c r="BM47" s="11">
        <f t="shared" si="19"/>
        <v>77243</v>
      </c>
      <c r="BN47" s="11">
        <f t="shared" si="20"/>
        <v>85162</v>
      </c>
      <c r="BO47" s="11">
        <f t="shared" si="21"/>
        <v>93081</v>
      </c>
      <c r="BP47" s="11">
        <f t="shared" si="22"/>
        <v>997</v>
      </c>
      <c r="BQ47" s="11">
        <f t="shared" si="23"/>
        <v>8916</v>
      </c>
      <c r="BR47" s="11">
        <f t="shared" si="24"/>
        <v>16835</v>
      </c>
      <c r="BS47" s="11">
        <f t="shared" si="25"/>
        <v>24754</v>
      </c>
      <c r="BT47" s="11">
        <f t="shared" si="26"/>
        <v>32673</v>
      </c>
      <c r="BU47" s="11">
        <f t="shared" si="27"/>
        <v>40592</v>
      </c>
      <c r="BV47" s="11">
        <f t="shared" si="28"/>
        <v>48511</v>
      </c>
      <c r="BW47" s="11">
        <f t="shared" si="29"/>
        <v>69813</v>
      </c>
      <c r="BX47" s="11">
        <f t="shared" si="30"/>
        <v>75964</v>
      </c>
      <c r="BY47" s="11">
        <f t="shared" si="31"/>
        <v>82115</v>
      </c>
      <c r="BZ47" s="11">
        <f t="shared" si="32"/>
        <v>88266</v>
      </c>
      <c r="CA47" s="11">
        <f t="shared" si="33"/>
        <v>94417</v>
      </c>
      <c r="CB47" s="11">
        <f t="shared" si="34"/>
        <v>565</v>
      </c>
      <c r="CC47" s="11">
        <f t="shared" si="35"/>
        <v>6716</v>
      </c>
      <c r="CD47" s="11">
        <f t="shared" si="36"/>
        <v>12867</v>
      </c>
      <c r="CE47" s="11">
        <f t="shared" si="37"/>
        <v>23498</v>
      </c>
      <c r="CF47" s="11">
        <f t="shared" si="38"/>
        <v>27069</v>
      </c>
      <c r="CG47" s="11">
        <f t="shared" si="39"/>
        <v>30640</v>
      </c>
      <c r="CH47" s="11">
        <f t="shared" si="40"/>
        <v>34211</v>
      </c>
      <c r="CI47" s="11">
        <f t="shared" si="41"/>
        <v>37782</v>
      </c>
      <c r="CJ47" s="11">
        <f t="shared" si="42"/>
        <v>41353</v>
      </c>
      <c r="CK47" s="11">
        <f t="shared" si="43"/>
        <v>44924</v>
      </c>
      <c r="CL47" s="11">
        <f t="shared" si="44"/>
        <v>48495</v>
      </c>
      <c r="CM47" s="11">
        <f t="shared" si="45"/>
        <v>52066</v>
      </c>
      <c r="CN47" s="11">
        <f t="shared" si="46"/>
        <v>55637</v>
      </c>
      <c r="CO47" s="11">
        <f t="shared" si="47"/>
        <v>59208</v>
      </c>
      <c r="CP47" s="11">
        <f t="shared" si="48"/>
        <v>62779</v>
      </c>
      <c r="CQ47" s="11">
        <f t="shared" si="49"/>
        <v>66350</v>
      </c>
      <c r="CR47" s="11">
        <f t="shared" si="50"/>
        <v>69921</v>
      </c>
      <c r="CS47" s="11">
        <f t="shared" si="51"/>
        <v>73492</v>
      </c>
      <c r="CT47" s="11">
        <f t="shared" si="52"/>
        <v>77063</v>
      </c>
      <c r="CU47" s="11">
        <f t="shared" si="53"/>
        <v>32647</v>
      </c>
      <c r="CV47" s="11">
        <f t="shared" si="54"/>
        <v>37088</v>
      </c>
      <c r="CW47" s="11">
        <f t="shared" si="55"/>
        <v>41529</v>
      </c>
      <c r="CX47" s="11">
        <f t="shared" si="56"/>
        <v>45970</v>
      </c>
      <c r="CY47" s="11">
        <f t="shared" si="57"/>
        <v>50411</v>
      </c>
      <c r="CZ47" s="11">
        <f t="shared" si="58"/>
        <v>54852</v>
      </c>
      <c r="DA47" s="11">
        <f t="shared" si="59"/>
        <v>59293</v>
      </c>
      <c r="DB47" s="11">
        <f t="shared" si="60"/>
        <v>63734</v>
      </c>
      <c r="DC47" s="11">
        <f t="shared" si="61"/>
        <v>68175</v>
      </c>
      <c r="DD47" s="11">
        <f t="shared" si="62"/>
        <v>72616</v>
      </c>
      <c r="DE47" s="11">
        <f t="shared" si="63"/>
        <v>77057</v>
      </c>
      <c r="DF47" s="11">
        <f t="shared" si="64"/>
        <v>81498</v>
      </c>
      <c r="DG47" s="11">
        <f t="shared" si="65"/>
        <v>85939</v>
      </c>
      <c r="DH47" s="11">
        <f t="shared" si="66"/>
        <v>90380</v>
      </c>
      <c r="DI47" s="11">
        <f t="shared" si="67"/>
        <v>94821</v>
      </c>
      <c r="DJ47" s="11">
        <f t="shared" si="68"/>
        <v>99262</v>
      </c>
      <c r="DK47" s="11">
        <f t="shared" si="69"/>
        <v>29403</v>
      </c>
      <c r="DL47" s="11">
        <f t="shared" si="70"/>
        <v>31492</v>
      </c>
      <c r="DM47" s="11">
        <f t="shared" si="71"/>
        <v>33581</v>
      </c>
      <c r="DN47" s="11" t="str">
        <f t="shared" si="72"/>
        <v>Вода и ресурс отвода тепла</v>
      </c>
      <c r="DO47" s="11" t="str">
        <f t="shared" si="73"/>
        <v>Пространственные и природно-географические ресурсы</v>
      </c>
      <c r="DP47" s="11" t="str">
        <f t="shared" si="74"/>
        <v>Мощности производства полупроводников</v>
      </c>
      <c r="DQ47" s="11" t="str">
        <f t="shared" si="75"/>
        <v>Экономика</v>
      </c>
      <c r="DR47" s="11" t="str">
        <f t="shared" si="76"/>
        <v>Государственное управление</v>
      </c>
      <c r="DS47" s="11" t="str">
        <f t="shared" si="77"/>
        <v>Принятие ИИ</v>
      </c>
      <c r="DT47" s="11" t="str">
        <f t="shared" si="78"/>
        <v>Россия</v>
      </c>
      <c r="DU47" s="11" t="str">
        <f t="shared" si="79"/>
        <v>США</v>
      </c>
      <c r="DV47" s="11" t="str">
        <f t="shared" si="80"/>
        <v>Китай</v>
      </c>
      <c r="DW47" s="11" t="str">
        <f t="shared" si="81"/>
        <v>Ресурсный</v>
      </c>
      <c r="DX47" s="11" t="str">
        <f t="shared" si="82"/>
        <v>Общественный</v>
      </c>
      <c r="DY47" s="11" t="str">
        <f t="shared" si="83"/>
        <v>Дипломатический</v>
      </c>
      <c r="DZ47" s="11" t="str">
        <f t="shared" si="84"/>
        <v>Математико-алгоритмические ресурсы</v>
      </c>
      <c r="EA47" s="11" t="str">
        <f t="shared" si="85"/>
        <v>Управление</v>
      </c>
      <c r="EB47" s="11" t="str">
        <f t="shared" si="86"/>
        <v>Россия</v>
      </c>
      <c r="EC47" s="11">
        <f t="shared" ref="EC47:EE47" si="142">IF(OR($B47="",$C47=""),0,IF(AND(EG47&gt;=5,EG47&gt;=5*EJ47),3,IF(AND(EJ47&gt;=5,EJ47&gt;=5*EG47),3,IF(AND(EG47&gt;=5,EG47&gt;=3*EJ47),2,IF(AND(EJ47&gt;=5,EJ47&gt;=3*EG47),2,IF(AND(EG47&gt;=5,EG47&gt;=2*EJ47),1,IF(AND(EJ47&gt;=5,EJ47&gt;=2*EG47),1,0)))))))</f>
        <v>0</v>
      </c>
      <c r="ED47" s="11">
        <f t="shared" si="142"/>
        <v>0</v>
      </c>
      <c r="EE47" s="11">
        <f t="shared" si="142"/>
        <v>0</v>
      </c>
      <c r="EF47" s="11">
        <f t="shared" si="88"/>
        <v>0</v>
      </c>
      <c r="EG47" s="11" t="str">
        <f t="shared" si="89"/>
        <v/>
      </c>
      <c r="EH47" s="11" t="str">
        <f t="shared" si="90"/>
        <v/>
      </c>
      <c r="EI47" s="11" t="str">
        <f t="shared" si="91"/>
        <v/>
      </c>
      <c r="EJ47" s="11" t="str">
        <f t="shared" si="92"/>
        <v/>
      </c>
      <c r="EK47" s="11" t="str">
        <f t="shared" si="93"/>
        <v/>
      </c>
      <c r="EL47" s="11" t="str">
        <f t="shared" si="94"/>
        <v/>
      </c>
      <c r="EM47" s="11" t="str">
        <f t="shared" si="95"/>
        <v/>
      </c>
      <c r="EN47" s="11" t="str">
        <f t="shared" si="96"/>
        <v/>
      </c>
      <c r="EO47" s="11" t="str">
        <f t="shared" si="97"/>
        <v/>
      </c>
      <c r="EP47" s="11" t="str">
        <f t="shared" si="98"/>
        <v/>
      </c>
      <c r="EQ47" s="11" t="str">
        <f t="shared" si="99"/>
        <v/>
      </c>
      <c r="ER47" s="11" t="str">
        <f t="shared" si="100"/>
        <v/>
      </c>
      <c r="ES47" s="11" t="str">
        <f t="shared" si="101"/>
        <v/>
      </c>
    </row>
    <row r="48" ht="52.5" customHeight="1">
      <c r="A48" s="55"/>
      <c r="B48" s="42"/>
      <c r="C48" s="42"/>
      <c r="D48" s="42"/>
      <c r="E48" s="42"/>
      <c r="F48" s="42"/>
      <c r="G48" s="56"/>
      <c r="H48" s="56"/>
      <c r="I48" s="56"/>
      <c r="J48" s="42"/>
      <c r="K48" s="42"/>
      <c r="L48" s="42"/>
      <c r="M48" s="56"/>
      <c r="N48" s="56"/>
      <c r="O48" s="56"/>
      <c r="P48" s="57" t="str">
        <f t="shared" si="2"/>
        <v/>
      </c>
      <c r="Q48" s="57" t="str">
        <f t="shared" si="3"/>
        <v/>
      </c>
      <c r="R48" s="58" t="str">
        <f t="shared" si="4"/>
        <v/>
      </c>
      <c r="S48" s="58" t="str">
        <f t="shared" si="5"/>
        <v/>
      </c>
      <c r="T48" s="58" t="str">
        <f t="shared" si="6"/>
        <v/>
      </c>
      <c r="U48" s="59" t="str">
        <f t="shared" si="7"/>
        <v/>
      </c>
      <c r="V48" s="59" t="str">
        <f t="shared" si="8"/>
        <v/>
      </c>
      <c r="W48" s="59" t="str">
        <f t="shared" si="9"/>
        <v/>
      </c>
      <c r="X48" s="60"/>
      <c r="Y48" s="61" t="str">
        <f t="shared" si="10"/>
        <v/>
      </c>
      <c r="Z48" s="61" t="str">
        <f t="shared" si="11"/>
        <v/>
      </c>
      <c r="AA48" s="61" t="str">
        <f t="shared" si="12"/>
        <v/>
      </c>
      <c r="AB48" s="61" t="str">
        <f t="shared" si="13"/>
        <v>Нет локального эффекта</v>
      </c>
      <c r="AC48" s="61" t="str">
        <f t="shared" si="14"/>
        <v/>
      </c>
      <c r="AD48" s="61" t="str">
        <f t="shared" si="15"/>
        <v>Нет локального эффекта</v>
      </c>
      <c r="AE48" s="61" t="str">
        <f t="shared" si="16"/>
        <v/>
      </c>
      <c r="AF48" s="61" t="str">
        <f t="shared" si="17"/>
        <v>Нет локального эффекта</v>
      </c>
      <c r="AG48" s="61" t="str">
        <f t="shared" si="18"/>
        <v/>
      </c>
      <c r="AH48" s="62" t="str">
        <f>IF($B48="","","Общий итог: "&amp;IF($Y48="","ожидает D103",$Y48&amp;IF($Z48="—",""," — "&amp;$Z48))&amp;". Арес: "&amp;$AA48&amp;". "&amp;$AB48&amp;" Афина: "&amp;$AC48&amp;". "&amp;$AD48&amp;" Аполлон: "&amp;$AE48&amp;". "&amp;$AF48&amp;IF($AG48="",""," Общий эффект: "&amp;$AG48))</f>
        <v/>
      </c>
      <c r="BF48" s="11">
        <v>3.9501781E7</v>
      </c>
      <c r="BG48" s="11">
        <v>2.18761457E8</v>
      </c>
      <c r="BH48" s="11">
        <v>6.90014012E8</v>
      </c>
      <c r="BI48" s="11">
        <v>7.80082079E8</v>
      </c>
      <c r="BJ48" s="11">
        <v>9.4228466E7</v>
      </c>
      <c r="BK48" s="11">
        <v>6.35848333E8</v>
      </c>
      <c r="BL48" s="11">
        <v>9.91125779E8</v>
      </c>
      <c r="BM48" s="11">
        <f t="shared" si="19"/>
        <v>8515</v>
      </c>
      <c r="BN48" s="11">
        <f t="shared" si="20"/>
        <v>16434</v>
      </c>
      <c r="BO48" s="11">
        <f t="shared" si="21"/>
        <v>24353</v>
      </c>
      <c r="BP48" s="11">
        <f t="shared" si="22"/>
        <v>32272</v>
      </c>
      <c r="BQ48" s="11">
        <f t="shared" si="23"/>
        <v>40191</v>
      </c>
      <c r="BR48" s="11">
        <f t="shared" si="24"/>
        <v>48110</v>
      </c>
      <c r="BS48" s="11">
        <f t="shared" si="25"/>
        <v>56029</v>
      </c>
      <c r="BT48" s="11">
        <f t="shared" si="26"/>
        <v>63948</v>
      </c>
      <c r="BU48" s="11">
        <f t="shared" si="27"/>
        <v>71867</v>
      </c>
      <c r="BV48" s="11">
        <f t="shared" si="28"/>
        <v>79786</v>
      </c>
      <c r="BW48" s="11">
        <f t="shared" si="29"/>
        <v>61047</v>
      </c>
      <c r="BX48" s="11">
        <f t="shared" si="30"/>
        <v>67198</v>
      </c>
      <c r="BY48" s="11">
        <f t="shared" si="31"/>
        <v>73349</v>
      </c>
      <c r="BZ48" s="11">
        <f t="shared" si="32"/>
        <v>79500</v>
      </c>
      <c r="CA48" s="11">
        <f t="shared" si="33"/>
        <v>85651</v>
      </c>
      <c r="CB48" s="11">
        <f t="shared" si="34"/>
        <v>91802</v>
      </c>
      <c r="CC48" s="11">
        <f t="shared" si="35"/>
        <v>97953</v>
      </c>
      <c r="CD48" s="11">
        <f t="shared" si="36"/>
        <v>4101</v>
      </c>
      <c r="CE48" s="11">
        <f t="shared" si="37"/>
        <v>96886</v>
      </c>
      <c r="CF48" s="11">
        <f t="shared" si="38"/>
        <v>454</v>
      </c>
      <c r="CG48" s="11">
        <f t="shared" si="39"/>
        <v>4025</v>
      </c>
      <c r="CH48" s="11">
        <f t="shared" si="40"/>
        <v>7596</v>
      </c>
      <c r="CI48" s="11">
        <f t="shared" si="41"/>
        <v>11167</v>
      </c>
      <c r="CJ48" s="11">
        <f t="shared" si="42"/>
        <v>14738</v>
      </c>
      <c r="CK48" s="11">
        <f t="shared" si="43"/>
        <v>18309</v>
      </c>
      <c r="CL48" s="11">
        <f t="shared" si="44"/>
        <v>21880</v>
      </c>
      <c r="CM48" s="11">
        <f t="shared" si="45"/>
        <v>25451</v>
      </c>
      <c r="CN48" s="11">
        <f t="shared" si="46"/>
        <v>29022</v>
      </c>
      <c r="CO48" s="11">
        <f t="shared" si="47"/>
        <v>32593</v>
      </c>
      <c r="CP48" s="11">
        <f t="shared" si="48"/>
        <v>36164</v>
      </c>
      <c r="CQ48" s="11">
        <f t="shared" si="49"/>
        <v>39735</v>
      </c>
      <c r="CR48" s="11">
        <f t="shared" si="50"/>
        <v>43306</v>
      </c>
      <c r="CS48" s="11">
        <f t="shared" si="51"/>
        <v>46877</v>
      </c>
      <c r="CT48" s="11">
        <f t="shared" si="52"/>
        <v>50448</v>
      </c>
      <c r="CU48" s="11">
        <f t="shared" si="53"/>
        <v>33700</v>
      </c>
      <c r="CV48" s="11">
        <f t="shared" si="54"/>
        <v>38141</v>
      </c>
      <c r="CW48" s="11">
        <f t="shared" si="55"/>
        <v>42582</v>
      </c>
      <c r="CX48" s="11">
        <f t="shared" si="56"/>
        <v>47023</v>
      </c>
      <c r="CY48" s="11">
        <f t="shared" si="57"/>
        <v>51464</v>
      </c>
      <c r="CZ48" s="11">
        <f t="shared" si="58"/>
        <v>55905</v>
      </c>
      <c r="DA48" s="11">
        <f t="shared" si="59"/>
        <v>60346</v>
      </c>
      <c r="DB48" s="11">
        <f t="shared" si="60"/>
        <v>64787</v>
      </c>
      <c r="DC48" s="11">
        <f t="shared" si="61"/>
        <v>69228</v>
      </c>
      <c r="DD48" s="11">
        <f t="shared" si="62"/>
        <v>73669</v>
      </c>
      <c r="DE48" s="11">
        <f t="shared" si="63"/>
        <v>78110</v>
      </c>
      <c r="DF48" s="11">
        <f t="shared" si="64"/>
        <v>82551</v>
      </c>
      <c r="DG48" s="11">
        <f t="shared" si="65"/>
        <v>86992</v>
      </c>
      <c r="DH48" s="11">
        <f t="shared" si="66"/>
        <v>91433</v>
      </c>
      <c r="DI48" s="11">
        <f t="shared" si="67"/>
        <v>95874</v>
      </c>
      <c r="DJ48" s="11">
        <f t="shared" si="68"/>
        <v>312</v>
      </c>
      <c r="DK48" s="11">
        <f t="shared" si="69"/>
        <v>98138</v>
      </c>
      <c r="DL48" s="11">
        <f t="shared" si="70"/>
        <v>224</v>
      </c>
      <c r="DM48" s="11">
        <f t="shared" si="71"/>
        <v>2313</v>
      </c>
      <c r="DN48" s="11" t="str">
        <f t="shared" si="72"/>
        <v>Минерально-сырьевые ресурсы</v>
      </c>
      <c r="DO48" s="11" t="str">
        <f t="shared" si="73"/>
        <v>Химические и технологические материалы</v>
      </c>
      <c r="DP48" s="11" t="str">
        <f t="shared" si="74"/>
        <v>Энергетические ресурсы</v>
      </c>
      <c r="DQ48" s="11" t="str">
        <f t="shared" si="75"/>
        <v>Принятие ИИ</v>
      </c>
      <c r="DR48" s="11" t="str">
        <f t="shared" si="76"/>
        <v>Производство</v>
      </c>
      <c r="DS48" s="11" t="str">
        <f t="shared" si="77"/>
        <v>Управление</v>
      </c>
      <c r="DT48" s="11" t="str">
        <f t="shared" si="78"/>
        <v>США</v>
      </c>
      <c r="DU48" s="11" t="str">
        <f t="shared" si="79"/>
        <v>Китай</v>
      </c>
      <c r="DV48" s="11" t="str">
        <f t="shared" si="80"/>
        <v>Индия</v>
      </c>
      <c r="DW48" s="11" t="str">
        <f t="shared" si="81"/>
        <v>Общественный</v>
      </c>
      <c r="DX48" s="11" t="str">
        <f t="shared" si="82"/>
        <v>Дипломатический</v>
      </c>
      <c r="DY48" s="11" t="str">
        <f t="shared" si="83"/>
        <v>Ресурсный</v>
      </c>
      <c r="DZ48" s="11" t="str">
        <f t="shared" si="84"/>
        <v>Поставщики и рынок технологических услуг</v>
      </c>
      <c r="EA48" s="11" t="str">
        <f t="shared" si="85"/>
        <v>Познание</v>
      </c>
      <c r="EB48" s="11" t="str">
        <f t="shared" si="86"/>
        <v>Индонезия</v>
      </c>
      <c r="EC48" s="11">
        <f t="shared" ref="EC48:EE48" si="143">IF(OR($B48="",$C48=""),0,IF(AND(EG48&gt;=5,EG48&gt;=5*EJ48),3,IF(AND(EJ48&gt;=5,EJ48&gt;=5*EG48),3,IF(AND(EG48&gt;=5,EG48&gt;=3*EJ48),2,IF(AND(EJ48&gt;=5,EJ48&gt;=3*EG48),2,IF(AND(EG48&gt;=5,EG48&gt;=2*EJ48),1,IF(AND(EJ48&gt;=5,EJ48&gt;=2*EG48),1,0)))))))</f>
        <v>0</v>
      </c>
      <c r="ED48" s="11">
        <f t="shared" si="143"/>
        <v>0</v>
      </c>
      <c r="EE48" s="11">
        <f t="shared" si="143"/>
        <v>0</v>
      </c>
      <c r="EF48" s="11">
        <f t="shared" si="88"/>
        <v>0</v>
      </c>
      <c r="EG48" s="11" t="str">
        <f t="shared" si="89"/>
        <v/>
      </c>
      <c r="EH48" s="11" t="str">
        <f t="shared" si="90"/>
        <v/>
      </c>
      <c r="EI48" s="11" t="str">
        <f t="shared" si="91"/>
        <v/>
      </c>
      <c r="EJ48" s="11" t="str">
        <f t="shared" si="92"/>
        <v/>
      </c>
      <c r="EK48" s="11" t="str">
        <f t="shared" si="93"/>
        <v/>
      </c>
      <c r="EL48" s="11" t="str">
        <f t="shared" si="94"/>
        <v/>
      </c>
      <c r="EM48" s="11" t="str">
        <f t="shared" si="95"/>
        <v/>
      </c>
      <c r="EN48" s="11" t="str">
        <f t="shared" si="96"/>
        <v/>
      </c>
      <c r="EO48" s="11" t="str">
        <f t="shared" si="97"/>
        <v/>
      </c>
      <c r="EP48" s="11" t="str">
        <f t="shared" si="98"/>
        <v/>
      </c>
      <c r="EQ48" s="11" t="str">
        <f t="shared" si="99"/>
        <v/>
      </c>
      <c r="ER48" s="11" t="str">
        <f t="shared" si="100"/>
        <v/>
      </c>
      <c r="ES48" s="11" t="str">
        <f t="shared" si="101"/>
        <v/>
      </c>
    </row>
    <row r="49" ht="52.5" customHeight="1">
      <c r="A49" s="55"/>
      <c r="B49" s="42"/>
      <c r="C49" s="42"/>
      <c r="D49" s="42"/>
      <c r="E49" s="42"/>
      <c r="F49" s="42"/>
      <c r="G49" s="56"/>
      <c r="H49" s="56"/>
      <c r="I49" s="56"/>
      <c r="J49" s="42"/>
      <c r="K49" s="42"/>
      <c r="L49" s="42"/>
      <c r="M49" s="56"/>
      <c r="N49" s="56"/>
      <c r="O49" s="56"/>
      <c r="P49" s="57" t="str">
        <f t="shared" si="2"/>
        <v/>
      </c>
      <c r="Q49" s="57" t="str">
        <f t="shared" si="3"/>
        <v/>
      </c>
      <c r="R49" s="58" t="str">
        <f t="shared" si="4"/>
        <v/>
      </c>
      <c r="S49" s="58" t="str">
        <f t="shared" si="5"/>
        <v/>
      </c>
      <c r="T49" s="58" t="str">
        <f t="shared" si="6"/>
        <v/>
      </c>
      <c r="U49" s="59" t="str">
        <f t="shared" si="7"/>
        <v/>
      </c>
      <c r="V49" s="59" t="str">
        <f t="shared" si="8"/>
        <v/>
      </c>
      <c r="W49" s="59" t="str">
        <f t="shared" si="9"/>
        <v/>
      </c>
      <c r="X49" s="60"/>
      <c r="Y49" s="61" t="str">
        <f t="shared" si="10"/>
        <v/>
      </c>
      <c r="Z49" s="61" t="str">
        <f t="shared" si="11"/>
        <v/>
      </c>
      <c r="AA49" s="61" t="str">
        <f t="shared" si="12"/>
        <v/>
      </c>
      <c r="AB49" s="61" t="str">
        <f t="shared" si="13"/>
        <v>Нет локального эффекта</v>
      </c>
      <c r="AC49" s="61" t="str">
        <f t="shared" si="14"/>
        <v/>
      </c>
      <c r="AD49" s="61" t="str">
        <f t="shared" si="15"/>
        <v>Нет локального эффекта</v>
      </c>
      <c r="AE49" s="61" t="str">
        <f t="shared" si="16"/>
        <v/>
      </c>
      <c r="AF49" s="61" t="str">
        <f t="shared" si="17"/>
        <v>Нет локального эффекта</v>
      </c>
      <c r="AG49" s="61" t="str">
        <f t="shared" si="18"/>
        <v/>
      </c>
      <c r="AH49" s="62" t="str">
        <f>IF($B49="","","Общий итог: "&amp;IF($Y49="","ожидает D104",$Y49&amp;IF($Z49="—",""," — "&amp;$Z49))&amp;". Арес: "&amp;$AA49&amp;". "&amp;$AB49&amp;" Афина: "&amp;$AC49&amp;". "&amp;$AD49&amp;" Аполлон: "&amp;$AE49&amp;". "&amp;$AF49&amp;IF($AG49="",""," Общий эффект: "&amp;$AG49))</f>
        <v/>
      </c>
      <c r="BF49" s="11">
        <v>5.87776693E8</v>
      </c>
      <c r="BG49" s="11">
        <v>9.97366079E8</v>
      </c>
      <c r="BH49" s="11">
        <v>8.9218734E7</v>
      </c>
      <c r="BI49" s="11">
        <v>7.76021466E8</v>
      </c>
      <c r="BJ49" s="11">
        <v>1.891052E7</v>
      </c>
      <c r="BK49" s="11">
        <v>7.21152741E8</v>
      </c>
      <c r="BL49" s="11">
        <v>4.30533339E8</v>
      </c>
      <c r="BM49" s="11">
        <f t="shared" si="19"/>
        <v>66981</v>
      </c>
      <c r="BN49" s="11">
        <f t="shared" si="20"/>
        <v>74900</v>
      </c>
      <c r="BO49" s="11">
        <f t="shared" si="21"/>
        <v>82819</v>
      </c>
      <c r="BP49" s="11">
        <f t="shared" si="22"/>
        <v>90738</v>
      </c>
      <c r="BQ49" s="11">
        <f t="shared" si="23"/>
        <v>98657</v>
      </c>
      <c r="BR49" s="11">
        <f t="shared" si="24"/>
        <v>6573</v>
      </c>
      <c r="BS49" s="11">
        <f t="shared" si="25"/>
        <v>14492</v>
      </c>
      <c r="BT49" s="11">
        <f t="shared" si="26"/>
        <v>22411</v>
      </c>
      <c r="BU49" s="11">
        <f t="shared" si="27"/>
        <v>30330</v>
      </c>
      <c r="BV49" s="11">
        <f t="shared" si="28"/>
        <v>38249</v>
      </c>
      <c r="BW49" s="11">
        <f t="shared" si="29"/>
        <v>42311</v>
      </c>
      <c r="BX49" s="11">
        <f t="shared" si="30"/>
        <v>48462</v>
      </c>
      <c r="BY49" s="11">
        <f t="shared" si="31"/>
        <v>54613</v>
      </c>
      <c r="BZ49" s="11">
        <f t="shared" si="32"/>
        <v>60764</v>
      </c>
      <c r="CA49" s="11">
        <f t="shared" si="33"/>
        <v>66915</v>
      </c>
      <c r="CB49" s="11">
        <f t="shared" si="34"/>
        <v>73066</v>
      </c>
      <c r="CC49" s="11">
        <f t="shared" si="35"/>
        <v>79217</v>
      </c>
      <c r="CD49" s="11">
        <f t="shared" si="36"/>
        <v>85368</v>
      </c>
      <c r="CE49" s="11">
        <f t="shared" si="37"/>
        <v>19629</v>
      </c>
      <c r="CF49" s="11">
        <f t="shared" si="38"/>
        <v>23200</v>
      </c>
      <c r="CG49" s="11">
        <f t="shared" si="39"/>
        <v>26771</v>
      </c>
      <c r="CH49" s="11">
        <f t="shared" si="40"/>
        <v>30342</v>
      </c>
      <c r="CI49" s="11">
        <f t="shared" si="41"/>
        <v>33913</v>
      </c>
      <c r="CJ49" s="11">
        <f t="shared" si="42"/>
        <v>37484</v>
      </c>
      <c r="CK49" s="11">
        <f t="shared" si="43"/>
        <v>41055</v>
      </c>
      <c r="CL49" s="11">
        <f t="shared" si="44"/>
        <v>44626</v>
      </c>
      <c r="CM49" s="11">
        <f t="shared" si="45"/>
        <v>48197</v>
      </c>
      <c r="CN49" s="11">
        <f t="shared" si="46"/>
        <v>51768</v>
      </c>
      <c r="CO49" s="11">
        <f t="shared" si="47"/>
        <v>55339</v>
      </c>
      <c r="CP49" s="11">
        <f t="shared" si="48"/>
        <v>58910</v>
      </c>
      <c r="CQ49" s="11">
        <f t="shared" si="49"/>
        <v>62481</v>
      </c>
      <c r="CR49" s="11">
        <f t="shared" si="50"/>
        <v>66052</v>
      </c>
      <c r="CS49" s="11">
        <f t="shared" si="51"/>
        <v>69623</v>
      </c>
      <c r="CT49" s="11">
        <f t="shared" si="52"/>
        <v>73194</v>
      </c>
      <c r="CU49" s="11">
        <f t="shared" si="53"/>
        <v>35549</v>
      </c>
      <c r="CV49" s="11">
        <f t="shared" si="54"/>
        <v>39990</v>
      </c>
      <c r="CW49" s="11">
        <f t="shared" si="55"/>
        <v>44431</v>
      </c>
      <c r="CX49" s="11">
        <f t="shared" si="56"/>
        <v>48872</v>
      </c>
      <c r="CY49" s="11">
        <f t="shared" si="57"/>
        <v>53313</v>
      </c>
      <c r="CZ49" s="11">
        <f t="shared" si="58"/>
        <v>57754</v>
      </c>
      <c r="DA49" s="11">
        <f t="shared" si="59"/>
        <v>62195</v>
      </c>
      <c r="DB49" s="11">
        <f t="shared" si="60"/>
        <v>66636</v>
      </c>
      <c r="DC49" s="11">
        <f t="shared" si="61"/>
        <v>71077</v>
      </c>
      <c r="DD49" s="11">
        <f t="shared" si="62"/>
        <v>75518</v>
      </c>
      <c r="DE49" s="11">
        <f t="shared" si="63"/>
        <v>79959</v>
      </c>
      <c r="DF49" s="11">
        <f t="shared" si="64"/>
        <v>84400</v>
      </c>
      <c r="DG49" s="11">
        <f t="shared" si="65"/>
        <v>88841</v>
      </c>
      <c r="DH49" s="11">
        <f t="shared" si="66"/>
        <v>93282</v>
      </c>
      <c r="DI49" s="11">
        <f t="shared" si="67"/>
        <v>97723</v>
      </c>
      <c r="DJ49" s="11">
        <f t="shared" si="68"/>
        <v>2161</v>
      </c>
      <c r="DK49" s="11">
        <f t="shared" si="69"/>
        <v>22513</v>
      </c>
      <c r="DL49" s="11">
        <f t="shared" si="70"/>
        <v>24602</v>
      </c>
      <c r="DM49" s="11">
        <f t="shared" si="71"/>
        <v>26691</v>
      </c>
      <c r="DN49" s="11" t="str">
        <f t="shared" si="72"/>
        <v>Мощности производства полупроводников</v>
      </c>
      <c r="DO49" s="11" t="str">
        <f t="shared" si="73"/>
        <v>Вычислительные компоненты</v>
      </c>
      <c r="DP49" s="11" t="str">
        <f t="shared" si="74"/>
        <v>ЦОД и вычислительная инфраструктура</v>
      </c>
      <c r="DQ49" s="11" t="str">
        <f t="shared" si="75"/>
        <v>Производство</v>
      </c>
      <c r="DR49" s="11" t="str">
        <f t="shared" si="76"/>
        <v>Управление</v>
      </c>
      <c r="DS49" s="11" t="str">
        <f t="shared" si="77"/>
        <v>Познание</v>
      </c>
      <c r="DT49" s="11" t="str">
        <f t="shared" si="78"/>
        <v>Россия</v>
      </c>
      <c r="DU49" s="11" t="str">
        <f t="shared" si="79"/>
        <v>США</v>
      </c>
      <c r="DV49" s="11" t="str">
        <f t="shared" si="80"/>
        <v>Китай</v>
      </c>
      <c r="DW49" s="11" t="str">
        <f t="shared" si="81"/>
        <v>Ресурсный</v>
      </c>
      <c r="DX49" s="11" t="str">
        <f t="shared" si="82"/>
        <v>Общественный</v>
      </c>
      <c r="DY49" s="11" t="str">
        <f t="shared" si="83"/>
        <v>Дипломатический</v>
      </c>
      <c r="DZ49" s="11" t="str">
        <f t="shared" si="84"/>
        <v>Социальное доверие</v>
      </c>
      <c r="EA49" s="11" t="str">
        <f t="shared" si="85"/>
        <v>Производство</v>
      </c>
      <c r="EB49" s="11" t="str">
        <f t="shared" si="86"/>
        <v>Индонезия</v>
      </c>
      <c r="EC49" s="11">
        <f t="shared" ref="EC49:EE49" si="144">IF(OR($B49="",$C49=""),0,IF(AND(EG49&gt;=5,EG49&gt;=5*EJ49),3,IF(AND(EJ49&gt;=5,EJ49&gt;=5*EG49),3,IF(AND(EG49&gt;=5,EG49&gt;=3*EJ49),2,IF(AND(EJ49&gt;=5,EJ49&gt;=3*EG49),2,IF(AND(EG49&gt;=5,EG49&gt;=2*EJ49),1,IF(AND(EJ49&gt;=5,EJ49&gt;=2*EG49),1,0)))))))</f>
        <v>0</v>
      </c>
      <c r="ED49" s="11">
        <f t="shared" si="144"/>
        <v>0</v>
      </c>
      <c r="EE49" s="11">
        <f t="shared" si="144"/>
        <v>0</v>
      </c>
      <c r="EF49" s="11">
        <f t="shared" si="88"/>
        <v>0</v>
      </c>
      <c r="EG49" s="11" t="str">
        <f t="shared" si="89"/>
        <v/>
      </c>
      <c r="EH49" s="11" t="str">
        <f t="shared" si="90"/>
        <v/>
      </c>
      <c r="EI49" s="11" t="str">
        <f t="shared" si="91"/>
        <v/>
      </c>
      <c r="EJ49" s="11" t="str">
        <f t="shared" si="92"/>
        <v/>
      </c>
      <c r="EK49" s="11" t="str">
        <f t="shared" si="93"/>
        <v/>
      </c>
      <c r="EL49" s="11" t="str">
        <f t="shared" si="94"/>
        <v/>
      </c>
      <c r="EM49" s="11" t="str">
        <f t="shared" si="95"/>
        <v/>
      </c>
      <c r="EN49" s="11" t="str">
        <f t="shared" si="96"/>
        <v/>
      </c>
      <c r="EO49" s="11" t="str">
        <f t="shared" si="97"/>
        <v/>
      </c>
      <c r="EP49" s="11" t="str">
        <f t="shared" si="98"/>
        <v/>
      </c>
      <c r="EQ49" s="11" t="str">
        <f t="shared" si="99"/>
        <v/>
      </c>
      <c r="ER49" s="11" t="str">
        <f t="shared" si="100"/>
        <v/>
      </c>
      <c r="ES49" s="11" t="str">
        <f t="shared" si="101"/>
        <v/>
      </c>
    </row>
    <row r="50" ht="52.5" customHeight="1">
      <c r="A50" s="55"/>
      <c r="B50" s="42"/>
      <c r="C50" s="42"/>
      <c r="D50" s="42"/>
      <c r="E50" s="42"/>
      <c r="F50" s="42"/>
      <c r="G50" s="56"/>
      <c r="H50" s="56"/>
      <c r="I50" s="56"/>
      <c r="J50" s="42"/>
      <c r="K50" s="42"/>
      <c r="L50" s="42"/>
      <c r="M50" s="56"/>
      <c r="N50" s="56"/>
      <c r="O50" s="56"/>
      <c r="P50" s="57" t="str">
        <f t="shared" si="2"/>
        <v/>
      </c>
      <c r="Q50" s="57" t="str">
        <f t="shared" si="3"/>
        <v/>
      </c>
      <c r="R50" s="58" t="str">
        <f t="shared" si="4"/>
        <v/>
      </c>
      <c r="S50" s="58" t="str">
        <f t="shared" si="5"/>
        <v/>
      </c>
      <c r="T50" s="58" t="str">
        <f t="shared" si="6"/>
        <v/>
      </c>
      <c r="U50" s="59" t="str">
        <f t="shared" si="7"/>
        <v/>
      </c>
      <c r="V50" s="59" t="str">
        <f t="shared" si="8"/>
        <v/>
      </c>
      <c r="W50" s="59" t="str">
        <f t="shared" si="9"/>
        <v/>
      </c>
      <c r="X50" s="60"/>
      <c r="Y50" s="61" t="str">
        <f t="shared" si="10"/>
        <v/>
      </c>
      <c r="Z50" s="61" t="str">
        <f t="shared" si="11"/>
        <v/>
      </c>
      <c r="AA50" s="61" t="str">
        <f t="shared" si="12"/>
        <v/>
      </c>
      <c r="AB50" s="61" t="str">
        <f t="shared" si="13"/>
        <v>Нет локального эффекта</v>
      </c>
      <c r="AC50" s="61" t="str">
        <f t="shared" si="14"/>
        <v/>
      </c>
      <c r="AD50" s="61" t="str">
        <f t="shared" si="15"/>
        <v>Нет локального эффекта</v>
      </c>
      <c r="AE50" s="61" t="str">
        <f t="shared" si="16"/>
        <v/>
      </c>
      <c r="AF50" s="61" t="str">
        <f t="shared" si="17"/>
        <v>Нет локального эффекта</v>
      </c>
      <c r="AG50" s="61" t="str">
        <f t="shared" si="18"/>
        <v/>
      </c>
      <c r="AH50" s="62" t="str">
        <f>IF($B50="","","Общий итог: "&amp;IF($Y50="","ожидает D105",$Y50&amp;IF($Z50="—",""," — "&amp;$Z50))&amp;". Арес: "&amp;$AA50&amp;". "&amp;$AB50&amp;" Афина: "&amp;$AC50&amp;". "&amp;$AD50&amp;" Аполлон: "&amp;$AE50&amp;". "&amp;$AF50&amp;IF($AG50="",""," Общий эффект: "&amp;$AG50))</f>
        <v/>
      </c>
      <c r="BF50" s="11">
        <v>7.99204892E8</v>
      </c>
      <c r="BG50" s="11">
        <v>6.88363391E8</v>
      </c>
      <c r="BH50" s="11">
        <v>6.42941272E8</v>
      </c>
      <c r="BI50" s="11">
        <v>8.42471652E8</v>
      </c>
      <c r="BJ50" s="11">
        <v>7.74403423E8</v>
      </c>
      <c r="BK50" s="11">
        <v>4.57084929E8</v>
      </c>
      <c r="BL50" s="11">
        <v>1.80922777E8</v>
      </c>
      <c r="BM50" s="11">
        <f t="shared" si="19"/>
        <v>88838</v>
      </c>
      <c r="BN50" s="11">
        <f t="shared" si="20"/>
        <v>96757</v>
      </c>
      <c r="BO50" s="11">
        <f t="shared" si="21"/>
        <v>4673</v>
      </c>
      <c r="BP50" s="11">
        <f t="shared" si="22"/>
        <v>12592</v>
      </c>
      <c r="BQ50" s="11">
        <f t="shared" si="23"/>
        <v>20511</v>
      </c>
      <c r="BR50" s="11">
        <f t="shared" si="24"/>
        <v>28430</v>
      </c>
      <c r="BS50" s="11">
        <f t="shared" si="25"/>
        <v>36349</v>
      </c>
      <c r="BT50" s="11">
        <f t="shared" si="26"/>
        <v>44268</v>
      </c>
      <c r="BU50" s="11">
        <f t="shared" si="27"/>
        <v>52187</v>
      </c>
      <c r="BV50" s="11">
        <f t="shared" si="28"/>
        <v>60106</v>
      </c>
      <c r="BW50" s="11">
        <f t="shared" si="29"/>
        <v>48893</v>
      </c>
      <c r="BX50" s="11">
        <f t="shared" si="30"/>
        <v>55044</v>
      </c>
      <c r="BY50" s="11">
        <f t="shared" si="31"/>
        <v>61195</v>
      </c>
      <c r="BZ50" s="11">
        <f t="shared" si="32"/>
        <v>67346</v>
      </c>
      <c r="CA50" s="11">
        <f t="shared" si="33"/>
        <v>73497</v>
      </c>
      <c r="CB50" s="11">
        <f t="shared" si="34"/>
        <v>79648</v>
      </c>
      <c r="CC50" s="11">
        <f t="shared" si="35"/>
        <v>85799</v>
      </c>
      <c r="CD50" s="11">
        <f t="shared" si="36"/>
        <v>91950</v>
      </c>
      <c r="CE50" s="11">
        <f t="shared" si="37"/>
        <v>25556</v>
      </c>
      <c r="CF50" s="11">
        <f t="shared" si="38"/>
        <v>29127</v>
      </c>
      <c r="CG50" s="11">
        <f t="shared" si="39"/>
        <v>32698</v>
      </c>
      <c r="CH50" s="11">
        <f t="shared" si="40"/>
        <v>36269</v>
      </c>
      <c r="CI50" s="11">
        <f t="shared" si="41"/>
        <v>39840</v>
      </c>
      <c r="CJ50" s="11">
        <f t="shared" si="42"/>
        <v>43411</v>
      </c>
      <c r="CK50" s="11">
        <f t="shared" si="43"/>
        <v>46982</v>
      </c>
      <c r="CL50" s="11">
        <f t="shared" si="44"/>
        <v>50553</v>
      </c>
      <c r="CM50" s="11">
        <f t="shared" si="45"/>
        <v>54124</v>
      </c>
      <c r="CN50" s="11">
        <f t="shared" si="46"/>
        <v>57695</v>
      </c>
      <c r="CO50" s="11">
        <f t="shared" si="47"/>
        <v>61266</v>
      </c>
      <c r="CP50" s="11">
        <f t="shared" si="48"/>
        <v>64837</v>
      </c>
      <c r="CQ50" s="11">
        <f t="shared" si="49"/>
        <v>68408</v>
      </c>
      <c r="CR50" s="11">
        <f t="shared" si="50"/>
        <v>71979</v>
      </c>
      <c r="CS50" s="11">
        <f t="shared" si="51"/>
        <v>75550</v>
      </c>
      <c r="CT50" s="11">
        <f t="shared" si="52"/>
        <v>79121</v>
      </c>
      <c r="CU50" s="11">
        <f t="shared" si="53"/>
        <v>75660</v>
      </c>
      <c r="CV50" s="11">
        <f t="shared" si="54"/>
        <v>80101</v>
      </c>
      <c r="CW50" s="11">
        <f t="shared" si="55"/>
        <v>84542</v>
      </c>
      <c r="CX50" s="11">
        <f t="shared" si="56"/>
        <v>88983</v>
      </c>
      <c r="CY50" s="11">
        <f t="shared" si="57"/>
        <v>93424</v>
      </c>
      <c r="CZ50" s="11">
        <f t="shared" si="58"/>
        <v>97865</v>
      </c>
      <c r="DA50" s="11">
        <f t="shared" si="59"/>
        <v>2303</v>
      </c>
      <c r="DB50" s="11">
        <f t="shared" si="60"/>
        <v>6744</v>
      </c>
      <c r="DC50" s="11">
        <f t="shared" si="61"/>
        <v>11185</v>
      </c>
      <c r="DD50" s="11">
        <f t="shared" si="62"/>
        <v>15626</v>
      </c>
      <c r="DE50" s="11">
        <f t="shared" si="63"/>
        <v>20067</v>
      </c>
      <c r="DF50" s="11">
        <f t="shared" si="64"/>
        <v>24508</v>
      </c>
      <c r="DG50" s="11">
        <f t="shared" si="65"/>
        <v>28949</v>
      </c>
      <c r="DH50" s="11">
        <f t="shared" si="66"/>
        <v>33390</v>
      </c>
      <c r="DI50" s="11">
        <f t="shared" si="67"/>
        <v>37831</v>
      </c>
      <c r="DJ50" s="11">
        <f t="shared" si="68"/>
        <v>42272</v>
      </c>
      <c r="DK50" s="11">
        <f t="shared" si="69"/>
        <v>19439</v>
      </c>
      <c r="DL50" s="11">
        <f t="shared" si="70"/>
        <v>21528</v>
      </c>
      <c r="DM50" s="11">
        <f t="shared" si="71"/>
        <v>23617</v>
      </c>
      <c r="DN50" s="11" t="str">
        <f t="shared" si="72"/>
        <v>Энергетические ресурсы</v>
      </c>
      <c r="DO50" s="11" t="str">
        <f t="shared" si="73"/>
        <v>Вода и ресурс отвода тепла</v>
      </c>
      <c r="DP50" s="11" t="str">
        <f t="shared" si="74"/>
        <v>Пространственные и природно-географические ресурсы</v>
      </c>
      <c r="DQ50" s="11" t="str">
        <f t="shared" si="75"/>
        <v>Производство</v>
      </c>
      <c r="DR50" s="11" t="str">
        <f t="shared" si="76"/>
        <v>Управление</v>
      </c>
      <c r="DS50" s="11" t="str">
        <f t="shared" si="77"/>
        <v>Познание</v>
      </c>
      <c r="DT50" s="11" t="str">
        <f t="shared" si="78"/>
        <v>Россия</v>
      </c>
      <c r="DU50" s="11" t="str">
        <f t="shared" si="79"/>
        <v>США</v>
      </c>
      <c r="DV50" s="11" t="str">
        <f t="shared" si="80"/>
        <v>Китай</v>
      </c>
      <c r="DW50" s="11" t="str">
        <f t="shared" si="81"/>
        <v>Ресурсный</v>
      </c>
      <c r="DX50" s="11" t="str">
        <f t="shared" si="82"/>
        <v>Общественный</v>
      </c>
      <c r="DY50" s="11" t="str">
        <f t="shared" si="83"/>
        <v>Дипломатический</v>
      </c>
      <c r="DZ50" s="11" t="str">
        <f t="shared" si="84"/>
        <v>Минерально-сырьевые ресурсы</v>
      </c>
      <c r="EA50" s="11" t="str">
        <f t="shared" si="85"/>
        <v>Принятие ИИ</v>
      </c>
      <c r="EB50" s="11" t="str">
        <f t="shared" si="86"/>
        <v>Германия</v>
      </c>
      <c r="EC50" s="11">
        <f t="shared" ref="EC50:EE50" si="145">IF(OR($B50="",$C50=""),0,IF(AND(EG50&gt;=5,EG50&gt;=5*EJ50),3,IF(AND(EJ50&gt;=5,EJ50&gt;=5*EG50),3,IF(AND(EG50&gt;=5,EG50&gt;=3*EJ50),2,IF(AND(EJ50&gt;=5,EJ50&gt;=3*EG50),2,IF(AND(EG50&gt;=5,EG50&gt;=2*EJ50),1,IF(AND(EJ50&gt;=5,EJ50&gt;=2*EG50),1,0)))))))</f>
        <v>0</v>
      </c>
      <c r="ED50" s="11">
        <f t="shared" si="145"/>
        <v>0</v>
      </c>
      <c r="EE50" s="11">
        <f t="shared" si="145"/>
        <v>0</v>
      </c>
      <c r="EF50" s="11">
        <f t="shared" si="88"/>
        <v>0</v>
      </c>
      <c r="EG50" s="11" t="str">
        <f t="shared" si="89"/>
        <v/>
      </c>
      <c r="EH50" s="11" t="str">
        <f t="shared" si="90"/>
        <v/>
      </c>
      <c r="EI50" s="11" t="str">
        <f t="shared" si="91"/>
        <v/>
      </c>
      <c r="EJ50" s="11" t="str">
        <f t="shared" si="92"/>
        <v/>
      </c>
      <c r="EK50" s="11" t="str">
        <f t="shared" si="93"/>
        <v/>
      </c>
      <c r="EL50" s="11" t="str">
        <f t="shared" si="94"/>
        <v/>
      </c>
      <c r="EM50" s="11" t="str">
        <f t="shared" si="95"/>
        <v/>
      </c>
      <c r="EN50" s="11" t="str">
        <f t="shared" si="96"/>
        <v/>
      </c>
      <c r="EO50" s="11" t="str">
        <f t="shared" si="97"/>
        <v/>
      </c>
      <c r="EP50" s="11" t="str">
        <f t="shared" si="98"/>
        <v/>
      </c>
      <c r="EQ50" s="11" t="str">
        <f t="shared" si="99"/>
        <v/>
      </c>
      <c r="ER50" s="11" t="str">
        <f t="shared" si="100"/>
        <v/>
      </c>
      <c r="ES50" s="11" t="str">
        <f t="shared" si="101"/>
        <v/>
      </c>
    </row>
    <row r="51" ht="52.5" customHeight="1">
      <c r="A51" s="55"/>
      <c r="B51" s="42"/>
      <c r="C51" s="42"/>
      <c r="D51" s="42"/>
      <c r="E51" s="42"/>
      <c r="F51" s="42"/>
      <c r="G51" s="56"/>
      <c r="H51" s="56"/>
      <c r="I51" s="56"/>
      <c r="J51" s="42"/>
      <c r="K51" s="42"/>
      <c r="L51" s="42"/>
      <c r="M51" s="56"/>
      <c r="N51" s="56"/>
      <c r="O51" s="56"/>
      <c r="P51" s="57" t="str">
        <f t="shared" si="2"/>
        <v/>
      </c>
      <c r="Q51" s="57" t="str">
        <f t="shared" si="3"/>
        <v/>
      </c>
      <c r="R51" s="58" t="str">
        <f t="shared" si="4"/>
        <v/>
      </c>
      <c r="S51" s="58" t="str">
        <f t="shared" si="5"/>
        <v/>
      </c>
      <c r="T51" s="58" t="str">
        <f t="shared" si="6"/>
        <v/>
      </c>
      <c r="U51" s="59" t="str">
        <f t="shared" si="7"/>
        <v/>
      </c>
      <c r="V51" s="59" t="str">
        <f t="shared" si="8"/>
        <v/>
      </c>
      <c r="W51" s="59" t="str">
        <f t="shared" si="9"/>
        <v/>
      </c>
      <c r="X51" s="60"/>
      <c r="Y51" s="61" t="str">
        <f t="shared" si="10"/>
        <v/>
      </c>
      <c r="Z51" s="61" t="str">
        <f t="shared" si="11"/>
        <v/>
      </c>
      <c r="AA51" s="61" t="str">
        <f t="shared" si="12"/>
        <v/>
      </c>
      <c r="AB51" s="61" t="str">
        <f t="shared" si="13"/>
        <v>Нет локального эффекта</v>
      </c>
      <c r="AC51" s="61" t="str">
        <f t="shared" si="14"/>
        <v/>
      </c>
      <c r="AD51" s="61" t="str">
        <f t="shared" si="15"/>
        <v>Нет локального эффекта</v>
      </c>
      <c r="AE51" s="61" t="str">
        <f t="shared" si="16"/>
        <v/>
      </c>
      <c r="AF51" s="61" t="str">
        <f t="shared" si="17"/>
        <v>Нет локального эффекта</v>
      </c>
      <c r="AG51" s="61" t="str">
        <f t="shared" si="18"/>
        <v/>
      </c>
      <c r="AH51" s="62" t="str">
        <f>IF($B51="","","Общий итог: "&amp;IF($Y51="","ожидает D106",$Y51&amp;IF($Z51="—",""," — "&amp;$Z51))&amp;". Арес: "&amp;$AA51&amp;". "&amp;$AB51&amp;" Афина: "&amp;$AC51&amp;". "&amp;$AD51&amp;" Аполлон: "&amp;$AE51&amp;". "&amp;$AF51&amp;IF($AG51="",""," Общий эффект: "&amp;$AG51))</f>
        <v/>
      </c>
      <c r="BF51" s="11">
        <v>8.74695266E8</v>
      </c>
      <c r="BG51" s="11">
        <v>1.04140499E8</v>
      </c>
      <c r="BH51" s="11">
        <v>5.58104045E8</v>
      </c>
      <c r="BI51" s="11">
        <v>5.33899099E8</v>
      </c>
      <c r="BJ51" s="11">
        <v>8.34104629E8</v>
      </c>
      <c r="BK51" s="11">
        <v>8.33757412E8</v>
      </c>
      <c r="BL51" s="11">
        <v>4.28036671E8</v>
      </c>
      <c r="BM51" s="11">
        <f t="shared" si="19"/>
        <v>76947</v>
      </c>
      <c r="BN51" s="11">
        <f t="shared" si="20"/>
        <v>84866</v>
      </c>
      <c r="BO51" s="11">
        <f t="shared" si="21"/>
        <v>92785</v>
      </c>
      <c r="BP51" s="11">
        <f t="shared" si="22"/>
        <v>701</v>
      </c>
      <c r="BQ51" s="11">
        <f t="shared" si="23"/>
        <v>8620</v>
      </c>
      <c r="BR51" s="11">
        <f t="shared" si="24"/>
        <v>16539</v>
      </c>
      <c r="BS51" s="11">
        <f t="shared" si="25"/>
        <v>24458</v>
      </c>
      <c r="BT51" s="11">
        <f t="shared" si="26"/>
        <v>32377</v>
      </c>
      <c r="BU51" s="11">
        <f t="shared" si="27"/>
        <v>40296</v>
      </c>
      <c r="BV51" s="11">
        <f t="shared" si="28"/>
        <v>48215</v>
      </c>
      <c r="BW51" s="11">
        <f t="shared" si="29"/>
        <v>43527</v>
      </c>
      <c r="BX51" s="11">
        <f t="shared" si="30"/>
        <v>49678</v>
      </c>
      <c r="BY51" s="11">
        <f t="shared" si="31"/>
        <v>55829</v>
      </c>
      <c r="BZ51" s="11">
        <f t="shared" si="32"/>
        <v>61980</v>
      </c>
      <c r="CA51" s="11">
        <f t="shared" si="33"/>
        <v>68131</v>
      </c>
      <c r="CB51" s="11">
        <f t="shared" si="34"/>
        <v>74282</v>
      </c>
      <c r="CC51" s="11">
        <f t="shared" si="35"/>
        <v>80433</v>
      </c>
      <c r="CD51" s="11">
        <f t="shared" si="36"/>
        <v>86584</v>
      </c>
      <c r="CE51" s="11">
        <f t="shared" si="37"/>
        <v>90876</v>
      </c>
      <c r="CF51" s="11">
        <f t="shared" si="38"/>
        <v>94447</v>
      </c>
      <c r="CG51" s="11">
        <f t="shared" si="39"/>
        <v>98018</v>
      </c>
      <c r="CH51" s="11">
        <f t="shared" si="40"/>
        <v>1586</v>
      </c>
      <c r="CI51" s="11">
        <f t="shared" si="41"/>
        <v>5157</v>
      </c>
      <c r="CJ51" s="11">
        <f t="shared" si="42"/>
        <v>8728</v>
      </c>
      <c r="CK51" s="11">
        <f t="shared" si="43"/>
        <v>12299</v>
      </c>
      <c r="CL51" s="11">
        <f t="shared" si="44"/>
        <v>15870</v>
      </c>
      <c r="CM51" s="11">
        <f t="shared" si="45"/>
        <v>19441</v>
      </c>
      <c r="CN51" s="11">
        <f t="shared" si="46"/>
        <v>23012</v>
      </c>
      <c r="CO51" s="11">
        <f t="shared" si="47"/>
        <v>26583</v>
      </c>
      <c r="CP51" s="11">
        <f t="shared" si="48"/>
        <v>30154</v>
      </c>
      <c r="CQ51" s="11">
        <f t="shared" si="49"/>
        <v>33725</v>
      </c>
      <c r="CR51" s="11">
        <f t="shared" si="50"/>
        <v>37296</v>
      </c>
      <c r="CS51" s="11">
        <f t="shared" si="51"/>
        <v>40867</v>
      </c>
      <c r="CT51" s="11">
        <f t="shared" si="52"/>
        <v>44438</v>
      </c>
      <c r="CU51" s="11">
        <f t="shared" si="53"/>
        <v>36842</v>
      </c>
      <c r="CV51" s="11">
        <f t="shared" si="54"/>
        <v>41283</v>
      </c>
      <c r="CW51" s="11">
        <f t="shared" si="55"/>
        <v>45724</v>
      </c>
      <c r="CX51" s="11">
        <f t="shared" si="56"/>
        <v>50165</v>
      </c>
      <c r="CY51" s="11">
        <f t="shared" si="57"/>
        <v>54606</v>
      </c>
      <c r="CZ51" s="11">
        <f t="shared" si="58"/>
        <v>59047</v>
      </c>
      <c r="DA51" s="11">
        <f t="shared" si="59"/>
        <v>63488</v>
      </c>
      <c r="DB51" s="11">
        <f t="shared" si="60"/>
        <v>67929</v>
      </c>
      <c r="DC51" s="11">
        <f t="shared" si="61"/>
        <v>72370</v>
      </c>
      <c r="DD51" s="11">
        <f t="shared" si="62"/>
        <v>76811</v>
      </c>
      <c r="DE51" s="11">
        <f t="shared" si="63"/>
        <v>81252</v>
      </c>
      <c r="DF51" s="11">
        <f t="shared" si="64"/>
        <v>85693</v>
      </c>
      <c r="DG51" s="11">
        <f t="shared" si="65"/>
        <v>90134</v>
      </c>
      <c r="DH51" s="11">
        <f t="shared" si="66"/>
        <v>94575</v>
      </c>
      <c r="DI51" s="11">
        <f t="shared" si="67"/>
        <v>99016</v>
      </c>
      <c r="DJ51" s="11">
        <f t="shared" si="68"/>
        <v>3454</v>
      </c>
      <c r="DK51" s="11">
        <f t="shared" si="69"/>
        <v>25920</v>
      </c>
      <c r="DL51" s="11">
        <f t="shared" si="70"/>
        <v>28009</v>
      </c>
      <c r="DM51" s="11">
        <f t="shared" si="71"/>
        <v>30098</v>
      </c>
      <c r="DN51" s="11" t="str">
        <f t="shared" si="72"/>
        <v>Вода и ресурс отвода тепла</v>
      </c>
      <c r="DO51" s="11" t="str">
        <f t="shared" si="73"/>
        <v>Пространственные и природно-географические ресурсы</v>
      </c>
      <c r="DP51" s="11" t="str">
        <f t="shared" si="74"/>
        <v>Мощности производства полупроводников</v>
      </c>
      <c r="DQ51" s="11" t="str">
        <f t="shared" si="75"/>
        <v>Производство</v>
      </c>
      <c r="DR51" s="11" t="str">
        <f t="shared" si="76"/>
        <v>Управление</v>
      </c>
      <c r="DS51" s="11" t="str">
        <f t="shared" si="77"/>
        <v>Познание</v>
      </c>
      <c r="DT51" s="11" t="str">
        <f t="shared" si="78"/>
        <v>Индия</v>
      </c>
      <c r="DU51" s="11" t="str">
        <f t="shared" si="79"/>
        <v>Великобритания</v>
      </c>
      <c r="DV51" s="11" t="str">
        <f t="shared" si="80"/>
        <v>Франция</v>
      </c>
      <c r="DW51" s="11" t="str">
        <f t="shared" si="81"/>
        <v>Ресурсный</v>
      </c>
      <c r="DX51" s="11" t="str">
        <f t="shared" si="82"/>
        <v>Общественный</v>
      </c>
      <c r="DY51" s="11" t="str">
        <f t="shared" si="83"/>
        <v>Дипломатический</v>
      </c>
      <c r="DZ51" s="11" t="str">
        <f t="shared" si="84"/>
        <v>Мощности производства полупроводников</v>
      </c>
      <c r="EA51" s="11" t="str">
        <f t="shared" si="85"/>
        <v>Экономика</v>
      </c>
      <c r="EB51" s="11" t="str">
        <f t="shared" si="86"/>
        <v>Индонезия</v>
      </c>
      <c r="EC51" s="11">
        <f t="shared" ref="EC51:EE51" si="146">IF(OR($B51="",$C51=""),0,IF(AND(EG51&gt;=5,EG51&gt;=5*EJ51),3,IF(AND(EJ51&gt;=5,EJ51&gt;=5*EG51),3,IF(AND(EG51&gt;=5,EG51&gt;=3*EJ51),2,IF(AND(EJ51&gt;=5,EJ51&gt;=3*EG51),2,IF(AND(EG51&gt;=5,EG51&gt;=2*EJ51),1,IF(AND(EJ51&gt;=5,EJ51&gt;=2*EG51),1,0)))))))</f>
        <v>0</v>
      </c>
      <c r="ED51" s="11">
        <f t="shared" si="146"/>
        <v>0</v>
      </c>
      <c r="EE51" s="11">
        <f t="shared" si="146"/>
        <v>0</v>
      </c>
      <c r="EF51" s="11">
        <f t="shared" si="88"/>
        <v>0</v>
      </c>
      <c r="EG51" s="11" t="str">
        <f t="shared" si="89"/>
        <v/>
      </c>
      <c r="EH51" s="11" t="str">
        <f t="shared" si="90"/>
        <v/>
      </c>
      <c r="EI51" s="11" t="str">
        <f t="shared" si="91"/>
        <v/>
      </c>
      <c r="EJ51" s="11" t="str">
        <f t="shared" si="92"/>
        <v/>
      </c>
      <c r="EK51" s="11" t="str">
        <f t="shared" si="93"/>
        <v/>
      </c>
      <c r="EL51" s="11" t="str">
        <f t="shared" si="94"/>
        <v/>
      </c>
      <c r="EM51" s="11" t="str">
        <f t="shared" si="95"/>
        <v/>
      </c>
      <c r="EN51" s="11" t="str">
        <f t="shared" si="96"/>
        <v/>
      </c>
      <c r="EO51" s="11" t="str">
        <f t="shared" si="97"/>
        <v/>
      </c>
      <c r="EP51" s="11" t="str">
        <f t="shared" si="98"/>
        <v/>
      </c>
      <c r="EQ51" s="11" t="str">
        <f t="shared" si="99"/>
        <v/>
      </c>
      <c r="ER51" s="11" t="str">
        <f t="shared" si="100"/>
        <v/>
      </c>
      <c r="ES51" s="11" t="str">
        <f t="shared" si="101"/>
        <v/>
      </c>
    </row>
    <row r="52" ht="52.5" customHeight="1">
      <c r="A52" s="55"/>
      <c r="B52" s="42"/>
      <c r="C52" s="42"/>
      <c r="D52" s="42"/>
      <c r="E52" s="42"/>
      <c r="F52" s="42"/>
      <c r="G52" s="56"/>
      <c r="H52" s="56"/>
      <c r="I52" s="56"/>
      <c r="J52" s="42"/>
      <c r="K52" s="42"/>
      <c r="L52" s="42"/>
      <c r="M52" s="56"/>
      <c r="N52" s="56"/>
      <c r="O52" s="56"/>
      <c r="P52" s="57" t="str">
        <f t="shared" si="2"/>
        <v/>
      </c>
      <c r="Q52" s="57" t="str">
        <f t="shared" si="3"/>
        <v/>
      </c>
      <c r="R52" s="58" t="str">
        <f t="shared" si="4"/>
        <v/>
      </c>
      <c r="S52" s="58" t="str">
        <f t="shared" si="5"/>
        <v/>
      </c>
      <c r="T52" s="58" t="str">
        <f t="shared" si="6"/>
        <v/>
      </c>
      <c r="U52" s="59" t="str">
        <f t="shared" si="7"/>
        <v/>
      </c>
      <c r="V52" s="59" t="str">
        <f t="shared" si="8"/>
        <v/>
      </c>
      <c r="W52" s="59" t="str">
        <f t="shared" si="9"/>
        <v/>
      </c>
      <c r="X52" s="60"/>
      <c r="Y52" s="61" t="str">
        <f t="shared" si="10"/>
        <v/>
      </c>
      <c r="Z52" s="61" t="str">
        <f t="shared" si="11"/>
        <v/>
      </c>
      <c r="AA52" s="61" t="str">
        <f t="shared" si="12"/>
        <v/>
      </c>
      <c r="AB52" s="61" t="str">
        <f t="shared" si="13"/>
        <v>Нет локального эффекта</v>
      </c>
      <c r="AC52" s="61" t="str">
        <f t="shared" si="14"/>
        <v/>
      </c>
      <c r="AD52" s="61" t="str">
        <f t="shared" si="15"/>
        <v>Нет локального эффекта</v>
      </c>
      <c r="AE52" s="61" t="str">
        <f t="shared" si="16"/>
        <v/>
      </c>
      <c r="AF52" s="61" t="str">
        <f t="shared" si="17"/>
        <v>Нет локального эффекта</v>
      </c>
      <c r="AG52" s="61" t="str">
        <f t="shared" si="18"/>
        <v/>
      </c>
      <c r="AH52" s="62" t="str">
        <f>IF($B52="","","Общий итог: "&amp;IF($Y52="","ожидает D107",$Y52&amp;IF($Z52="—",""," — "&amp;$Z52))&amp;". Арес: "&amp;$AA52&amp;". "&amp;$AB52&amp;" Афина: "&amp;$AC52&amp;". "&amp;$AD52&amp;" Аполлон: "&amp;$AE52&amp;". "&amp;$AF52&amp;IF($AG52="",""," Общий эффект: "&amp;$AG52))</f>
        <v/>
      </c>
      <c r="BF52" s="11">
        <v>6.0348028E7</v>
      </c>
      <c r="BG52" s="11">
        <v>4.07932402E8</v>
      </c>
      <c r="BH52" s="11">
        <v>5.21550975E8</v>
      </c>
      <c r="BI52" s="11">
        <v>7246283.0</v>
      </c>
      <c r="BJ52" s="11">
        <v>1.24366487E8</v>
      </c>
      <c r="BK52" s="11">
        <v>9.7056894E8</v>
      </c>
      <c r="BL52" s="11">
        <v>8.8935699E8</v>
      </c>
      <c r="BM52" s="11">
        <f t="shared" si="19"/>
        <v>54138</v>
      </c>
      <c r="BN52" s="11">
        <f t="shared" si="20"/>
        <v>62057</v>
      </c>
      <c r="BO52" s="11">
        <f t="shared" si="21"/>
        <v>69976</v>
      </c>
      <c r="BP52" s="11">
        <f t="shared" si="22"/>
        <v>77895</v>
      </c>
      <c r="BQ52" s="11">
        <f t="shared" si="23"/>
        <v>85814</v>
      </c>
      <c r="BR52" s="11">
        <f t="shared" si="24"/>
        <v>93733</v>
      </c>
      <c r="BS52" s="11">
        <f t="shared" si="25"/>
        <v>1649</v>
      </c>
      <c r="BT52" s="11">
        <f t="shared" si="26"/>
        <v>9568</v>
      </c>
      <c r="BU52" s="11">
        <f t="shared" si="27"/>
        <v>17487</v>
      </c>
      <c r="BV52" s="11">
        <f t="shared" si="28"/>
        <v>25406</v>
      </c>
      <c r="BW52" s="11">
        <f t="shared" si="29"/>
        <v>26316</v>
      </c>
      <c r="BX52" s="11">
        <f t="shared" si="30"/>
        <v>32467</v>
      </c>
      <c r="BY52" s="11">
        <f t="shared" si="31"/>
        <v>38618</v>
      </c>
      <c r="BZ52" s="11">
        <f t="shared" si="32"/>
        <v>44769</v>
      </c>
      <c r="CA52" s="11">
        <f t="shared" si="33"/>
        <v>50920</v>
      </c>
      <c r="CB52" s="11">
        <f t="shared" si="34"/>
        <v>57071</v>
      </c>
      <c r="CC52" s="11">
        <f t="shared" si="35"/>
        <v>63222</v>
      </c>
      <c r="CD52" s="11">
        <f t="shared" si="36"/>
        <v>69373</v>
      </c>
      <c r="CE52" s="11">
        <f t="shared" si="37"/>
        <v>38901</v>
      </c>
      <c r="CF52" s="11">
        <f t="shared" si="38"/>
        <v>42472</v>
      </c>
      <c r="CG52" s="11">
        <f t="shared" si="39"/>
        <v>46043</v>
      </c>
      <c r="CH52" s="11">
        <f t="shared" si="40"/>
        <v>49614</v>
      </c>
      <c r="CI52" s="11">
        <f t="shared" si="41"/>
        <v>53185</v>
      </c>
      <c r="CJ52" s="11">
        <f t="shared" si="42"/>
        <v>56756</v>
      </c>
      <c r="CK52" s="11">
        <f t="shared" si="43"/>
        <v>60327</v>
      </c>
      <c r="CL52" s="11">
        <f t="shared" si="44"/>
        <v>63898</v>
      </c>
      <c r="CM52" s="11">
        <f t="shared" si="45"/>
        <v>67469</v>
      </c>
      <c r="CN52" s="11">
        <f t="shared" si="46"/>
        <v>71040</v>
      </c>
      <c r="CO52" s="11">
        <f t="shared" si="47"/>
        <v>74611</v>
      </c>
      <c r="CP52" s="11">
        <f t="shared" si="48"/>
        <v>78182</v>
      </c>
      <c r="CQ52" s="11">
        <f t="shared" si="49"/>
        <v>81753</v>
      </c>
      <c r="CR52" s="11">
        <f t="shared" si="50"/>
        <v>85324</v>
      </c>
      <c r="CS52" s="11">
        <f t="shared" si="51"/>
        <v>88895</v>
      </c>
      <c r="CT52" s="11">
        <f t="shared" si="52"/>
        <v>92466</v>
      </c>
      <c r="CU52" s="11">
        <f t="shared" si="53"/>
        <v>44266</v>
      </c>
      <c r="CV52" s="11">
        <f t="shared" si="54"/>
        <v>48707</v>
      </c>
      <c r="CW52" s="11">
        <f t="shared" si="55"/>
        <v>53148</v>
      </c>
      <c r="CX52" s="11">
        <f t="shared" si="56"/>
        <v>57589</v>
      </c>
      <c r="CY52" s="11">
        <f t="shared" si="57"/>
        <v>62030</v>
      </c>
      <c r="CZ52" s="11">
        <f t="shared" si="58"/>
        <v>66471</v>
      </c>
      <c r="DA52" s="11">
        <f t="shared" si="59"/>
        <v>70912</v>
      </c>
      <c r="DB52" s="11">
        <f t="shared" si="60"/>
        <v>75353</v>
      </c>
      <c r="DC52" s="11">
        <f t="shared" si="61"/>
        <v>79794</v>
      </c>
      <c r="DD52" s="11">
        <f t="shared" si="62"/>
        <v>84235</v>
      </c>
      <c r="DE52" s="11">
        <f t="shared" si="63"/>
        <v>88676</v>
      </c>
      <c r="DF52" s="11">
        <f t="shared" si="64"/>
        <v>93117</v>
      </c>
      <c r="DG52" s="11">
        <f t="shared" si="65"/>
        <v>97558</v>
      </c>
      <c r="DH52" s="11">
        <f t="shared" si="66"/>
        <v>1996</v>
      </c>
      <c r="DI52" s="11">
        <f t="shared" si="67"/>
        <v>6437</v>
      </c>
      <c r="DJ52" s="11">
        <f t="shared" si="68"/>
        <v>10878</v>
      </c>
      <c r="DK52" s="11">
        <f t="shared" si="69"/>
        <v>32400</v>
      </c>
      <c r="DL52" s="11">
        <f t="shared" si="70"/>
        <v>34489</v>
      </c>
      <c r="DM52" s="11">
        <f t="shared" si="71"/>
        <v>36578</v>
      </c>
      <c r="DN52" s="11" t="str">
        <f t="shared" si="72"/>
        <v>Вычислительные компоненты</v>
      </c>
      <c r="DO52" s="11" t="str">
        <f t="shared" si="73"/>
        <v>ЦОД и вычислительная инфраструктура</v>
      </c>
      <c r="DP52" s="11" t="str">
        <f t="shared" si="74"/>
        <v>Сетевые ресурсы</v>
      </c>
      <c r="DQ52" s="11" t="str">
        <f t="shared" si="75"/>
        <v>Производство</v>
      </c>
      <c r="DR52" s="11" t="str">
        <f t="shared" si="76"/>
        <v>Управление</v>
      </c>
      <c r="DS52" s="11" t="str">
        <f t="shared" si="77"/>
        <v>Познание</v>
      </c>
      <c r="DT52" s="11" t="str">
        <f t="shared" si="78"/>
        <v>Россия</v>
      </c>
      <c r="DU52" s="11" t="str">
        <f t="shared" si="79"/>
        <v>США</v>
      </c>
      <c r="DV52" s="11" t="str">
        <f t="shared" si="80"/>
        <v>Китай</v>
      </c>
      <c r="DW52" s="11" t="str">
        <f t="shared" si="81"/>
        <v>Ресурсный</v>
      </c>
      <c r="DX52" s="11" t="str">
        <f t="shared" si="82"/>
        <v>Общественный</v>
      </c>
      <c r="DY52" s="11" t="str">
        <f t="shared" si="83"/>
        <v>Дипломатический</v>
      </c>
      <c r="DZ52" s="11" t="str">
        <f t="shared" si="84"/>
        <v>Конечные устройства</v>
      </c>
      <c r="EA52" s="11" t="str">
        <f t="shared" si="85"/>
        <v>Принятие ИИ</v>
      </c>
      <c r="EB52" s="11" t="str">
        <f t="shared" si="86"/>
        <v>Бразилия</v>
      </c>
      <c r="EC52" s="11">
        <f t="shared" ref="EC52:EE52" si="147">IF(OR($B52="",$C52=""),0,IF(AND(EG52&gt;=5,EG52&gt;=5*EJ52),3,IF(AND(EJ52&gt;=5,EJ52&gt;=5*EG52),3,IF(AND(EG52&gt;=5,EG52&gt;=3*EJ52),2,IF(AND(EJ52&gt;=5,EJ52&gt;=3*EG52),2,IF(AND(EG52&gt;=5,EG52&gt;=2*EJ52),1,IF(AND(EJ52&gt;=5,EJ52&gt;=2*EG52),1,0)))))))</f>
        <v>0</v>
      </c>
      <c r="ED52" s="11">
        <f t="shared" si="147"/>
        <v>0</v>
      </c>
      <c r="EE52" s="11">
        <f t="shared" si="147"/>
        <v>0</v>
      </c>
      <c r="EF52" s="11">
        <f t="shared" si="88"/>
        <v>0</v>
      </c>
      <c r="EG52" s="11" t="str">
        <f t="shared" si="89"/>
        <v/>
      </c>
      <c r="EH52" s="11" t="str">
        <f t="shared" si="90"/>
        <v/>
      </c>
      <c r="EI52" s="11" t="str">
        <f t="shared" si="91"/>
        <v/>
      </c>
      <c r="EJ52" s="11" t="str">
        <f t="shared" si="92"/>
        <v/>
      </c>
      <c r="EK52" s="11" t="str">
        <f t="shared" si="93"/>
        <v/>
      </c>
      <c r="EL52" s="11" t="str">
        <f t="shared" si="94"/>
        <v/>
      </c>
      <c r="EM52" s="11" t="str">
        <f t="shared" si="95"/>
        <v/>
      </c>
      <c r="EN52" s="11" t="str">
        <f t="shared" si="96"/>
        <v/>
      </c>
      <c r="EO52" s="11" t="str">
        <f t="shared" si="97"/>
        <v/>
      </c>
      <c r="EP52" s="11" t="str">
        <f t="shared" si="98"/>
        <v/>
      </c>
      <c r="EQ52" s="11" t="str">
        <f t="shared" si="99"/>
        <v/>
      </c>
      <c r="ER52" s="11" t="str">
        <f t="shared" si="100"/>
        <v/>
      </c>
      <c r="ES52" s="11" t="str">
        <f t="shared" si="101"/>
        <v/>
      </c>
    </row>
    <row r="53" ht="52.5" customHeight="1">
      <c r="A53" s="55"/>
      <c r="B53" s="42"/>
      <c r="C53" s="42"/>
      <c r="D53" s="42"/>
      <c r="E53" s="42"/>
      <c r="F53" s="42"/>
      <c r="G53" s="56"/>
      <c r="H53" s="56"/>
      <c r="I53" s="56"/>
      <c r="J53" s="42"/>
      <c r="K53" s="42"/>
      <c r="L53" s="42"/>
      <c r="M53" s="56"/>
      <c r="N53" s="56"/>
      <c r="O53" s="56"/>
      <c r="P53" s="57" t="str">
        <f t="shared" si="2"/>
        <v/>
      </c>
      <c r="Q53" s="57" t="str">
        <f t="shared" si="3"/>
        <v/>
      </c>
      <c r="R53" s="58" t="str">
        <f t="shared" si="4"/>
        <v/>
      </c>
      <c r="S53" s="58" t="str">
        <f t="shared" si="5"/>
        <v/>
      </c>
      <c r="T53" s="58" t="str">
        <f t="shared" si="6"/>
        <v/>
      </c>
      <c r="U53" s="59" t="str">
        <f t="shared" si="7"/>
        <v/>
      </c>
      <c r="V53" s="59" t="str">
        <f t="shared" si="8"/>
        <v/>
      </c>
      <c r="W53" s="59" t="str">
        <f t="shared" si="9"/>
        <v/>
      </c>
      <c r="X53" s="60"/>
      <c r="Y53" s="61" t="str">
        <f t="shared" si="10"/>
        <v/>
      </c>
      <c r="Z53" s="61" t="str">
        <f t="shared" si="11"/>
        <v/>
      </c>
      <c r="AA53" s="61" t="str">
        <f t="shared" si="12"/>
        <v/>
      </c>
      <c r="AB53" s="61" t="str">
        <f t="shared" si="13"/>
        <v>Нет локального эффекта</v>
      </c>
      <c r="AC53" s="61" t="str">
        <f t="shared" si="14"/>
        <v/>
      </c>
      <c r="AD53" s="61" t="str">
        <f t="shared" si="15"/>
        <v>Нет локального эффекта</v>
      </c>
      <c r="AE53" s="61" t="str">
        <f t="shared" si="16"/>
        <v/>
      </c>
      <c r="AF53" s="61" t="str">
        <f t="shared" si="17"/>
        <v>Нет локального эффекта</v>
      </c>
      <c r="AG53" s="61" t="str">
        <f t="shared" si="18"/>
        <v/>
      </c>
      <c r="AH53" s="62" t="str">
        <f>IF($B53="","","Общий итог: "&amp;IF($Y53="","ожидает D108",$Y53&amp;IF($Z53="—",""," — "&amp;$Z53))&amp;". Арес: "&amp;$AA53&amp;". "&amp;$AB53&amp;" Афина: "&amp;$AC53&amp;". "&amp;$AD53&amp;" Аполлон: "&amp;$AE53&amp;". "&amp;$AF53&amp;IF($AG53="",""," Общий эффект: "&amp;$AG53))</f>
        <v/>
      </c>
      <c r="BF53" s="11">
        <v>2.95442662E8</v>
      </c>
      <c r="BG53" s="11">
        <v>6.635156E8</v>
      </c>
      <c r="BH53" s="11">
        <v>6.2052506E7</v>
      </c>
      <c r="BI53" s="11">
        <v>8.74818932E8</v>
      </c>
      <c r="BJ53" s="11">
        <v>1.60875861E8</v>
      </c>
      <c r="BK53" s="11">
        <v>7.92404365E8</v>
      </c>
      <c r="BL53" s="11">
        <v>4.03140183E8</v>
      </c>
      <c r="BM53" s="11">
        <f t="shared" si="19"/>
        <v>41719</v>
      </c>
      <c r="BN53" s="11">
        <f t="shared" si="20"/>
        <v>49638</v>
      </c>
      <c r="BO53" s="11">
        <f t="shared" si="21"/>
        <v>57557</v>
      </c>
      <c r="BP53" s="11">
        <f t="shared" si="22"/>
        <v>65476</v>
      </c>
      <c r="BQ53" s="11">
        <f t="shared" si="23"/>
        <v>73395</v>
      </c>
      <c r="BR53" s="11">
        <f t="shared" si="24"/>
        <v>81314</v>
      </c>
      <c r="BS53" s="11">
        <f t="shared" si="25"/>
        <v>89233</v>
      </c>
      <c r="BT53" s="11">
        <f t="shared" si="26"/>
        <v>97152</v>
      </c>
      <c r="BU53" s="11">
        <f t="shared" si="27"/>
        <v>5068</v>
      </c>
      <c r="BV53" s="11">
        <f t="shared" si="28"/>
        <v>12987</v>
      </c>
      <c r="BW53" s="11">
        <f t="shared" si="29"/>
        <v>1846</v>
      </c>
      <c r="BX53" s="11">
        <f t="shared" si="30"/>
        <v>7997</v>
      </c>
      <c r="BY53" s="11">
        <f t="shared" si="31"/>
        <v>14148</v>
      </c>
      <c r="BZ53" s="11">
        <f t="shared" si="32"/>
        <v>20299</v>
      </c>
      <c r="CA53" s="11">
        <f t="shared" si="33"/>
        <v>26450</v>
      </c>
      <c r="CB53" s="11">
        <f t="shared" si="34"/>
        <v>32601</v>
      </c>
      <c r="CC53" s="11">
        <f t="shared" si="35"/>
        <v>38752</v>
      </c>
      <c r="CD53" s="11">
        <f t="shared" si="36"/>
        <v>44903</v>
      </c>
      <c r="CE53" s="11">
        <f t="shared" si="37"/>
        <v>54217</v>
      </c>
      <c r="CF53" s="11">
        <f t="shared" si="38"/>
        <v>57788</v>
      </c>
      <c r="CG53" s="11">
        <f t="shared" si="39"/>
        <v>61359</v>
      </c>
      <c r="CH53" s="11">
        <f t="shared" si="40"/>
        <v>64930</v>
      </c>
      <c r="CI53" s="11">
        <f t="shared" si="41"/>
        <v>68501</v>
      </c>
      <c r="CJ53" s="11">
        <f t="shared" si="42"/>
        <v>72072</v>
      </c>
      <c r="CK53" s="11">
        <f t="shared" si="43"/>
        <v>75643</v>
      </c>
      <c r="CL53" s="11">
        <f t="shared" si="44"/>
        <v>79214</v>
      </c>
      <c r="CM53" s="11">
        <f t="shared" si="45"/>
        <v>82785</v>
      </c>
      <c r="CN53" s="11">
        <f t="shared" si="46"/>
        <v>86356</v>
      </c>
      <c r="CO53" s="11">
        <f t="shared" si="47"/>
        <v>89927</v>
      </c>
      <c r="CP53" s="11">
        <f t="shared" si="48"/>
        <v>93498</v>
      </c>
      <c r="CQ53" s="11">
        <f t="shared" si="49"/>
        <v>97069</v>
      </c>
      <c r="CR53" s="11">
        <f t="shared" si="50"/>
        <v>637</v>
      </c>
      <c r="CS53" s="11">
        <f t="shared" si="51"/>
        <v>4208</v>
      </c>
      <c r="CT53" s="11">
        <f t="shared" si="52"/>
        <v>7779</v>
      </c>
      <c r="CU53" s="11">
        <f t="shared" si="53"/>
        <v>85037</v>
      </c>
      <c r="CV53" s="11">
        <f t="shared" si="54"/>
        <v>89478</v>
      </c>
      <c r="CW53" s="11">
        <f t="shared" si="55"/>
        <v>93919</v>
      </c>
      <c r="CX53" s="11">
        <f t="shared" si="56"/>
        <v>98360</v>
      </c>
      <c r="CY53" s="11">
        <f t="shared" si="57"/>
        <v>2798</v>
      </c>
      <c r="CZ53" s="11">
        <f t="shared" si="58"/>
        <v>7239</v>
      </c>
      <c r="DA53" s="11">
        <f t="shared" si="59"/>
        <v>11680</v>
      </c>
      <c r="DB53" s="11">
        <f t="shared" si="60"/>
        <v>16121</v>
      </c>
      <c r="DC53" s="11">
        <f t="shared" si="61"/>
        <v>20562</v>
      </c>
      <c r="DD53" s="11">
        <f t="shared" si="62"/>
        <v>25003</v>
      </c>
      <c r="DE53" s="11">
        <f t="shared" si="63"/>
        <v>29444</v>
      </c>
      <c r="DF53" s="11">
        <f t="shared" si="64"/>
        <v>33885</v>
      </c>
      <c r="DG53" s="11">
        <f t="shared" si="65"/>
        <v>38326</v>
      </c>
      <c r="DH53" s="11">
        <f t="shared" si="66"/>
        <v>42767</v>
      </c>
      <c r="DI53" s="11">
        <f t="shared" si="67"/>
        <v>47208</v>
      </c>
      <c r="DJ53" s="11">
        <f t="shared" si="68"/>
        <v>51649</v>
      </c>
      <c r="DK53" s="11">
        <f t="shared" si="69"/>
        <v>30179</v>
      </c>
      <c r="DL53" s="11">
        <f t="shared" si="70"/>
        <v>32268</v>
      </c>
      <c r="DM53" s="11">
        <f t="shared" si="71"/>
        <v>34357</v>
      </c>
      <c r="DN53" s="11" t="str">
        <f t="shared" si="72"/>
        <v>Сетевые ресурсы</v>
      </c>
      <c r="DO53" s="11" t="str">
        <f t="shared" si="73"/>
        <v>Конечные устройства</v>
      </c>
      <c r="DP53" s="11" t="str">
        <f t="shared" si="74"/>
        <v>Минерально-сырьевые ресурсы</v>
      </c>
      <c r="DQ53" s="11" t="str">
        <f t="shared" si="75"/>
        <v>Производство</v>
      </c>
      <c r="DR53" s="11" t="str">
        <f t="shared" si="76"/>
        <v>Управление</v>
      </c>
      <c r="DS53" s="11" t="str">
        <f t="shared" si="77"/>
        <v>Познание</v>
      </c>
      <c r="DT53" s="11" t="str">
        <f t="shared" si="78"/>
        <v>Бразилия</v>
      </c>
      <c r="DU53" s="11" t="str">
        <f t="shared" si="79"/>
        <v>ОАЭ</v>
      </c>
      <c r="DV53" s="11" t="str">
        <f t="shared" si="80"/>
        <v>Индонезия</v>
      </c>
      <c r="DW53" s="11" t="str">
        <f t="shared" si="81"/>
        <v>Ресурсный</v>
      </c>
      <c r="DX53" s="11" t="str">
        <f t="shared" si="82"/>
        <v>Общественный</v>
      </c>
      <c r="DY53" s="11" t="str">
        <f t="shared" si="83"/>
        <v>Дипломатический</v>
      </c>
      <c r="DZ53" s="11" t="str">
        <f t="shared" si="84"/>
        <v>Методы построения и совершенствования моделей</v>
      </c>
      <c r="EA53" s="11" t="str">
        <f t="shared" si="85"/>
        <v>Экономика</v>
      </c>
      <c r="EB53" s="11" t="str">
        <f t="shared" si="86"/>
        <v>Великобритания</v>
      </c>
      <c r="EC53" s="11">
        <f t="shared" ref="EC53:EE53" si="148">IF(OR($B53="",$C53=""),0,IF(AND(EG53&gt;=5,EG53&gt;=5*EJ53),3,IF(AND(EJ53&gt;=5,EJ53&gt;=5*EG53),3,IF(AND(EG53&gt;=5,EG53&gt;=3*EJ53),2,IF(AND(EJ53&gt;=5,EJ53&gt;=3*EG53),2,IF(AND(EG53&gt;=5,EG53&gt;=2*EJ53),1,IF(AND(EJ53&gt;=5,EJ53&gt;=2*EG53),1,0)))))))</f>
        <v>0</v>
      </c>
      <c r="ED53" s="11">
        <f t="shared" si="148"/>
        <v>0</v>
      </c>
      <c r="EE53" s="11">
        <f t="shared" si="148"/>
        <v>0</v>
      </c>
      <c r="EF53" s="11">
        <f t="shared" si="88"/>
        <v>0</v>
      </c>
      <c r="EG53" s="11" t="str">
        <f t="shared" si="89"/>
        <v/>
      </c>
      <c r="EH53" s="11" t="str">
        <f t="shared" si="90"/>
        <v/>
      </c>
      <c r="EI53" s="11" t="str">
        <f t="shared" si="91"/>
        <v/>
      </c>
      <c r="EJ53" s="11" t="str">
        <f t="shared" si="92"/>
        <v/>
      </c>
      <c r="EK53" s="11" t="str">
        <f t="shared" si="93"/>
        <v/>
      </c>
      <c r="EL53" s="11" t="str">
        <f t="shared" si="94"/>
        <v/>
      </c>
      <c r="EM53" s="11" t="str">
        <f t="shared" si="95"/>
        <v/>
      </c>
      <c r="EN53" s="11" t="str">
        <f t="shared" si="96"/>
        <v/>
      </c>
      <c r="EO53" s="11" t="str">
        <f t="shared" si="97"/>
        <v/>
      </c>
      <c r="EP53" s="11" t="str">
        <f t="shared" si="98"/>
        <v/>
      </c>
      <c r="EQ53" s="11" t="str">
        <f t="shared" si="99"/>
        <v/>
      </c>
      <c r="ER53" s="11" t="str">
        <f t="shared" si="100"/>
        <v/>
      </c>
      <c r="ES53" s="11" t="str">
        <f t="shared" si="101"/>
        <v/>
      </c>
    </row>
    <row r="54" ht="52.5" customHeight="1">
      <c r="A54" s="68"/>
      <c r="B54" s="69"/>
      <c r="C54" s="69"/>
      <c r="D54" s="69"/>
      <c r="E54" s="69"/>
      <c r="F54" s="69"/>
      <c r="G54" s="70"/>
      <c r="H54" s="70"/>
      <c r="I54" s="70"/>
      <c r="J54" s="69"/>
      <c r="K54" s="69"/>
      <c r="L54" s="69"/>
      <c r="M54" s="70"/>
      <c r="N54" s="70"/>
      <c r="O54" s="70"/>
      <c r="P54" s="71" t="str">
        <f t="shared" si="2"/>
        <v/>
      </c>
      <c r="Q54" s="71" t="str">
        <f t="shared" si="3"/>
        <v/>
      </c>
      <c r="R54" s="72" t="str">
        <f t="shared" si="4"/>
        <v/>
      </c>
      <c r="S54" s="72" t="str">
        <f t="shared" si="5"/>
        <v/>
      </c>
      <c r="T54" s="72" t="str">
        <f t="shared" si="6"/>
        <v/>
      </c>
      <c r="U54" s="73" t="str">
        <f t="shared" si="7"/>
        <v/>
      </c>
      <c r="V54" s="73" t="str">
        <f t="shared" si="8"/>
        <v/>
      </c>
      <c r="W54" s="73" t="str">
        <f t="shared" si="9"/>
        <v/>
      </c>
      <c r="X54" s="74"/>
      <c r="Y54" s="75" t="str">
        <f t="shared" si="10"/>
        <v/>
      </c>
      <c r="Z54" s="75" t="str">
        <f t="shared" si="11"/>
        <v/>
      </c>
      <c r="AA54" s="75" t="str">
        <f t="shared" si="12"/>
        <v/>
      </c>
      <c r="AB54" s="75" t="str">
        <f t="shared" si="13"/>
        <v>Нет локального эффекта</v>
      </c>
      <c r="AC54" s="75" t="str">
        <f t="shared" si="14"/>
        <v/>
      </c>
      <c r="AD54" s="75" t="str">
        <f t="shared" si="15"/>
        <v>Нет локального эффекта</v>
      </c>
      <c r="AE54" s="75" t="str">
        <f t="shared" si="16"/>
        <v/>
      </c>
      <c r="AF54" s="75" t="str">
        <f t="shared" si="17"/>
        <v>Нет локального эффекта</v>
      </c>
      <c r="AG54" s="75" t="str">
        <f t="shared" si="18"/>
        <v/>
      </c>
      <c r="AH54" s="76" t="str">
        <f>IF($B54="","","Общий итог: "&amp;IF($Y54="","ожидает D109",$Y54&amp;IF($Z54="—",""," — "&amp;$Z54))&amp;". Арес: "&amp;$AA54&amp;". "&amp;$AB54&amp;" Афина: "&amp;$AC54&amp;". "&amp;$AD54&amp;" Аполлон: "&amp;$AE54&amp;". "&amp;$AF54&amp;IF($AG54="",""," Общий эффект: "&amp;$AG54))</f>
        <v/>
      </c>
      <c r="BF54" s="11">
        <v>6.06487277E8</v>
      </c>
      <c r="BG54" s="11">
        <v>8.2057453E7</v>
      </c>
      <c r="BH54" s="11">
        <v>3.37625889E8</v>
      </c>
      <c r="BI54" s="11">
        <v>3.49284439E8</v>
      </c>
      <c r="BJ54" s="11">
        <v>4.35638657E8</v>
      </c>
      <c r="BK54" s="11">
        <v>8.72803144E8</v>
      </c>
      <c r="BL54" s="11">
        <v>3.14662652E8</v>
      </c>
      <c r="BM54" s="11">
        <f t="shared" si="19"/>
        <v>77004</v>
      </c>
      <c r="BN54" s="11">
        <f t="shared" si="20"/>
        <v>84923</v>
      </c>
      <c r="BO54" s="11">
        <f t="shared" si="21"/>
        <v>92842</v>
      </c>
      <c r="BP54" s="11">
        <f t="shared" si="22"/>
        <v>758</v>
      </c>
      <c r="BQ54" s="11">
        <f t="shared" si="23"/>
        <v>8677</v>
      </c>
      <c r="BR54" s="11">
        <f t="shared" si="24"/>
        <v>16596</v>
      </c>
      <c r="BS54" s="11">
        <f t="shared" si="25"/>
        <v>24515</v>
      </c>
      <c r="BT54" s="11">
        <f t="shared" si="26"/>
        <v>32434</v>
      </c>
      <c r="BU54" s="11">
        <f t="shared" si="27"/>
        <v>40353</v>
      </c>
      <c r="BV54" s="11">
        <f t="shared" si="28"/>
        <v>48272</v>
      </c>
      <c r="BW54" s="11">
        <f t="shared" si="29"/>
        <v>61144</v>
      </c>
      <c r="BX54" s="11">
        <f t="shared" si="30"/>
        <v>67295</v>
      </c>
      <c r="BY54" s="11">
        <f t="shared" si="31"/>
        <v>73446</v>
      </c>
      <c r="BZ54" s="11">
        <f t="shared" si="32"/>
        <v>79597</v>
      </c>
      <c r="CA54" s="11">
        <f t="shared" si="33"/>
        <v>85748</v>
      </c>
      <c r="CB54" s="11">
        <f t="shared" si="34"/>
        <v>91899</v>
      </c>
      <c r="CC54" s="11">
        <f t="shared" si="35"/>
        <v>98050</v>
      </c>
      <c r="CD54" s="11">
        <f t="shared" si="36"/>
        <v>4198</v>
      </c>
      <c r="CE54" s="11">
        <f t="shared" si="37"/>
        <v>19332</v>
      </c>
      <c r="CF54" s="11">
        <f t="shared" si="38"/>
        <v>22903</v>
      </c>
      <c r="CG54" s="11">
        <f t="shared" si="39"/>
        <v>26474</v>
      </c>
      <c r="CH54" s="11">
        <f t="shared" si="40"/>
        <v>30045</v>
      </c>
      <c r="CI54" s="11">
        <f t="shared" si="41"/>
        <v>33616</v>
      </c>
      <c r="CJ54" s="11">
        <f t="shared" si="42"/>
        <v>37187</v>
      </c>
      <c r="CK54" s="11">
        <f t="shared" si="43"/>
        <v>40758</v>
      </c>
      <c r="CL54" s="11">
        <f t="shared" si="44"/>
        <v>44329</v>
      </c>
      <c r="CM54" s="11">
        <f t="shared" si="45"/>
        <v>47900</v>
      </c>
      <c r="CN54" s="11">
        <f t="shared" si="46"/>
        <v>51471</v>
      </c>
      <c r="CO54" s="11">
        <f t="shared" si="47"/>
        <v>55042</v>
      </c>
      <c r="CP54" s="11">
        <f t="shared" si="48"/>
        <v>58613</v>
      </c>
      <c r="CQ54" s="11">
        <f t="shared" si="49"/>
        <v>62184</v>
      </c>
      <c r="CR54" s="11">
        <f t="shared" si="50"/>
        <v>65755</v>
      </c>
      <c r="CS54" s="11">
        <f t="shared" si="51"/>
        <v>69326</v>
      </c>
      <c r="CT54" s="11">
        <f t="shared" si="52"/>
        <v>72897</v>
      </c>
      <c r="CU54" s="11">
        <f t="shared" si="53"/>
        <v>81404</v>
      </c>
      <c r="CV54" s="11">
        <f t="shared" si="54"/>
        <v>85845</v>
      </c>
      <c r="CW54" s="11">
        <f t="shared" si="55"/>
        <v>90286</v>
      </c>
      <c r="CX54" s="11">
        <f t="shared" si="56"/>
        <v>94727</v>
      </c>
      <c r="CY54" s="11">
        <f t="shared" si="57"/>
        <v>99168</v>
      </c>
      <c r="CZ54" s="11">
        <f t="shared" si="58"/>
        <v>3606</v>
      </c>
      <c r="DA54" s="11">
        <f t="shared" si="59"/>
        <v>8047</v>
      </c>
      <c r="DB54" s="11">
        <f t="shared" si="60"/>
        <v>12488</v>
      </c>
      <c r="DC54" s="11">
        <f t="shared" si="61"/>
        <v>16929</v>
      </c>
      <c r="DD54" s="11">
        <f t="shared" si="62"/>
        <v>21370</v>
      </c>
      <c r="DE54" s="11">
        <f t="shared" si="63"/>
        <v>25811</v>
      </c>
      <c r="DF54" s="11">
        <f t="shared" si="64"/>
        <v>30252</v>
      </c>
      <c r="DG54" s="11">
        <f t="shared" si="65"/>
        <v>34693</v>
      </c>
      <c r="DH54" s="11">
        <f t="shared" si="66"/>
        <v>39134</v>
      </c>
      <c r="DI54" s="11">
        <f t="shared" si="67"/>
        <v>43575</v>
      </c>
      <c r="DJ54" s="11">
        <f t="shared" si="68"/>
        <v>48016</v>
      </c>
      <c r="DK54" s="11">
        <f t="shared" si="69"/>
        <v>55303</v>
      </c>
      <c r="DL54" s="11">
        <f t="shared" si="70"/>
        <v>57392</v>
      </c>
      <c r="DM54" s="11">
        <f t="shared" si="71"/>
        <v>59481</v>
      </c>
      <c r="DN54" s="11" t="str">
        <f t="shared" si="72"/>
        <v>Вода и ресурс отвода тепла</v>
      </c>
      <c r="DO54" s="11" t="str">
        <f t="shared" si="73"/>
        <v>Пространственные и природно-географические ресурсы</v>
      </c>
      <c r="DP54" s="11" t="str">
        <f t="shared" si="74"/>
        <v>Мощности производства полупроводников</v>
      </c>
      <c r="DQ54" s="11" t="str">
        <f t="shared" si="75"/>
        <v>Принятие ИИ</v>
      </c>
      <c r="DR54" s="11" t="str">
        <f t="shared" si="76"/>
        <v>Производство</v>
      </c>
      <c r="DS54" s="11" t="str">
        <f t="shared" si="77"/>
        <v>Управление</v>
      </c>
      <c r="DT54" s="11" t="str">
        <f t="shared" si="78"/>
        <v>Россия</v>
      </c>
      <c r="DU54" s="11" t="str">
        <f t="shared" si="79"/>
        <v>США</v>
      </c>
      <c r="DV54" s="11" t="str">
        <f t="shared" si="80"/>
        <v>Китай</v>
      </c>
      <c r="DW54" s="11" t="str">
        <f t="shared" si="81"/>
        <v>Ресурсный</v>
      </c>
      <c r="DX54" s="11" t="str">
        <f t="shared" si="82"/>
        <v>Общественный</v>
      </c>
      <c r="DY54" s="11" t="str">
        <f t="shared" si="83"/>
        <v>Дипломатический</v>
      </c>
      <c r="DZ54" s="11" t="str">
        <f t="shared" si="84"/>
        <v>Поствнедренческий мониторинг</v>
      </c>
      <c r="EA54" s="11" t="str">
        <f t="shared" si="85"/>
        <v>Управление</v>
      </c>
      <c r="EB54" s="11" t="str">
        <f t="shared" si="86"/>
        <v>Франция</v>
      </c>
      <c r="EC54" s="11">
        <f t="shared" ref="EC54:EE54" si="149">IF(OR($B54="",$C54=""),0,IF(AND(EG54&gt;=5,EG54&gt;=5*EJ54),3,IF(AND(EJ54&gt;=5,EJ54&gt;=5*EG54),3,IF(AND(EG54&gt;=5,EG54&gt;=3*EJ54),2,IF(AND(EJ54&gt;=5,EJ54&gt;=3*EG54),2,IF(AND(EG54&gt;=5,EG54&gt;=2*EJ54),1,IF(AND(EJ54&gt;=5,EJ54&gt;=2*EG54),1,0)))))))</f>
        <v>0</v>
      </c>
      <c r="ED54" s="11">
        <f t="shared" si="149"/>
        <v>0</v>
      </c>
      <c r="EE54" s="11">
        <f t="shared" si="149"/>
        <v>0</v>
      </c>
      <c r="EF54" s="11">
        <f t="shared" si="88"/>
        <v>0</v>
      </c>
      <c r="EG54" s="11" t="str">
        <f t="shared" si="89"/>
        <v/>
      </c>
      <c r="EH54" s="11" t="str">
        <f t="shared" si="90"/>
        <v/>
      </c>
      <c r="EI54" s="11" t="str">
        <f t="shared" si="91"/>
        <v/>
      </c>
      <c r="EJ54" s="11" t="str">
        <f t="shared" si="92"/>
        <v/>
      </c>
      <c r="EK54" s="11" t="str">
        <f t="shared" si="93"/>
        <v/>
      </c>
      <c r="EL54" s="11" t="str">
        <f t="shared" si="94"/>
        <v/>
      </c>
      <c r="EM54" s="11" t="str">
        <f t="shared" si="95"/>
        <v/>
      </c>
      <c r="EN54" s="11" t="str">
        <f t="shared" si="96"/>
        <v/>
      </c>
      <c r="EO54" s="11" t="str">
        <f t="shared" si="97"/>
        <v/>
      </c>
      <c r="EP54" s="11" t="str">
        <f t="shared" si="98"/>
        <v/>
      </c>
      <c r="EQ54" s="11" t="str">
        <f t="shared" si="99"/>
        <v/>
      </c>
      <c r="ER54" s="11" t="str">
        <f t="shared" si="100"/>
        <v/>
      </c>
      <c r="ES54" s="11" t="str">
        <f t="shared" si="101"/>
        <v/>
      </c>
    </row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mergeCells count="5">
    <mergeCell ref="A1:AH1"/>
    <mergeCell ref="A2:AH2"/>
    <mergeCell ref="A3:O3"/>
    <mergeCell ref="P3:W3"/>
    <mergeCell ref="X3:AH3"/>
  </mergeCells>
  <conditionalFormatting sqref="Y5:Y54">
    <cfRule type="expression" dxfId="1" priority="1">
      <formula>LEFT(Y5,6)="Победа"</formula>
    </cfRule>
  </conditionalFormatting>
  <conditionalFormatting sqref="Y5:Y54">
    <cfRule type="expression" dxfId="3" priority="2">
      <formula>Y5="Ничья"</formula>
    </cfRule>
  </conditionalFormatting>
  <conditionalFormatting sqref="AA5:AA54">
    <cfRule type="expression" dxfId="4" priority="3">
      <formula>ISNUMBER(SEARCH("доминирование",AA5))</formula>
    </cfRule>
  </conditionalFormatting>
  <conditionalFormatting sqref="AC5:AC54">
    <cfRule type="expression" dxfId="4" priority="4">
      <formula>ISNUMBER(SEARCH("доминирование",AC5))</formula>
    </cfRule>
  </conditionalFormatting>
  <conditionalFormatting sqref="AE5:AE54">
    <cfRule type="expression" dxfId="4" priority="5">
      <formula>ISNUMBER(SEARCH("доминирование",AE5))</formula>
    </cfRule>
  </conditionalFormatting>
  <dataValidations>
    <dataValidation type="list" allowBlank="1" sqref="B5:C54">
      <formula1>'Распределение команд'!$C$5:$C$20</formula1>
    </dataValidation>
    <dataValidation type="decimal" allowBlank="1" sqref="G5:I54 M5:O54">
      <formula1>-1.0</formula1>
      <formula2>1.0</formula2>
    </dataValidation>
    <dataValidation type="decimal" operator="greaterThanOrEqual" allowBlank="1" sqref="D5:F54 J5:L54">
      <formula1>0.0</formula1>
    </dataValidation>
  </dataValidation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