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Работа\2026-2027\Прочее\The Game\"/>
    </mc:Choice>
  </mc:AlternateContent>
  <xr:revisionPtr revIDLastSave="0" documentId="13_ncr:1_{A13FB588-8588-4EEA-9EF8-D04C3B6842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Технологии" sheetId="1" r:id="rId1"/>
    <sheet name="США 2026" sheetId="2" r:id="rId2"/>
    <sheet name="Ход 2026" sheetId="3" r:id="rId3"/>
    <sheet name="США 2027" sheetId="4" r:id="rId4"/>
    <sheet name="Ход 2027" sheetId="5" r:id="rId5"/>
    <sheet name="США 2028" sheetId="6" r:id="rId6"/>
    <sheet name="Ход 2028" sheetId="7" r:id="rId7"/>
    <sheet name="США 2029" sheetId="8" r:id="rId8"/>
    <sheet name="Ход 2029" sheetId="9" r:id="rId9"/>
    <sheet name="США 2030" sheetId="10" r:id="rId10"/>
    <sheet name="Ход 2030" sheetId="11" r:id="rId11"/>
    <sheet name="США 2031" sheetId="12" r:id="rId12"/>
    <sheet name="Ход 2031" sheetId="13" r:id="rId13"/>
    <sheet name="США 2032" sheetId="14" r:id="rId14"/>
    <sheet name="Ход 2032" sheetId="15" r:id="rId15"/>
    <sheet name="США 2033" sheetId="16" r:id="rId16"/>
    <sheet name="Ход 2033" sheetId="17" r:id="rId17"/>
    <sheet name="США 2034" sheetId="18" r:id="rId18"/>
    <sheet name="Ход 2034" sheetId="19" r:id="rId19"/>
    <sheet name="США 2035" sheetId="20" r:id="rId20"/>
    <sheet name="Ход 2035" sheetId="21" r:id="rId21"/>
    <sheet name="США 2036" sheetId="22" r:id="rId22"/>
    <sheet name="Ход 2036" sheetId="23" r:id="rId23"/>
    <sheet name="США 2037" sheetId="24" r:id="rId24"/>
    <sheet name="Ход 2037" sheetId="25" r:id="rId25"/>
    <sheet name="США 2038" sheetId="26" r:id="rId26"/>
    <sheet name="Ход 2038" sheetId="27" r:id="rId27"/>
    <sheet name="США 2039" sheetId="28" r:id="rId28"/>
    <sheet name="Ход 2039" sheetId="29" r:id="rId29"/>
    <sheet name="США 2040" sheetId="30" r:id="rId30"/>
    <sheet name="Ход 2040" sheetId="31" r:id="rId31"/>
    <sheet name="США конец 2040" sheetId="32" r:id="rId32"/>
    <sheet name="Методика США 2026" sheetId="33" r:id="rId33"/>
  </sheets>
  <calcPr calcId="181029"/>
</workbook>
</file>

<file path=xl/calcChain.xml><?xml version="1.0" encoding="utf-8"?>
<calcChain xmlns="http://schemas.openxmlformats.org/spreadsheetml/2006/main">
  <c r="K38" i="31" l="1"/>
  <c r="H38" i="31"/>
  <c r="K37" i="31"/>
  <c r="H37" i="31"/>
  <c r="K36" i="31"/>
  <c r="H36" i="31"/>
  <c r="K35" i="31"/>
  <c r="H35" i="31"/>
  <c r="K34" i="31"/>
  <c r="H34" i="31"/>
  <c r="K33" i="31"/>
  <c r="H33" i="31"/>
  <c r="K32" i="31"/>
  <c r="H32" i="31"/>
  <c r="K31" i="31"/>
  <c r="H31" i="31"/>
  <c r="K30" i="31"/>
  <c r="H30" i="31"/>
  <c r="K29" i="31"/>
  <c r="H29" i="31"/>
  <c r="U28" i="31"/>
  <c r="U27" i="31"/>
  <c r="U26" i="31"/>
  <c r="U25" i="31"/>
  <c r="U24" i="31"/>
  <c r="J24" i="31"/>
  <c r="U23" i="31"/>
  <c r="U22" i="31"/>
  <c r="U21" i="31"/>
  <c r="U20" i="31"/>
  <c r="U19" i="31"/>
  <c r="U18" i="31"/>
  <c r="U17" i="31"/>
  <c r="U16" i="31"/>
  <c r="U15" i="31"/>
  <c r="U14" i="31"/>
  <c r="U13" i="31"/>
  <c r="N7" i="31"/>
  <c r="J7" i="31"/>
  <c r="F7" i="31"/>
  <c r="B7" i="31"/>
  <c r="K38" i="29"/>
  <c r="H38" i="29"/>
  <c r="K37" i="29"/>
  <c r="H37" i="29"/>
  <c r="K36" i="29"/>
  <c r="H36" i="29"/>
  <c r="K35" i="29"/>
  <c r="H35" i="29"/>
  <c r="K34" i="29"/>
  <c r="H34" i="29"/>
  <c r="K33" i="29"/>
  <c r="H33" i="29"/>
  <c r="K32" i="29"/>
  <c r="H32" i="29"/>
  <c r="K31" i="29"/>
  <c r="H31" i="29"/>
  <c r="K30" i="29"/>
  <c r="H30" i="29"/>
  <c r="K29" i="29"/>
  <c r="H29" i="29"/>
  <c r="U28" i="29"/>
  <c r="U27" i="29"/>
  <c r="U26" i="29"/>
  <c r="U25" i="29"/>
  <c r="U24" i="29"/>
  <c r="J24" i="29"/>
  <c r="U23" i="29"/>
  <c r="U22" i="29"/>
  <c r="U21" i="29"/>
  <c r="U20" i="29"/>
  <c r="U19" i="29"/>
  <c r="U18" i="29"/>
  <c r="U17" i="29"/>
  <c r="U16" i="29"/>
  <c r="U15" i="29"/>
  <c r="U14" i="29"/>
  <c r="U13" i="29"/>
  <c r="N7" i="29"/>
  <c r="J7" i="29"/>
  <c r="F7" i="29"/>
  <c r="B7" i="29"/>
  <c r="K38" i="27"/>
  <c r="H38" i="27"/>
  <c r="K37" i="27"/>
  <c r="H37" i="27"/>
  <c r="K36" i="27"/>
  <c r="H36" i="27"/>
  <c r="K35" i="27"/>
  <c r="H35" i="27"/>
  <c r="K34" i="27"/>
  <c r="H34" i="27"/>
  <c r="K33" i="27"/>
  <c r="H33" i="27"/>
  <c r="K32" i="27"/>
  <c r="H32" i="27"/>
  <c r="K31" i="27"/>
  <c r="H31" i="27"/>
  <c r="K30" i="27"/>
  <c r="H30" i="27"/>
  <c r="K29" i="27"/>
  <c r="H29" i="27"/>
  <c r="U28" i="27"/>
  <c r="U27" i="27"/>
  <c r="U26" i="27"/>
  <c r="U25" i="27"/>
  <c r="U24" i="27"/>
  <c r="J24" i="27"/>
  <c r="U23" i="27"/>
  <c r="U22" i="27"/>
  <c r="U21" i="27"/>
  <c r="U20" i="27"/>
  <c r="U19" i="27"/>
  <c r="U18" i="27"/>
  <c r="U17" i="27"/>
  <c r="U16" i="27"/>
  <c r="U15" i="27"/>
  <c r="U14" i="27"/>
  <c r="U13" i="27"/>
  <c r="N7" i="27"/>
  <c r="J7" i="27"/>
  <c r="F7" i="27"/>
  <c r="B7" i="27"/>
  <c r="K38" i="25"/>
  <c r="H38" i="25"/>
  <c r="K37" i="25"/>
  <c r="H37" i="25"/>
  <c r="K36" i="25"/>
  <c r="H36" i="25"/>
  <c r="K35" i="25"/>
  <c r="H35" i="25"/>
  <c r="K34" i="25"/>
  <c r="H34" i="25"/>
  <c r="K33" i="25"/>
  <c r="H33" i="25"/>
  <c r="K32" i="25"/>
  <c r="H32" i="25"/>
  <c r="K31" i="25"/>
  <c r="H31" i="25"/>
  <c r="K30" i="25"/>
  <c r="H30" i="25"/>
  <c r="K29" i="25"/>
  <c r="H29" i="25"/>
  <c r="U28" i="25"/>
  <c r="U27" i="25"/>
  <c r="U26" i="25"/>
  <c r="U25" i="25"/>
  <c r="U24" i="25"/>
  <c r="J24" i="25"/>
  <c r="U23" i="25"/>
  <c r="U22" i="25"/>
  <c r="U21" i="25"/>
  <c r="U20" i="25"/>
  <c r="U19" i="25"/>
  <c r="U18" i="25"/>
  <c r="U17" i="25"/>
  <c r="U16" i="25"/>
  <c r="U15" i="25"/>
  <c r="U14" i="25"/>
  <c r="U13" i="25"/>
  <c r="N7" i="25"/>
  <c r="J7" i="25"/>
  <c r="F7" i="25"/>
  <c r="B7" i="25"/>
  <c r="K38" i="23"/>
  <c r="H38" i="23"/>
  <c r="K37" i="23"/>
  <c r="H37" i="23"/>
  <c r="K36" i="23"/>
  <c r="H36" i="23"/>
  <c r="K35" i="23"/>
  <c r="H35" i="23"/>
  <c r="K34" i="23"/>
  <c r="H34" i="23"/>
  <c r="K33" i="23"/>
  <c r="H33" i="23"/>
  <c r="K32" i="23"/>
  <c r="H32" i="23"/>
  <c r="K31" i="23"/>
  <c r="H31" i="23"/>
  <c r="K30" i="23"/>
  <c r="H30" i="23"/>
  <c r="K29" i="23"/>
  <c r="H29" i="23"/>
  <c r="U28" i="23"/>
  <c r="U27" i="23"/>
  <c r="U26" i="23"/>
  <c r="U25" i="23"/>
  <c r="U24" i="23"/>
  <c r="J24" i="23"/>
  <c r="U23" i="23"/>
  <c r="U22" i="23"/>
  <c r="U21" i="23"/>
  <c r="U20" i="23"/>
  <c r="U19" i="23"/>
  <c r="U18" i="23"/>
  <c r="U17" i="23"/>
  <c r="U16" i="23"/>
  <c r="U15" i="23"/>
  <c r="U14" i="23"/>
  <c r="U13" i="23"/>
  <c r="N7" i="23"/>
  <c r="J7" i="23"/>
  <c r="F7" i="23"/>
  <c r="B7" i="23"/>
  <c r="K38" i="21"/>
  <c r="H38" i="21"/>
  <c r="K37" i="21"/>
  <c r="H37" i="21"/>
  <c r="K36" i="21"/>
  <c r="H36" i="21"/>
  <c r="K35" i="21"/>
  <c r="H35" i="21"/>
  <c r="K34" i="21"/>
  <c r="H34" i="21"/>
  <c r="K33" i="21"/>
  <c r="H33" i="21"/>
  <c r="K32" i="21"/>
  <c r="H32" i="21"/>
  <c r="K31" i="21"/>
  <c r="H31" i="21"/>
  <c r="K30" i="21"/>
  <c r="H30" i="21"/>
  <c r="K29" i="21"/>
  <c r="H29" i="21"/>
  <c r="U28" i="21"/>
  <c r="U27" i="21"/>
  <c r="U26" i="21"/>
  <c r="U25" i="21"/>
  <c r="U24" i="21"/>
  <c r="J24" i="21"/>
  <c r="U23" i="21"/>
  <c r="U22" i="21"/>
  <c r="U21" i="21"/>
  <c r="U20" i="21"/>
  <c r="U19" i="21"/>
  <c r="U18" i="21"/>
  <c r="U17" i="21"/>
  <c r="U16" i="21"/>
  <c r="U15" i="21"/>
  <c r="U14" i="21"/>
  <c r="U13" i="21"/>
  <c r="N7" i="21"/>
  <c r="J7" i="21"/>
  <c r="F7" i="21"/>
  <c r="B7" i="21"/>
  <c r="K38" i="19"/>
  <c r="H38" i="19"/>
  <c r="K37" i="19"/>
  <c r="H37" i="19"/>
  <c r="K36" i="19"/>
  <c r="H36" i="19"/>
  <c r="K35" i="19"/>
  <c r="H35" i="19"/>
  <c r="K34" i="19"/>
  <c r="H34" i="19"/>
  <c r="K33" i="19"/>
  <c r="H33" i="19"/>
  <c r="K32" i="19"/>
  <c r="H32" i="19"/>
  <c r="K31" i="19"/>
  <c r="H31" i="19"/>
  <c r="K30" i="19"/>
  <c r="H30" i="19"/>
  <c r="K29" i="19"/>
  <c r="H29" i="19"/>
  <c r="U28" i="19"/>
  <c r="U27" i="19"/>
  <c r="U26" i="19"/>
  <c r="U25" i="19"/>
  <c r="U24" i="19"/>
  <c r="J24" i="19"/>
  <c r="U23" i="19"/>
  <c r="U22" i="19"/>
  <c r="U21" i="19"/>
  <c r="U20" i="19"/>
  <c r="U19" i="19"/>
  <c r="U18" i="19"/>
  <c r="U17" i="19"/>
  <c r="U16" i="19"/>
  <c r="U15" i="19"/>
  <c r="U14" i="19"/>
  <c r="U13" i="19"/>
  <c r="N7" i="19"/>
  <c r="J7" i="19"/>
  <c r="F7" i="19"/>
  <c r="B7" i="19"/>
  <c r="K38" i="17"/>
  <c r="H38" i="17"/>
  <c r="K37" i="17"/>
  <c r="H37" i="17"/>
  <c r="K36" i="17"/>
  <c r="H36" i="17"/>
  <c r="K35" i="17"/>
  <c r="H35" i="17"/>
  <c r="K34" i="17"/>
  <c r="H34" i="17"/>
  <c r="K33" i="17"/>
  <c r="H33" i="17"/>
  <c r="K32" i="17"/>
  <c r="H32" i="17"/>
  <c r="K31" i="17"/>
  <c r="H31" i="17"/>
  <c r="K30" i="17"/>
  <c r="H30" i="17"/>
  <c r="K29" i="17"/>
  <c r="H29" i="17"/>
  <c r="U28" i="17"/>
  <c r="U27" i="17"/>
  <c r="U26" i="17"/>
  <c r="U25" i="17"/>
  <c r="U24" i="17"/>
  <c r="J24" i="17"/>
  <c r="U23" i="17"/>
  <c r="U22" i="17"/>
  <c r="U21" i="17"/>
  <c r="U20" i="17"/>
  <c r="U19" i="17"/>
  <c r="U18" i="17"/>
  <c r="U17" i="17"/>
  <c r="U16" i="17"/>
  <c r="U15" i="17"/>
  <c r="U14" i="17"/>
  <c r="U13" i="17"/>
  <c r="N7" i="17"/>
  <c r="J7" i="17"/>
  <c r="F7" i="17"/>
  <c r="B7" i="17"/>
  <c r="K38" i="15"/>
  <c r="H38" i="15"/>
  <c r="K37" i="15"/>
  <c r="H37" i="15"/>
  <c r="K36" i="15"/>
  <c r="H36" i="15"/>
  <c r="K35" i="15"/>
  <c r="H35" i="15"/>
  <c r="K34" i="15"/>
  <c r="H34" i="15"/>
  <c r="K33" i="15"/>
  <c r="H33" i="15"/>
  <c r="K32" i="15"/>
  <c r="H32" i="15"/>
  <c r="K31" i="15"/>
  <c r="H31" i="15"/>
  <c r="K30" i="15"/>
  <c r="H30" i="15"/>
  <c r="K29" i="15"/>
  <c r="H29" i="15"/>
  <c r="U28" i="15"/>
  <c r="U27" i="15"/>
  <c r="U26" i="15"/>
  <c r="U25" i="15"/>
  <c r="U24" i="15"/>
  <c r="J24" i="15"/>
  <c r="U23" i="15"/>
  <c r="U22" i="15"/>
  <c r="U21" i="15"/>
  <c r="U20" i="15"/>
  <c r="U19" i="15"/>
  <c r="U18" i="15"/>
  <c r="U17" i="15"/>
  <c r="U16" i="15"/>
  <c r="U15" i="15"/>
  <c r="U14" i="15"/>
  <c r="U13" i="15"/>
  <c r="N7" i="15"/>
  <c r="J7" i="15"/>
  <c r="F7" i="15"/>
  <c r="B7" i="15"/>
  <c r="K38" i="13"/>
  <c r="H38" i="13"/>
  <c r="K37" i="13"/>
  <c r="H37" i="13"/>
  <c r="K36" i="13"/>
  <c r="H36" i="13"/>
  <c r="K35" i="13"/>
  <c r="H35" i="13"/>
  <c r="K34" i="13"/>
  <c r="H34" i="13"/>
  <c r="K33" i="13"/>
  <c r="H33" i="13"/>
  <c r="K32" i="13"/>
  <c r="H32" i="13"/>
  <c r="K31" i="13"/>
  <c r="H31" i="13"/>
  <c r="K30" i="13"/>
  <c r="H30" i="13"/>
  <c r="K29" i="13"/>
  <c r="H29" i="13"/>
  <c r="U28" i="13"/>
  <c r="U27" i="13"/>
  <c r="U26" i="13"/>
  <c r="U25" i="13"/>
  <c r="U24" i="13"/>
  <c r="J24" i="13"/>
  <c r="U23" i="13"/>
  <c r="U22" i="13"/>
  <c r="U21" i="13"/>
  <c r="U20" i="13"/>
  <c r="U19" i="13"/>
  <c r="U18" i="13"/>
  <c r="U17" i="13"/>
  <c r="U16" i="13"/>
  <c r="U15" i="13"/>
  <c r="U14" i="13"/>
  <c r="U13" i="13"/>
  <c r="N7" i="13"/>
  <c r="J7" i="13"/>
  <c r="F7" i="13"/>
  <c r="B7" i="13"/>
  <c r="K38" i="11"/>
  <c r="H38" i="11"/>
  <c r="K37" i="11"/>
  <c r="H37" i="11"/>
  <c r="K36" i="11"/>
  <c r="H36" i="11"/>
  <c r="K35" i="11"/>
  <c r="H35" i="11"/>
  <c r="K34" i="11"/>
  <c r="H34" i="11"/>
  <c r="K33" i="11"/>
  <c r="H33" i="11"/>
  <c r="K32" i="11"/>
  <c r="H32" i="11"/>
  <c r="K31" i="11"/>
  <c r="H31" i="11"/>
  <c r="K30" i="11"/>
  <c r="H30" i="11"/>
  <c r="K29" i="11"/>
  <c r="H29" i="11"/>
  <c r="U28" i="11"/>
  <c r="U27" i="11"/>
  <c r="U26" i="11"/>
  <c r="U25" i="11"/>
  <c r="U24" i="11"/>
  <c r="J24" i="11"/>
  <c r="U23" i="11"/>
  <c r="U22" i="11"/>
  <c r="U21" i="11"/>
  <c r="U20" i="11"/>
  <c r="U19" i="11"/>
  <c r="U18" i="11"/>
  <c r="U17" i="11"/>
  <c r="U16" i="11"/>
  <c r="U15" i="11"/>
  <c r="U14" i="11"/>
  <c r="U13" i="11"/>
  <c r="N7" i="11"/>
  <c r="J7" i="11"/>
  <c r="F7" i="11"/>
  <c r="B7" i="11"/>
  <c r="K38" i="9"/>
  <c r="H38" i="9"/>
  <c r="K37" i="9"/>
  <c r="H37" i="9"/>
  <c r="K36" i="9"/>
  <c r="H36" i="9"/>
  <c r="K35" i="9"/>
  <c r="H35" i="9"/>
  <c r="K34" i="9"/>
  <c r="H34" i="9"/>
  <c r="K33" i="9"/>
  <c r="H33" i="9"/>
  <c r="K32" i="9"/>
  <c r="H32" i="9"/>
  <c r="K31" i="9"/>
  <c r="H31" i="9"/>
  <c r="K30" i="9"/>
  <c r="H30" i="9"/>
  <c r="K29" i="9"/>
  <c r="H29" i="9"/>
  <c r="U28" i="9"/>
  <c r="U27" i="9"/>
  <c r="U26" i="9"/>
  <c r="U25" i="9"/>
  <c r="U24" i="9"/>
  <c r="J24" i="9"/>
  <c r="U23" i="9"/>
  <c r="U22" i="9"/>
  <c r="U21" i="9"/>
  <c r="U20" i="9"/>
  <c r="U19" i="9"/>
  <c r="U18" i="9"/>
  <c r="U17" i="9"/>
  <c r="U16" i="9"/>
  <c r="U15" i="9"/>
  <c r="U14" i="9"/>
  <c r="U13" i="9"/>
  <c r="N7" i="9"/>
  <c r="J7" i="9"/>
  <c r="F7" i="9"/>
  <c r="B7" i="9"/>
  <c r="K38" i="7"/>
  <c r="H38" i="7"/>
  <c r="K37" i="7"/>
  <c r="H37" i="7"/>
  <c r="K36" i="7"/>
  <c r="H36" i="7"/>
  <c r="K35" i="7"/>
  <c r="H35" i="7"/>
  <c r="K34" i="7"/>
  <c r="H34" i="7"/>
  <c r="K33" i="7"/>
  <c r="H33" i="7"/>
  <c r="K32" i="7"/>
  <c r="H32" i="7"/>
  <c r="K31" i="7"/>
  <c r="H31" i="7"/>
  <c r="K30" i="7"/>
  <c r="H30" i="7"/>
  <c r="K29" i="7"/>
  <c r="H29" i="7"/>
  <c r="U28" i="7"/>
  <c r="U27" i="7"/>
  <c r="U26" i="7"/>
  <c r="U25" i="7"/>
  <c r="U24" i="7"/>
  <c r="J24" i="7"/>
  <c r="U23" i="7"/>
  <c r="U22" i="7"/>
  <c r="U21" i="7"/>
  <c r="U20" i="7"/>
  <c r="U19" i="7"/>
  <c r="U18" i="7"/>
  <c r="U17" i="7"/>
  <c r="U16" i="7"/>
  <c r="U15" i="7"/>
  <c r="U14" i="7"/>
  <c r="U13" i="7"/>
  <c r="N7" i="7"/>
  <c r="J7" i="7"/>
  <c r="F7" i="7"/>
  <c r="B7" i="7"/>
  <c r="K38" i="5"/>
  <c r="H38" i="5"/>
  <c r="K37" i="5"/>
  <c r="H37" i="5"/>
  <c r="K36" i="5"/>
  <c r="H36" i="5"/>
  <c r="K35" i="5"/>
  <c r="H35" i="5"/>
  <c r="K34" i="5"/>
  <c r="H34" i="5"/>
  <c r="K33" i="5"/>
  <c r="H33" i="5"/>
  <c r="K32" i="5"/>
  <c r="H32" i="5"/>
  <c r="K31" i="5"/>
  <c r="H31" i="5"/>
  <c r="K30" i="5"/>
  <c r="H30" i="5"/>
  <c r="K29" i="5"/>
  <c r="H29" i="5"/>
  <c r="U28" i="5"/>
  <c r="U27" i="5"/>
  <c r="U26" i="5"/>
  <c r="U25" i="5"/>
  <c r="U24" i="5"/>
  <c r="J24" i="5"/>
  <c r="U23" i="5"/>
  <c r="U22" i="5"/>
  <c r="U21" i="5"/>
  <c r="U20" i="5"/>
  <c r="U19" i="5"/>
  <c r="U18" i="5"/>
  <c r="U17" i="5"/>
  <c r="U16" i="5"/>
  <c r="U15" i="5"/>
  <c r="U14" i="5"/>
  <c r="U13" i="5"/>
  <c r="N7" i="5"/>
  <c r="J7" i="5"/>
  <c r="F7" i="5"/>
  <c r="B7" i="5"/>
  <c r="C55" i="4"/>
  <c r="C55" i="6" s="1"/>
  <c r="C55" i="8" s="1"/>
  <c r="C55" i="10" s="1"/>
  <c r="C55" i="12" s="1"/>
  <c r="C55" i="14" s="1"/>
  <c r="C55" i="16" s="1"/>
  <c r="C55" i="18" s="1"/>
  <c r="C55" i="20" s="1"/>
  <c r="C55" i="22" s="1"/>
  <c r="C55" i="24" s="1"/>
  <c r="C55" i="26" s="1"/>
  <c r="C55" i="28" s="1"/>
  <c r="C55" i="30" s="1"/>
  <c r="C55" i="32" s="1"/>
  <c r="C54" i="4"/>
  <c r="C54" i="6" s="1"/>
  <c r="C54" i="8" s="1"/>
  <c r="C54" i="10" s="1"/>
  <c r="C54" i="12" s="1"/>
  <c r="C54" i="14" s="1"/>
  <c r="C54" i="16" s="1"/>
  <c r="C54" i="18" s="1"/>
  <c r="C54" i="20" s="1"/>
  <c r="C54" i="22" s="1"/>
  <c r="C54" i="24" s="1"/>
  <c r="C54" i="26" s="1"/>
  <c r="C54" i="28" s="1"/>
  <c r="C54" i="30" s="1"/>
  <c r="C54" i="32" s="1"/>
  <c r="C53" i="4"/>
  <c r="C53" i="6" s="1"/>
  <c r="C53" i="8" s="1"/>
  <c r="C53" i="10" s="1"/>
  <c r="C53" i="12" s="1"/>
  <c r="C53" i="14" s="1"/>
  <c r="C53" i="16" s="1"/>
  <c r="C53" i="18" s="1"/>
  <c r="C53" i="20" s="1"/>
  <c r="C53" i="22" s="1"/>
  <c r="C53" i="24" s="1"/>
  <c r="C53" i="26" s="1"/>
  <c r="C53" i="28" s="1"/>
  <c r="C53" i="30" s="1"/>
  <c r="C53" i="32" s="1"/>
  <c r="C51" i="4"/>
  <c r="C51" i="6" s="1"/>
  <c r="C51" i="8" s="1"/>
  <c r="C51" i="10" s="1"/>
  <c r="C51" i="12" s="1"/>
  <c r="C51" i="14" s="1"/>
  <c r="C51" i="16" s="1"/>
  <c r="C51" i="18" s="1"/>
  <c r="C51" i="20" s="1"/>
  <c r="C51" i="22" s="1"/>
  <c r="C51" i="24" s="1"/>
  <c r="C51" i="26" s="1"/>
  <c r="C51" i="28" s="1"/>
  <c r="C51" i="30" s="1"/>
  <c r="C51" i="32" s="1"/>
  <c r="C50" i="4"/>
  <c r="C50" i="6" s="1"/>
  <c r="C50" i="8" s="1"/>
  <c r="C50" i="10" s="1"/>
  <c r="C50" i="12" s="1"/>
  <c r="C50" i="14" s="1"/>
  <c r="C50" i="16" s="1"/>
  <c r="C50" i="18" s="1"/>
  <c r="C50" i="20" s="1"/>
  <c r="C50" i="22" s="1"/>
  <c r="C50" i="24" s="1"/>
  <c r="C50" i="26" s="1"/>
  <c r="C50" i="28" s="1"/>
  <c r="C50" i="30" s="1"/>
  <c r="C50" i="32" s="1"/>
  <c r="C49" i="4"/>
  <c r="C49" i="6" s="1"/>
  <c r="C49" i="8" s="1"/>
  <c r="C49" i="10" s="1"/>
  <c r="C49" i="12" s="1"/>
  <c r="C49" i="14" s="1"/>
  <c r="C49" i="16" s="1"/>
  <c r="C49" i="18" s="1"/>
  <c r="C49" i="20" s="1"/>
  <c r="C49" i="22" s="1"/>
  <c r="C49" i="24" s="1"/>
  <c r="C49" i="26" s="1"/>
  <c r="C49" i="28" s="1"/>
  <c r="C49" i="30" s="1"/>
  <c r="C49" i="32" s="1"/>
  <c r="C48" i="4"/>
  <c r="C48" i="6" s="1"/>
  <c r="C48" i="8" s="1"/>
  <c r="C48" i="10" s="1"/>
  <c r="C48" i="12" s="1"/>
  <c r="C48" i="14" s="1"/>
  <c r="C48" i="16" s="1"/>
  <c r="C48" i="18" s="1"/>
  <c r="C48" i="20" s="1"/>
  <c r="C48" i="22" s="1"/>
  <c r="C48" i="24" s="1"/>
  <c r="C48" i="26" s="1"/>
  <c r="C48" i="28" s="1"/>
  <c r="C48" i="30" s="1"/>
  <c r="C48" i="32" s="1"/>
  <c r="C47" i="4"/>
  <c r="C47" i="6" s="1"/>
  <c r="C47" i="8" s="1"/>
  <c r="C47" i="10" s="1"/>
  <c r="C47" i="12" s="1"/>
  <c r="C47" i="14" s="1"/>
  <c r="C47" i="16" s="1"/>
  <c r="C47" i="18" s="1"/>
  <c r="C47" i="20" s="1"/>
  <c r="C47" i="22" s="1"/>
  <c r="C47" i="24" s="1"/>
  <c r="C47" i="26" s="1"/>
  <c r="C47" i="28" s="1"/>
  <c r="C47" i="30" s="1"/>
  <c r="C47" i="32" s="1"/>
  <c r="C46" i="4"/>
  <c r="C46" i="6" s="1"/>
  <c r="C46" i="8" s="1"/>
  <c r="C46" i="10" s="1"/>
  <c r="C46" i="12" s="1"/>
  <c r="C46" i="14" s="1"/>
  <c r="C46" i="16" s="1"/>
  <c r="C46" i="18" s="1"/>
  <c r="C46" i="20" s="1"/>
  <c r="C46" i="22" s="1"/>
  <c r="C46" i="24" s="1"/>
  <c r="C46" i="26" s="1"/>
  <c r="C46" i="28" s="1"/>
  <c r="C46" i="30" s="1"/>
  <c r="C46" i="32" s="1"/>
  <c r="C45" i="4"/>
  <c r="C45" i="6" s="1"/>
  <c r="C45" i="8" s="1"/>
  <c r="C45" i="10" s="1"/>
  <c r="C45" i="12" s="1"/>
  <c r="C45" i="14" s="1"/>
  <c r="C45" i="16" s="1"/>
  <c r="C45" i="18" s="1"/>
  <c r="C45" i="20" s="1"/>
  <c r="C45" i="22" s="1"/>
  <c r="C45" i="24" s="1"/>
  <c r="C45" i="26" s="1"/>
  <c r="C45" i="28" s="1"/>
  <c r="C45" i="30" s="1"/>
  <c r="C45" i="32" s="1"/>
  <c r="C44" i="4"/>
  <c r="C44" i="6" s="1"/>
  <c r="C44" i="8" s="1"/>
  <c r="C44" i="10" s="1"/>
  <c r="C44" i="12" s="1"/>
  <c r="C44" i="14" s="1"/>
  <c r="C44" i="16" s="1"/>
  <c r="C44" i="18" s="1"/>
  <c r="C44" i="20" s="1"/>
  <c r="C44" i="22" s="1"/>
  <c r="C44" i="24" s="1"/>
  <c r="C44" i="26" s="1"/>
  <c r="C44" i="28" s="1"/>
  <c r="C44" i="30" s="1"/>
  <c r="C44" i="32" s="1"/>
  <c r="C42" i="4"/>
  <c r="C42" i="6" s="1"/>
  <c r="C42" i="8" s="1"/>
  <c r="C42" i="10" s="1"/>
  <c r="C42" i="12" s="1"/>
  <c r="C42" i="14" s="1"/>
  <c r="C42" i="16" s="1"/>
  <c r="C42" i="18" s="1"/>
  <c r="C42" i="20" s="1"/>
  <c r="C42" i="22" s="1"/>
  <c r="C42" i="24" s="1"/>
  <c r="C42" i="26" s="1"/>
  <c r="C42" i="28" s="1"/>
  <c r="C42" i="30" s="1"/>
  <c r="C42" i="32" s="1"/>
  <c r="C41" i="4"/>
  <c r="C41" i="6" s="1"/>
  <c r="C41" i="8" s="1"/>
  <c r="C41" i="10" s="1"/>
  <c r="C41" i="12" s="1"/>
  <c r="C41" i="14" s="1"/>
  <c r="C41" i="16" s="1"/>
  <c r="C41" i="18" s="1"/>
  <c r="C41" i="20" s="1"/>
  <c r="C41" i="22" s="1"/>
  <c r="C41" i="24" s="1"/>
  <c r="C41" i="26" s="1"/>
  <c r="C41" i="28" s="1"/>
  <c r="C41" i="30" s="1"/>
  <c r="C41" i="32" s="1"/>
  <c r="C40" i="4"/>
  <c r="C40" i="6" s="1"/>
  <c r="C40" i="8" s="1"/>
  <c r="C40" i="10" s="1"/>
  <c r="C40" i="12" s="1"/>
  <c r="C40" i="14" s="1"/>
  <c r="C40" i="16" s="1"/>
  <c r="C40" i="18" s="1"/>
  <c r="C40" i="20" s="1"/>
  <c r="C40" i="22" s="1"/>
  <c r="C40" i="24" s="1"/>
  <c r="C40" i="26" s="1"/>
  <c r="C40" i="28" s="1"/>
  <c r="C40" i="30" s="1"/>
  <c r="C40" i="32" s="1"/>
  <c r="C39" i="4"/>
  <c r="C39" i="6" s="1"/>
  <c r="C39" i="8" s="1"/>
  <c r="C39" i="10" s="1"/>
  <c r="C39" i="12" s="1"/>
  <c r="C39" i="14" s="1"/>
  <c r="C39" i="16" s="1"/>
  <c r="C39" i="18" s="1"/>
  <c r="C39" i="20" s="1"/>
  <c r="C39" i="22" s="1"/>
  <c r="C39" i="24" s="1"/>
  <c r="C39" i="26" s="1"/>
  <c r="C39" i="28" s="1"/>
  <c r="C39" i="30" s="1"/>
  <c r="C39" i="32" s="1"/>
  <c r="C38" i="4"/>
  <c r="C38" i="6" s="1"/>
  <c r="C38" i="8" s="1"/>
  <c r="C38" i="10" s="1"/>
  <c r="C38" i="12" s="1"/>
  <c r="C38" i="14" s="1"/>
  <c r="C38" i="16" s="1"/>
  <c r="C38" i="18" s="1"/>
  <c r="C38" i="20" s="1"/>
  <c r="C38" i="22" s="1"/>
  <c r="C38" i="24" s="1"/>
  <c r="C38" i="26" s="1"/>
  <c r="C38" i="28" s="1"/>
  <c r="C38" i="30" s="1"/>
  <c r="C38" i="32" s="1"/>
  <c r="C37" i="4"/>
  <c r="C37" i="6" s="1"/>
  <c r="C37" i="8" s="1"/>
  <c r="C37" i="10" s="1"/>
  <c r="C37" i="12" s="1"/>
  <c r="C37" i="14" s="1"/>
  <c r="C37" i="16" s="1"/>
  <c r="C37" i="18" s="1"/>
  <c r="C37" i="20" s="1"/>
  <c r="C37" i="22" s="1"/>
  <c r="C37" i="24" s="1"/>
  <c r="C37" i="26" s="1"/>
  <c r="C37" i="28" s="1"/>
  <c r="C37" i="30" s="1"/>
  <c r="C37" i="32" s="1"/>
  <c r="C36" i="4"/>
  <c r="C36" i="6" s="1"/>
  <c r="C36" i="8" s="1"/>
  <c r="C36" i="10" s="1"/>
  <c r="C36" i="12" s="1"/>
  <c r="C36" i="14" s="1"/>
  <c r="C36" i="16" s="1"/>
  <c r="C36" i="18" s="1"/>
  <c r="C36" i="20" s="1"/>
  <c r="C36" i="22" s="1"/>
  <c r="C36" i="24" s="1"/>
  <c r="C36" i="26" s="1"/>
  <c r="C36" i="28" s="1"/>
  <c r="C36" i="30" s="1"/>
  <c r="C36" i="32" s="1"/>
  <c r="C35" i="4"/>
  <c r="C35" i="6" s="1"/>
  <c r="C35" i="8" s="1"/>
  <c r="C35" i="10" s="1"/>
  <c r="C35" i="12" s="1"/>
  <c r="C35" i="14" s="1"/>
  <c r="C35" i="16" s="1"/>
  <c r="C35" i="18" s="1"/>
  <c r="C35" i="20" s="1"/>
  <c r="C35" i="22" s="1"/>
  <c r="C35" i="24" s="1"/>
  <c r="C35" i="26" s="1"/>
  <c r="C35" i="28" s="1"/>
  <c r="C35" i="30" s="1"/>
  <c r="C35" i="32" s="1"/>
  <c r="C34" i="4"/>
  <c r="C34" i="6" s="1"/>
  <c r="C34" i="8" s="1"/>
  <c r="C34" i="10" s="1"/>
  <c r="C34" i="12" s="1"/>
  <c r="C34" i="14" s="1"/>
  <c r="C34" i="16" s="1"/>
  <c r="C34" i="18" s="1"/>
  <c r="C34" i="20" s="1"/>
  <c r="C34" i="22" s="1"/>
  <c r="C34" i="24" s="1"/>
  <c r="C34" i="26" s="1"/>
  <c r="C34" i="28" s="1"/>
  <c r="C34" i="30" s="1"/>
  <c r="C34" i="32" s="1"/>
  <c r="C32" i="4"/>
  <c r="C32" i="6" s="1"/>
  <c r="C32" i="8" s="1"/>
  <c r="C32" i="10" s="1"/>
  <c r="C32" i="12" s="1"/>
  <c r="C32" i="14" s="1"/>
  <c r="C32" i="16" s="1"/>
  <c r="C32" i="18" s="1"/>
  <c r="C32" i="20" s="1"/>
  <c r="C32" i="22" s="1"/>
  <c r="C32" i="24" s="1"/>
  <c r="C32" i="26" s="1"/>
  <c r="C32" i="28" s="1"/>
  <c r="C32" i="30" s="1"/>
  <c r="C32" i="32" s="1"/>
  <c r="C31" i="4"/>
  <c r="C31" i="6" s="1"/>
  <c r="C31" i="8" s="1"/>
  <c r="C31" i="10" s="1"/>
  <c r="C31" i="12" s="1"/>
  <c r="C31" i="14" s="1"/>
  <c r="C31" i="16" s="1"/>
  <c r="C31" i="18" s="1"/>
  <c r="C31" i="20" s="1"/>
  <c r="C31" i="22" s="1"/>
  <c r="C31" i="24" s="1"/>
  <c r="C31" i="26" s="1"/>
  <c r="C31" i="28" s="1"/>
  <c r="C31" i="30" s="1"/>
  <c r="C31" i="32" s="1"/>
  <c r="C30" i="4"/>
  <c r="C30" i="6" s="1"/>
  <c r="C30" i="8" s="1"/>
  <c r="C30" i="10" s="1"/>
  <c r="C30" i="12" s="1"/>
  <c r="C30" i="14" s="1"/>
  <c r="C30" i="16" s="1"/>
  <c r="C30" i="18" s="1"/>
  <c r="C30" i="20" s="1"/>
  <c r="C30" i="22" s="1"/>
  <c r="C30" i="24" s="1"/>
  <c r="C30" i="26" s="1"/>
  <c r="C30" i="28" s="1"/>
  <c r="C30" i="30" s="1"/>
  <c r="C30" i="32" s="1"/>
  <c r="C29" i="4"/>
  <c r="C29" i="6" s="1"/>
  <c r="C29" i="8" s="1"/>
  <c r="C29" i="10" s="1"/>
  <c r="C29" i="12" s="1"/>
  <c r="C29" i="14" s="1"/>
  <c r="C29" i="16" s="1"/>
  <c r="C29" i="18" s="1"/>
  <c r="C29" i="20" s="1"/>
  <c r="C29" i="22" s="1"/>
  <c r="C29" i="24" s="1"/>
  <c r="C29" i="26" s="1"/>
  <c r="C29" i="28" s="1"/>
  <c r="C29" i="30" s="1"/>
  <c r="C29" i="32" s="1"/>
  <c r="C28" i="4"/>
  <c r="C28" i="6" s="1"/>
  <c r="C28" i="8" s="1"/>
  <c r="C28" i="10" s="1"/>
  <c r="C28" i="12" s="1"/>
  <c r="C28" i="14" s="1"/>
  <c r="C28" i="16" s="1"/>
  <c r="C28" i="18" s="1"/>
  <c r="C28" i="20" s="1"/>
  <c r="C28" i="22" s="1"/>
  <c r="C28" i="24" s="1"/>
  <c r="C28" i="26" s="1"/>
  <c r="C28" i="28" s="1"/>
  <c r="C28" i="30" s="1"/>
  <c r="C28" i="32" s="1"/>
  <c r="C27" i="4"/>
  <c r="C27" i="6" s="1"/>
  <c r="C27" i="8" s="1"/>
  <c r="C27" i="10" s="1"/>
  <c r="C27" i="12" s="1"/>
  <c r="C27" i="14" s="1"/>
  <c r="C27" i="16" s="1"/>
  <c r="C27" i="18" s="1"/>
  <c r="C27" i="20" s="1"/>
  <c r="C27" i="22" s="1"/>
  <c r="C27" i="24" s="1"/>
  <c r="C27" i="26" s="1"/>
  <c r="C27" i="28" s="1"/>
  <c r="C27" i="30" s="1"/>
  <c r="C27" i="32" s="1"/>
  <c r="V26" i="4"/>
  <c r="C26" i="4"/>
  <c r="C26" i="6" s="1"/>
  <c r="C26" i="8" s="1"/>
  <c r="C26" i="10" s="1"/>
  <c r="C26" i="12" s="1"/>
  <c r="C26" i="14" s="1"/>
  <c r="C26" i="16" s="1"/>
  <c r="C26" i="18" s="1"/>
  <c r="C26" i="20" s="1"/>
  <c r="C26" i="22" s="1"/>
  <c r="C26" i="24" s="1"/>
  <c r="C26" i="26" s="1"/>
  <c r="C26" i="28" s="1"/>
  <c r="C26" i="30" s="1"/>
  <c r="C26" i="32" s="1"/>
  <c r="V25" i="4"/>
  <c r="C25" i="4"/>
  <c r="C25" i="6" s="1"/>
  <c r="C25" i="8" s="1"/>
  <c r="C25" i="10" s="1"/>
  <c r="C25" i="12" s="1"/>
  <c r="C25" i="14" s="1"/>
  <c r="C25" i="16" s="1"/>
  <c r="C25" i="18" s="1"/>
  <c r="C25" i="20" s="1"/>
  <c r="C25" i="22" s="1"/>
  <c r="C25" i="24" s="1"/>
  <c r="C25" i="26" s="1"/>
  <c r="C25" i="28" s="1"/>
  <c r="C25" i="30" s="1"/>
  <c r="C25" i="32" s="1"/>
  <c r="V24" i="4"/>
  <c r="V23" i="4"/>
  <c r="C23" i="4"/>
  <c r="C23" i="6" s="1"/>
  <c r="C23" i="8" s="1"/>
  <c r="C23" i="10" s="1"/>
  <c r="C23" i="12" s="1"/>
  <c r="C23" i="14" s="1"/>
  <c r="C23" i="16" s="1"/>
  <c r="C23" i="18" s="1"/>
  <c r="C23" i="20" s="1"/>
  <c r="C23" i="22" s="1"/>
  <c r="C23" i="24" s="1"/>
  <c r="C23" i="26" s="1"/>
  <c r="C23" i="28" s="1"/>
  <c r="C23" i="30" s="1"/>
  <c r="C23" i="32" s="1"/>
  <c r="V22" i="4"/>
  <c r="C22" i="4"/>
  <c r="C22" i="6" s="1"/>
  <c r="C22" i="8" s="1"/>
  <c r="C22" i="10" s="1"/>
  <c r="C22" i="12" s="1"/>
  <c r="C22" i="14" s="1"/>
  <c r="C22" i="16" s="1"/>
  <c r="C22" i="18" s="1"/>
  <c r="C22" i="20" s="1"/>
  <c r="C22" i="22" s="1"/>
  <c r="C22" i="24" s="1"/>
  <c r="C22" i="26" s="1"/>
  <c r="C22" i="28" s="1"/>
  <c r="C22" i="30" s="1"/>
  <c r="C22" i="32" s="1"/>
  <c r="V21" i="4"/>
  <c r="C21" i="4"/>
  <c r="C21" i="6" s="1"/>
  <c r="C21" i="8" s="1"/>
  <c r="C21" i="10" s="1"/>
  <c r="C21" i="12" s="1"/>
  <c r="C21" i="14" s="1"/>
  <c r="C21" i="16" s="1"/>
  <c r="C21" i="18" s="1"/>
  <c r="C21" i="20" s="1"/>
  <c r="C21" i="22" s="1"/>
  <c r="C21" i="24" s="1"/>
  <c r="C21" i="26" s="1"/>
  <c r="C21" i="28" s="1"/>
  <c r="C21" i="30" s="1"/>
  <c r="C21" i="32" s="1"/>
  <c r="V20" i="4"/>
  <c r="C20" i="4"/>
  <c r="C20" i="6" s="1"/>
  <c r="C20" i="8" s="1"/>
  <c r="C20" i="10" s="1"/>
  <c r="C20" i="12" s="1"/>
  <c r="C20" i="14" s="1"/>
  <c r="C20" i="16" s="1"/>
  <c r="C20" i="18" s="1"/>
  <c r="C20" i="20" s="1"/>
  <c r="C20" i="22" s="1"/>
  <c r="C20" i="24" s="1"/>
  <c r="C20" i="26" s="1"/>
  <c r="C20" i="28" s="1"/>
  <c r="C20" i="30" s="1"/>
  <c r="C20" i="32" s="1"/>
  <c r="V19" i="4"/>
  <c r="C19" i="4"/>
  <c r="C19" i="6" s="1"/>
  <c r="C19" i="8" s="1"/>
  <c r="C19" i="10" s="1"/>
  <c r="C19" i="12" s="1"/>
  <c r="C19" i="14" s="1"/>
  <c r="C19" i="16" s="1"/>
  <c r="C19" i="18" s="1"/>
  <c r="C19" i="20" s="1"/>
  <c r="C19" i="22" s="1"/>
  <c r="C19" i="24" s="1"/>
  <c r="C19" i="26" s="1"/>
  <c r="C19" i="28" s="1"/>
  <c r="C19" i="30" s="1"/>
  <c r="C19" i="32" s="1"/>
  <c r="V18" i="4"/>
  <c r="L18" i="4"/>
  <c r="V17" i="4"/>
  <c r="L17" i="4"/>
  <c r="C17" i="4"/>
  <c r="C17" i="6" s="1"/>
  <c r="C17" i="8" s="1"/>
  <c r="C17" i="10" s="1"/>
  <c r="C17" i="12" s="1"/>
  <c r="C17" i="14" s="1"/>
  <c r="C17" i="16" s="1"/>
  <c r="C17" i="18" s="1"/>
  <c r="C17" i="20" s="1"/>
  <c r="C17" i="22" s="1"/>
  <c r="C17" i="24" s="1"/>
  <c r="C17" i="26" s="1"/>
  <c r="C17" i="28" s="1"/>
  <c r="C17" i="30" s="1"/>
  <c r="C17" i="32" s="1"/>
  <c r="V16" i="4"/>
  <c r="L16" i="4"/>
  <c r="C16" i="4"/>
  <c r="C16" i="6" s="1"/>
  <c r="C16" i="8" s="1"/>
  <c r="C16" i="10" s="1"/>
  <c r="C16" i="12" s="1"/>
  <c r="C16" i="14" s="1"/>
  <c r="C16" i="16" s="1"/>
  <c r="C16" i="18" s="1"/>
  <c r="C16" i="20" s="1"/>
  <c r="C16" i="22" s="1"/>
  <c r="C16" i="24" s="1"/>
  <c r="C16" i="26" s="1"/>
  <c r="C16" i="28" s="1"/>
  <c r="C16" i="30" s="1"/>
  <c r="C16" i="32" s="1"/>
  <c r="V15" i="4"/>
  <c r="L15" i="4"/>
  <c r="C15" i="4"/>
  <c r="C15" i="6" s="1"/>
  <c r="C15" i="8" s="1"/>
  <c r="C15" i="10" s="1"/>
  <c r="C15" i="12" s="1"/>
  <c r="C15" i="14" s="1"/>
  <c r="C15" i="16" s="1"/>
  <c r="C15" i="18" s="1"/>
  <c r="C15" i="20" s="1"/>
  <c r="C15" i="22" s="1"/>
  <c r="C15" i="24" s="1"/>
  <c r="C15" i="26" s="1"/>
  <c r="C15" i="28" s="1"/>
  <c r="C15" i="30" s="1"/>
  <c r="C15" i="32" s="1"/>
  <c r="V14" i="4"/>
  <c r="L14" i="4"/>
  <c r="C14" i="4"/>
  <c r="C14" i="6" s="1"/>
  <c r="C14" i="8" s="1"/>
  <c r="C14" i="10" s="1"/>
  <c r="C14" i="12" s="1"/>
  <c r="C14" i="14" s="1"/>
  <c r="C14" i="16" s="1"/>
  <c r="C14" i="18" s="1"/>
  <c r="C14" i="20" s="1"/>
  <c r="C14" i="22" s="1"/>
  <c r="C14" i="24" s="1"/>
  <c r="C14" i="26" s="1"/>
  <c r="C14" i="28" s="1"/>
  <c r="C14" i="30" s="1"/>
  <c r="C14" i="32" s="1"/>
  <c r="V13" i="4"/>
  <c r="L13" i="4"/>
  <c r="C13" i="4"/>
  <c r="C13" i="6" s="1"/>
  <c r="C13" i="8" s="1"/>
  <c r="C13" i="10" s="1"/>
  <c r="C13" i="12" s="1"/>
  <c r="C13" i="14" s="1"/>
  <c r="C13" i="16" s="1"/>
  <c r="C13" i="18" s="1"/>
  <c r="C13" i="20" s="1"/>
  <c r="C13" i="22" s="1"/>
  <c r="C13" i="24" s="1"/>
  <c r="C13" i="26" s="1"/>
  <c r="C13" i="28" s="1"/>
  <c r="C13" i="30" s="1"/>
  <c r="C13" i="32" s="1"/>
  <c r="V12" i="4"/>
  <c r="L12" i="4"/>
  <c r="C12" i="4"/>
  <c r="C12" i="6" s="1"/>
  <c r="C12" i="8" s="1"/>
  <c r="C12" i="10" s="1"/>
  <c r="C12" i="12" s="1"/>
  <c r="C12" i="14" s="1"/>
  <c r="C12" i="16" s="1"/>
  <c r="C12" i="18" s="1"/>
  <c r="C12" i="20" s="1"/>
  <c r="C12" i="22" s="1"/>
  <c r="C12" i="24" s="1"/>
  <c r="C12" i="26" s="1"/>
  <c r="C12" i="28" s="1"/>
  <c r="C12" i="30" s="1"/>
  <c r="C12" i="32" s="1"/>
  <c r="V11" i="4"/>
  <c r="L11" i="4"/>
  <c r="C11" i="4"/>
  <c r="C11" i="6" s="1"/>
  <c r="C11" i="8" s="1"/>
  <c r="C11" i="10" s="1"/>
  <c r="C11" i="12" s="1"/>
  <c r="C11" i="14" s="1"/>
  <c r="C11" i="16" s="1"/>
  <c r="C11" i="18" s="1"/>
  <c r="C11" i="20" s="1"/>
  <c r="C11" i="22" s="1"/>
  <c r="C11" i="24" s="1"/>
  <c r="C11" i="26" s="1"/>
  <c r="C11" i="28" s="1"/>
  <c r="C11" i="30" s="1"/>
  <c r="C11" i="32" s="1"/>
  <c r="C10" i="4"/>
  <c r="C10" i="6" s="1"/>
  <c r="C10" i="8" s="1"/>
  <c r="C10" i="10" s="1"/>
  <c r="C10" i="12" s="1"/>
  <c r="C10" i="14" s="1"/>
  <c r="C10" i="16" s="1"/>
  <c r="C10" i="18" s="1"/>
  <c r="C10" i="20" s="1"/>
  <c r="C10" i="22" s="1"/>
  <c r="C10" i="24" s="1"/>
  <c r="C10" i="26" s="1"/>
  <c r="C10" i="28" s="1"/>
  <c r="C10" i="30" s="1"/>
  <c r="C10" i="32" s="1"/>
  <c r="C9" i="4"/>
  <c r="C9" i="6" s="1"/>
  <c r="C9" i="8" s="1"/>
  <c r="C9" i="10" s="1"/>
  <c r="C9" i="12" s="1"/>
  <c r="C9" i="14" s="1"/>
  <c r="C9" i="16" s="1"/>
  <c r="C9" i="18" s="1"/>
  <c r="C9" i="20" s="1"/>
  <c r="C9" i="22" s="1"/>
  <c r="C9" i="24" s="1"/>
  <c r="C9" i="26" s="1"/>
  <c r="C9" i="28" s="1"/>
  <c r="C9" i="30" s="1"/>
  <c r="C9" i="32" s="1"/>
  <c r="C8" i="4"/>
  <c r="C8" i="6" s="1"/>
  <c r="C8" i="8" s="1"/>
  <c r="C8" i="10" s="1"/>
  <c r="C8" i="12" s="1"/>
  <c r="C8" i="14" s="1"/>
  <c r="C8" i="16" s="1"/>
  <c r="C8" i="18" s="1"/>
  <c r="C8" i="20" s="1"/>
  <c r="C8" i="22" s="1"/>
  <c r="C8" i="24" s="1"/>
  <c r="C8" i="26" s="1"/>
  <c r="C8" i="28" s="1"/>
  <c r="C8" i="30" s="1"/>
  <c r="C8" i="32" s="1"/>
  <c r="K38" i="3"/>
  <c r="H38" i="3"/>
  <c r="K37" i="3"/>
  <c r="H37" i="3"/>
  <c r="K36" i="3"/>
  <c r="H36" i="3"/>
  <c r="K35" i="3"/>
  <c r="H35" i="3"/>
  <c r="K34" i="3"/>
  <c r="H34" i="3"/>
  <c r="K33" i="3"/>
  <c r="H33" i="3"/>
  <c r="K32" i="3"/>
  <c r="H32" i="3"/>
  <c r="K31" i="3"/>
  <c r="H31" i="3"/>
  <c r="K30" i="3"/>
  <c r="H30" i="3"/>
  <c r="K29" i="3"/>
  <c r="H29" i="3"/>
  <c r="U28" i="3"/>
  <c r="M28" i="3"/>
  <c r="U27" i="3"/>
  <c r="M27" i="3"/>
  <c r="U26" i="3"/>
  <c r="M26" i="3"/>
  <c r="U25" i="3"/>
  <c r="M25" i="3"/>
  <c r="U24" i="3"/>
  <c r="M24" i="3"/>
  <c r="J24" i="3"/>
  <c r="U23" i="3"/>
  <c r="M23" i="3"/>
  <c r="U22" i="3"/>
  <c r="M22" i="3"/>
  <c r="U21" i="3"/>
  <c r="M21" i="3"/>
  <c r="U20" i="3"/>
  <c r="M20" i="3"/>
  <c r="U19" i="3"/>
  <c r="M19" i="3"/>
  <c r="U18" i="3"/>
  <c r="M18" i="3"/>
  <c r="U17" i="3"/>
  <c r="M17" i="3"/>
  <c r="U16" i="3"/>
  <c r="M16" i="3"/>
  <c r="U15" i="3"/>
  <c r="M15" i="3"/>
  <c r="U14" i="3"/>
  <c r="M14" i="3"/>
  <c r="U13" i="3"/>
  <c r="M13" i="3"/>
  <c r="N7" i="3"/>
  <c r="J7" i="3"/>
  <c r="F7" i="3"/>
  <c r="B7" i="3"/>
  <c r="I55" i="2"/>
  <c r="B55" i="4" s="1"/>
  <c r="I54" i="2"/>
  <c r="B54" i="4" s="1"/>
  <c r="I53" i="2"/>
  <c r="B53" i="4" s="1"/>
  <c r="I51" i="2"/>
  <c r="B51" i="4" s="1"/>
  <c r="I50" i="2"/>
  <c r="B50" i="4" s="1"/>
  <c r="I49" i="2"/>
  <c r="B49" i="4" s="1"/>
  <c r="I48" i="2"/>
  <c r="B48" i="4" s="1"/>
  <c r="I47" i="2"/>
  <c r="B47" i="4" s="1"/>
  <c r="I46" i="2"/>
  <c r="B46" i="4" s="1"/>
  <c r="I45" i="2"/>
  <c r="B45" i="4" s="1"/>
  <c r="I44" i="2"/>
  <c r="B44" i="4" s="1"/>
  <c r="I42" i="2"/>
  <c r="B42" i="4" s="1"/>
  <c r="I41" i="2"/>
  <c r="B41" i="4" s="1"/>
  <c r="I40" i="2"/>
  <c r="B40" i="4" s="1"/>
  <c r="I39" i="2"/>
  <c r="B39" i="4" s="1"/>
  <c r="I38" i="2"/>
  <c r="B38" i="4" s="1"/>
  <c r="I37" i="2"/>
  <c r="B37" i="4" s="1"/>
  <c r="I36" i="2"/>
  <c r="B36" i="4" s="1"/>
  <c r="I35" i="2"/>
  <c r="B35" i="4" s="1"/>
  <c r="I34" i="2"/>
  <c r="B34" i="4" s="1"/>
  <c r="I32" i="2"/>
  <c r="B32" i="4" s="1"/>
  <c r="I31" i="2"/>
  <c r="B31" i="4" s="1"/>
  <c r="I30" i="2"/>
  <c r="B30" i="4" s="1"/>
  <c r="I29" i="2"/>
  <c r="B29" i="4" s="1"/>
  <c r="I28" i="2"/>
  <c r="B28" i="4" s="1"/>
  <c r="I27" i="2"/>
  <c r="B27" i="4" s="1"/>
  <c r="W26" i="2"/>
  <c r="I26" i="2"/>
  <c r="B26" i="4" s="1"/>
  <c r="W25" i="2"/>
  <c r="I25" i="2"/>
  <c r="B25" i="4" s="1"/>
  <c r="W24" i="2"/>
  <c r="W23" i="2"/>
  <c r="I23" i="2"/>
  <c r="B23" i="4" s="1"/>
  <c r="W22" i="2"/>
  <c r="I22" i="2"/>
  <c r="B22" i="4" s="1"/>
  <c r="W21" i="2"/>
  <c r="I21" i="2"/>
  <c r="B21" i="4" s="1"/>
  <c r="W20" i="2"/>
  <c r="I20" i="2"/>
  <c r="B20" i="4" s="1"/>
  <c r="W19" i="2"/>
  <c r="I19" i="2"/>
  <c r="B19" i="4" s="1"/>
  <c r="W18" i="2"/>
  <c r="S18" i="2"/>
  <c r="M18" i="4" s="1"/>
  <c r="W17" i="2"/>
  <c r="S17" i="2"/>
  <c r="M17" i="4" s="1"/>
  <c r="I17" i="2"/>
  <c r="B17" i="4" s="1"/>
  <c r="W16" i="2"/>
  <c r="S16" i="2"/>
  <c r="M16" i="4" s="1"/>
  <c r="I16" i="2"/>
  <c r="B16" i="4" s="1"/>
  <c r="W15" i="2"/>
  <c r="S15" i="2"/>
  <c r="M15" i="4" s="1"/>
  <c r="I15" i="2"/>
  <c r="B15" i="4" s="1"/>
  <c r="W14" i="2"/>
  <c r="S14" i="2"/>
  <c r="M14" i="4" s="1"/>
  <c r="I14" i="2"/>
  <c r="B14" i="4" s="1"/>
  <c r="W13" i="2"/>
  <c r="S13" i="2"/>
  <c r="M13" i="4" s="1"/>
  <c r="I13" i="2"/>
  <c r="B13" i="4" s="1"/>
  <c r="W12" i="2"/>
  <c r="S12" i="2"/>
  <c r="M12" i="4" s="1"/>
  <c r="I12" i="2"/>
  <c r="B12" i="4" s="1"/>
  <c r="W11" i="2"/>
  <c r="S11" i="2"/>
  <c r="M11" i="4" s="1"/>
  <c r="I11" i="2"/>
  <c r="B11" i="4" s="1"/>
  <c r="I10" i="2"/>
  <c r="B10" i="4" s="1"/>
  <c r="I9" i="2"/>
  <c r="B9" i="4" s="1"/>
  <c r="I8" i="2"/>
  <c r="B8" i="4" s="1"/>
  <c r="U6" i="2"/>
  <c r="B6" i="3" s="1"/>
  <c r="B8" i="3" s="1"/>
  <c r="C8" i="3" s="1"/>
  <c r="Q6" i="2"/>
  <c r="N6" i="3" s="1"/>
  <c r="N8" i="3" s="1"/>
  <c r="O8" i="3" s="1"/>
  <c r="N6" i="2"/>
  <c r="J6" i="3" s="1"/>
  <c r="J8" i="3" s="1"/>
  <c r="K8" i="3" s="1"/>
  <c r="K6" i="2"/>
  <c r="F6" i="3" s="1"/>
  <c r="F8" i="3" s="1"/>
  <c r="G8" i="3" s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Q11" i="1" l="1"/>
  <c r="BF11" i="1" s="1"/>
  <c r="AB11" i="1" s="1"/>
  <c r="AP11" i="1"/>
  <c r="BE11" i="1" s="1"/>
  <c r="AO11" i="1"/>
  <c r="BD11" i="1" s="1"/>
  <c r="AN11" i="1"/>
  <c r="BC11" i="1" s="1"/>
  <c r="AM11" i="1"/>
  <c r="BB11" i="1" s="1"/>
  <c r="AL11" i="1"/>
  <c r="BA11" i="1" s="1"/>
  <c r="AK11" i="1"/>
  <c r="AZ11" i="1" s="1"/>
  <c r="AJ11" i="1"/>
  <c r="AY11" i="1" s="1"/>
  <c r="AI11" i="1"/>
  <c r="AX11" i="1" s="1"/>
  <c r="AH11" i="1"/>
  <c r="AW11" i="1" s="1"/>
  <c r="AG11" i="1"/>
  <c r="AV11" i="1" s="1"/>
  <c r="AF11" i="1"/>
  <c r="AU11" i="1" s="1"/>
  <c r="AE11" i="1"/>
  <c r="AT11" i="1" s="1"/>
  <c r="AD11" i="1"/>
  <c r="AS11" i="1" s="1"/>
  <c r="AC11" i="1"/>
  <c r="AR11" i="1" s="1"/>
  <c r="Z11" i="1"/>
  <c r="AA11" i="1" s="1"/>
  <c r="AQ12" i="1"/>
  <c r="BF12" i="1" s="1"/>
  <c r="AB12" i="1" s="1"/>
  <c r="AP12" i="1"/>
  <c r="BE12" i="1" s="1"/>
  <c r="AO12" i="1"/>
  <c r="BD12" i="1" s="1"/>
  <c r="AN12" i="1"/>
  <c r="BC12" i="1" s="1"/>
  <c r="AM12" i="1"/>
  <c r="BB12" i="1" s="1"/>
  <c r="AL12" i="1"/>
  <c r="BA12" i="1" s="1"/>
  <c r="AK12" i="1"/>
  <c r="AZ12" i="1" s="1"/>
  <c r="AJ12" i="1"/>
  <c r="AY12" i="1" s="1"/>
  <c r="AI12" i="1"/>
  <c r="AX12" i="1" s="1"/>
  <c r="AH12" i="1"/>
  <c r="AW12" i="1" s="1"/>
  <c r="AG12" i="1"/>
  <c r="AV12" i="1" s="1"/>
  <c r="AF12" i="1"/>
  <c r="AU12" i="1" s="1"/>
  <c r="AE12" i="1"/>
  <c r="AT12" i="1" s="1"/>
  <c r="AD12" i="1"/>
  <c r="AS12" i="1" s="1"/>
  <c r="AC12" i="1"/>
  <c r="AR12" i="1" s="1"/>
  <c r="Z12" i="1"/>
  <c r="AA12" i="1" s="1"/>
  <c r="AQ13" i="1"/>
  <c r="BF13" i="1" s="1"/>
  <c r="AB13" i="1" s="1"/>
  <c r="AP13" i="1"/>
  <c r="BE13" i="1" s="1"/>
  <c r="AO13" i="1"/>
  <c r="BD13" i="1" s="1"/>
  <c r="AN13" i="1"/>
  <c r="BC13" i="1" s="1"/>
  <c r="AM13" i="1"/>
  <c r="BB13" i="1" s="1"/>
  <c r="AL13" i="1"/>
  <c r="BA13" i="1" s="1"/>
  <c r="AK13" i="1"/>
  <c r="AZ13" i="1" s="1"/>
  <c r="AJ13" i="1"/>
  <c r="AY13" i="1" s="1"/>
  <c r="AI13" i="1"/>
  <c r="AX13" i="1" s="1"/>
  <c r="AH13" i="1"/>
  <c r="AW13" i="1" s="1"/>
  <c r="AG13" i="1"/>
  <c r="AV13" i="1" s="1"/>
  <c r="AF13" i="1"/>
  <c r="AU13" i="1" s="1"/>
  <c r="AE13" i="1"/>
  <c r="AT13" i="1" s="1"/>
  <c r="AD13" i="1"/>
  <c r="AS13" i="1" s="1"/>
  <c r="AC13" i="1"/>
  <c r="AR13" i="1" s="1"/>
  <c r="Z13" i="1"/>
  <c r="AA13" i="1" s="1"/>
  <c r="AQ14" i="1"/>
  <c r="BF14" i="1" s="1"/>
  <c r="AB14" i="1" s="1"/>
  <c r="AP14" i="1"/>
  <c r="BE14" i="1" s="1"/>
  <c r="AO14" i="1"/>
  <c r="BD14" i="1" s="1"/>
  <c r="AN14" i="1"/>
  <c r="BC14" i="1" s="1"/>
  <c r="AM14" i="1"/>
  <c r="BB14" i="1" s="1"/>
  <c r="AL14" i="1"/>
  <c r="BA14" i="1" s="1"/>
  <c r="AK14" i="1"/>
  <c r="AZ14" i="1" s="1"/>
  <c r="AJ14" i="1"/>
  <c r="AY14" i="1" s="1"/>
  <c r="AI14" i="1"/>
  <c r="AX14" i="1" s="1"/>
  <c r="AH14" i="1"/>
  <c r="AW14" i="1" s="1"/>
  <c r="AG14" i="1"/>
  <c r="AV14" i="1" s="1"/>
  <c r="AF14" i="1"/>
  <c r="AU14" i="1" s="1"/>
  <c r="AE14" i="1"/>
  <c r="AT14" i="1" s="1"/>
  <c r="AD14" i="1"/>
  <c r="AS14" i="1" s="1"/>
  <c r="AC14" i="1"/>
  <c r="AR14" i="1" s="1"/>
  <c r="Z14" i="1"/>
  <c r="AA14" i="1" s="1"/>
  <c r="AQ15" i="1"/>
  <c r="BF15" i="1" s="1"/>
  <c r="AB15" i="1" s="1"/>
  <c r="AP15" i="1"/>
  <c r="BE15" i="1" s="1"/>
  <c r="AO15" i="1"/>
  <c r="BD15" i="1" s="1"/>
  <c r="AN15" i="1"/>
  <c r="BC15" i="1" s="1"/>
  <c r="AM15" i="1"/>
  <c r="BB15" i="1" s="1"/>
  <c r="AL15" i="1"/>
  <c r="BA15" i="1" s="1"/>
  <c r="AK15" i="1"/>
  <c r="AZ15" i="1" s="1"/>
  <c r="AJ15" i="1"/>
  <c r="AY15" i="1" s="1"/>
  <c r="AI15" i="1"/>
  <c r="AX15" i="1" s="1"/>
  <c r="AH15" i="1"/>
  <c r="AW15" i="1" s="1"/>
  <c r="AG15" i="1"/>
  <c r="AV15" i="1" s="1"/>
  <c r="AF15" i="1"/>
  <c r="AU15" i="1" s="1"/>
  <c r="AE15" i="1"/>
  <c r="AT15" i="1" s="1"/>
  <c r="AD15" i="1"/>
  <c r="AS15" i="1" s="1"/>
  <c r="AC15" i="1"/>
  <c r="AR15" i="1" s="1"/>
  <c r="Z15" i="1"/>
  <c r="AA15" i="1" s="1"/>
  <c r="AQ16" i="1"/>
  <c r="BF16" i="1" s="1"/>
  <c r="AB16" i="1" s="1"/>
  <c r="AP16" i="1"/>
  <c r="BE16" i="1" s="1"/>
  <c r="AO16" i="1"/>
  <c r="BD16" i="1" s="1"/>
  <c r="AN16" i="1"/>
  <c r="BC16" i="1" s="1"/>
  <c r="AM16" i="1"/>
  <c r="BB16" i="1" s="1"/>
  <c r="AL16" i="1"/>
  <c r="BA16" i="1" s="1"/>
  <c r="AK16" i="1"/>
  <c r="AZ16" i="1" s="1"/>
  <c r="AJ16" i="1"/>
  <c r="AY16" i="1" s="1"/>
  <c r="AI16" i="1"/>
  <c r="AX16" i="1" s="1"/>
  <c r="AH16" i="1"/>
  <c r="AW16" i="1" s="1"/>
  <c r="AG16" i="1"/>
  <c r="AV16" i="1" s="1"/>
  <c r="AF16" i="1"/>
  <c r="AU16" i="1" s="1"/>
  <c r="AE16" i="1"/>
  <c r="AT16" i="1" s="1"/>
  <c r="AD16" i="1"/>
  <c r="AS16" i="1" s="1"/>
  <c r="AC16" i="1"/>
  <c r="AR16" i="1" s="1"/>
  <c r="Z16" i="1"/>
  <c r="AA16" i="1" s="1"/>
  <c r="AQ17" i="1"/>
  <c r="BF17" i="1" s="1"/>
  <c r="AB17" i="1" s="1"/>
  <c r="AP17" i="1"/>
  <c r="BE17" i="1" s="1"/>
  <c r="AO17" i="1"/>
  <c r="BD17" i="1" s="1"/>
  <c r="AN17" i="1"/>
  <c r="BC17" i="1" s="1"/>
  <c r="AM17" i="1"/>
  <c r="BB17" i="1" s="1"/>
  <c r="AL17" i="1"/>
  <c r="BA17" i="1" s="1"/>
  <c r="AK17" i="1"/>
  <c r="AZ17" i="1" s="1"/>
  <c r="AJ17" i="1"/>
  <c r="AY17" i="1" s="1"/>
  <c r="AI17" i="1"/>
  <c r="AX17" i="1" s="1"/>
  <c r="AH17" i="1"/>
  <c r="AW17" i="1" s="1"/>
  <c r="AG17" i="1"/>
  <c r="AV17" i="1" s="1"/>
  <c r="AF17" i="1"/>
  <c r="AU17" i="1" s="1"/>
  <c r="AE17" i="1"/>
  <c r="AT17" i="1" s="1"/>
  <c r="AD17" i="1"/>
  <c r="AS17" i="1" s="1"/>
  <c r="AC17" i="1"/>
  <c r="AR17" i="1" s="1"/>
  <c r="Z17" i="1"/>
  <c r="AA17" i="1" s="1"/>
  <c r="AQ18" i="1"/>
  <c r="BF18" i="1" s="1"/>
  <c r="AB18" i="1" s="1"/>
  <c r="AP18" i="1"/>
  <c r="BE18" i="1" s="1"/>
  <c r="AO18" i="1"/>
  <c r="BD18" i="1" s="1"/>
  <c r="AN18" i="1"/>
  <c r="BC18" i="1" s="1"/>
  <c r="AM18" i="1"/>
  <c r="BB18" i="1" s="1"/>
  <c r="AL18" i="1"/>
  <c r="BA18" i="1" s="1"/>
  <c r="AK18" i="1"/>
  <c r="AZ18" i="1" s="1"/>
  <c r="AJ18" i="1"/>
  <c r="AY18" i="1" s="1"/>
  <c r="AI18" i="1"/>
  <c r="AX18" i="1" s="1"/>
  <c r="AH18" i="1"/>
  <c r="AW18" i="1" s="1"/>
  <c r="AG18" i="1"/>
  <c r="AV18" i="1" s="1"/>
  <c r="AF18" i="1"/>
  <c r="AU18" i="1" s="1"/>
  <c r="AE18" i="1"/>
  <c r="AT18" i="1" s="1"/>
  <c r="AD18" i="1"/>
  <c r="AS18" i="1" s="1"/>
  <c r="AC18" i="1"/>
  <c r="AR18" i="1" s="1"/>
  <c r="Z18" i="1"/>
  <c r="AA18" i="1" s="1"/>
  <c r="AQ19" i="1"/>
  <c r="BF19" i="1" s="1"/>
  <c r="AB19" i="1" s="1"/>
  <c r="AP19" i="1"/>
  <c r="BE19" i="1" s="1"/>
  <c r="AO19" i="1"/>
  <c r="BD19" i="1" s="1"/>
  <c r="AN19" i="1"/>
  <c r="BC19" i="1" s="1"/>
  <c r="AM19" i="1"/>
  <c r="BB19" i="1" s="1"/>
  <c r="AL19" i="1"/>
  <c r="BA19" i="1" s="1"/>
  <c r="AK19" i="1"/>
  <c r="AZ19" i="1" s="1"/>
  <c r="AJ19" i="1"/>
  <c r="AY19" i="1" s="1"/>
  <c r="AI19" i="1"/>
  <c r="AX19" i="1" s="1"/>
  <c r="AH19" i="1"/>
  <c r="AW19" i="1" s="1"/>
  <c r="AG19" i="1"/>
  <c r="AV19" i="1" s="1"/>
  <c r="AF19" i="1"/>
  <c r="AU19" i="1" s="1"/>
  <c r="AE19" i="1"/>
  <c r="AT19" i="1" s="1"/>
  <c r="AD19" i="1"/>
  <c r="AS19" i="1" s="1"/>
  <c r="AC19" i="1"/>
  <c r="AR19" i="1" s="1"/>
  <c r="Z19" i="1"/>
  <c r="AA19" i="1" s="1"/>
  <c r="AQ20" i="1"/>
  <c r="BF20" i="1" s="1"/>
  <c r="AB20" i="1" s="1"/>
  <c r="AP20" i="1"/>
  <c r="BE20" i="1" s="1"/>
  <c r="AO20" i="1"/>
  <c r="BD20" i="1" s="1"/>
  <c r="AN20" i="1"/>
  <c r="BC20" i="1" s="1"/>
  <c r="AM20" i="1"/>
  <c r="BB20" i="1" s="1"/>
  <c r="AL20" i="1"/>
  <c r="BA20" i="1" s="1"/>
  <c r="AK20" i="1"/>
  <c r="AZ20" i="1" s="1"/>
  <c r="AJ20" i="1"/>
  <c r="AY20" i="1" s="1"/>
  <c r="AI20" i="1"/>
  <c r="AX20" i="1" s="1"/>
  <c r="AH20" i="1"/>
  <c r="AW20" i="1" s="1"/>
  <c r="AG20" i="1"/>
  <c r="AV20" i="1" s="1"/>
  <c r="AF20" i="1"/>
  <c r="AU20" i="1" s="1"/>
  <c r="AE20" i="1"/>
  <c r="AT20" i="1" s="1"/>
  <c r="AD20" i="1"/>
  <c r="AS20" i="1" s="1"/>
  <c r="AC20" i="1"/>
  <c r="AR20" i="1" s="1"/>
  <c r="Z20" i="1"/>
  <c r="AA20" i="1" s="1"/>
  <c r="AQ21" i="1"/>
  <c r="BF21" i="1" s="1"/>
  <c r="AB21" i="1" s="1"/>
  <c r="AP21" i="1"/>
  <c r="BE21" i="1" s="1"/>
  <c r="AO21" i="1"/>
  <c r="BD21" i="1" s="1"/>
  <c r="AN21" i="1"/>
  <c r="BC21" i="1" s="1"/>
  <c r="AM21" i="1"/>
  <c r="BB21" i="1" s="1"/>
  <c r="AL21" i="1"/>
  <c r="BA21" i="1" s="1"/>
  <c r="AK21" i="1"/>
  <c r="AZ21" i="1" s="1"/>
  <c r="AJ21" i="1"/>
  <c r="AY21" i="1" s="1"/>
  <c r="AI21" i="1"/>
  <c r="AX21" i="1" s="1"/>
  <c r="AH21" i="1"/>
  <c r="AW21" i="1" s="1"/>
  <c r="AG21" i="1"/>
  <c r="AV21" i="1" s="1"/>
  <c r="AF21" i="1"/>
  <c r="AU21" i="1" s="1"/>
  <c r="AE21" i="1"/>
  <c r="AT21" i="1" s="1"/>
  <c r="AD21" i="1"/>
  <c r="AS21" i="1" s="1"/>
  <c r="AC21" i="1"/>
  <c r="AR21" i="1" s="1"/>
  <c r="Z21" i="1"/>
  <c r="AA21" i="1" s="1"/>
  <c r="AQ22" i="1"/>
  <c r="BF22" i="1" s="1"/>
  <c r="AB22" i="1" s="1"/>
  <c r="AP22" i="1"/>
  <c r="BE22" i="1" s="1"/>
  <c r="AO22" i="1"/>
  <c r="BD22" i="1" s="1"/>
  <c r="AN22" i="1"/>
  <c r="BC22" i="1" s="1"/>
  <c r="AM22" i="1"/>
  <c r="BB22" i="1" s="1"/>
  <c r="AL22" i="1"/>
  <c r="BA22" i="1" s="1"/>
  <c r="AK22" i="1"/>
  <c r="AZ22" i="1" s="1"/>
  <c r="AJ22" i="1"/>
  <c r="AY22" i="1" s="1"/>
  <c r="AI22" i="1"/>
  <c r="AX22" i="1" s="1"/>
  <c r="AH22" i="1"/>
  <c r="AW22" i="1" s="1"/>
  <c r="AG22" i="1"/>
  <c r="AV22" i="1" s="1"/>
  <c r="AF22" i="1"/>
  <c r="AU22" i="1" s="1"/>
  <c r="AE22" i="1"/>
  <c r="AT22" i="1" s="1"/>
  <c r="AD22" i="1"/>
  <c r="AS22" i="1" s="1"/>
  <c r="AC22" i="1"/>
  <c r="AR22" i="1" s="1"/>
  <c r="Z22" i="1"/>
  <c r="AA22" i="1" s="1"/>
  <c r="AQ23" i="1"/>
  <c r="BF23" i="1" s="1"/>
  <c r="AB23" i="1" s="1"/>
  <c r="AP23" i="1"/>
  <c r="BE23" i="1" s="1"/>
  <c r="AO23" i="1"/>
  <c r="BD23" i="1" s="1"/>
  <c r="AN23" i="1"/>
  <c r="BC23" i="1" s="1"/>
  <c r="AM23" i="1"/>
  <c r="BB23" i="1" s="1"/>
  <c r="AL23" i="1"/>
  <c r="BA23" i="1" s="1"/>
  <c r="AK23" i="1"/>
  <c r="AZ23" i="1" s="1"/>
  <c r="AJ23" i="1"/>
  <c r="AY23" i="1" s="1"/>
  <c r="AI23" i="1"/>
  <c r="AX23" i="1" s="1"/>
  <c r="AH23" i="1"/>
  <c r="AW23" i="1" s="1"/>
  <c r="AG23" i="1"/>
  <c r="AV23" i="1" s="1"/>
  <c r="AF23" i="1"/>
  <c r="AU23" i="1" s="1"/>
  <c r="AE23" i="1"/>
  <c r="AT23" i="1" s="1"/>
  <c r="AD23" i="1"/>
  <c r="AS23" i="1" s="1"/>
  <c r="AC23" i="1"/>
  <c r="AR23" i="1" s="1"/>
  <c r="Z23" i="1"/>
  <c r="AA23" i="1" s="1"/>
  <c r="AQ24" i="1"/>
  <c r="BF24" i="1" s="1"/>
  <c r="AB24" i="1" s="1"/>
  <c r="AP24" i="1"/>
  <c r="BE24" i="1" s="1"/>
  <c r="AO24" i="1"/>
  <c r="BD24" i="1" s="1"/>
  <c r="AN24" i="1"/>
  <c r="BC24" i="1" s="1"/>
  <c r="AM24" i="1"/>
  <c r="BB24" i="1" s="1"/>
  <c r="AL24" i="1"/>
  <c r="BA24" i="1" s="1"/>
  <c r="AK24" i="1"/>
  <c r="AZ24" i="1" s="1"/>
  <c r="AJ24" i="1"/>
  <c r="AY24" i="1" s="1"/>
  <c r="AI24" i="1"/>
  <c r="AX24" i="1" s="1"/>
  <c r="AH24" i="1"/>
  <c r="AW24" i="1" s="1"/>
  <c r="AG24" i="1"/>
  <c r="AV24" i="1" s="1"/>
  <c r="AF24" i="1"/>
  <c r="AU24" i="1" s="1"/>
  <c r="AE24" i="1"/>
  <c r="AT24" i="1" s="1"/>
  <c r="AD24" i="1"/>
  <c r="AS24" i="1" s="1"/>
  <c r="AC24" i="1"/>
  <c r="AR24" i="1" s="1"/>
  <c r="Z24" i="1"/>
  <c r="AA24" i="1" s="1"/>
  <c r="AQ25" i="1"/>
  <c r="BF25" i="1" s="1"/>
  <c r="AB25" i="1" s="1"/>
  <c r="AP25" i="1"/>
  <c r="BE25" i="1" s="1"/>
  <c r="AO25" i="1"/>
  <c r="BD25" i="1" s="1"/>
  <c r="AN25" i="1"/>
  <c r="BC25" i="1" s="1"/>
  <c r="AM25" i="1"/>
  <c r="BB25" i="1" s="1"/>
  <c r="AL25" i="1"/>
  <c r="BA25" i="1" s="1"/>
  <c r="AK25" i="1"/>
  <c r="AZ25" i="1" s="1"/>
  <c r="AJ25" i="1"/>
  <c r="AY25" i="1" s="1"/>
  <c r="AI25" i="1"/>
  <c r="AX25" i="1" s="1"/>
  <c r="AH25" i="1"/>
  <c r="AW25" i="1" s="1"/>
  <c r="AG25" i="1"/>
  <c r="AV25" i="1" s="1"/>
  <c r="AF25" i="1"/>
  <c r="AU25" i="1" s="1"/>
  <c r="AE25" i="1"/>
  <c r="AT25" i="1" s="1"/>
  <c r="AD25" i="1"/>
  <c r="AS25" i="1" s="1"/>
  <c r="AC25" i="1"/>
  <c r="AR25" i="1" s="1"/>
  <c r="Z25" i="1"/>
  <c r="AA25" i="1" s="1"/>
  <c r="AQ26" i="1"/>
  <c r="BF26" i="1" s="1"/>
  <c r="AB26" i="1" s="1"/>
  <c r="AP26" i="1"/>
  <c r="BE26" i="1" s="1"/>
  <c r="AO26" i="1"/>
  <c r="BD26" i="1" s="1"/>
  <c r="AN26" i="1"/>
  <c r="BC26" i="1" s="1"/>
  <c r="AM26" i="1"/>
  <c r="BB26" i="1" s="1"/>
  <c r="AL26" i="1"/>
  <c r="BA26" i="1" s="1"/>
  <c r="AK26" i="1"/>
  <c r="AZ26" i="1" s="1"/>
  <c r="AJ26" i="1"/>
  <c r="AY26" i="1" s="1"/>
  <c r="AI26" i="1"/>
  <c r="AX26" i="1" s="1"/>
  <c r="AH26" i="1"/>
  <c r="AW26" i="1" s="1"/>
  <c r="AG26" i="1"/>
  <c r="AV26" i="1" s="1"/>
  <c r="AF26" i="1"/>
  <c r="AU26" i="1" s="1"/>
  <c r="AE26" i="1"/>
  <c r="AT26" i="1" s="1"/>
  <c r="AD26" i="1"/>
  <c r="AS26" i="1" s="1"/>
  <c r="AC26" i="1"/>
  <c r="AR26" i="1" s="1"/>
  <c r="Z26" i="1"/>
  <c r="AA26" i="1" s="1"/>
  <c r="AQ27" i="1"/>
  <c r="BF27" i="1" s="1"/>
  <c r="AB27" i="1" s="1"/>
  <c r="AP27" i="1"/>
  <c r="BE27" i="1" s="1"/>
  <c r="AO27" i="1"/>
  <c r="BD27" i="1" s="1"/>
  <c r="AN27" i="1"/>
  <c r="BC27" i="1" s="1"/>
  <c r="AM27" i="1"/>
  <c r="BB27" i="1" s="1"/>
  <c r="AL27" i="1"/>
  <c r="BA27" i="1" s="1"/>
  <c r="AK27" i="1"/>
  <c r="AZ27" i="1" s="1"/>
  <c r="AJ27" i="1"/>
  <c r="AY27" i="1" s="1"/>
  <c r="AI27" i="1"/>
  <c r="AX27" i="1" s="1"/>
  <c r="AH27" i="1"/>
  <c r="AW27" i="1" s="1"/>
  <c r="AG27" i="1"/>
  <c r="AV27" i="1" s="1"/>
  <c r="AF27" i="1"/>
  <c r="AU27" i="1" s="1"/>
  <c r="AE27" i="1"/>
  <c r="AT27" i="1" s="1"/>
  <c r="AD27" i="1"/>
  <c r="AS27" i="1" s="1"/>
  <c r="AC27" i="1"/>
  <c r="AR27" i="1" s="1"/>
  <c r="Z27" i="1"/>
  <c r="AA27" i="1" s="1"/>
  <c r="AQ28" i="1"/>
  <c r="BF28" i="1" s="1"/>
  <c r="AB28" i="1" s="1"/>
  <c r="AP28" i="1"/>
  <c r="BE28" i="1" s="1"/>
  <c r="AO28" i="1"/>
  <c r="BD28" i="1" s="1"/>
  <c r="AN28" i="1"/>
  <c r="BC28" i="1" s="1"/>
  <c r="AM28" i="1"/>
  <c r="BB28" i="1" s="1"/>
  <c r="AL28" i="1"/>
  <c r="BA28" i="1" s="1"/>
  <c r="AK28" i="1"/>
  <c r="AZ28" i="1" s="1"/>
  <c r="AJ28" i="1"/>
  <c r="AY28" i="1" s="1"/>
  <c r="AI28" i="1"/>
  <c r="AX28" i="1" s="1"/>
  <c r="AH28" i="1"/>
  <c r="AW28" i="1" s="1"/>
  <c r="AG28" i="1"/>
  <c r="AV28" i="1" s="1"/>
  <c r="AF28" i="1"/>
  <c r="AU28" i="1" s="1"/>
  <c r="AE28" i="1"/>
  <c r="AT28" i="1" s="1"/>
  <c r="AD28" i="1"/>
  <c r="AS28" i="1" s="1"/>
  <c r="AC28" i="1"/>
  <c r="AR28" i="1" s="1"/>
  <c r="Z28" i="1"/>
  <c r="AA28" i="1" s="1"/>
  <c r="AQ29" i="1"/>
  <c r="BF29" i="1" s="1"/>
  <c r="AB29" i="1" s="1"/>
  <c r="AP29" i="1"/>
  <c r="BE29" i="1" s="1"/>
  <c r="AO29" i="1"/>
  <c r="BD29" i="1" s="1"/>
  <c r="AN29" i="1"/>
  <c r="BC29" i="1" s="1"/>
  <c r="AM29" i="1"/>
  <c r="BB29" i="1" s="1"/>
  <c r="AL29" i="1"/>
  <c r="BA29" i="1" s="1"/>
  <c r="AK29" i="1"/>
  <c r="AZ29" i="1" s="1"/>
  <c r="AJ29" i="1"/>
  <c r="AY29" i="1" s="1"/>
  <c r="AI29" i="1"/>
  <c r="AX29" i="1" s="1"/>
  <c r="AH29" i="1"/>
  <c r="AW29" i="1" s="1"/>
  <c r="AG29" i="1"/>
  <c r="AV29" i="1" s="1"/>
  <c r="AF29" i="1"/>
  <c r="AU29" i="1" s="1"/>
  <c r="AE29" i="1"/>
  <c r="AT29" i="1" s="1"/>
  <c r="AD29" i="1"/>
  <c r="AS29" i="1" s="1"/>
  <c r="AC29" i="1"/>
  <c r="AR29" i="1" s="1"/>
  <c r="Z29" i="1"/>
  <c r="AA29" i="1" s="1"/>
  <c r="AQ30" i="1"/>
  <c r="BF30" i="1" s="1"/>
  <c r="AB30" i="1" s="1"/>
  <c r="AP30" i="1"/>
  <c r="BE30" i="1" s="1"/>
  <c r="AO30" i="1"/>
  <c r="BD30" i="1" s="1"/>
  <c r="AN30" i="1"/>
  <c r="BC30" i="1" s="1"/>
  <c r="AM30" i="1"/>
  <c r="BB30" i="1" s="1"/>
  <c r="AL30" i="1"/>
  <c r="BA30" i="1" s="1"/>
  <c r="AK30" i="1"/>
  <c r="AZ30" i="1" s="1"/>
  <c r="AJ30" i="1"/>
  <c r="AY30" i="1" s="1"/>
  <c r="AI30" i="1"/>
  <c r="AX30" i="1" s="1"/>
  <c r="AH30" i="1"/>
  <c r="AW30" i="1" s="1"/>
  <c r="AG30" i="1"/>
  <c r="AV30" i="1" s="1"/>
  <c r="AF30" i="1"/>
  <c r="AU30" i="1" s="1"/>
  <c r="AE30" i="1"/>
  <c r="AT30" i="1" s="1"/>
  <c r="AD30" i="1"/>
  <c r="AS30" i="1" s="1"/>
  <c r="AC30" i="1"/>
  <c r="AR30" i="1" s="1"/>
  <c r="Z30" i="1"/>
  <c r="AA30" i="1" s="1"/>
  <c r="AQ31" i="1"/>
  <c r="BF31" i="1" s="1"/>
  <c r="AB31" i="1" s="1"/>
  <c r="AP31" i="1"/>
  <c r="BE31" i="1" s="1"/>
  <c r="AO31" i="1"/>
  <c r="BD31" i="1" s="1"/>
  <c r="AN31" i="1"/>
  <c r="BC31" i="1" s="1"/>
  <c r="AM31" i="1"/>
  <c r="BB31" i="1" s="1"/>
  <c r="AL31" i="1"/>
  <c r="BA31" i="1" s="1"/>
  <c r="AK31" i="1"/>
  <c r="AZ31" i="1" s="1"/>
  <c r="AJ31" i="1"/>
  <c r="AY31" i="1" s="1"/>
  <c r="AI31" i="1"/>
  <c r="AX31" i="1" s="1"/>
  <c r="AH31" i="1"/>
  <c r="AW31" i="1" s="1"/>
  <c r="AG31" i="1"/>
  <c r="AV31" i="1" s="1"/>
  <c r="AF31" i="1"/>
  <c r="AU31" i="1" s="1"/>
  <c r="AE31" i="1"/>
  <c r="AT31" i="1" s="1"/>
  <c r="AD31" i="1"/>
  <c r="AS31" i="1" s="1"/>
  <c r="AC31" i="1"/>
  <c r="AR31" i="1" s="1"/>
  <c r="Z31" i="1"/>
  <c r="AA31" i="1" s="1"/>
  <c r="AQ32" i="1"/>
  <c r="BF32" i="1" s="1"/>
  <c r="AB32" i="1" s="1"/>
  <c r="AP32" i="1"/>
  <c r="BE32" i="1" s="1"/>
  <c r="AO32" i="1"/>
  <c r="BD32" i="1" s="1"/>
  <c r="AN32" i="1"/>
  <c r="BC32" i="1" s="1"/>
  <c r="AM32" i="1"/>
  <c r="BB32" i="1" s="1"/>
  <c r="AL32" i="1"/>
  <c r="BA32" i="1" s="1"/>
  <c r="AK32" i="1"/>
  <c r="AZ32" i="1" s="1"/>
  <c r="AJ32" i="1"/>
  <c r="AY32" i="1" s="1"/>
  <c r="AI32" i="1"/>
  <c r="AX32" i="1" s="1"/>
  <c r="AH32" i="1"/>
  <c r="AW32" i="1" s="1"/>
  <c r="AG32" i="1"/>
  <c r="AV32" i="1" s="1"/>
  <c r="AF32" i="1"/>
  <c r="AU32" i="1" s="1"/>
  <c r="AE32" i="1"/>
  <c r="AT32" i="1" s="1"/>
  <c r="AD32" i="1"/>
  <c r="AS32" i="1" s="1"/>
  <c r="AC32" i="1"/>
  <c r="AR32" i="1" s="1"/>
  <c r="Z32" i="1"/>
  <c r="AA32" i="1" s="1"/>
  <c r="AQ33" i="1"/>
  <c r="BF33" i="1" s="1"/>
  <c r="AB33" i="1" s="1"/>
  <c r="AP33" i="1"/>
  <c r="BE33" i="1" s="1"/>
  <c r="AO33" i="1"/>
  <c r="BD33" i="1" s="1"/>
  <c r="AN33" i="1"/>
  <c r="BC33" i="1" s="1"/>
  <c r="AM33" i="1"/>
  <c r="BB33" i="1" s="1"/>
  <c r="AL33" i="1"/>
  <c r="BA33" i="1" s="1"/>
  <c r="AK33" i="1"/>
  <c r="AZ33" i="1" s="1"/>
  <c r="AJ33" i="1"/>
  <c r="AY33" i="1" s="1"/>
  <c r="AI33" i="1"/>
  <c r="AX33" i="1" s="1"/>
  <c r="AH33" i="1"/>
  <c r="AW33" i="1" s="1"/>
  <c r="AG33" i="1"/>
  <c r="AV33" i="1" s="1"/>
  <c r="AF33" i="1"/>
  <c r="AU33" i="1" s="1"/>
  <c r="AE33" i="1"/>
  <c r="AT33" i="1" s="1"/>
  <c r="AD33" i="1"/>
  <c r="AS33" i="1" s="1"/>
  <c r="AC33" i="1"/>
  <c r="AR33" i="1" s="1"/>
  <c r="Z33" i="1"/>
  <c r="AA33" i="1" s="1"/>
  <c r="AQ34" i="1"/>
  <c r="BF34" i="1" s="1"/>
  <c r="AB34" i="1" s="1"/>
  <c r="AP34" i="1"/>
  <c r="BE34" i="1" s="1"/>
  <c r="AO34" i="1"/>
  <c r="BD34" i="1" s="1"/>
  <c r="AN34" i="1"/>
  <c r="BC34" i="1" s="1"/>
  <c r="AM34" i="1"/>
  <c r="BB34" i="1" s="1"/>
  <c r="AL34" i="1"/>
  <c r="BA34" i="1" s="1"/>
  <c r="AK34" i="1"/>
  <c r="AZ34" i="1" s="1"/>
  <c r="AJ34" i="1"/>
  <c r="AY34" i="1" s="1"/>
  <c r="AI34" i="1"/>
  <c r="AX34" i="1" s="1"/>
  <c r="AH34" i="1"/>
  <c r="AW34" i="1" s="1"/>
  <c r="AG34" i="1"/>
  <c r="AV34" i="1" s="1"/>
  <c r="AF34" i="1"/>
  <c r="AU34" i="1" s="1"/>
  <c r="AE34" i="1"/>
  <c r="AT34" i="1" s="1"/>
  <c r="AD34" i="1"/>
  <c r="AS34" i="1" s="1"/>
  <c r="AC34" i="1"/>
  <c r="AR34" i="1" s="1"/>
  <c r="Z34" i="1"/>
  <c r="AA34" i="1" s="1"/>
  <c r="AQ35" i="1"/>
  <c r="BF35" i="1" s="1"/>
  <c r="AB35" i="1" s="1"/>
  <c r="AP35" i="1"/>
  <c r="BE35" i="1" s="1"/>
  <c r="AO35" i="1"/>
  <c r="BD35" i="1" s="1"/>
  <c r="AN35" i="1"/>
  <c r="BC35" i="1" s="1"/>
  <c r="AM35" i="1"/>
  <c r="BB35" i="1" s="1"/>
  <c r="AL35" i="1"/>
  <c r="BA35" i="1" s="1"/>
  <c r="AK35" i="1"/>
  <c r="AZ35" i="1" s="1"/>
  <c r="AJ35" i="1"/>
  <c r="AY35" i="1" s="1"/>
  <c r="AI35" i="1"/>
  <c r="AX35" i="1" s="1"/>
  <c r="AH35" i="1"/>
  <c r="AW35" i="1" s="1"/>
  <c r="AG35" i="1"/>
  <c r="AV35" i="1" s="1"/>
  <c r="AF35" i="1"/>
  <c r="AU35" i="1" s="1"/>
  <c r="AE35" i="1"/>
  <c r="AT35" i="1" s="1"/>
  <c r="AD35" i="1"/>
  <c r="AS35" i="1" s="1"/>
  <c r="AC35" i="1"/>
  <c r="AR35" i="1" s="1"/>
  <c r="Z35" i="1"/>
  <c r="AA35" i="1" s="1"/>
  <c r="AQ36" i="1"/>
  <c r="BF36" i="1" s="1"/>
  <c r="AB36" i="1" s="1"/>
  <c r="AP36" i="1"/>
  <c r="BE36" i="1" s="1"/>
  <c r="AO36" i="1"/>
  <c r="BD36" i="1" s="1"/>
  <c r="AN36" i="1"/>
  <c r="BC36" i="1" s="1"/>
  <c r="AM36" i="1"/>
  <c r="BB36" i="1" s="1"/>
  <c r="AL36" i="1"/>
  <c r="BA36" i="1" s="1"/>
  <c r="AK36" i="1"/>
  <c r="AZ36" i="1" s="1"/>
  <c r="AJ36" i="1"/>
  <c r="AY36" i="1" s="1"/>
  <c r="AI36" i="1"/>
  <c r="AX36" i="1" s="1"/>
  <c r="AH36" i="1"/>
  <c r="AW36" i="1" s="1"/>
  <c r="AG36" i="1"/>
  <c r="AV36" i="1" s="1"/>
  <c r="AF36" i="1"/>
  <c r="AU36" i="1" s="1"/>
  <c r="AE36" i="1"/>
  <c r="AT36" i="1" s="1"/>
  <c r="AD36" i="1"/>
  <c r="AS36" i="1" s="1"/>
  <c r="AC36" i="1"/>
  <c r="AR36" i="1" s="1"/>
  <c r="Z36" i="1"/>
  <c r="AA36" i="1" s="1"/>
  <c r="AQ37" i="1"/>
  <c r="BF37" i="1" s="1"/>
  <c r="AB37" i="1" s="1"/>
  <c r="AP37" i="1"/>
  <c r="BE37" i="1" s="1"/>
  <c r="AO37" i="1"/>
  <c r="BD37" i="1" s="1"/>
  <c r="AN37" i="1"/>
  <c r="BC37" i="1" s="1"/>
  <c r="AM37" i="1"/>
  <c r="BB37" i="1" s="1"/>
  <c r="AL37" i="1"/>
  <c r="BA37" i="1" s="1"/>
  <c r="AK37" i="1"/>
  <c r="AZ37" i="1" s="1"/>
  <c r="AJ37" i="1"/>
  <c r="AY37" i="1" s="1"/>
  <c r="AI37" i="1"/>
  <c r="AX37" i="1" s="1"/>
  <c r="AH37" i="1"/>
  <c r="AW37" i="1" s="1"/>
  <c r="AG37" i="1"/>
  <c r="AV37" i="1" s="1"/>
  <c r="AF37" i="1"/>
  <c r="AU37" i="1" s="1"/>
  <c r="AE37" i="1"/>
  <c r="AT37" i="1" s="1"/>
  <c r="AD37" i="1"/>
  <c r="AS37" i="1" s="1"/>
  <c r="AC37" i="1"/>
  <c r="AR37" i="1" s="1"/>
  <c r="Z37" i="1"/>
  <c r="AA37" i="1" s="1"/>
  <c r="AQ38" i="1"/>
  <c r="BF38" i="1" s="1"/>
  <c r="AB38" i="1" s="1"/>
  <c r="AP38" i="1"/>
  <c r="BE38" i="1" s="1"/>
  <c r="AO38" i="1"/>
  <c r="BD38" i="1" s="1"/>
  <c r="AN38" i="1"/>
  <c r="BC38" i="1" s="1"/>
  <c r="AM38" i="1"/>
  <c r="BB38" i="1" s="1"/>
  <c r="AL38" i="1"/>
  <c r="BA38" i="1" s="1"/>
  <c r="AK38" i="1"/>
  <c r="AZ38" i="1" s="1"/>
  <c r="AJ38" i="1"/>
  <c r="AY38" i="1" s="1"/>
  <c r="AI38" i="1"/>
  <c r="AX38" i="1" s="1"/>
  <c r="AH38" i="1"/>
  <c r="AW38" i="1" s="1"/>
  <c r="AG38" i="1"/>
  <c r="AV38" i="1" s="1"/>
  <c r="AF38" i="1"/>
  <c r="AU38" i="1" s="1"/>
  <c r="AE38" i="1"/>
  <c r="AT38" i="1" s="1"/>
  <c r="AD38" i="1"/>
  <c r="AS38" i="1" s="1"/>
  <c r="AC38" i="1"/>
  <c r="AR38" i="1" s="1"/>
  <c r="Z38" i="1"/>
  <c r="AA38" i="1" s="1"/>
  <c r="AQ39" i="1"/>
  <c r="BF39" i="1" s="1"/>
  <c r="AB39" i="1" s="1"/>
  <c r="AP39" i="1"/>
  <c r="BE39" i="1" s="1"/>
  <c r="AO39" i="1"/>
  <c r="BD39" i="1" s="1"/>
  <c r="AN39" i="1"/>
  <c r="BC39" i="1" s="1"/>
  <c r="AM39" i="1"/>
  <c r="BB39" i="1" s="1"/>
  <c r="AL39" i="1"/>
  <c r="BA39" i="1" s="1"/>
  <c r="AK39" i="1"/>
  <c r="AZ39" i="1" s="1"/>
  <c r="AJ39" i="1"/>
  <c r="AY39" i="1" s="1"/>
  <c r="AI39" i="1"/>
  <c r="AX39" i="1" s="1"/>
  <c r="AH39" i="1"/>
  <c r="AW39" i="1" s="1"/>
  <c r="AG39" i="1"/>
  <c r="AV39" i="1" s="1"/>
  <c r="AF39" i="1"/>
  <c r="AU39" i="1" s="1"/>
  <c r="AE39" i="1"/>
  <c r="AT39" i="1" s="1"/>
  <c r="AD39" i="1"/>
  <c r="AS39" i="1" s="1"/>
  <c r="AC39" i="1"/>
  <c r="AR39" i="1" s="1"/>
  <c r="Z39" i="1"/>
  <c r="AA39" i="1" s="1"/>
  <c r="AQ40" i="1"/>
  <c r="BF40" i="1" s="1"/>
  <c r="AB40" i="1" s="1"/>
  <c r="AP40" i="1"/>
  <c r="BE40" i="1" s="1"/>
  <c r="AO40" i="1"/>
  <c r="BD40" i="1" s="1"/>
  <c r="AN40" i="1"/>
  <c r="BC40" i="1" s="1"/>
  <c r="AM40" i="1"/>
  <c r="BB40" i="1" s="1"/>
  <c r="AL40" i="1"/>
  <c r="BA40" i="1" s="1"/>
  <c r="AK40" i="1"/>
  <c r="AZ40" i="1" s="1"/>
  <c r="AJ40" i="1"/>
  <c r="AY40" i="1" s="1"/>
  <c r="AI40" i="1"/>
  <c r="AX40" i="1" s="1"/>
  <c r="AH40" i="1"/>
  <c r="AW40" i="1" s="1"/>
  <c r="AG40" i="1"/>
  <c r="AV40" i="1" s="1"/>
  <c r="AF40" i="1"/>
  <c r="AU40" i="1" s="1"/>
  <c r="AE40" i="1"/>
  <c r="AT40" i="1" s="1"/>
  <c r="AD40" i="1"/>
  <c r="AS40" i="1" s="1"/>
  <c r="AC40" i="1"/>
  <c r="AR40" i="1" s="1"/>
  <c r="Z40" i="1"/>
  <c r="AA40" i="1" s="1"/>
  <c r="AQ41" i="1"/>
  <c r="BF41" i="1" s="1"/>
  <c r="AB41" i="1" s="1"/>
  <c r="AP41" i="1"/>
  <c r="BE41" i="1" s="1"/>
  <c r="AO41" i="1"/>
  <c r="BD41" i="1" s="1"/>
  <c r="AN41" i="1"/>
  <c r="BC41" i="1" s="1"/>
  <c r="AM41" i="1"/>
  <c r="BB41" i="1" s="1"/>
  <c r="AL41" i="1"/>
  <c r="BA41" i="1" s="1"/>
  <c r="AK41" i="1"/>
  <c r="AZ41" i="1" s="1"/>
  <c r="AJ41" i="1"/>
  <c r="AY41" i="1" s="1"/>
  <c r="AI41" i="1"/>
  <c r="AX41" i="1" s="1"/>
  <c r="AH41" i="1"/>
  <c r="AW41" i="1" s="1"/>
  <c r="AG41" i="1"/>
  <c r="AV41" i="1" s="1"/>
  <c r="AF41" i="1"/>
  <c r="AU41" i="1" s="1"/>
  <c r="AE41" i="1"/>
  <c r="AT41" i="1" s="1"/>
  <c r="AD41" i="1"/>
  <c r="AS41" i="1" s="1"/>
  <c r="AC41" i="1"/>
  <c r="AR41" i="1" s="1"/>
  <c r="Z41" i="1"/>
  <c r="AA41" i="1" s="1"/>
  <c r="AQ42" i="1"/>
  <c r="BF42" i="1" s="1"/>
  <c r="AB42" i="1" s="1"/>
  <c r="AP42" i="1"/>
  <c r="BE42" i="1" s="1"/>
  <c r="AO42" i="1"/>
  <c r="BD42" i="1" s="1"/>
  <c r="AN42" i="1"/>
  <c r="BC42" i="1" s="1"/>
  <c r="AM42" i="1"/>
  <c r="BB42" i="1" s="1"/>
  <c r="AL42" i="1"/>
  <c r="BA42" i="1" s="1"/>
  <c r="AK42" i="1"/>
  <c r="AZ42" i="1" s="1"/>
  <c r="AJ42" i="1"/>
  <c r="AY42" i="1" s="1"/>
  <c r="AI42" i="1"/>
  <c r="AX42" i="1" s="1"/>
  <c r="AH42" i="1"/>
  <c r="AW42" i="1" s="1"/>
  <c r="AG42" i="1"/>
  <c r="AV42" i="1" s="1"/>
  <c r="AF42" i="1"/>
  <c r="AU42" i="1" s="1"/>
  <c r="AE42" i="1"/>
  <c r="AT42" i="1" s="1"/>
  <c r="AD42" i="1"/>
  <c r="AS42" i="1" s="1"/>
  <c r="AC42" i="1"/>
  <c r="AR42" i="1" s="1"/>
  <c r="Z42" i="1"/>
  <c r="AA42" i="1" s="1"/>
  <c r="AQ43" i="1"/>
  <c r="BF43" i="1" s="1"/>
  <c r="AB43" i="1" s="1"/>
  <c r="AP43" i="1"/>
  <c r="BE43" i="1" s="1"/>
  <c r="AO43" i="1"/>
  <c r="BD43" i="1" s="1"/>
  <c r="AN43" i="1"/>
  <c r="BC43" i="1" s="1"/>
  <c r="AM43" i="1"/>
  <c r="BB43" i="1" s="1"/>
  <c r="AL43" i="1"/>
  <c r="BA43" i="1" s="1"/>
  <c r="AK43" i="1"/>
  <c r="AZ43" i="1" s="1"/>
  <c r="AJ43" i="1"/>
  <c r="AY43" i="1" s="1"/>
  <c r="AI43" i="1"/>
  <c r="AX43" i="1" s="1"/>
  <c r="AH43" i="1"/>
  <c r="AW43" i="1" s="1"/>
  <c r="AG43" i="1"/>
  <c r="AV43" i="1" s="1"/>
  <c r="AF43" i="1"/>
  <c r="AU43" i="1" s="1"/>
  <c r="AE43" i="1"/>
  <c r="AT43" i="1" s="1"/>
  <c r="AD43" i="1"/>
  <c r="AS43" i="1" s="1"/>
  <c r="AC43" i="1"/>
  <c r="AR43" i="1" s="1"/>
  <c r="Z43" i="1"/>
  <c r="AA43" i="1" s="1"/>
  <c r="AQ44" i="1"/>
  <c r="BF44" i="1" s="1"/>
  <c r="AB44" i="1" s="1"/>
  <c r="AP44" i="1"/>
  <c r="BE44" i="1" s="1"/>
  <c r="AO44" i="1"/>
  <c r="BD44" i="1" s="1"/>
  <c r="AN44" i="1"/>
  <c r="BC44" i="1" s="1"/>
  <c r="AM44" i="1"/>
  <c r="BB44" i="1" s="1"/>
  <c r="AL44" i="1"/>
  <c r="BA44" i="1" s="1"/>
  <c r="AK44" i="1"/>
  <c r="AZ44" i="1" s="1"/>
  <c r="AJ44" i="1"/>
  <c r="AY44" i="1" s="1"/>
  <c r="AI44" i="1"/>
  <c r="AX44" i="1" s="1"/>
  <c r="AH44" i="1"/>
  <c r="AW44" i="1" s="1"/>
  <c r="AG44" i="1"/>
  <c r="AV44" i="1" s="1"/>
  <c r="AF44" i="1"/>
  <c r="AU44" i="1" s="1"/>
  <c r="AE44" i="1"/>
  <c r="AT44" i="1" s="1"/>
  <c r="AD44" i="1"/>
  <c r="AS44" i="1" s="1"/>
  <c r="AC44" i="1"/>
  <c r="AR44" i="1" s="1"/>
  <c r="Z44" i="1"/>
  <c r="AA44" i="1" s="1"/>
  <c r="AQ45" i="1"/>
  <c r="BF45" i="1" s="1"/>
  <c r="AB45" i="1" s="1"/>
  <c r="AP45" i="1"/>
  <c r="BE45" i="1" s="1"/>
  <c r="AO45" i="1"/>
  <c r="BD45" i="1" s="1"/>
  <c r="AN45" i="1"/>
  <c r="BC45" i="1" s="1"/>
  <c r="AM45" i="1"/>
  <c r="BB45" i="1" s="1"/>
  <c r="AL45" i="1"/>
  <c r="BA45" i="1" s="1"/>
  <c r="AK45" i="1"/>
  <c r="AZ45" i="1" s="1"/>
  <c r="AJ45" i="1"/>
  <c r="AY45" i="1" s="1"/>
  <c r="AI45" i="1"/>
  <c r="AX45" i="1" s="1"/>
  <c r="AH45" i="1"/>
  <c r="AW45" i="1" s="1"/>
  <c r="AG45" i="1"/>
  <c r="AV45" i="1" s="1"/>
  <c r="AF45" i="1"/>
  <c r="AU45" i="1" s="1"/>
  <c r="AE45" i="1"/>
  <c r="AT45" i="1" s="1"/>
  <c r="AD45" i="1"/>
  <c r="AS45" i="1" s="1"/>
  <c r="AC45" i="1"/>
  <c r="AR45" i="1" s="1"/>
  <c r="Z45" i="1"/>
  <c r="AA45" i="1" s="1"/>
  <c r="AQ46" i="1"/>
  <c r="BF46" i="1" s="1"/>
  <c r="AB46" i="1" s="1"/>
  <c r="AP46" i="1"/>
  <c r="BE46" i="1" s="1"/>
  <c r="AO46" i="1"/>
  <c r="BD46" i="1" s="1"/>
  <c r="AN46" i="1"/>
  <c r="BC46" i="1" s="1"/>
  <c r="AM46" i="1"/>
  <c r="BB46" i="1" s="1"/>
  <c r="AL46" i="1"/>
  <c r="BA46" i="1" s="1"/>
  <c r="AK46" i="1"/>
  <c r="AZ46" i="1" s="1"/>
  <c r="AJ46" i="1"/>
  <c r="AY46" i="1" s="1"/>
  <c r="AI46" i="1"/>
  <c r="AX46" i="1" s="1"/>
  <c r="AH46" i="1"/>
  <c r="AW46" i="1" s="1"/>
  <c r="AG46" i="1"/>
  <c r="AV46" i="1" s="1"/>
  <c r="AF46" i="1"/>
  <c r="AU46" i="1" s="1"/>
  <c r="AE46" i="1"/>
  <c r="AT46" i="1" s="1"/>
  <c r="AD46" i="1"/>
  <c r="AS46" i="1" s="1"/>
  <c r="AC46" i="1"/>
  <c r="AR46" i="1" s="1"/>
  <c r="Z46" i="1"/>
  <c r="AA46" i="1" s="1"/>
  <c r="AQ47" i="1"/>
  <c r="BF47" i="1" s="1"/>
  <c r="AB47" i="1" s="1"/>
  <c r="AP47" i="1"/>
  <c r="BE47" i="1" s="1"/>
  <c r="AO47" i="1"/>
  <c r="BD47" i="1" s="1"/>
  <c r="AN47" i="1"/>
  <c r="BC47" i="1" s="1"/>
  <c r="AM47" i="1"/>
  <c r="BB47" i="1" s="1"/>
  <c r="AL47" i="1"/>
  <c r="BA47" i="1" s="1"/>
  <c r="AK47" i="1"/>
  <c r="AZ47" i="1" s="1"/>
  <c r="AJ47" i="1"/>
  <c r="AY47" i="1" s="1"/>
  <c r="AI47" i="1"/>
  <c r="AX47" i="1" s="1"/>
  <c r="AH47" i="1"/>
  <c r="AW47" i="1" s="1"/>
  <c r="AG47" i="1"/>
  <c r="AV47" i="1" s="1"/>
  <c r="AF47" i="1"/>
  <c r="AU47" i="1" s="1"/>
  <c r="AE47" i="1"/>
  <c r="AT47" i="1" s="1"/>
  <c r="AD47" i="1"/>
  <c r="AS47" i="1" s="1"/>
  <c r="AC47" i="1"/>
  <c r="AR47" i="1" s="1"/>
  <c r="Z47" i="1"/>
  <c r="AA47" i="1" s="1"/>
  <c r="AQ48" i="1"/>
  <c r="BF48" i="1" s="1"/>
  <c r="AB48" i="1" s="1"/>
  <c r="AP48" i="1"/>
  <c r="BE48" i="1" s="1"/>
  <c r="AO48" i="1"/>
  <c r="BD48" i="1" s="1"/>
  <c r="AN48" i="1"/>
  <c r="BC48" i="1" s="1"/>
  <c r="AM48" i="1"/>
  <c r="BB48" i="1" s="1"/>
  <c r="AL48" i="1"/>
  <c r="BA48" i="1" s="1"/>
  <c r="AK48" i="1"/>
  <c r="AZ48" i="1" s="1"/>
  <c r="AJ48" i="1"/>
  <c r="AY48" i="1" s="1"/>
  <c r="AI48" i="1"/>
  <c r="AX48" i="1" s="1"/>
  <c r="AH48" i="1"/>
  <c r="AW48" i="1" s="1"/>
  <c r="AG48" i="1"/>
  <c r="AV48" i="1" s="1"/>
  <c r="AF48" i="1"/>
  <c r="AU48" i="1" s="1"/>
  <c r="AE48" i="1"/>
  <c r="AT48" i="1" s="1"/>
  <c r="AD48" i="1"/>
  <c r="AS48" i="1" s="1"/>
  <c r="AC48" i="1"/>
  <c r="AR48" i="1" s="1"/>
  <c r="Z48" i="1"/>
  <c r="AA48" i="1" s="1"/>
  <c r="AQ49" i="1"/>
  <c r="BF49" i="1" s="1"/>
  <c r="AB49" i="1" s="1"/>
  <c r="AP49" i="1"/>
  <c r="BE49" i="1" s="1"/>
  <c r="AO49" i="1"/>
  <c r="BD49" i="1" s="1"/>
  <c r="AN49" i="1"/>
  <c r="BC49" i="1" s="1"/>
  <c r="AM49" i="1"/>
  <c r="BB49" i="1" s="1"/>
  <c r="AL49" i="1"/>
  <c r="BA49" i="1" s="1"/>
  <c r="AK49" i="1"/>
  <c r="AZ49" i="1" s="1"/>
  <c r="AJ49" i="1"/>
  <c r="AY49" i="1" s="1"/>
  <c r="AI49" i="1"/>
  <c r="AX49" i="1" s="1"/>
  <c r="AH49" i="1"/>
  <c r="AW49" i="1" s="1"/>
  <c r="AG49" i="1"/>
  <c r="AV49" i="1" s="1"/>
  <c r="AF49" i="1"/>
  <c r="AU49" i="1" s="1"/>
  <c r="AE49" i="1"/>
  <c r="AT49" i="1" s="1"/>
  <c r="AD49" i="1"/>
  <c r="AS49" i="1" s="1"/>
  <c r="AC49" i="1"/>
  <c r="AR49" i="1" s="1"/>
  <c r="Z49" i="1"/>
  <c r="AA49" i="1" s="1"/>
  <c r="AQ50" i="1"/>
  <c r="BF50" i="1" s="1"/>
  <c r="AB50" i="1" s="1"/>
  <c r="AP50" i="1"/>
  <c r="BE50" i="1" s="1"/>
  <c r="AO50" i="1"/>
  <c r="BD50" i="1" s="1"/>
  <c r="AN50" i="1"/>
  <c r="BC50" i="1" s="1"/>
  <c r="AM50" i="1"/>
  <c r="BB50" i="1" s="1"/>
  <c r="AL50" i="1"/>
  <c r="BA50" i="1" s="1"/>
  <c r="AK50" i="1"/>
  <c r="AZ50" i="1" s="1"/>
  <c r="AJ50" i="1"/>
  <c r="AY50" i="1" s="1"/>
  <c r="AI50" i="1"/>
  <c r="AX50" i="1" s="1"/>
  <c r="AH50" i="1"/>
  <c r="AW50" i="1" s="1"/>
  <c r="AG50" i="1"/>
  <c r="AV50" i="1" s="1"/>
  <c r="AF50" i="1"/>
  <c r="AU50" i="1" s="1"/>
  <c r="AE50" i="1"/>
  <c r="AT50" i="1" s="1"/>
  <c r="AD50" i="1"/>
  <c r="AS50" i="1" s="1"/>
  <c r="AC50" i="1"/>
  <c r="AR50" i="1" s="1"/>
  <c r="Z50" i="1"/>
  <c r="AA50" i="1" s="1"/>
  <c r="I8" i="4"/>
  <c r="I9" i="4"/>
  <c r="B9" i="6" s="1"/>
  <c r="I10" i="4"/>
  <c r="B10" i="6" s="1"/>
  <c r="I11" i="4"/>
  <c r="B11" i="6" s="1"/>
  <c r="I12" i="4"/>
  <c r="B12" i="6" s="1"/>
  <c r="I13" i="4"/>
  <c r="B13" i="6" s="1"/>
  <c r="I14" i="4"/>
  <c r="B14" i="6" s="1"/>
  <c r="I15" i="4"/>
  <c r="B15" i="6" s="1"/>
  <c r="I16" i="4"/>
  <c r="I17" i="4"/>
  <c r="B17" i="6" s="1"/>
  <c r="I19" i="4"/>
  <c r="B19" i="6" s="1"/>
  <c r="I20" i="4"/>
  <c r="B20" i="6" s="1"/>
  <c r="I21" i="4"/>
  <c r="B21" i="6" s="1"/>
  <c r="I22" i="4"/>
  <c r="B22" i="6" s="1"/>
  <c r="I23" i="4"/>
  <c r="B23" i="6" s="1"/>
  <c r="I25" i="4"/>
  <c r="B25" i="6" s="1"/>
  <c r="I26" i="4"/>
  <c r="B26" i="6" s="1"/>
  <c r="I27" i="4"/>
  <c r="B27" i="6" s="1"/>
  <c r="I28" i="4"/>
  <c r="B28" i="6" s="1"/>
  <c r="I29" i="4"/>
  <c r="B29" i="6" s="1"/>
  <c r="I30" i="4"/>
  <c r="B30" i="6" s="1"/>
  <c r="I31" i="4"/>
  <c r="B31" i="6" s="1"/>
  <c r="I32" i="4"/>
  <c r="B32" i="6" s="1"/>
  <c r="I34" i="4"/>
  <c r="B34" i="6" s="1"/>
  <c r="I35" i="4"/>
  <c r="B35" i="6" s="1"/>
  <c r="I36" i="4"/>
  <c r="B36" i="6" s="1"/>
  <c r="I37" i="4"/>
  <c r="B37" i="6" s="1"/>
  <c r="I38" i="4"/>
  <c r="B38" i="6" s="1"/>
  <c r="I39" i="4"/>
  <c r="B39" i="6" s="1"/>
  <c r="I40" i="4"/>
  <c r="B40" i="6" s="1"/>
  <c r="I41" i="4"/>
  <c r="B41" i="6" s="1"/>
  <c r="I42" i="4"/>
  <c r="B42" i="6" s="1"/>
  <c r="I44" i="4"/>
  <c r="B44" i="6" s="1"/>
  <c r="I45" i="4"/>
  <c r="B45" i="6" s="1"/>
  <c r="I46" i="4"/>
  <c r="B46" i="6" s="1"/>
  <c r="I47" i="4"/>
  <c r="B47" i="6" s="1"/>
  <c r="I48" i="4"/>
  <c r="B48" i="6" s="1"/>
  <c r="I49" i="4"/>
  <c r="B49" i="6" s="1"/>
  <c r="I50" i="4"/>
  <c r="B50" i="6" s="1"/>
  <c r="I51" i="4"/>
  <c r="B51" i="6" s="1"/>
  <c r="I53" i="4"/>
  <c r="B53" i="6" s="1"/>
  <c r="I54" i="4"/>
  <c r="B54" i="6" s="1"/>
  <c r="I55" i="4"/>
  <c r="B55" i="6" s="1"/>
  <c r="T13" i="3"/>
  <c r="R13" i="3"/>
  <c r="S13" i="3" s="1"/>
  <c r="T14" i="3"/>
  <c r="R14" i="3"/>
  <c r="S14" i="3" s="1"/>
  <c r="T15" i="3"/>
  <c r="R15" i="3"/>
  <c r="S15" i="3" s="1"/>
  <c r="T16" i="3"/>
  <c r="R16" i="3"/>
  <c r="S16" i="3" s="1"/>
  <c r="T17" i="3"/>
  <c r="R17" i="3"/>
  <c r="S17" i="3" s="1"/>
  <c r="T18" i="3"/>
  <c r="R18" i="3"/>
  <c r="S18" i="3" s="1"/>
  <c r="T19" i="3"/>
  <c r="R19" i="3"/>
  <c r="S19" i="3" s="1"/>
  <c r="T20" i="3"/>
  <c r="R20" i="3"/>
  <c r="S20" i="3" s="1"/>
  <c r="T21" i="3"/>
  <c r="R21" i="3"/>
  <c r="S21" i="3" s="1"/>
  <c r="T22" i="3"/>
  <c r="R22" i="3"/>
  <c r="S22" i="3" s="1"/>
  <c r="T23" i="3"/>
  <c r="R23" i="3"/>
  <c r="S23" i="3" s="1"/>
  <c r="T24" i="3"/>
  <c r="R24" i="3"/>
  <c r="S24" i="3" s="1"/>
  <c r="T25" i="3"/>
  <c r="R25" i="3"/>
  <c r="S25" i="3" s="1"/>
  <c r="T26" i="3"/>
  <c r="R26" i="3"/>
  <c r="S26" i="3" s="1"/>
  <c r="T27" i="3"/>
  <c r="R27" i="3"/>
  <c r="S27" i="3" s="1"/>
  <c r="T28" i="3"/>
  <c r="R28" i="3"/>
  <c r="S28" i="3" s="1"/>
  <c r="L11" i="6"/>
  <c r="S11" i="4"/>
  <c r="V11" i="6"/>
  <c r="M13" i="5"/>
  <c r="W11" i="4"/>
  <c r="L12" i="6"/>
  <c r="S12" i="4"/>
  <c r="M12" i="6" s="1"/>
  <c r="V12" i="6"/>
  <c r="M14" i="5"/>
  <c r="W12" i="4"/>
  <c r="L13" i="6"/>
  <c r="S13" i="4"/>
  <c r="V13" i="6"/>
  <c r="M15" i="5"/>
  <c r="W13" i="4"/>
  <c r="L14" i="6"/>
  <c r="S14" i="4"/>
  <c r="M14" i="6" s="1"/>
  <c r="V14" i="6"/>
  <c r="M16" i="5"/>
  <c r="W14" i="4"/>
  <c r="L15" i="6"/>
  <c r="S15" i="4"/>
  <c r="M15" i="6" s="1"/>
  <c r="V15" i="6"/>
  <c r="M17" i="5"/>
  <c r="W15" i="4"/>
  <c r="L16" i="6"/>
  <c r="S16" i="4"/>
  <c r="M16" i="6" s="1"/>
  <c r="V16" i="6"/>
  <c r="M18" i="5"/>
  <c r="W16" i="4"/>
  <c r="L17" i="6"/>
  <c r="S17" i="4"/>
  <c r="M17" i="6" s="1"/>
  <c r="V17" i="6"/>
  <c r="M19" i="5"/>
  <c r="W17" i="4"/>
  <c r="L18" i="6"/>
  <c r="S18" i="4"/>
  <c r="M18" i="6" s="1"/>
  <c r="V18" i="6"/>
  <c r="M20" i="5"/>
  <c r="W18" i="4"/>
  <c r="V19" i="6"/>
  <c r="M21" i="5"/>
  <c r="W19" i="4"/>
  <c r="V20" i="6"/>
  <c r="M22" i="5"/>
  <c r="W20" i="4"/>
  <c r="V21" i="6"/>
  <c r="M23" i="5"/>
  <c r="W21" i="4"/>
  <c r="V22" i="6"/>
  <c r="M24" i="5"/>
  <c r="W22" i="4"/>
  <c r="V23" i="6"/>
  <c r="M25" i="5"/>
  <c r="W23" i="4"/>
  <c r="V24" i="6"/>
  <c r="M26" i="5"/>
  <c r="W24" i="4"/>
  <c r="V25" i="6"/>
  <c r="M27" i="5"/>
  <c r="W25" i="4"/>
  <c r="V26" i="6"/>
  <c r="M28" i="5"/>
  <c r="W26" i="4"/>
  <c r="T28" i="5" l="1"/>
  <c r="R28" i="5"/>
  <c r="S28" i="5" s="1"/>
  <c r="V26" i="8"/>
  <c r="M28" i="7"/>
  <c r="W26" i="6"/>
  <c r="T27" i="5"/>
  <c r="R27" i="5"/>
  <c r="S27" i="5" s="1"/>
  <c r="V25" i="8"/>
  <c r="M27" i="7"/>
  <c r="W25" i="6"/>
  <c r="T26" i="5"/>
  <c r="R26" i="5"/>
  <c r="S26" i="5" s="1"/>
  <c r="V24" i="8"/>
  <c r="M26" i="7"/>
  <c r="W24" i="6"/>
  <c r="T25" i="5"/>
  <c r="R25" i="5"/>
  <c r="S25" i="5" s="1"/>
  <c r="V23" i="8"/>
  <c r="M25" i="7"/>
  <c r="W23" i="6"/>
  <c r="T24" i="5"/>
  <c r="R24" i="5"/>
  <c r="S24" i="5" s="1"/>
  <c r="V22" i="8"/>
  <c r="M24" i="7"/>
  <c r="W22" i="6"/>
  <c r="T23" i="5"/>
  <c r="R23" i="5"/>
  <c r="S23" i="5" s="1"/>
  <c r="V21" i="8"/>
  <c r="M23" i="7"/>
  <c r="W21" i="6"/>
  <c r="T22" i="5"/>
  <c r="R22" i="5"/>
  <c r="S22" i="5" s="1"/>
  <c r="V20" i="8"/>
  <c r="M22" i="7"/>
  <c r="W20" i="6"/>
  <c r="T21" i="5"/>
  <c r="R21" i="5"/>
  <c r="S21" i="5" s="1"/>
  <c r="V19" i="8"/>
  <c r="M21" i="7"/>
  <c r="W19" i="6"/>
  <c r="T20" i="5"/>
  <c r="R20" i="5"/>
  <c r="S20" i="5" s="1"/>
  <c r="V18" i="8"/>
  <c r="M20" i="7"/>
  <c r="W18" i="6"/>
  <c r="L18" i="8"/>
  <c r="S18" i="6"/>
  <c r="M18" i="8" s="1"/>
  <c r="T19" i="5"/>
  <c r="R19" i="5"/>
  <c r="S19" i="5" s="1"/>
  <c r="V17" i="8"/>
  <c r="M19" i="7"/>
  <c r="W17" i="6"/>
  <c r="L17" i="8"/>
  <c r="S17" i="6"/>
  <c r="M17" i="8" s="1"/>
  <c r="T18" i="5"/>
  <c r="R18" i="5"/>
  <c r="S18" i="5" s="1"/>
  <c r="V16" i="8"/>
  <c r="M18" i="7"/>
  <c r="W16" i="6"/>
  <c r="L16" i="8"/>
  <c r="S16" i="6"/>
  <c r="M16" i="8" s="1"/>
  <c r="T17" i="5"/>
  <c r="R17" i="5"/>
  <c r="S17" i="5" s="1"/>
  <c r="V15" i="8"/>
  <c r="M17" i="7"/>
  <c r="W15" i="6"/>
  <c r="L15" i="8"/>
  <c r="S15" i="6"/>
  <c r="M15" i="8" s="1"/>
  <c r="T16" i="5"/>
  <c r="R16" i="5"/>
  <c r="S16" i="5" s="1"/>
  <c r="V14" i="8"/>
  <c r="M16" i="7"/>
  <c r="W14" i="6"/>
  <c r="L14" i="8"/>
  <c r="S14" i="6"/>
  <c r="M14" i="8" s="1"/>
  <c r="T15" i="5"/>
  <c r="R15" i="5"/>
  <c r="S15" i="5" s="1"/>
  <c r="V13" i="8"/>
  <c r="M15" i="7"/>
  <c r="W13" i="6"/>
  <c r="N6" i="4"/>
  <c r="J6" i="5" s="1"/>
  <c r="J8" i="5" s="1"/>
  <c r="K8" i="5" s="1"/>
  <c r="M13" i="6"/>
  <c r="L13" i="8"/>
  <c r="S13" i="6"/>
  <c r="T14" i="5"/>
  <c r="R14" i="5"/>
  <c r="S14" i="5" s="1"/>
  <c r="V12" i="8"/>
  <c r="M14" i="7"/>
  <c r="W12" i="6"/>
  <c r="L12" i="8"/>
  <c r="S12" i="6"/>
  <c r="M12" i="8" s="1"/>
  <c r="T13" i="5"/>
  <c r="R13" i="5"/>
  <c r="S13" i="5" s="1"/>
  <c r="V11" i="8"/>
  <c r="M13" i="7"/>
  <c r="W11" i="6"/>
  <c r="U6" i="4"/>
  <c r="B6" i="5" s="1"/>
  <c r="B8" i="5" s="1"/>
  <c r="C8" i="5" s="1"/>
  <c r="M11" i="6"/>
  <c r="L11" i="8"/>
  <c r="S11" i="6"/>
  <c r="I55" i="6"/>
  <c r="B55" i="8" s="1"/>
  <c r="I54" i="6"/>
  <c r="B54" i="8" s="1"/>
  <c r="I53" i="6"/>
  <c r="B53" i="8" s="1"/>
  <c r="I51" i="6"/>
  <c r="B51" i="8" s="1"/>
  <c r="I50" i="6"/>
  <c r="B50" i="8" s="1"/>
  <c r="I49" i="6"/>
  <c r="B49" i="8" s="1"/>
  <c r="I48" i="6"/>
  <c r="B48" i="8" s="1"/>
  <c r="I47" i="6"/>
  <c r="B47" i="8" s="1"/>
  <c r="I46" i="6"/>
  <c r="B46" i="8" s="1"/>
  <c r="I45" i="6"/>
  <c r="B45" i="8" s="1"/>
  <c r="I44" i="6"/>
  <c r="B44" i="8" s="1"/>
  <c r="I42" i="6"/>
  <c r="B42" i="8" s="1"/>
  <c r="I41" i="6"/>
  <c r="B41" i="8" s="1"/>
  <c r="I40" i="6"/>
  <c r="B40" i="8" s="1"/>
  <c r="I39" i="6"/>
  <c r="B39" i="8" s="1"/>
  <c r="I38" i="6"/>
  <c r="B38" i="8" s="1"/>
  <c r="I37" i="6"/>
  <c r="B37" i="8" s="1"/>
  <c r="I36" i="6"/>
  <c r="B36" i="8" s="1"/>
  <c r="I35" i="6"/>
  <c r="B35" i="8" s="1"/>
  <c r="I34" i="6"/>
  <c r="B34" i="8" s="1"/>
  <c r="I32" i="6"/>
  <c r="B32" i="8" s="1"/>
  <c r="I31" i="6"/>
  <c r="B31" i="8" s="1"/>
  <c r="I30" i="6"/>
  <c r="B30" i="8" s="1"/>
  <c r="I29" i="6"/>
  <c r="B29" i="8" s="1"/>
  <c r="I28" i="6"/>
  <c r="B28" i="8" s="1"/>
  <c r="I27" i="6"/>
  <c r="B27" i="8" s="1"/>
  <c r="I26" i="6"/>
  <c r="B26" i="8" s="1"/>
  <c r="I25" i="6"/>
  <c r="B25" i="8" s="1"/>
  <c r="I23" i="6"/>
  <c r="B23" i="8" s="1"/>
  <c r="I22" i="6"/>
  <c r="B22" i="8" s="1"/>
  <c r="I21" i="6"/>
  <c r="B21" i="8" s="1"/>
  <c r="I20" i="6"/>
  <c r="B20" i="8" s="1"/>
  <c r="I19" i="6"/>
  <c r="B19" i="8" s="1"/>
  <c r="I17" i="6"/>
  <c r="B17" i="8" s="1"/>
  <c r="Q6" i="4"/>
  <c r="N6" i="5" s="1"/>
  <c r="N8" i="5" s="1"/>
  <c r="O8" i="5" s="1"/>
  <c r="B16" i="6"/>
  <c r="I15" i="6"/>
  <c r="B15" i="8" s="1"/>
  <c r="I14" i="6"/>
  <c r="B14" i="8" s="1"/>
  <c r="I13" i="6"/>
  <c r="B13" i="8" s="1"/>
  <c r="I12" i="6"/>
  <c r="B12" i="8" s="1"/>
  <c r="I11" i="6"/>
  <c r="B11" i="8" s="1"/>
  <c r="I10" i="6"/>
  <c r="B10" i="8" s="1"/>
  <c r="I9" i="6"/>
  <c r="B9" i="8" s="1"/>
  <c r="K6" i="4"/>
  <c r="F6" i="5" s="1"/>
  <c r="F8" i="5" s="1"/>
  <c r="G8" i="5" s="1"/>
  <c r="B8" i="6"/>
  <c r="I8" i="6" l="1"/>
  <c r="I9" i="8"/>
  <c r="B9" i="10" s="1"/>
  <c r="I10" i="8"/>
  <c r="B10" i="10" s="1"/>
  <c r="I11" i="8"/>
  <c r="B11" i="10" s="1"/>
  <c r="I12" i="8"/>
  <c r="B12" i="10" s="1"/>
  <c r="I13" i="8"/>
  <c r="B13" i="10" s="1"/>
  <c r="I14" i="8"/>
  <c r="B14" i="10" s="1"/>
  <c r="I15" i="8"/>
  <c r="B15" i="10" s="1"/>
  <c r="I16" i="6"/>
  <c r="I17" i="8"/>
  <c r="B17" i="10" s="1"/>
  <c r="I19" i="8"/>
  <c r="B19" i="10" s="1"/>
  <c r="I20" i="8"/>
  <c r="B20" i="10" s="1"/>
  <c r="I21" i="8"/>
  <c r="B21" i="10" s="1"/>
  <c r="I22" i="8"/>
  <c r="B22" i="10" s="1"/>
  <c r="I23" i="8"/>
  <c r="B23" i="10" s="1"/>
  <c r="I25" i="8"/>
  <c r="B25" i="10" s="1"/>
  <c r="I26" i="8"/>
  <c r="B26" i="10" s="1"/>
  <c r="I27" i="8"/>
  <c r="B27" i="10" s="1"/>
  <c r="I28" i="8"/>
  <c r="B28" i="10" s="1"/>
  <c r="I29" i="8"/>
  <c r="B29" i="10" s="1"/>
  <c r="I30" i="8"/>
  <c r="B30" i="10" s="1"/>
  <c r="I31" i="8"/>
  <c r="B31" i="10" s="1"/>
  <c r="I32" i="8"/>
  <c r="B32" i="10" s="1"/>
  <c r="I34" i="8"/>
  <c r="B34" i="10" s="1"/>
  <c r="I35" i="8"/>
  <c r="B35" i="10" s="1"/>
  <c r="I36" i="8"/>
  <c r="B36" i="10" s="1"/>
  <c r="I37" i="8"/>
  <c r="B37" i="10" s="1"/>
  <c r="I38" i="8"/>
  <c r="B38" i="10" s="1"/>
  <c r="I39" i="8"/>
  <c r="B39" i="10" s="1"/>
  <c r="I40" i="8"/>
  <c r="B40" i="10" s="1"/>
  <c r="I41" i="8"/>
  <c r="B41" i="10" s="1"/>
  <c r="I42" i="8"/>
  <c r="B42" i="10" s="1"/>
  <c r="I44" i="8"/>
  <c r="B44" i="10" s="1"/>
  <c r="I45" i="8"/>
  <c r="B45" i="10" s="1"/>
  <c r="I46" i="8"/>
  <c r="B46" i="10" s="1"/>
  <c r="I47" i="8"/>
  <c r="B47" i="10" s="1"/>
  <c r="I48" i="8"/>
  <c r="B48" i="10" s="1"/>
  <c r="I49" i="8"/>
  <c r="B49" i="10" s="1"/>
  <c r="I50" i="8"/>
  <c r="B50" i="10" s="1"/>
  <c r="I51" i="8"/>
  <c r="B51" i="10" s="1"/>
  <c r="I53" i="8"/>
  <c r="B53" i="10" s="1"/>
  <c r="I54" i="8"/>
  <c r="B54" i="10" s="1"/>
  <c r="I55" i="8"/>
  <c r="B55" i="10" s="1"/>
  <c r="U6" i="6"/>
  <c r="B6" i="7" s="1"/>
  <c r="B8" i="7" s="1"/>
  <c r="C8" i="7" s="1"/>
  <c r="S11" i="8"/>
  <c r="M11" i="8"/>
  <c r="T13" i="7"/>
  <c r="R13" i="7"/>
  <c r="S13" i="7" s="1"/>
  <c r="V11" i="10"/>
  <c r="M13" i="9"/>
  <c r="W11" i="8"/>
  <c r="L12" i="10"/>
  <c r="S12" i="8"/>
  <c r="M12" i="10" s="1"/>
  <c r="T14" i="7"/>
  <c r="R14" i="7"/>
  <c r="S14" i="7" s="1"/>
  <c r="V12" i="10"/>
  <c r="M14" i="9"/>
  <c r="W12" i="8"/>
  <c r="N6" i="6"/>
  <c r="J6" i="7" s="1"/>
  <c r="J8" i="7" s="1"/>
  <c r="K8" i="7" s="1"/>
  <c r="S13" i="8"/>
  <c r="M13" i="8"/>
  <c r="T15" i="7"/>
  <c r="R15" i="7"/>
  <c r="S15" i="7" s="1"/>
  <c r="V13" i="10"/>
  <c r="M15" i="9"/>
  <c r="W13" i="8"/>
  <c r="L14" i="10"/>
  <c r="S14" i="8"/>
  <c r="M14" i="10" s="1"/>
  <c r="T16" i="7"/>
  <c r="R16" i="7"/>
  <c r="S16" i="7" s="1"/>
  <c r="V14" i="10"/>
  <c r="M16" i="9"/>
  <c r="W14" i="8"/>
  <c r="L15" i="10"/>
  <c r="S15" i="8"/>
  <c r="M15" i="10" s="1"/>
  <c r="T17" i="7"/>
  <c r="R17" i="7"/>
  <c r="S17" i="7" s="1"/>
  <c r="V15" i="10"/>
  <c r="M17" i="9"/>
  <c r="W15" i="8"/>
  <c r="L16" i="10"/>
  <c r="S16" i="8"/>
  <c r="M16" i="10" s="1"/>
  <c r="T18" i="7"/>
  <c r="R18" i="7"/>
  <c r="S18" i="7" s="1"/>
  <c r="V16" i="10"/>
  <c r="M18" i="9"/>
  <c r="W16" i="8"/>
  <c r="L17" i="10"/>
  <c r="S17" i="8"/>
  <c r="M17" i="10" s="1"/>
  <c r="T19" i="7"/>
  <c r="R19" i="7"/>
  <c r="S19" i="7" s="1"/>
  <c r="V17" i="10"/>
  <c r="M19" i="9"/>
  <c r="W17" i="8"/>
  <c r="L18" i="10"/>
  <c r="S18" i="8"/>
  <c r="M18" i="10" s="1"/>
  <c r="T20" i="7"/>
  <c r="R20" i="7"/>
  <c r="S20" i="7" s="1"/>
  <c r="V18" i="10"/>
  <c r="M20" i="9"/>
  <c r="W18" i="8"/>
  <c r="T21" i="7"/>
  <c r="R21" i="7"/>
  <c r="S21" i="7" s="1"/>
  <c r="V19" i="10"/>
  <c r="M21" i="9"/>
  <c r="W19" i="8"/>
  <c r="T22" i="7"/>
  <c r="R22" i="7"/>
  <c r="S22" i="7" s="1"/>
  <c r="V20" i="10"/>
  <c r="M22" i="9"/>
  <c r="W20" i="8"/>
  <c r="T23" i="7"/>
  <c r="R23" i="7"/>
  <c r="S23" i="7" s="1"/>
  <c r="V21" i="10"/>
  <c r="M23" i="9"/>
  <c r="W21" i="8"/>
  <c r="T24" i="7"/>
  <c r="R24" i="7"/>
  <c r="S24" i="7" s="1"/>
  <c r="V22" i="10"/>
  <c r="M24" i="9"/>
  <c r="W22" i="8"/>
  <c r="T25" i="7"/>
  <c r="R25" i="7"/>
  <c r="S25" i="7" s="1"/>
  <c r="V23" i="10"/>
  <c r="M25" i="9"/>
  <c r="W23" i="8"/>
  <c r="T26" i="7"/>
  <c r="R26" i="7"/>
  <c r="S26" i="7" s="1"/>
  <c r="V24" i="10"/>
  <c r="M26" i="9"/>
  <c r="W24" i="8"/>
  <c r="T27" i="7"/>
  <c r="R27" i="7"/>
  <c r="S27" i="7" s="1"/>
  <c r="V25" i="10"/>
  <c r="M27" i="9"/>
  <c r="W25" i="8"/>
  <c r="T28" i="7"/>
  <c r="R28" i="7"/>
  <c r="S28" i="7" s="1"/>
  <c r="V26" i="10"/>
  <c r="M28" i="9"/>
  <c r="W26" i="8"/>
  <c r="T28" i="9" l="1"/>
  <c r="R28" i="9"/>
  <c r="S28" i="9" s="1"/>
  <c r="V26" i="12"/>
  <c r="M28" i="11"/>
  <c r="W26" i="10"/>
  <c r="T27" i="9"/>
  <c r="R27" i="9"/>
  <c r="S27" i="9" s="1"/>
  <c r="V25" i="12"/>
  <c r="M27" i="11"/>
  <c r="W25" i="10"/>
  <c r="T26" i="9"/>
  <c r="R26" i="9"/>
  <c r="S26" i="9" s="1"/>
  <c r="V24" i="12"/>
  <c r="M26" i="11"/>
  <c r="W24" i="10"/>
  <c r="T25" i="9"/>
  <c r="R25" i="9"/>
  <c r="S25" i="9" s="1"/>
  <c r="V23" i="12"/>
  <c r="M25" i="11"/>
  <c r="W23" i="10"/>
  <c r="T24" i="9"/>
  <c r="R24" i="9"/>
  <c r="S24" i="9" s="1"/>
  <c r="V22" i="12"/>
  <c r="M24" i="11"/>
  <c r="W22" i="10"/>
  <c r="T23" i="9"/>
  <c r="R23" i="9"/>
  <c r="S23" i="9" s="1"/>
  <c r="V21" i="12"/>
  <c r="M23" i="11"/>
  <c r="W21" i="10"/>
  <c r="T22" i="9"/>
  <c r="R22" i="9"/>
  <c r="S22" i="9" s="1"/>
  <c r="V20" i="12"/>
  <c r="M22" i="11"/>
  <c r="W20" i="10"/>
  <c r="T21" i="9"/>
  <c r="R21" i="9"/>
  <c r="S21" i="9" s="1"/>
  <c r="V19" i="12"/>
  <c r="M21" i="11"/>
  <c r="W19" i="10"/>
  <c r="T20" i="9"/>
  <c r="R20" i="9"/>
  <c r="S20" i="9" s="1"/>
  <c r="V18" i="12"/>
  <c r="M20" i="11"/>
  <c r="W18" i="10"/>
  <c r="L18" i="12"/>
  <c r="S18" i="10"/>
  <c r="M18" i="12" s="1"/>
  <c r="T19" i="9"/>
  <c r="R19" i="9"/>
  <c r="S19" i="9" s="1"/>
  <c r="V17" i="12"/>
  <c r="M19" i="11"/>
  <c r="W17" i="10"/>
  <c r="L17" i="12"/>
  <c r="S17" i="10"/>
  <c r="M17" i="12" s="1"/>
  <c r="T18" i="9"/>
  <c r="R18" i="9"/>
  <c r="S18" i="9" s="1"/>
  <c r="V16" i="12"/>
  <c r="M18" i="11"/>
  <c r="W16" i="10"/>
  <c r="L16" i="12"/>
  <c r="S16" i="10"/>
  <c r="M16" i="12" s="1"/>
  <c r="T17" i="9"/>
  <c r="R17" i="9"/>
  <c r="S17" i="9" s="1"/>
  <c r="V15" i="12"/>
  <c r="M17" i="11"/>
  <c r="W15" i="10"/>
  <c r="L15" i="12"/>
  <c r="S15" i="10"/>
  <c r="M15" i="12" s="1"/>
  <c r="T16" i="9"/>
  <c r="R16" i="9"/>
  <c r="S16" i="9" s="1"/>
  <c r="V14" i="12"/>
  <c r="M16" i="11"/>
  <c r="W14" i="10"/>
  <c r="L14" i="12"/>
  <c r="S14" i="10"/>
  <c r="M14" i="12" s="1"/>
  <c r="T15" i="9"/>
  <c r="R15" i="9"/>
  <c r="S15" i="9" s="1"/>
  <c r="V13" i="12"/>
  <c r="M15" i="11"/>
  <c r="W13" i="10"/>
  <c r="M13" i="10"/>
  <c r="L13" i="10"/>
  <c r="N6" i="8"/>
  <c r="J6" i="9" s="1"/>
  <c r="J8" i="9" s="1"/>
  <c r="K8" i="9" s="1"/>
  <c r="T14" i="9"/>
  <c r="R14" i="9"/>
  <c r="S14" i="9" s="1"/>
  <c r="V12" i="12"/>
  <c r="M14" i="11"/>
  <c r="W12" i="10"/>
  <c r="L12" i="12"/>
  <c r="S12" i="10"/>
  <c r="M12" i="12" s="1"/>
  <c r="T13" i="9"/>
  <c r="R13" i="9"/>
  <c r="S13" i="9" s="1"/>
  <c r="V11" i="12"/>
  <c r="M13" i="11"/>
  <c r="W11" i="10"/>
  <c r="M11" i="10"/>
  <c r="L11" i="10"/>
  <c r="I55" i="10"/>
  <c r="B55" i="12" s="1"/>
  <c r="I54" i="10"/>
  <c r="B54" i="12" s="1"/>
  <c r="I53" i="10"/>
  <c r="B53" i="12" s="1"/>
  <c r="I51" i="10"/>
  <c r="B51" i="12" s="1"/>
  <c r="I50" i="10"/>
  <c r="B50" i="12" s="1"/>
  <c r="I49" i="10"/>
  <c r="B49" i="12" s="1"/>
  <c r="I48" i="10"/>
  <c r="B48" i="12" s="1"/>
  <c r="I47" i="10"/>
  <c r="B47" i="12" s="1"/>
  <c r="I46" i="10"/>
  <c r="B46" i="12" s="1"/>
  <c r="I45" i="10"/>
  <c r="B45" i="12" s="1"/>
  <c r="I44" i="10"/>
  <c r="B44" i="12" s="1"/>
  <c r="I42" i="10"/>
  <c r="B42" i="12" s="1"/>
  <c r="I41" i="10"/>
  <c r="B41" i="12" s="1"/>
  <c r="I40" i="10"/>
  <c r="B40" i="12" s="1"/>
  <c r="I39" i="10"/>
  <c r="B39" i="12" s="1"/>
  <c r="I38" i="10"/>
  <c r="B38" i="12" s="1"/>
  <c r="I37" i="10"/>
  <c r="B37" i="12" s="1"/>
  <c r="I36" i="10"/>
  <c r="B36" i="12" s="1"/>
  <c r="I35" i="10"/>
  <c r="B35" i="12" s="1"/>
  <c r="I34" i="10"/>
  <c r="B34" i="12" s="1"/>
  <c r="I32" i="10"/>
  <c r="B32" i="12" s="1"/>
  <c r="I31" i="10"/>
  <c r="B31" i="12" s="1"/>
  <c r="I30" i="10"/>
  <c r="B30" i="12" s="1"/>
  <c r="I29" i="10"/>
  <c r="B29" i="12" s="1"/>
  <c r="I28" i="10"/>
  <c r="B28" i="12" s="1"/>
  <c r="I27" i="10"/>
  <c r="B27" i="12" s="1"/>
  <c r="I26" i="10"/>
  <c r="B26" i="12" s="1"/>
  <c r="I25" i="10"/>
  <c r="B25" i="12" s="1"/>
  <c r="I23" i="10"/>
  <c r="B23" i="12" s="1"/>
  <c r="I22" i="10"/>
  <c r="B22" i="12" s="1"/>
  <c r="I21" i="10"/>
  <c r="B21" i="12" s="1"/>
  <c r="I20" i="10"/>
  <c r="B20" i="12" s="1"/>
  <c r="I19" i="10"/>
  <c r="B19" i="12" s="1"/>
  <c r="I17" i="10"/>
  <c r="B17" i="12" s="1"/>
  <c r="Q6" i="6"/>
  <c r="N6" i="7" s="1"/>
  <c r="N8" i="7" s="1"/>
  <c r="O8" i="7" s="1"/>
  <c r="B16" i="8"/>
  <c r="I15" i="10"/>
  <c r="B15" i="12" s="1"/>
  <c r="I14" i="10"/>
  <c r="B14" i="12" s="1"/>
  <c r="I13" i="10"/>
  <c r="B13" i="12" s="1"/>
  <c r="I12" i="10"/>
  <c r="B12" i="12" s="1"/>
  <c r="I11" i="10"/>
  <c r="B11" i="12" s="1"/>
  <c r="I10" i="10"/>
  <c r="B10" i="12" s="1"/>
  <c r="I9" i="10"/>
  <c r="B9" i="12" s="1"/>
  <c r="K6" i="6"/>
  <c r="F6" i="7" s="1"/>
  <c r="F8" i="7" s="1"/>
  <c r="G8" i="7" s="1"/>
  <c r="B8" i="8"/>
  <c r="I8" i="8" l="1"/>
  <c r="I9" i="12"/>
  <c r="B9" i="14" s="1"/>
  <c r="I10" i="12"/>
  <c r="B10" i="14" s="1"/>
  <c r="I11" i="12"/>
  <c r="B11" i="14" s="1"/>
  <c r="I12" i="12"/>
  <c r="B12" i="14" s="1"/>
  <c r="I13" i="12"/>
  <c r="B13" i="14" s="1"/>
  <c r="I14" i="12"/>
  <c r="B14" i="14" s="1"/>
  <c r="I15" i="12"/>
  <c r="B15" i="14" s="1"/>
  <c r="I16" i="8"/>
  <c r="I17" i="12"/>
  <c r="B17" i="14" s="1"/>
  <c r="I19" i="12"/>
  <c r="B19" i="14" s="1"/>
  <c r="I20" i="12"/>
  <c r="B20" i="14" s="1"/>
  <c r="I21" i="12"/>
  <c r="B21" i="14" s="1"/>
  <c r="I22" i="12"/>
  <c r="B22" i="14" s="1"/>
  <c r="I23" i="12"/>
  <c r="B23" i="14" s="1"/>
  <c r="I25" i="12"/>
  <c r="B25" i="14" s="1"/>
  <c r="I26" i="12"/>
  <c r="B26" i="14" s="1"/>
  <c r="I27" i="12"/>
  <c r="B27" i="14" s="1"/>
  <c r="I28" i="12"/>
  <c r="B28" i="14" s="1"/>
  <c r="I29" i="12"/>
  <c r="B29" i="14" s="1"/>
  <c r="I30" i="12"/>
  <c r="B30" i="14" s="1"/>
  <c r="I31" i="12"/>
  <c r="B31" i="14" s="1"/>
  <c r="I32" i="12"/>
  <c r="B32" i="14" s="1"/>
  <c r="I34" i="12"/>
  <c r="B34" i="14" s="1"/>
  <c r="I35" i="12"/>
  <c r="B35" i="14" s="1"/>
  <c r="I36" i="12"/>
  <c r="B36" i="14" s="1"/>
  <c r="I37" i="12"/>
  <c r="B37" i="14" s="1"/>
  <c r="I38" i="12"/>
  <c r="B38" i="14" s="1"/>
  <c r="I39" i="12"/>
  <c r="B39" i="14" s="1"/>
  <c r="I40" i="12"/>
  <c r="B40" i="14" s="1"/>
  <c r="I41" i="12"/>
  <c r="B41" i="14" s="1"/>
  <c r="I42" i="12"/>
  <c r="B42" i="14" s="1"/>
  <c r="I44" i="12"/>
  <c r="B44" i="14" s="1"/>
  <c r="I45" i="12"/>
  <c r="B45" i="14" s="1"/>
  <c r="I46" i="12"/>
  <c r="B46" i="14" s="1"/>
  <c r="I47" i="12"/>
  <c r="B47" i="14" s="1"/>
  <c r="I48" i="12"/>
  <c r="B48" i="14" s="1"/>
  <c r="I49" i="12"/>
  <c r="B49" i="14" s="1"/>
  <c r="I50" i="12"/>
  <c r="B50" i="14" s="1"/>
  <c r="I51" i="12"/>
  <c r="B51" i="14" s="1"/>
  <c r="I53" i="12"/>
  <c r="B53" i="14" s="1"/>
  <c r="I54" i="12"/>
  <c r="B54" i="14" s="1"/>
  <c r="I55" i="12"/>
  <c r="B55" i="14" s="1"/>
  <c r="L11" i="12"/>
  <c r="S11" i="10"/>
  <c r="M11" i="12"/>
  <c r="T13" i="11"/>
  <c r="R13" i="11"/>
  <c r="S13" i="11" s="1"/>
  <c r="V11" i="14"/>
  <c r="M13" i="13"/>
  <c r="W11" i="12"/>
  <c r="L12" i="14"/>
  <c r="S12" i="12"/>
  <c r="M12" i="14" s="1"/>
  <c r="T14" i="11"/>
  <c r="R14" i="11"/>
  <c r="S14" i="11" s="1"/>
  <c r="V12" i="14"/>
  <c r="M14" i="13"/>
  <c r="W12" i="12"/>
  <c r="L13" i="12"/>
  <c r="S13" i="10"/>
  <c r="N6" i="10" s="1"/>
  <c r="J6" i="11" s="1"/>
  <c r="J8" i="11" s="1"/>
  <c r="K8" i="11" s="1"/>
  <c r="M13" i="12"/>
  <c r="T15" i="11"/>
  <c r="R15" i="11"/>
  <c r="S15" i="11" s="1"/>
  <c r="V13" i="14"/>
  <c r="M15" i="13"/>
  <c r="W13" i="12"/>
  <c r="L14" i="14"/>
  <c r="S14" i="12"/>
  <c r="M14" i="14" s="1"/>
  <c r="T16" i="11"/>
  <c r="R16" i="11"/>
  <c r="S16" i="11" s="1"/>
  <c r="V14" i="14"/>
  <c r="M16" i="13"/>
  <c r="W14" i="12"/>
  <c r="L15" i="14"/>
  <c r="S15" i="12"/>
  <c r="M15" i="14" s="1"/>
  <c r="T17" i="11"/>
  <c r="R17" i="11"/>
  <c r="S17" i="11" s="1"/>
  <c r="V15" i="14"/>
  <c r="M17" i="13"/>
  <c r="W15" i="12"/>
  <c r="L16" i="14"/>
  <c r="S16" i="12"/>
  <c r="M16" i="14" s="1"/>
  <c r="T18" i="11"/>
  <c r="R18" i="11"/>
  <c r="S18" i="11" s="1"/>
  <c r="V16" i="14"/>
  <c r="M18" i="13"/>
  <c r="W16" i="12"/>
  <c r="L17" i="14"/>
  <c r="S17" i="12"/>
  <c r="M17" i="14" s="1"/>
  <c r="T19" i="11"/>
  <c r="R19" i="11"/>
  <c r="S19" i="11" s="1"/>
  <c r="V17" i="14"/>
  <c r="M19" i="13"/>
  <c r="W17" i="12"/>
  <c r="L18" i="14"/>
  <c r="S18" i="12"/>
  <c r="M18" i="14" s="1"/>
  <c r="T20" i="11"/>
  <c r="R20" i="11"/>
  <c r="S20" i="11" s="1"/>
  <c r="V18" i="14"/>
  <c r="M20" i="13"/>
  <c r="W18" i="12"/>
  <c r="T21" i="11"/>
  <c r="R21" i="11"/>
  <c r="S21" i="11" s="1"/>
  <c r="V19" i="14"/>
  <c r="M21" i="13"/>
  <c r="W19" i="12"/>
  <c r="T22" i="11"/>
  <c r="R22" i="11"/>
  <c r="S22" i="11" s="1"/>
  <c r="V20" i="14"/>
  <c r="M22" i="13"/>
  <c r="W20" i="12"/>
  <c r="T23" i="11"/>
  <c r="R23" i="11"/>
  <c r="S23" i="11" s="1"/>
  <c r="V21" i="14"/>
  <c r="M23" i="13"/>
  <c r="W21" i="12"/>
  <c r="T24" i="11"/>
  <c r="R24" i="11"/>
  <c r="S24" i="11" s="1"/>
  <c r="V22" i="14"/>
  <c r="M24" i="13"/>
  <c r="W22" i="12"/>
  <c r="T25" i="11"/>
  <c r="R25" i="11"/>
  <c r="S25" i="11" s="1"/>
  <c r="V23" i="14"/>
  <c r="M25" i="13"/>
  <c r="W23" i="12"/>
  <c r="T26" i="11"/>
  <c r="R26" i="11"/>
  <c r="S26" i="11" s="1"/>
  <c r="V24" i="14"/>
  <c r="M26" i="13"/>
  <c r="W24" i="12"/>
  <c r="T27" i="11"/>
  <c r="R27" i="11"/>
  <c r="S27" i="11" s="1"/>
  <c r="V25" i="14"/>
  <c r="M27" i="13"/>
  <c r="W25" i="12"/>
  <c r="T28" i="11"/>
  <c r="R28" i="11"/>
  <c r="S28" i="11" s="1"/>
  <c r="V26" i="14"/>
  <c r="M28" i="13"/>
  <c r="W26" i="12"/>
  <c r="T28" i="13" l="1"/>
  <c r="R28" i="13"/>
  <c r="S28" i="13" s="1"/>
  <c r="V26" i="16"/>
  <c r="M28" i="15"/>
  <c r="W26" i="14"/>
  <c r="T27" i="13"/>
  <c r="R27" i="13"/>
  <c r="S27" i="13" s="1"/>
  <c r="V25" i="16"/>
  <c r="M27" i="15"/>
  <c r="W25" i="14"/>
  <c r="T26" i="13"/>
  <c r="R26" i="13"/>
  <c r="S26" i="13" s="1"/>
  <c r="V24" i="16"/>
  <c r="M26" i="15"/>
  <c r="W24" i="14"/>
  <c r="T25" i="13"/>
  <c r="R25" i="13"/>
  <c r="S25" i="13" s="1"/>
  <c r="V23" i="16"/>
  <c r="M25" i="15"/>
  <c r="W23" i="14"/>
  <c r="T24" i="13"/>
  <c r="R24" i="13"/>
  <c r="S24" i="13" s="1"/>
  <c r="V22" i="16"/>
  <c r="M24" i="15"/>
  <c r="W22" i="14"/>
  <c r="T23" i="13"/>
  <c r="R23" i="13"/>
  <c r="S23" i="13" s="1"/>
  <c r="V21" i="16"/>
  <c r="M23" i="15"/>
  <c r="W21" i="14"/>
  <c r="T22" i="13"/>
  <c r="R22" i="13"/>
  <c r="S22" i="13" s="1"/>
  <c r="V20" i="16"/>
  <c r="M22" i="15"/>
  <c r="W20" i="14"/>
  <c r="T21" i="13"/>
  <c r="R21" i="13"/>
  <c r="S21" i="13" s="1"/>
  <c r="V19" i="16"/>
  <c r="M21" i="15"/>
  <c r="W19" i="14"/>
  <c r="T20" i="13"/>
  <c r="R20" i="13"/>
  <c r="S20" i="13" s="1"/>
  <c r="V18" i="16"/>
  <c r="M20" i="15"/>
  <c r="W18" i="14"/>
  <c r="L18" i="16"/>
  <c r="S18" i="14"/>
  <c r="M18" i="16" s="1"/>
  <c r="T19" i="13"/>
  <c r="R19" i="13"/>
  <c r="S19" i="13" s="1"/>
  <c r="V17" i="16"/>
  <c r="M19" i="15"/>
  <c r="W17" i="14"/>
  <c r="L17" i="16"/>
  <c r="S17" i="14"/>
  <c r="M17" i="16" s="1"/>
  <c r="T18" i="13"/>
  <c r="R18" i="13"/>
  <c r="S18" i="13" s="1"/>
  <c r="V16" i="16"/>
  <c r="M18" i="15"/>
  <c r="W16" i="14"/>
  <c r="L16" i="16"/>
  <c r="S16" i="14"/>
  <c r="M16" i="16" s="1"/>
  <c r="T17" i="13"/>
  <c r="R17" i="13"/>
  <c r="S17" i="13" s="1"/>
  <c r="V15" i="16"/>
  <c r="M17" i="15"/>
  <c r="W15" i="14"/>
  <c r="L15" i="16"/>
  <c r="S15" i="14"/>
  <c r="M15" i="16" s="1"/>
  <c r="T16" i="13"/>
  <c r="R16" i="13"/>
  <c r="S16" i="13" s="1"/>
  <c r="V14" i="16"/>
  <c r="M16" i="15"/>
  <c r="W14" i="14"/>
  <c r="L14" i="16"/>
  <c r="S14" i="14"/>
  <c r="M14" i="16" s="1"/>
  <c r="T15" i="13"/>
  <c r="R15" i="13"/>
  <c r="S15" i="13" s="1"/>
  <c r="V13" i="16"/>
  <c r="M15" i="15"/>
  <c r="W13" i="14"/>
  <c r="L13" i="14"/>
  <c r="S13" i="12"/>
  <c r="T14" i="13"/>
  <c r="R14" i="13"/>
  <c r="S14" i="13" s="1"/>
  <c r="V12" i="16"/>
  <c r="M14" i="15"/>
  <c r="W12" i="14"/>
  <c r="L12" i="16"/>
  <c r="S12" i="14"/>
  <c r="M12" i="16" s="1"/>
  <c r="T13" i="13"/>
  <c r="R13" i="13"/>
  <c r="S13" i="13" s="1"/>
  <c r="V11" i="16"/>
  <c r="M13" i="15"/>
  <c r="W11" i="14"/>
  <c r="L11" i="14"/>
  <c r="S11" i="12"/>
  <c r="I55" i="14"/>
  <c r="B55" i="16" s="1"/>
  <c r="I54" i="14"/>
  <c r="B54" i="16" s="1"/>
  <c r="I53" i="14"/>
  <c r="B53" i="16" s="1"/>
  <c r="I51" i="14"/>
  <c r="B51" i="16" s="1"/>
  <c r="I50" i="14"/>
  <c r="B50" i="16" s="1"/>
  <c r="I49" i="14"/>
  <c r="B49" i="16" s="1"/>
  <c r="I48" i="14"/>
  <c r="B48" i="16" s="1"/>
  <c r="I47" i="14"/>
  <c r="B47" i="16" s="1"/>
  <c r="I46" i="14"/>
  <c r="B46" i="16" s="1"/>
  <c r="I45" i="14"/>
  <c r="B45" i="16" s="1"/>
  <c r="I44" i="14"/>
  <c r="B44" i="16" s="1"/>
  <c r="I42" i="14"/>
  <c r="B42" i="16" s="1"/>
  <c r="I41" i="14"/>
  <c r="B41" i="16" s="1"/>
  <c r="I40" i="14"/>
  <c r="B40" i="16" s="1"/>
  <c r="I39" i="14"/>
  <c r="B39" i="16" s="1"/>
  <c r="I38" i="14"/>
  <c r="B38" i="16" s="1"/>
  <c r="I37" i="14"/>
  <c r="B37" i="16" s="1"/>
  <c r="I36" i="14"/>
  <c r="B36" i="16" s="1"/>
  <c r="I35" i="14"/>
  <c r="B35" i="16" s="1"/>
  <c r="I34" i="14"/>
  <c r="B34" i="16" s="1"/>
  <c r="I32" i="14"/>
  <c r="B32" i="16" s="1"/>
  <c r="I31" i="14"/>
  <c r="B31" i="16" s="1"/>
  <c r="I30" i="14"/>
  <c r="B30" i="16" s="1"/>
  <c r="I29" i="14"/>
  <c r="B29" i="16" s="1"/>
  <c r="I28" i="14"/>
  <c r="B28" i="16" s="1"/>
  <c r="I27" i="14"/>
  <c r="B27" i="16" s="1"/>
  <c r="I26" i="14"/>
  <c r="B26" i="16" s="1"/>
  <c r="I25" i="14"/>
  <c r="B25" i="16" s="1"/>
  <c r="I23" i="14"/>
  <c r="B23" i="16" s="1"/>
  <c r="I22" i="14"/>
  <c r="B22" i="16" s="1"/>
  <c r="I21" i="14"/>
  <c r="B21" i="16" s="1"/>
  <c r="I20" i="14"/>
  <c r="B20" i="16" s="1"/>
  <c r="I19" i="14"/>
  <c r="B19" i="16" s="1"/>
  <c r="I17" i="14"/>
  <c r="B17" i="16" s="1"/>
  <c r="Q6" i="8"/>
  <c r="N6" i="9" s="1"/>
  <c r="N8" i="9" s="1"/>
  <c r="O8" i="9" s="1"/>
  <c r="B16" i="10"/>
  <c r="I15" i="14"/>
  <c r="B15" i="16" s="1"/>
  <c r="I14" i="14"/>
  <c r="B14" i="16" s="1"/>
  <c r="I13" i="14"/>
  <c r="B13" i="16" s="1"/>
  <c r="I12" i="14"/>
  <c r="B12" i="16" s="1"/>
  <c r="I11" i="14"/>
  <c r="B11" i="16" s="1"/>
  <c r="I10" i="14"/>
  <c r="B10" i="16" s="1"/>
  <c r="I9" i="14"/>
  <c r="B9" i="16" s="1"/>
  <c r="K6" i="8"/>
  <c r="F6" i="9" s="1"/>
  <c r="F8" i="9" s="1"/>
  <c r="G8" i="9" s="1"/>
  <c r="U6" i="8"/>
  <c r="B6" i="9" s="1"/>
  <c r="B8" i="9" s="1"/>
  <c r="C8" i="9" s="1"/>
  <c r="B8" i="10"/>
  <c r="I8" i="10" l="1"/>
  <c r="I9" i="16"/>
  <c r="B9" i="18" s="1"/>
  <c r="I10" i="16"/>
  <c r="B10" i="18" s="1"/>
  <c r="I11" i="16"/>
  <c r="B11" i="18" s="1"/>
  <c r="I12" i="16"/>
  <c r="B12" i="18" s="1"/>
  <c r="I13" i="16"/>
  <c r="B13" i="18" s="1"/>
  <c r="I14" i="16"/>
  <c r="B14" i="18" s="1"/>
  <c r="I15" i="16"/>
  <c r="B15" i="18" s="1"/>
  <c r="I16" i="10"/>
  <c r="I17" i="16"/>
  <c r="B17" i="18" s="1"/>
  <c r="I19" i="16"/>
  <c r="B19" i="18" s="1"/>
  <c r="I20" i="16"/>
  <c r="B20" i="18" s="1"/>
  <c r="I21" i="16"/>
  <c r="B21" i="18" s="1"/>
  <c r="I22" i="16"/>
  <c r="B22" i="18" s="1"/>
  <c r="I23" i="16"/>
  <c r="B23" i="18" s="1"/>
  <c r="I25" i="16"/>
  <c r="B25" i="18" s="1"/>
  <c r="I26" i="16"/>
  <c r="B26" i="18" s="1"/>
  <c r="I27" i="16"/>
  <c r="B27" i="18" s="1"/>
  <c r="I28" i="16"/>
  <c r="B28" i="18" s="1"/>
  <c r="I29" i="16"/>
  <c r="B29" i="18" s="1"/>
  <c r="I30" i="16"/>
  <c r="B30" i="18" s="1"/>
  <c r="I31" i="16"/>
  <c r="B31" i="18" s="1"/>
  <c r="I32" i="16"/>
  <c r="B32" i="18" s="1"/>
  <c r="I34" i="16"/>
  <c r="B34" i="18" s="1"/>
  <c r="I35" i="16"/>
  <c r="B35" i="18" s="1"/>
  <c r="I36" i="16"/>
  <c r="B36" i="18" s="1"/>
  <c r="I37" i="16"/>
  <c r="B37" i="18" s="1"/>
  <c r="I38" i="16"/>
  <c r="B38" i="18" s="1"/>
  <c r="I39" i="16"/>
  <c r="B39" i="18" s="1"/>
  <c r="I40" i="16"/>
  <c r="B40" i="18" s="1"/>
  <c r="I41" i="16"/>
  <c r="B41" i="18" s="1"/>
  <c r="I42" i="16"/>
  <c r="B42" i="18" s="1"/>
  <c r="I44" i="16"/>
  <c r="B44" i="18" s="1"/>
  <c r="I45" i="16"/>
  <c r="B45" i="18" s="1"/>
  <c r="I46" i="16"/>
  <c r="B46" i="18" s="1"/>
  <c r="I47" i="16"/>
  <c r="B47" i="18" s="1"/>
  <c r="I48" i="16"/>
  <c r="B48" i="18" s="1"/>
  <c r="I49" i="16"/>
  <c r="B49" i="18" s="1"/>
  <c r="I50" i="16"/>
  <c r="B50" i="18" s="1"/>
  <c r="I51" i="16"/>
  <c r="B51" i="18" s="1"/>
  <c r="I53" i="16"/>
  <c r="B53" i="18" s="1"/>
  <c r="I54" i="16"/>
  <c r="B54" i="18" s="1"/>
  <c r="I55" i="16"/>
  <c r="B55" i="18" s="1"/>
  <c r="M11" i="14"/>
  <c r="L11" i="16"/>
  <c r="S11" i="14"/>
  <c r="T13" i="15"/>
  <c r="R13" i="15"/>
  <c r="S13" i="15" s="1"/>
  <c r="V11" i="18"/>
  <c r="M13" i="17"/>
  <c r="W11" i="16"/>
  <c r="L12" i="18"/>
  <c r="S12" i="16"/>
  <c r="M12" i="18" s="1"/>
  <c r="T14" i="15"/>
  <c r="R14" i="15"/>
  <c r="S14" i="15" s="1"/>
  <c r="V12" i="18"/>
  <c r="M14" i="17"/>
  <c r="W12" i="16"/>
  <c r="N6" i="12"/>
  <c r="J6" i="13" s="1"/>
  <c r="J8" i="13" s="1"/>
  <c r="K8" i="13" s="1"/>
  <c r="M13" i="14"/>
  <c r="L13" i="16"/>
  <c r="S13" i="14"/>
  <c r="N6" i="14" s="1"/>
  <c r="J6" i="15" s="1"/>
  <c r="J8" i="15" s="1"/>
  <c r="K8" i="15" s="1"/>
  <c r="T15" i="15"/>
  <c r="R15" i="15"/>
  <c r="S15" i="15" s="1"/>
  <c r="V13" i="18"/>
  <c r="M15" i="17"/>
  <c r="W13" i="16"/>
  <c r="L14" i="18"/>
  <c r="S14" i="16"/>
  <c r="M14" i="18" s="1"/>
  <c r="T16" i="15"/>
  <c r="R16" i="15"/>
  <c r="S16" i="15" s="1"/>
  <c r="V14" i="18"/>
  <c r="M16" i="17"/>
  <c r="W14" i="16"/>
  <c r="L15" i="18"/>
  <c r="S15" i="16"/>
  <c r="M15" i="18" s="1"/>
  <c r="T17" i="15"/>
  <c r="R17" i="15"/>
  <c r="S17" i="15" s="1"/>
  <c r="V15" i="18"/>
  <c r="M17" i="17"/>
  <c r="W15" i="16"/>
  <c r="L16" i="18"/>
  <c r="S16" i="16"/>
  <c r="M16" i="18" s="1"/>
  <c r="T18" i="15"/>
  <c r="R18" i="15"/>
  <c r="S18" i="15" s="1"/>
  <c r="V16" i="18"/>
  <c r="M18" i="17"/>
  <c r="W16" i="16"/>
  <c r="L17" i="18"/>
  <c r="S17" i="16"/>
  <c r="M17" i="18" s="1"/>
  <c r="T19" i="15"/>
  <c r="R19" i="15"/>
  <c r="S19" i="15" s="1"/>
  <c r="V17" i="18"/>
  <c r="M19" i="17"/>
  <c r="W17" i="16"/>
  <c r="L18" i="18"/>
  <c r="S18" i="16"/>
  <c r="M18" i="18" s="1"/>
  <c r="T20" i="15"/>
  <c r="R20" i="15"/>
  <c r="S20" i="15" s="1"/>
  <c r="V18" i="18"/>
  <c r="M20" i="17"/>
  <c r="W18" i="16"/>
  <c r="T21" i="15"/>
  <c r="R21" i="15"/>
  <c r="S21" i="15" s="1"/>
  <c r="V19" i="18"/>
  <c r="M21" i="17"/>
  <c r="W19" i="16"/>
  <c r="T22" i="15"/>
  <c r="R22" i="15"/>
  <c r="S22" i="15" s="1"/>
  <c r="V20" i="18"/>
  <c r="M22" i="17"/>
  <c r="W20" i="16"/>
  <c r="T23" i="15"/>
  <c r="R23" i="15"/>
  <c r="S23" i="15" s="1"/>
  <c r="V21" i="18"/>
  <c r="M23" i="17"/>
  <c r="W21" i="16"/>
  <c r="T24" i="15"/>
  <c r="R24" i="15"/>
  <c r="S24" i="15" s="1"/>
  <c r="V22" i="18"/>
  <c r="M24" i="17"/>
  <c r="W22" i="16"/>
  <c r="T25" i="15"/>
  <c r="R25" i="15"/>
  <c r="S25" i="15" s="1"/>
  <c r="V23" i="18"/>
  <c r="M25" i="17"/>
  <c r="W23" i="16"/>
  <c r="T26" i="15"/>
  <c r="R26" i="15"/>
  <c r="S26" i="15" s="1"/>
  <c r="V24" i="18"/>
  <c r="M26" i="17"/>
  <c r="W24" i="16"/>
  <c r="T27" i="15"/>
  <c r="R27" i="15"/>
  <c r="S27" i="15" s="1"/>
  <c r="V25" i="18"/>
  <c r="M27" i="17"/>
  <c r="W25" i="16"/>
  <c r="T28" i="15"/>
  <c r="R28" i="15"/>
  <c r="S28" i="15" s="1"/>
  <c r="V26" i="18"/>
  <c r="M28" i="17"/>
  <c r="W26" i="16"/>
  <c r="T28" i="17" l="1"/>
  <c r="R28" i="17"/>
  <c r="S28" i="17" s="1"/>
  <c r="V26" i="20"/>
  <c r="M28" i="19"/>
  <c r="W26" i="18"/>
  <c r="T27" i="17"/>
  <c r="R27" i="17"/>
  <c r="S27" i="17" s="1"/>
  <c r="V25" i="20"/>
  <c r="M27" i="19"/>
  <c r="W25" i="18"/>
  <c r="T26" i="17"/>
  <c r="R26" i="17"/>
  <c r="S26" i="17" s="1"/>
  <c r="V24" i="20"/>
  <c r="M26" i="19"/>
  <c r="W24" i="18"/>
  <c r="T25" i="17"/>
  <c r="R25" i="17"/>
  <c r="S25" i="17" s="1"/>
  <c r="V23" i="20"/>
  <c r="M25" i="19"/>
  <c r="W23" i="18"/>
  <c r="T24" i="17"/>
  <c r="R24" i="17"/>
  <c r="S24" i="17" s="1"/>
  <c r="V22" i="20"/>
  <c r="M24" i="19"/>
  <c r="W22" i="18"/>
  <c r="T23" i="17"/>
  <c r="R23" i="17"/>
  <c r="S23" i="17" s="1"/>
  <c r="V21" i="20"/>
  <c r="M23" i="19"/>
  <c r="W21" i="18"/>
  <c r="T22" i="17"/>
  <c r="R22" i="17"/>
  <c r="S22" i="17" s="1"/>
  <c r="V20" i="20"/>
  <c r="M22" i="19"/>
  <c r="W20" i="18"/>
  <c r="T21" i="17"/>
  <c r="R21" i="17"/>
  <c r="S21" i="17" s="1"/>
  <c r="V19" i="20"/>
  <c r="M21" i="19"/>
  <c r="W19" i="18"/>
  <c r="T20" i="17"/>
  <c r="R20" i="17"/>
  <c r="S20" i="17" s="1"/>
  <c r="V18" i="20"/>
  <c r="M20" i="19"/>
  <c r="W18" i="18"/>
  <c r="L18" i="20"/>
  <c r="S18" i="18"/>
  <c r="M18" i="20" s="1"/>
  <c r="T19" i="17"/>
  <c r="R19" i="17"/>
  <c r="S19" i="17" s="1"/>
  <c r="V17" i="20"/>
  <c r="M19" i="19"/>
  <c r="W17" i="18"/>
  <c r="L17" i="20"/>
  <c r="S17" i="18"/>
  <c r="M17" i="20" s="1"/>
  <c r="T18" i="17"/>
  <c r="R18" i="17"/>
  <c r="S18" i="17" s="1"/>
  <c r="V16" i="20"/>
  <c r="M18" i="19"/>
  <c r="W16" i="18"/>
  <c r="L16" i="20"/>
  <c r="S16" i="18"/>
  <c r="M16" i="20" s="1"/>
  <c r="T17" i="17"/>
  <c r="R17" i="17"/>
  <c r="S17" i="17" s="1"/>
  <c r="V15" i="20"/>
  <c r="M17" i="19"/>
  <c r="W15" i="18"/>
  <c r="L15" i="20"/>
  <c r="S15" i="18"/>
  <c r="M15" i="20" s="1"/>
  <c r="T16" i="17"/>
  <c r="R16" i="17"/>
  <c r="S16" i="17" s="1"/>
  <c r="V14" i="20"/>
  <c r="M16" i="19"/>
  <c r="W14" i="18"/>
  <c r="L14" i="20"/>
  <c r="S14" i="18"/>
  <c r="M14" i="20" s="1"/>
  <c r="T15" i="17"/>
  <c r="R15" i="17"/>
  <c r="S15" i="17" s="1"/>
  <c r="V13" i="20"/>
  <c r="M15" i="19"/>
  <c r="W13" i="18"/>
  <c r="S13" i="16"/>
  <c r="N6" i="16" s="1"/>
  <c r="J6" i="17" s="1"/>
  <c r="J8" i="17" s="1"/>
  <c r="K8" i="17" s="1"/>
  <c r="M13" i="16"/>
  <c r="T14" i="17"/>
  <c r="R14" i="17"/>
  <c r="S14" i="17" s="1"/>
  <c r="V12" i="20"/>
  <c r="M14" i="19"/>
  <c r="W12" i="18"/>
  <c r="L12" i="20"/>
  <c r="S12" i="18"/>
  <c r="M12" i="20" s="1"/>
  <c r="T13" i="17"/>
  <c r="R13" i="17"/>
  <c r="S13" i="17" s="1"/>
  <c r="V11" i="20"/>
  <c r="M13" i="19"/>
  <c r="W11" i="18"/>
  <c r="S11" i="16"/>
  <c r="M11" i="16"/>
  <c r="I55" i="18"/>
  <c r="B55" i="20" s="1"/>
  <c r="I54" i="18"/>
  <c r="B54" i="20" s="1"/>
  <c r="I53" i="18"/>
  <c r="B53" i="20" s="1"/>
  <c r="I51" i="18"/>
  <c r="B51" i="20" s="1"/>
  <c r="I50" i="18"/>
  <c r="B50" i="20" s="1"/>
  <c r="I49" i="18"/>
  <c r="B49" i="20" s="1"/>
  <c r="I48" i="18"/>
  <c r="B48" i="20" s="1"/>
  <c r="I47" i="18"/>
  <c r="B47" i="20" s="1"/>
  <c r="I46" i="18"/>
  <c r="B46" i="20" s="1"/>
  <c r="I45" i="18"/>
  <c r="B45" i="20" s="1"/>
  <c r="I44" i="18"/>
  <c r="B44" i="20" s="1"/>
  <c r="I42" i="18"/>
  <c r="B42" i="20" s="1"/>
  <c r="I41" i="18"/>
  <c r="B41" i="20" s="1"/>
  <c r="I40" i="18"/>
  <c r="B40" i="20" s="1"/>
  <c r="I39" i="18"/>
  <c r="B39" i="20" s="1"/>
  <c r="I38" i="18"/>
  <c r="B38" i="20" s="1"/>
  <c r="I37" i="18"/>
  <c r="B37" i="20" s="1"/>
  <c r="I36" i="18"/>
  <c r="B36" i="20" s="1"/>
  <c r="I35" i="18"/>
  <c r="B35" i="20" s="1"/>
  <c r="I34" i="18"/>
  <c r="B34" i="20" s="1"/>
  <c r="I32" i="18"/>
  <c r="B32" i="20" s="1"/>
  <c r="I31" i="18"/>
  <c r="B31" i="20" s="1"/>
  <c r="I30" i="18"/>
  <c r="B30" i="20" s="1"/>
  <c r="I29" i="18"/>
  <c r="B29" i="20" s="1"/>
  <c r="I28" i="18"/>
  <c r="B28" i="20" s="1"/>
  <c r="I27" i="18"/>
  <c r="B27" i="20" s="1"/>
  <c r="I26" i="18"/>
  <c r="B26" i="20" s="1"/>
  <c r="I25" i="18"/>
  <c r="B25" i="20" s="1"/>
  <c r="I23" i="18"/>
  <c r="B23" i="20" s="1"/>
  <c r="I22" i="18"/>
  <c r="B22" i="20" s="1"/>
  <c r="I21" i="18"/>
  <c r="B21" i="20" s="1"/>
  <c r="I20" i="18"/>
  <c r="B20" i="20" s="1"/>
  <c r="I19" i="18"/>
  <c r="B19" i="20" s="1"/>
  <c r="I17" i="18"/>
  <c r="B17" i="20" s="1"/>
  <c r="Q6" i="10"/>
  <c r="N6" i="11" s="1"/>
  <c r="N8" i="11" s="1"/>
  <c r="O8" i="11" s="1"/>
  <c r="B16" i="12"/>
  <c r="I15" i="18"/>
  <c r="B15" i="20" s="1"/>
  <c r="I14" i="18"/>
  <c r="B14" i="20" s="1"/>
  <c r="I13" i="18"/>
  <c r="B13" i="20" s="1"/>
  <c r="I12" i="18"/>
  <c r="B12" i="20" s="1"/>
  <c r="I11" i="18"/>
  <c r="B11" i="20" s="1"/>
  <c r="I10" i="18"/>
  <c r="B10" i="20" s="1"/>
  <c r="I9" i="18"/>
  <c r="B9" i="20" s="1"/>
  <c r="K6" i="10"/>
  <c r="F6" i="11" s="1"/>
  <c r="F8" i="11" s="1"/>
  <c r="G8" i="11" s="1"/>
  <c r="U6" i="10"/>
  <c r="B6" i="11" s="1"/>
  <c r="B8" i="11" s="1"/>
  <c r="C8" i="11" s="1"/>
  <c r="B8" i="12"/>
  <c r="I8" i="12" l="1"/>
  <c r="I9" i="20"/>
  <c r="B9" i="22" s="1"/>
  <c r="I10" i="20"/>
  <c r="B10" i="22" s="1"/>
  <c r="I11" i="20"/>
  <c r="B11" i="22" s="1"/>
  <c r="I12" i="20"/>
  <c r="B12" i="22" s="1"/>
  <c r="I13" i="20"/>
  <c r="B13" i="22" s="1"/>
  <c r="I14" i="20"/>
  <c r="B14" i="22" s="1"/>
  <c r="I15" i="20"/>
  <c r="B15" i="22" s="1"/>
  <c r="I16" i="12"/>
  <c r="I17" i="20"/>
  <c r="B17" i="22" s="1"/>
  <c r="I19" i="20"/>
  <c r="B19" i="22" s="1"/>
  <c r="I20" i="20"/>
  <c r="B20" i="22" s="1"/>
  <c r="I21" i="20"/>
  <c r="B21" i="22" s="1"/>
  <c r="I22" i="20"/>
  <c r="B22" i="22" s="1"/>
  <c r="I23" i="20"/>
  <c r="B23" i="22" s="1"/>
  <c r="I25" i="20"/>
  <c r="B25" i="22" s="1"/>
  <c r="I26" i="20"/>
  <c r="B26" i="22" s="1"/>
  <c r="I27" i="20"/>
  <c r="B27" i="22" s="1"/>
  <c r="I28" i="20"/>
  <c r="B28" i="22" s="1"/>
  <c r="I29" i="20"/>
  <c r="B29" i="22" s="1"/>
  <c r="I30" i="20"/>
  <c r="B30" i="22" s="1"/>
  <c r="I31" i="20"/>
  <c r="B31" i="22" s="1"/>
  <c r="I32" i="20"/>
  <c r="B32" i="22" s="1"/>
  <c r="I34" i="20"/>
  <c r="B34" i="22" s="1"/>
  <c r="I35" i="20"/>
  <c r="B35" i="22" s="1"/>
  <c r="I36" i="20"/>
  <c r="B36" i="22" s="1"/>
  <c r="I37" i="20"/>
  <c r="B37" i="22" s="1"/>
  <c r="I38" i="20"/>
  <c r="B38" i="22" s="1"/>
  <c r="I39" i="20"/>
  <c r="B39" i="22" s="1"/>
  <c r="I40" i="20"/>
  <c r="B40" i="22" s="1"/>
  <c r="I41" i="20"/>
  <c r="B41" i="22" s="1"/>
  <c r="I42" i="20"/>
  <c r="B42" i="22" s="1"/>
  <c r="I44" i="20"/>
  <c r="B44" i="22" s="1"/>
  <c r="I45" i="20"/>
  <c r="B45" i="22" s="1"/>
  <c r="I46" i="20"/>
  <c r="B46" i="22" s="1"/>
  <c r="I47" i="20"/>
  <c r="B47" i="22" s="1"/>
  <c r="I48" i="20"/>
  <c r="B48" i="22" s="1"/>
  <c r="I49" i="20"/>
  <c r="B49" i="22" s="1"/>
  <c r="I50" i="20"/>
  <c r="B50" i="22" s="1"/>
  <c r="I51" i="20"/>
  <c r="B51" i="22" s="1"/>
  <c r="I53" i="20"/>
  <c r="B53" i="22" s="1"/>
  <c r="I54" i="20"/>
  <c r="B54" i="22" s="1"/>
  <c r="I55" i="20"/>
  <c r="B55" i="22" s="1"/>
  <c r="M11" i="18"/>
  <c r="L11" i="18"/>
  <c r="T13" i="19"/>
  <c r="R13" i="19"/>
  <c r="S13" i="19" s="1"/>
  <c r="V11" i="22"/>
  <c r="M13" i="21"/>
  <c r="W11" i="20"/>
  <c r="L12" i="22"/>
  <c r="S12" i="20"/>
  <c r="M12" i="22" s="1"/>
  <c r="T14" i="19"/>
  <c r="R14" i="19"/>
  <c r="S14" i="19" s="1"/>
  <c r="V12" i="22"/>
  <c r="M14" i="21"/>
  <c r="W12" i="20"/>
  <c r="M13" i="18"/>
  <c r="L13" i="18"/>
  <c r="T15" i="19"/>
  <c r="R15" i="19"/>
  <c r="S15" i="19" s="1"/>
  <c r="V13" i="22"/>
  <c r="M15" i="21"/>
  <c r="W13" i="20"/>
  <c r="L14" i="22"/>
  <c r="S14" i="20"/>
  <c r="M14" i="22" s="1"/>
  <c r="T16" i="19"/>
  <c r="R16" i="19"/>
  <c r="S16" i="19" s="1"/>
  <c r="V14" i="22"/>
  <c r="M16" i="21"/>
  <c r="W14" i="20"/>
  <c r="L15" i="22"/>
  <c r="S15" i="20"/>
  <c r="M15" i="22" s="1"/>
  <c r="T17" i="19"/>
  <c r="R17" i="19"/>
  <c r="S17" i="19" s="1"/>
  <c r="V15" i="22"/>
  <c r="M17" i="21"/>
  <c r="W15" i="20"/>
  <c r="L16" i="22"/>
  <c r="S16" i="20"/>
  <c r="M16" i="22" s="1"/>
  <c r="T18" i="19"/>
  <c r="R18" i="19"/>
  <c r="S18" i="19" s="1"/>
  <c r="V16" i="22"/>
  <c r="M18" i="21"/>
  <c r="W16" i="20"/>
  <c r="L17" i="22"/>
  <c r="S17" i="20"/>
  <c r="M17" i="22" s="1"/>
  <c r="T19" i="19"/>
  <c r="R19" i="19"/>
  <c r="S19" i="19" s="1"/>
  <c r="V17" i="22"/>
  <c r="M19" i="21"/>
  <c r="W17" i="20"/>
  <c r="L18" i="22"/>
  <c r="S18" i="20"/>
  <c r="M18" i="22" s="1"/>
  <c r="T20" i="19"/>
  <c r="R20" i="19"/>
  <c r="S20" i="19" s="1"/>
  <c r="V18" i="22"/>
  <c r="M20" i="21"/>
  <c r="W18" i="20"/>
  <c r="T21" i="19"/>
  <c r="R21" i="19"/>
  <c r="S21" i="19" s="1"/>
  <c r="V19" i="22"/>
  <c r="M21" i="21"/>
  <c r="W19" i="20"/>
  <c r="T22" i="19"/>
  <c r="R22" i="19"/>
  <c r="S22" i="19" s="1"/>
  <c r="V20" i="22"/>
  <c r="M22" i="21"/>
  <c r="W20" i="20"/>
  <c r="T23" i="19"/>
  <c r="R23" i="19"/>
  <c r="S23" i="19" s="1"/>
  <c r="V21" i="22"/>
  <c r="M23" i="21"/>
  <c r="W21" i="20"/>
  <c r="T24" i="19"/>
  <c r="R24" i="19"/>
  <c r="S24" i="19" s="1"/>
  <c r="V22" i="22"/>
  <c r="M24" i="21"/>
  <c r="W22" i="20"/>
  <c r="T25" i="19"/>
  <c r="R25" i="19"/>
  <c r="S25" i="19" s="1"/>
  <c r="V23" i="22"/>
  <c r="M25" i="21"/>
  <c r="W23" i="20"/>
  <c r="T26" i="19"/>
  <c r="R26" i="19"/>
  <c r="S26" i="19" s="1"/>
  <c r="V24" i="22"/>
  <c r="M26" i="21"/>
  <c r="W24" i="20"/>
  <c r="T27" i="19"/>
  <c r="R27" i="19"/>
  <c r="S27" i="19" s="1"/>
  <c r="V25" i="22"/>
  <c r="M27" i="21"/>
  <c r="W25" i="20"/>
  <c r="T28" i="19"/>
  <c r="R28" i="19"/>
  <c r="S28" i="19" s="1"/>
  <c r="V26" i="22"/>
  <c r="M28" i="21"/>
  <c r="W26" i="20"/>
  <c r="T28" i="21" l="1"/>
  <c r="R28" i="21"/>
  <c r="S28" i="21" s="1"/>
  <c r="V26" i="24"/>
  <c r="M28" i="23"/>
  <c r="W26" i="22"/>
  <c r="T27" i="21"/>
  <c r="R27" i="21"/>
  <c r="S27" i="21" s="1"/>
  <c r="V25" i="24"/>
  <c r="M27" i="23"/>
  <c r="W25" i="22"/>
  <c r="T26" i="21"/>
  <c r="R26" i="21"/>
  <c r="S26" i="21" s="1"/>
  <c r="V24" i="24"/>
  <c r="M26" i="23"/>
  <c r="W24" i="22"/>
  <c r="T25" i="21"/>
  <c r="R25" i="21"/>
  <c r="S25" i="21" s="1"/>
  <c r="V23" i="24"/>
  <c r="M25" i="23"/>
  <c r="W23" i="22"/>
  <c r="T24" i="21"/>
  <c r="R24" i="21"/>
  <c r="S24" i="21" s="1"/>
  <c r="V22" i="24"/>
  <c r="M24" i="23"/>
  <c r="W22" i="22"/>
  <c r="T23" i="21"/>
  <c r="R23" i="21"/>
  <c r="S23" i="21" s="1"/>
  <c r="V21" i="24"/>
  <c r="M23" i="23"/>
  <c r="W21" i="22"/>
  <c r="T22" i="21"/>
  <c r="R22" i="21"/>
  <c r="S22" i="21" s="1"/>
  <c r="V20" i="24"/>
  <c r="M22" i="23"/>
  <c r="W20" i="22"/>
  <c r="T21" i="21"/>
  <c r="R21" i="21"/>
  <c r="S21" i="21" s="1"/>
  <c r="V19" i="24"/>
  <c r="M21" i="23"/>
  <c r="W19" i="22"/>
  <c r="T20" i="21"/>
  <c r="R20" i="21"/>
  <c r="S20" i="21" s="1"/>
  <c r="V18" i="24"/>
  <c r="M20" i="23"/>
  <c r="W18" i="22"/>
  <c r="L18" i="24"/>
  <c r="S18" i="22"/>
  <c r="M18" i="24" s="1"/>
  <c r="T19" i="21"/>
  <c r="R19" i="21"/>
  <c r="S19" i="21" s="1"/>
  <c r="V17" i="24"/>
  <c r="M19" i="23"/>
  <c r="W17" i="22"/>
  <c r="L17" i="24"/>
  <c r="S17" i="22"/>
  <c r="M17" i="24" s="1"/>
  <c r="T18" i="21"/>
  <c r="R18" i="21"/>
  <c r="S18" i="21" s="1"/>
  <c r="V16" i="24"/>
  <c r="M18" i="23"/>
  <c r="W16" i="22"/>
  <c r="L16" i="24"/>
  <c r="S16" i="22"/>
  <c r="M16" i="24" s="1"/>
  <c r="T17" i="21"/>
  <c r="R17" i="21"/>
  <c r="S17" i="21" s="1"/>
  <c r="V15" i="24"/>
  <c r="M17" i="23"/>
  <c r="W15" i="22"/>
  <c r="L15" i="24"/>
  <c r="S15" i="22"/>
  <c r="M15" i="24" s="1"/>
  <c r="T16" i="21"/>
  <c r="R16" i="21"/>
  <c r="S16" i="21" s="1"/>
  <c r="V14" i="24"/>
  <c r="M16" i="23"/>
  <c r="W14" i="22"/>
  <c r="L14" i="24"/>
  <c r="S14" i="22"/>
  <c r="M14" i="24" s="1"/>
  <c r="T15" i="21"/>
  <c r="R15" i="21"/>
  <c r="S15" i="21" s="1"/>
  <c r="V13" i="24"/>
  <c r="M15" i="23"/>
  <c r="W13" i="22"/>
  <c r="L13" i="20"/>
  <c r="S13" i="18"/>
  <c r="N6" i="18" s="1"/>
  <c r="J6" i="19" s="1"/>
  <c r="J8" i="19" s="1"/>
  <c r="K8" i="19" s="1"/>
  <c r="M13" i="20"/>
  <c r="T14" i="21"/>
  <c r="R14" i="21"/>
  <c r="S14" i="21" s="1"/>
  <c r="V12" i="24"/>
  <c r="M14" i="23"/>
  <c r="W12" i="22"/>
  <c r="L12" i="24"/>
  <c r="S12" i="22"/>
  <c r="M12" i="24" s="1"/>
  <c r="T13" i="21"/>
  <c r="R13" i="21"/>
  <c r="S13" i="21" s="1"/>
  <c r="V11" i="24"/>
  <c r="M13" i="23"/>
  <c r="W11" i="22"/>
  <c r="L11" i="20"/>
  <c r="S11" i="18"/>
  <c r="M11" i="20"/>
  <c r="I55" i="22"/>
  <c r="B55" i="24" s="1"/>
  <c r="I54" i="22"/>
  <c r="B54" i="24" s="1"/>
  <c r="I53" i="22"/>
  <c r="B53" i="24" s="1"/>
  <c r="I51" i="22"/>
  <c r="B51" i="24" s="1"/>
  <c r="I50" i="22"/>
  <c r="B50" i="24" s="1"/>
  <c r="I49" i="22"/>
  <c r="B49" i="24" s="1"/>
  <c r="I48" i="22"/>
  <c r="B48" i="24" s="1"/>
  <c r="I47" i="22"/>
  <c r="B47" i="24" s="1"/>
  <c r="I46" i="22"/>
  <c r="B46" i="24" s="1"/>
  <c r="I45" i="22"/>
  <c r="B45" i="24" s="1"/>
  <c r="I44" i="22"/>
  <c r="B44" i="24" s="1"/>
  <c r="I42" i="22"/>
  <c r="B42" i="24" s="1"/>
  <c r="I41" i="22"/>
  <c r="B41" i="24" s="1"/>
  <c r="I40" i="22"/>
  <c r="B40" i="24" s="1"/>
  <c r="I39" i="22"/>
  <c r="B39" i="24" s="1"/>
  <c r="I38" i="22"/>
  <c r="B38" i="24" s="1"/>
  <c r="I37" i="22"/>
  <c r="B37" i="24" s="1"/>
  <c r="I36" i="22"/>
  <c r="B36" i="24" s="1"/>
  <c r="I35" i="22"/>
  <c r="B35" i="24" s="1"/>
  <c r="I34" i="22"/>
  <c r="B34" i="24" s="1"/>
  <c r="I32" i="22"/>
  <c r="B32" i="24" s="1"/>
  <c r="I31" i="22"/>
  <c r="B31" i="24" s="1"/>
  <c r="I30" i="22"/>
  <c r="B30" i="24" s="1"/>
  <c r="I29" i="22"/>
  <c r="B29" i="24" s="1"/>
  <c r="I28" i="22"/>
  <c r="B28" i="24" s="1"/>
  <c r="I27" i="22"/>
  <c r="B27" i="24" s="1"/>
  <c r="I26" i="22"/>
  <c r="B26" i="24" s="1"/>
  <c r="I25" i="22"/>
  <c r="B25" i="24" s="1"/>
  <c r="I23" i="22"/>
  <c r="B23" i="24" s="1"/>
  <c r="I22" i="22"/>
  <c r="B22" i="24" s="1"/>
  <c r="I21" i="22"/>
  <c r="B21" i="24" s="1"/>
  <c r="I20" i="22"/>
  <c r="B20" i="24" s="1"/>
  <c r="I19" i="22"/>
  <c r="B19" i="24" s="1"/>
  <c r="I17" i="22"/>
  <c r="B17" i="24" s="1"/>
  <c r="Q6" i="12"/>
  <c r="N6" i="13" s="1"/>
  <c r="N8" i="13" s="1"/>
  <c r="O8" i="13" s="1"/>
  <c r="B16" i="14"/>
  <c r="I15" i="22"/>
  <c r="B15" i="24" s="1"/>
  <c r="I14" i="22"/>
  <c r="B14" i="24" s="1"/>
  <c r="I13" i="22"/>
  <c r="B13" i="24" s="1"/>
  <c r="I12" i="22"/>
  <c r="B12" i="24" s="1"/>
  <c r="I11" i="22"/>
  <c r="B11" i="24" s="1"/>
  <c r="I10" i="22"/>
  <c r="B10" i="24" s="1"/>
  <c r="I9" i="22"/>
  <c r="B9" i="24" s="1"/>
  <c r="K6" i="12"/>
  <c r="F6" i="13" s="1"/>
  <c r="F8" i="13" s="1"/>
  <c r="G8" i="13" s="1"/>
  <c r="U6" i="12"/>
  <c r="B6" i="13" s="1"/>
  <c r="B8" i="13" s="1"/>
  <c r="C8" i="13" s="1"/>
  <c r="B8" i="14"/>
  <c r="I8" i="14" l="1"/>
  <c r="I9" i="24"/>
  <c r="B9" i="26" s="1"/>
  <c r="I10" i="24"/>
  <c r="B10" i="26" s="1"/>
  <c r="I11" i="24"/>
  <c r="B11" i="26" s="1"/>
  <c r="I12" i="24"/>
  <c r="B12" i="26" s="1"/>
  <c r="I13" i="24"/>
  <c r="B13" i="26" s="1"/>
  <c r="I14" i="24"/>
  <c r="B14" i="26" s="1"/>
  <c r="I15" i="24"/>
  <c r="B15" i="26" s="1"/>
  <c r="I16" i="14"/>
  <c r="I17" i="24"/>
  <c r="B17" i="26" s="1"/>
  <c r="I19" i="24"/>
  <c r="B19" i="26" s="1"/>
  <c r="I20" i="24"/>
  <c r="B20" i="26" s="1"/>
  <c r="I21" i="24"/>
  <c r="B21" i="26" s="1"/>
  <c r="I22" i="24"/>
  <c r="B22" i="26" s="1"/>
  <c r="I23" i="24"/>
  <c r="B23" i="26" s="1"/>
  <c r="I25" i="24"/>
  <c r="B25" i="26" s="1"/>
  <c r="I26" i="24"/>
  <c r="B26" i="26" s="1"/>
  <c r="I27" i="24"/>
  <c r="B27" i="26" s="1"/>
  <c r="I28" i="24"/>
  <c r="B28" i="26" s="1"/>
  <c r="I29" i="24"/>
  <c r="B29" i="26" s="1"/>
  <c r="I30" i="24"/>
  <c r="B30" i="26" s="1"/>
  <c r="I31" i="24"/>
  <c r="B31" i="26" s="1"/>
  <c r="I32" i="24"/>
  <c r="B32" i="26" s="1"/>
  <c r="I34" i="24"/>
  <c r="B34" i="26" s="1"/>
  <c r="I35" i="24"/>
  <c r="B35" i="26" s="1"/>
  <c r="I36" i="24"/>
  <c r="B36" i="26" s="1"/>
  <c r="I37" i="24"/>
  <c r="B37" i="26" s="1"/>
  <c r="I38" i="24"/>
  <c r="B38" i="26" s="1"/>
  <c r="I39" i="24"/>
  <c r="B39" i="26" s="1"/>
  <c r="I40" i="24"/>
  <c r="B40" i="26" s="1"/>
  <c r="I41" i="24"/>
  <c r="B41" i="26" s="1"/>
  <c r="I42" i="24"/>
  <c r="B42" i="26" s="1"/>
  <c r="I44" i="24"/>
  <c r="B44" i="26" s="1"/>
  <c r="I45" i="24"/>
  <c r="B45" i="26" s="1"/>
  <c r="I46" i="24"/>
  <c r="B46" i="26" s="1"/>
  <c r="I47" i="24"/>
  <c r="B47" i="26" s="1"/>
  <c r="I48" i="24"/>
  <c r="B48" i="26" s="1"/>
  <c r="I49" i="24"/>
  <c r="B49" i="26" s="1"/>
  <c r="I50" i="24"/>
  <c r="B50" i="26" s="1"/>
  <c r="I51" i="24"/>
  <c r="B51" i="26" s="1"/>
  <c r="I53" i="24"/>
  <c r="B53" i="26" s="1"/>
  <c r="I54" i="24"/>
  <c r="B54" i="26" s="1"/>
  <c r="I55" i="24"/>
  <c r="B55" i="26" s="1"/>
  <c r="L11" i="22"/>
  <c r="S11" i="20"/>
  <c r="T13" i="23"/>
  <c r="R13" i="23"/>
  <c r="S13" i="23" s="1"/>
  <c r="V11" i="26"/>
  <c r="M13" i="25"/>
  <c r="W11" i="24"/>
  <c r="L12" i="26"/>
  <c r="S12" i="24"/>
  <c r="M12" i="26" s="1"/>
  <c r="T14" i="23"/>
  <c r="R14" i="23"/>
  <c r="S14" i="23" s="1"/>
  <c r="V12" i="26"/>
  <c r="M14" i="25"/>
  <c r="W12" i="24"/>
  <c r="L13" i="22"/>
  <c r="S13" i="20"/>
  <c r="T15" i="23"/>
  <c r="R15" i="23"/>
  <c r="S15" i="23" s="1"/>
  <c r="V13" i="26"/>
  <c r="M15" i="25"/>
  <c r="W13" i="24"/>
  <c r="L14" i="26"/>
  <c r="S14" i="24"/>
  <c r="M14" i="26" s="1"/>
  <c r="T16" i="23"/>
  <c r="R16" i="23"/>
  <c r="S16" i="23" s="1"/>
  <c r="V14" i="26"/>
  <c r="M16" i="25"/>
  <c r="W14" i="24"/>
  <c r="L15" i="26"/>
  <c r="S15" i="24"/>
  <c r="M15" i="26" s="1"/>
  <c r="T17" i="23"/>
  <c r="R17" i="23"/>
  <c r="S17" i="23" s="1"/>
  <c r="V15" i="26"/>
  <c r="M17" i="25"/>
  <c r="W15" i="24"/>
  <c r="L16" i="26"/>
  <c r="S16" i="24"/>
  <c r="M16" i="26" s="1"/>
  <c r="T18" i="23"/>
  <c r="R18" i="23"/>
  <c r="S18" i="23" s="1"/>
  <c r="V16" i="26"/>
  <c r="M18" i="25"/>
  <c r="W16" i="24"/>
  <c r="L17" i="26"/>
  <c r="S17" i="24"/>
  <c r="M17" i="26" s="1"/>
  <c r="T19" i="23"/>
  <c r="R19" i="23"/>
  <c r="S19" i="23" s="1"/>
  <c r="V17" i="26"/>
  <c r="M19" i="25"/>
  <c r="W17" i="24"/>
  <c r="L18" i="26"/>
  <c r="S18" i="24"/>
  <c r="M18" i="26" s="1"/>
  <c r="T20" i="23"/>
  <c r="R20" i="23"/>
  <c r="S20" i="23" s="1"/>
  <c r="V18" i="26"/>
  <c r="M20" i="25"/>
  <c r="W18" i="24"/>
  <c r="T21" i="23"/>
  <c r="R21" i="23"/>
  <c r="S21" i="23" s="1"/>
  <c r="V19" i="26"/>
  <c r="M21" i="25"/>
  <c r="W19" i="24"/>
  <c r="T22" i="23"/>
  <c r="R22" i="23"/>
  <c r="S22" i="23" s="1"/>
  <c r="V20" i="26"/>
  <c r="M22" i="25"/>
  <c r="W20" i="24"/>
  <c r="T23" i="23"/>
  <c r="R23" i="23"/>
  <c r="S23" i="23" s="1"/>
  <c r="V21" i="26"/>
  <c r="M23" i="25"/>
  <c r="W21" i="24"/>
  <c r="T24" i="23"/>
  <c r="R24" i="23"/>
  <c r="S24" i="23" s="1"/>
  <c r="V22" i="26"/>
  <c r="M24" i="25"/>
  <c r="W22" i="24"/>
  <c r="T25" i="23"/>
  <c r="R25" i="23"/>
  <c r="S25" i="23" s="1"/>
  <c r="V23" i="26"/>
  <c r="M25" i="25"/>
  <c r="W23" i="24"/>
  <c r="T26" i="23"/>
  <c r="R26" i="23"/>
  <c r="S26" i="23" s="1"/>
  <c r="V24" i="26"/>
  <c r="M26" i="25"/>
  <c r="W24" i="24"/>
  <c r="T27" i="23"/>
  <c r="R27" i="23"/>
  <c r="S27" i="23" s="1"/>
  <c r="V25" i="26"/>
  <c r="M27" i="25"/>
  <c r="W25" i="24"/>
  <c r="T28" i="23"/>
  <c r="R28" i="23"/>
  <c r="S28" i="23" s="1"/>
  <c r="V26" i="26"/>
  <c r="M28" i="25"/>
  <c r="W26" i="24"/>
  <c r="T28" i="25" l="1"/>
  <c r="R28" i="25"/>
  <c r="S28" i="25" s="1"/>
  <c r="V26" i="28"/>
  <c r="M28" i="27"/>
  <c r="W26" i="26"/>
  <c r="T27" i="25"/>
  <c r="R27" i="25"/>
  <c r="S27" i="25" s="1"/>
  <c r="V25" i="28"/>
  <c r="M27" i="27"/>
  <c r="W25" i="26"/>
  <c r="T26" i="25"/>
  <c r="R26" i="25"/>
  <c r="S26" i="25" s="1"/>
  <c r="V24" i="28"/>
  <c r="M26" i="27"/>
  <c r="W24" i="26"/>
  <c r="T25" i="25"/>
  <c r="R25" i="25"/>
  <c r="S25" i="25" s="1"/>
  <c r="V23" i="28"/>
  <c r="M25" i="27"/>
  <c r="W23" i="26"/>
  <c r="T24" i="25"/>
  <c r="R24" i="25"/>
  <c r="S24" i="25" s="1"/>
  <c r="V22" i="28"/>
  <c r="M24" i="27"/>
  <c r="W22" i="26"/>
  <c r="T23" i="25"/>
  <c r="R23" i="25"/>
  <c r="S23" i="25" s="1"/>
  <c r="V21" i="28"/>
  <c r="M23" i="27"/>
  <c r="W21" i="26"/>
  <c r="T22" i="25"/>
  <c r="R22" i="25"/>
  <c r="S22" i="25" s="1"/>
  <c r="V20" i="28"/>
  <c r="M22" i="27"/>
  <c r="W20" i="26"/>
  <c r="T21" i="25"/>
  <c r="R21" i="25"/>
  <c r="S21" i="25" s="1"/>
  <c r="V19" i="28"/>
  <c r="M21" i="27"/>
  <c r="W19" i="26"/>
  <c r="T20" i="25"/>
  <c r="R20" i="25"/>
  <c r="S20" i="25" s="1"/>
  <c r="V18" i="28"/>
  <c r="M20" i="27"/>
  <c r="W18" i="26"/>
  <c r="L18" i="28"/>
  <c r="S18" i="26"/>
  <c r="M18" i="28" s="1"/>
  <c r="T19" i="25"/>
  <c r="R19" i="25"/>
  <c r="S19" i="25" s="1"/>
  <c r="V17" i="28"/>
  <c r="M19" i="27"/>
  <c r="W17" i="26"/>
  <c r="L17" i="28"/>
  <c r="S17" i="26"/>
  <c r="M17" i="28" s="1"/>
  <c r="T18" i="25"/>
  <c r="R18" i="25"/>
  <c r="S18" i="25" s="1"/>
  <c r="V16" i="28"/>
  <c r="M18" i="27"/>
  <c r="W16" i="26"/>
  <c r="L16" i="28"/>
  <c r="S16" i="26"/>
  <c r="M16" i="28" s="1"/>
  <c r="T17" i="25"/>
  <c r="R17" i="25"/>
  <c r="S17" i="25" s="1"/>
  <c r="V15" i="28"/>
  <c r="M17" i="27"/>
  <c r="W15" i="26"/>
  <c r="L15" i="28"/>
  <c r="S15" i="26"/>
  <c r="M15" i="28" s="1"/>
  <c r="T16" i="25"/>
  <c r="R16" i="25"/>
  <c r="S16" i="25" s="1"/>
  <c r="V14" i="28"/>
  <c r="M16" i="27"/>
  <c r="W14" i="26"/>
  <c r="L14" i="28"/>
  <c r="S14" i="26"/>
  <c r="M14" i="28" s="1"/>
  <c r="T15" i="25"/>
  <c r="R15" i="25"/>
  <c r="S15" i="25" s="1"/>
  <c r="V13" i="28"/>
  <c r="M15" i="27"/>
  <c r="W13" i="26"/>
  <c r="N6" i="20"/>
  <c r="J6" i="21" s="1"/>
  <c r="J8" i="21" s="1"/>
  <c r="K8" i="21" s="1"/>
  <c r="M13" i="22"/>
  <c r="L13" i="24"/>
  <c r="S13" i="22"/>
  <c r="N6" i="22" s="1"/>
  <c r="J6" i="23" s="1"/>
  <c r="J8" i="23" s="1"/>
  <c r="K8" i="23" s="1"/>
  <c r="T14" i="25"/>
  <c r="R14" i="25"/>
  <c r="S14" i="25" s="1"/>
  <c r="V12" i="28"/>
  <c r="M14" i="27"/>
  <c r="W12" i="26"/>
  <c r="L12" i="28"/>
  <c r="S12" i="26"/>
  <c r="M12" i="28" s="1"/>
  <c r="T13" i="25"/>
  <c r="R13" i="25"/>
  <c r="S13" i="25" s="1"/>
  <c r="V11" i="28"/>
  <c r="M13" i="27"/>
  <c r="W11" i="26"/>
  <c r="M11" i="22"/>
  <c r="L11" i="24"/>
  <c r="S11" i="22"/>
  <c r="I55" i="26"/>
  <c r="B55" i="28" s="1"/>
  <c r="I54" i="26"/>
  <c r="B54" i="28" s="1"/>
  <c r="I53" i="26"/>
  <c r="B53" i="28" s="1"/>
  <c r="I51" i="26"/>
  <c r="B51" i="28" s="1"/>
  <c r="I50" i="26"/>
  <c r="B50" i="28" s="1"/>
  <c r="I49" i="26"/>
  <c r="B49" i="28" s="1"/>
  <c r="I48" i="26"/>
  <c r="B48" i="28" s="1"/>
  <c r="I47" i="26"/>
  <c r="B47" i="28" s="1"/>
  <c r="I46" i="26"/>
  <c r="B46" i="28" s="1"/>
  <c r="I45" i="26"/>
  <c r="B45" i="28" s="1"/>
  <c r="I44" i="26"/>
  <c r="B44" i="28" s="1"/>
  <c r="I42" i="26"/>
  <c r="B42" i="28" s="1"/>
  <c r="I41" i="26"/>
  <c r="B41" i="28" s="1"/>
  <c r="I40" i="26"/>
  <c r="B40" i="28" s="1"/>
  <c r="I39" i="26"/>
  <c r="B39" i="28" s="1"/>
  <c r="I38" i="26"/>
  <c r="B38" i="28" s="1"/>
  <c r="I37" i="26"/>
  <c r="B37" i="28" s="1"/>
  <c r="I36" i="26"/>
  <c r="B36" i="28" s="1"/>
  <c r="I35" i="26"/>
  <c r="B35" i="28" s="1"/>
  <c r="I34" i="26"/>
  <c r="B34" i="28" s="1"/>
  <c r="I32" i="26"/>
  <c r="B32" i="28" s="1"/>
  <c r="I31" i="26"/>
  <c r="B31" i="28" s="1"/>
  <c r="I30" i="26"/>
  <c r="B30" i="28" s="1"/>
  <c r="I29" i="26"/>
  <c r="B29" i="28" s="1"/>
  <c r="I28" i="26"/>
  <c r="B28" i="28" s="1"/>
  <c r="I27" i="26"/>
  <c r="B27" i="28" s="1"/>
  <c r="I26" i="26"/>
  <c r="B26" i="28" s="1"/>
  <c r="I25" i="26"/>
  <c r="B25" i="28" s="1"/>
  <c r="I23" i="26"/>
  <c r="B23" i="28" s="1"/>
  <c r="I22" i="26"/>
  <c r="B22" i="28" s="1"/>
  <c r="I21" i="26"/>
  <c r="B21" i="28" s="1"/>
  <c r="I20" i="26"/>
  <c r="B20" i="28" s="1"/>
  <c r="I19" i="26"/>
  <c r="B19" i="28" s="1"/>
  <c r="I17" i="26"/>
  <c r="B17" i="28" s="1"/>
  <c r="Q6" i="14"/>
  <c r="N6" i="15" s="1"/>
  <c r="N8" i="15" s="1"/>
  <c r="O8" i="15" s="1"/>
  <c r="B16" i="16"/>
  <c r="I15" i="26"/>
  <c r="B15" i="28" s="1"/>
  <c r="I14" i="26"/>
  <c r="B14" i="28" s="1"/>
  <c r="I13" i="26"/>
  <c r="B13" i="28" s="1"/>
  <c r="I12" i="26"/>
  <c r="B12" i="28" s="1"/>
  <c r="I11" i="26"/>
  <c r="B11" i="28" s="1"/>
  <c r="I10" i="26"/>
  <c r="B10" i="28" s="1"/>
  <c r="I9" i="26"/>
  <c r="B9" i="28" s="1"/>
  <c r="K6" i="14"/>
  <c r="F6" i="15" s="1"/>
  <c r="F8" i="15" s="1"/>
  <c r="G8" i="15" s="1"/>
  <c r="U6" i="14"/>
  <c r="B6" i="15" s="1"/>
  <c r="B8" i="15" s="1"/>
  <c r="C8" i="15" s="1"/>
  <c r="B8" i="16"/>
  <c r="I8" i="16" l="1"/>
  <c r="I9" i="28"/>
  <c r="B9" i="30" s="1"/>
  <c r="I10" i="28"/>
  <c r="B10" i="30" s="1"/>
  <c r="I11" i="28"/>
  <c r="B11" i="30" s="1"/>
  <c r="I12" i="28"/>
  <c r="B12" i="30" s="1"/>
  <c r="I13" i="28"/>
  <c r="B13" i="30" s="1"/>
  <c r="I14" i="28"/>
  <c r="B14" i="30" s="1"/>
  <c r="I15" i="28"/>
  <c r="B15" i="30" s="1"/>
  <c r="I16" i="16"/>
  <c r="I17" i="28"/>
  <c r="B17" i="30" s="1"/>
  <c r="I19" i="28"/>
  <c r="B19" i="30" s="1"/>
  <c r="I20" i="28"/>
  <c r="B20" i="30" s="1"/>
  <c r="I21" i="28"/>
  <c r="B21" i="30" s="1"/>
  <c r="I22" i="28"/>
  <c r="B22" i="30" s="1"/>
  <c r="I23" i="28"/>
  <c r="B23" i="30" s="1"/>
  <c r="I25" i="28"/>
  <c r="B25" i="30" s="1"/>
  <c r="I26" i="28"/>
  <c r="B26" i="30" s="1"/>
  <c r="I27" i="28"/>
  <c r="B27" i="30" s="1"/>
  <c r="I28" i="28"/>
  <c r="B28" i="30" s="1"/>
  <c r="I29" i="28"/>
  <c r="B29" i="30" s="1"/>
  <c r="I30" i="28"/>
  <c r="B30" i="30" s="1"/>
  <c r="I31" i="28"/>
  <c r="B31" i="30" s="1"/>
  <c r="I32" i="28"/>
  <c r="B32" i="30" s="1"/>
  <c r="I34" i="28"/>
  <c r="B34" i="30" s="1"/>
  <c r="I35" i="28"/>
  <c r="B35" i="30" s="1"/>
  <c r="I36" i="28"/>
  <c r="B36" i="30" s="1"/>
  <c r="I37" i="28"/>
  <c r="B37" i="30" s="1"/>
  <c r="I38" i="28"/>
  <c r="B38" i="30" s="1"/>
  <c r="I39" i="28"/>
  <c r="B39" i="30" s="1"/>
  <c r="I40" i="28"/>
  <c r="B40" i="30" s="1"/>
  <c r="I41" i="28"/>
  <c r="B41" i="30" s="1"/>
  <c r="I42" i="28"/>
  <c r="B42" i="30" s="1"/>
  <c r="I44" i="28"/>
  <c r="B44" i="30" s="1"/>
  <c r="I45" i="28"/>
  <c r="B45" i="30" s="1"/>
  <c r="I46" i="28"/>
  <c r="B46" i="30" s="1"/>
  <c r="I47" i="28"/>
  <c r="B47" i="30" s="1"/>
  <c r="I48" i="28"/>
  <c r="B48" i="30" s="1"/>
  <c r="I49" i="28"/>
  <c r="B49" i="30" s="1"/>
  <c r="I50" i="28"/>
  <c r="B50" i="30" s="1"/>
  <c r="I51" i="28"/>
  <c r="B51" i="30" s="1"/>
  <c r="I53" i="28"/>
  <c r="B53" i="30" s="1"/>
  <c r="I54" i="28"/>
  <c r="B54" i="30" s="1"/>
  <c r="I55" i="28"/>
  <c r="B55" i="30" s="1"/>
  <c r="S11" i="24"/>
  <c r="M11" i="24"/>
  <c r="T13" i="27"/>
  <c r="R13" i="27"/>
  <c r="S13" i="27" s="1"/>
  <c r="V11" i="30"/>
  <c r="M13" i="29"/>
  <c r="W11" i="28"/>
  <c r="L12" i="30"/>
  <c r="S12" i="28"/>
  <c r="M12" i="30" s="1"/>
  <c r="T14" i="27"/>
  <c r="R14" i="27"/>
  <c r="S14" i="27" s="1"/>
  <c r="V12" i="30"/>
  <c r="M14" i="29"/>
  <c r="W12" i="28"/>
  <c r="S13" i="24"/>
  <c r="N6" i="24" s="1"/>
  <c r="J6" i="25" s="1"/>
  <c r="J8" i="25" s="1"/>
  <c r="K8" i="25" s="1"/>
  <c r="M13" i="24"/>
  <c r="T15" i="27"/>
  <c r="R15" i="27"/>
  <c r="S15" i="27" s="1"/>
  <c r="V13" i="30"/>
  <c r="M15" i="29"/>
  <c r="W13" i="28"/>
  <c r="L14" i="30"/>
  <c r="S14" i="28"/>
  <c r="M14" i="30" s="1"/>
  <c r="T16" i="27"/>
  <c r="R16" i="27"/>
  <c r="S16" i="27" s="1"/>
  <c r="V14" i="30"/>
  <c r="M16" i="29"/>
  <c r="W14" i="28"/>
  <c r="L15" i="30"/>
  <c r="S15" i="28"/>
  <c r="M15" i="30" s="1"/>
  <c r="T17" i="27"/>
  <c r="R17" i="27"/>
  <c r="S17" i="27" s="1"/>
  <c r="V15" i="30"/>
  <c r="M17" i="29"/>
  <c r="W15" i="28"/>
  <c r="L16" i="30"/>
  <c r="S16" i="28"/>
  <c r="M16" i="30" s="1"/>
  <c r="T18" i="27"/>
  <c r="R18" i="27"/>
  <c r="S18" i="27" s="1"/>
  <c r="V16" i="30"/>
  <c r="M18" i="29"/>
  <c r="W16" i="28"/>
  <c r="L17" i="30"/>
  <c r="S17" i="28"/>
  <c r="M17" i="30" s="1"/>
  <c r="T19" i="27"/>
  <c r="R19" i="27"/>
  <c r="S19" i="27" s="1"/>
  <c r="V17" i="30"/>
  <c r="M19" i="29"/>
  <c r="W17" i="28"/>
  <c r="L18" i="30"/>
  <c r="S18" i="28"/>
  <c r="M18" i="30" s="1"/>
  <c r="T20" i="27"/>
  <c r="R20" i="27"/>
  <c r="S20" i="27" s="1"/>
  <c r="V18" i="30"/>
  <c r="M20" i="29"/>
  <c r="W18" i="28"/>
  <c r="T21" i="27"/>
  <c r="R21" i="27"/>
  <c r="S21" i="27" s="1"/>
  <c r="V19" i="30"/>
  <c r="M21" i="29"/>
  <c r="W19" i="28"/>
  <c r="T22" i="27"/>
  <c r="R22" i="27"/>
  <c r="S22" i="27" s="1"/>
  <c r="V20" i="30"/>
  <c r="M22" i="29"/>
  <c r="W20" i="28"/>
  <c r="T23" i="27"/>
  <c r="R23" i="27"/>
  <c r="S23" i="27" s="1"/>
  <c r="V21" i="30"/>
  <c r="M23" i="29"/>
  <c r="W21" i="28"/>
  <c r="T24" i="27"/>
  <c r="R24" i="27"/>
  <c r="S24" i="27" s="1"/>
  <c r="V22" i="30"/>
  <c r="M24" i="29"/>
  <c r="W22" i="28"/>
  <c r="T25" i="27"/>
  <c r="R25" i="27"/>
  <c r="S25" i="27" s="1"/>
  <c r="V23" i="30"/>
  <c r="M25" i="29"/>
  <c r="W23" i="28"/>
  <c r="T26" i="27"/>
  <c r="R26" i="27"/>
  <c r="S26" i="27" s="1"/>
  <c r="V24" i="30"/>
  <c r="M26" i="29"/>
  <c r="W24" i="28"/>
  <c r="T27" i="27"/>
  <c r="R27" i="27"/>
  <c r="S27" i="27" s="1"/>
  <c r="V25" i="30"/>
  <c r="M27" i="29"/>
  <c r="W25" i="28"/>
  <c r="T28" i="27"/>
  <c r="R28" i="27"/>
  <c r="S28" i="27" s="1"/>
  <c r="V26" i="30"/>
  <c r="M28" i="29"/>
  <c r="W26" i="28"/>
  <c r="T28" i="29" l="1"/>
  <c r="R28" i="29"/>
  <c r="S28" i="29" s="1"/>
  <c r="V26" i="32"/>
  <c r="W26" i="32" s="1"/>
  <c r="M28" i="31"/>
  <c r="W26" i="30"/>
  <c r="T27" i="29"/>
  <c r="R27" i="29"/>
  <c r="S27" i="29" s="1"/>
  <c r="V25" i="32"/>
  <c r="W25" i="32" s="1"/>
  <c r="M27" i="31"/>
  <c r="W25" i="30"/>
  <c r="T26" i="29"/>
  <c r="R26" i="29"/>
  <c r="S26" i="29" s="1"/>
  <c r="V24" i="32"/>
  <c r="W24" i="32" s="1"/>
  <c r="M26" i="31"/>
  <c r="W24" i="30"/>
  <c r="T25" i="29"/>
  <c r="R25" i="29"/>
  <c r="S25" i="29" s="1"/>
  <c r="V23" i="32"/>
  <c r="W23" i="32" s="1"/>
  <c r="M25" i="31"/>
  <c r="W23" i="30"/>
  <c r="T24" i="29"/>
  <c r="R24" i="29"/>
  <c r="S24" i="29" s="1"/>
  <c r="V22" i="32"/>
  <c r="W22" i="32" s="1"/>
  <c r="M24" i="31"/>
  <c r="W22" i="30"/>
  <c r="T23" i="29"/>
  <c r="R23" i="29"/>
  <c r="S23" i="29" s="1"/>
  <c r="V21" i="32"/>
  <c r="W21" i="32" s="1"/>
  <c r="M23" i="31"/>
  <c r="W21" i="30"/>
  <c r="T22" i="29"/>
  <c r="R22" i="29"/>
  <c r="S22" i="29" s="1"/>
  <c r="V20" i="32"/>
  <c r="W20" i="32" s="1"/>
  <c r="M22" i="31"/>
  <c r="W20" i="30"/>
  <c r="T21" i="29"/>
  <c r="R21" i="29"/>
  <c r="S21" i="29" s="1"/>
  <c r="V19" i="32"/>
  <c r="W19" i="32" s="1"/>
  <c r="M21" i="31"/>
  <c r="W19" i="30"/>
  <c r="T20" i="29"/>
  <c r="R20" i="29"/>
  <c r="S20" i="29" s="1"/>
  <c r="V18" i="32"/>
  <c r="W18" i="32" s="1"/>
  <c r="M20" i="31"/>
  <c r="W18" i="30"/>
  <c r="L18" i="32"/>
  <c r="S18" i="32" s="1"/>
  <c r="S18" i="30"/>
  <c r="M18" i="32" s="1"/>
  <c r="T19" i="29"/>
  <c r="R19" i="29"/>
  <c r="S19" i="29" s="1"/>
  <c r="V17" i="32"/>
  <c r="W17" i="32" s="1"/>
  <c r="M19" i="31"/>
  <c r="W17" i="30"/>
  <c r="L17" i="32"/>
  <c r="S17" i="32" s="1"/>
  <c r="S17" i="30"/>
  <c r="M17" i="32" s="1"/>
  <c r="T18" i="29"/>
  <c r="R18" i="29"/>
  <c r="S18" i="29" s="1"/>
  <c r="V16" i="32"/>
  <c r="W16" i="32" s="1"/>
  <c r="M18" i="31"/>
  <c r="W16" i="30"/>
  <c r="L16" i="32"/>
  <c r="S16" i="32" s="1"/>
  <c r="S16" i="30"/>
  <c r="M16" i="32" s="1"/>
  <c r="T17" i="29"/>
  <c r="R17" i="29"/>
  <c r="S17" i="29" s="1"/>
  <c r="V15" i="32"/>
  <c r="W15" i="32" s="1"/>
  <c r="M17" i="31"/>
  <c r="W15" i="30"/>
  <c r="L15" i="32"/>
  <c r="S15" i="32" s="1"/>
  <c r="S15" i="30"/>
  <c r="M15" i="32" s="1"/>
  <c r="T16" i="29"/>
  <c r="R16" i="29"/>
  <c r="S16" i="29" s="1"/>
  <c r="V14" i="32"/>
  <c r="W14" i="32" s="1"/>
  <c r="M16" i="31"/>
  <c r="W14" i="30"/>
  <c r="L14" i="32"/>
  <c r="S14" i="32" s="1"/>
  <c r="S14" i="30"/>
  <c r="M14" i="32" s="1"/>
  <c r="T15" i="29"/>
  <c r="R15" i="29"/>
  <c r="S15" i="29" s="1"/>
  <c r="V13" i="32"/>
  <c r="W13" i="32" s="1"/>
  <c r="M15" i="31"/>
  <c r="W13" i="30"/>
  <c r="M13" i="26"/>
  <c r="L13" i="26"/>
  <c r="T14" i="29"/>
  <c r="R14" i="29"/>
  <c r="S14" i="29" s="1"/>
  <c r="V12" i="32"/>
  <c r="W12" i="32" s="1"/>
  <c r="M14" i="31"/>
  <c r="W12" i="30"/>
  <c r="L12" i="32"/>
  <c r="S12" i="32" s="1"/>
  <c r="S12" i="30"/>
  <c r="M12" i="32" s="1"/>
  <c r="T13" i="29"/>
  <c r="R13" i="29"/>
  <c r="S13" i="29" s="1"/>
  <c r="V11" i="32"/>
  <c r="M13" i="31"/>
  <c r="W11" i="30"/>
  <c r="M11" i="26"/>
  <c r="L11" i="26"/>
  <c r="I55" i="30"/>
  <c r="B55" i="32" s="1"/>
  <c r="I55" i="32" s="1"/>
  <c r="I54" i="30"/>
  <c r="B54" i="32" s="1"/>
  <c r="I54" i="32" s="1"/>
  <c r="I53" i="30"/>
  <c r="B53" i="32" s="1"/>
  <c r="I53" i="32" s="1"/>
  <c r="I51" i="30"/>
  <c r="B51" i="32" s="1"/>
  <c r="I51" i="32" s="1"/>
  <c r="I50" i="30"/>
  <c r="B50" i="32" s="1"/>
  <c r="I50" i="32" s="1"/>
  <c r="I49" i="30"/>
  <c r="B49" i="32" s="1"/>
  <c r="I49" i="32" s="1"/>
  <c r="I48" i="30"/>
  <c r="B48" i="32" s="1"/>
  <c r="I48" i="32" s="1"/>
  <c r="I47" i="30"/>
  <c r="B47" i="32" s="1"/>
  <c r="I47" i="32" s="1"/>
  <c r="I46" i="30"/>
  <c r="B46" i="32" s="1"/>
  <c r="I46" i="32" s="1"/>
  <c r="I45" i="30"/>
  <c r="B45" i="32" s="1"/>
  <c r="I45" i="32" s="1"/>
  <c r="I44" i="30"/>
  <c r="B44" i="32" s="1"/>
  <c r="I44" i="32" s="1"/>
  <c r="I42" i="30"/>
  <c r="B42" i="32" s="1"/>
  <c r="I42" i="32" s="1"/>
  <c r="I41" i="30"/>
  <c r="B41" i="32" s="1"/>
  <c r="I41" i="32" s="1"/>
  <c r="I40" i="30"/>
  <c r="B40" i="32" s="1"/>
  <c r="I40" i="32" s="1"/>
  <c r="I39" i="30"/>
  <c r="B39" i="32" s="1"/>
  <c r="I39" i="32" s="1"/>
  <c r="I38" i="30"/>
  <c r="B38" i="32" s="1"/>
  <c r="I38" i="32" s="1"/>
  <c r="I37" i="30"/>
  <c r="B37" i="32" s="1"/>
  <c r="I37" i="32" s="1"/>
  <c r="I36" i="30"/>
  <c r="B36" i="32" s="1"/>
  <c r="I36" i="32" s="1"/>
  <c r="I35" i="30"/>
  <c r="B35" i="32" s="1"/>
  <c r="I35" i="32" s="1"/>
  <c r="I34" i="30"/>
  <c r="B34" i="32" s="1"/>
  <c r="I34" i="32" s="1"/>
  <c r="I32" i="30"/>
  <c r="B32" i="32" s="1"/>
  <c r="I32" i="32" s="1"/>
  <c r="I31" i="30"/>
  <c r="B31" i="32" s="1"/>
  <c r="I31" i="32" s="1"/>
  <c r="I30" i="30"/>
  <c r="B30" i="32" s="1"/>
  <c r="I30" i="32" s="1"/>
  <c r="I29" i="30"/>
  <c r="B29" i="32" s="1"/>
  <c r="I29" i="32" s="1"/>
  <c r="I28" i="30"/>
  <c r="B28" i="32" s="1"/>
  <c r="I28" i="32" s="1"/>
  <c r="I27" i="30"/>
  <c r="B27" i="32" s="1"/>
  <c r="I27" i="32" s="1"/>
  <c r="I26" i="30"/>
  <c r="B26" i="32" s="1"/>
  <c r="I26" i="32" s="1"/>
  <c r="I25" i="30"/>
  <c r="B25" i="32" s="1"/>
  <c r="I25" i="32" s="1"/>
  <c r="I23" i="30"/>
  <c r="B23" i="32" s="1"/>
  <c r="I23" i="32" s="1"/>
  <c r="I22" i="30"/>
  <c r="B22" i="32" s="1"/>
  <c r="I22" i="32" s="1"/>
  <c r="I21" i="30"/>
  <c r="B21" i="32" s="1"/>
  <c r="I21" i="32" s="1"/>
  <c r="I20" i="30"/>
  <c r="B20" i="32" s="1"/>
  <c r="I20" i="32" s="1"/>
  <c r="I19" i="30"/>
  <c r="B19" i="32" s="1"/>
  <c r="I19" i="32" s="1"/>
  <c r="I17" i="30"/>
  <c r="B17" i="32" s="1"/>
  <c r="I17" i="32" s="1"/>
  <c r="Q6" i="16"/>
  <c r="N6" i="17" s="1"/>
  <c r="N8" i="17" s="1"/>
  <c r="O8" i="17" s="1"/>
  <c r="B16" i="18"/>
  <c r="I15" i="30"/>
  <c r="B15" i="32" s="1"/>
  <c r="I15" i="32" s="1"/>
  <c r="I14" i="30"/>
  <c r="B14" i="32" s="1"/>
  <c r="I14" i="32" s="1"/>
  <c r="I13" i="30"/>
  <c r="B13" i="32" s="1"/>
  <c r="I13" i="32" s="1"/>
  <c r="I12" i="30"/>
  <c r="B12" i="32" s="1"/>
  <c r="I12" i="32" s="1"/>
  <c r="I11" i="30"/>
  <c r="B11" i="32" s="1"/>
  <c r="I11" i="32" s="1"/>
  <c r="I10" i="30"/>
  <c r="B10" i="32" s="1"/>
  <c r="I10" i="32" s="1"/>
  <c r="I9" i="30"/>
  <c r="B9" i="32" s="1"/>
  <c r="I9" i="32" s="1"/>
  <c r="K6" i="16"/>
  <c r="F6" i="17" s="1"/>
  <c r="F8" i="17" s="1"/>
  <c r="G8" i="17" s="1"/>
  <c r="U6" i="16"/>
  <c r="B6" i="17" s="1"/>
  <c r="B8" i="17" s="1"/>
  <c r="C8" i="17" s="1"/>
  <c r="B8" i="18"/>
  <c r="I8" i="18" l="1"/>
  <c r="I16" i="18"/>
  <c r="L11" i="28"/>
  <c r="S11" i="26"/>
  <c r="M11" i="28"/>
  <c r="T13" i="31"/>
  <c r="R13" i="31"/>
  <c r="S13" i="31" s="1"/>
  <c r="W11" i="32"/>
  <c r="T14" i="31"/>
  <c r="R14" i="31"/>
  <c r="S14" i="31" s="1"/>
  <c r="L13" i="28"/>
  <c r="S13" i="26"/>
  <c r="N6" i="26" s="1"/>
  <c r="J6" i="27" s="1"/>
  <c r="J8" i="27" s="1"/>
  <c r="K8" i="27" s="1"/>
  <c r="M13" i="28"/>
  <c r="T15" i="31"/>
  <c r="R15" i="31"/>
  <c r="S15" i="31" s="1"/>
  <c r="T16" i="31"/>
  <c r="R16" i="31"/>
  <c r="S16" i="31" s="1"/>
  <c r="T17" i="31"/>
  <c r="R17" i="31"/>
  <c r="S17" i="31" s="1"/>
  <c r="T18" i="31"/>
  <c r="R18" i="31"/>
  <c r="S18" i="31" s="1"/>
  <c r="T19" i="31"/>
  <c r="R19" i="31"/>
  <c r="S19" i="31" s="1"/>
  <c r="T20" i="31"/>
  <c r="R20" i="31"/>
  <c r="S20" i="31" s="1"/>
  <c r="T21" i="31"/>
  <c r="R21" i="31"/>
  <c r="S21" i="31" s="1"/>
  <c r="T22" i="31"/>
  <c r="R22" i="31"/>
  <c r="S22" i="31" s="1"/>
  <c r="T23" i="31"/>
  <c r="R23" i="31"/>
  <c r="S23" i="31" s="1"/>
  <c r="T24" i="31"/>
  <c r="R24" i="31"/>
  <c r="S24" i="31" s="1"/>
  <c r="T25" i="31"/>
  <c r="R25" i="31"/>
  <c r="S25" i="31" s="1"/>
  <c r="T26" i="31"/>
  <c r="R26" i="31"/>
  <c r="S26" i="31" s="1"/>
  <c r="T27" i="31"/>
  <c r="R27" i="31"/>
  <c r="S27" i="31" s="1"/>
  <c r="T28" i="31"/>
  <c r="R28" i="31"/>
  <c r="S28" i="31" s="1"/>
  <c r="L13" i="30" l="1"/>
  <c r="S13" i="28"/>
  <c r="L11" i="30"/>
  <c r="S11" i="28"/>
  <c r="Q6" i="18"/>
  <c r="N6" i="19" s="1"/>
  <c r="N8" i="19" s="1"/>
  <c r="O8" i="19" s="1"/>
  <c r="B16" i="20"/>
  <c r="K6" i="18"/>
  <c r="F6" i="19" s="1"/>
  <c r="F8" i="19" s="1"/>
  <c r="G8" i="19" s="1"/>
  <c r="U6" i="18"/>
  <c r="B6" i="19" s="1"/>
  <c r="B8" i="19" s="1"/>
  <c r="C8" i="19" s="1"/>
  <c r="B8" i="20"/>
  <c r="I8" i="20" l="1"/>
  <c r="I16" i="20"/>
  <c r="M11" i="30"/>
  <c r="L11" i="32"/>
  <c r="S11" i="32" s="1"/>
  <c r="S11" i="30"/>
  <c r="N6" i="28"/>
  <c r="J6" i="29" s="1"/>
  <c r="J8" i="29" s="1"/>
  <c r="K8" i="29" s="1"/>
  <c r="M13" i="30"/>
  <c r="L13" i="32"/>
  <c r="S13" i="32" s="1"/>
  <c r="N6" i="32" s="1"/>
  <c r="S13" i="30"/>
  <c r="N6" i="30" s="1"/>
  <c r="J6" i="31" s="1"/>
  <c r="J8" i="31" s="1"/>
  <c r="K8" i="31" s="1"/>
  <c r="M13" i="32" l="1"/>
  <c r="M11" i="32"/>
  <c r="Q6" i="20"/>
  <c r="N6" i="21" s="1"/>
  <c r="N8" i="21" s="1"/>
  <c r="O8" i="21" s="1"/>
  <c r="B16" i="22"/>
  <c r="K6" i="20"/>
  <c r="F6" i="21" s="1"/>
  <c r="F8" i="21" s="1"/>
  <c r="G8" i="21" s="1"/>
  <c r="U6" i="20"/>
  <c r="B6" i="21" s="1"/>
  <c r="B8" i="21" s="1"/>
  <c r="C8" i="21" s="1"/>
  <c r="B8" i="22"/>
  <c r="I8" i="22" l="1"/>
  <c r="I16" i="22"/>
  <c r="Q6" i="22" l="1"/>
  <c r="N6" i="23" s="1"/>
  <c r="N8" i="23" s="1"/>
  <c r="O8" i="23" s="1"/>
  <c r="B16" i="24"/>
  <c r="K6" i="22"/>
  <c r="F6" i="23" s="1"/>
  <c r="F8" i="23" s="1"/>
  <c r="G8" i="23" s="1"/>
  <c r="U6" i="22"/>
  <c r="B6" i="23" s="1"/>
  <c r="B8" i="23" s="1"/>
  <c r="C8" i="23" s="1"/>
  <c r="B8" i="24"/>
  <c r="I8" i="24" l="1"/>
  <c r="I16" i="24"/>
  <c r="Q6" i="24" l="1"/>
  <c r="N6" i="25" s="1"/>
  <c r="N8" i="25" s="1"/>
  <c r="O8" i="25" s="1"/>
  <c r="B16" i="26"/>
  <c r="K6" i="24"/>
  <c r="F6" i="25" s="1"/>
  <c r="F8" i="25" s="1"/>
  <c r="G8" i="25" s="1"/>
  <c r="U6" i="24"/>
  <c r="B6" i="25" s="1"/>
  <c r="B8" i="25" s="1"/>
  <c r="C8" i="25" s="1"/>
  <c r="B8" i="26"/>
  <c r="I8" i="26" l="1"/>
  <c r="I16" i="26"/>
  <c r="Q6" i="26" l="1"/>
  <c r="N6" i="27" s="1"/>
  <c r="N8" i="27" s="1"/>
  <c r="O8" i="27" s="1"/>
  <c r="B16" i="28"/>
  <c r="K6" i="26"/>
  <c r="F6" i="27" s="1"/>
  <c r="F8" i="27" s="1"/>
  <c r="G8" i="27" s="1"/>
  <c r="U6" i="26"/>
  <c r="B6" i="27" s="1"/>
  <c r="B8" i="27" s="1"/>
  <c r="C8" i="27" s="1"/>
  <c r="B8" i="28"/>
  <c r="I8" i="28" l="1"/>
  <c r="I16" i="28"/>
  <c r="Q6" i="28" l="1"/>
  <c r="N6" i="29" s="1"/>
  <c r="N8" i="29" s="1"/>
  <c r="O8" i="29" s="1"/>
  <c r="B16" i="30"/>
  <c r="K6" i="28"/>
  <c r="F6" i="29" s="1"/>
  <c r="F8" i="29" s="1"/>
  <c r="G8" i="29" s="1"/>
  <c r="U6" i="28"/>
  <c r="B6" i="29" s="1"/>
  <c r="B8" i="29" s="1"/>
  <c r="C8" i="29" s="1"/>
  <c r="B8" i="30"/>
  <c r="I8" i="30" l="1"/>
  <c r="I16" i="30"/>
  <c r="Q6" i="30" l="1"/>
  <c r="N6" i="31" s="1"/>
  <c r="N8" i="31" s="1"/>
  <c r="O8" i="31" s="1"/>
  <c r="B16" i="32"/>
  <c r="I16" i="32" s="1"/>
  <c r="Q6" i="32" s="1"/>
  <c r="K6" i="30"/>
  <c r="F6" i="31" s="1"/>
  <c r="F8" i="31" s="1"/>
  <c r="G8" i="31" s="1"/>
  <c r="U6" i="30"/>
  <c r="B6" i="31" s="1"/>
  <c r="B8" i="31" s="1"/>
  <c r="C8" i="31" s="1"/>
  <c r="B8" i="32"/>
  <c r="I8" i="32" s="1"/>
  <c r="K6" i="32" l="1"/>
  <c r="U6" i="32"/>
</calcChain>
</file>

<file path=xl/sharedStrings.xml><?xml version="1.0" encoding="utf-8"?>
<sst xmlns="http://schemas.openxmlformats.org/spreadsheetml/2006/main" count="4234" uniqueCount="468">
  <si>
    <t>ДЕРЕВО ТЕХНОЛОГИЙ — 15 ХОДОВ</t>
  </si>
  <si>
    <t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t>
  </si>
  <si>
    <t>ВСЕГО ТЕХНОЛОГИЙ</t>
  </si>
  <si>
    <t>ОСНОВНЫХ ВЕТВЕЙ</t>
  </si>
  <si>
    <t>МЕЖВЕТВЕВЫХ</t>
  </si>
  <si>
    <t>СТАРТОВО ОТКРЫТО</t>
  </si>
  <si>
    <t>ID</t>
  </si>
  <si>
    <t>Ветвь</t>
  </si>
  <si>
    <t>Уровень</t>
  </si>
  <si>
    <t>Технология</t>
  </si>
  <si>
    <t>Цена науки</t>
  </si>
  <si>
    <t>Требование 1</t>
  </si>
  <si>
    <t>Требование 2</t>
  </si>
  <si>
    <t>Требование 3</t>
  </si>
  <si>
    <t>Суть</t>
  </si>
  <si>
    <t>Игровой эффект</t>
  </si>
  <si>
    <t>Вложено 2026</t>
  </si>
  <si>
    <t>Вложено 2027</t>
  </si>
  <si>
    <t>Вложено 2028</t>
  </si>
  <si>
    <t>Вложено 2029</t>
  </si>
  <si>
    <t>Вложено 2030</t>
  </si>
  <si>
    <t>Вложено 2031</t>
  </si>
  <si>
    <t>Вложено 2032</t>
  </si>
  <si>
    <t>Вложено 2033</t>
  </si>
  <si>
    <t>Вложено 2034</t>
  </si>
  <si>
    <t>Вложено 2035</t>
  </si>
  <si>
    <t>Вложено 2036</t>
  </si>
  <si>
    <t>Вложено 2037</t>
  </si>
  <si>
    <t>Вложено 2038</t>
  </si>
  <si>
    <t>Вложено 2039</t>
  </si>
  <si>
    <t>Вложено 2040</t>
  </si>
  <si>
    <t>Накоплено всего</t>
  </si>
  <si>
    <t>Осталось</t>
  </si>
  <si>
    <t>Текущий статус</t>
  </si>
  <si>
    <t>Σ 2026</t>
  </si>
  <si>
    <t>Σ 2027</t>
  </si>
  <si>
    <t>Σ 2028</t>
  </si>
  <si>
    <t>Σ 2029</t>
  </si>
  <si>
    <t>Σ 2030</t>
  </si>
  <si>
    <t>Σ 2031</t>
  </si>
  <si>
    <t>Σ 2032</t>
  </si>
  <si>
    <t>Σ 2033</t>
  </si>
  <si>
    <t>Σ 2034</t>
  </si>
  <si>
    <t>Σ 2035</t>
  </si>
  <si>
    <t>Σ 2036</t>
  </si>
  <si>
    <t>Σ 2037</t>
  </si>
  <si>
    <t>Σ 2038</t>
  </si>
  <si>
    <t>Σ 2039</t>
  </si>
  <si>
    <t>Σ 2040</t>
  </si>
  <si>
    <t>Статус 2026</t>
  </si>
  <si>
    <t>Статус 2027</t>
  </si>
  <si>
    <t>Статус 2028</t>
  </si>
  <si>
    <t>Статус 2029</t>
  </si>
  <si>
    <t>Статус 2030</t>
  </si>
  <si>
    <t>Статус 2031</t>
  </si>
  <si>
    <t>Статус 2032</t>
  </si>
  <si>
    <t>Статус 2033</t>
  </si>
  <si>
    <t>Статус 2034</t>
  </si>
  <si>
    <t>Статус 2035</t>
  </si>
  <si>
    <t>Статус 2036</t>
  </si>
  <si>
    <t>Статус 2037</t>
  </si>
  <si>
    <t>Статус 2038</t>
  </si>
  <si>
    <t>Статус 2039</t>
  </si>
  <si>
    <t>Статус 2040</t>
  </si>
  <si>
    <t>C1</t>
  </si>
  <si>
    <t>Вычисления и аппаратная база</t>
  </si>
  <si>
    <t>I</t>
  </si>
  <si>
    <t>Энергоэффективные ИИ-ускорители</t>
  </si>
  <si>
    <t>Специализированные ускорители с лучшим отношением вычислений к энергопотреблению.</t>
  </si>
  <si>
    <t>Вычислительные компоненты +0,2; прирост ЦОД +0,05/год</t>
  </si>
  <si>
    <t>C2</t>
  </si>
  <si>
    <t>II</t>
  </si>
  <si>
    <t>Проектирование специализированных ускорителей</t>
  </si>
  <si>
    <t>Собственные архитектуры ускорителей и средств их проектирования.</t>
  </si>
  <si>
    <t>Вычислительные компоненты +0,3; их прирост +0,08/год</t>
  </si>
  <si>
    <t>C3</t>
  </si>
  <si>
    <t>Передовая микроэлектроника для ИИ</t>
  </si>
  <si>
    <t>Технологическая база для специализированных чипов, памяти и упаковки.</t>
  </si>
  <si>
    <t>Полупроводниковое производство +0,4; его прирост +0,08/год</t>
  </si>
  <si>
    <t>C4</t>
  </si>
  <si>
    <t>III</t>
  </si>
  <si>
    <t>Гетерогенные вычислительные кластеры</t>
  </si>
  <si>
    <t>Совместное использование CPU, GPU, специализированных ускорителей и распределённой памяти.</t>
  </si>
  <si>
    <t>ЦОД +0,4; Стек эксплуатации ИИ +0,2; прирост ЦОД +0,05/год</t>
  </si>
  <si>
    <t>C5</t>
  </si>
  <si>
    <t>IV</t>
  </si>
  <si>
    <t>Суверенная распределённая вычислительная сеть</t>
  </si>
  <si>
    <t>Национальная сеть взаимозаменяемых ЦОД и вычислительных узлов.</t>
  </si>
  <si>
    <t>Сетевые ресурсы +0,4; прирост ЦОД +0,10/год; защита Афины +15%</t>
  </si>
  <si>
    <t>C6</t>
  </si>
  <si>
    <t>V</t>
  </si>
  <si>
    <t>Новые вычислительные архитектуры</t>
  </si>
  <si>
    <t>Нейроморфные, вычислительно-памятные и иные постфоннеймановские архитектуры.</t>
  </si>
  <si>
    <t>Вычислительные компоненты +0,5; Математико-алгоритмические ресурсы +0,3; исследования ветви Модели +10%</t>
  </si>
  <si>
    <t>M1</t>
  </si>
  <si>
    <t>Модели и алгоритмы</t>
  </si>
  <si>
    <t>Эффективное обучение моделей</t>
  </si>
  <si>
    <t>Улучшенные методы оптимизации, сжатия и обучения моделей.</t>
  </si>
  <si>
    <t>Методы построения моделей +0,2; их прирост +0,05/год</t>
  </si>
  <si>
    <t>M2</t>
  </si>
  <si>
    <t>Мультимодальные фундаментальные модели</t>
  </si>
  <si>
    <t>Совместная работа с текстом, изображениями, звуком, видео и другими модальностями.</t>
  </si>
  <si>
    <t>Модельные ресурсы +0,3; прирост Принятия ИИ +0,05/год; атака Аполлона +10%</t>
  </si>
  <si>
    <t>M3</t>
  </si>
  <si>
    <t>Модели рассуждения и планирования</t>
  </si>
  <si>
    <t>Многошаговое решение задач, планирование и проверка промежуточных результатов.</t>
  </si>
  <si>
    <t>Методы построения моделей +0,3; прирост Познания +0,08/год</t>
  </si>
  <si>
    <t>M4</t>
  </si>
  <si>
    <t>Адаптивные модели непрерывного обучения</t>
  </si>
  <si>
    <t>Модели, способные обновляться при изменении среды и данных.</t>
  </si>
  <si>
    <t>Модельные ресурсы +0,4; их прирост +0,08/год; прирост Управления +0,05/год</t>
  </si>
  <si>
    <t>M5</t>
  </si>
  <si>
    <t>Модели мира и причинного прогнозирования</t>
  </si>
  <si>
    <t>Моделирование среды, сценариев и последствий решений.</t>
  </si>
  <si>
    <t>Познание +0,3; прирост Познания +0,10/год; атака Афины +10%</t>
  </si>
  <si>
    <t>M6</t>
  </si>
  <si>
    <t>Самосовершенствующиеся фронтирные модели</t>
  </si>
  <si>
    <t>Системы, автоматизирующие существенную часть собственного улучшения.</t>
  </si>
  <si>
    <t>Прирост Методов построения моделей +0,15/год; Модельных ресурсов +0,10/год; эффективность науки для M/A/X +15%</t>
  </si>
  <si>
    <t>D1</t>
  </si>
  <si>
    <t>Данные и знания</t>
  </si>
  <si>
    <t>Интероперабельные пространства данных</t>
  </si>
  <si>
    <t>Стандартизованный обмен данными между организациями и системами.</t>
  </si>
  <si>
    <t>Исходные данные +0,2; Интеграционные ресурсы +0,2; их прирост +0,05/год</t>
  </si>
  <si>
    <t>D2</t>
  </si>
  <si>
    <t>Промышленное производство синтетических данных</t>
  </si>
  <si>
    <t>Генерация обучающих и тестовых данных при дефиците реальных наблюдений.</t>
  </si>
  <si>
    <t>Производные данные +0,3; их прирост +0,10/год</t>
  </si>
  <si>
    <t>D3</t>
  </si>
  <si>
    <t>Графы знаний и семантические модели</t>
  </si>
  <si>
    <t>Машиночитаемые связи между объектами, понятиями и фактами.</t>
  </si>
  <si>
    <t>Контекстные информационные ресурсы +0,3; прирост Познания +0,05/год</t>
  </si>
  <si>
    <t>D4</t>
  </si>
  <si>
    <t>Проверяемые системы поиска и извлечения знаний</t>
  </si>
  <si>
    <t>Доступ моделей к документированным и проверяемым источникам.</t>
  </si>
  <si>
    <t>Документационные ресурсы +0,3; Права доступа +0,2; прирост Госуправления +0,05/год</t>
  </si>
  <si>
    <t>D5</t>
  </si>
  <si>
    <t>Национальная машиночитаемая инфраструктура знаний</t>
  </si>
  <si>
    <t>Связанная система государственных, научных и отраслевых знаний.</t>
  </si>
  <si>
    <t>Контекстные ресурсы +0,5; их прирост +0,10/год; защита Аполлона +15%</t>
  </si>
  <si>
    <t>D6</t>
  </si>
  <si>
    <t>Автономные экосистемы данных</t>
  </si>
  <si>
    <t>Автоматическое получение, очистка, разметка, проверка и обновление данных.</t>
  </si>
  <si>
    <t>Прирост Исходных данных +0,10/год; Производных +0,15/год; Ресурсов оценки +0,10/год</t>
  </si>
  <si>
    <t>A1</t>
  </si>
  <si>
    <t>Агенты и автономные системы</t>
  </si>
  <si>
    <t>ИИ-копилоты с использованием инструментов</t>
  </si>
  <si>
    <t>ИИ работает с программами, поиском и информационными системами.</t>
  </si>
  <si>
    <t>Прирост Управления +0,05/год; прирост Экономики +0,05/год</t>
  </si>
  <si>
    <t>A2</t>
  </si>
  <si>
    <t>Агенты рабочих процессов</t>
  </si>
  <si>
    <t>Выполнение многошаговых процессов внутри организаций.</t>
  </si>
  <si>
    <t>Организационная архитектура внедрения +0,3; её прирост +0,08/год</t>
  </si>
  <si>
    <t>A3</t>
  </si>
  <si>
    <t>Многоагентная оркестрация</t>
  </si>
  <si>
    <t>Координация множества специализированных агентов.</t>
  </si>
  <si>
    <t>Прирост Управления +0,08/год; атака Афины +10%</t>
  </si>
  <si>
    <t>A4</t>
  </si>
  <si>
    <t>Автономные организационные процессы</t>
  </si>
  <si>
    <t>Автоматическое ведение существенной части типовых процессов организаций.</t>
  </si>
  <si>
    <t>Организационная способность к изменению +0,4; прирост Экономики +0,08/год</t>
  </si>
  <si>
    <t>A5</t>
  </si>
  <si>
    <t>Государственные ИИ-агенты</t>
  </si>
  <si>
    <t>Агентные системы в масштабах государственного управления.</t>
  </si>
  <si>
    <t>Прирост Госуправления +0,12/год; Управления +0,08/год; улучшение отношений +10%</t>
  </si>
  <si>
    <t>A6</t>
  </si>
  <si>
    <t>Стратегические автономные агентные системы</t>
  </si>
  <si>
    <t>Агентные контуры, самостоятельно планирующие длинные цепочки действий.</t>
  </si>
  <si>
    <t>Управление +0,4; атака Афины +15%; атака Аполлона +15%</t>
  </si>
  <si>
    <t>R1</t>
  </si>
  <si>
    <t>Физический ИИ и робототехника</t>
  </si>
  <si>
    <t>Машинное зрение и интеллектуальное управление</t>
  </si>
  <si>
    <t>Распознавание физической среды и управление оборудованием.</t>
  </si>
  <si>
    <t>Оцифрованность деятельности +0,2; прирост Производства +0,05/год</t>
  </si>
  <si>
    <t>R2</t>
  </si>
  <si>
    <t>Интеллектуальная промышленная робототехника</t>
  </si>
  <si>
    <t>Роботы, способные адаптироваться к производственным операциям.</t>
  </si>
  <si>
    <t>Производство +0,3; его прирост +0,08/год</t>
  </si>
  <si>
    <t>R3</t>
  </si>
  <si>
    <t>Автономная логистика</t>
  </si>
  <si>
    <t>Автоматизированные транспортные, складские и распределительные системы.</t>
  </si>
  <si>
    <t>Прирост Экономики +0,08/год; защита Афины +10%</t>
  </si>
  <si>
    <t>R4</t>
  </si>
  <si>
    <t>Автономные мобильные системы</t>
  </si>
  <si>
    <t>Воздушные, наземные и морские автономные платформы.</t>
  </si>
  <si>
    <t>Прирост Войны +0,08/год; атака Ареса +15%</t>
  </si>
  <si>
    <t>R5</t>
  </si>
  <si>
    <t>Универсальный воплощённый ИИ</t>
  </si>
  <si>
    <t>Роботизированные системы, способные осваивать новые физические задачи.</t>
  </si>
  <si>
    <t>Прирост Производства +0,12/год; Готовность работников +0,2; прирост Принятия ИИ +0,05/год</t>
  </si>
  <si>
    <t>R6</t>
  </si>
  <si>
    <t>Автономные производственные комплексы</t>
  </si>
  <si>
    <t>Производство с минимальным постоянным человеческим оперативным управлением.</t>
  </si>
  <si>
    <t>Производство +0,5; его прирост +0,15/год; очки трансформации в ресурсы группы I эффективнее на 15%</t>
  </si>
  <si>
    <t>S1</t>
  </si>
  <si>
    <t>Надёжность, безопасность и контроль</t>
  </si>
  <si>
    <t>Систематическая оценка ИИ</t>
  </si>
  <si>
    <t>Бенчмарки, тестирование и контроль деградации моделей.</t>
  </si>
  <si>
    <t>Ресурсы оценки +0,3; прирост Поствнедренческого мониторинга +0,05/год</t>
  </si>
  <si>
    <t>S2</t>
  </si>
  <si>
    <t>Интерпретируемый ИИ</t>
  </si>
  <si>
    <t>Средства объяснения поведения и результатов модели.</t>
  </si>
  <si>
    <t>Документационные ресурсы +0,2; Социальное доверие +0,2; прирост Принятия ИИ +0,05/год</t>
  </si>
  <si>
    <t>S3</t>
  </si>
  <si>
    <t>Защищённый MLOps и инфраструктура ИИ</t>
  </si>
  <si>
    <t>Контроль доступа, моделей, обновлений и цепочек поставки.</t>
  </si>
  <si>
    <t>Кибербезопасностные ресурсы +0,3; прирост Стека эксплуатации ИИ +0,05/год; защита Афины +10%</t>
  </si>
  <si>
    <t>S4</t>
  </si>
  <si>
    <t>Автоматизированный red teaming</t>
  </si>
  <si>
    <t>Постоянный поиск уязвимостей и опасных режимов поведения.</t>
  </si>
  <si>
    <t>Ресурсы оценки +0,4; прирост Кибербезопасности +0,08/год; защита Аполлона +10%</t>
  </si>
  <si>
    <t>S5</t>
  </si>
  <si>
    <t>Контроль автономных агентов</t>
  </si>
  <si>
    <t>Ограничения действий, права, аудит и остановка автономных систем.</t>
  </si>
  <si>
    <t>Система управления ИИ +0,4; прирост Принятия ИИ +0,08/год; защита Афины и Аполлона +10%</t>
  </si>
  <si>
    <t>S6</t>
  </si>
  <si>
    <t>Проверяемый и самоинтерпретируемый ИИ</t>
  </si>
  <si>
    <t>Системы, способные обосновывать и проверять собственное выполнение требований.</t>
  </si>
  <si>
    <t>Система управления ИИ +0,5; Регуляторная среда +0,3; прирост Социального доверия +0,10/год; вся оборона +10%</t>
  </si>
  <si>
    <t>X1</t>
  </si>
  <si>
    <t>Межветвевые</t>
  </si>
  <si>
    <t>Автономное научное исследование</t>
  </si>
  <si>
    <t>ИИ формулирует гипотезы, планирует исследования, анализирует результаты и предлагает новые эксперименты.</t>
  </si>
  <si>
    <t>Прирост Познания +0,10/год; эффективность вложенных очков науки +15%</t>
  </si>
  <si>
    <t>X2</t>
  </si>
  <si>
    <t>Национальная ИИ-платформа</t>
  </si>
  <si>
    <t>Унифицированная инфраструктура вычислений, данных, моделей и развёртывания.</t>
  </si>
  <si>
    <t>Прирост Принятия ИИ +0,10/год; Госуправления +0,08/год; очки ИИ в сферы эффективнее на 10%</t>
  </si>
  <si>
    <t>X3</t>
  </si>
  <si>
    <t>Автономный цифровой контур государства</t>
  </si>
  <si>
    <t>Связанная система данных, агентов и государственного управления.</t>
  </si>
  <si>
    <t>Госуправление +0,5; его прирост +0,12/год; улучшение отношений +15%; защита Аполлона +10%</t>
  </si>
  <si>
    <t>X4</t>
  </si>
  <si>
    <t>V+</t>
  </si>
  <si>
    <t>Самоускоряющийся контур исследований ИИ</t>
  </si>
  <si>
    <t>ИИ автоматизирует значительную часть цикла создания следующего поколения ИИ.</t>
  </si>
  <si>
    <t>Эффективность очков науки +25%; прирост Методов моделей +0,10/год; Модельных ресурсов +0,10/год; открывает карты прорывов/рисков</t>
  </si>
  <si>
    <t>США — СОСТОЯНИЕ НА НАЧАЛО 2026 ГОДА</t>
  </si>
  <si>
    <t>Жёлтые поля заполняются вручную. Четыре колонки эффектов всегда создаются с нулём и не содержат формул.</t>
  </si>
  <si>
    <t>1. РЕСУРСНАЯ БАЗА ИИ</t>
  </si>
  <si>
    <t>ОЧКИ ИИ</t>
  </si>
  <si>
    <t>ОЧКИ НАУКИ</t>
  </si>
  <si>
    <t>ВНЕШНЕПОЛИТИЧЕСКИЕ ОЧКИ</t>
  </si>
  <si>
    <t>ОЧКИ ТРАНСФОРМАЦИИ</t>
  </si>
  <si>
    <t>Ресурс</t>
  </si>
  <si>
    <t>Начальное
значение</t>
  </si>
  <si>
    <t>Базовый годовой
прирост</t>
  </si>
  <si>
    <t>Постоянный эффект
на значение</t>
  </si>
  <si>
    <t>Временный эффект
на значение</t>
  </si>
  <si>
    <t>Постоянный эффект
на прирост</t>
  </si>
  <si>
    <t>Временный эффект
на прирост</t>
  </si>
  <si>
    <t>От торговли</t>
  </si>
  <si>
    <t>Реальное
значение</t>
  </si>
  <si>
    <t>I. Материально-физическая и вычислительная база</t>
  </si>
  <si>
    <t>Минерально-сырьевые ресурсы</t>
  </si>
  <si>
    <t>Химические и технологические материалы</t>
  </si>
  <si>
    <t>2. СФЕРЫ ВНЕДРЕНИЯ ИИ</t>
  </si>
  <si>
    <t>3. МЕЖДУНАРОДНЫЕ ОТНОШЕНИЯ</t>
  </si>
  <si>
    <t>Энергетические ресурсы</t>
  </si>
  <si>
    <t>Сфера</t>
  </si>
  <si>
    <t>Страна</t>
  </si>
  <si>
    <t>Код −5…+5</t>
  </si>
  <si>
    <t>Статус</t>
  </si>
  <si>
    <t>Краткое положение</t>
  </si>
  <si>
    <t>Вода и ресурс отвода тепла</t>
  </si>
  <si>
    <t>Производство</t>
  </si>
  <si>
    <t>Россия</t>
  </si>
  <si>
    <t>Жёсткое стратегическое противостояние и санкции сохраняются; дипломатические каналы и отдельные переговорные форматы действуют.</t>
  </si>
  <si>
    <t>Пространственные и природно-географические ресурсы</t>
  </si>
  <si>
    <t>Управление</t>
  </si>
  <si>
    <t>Китай</t>
  </si>
  <si>
    <t>Стратегическая конкуренция в технологиях, торговле и безопасности сочетается с крупной взаимной торговлей и рабочими каналами диалога.</t>
  </si>
  <si>
    <t>Мощности производства полупроводников</t>
  </si>
  <si>
    <t>Познание</t>
  </si>
  <si>
    <t>Индия</t>
  </si>
  <si>
    <t>Комплексное глобальное стратегическое партнёрство и тесное сотрудничество в обороне и технологиях; сохраняются торговые разногласия.</t>
  </si>
  <si>
    <t>Вычислительные компоненты</t>
  </si>
  <si>
    <t>Обучение</t>
  </si>
  <si>
    <t>Великобритания</t>
  </si>
  <si>
    <t>Ближайший союзник США: особые отношения, НАТО, разведывательная, оборонная и технологическая интеграция.</t>
  </si>
  <si>
    <t>ЦОД и вычислительная инфраструктура</t>
  </si>
  <si>
    <t>Война</t>
  </si>
  <si>
    <t>Франция</t>
  </si>
  <si>
    <t>Долговременный союз по НАТО и тесная военная кооперация; имеются самостоятельная внешняя политика и периодические политико-торговые разногласия.</t>
  </si>
  <si>
    <t>Сетевые ресурсы</t>
  </si>
  <si>
    <t>Экономика</t>
  </si>
  <si>
    <t>Германия</t>
  </si>
  <si>
    <t>Ключевой союзник по НАТО и один из главных экономических партнёров; сохраняются споры по торговле и распределению оборонной нагрузки.</t>
  </si>
  <si>
    <t>Конечные устройства</t>
  </si>
  <si>
    <t>Государственное управление</t>
  </si>
  <si>
    <t>Япония</t>
  </si>
  <si>
    <t>Один из центральных договорных союзников США в Индо-Тихоокеанском регионе; глубокая оборонная, технологическая и инвестиционная кооперация.</t>
  </si>
  <si>
    <t>II. Программно-алгоритмический потенциал</t>
  </si>
  <si>
    <t>Принятие ИИ</t>
  </si>
  <si>
    <t>Южная Корея</t>
  </si>
  <si>
    <t>Договорный союз и тесная оборонная координация; отношения устойчиво стратегические при периодических торговых спорах.</t>
  </si>
  <si>
    <t>Базовый программный стек вычислений</t>
  </si>
  <si>
    <t>Турция</t>
  </si>
  <si>
    <t>Союзник по НАТО и важный региональный партнёр; сотрудничество сочетается с разногласиями по вооружениям и региональной политике.</t>
  </si>
  <si>
    <t>Стек разработки ИИ</t>
  </si>
  <si>
    <t>Саудовская Аравия</t>
  </si>
  <si>
    <t>Глубокое стратегическое и оборонно-экономическое партнёрство, усиленное крупными инвестиционными и военными соглашениями 2025 года.</t>
  </si>
  <si>
    <t>Стек эксплуатации ИИ</t>
  </si>
  <si>
    <t>Иран</t>
  </si>
  <si>
    <t>Жёсткая конфронтация, санкции и противостояние по ядерной и региональной политике; дипломатические контакты ограничены.</t>
  </si>
  <si>
    <t>Математико-алгоритмические ресурсы</t>
  </si>
  <si>
    <t>Израиль</t>
  </si>
  <si>
    <t>Исключительно тесное стратегическое и военно-технологическое партнёрство, подкреплённое долгосрочными обязательствами США в сфере безопасности.</t>
  </si>
  <si>
    <t>Методы построения и совершенствования моделей</t>
  </si>
  <si>
    <t>Бразилия</t>
  </si>
  <si>
    <t>Значимые торговые и политические связи, но отношения не союзные и подвержены колебаниям из-за разногласий по внешней и торговой политике.</t>
  </si>
  <si>
    <t>III. Данные, модели и информационная безопасность</t>
  </si>
  <si>
    <t>ОАЭ</t>
  </si>
  <si>
    <t>Ключевое стратегическое партнёрство в Персидском заливе: оборона, инвестиции, энергетика и высокие технологии.</t>
  </si>
  <si>
    <t>Исходные данные</t>
  </si>
  <si>
    <t>Индонезия</t>
  </si>
  <si>
    <t>Стратегическое партнёрство в Индо-Тихоокеанском регионе с растущими торговыми, оборонными и технологическими связями.</t>
  </si>
  <si>
    <t>Производные данные</t>
  </si>
  <si>
    <t>Прочее</t>
  </si>
  <si>
    <t>Агрегированная строка для остальных государств; базовое состояние — нейтралитет.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</si>
  <si>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</si>
  <si>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</si>
  <si>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</si>
  <si>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</si>
  <si>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</si>
  <si>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</si>
  <si>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IV. Люди, организация и экономика внедрения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</si>
  <si>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</si>
  <si>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</si>
  <si>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</si>
  <si>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</si>
  <si>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</si>
  <si>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</si>
  <si>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</si>
  <si>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</si>
  <si>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</si>
  <si>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V. Правовая, институциональная и социальная среда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</si>
  <si>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</si>
  <si>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</si>
  <si>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</si>
  <si>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</si>
  <si>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</si>
  <si>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</si>
  <si>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</si>
  <si>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</si>
  <si>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VI. Устойчивость жизненного цикла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</si>
  <si>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</si>
  <si>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</si>
  <si>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</si>
  <si>
    <t>ХОД 2026 — РАСПРЕДЕЛЕНИЕ ОЧКОВ</t>
  </si>
  <si>
    <t>Жёлтые ячейки — ввод игрока.</t>
  </si>
  <si>
    <t>Доступно</t>
  </si>
  <si>
    <t>Распределено</t>
  </si>
  <si>
    <t>Остаток</t>
  </si>
  <si>
    <t>1. РАСПРЕДЕЛЕНИЕ ОЧКОВ ТРАНСФОРМАЦИИ</t>
  </si>
  <si>
    <t>2. РАСПРЕДЕЛЕНИЕ ОЧКОВ ИИ</t>
  </si>
  <si>
    <t>4. РАСПРЕДЕЛЕНИЕ ВНЕШНЕПОЛИТИЧЕСКИХ ОЧКОВ</t>
  </si>
  <si>
    <t>В значение</t>
  </si>
  <si>
    <t>В прирост</t>
  </si>
  <si>
    <t>Очки ИИ в прирост</t>
  </si>
  <si>
    <t>Текущий код отношений</t>
  </si>
  <si>
    <t>Улучшение отношений</t>
  </si>
  <si>
    <t>Вклад в войну Ареса</t>
  </si>
  <si>
    <t>Вклад в войну Афины</t>
  </si>
  <si>
    <t>Вклад в войну Аполлона</t>
  </si>
  <si>
    <t>Шанс улучшения</t>
  </si>
  <si>
    <t>Шанс без изменений</t>
  </si>
  <si>
    <t>Шанс ухудшения</t>
  </si>
  <si>
    <t>Бросок 0–100</t>
  </si>
  <si>
    <t>ОБОРОНА — ВНЕШНЕПОЛИТИЧЕСКИЕ ОЧКИ</t>
  </si>
  <si>
    <t>Защита от войны Ареса</t>
  </si>
  <si>
    <t>Защита от войны Афины</t>
  </si>
  <si>
    <t>Защита от войны Аполлона</t>
  </si>
  <si>
    <t>Всего в оборону</t>
  </si>
  <si>
    <t>3. РАСПРЕДЕЛЕНИЕ ОЧКОВ НАУКИ</t>
  </si>
  <si>
    <t>ID технологии</t>
  </si>
  <si>
    <t>Очки науки</t>
  </si>
  <si>
    <t>Примечание</t>
  </si>
  <si>
    <t>Статус после хода</t>
  </si>
  <si>
    <t>США — СОСТОЯНИЕ НА НАЧАЛО 2027 ГОДА</t>
  </si>
  <si>
    <t>ХОД 2027 — РАСПРЕДЕЛЕНИЕ ОЧКОВ</t>
  </si>
  <si>
    <t>США — СОСТОЯНИЕ НА НАЧАЛО 2028 ГОДА</t>
  </si>
  <si>
    <t>ХОД 2028 — РАСПРЕДЕЛЕНИЕ ОЧКОВ</t>
  </si>
  <si>
    <t>США — СОСТОЯНИЕ НА НАЧАЛО 2029 ГОДА</t>
  </si>
  <si>
    <t>ХОД 2029 — РАСПРЕДЕЛЕНИЕ ОЧКОВ</t>
  </si>
  <si>
    <t>США — СОСТОЯНИЕ НА НАЧАЛО 2030 ГОДА</t>
  </si>
  <si>
    <t>ХОД 2030 — РАСПРЕДЕЛЕНИЕ ОЧКОВ</t>
  </si>
  <si>
    <t>США — СОСТОЯНИЕ НА НАЧАЛО 2031 ГОДА</t>
  </si>
  <si>
    <t>ХОД 2031 — РАСПРЕДЕЛЕНИЕ ОЧКОВ</t>
  </si>
  <si>
    <t>США — СОСТОЯНИЕ НА НАЧАЛО 2032 ГОДА</t>
  </si>
  <si>
    <t>ХОД 2032 — РАСПРЕДЕЛЕНИЕ ОЧКОВ</t>
  </si>
  <si>
    <t>США — СОСТОЯНИЕ НА НАЧАЛО 2033 ГОДА</t>
  </si>
  <si>
    <t>ХОД 2033 — РАСПРЕДЕЛЕНИЕ ОЧКОВ</t>
  </si>
  <si>
    <t>США — СОСТОЯНИЕ НА НАЧАЛО 2034 ГОДА</t>
  </si>
  <si>
    <t>ХОД 2034 — РАСПРЕДЕЛЕНИЕ ОЧКОВ</t>
  </si>
  <si>
    <t>США — СОСТОЯНИЕ НА НАЧАЛО 2035 ГОДА</t>
  </si>
  <si>
    <t>ХОД 2035 — РАСПРЕДЕЛЕНИЕ ОЧКОВ</t>
  </si>
  <si>
    <t>США — СОСТОЯНИЕ НА НАЧАЛО 2036 ГОДА</t>
  </si>
  <si>
    <t>ХОД 2036 — РАСПРЕДЕЛЕНИЕ ОЧКОВ</t>
  </si>
  <si>
    <t>США — СОСТОЯНИЕ НА НАЧАЛО 2037 ГОДА</t>
  </si>
  <si>
    <t>ХОД 2037 — РАСПРЕДЕЛЕНИЕ ОЧКОВ</t>
  </si>
  <si>
    <t>США — СОСТОЯНИЕ НА НАЧАЛО 2038 ГОДА</t>
  </si>
  <si>
    <t>ХОД 2038 — РАСПРЕДЕЛЕНИЕ ОЧКОВ</t>
  </si>
  <si>
    <t>США — СОСТОЯНИЕ НА НАЧАЛО 2039 ГОДА</t>
  </si>
  <si>
    <t>ХОД 2039 — РАСПРЕДЕЛЕНИЕ ОЧКОВ</t>
  </si>
  <si>
    <t>США — СОСТОЯНИЕ НА НАЧАЛО 2040 ГОДА</t>
  </si>
  <si>
    <t>ХОД 2040 — РАСПРЕДЕЛЕНИЕ ОЧКОВ</t>
  </si>
  <si>
    <t>США — СОСТОЯНИЕ НА КОНЕЦ 2040 ГОДА</t>
  </si>
  <si>
    <t>США 2026 — МЕТОДИКА СТАРТОВОЙ КАЛИБРОВКИ</t>
  </si>
  <si>
    <t>Стартовые оценки — игровая экспертная калибровка на начало 2026 года. Шкала 1–10 трактуется относительно мирового фронтира: 10 — мировое лидерство/максимальная доступность ресурса, 1 — крайне слабый уровень. Дипломатические коды не являются официальными рейтингами.</t>
  </si>
  <si>
    <t>Блок</t>
  </si>
  <si>
    <t>Что использовано при калибровке</t>
  </si>
  <si>
    <t>Источник</t>
  </si>
  <si>
    <t>URL</t>
  </si>
  <si>
    <t>ИИ: модели, инвестиции, ЦОД, кадры</t>
  </si>
  <si>
    <t>Лидерство США в частных инвестициях, числе ведущих моделей и инфраструктуре ЦОД; одновременно снижение притока глобальных ИИ-кадров.</t>
  </si>
  <si>
    <t>Stanford HAI, AI Index 2026</t>
  </si>
  <si>
    <t>https://hai.stanford.edu/ai-index/2026-ai-index-report</t>
  </si>
  <si>
    <t>Полупроводники</t>
  </si>
  <si>
    <t>США лидируют по выручке компаний и R&amp;D, но собственная доля мировых производственных мощностей заметно ниже лидерства в дизайне; идёт масштабное расширение фабрик.</t>
  </si>
  <si>
    <t>Semiconductor Industry Association, State of the U.S. Semiconductor Industry 2026</t>
  </si>
  <si>
    <t>https://www.semiconductors.org/2026-state-of-the-industry-report-historic-growth-amid-intensifying-global-competition/</t>
  </si>
  <si>
    <t>Критические материалы</t>
  </si>
  <si>
    <t>Высокая собственная ресурсная база сочетается с импортной зависимостью по ряду критических минералов.</t>
  </si>
  <si>
    <t>U.S. Geological Survey, Mineral Commodity Summaries 2026</t>
  </si>
  <si>
    <t>https://www.usgs.gov/news/national-news-release/value-us-mineral-production-rose-last-year-driven-precious-metals-prices</t>
  </si>
  <si>
    <t>Внедрение ИИ в бизнес</t>
  </si>
  <si>
    <t>AI diffusion высока в крупных и наукоёмких компаниях, но пока существенно неравномерна по всей экономике.</t>
  </si>
  <si>
    <t>U.S. Census Bureau, 2026 AI supplement / working paper</t>
  </si>
  <si>
    <t>https://cdn.www.census.gov/library/working-papers/2026/adrm/CES-WP-26-25.html</t>
  </si>
  <si>
    <t>Государственная ИИ-инфраструктура и политика</t>
  </si>
  <si>
    <t>Федеральная стратегия делает акцент на инфраструктуре ИИ, ЦОД, энергетике, полупроводниках и ускорении внедрения.</t>
  </si>
  <si>
    <t>The White House, America’s AI Action Plan</t>
  </si>
  <si>
    <t>https://www.whitehouse.gov/wp-content/uploads/2025/07/Americas-AI-Action-Plan.pdf</t>
  </si>
  <si>
    <t>Особые отношения и максимально тесный союзный контур.</t>
  </si>
  <si>
    <t>The White House, U.S.-UK Special Relationship</t>
  </si>
  <si>
    <t>https://www.whitehouse.gov/fact-sheets/2025/09/fact-sheet-the-u-s-uk-special-relationship/</t>
  </si>
  <si>
    <t>Договорный союз, оборонная и технологическая интеграция.</t>
  </si>
  <si>
    <t>The White House, U.S.-Japan Alliance</t>
  </si>
  <si>
    <t>https://www.whitehouse.gov/fact-sheets/2026/03/fact-sheet-president-donald-j-trump-strengthens-u-s-japan-alliance-for-the-benefit-of-all-americans/</t>
  </si>
  <si>
    <t>Договорный союз и тесная координация безопасности.</t>
  </si>
  <si>
    <t>The White House, U.S.-ROK Alliance</t>
  </si>
  <si>
    <t>https://www.whitehouse.gov/fact-sheets/2025/11/joint-fact-sheet-on-president-donald-j-trumps-meeting-with-president-lee-jae-myung/</t>
  </si>
  <si>
    <t>Комплексное глобальное стратегическое партнёрство; сотрудничество в обороне и высоких технологиях.</t>
  </si>
  <si>
    <t>U.S. Department of State, United States-India Relations</t>
  </si>
  <si>
    <t>https://2021-2025.state.gov/united-states-india-relations/</t>
  </si>
  <si>
    <t>Стратегическое оборонно-экономическое партнёрство, усиленное соглашениями 2025 года.</t>
  </si>
  <si>
    <t>The White House, U.S.-Saudi Partnership</t>
  </si>
  <si>
    <t>https://www.whitehouse.gov/fact-sheets/2025/11/fact-sheet-president-donald-j-trump-solidifies-economic-and-defense-partnership-with-the-kingdom-of-saudi-arabia/</t>
  </si>
  <si>
    <t>Долгосрочное стратегическое и военно-технологическое партнёрство.</t>
  </si>
  <si>
    <t>U.S. Department of State, U.S.-Israel Relations</t>
  </si>
  <si>
    <t>https://2021-2025.state.gov/u-s-relations-with-israel/</t>
  </si>
  <si>
    <t>Стратегическое партнёрство и расширение торгово-оборонного сотрудничества.</t>
  </si>
  <si>
    <t>U.S. Department of State / White House</t>
  </si>
  <si>
    <t>https://2021-2025.state.gov/u-s-relations-with-indonesia/</t>
  </si>
  <si>
    <t>Ресурс/сфера</t>
  </si>
  <si>
    <t>Стартовая оценка</t>
  </si>
  <si>
    <t>Базовый прирост</t>
  </si>
  <si>
    <t>Сфера внедрения ИИ</t>
  </si>
  <si>
    <t>Код</t>
  </si>
  <si>
    <t>Игровой статус</t>
  </si>
  <si>
    <t>Основание</t>
  </si>
  <si>
    <t>Конфронтация</t>
  </si>
  <si>
    <t>Стратегическое партнёрство</t>
  </si>
  <si>
    <t>Стратегический союз</t>
  </si>
  <si>
    <t>Сотрудничество</t>
  </si>
  <si>
    <t>Нейтралитет</t>
  </si>
  <si>
    <t>Ближайший союзник США на бумаге, в реальности есть существенные разногласия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</si>
</sst>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>
    <font>
      <sz val="11"/>
      <name val="Carlito"/>
    </font>
    <font>
      <b/>
      <sz val="18"/>
      <color rgb="FFFFFFFF"/>
      <name val="Carlito"/>
    </font>
    <font>
      <i/>
      <sz val="11"/>
      <color rgb="FF244062"/>
      <name val="Carlito"/>
    </font>
    <font>
      <b/>
      <sz val="11"/>
      <color rgb="FFFFFFFF"/>
      <name val="Carlito"/>
    </font>
    <font>
      <b/>
      <sz val="18"/>
      <name val="Carlito"/>
    </font>
    <font>
      <b/>
      <sz val="8"/>
      <color rgb="FF777777"/>
      <name val="Carlito"/>
    </font>
    <font>
      <b/>
      <sz val="12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2">
    <xf numFmtId="0" fontId="0" fillId="0" borderId="0" xfId="0"/>
    <xf numFmtId="0" fontId="3" fillId="6" borderId="0" xfId="1" applyFont="1" applyFill="1" applyAlignment="1">
      <alignment wrapText="1"/>
    </xf>
    <xf numFmtId="0" fontId="5" fillId="7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0" fillId="7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0" fillId="8" borderId="0" xfId="1" applyFont="1" applyFill="1" applyAlignment="1">
      <alignment wrapText="1"/>
    </xf>
    <xf numFmtId="0" fontId="0" fillId="9" borderId="0" xfId="1" applyFont="1" applyFill="1" applyAlignment="1">
      <alignment wrapText="1"/>
    </xf>
    <xf numFmtId="165" fontId="0" fillId="0" borderId="0" xfId="1" applyNumberFormat="1" applyFont="1" applyAlignment="1">
      <alignment wrapText="1"/>
    </xf>
    <xf numFmtId="0" fontId="8" fillId="11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4" fillId="5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164" fontId="4" fillId="5" borderId="0" xfId="1" applyNumberFormat="1" applyFont="1" applyFill="1" applyAlignment="1">
      <alignment horizontal="center" wrapText="1"/>
    </xf>
    <xf numFmtId="0" fontId="6" fillId="4" borderId="0" xfId="1" applyFont="1" applyFill="1" applyAlignment="1">
      <alignment wrapText="1"/>
    </xf>
    <xf numFmtId="0" fontId="1" fillId="2" borderId="0" xfId="1" applyFont="1" applyFill="1" applyAlignment="1">
      <alignment horizontal="center" wrapText="1"/>
    </xf>
    <xf numFmtId="0" fontId="3" fillId="4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7" fillId="10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0"/>
  <sheetViews>
    <sheetView workbookViewId="0">
      <selection sqref="A1:AB2"/>
    </sheetView>
  </sheetViews>
  <sheetFormatPr defaultRowHeight="13.8"/>
  <cols>
    <col min="1" max="1" width="8" customWidth="1"/>
    <col min="2" max="2" width="24" customWidth="1"/>
    <col min="3" max="3" width="9" customWidth="1"/>
    <col min="4" max="4" width="31" customWidth="1"/>
    <col min="5" max="8" width="11" customWidth="1"/>
    <col min="9" max="9" width="42" customWidth="1"/>
    <col min="10" max="10" width="48" customWidth="1"/>
    <col min="11" max="25" width="11" customWidth="1"/>
    <col min="26" max="26" width="13" customWidth="1"/>
    <col min="27" max="27" width="11" customWidth="1"/>
    <col min="28" max="28" width="15" customWidth="1"/>
    <col min="29" max="58" width="3" customWidth="1"/>
  </cols>
  <sheetData>
    <row r="1" spans="1:58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5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58" ht="14.4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5" spans="1:58">
      <c r="A5" s="12" t="s">
        <v>2</v>
      </c>
      <c r="B5" s="12"/>
      <c r="C5" s="12"/>
      <c r="E5" s="12" t="s">
        <v>3</v>
      </c>
      <c r="F5" s="12"/>
      <c r="G5" s="12"/>
      <c r="I5" s="12" t="s">
        <v>4</v>
      </c>
      <c r="J5" s="12"/>
      <c r="K5" s="12"/>
      <c r="M5" s="12" t="s">
        <v>5</v>
      </c>
      <c r="N5" s="12"/>
    </row>
    <row r="6" spans="1:58">
      <c r="A6" s="13">
        <v>40</v>
      </c>
      <c r="B6" s="13"/>
      <c r="C6" s="13"/>
      <c r="E6" s="13">
        <v>6</v>
      </c>
      <c r="F6" s="13"/>
      <c r="G6" s="13"/>
      <c r="I6" s="13">
        <v>4</v>
      </c>
      <c r="J6" s="13"/>
      <c r="K6" s="13"/>
      <c r="M6" s="13">
        <v>6</v>
      </c>
      <c r="N6" s="13"/>
    </row>
    <row r="7" spans="1:58">
      <c r="A7" s="13"/>
      <c r="B7" s="13"/>
      <c r="C7" s="13"/>
      <c r="E7" s="13"/>
      <c r="F7" s="13"/>
      <c r="G7" s="13"/>
      <c r="I7" s="13"/>
      <c r="J7" s="13"/>
      <c r="K7" s="13"/>
      <c r="M7" s="13"/>
      <c r="N7" s="13"/>
    </row>
    <row r="10" spans="1:58" ht="41.4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I10" s="1" t="s">
        <v>14</v>
      </c>
      <c r="J10" s="1" t="s">
        <v>15</v>
      </c>
      <c r="K10" s="1" t="s">
        <v>16</v>
      </c>
      <c r="L10" s="1" t="s">
        <v>17</v>
      </c>
      <c r="M10" s="1" t="s">
        <v>18</v>
      </c>
      <c r="N10" s="1" t="s">
        <v>19</v>
      </c>
      <c r="O10" s="1" t="s">
        <v>20</v>
      </c>
      <c r="P10" s="1" t="s">
        <v>21</v>
      </c>
      <c r="Q10" s="1" t="s">
        <v>22</v>
      </c>
      <c r="R10" s="1" t="s">
        <v>23</v>
      </c>
      <c r="S10" s="1" t="s">
        <v>24</v>
      </c>
      <c r="T10" s="1" t="s">
        <v>25</v>
      </c>
      <c r="U10" s="1" t="s">
        <v>26</v>
      </c>
      <c r="V10" s="1" t="s">
        <v>27</v>
      </c>
      <c r="W10" s="1" t="s">
        <v>28</v>
      </c>
      <c r="X10" s="1" t="s">
        <v>29</v>
      </c>
      <c r="Y10" s="1" t="s">
        <v>30</v>
      </c>
      <c r="Z10" s="1" t="s">
        <v>31</v>
      </c>
      <c r="AA10" s="1" t="s">
        <v>32</v>
      </c>
      <c r="AB10" s="1" t="s">
        <v>33</v>
      </c>
      <c r="AC10" s="2" t="s">
        <v>34</v>
      </c>
      <c r="AD10" s="2" t="s">
        <v>35</v>
      </c>
      <c r="AE10" s="2" t="s">
        <v>36</v>
      </c>
      <c r="AF10" s="2" t="s">
        <v>37</v>
      </c>
      <c r="AG10" s="2" t="s">
        <v>38</v>
      </c>
      <c r="AH10" s="2" t="s">
        <v>39</v>
      </c>
      <c r="AI10" s="2" t="s">
        <v>40</v>
      </c>
      <c r="AJ10" s="2" t="s">
        <v>41</v>
      </c>
      <c r="AK10" s="2" t="s">
        <v>42</v>
      </c>
      <c r="AL10" s="2" t="s">
        <v>43</v>
      </c>
      <c r="AM10" s="2" t="s">
        <v>44</v>
      </c>
      <c r="AN10" s="2" t="s">
        <v>45</v>
      </c>
      <c r="AO10" s="2" t="s">
        <v>46</v>
      </c>
      <c r="AP10" s="2" t="s">
        <v>47</v>
      </c>
      <c r="AQ10" s="2" t="s">
        <v>48</v>
      </c>
      <c r="AR10" s="2" t="s">
        <v>49</v>
      </c>
      <c r="AS10" s="2" t="s">
        <v>50</v>
      </c>
      <c r="AT10" s="2" t="s">
        <v>51</v>
      </c>
      <c r="AU10" s="2" t="s">
        <v>52</v>
      </c>
      <c r="AV10" s="2" t="s">
        <v>53</v>
      </c>
      <c r="AW10" s="2" t="s">
        <v>54</v>
      </c>
      <c r="AX10" s="2" t="s">
        <v>55</v>
      </c>
      <c r="AY10" s="2" t="s">
        <v>56</v>
      </c>
      <c r="AZ10" s="2" t="s">
        <v>57</v>
      </c>
      <c r="BA10" s="2" t="s">
        <v>58</v>
      </c>
      <c r="BB10" s="2" t="s">
        <v>59</v>
      </c>
      <c r="BC10" s="2" t="s">
        <v>60</v>
      </c>
      <c r="BD10" s="2" t="s">
        <v>61</v>
      </c>
      <c r="BE10" s="2" t="s">
        <v>62</v>
      </c>
      <c r="BF10" s="2" t="s">
        <v>63</v>
      </c>
    </row>
    <row r="11" spans="1:58" ht="27.6">
      <c r="A11" s="3" t="s">
        <v>64</v>
      </c>
      <c r="B11" s="3" t="s">
        <v>65</v>
      </c>
      <c r="C11" s="3" t="s">
        <v>66</v>
      </c>
      <c r="D11" s="3" t="s">
        <v>67</v>
      </c>
      <c r="E11" s="3">
        <v>20</v>
      </c>
      <c r="F11" s="3"/>
      <c r="G11" s="3"/>
      <c r="H11" s="3"/>
      <c r="I11" s="3" t="s">
        <v>68</v>
      </c>
      <c r="J11" s="3" t="s">
        <v>69</v>
      </c>
      <c r="K11" s="4">
        <f>SUMIF('Ход 2026'!$G$29:$G$38,$A11,'Ход 2026'!$I$29:$I$38)</f>
        <v>0</v>
      </c>
      <c r="L11" s="4">
        <f>SUMIF('Ход 2027'!$G$29:$G$38,$A11,'Ход 2027'!$I$29:$I$38)</f>
        <v>0</v>
      </c>
      <c r="M11" s="4">
        <f>SUMIF('Ход 2028'!$G$29:$G$38,$A11,'Ход 2028'!$I$29:$I$38)</f>
        <v>0</v>
      </c>
      <c r="N11" s="4">
        <f>SUMIF('Ход 2029'!$G$29:$G$38,$A11,'Ход 2029'!$I$29:$I$38)</f>
        <v>0</v>
      </c>
      <c r="O11" s="4">
        <f>SUMIF('Ход 2030'!$G$29:$G$38,$A11,'Ход 2030'!$I$29:$I$38)</f>
        <v>0</v>
      </c>
      <c r="P11" s="4">
        <f>SUMIF('Ход 2031'!$G$29:$G$38,$A11,'Ход 2031'!$I$29:$I$38)</f>
        <v>0</v>
      </c>
      <c r="Q11" s="4">
        <f>SUMIF('Ход 2032'!$G$29:$G$38,$A11,'Ход 2032'!$I$29:$I$38)</f>
        <v>0</v>
      </c>
      <c r="R11" s="4">
        <f>SUMIF('Ход 2033'!$G$29:$G$38,$A11,'Ход 2033'!$I$29:$I$38)</f>
        <v>0</v>
      </c>
      <c r="S11" s="4">
        <f>SUMIF('Ход 2034'!$G$29:$G$38,$A11,'Ход 2034'!$I$29:$I$38)</f>
        <v>0</v>
      </c>
      <c r="T11" s="4">
        <f>SUMIF('Ход 2035'!$G$29:$G$38,$A11,'Ход 2035'!$I$29:$I$38)</f>
        <v>0</v>
      </c>
      <c r="U11" s="4">
        <f>SUMIF('Ход 2036'!$G$29:$G$38,$A11,'Ход 2036'!$I$29:$I$38)</f>
        <v>0</v>
      </c>
      <c r="V11" s="4">
        <f>SUMIF('Ход 2037'!$G$29:$G$38,$A11,'Ход 2037'!$I$29:$I$38)</f>
        <v>0</v>
      </c>
      <c r="W11" s="4">
        <f>SUMIF('Ход 2038'!$G$29:$G$38,$A11,'Ход 2038'!$I$29:$I$38)</f>
        <v>0</v>
      </c>
      <c r="X11" s="4">
        <f>SUMIF('Ход 2039'!$G$29:$G$38,$A11,'Ход 2039'!$I$29:$I$38)</f>
        <v>0</v>
      </c>
      <c r="Y11" s="4">
        <f>SUMIF('Ход 2040'!$G$29:$G$38,$A11,'Ход 2040'!$I$29:$I$38)</f>
        <v>0</v>
      </c>
      <c r="Z11" s="5">
        <f t="shared" ref="Z11:Z50" si="0">SUM(K11:Y11)</f>
        <v>0</v>
      </c>
      <c r="AA11" s="5">
        <f t="shared" ref="AA11:AA50" si="1">MAX(0,E11-Z11)</f>
        <v>20</v>
      </c>
      <c r="AB11" s="3" t="str">
        <f t="shared" ref="AB11:AB50" si="2">BF11</f>
        <v>ОТКРЫТО</v>
      </c>
      <c r="AC11">
        <f>SUM($K11:K11)</f>
        <v>0</v>
      </c>
      <c r="AD11">
        <f>SUM($K11:L11)</f>
        <v>0</v>
      </c>
      <c r="AE11">
        <f>SUM($K11:M11)</f>
        <v>0</v>
      </c>
      <c r="AF11">
        <f>SUM($K11:N11)</f>
        <v>0</v>
      </c>
      <c r="AG11">
        <f>SUM($K11:O11)</f>
        <v>0</v>
      </c>
      <c r="AH11">
        <f>SUM($K11:P11)</f>
        <v>0</v>
      </c>
      <c r="AI11">
        <f>SUM($K11:Q11)</f>
        <v>0</v>
      </c>
      <c r="AJ11">
        <f>SUM($K11:R11)</f>
        <v>0</v>
      </c>
      <c r="AK11">
        <f>SUM($K11:S11)</f>
        <v>0</v>
      </c>
      <c r="AL11">
        <f>SUM($K11:T11)</f>
        <v>0</v>
      </c>
      <c r="AM11">
        <f>SUM($K11:U11)</f>
        <v>0</v>
      </c>
      <c r="AN11">
        <f>SUM($K11:V11)</f>
        <v>0</v>
      </c>
      <c r="AO11">
        <f>SUM($K11:W11)</f>
        <v>0</v>
      </c>
      <c r="AP11">
        <f>SUM($K11:X11)</f>
        <v>0</v>
      </c>
      <c r="AQ11">
        <f>SUM($K11:Y11)</f>
        <v>0</v>
      </c>
      <c r="AR11" t="str">
        <f t="shared" ref="AR11:AR50" si="3"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f>
        <v>ОТКРЫТО</v>
      </c>
      <c r="AS11" t="str">
        <f t="shared" ref="AS11:AS50" si="4"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f>
        <v>ОТКРЫТО</v>
      </c>
      <c r="AT11" t="str">
        <f t="shared" ref="AT11:AT50" si="5"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f>
        <v>ОТКРЫТО</v>
      </c>
      <c r="AU11" t="str">
        <f t="shared" ref="AU11:AU50" si="6"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f>
        <v>ОТКРЫТО</v>
      </c>
      <c r="AV11" t="str">
        <f t="shared" ref="AV11:AV50" si="7"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f>
        <v>ОТКРЫТО</v>
      </c>
      <c r="AW11" t="str">
        <f t="shared" ref="AW11:AW50" si="8"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f>
        <v>ОТКРЫТО</v>
      </c>
      <c r="AX11" t="str">
        <f t="shared" ref="AX11:AX50" si="9"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f>
        <v>ОТКРЫТО</v>
      </c>
      <c r="AY11" t="str">
        <f t="shared" ref="AY11:AY50" si="10"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f>
        <v>ОТКРЫТО</v>
      </c>
      <c r="AZ11" t="str">
        <f t="shared" ref="AZ11:AZ50" si="11"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f>
        <v>ОТКРЫТО</v>
      </c>
      <c r="BA11" t="str">
        <f t="shared" ref="BA11:BA50" si="12"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f>
        <v>ОТКРЫТО</v>
      </c>
      <c r="BB11" t="str">
        <f t="shared" ref="BB11:BB50" si="13"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f>
        <v>ОТКРЫТО</v>
      </c>
      <c r="BC11" t="str">
        <f t="shared" ref="BC11:BC50" si="14"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f>
        <v>ОТКРЫТО</v>
      </c>
      <c r="BD11" t="str">
        <f t="shared" ref="BD11:BD50" si="15"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f>
        <v>ОТКРЫТО</v>
      </c>
      <c r="BE11" t="str">
        <f t="shared" ref="BE11:BE50" si="16"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f>
        <v>ОТКРЫТО</v>
      </c>
      <c r="BF11" t="str">
        <f t="shared" ref="BF11:BF50" si="17"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f>
        <v>ОТКРЫТО</v>
      </c>
    </row>
    <row r="12" spans="1:58" ht="27.6">
      <c r="A12" s="3" t="s">
        <v>70</v>
      </c>
      <c r="B12" s="3" t="s">
        <v>65</v>
      </c>
      <c r="C12" s="3" t="s">
        <v>71</v>
      </c>
      <c r="D12" s="3" t="s">
        <v>72</v>
      </c>
      <c r="E12" s="3">
        <v>40</v>
      </c>
      <c r="F12" s="3" t="s">
        <v>64</v>
      </c>
      <c r="G12" s="3"/>
      <c r="H12" s="3"/>
      <c r="I12" s="3" t="s">
        <v>73</v>
      </c>
      <c r="J12" s="3" t="s">
        <v>74</v>
      </c>
      <c r="K12" s="4">
        <f>SUMIF('Ход 2026'!$G$29:$G$38,$A12,'Ход 2026'!$I$29:$I$38)</f>
        <v>0</v>
      </c>
      <c r="L12" s="4">
        <f>SUMIF('Ход 2027'!$G$29:$G$38,$A12,'Ход 2027'!$I$29:$I$38)</f>
        <v>0</v>
      </c>
      <c r="M12" s="4">
        <f>SUMIF('Ход 2028'!$G$29:$G$38,$A12,'Ход 2028'!$I$29:$I$38)</f>
        <v>0</v>
      </c>
      <c r="N12" s="4">
        <f>SUMIF('Ход 2029'!$G$29:$G$38,$A12,'Ход 2029'!$I$29:$I$38)</f>
        <v>0</v>
      </c>
      <c r="O12" s="4">
        <f>SUMIF('Ход 2030'!$G$29:$G$38,$A12,'Ход 2030'!$I$29:$I$38)</f>
        <v>0</v>
      </c>
      <c r="P12" s="4">
        <f>SUMIF('Ход 2031'!$G$29:$G$38,$A12,'Ход 2031'!$I$29:$I$38)</f>
        <v>0</v>
      </c>
      <c r="Q12" s="4">
        <f>SUMIF('Ход 2032'!$G$29:$G$38,$A12,'Ход 2032'!$I$29:$I$38)</f>
        <v>0</v>
      </c>
      <c r="R12" s="4">
        <f>SUMIF('Ход 2033'!$G$29:$G$38,$A12,'Ход 2033'!$I$29:$I$38)</f>
        <v>0</v>
      </c>
      <c r="S12" s="4">
        <f>SUMIF('Ход 2034'!$G$29:$G$38,$A12,'Ход 2034'!$I$29:$I$38)</f>
        <v>0</v>
      </c>
      <c r="T12" s="4">
        <f>SUMIF('Ход 2035'!$G$29:$G$38,$A12,'Ход 2035'!$I$29:$I$38)</f>
        <v>0</v>
      </c>
      <c r="U12" s="4">
        <f>SUMIF('Ход 2036'!$G$29:$G$38,$A12,'Ход 2036'!$I$29:$I$38)</f>
        <v>0</v>
      </c>
      <c r="V12" s="4">
        <f>SUMIF('Ход 2037'!$G$29:$G$38,$A12,'Ход 2037'!$I$29:$I$38)</f>
        <v>0</v>
      </c>
      <c r="W12" s="4">
        <f>SUMIF('Ход 2038'!$G$29:$G$38,$A12,'Ход 2038'!$I$29:$I$38)</f>
        <v>0</v>
      </c>
      <c r="X12" s="4">
        <f>SUMIF('Ход 2039'!$G$29:$G$38,$A12,'Ход 2039'!$I$29:$I$38)</f>
        <v>0</v>
      </c>
      <c r="Y12" s="4">
        <f>SUMIF('Ход 2040'!$G$29:$G$38,$A12,'Ход 2040'!$I$29:$I$38)</f>
        <v>0</v>
      </c>
      <c r="Z12" s="5">
        <f t="shared" si="0"/>
        <v>0</v>
      </c>
      <c r="AA12" s="5">
        <f t="shared" si="1"/>
        <v>40</v>
      </c>
      <c r="AB12" s="3" t="str">
        <f t="shared" si="2"/>
        <v>ЗАКРЫТО</v>
      </c>
      <c r="AC12">
        <f>SUM($K12:K12)</f>
        <v>0</v>
      </c>
      <c r="AD12">
        <f>SUM($K12:L12)</f>
        <v>0</v>
      </c>
      <c r="AE12">
        <f>SUM($K12:M12)</f>
        <v>0</v>
      </c>
      <c r="AF12">
        <f>SUM($K12:N12)</f>
        <v>0</v>
      </c>
      <c r="AG12">
        <f>SUM($K12:O12)</f>
        <v>0</v>
      </c>
      <c r="AH12">
        <f>SUM($K12:P12)</f>
        <v>0</v>
      </c>
      <c r="AI12">
        <f>SUM($K12:Q12)</f>
        <v>0</v>
      </c>
      <c r="AJ12">
        <f>SUM($K12:R12)</f>
        <v>0</v>
      </c>
      <c r="AK12">
        <f>SUM($K12:S12)</f>
        <v>0</v>
      </c>
      <c r="AL12">
        <f>SUM($K12:T12)</f>
        <v>0</v>
      </c>
      <c r="AM12">
        <f>SUM($K12:U12)</f>
        <v>0</v>
      </c>
      <c r="AN12">
        <f>SUM($K12:V12)</f>
        <v>0</v>
      </c>
      <c r="AO12">
        <f>SUM($K12:W12)</f>
        <v>0</v>
      </c>
      <c r="AP12">
        <f>SUM($K12:X12)</f>
        <v>0</v>
      </c>
      <c r="AQ12">
        <f>SUM($K12:Y12)</f>
        <v>0</v>
      </c>
      <c r="AR12" t="str">
        <f t="shared" si="3"/>
        <v>ЗАКРЫТО</v>
      </c>
      <c r="AS12" t="str">
        <f t="shared" si="4"/>
        <v>ЗАКРЫТО</v>
      </c>
      <c r="AT12" t="str">
        <f t="shared" si="5"/>
        <v>ЗАКРЫТО</v>
      </c>
      <c r="AU12" t="str">
        <f t="shared" si="6"/>
        <v>ЗАКРЫТО</v>
      </c>
      <c r="AV12" t="str">
        <f t="shared" si="7"/>
        <v>ЗАКРЫТО</v>
      </c>
      <c r="AW12" t="str">
        <f t="shared" si="8"/>
        <v>ЗАКРЫТО</v>
      </c>
      <c r="AX12" t="str">
        <f t="shared" si="9"/>
        <v>ЗАКРЫТО</v>
      </c>
      <c r="AY12" t="str">
        <f t="shared" si="10"/>
        <v>ЗАКРЫТО</v>
      </c>
      <c r="AZ12" t="str">
        <f t="shared" si="11"/>
        <v>ЗАКРЫТО</v>
      </c>
      <c r="BA12" t="str">
        <f t="shared" si="12"/>
        <v>ЗАКРЫТО</v>
      </c>
      <c r="BB12" t="str">
        <f t="shared" si="13"/>
        <v>ЗАКРЫТО</v>
      </c>
      <c r="BC12" t="str">
        <f t="shared" si="14"/>
        <v>ЗАКРЫТО</v>
      </c>
      <c r="BD12" t="str">
        <f t="shared" si="15"/>
        <v>ЗАКРЫТО</v>
      </c>
      <c r="BE12" t="str">
        <f t="shared" si="16"/>
        <v>ЗАКРЫТО</v>
      </c>
      <c r="BF12" t="str">
        <f t="shared" si="17"/>
        <v>ЗАКРЫТО</v>
      </c>
    </row>
    <row r="13" spans="1:58" ht="27.6">
      <c r="A13" s="3" t="s">
        <v>75</v>
      </c>
      <c r="B13" s="3" t="s">
        <v>65</v>
      </c>
      <c r="C13" s="3" t="s">
        <v>71</v>
      </c>
      <c r="D13" s="3" t="s">
        <v>76</v>
      </c>
      <c r="E13" s="3">
        <v>45</v>
      </c>
      <c r="F13" s="3" t="s">
        <v>64</v>
      </c>
      <c r="G13" s="3"/>
      <c r="H13" s="3"/>
      <c r="I13" s="3" t="s">
        <v>77</v>
      </c>
      <c r="J13" s="3" t="s">
        <v>78</v>
      </c>
      <c r="K13" s="4">
        <f>SUMIF('Ход 2026'!$G$29:$G$38,$A13,'Ход 2026'!$I$29:$I$38)</f>
        <v>0</v>
      </c>
      <c r="L13" s="4">
        <f>SUMIF('Ход 2027'!$G$29:$G$38,$A13,'Ход 2027'!$I$29:$I$38)</f>
        <v>0</v>
      </c>
      <c r="M13" s="4">
        <f>SUMIF('Ход 2028'!$G$29:$G$38,$A13,'Ход 2028'!$I$29:$I$38)</f>
        <v>0</v>
      </c>
      <c r="N13" s="4">
        <f>SUMIF('Ход 2029'!$G$29:$G$38,$A13,'Ход 2029'!$I$29:$I$38)</f>
        <v>0</v>
      </c>
      <c r="O13" s="4">
        <f>SUMIF('Ход 2030'!$G$29:$G$38,$A13,'Ход 2030'!$I$29:$I$38)</f>
        <v>0</v>
      </c>
      <c r="P13" s="4">
        <f>SUMIF('Ход 2031'!$G$29:$G$38,$A13,'Ход 2031'!$I$29:$I$38)</f>
        <v>0</v>
      </c>
      <c r="Q13" s="4">
        <f>SUMIF('Ход 2032'!$G$29:$G$38,$A13,'Ход 2032'!$I$29:$I$38)</f>
        <v>0</v>
      </c>
      <c r="R13" s="4">
        <f>SUMIF('Ход 2033'!$G$29:$G$38,$A13,'Ход 2033'!$I$29:$I$38)</f>
        <v>0</v>
      </c>
      <c r="S13" s="4">
        <f>SUMIF('Ход 2034'!$G$29:$G$38,$A13,'Ход 2034'!$I$29:$I$38)</f>
        <v>0</v>
      </c>
      <c r="T13" s="4">
        <f>SUMIF('Ход 2035'!$G$29:$G$38,$A13,'Ход 2035'!$I$29:$I$38)</f>
        <v>0</v>
      </c>
      <c r="U13" s="4">
        <f>SUMIF('Ход 2036'!$G$29:$G$38,$A13,'Ход 2036'!$I$29:$I$38)</f>
        <v>0</v>
      </c>
      <c r="V13" s="4">
        <f>SUMIF('Ход 2037'!$G$29:$G$38,$A13,'Ход 2037'!$I$29:$I$38)</f>
        <v>0</v>
      </c>
      <c r="W13" s="4">
        <f>SUMIF('Ход 2038'!$G$29:$G$38,$A13,'Ход 2038'!$I$29:$I$38)</f>
        <v>0</v>
      </c>
      <c r="X13" s="4">
        <f>SUMIF('Ход 2039'!$G$29:$G$38,$A13,'Ход 2039'!$I$29:$I$38)</f>
        <v>0</v>
      </c>
      <c r="Y13" s="4">
        <f>SUMIF('Ход 2040'!$G$29:$G$38,$A13,'Ход 2040'!$I$29:$I$38)</f>
        <v>0</v>
      </c>
      <c r="Z13" s="5">
        <f t="shared" si="0"/>
        <v>0</v>
      </c>
      <c r="AA13" s="5">
        <f t="shared" si="1"/>
        <v>45</v>
      </c>
      <c r="AB13" s="3" t="str">
        <f t="shared" si="2"/>
        <v>ЗАКРЫТО</v>
      </c>
      <c r="AC13">
        <f>SUM($K13:K13)</f>
        <v>0</v>
      </c>
      <c r="AD13">
        <f>SUM($K13:L13)</f>
        <v>0</v>
      </c>
      <c r="AE13">
        <f>SUM($K13:M13)</f>
        <v>0</v>
      </c>
      <c r="AF13">
        <f>SUM($K13:N13)</f>
        <v>0</v>
      </c>
      <c r="AG13">
        <f>SUM($K13:O13)</f>
        <v>0</v>
      </c>
      <c r="AH13">
        <f>SUM($K13:P13)</f>
        <v>0</v>
      </c>
      <c r="AI13">
        <f>SUM($K13:Q13)</f>
        <v>0</v>
      </c>
      <c r="AJ13">
        <f>SUM($K13:R13)</f>
        <v>0</v>
      </c>
      <c r="AK13">
        <f>SUM($K13:S13)</f>
        <v>0</v>
      </c>
      <c r="AL13">
        <f>SUM($K13:T13)</f>
        <v>0</v>
      </c>
      <c r="AM13">
        <f>SUM($K13:U13)</f>
        <v>0</v>
      </c>
      <c r="AN13">
        <f>SUM($K13:V13)</f>
        <v>0</v>
      </c>
      <c r="AO13">
        <f>SUM($K13:W13)</f>
        <v>0</v>
      </c>
      <c r="AP13">
        <f>SUM($K13:X13)</f>
        <v>0</v>
      </c>
      <c r="AQ13">
        <f>SUM($K13:Y13)</f>
        <v>0</v>
      </c>
      <c r="AR13" t="str">
        <f t="shared" si="3"/>
        <v>ЗАКРЫТО</v>
      </c>
      <c r="AS13" t="str">
        <f t="shared" si="4"/>
        <v>ЗАКРЫТО</v>
      </c>
      <c r="AT13" t="str">
        <f t="shared" si="5"/>
        <v>ЗАКРЫТО</v>
      </c>
      <c r="AU13" t="str">
        <f t="shared" si="6"/>
        <v>ЗАКРЫТО</v>
      </c>
      <c r="AV13" t="str">
        <f t="shared" si="7"/>
        <v>ЗАКРЫТО</v>
      </c>
      <c r="AW13" t="str">
        <f t="shared" si="8"/>
        <v>ЗАКРЫТО</v>
      </c>
      <c r="AX13" t="str">
        <f t="shared" si="9"/>
        <v>ЗАКРЫТО</v>
      </c>
      <c r="AY13" t="str">
        <f t="shared" si="10"/>
        <v>ЗАКРЫТО</v>
      </c>
      <c r="AZ13" t="str">
        <f t="shared" si="11"/>
        <v>ЗАКРЫТО</v>
      </c>
      <c r="BA13" t="str">
        <f t="shared" si="12"/>
        <v>ЗАКРЫТО</v>
      </c>
      <c r="BB13" t="str">
        <f t="shared" si="13"/>
        <v>ЗАКРЫТО</v>
      </c>
      <c r="BC13" t="str">
        <f t="shared" si="14"/>
        <v>ЗАКРЫТО</v>
      </c>
      <c r="BD13" t="str">
        <f t="shared" si="15"/>
        <v>ЗАКРЫТО</v>
      </c>
      <c r="BE13" t="str">
        <f t="shared" si="16"/>
        <v>ЗАКРЫТО</v>
      </c>
      <c r="BF13" t="str">
        <f t="shared" si="17"/>
        <v>ЗАКРЫТО</v>
      </c>
    </row>
    <row r="14" spans="1:58" ht="41.4">
      <c r="A14" s="3" t="s">
        <v>79</v>
      </c>
      <c r="B14" s="3" t="s">
        <v>65</v>
      </c>
      <c r="C14" s="3" t="s">
        <v>80</v>
      </c>
      <c r="D14" s="3" t="s">
        <v>81</v>
      </c>
      <c r="E14" s="3">
        <v>65</v>
      </c>
      <c r="F14" s="3" t="s">
        <v>70</v>
      </c>
      <c r="G14" s="3" t="s">
        <v>75</v>
      </c>
      <c r="H14" s="3"/>
      <c r="I14" s="3" t="s">
        <v>82</v>
      </c>
      <c r="J14" s="3" t="s">
        <v>83</v>
      </c>
      <c r="K14" s="4">
        <f>SUMIF('Ход 2026'!$G$29:$G$38,$A14,'Ход 2026'!$I$29:$I$38)</f>
        <v>0</v>
      </c>
      <c r="L14" s="4">
        <f>SUMIF('Ход 2027'!$G$29:$G$38,$A14,'Ход 2027'!$I$29:$I$38)</f>
        <v>0</v>
      </c>
      <c r="M14" s="4">
        <f>SUMIF('Ход 2028'!$G$29:$G$38,$A14,'Ход 2028'!$I$29:$I$38)</f>
        <v>0</v>
      </c>
      <c r="N14" s="4">
        <f>SUMIF('Ход 2029'!$G$29:$G$38,$A14,'Ход 2029'!$I$29:$I$38)</f>
        <v>0</v>
      </c>
      <c r="O14" s="4">
        <f>SUMIF('Ход 2030'!$G$29:$G$38,$A14,'Ход 2030'!$I$29:$I$38)</f>
        <v>0</v>
      </c>
      <c r="P14" s="4">
        <f>SUMIF('Ход 2031'!$G$29:$G$38,$A14,'Ход 2031'!$I$29:$I$38)</f>
        <v>0</v>
      </c>
      <c r="Q14" s="4">
        <f>SUMIF('Ход 2032'!$G$29:$G$38,$A14,'Ход 2032'!$I$29:$I$38)</f>
        <v>0</v>
      </c>
      <c r="R14" s="4">
        <f>SUMIF('Ход 2033'!$G$29:$G$38,$A14,'Ход 2033'!$I$29:$I$38)</f>
        <v>0</v>
      </c>
      <c r="S14" s="4">
        <f>SUMIF('Ход 2034'!$G$29:$G$38,$A14,'Ход 2034'!$I$29:$I$38)</f>
        <v>0</v>
      </c>
      <c r="T14" s="4">
        <f>SUMIF('Ход 2035'!$G$29:$G$38,$A14,'Ход 2035'!$I$29:$I$38)</f>
        <v>0</v>
      </c>
      <c r="U14" s="4">
        <f>SUMIF('Ход 2036'!$G$29:$G$38,$A14,'Ход 2036'!$I$29:$I$38)</f>
        <v>0</v>
      </c>
      <c r="V14" s="4">
        <f>SUMIF('Ход 2037'!$G$29:$G$38,$A14,'Ход 2037'!$I$29:$I$38)</f>
        <v>0</v>
      </c>
      <c r="W14" s="4">
        <f>SUMIF('Ход 2038'!$G$29:$G$38,$A14,'Ход 2038'!$I$29:$I$38)</f>
        <v>0</v>
      </c>
      <c r="X14" s="4">
        <f>SUMIF('Ход 2039'!$G$29:$G$38,$A14,'Ход 2039'!$I$29:$I$38)</f>
        <v>0</v>
      </c>
      <c r="Y14" s="4">
        <f>SUMIF('Ход 2040'!$G$29:$G$38,$A14,'Ход 2040'!$I$29:$I$38)</f>
        <v>0</v>
      </c>
      <c r="Z14" s="5">
        <f t="shared" si="0"/>
        <v>0</v>
      </c>
      <c r="AA14" s="5">
        <f t="shared" si="1"/>
        <v>65</v>
      </c>
      <c r="AB14" s="3" t="str">
        <f t="shared" si="2"/>
        <v>ЗАКРЫТО</v>
      </c>
      <c r="AC14">
        <f>SUM($K14:K14)</f>
        <v>0</v>
      </c>
      <c r="AD14">
        <f>SUM($K14:L14)</f>
        <v>0</v>
      </c>
      <c r="AE14">
        <f>SUM($K14:M14)</f>
        <v>0</v>
      </c>
      <c r="AF14">
        <f>SUM($K14:N14)</f>
        <v>0</v>
      </c>
      <c r="AG14">
        <f>SUM($K14:O14)</f>
        <v>0</v>
      </c>
      <c r="AH14">
        <f>SUM($K14:P14)</f>
        <v>0</v>
      </c>
      <c r="AI14">
        <f>SUM($K14:Q14)</f>
        <v>0</v>
      </c>
      <c r="AJ14">
        <f>SUM($K14:R14)</f>
        <v>0</v>
      </c>
      <c r="AK14">
        <f>SUM($K14:S14)</f>
        <v>0</v>
      </c>
      <c r="AL14">
        <f>SUM($K14:T14)</f>
        <v>0</v>
      </c>
      <c r="AM14">
        <f>SUM($K14:U14)</f>
        <v>0</v>
      </c>
      <c r="AN14">
        <f>SUM($K14:V14)</f>
        <v>0</v>
      </c>
      <c r="AO14">
        <f>SUM($K14:W14)</f>
        <v>0</v>
      </c>
      <c r="AP14">
        <f>SUM($K14:X14)</f>
        <v>0</v>
      </c>
      <c r="AQ14">
        <f>SUM($K14:Y14)</f>
        <v>0</v>
      </c>
      <c r="AR14" t="str">
        <f t="shared" si="3"/>
        <v>ЗАКРЫТО</v>
      </c>
      <c r="AS14" t="str">
        <f t="shared" si="4"/>
        <v>ЗАКРЫТО</v>
      </c>
      <c r="AT14" t="str">
        <f t="shared" si="5"/>
        <v>ЗАКРЫТО</v>
      </c>
      <c r="AU14" t="str">
        <f t="shared" si="6"/>
        <v>ЗАКРЫТО</v>
      </c>
      <c r="AV14" t="str">
        <f t="shared" si="7"/>
        <v>ЗАКРЫТО</v>
      </c>
      <c r="AW14" t="str">
        <f t="shared" si="8"/>
        <v>ЗАКРЫТО</v>
      </c>
      <c r="AX14" t="str">
        <f t="shared" si="9"/>
        <v>ЗАКРЫТО</v>
      </c>
      <c r="AY14" t="str">
        <f t="shared" si="10"/>
        <v>ЗАКРЫТО</v>
      </c>
      <c r="AZ14" t="str">
        <f t="shared" si="11"/>
        <v>ЗАКРЫТО</v>
      </c>
      <c r="BA14" t="str">
        <f t="shared" si="12"/>
        <v>ЗАКРЫТО</v>
      </c>
      <c r="BB14" t="str">
        <f t="shared" si="13"/>
        <v>ЗАКРЫТО</v>
      </c>
      <c r="BC14" t="str">
        <f t="shared" si="14"/>
        <v>ЗАКРЫТО</v>
      </c>
      <c r="BD14" t="str">
        <f t="shared" si="15"/>
        <v>ЗАКРЫТО</v>
      </c>
      <c r="BE14" t="str">
        <f t="shared" si="16"/>
        <v>ЗАКРЫТО</v>
      </c>
      <c r="BF14" t="str">
        <f t="shared" si="17"/>
        <v>ЗАКРЫТО</v>
      </c>
    </row>
    <row r="15" spans="1:58" ht="27.6">
      <c r="A15" s="3" t="s">
        <v>84</v>
      </c>
      <c r="B15" s="3" t="s">
        <v>65</v>
      </c>
      <c r="C15" s="3" t="s">
        <v>85</v>
      </c>
      <c r="D15" s="3" t="s">
        <v>86</v>
      </c>
      <c r="E15" s="3">
        <v>100</v>
      </c>
      <c r="F15" s="3" t="s">
        <v>79</v>
      </c>
      <c r="G15" s="3"/>
      <c r="H15" s="3"/>
      <c r="I15" s="3" t="s">
        <v>87</v>
      </c>
      <c r="J15" s="3" t="s">
        <v>88</v>
      </c>
      <c r="K15" s="4">
        <f>SUMIF('Ход 2026'!$G$29:$G$38,$A15,'Ход 2026'!$I$29:$I$38)</f>
        <v>0</v>
      </c>
      <c r="L15" s="4">
        <f>SUMIF('Ход 2027'!$G$29:$G$38,$A15,'Ход 2027'!$I$29:$I$38)</f>
        <v>0</v>
      </c>
      <c r="M15" s="4">
        <f>SUMIF('Ход 2028'!$G$29:$G$38,$A15,'Ход 2028'!$I$29:$I$38)</f>
        <v>0</v>
      </c>
      <c r="N15" s="4">
        <f>SUMIF('Ход 2029'!$G$29:$G$38,$A15,'Ход 2029'!$I$29:$I$38)</f>
        <v>0</v>
      </c>
      <c r="O15" s="4">
        <f>SUMIF('Ход 2030'!$G$29:$G$38,$A15,'Ход 2030'!$I$29:$I$38)</f>
        <v>0</v>
      </c>
      <c r="P15" s="4">
        <f>SUMIF('Ход 2031'!$G$29:$G$38,$A15,'Ход 2031'!$I$29:$I$38)</f>
        <v>0</v>
      </c>
      <c r="Q15" s="4">
        <f>SUMIF('Ход 2032'!$G$29:$G$38,$A15,'Ход 2032'!$I$29:$I$38)</f>
        <v>0</v>
      </c>
      <c r="R15" s="4">
        <f>SUMIF('Ход 2033'!$G$29:$G$38,$A15,'Ход 2033'!$I$29:$I$38)</f>
        <v>0</v>
      </c>
      <c r="S15" s="4">
        <f>SUMIF('Ход 2034'!$G$29:$G$38,$A15,'Ход 2034'!$I$29:$I$38)</f>
        <v>0</v>
      </c>
      <c r="T15" s="4">
        <f>SUMIF('Ход 2035'!$G$29:$G$38,$A15,'Ход 2035'!$I$29:$I$38)</f>
        <v>0</v>
      </c>
      <c r="U15" s="4">
        <f>SUMIF('Ход 2036'!$G$29:$G$38,$A15,'Ход 2036'!$I$29:$I$38)</f>
        <v>0</v>
      </c>
      <c r="V15" s="4">
        <f>SUMIF('Ход 2037'!$G$29:$G$38,$A15,'Ход 2037'!$I$29:$I$38)</f>
        <v>0</v>
      </c>
      <c r="W15" s="4">
        <f>SUMIF('Ход 2038'!$G$29:$G$38,$A15,'Ход 2038'!$I$29:$I$38)</f>
        <v>0</v>
      </c>
      <c r="X15" s="4">
        <f>SUMIF('Ход 2039'!$G$29:$G$38,$A15,'Ход 2039'!$I$29:$I$38)</f>
        <v>0</v>
      </c>
      <c r="Y15" s="4">
        <f>SUMIF('Ход 2040'!$G$29:$G$38,$A15,'Ход 2040'!$I$29:$I$38)</f>
        <v>0</v>
      </c>
      <c r="Z15" s="5">
        <f t="shared" si="0"/>
        <v>0</v>
      </c>
      <c r="AA15" s="5">
        <f t="shared" si="1"/>
        <v>100</v>
      </c>
      <c r="AB15" s="3" t="str">
        <f t="shared" si="2"/>
        <v>ЗАКРЫТО</v>
      </c>
      <c r="AC15">
        <f>SUM($K15:K15)</f>
        <v>0</v>
      </c>
      <c r="AD15">
        <f>SUM($K15:L15)</f>
        <v>0</v>
      </c>
      <c r="AE15">
        <f>SUM($K15:M15)</f>
        <v>0</v>
      </c>
      <c r="AF15">
        <f>SUM($K15:N15)</f>
        <v>0</v>
      </c>
      <c r="AG15">
        <f>SUM($K15:O15)</f>
        <v>0</v>
      </c>
      <c r="AH15">
        <f>SUM($K15:P15)</f>
        <v>0</v>
      </c>
      <c r="AI15">
        <f>SUM($K15:Q15)</f>
        <v>0</v>
      </c>
      <c r="AJ15">
        <f>SUM($K15:R15)</f>
        <v>0</v>
      </c>
      <c r="AK15">
        <f>SUM($K15:S15)</f>
        <v>0</v>
      </c>
      <c r="AL15">
        <f>SUM($K15:T15)</f>
        <v>0</v>
      </c>
      <c r="AM15">
        <f>SUM($K15:U15)</f>
        <v>0</v>
      </c>
      <c r="AN15">
        <f>SUM($K15:V15)</f>
        <v>0</v>
      </c>
      <c r="AO15">
        <f>SUM($K15:W15)</f>
        <v>0</v>
      </c>
      <c r="AP15">
        <f>SUM($K15:X15)</f>
        <v>0</v>
      </c>
      <c r="AQ15">
        <f>SUM($K15:Y15)</f>
        <v>0</v>
      </c>
      <c r="AR15" t="str">
        <f t="shared" si="3"/>
        <v>ЗАКРЫТО</v>
      </c>
      <c r="AS15" t="str">
        <f t="shared" si="4"/>
        <v>ЗАКРЫТО</v>
      </c>
      <c r="AT15" t="str">
        <f t="shared" si="5"/>
        <v>ЗАКРЫТО</v>
      </c>
      <c r="AU15" t="str">
        <f t="shared" si="6"/>
        <v>ЗАКРЫТО</v>
      </c>
      <c r="AV15" t="str">
        <f t="shared" si="7"/>
        <v>ЗАКРЫТО</v>
      </c>
      <c r="AW15" t="str">
        <f t="shared" si="8"/>
        <v>ЗАКРЫТО</v>
      </c>
      <c r="AX15" t="str">
        <f t="shared" si="9"/>
        <v>ЗАКРЫТО</v>
      </c>
      <c r="AY15" t="str">
        <f t="shared" si="10"/>
        <v>ЗАКРЫТО</v>
      </c>
      <c r="AZ15" t="str">
        <f t="shared" si="11"/>
        <v>ЗАКРЫТО</v>
      </c>
      <c r="BA15" t="str">
        <f t="shared" si="12"/>
        <v>ЗАКРЫТО</v>
      </c>
      <c r="BB15" t="str">
        <f t="shared" si="13"/>
        <v>ЗАКРЫТО</v>
      </c>
      <c r="BC15" t="str">
        <f t="shared" si="14"/>
        <v>ЗАКРЫТО</v>
      </c>
      <c r="BD15" t="str">
        <f t="shared" si="15"/>
        <v>ЗАКРЫТО</v>
      </c>
      <c r="BE15" t="str">
        <f t="shared" si="16"/>
        <v>ЗАКРЫТО</v>
      </c>
      <c r="BF15" t="str">
        <f t="shared" si="17"/>
        <v>ЗАКРЫТО</v>
      </c>
    </row>
    <row r="16" spans="1:58" ht="41.4">
      <c r="A16" s="3" t="s">
        <v>89</v>
      </c>
      <c r="B16" s="3" t="s">
        <v>65</v>
      </c>
      <c r="C16" s="3" t="s">
        <v>90</v>
      </c>
      <c r="D16" s="3" t="s">
        <v>91</v>
      </c>
      <c r="E16" s="3">
        <v>150</v>
      </c>
      <c r="F16" s="3" t="s">
        <v>84</v>
      </c>
      <c r="G16" s="3"/>
      <c r="H16" s="3"/>
      <c r="I16" s="3" t="s">
        <v>92</v>
      </c>
      <c r="J16" s="3" t="s">
        <v>93</v>
      </c>
      <c r="K16" s="4">
        <f>SUMIF('Ход 2026'!$G$29:$G$38,$A16,'Ход 2026'!$I$29:$I$38)</f>
        <v>0</v>
      </c>
      <c r="L16" s="4">
        <f>SUMIF('Ход 2027'!$G$29:$G$38,$A16,'Ход 2027'!$I$29:$I$38)</f>
        <v>0</v>
      </c>
      <c r="M16" s="4">
        <f>SUMIF('Ход 2028'!$G$29:$G$38,$A16,'Ход 2028'!$I$29:$I$38)</f>
        <v>0</v>
      </c>
      <c r="N16" s="4">
        <f>SUMIF('Ход 2029'!$G$29:$G$38,$A16,'Ход 2029'!$I$29:$I$38)</f>
        <v>0</v>
      </c>
      <c r="O16" s="4">
        <f>SUMIF('Ход 2030'!$G$29:$G$38,$A16,'Ход 2030'!$I$29:$I$38)</f>
        <v>0</v>
      </c>
      <c r="P16" s="4">
        <f>SUMIF('Ход 2031'!$G$29:$G$38,$A16,'Ход 2031'!$I$29:$I$38)</f>
        <v>0</v>
      </c>
      <c r="Q16" s="4">
        <f>SUMIF('Ход 2032'!$G$29:$G$38,$A16,'Ход 2032'!$I$29:$I$38)</f>
        <v>0</v>
      </c>
      <c r="R16" s="4">
        <f>SUMIF('Ход 2033'!$G$29:$G$38,$A16,'Ход 2033'!$I$29:$I$38)</f>
        <v>0</v>
      </c>
      <c r="S16" s="4">
        <f>SUMIF('Ход 2034'!$G$29:$G$38,$A16,'Ход 2034'!$I$29:$I$38)</f>
        <v>0</v>
      </c>
      <c r="T16" s="4">
        <f>SUMIF('Ход 2035'!$G$29:$G$38,$A16,'Ход 2035'!$I$29:$I$38)</f>
        <v>0</v>
      </c>
      <c r="U16" s="4">
        <f>SUMIF('Ход 2036'!$G$29:$G$38,$A16,'Ход 2036'!$I$29:$I$38)</f>
        <v>0</v>
      </c>
      <c r="V16" s="4">
        <f>SUMIF('Ход 2037'!$G$29:$G$38,$A16,'Ход 2037'!$I$29:$I$38)</f>
        <v>0</v>
      </c>
      <c r="W16" s="4">
        <f>SUMIF('Ход 2038'!$G$29:$G$38,$A16,'Ход 2038'!$I$29:$I$38)</f>
        <v>0</v>
      </c>
      <c r="X16" s="4">
        <f>SUMIF('Ход 2039'!$G$29:$G$38,$A16,'Ход 2039'!$I$29:$I$38)</f>
        <v>0</v>
      </c>
      <c r="Y16" s="4">
        <f>SUMIF('Ход 2040'!$G$29:$G$38,$A16,'Ход 2040'!$I$29:$I$38)</f>
        <v>0</v>
      </c>
      <c r="Z16" s="5">
        <f t="shared" si="0"/>
        <v>0</v>
      </c>
      <c r="AA16" s="5">
        <f t="shared" si="1"/>
        <v>150</v>
      </c>
      <c r="AB16" s="3" t="str">
        <f t="shared" si="2"/>
        <v>ЗАКРЫТО</v>
      </c>
      <c r="AC16">
        <f>SUM($K16:K16)</f>
        <v>0</v>
      </c>
      <c r="AD16">
        <f>SUM($K16:L16)</f>
        <v>0</v>
      </c>
      <c r="AE16">
        <f>SUM($K16:M16)</f>
        <v>0</v>
      </c>
      <c r="AF16">
        <f>SUM($K16:N16)</f>
        <v>0</v>
      </c>
      <c r="AG16">
        <f>SUM($K16:O16)</f>
        <v>0</v>
      </c>
      <c r="AH16">
        <f>SUM($K16:P16)</f>
        <v>0</v>
      </c>
      <c r="AI16">
        <f>SUM($K16:Q16)</f>
        <v>0</v>
      </c>
      <c r="AJ16">
        <f>SUM($K16:R16)</f>
        <v>0</v>
      </c>
      <c r="AK16">
        <f>SUM($K16:S16)</f>
        <v>0</v>
      </c>
      <c r="AL16">
        <f>SUM($K16:T16)</f>
        <v>0</v>
      </c>
      <c r="AM16">
        <f>SUM($K16:U16)</f>
        <v>0</v>
      </c>
      <c r="AN16">
        <f>SUM($K16:V16)</f>
        <v>0</v>
      </c>
      <c r="AO16">
        <f>SUM($K16:W16)</f>
        <v>0</v>
      </c>
      <c r="AP16">
        <f>SUM($K16:X16)</f>
        <v>0</v>
      </c>
      <c r="AQ16">
        <f>SUM($K16:Y16)</f>
        <v>0</v>
      </c>
      <c r="AR16" t="str">
        <f t="shared" si="3"/>
        <v>ЗАКРЫТО</v>
      </c>
      <c r="AS16" t="str">
        <f t="shared" si="4"/>
        <v>ЗАКРЫТО</v>
      </c>
      <c r="AT16" t="str">
        <f t="shared" si="5"/>
        <v>ЗАКРЫТО</v>
      </c>
      <c r="AU16" t="str">
        <f t="shared" si="6"/>
        <v>ЗАКРЫТО</v>
      </c>
      <c r="AV16" t="str">
        <f t="shared" si="7"/>
        <v>ЗАКРЫТО</v>
      </c>
      <c r="AW16" t="str">
        <f t="shared" si="8"/>
        <v>ЗАКРЫТО</v>
      </c>
      <c r="AX16" t="str">
        <f t="shared" si="9"/>
        <v>ЗАКРЫТО</v>
      </c>
      <c r="AY16" t="str">
        <f t="shared" si="10"/>
        <v>ЗАКРЫТО</v>
      </c>
      <c r="AZ16" t="str">
        <f t="shared" si="11"/>
        <v>ЗАКРЫТО</v>
      </c>
      <c r="BA16" t="str">
        <f t="shared" si="12"/>
        <v>ЗАКРЫТО</v>
      </c>
      <c r="BB16" t="str">
        <f t="shared" si="13"/>
        <v>ЗАКРЫТО</v>
      </c>
      <c r="BC16" t="str">
        <f t="shared" si="14"/>
        <v>ЗАКРЫТО</v>
      </c>
      <c r="BD16" t="str">
        <f t="shared" si="15"/>
        <v>ЗАКРЫТО</v>
      </c>
      <c r="BE16" t="str">
        <f t="shared" si="16"/>
        <v>ЗАКРЫТО</v>
      </c>
      <c r="BF16" t="str">
        <f t="shared" si="17"/>
        <v>ЗАКРЫТО</v>
      </c>
    </row>
    <row r="17" spans="1:58" ht="27.6">
      <c r="A17" s="3" t="s">
        <v>94</v>
      </c>
      <c r="B17" s="3" t="s">
        <v>95</v>
      </c>
      <c r="C17" s="3" t="s">
        <v>66</v>
      </c>
      <c r="D17" s="3" t="s">
        <v>96</v>
      </c>
      <c r="E17" s="3">
        <v>20</v>
      </c>
      <c r="F17" s="3"/>
      <c r="G17" s="3"/>
      <c r="H17" s="3"/>
      <c r="I17" s="3" t="s">
        <v>97</v>
      </c>
      <c r="J17" s="3" t="s">
        <v>98</v>
      </c>
      <c r="K17" s="4">
        <f>SUMIF('Ход 2026'!$G$29:$G$38,$A17,'Ход 2026'!$I$29:$I$38)</f>
        <v>0</v>
      </c>
      <c r="L17" s="4">
        <f>SUMIF('Ход 2027'!$G$29:$G$38,$A17,'Ход 2027'!$I$29:$I$38)</f>
        <v>0</v>
      </c>
      <c r="M17" s="4">
        <f>SUMIF('Ход 2028'!$G$29:$G$38,$A17,'Ход 2028'!$I$29:$I$38)</f>
        <v>0</v>
      </c>
      <c r="N17" s="4">
        <f>SUMIF('Ход 2029'!$G$29:$G$38,$A17,'Ход 2029'!$I$29:$I$38)</f>
        <v>0</v>
      </c>
      <c r="O17" s="4">
        <f>SUMIF('Ход 2030'!$G$29:$G$38,$A17,'Ход 2030'!$I$29:$I$38)</f>
        <v>0</v>
      </c>
      <c r="P17" s="4">
        <f>SUMIF('Ход 2031'!$G$29:$G$38,$A17,'Ход 2031'!$I$29:$I$38)</f>
        <v>0</v>
      </c>
      <c r="Q17" s="4">
        <f>SUMIF('Ход 2032'!$G$29:$G$38,$A17,'Ход 2032'!$I$29:$I$38)</f>
        <v>0</v>
      </c>
      <c r="R17" s="4">
        <f>SUMIF('Ход 2033'!$G$29:$G$38,$A17,'Ход 2033'!$I$29:$I$38)</f>
        <v>0</v>
      </c>
      <c r="S17" s="4">
        <f>SUMIF('Ход 2034'!$G$29:$G$38,$A17,'Ход 2034'!$I$29:$I$38)</f>
        <v>0</v>
      </c>
      <c r="T17" s="4">
        <f>SUMIF('Ход 2035'!$G$29:$G$38,$A17,'Ход 2035'!$I$29:$I$38)</f>
        <v>0</v>
      </c>
      <c r="U17" s="4">
        <f>SUMIF('Ход 2036'!$G$29:$G$38,$A17,'Ход 2036'!$I$29:$I$38)</f>
        <v>0</v>
      </c>
      <c r="V17" s="4">
        <f>SUMIF('Ход 2037'!$G$29:$G$38,$A17,'Ход 2037'!$I$29:$I$38)</f>
        <v>0</v>
      </c>
      <c r="W17" s="4">
        <f>SUMIF('Ход 2038'!$G$29:$G$38,$A17,'Ход 2038'!$I$29:$I$38)</f>
        <v>0</v>
      </c>
      <c r="X17" s="4">
        <f>SUMIF('Ход 2039'!$G$29:$G$38,$A17,'Ход 2039'!$I$29:$I$38)</f>
        <v>0</v>
      </c>
      <c r="Y17" s="4">
        <f>SUMIF('Ход 2040'!$G$29:$G$38,$A17,'Ход 2040'!$I$29:$I$38)</f>
        <v>0</v>
      </c>
      <c r="Z17" s="5">
        <f t="shared" si="0"/>
        <v>0</v>
      </c>
      <c r="AA17" s="5">
        <f t="shared" si="1"/>
        <v>20</v>
      </c>
      <c r="AB17" s="3" t="str">
        <f t="shared" si="2"/>
        <v>ОТКРЫТО</v>
      </c>
      <c r="AC17">
        <f>SUM($K17:K17)</f>
        <v>0</v>
      </c>
      <c r="AD17">
        <f>SUM($K17:L17)</f>
        <v>0</v>
      </c>
      <c r="AE17">
        <f>SUM($K17:M17)</f>
        <v>0</v>
      </c>
      <c r="AF17">
        <f>SUM($K17:N17)</f>
        <v>0</v>
      </c>
      <c r="AG17">
        <f>SUM($K17:O17)</f>
        <v>0</v>
      </c>
      <c r="AH17">
        <f>SUM($K17:P17)</f>
        <v>0</v>
      </c>
      <c r="AI17">
        <f>SUM($K17:Q17)</f>
        <v>0</v>
      </c>
      <c r="AJ17">
        <f>SUM($K17:R17)</f>
        <v>0</v>
      </c>
      <c r="AK17">
        <f>SUM($K17:S17)</f>
        <v>0</v>
      </c>
      <c r="AL17">
        <f>SUM($K17:T17)</f>
        <v>0</v>
      </c>
      <c r="AM17">
        <f>SUM($K17:U17)</f>
        <v>0</v>
      </c>
      <c r="AN17">
        <f>SUM($K17:V17)</f>
        <v>0</v>
      </c>
      <c r="AO17">
        <f>SUM($K17:W17)</f>
        <v>0</v>
      </c>
      <c r="AP17">
        <f>SUM($K17:X17)</f>
        <v>0</v>
      </c>
      <c r="AQ17">
        <f>SUM($K17:Y17)</f>
        <v>0</v>
      </c>
      <c r="AR17" t="str">
        <f t="shared" si="3"/>
        <v>ОТКРЫТО</v>
      </c>
      <c r="AS17" t="str">
        <f t="shared" si="4"/>
        <v>ОТКРЫТО</v>
      </c>
      <c r="AT17" t="str">
        <f t="shared" si="5"/>
        <v>ОТКРЫТО</v>
      </c>
      <c r="AU17" t="str">
        <f t="shared" si="6"/>
        <v>ОТКРЫТО</v>
      </c>
      <c r="AV17" t="str">
        <f t="shared" si="7"/>
        <v>ОТКРЫТО</v>
      </c>
      <c r="AW17" t="str">
        <f t="shared" si="8"/>
        <v>ОТКРЫТО</v>
      </c>
      <c r="AX17" t="str">
        <f t="shared" si="9"/>
        <v>ОТКРЫТО</v>
      </c>
      <c r="AY17" t="str">
        <f t="shared" si="10"/>
        <v>ОТКРЫТО</v>
      </c>
      <c r="AZ17" t="str">
        <f t="shared" si="11"/>
        <v>ОТКРЫТО</v>
      </c>
      <c r="BA17" t="str">
        <f t="shared" si="12"/>
        <v>ОТКРЫТО</v>
      </c>
      <c r="BB17" t="str">
        <f t="shared" si="13"/>
        <v>ОТКРЫТО</v>
      </c>
      <c r="BC17" t="str">
        <f t="shared" si="14"/>
        <v>ОТКРЫТО</v>
      </c>
      <c r="BD17" t="str">
        <f t="shared" si="15"/>
        <v>ОТКРЫТО</v>
      </c>
      <c r="BE17" t="str">
        <f t="shared" si="16"/>
        <v>ОТКРЫТО</v>
      </c>
      <c r="BF17" t="str">
        <f t="shared" si="17"/>
        <v>ОТКРЫТО</v>
      </c>
    </row>
    <row r="18" spans="1:58" ht="27.6">
      <c r="A18" s="3" t="s">
        <v>99</v>
      </c>
      <c r="B18" s="3" t="s">
        <v>95</v>
      </c>
      <c r="C18" s="3" t="s">
        <v>71</v>
      </c>
      <c r="D18" s="3" t="s">
        <v>100</v>
      </c>
      <c r="E18" s="3">
        <v>40</v>
      </c>
      <c r="F18" s="3" t="s">
        <v>94</v>
      </c>
      <c r="G18" s="3"/>
      <c r="H18" s="3"/>
      <c r="I18" s="3" t="s">
        <v>101</v>
      </c>
      <c r="J18" s="3" t="s">
        <v>102</v>
      </c>
      <c r="K18" s="4">
        <f>SUMIF('Ход 2026'!$G$29:$G$38,$A18,'Ход 2026'!$I$29:$I$38)</f>
        <v>0</v>
      </c>
      <c r="L18" s="4">
        <f>SUMIF('Ход 2027'!$G$29:$G$38,$A18,'Ход 2027'!$I$29:$I$38)</f>
        <v>0</v>
      </c>
      <c r="M18" s="4">
        <f>SUMIF('Ход 2028'!$G$29:$G$38,$A18,'Ход 2028'!$I$29:$I$38)</f>
        <v>0</v>
      </c>
      <c r="N18" s="4">
        <f>SUMIF('Ход 2029'!$G$29:$G$38,$A18,'Ход 2029'!$I$29:$I$38)</f>
        <v>0</v>
      </c>
      <c r="O18" s="4">
        <f>SUMIF('Ход 2030'!$G$29:$G$38,$A18,'Ход 2030'!$I$29:$I$38)</f>
        <v>0</v>
      </c>
      <c r="P18" s="4">
        <f>SUMIF('Ход 2031'!$G$29:$G$38,$A18,'Ход 2031'!$I$29:$I$38)</f>
        <v>0</v>
      </c>
      <c r="Q18" s="4">
        <f>SUMIF('Ход 2032'!$G$29:$G$38,$A18,'Ход 2032'!$I$29:$I$38)</f>
        <v>0</v>
      </c>
      <c r="R18" s="4">
        <f>SUMIF('Ход 2033'!$G$29:$G$38,$A18,'Ход 2033'!$I$29:$I$38)</f>
        <v>0</v>
      </c>
      <c r="S18" s="4">
        <f>SUMIF('Ход 2034'!$G$29:$G$38,$A18,'Ход 2034'!$I$29:$I$38)</f>
        <v>0</v>
      </c>
      <c r="T18" s="4">
        <f>SUMIF('Ход 2035'!$G$29:$G$38,$A18,'Ход 2035'!$I$29:$I$38)</f>
        <v>0</v>
      </c>
      <c r="U18" s="4">
        <f>SUMIF('Ход 2036'!$G$29:$G$38,$A18,'Ход 2036'!$I$29:$I$38)</f>
        <v>0</v>
      </c>
      <c r="V18" s="4">
        <f>SUMIF('Ход 2037'!$G$29:$G$38,$A18,'Ход 2037'!$I$29:$I$38)</f>
        <v>0</v>
      </c>
      <c r="W18" s="4">
        <f>SUMIF('Ход 2038'!$G$29:$G$38,$A18,'Ход 2038'!$I$29:$I$38)</f>
        <v>0</v>
      </c>
      <c r="X18" s="4">
        <f>SUMIF('Ход 2039'!$G$29:$G$38,$A18,'Ход 2039'!$I$29:$I$38)</f>
        <v>0</v>
      </c>
      <c r="Y18" s="4">
        <f>SUMIF('Ход 2040'!$G$29:$G$38,$A18,'Ход 2040'!$I$29:$I$38)</f>
        <v>0</v>
      </c>
      <c r="Z18" s="5">
        <f t="shared" si="0"/>
        <v>0</v>
      </c>
      <c r="AA18" s="5">
        <f t="shared" si="1"/>
        <v>40</v>
      </c>
      <c r="AB18" s="3" t="str">
        <f t="shared" si="2"/>
        <v>ЗАКРЫТО</v>
      </c>
      <c r="AC18">
        <f>SUM($K18:K18)</f>
        <v>0</v>
      </c>
      <c r="AD18">
        <f>SUM($K18:L18)</f>
        <v>0</v>
      </c>
      <c r="AE18">
        <f>SUM($K18:M18)</f>
        <v>0</v>
      </c>
      <c r="AF18">
        <f>SUM($K18:N18)</f>
        <v>0</v>
      </c>
      <c r="AG18">
        <f>SUM($K18:O18)</f>
        <v>0</v>
      </c>
      <c r="AH18">
        <f>SUM($K18:P18)</f>
        <v>0</v>
      </c>
      <c r="AI18">
        <f>SUM($K18:Q18)</f>
        <v>0</v>
      </c>
      <c r="AJ18">
        <f>SUM($K18:R18)</f>
        <v>0</v>
      </c>
      <c r="AK18">
        <f>SUM($K18:S18)</f>
        <v>0</v>
      </c>
      <c r="AL18">
        <f>SUM($K18:T18)</f>
        <v>0</v>
      </c>
      <c r="AM18">
        <f>SUM($K18:U18)</f>
        <v>0</v>
      </c>
      <c r="AN18">
        <f>SUM($K18:V18)</f>
        <v>0</v>
      </c>
      <c r="AO18">
        <f>SUM($K18:W18)</f>
        <v>0</v>
      </c>
      <c r="AP18">
        <f>SUM($K18:X18)</f>
        <v>0</v>
      </c>
      <c r="AQ18">
        <f>SUM($K18:Y18)</f>
        <v>0</v>
      </c>
      <c r="AR18" t="str">
        <f t="shared" si="3"/>
        <v>ЗАКРЫТО</v>
      </c>
      <c r="AS18" t="str">
        <f t="shared" si="4"/>
        <v>ЗАКРЫТО</v>
      </c>
      <c r="AT18" t="str">
        <f t="shared" si="5"/>
        <v>ЗАКРЫТО</v>
      </c>
      <c r="AU18" t="str">
        <f t="shared" si="6"/>
        <v>ЗАКРЫТО</v>
      </c>
      <c r="AV18" t="str">
        <f t="shared" si="7"/>
        <v>ЗАКРЫТО</v>
      </c>
      <c r="AW18" t="str">
        <f t="shared" si="8"/>
        <v>ЗАКРЫТО</v>
      </c>
      <c r="AX18" t="str">
        <f t="shared" si="9"/>
        <v>ЗАКРЫТО</v>
      </c>
      <c r="AY18" t="str">
        <f t="shared" si="10"/>
        <v>ЗАКРЫТО</v>
      </c>
      <c r="AZ18" t="str">
        <f t="shared" si="11"/>
        <v>ЗАКРЫТО</v>
      </c>
      <c r="BA18" t="str">
        <f t="shared" si="12"/>
        <v>ЗАКРЫТО</v>
      </c>
      <c r="BB18" t="str">
        <f t="shared" si="13"/>
        <v>ЗАКРЫТО</v>
      </c>
      <c r="BC18" t="str">
        <f t="shared" si="14"/>
        <v>ЗАКРЫТО</v>
      </c>
      <c r="BD18" t="str">
        <f t="shared" si="15"/>
        <v>ЗАКРЫТО</v>
      </c>
      <c r="BE18" t="str">
        <f t="shared" si="16"/>
        <v>ЗАКРЫТО</v>
      </c>
      <c r="BF18" t="str">
        <f t="shared" si="17"/>
        <v>ЗАКРЫТО</v>
      </c>
    </row>
    <row r="19" spans="1:58" ht="27.6">
      <c r="A19" s="3" t="s">
        <v>103</v>
      </c>
      <c r="B19" s="3" t="s">
        <v>95</v>
      </c>
      <c r="C19" s="3" t="s">
        <v>71</v>
      </c>
      <c r="D19" s="3" t="s">
        <v>104</v>
      </c>
      <c r="E19" s="3">
        <v>45</v>
      </c>
      <c r="F19" s="3" t="s">
        <v>94</v>
      </c>
      <c r="G19" s="3"/>
      <c r="H19" s="3"/>
      <c r="I19" s="3" t="s">
        <v>105</v>
      </c>
      <c r="J19" s="3" t="s">
        <v>106</v>
      </c>
      <c r="K19" s="4">
        <f>SUMIF('Ход 2026'!$G$29:$G$38,$A19,'Ход 2026'!$I$29:$I$38)</f>
        <v>0</v>
      </c>
      <c r="L19" s="4">
        <f>SUMIF('Ход 2027'!$G$29:$G$38,$A19,'Ход 2027'!$I$29:$I$38)</f>
        <v>0</v>
      </c>
      <c r="M19" s="4">
        <f>SUMIF('Ход 2028'!$G$29:$G$38,$A19,'Ход 2028'!$I$29:$I$38)</f>
        <v>0</v>
      </c>
      <c r="N19" s="4">
        <f>SUMIF('Ход 2029'!$G$29:$G$38,$A19,'Ход 2029'!$I$29:$I$38)</f>
        <v>0</v>
      </c>
      <c r="O19" s="4">
        <f>SUMIF('Ход 2030'!$G$29:$G$38,$A19,'Ход 2030'!$I$29:$I$38)</f>
        <v>0</v>
      </c>
      <c r="P19" s="4">
        <f>SUMIF('Ход 2031'!$G$29:$G$38,$A19,'Ход 2031'!$I$29:$I$38)</f>
        <v>0</v>
      </c>
      <c r="Q19" s="4">
        <f>SUMIF('Ход 2032'!$G$29:$G$38,$A19,'Ход 2032'!$I$29:$I$38)</f>
        <v>0</v>
      </c>
      <c r="R19" s="4">
        <f>SUMIF('Ход 2033'!$G$29:$G$38,$A19,'Ход 2033'!$I$29:$I$38)</f>
        <v>0</v>
      </c>
      <c r="S19" s="4">
        <f>SUMIF('Ход 2034'!$G$29:$G$38,$A19,'Ход 2034'!$I$29:$I$38)</f>
        <v>0</v>
      </c>
      <c r="T19" s="4">
        <f>SUMIF('Ход 2035'!$G$29:$G$38,$A19,'Ход 2035'!$I$29:$I$38)</f>
        <v>0</v>
      </c>
      <c r="U19" s="4">
        <f>SUMIF('Ход 2036'!$G$29:$G$38,$A19,'Ход 2036'!$I$29:$I$38)</f>
        <v>0</v>
      </c>
      <c r="V19" s="4">
        <f>SUMIF('Ход 2037'!$G$29:$G$38,$A19,'Ход 2037'!$I$29:$I$38)</f>
        <v>0</v>
      </c>
      <c r="W19" s="4">
        <f>SUMIF('Ход 2038'!$G$29:$G$38,$A19,'Ход 2038'!$I$29:$I$38)</f>
        <v>0</v>
      </c>
      <c r="X19" s="4">
        <f>SUMIF('Ход 2039'!$G$29:$G$38,$A19,'Ход 2039'!$I$29:$I$38)</f>
        <v>0</v>
      </c>
      <c r="Y19" s="4">
        <f>SUMIF('Ход 2040'!$G$29:$G$38,$A19,'Ход 2040'!$I$29:$I$38)</f>
        <v>0</v>
      </c>
      <c r="Z19" s="5">
        <f t="shared" si="0"/>
        <v>0</v>
      </c>
      <c r="AA19" s="5">
        <f t="shared" si="1"/>
        <v>45</v>
      </c>
      <c r="AB19" s="3" t="str">
        <f t="shared" si="2"/>
        <v>ЗАКРЫТО</v>
      </c>
      <c r="AC19">
        <f>SUM($K19:K19)</f>
        <v>0</v>
      </c>
      <c r="AD19">
        <f>SUM($K19:L19)</f>
        <v>0</v>
      </c>
      <c r="AE19">
        <f>SUM($K19:M19)</f>
        <v>0</v>
      </c>
      <c r="AF19">
        <f>SUM($K19:N19)</f>
        <v>0</v>
      </c>
      <c r="AG19">
        <f>SUM($K19:O19)</f>
        <v>0</v>
      </c>
      <c r="AH19">
        <f>SUM($K19:P19)</f>
        <v>0</v>
      </c>
      <c r="AI19">
        <f>SUM($K19:Q19)</f>
        <v>0</v>
      </c>
      <c r="AJ19">
        <f>SUM($K19:R19)</f>
        <v>0</v>
      </c>
      <c r="AK19">
        <f>SUM($K19:S19)</f>
        <v>0</v>
      </c>
      <c r="AL19">
        <f>SUM($K19:T19)</f>
        <v>0</v>
      </c>
      <c r="AM19">
        <f>SUM($K19:U19)</f>
        <v>0</v>
      </c>
      <c r="AN19">
        <f>SUM($K19:V19)</f>
        <v>0</v>
      </c>
      <c r="AO19">
        <f>SUM($K19:W19)</f>
        <v>0</v>
      </c>
      <c r="AP19">
        <f>SUM($K19:X19)</f>
        <v>0</v>
      </c>
      <c r="AQ19">
        <f>SUM($K19:Y19)</f>
        <v>0</v>
      </c>
      <c r="AR19" t="str">
        <f t="shared" si="3"/>
        <v>ЗАКРЫТО</v>
      </c>
      <c r="AS19" t="str">
        <f t="shared" si="4"/>
        <v>ЗАКРЫТО</v>
      </c>
      <c r="AT19" t="str">
        <f t="shared" si="5"/>
        <v>ЗАКРЫТО</v>
      </c>
      <c r="AU19" t="str">
        <f t="shared" si="6"/>
        <v>ЗАКРЫТО</v>
      </c>
      <c r="AV19" t="str">
        <f t="shared" si="7"/>
        <v>ЗАКРЫТО</v>
      </c>
      <c r="AW19" t="str">
        <f t="shared" si="8"/>
        <v>ЗАКРЫТО</v>
      </c>
      <c r="AX19" t="str">
        <f t="shared" si="9"/>
        <v>ЗАКРЫТО</v>
      </c>
      <c r="AY19" t="str">
        <f t="shared" si="10"/>
        <v>ЗАКРЫТО</v>
      </c>
      <c r="AZ19" t="str">
        <f t="shared" si="11"/>
        <v>ЗАКРЫТО</v>
      </c>
      <c r="BA19" t="str">
        <f t="shared" si="12"/>
        <v>ЗАКРЫТО</v>
      </c>
      <c r="BB19" t="str">
        <f t="shared" si="13"/>
        <v>ЗАКРЫТО</v>
      </c>
      <c r="BC19" t="str">
        <f t="shared" si="14"/>
        <v>ЗАКРЫТО</v>
      </c>
      <c r="BD19" t="str">
        <f t="shared" si="15"/>
        <v>ЗАКРЫТО</v>
      </c>
      <c r="BE19" t="str">
        <f t="shared" si="16"/>
        <v>ЗАКРЫТО</v>
      </c>
      <c r="BF19" t="str">
        <f t="shared" si="17"/>
        <v>ЗАКРЫТО</v>
      </c>
    </row>
    <row r="20" spans="1:58" ht="27.6">
      <c r="A20" s="3" t="s">
        <v>107</v>
      </c>
      <c r="B20" s="3" t="s">
        <v>95</v>
      </c>
      <c r="C20" s="3" t="s">
        <v>80</v>
      </c>
      <c r="D20" s="3" t="s">
        <v>108</v>
      </c>
      <c r="E20" s="3">
        <v>65</v>
      </c>
      <c r="F20" s="3" t="s">
        <v>99</v>
      </c>
      <c r="G20" s="3" t="s">
        <v>103</v>
      </c>
      <c r="H20" s="3"/>
      <c r="I20" s="3" t="s">
        <v>109</v>
      </c>
      <c r="J20" s="3" t="s">
        <v>110</v>
      </c>
      <c r="K20" s="4">
        <f>SUMIF('Ход 2026'!$G$29:$G$38,$A20,'Ход 2026'!$I$29:$I$38)</f>
        <v>0</v>
      </c>
      <c r="L20" s="4">
        <f>SUMIF('Ход 2027'!$G$29:$G$38,$A20,'Ход 2027'!$I$29:$I$38)</f>
        <v>0</v>
      </c>
      <c r="M20" s="4">
        <f>SUMIF('Ход 2028'!$G$29:$G$38,$A20,'Ход 2028'!$I$29:$I$38)</f>
        <v>0</v>
      </c>
      <c r="N20" s="4">
        <f>SUMIF('Ход 2029'!$G$29:$G$38,$A20,'Ход 2029'!$I$29:$I$38)</f>
        <v>0</v>
      </c>
      <c r="O20" s="4">
        <f>SUMIF('Ход 2030'!$G$29:$G$38,$A20,'Ход 2030'!$I$29:$I$38)</f>
        <v>0</v>
      </c>
      <c r="P20" s="4">
        <f>SUMIF('Ход 2031'!$G$29:$G$38,$A20,'Ход 2031'!$I$29:$I$38)</f>
        <v>0</v>
      </c>
      <c r="Q20" s="4">
        <f>SUMIF('Ход 2032'!$G$29:$G$38,$A20,'Ход 2032'!$I$29:$I$38)</f>
        <v>0</v>
      </c>
      <c r="R20" s="4">
        <f>SUMIF('Ход 2033'!$G$29:$G$38,$A20,'Ход 2033'!$I$29:$I$38)</f>
        <v>0</v>
      </c>
      <c r="S20" s="4">
        <f>SUMIF('Ход 2034'!$G$29:$G$38,$A20,'Ход 2034'!$I$29:$I$38)</f>
        <v>0</v>
      </c>
      <c r="T20" s="4">
        <f>SUMIF('Ход 2035'!$G$29:$G$38,$A20,'Ход 2035'!$I$29:$I$38)</f>
        <v>0</v>
      </c>
      <c r="U20" s="4">
        <f>SUMIF('Ход 2036'!$G$29:$G$38,$A20,'Ход 2036'!$I$29:$I$38)</f>
        <v>0</v>
      </c>
      <c r="V20" s="4">
        <f>SUMIF('Ход 2037'!$G$29:$G$38,$A20,'Ход 2037'!$I$29:$I$38)</f>
        <v>0</v>
      </c>
      <c r="W20" s="4">
        <f>SUMIF('Ход 2038'!$G$29:$G$38,$A20,'Ход 2038'!$I$29:$I$38)</f>
        <v>0</v>
      </c>
      <c r="X20" s="4">
        <f>SUMIF('Ход 2039'!$G$29:$G$38,$A20,'Ход 2039'!$I$29:$I$38)</f>
        <v>0</v>
      </c>
      <c r="Y20" s="4">
        <f>SUMIF('Ход 2040'!$G$29:$G$38,$A20,'Ход 2040'!$I$29:$I$38)</f>
        <v>0</v>
      </c>
      <c r="Z20" s="5">
        <f t="shared" si="0"/>
        <v>0</v>
      </c>
      <c r="AA20" s="5">
        <f t="shared" si="1"/>
        <v>65</v>
      </c>
      <c r="AB20" s="3" t="str">
        <f t="shared" si="2"/>
        <v>ЗАКРЫТО</v>
      </c>
      <c r="AC20">
        <f>SUM($K20:K20)</f>
        <v>0</v>
      </c>
      <c r="AD20">
        <f>SUM($K20:L20)</f>
        <v>0</v>
      </c>
      <c r="AE20">
        <f>SUM($K20:M20)</f>
        <v>0</v>
      </c>
      <c r="AF20">
        <f>SUM($K20:N20)</f>
        <v>0</v>
      </c>
      <c r="AG20">
        <f>SUM($K20:O20)</f>
        <v>0</v>
      </c>
      <c r="AH20">
        <f>SUM($K20:P20)</f>
        <v>0</v>
      </c>
      <c r="AI20">
        <f>SUM($K20:Q20)</f>
        <v>0</v>
      </c>
      <c r="AJ20">
        <f>SUM($K20:R20)</f>
        <v>0</v>
      </c>
      <c r="AK20">
        <f>SUM($K20:S20)</f>
        <v>0</v>
      </c>
      <c r="AL20">
        <f>SUM($K20:T20)</f>
        <v>0</v>
      </c>
      <c r="AM20">
        <f>SUM($K20:U20)</f>
        <v>0</v>
      </c>
      <c r="AN20">
        <f>SUM($K20:V20)</f>
        <v>0</v>
      </c>
      <c r="AO20">
        <f>SUM($K20:W20)</f>
        <v>0</v>
      </c>
      <c r="AP20">
        <f>SUM($K20:X20)</f>
        <v>0</v>
      </c>
      <c r="AQ20">
        <f>SUM($K20:Y20)</f>
        <v>0</v>
      </c>
      <c r="AR20" t="str">
        <f t="shared" si="3"/>
        <v>ЗАКРЫТО</v>
      </c>
      <c r="AS20" t="str">
        <f t="shared" si="4"/>
        <v>ЗАКРЫТО</v>
      </c>
      <c r="AT20" t="str">
        <f t="shared" si="5"/>
        <v>ЗАКРЫТО</v>
      </c>
      <c r="AU20" t="str">
        <f t="shared" si="6"/>
        <v>ЗАКРЫТО</v>
      </c>
      <c r="AV20" t="str">
        <f t="shared" si="7"/>
        <v>ЗАКРЫТО</v>
      </c>
      <c r="AW20" t="str">
        <f t="shared" si="8"/>
        <v>ЗАКРЫТО</v>
      </c>
      <c r="AX20" t="str">
        <f t="shared" si="9"/>
        <v>ЗАКРЫТО</v>
      </c>
      <c r="AY20" t="str">
        <f t="shared" si="10"/>
        <v>ЗАКРЫТО</v>
      </c>
      <c r="AZ20" t="str">
        <f t="shared" si="11"/>
        <v>ЗАКРЫТО</v>
      </c>
      <c r="BA20" t="str">
        <f t="shared" si="12"/>
        <v>ЗАКРЫТО</v>
      </c>
      <c r="BB20" t="str">
        <f t="shared" si="13"/>
        <v>ЗАКРЫТО</v>
      </c>
      <c r="BC20" t="str">
        <f t="shared" si="14"/>
        <v>ЗАКРЫТО</v>
      </c>
      <c r="BD20" t="str">
        <f t="shared" si="15"/>
        <v>ЗАКРЫТО</v>
      </c>
      <c r="BE20" t="str">
        <f t="shared" si="16"/>
        <v>ЗАКРЫТО</v>
      </c>
      <c r="BF20" t="str">
        <f t="shared" si="17"/>
        <v>ЗАКРЫТО</v>
      </c>
    </row>
    <row r="21" spans="1:58" ht="27.6">
      <c r="A21" s="3" t="s">
        <v>111</v>
      </c>
      <c r="B21" s="3" t="s">
        <v>95</v>
      </c>
      <c r="C21" s="3" t="s">
        <v>85</v>
      </c>
      <c r="D21" s="3" t="s">
        <v>112</v>
      </c>
      <c r="E21" s="3">
        <v>100</v>
      </c>
      <c r="F21" s="3" t="s">
        <v>107</v>
      </c>
      <c r="G21" s="3"/>
      <c r="H21" s="3"/>
      <c r="I21" s="3" t="s">
        <v>113</v>
      </c>
      <c r="J21" s="3" t="s">
        <v>114</v>
      </c>
      <c r="K21" s="4">
        <f>SUMIF('Ход 2026'!$G$29:$G$38,$A21,'Ход 2026'!$I$29:$I$38)</f>
        <v>0</v>
      </c>
      <c r="L21" s="4">
        <f>SUMIF('Ход 2027'!$G$29:$G$38,$A21,'Ход 2027'!$I$29:$I$38)</f>
        <v>0</v>
      </c>
      <c r="M21" s="4">
        <f>SUMIF('Ход 2028'!$G$29:$G$38,$A21,'Ход 2028'!$I$29:$I$38)</f>
        <v>0</v>
      </c>
      <c r="N21" s="4">
        <f>SUMIF('Ход 2029'!$G$29:$G$38,$A21,'Ход 2029'!$I$29:$I$38)</f>
        <v>0</v>
      </c>
      <c r="O21" s="4">
        <f>SUMIF('Ход 2030'!$G$29:$G$38,$A21,'Ход 2030'!$I$29:$I$38)</f>
        <v>0</v>
      </c>
      <c r="P21" s="4">
        <f>SUMIF('Ход 2031'!$G$29:$G$38,$A21,'Ход 2031'!$I$29:$I$38)</f>
        <v>0</v>
      </c>
      <c r="Q21" s="4">
        <f>SUMIF('Ход 2032'!$G$29:$G$38,$A21,'Ход 2032'!$I$29:$I$38)</f>
        <v>0</v>
      </c>
      <c r="R21" s="4">
        <f>SUMIF('Ход 2033'!$G$29:$G$38,$A21,'Ход 2033'!$I$29:$I$38)</f>
        <v>0</v>
      </c>
      <c r="S21" s="4">
        <f>SUMIF('Ход 2034'!$G$29:$G$38,$A21,'Ход 2034'!$I$29:$I$38)</f>
        <v>0</v>
      </c>
      <c r="T21" s="4">
        <f>SUMIF('Ход 2035'!$G$29:$G$38,$A21,'Ход 2035'!$I$29:$I$38)</f>
        <v>0</v>
      </c>
      <c r="U21" s="4">
        <f>SUMIF('Ход 2036'!$G$29:$G$38,$A21,'Ход 2036'!$I$29:$I$38)</f>
        <v>0</v>
      </c>
      <c r="V21" s="4">
        <f>SUMIF('Ход 2037'!$G$29:$G$38,$A21,'Ход 2037'!$I$29:$I$38)</f>
        <v>0</v>
      </c>
      <c r="W21" s="4">
        <f>SUMIF('Ход 2038'!$G$29:$G$38,$A21,'Ход 2038'!$I$29:$I$38)</f>
        <v>0</v>
      </c>
      <c r="X21" s="4">
        <f>SUMIF('Ход 2039'!$G$29:$G$38,$A21,'Ход 2039'!$I$29:$I$38)</f>
        <v>0</v>
      </c>
      <c r="Y21" s="4">
        <f>SUMIF('Ход 2040'!$G$29:$G$38,$A21,'Ход 2040'!$I$29:$I$38)</f>
        <v>0</v>
      </c>
      <c r="Z21" s="5">
        <f t="shared" si="0"/>
        <v>0</v>
      </c>
      <c r="AA21" s="5">
        <f t="shared" si="1"/>
        <v>100</v>
      </c>
      <c r="AB21" s="3" t="str">
        <f t="shared" si="2"/>
        <v>ЗАКРЫТО</v>
      </c>
      <c r="AC21">
        <f>SUM($K21:K21)</f>
        <v>0</v>
      </c>
      <c r="AD21">
        <f>SUM($K21:L21)</f>
        <v>0</v>
      </c>
      <c r="AE21">
        <f>SUM($K21:M21)</f>
        <v>0</v>
      </c>
      <c r="AF21">
        <f>SUM($K21:N21)</f>
        <v>0</v>
      </c>
      <c r="AG21">
        <f>SUM($K21:O21)</f>
        <v>0</v>
      </c>
      <c r="AH21">
        <f>SUM($K21:P21)</f>
        <v>0</v>
      </c>
      <c r="AI21">
        <f>SUM($K21:Q21)</f>
        <v>0</v>
      </c>
      <c r="AJ21">
        <f>SUM($K21:R21)</f>
        <v>0</v>
      </c>
      <c r="AK21">
        <f>SUM($K21:S21)</f>
        <v>0</v>
      </c>
      <c r="AL21">
        <f>SUM($K21:T21)</f>
        <v>0</v>
      </c>
      <c r="AM21">
        <f>SUM($K21:U21)</f>
        <v>0</v>
      </c>
      <c r="AN21">
        <f>SUM($K21:V21)</f>
        <v>0</v>
      </c>
      <c r="AO21">
        <f>SUM($K21:W21)</f>
        <v>0</v>
      </c>
      <c r="AP21">
        <f>SUM($K21:X21)</f>
        <v>0</v>
      </c>
      <c r="AQ21">
        <f>SUM($K21:Y21)</f>
        <v>0</v>
      </c>
      <c r="AR21" t="str">
        <f t="shared" si="3"/>
        <v>ЗАКРЫТО</v>
      </c>
      <c r="AS21" t="str">
        <f t="shared" si="4"/>
        <v>ЗАКРЫТО</v>
      </c>
      <c r="AT21" t="str">
        <f t="shared" si="5"/>
        <v>ЗАКРЫТО</v>
      </c>
      <c r="AU21" t="str">
        <f t="shared" si="6"/>
        <v>ЗАКРЫТО</v>
      </c>
      <c r="AV21" t="str">
        <f t="shared" si="7"/>
        <v>ЗАКРЫТО</v>
      </c>
      <c r="AW21" t="str">
        <f t="shared" si="8"/>
        <v>ЗАКРЫТО</v>
      </c>
      <c r="AX21" t="str">
        <f t="shared" si="9"/>
        <v>ЗАКРЫТО</v>
      </c>
      <c r="AY21" t="str">
        <f t="shared" si="10"/>
        <v>ЗАКРЫТО</v>
      </c>
      <c r="AZ21" t="str">
        <f t="shared" si="11"/>
        <v>ЗАКРЫТО</v>
      </c>
      <c r="BA21" t="str">
        <f t="shared" si="12"/>
        <v>ЗАКРЫТО</v>
      </c>
      <c r="BB21" t="str">
        <f t="shared" si="13"/>
        <v>ЗАКРЫТО</v>
      </c>
      <c r="BC21" t="str">
        <f t="shared" si="14"/>
        <v>ЗАКРЫТО</v>
      </c>
      <c r="BD21" t="str">
        <f t="shared" si="15"/>
        <v>ЗАКРЫТО</v>
      </c>
      <c r="BE21" t="str">
        <f t="shared" si="16"/>
        <v>ЗАКРЫТО</v>
      </c>
      <c r="BF21" t="str">
        <f t="shared" si="17"/>
        <v>ЗАКРЫТО</v>
      </c>
    </row>
    <row r="22" spans="1:58" ht="41.4">
      <c r="A22" s="3" t="s">
        <v>115</v>
      </c>
      <c r="B22" s="3" t="s">
        <v>95</v>
      </c>
      <c r="C22" s="3" t="s">
        <v>90</v>
      </c>
      <c r="D22" s="3" t="s">
        <v>116</v>
      </c>
      <c r="E22" s="3">
        <v>155</v>
      </c>
      <c r="F22" s="3" t="s">
        <v>111</v>
      </c>
      <c r="G22" s="3"/>
      <c r="H22" s="3"/>
      <c r="I22" s="3" t="s">
        <v>117</v>
      </c>
      <c r="J22" s="3" t="s">
        <v>118</v>
      </c>
      <c r="K22" s="4">
        <f>SUMIF('Ход 2026'!$G$29:$G$38,$A22,'Ход 2026'!$I$29:$I$38)</f>
        <v>0</v>
      </c>
      <c r="L22" s="4">
        <f>SUMIF('Ход 2027'!$G$29:$G$38,$A22,'Ход 2027'!$I$29:$I$38)</f>
        <v>0</v>
      </c>
      <c r="M22" s="4">
        <f>SUMIF('Ход 2028'!$G$29:$G$38,$A22,'Ход 2028'!$I$29:$I$38)</f>
        <v>0</v>
      </c>
      <c r="N22" s="4">
        <f>SUMIF('Ход 2029'!$G$29:$G$38,$A22,'Ход 2029'!$I$29:$I$38)</f>
        <v>0</v>
      </c>
      <c r="O22" s="4">
        <f>SUMIF('Ход 2030'!$G$29:$G$38,$A22,'Ход 2030'!$I$29:$I$38)</f>
        <v>0</v>
      </c>
      <c r="P22" s="4">
        <f>SUMIF('Ход 2031'!$G$29:$G$38,$A22,'Ход 2031'!$I$29:$I$38)</f>
        <v>0</v>
      </c>
      <c r="Q22" s="4">
        <f>SUMIF('Ход 2032'!$G$29:$G$38,$A22,'Ход 2032'!$I$29:$I$38)</f>
        <v>0</v>
      </c>
      <c r="R22" s="4">
        <f>SUMIF('Ход 2033'!$G$29:$G$38,$A22,'Ход 2033'!$I$29:$I$38)</f>
        <v>0</v>
      </c>
      <c r="S22" s="4">
        <f>SUMIF('Ход 2034'!$G$29:$G$38,$A22,'Ход 2034'!$I$29:$I$38)</f>
        <v>0</v>
      </c>
      <c r="T22" s="4">
        <f>SUMIF('Ход 2035'!$G$29:$G$38,$A22,'Ход 2035'!$I$29:$I$38)</f>
        <v>0</v>
      </c>
      <c r="U22" s="4">
        <f>SUMIF('Ход 2036'!$G$29:$G$38,$A22,'Ход 2036'!$I$29:$I$38)</f>
        <v>0</v>
      </c>
      <c r="V22" s="4">
        <f>SUMIF('Ход 2037'!$G$29:$G$38,$A22,'Ход 2037'!$I$29:$I$38)</f>
        <v>0</v>
      </c>
      <c r="W22" s="4">
        <f>SUMIF('Ход 2038'!$G$29:$G$38,$A22,'Ход 2038'!$I$29:$I$38)</f>
        <v>0</v>
      </c>
      <c r="X22" s="4">
        <f>SUMIF('Ход 2039'!$G$29:$G$38,$A22,'Ход 2039'!$I$29:$I$38)</f>
        <v>0</v>
      </c>
      <c r="Y22" s="4">
        <f>SUMIF('Ход 2040'!$G$29:$G$38,$A22,'Ход 2040'!$I$29:$I$38)</f>
        <v>0</v>
      </c>
      <c r="Z22" s="5">
        <f t="shared" si="0"/>
        <v>0</v>
      </c>
      <c r="AA22" s="5">
        <f t="shared" si="1"/>
        <v>155</v>
      </c>
      <c r="AB22" s="3" t="str">
        <f t="shared" si="2"/>
        <v>ЗАКРЫТО</v>
      </c>
      <c r="AC22">
        <f>SUM($K22:K22)</f>
        <v>0</v>
      </c>
      <c r="AD22">
        <f>SUM($K22:L22)</f>
        <v>0</v>
      </c>
      <c r="AE22">
        <f>SUM($K22:M22)</f>
        <v>0</v>
      </c>
      <c r="AF22">
        <f>SUM($K22:N22)</f>
        <v>0</v>
      </c>
      <c r="AG22">
        <f>SUM($K22:O22)</f>
        <v>0</v>
      </c>
      <c r="AH22">
        <f>SUM($K22:P22)</f>
        <v>0</v>
      </c>
      <c r="AI22">
        <f>SUM($K22:Q22)</f>
        <v>0</v>
      </c>
      <c r="AJ22">
        <f>SUM($K22:R22)</f>
        <v>0</v>
      </c>
      <c r="AK22">
        <f>SUM($K22:S22)</f>
        <v>0</v>
      </c>
      <c r="AL22">
        <f>SUM($K22:T22)</f>
        <v>0</v>
      </c>
      <c r="AM22">
        <f>SUM($K22:U22)</f>
        <v>0</v>
      </c>
      <c r="AN22">
        <f>SUM($K22:V22)</f>
        <v>0</v>
      </c>
      <c r="AO22">
        <f>SUM($K22:W22)</f>
        <v>0</v>
      </c>
      <c r="AP22">
        <f>SUM($K22:X22)</f>
        <v>0</v>
      </c>
      <c r="AQ22">
        <f>SUM($K22:Y22)</f>
        <v>0</v>
      </c>
      <c r="AR22" t="str">
        <f t="shared" si="3"/>
        <v>ЗАКРЫТО</v>
      </c>
      <c r="AS22" t="str">
        <f t="shared" si="4"/>
        <v>ЗАКРЫТО</v>
      </c>
      <c r="AT22" t="str">
        <f t="shared" si="5"/>
        <v>ЗАКРЫТО</v>
      </c>
      <c r="AU22" t="str">
        <f t="shared" si="6"/>
        <v>ЗАКРЫТО</v>
      </c>
      <c r="AV22" t="str">
        <f t="shared" si="7"/>
        <v>ЗАКРЫТО</v>
      </c>
      <c r="AW22" t="str">
        <f t="shared" si="8"/>
        <v>ЗАКРЫТО</v>
      </c>
      <c r="AX22" t="str">
        <f t="shared" si="9"/>
        <v>ЗАКРЫТО</v>
      </c>
      <c r="AY22" t="str">
        <f t="shared" si="10"/>
        <v>ЗАКРЫТО</v>
      </c>
      <c r="AZ22" t="str">
        <f t="shared" si="11"/>
        <v>ЗАКРЫТО</v>
      </c>
      <c r="BA22" t="str">
        <f t="shared" si="12"/>
        <v>ЗАКРЫТО</v>
      </c>
      <c r="BB22" t="str">
        <f t="shared" si="13"/>
        <v>ЗАКРЫТО</v>
      </c>
      <c r="BC22" t="str">
        <f t="shared" si="14"/>
        <v>ЗАКРЫТО</v>
      </c>
      <c r="BD22" t="str">
        <f t="shared" si="15"/>
        <v>ЗАКРЫТО</v>
      </c>
      <c r="BE22" t="str">
        <f t="shared" si="16"/>
        <v>ЗАКРЫТО</v>
      </c>
      <c r="BF22" t="str">
        <f t="shared" si="17"/>
        <v>ЗАКРЫТО</v>
      </c>
    </row>
    <row r="23" spans="1:58" ht="27.6">
      <c r="A23" s="3" t="s">
        <v>119</v>
      </c>
      <c r="B23" s="3" t="s">
        <v>120</v>
      </c>
      <c r="C23" s="3" t="s">
        <v>66</v>
      </c>
      <c r="D23" s="3" t="s">
        <v>121</v>
      </c>
      <c r="E23" s="3">
        <v>20</v>
      </c>
      <c r="F23" s="3"/>
      <c r="G23" s="3"/>
      <c r="H23" s="3"/>
      <c r="I23" s="3" t="s">
        <v>122</v>
      </c>
      <c r="J23" s="3" t="s">
        <v>123</v>
      </c>
      <c r="K23" s="4">
        <f>SUMIF('Ход 2026'!$G$29:$G$38,$A23,'Ход 2026'!$I$29:$I$38)</f>
        <v>0</v>
      </c>
      <c r="L23" s="4">
        <f>SUMIF('Ход 2027'!$G$29:$G$38,$A23,'Ход 2027'!$I$29:$I$38)</f>
        <v>0</v>
      </c>
      <c r="M23" s="4">
        <f>SUMIF('Ход 2028'!$G$29:$G$38,$A23,'Ход 2028'!$I$29:$I$38)</f>
        <v>0</v>
      </c>
      <c r="N23" s="4">
        <f>SUMIF('Ход 2029'!$G$29:$G$38,$A23,'Ход 2029'!$I$29:$I$38)</f>
        <v>0</v>
      </c>
      <c r="O23" s="4">
        <f>SUMIF('Ход 2030'!$G$29:$G$38,$A23,'Ход 2030'!$I$29:$I$38)</f>
        <v>0</v>
      </c>
      <c r="P23" s="4">
        <f>SUMIF('Ход 2031'!$G$29:$G$38,$A23,'Ход 2031'!$I$29:$I$38)</f>
        <v>0</v>
      </c>
      <c r="Q23" s="4">
        <f>SUMIF('Ход 2032'!$G$29:$G$38,$A23,'Ход 2032'!$I$29:$I$38)</f>
        <v>0</v>
      </c>
      <c r="R23" s="4">
        <f>SUMIF('Ход 2033'!$G$29:$G$38,$A23,'Ход 2033'!$I$29:$I$38)</f>
        <v>0</v>
      </c>
      <c r="S23" s="4">
        <f>SUMIF('Ход 2034'!$G$29:$G$38,$A23,'Ход 2034'!$I$29:$I$38)</f>
        <v>0</v>
      </c>
      <c r="T23" s="4">
        <f>SUMIF('Ход 2035'!$G$29:$G$38,$A23,'Ход 2035'!$I$29:$I$38)</f>
        <v>0</v>
      </c>
      <c r="U23" s="4">
        <f>SUMIF('Ход 2036'!$G$29:$G$38,$A23,'Ход 2036'!$I$29:$I$38)</f>
        <v>0</v>
      </c>
      <c r="V23" s="4">
        <f>SUMIF('Ход 2037'!$G$29:$G$38,$A23,'Ход 2037'!$I$29:$I$38)</f>
        <v>0</v>
      </c>
      <c r="W23" s="4">
        <f>SUMIF('Ход 2038'!$G$29:$G$38,$A23,'Ход 2038'!$I$29:$I$38)</f>
        <v>0</v>
      </c>
      <c r="X23" s="4">
        <f>SUMIF('Ход 2039'!$G$29:$G$38,$A23,'Ход 2039'!$I$29:$I$38)</f>
        <v>0</v>
      </c>
      <c r="Y23" s="4">
        <f>SUMIF('Ход 2040'!$G$29:$G$38,$A23,'Ход 2040'!$I$29:$I$38)</f>
        <v>0</v>
      </c>
      <c r="Z23" s="5">
        <f t="shared" si="0"/>
        <v>0</v>
      </c>
      <c r="AA23" s="5">
        <f t="shared" si="1"/>
        <v>20</v>
      </c>
      <c r="AB23" s="3" t="str">
        <f t="shared" si="2"/>
        <v>ОТКРЫТО</v>
      </c>
      <c r="AC23">
        <f>SUM($K23:K23)</f>
        <v>0</v>
      </c>
      <c r="AD23">
        <f>SUM($K23:L23)</f>
        <v>0</v>
      </c>
      <c r="AE23">
        <f>SUM($K23:M23)</f>
        <v>0</v>
      </c>
      <c r="AF23">
        <f>SUM($K23:N23)</f>
        <v>0</v>
      </c>
      <c r="AG23">
        <f>SUM($K23:O23)</f>
        <v>0</v>
      </c>
      <c r="AH23">
        <f>SUM($K23:P23)</f>
        <v>0</v>
      </c>
      <c r="AI23">
        <f>SUM($K23:Q23)</f>
        <v>0</v>
      </c>
      <c r="AJ23">
        <f>SUM($K23:R23)</f>
        <v>0</v>
      </c>
      <c r="AK23">
        <f>SUM($K23:S23)</f>
        <v>0</v>
      </c>
      <c r="AL23">
        <f>SUM($K23:T23)</f>
        <v>0</v>
      </c>
      <c r="AM23">
        <f>SUM($K23:U23)</f>
        <v>0</v>
      </c>
      <c r="AN23">
        <f>SUM($K23:V23)</f>
        <v>0</v>
      </c>
      <c r="AO23">
        <f>SUM($K23:W23)</f>
        <v>0</v>
      </c>
      <c r="AP23">
        <f>SUM($K23:X23)</f>
        <v>0</v>
      </c>
      <c r="AQ23">
        <f>SUM($K23:Y23)</f>
        <v>0</v>
      </c>
      <c r="AR23" t="str">
        <f t="shared" si="3"/>
        <v>ОТКРЫТО</v>
      </c>
      <c r="AS23" t="str">
        <f t="shared" si="4"/>
        <v>ОТКРЫТО</v>
      </c>
      <c r="AT23" t="str">
        <f t="shared" si="5"/>
        <v>ОТКРЫТО</v>
      </c>
      <c r="AU23" t="str">
        <f t="shared" si="6"/>
        <v>ОТКРЫТО</v>
      </c>
      <c r="AV23" t="str">
        <f t="shared" si="7"/>
        <v>ОТКРЫТО</v>
      </c>
      <c r="AW23" t="str">
        <f t="shared" si="8"/>
        <v>ОТКРЫТО</v>
      </c>
      <c r="AX23" t="str">
        <f t="shared" si="9"/>
        <v>ОТКРЫТО</v>
      </c>
      <c r="AY23" t="str">
        <f t="shared" si="10"/>
        <v>ОТКРЫТО</v>
      </c>
      <c r="AZ23" t="str">
        <f t="shared" si="11"/>
        <v>ОТКРЫТО</v>
      </c>
      <c r="BA23" t="str">
        <f t="shared" si="12"/>
        <v>ОТКРЫТО</v>
      </c>
      <c r="BB23" t="str">
        <f t="shared" si="13"/>
        <v>ОТКРЫТО</v>
      </c>
      <c r="BC23" t="str">
        <f t="shared" si="14"/>
        <v>ОТКРЫТО</v>
      </c>
      <c r="BD23" t="str">
        <f t="shared" si="15"/>
        <v>ОТКРЫТО</v>
      </c>
      <c r="BE23" t="str">
        <f t="shared" si="16"/>
        <v>ОТКРЫТО</v>
      </c>
      <c r="BF23" t="str">
        <f t="shared" si="17"/>
        <v>ОТКРЫТО</v>
      </c>
    </row>
    <row r="24" spans="1:58" ht="27.6">
      <c r="A24" s="3" t="s">
        <v>124</v>
      </c>
      <c r="B24" s="3" t="s">
        <v>120</v>
      </c>
      <c r="C24" s="3" t="s">
        <v>71</v>
      </c>
      <c r="D24" s="3" t="s">
        <v>125</v>
      </c>
      <c r="E24" s="3">
        <v>35</v>
      </c>
      <c r="F24" s="3" t="s">
        <v>119</v>
      </c>
      <c r="G24" s="3"/>
      <c r="H24" s="3"/>
      <c r="I24" s="3" t="s">
        <v>126</v>
      </c>
      <c r="J24" s="3" t="s">
        <v>127</v>
      </c>
      <c r="K24" s="4">
        <f>SUMIF('Ход 2026'!$G$29:$G$38,$A24,'Ход 2026'!$I$29:$I$38)</f>
        <v>0</v>
      </c>
      <c r="L24" s="4">
        <f>SUMIF('Ход 2027'!$G$29:$G$38,$A24,'Ход 2027'!$I$29:$I$38)</f>
        <v>0</v>
      </c>
      <c r="M24" s="4">
        <f>SUMIF('Ход 2028'!$G$29:$G$38,$A24,'Ход 2028'!$I$29:$I$38)</f>
        <v>0</v>
      </c>
      <c r="N24" s="4">
        <f>SUMIF('Ход 2029'!$G$29:$G$38,$A24,'Ход 2029'!$I$29:$I$38)</f>
        <v>0</v>
      </c>
      <c r="O24" s="4">
        <f>SUMIF('Ход 2030'!$G$29:$G$38,$A24,'Ход 2030'!$I$29:$I$38)</f>
        <v>0</v>
      </c>
      <c r="P24" s="4">
        <f>SUMIF('Ход 2031'!$G$29:$G$38,$A24,'Ход 2031'!$I$29:$I$38)</f>
        <v>0</v>
      </c>
      <c r="Q24" s="4">
        <f>SUMIF('Ход 2032'!$G$29:$G$38,$A24,'Ход 2032'!$I$29:$I$38)</f>
        <v>0</v>
      </c>
      <c r="R24" s="4">
        <f>SUMIF('Ход 2033'!$G$29:$G$38,$A24,'Ход 2033'!$I$29:$I$38)</f>
        <v>0</v>
      </c>
      <c r="S24" s="4">
        <f>SUMIF('Ход 2034'!$G$29:$G$38,$A24,'Ход 2034'!$I$29:$I$38)</f>
        <v>0</v>
      </c>
      <c r="T24" s="4">
        <f>SUMIF('Ход 2035'!$G$29:$G$38,$A24,'Ход 2035'!$I$29:$I$38)</f>
        <v>0</v>
      </c>
      <c r="U24" s="4">
        <f>SUMIF('Ход 2036'!$G$29:$G$38,$A24,'Ход 2036'!$I$29:$I$38)</f>
        <v>0</v>
      </c>
      <c r="V24" s="4">
        <f>SUMIF('Ход 2037'!$G$29:$G$38,$A24,'Ход 2037'!$I$29:$I$38)</f>
        <v>0</v>
      </c>
      <c r="W24" s="4">
        <f>SUMIF('Ход 2038'!$G$29:$G$38,$A24,'Ход 2038'!$I$29:$I$38)</f>
        <v>0</v>
      </c>
      <c r="X24" s="4">
        <f>SUMIF('Ход 2039'!$G$29:$G$38,$A24,'Ход 2039'!$I$29:$I$38)</f>
        <v>0</v>
      </c>
      <c r="Y24" s="4">
        <f>SUMIF('Ход 2040'!$G$29:$G$38,$A24,'Ход 2040'!$I$29:$I$38)</f>
        <v>0</v>
      </c>
      <c r="Z24" s="5">
        <f t="shared" si="0"/>
        <v>0</v>
      </c>
      <c r="AA24" s="5">
        <f t="shared" si="1"/>
        <v>35</v>
      </c>
      <c r="AB24" s="3" t="str">
        <f t="shared" si="2"/>
        <v>ЗАКРЫТО</v>
      </c>
      <c r="AC24">
        <f>SUM($K24:K24)</f>
        <v>0</v>
      </c>
      <c r="AD24">
        <f>SUM($K24:L24)</f>
        <v>0</v>
      </c>
      <c r="AE24">
        <f>SUM($K24:M24)</f>
        <v>0</v>
      </c>
      <c r="AF24">
        <f>SUM($K24:N24)</f>
        <v>0</v>
      </c>
      <c r="AG24">
        <f>SUM($K24:O24)</f>
        <v>0</v>
      </c>
      <c r="AH24">
        <f>SUM($K24:P24)</f>
        <v>0</v>
      </c>
      <c r="AI24">
        <f>SUM($K24:Q24)</f>
        <v>0</v>
      </c>
      <c r="AJ24">
        <f>SUM($K24:R24)</f>
        <v>0</v>
      </c>
      <c r="AK24">
        <f>SUM($K24:S24)</f>
        <v>0</v>
      </c>
      <c r="AL24">
        <f>SUM($K24:T24)</f>
        <v>0</v>
      </c>
      <c r="AM24">
        <f>SUM($K24:U24)</f>
        <v>0</v>
      </c>
      <c r="AN24">
        <f>SUM($K24:V24)</f>
        <v>0</v>
      </c>
      <c r="AO24">
        <f>SUM($K24:W24)</f>
        <v>0</v>
      </c>
      <c r="AP24">
        <f>SUM($K24:X24)</f>
        <v>0</v>
      </c>
      <c r="AQ24">
        <f>SUM($K24:Y24)</f>
        <v>0</v>
      </c>
      <c r="AR24" t="str">
        <f t="shared" si="3"/>
        <v>ЗАКРЫТО</v>
      </c>
      <c r="AS24" t="str">
        <f t="shared" si="4"/>
        <v>ЗАКРЫТО</v>
      </c>
      <c r="AT24" t="str">
        <f t="shared" si="5"/>
        <v>ЗАКРЫТО</v>
      </c>
      <c r="AU24" t="str">
        <f t="shared" si="6"/>
        <v>ЗАКРЫТО</v>
      </c>
      <c r="AV24" t="str">
        <f t="shared" si="7"/>
        <v>ЗАКРЫТО</v>
      </c>
      <c r="AW24" t="str">
        <f t="shared" si="8"/>
        <v>ЗАКРЫТО</v>
      </c>
      <c r="AX24" t="str">
        <f t="shared" si="9"/>
        <v>ЗАКРЫТО</v>
      </c>
      <c r="AY24" t="str">
        <f t="shared" si="10"/>
        <v>ЗАКРЫТО</v>
      </c>
      <c r="AZ24" t="str">
        <f t="shared" si="11"/>
        <v>ЗАКРЫТО</v>
      </c>
      <c r="BA24" t="str">
        <f t="shared" si="12"/>
        <v>ЗАКРЫТО</v>
      </c>
      <c r="BB24" t="str">
        <f t="shared" si="13"/>
        <v>ЗАКРЫТО</v>
      </c>
      <c r="BC24" t="str">
        <f t="shared" si="14"/>
        <v>ЗАКРЫТО</v>
      </c>
      <c r="BD24" t="str">
        <f t="shared" si="15"/>
        <v>ЗАКРЫТО</v>
      </c>
      <c r="BE24" t="str">
        <f t="shared" si="16"/>
        <v>ЗАКРЫТО</v>
      </c>
      <c r="BF24" t="str">
        <f t="shared" si="17"/>
        <v>ЗАКРЫТО</v>
      </c>
    </row>
    <row r="25" spans="1:58" ht="27.6">
      <c r="A25" s="3" t="s">
        <v>128</v>
      </c>
      <c r="B25" s="3" t="s">
        <v>120</v>
      </c>
      <c r="C25" s="3" t="s">
        <v>71</v>
      </c>
      <c r="D25" s="3" t="s">
        <v>129</v>
      </c>
      <c r="E25" s="3">
        <v>40</v>
      </c>
      <c r="F25" s="3" t="s">
        <v>119</v>
      </c>
      <c r="G25" s="3"/>
      <c r="H25" s="3"/>
      <c r="I25" s="3" t="s">
        <v>130</v>
      </c>
      <c r="J25" s="3" t="s">
        <v>131</v>
      </c>
      <c r="K25" s="4">
        <f>SUMIF('Ход 2026'!$G$29:$G$38,$A25,'Ход 2026'!$I$29:$I$38)</f>
        <v>0</v>
      </c>
      <c r="L25" s="4">
        <f>SUMIF('Ход 2027'!$G$29:$G$38,$A25,'Ход 2027'!$I$29:$I$38)</f>
        <v>0</v>
      </c>
      <c r="M25" s="4">
        <f>SUMIF('Ход 2028'!$G$29:$G$38,$A25,'Ход 2028'!$I$29:$I$38)</f>
        <v>0</v>
      </c>
      <c r="N25" s="4">
        <f>SUMIF('Ход 2029'!$G$29:$G$38,$A25,'Ход 2029'!$I$29:$I$38)</f>
        <v>0</v>
      </c>
      <c r="O25" s="4">
        <f>SUMIF('Ход 2030'!$G$29:$G$38,$A25,'Ход 2030'!$I$29:$I$38)</f>
        <v>0</v>
      </c>
      <c r="P25" s="4">
        <f>SUMIF('Ход 2031'!$G$29:$G$38,$A25,'Ход 2031'!$I$29:$I$38)</f>
        <v>0</v>
      </c>
      <c r="Q25" s="4">
        <f>SUMIF('Ход 2032'!$G$29:$G$38,$A25,'Ход 2032'!$I$29:$I$38)</f>
        <v>0</v>
      </c>
      <c r="R25" s="4">
        <f>SUMIF('Ход 2033'!$G$29:$G$38,$A25,'Ход 2033'!$I$29:$I$38)</f>
        <v>0</v>
      </c>
      <c r="S25" s="4">
        <f>SUMIF('Ход 2034'!$G$29:$G$38,$A25,'Ход 2034'!$I$29:$I$38)</f>
        <v>0</v>
      </c>
      <c r="T25" s="4">
        <f>SUMIF('Ход 2035'!$G$29:$G$38,$A25,'Ход 2035'!$I$29:$I$38)</f>
        <v>0</v>
      </c>
      <c r="U25" s="4">
        <f>SUMIF('Ход 2036'!$G$29:$G$38,$A25,'Ход 2036'!$I$29:$I$38)</f>
        <v>0</v>
      </c>
      <c r="V25" s="4">
        <f>SUMIF('Ход 2037'!$G$29:$G$38,$A25,'Ход 2037'!$I$29:$I$38)</f>
        <v>0</v>
      </c>
      <c r="W25" s="4">
        <f>SUMIF('Ход 2038'!$G$29:$G$38,$A25,'Ход 2038'!$I$29:$I$38)</f>
        <v>0</v>
      </c>
      <c r="X25" s="4">
        <f>SUMIF('Ход 2039'!$G$29:$G$38,$A25,'Ход 2039'!$I$29:$I$38)</f>
        <v>0</v>
      </c>
      <c r="Y25" s="4">
        <f>SUMIF('Ход 2040'!$G$29:$G$38,$A25,'Ход 2040'!$I$29:$I$38)</f>
        <v>0</v>
      </c>
      <c r="Z25" s="5">
        <f t="shared" si="0"/>
        <v>0</v>
      </c>
      <c r="AA25" s="5">
        <f t="shared" si="1"/>
        <v>40</v>
      </c>
      <c r="AB25" s="3" t="str">
        <f t="shared" si="2"/>
        <v>ЗАКРЫТО</v>
      </c>
      <c r="AC25">
        <f>SUM($K25:K25)</f>
        <v>0</v>
      </c>
      <c r="AD25">
        <f>SUM($K25:L25)</f>
        <v>0</v>
      </c>
      <c r="AE25">
        <f>SUM($K25:M25)</f>
        <v>0</v>
      </c>
      <c r="AF25">
        <f>SUM($K25:N25)</f>
        <v>0</v>
      </c>
      <c r="AG25">
        <f>SUM($K25:O25)</f>
        <v>0</v>
      </c>
      <c r="AH25">
        <f>SUM($K25:P25)</f>
        <v>0</v>
      </c>
      <c r="AI25">
        <f>SUM($K25:Q25)</f>
        <v>0</v>
      </c>
      <c r="AJ25">
        <f>SUM($K25:R25)</f>
        <v>0</v>
      </c>
      <c r="AK25">
        <f>SUM($K25:S25)</f>
        <v>0</v>
      </c>
      <c r="AL25">
        <f>SUM($K25:T25)</f>
        <v>0</v>
      </c>
      <c r="AM25">
        <f>SUM($K25:U25)</f>
        <v>0</v>
      </c>
      <c r="AN25">
        <f>SUM($K25:V25)</f>
        <v>0</v>
      </c>
      <c r="AO25">
        <f>SUM($K25:W25)</f>
        <v>0</v>
      </c>
      <c r="AP25">
        <f>SUM($K25:X25)</f>
        <v>0</v>
      </c>
      <c r="AQ25">
        <f>SUM($K25:Y25)</f>
        <v>0</v>
      </c>
      <c r="AR25" t="str">
        <f t="shared" si="3"/>
        <v>ЗАКРЫТО</v>
      </c>
      <c r="AS25" t="str">
        <f t="shared" si="4"/>
        <v>ЗАКРЫТО</v>
      </c>
      <c r="AT25" t="str">
        <f t="shared" si="5"/>
        <v>ЗАКРЫТО</v>
      </c>
      <c r="AU25" t="str">
        <f t="shared" si="6"/>
        <v>ЗАКРЫТО</v>
      </c>
      <c r="AV25" t="str">
        <f t="shared" si="7"/>
        <v>ЗАКРЫТО</v>
      </c>
      <c r="AW25" t="str">
        <f t="shared" si="8"/>
        <v>ЗАКРЫТО</v>
      </c>
      <c r="AX25" t="str">
        <f t="shared" si="9"/>
        <v>ЗАКРЫТО</v>
      </c>
      <c r="AY25" t="str">
        <f t="shared" si="10"/>
        <v>ЗАКРЫТО</v>
      </c>
      <c r="AZ25" t="str">
        <f t="shared" si="11"/>
        <v>ЗАКРЫТО</v>
      </c>
      <c r="BA25" t="str">
        <f t="shared" si="12"/>
        <v>ЗАКРЫТО</v>
      </c>
      <c r="BB25" t="str">
        <f t="shared" si="13"/>
        <v>ЗАКРЫТО</v>
      </c>
      <c r="BC25" t="str">
        <f t="shared" si="14"/>
        <v>ЗАКРЫТО</v>
      </c>
      <c r="BD25" t="str">
        <f t="shared" si="15"/>
        <v>ЗАКРЫТО</v>
      </c>
      <c r="BE25" t="str">
        <f t="shared" si="16"/>
        <v>ЗАКРЫТО</v>
      </c>
      <c r="BF25" t="str">
        <f t="shared" si="17"/>
        <v>ЗАКРЫТО</v>
      </c>
    </row>
    <row r="26" spans="1:58" ht="27.6">
      <c r="A26" s="3" t="s">
        <v>132</v>
      </c>
      <c r="B26" s="3" t="s">
        <v>120</v>
      </c>
      <c r="C26" s="3" t="s">
        <v>80</v>
      </c>
      <c r="D26" s="3" t="s">
        <v>133</v>
      </c>
      <c r="E26" s="3">
        <v>60</v>
      </c>
      <c r="F26" s="3" t="s">
        <v>124</v>
      </c>
      <c r="G26" s="3" t="s">
        <v>128</v>
      </c>
      <c r="H26" s="3"/>
      <c r="I26" s="3" t="s">
        <v>134</v>
      </c>
      <c r="J26" s="3" t="s">
        <v>135</v>
      </c>
      <c r="K26" s="4">
        <f>SUMIF('Ход 2026'!$G$29:$G$38,$A26,'Ход 2026'!$I$29:$I$38)</f>
        <v>0</v>
      </c>
      <c r="L26" s="4">
        <f>SUMIF('Ход 2027'!$G$29:$G$38,$A26,'Ход 2027'!$I$29:$I$38)</f>
        <v>0</v>
      </c>
      <c r="M26" s="4">
        <f>SUMIF('Ход 2028'!$G$29:$G$38,$A26,'Ход 2028'!$I$29:$I$38)</f>
        <v>0</v>
      </c>
      <c r="N26" s="4">
        <f>SUMIF('Ход 2029'!$G$29:$G$38,$A26,'Ход 2029'!$I$29:$I$38)</f>
        <v>0</v>
      </c>
      <c r="O26" s="4">
        <f>SUMIF('Ход 2030'!$G$29:$G$38,$A26,'Ход 2030'!$I$29:$I$38)</f>
        <v>0</v>
      </c>
      <c r="P26" s="4">
        <f>SUMIF('Ход 2031'!$G$29:$G$38,$A26,'Ход 2031'!$I$29:$I$38)</f>
        <v>0</v>
      </c>
      <c r="Q26" s="4">
        <f>SUMIF('Ход 2032'!$G$29:$G$38,$A26,'Ход 2032'!$I$29:$I$38)</f>
        <v>0</v>
      </c>
      <c r="R26" s="4">
        <f>SUMIF('Ход 2033'!$G$29:$G$38,$A26,'Ход 2033'!$I$29:$I$38)</f>
        <v>0</v>
      </c>
      <c r="S26" s="4">
        <f>SUMIF('Ход 2034'!$G$29:$G$38,$A26,'Ход 2034'!$I$29:$I$38)</f>
        <v>0</v>
      </c>
      <c r="T26" s="4">
        <f>SUMIF('Ход 2035'!$G$29:$G$38,$A26,'Ход 2035'!$I$29:$I$38)</f>
        <v>0</v>
      </c>
      <c r="U26" s="4">
        <f>SUMIF('Ход 2036'!$G$29:$G$38,$A26,'Ход 2036'!$I$29:$I$38)</f>
        <v>0</v>
      </c>
      <c r="V26" s="4">
        <f>SUMIF('Ход 2037'!$G$29:$G$38,$A26,'Ход 2037'!$I$29:$I$38)</f>
        <v>0</v>
      </c>
      <c r="W26" s="4">
        <f>SUMIF('Ход 2038'!$G$29:$G$38,$A26,'Ход 2038'!$I$29:$I$38)</f>
        <v>0</v>
      </c>
      <c r="X26" s="4">
        <f>SUMIF('Ход 2039'!$G$29:$G$38,$A26,'Ход 2039'!$I$29:$I$38)</f>
        <v>0</v>
      </c>
      <c r="Y26" s="4">
        <f>SUMIF('Ход 2040'!$G$29:$G$38,$A26,'Ход 2040'!$I$29:$I$38)</f>
        <v>0</v>
      </c>
      <c r="Z26" s="5">
        <f t="shared" si="0"/>
        <v>0</v>
      </c>
      <c r="AA26" s="5">
        <f t="shared" si="1"/>
        <v>60</v>
      </c>
      <c r="AB26" s="3" t="str">
        <f t="shared" si="2"/>
        <v>ЗАКРЫТО</v>
      </c>
      <c r="AC26">
        <f>SUM($K26:K26)</f>
        <v>0</v>
      </c>
      <c r="AD26">
        <f>SUM($K26:L26)</f>
        <v>0</v>
      </c>
      <c r="AE26">
        <f>SUM($K26:M26)</f>
        <v>0</v>
      </c>
      <c r="AF26">
        <f>SUM($K26:N26)</f>
        <v>0</v>
      </c>
      <c r="AG26">
        <f>SUM($K26:O26)</f>
        <v>0</v>
      </c>
      <c r="AH26">
        <f>SUM($K26:P26)</f>
        <v>0</v>
      </c>
      <c r="AI26">
        <f>SUM($K26:Q26)</f>
        <v>0</v>
      </c>
      <c r="AJ26">
        <f>SUM($K26:R26)</f>
        <v>0</v>
      </c>
      <c r="AK26">
        <f>SUM($K26:S26)</f>
        <v>0</v>
      </c>
      <c r="AL26">
        <f>SUM($K26:T26)</f>
        <v>0</v>
      </c>
      <c r="AM26">
        <f>SUM($K26:U26)</f>
        <v>0</v>
      </c>
      <c r="AN26">
        <f>SUM($K26:V26)</f>
        <v>0</v>
      </c>
      <c r="AO26">
        <f>SUM($K26:W26)</f>
        <v>0</v>
      </c>
      <c r="AP26">
        <f>SUM($K26:X26)</f>
        <v>0</v>
      </c>
      <c r="AQ26">
        <f>SUM($K26:Y26)</f>
        <v>0</v>
      </c>
      <c r="AR26" t="str">
        <f t="shared" si="3"/>
        <v>ЗАКРЫТО</v>
      </c>
      <c r="AS26" t="str">
        <f t="shared" si="4"/>
        <v>ЗАКРЫТО</v>
      </c>
      <c r="AT26" t="str">
        <f t="shared" si="5"/>
        <v>ЗАКРЫТО</v>
      </c>
      <c r="AU26" t="str">
        <f t="shared" si="6"/>
        <v>ЗАКРЫТО</v>
      </c>
      <c r="AV26" t="str">
        <f t="shared" si="7"/>
        <v>ЗАКРЫТО</v>
      </c>
      <c r="AW26" t="str">
        <f t="shared" si="8"/>
        <v>ЗАКРЫТО</v>
      </c>
      <c r="AX26" t="str">
        <f t="shared" si="9"/>
        <v>ЗАКРЫТО</v>
      </c>
      <c r="AY26" t="str">
        <f t="shared" si="10"/>
        <v>ЗАКРЫТО</v>
      </c>
      <c r="AZ26" t="str">
        <f t="shared" si="11"/>
        <v>ЗАКРЫТО</v>
      </c>
      <c r="BA26" t="str">
        <f t="shared" si="12"/>
        <v>ЗАКРЫТО</v>
      </c>
      <c r="BB26" t="str">
        <f t="shared" si="13"/>
        <v>ЗАКРЫТО</v>
      </c>
      <c r="BC26" t="str">
        <f t="shared" si="14"/>
        <v>ЗАКРЫТО</v>
      </c>
      <c r="BD26" t="str">
        <f t="shared" si="15"/>
        <v>ЗАКРЫТО</v>
      </c>
      <c r="BE26" t="str">
        <f t="shared" si="16"/>
        <v>ЗАКРЫТО</v>
      </c>
      <c r="BF26" t="str">
        <f t="shared" si="17"/>
        <v>ЗАКРЫТО</v>
      </c>
    </row>
    <row r="27" spans="1:58" ht="27.6">
      <c r="A27" s="3" t="s">
        <v>136</v>
      </c>
      <c r="B27" s="3" t="s">
        <v>120</v>
      </c>
      <c r="C27" s="3" t="s">
        <v>85</v>
      </c>
      <c r="D27" s="3" t="s">
        <v>137</v>
      </c>
      <c r="E27" s="3">
        <v>95</v>
      </c>
      <c r="F27" s="3" t="s">
        <v>132</v>
      </c>
      <c r="G27" s="3"/>
      <c r="H27" s="3"/>
      <c r="I27" s="3" t="s">
        <v>138</v>
      </c>
      <c r="J27" s="3" t="s">
        <v>139</v>
      </c>
      <c r="K27" s="4">
        <f>SUMIF('Ход 2026'!$G$29:$G$38,$A27,'Ход 2026'!$I$29:$I$38)</f>
        <v>0</v>
      </c>
      <c r="L27" s="4">
        <f>SUMIF('Ход 2027'!$G$29:$G$38,$A27,'Ход 2027'!$I$29:$I$38)</f>
        <v>0</v>
      </c>
      <c r="M27" s="4">
        <f>SUMIF('Ход 2028'!$G$29:$G$38,$A27,'Ход 2028'!$I$29:$I$38)</f>
        <v>0</v>
      </c>
      <c r="N27" s="4">
        <f>SUMIF('Ход 2029'!$G$29:$G$38,$A27,'Ход 2029'!$I$29:$I$38)</f>
        <v>0</v>
      </c>
      <c r="O27" s="4">
        <f>SUMIF('Ход 2030'!$G$29:$G$38,$A27,'Ход 2030'!$I$29:$I$38)</f>
        <v>0</v>
      </c>
      <c r="P27" s="4">
        <f>SUMIF('Ход 2031'!$G$29:$G$38,$A27,'Ход 2031'!$I$29:$I$38)</f>
        <v>0</v>
      </c>
      <c r="Q27" s="4">
        <f>SUMIF('Ход 2032'!$G$29:$G$38,$A27,'Ход 2032'!$I$29:$I$38)</f>
        <v>0</v>
      </c>
      <c r="R27" s="4">
        <f>SUMIF('Ход 2033'!$G$29:$G$38,$A27,'Ход 2033'!$I$29:$I$38)</f>
        <v>0</v>
      </c>
      <c r="S27" s="4">
        <f>SUMIF('Ход 2034'!$G$29:$G$38,$A27,'Ход 2034'!$I$29:$I$38)</f>
        <v>0</v>
      </c>
      <c r="T27" s="4">
        <f>SUMIF('Ход 2035'!$G$29:$G$38,$A27,'Ход 2035'!$I$29:$I$38)</f>
        <v>0</v>
      </c>
      <c r="U27" s="4">
        <f>SUMIF('Ход 2036'!$G$29:$G$38,$A27,'Ход 2036'!$I$29:$I$38)</f>
        <v>0</v>
      </c>
      <c r="V27" s="4">
        <f>SUMIF('Ход 2037'!$G$29:$G$38,$A27,'Ход 2037'!$I$29:$I$38)</f>
        <v>0</v>
      </c>
      <c r="W27" s="4">
        <f>SUMIF('Ход 2038'!$G$29:$G$38,$A27,'Ход 2038'!$I$29:$I$38)</f>
        <v>0</v>
      </c>
      <c r="X27" s="4">
        <f>SUMIF('Ход 2039'!$G$29:$G$38,$A27,'Ход 2039'!$I$29:$I$38)</f>
        <v>0</v>
      </c>
      <c r="Y27" s="4">
        <f>SUMIF('Ход 2040'!$G$29:$G$38,$A27,'Ход 2040'!$I$29:$I$38)</f>
        <v>0</v>
      </c>
      <c r="Z27" s="5">
        <f t="shared" si="0"/>
        <v>0</v>
      </c>
      <c r="AA27" s="5">
        <f t="shared" si="1"/>
        <v>95</v>
      </c>
      <c r="AB27" s="3" t="str">
        <f t="shared" si="2"/>
        <v>ЗАКРЫТО</v>
      </c>
      <c r="AC27">
        <f>SUM($K27:K27)</f>
        <v>0</v>
      </c>
      <c r="AD27">
        <f>SUM($K27:L27)</f>
        <v>0</v>
      </c>
      <c r="AE27">
        <f>SUM($K27:M27)</f>
        <v>0</v>
      </c>
      <c r="AF27">
        <f>SUM($K27:N27)</f>
        <v>0</v>
      </c>
      <c r="AG27">
        <f>SUM($K27:O27)</f>
        <v>0</v>
      </c>
      <c r="AH27">
        <f>SUM($K27:P27)</f>
        <v>0</v>
      </c>
      <c r="AI27">
        <f>SUM($K27:Q27)</f>
        <v>0</v>
      </c>
      <c r="AJ27">
        <f>SUM($K27:R27)</f>
        <v>0</v>
      </c>
      <c r="AK27">
        <f>SUM($K27:S27)</f>
        <v>0</v>
      </c>
      <c r="AL27">
        <f>SUM($K27:T27)</f>
        <v>0</v>
      </c>
      <c r="AM27">
        <f>SUM($K27:U27)</f>
        <v>0</v>
      </c>
      <c r="AN27">
        <f>SUM($K27:V27)</f>
        <v>0</v>
      </c>
      <c r="AO27">
        <f>SUM($K27:W27)</f>
        <v>0</v>
      </c>
      <c r="AP27">
        <f>SUM($K27:X27)</f>
        <v>0</v>
      </c>
      <c r="AQ27">
        <f>SUM($K27:Y27)</f>
        <v>0</v>
      </c>
      <c r="AR27" t="str">
        <f t="shared" si="3"/>
        <v>ЗАКРЫТО</v>
      </c>
      <c r="AS27" t="str">
        <f t="shared" si="4"/>
        <v>ЗАКРЫТО</v>
      </c>
      <c r="AT27" t="str">
        <f t="shared" si="5"/>
        <v>ЗАКРЫТО</v>
      </c>
      <c r="AU27" t="str">
        <f t="shared" si="6"/>
        <v>ЗАКРЫТО</v>
      </c>
      <c r="AV27" t="str">
        <f t="shared" si="7"/>
        <v>ЗАКРЫТО</v>
      </c>
      <c r="AW27" t="str">
        <f t="shared" si="8"/>
        <v>ЗАКРЫТО</v>
      </c>
      <c r="AX27" t="str">
        <f t="shared" si="9"/>
        <v>ЗАКРЫТО</v>
      </c>
      <c r="AY27" t="str">
        <f t="shared" si="10"/>
        <v>ЗАКРЫТО</v>
      </c>
      <c r="AZ27" t="str">
        <f t="shared" si="11"/>
        <v>ЗАКРЫТО</v>
      </c>
      <c r="BA27" t="str">
        <f t="shared" si="12"/>
        <v>ЗАКРЫТО</v>
      </c>
      <c r="BB27" t="str">
        <f t="shared" si="13"/>
        <v>ЗАКРЫТО</v>
      </c>
      <c r="BC27" t="str">
        <f t="shared" si="14"/>
        <v>ЗАКРЫТО</v>
      </c>
      <c r="BD27" t="str">
        <f t="shared" si="15"/>
        <v>ЗАКРЫТО</v>
      </c>
      <c r="BE27" t="str">
        <f t="shared" si="16"/>
        <v>ЗАКРЫТО</v>
      </c>
      <c r="BF27" t="str">
        <f t="shared" si="17"/>
        <v>ЗАКРЫТО</v>
      </c>
    </row>
    <row r="28" spans="1:58" ht="27.6">
      <c r="A28" s="3" t="s">
        <v>140</v>
      </c>
      <c r="B28" s="3" t="s">
        <v>120</v>
      </c>
      <c r="C28" s="3" t="s">
        <v>90</v>
      </c>
      <c r="D28" s="3" t="s">
        <v>141</v>
      </c>
      <c r="E28" s="3">
        <v>140</v>
      </c>
      <c r="F28" s="3" t="s">
        <v>136</v>
      </c>
      <c r="G28" s="3"/>
      <c r="H28" s="3"/>
      <c r="I28" s="3" t="s">
        <v>142</v>
      </c>
      <c r="J28" s="3" t="s">
        <v>143</v>
      </c>
      <c r="K28" s="4">
        <f>SUMIF('Ход 2026'!$G$29:$G$38,$A28,'Ход 2026'!$I$29:$I$38)</f>
        <v>0</v>
      </c>
      <c r="L28" s="4">
        <f>SUMIF('Ход 2027'!$G$29:$G$38,$A28,'Ход 2027'!$I$29:$I$38)</f>
        <v>0</v>
      </c>
      <c r="M28" s="4">
        <f>SUMIF('Ход 2028'!$G$29:$G$38,$A28,'Ход 2028'!$I$29:$I$38)</f>
        <v>0</v>
      </c>
      <c r="N28" s="4">
        <f>SUMIF('Ход 2029'!$G$29:$G$38,$A28,'Ход 2029'!$I$29:$I$38)</f>
        <v>0</v>
      </c>
      <c r="O28" s="4">
        <f>SUMIF('Ход 2030'!$G$29:$G$38,$A28,'Ход 2030'!$I$29:$I$38)</f>
        <v>0</v>
      </c>
      <c r="P28" s="4">
        <f>SUMIF('Ход 2031'!$G$29:$G$38,$A28,'Ход 2031'!$I$29:$I$38)</f>
        <v>0</v>
      </c>
      <c r="Q28" s="4">
        <f>SUMIF('Ход 2032'!$G$29:$G$38,$A28,'Ход 2032'!$I$29:$I$38)</f>
        <v>0</v>
      </c>
      <c r="R28" s="4">
        <f>SUMIF('Ход 2033'!$G$29:$G$38,$A28,'Ход 2033'!$I$29:$I$38)</f>
        <v>0</v>
      </c>
      <c r="S28" s="4">
        <f>SUMIF('Ход 2034'!$G$29:$G$38,$A28,'Ход 2034'!$I$29:$I$38)</f>
        <v>0</v>
      </c>
      <c r="T28" s="4">
        <f>SUMIF('Ход 2035'!$G$29:$G$38,$A28,'Ход 2035'!$I$29:$I$38)</f>
        <v>0</v>
      </c>
      <c r="U28" s="4">
        <f>SUMIF('Ход 2036'!$G$29:$G$38,$A28,'Ход 2036'!$I$29:$I$38)</f>
        <v>0</v>
      </c>
      <c r="V28" s="4">
        <f>SUMIF('Ход 2037'!$G$29:$G$38,$A28,'Ход 2037'!$I$29:$I$38)</f>
        <v>0</v>
      </c>
      <c r="W28" s="4">
        <f>SUMIF('Ход 2038'!$G$29:$G$38,$A28,'Ход 2038'!$I$29:$I$38)</f>
        <v>0</v>
      </c>
      <c r="X28" s="4">
        <f>SUMIF('Ход 2039'!$G$29:$G$38,$A28,'Ход 2039'!$I$29:$I$38)</f>
        <v>0</v>
      </c>
      <c r="Y28" s="4">
        <f>SUMIF('Ход 2040'!$G$29:$G$38,$A28,'Ход 2040'!$I$29:$I$38)</f>
        <v>0</v>
      </c>
      <c r="Z28" s="5">
        <f t="shared" si="0"/>
        <v>0</v>
      </c>
      <c r="AA28" s="5">
        <f t="shared" si="1"/>
        <v>140</v>
      </c>
      <c r="AB28" s="3" t="str">
        <f t="shared" si="2"/>
        <v>ЗАКРЫТО</v>
      </c>
      <c r="AC28">
        <f>SUM($K28:K28)</f>
        <v>0</v>
      </c>
      <c r="AD28">
        <f>SUM($K28:L28)</f>
        <v>0</v>
      </c>
      <c r="AE28">
        <f>SUM($K28:M28)</f>
        <v>0</v>
      </c>
      <c r="AF28">
        <f>SUM($K28:N28)</f>
        <v>0</v>
      </c>
      <c r="AG28">
        <f>SUM($K28:O28)</f>
        <v>0</v>
      </c>
      <c r="AH28">
        <f>SUM($K28:P28)</f>
        <v>0</v>
      </c>
      <c r="AI28">
        <f>SUM($K28:Q28)</f>
        <v>0</v>
      </c>
      <c r="AJ28">
        <f>SUM($K28:R28)</f>
        <v>0</v>
      </c>
      <c r="AK28">
        <f>SUM($K28:S28)</f>
        <v>0</v>
      </c>
      <c r="AL28">
        <f>SUM($K28:T28)</f>
        <v>0</v>
      </c>
      <c r="AM28">
        <f>SUM($K28:U28)</f>
        <v>0</v>
      </c>
      <c r="AN28">
        <f>SUM($K28:V28)</f>
        <v>0</v>
      </c>
      <c r="AO28">
        <f>SUM($K28:W28)</f>
        <v>0</v>
      </c>
      <c r="AP28">
        <f>SUM($K28:X28)</f>
        <v>0</v>
      </c>
      <c r="AQ28">
        <f>SUM($K28:Y28)</f>
        <v>0</v>
      </c>
      <c r="AR28" t="str">
        <f t="shared" si="3"/>
        <v>ЗАКРЫТО</v>
      </c>
      <c r="AS28" t="str">
        <f t="shared" si="4"/>
        <v>ЗАКРЫТО</v>
      </c>
      <c r="AT28" t="str">
        <f t="shared" si="5"/>
        <v>ЗАКРЫТО</v>
      </c>
      <c r="AU28" t="str">
        <f t="shared" si="6"/>
        <v>ЗАКРЫТО</v>
      </c>
      <c r="AV28" t="str">
        <f t="shared" si="7"/>
        <v>ЗАКРЫТО</v>
      </c>
      <c r="AW28" t="str">
        <f t="shared" si="8"/>
        <v>ЗАКРЫТО</v>
      </c>
      <c r="AX28" t="str">
        <f t="shared" si="9"/>
        <v>ЗАКРЫТО</v>
      </c>
      <c r="AY28" t="str">
        <f t="shared" si="10"/>
        <v>ЗАКРЫТО</v>
      </c>
      <c r="AZ28" t="str">
        <f t="shared" si="11"/>
        <v>ЗАКРЫТО</v>
      </c>
      <c r="BA28" t="str">
        <f t="shared" si="12"/>
        <v>ЗАКРЫТО</v>
      </c>
      <c r="BB28" t="str">
        <f t="shared" si="13"/>
        <v>ЗАКРЫТО</v>
      </c>
      <c r="BC28" t="str">
        <f t="shared" si="14"/>
        <v>ЗАКРЫТО</v>
      </c>
      <c r="BD28" t="str">
        <f t="shared" si="15"/>
        <v>ЗАКРЫТО</v>
      </c>
      <c r="BE28" t="str">
        <f t="shared" si="16"/>
        <v>ЗАКРЫТО</v>
      </c>
      <c r="BF28" t="str">
        <f t="shared" si="17"/>
        <v>ЗАКРЫТО</v>
      </c>
    </row>
    <row r="29" spans="1:58" ht="27.6">
      <c r="A29" s="3" t="s">
        <v>144</v>
      </c>
      <c r="B29" s="3" t="s">
        <v>145</v>
      </c>
      <c r="C29" s="3" t="s">
        <v>66</v>
      </c>
      <c r="D29" s="3" t="s">
        <v>146</v>
      </c>
      <c r="E29" s="3">
        <v>20</v>
      </c>
      <c r="F29" s="3"/>
      <c r="G29" s="3"/>
      <c r="H29" s="3"/>
      <c r="I29" s="3" t="s">
        <v>147</v>
      </c>
      <c r="J29" s="3" t="s">
        <v>148</v>
      </c>
      <c r="K29" s="4">
        <f>SUMIF('Ход 2026'!$G$29:$G$38,$A29,'Ход 2026'!$I$29:$I$38)</f>
        <v>0</v>
      </c>
      <c r="L29" s="4">
        <f>SUMIF('Ход 2027'!$G$29:$G$38,$A29,'Ход 2027'!$I$29:$I$38)</f>
        <v>0</v>
      </c>
      <c r="M29" s="4">
        <f>SUMIF('Ход 2028'!$G$29:$G$38,$A29,'Ход 2028'!$I$29:$I$38)</f>
        <v>0</v>
      </c>
      <c r="N29" s="4">
        <f>SUMIF('Ход 2029'!$G$29:$G$38,$A29,'Ход 2029'!$I$29:$I$38)</f>
        <v>0</v>
      </c>
      <c r="O29" s="4">
        <f>SUMIF('Ход 2030'!$G$29:$G$38,$A29,'Ход 2030'!$I$29:$I$38)</f>
        <v>0</v>
      </c>
      <c r="P29" s="4">
        <f>SUMIF('Ход 2031'!$G$29:$G$38,$A29,'Ход 2031'!$I$29:$I$38)</f>
        <v>0</v>
      </c>
      <c r="Q29" s="4">
        <f>SUMIF('Ход 2032'!$G$29:$G$38,$A29,'Ход 2032'!$I$29:$I$38)</f>
        <v>0</v>
      </c>
      <c r="R29" s="4">
        <f>SUMIF('Ход 2033'!$G$29:$G$38,$A29,'Ход 2033'!$I$29:$I$38)</f>
        <v>0</v>
      </c>
      <c r="S29" s="4">
        <f>SUMIF('Ход 2034'!$G$29:$G$38,$A29,'Ход 2034'!$I$29:$I$38)</f>
        <v>0</v>
      </c>
      <c r="T29" s="4">
        <f>SUMIF('Ход 2035'!$G$29:$G$38,$A29,'Ход 2035'!$I$29:$I$38)</f>
        <v>0</v>
      </c>
      <c r="U29" s="4">
        <f>SUMIF('Ход 2036'!$G$29:$G$38,$A29,'Ход 2036'!$I$29:$I$38)</f>
        <v>0</v>
      </c>
      <c r="V29" s="4">
        <f>SUMIF('Ход 2037'!$G$29:$G$38,$A29,'Ход 2037'!$I$29:$I$38)</f>
        <v>0</v>
      </c>
      <c r="W29" s="4">
        <f>SUMIF('Ход 2038'!$G$29:$G$38,$A29,'Ход 2038'!$I$29:$I$38)</f>
        <v>0</v>
      </c>
      <c r="X29" s="4">
        <f>SUMIF('Ход 2039'!$G$29:$G$38,$A29,'Ход 2039'!$I$29:$I$38)</f>
        <v>0</v>
      </c>
      <c r="Y29" s="4">
        <f>SUMIF('Ход 2040'!$G$29:$G$38,$A29,'Ход 2040'!$I$29:$I$38)</f>
        <v>0</v>
      </c>
      <c r="Z29" s="5">
        <f t="shared" si="0"/>
        <v>0</v>
      </c>
      <c r="AA29" s="5">
        <f t="shared" si="1"/>
        <v>20</v>
      </c>
      <c r="AB29" s="3" t="str">
        <f t="shared" si="2"/>
        <v>ОТКРЫТО</v>
      </c>
      <c r="AC29">
        <f>SUM($K29:K29)</f>
        <v>0</v>
      </c>
      <c r="AD29">
        <f>SUM($K29:L29)</f>
        <v>0</v>
      </c>
      <c r="AE29">
        <f>SUM($K29:M29)</f>
        <v>0</v>
      </c>
      <c r="AF29">
        <f>SUM($K29:N29)</f>
        <v>0</v>
      </c>
      <c r="AG29">
        <f>SUM($K29:O29)</f>
        <v>0</v>
      </c>
      <c r="AH29">
        <f>SUM($K29:P29)</f>
        <v>0</v>
      </c>
      <c r="AI29">
        <f>SUM($K29:Q29)</f>
        <v>0</v>
      </c>
      <c r="AJ29">
        <f>SUM($K29:R29)</f>
        <v>0</v>
      </c>
      <c r="AK29">
        <f>SUM($K29:S29)</f>
        <v>0</v>
      </c>
      <c r="AL29">
        <f>SUM($K29:T29)</f>
        <v>0</v>
      </c>
      <c r="AM29">
        <f>SUM($K29:U29)</f>
        <v>0</v>
      </c>
      <c r="AN29">
        <f>SUM($K29:V29)</f>
        <v>0</v>
      </c>
      <c r="AO29">
        <f>SUM($K29:W29)</f>
        <v>0</v>
      </c>
      <c r="AP29">
        <f>SUM($K29:X29)</f>
        <v>0</v>
      </c>
      <c r="AQ29">
        <f>SUM($K29:Y29)</f>
        <v>0</v>
      </c>
      <c r="AR29" t="str">
        <f t="shared" si="3"/>
        <v>ОТКРЫТО</v>
      </c>
      <c r="AS29" t="str">
        <f t="shared" si="4"/>
        <v>ОТКРЫТО</v>
      </c>
      <c r="AT29" t="str">
        <f t="shared" si="5"/>
        <v>ОТКРЫТО</v>
      </c>
      <c r="AU29" t="str">
        <f t="shared" si="6"/>
        <v>ОТКРЫТО</v>
      </c>
      <c r="AV29" t="str">
        <f t="shared" si="7"/>
        <v>ОТКРЫТО</v>
      </c>
      <c r="AW29" t="str">
        <f t="shared" si="8"/>
        <v>ОТКРЫТО</v>
      </c>
      <c r="AX29" t="str">
        <f t="shared" si="9"/>
        <v>ОТКРЫТО</v>
      </c>
      <c r="AY29" t="str">
        <f t="shared" si="10"/>
        <v>ОТКРЫТО</v>
      </c>
      <c r="AZ29" t="str">
        <f t="shared" si="11"/>
        <v>ОТКРЫТО</v>
      </c>
      <c r="BA29" t="str">
        <f t="shared" si="12"/>
        <v>ОТКРЫТО</v>
      </c>
      <c r="BB29" t="str">
        <f t="shared" si="13"/>
        <v>ОТКРЫТО</v>
      </c>
      <c r="BC29" t="str">
        <f t="shared" si="14"/>
        <v>ОТКРЫТО</v>
      </c>
      <c r="BD29" t="str">
        <f t="shared" si="15"/>
        <v>ОТКРЫТО</v>
      </c>
      <c r="BE29" t="str">
        <f t="shared" si="16"/>
        <v>ОТКРЫТО</v>
      </c>
      <c r="BF29" t="str">
        <f t="shared" si="17"/>
        <v>ОТКРЫТО</v>
      </c>
    </row>
    <row r="30" spans="1:58" ht="27.6">
      <c r="A30" s="3" t="s">
        <v>149</v>
      </c>
      <c r="B30" s="3" t="s">
        <v>145</v>
      </c>
      <c r="C30" s="3" t="s">
        <v>71</v>
      </c>
      <c r="D30" s="3" t="s">
        <v>150</v>
      </c>
      <c r="E30" s="3">
        <v>35</v>
      </c>
      <c r="F30" s="3" t="s">
        <v>144</v>
      </c>
      <c r="G30" s="3"/>
      <c r="H30" s="3"/>
      <c r="I30" s="3" t="s">
        <v>151</v>
      </c>
      <c r="J30" s="3" t="s">
        <v>152</v>
      </c>
      <c r="K30" s="4">
        <f>SUMIF('Ход 2026'!$G$29:$G$38,$A30,'Ход 2026'!$I$29:$I$38)</f>
        <v>0</v>
      </c>
      <c r="L30" s="4">
        <f>SUMIF('Ход 2027'!$G$29:$G$38,$A30,'Ход 2027'!$I$29:$I$38)</f>
        <v>0</v>
      </c>
      <c r="M30" s="4">
        <f>SUMIF('Ход 2028'!$G$29:$G$38,$A30,'Ход 2028'!$I$29:$I$38)</f>
        <v>0</v>
      </c>
      <c r="N30" s="4">
        <f>SUMIF('Ход 2029'!$G$29:$G$38,$A30,'Ход 2029'!$I$29:$I$38)</f>
        <v>0</v>
      </c>
      <c r="O30" s="4">
        <f>SUMIF('Ход 2030'!$G$29:$G$38,$A30,'Ход 2030'!$I$29:$I$38)</f>
        <v>0</v>
      </c>
      <c r="P30" s="4">
        <f>SUMIF('Ход 2031'!$G$29:$G$38,$A30,'Ход 2031'!$I$29:$I$38)</f>
        <v>0</v>
      </c>
      <c r="Q30" s="4">
        <f>SUMIF('Ход 2032'!$G$29:$G$38,$A30,'Ход 2032'!$I$29:$I$38)</f>
        <v>0</v>
      </c>
      <c r="R30" s="4">
        <f>SUMIF('Ход 2033'!$G$29:$G$38,$A30,'Ход 2033'!$I$29:$I$38)</f>
        <v>0</v>
      </c>
      <c r="S30" s="4">
        <f>SUMIF('Ход 2034'!$G$29:$G$38,$A30,'Ход 2034'!$I$29:$I$38)</f>
        <v>0</v>
      </c>
      <c r="T30" s="4">
        <f>SUMIF('Ход 2035'!$G$29:$G$38,$A30,'Ход 2035'!$I$29:$I$38)</f>
        <v>0</v>
      </c>
      <c r="U30" s="4">
        <f>SUMIF('Ход 2036'!$G$29:$G$38,$A30,'Ход 2036'!$I$29:$I$38)</f>
        <v>0</v>
      </c>
      <c r="V30" s="4">
        <f>SUMIF('Ход 2037'!$G$29:$G$38,$A30,'Ход 2037'!$I$29:$I$38)</f>
        <v>0</v>
      </c>
      <c r="W30" s="4">
        <f>SUMIF('Ход 2038'!$G$29:$G$38,$A30,'Ход 2038'!$I$29:$I$38)</f>
        <v>0</v>
      </c>
      <c r="X30" s="4">
        <f>SUMIF('Ход 2039'!$G$29:$G$38,$A30,'Ход 2039'!$I$29:$I$38)</f>
        <v>0</v>
      </c>
      <c r="Y30" s="4">
        <f>SUMIF('Ход 2040'!$G$29:$G$38,$A30,'Ход 2040'!$I$29:$I$38)</f>
        <v>0</v>
      </c>
      <c r="Z30" s="5">
        <f t="shared" si="0"/>
        <v>0</v>
      </c>
      <c r="AA30" s="5">
        <f t="shared" si="1"/>
        <v>35</v>
      </c>
      <c r="AB30" s="3" t="str">
        <f t="shared" si="2"/>
        <v>ЗАКРЫТО</v>
      </c>
      <c r="AC30">
        <f>SUM($K30:K30)</f>
        <v>0</v>
      </c>
      <c r="AD30">
        <f>SUM($K30:L30)</f>
        <v>0</v>
      </c>
      <c r="AE30">
        <f>SUM($K30:M30)</f>
        <v>0</v>
      </c>
      <c r="AF30">
        <f>SUM($K30:N30)</f>
        <v>0</v>
      </c>
      <c r="AG30">
        <f>SUM($K30:O30)</f>
        <v>0</v>
      </c>
      <c r="AH30">
        <f>SUM($K30:P30)</f>
        <v>0</v>
      </c>
      <c r="AI30">
        <f>SUM($K30:Q30)</f>
        <v>0</v>
      </c>
      <c r="AJ30">
        <f>SUM($K30:R30)</f>
        <v>0</v>
      </c>
      <c r="AK30">
        <f>SUM($K30:S30)</f>
        <v>0</v>
      </c>
      <c r="AL30">
        <f>SUM($K30:T30)</f>
        <v>0</v>
      </c>
      <c r="AM30">
        <f>SUM($K30:U30)</f>
        <v>0</v>
      </c>
      <c r="AN30">
        <f>SUM($K30:V30)</f>
        <v>0</v>
      </c>
      <c r="AO30">
        <f>SUM($K30:W30)</f>
        <v>0</v>
      </c>
      <c r="AP30">
        <f>SUM($K30:X30)</f>
        <v>0</v>
      </c>
      <c r="AQ30">
        <f>SUM($K30:Y30)</f>
        <v>0</v>
      </c>
      <c r="AR30" t="str">
        <f t="shared" si="3"/>
        <v>ЗАКРЫТО</v>
      </c>
      <c r="AS30" t="str">
        <f t="shared" si="4"/>
        <v>ЗАКРЫТО</v>
      </c>
      <c r="AT30" t="str">
        <f t="shared" si="5"/>
        <v>ЗАКРЫТО</v>
      </c>
      <c r="AU30" t="str">
        <f t="shared" si="6"/>
        <v>ЗАКРЫТО</v>
      </c>
      <c r="AV30" t="str">
        <f t="shared" si="7"/>
        <v>ЗАКРЫТО</v>
      </c>
      <c r="AW30" t="str">
        <f t="shared" si="8"/>
        <v>ЗАКРЫТО</v>
      </c>
      <c r="AX30" t="str">
        <f t="shared" si="9"/>
        <v>ЗАКРЫТО</v>
      </c>
      <c r="AY30" t="str">
        <f t="shared" si="10"/>
        <v>ЗАКРЫТО</v>
      </c>
      <c r="AZ30" t="str">
        <f t="shared" si="11"/>
        <v>ЗАКРЫТО</v>
      </c>
      <c r="BA30" t="str">
        <f t="shared" si="12"/>
        <v>ЗАКРЫТО</v>
      </c>
      <c r="BB30" t="str">
        <f t="shared" si="13"/>
        <v>ЗАКРЫТО</v>
      </c>
      <c r="BC30" t="str">
        <f t="shared" si="14"/>
        <v>ЗАКРЫТО</v>
      </c>
      <c r="BD30" t="str">
        <f t="shared" si="15"/>
        <v>ЗАКРЫТО</v>
      </c>
      <c r="BE30" t="str">
        <f t="shared" si="16"/>
        <v>ЗАКРЫТО</v>
      </c>
      <c r="BF30" t="str">
        <f t="shared" si="17"/>
        <v>ЗАКРЫТО</v>
      </c>
    </row>
    <row r="31" spans="1:58" ht="27.6">
      <c r="A31" s="3" t="s">
        <v>153</v>
      </c>
      <c r="B31" s="3" t="s">
        <v>145</v>
      </c>
      <c r="C31" s="3" t="s">
        <v>80</v>
      </c>
      <c r="D31" s="3" t="s">
        <v>154</v>
      </c>
      <c r="E31" s="3">
        <v>55</v>
      </c>
      <c r="F31" s="3" t="s">
        <v>149</v>
      </c>
      <c r="G31" s="3"/>
      <c r="H31" s="3"/>
      <c r="I31" s="3" t="s">
        <v>155</v>
      </c>
      <c r="J31" s="3" t="s">
        <v>156</v>
      </c>
      <c r="K31" s="4">
        <f>SUMIF('Ход 2026'!$G$29:$G$38,$A31,'Ход 2026'!$I$29:$I$38)</f>
        <v>0</v>
      </c>
      <c r="L31" s="4">
        <f>SUMIF('Ход 2027'!$G$29:$G$38,$A31,'Ход 2027'!$I$29:$I$38)</f>
        <v>0</v>
      </c>
      <c r="M31" s="4">
        <f>SUMIF('Ход 2028'!$G$29:$G$38,$A31,'Ход 2028'!$I$29:$I$38)</f>
        <v>0</v>
      </c>
      <c r="N31" s="4">
        <f>SUMIF('Ход 2029'!$G$29:$G$38,$A31,'Ход 2029'!$I$29:$I$38)</f>
        <v>0</v>
      </c>
      <c r="O31" s="4">
        <f>SUMIF('Ход 2030'!$G$29:$G$38,$A31,'Ход 2030'!$I$29:$I$38)</f>
        <v>0</v>
      </c>
      <c r="P31" s="4">
        <f>SUMIF('Ход 2031'!$G$29:$G$38,$A31,'Ход 2031'!$I$29:$I$38)</f>
        <v>0</v>
      </c>
      <c r="Q31" s="4">
        <f>SUMIF('Ход 2032'!$G$29:$G$38,$A31,'Ход 2032'!$I$29:$I$38)</f>
        <v>0</v>
      </c>
      <c r="R31" s="4">
        <f>SUMIF('Ход 2033'!$G$29:$G$38,$A31,'Ход 2033'!$I$29:$I$38)</f>
        <v>0</v>
      </c>
      <c r="S31" s="4">
        <f>SUMIF('Ход 2034'!$G$29:$G$38,$A31,'Ход 2034'!$I$29:$I$38)</f>
        <v>0</v>
      </c>
      <c r="T31" s="4">
        <f>SUMIF('Ход 2035'!$G$29:$G$38,$A31,'Ход 2035'!$I$29:$I$38)</f>
        <v>0</v>
      </c>
      <c r="U31" s="4">
        <f>SUMIF('Ход 2036'!$G$29:$G$38,$A31,'Ход 2036'!$I$29:$I$38)</f>
        <v>0</v>
      </c>
      <c r="V31" s="4">
        <f>SUMIF('Ход 2037'!$G$29:$G$38,$A31,'Ход 2037'!$I$29:$I$38)</f>
        <v>0</v>
      </c>
      <c r="W31" s="4">
        <f>SUMIF('Ход 2038'!$G$29:$G$38,$A31,'Ход 2038'!$I$29:$I$38)</f>
        <v>0</v>
      </c>
      <c r="X31" s="4">
        <f>SUMIF('Ход 2039'!$G$29:$G$38,$A31,'Ход 2039'!$I$29:$I$38)</f>
        <v>0</v>
      </c>
      <c r="Y31" s="4">
        <f>SUMIF('Ход 2040'!$G$29:$G$38,$A31,'Ход 2040'!$I$29:$I$38)</f>
        <v>0</v>
      </c>
      <c r="Z31" s="5">
        <f t="shared" si="0"/>
        <v>0</v>
      </c>
      <c r="AA31" s="5">
        <f t="shared" si="1"/>
        <v>55</v>
      </c>
      <c r="AB31" s="3" t="str">
        <f t="shared" si="2"/>
        <v>ЗАКРЫТО</v>
      </c>
      <c r="AC31">
        <f>SUM($K31:K31)</f>
        <v>0</v>
      </c>
      <c r="AD31">
        <f>SUM($K31:L31)</f>
        <v>0</v>
      </c>
      <c r="AE31">
        <f>SUM($K31:M31)</f>
        <v>0</v>
      </c>
      <c r="AF31">
        <f>SUM($K31:N31)</f>
        <v>0</v>
      </c>
      <c r="AG31">
        <f>SUM($K31:O31)</f>
        <v>0</v>
      </c>
      <c r="AH31">
        <f>SUM($K31:P31)</f>
        <v>0</v>
      </c>
      <c r="AI31">
        <f>SUM($K31:Q31)</f>
        <v>0</v>
      </c>
      <c r="AJ31">
        <f>SUM($K31:R31)</f>
        <v>0</v>
      </c>
      <c r="AK31">
        <f>SUM($K31:S31)</f>
        <v>0</v>
      </c>
      <c r="AL31">
        <f>SUM($K31:T31)</f>
        <v>0</v>
      </c>
      <c r="AM31">
        <f>SUM($K31:U31)</f>
        <v>0</v>
      </c>
      <c r="AN31">
        <f>SUM($K31:V31)</f>
        <v>0</v>
      </c>
      <c r="AO31">
        <f>SUM($K31:W31)</f>
        <v>0</v>
      </c>
      <c r="AP31">
        <f>SUM($K31:X31)</f>
        <v>0</v>
      </c>
      <c r="AQ31">
        <f>SUM($K31:Y31)</f>
        <v>0</v>
      </c>
      <c r="AR31" t="str">
        <f t="shared" si="3"/>
        <v>ЗАКРЫТО</v>
      </c>
      <c r="AS31" t="str">
        <f t="shared" si="4"/>
        <v>ЗАКРЫТО</v>
      </c>
      <c r="AT31" t="str">
        <f t="shared" si="5"/>
        <v>ЗАКРЫТО</v>
      </c>
      <c r="AU31" t="str">
        <f t="shared" si="6"/>
        <v>ЗАКРЫТО</v>
      </c>
      <c r="AV31" t="str">
        <f t="shared" si="7"/>
        <v>ЗАКРЫТО</v>
      </c>
      <c r="AW31" t="str">
        <f t="shared" si="8"/>
        <v>ЗАКРЫТО</v>
      </c>
      <c r="AX31" t="str">
        <f t="shared" si="9"/>
        <v>ЗАКРЫТО</v>
      </c>
      <c r="AY31" t="str">
        <f t="shared" si="10"/>
        <v>ЗАКРЫТО</v>
      </c>
      <c r="AZ31" t="str">
        <f t="shared" si="11"/>
        <v>ЗАКРЫТО</v>
      </c>
      <c r="BA31" t="str">
        <f t="shared" si="12"/>
        <v>ЗАКРЫТО</v>
      </c>
      <c r="BB31" t="str">
        <f t="shared" si="13"/>
        <v>ЗАКРЫТО</v>
      </c>
      <c r="BC31" t="str">
        <f t="shared" si="14"/>
        <v>ЗАКРЫТО</v>
      </c>
      <c r="BD31" t="str">
        <f t="shared" si="15"/>
        <v>ЗАКРЫТО</v>
      </c>
      <c r="BE31" t="str">
        <f t="shared" si="16"/>
        <v>ЗАКРЫТО</v>
      </c>
      <c r="BF31" t="str">
        <f t="shared" si="17"/>
        <v>ЗАКРЫТО</v>
      </c>
    </row>
    <row r="32" spans="1:58" ht="27.6">
      <c r="A32" s="3" t="s">
        <v>157</v>
      </c>
      <c r="B32" s="3" t="s">
        <v>145</v>
      </c>
      <c r="C32" s="3" t="s">
        <v>80</v>
      </c>
      <c r="D32" s="3" t="s">
        <v>158</v>
      </c>
      <c r="E32" s="3">
        <v>70</v>
      </c>
      <c r="F32" s="3" t="s">
        <v>153</v>
      </c>
      <c r="G32" s="3"/>
      <c r="H32" s="3"/>
      <c r="I32" s="3" t="s">
        <v>159</v>
      </c>
      <c r="J32" s="3" t="s">
        <v>160</v>
      </c>
      <c r="K32" s="4">
        <f>SUMIF('Ход 2026'!$G$29:$G$38,$A32,'Ход 2026'!$I$29:$I$38)</f>
        <v>0</v>
      </c>
      <c r="L32" s="4">
        <f>SUMIF('Ход 2027'!$G$29:$G$38,$A32,'Ход 2027'!$I$29:$I$38)</f>
        <v>0</v>
      </c>
      <c r="M32" s="4">
        <f>SUMIF('Ход 2028'!$G$29:$G$38,$A32,'Ход 2028'!$I$29:$I$38)</f>
        <v>0</v>
      </c>
      <c r="N32" s="4">
        <f>SUMIF('Ход 2029'!$G$29:$G$38,$A32,'Ход 2029'!$I$29:$I$38)</f>
        <v>0</v>
      </c>
      <c r="O32" s="4">
        <f>SUMIF('Ход 2030'!$G$29:$G$38,$A32,'Ход 2030'!$I$29:$I$38)</f>
        <v>0</v>
      </c>
      <c r="P32" s="4">
        <f>SUMIF('Ход 2031'!$G$29:$G$38,$A32,'Ход 2031'!$I$29:$I$38)</f>
        <v>0</v>
      </c>
      <c r="Q32" s="4">
        <f>SUMIF('Ход 2032'!$G$29:$G$38,$A32,'Ход 2032'!$I$29:$I$38)</f>
        <v>0</v>
      </c>
      <c r="R32" s="4">
        <f>SUMIF('Ход 2033'!$G$29:$G$38,$A32,'Ход 2033'!$I$29:$I$38)</f>
        <v>0</v>
      </c>
      <c r="S32" s="4">
        <f>SUMIF('Ход 2034'!$G$29:$G$38,$A32,'Ход 2034'!$I$29:$I$38)</f>
        <v>0</v>
      </c>
      <c r="T32" s="4">
        <f>SUMIF('Ход 2035'!$G$29:$G$38,$A32,'Ход 2035'!$I$29:$I$38)</f>
        <v>0</v>
      </c>
      <c r="U32" s="4">
        <f>SUMIF('Ход 2036'!$G$29:$G$38,$A32,'Ход 2036'!$I$29:$I$38)</f>
        <v>0</v>
      </c>
      <c r="V32" s="4">
        <f>SUMIF('Ход 2037'!$G$29:$G$38,$A32,'Ход 2037'!$I$29:$I$38)</f>
        <v>0</v>
      </c>
      <c r="W32" s="4">
        <f>SUMIF('Ход 2038'!$G$29:$G$38,$A32,'Ход 2038'!$I$29:$I$38)</f>
        <v>0</v>
      </c>
      <c r="X32" s="4">
        <f>SUMIF('Ход 2039'!$G$29:$G$38,$A32,'Ход 2039'!$I$29:$I$38)</f>
        <v>0</v>
      </c>
      <c r="Y32" s="4">
        <f>SUMIF('Ход 2040'!$G$29:$G$38,$A32,'Ход 2040'!$I$29:$I$38)</f>
        <v>0</v>
      </c>
      <c r="Z32" s="5">
        <f t="shared" si="0"/>
        <v>0</v>
      </c>
      <c r="AA32" s="5">
        <f t="shared" si="1"/>
        <v>70</v>
      </c>
      <c r="AB32" s="3" t="str">
        <f t="shared" si="2"/>
        <v>ЗАКРЫТО</v>
      </c>
      <c r="AC32">
        <f>SUM($K32:K32)</f>
        <v>0</v>
      </c>
      <c r="AD32">
        <f>SUM($K32:L32)</f>
        <v>0</v>
      </c>
      <c r="AE32">
        <f>SUM($K32:M32)</f>
        <v>0</v>
      </c>
      <c r="AF32">
        <f>SUM($K32:N32)</f>
        <v>0</v>
      </c>
      <c r="AG32">
        <f>SUM($K32:O32)</f>
        <v>0</v>
      </c>
      <c r="AH32">
        <f>SUM($K32:P32)</f>
        <v>0</v>
      </c>
      <c r="AI32">
        <f>SUM($K32:Q32)</f>
        <v>0</v>
      </c>
      <c r="AJ32">
        <f>SUM($K32:R32)</f>
        <v>0</v>
      </c>
      <c r="AK32">
        <f>SUM($K32:S32)</f>
        <v>0</v>
      </c>
      <c r="AL32">
        <f>SUM($K32:T32)</f>
        <v>0</v>
      </c>
      <c r="AM32">
        <f>SUM($K32:U32)</f>
        <v>0</v>
      </c>
      <c r="AN32">
        <f>SUM($K32:V32)</f>
        <v>0</v>
      </c>
      <c r="AO32">
        <f>SUM($K32:W32)</f>
        <v>0</v>
      </c>
      <c r="AP32">
        <f>SUM($K32:X32)</f>
        <v>0</v>
      </c>
      <c r="AQ32">
        <f>SUM($K32:Y32)</f>
        <v>0</v>
      </c>
      <c r="AR32" t="str">
        <f t="shared" si="3"/>
        <v>ЗАКРЫТО</v>
      </c>
      <c r="AS32" t="str">
        <f t="shared" si="4"/>
        <v>ЗАКРЫТО</v>
      </c>
      <c r="AT32" t="str">
        <f t="shared" si="5"/>
        <v>ЗАКРЫТО</v>
      </c>
      <c r="AU32" t="str">
        <f t="shared" si="6"/>
        <v>ЗАКРЫТО</v>
      </c>
      <c r="AV32" t="str">
        <f t="shared" si="7"/>
        <v>ЗАКРЫТО</v>
      </c>
      <c r="AW32" t="str">
        <f t="shared" si="8"/>
        <v>ЗАКРЫТО</v>
      </c>
      <c r="AX32" t="str">
        <f t="shared" si="9"/>
        <v>ЗАКРЫТО</v>
      </c>
      <c r="AY32" t="str">
        <f t="shared" si="10"/>
        <v>ЗАКРЫТО</v>
      </c>
      <c r="AZ32" t="str">
        <f t="shared" si="11"/>
        <v>ЗАКРЫТО</v>
      </c>
      <c r="BA32" t="str">
        <f t="shared" si="12"/>
        <v>ЗАКРЫТО</v>
      </c>
      <c r="BB32" t="str">
        <f t="shared" si="13"/>
        <v>ЗАКРЫТО</v>
      </c>
      <c r="BC32" t="str">
        <f t="shared" si="14"/>
        <v>ЗАКРЫТО</v>
      </c>
      <c r="BD32" t="str">
        <f t="shared" si="15"/>
        <v>ЗАКРЫТО</v>
      </c>
      <c r="BE32" t="str">
        <f t="shared" si="16"/>
        <v>ЗАКРЫТО</v>
      </c>
      <c r="BF32" t="str">
        <f t="shared" si="17"/>
        <v>ЗАКРЫТО</v>
      </c>
    </row>
    <row r="33" spans="1:58" ht="27.6">
      <c r="A33" s="3" t="s">
        <v>161</v>
      </c>
      <c r="B33" s="3" t="s">
        <v>145</v>
      </c>
      <c r="C33" s="3" t="s">
        <v>85</v>
      </c>
      <c r="D33" s="3" t="s">
        <v>162</v>
      </c>
      <c r="E33" s="3">
        <v>105</v>
      </c>
      <c r="F33" s="3" t="s">
        <v>157</v>
      </c>
      <c r="G33" s="3"/>
      <c r="H33" s="3"/>
      <c r="I33" s="3" t="s">
        <v>163</v>
      </c>
      <c r="J33" s="3" t="s">
        <v>164</v>
      </c>
      <c r="K33" s="4">
        <f>SUMIF('Ход 2026'!$G$29:$G$38,$A33,'Ход 2026'!$I$29:$I$38)</f>
        <v>0</v>
      </c>
      <c r="L33" s="4">
        <f>SUMIF('Ход 2027'!$G$29:$G$38,$A33,'Ход 2027'!$I$29:$I$38)</f>
        <v>0</v>
      </c>
      <c r="M33" s="4">
        <f>SUMIF('Ход 2028'!$G$29:$G$38,$A33,'Ход 2028'!$I$29:$I$38)</f>
        <v>0</v>
      </c>
      <c r="N33" s="4">
        <f>SUMIF('Ход 2029'!$G$29:$G$38,$A33,'Ход 2029'!$I$29:$I$38)</f>
        <v>0</v>
      </c>
      <c r="O33" s="4">
        <f>SUMIF('Ход 2030'!$G$29:$G$38,$A33,'Ход 2030'!$I$29:$I$38)</f>
        <v>0</v>
      </c>
      <c r="P33" s="4">
        <f>SUMIF('Ход 2031'!$G$29:$G$38,$A33,'Ход 2031'!$I$29:$I$38)</f>
        <v>0</v>
      </c>
      <c r="Q33" s="4">
        <f>SUMIF('Ход 2032'!$G$29:$G$38,$A33,'Ход 2032'!$I$29:$I$38)</f>
        <v>0</v>
      </c>
      <c r="R33" s="4">
        <f>SUMIF('Ход 2033'!$G$29:$G$38,$A33,'Ход 2033'!$I$29:$I$38)</f>
        <v>0</v>
      </c>
      <c r="S33" s="4">
        <f>SUMIF('Ход 2034'!$G$29:$G$38,$A33,'Ход 2034'!$I$29:$I$38)</f>
        <v>0</v>
      </c>
      <c r="T33" s="4">
        <f>SUMIF('Ход 2035'!$G$29:$G$38,$A33,'Ход 2035'!$I$29:$I$38)</f>
        <v>0</v>
      </c>
      <c r="U33" s="4">
        <f>SUMIF('Ход 2036'!$G$29:$G$38,$A33,'Ход 2036'!$I$29:$I$38)</f>
        <v>0</v>
      </c>
      <c r="V33" s="4">
        <f>SUMIF('Ход 2037'!$G$29:$G$38,$A33,'Ход 2037'!$I$29:$I$38)</f>
        <v>0</v>
      </c>
      <c r="W33" s="4">
        <f>SUMIF('Ход 2038'!$G$29:$G$38,$A33,'Ход 2038'!$I$29:$I$38)</f>
        <v>0</v>
      </c>
      <c r="X33" s="4">
        <f>SUMIF('Ход 2039'!$G$29:$G$38,$A33,'Ход 2039'!$I$29:$I$38)</f>
        <v>0</v>
      </c>
      <c r="Y33" s="4">
        <f>SUMIF('Ход 2040'!$G$29:$G$38,$A33,'Ход 2040'!$I$29:$I$38)</f>
        <v>0</v>
      </c>
      <c r="Z33" s="5">
        <f t="shared" si="0"/>
        <v>0</v>
      </c>
      <c r="AA33" s="5">
        <f t="shared" si="1"/>
        <v>105</v>
      </c>
      <c r="AB33" s="3" t="str">
        <f t="shared" si="2"/>
        <v>ЗАКРЫТО</v>
      </c>
      <c r="AC33">
        <f>SUM($K33:K33)</f>
        <v>0</v>
      </c>
      <c r="AD33">
        <f>SUM($K33:L33)</f>
        <v>0</v>
      </c>
      <c r="AE33">
        <f>SUM($K33:M33)</f>
        <v>0</v>
      </c>
      <c r="AF33">
        <f>SUM($K33:N33)</f>
        <v>0</v>
      </c>
      <c r="AG33">
        <f>SUM($K33:O33)</f>
        <v>0</v>
      </c>
      <c r="AH33">
        <f>SUM($K33:P33)</f>
        <v>0</v>
      </c>
      <c r="AI33">
        <f>SUM($K33:Q33)</f>
        <v>0</v>
      </c>
      <c r="AJ33">
        <f>SUM($K33:R33)</f>
        <v>0</v>
      </c>
      <c r="AK33">
        <f>SUM($K33:S33)</f>
        <v>0</v>
      </c>
      <c r="AL33">
        <f>SUM($K33:T33)</f>
        <v>0</v>
      </c>
      <c r="AM33">
        <f>SUM($K33:U33)</f>
        <v>0</v>
      </c>
      <c r="AN33">
        <f>SUM($K33:V33)</f>
        <v>0</v>
      </c>
      <c r="AO33">
        <f>SUM($K33:W33)</f>
        <v>0</v>
      </c>
      <c r="AP33">
        <f>SUM($K33:X33)</f>
        <v>0</v>
      </c>
      <c r="AQ33">
        <f>SUM($K33:Y33)</f>
        <v>0</v>
      </c>
      <c r="AR33" t="str">
        <f t="shared" si="3"/>
        <v>ЗАКРЫТО</v>
      </c>
      <c r="AS33" t="str">
        <f t="shared" si="4"/>
        <v>ЗАКРЫТО</v>
      </c>
      <c r="AT33" t="str">
        <f t="shared" si="5"/>
        <v>ЗАКРЫТО</v>
      </c>
      <c r="AU33" t="str">
        <f t="shared" si="6"/>
        <v>ЗАКРЫТО</v>
      </c>
      <c r="AV33" t="str">
        <f t="shared" si="7"/>
        <v>ЗАКРЫТО</v>
      </c>
      <c r="AW33" t="str">
        <f t="shared" si="8"/>
        <v>ЗАКРЫТО</v>
      </c>
      <c r="AX33" t="str">
        <f t="shared" si="9"/>
        <v>ЗАКРЫТО</v>
      </c>
      <c r="AY33" t="str">
        <f t="shared" si="10"/>
        <v>ЗАКРЫТО</v>
      </c>
      <c r="AZ33" t="str">
        <f t="shared" si="11"/>
        <v>ЗАКРЫТО</v>
      </c>
      <c r="BA33" t="str">
        <f t="shared" si="12"/>
        <v>ЗАКРЫТО</v>
      </c>
      <c r="BB33" t="str">
        <f t="shared" si="13"/>
        <v>ЗАКРЫТО</v>
      </c>
      <c r="BC33" t="str">
        <f t="shared" si="14"/>
        <v>ЗАКРЫТО</v>
      </c>
      <c r="BD33" t="str">
        <f t="shared" si="15"/>
        <v>ЗАКРЫТО</v>
      </c>
      <c r="BE33" t="str">
        <f t="shared" si="16"/>
        <v>ЗАКРЫТО</v>
      </c>
      <c r="BF33" t="str">
        <f t="shared" si="17"/>
        <v>ЗАКРЫТО</v>
      </c>
    </row>
    <row r="34" spans="1:58" ht="27.6">
      <c r="A34" s="3" t="s">
        <v>165</v>
      </c>
      <c r="B34" s="3" t="s">
        <v>145</v>
      </c>
      <c r="C34" s="3" t="s">
        <v>90</v>
      </c>
      <c r="D34" s="3" t="s">
        <v>166</v>
      </c>
      <c r="E34" s="3">
        <v>155</v>
      </c>
      <c r="F34" s="3" t="s">
        <v>161</v>
      </c>
      <c r="G34" s="3"/>
      <c r="H34" s="3"/>
      <c r="I34" s="3" t="s">
        <v>167</v>
      </c>
      <c r="J34" s="3" t="s">
        <v>168</v>
      </c>
      <c r="K34" s="4">
        <f>SUMIF('Ход 2026'!$G$29:$G$38,$A34,'Ход 2026'!$I$29:$I$38)</f>
        <v>0</v>
      </c>
      <c r="L34" s="4">
        <f>SUMIF('Ход 2027'!$G$29:$G$38,$A34,'Ход 2027'!$I$29:$I$38)</f>
        <v>0</v>
      </c>
      <c r="M34" s="4">
        <f>SUMIF('Ход 2028'!$G$29:$G$38,$A34,'Ход 2028'!$I$29:$I$38)</f>
        <v>0</v>
      </c>
      <c r="N34" s="4">
        <f>SUMIF('Ход 2029'!$G$29:$G$38,$A34,'Ход 2029'!$I$29:$I$38)</f>
        <v>0</v>
      </c>
      <c r="O34" s="4">
        <f>SUMIF('Ход 2030'!$G$29:$G$38,$A34,'Ход 2030'!$I$29:$I$38)</f>
        <v>0</v>
      </c>
      <c r="P34" s="4">
        <f>SUMIF('Ход 2031'!$G$29:$G$38,$A34,'Ход 2031'!$I$29:$I$38)</f>
        <v>0</v>
      </c>
      <c r="Q34" s="4">
        <f>SUMIF('Ход 2032'!$G$29:$G$38,$A34,'Ход 2032'!$I$29:$I$38)</f>
        <v>0</v>
      </c>
      <c r="R34" s="4">
        <f>SUMIF('Ход 2033'!$G$29:$G$38,$A34,'Ход 2033'!$I$29:$I$38)</f>
        <v>0</v>
      </c>
      <c r="S34" s="4">
        <f>SUMIF('Ход 2034'!$G$29:$G$38,$A34,'Ход 2034'!$I$29:$I$38)</f>
        <v>0</v>
      </c>
      <c r="T34" s="4">
        <f>SUMIF('Ход 2035'!$G$29:$G$38,$A34,'Ход 2035'!$I$29:$I$38)</f>
        <v>0</v>
      </c>
      <c r="U34" s="4">
        <f>SUMIF('Ход 2036'!$G$29:$G$38,$A34,'Ход 2036'!$I$29:$I$38)</f>
        <v>0</v>
      </c>
      <c r="V34" s="4">
        <f>SUMIF('Ход 2037'!$G$29:$G$38,$A34,'Ход 2037'!$I$29:$I$38)</f>
        <v>0</v>
      </c>
      <c r="W34" s="4">
        <f>SUMIF('Ход 2038'!$G$29:$G$38,$A34,'Ход 2038'!$I$29:$I$38)</f>
        <v>0</v>
      </c>
      <c r="X34" s="4">
        <f>SUMIF('Ход 2039'!$G$29:$G$38,$A34,'Ход 2039'!$I$29:$I$38)</f>
        <v>0</v>
      </c>
      <c r="Y34" s="4">
        <f>SUMIF('Ход 2040'!$G$29:$G$38,$A34,'Ход 2040'!$I$29:$I$38)</f>
        <v>0</v>
      </c>
      <c r="Z34" s="5">
        <f t="shared" si="0"/>
        <v>0</v>
      </c>
      <c r="AA34" s="5">
        <f t="shared" si="1"/>
        <v>155</v>
      </c>
      <c r="AB34" s="3" t="str">
        <f t="shared" si="2"/>
        <v>ЗАКРЫТО</v>
      </c>
      <c r="AC34">
        <f>SUM($K34:K34)</f>
        <v>0</v>
      </c>
      <c r="AD34">
        <f>SUM($K34:L34)</f>
        <v>0</v>
      </c>
      <c r="AE34">
        <f>SUM($K34:M34)</f>
        <v>0</v>
      </c>
      <c r="AF34">
        <f>SUM($K34:N34)</f>
        <v>0</v>
      </c>
      <c r="AG34">
        <f>SUM($K34:O34)</f>
        <v>0</v>
      </c>
      <c r="AH34">
        <f>SUM($K34:P34)</f>
        <v>0</v>
      </c>
      <c r="AI34">
        <f>SUM($K34:Q34)</f>
        <v>0</v>
      </c>
      <c r="AJ34">
        <f>SUM($K34:R34)</f>
        <v>0</v>
      </c>
      <c r="AK34">
        <f>SUM($K34:S34)</f>
        <v>0</v>
      </c>
      <c r="AL34">
        <f>SUM($K34:T34)</f>
        <v>0</v>
      </c>
      <c r="AM34">
        <f>SUM($K34:U34)</f>
        <v>0</v>
      </c>
      <c r="AN34">
        <f>SUM($K34:V34)</f>
        <v>0</v>
      </c>
      <c r="AO34">
        <f>SUM($K34:W34)</f>
        <v>0</v>
      </c>
      <c r="AP34">
        <f>SUM($K34:X34)</f>
        <v>0</v>
      </c>
      <c r="AQ34">
        <f>SUM($K34:Y34)</f>
        <v>0</v>
      </c>
      <c r="AR34" t="str">
        <f t="shared" si="3"/>
        <v>ЗАКРЫТО</v>
      </c>
      <c r="AS34" t="str">
        <f t="shared" si="4"/>
        <v>ЗАКРЫТО</v>
      </c>
      <c r="AT34" t="str">
        <f t="shared" si="5"/>
        <v>ЗАКРЫТО</v>
      </c>
      <c r="AU34" t="str">
        <f t="shared" si="6"/>
        <v>ЗАКРЫТО</v>
      </c>
      <c r="AV34" t="str">
        <f t="shared" si="7"/>
        <v>ЗАКРЫТО</v>
      </c>
      <c r="AW34" t="str">
        <f t="shared" si="8"/>
        <v>ЗАКРЫТО</v>
      </c>
      <c r="AX34" t="str">
        <f t="shared" si="9"/>
        <v>ЗАКРЫТО</v>
      </c>
      <c r="AY34" t="str">
        <f t="shared" si="10"/>
        <v>ЗАКРЫТО</v>
      </c>
      <c r="AZ34" t="str">
        <f t="shared" si="11"/>
        <v>ЗАКРЫТО</v>
      </c>
      <c r="BA34" t="str">
        <f t="shared" si="12"/>
        <v>ЗАКРЫТО</v>
      </c>
      <c r="BB34" t="str">
        <f t="shared" si="13"/>
        <v>ЗАКРЫТО</v>
      </c>
      <c r="BC34" t="str">
        <f t="shared" si="14"/>
        <v>ЗАКРЫТО</v>
      </c>
      <c r="BD34" t="str">
        <f t="shared" si="15"/>
        <v>ЗАКРЫТО</v>
      </c>
      <c r="BE34" t="str">
        <f t="shared" si="16"/>
        <v>ЗАКРЫТО</v>
      </c>
      <c r="BF34" t="str">
        <f t="shared" si="17"/>
        <v>ЗАКРЫТО</v>
      </c>
    </row>
    <row r="35" spans="1:58" ht="27.6">
      <c r="A35" s="3" t="s">
        <v>169</v>
      </c>
      <c r="B35" s="3" t="s">
        <v>170</v>
      </c>
      <c r="C35" s="3" t="s">
        <v>66</v>
      </c>
      <c r="D35" s="3" t="s">
        <v>171</v>
      </c>
      <c r="E35" s="3">
        <v>20</v>
      </c>
      <c r="F35" s="3"/>
      <c r="G35" s="3"/>
      <c r="H35" s="3"/>
      <c r="I35" s="3" t="s">
        <v>172</v>
      </c>
      <c r="J35" s="3" t="s">
        <v>173</v>
      </c>
      <c r="K35" s="4">
        <f>SUMIF('Ход 2026'!$G$29:$G$38,$A35,'Ход 2026'!$I$29:$I$38)</f>
        <v>0</v>
      </c>
      <c r="L35" s="4">
        <f>SUMIF('Ход 2027'!$G$29:$G$38,$A35,'Ход 2027'!$I$29:$I$38)</f>
        <v>0</v>
      </c>
      <c r="M35" s="4">
        <f>SUMIF('Ход 2028'!$G$29:$G$38,$A35,'Ход 2028'!$I$29:$I$38)</f>
        <v>0</v>
      </c>
      <c r="N35" s="4">
        <f>SUMIF('Ход 2029'!$G$29:$G$38,$A35,'Ход 2029'!$I$29:$I$38)</f>
        <v>0</v>
      </c>
      <c r="O35" s="4">
        <f>SUMIF('Ход 2030'!$G$29:$G$38,$A35,'Ход 2030'!$I$29:$I$38)</f>
        <v>0</v>
      </c>
      <c r="P35" s="4">
        <f>SUMIF('Ход 2031'!$G$29:$G$38,$A35,'Ход 2031'!$I$29:$I$38)</f>
        <v>0</v>
      </c>
      <c r="Q35" s="4">
        <f>SUMIF('Ход 2032'!$G$29:$G$38,$A35,'Ход 2032'!$I$29:$I$38)</f>
        <v>0</v>
      </c>
      <c r="R35" s="4">
        <f>SUMIF('Ход 2033'!$G$29:$G$38,$A35,'Ход 2033'!$I$29:$I$38)</f>
        <v>0</v>
      </c>
      <c r="S35" s="4">
        <f>SUMIF('Ход 2034'!$G$29:$G$38,$A35,'Ход 2034'!$I$29:$I$38)</f>
        <v>0</v>
      </c>
      <c r="T35" s="4">
        <f>SUMIF('Ход 2035'!$G$29:$G$38,$A35,'Ход 2035'!$I$29:$I$38)</f>
        <v>0</v>
      </c>
      <c r="U35" s="4">
        <f>SUMIF('Ход 2036'!$G$29:$G$38,$A35,'Ход 2036'!$I$29:$I$38)</f>
        <v>0</v>
      </c>
      <c r="V35" s="4">
        <f>SUMIF('Ход 2037'!$G$29:$G$38,$A35,'Ход 2037'!$I$29:$I$38)</f>
        <v>0</v>
      </c>
      <c r="W35" s="4">
        <f>SUMIF('Ход 2038'!$G$29:$G$38,$A35,'Ход 2038'!$I$29:$I$38)</f>
        <v>0</v>
      </c>
      <c r="X35" s="4">
        <f>SUMIF('Ход 2039'!$G$29:$G$38,$A35,'Ход 2039'!$I$29:$I$38)</f>
        <v>0</v>
      </c>
      <c r="Y35" s="4">
        <f>SUMIF('Ход 2040'!$G$29:$G$38,$A35,'Ход 2040'!$I$29:$I$38)</f>
        <v>0</v>
      </c>
      <c r="Z35" s="5">
        <f t="shared" si="0"/>
        <v>0</v>
      </c>
      <c r="AA35" s="5">
        <f t="shared" si="1"/>
        <v>20</v>
      </c>
      <c r="AB35" s="3" t="str">
        <f t="shared" si="2"/>
        <v>ОТКРЫТО</v>
      </c>
      <c r="AC35">
        <f>SUM($K35:K35)</f>
        <v>0</v>
      </c>
      <c r="AD35">
        <f>SUM($K35:L35)</f>
        <v>0</v>
      </c>
      <c r="AE35">
        <f>SUM($K35:M35)</f>
        <v>0</v>
      </c>
      <c r="AF35">
        <f>SUM($K35:N35)</f>
        <v>0</v>
      </c>
      <c r="AG35">
        <f>SUM($K35:O35)</f>
        <v>0</v>
      </c>
      <c r="AH35">
        <f>SUM($K35:P35)</f>
        <v>0</v>
      </c>
      <c r="AI35">
        <f>SUM($K35:Q35)</f>
        <v>0</v>
      </c>
      <c r="AJ35">
        <f>SUM($K35:R35)</f>
        <v>0</v>
      </c>
      <c r="AK35">
        <f>SUM($K35:S35)</f>
        <v>0</v>
      </c>
      <c r="AL35">
        <f>SUM($K35:T35)</f>
        <v>0</v>
      </c>
      <c r="AM35">
        <f>SUM($K35:U35)</f>
        <v>0</v>
      </c>
      <c r="AN35">
        <f>SUM($K35:V35)</f>
        <v>0</v>
      </c>
      <c r="AO35">
        <f>SUM($K35:W35)</f>
        <v>0</v>
      </c>
      <c r="AP35">
        <f>SUM($K35:X35)</f>
        <v>0</v>
      </c>
      <c r="AQ35">
        <f>SUM($K35:Y35)</f>
        <v>0</v>
      </c>
      <c r="AR35" t="str">
        <f t="shared" si="3"/>
        <v>ОТКРЫТО</v>
      </c>
      <c r="AS35" t="str">
        <f t="shared" si="4"/>
        <v>ОТКРЫТО</v>
      </c>
      <c r="AT35" t="str">
        <f t="shared" si="5"/>
        <v>ОТКРЫТО</v>
      </c>
      <c r="AU35" t="str">
        <f t="shared" si="6"/>
        <v>ОТКРЫТО</v>
      </c>
      <c r="AV35" t="str">
        <f t="shared" si="7"/>
        <v>ОТКРЫТО</v>
      </c>
      <c r="AW35" t="str">
        <f t="shared" si="8"/>
        <v>ОТКРЫТО</v>
      </c>
      <c r="AX35" t="str">
        <f t="shared" si="9"/>
        <v>ОТКРЫТО</v>
      </c>
      <c r="AY35" t="str">
        <f t="shared" si="10"/>
        <v>ОТКРЫТО</v>
      </c>
      <c r="AZ35" t="str">
        <f t="shared" si="11"/>
        <v>ОТКРЫТО</v>
      </c>
      <c r="BA35" t="str">
        <f t="shared" si="12"/>
        <v>ОТКРЫТО</v>
      </c>
      <c r="BB35" t="str">
        <f t="shared" si="13"/>
        <v>ОТКРЫТО</v>
      </c>
      <c r="BC35" t="str">
        <f t="shared" si="14"/>
        <v>ОТКРЫТО</v>
      </c>
      <c r="BD35" t="str">
        <f t="shared" si="15"/>
        <v>ОТКРЫТО</v>
      </c>
      <c r="BE35" t="str">
        <f t="shared" si="16"/>
        <v>ОТКРЫТО</v>
      </c>
      <c r="BF35" t="str">
        <f t="shared" si="17"/>
        <v>ОТКРЫТО</v>
      </c>
    </row>
    <row r="36" spans="1:58" ht="27.6">
      <c r="A36" s="3" t="s">
        <v>174</v>
      </c>
      <c r="B36" s="3" t="s">
        <v>170</v>
      </c>
      <c r="C36" s="3" t="s">
        <v>71</v>
      </c>
      <c r="D36" s="3" t="s">
        <v>175</v>
      </c>
      <c r="E36" s="3">
        <v>40</v>
      </c>
      <c r="F36" s="3" t="s">
        <v>169</v>
      </c>
      <c r="G36" s="3"/>
      <c r="H36" s="3"/>
      <c r="I36" s="3" t="s">
        <v>176</v>
      </c>
      <c r="J36" s="3" t="s">
        <v>177</v>
      </c>
      <c r="K36" s="4">
        <f>SUMIF('Ход 2026'!$G$29:$G$38,$A36,'Ход 2026'!$I$29:$I$38)</f>
        <v>0</v>
      </c>
      <c r="L36" s="4">
        <f>SUMIF('Ход 2027'!$G$29:$G$38,$A36,'Ход 2027'!$I$29:$I$38)</f>
        <v>0</v>
      </c>
      <c r="M36" s="4">
        <f>SUMIF('Ход 2028'!$G$29:$G$38,$A36,'Ход 2028'!$I$29:$I$38)</f>
        <v>0</v>
      </c>
      <c r="N36" s="4">
        <f>SUMIF('Ход 2029'!$G$29:$G$38,$A36,'Ход 2029'!$I$29:$I$38)</f>
        <v>0</v>
      </c>
      <c r="O36" s="4">
        <f>SUMIF('Ход 2030'!$G$29:$G$38,$A36,'Ход 2030'!$I$29:$I$38)</f>
        <v>0</v>
      </c>
      <c r="P36" s="4">
        <f>SUMIF('Ход 2031'!$G$29:$G$38,$A36,'Ход 2031'!$I$29:$I$38)</f>
        <v>0</v>
      </c>
      <c r="Q36" s="4">
        <f>SUMIF('Ход 2032'!$G$29:$G$38,$A36,'Ход 2032'!$I$29:$I$38)</f>
        <v>0</v>
      </c>
      <c r="R36" s="4">
        <f>SUMIF('Ход 2033'!$G$29:$G$38,$A36,'Ход 2033'!$I$29:$I$38)</f>
        <v>0</v>
      </c>
      <c r="S36" s="4">
        <f>SUMIF('Ход 2034'!$G$29:$G$38,$A36,'Ход 2034'!$I$29:$I$38)</f>
        <v>0</v>
      </c>
      <c r="T36" s="4">
        <f>SUMIF('Ход 2035'!$G$29:$G$38,$A36,'Ход 2035'!$I$29:$I$38)</f>
        <v>0</v>
      </c>
      <c r="U36" s="4">
        <f>SUMIF('Ход 2036'!$G$29:$G$38,$A36,'Ход 2036'!$I$29:$I$38)</f>
        <v>0</v>
      </c>
      <c r="V36" s="4">
        <f>SUMIF('Ход 2037'!$G$29:$G$38,$A36,'Ход 2037'!$I$29:$I$38)</f>
        <v>0</v>
      </c>
      <c r="W36" s="4">
        <f>SUMIF('Ход 2038'!$G$29:$G$38,$A36,'Ход 2038'!$I$29:$I$38)</f>
        <v>0</v>
      </c>
      <c r="X36" s="4">
        <f>SUMIF('Ход 2039'!$G$29:$G$38,$A36,'Ход 2039'!$I$29:$I$38)</f>
        <v>0</v>
      </c>
      <c r="Y36" s="4">
        <f>SUMIF('Ход 2040'!$G$29:$G$38,$A36,'Ход 2040'!$I$29:$I$38)</f>
        <v>0</v>
      </c>
      <c r="Z36" s="5">
        <f t="shared" si="0"/>
        <v>0</v>
      </c>
      <c r="AA36" s="5">
        <f t="shared" si="1"/>
        <v>40</v>
      </c>
      <c r="AB36" s="3" t="str">
        <f t="shared" si="2"/>
        <v>ЗАКРЫТО</v>
      </c>
      <c r="AC36">
        <f>SUM($K36:K36)</f>
        <v>0</v>
      </c>
      <c r="AD36">
        <f>SUM($K36:L36)</f>
        <v>0</v>
      </c>
      <c r="AE36">
        <f>SUM($K36:M36)</f>
        <v>0</v>
      </c>
      <c r="AF36">
        <f>SUM($K36:N36)</f>
        <v>0</v>
      </c>
      <c r="AG36">
        <f>SUM($K36:O36)</f>
        <v>0</v>
      </c>
      <c r="AH36">
        <f>SUM($K36:P36)</f>
        <v>0</v>
      </c>
      <c r="AI36">
        <f>SUM($K36:Q36)</f>
        <v>0</v>
      </c>
      <c r="AJ36">
        <f>SUM($K36:R36)</f>
        <v>0</v>
      </c>
      <c r="AK36">
        <f>SUM($K36:S36)</f>
        <v>0</v>
      </c>
      <c r="AL36">
        <f>SUM($K36:T36)</f>
        <v>0</v>
      </c>
      <c r="AM36">
        <f>SUM($K36:U36)</f>
        <v>0</v>
      </c>
      <c r="AN36">
        <f>SUM($K36:V36)</f>
        <v>0</v>
      </c>
      <c r="AO36">
        <f>SUM($K36:W36)</f>
        <v>0</v>
      </c>
      <c r="AP36">
        <f>SUM($K36:X36)</f>
        <v>0</v>
      </c>
      <c r="AQ36">
        <f>SUM($K36:Y36)</f>
        <v>0</v>
      </c>
      <c r="AR36" t="str">
        <f t="shared" si="3"/>
        <v>ЗАКРЫТО</v>
      </c>
      <c r="AS36" t="str">
        <f t="shared" si="4"/>
        <v>ЗАКРЫТО</v>
      </c>
      <c r="AT36" t="str">
        <f t="shared" si="5"/>
        <v>ЗАКРЫТО</v>
      </c>
      <c r="AU36" t="str">
        <f t="shared" si="6"/>
        <v>ЗАКРЫТО</v>
      </c>
      <c r="AV36" t="str">
        <f t="shared" si="7"/>
        <v>ЗАКРЫТО</v>
      </c>
      <c r="AW36" t="str">
        <f t="shared" si="8"/>
        <v>ЗАКРЫТО</v>
      </c>
      <c r="AX36" t="str">
        <f t="shared" si="9"/>
        <v>ЗАКРЫТО</v>
      </c>
      <c r="AY36" t="str">
        <f t="shared" si="10"/>
        <v>ЗАКРЫТО</v>
      </c>
      <c r="AZ36" t="str">
        <f t="shared" si="11"/>
        <v>ЗАКРЫТО</v>
      </c>
      <c r="BA36" t="str">
        <f t="shared" si="12"/>
        <v>ЗАКРЫТО</v>
      </c>
      <c r="BB36" t="str">
        <f t="shared" si="13"/>
        <v>ЗАКРЫТО</v>
      </c>
      <c r="BC36" t="str">
        <f t="shared" si="14"/>
        <v>ЗАКРЫТО</v>
      </c>
      <c r="BD36" t="str">
        <f t="shared" si="15"/>
        <v>ЗАКРЫТО</v>
      </c>
      <c r="BE36" t="str">
        <f t="shared" si="16"/>
        <v>ЗАКРЫТО</v>
      </c>
      <c r="BF36" t="str">
        <f t="shared" si="17"/>
        <v>ЗАКРЫТО</v>
      </c>
    </row>
    <row r="37" spans="1:58" ht="27.6">
      <c r="A37" s="3" t="s">
        <v>178</v>
      </c>
      <c r="B37" s="3" t="s">
        <v>170</v>
      </c>
      <c r="C37" s="3" t="s">
        <v>71</v>
      </c>
      <c r="D37" s="3" t="s">
        <v>179</v>
      </c>
      <c r="E37" s="3">
        <v>45</v>
      </c>
      <c r="F37" s="3" t="s">
        <v>169</v>
      </c>
      <c r="G37" s="3"/>
      <c r="H37" s="3"/>
      <c r="I37" s="3" t="s">
        <v>180</v>
      </c>
      <c r="J37" s="3" t="s">
        <v>181</v>
      </c>
      <c r="K37" s="4">
        <f>SUMIF('Ход 2026'!$G$29:$G$38,$A37,'Ход 2026'!$I$29:$I$38)</f>
        <v>0</v>
      </c>
      <c r="L37" s="4">
        <f>SUMIF('Ход 2027'!$G$29:$G$38,$A37,'Ход 2027'!$I$29:$I$38)</f>
        <v>0</v>
      </c>
      <c r="M37" s="4">
        <f>SUMIF('Ход 2028'!$G$29:$G$38,$A37,'Ход 2028'!$I$29:$I$38)</f>
        <v>0</v>
      </c>
      <c r="N37" s="4">
        <f>SUMIF('Ход 2029'!$G$29:$G$38,$A37,'Ход 2029'!$I$29:$I$38)</f>
        <v>0</v>
      </c>
      <c r="O37" s="4">
        <f>SUMIF('Ход 2030'!$G$29:$G$38,$A37,'Ход 2030'!$I$29:$I$38)</f>
        <v>0</v>
      </c>
      <c r="P37" s="4">
        <f>SUMIF('Ход 2031'!$G$29:$G$38,$A37,'Ход 2031'!$I$29:$I$38)</f>
        <v>0</v>
      </c>
      <c r="Q37" s="4">
        <f>SUMIF('Ход 2032'!$G$29:$G$38,$A37,'Ход 2032'!$I$29:$I$38)</f>
        <v>0</v>
      </c>
      <c r="R37" s="4">
        <f>SUMIF('Ход 2033'!$G$29:$G$38,$A37,'Ход 2033'!$I$29:$I$38)</f>
        <v>0</v>
      </c>
      <c r="S37" s="4">
        <f>SUMIF('Ход 2034'!$G$29:$G$38,$A37,'Ход 2034'!$I$29:$I$38)</f>
        <v>0</v>
      </c>
      <c r="T37" s="4">
        <f>SUMIF('Ход 2035'!$G$29:$G$38,$A37,'Ход 2035'!$I$29:$I$38)</f>
        <v>0</v>
      </c>
      <c r="U37" s="4">
        <f>SUMIF('Ход 2036'!$G$29:$G$38,$A37,'Ход 2036'!$I$29:$I$38)</f>
        <v>0</v>
      </c>
      <c r="V37" s="4">
        <f>SUMIF('Ход 2037'!$G$29:$G$38,$A37,'Ход 2037'!$I$29:$I$38)</f>
        <v>0</v>
      </c>
      <c r="W37" s="4">
        <f>SUMIF('Ход 2038'!$G$29:$G$38,$A37,'Ход 2038'!$I$29:$I$38)</f>
        <v>0</v>
      </c>
      <c r="X37" s="4">
        <f>SUMIF('Ход 2039'!$G$29:$G$38,$A37,'Ход 2039'!$I$29:$I$38)</f>
        <v>0</v>
      </c>
      <c r="Y37" s="4">
        <f>SUMIF('Ход 2040'!$G$29:$G$38,$A37,'Ход 2040'!$I$29:$I$38)</f>
        <v>0</v>
      </c>
      <c r="Z37" s="5">
        <f t="shared" si="0"/>
        <v>0</v>
      </c>
      <c r="AA37" s="5">
        <f t="shared" si="1"/>
        <v>45</v>
      </c>
      <c r="AB37" s="3" t="str">
        <f t="shared" si="2"/>
        <v>ЗАКРЫТО</v>
      </c>
      <c r="AC37">
        <f>SUM($K37:K37)</f>
        <v>0</v>
      </c>
      <c r="AD37">
        <f>SUM($K37:L37)</f>
        <v>0</v>
      </c>
      <c r="AE37">
        <f>SUM($K37:M37)</f>
        <v>0</v>
      </c>
      <c r="AF37">
        <f>SUM($K37:N37)</f>
        <v>0</v>
      </c>
      <c r="AG37">
        <f>SUM($K37:O37)</f>
        <v>0</v>
      </c>
      <c r="AH37">
        <f>SUM($K37:P37)</f>
        <v>0</v>
      </c>
      <c r="AI37">
        <f>SUM($K37:Q37)</f>
        <v>0</v>
      </c>
      <c r="AJ37">
        <f>SUM($K37:R37)</f>
        <v>0</v>
      </c>
      <c r="AK37">
        <f>SUM($K37:S37)</f>
        <v>0</v>
      </c>
      <c r="AL37">
        <f>SUM($K37:T37)</f>
        <v>0</v>
      </c>
      <c r="AM37">
        <f>SUM($K37:U37)</f>
        <v>0</v>
      </c>
      <c r="AN37">
        <f>SUM($K37:V37)</f>
        <v>0</v>
      </c>
      <c r="AO37">
        <f>SUM($K37:W37)</f>
        <v>0</v>
      </c>
      <c r="AP37">
        <f>SUM($K37:X37)</f>
        <v>0</v>
      </c>
      <c r="AQ37">
        <f>SUM($K37:Y37)</f>
        <v>0</v>
      </c>
      <c r="AR37" t="str">
        <f t="shared" si="3"/>
        <v>ЗАКРЫТО</v>
      </c>
      <c r="AS37" t="str">
        <f t="shared" si="4"/>
        <v>ЗАКРЫТО</v>
      </c>
      <c r="AT37" t="str">
        <f t="shared" si="5"/>
        <v>ЗАКРЫТО</v>
      </c>
      <c r="AU37" t="str">
        <f t="shared" si="6"/>
        <v>ЗАКРЫТО</v>
      </c>
      <c r="AV37" t="str">
        <f t="shared" si="7"/>
        <v>ЗАКРЫТО</v>
      </c>
      <c r="AW37" t="str">
        <f t="shared" si="8"/>
        <v>ЗАКРЫТО</v>
      </c>
      <c r="AX37" t="str">
        <f t="shared" si="9"/>
        <v>ЗАКРЫТО</v>
      </c>
      <c r="AY37" t="str">
        <f t="shared" si="10"/>
        <v>ЗАКРЫТО</v>
      </c>
      <c r="AZ37" t="str">
        <f t="shared" si="11"/>
        <v>ЗАКРЫТО</v>
      </c>
      <c r="BA37" t="str">
        <f t="shared" si="12"/>
        <v>ЗАКРЫТО</v>
      </c>
      <c r="BB37" t="str">
        <f t="shared" si="13"/>
        <v>ЗАКРЫТО</v>
      </c>
      <c r="BC37" t="str">
        <f t="shared" si="14"/>
        <v>ЗАКРЫТО</v>
      </c>
      <c r="BD37" t="str">
        <f t="shared" si="15"/>
        <v>ЗАКРЫТО</v>
      </c>
      <c r="BE37" t="str">
        <f t="shared" si="16"/>
        <v>ЗАКРЫТО</v>
      </c>
      <c r="BF37" t="str">
        <f t="shared" si="17"/>
        <v>ЗАКРЫТО</v>
      </c>
    </row>
    <row r="38" spans="1:58" ht="27.6">
      <c r="A38" s="3" t="s">
        <v>182</v>
      </c>
      <c r="B38" s="3" t="s">
        <v>170</v>
      </c>
      <c r="C38" s="3" t="s">
        <v>80</v>
      </c>
      <c r="D38" s="3" t="s">
        <v>183</v>
      </c>
      <c r="E38" s="3">
        <v>70</v>
      </c>
      <c r="F38" s="3" t="s">
        <v>174</v>
      </c>
      <c r="G38" s="3" t="s">
        <v>178</v>
      </c>
      <c r="H38" s="3"/>
      <c r="I38" s="3" t="s">
        <v>184</v>
      </c>
      <c r="J38" s="3" t="s">
        <v>185</v>
      </c>
      <c r="K38" s="4">
        <f>SUMIF('Ход 2026'!$G$29:$G$38,$A38,'Ход 2026'!$I$29:$I$38)</f>
        <v>0</v>
      </c>
      <c r="L38" s="4">
        <f>SUMIF('Ход 2027'!$G$29:$G$38,$A38,'Ход 2027'!$I$29:$I$38)</f>
        <v>0</v>
      </c>
      <c r="M38" s="4">
        <f>SUMIF('Ход 2028'!$G$29:$G$38,$A38,'Ход 2028'!$I$29:$I$38)</f>
        <v>0</v>
      </c>
      <c r="N38" s="4">
        <f>SUMIF('Ход 2029'!$G$29:$G$38,$A38,'Ход 2029'!$I$29:$I$38)</f>
        <v>0</v>
      </c>
      <c r="O38" s="4">
        <f>SUMIF('Ход 2030'!$G$29:$G$38,$A38,'Ход 2030'!$I$29:$I$38)</f>
        <v>0</v>
      </c>
      <c r="P38" s="4">
        <f>SUMIF('Ход 2031'!$G$29:$G$38,$A38,'Ход 2031'!$I$29:$I$38)</f>
        <v>0</v>
      </c>
      <c r="Q38" s="4">
        <f>SUMIF('Ход 2032'!$G$29:$G$38,$A38,'Ход 2032'!$I$29:$I$38)</f>
        <v>0</v>
      </c>
      <c r="R38" s="4">
        <f>SUMIF('Ход 2033'!$G$29:$G$38,$A38,'Ход 2033'!$I$29:$I$38)</f>
        <v>0</v>
      </c>
      <c r="S38" s="4">
        <f>SUMIF('Ход 2034'!$G$29:$G$38,$A38,'Ход 2034'!$I$29:$I$38)</f>
        <v>0</v>
      </c>
      <c r="T38" s="4">
        <f>SUMIF('Ход 2035'!$G$29:$G$38,$A38,'Ход 2035'!$I$29:$I$38)</f>
        <v>0</v>
      </c>
      <c r="U38" s="4">
        <f>SUMIF('Ход 2036'!$G$29:$G$38,$A38,'Ход 2036'!$I$29:$I$38)</f>
        <v>0</v>
      </c>
      <c r="V38" s="4">
        <f>SUMIF('Ход 2037'!$G$29:$G$38,$A38,'Ход 2037'!$I$29:$I$38)</f>
        <v>0</v>
      </c>
      <c r="W38" s="4">
        <f>SUMIF('Ход 2038'!$G$29:$G$38,$A38,'Ход 2038'!$I$29:$I$38)</f>
        <v>0</v>
      </c>
      <c r="X38" s="4">
        <f>SUMIF('Ход 2039'!$G$29:$G$38,$A38,'Ход 2039'!$I$29:$I$38)</f>
        <v>0</v>
      </c>
      <c r="Y38" s="4">
        <f>SUMIF('Ход 2040'!$G$29:$G$38,$A38,'Ход 2040'!$I$29:$I$38)</f>
        <v>0</v>
      </c>
      <c r="Z38" s="5">
        <f t="shared" si="0"/>
        <v>0</v>
      </c>
      <c r="AA38" s="5">
        <f t="shared" si="1"/>
        <v>70</v>
      </c>
      <c r="AB38" s="3" t="str">
        <f t="shared" si="2"/>
        <v>ЗАКРЫТО</v>
      </c>
      <c r="AC38">
        <f>SUM($K38:K38)</f>
        <v>0</v>
      </c>
      <c r="AD38">
        <f>SUM($K38:L38)</f>
        <v>0</v>
      </c>
      <c r="AE38">
        <f>SUM($K38:M38)</f>
        <v>0</v>
      </c>
      <c r="AF38">
        <f>SUM($K38:N38)</f>
        <v>0</v>
      </c>
      <c r="AG38">
        <f>SUM($K38:O38)</f>
        <v>0</v>
      </c>
      <c r="AH38">
        <f>SUM($K38:P38)</f>
        <v>0</v>
      </c>
      <c r="AI38">
        <f>SUM($K38:Q38)</f>
        <v>0</v>
      </c>
      <c r="AJ38">
        <f>SUM($K38:R38)</f>
        <v>0</v>
      </c>
      <c r="AK38">
        <f>SUM($K38:S38)</f>
        <v>0</v>
      </c>
      <c r="AL38">
        <f>SUM($K38:T38)</f>
        <v>0</v>
      </c>
      <c r="AM38">
        <f>SUM($K38:U38)</f>
        <v>0</v>
      </c>
      <c r="AN38">
        <f>SUM($K38:V38)</f>
        <v>0</v>
      </c>
      <c r="AO38">
        <f>SUM($K38:W38)</f>
        <v>0</v>
      </c>
      <c r="AP38">
        <f>SUM($K38:X38)</f>
        <v>0</v>
      </c>
      <c r="AQ38">
        <f>SUM($K38:Y38)</f>
        <v>0</v>
      </c>
      <c r="AR38" t="str">
        <f t="shared" si="3"/>
        <v>ЗАКРЫТО</v>
      </c>
      <c r="AS38" t="str">
        <f t="shared" si="4"/>
        <v>ЗАКРЫТО</v>
      </c>
      <c r="AT38" t="str">
        <f t="shared" si="5"/>
        <v>ЗАКРЫТО</v>
      </c>
      <c r="AU38" t="str">
        <f t="shared" si="6"/>
        <v>ЗАКРЫТО</v>
      </c>
      <c r="AV38" t="str">
        <f t="shared" si="7"/>
        <v>ЗАКРЫТО</v>
      </c>
      <c r="AW38" t="str">
        <f t="shared" si="8"/>
        <v>ЗАКРЫТО</v>
      </c>
      <c r="AX38" t="str">
        <f t="shared" si="9"/>
        <v>ЗАКРЫТО</v>
      </c>
      <c r="AY38" t="str">
        <f t="shared" si="10"/>
        <v>ЗАКРЫТО</v>
      </c>
      <c r="AZ38" t="str">
        <f t="shared" si="11"/>
        <v>ЗАКРЫТО</v>
      </c>
      <c r="BA38" t="str">
        <f t="shared" si="12"/>
        <v>ЗАКРЫТО</v>
      </c>
      <c r="BB38" t="str">
        <f t="shared" si="13"/>
        <v>ЗАКРЫТО</v>
      </c>
      <c r="BC38" t="str">
        <f t="shared" si="14"/>
        <v>ЗАКРЫТО</v>
      </c>
      <c r="BD38" t="str">
        <f t="shared" si="15"/>
        <v>ЗАКРЫТО</v>
      </c>
      <c r="BE38" t="str">
        <f t="shared" si="16"/>
        <v>ЗАКРЫТО</v>
      </c>
      <c r="BF38" t="str">
        <f t="shared" si="17"/>
        <v>ЗАКРЫТО</v>
      </c>
    </row>
    <row r="39" spans="1:58" ht="27.6">
      <c r="A39" s="3" t="s">
        <v>186</v>
      </c>
      <c r="B39" s="3" t="s">
        <v>170</v>
      </c>
      <c r="C39" s="3" t="s">
        <v>85</v>
      </c>
      <c r="D39" s="3" t="s">
        <v>187</v>
      </c>
      <c r="E39" s="3">
        <v>105</v>
      </c>
      <c r="F39" s="3" t="s">
        <v>182</v>
      </c>
      <c r="G39" s="3"/>
      <c r="H39" s="3"/>
      <c r="I39" s="3" t="s">
        <v>188</v>
      </c>
      <c r="J39" s="3" t="s">
        <v>189</v>
      </c>
      <c r="K39" s="4">
        <f>SUMIF('Ход 2026'!$G$29:$G$38,$A39,'Ход 2026'!$I$29:$I$38)</f>
        <v>0</v>
      </c>
      <c r="L39" s="4">
        <f>SUMIF('Ход 2027'!$G$29:$G$38,$A39,'Ход 2027'!$I$29:$I$38)</f>
        <v>0</v>
      </c>
      <c r="M39" s="4">
        <f>SUMIF('Ход 2028'!$G$29:$G$38,$A39,'Ход 2028'!$I$29:$I$38)</f>
        <v>0</v>
      </c>
      <c r="N39" s="4">
        <f>SUMIF('Ход 2029'!$G$29:$G$38,$A39,'Ход 2029'!$I$29:$I$38)</f>
        <v>0</v>
      </c>
      <c r="O39" s="4">
        <f>SUMIF('Ход 2030'!$G$29:$G$38,$A39,'Ход 2030'!$I$29:$I$38)</f>
        <v>0</v>
      </c>
      <c r="P39" s="4">
        <f>SUMIF('Ход 2031'!$G$29:$G$38,$A39,'Ход 2031'!$I$29:$I$38)</f>
        <v>0</v>
      </c>
      <c r="Q39" s="4">
        <f>SUMIF('Ход 2032'!$G$29:$G$38,$A39,'Ход 2032'!$I$29:$I$38)</f>
        <v>0</v>
      </c>
      <c r="R39" s="4">
        <f>SUMIF('Ход 2033'!$G$29:$G$38,$A39,'Ход 2033'!$I$29:$I$38)</f>
        <v>0</v>
      </c>
      <c r="S39" s="4">
        <f>SUMIF('Ход 2034'!$G$29:$G$38,$A39,'Ход 2034'!$I$29:$I$38)</f>
        <v>0</v>
      </c>
      <c r="T39" s="4">
        <f>SUMIF('Ход 2035'!$G$29:$G$38,$A39,'Ход 2035'!$I$29:$I$38)</f>
        <v>0</v>
      </c>
      <c r="U39" s="4">
        <f>SUMIF('Ход 2036'!$G$29:$G$38,$A39,'Ход 2036'!$I$29:$I$38)</f>
        <v>0</v>
      </c>
      <c r="V39" s="4">
        <f>SUMIF('Ход 2037'!$G$29:$G$38,$A39,'Ход 2037'!$I$29:$I$38)</f>
        <v>0</v>
      </c>
      <c r="W39" s="4">
        <f>SUMIF('Ход 2038'!$G$29:$G$38,$A39,'Ход 2038'!$I$29:$I$38)</f>
        <v>0</v>
      </c>
      <c r="X39" s="4">
        <f>SUMIF('Ход 2039'!$G$29:$G$38,$A39,'Ход 2039'!$I$29:$I$38)</f>
        <v>0</v>
      </c>
      <c r="Y39" s="4">
        <f>SUMIF('Ход 2040'!$G$29:$G$38,$A39,'Ход 2040'!$I$29:$I$38)</f>
        <v>0</v>
      </c>
      <c r="Z39" s="5">
        <f t="shared" si="0"/>
        <v>0</v>
      </c>
      <c r="AA39" s="5">
        <f t="shared" si="1"/>
        <v>105</v>
      </c>
      <c r="AB39" s="3" t="str">
        <f t="shared" si="2"/>
        <v>ЗАКРЫТО</v>
      </c>
      <c r="AC39">
        <f>SUM($K39:K39)</f>
        <v>0</v>
      </c>
      <c r="AD39">
        <f>SUM($K39:L39)</f>
        <v>0</v>
      </c>
      <c r="AE39">
        <f>SUM($K39:M39)</f>
        <v>0</v>
      </c>
      <c r="AF39">
        <f>SUM($K39:N39)</f>
        <v>0</v>
      </c>
      <c r="AG39">
        <f>SUM($K39:O39)</f>
        <v>0</v>
      </c>
      <c r="AH39">
        <f>SUM($K39:P39)</f>
        <v>0</v>
      </c>
      <c r="AI39">
        <f>SUM($K39:Q39)</f>
        <v>0</v>
      </c>
      <c r="AJ39">
        <f>SUM($K39:R39)</f>
        <v>0</v>
      </c>
      <c r="AK39">
        <f>SUM($K39:S39)</f>
        <v>0</v>
      </c>
      <c r="AL39">
        <f>SUM($K39:T39)</f>
        <v>0</v>
      </c>
      <c r="AM39">
        <f>SUM($K39:U39)</f>
        <v>0</v>
      </c>
      <c r="AN39">
        <f>SUM($K39:V39)</f>
        <v>0</v>
      </c>
      <c r="AO39">
        <f>SUM($K39:W39)</f>
        <v>0</v>
      </c>
      <c r="AP39">
        <f>SUM($K39:X39)</f>
        <v>0</v>
      </c>
      <c r="AQ39">
        <f>SUM($K39:Y39)</f>
        <v>0</v>
      </c>
      <c r="AR39" t="str">
        <f t="shared" si="3"/>
        <v>ЗАКРЫТО</v>
      </c>
      <c r="AS39" t="str">
        <f t="shared" si="4"/>
        <v>ЗАКРЫТО</v>
      </c>
      <c r="AT39" t="str">
        <f t="shared" si="5"/>
        <v>ЗАКРЫТО</v>
      </c>
      <c r="AU39" t="str">
        <f t="shared" si="6"/>
        <v>ЗАКРЫТО</v>
      </c>
      <c r="AV39" t="str">
        <f t="shared" si="7"/>
        <v>ЗАКРЫТО</v>
      </c>
      <c r="AW39" t="str">
        <f t="shared" si="8"/>
        <v>ЗАКРЫТО</v>
      </c>
      <c r="AX39" t="str">
        <f t="shared" si="9"/>
        <v>ЗАКРЫТО</v>
      </c>
      <c r="AY39" t="str">
        <f t="shared" si="10"/>
        <v>ЗАКРЫТО</v>
      </c>
      <c r="AZ39" t="str">
        <f t="shared" si="11"/>
        <v>ЗАКРЫТО</v>
      </c>
      <c r="BA39" t="str">
        <f t="shared" si="12"/>
        <v>ЗАКРЫТО</v>
      </c>
      <c r="BB39" t="str">
        <f t="shared" si="13"/>
        <v>ЗАКРЫТО</v>
      </c>
      <c r="BC39" t="str">
        <f t="shared" si="14"/>
        <v>ЗАКРЫТО</v>
      </c>
      <c r="BD39" t="str">
        <f t="shared" si="15"/>
        <v>ЗАКРЫТО</v>
      </c>
      <c r="BE39" t="str">
        <f t="shared" si="16"/>
        <v>ЗАКРЫТО</v>
      </c>
      <c r="BF39" t="str">
        <f t="shared" si="17"/>
        <v>ЗАКРЫТО</v>
      </c>
    </row>
    <row r="40" spans="1:58" ht="41.4">
      <c r="A40" s="3" t="s">
        <v>190</v>
      </c>
      <c r="B40" s="3" t="s">
        <v>170</v>
      </c>
      <c r="C40" s="3" t="s">
        <v>90</v>
      </c>
      <c r="D40" s="3" t="s">
        <v>191</v>
      </c>
      <c r="E40" s="3">
        <v>150</v>
      </c>
      <c r="F40" s="3" t="s">
        <v>186</v>
      </c>
      <c r="G40" s="3"/>
      <c r="H40" s="3"/>
      <c r="I40" s="3" t="s">
        <v>192</v>
      </c>
      <c r="J40" s="3" t="s">
        <v>193</v>
      </c>
      <c r="K40" s="4">
        <f>SUMIF('Ход 2026'!$G$29:$G$38,$A40,'Ход 2026'!$I$29:$I$38)</f>
        <v>0</v>
      </c>
      <c r="L40" s="4">
        <f>SUMIF('Ход 2027'!$G$29:$G$38,$A40,'Ход 2027'!$I$29:$I$38)</f>
        <v>0</v>
      </c>
      <c r="M40" s="4">
        <f>SUMIF('Ход 2028'!$G$29:$G$38,$A40,'Ход 2028'!$I$29:$I$38)</f>
        <v>0</v>
      </c>
      <c r="N40" s="4">
        <f>SUMIF('Ход 2029'!$G$29:$G$38,$A40,'Ход 2029'!$I$29:$I$38)</f>
        <v>0</v>
      </c>
      <c r="O40" s="4">
        <f>SUMIF('Ход 2030'!$G$29:$G$38,$A40,'Ход 2030'!$I$29:$I$38)</f>
        <v>0</v>
      </c>
      <c r="P40" s="4">
        <f>SUMIF('Ход 2031'!$G$29:$G$38,$A40,'Ход 2031'!$I$29:$I$38)</f>
        <v>0</v>
      </c>
      <c r="Q40" s="4">
        <f>SUMIF('Ход 2032'!$G$29:$G$38,$A40,'Ход 2032'!$I$29:$I$38)</f>
        <v>0</v>
      </c>
      <c r="R40" s="4">
        <f>SUMIF('Ход 2033'!$G$29:$G$38,$A40,'Ход 2033'!$I$29:$I$38)</f>
        <v>0</v>
      </c>
      <c r="S40" s="4">
        <f>SUMIF('Ход 2034'!$G$29:$G$38,$A40,'Ход 2034'!$I$29:$I$38)</f>
        <v>0</v>
      </c>
      <c r="T40" s="4">
        <f>SUMIF('Ход 2035'!$G$29:$G$38,$A40,'Ход 2035'!$I$29:$I$38)</f>
        <v>0</v>
      </c>
      <c r="U40" s="4">
        <f>SUMIF('Ход 2036'!$G$29:$G$38,$A40,'Ход 2036'!$I$29:$I$38)</f>
        <v>0</v>
      </c>
      <c r="V40" s="4">
        <f>SUMIF('Ход 2037'!$G$29:$G$38,$A40,'Ход 2037'!$I$29:$I$38)</f>
        <v>0</v>
      </c>
      <c r="W40" s="4">
        <f>SUMIF('Ход 2038'!$G$29:$G$38,$A40,'Ход 2038'!$I$29:$I$38)</f>
        <v>0</v>
      </c>
      <c r="X40" s="4">
        <f>SUMIF('Ход 2039'!$G$29:$G$38,$A40,'Ход 2039'!$I$29:$I$38)</f>
        <v>0</v>
      </c>
      <c r="Y40" s="4">
        <f>SUMIF('Ход 2040'!$G$29:$G$38,$A40,'Ход 2040'!$I$29:$I$38)</f>
        <v>0</v>
      </c>
      <c r="Z40" s="5">
        <f t="shared" si="0"/>
        <v>0</v>
      </c>
      <c r="AA40" s="5">
        <f t="shared" si="1"/>
        <v>150</v>
      </c>
      <c r="AB40" s="3" t="str">
        <f t="shared" si="2"/>
        <v>ЗАКРЫТО</v>
      </c>
      <c r="AC40">
        <f>SUM($K40:K40)</f>
        <v>0</v>
      </c>
      <c r="AD40">
        <f>SUM($K40:L40)</f>
        <v>0</v>
      </c>
      <c r="AE40">
        <f>SUM($K40:M40)</f>
        <v>0</v>
      </c>
      <c r="AF40">
        <f>SUM($K40:N40)</f>
        <v>0</v>
      </c>
      <c r="AG40">
        <f>SUM($K40:O40)</f>
        <v>0</v>
      </c>
      <c r="AH40">
        <f>SUM($K40:P40)</f>
        <v>0</v>
      </c>
      <c r="AI40">
        <f>SUM($K40:Q40)</f>
        <v>0</v>
      </c>
      <c r="AJ40">
        <f>SUM($K40:R40)</f>
        <v>0</v>
      </c>
      <c r="AK40">
        <f>SUM($K40:S40)</f>
        <v>0</v>
      </c>
      <c r="AL40">
        <f>SUM($K40:T40)</f>
        <v>0</v>
      </c>
      <c r="AM40">
        <f>SUM($K40:U40)</f>
        <v>0</v>
      </c>
      <c r="AN40">
        <f>SUM($K40:V40)</f>
        <v>0</v>
      </c>
      <c r="AO40">
        <f>SUM($K40:W40)</f>
        <v>0</v>
      </c>
      <c r="AP40">
        <f>SUM($K40:X40)</f>
        <v>0</v>
      </c>
      <c r="AQ40">
        <f>SUM($K40:Y40)</f>
        <v>0</v>
      </c>
      <c r="AR40" t="str">
        <f t="shared" si="3"/>
        <v>ЗАКРЫТО</v>
      </c>
      <c r="AS40" t="str">
        <f t="shared" si="4"/>
        <v>ЗАКРЫТО</v>
      </c>
      <c r="AT40" t="str">
        <f t="shared" si="5"/>
        <v>ЗАКРЫТО</v>
      </c>
      <c r="AU40" t="str">
        <f t="shared" si="6"/>
        <v>ЗАКРЫТО</v>
      </c>
      <c r="AV40" t="str">
        <f t="shared" si="7"/>
        <v>ЗАКРЫТО</v>
      </c>
      <c r="AW40" t="str">
        <f t="shared" si="8"/>
        <v>ЗАКРЫТО</v>
      </c>
      <c r="AX40" t="str">
        <f t="shared" si="9"/>
        <v>ЗАКРЫТО</v>
      </c>
      <c r="AY40" t="str">
        <f t="shared" si="10"/>
        <v>ЗАКРЫТО</v>
      </c>
      <c r="AZ40" t="str">
        <f t="shared" si="11"/>
        <v>ЗАКРЫТО</v>
      </c>
      <c r="BA40" t="str">
        <f t="shared" si="12"/>
        <v>ЗАКРЫТО</v>
      </c>
      <c r="BB40" t="str">
        <f t="shared" si="13"/>
        <v>ЗАКРЫТО</v>
      </c>
      <c r="BC40" t="str">
        <f t="shared" si="14"/>
        <v>ЗАКРЫТО</v>
      </c>
      <c r="BD40" t="str">
        <f t="shared" si="15"/>
        <v>ЗАКРЫТО</v>
      </c>
      <c r="BE40" t="str">
        <f t="shared" si="16"/>
        <v>ЗАКРЫТО</v>
      </c>
      <c r="BF40" t="str">
        <f t="shared" si="17"/>
        <v>ЗАКРЫТО</v>
      </c>
    </row>
    <row r="41" spans="1:58" ht="27.6">
      <c r="A41" s="3" t="s">
        <v>194</v>
      </c>
      <c r="B41" s="3" t="s">
        <v>195</v>
      </c>
      <c r="C41" s="3" t="s">
        <v>66</v>
      </c>
      <c r="D41" s="3" t="s">
        <v>196</v>
      </c>
      <c r="E41" s="3">
        <v>20</v>
      </c>
      <c r="F41" s="3"/>
      <c r="G41" s="3"/>
      <c r="H41" s="3"/>
      <c r="I41" s="3" t="s">
        <v>197</v>
      </c>
      <c r="J41" s="3" t="s">
        <v>198</v>
      </c>
      <c r="K41" s="4">
        <f>SUMIF('Ход 2026'!$G$29:$G$38,$A41,'Ход 2026'!$I$29:$I$38)</f>
        <v>0</v>
      </c>
      <c r="L41" s="4">
        <f>SUMIF('Ход 2027'!$G$29:$G$38,$A41,'Ход 2027'!$I$29:$I$38)</f>
        <v>0</v>
      </c>
      <c r="M41" s="4">
        <f>SUMIF('Ход 2028'!$G$29:$G$38,$A41,'Ход 2028'!$I$29:$I$38)</f>
        <v>0</v>
      </c>
      <c r="N41" s="4">
        <f>SUMIF('Ход 2029'!$G$29:$G$38,$A41,'Ход 2029'!$I$29:$I$38)</f>
        <v>0</v>
      </c>
      <c r="O41" s="4">
        <f>SUMIF('Ход 2030'!$G$29:$G$38,$A41,'Ход 2030'!$I$29:$I$38)</f>
        <v>0</v>
      </c>
      <c r="P41" s="4">
        <f>SUMIF('Ход 2031'!$G$29:$G$38,$A41,'Ход 2031'!$I$29:$I$38)</f>
        <v>0</v>
      </c>
      <c r="Q41" s="4">
        <f>SUMIF('Ход 2032'!$G$29:$G$38,$A41,'Ход 2032'!$I$29:$I$38)</f>
        <v>0</v>
      </c>
      <c r="R41" s="4">
        <f>SUMIF('Ход 2033'!$G$29:$G$38,$A41,'Ход 2033'!$I$29:$I$38)</f>
        <v>0</v>
      </c>
      <c r="S41" s="4">
        <f>SUMIF('Ход 2034'!$G$29:$G$38,$A41,'Ход 2034'!$I$29:$I$38)</f>
        <v>0</v>
      </c>
      <c r="T41" s="4">
        <f>SUMIF('Ход 2035'!$G$29:$G$38,$A41,'Ход 2035'!$I$29:$I$38)</f>
        <v>0</v>
      </c>
      <c r="U41" s="4">
        <f>SUMIF('Ход 2036'!$G$29:$G$38,$A41,'Ход 2036'!$I$29:$I$38)</f>
        <v>0</v>
      </c>
      <c r="V41" s="4">
        <f>SUMIF('Ход 2037'!$G$29:$G$38,$A41,'Ход 2037'!$I$29:$I$38)</f>
        <v>0</v>
      </c>
      <c r="W41" s="4">
        <f>SUMIF('Ход 2038'!$G$29:$G$38,$A41,'Ход 2038'!$I$29:$I$38)</f>
        <v>0</v>
      </c>
      <c r="X41" s="4">
        <f>SUMIF('Ход 2039'!$G$29:$G$38,$A41,'Ход 2039'!$I$29:$I$38)</f>
        <v>0</v>
      </c>
      <c r="Y41" s="4">
        <f>SUMIF('Ход 2040'!$G$29:$G$38,$A41,'Ход 2040'!$I$29:$I$38)</f>
        <v>0</v>
      </c>
      <c r="Z41" s="5">
        <f t="shared" si="0"/>
        <v>0</v>
      </c>
      <c r="AA41" s="5">
        <f t="shared" si="1"/>
        <v>20</v>
      </c>
      <c r="AB41" s="3" t="str">
        <f t="shared" si="2"/>
        <v>ОТКРЫТО</v>
      </c>
      <c r="AC41">
        <f>SUM($K41:K41)</f>
        <v>0</v>
      </c>
      <c r="AD41">
        <f>SUM($K41:L41)</f>
        <v>0</v>
      </c>
      <c r="AE41">
        <f>SUM($K41:M41)</f>
        <v>0</v>
      </c>
      <c r="AF41">
        <f>SUM($K41:N41)</f>
        <v>0</v>
      </c>
      <c r="AG41">
        <f>SUM($K41:O41)</f>
        <v>0</v>
      </c>
      <c r="AH41">
        <f>SUM($K41:P41)</f>
        <v>0</v>
      </c>
      <c r="AI41">
        <f>SUM($K41:Q41)</f>
        <v>0</v>
      </c>
      <c r="AJ41">
        <f>SUM($K41:R41)</f>
        <v>0</v>
      </c>
      <c r="AK41">
        <f>SUM($K41:S41)</f>
        <v>0</v>
      </c>
      <c r="AL41">
        <f>SUM($K41:T41)</f>
        <v>0</v>
      </c>
      <c r="AM41">
        <f>SUM($K41:U41)</f>
        <v>0</v>
      </c>
      <c r="AN41">
        <f>SUM($K41:V41)</f>
        <v>0</v>
      </c>
      <c r="AO41">
        <f>SUM($K41:W41)</f>
        <v>0</v>
      </c>
      <c r="AP41">
        <f>SUM($K41:X41)</f>
        <v>0</v>
      </c>
      <c r="AQ41">
        <f>SUM($K41:Y41)</f>
        <v>0</v>
      </c>
      <c r="AR41" t="str">
        <f t="shared" si="3"/>
        <v>ОТКРЫТО</v>
      </c>
      <c r="AS41" t="str">
        <f t="shared" si="4"/>
        <v>ОТКРЫТО</v>
      </c>
      <c r="AT41" t="str">
        <f t="shared" si="5"/>
        <v>ОТКРЫТО</v>
      </c>
      <c r="AU41" t="str">
        <f t="shared" si="6"/>
        <v>ОТКРЫТО</v>
      </c>
      <c r="AV41" t="str">
        <f t="shared" si="7"/>
        <v>ОТКРЫТО</v>
      </c>
      <c r="AW41" t="str">
        <f t="shared" si="8"/>
        <v>ОТКРЫТО</v>
      </c>
      <c r="AX41" t="str">
        <f t="shared" si="9"/>
        <v>ОТКРЫТО</v>
      </c>
      <c r="AY41" t="str">
        <f t="shared" si="10"/>
        <v>ОТКРЫТО</v>
      </c>
      <c r="AZ41" t="str">
        <f t="shared" si="11"/>
        <v>ОТКРЫТО</v>
      </c>
      <c r="BA41" t="str">
        <f t="shared" si="12"/>
        <v>ОТКРЫТО</v>
      </c>
      <c r="BB41" t="str">
        <f t="shared" si="13"/>
        <v>ОТКРЫТО</v>
      </c>
      <c r="BC41" t="str">
        <f t="shared" si="14"/>
        <v>ОТКРЫТО</v>
      </c>
      <c r="BD41" t="str">
        <f t="shared" si="15"/>
        <v>ОТКРЫТО</v>
      </c>
      <c r="BE41" t="str">
        <f t="shared" si="16"/>
        <v>ОТКРЫТО</v>
      </c>
      <c r="BF41" t="str">
        <f t="shared" si="17"/>
        <v>ОТКРЫТО</v>
      </c>
    </row>
    <row r="42" spans="1:58" ht="27.6">
      <c r="A42" s="3" t="s">
        <v>199</v>
      </c>
      <c r="B42" s="3" t="s">
        <v>195</v>
      </c>
      <c r="C42" s="3" t="s">
        <v>71</v>
      </c>
      <c r="D42" s="3" t="s">
        <v>200</v>
      </c>
      <c r="E42" s="3">
        <v>35</v>
      </c>
      <c r="F42" s="3" t="s">
        <v>194</v>
      </c>
      <c r="G42" s="3"/>
      <c r="H42" s="3"/>
      <c r="I42" s="3" t="s">
        <v>201</v>
      </c>
      <c r="J42" s="3" t="s">
        <v>202</v>
      </c>
      <c r="K42" s="4">
        <f>SUMIF('Ход 2026'!$G$29:$G$38,$A42,'Ход 2026'!$I$29:$I$38)</f>
        <v>0</v>
      </c>
      <c r="L42" s="4">
        <f>SUMIF('Ход 2027'!$G$29:$G$38,$A42,'Ход 2027'!$I$29:$I$38)</f>
        <v>0</v>
      </c>
      <c r="M42" s="4">
        <f>SUMIF('Ход 2028'!$G$29:$G$38,$A42,'Ход 2028'!$I$29:$I$38)</f>
        <v>0</v>
      </c>
      <c r="N42" s="4">
        <f>SUMIF('Ход 2029'!$G$29:$G$38,$A42,'Ход 2029'!$I$29:$I$38)</f>
        <v>0</v>
      </c>
      <c r="O42" s="4">
        <f>SUMIF('Ход 2030'!$G$29:$G$38,$A42,'Ход 2030'!$I$29:$I$38)</f>
        <v>0</v>
      </c>
      <c r="P42" s="4">
        <f>SUMIF('Ход 2031'!$G$29:$G$38,$A42,'Ход 2031'!$I$29:$I$38)</f>
        <v>0</v>
      </c>
      <c r="Q42" s="4">
        <f>SUMIF('Ход 2032'!$G$29:$G$38,$A42,'Ход 2032'!$I$29:$I$38)</f>
        <v>0</v>
      </c>
      <c r="R42" s="4">
        <f>SUMIF('Ход 2033'!$G$29:$G$38,$A42,'Ход 2033'!$I$29:$I$38)</f>
        <v>0</v>
      </c>
      <c r="S42" s="4">
        <f>SUMIF('Ход 2034'!$G$29:$G$38,$A42,'Ход 2034'!$I$29:$I$38)</f>
        <v>0</v>
      </c>
      <c r="T42" s="4">
        <f>SUMIF('Ход 2035'!$G$29:$G$38,$A42,'Ход 2035'!$I$29:$I$38)</f>
        <v>0</v>
      </c>
      <c r="U42" s="4">
        <f>SUMIF('Ход 2036'!$G$29:$G$38,$A42,'Ход 2036'!$I$29:$I$38)</f>
        <v>0</v>
      </c>
      <c r="V42" s="4">
        <f>SUMIF('Ход 2037'!$G$29:$G$38,$A42,'Ход 2037'!$I$29:$I$38)</f>
        <v>0</v>
      </c>
      <c r="W42" s="4">
        <f>SUMIF('Ход 2038'!$G$29:$G$38,$A42,'Ход 2038'!$I$29:$I$38)</f>
        <v>0</v>
      </c>
      <c r="X42" s="4">
        <f>SUMIF('Ход 2039'!$G$29:$G$38,$A42,'Ход 2039'!$I$29:$I$38)</f>
        <v>0</v>
      </c>
      <c r="Y42" s="4">
        <f>SUMIF('Ход 2040'!$G$29:$G$38,$A42,'Ход 2040'!$I$29:$I$38)</f>
        <v>0</v>
      </c>
      <c r="Z42" s="5">
        <f t="shared" si="0"/>
        <v>0</v>
      </c>
      <c r="AA42" s="5">
        <f t="shared" si="1"/>
        <v>35</v>
      </c>
      <c r="AB42" s="3" t="str">
        <f t="shared" si="2"/>
        <v>ЗАКРЫТО</v>
      </c>
      <c r="AC42">
        <f>SUM($K42:K42)</f>
        <v>0</v>
      </c>
      <c r="AD42">
        <f>SUM($K42:L42)</f>
        <v>0</v>
      </c>
      <c r="AE42">
        <f>SUM($K42:M42)</f>
        <v>0</v>
      </c>
      <c r="AF42">
        <f>SUM($K42:N42)</f>
        <v>0</v>
      </c>
      <c r="AG42">
        <f>SUM($K42:O42)</f>
        <v>0</v>
      </c>
      <c r="AH42">
        <f>SUM($K42:P42)</f>
        <v>0</v>
      </c>
      <c r="AI42">
        <f>SUM($K42:Q42)</f>
        <v>0</v>
      </c>
      <c r="AJ42">
        <f>SUM($K42:R42)</f>
        <v>0</v>
      </c>
      <c r="AK42">
        <f>SUM($K42:S42)</f>
        <v>0</v>
      </c>
      <c r="AL42">
        <f>SUM($K42:T42)</f>
        <v>0</v>
      </c>
      <c r="AM42">
        <f>SUM($K42:U42)</f>
        <v>0</v>
      </c>
      <c r="AN42">
        <f>SUM($K42:V42)</f>
        <v>0</v>
      </c>
      <c r="AO42">
        <f>SUM($K42:W42)</f>
        <v>0</v>
      </c>
      <c r="AP42">
        <f>SUM($K42:X42)</f>
        <v>0</v>
      </c>
      <c r="AQ42">
        <f>SUM($K42:Y42)</f>
        <v>0</v>
      </c>
      <c r="AR42" t="str">
        <f t="shared" si="3"/>
        <v>ЗАКРЫТО</v>
      </c>
      <c r="AS42" t="str">
        <f t="shared" si="4"/>
        <v>ЗАКРЫТО</v>
      </c>
      <c r="AT42" t="str">
        <f t="shared" si="5"/>
        <v>ЗАКРЫТО</v>
      </c>
      <c r="AU42" t="str">
        <f t="shared" si="6"/>
        <v>ЗАКРЫТО</v>
      </c>
      <c r="AV42" t="str">
        <f t="shared" si="7"/>
        <v>ЗАКРЫТО</v>
      </c>
      <c r="AW42" t="str">
        <f t="shared" si="8"/>
        <v>ЗАКРЫТО</v>
      </c>
      <c r="AX42" t="str">
        <f t="shared" si="9"/>
        <v>ЗАКРЫТО</v>
      </c>
      <c r="AY42" t="str">
        <f t="shared" si="10"/>
        <v>ЗАКРЫТО</v>
      </c>
      <c r="AZ42" t="str">
        <f t="shared" si="11"/>
        <v>ЗАКРЫТО</v>
      </c>
      <c r="BA42" t="str">
        <f t="shared" si="12"/>
        <v>ЗАКРЫТО</v>
      </c>
      <c r="BB42" t="str">
        <f t="shared" si="13"/>
        <v>ЗАКРЫТО</v>
      </c>
      <c r="BC42" t="str">
        <f t="shared" si="14"/>
        <v>ЗАКРЫТО</v>
      </c>
      <c r="BD42" t="str">
        <f t="shared" si="15"/>
        <v>ЗАКРЫТО</v>
      </c>
      <c r="BE42" t="str">
        <f t="shared" si="16"/>
        <v>ЗАКРЫТО</v>
      </c>
      <c r="BF42" t="str">
        <f t="shared" si="17"/>
        <v>ЗАКРЫТО</v>
      </c>
    </row>
    <row r="43" spans="1:58" ht="27.6">
      <c r="A43" s="3" t="s">
        <v>203</v>
      </c>
      <c r="B43" s="3" t="s">
        <v>195</v>
      </c>
      <c r="C43" s="3" t="s">
        <v>71</v>
      </c>
      <c r="D43" s="3" t="s">
        <v>204</v>
      </c>
      <c r="E43" s="3">
        <v>40</v>
      </c>
      <c r="F43" s="3" t="s">
        <v>194</v>
      </c>
      <c r="G43" s="3"/>
      <c r="H43" s="3"/>
      <c r="I43" s="3" t="s">
        <v>205</v>
      </c>
      <c r="J43" s="3" t="s">
        <v>206</v>
      </c>
      <c r="K43" s="4">
        <f>SUMIF('Ход 2026'!$G$29:$G$38,$A43,'Ход 2026'!$I$29:$I$38)</f>
        <v>0</v>
      </c>
      <c r="L43" s="4">
        <f>SUMIF('Ход 2027'!$G$29:$G$38,$A43,'Ход 2027'!$I$29:$I$38)</f>
        <v>0</v>
      </c>
      <c r="M43" s="4">
        <f>SUMIF('Ход 2028'!$G$29:$G$38,$A43,'Ход 2028'!$I$29:$I$38)</f>
        <v>0</v>
      </c>
      <c r="N43" s="4">
        <f>SUMIF('Ход 2029'!$G$29:$G$38,$A43,'Ход 2029'!$I$29:$I$38)</f>
        <v>0</v>
      </c>
      <c r="O43" s="4">
        <f>SUMIF('Ход 2030'!$G$29:$G$38,$A43,'Ход 2030'!$I$29:$I$38)</f>
        <v>0</v>
      </c>
      <c r="P43" s="4">
        <f>SUMIF('Ход 2031'!$G$29:$G$38,$A43,'Ход 2031'!$I$29:$I$38)</f>
        <v>0</v>
      </c>
      <c r="Q43" s="4">
        <f>SUMIF('Ход 2032'!$G$29:$G$38,$A43,'Ход 2032'!$I$29:$I$38)</f>
        <v>0</v>
      </c>
      <c r="R43" s="4">
        <f>SUMIF('Ход 2033'!$G$29:$G$38,$A43,'Ход 2033'!$I$29:$I$38)</f>
        <v>0</v>
      </c>
      <c r="S43" s="4">
        <f>SUMIF('Ход 2034'!$G$29:$G$38,$A43,'Ход 2034'!$I$29:$I$38)</f>
        <v>0</v>
      </c>
      <c r="T43" s="4">
        <f>SUMIF('Ход 2035'!$G$29:$G$38,$A43,'Ход 2035'!$I$29:$I$38)</f>
        <v>0</v>
      </c>
      <c r="U43" s="4">
        <f>SUMIF('Ход 2036'!$G$29:$G$38,$A43,'Ход 2036'!$I$29:$I$38)</f>
        <v>0</v>
      </c>
      <c r="V43" s="4">
        <f>SUMIF('Ход 2037'!$G$29:$G$38,$A43,'Ход 2037'!$I$29:$I$38)</f>
        <v>0</v>
      </c>
      <c r="W43" s="4">
        <f>SUMIF('Ход 2038'!$G$29:$G$38,$A43,'Ход 2038'!$I$29:$I$38)</f>
        <v>0</v>
      </c>
      <c r="X43" s="4">
        <f>SUMIF('Ход 2039'!$G$29:$G$38,$A43,'Ход 2039'!$I$29:$I$38)</f>
        <v>0</v>
      </c>
      <c r="Y43" s="4">
        <f>SUMIF('Ход 2040'!$G$29:$G$38,$A43,'Ход 2040'!$I$29:$I$38)</f>
        <v>0</v>
      </c>
      <c r="Z43" s="5">
        <f t="shared" si="0"/>
        <v>0</v>
      </c>
      <c r="AA43" s="5">
        <f t="shared" si="1"/>
        <v>40</v>
      </c>
      <c r="AB43" s="3" t="str">
        <f t="shared" si="2"/>
        <v>ЗАКРЫТО</v>
      </c>
      <c r="AC43">
        <f>SUM($K43:K43)</f>
        <v>0</v>
      </c>
      <c r="AD43">
        <f>SUM($K43:L43)</f>
        <v>0</v>
      </c>
      <c r="AE43">
        <f>SUM($K43:M43)</f>
        <v>0</v>
      </c>
      <c r="AF43">
        <f>SUM($K43:N43)</f>
        <v>0</v>
      </c>
      <c r="AG43">
        <f>SUM($K43:O43)</f>
        <v>0</v>
      </c>
      <c r="AH43">
        <f>SUM($K43:P43)</f>
        <v>0</v>
      </c>
      <c r="AI43">
        <f>SUM($K43:Q43)</f>
        <v>0</v>
      </c>
      <c r="AJ43">
        <f>SUM($K43:R43)</f>
        <v>0</v>
      </c>
      <c r="AK43">
        <f>SUM($K43:S43)</f>
        <v>0</v>
      </c>
      <c r="AL43">
        <f>SUM($K43:T43)</f>
        <v>0</v>
      </c>
      <c r="AM43">
        <f>SUM($K43:U43)</f>
        <v>0</v>
      </c>
      <c r="AN43">
        <f>SUM($K43:V43)</f>
        <v>0</v>
      </c>
      <c r="AO43">
        <f>SUM($K43:W43)</f>
        <v>0</v>
      </c>
      <c r="AP43">
        <f>SUM($K43:X43)</f>
        <v>0</v>
      </c>
      <c r="AQ43">
        <f>SUM($K43:Y43)</f>
        <v>0</v>
      </c>
      <c r="AR43" t="str">
        <f t="shared" si="3"/>
        <v>ЗАКРЫТО</v>
      </c>
      <c r="AS43" t="str">
        <f t="shared" si="4"/>
        <v>ЗАКРЫТО</v>
      </c>
      <c r="AT43" t="str">
        <f t="shared" si="5"/>
        <v>ЗАКРЫТО</v>
      </c>
      <c r="AU43" t="str">
        <f t="shared" si="6"/>
        <v>ЗАКРЫТО</v>
      </c>
      <c r="AV43" t="str">
        <f t="shared" si="7"/>
        <v>ЗАКРЫТО</v>
      </c>
      <c r="AW43" t="str">
        <f t="shared" si="8"/>
        <v>ЗАКРЫТО</v>
      </c>
      <c r="AX43" t="str">
        <f t="shared" si="9"/>
        <v>ЗАКРЫТО</v>
      </c>
      <c r="AY43" t="str">
        <f t="shared" si="10"/>
        <v>ЗАКРЫТО</v>
      </c>
      <c r="AZ43" t="str">
        <f t="shared" si="11"/>
        <v>ЗАКРЫТО</v>
      </c>
      <c r="BA43" t="str">
        <f t="shared" si="12"/>
        <v>ЗАКРЫТО</v>
      </c>
      <c r="BB43" t="str">
        <f t="shared" si="13"/>
        <v>ЗАКРЫТО</v>
      </c>
      <c r="BC43" t="str">
        <f t="shared" si="14"/>
        <v>ЗАКРЫТО</v>
      </c>
      <c r="BD43" t="str">
        <f t="shared" si="15"/>
        <v>ЗАКРЫТО</v>
      </c>
      <c r="BE43" t="str">
        <f t="shared" si="16"/>
        <v>ЗАКРЫТО</v>
      </c>
      <c r="BF43" t="str">
        <f t="shared" si="17"/>
        <v>ЗАКРЫТО</v>
      </c>
    </row>
    <row r="44" spans="1:58" ht="27.6">
      <c r="A44" s="3" t="s">
        <v>207</v>
      </c>
      <c r="B44" s="3" t="s">
        <v>195</v>
      </c>
      <c r="C44" s="3" t="s">
        <v>80</v>
      </c>
      <c r="D44" s="3" t="s">
        <v>208</v>
      </c>
      <c r="E44" s="3">
        <v>65</v>
      </c>
      <c r="F44" s="3" t="s">
        <v>199</v>
      </c>
      <c r="G44" s="3" t="s">
        <v>203</v>
      </c>
      <c r="H44" s="3"/>
      <c r="I44" s="3" t="s">
        <v>209</v>
      </c>
      <c r="J44" s="3" t="s">
        <v>210</v>
      </c>
      <c r="K44" s="4">
        <f>SUMIF('Ход 2026'!$G$29:$G$38,$A44,'Ход 2026'!$I$29:$I$38)</f>
        <v>0</v>
      </c>
      <c r="L44" s="4">
        <f>SUMIF('Ход 2027'!$G$29:$G$38,$A44,'Ход 2027'!$I$29:$I$38)</f>
        <v>0</v>
      </c>
      <c r="M44" s="4">
        <f>SUMIF('Ход 2028'!$G$29:$G$38,$A44,'Ход 2028'!$I$29:$I$38)</f>
        <v>0</v>
      </c>
      <c r="N44" s="4">
        <f>SUMIF('Ход 2029'!$G$29:$G$38,$A44,'Ход 2029'!$I$29:$I$38)</f>
        <v>0</v>
      </c>
      <c r="O44" s="4">
        <f>SUMIF('Ход 2030'!$G$29:$G$38,$A44,'Ход 2030'!$I$29:$I$38)</f>
        <v>0</v>
      </c>
      <c r="P44" s="4">
        <f>SUMIF('Ход 2031'!$G$29:$G$38,$A44,'Ход 2031'!$I$29:$I$38)</f>
        <v>0</v>
      </c>
      <c r="Q44" s="4">
        <f>SUMIF('Ход 2032'!$G$29:$G$38,$A44,'Ход 2032'!$I$29:$I$38)</f>
        <v>0</v>
      </c>
      <c r="R44" s="4">
        <f>SUMIF('Ход 2033'!$G$29:$G$38,$A44,'Ход 2033'!$I$29:$I$38)</f>
        <v>0</v>
      </c>
      <c r="S44" s="4">
        <f>SUMIF('Ход 2034'!$G$29:$G$38,$A44,'Ход 2034'!$I$29:$I$38)</f>
        <v>0</v>
      </c>
      <c r="T44" s="4">
        <f>SUMIF('Ход 2035'!$G$29:$G$38,$A44,'Ход 2035'!$I$29:$I$38)</f>
        <v>0</v>
      </c>
      <c r="U44" s="4">
        <f>SUMIF('Ход 2036'!$G$29:$G$38,$A44,'Ход 2036'!$I$29:$I$38)</f>
        <v>0</v>
      </c>
      <c r="V44" s="4">
        <f>SUMIF('Ход 2037'!$G$29:$G$38,$A44,'Ход 2037'!$I$29:$I$38)</f>
        <v>0</v>
      </c>
      <c r="W44" s="4">
        <f>SUMIF('Ход 2038'!$G$29:$G$38,$A44,'Ход 2038'!$I$29:$I$38)</f>
        <v>0</v>
      </c>
      <c r="X44" s="4">
        <f>SUMIF('Ход 2039'!$G$29:$G$38,$A44,'Ход 2039'!$I$29:$I$38)</f>
        <v>0</v>
      </c>
      <c r="Y44" s="4">
        <f>SUMIF('Ход 2040'!$G$29:$G$38,$A44,'Ход 2040'!$I$29:$I$38)</f>
        <v>0</v>
      </c>
      <c r="Z44" s="5">
        <f t="shared" si="0"/>
        <v>0</v>
      </c>
      <c r="AA44" s="5">
        <f t="shared" si="1"/>
        <v>65</v>
      </c>
      <c r="AB44" s="3" t="str">
        <f t="shared" si="2"/>
        <v>ЗАКРЫТО</v>
      </c>
      <c r="AC44">
        <f>SUM($K44:K44)</f>
        <v>0</v>
      </c>
      <c r="AD44">
        <f>SUM($K44:L44)</f>
        <v>0</v>
      </c>
      <c r="AE44">
        <f>SUM($K44:M44)</f>
        <v>0</v>
      </c>
      <c r="AF44">
        <f>SUM($K44:N44)</f>
        <v>0</v>
      </c>
      <c r="AG44">
        <f>SUM($K44:O44)</f>
        <v>0</v>
      </c>
      <c r="AH44">
        <f>SUM($K44:P44)</f>
        <v>0</v>
      </c>
      <c r="AI44">
        <f>SUM($K44:Q44)</f>
        <v>0</v>
      </c>
      <c r="AJ44">
        <f>SUM($K44:R44)</f>
        <v>0</v>
      </c>
      <c r="AK44">
        <f>SUM($K44:S44)</f>
        <v>0</v>
      </c>
      <c r="AL44">
        <f>SUM($K44:T44)</f>
        <v>0</v>
      </c>
      <c r="AM44">
        <f>SUM($K44:U44)</f>
        <v>0</v>
      </c>
      <c r="AN44">
        <f>SUM($K44:V44)</f>
        <v>0</v>
      </c>
      <c r="AO44">
        <f>SUM($K44:W44)</f>
        <v>0</v>
      </c>
      <c r="AP44">
        <f>SUM($K44:X44)</f>
        <v>0</v>
      </c>
      <c r="AQ44">
        <f>SUM($K44:Y44)</f>
        <v>0</v>
      </c>
      <c r="AR44" t="str">
        <f t="shared" si="3"/>
        <v>ЗАКРЫТО</v>
      </c>
      <c r="AS44" t="str">
        <f t="shared" si="4"/>
        <v>ЗАКРЫТО</v>
      </c>
      <c r="AT44" t="str">
        <f t="shared" si="5"/>
        <v>ЗАКРЫТО</v>
      </c>
      <c r="AU44" t="str">
        <f t="shared" si="6"/>
        <v>ЗАКРЫТО</v>
      </c>
      <c r="AV44" t="str">
        <f t="shared" si="7"/>
        <v>ЗАКРЫТО</v>
      </c>
      <c r="AW44" t="str">
        <f t="shared" si="8"/>
        <v>ЗАКРЫТО</v>
      </c>
      <c r="AX44" t="str">
        <f t="shared" si="9"/>
        <v>ЗАКРЫТО</v>
      </c>
      <c r="AY44" t="str">
        <f t="shared" si="10"/>
        <v>ЗАКРЫТО</v>
      </c>
      <c r="AZ44" t="str">
        <f t="shared" si="11"/>
        <v>ЗАКРЫТО</v>
      </c>
      <c r="BA44" t="str">
        <f t="shared" si="12"/>
        <v>ЗАКРЫТО</v>
      </c>
      <c r="BB44" t="str">
        <f t="shared" si="13"/>
        <v>ЗАКРЫТО</v>
      </c>
      <c r="BC44" t="str">
        <f t="shared" si="14"/>
        <v>ЗАКРЫТО</v>
      </c>
      <c r="BD44" t="str">
        <f t="shared" si="15"/>
        <v>ЗАКРЫТО</v>
      </c>
      <c r="BE44" t="str">
        <f t="shared" si="16"/>
        <v>ЗАКРЫТО</v>
      </c>
      <c r="BF44" t="str">
        <f t="shared" si="17"/>
        <v>ЗАКРЫТО</v>
      </c>
    </row>
    <row r="45" spans="1:58" ht="27.6">
      <c r="A45" s="3" t="s">
        <v>211</v>
      </c>
      <c r="B45" s="3" t="s">
        <v>195</v>
      </c>
      <c r="C45" s="3" t="s">
        <v>85</v>
      </c>
      <c r="D45" s="3" t="s">
        <v>212</v>
      </c>
      <c r="E45" s="3">
        <v>100</v>
      </c>
      <c r="F45" s="3" t="s">
        <v>207</v>
      </c>
      <c r="G45" s="3"/>
      <c r="H45" s="3"/>
      <c r="I45" s="3" t="s">
        <v>213</v>
      </c>
      <c r="J45" s="3" t="s">
        <v>214</v>
      </c>
      <c r="K45" s="4">
        <f>SUMIF('Ход 2026'!$G$29:$G$38,$A45,'Ход 2026'!$I$29:$I$38)</f>
        <v>0</v>
      </c>
      <c r="L45" s="4">
        <f>SUMIF('Ход 2027'!$G$29:$G$38,$A45,'Ход 2027'!$I$29:$I$38)</f>
        <v>0</v>
      </c>
      <c r="M45" s="4">
        <f>SUMIF('Ход 2028'!$G$29:$G$38,$A45,'Ход 2028'!$I$29:$I$38)</f>
        <v>0</v>
      </c>
      <c r="N45" s="4">
        <f>SUMIF('Ход 2029'!$G$29:$G$38,$A45,'Ход 2029'!$I$29:$I$38)</f>
        <v>0</v>
      </c>
      <c r="O45" s="4">
        <f>SUMIF('Ход 2030'!$G$29:$G$38,$A45,'Ход 2030'!$I$29:$I$38)</f>
        <v>0</v>
      </c>
      <c r="P45" s="4">
        <f>SUMIF('Ход 2031'!$G$29:$G$38,$A45,'Ход 2031'!$I$29:$I$38)</f>
        <v>0</v>
      </c>
      <c r="Q45" s="4">
        <f>SUMIF('Ход 2032'!$G$29:$G$38,$A45,'Ход 2032'!$I$29:$I$38)</f>
        <v>0</v>
      </c>
      <c r="R45" s="4">
        <f>SUMIF('Ход 2033'!$G$29:$G$38,$A45,'Ход 2033'!$I$29:$I$38)</f>
        <v>0</v>
      </c>
      <c r="S45" s="4">
        <f>SUMIF('Ход 2034'!$G$29:$G$38,$A45,'Ход 2034'!$I$29:$I$38)</f>
        <v>0</v>
      </c>
      <c r="T45" s="4">
        <f>SUMIF('Ход 2035'!$G$29:$G$38,$A45,'Ход 2035'!$I$29:$I$38)</f>
        <v>0</v>
      </c>
      <c r="U45" s="4">
        <f>SUMIF('Ход 2036'!$G$29:$G$38,$A45,'Ход 2036'!$I$29:$I$38)</f>
        <v>0</v>
      </c>
      <c r="V45" s="4">
        <f>SUMIF('Ход 2037'!$G$29:$G$38,$A45,'Ход 2037'!$I$29:$I$38)</f>
        <v>0</v>
      </c>
      <c r="W45" s="4">
        <f>SUMIF('Ход 2038'!$G$29:$G$38,$A45,'Ход 2038'!$I$29:$I$38)</f>
        <v>0</v>
      </c>
      <c r="X45" s="4">
        <f>SUMIF('Ход 2039'!$G$29:$G$38,$A45,'Ход 2039'!$I$29:$I$38)</f>
        <v>0</v>
      </c>
      <c r="Y45" s="4">
        <f>SUMIF('Ход 2040'!$G$29:$G$38,$A45,'Ход 2040'!$I$29:$I$38)</f>
        <v>0</v>
      </c>
      <c r="Z45" s="5">
        <f t="shared" si="0"/>
        <v>0</v>
      </c>
      <c r="AA45" s="5">
        <f t="shared" si="1"/>
        <v>100</v>
      </c>
      <c r="AB45" s="3" t="str">
        <f t="shared" si="2"/>
        <v>ЗАКРЫТО</v>
      </c>
      <c r="AC45">
        <f>SUM($K45:K45)</f>
        <v>0</v>
      </c>
      <c r="AD45">
        <f>SUM($K45:L45)</f>
        <v>0</v>
      </c>
      <c r="AE45">
        <f>SUM($K45:M45)</f>
        <v>0</v>
      </c>
      <c r="AF45">
        <f>SUM($K45:N45)</f>
        <v>0</v>
      </c>
      <c r="AG45">
        <f>SUM($K45:O45)</f>
        <v>0</v>
      </c>
      <c r="AH45">
        <f>SUM($K45:P45)</f>
        <v>0</v>
      </c>
      <c r="AI45">
        <f>SUM($K45:Q45)</f>
        <v>0</v>
      </c>
      <c r="AJ45">
        <f>SUM($K45:R45)</f>
        <v>0</v>
      </c>
      <c r="AK45">
        <f>SUM($K45:S45)</f>
        <v>0</v>
      </c>
      <c r="AL45">
        <f>SUM($K45:T45)</f>
        <v>0</v>
      </c>
      <c r="AM45">
        <f>SUM($K45:U45)</f>
        <v>0</v>
      </c>
      <c r="AN45">
        <f>SUM($K45:V45)</f>
        <v>0</v>
      </c>
      <c r="AO45">
        <f>SUM($K45:W45)</f>
        <v>0</v>
      </c>
      <c r="AP45">
        <f>SUM($K45:X45)</f>
        <v>0</v>
      </c>
      <c r="AQ45">
        <f>SUM($K45:Y45)</f>
        <v>0</v>
      </c>
      <c r="AR45" t="str">
        <f t="shared" si="3"/>
        <v>ЗАКРЫТО</v>
      </c>
      <c r="AS45" t="str">
        <f t="shared" si="4"/>
        <v>ЗАКРЫТО</v>
      </c>
      <c r="AT45" t="str">
        <f t="shared" si="5"/>
        <v>ЗАКРЫТО</v>
      </c>
      <c r="AU45" t="str">
        <f t="shared" si="6"/>
        <v>ЗАКРЫТО</v>
      </c>
      <c r="AV45" t="str">
        <f t="shared" si="7"/>
        <v>ЗАКРЫТО</v>
      </c>
      <c r="AW45" t="str">
        <f t="shared" si="8"/>
        <v>ЗАКРЫТО</v>
      </c>
      <c r="AX45" t="str">
        <f t="shared" si="9"/>
        <v>ЗАКРЫТО</v>
      </c>
      <c r="AY45" t="str">
        <f t="shared" si="10"/>
        <v>ЗАКРЫТО</v>
      </c>
      <c r="AZ45" t="str">
        <f t="shared" si="11"/>
        <v>ЗАКРЫТО</v>
      </c>
      <c r="BA45" t="str">
        <f t="shared" si="12"/>
        <v>ЗАКРЫТО</v>
      </c>
      <c r="BB45" t="str">
        <f t="shared" si="13"/>
        <v>ЗАКРЫТО</v>
      </c>
      <c r="BC45" t="str">
        <f t="shared" si="14"/>
        <v>ЗАКРЫТО</v>
      </c>
      <c r="BD45" t="str">
        <f t="shared" si="15"/>
        <v>ЗАКРЫТО</v>
      </c>
      <c r="BE45" t="str">
        <f t="shared" si="16"/>
        <v>ЗАКРЫТО</v>
      </c>
      <c r="BF45" t="str">
        <f t="shared" si="17"/>
        <v>ЗАКРЫТО</v>
      </c>
    </row>
    <row r="46" spans="1:58" ht="41.4">
      <c r="A46" s="3" t="s">
        <v>215</v>
      </c>
      <c r="B46" s="3" t="s">
        <v>195</v>
      </c>
      <c r="C46" s="3" t="s">
        <v>90</v>
      </c>
      <c r="D46" s="3" t="s">
        <v>216</v>
      </c>
      <c r="E46" s="3">
        <v>150</v>
      </c>
      <c r="F46" s="3" t="s">
        <v>211</v>
      </c>
      <c r="G46" s="3"/>
      <c r="H46" s="3"/>
      <c r="I46" s="3" t="s">
        <v>217</v>
      </c>
      <c r="J46" s="3" t="s">
        <v>218</v>
      </c>
      <c r="K46" s="4">
        <f>SUMIF('Ход 2026'!$G$29:$G$38,$A46,'Ход 2026'!$I$29:$I$38)</f>
        <v>0</v>
      </c>
      <c r="L46" s="4">
        <f>SUMIF('Ход 2027'!$G$29:$G$38,$A46,'Ход 2027'!$I$29:$I$38)</f>
        <v>0</v>
      </c>
      <c r="M46" s="4">
        <f>SUMIF('Ход 2028'!$G$29:$G$38,$A46,'Ход 2028'!$I$29:$I$38)</f>
        <v>0</v>
      </c>
      <c r="N46" s="4">
        <f>SUMIF('Ход 2029'!$G$29:$G$38,$A46,'Ход 2029'!$I$29:$I$38)</f>
        <v>0</v>
      </c>
      <c r="O46" s="4">
        <f>SUMIF('Ход 2030'!$G$29:$G$38,$A46,'Ход 2030'!$I$29:$I$38)</f>
        <v>0</v>
      </c>
      <c r="P46" s="4">
        <f>SUMIF('Ход 2031'!$G$29:$G$38,$A46,'Ход 2031'!$I$29:$I$38)</f>
        <v>0</v>
      </c>
      <c r="Q46" s="4">
        <f>SUMIF('Ход 2032'!$G$29:$G$38,$A46,'Ход 2032'!$I$29:$I$38)</f>
        <v>0</v>
      </c>
      <c r="R46" s="4">
        <f>SUMIF('Ход 2033'!$G$29:$G$38,$A46,'Ход 2033'!$I$29:$I$38)</f>
        <v>0</v>
      </c>
      <c r="S46" s="4">
        <f>SUMIF('Ход 2034'!$G$29:$G$38,$A46,'Ход 2034'!$I$29:$I$38)</f>
        <v>0</v>
      </c>
      <c r="T46" s="4">
        <f>SUMIF('Ход 2035'!$G$29:$G$38,$A46,'Ход 2035'!$I$29:$I$38)</f>
        <v>0</v>
      </c>
      <c r="U46" s="4">
        <f>SUMIF('Ход 2036'!$G$29:$G$38,$A46,'Ход 2036'!$I$29:$I$38)</f>
        <v>0</v>
      </c>
      <c r="V46" s="4">
        <f>SUMIF('Ход 2037'!$G$29:$G$38,$A46,'Ход 2037'!$I$29:$I$38)</f>
        <v>0</v>
      </c>
      <c r="W46" s="4">
        <f>SUMIF('Ход 2038'!$G$29:$G$38,$A46,'Ход 2038'!$I$29:$I$38)</f>
        <v>0</v>
      </c>
      <c r="X46" s="4">
        <f>SUMIF('Ход 2039'!$G$29:$G$38,$A46,'Ход 2039'!$I$29:$I$38)</f>
        <v>0</v>
      </c>
      <c r="Y46" s="4">
        <f>SUMIF('Ход 2040'!$G$29:$G$38,$A46,'Ход 2040'!$I$29:$I$38)</f>
        <v>0</v>
      </c>
      <c r="Z46" s="5">
        <f t="shared" si="0"/>
        <v>0</v>
      </c>
      <c r="AA46" s="5">
        <f t="shared" si="1"/>
        <v>150</v>
      </c>
      <c r="AB46" s="3" t="str">
        <f t="shared" si="2"/>
        <v>ЗАКРЫТО</v>
      </c>
      <c r="AC46">
        <f>SUM($K46:K46)</f>
        <v>0</v>
      </c>
      <c r="AD46">
        <f>SUM($K46:L46)</f>
        <v>0</v>
      </c>
      <c r="AE46">
        <f>SUM($K46:M46)</f>
        <v>0</v>
      </c>
      <c r="AF46">
        <f>SUM($K46:N46)</f>
        <v>0</v>
      </c>
      <c r="AG46">
        <f>SUM($K46:O46)</f>
        <v>0</v>
      </c>
      <c r="AH46">
        <f>SUM($K46:P46)</f>
        <v>0</v>
      </c>
      <c r="AI46">
        <f>SUM($K46:Q46)</f>
        <v>0</v>
      </c>
      <c r="AJ46">
        <f>SUM($K46:R46)</f>
        <v>0</v>
      </c>
      <c r="AK46">
        <f>SUM($K46:S46)</f>
        <v>0</v>
      </c>
      <c r="AL46">
        <f>SUM($K46:T46)</f>
        <v>0</v>
      </c>
      <c r="AM46">
        <f>SUM($K46:U46)</f>
        <v>0</v>
      </c>
      <c r="AN46">
        <f>SUM($K46:V46)</f>
        <v>0</v>
      </c>
      <c r="AO46">
        <f>SUM($K46:W46)</f>
        <v>0</v>
      </c>
      <c r="AP46">
        <f>SUM($K46:X46)</f>
        <v>0</v>
      </c>
      <c r="AQ46">
        <f>SUM($K46:Y46)</f>
        <v>0</v>
      </c>
      <c r="AR46" t="str">
        <f t="shared" si="3"/>
        <v>ЗАКРЫТО</v>
      </c>
      <c r="AS46" t="str">
        <f t="shared" si="4"/>
        <v>ЗАКРЫТО</v>
      </c>
      <c r="AT46" t="str">
        <f t="shared" si="5"/>
        <v>ЗАКРЫТО</v>
      </c>
      <c r="AU46" t="str">
        <f t="shared" si="6"/>
        <v>ЗАКРЫТО</v>
      </c>
      <c r="AV46" t="str">
        <f t="shared" si="7"/>
        <v>ЗАКРЫТО</v>
      </c>
      <c r="AW46" t="str">
        <f t="shared" si="8"/>
        <v>ЗАКРЫТО</v>
      </c>
      <c r="AX46" t="str">
        <f t="shared" si="9"/>
        <v>ЗАКРЫТО</v>
      </c>
      <c r="AY46" t="str">
        <f t="shared" si="10"/>
        <v>ЗАКРЫТО</v>
      </c>
      <c r="AZ46" t="str">
        <f t="shared" si="11"/>
        <v>ЗАКРЫТО</v>
      </c>
      <c r="BA46" t="str">
        <f t="shared" si="12"/>
        <v>ЗАКРЫТО</v>
      </c>
      <c r="BB46" t="str">
        <f t="shared" si="13"/>
        <v>ЗАКРЫТО</v>
      </c>
      <c r="BC46" t="str">
        <f t="shared" si="14"/>
        <v>ЗАКРЫТО</v>
      </c>
      <c r="BD46" t="str">
        <f t="shared" si="15"/>
        <v>ЗАКРЫТО</v>
      </c>
      <c r="BE46" t="str">
        <f t="shared" si="16"/>
        <v>ЗАКРЫТО</v>
      </c>
      <c r="BF46" t="str">
        <f t="shared" si="17"/>
        <v>ЗАКРЫТО</v>
      </c>
    </row>
    <row r="47" spans="1:58" ht="41.4">
      <c r="A47" s="3" t="s">
        <v>219</v>
      </c>
      <c r="B47" s="3" t="s">
        <v>220</v>
      </c>
      <c r="C47" s="3" t="s">
        <v>85</v>
      </c>
      <c r="D47" s="3" t="s">
        <v>221</v>
      </c>
      <c r="E47" s="3">
        <v>100</v>
      </c>
      <c r="F47" s="3" t="s">
        <v>107</v>
      </c>
      <c r="G47" s="3" t="s">
        <v>132</v>
      </c>
      <c r="H47" s="3" t="s">
        <v>153</v>
      </c>
      <c r="I47" s="3" t="s">
        <v>222</v>
      </c>
      <c r="J47" s="3" t="s">
        <v>223</v>
      </c>
      <c r="K47" s="4">
        <f>SUMIF('Ход 2026'!$G$29:$G$38,$A47,'Ход 2026'!$I$29:$I$38)</f>
        <v>0</v>
      </c>
      <c r="L47" s="4">
        <f>SUMIF('Ход 2027'!$G$29:$G$38,$A47,'Ход 2027'!$I$29:$I$38)</f>
        <v>0</v>
      </c>
      <c r="M47" s="4">
        <f>SUMIF('Ход 2028'!$G$29:$G$38,$A47,'Ход 2028'!$I$29:$I$38)</f>
        <v>0</v>
      </c>
      <c r="N47" s="4">
        <f>SUMIF('Ход 2029'!$G$29:$G$38,$A47,'Ход 2029'!$I$29:$I$38)</f>
        <v>0</v>
      </c>
      <c r="O47" s="4">
        <f>SUMIF('Ход 2030'!$G$29:$G$38,$A47,'Ход 2030'!$I$29:$I$38)</f>
        <v>0</v>
      </c>
      <c r="P47" s="4">
        <f>SUMIF('Ход 2031'!$G$29:$G$38,$A47,'Ход 2031'!$I$29:$I$38)</f>
        <v>0</v>
      </c>
      <c r="Q47" s="4">
        <f>SUMIF('Ход 2032'!$G$29:$G$38,$A47,'Ход 2032'!$I$29:$I$38)</f>
        <v>0</v>
      </c>
      <c r="R47" s="4">
        <f>SUMIF('Ход 2033'!$G$29:$G$38,$A47,'Ход 2033'!$I$29:$I$38)</f>
        <v>0</v>
      </c>
      <c r="S47" s="4">
        <f>SUMIF('Ход 2034'!$G$29:$G$38,$A47,'Ход 2034'!$I$29:$I$38)</f>
        <v>0</v>
      </c>
      <c r="T47" s="4">
        <f>SUMIF('Ход 2035'!$G$29:$G$38,$A47,'Ход 2035'!$I$29:$I$38)</f>
        <v>0</v>
      </c>
      <c r="U47" s="4">
        <f>SUMIF('Ход 2036'!$G$29:$G$38,$A47,'Ход 2036'!$I$29:$I$38)</f>
        <v>0</v>
      </c>
      <c r="V47" s="4">
        <f>SUMIF('Ход 2037'!$G$29:$G$38,$A47,'Ход 2037'!$I$29:$I$38)</f>
        <v>0</v>
      </c>
      <c r="W47" s="4">
        <f>SUMIF('Ход 2038'!$G$29:$G$38,$A47,'Ход 2038'!$I$29:$I$38)</f>
        <v>0</v>
      </c>
      <c r="X47" s="4">
        <f>SUMIF('Ход 2039'!$G$29:$G$38,$A47,'Ход 2039'!$I$29:$I$38)</f>
        <v>0</v>
      </c>
      <c r="Y47" s="4">
        <f>SUMIF('Ход 2040'!$G$29:$G$38,$A47,'Ход 2040'!$I$29:$I$38)</f>
        <v>0</v>
      </c>
      <c r="Z47" s="5">
        <f t="shared" si="0"/>
        <v>0</v>
      </c>
      <c r="AA47" s="5">
        <f t="shared" si="1"/>
        <v>100</v>
      </c>
      <c r="AB47" s="3" t="str">
        <f t="shared" si="2"/>
        <v>ЗАКРЫТО</v>
      </c>
      <c r="AC47">
        <f>SUM($K47:K47)</f>
        <v>0</v>
      </c>
      <c r="AD47">
        <f>SUM($K47:L47)</f>
        <v>0</v>
      </c>
      <c r="AE47">
        <f>SUM($K47:M47)</f>
        <v>0</v>
      </c>
      <c r="AF47">
        <f>SUM($K47:N47)</f>
        <v>0</v>
      </c>
      <c r="AG47">
        <f>SUM($K47:O47)</f>
        <v>0</v>
      </c>
      <c r="AH47">
        <f>SUM($K47:P47)</f>
        <v>0</v>
      </c>
      <c r="AI47">
        <f>SUM($K47:Q47)</f>
        <v>0</v>
      </c>
      <c r="AJ47">
        <f>SUM($K47:R47)</f>
        <v>0</v>
      </c>
      <c r="AK47">
        <f>SUM($K47:S47)</f>
        <v>0</v>
      </c>
      <c r="AL47">
        <f>SUM($K47:T47)</f>
        <v>0</v>
      </c>
      <c r="AM47">
        <f>SUM($K47:U47)</f>
        <v>0</v>
      </c>
      <c r="AN47">
        <f>SUM($K47:V47)</f>
        <v>0</v>
      </c>
      <c r="AO47">
        <f>SUM($K47:W47)</f>
        <v>0</v>
      </c>
      <c r="AP47">
        <f>SUM($K47:X47)</f>
        <v>0</v>
      </c>
      <c r="AQ47">
        <f>SUM($K47:Y47)</f>
        <v>0</v>
      </c>
      <c r="AR47" t="str">
        <f t="shared" si="3"/>
        <v>ЗАКРЫТО</v>
      </c>
      <c r="AS47" t="str">
        <f t="shared" si="4"/>
        <v>ЗАКРЫТО</v>
      </c>
      <c r="AT47" t="str">
        <f t="shared" si="5"/>
        <v>ЗАКРЫТО</v>
      </c>
      <c r="AU47" t="str">
        <f t="shared" si="6"/>
        <v>ЗАКРЫТО</v>
      </c>
      <c r="AV47" t="str">
        <f t="shared" si="7"/>
        <v>ЗАКРЫТО</v>
      </c>
      <c r="AW47" t="str">
        <f t="shared" si="8"/>
        <v>ЗАКРЫТО</v>
      </c>
      <c r="AX47" t="str">
        <f t="shared" si="9"/>
        <v>ЗАКРЫТО</v>
      </c>
      <c r="AY47" t="str">
        <f t="shared" si="10"/>
        <v>ЗАКРЫТО</v>
      </c>
      <c r="AZ47" t="str">
        <f t="shared" si="11"/>
        <v>ЗАКРЫТО</v>
      </c>
      <c r="BA47" t="str">
        <f t="shared" si="12"/>
        <v>ЗАКРЫТО</v>
      </c>
      <c r="BB47" t="str">
        <f t="shared" si="13"/>
        <v>ЗАКРЫТО</v>
      </c>
      <c r="BC47" t="str">
        <f t="shared" si="14"/>
        <v>ЗАКРЫТО</v>
      </c>
      <c r="BD47" t="str">
        <f t="shared" si="15"/>
        <v>ЗАКРЫТО</v>
      </c>
      <c r="BE47" t="str">
        <f t="shared" si="16"/>
        <v>ЗАКРЫТО</v>
      </c>
      <c r="BF47" t="str">
        <f t="shared" si="17"/>
        <v>ЗАКРЫТО</v>
      </c>
    </row>
    <row r="48" spans="1:58" ht="41.4">
      <c r="A48" s="3" t="s">
        <v>224</v>
      </c>
      <c r="B48" s="3" t="s">
        <v>220</v>
      </c>
      <c r="C48" s="3" t="s">
        <v>85</v>
      </c>
      <c r="D48" s="3" t="s">
        <v>225</v>
      </c>
      <c r="E48" s="3">
        <v>110</v>
      </c>
      <c r="F48" s="3" t="s">
        <v>79</v>
      </c>
      <c r="G48" s="3" t="s">
        <v>132</v>
      </c>
      <c r="H48" s="3" t="s">
        <v>203</v>
      </c>
      <c r="I48" s="3" t="s">
        <v>226</v>
      </c>
      <c r="J48" s="3" t="s">
        <v>227</v>
      </c>
      <c r="K48" s="4">
        <f>SUMIF('Ход 2026'!$G$29:$G$38,$A48,'Ход 2026'!$I$29:$I$38)</f>
        <v>0</v>
      </c>
      <c r="L48" s="4">
        <f>SUMIF('Ход 2027'!$G$29:$G$38,$A48,'Ход 2027'!$I$29:$I$38)</f>
        <v>0</v>
      </c>
      <c r="M48" s="4">
        <f>SUMIF('Ход 2028'!$G$29:$G$38,$A48,'Ход 2028'!$I$29:$I$38)</f>
        <v>0</v>
      </c>
      <c r="N48" s="4">
        <f>SUMIF('Ход 2029'!$G$29:$G$38,$A48,'Ход 2029'!$I$29:$I$38)</f>
        <v>0</v>
      </c>
      <c r="O48" s="4">
        <f>SUMIF('Ход 2030'!$G$29:$G$38,$A48,'Ход 2030'!$I$29:$I$38)</f>
        <v>0</v>
      </c>
      <c r="P48" s="4">
        <f>SUMIF('Ход 2031'!$G$29:$G$38,$A48,'Ход 2031'!$I$29:$I$38)</f>
        <v>0</v>
      </c>
      <c r="Q48" s="4">
        <f>SUMIF('Ход 2032'!$G$29:$G$38,$A48,'Ход 2032'!$I$29:$I$38)</f>
        <v>0</v>
      </c>
      <c r="R48" s="4">
        <f>SUMIF('Ход 2033'!$G$29:$G$38,$A48,'Ход 2033'!$I$29:$I$38)</f>
        <v>0</v>
      </c>
      <c r="S48" s="4">
        <f>SUMIF('Ход 2034'!$G$29:$G$38,$A48,'Ход 2034'!$I$29:$I$38)</f>
        <v>0</v>
      </c>
      <c r="T48" s="4">
        <f>SUMIF('Ход 2035'!$G$29:$G$38,$A48,'Ход 2035'!$I$29:$I$38)</f>
        <v>0</v>
      </c>
      <c r="U48" s="4">
        <f>SUMIF('Ход 2036'!$G$29:$G$38,$A48,'Ход 2036'!$I$29:$I$38)</f>
        <v>0</v>
      </c>
      <c r="V48" s="4">
        <f>SUMIF('Ход 2037'!$G$29:$G$38,$A48,'Ход 2037'!$I$29:$I$38)</f>
        <v>0</v>
      </c>
      <c r="W48" s="4">
        <f>SUMIF('Ход 2038'!$G$29:$G$38,$A48,'Ход 2038'!$I$29:$I$38)</f>
        <v>0</v>
      </c>
      <c r="X48" s="4">
        <f>SUMIF('Ход 2039'!$G$29:$G$38,$A48,'Ход 2039'!$I$29:$I$38)</f>
        <v>0</v>
      </c>
      <c r="Y48" s="4">
        <f>SUMIF('Ход 2040'!$G$29:$G$38,$A48,'Ход 2040'!$I$29:$I$38)</f>
        <v>0</v>
      </c>
      <c r="Z48" s="5">
        <f t="shared" si="0"/>
        <v>0</v>
      </c>
      <c r="AA48" s="5">
        <f t="shared" si="1"/>
        <v>110</v>
      </c>
      <c r="AB48" s="3" t="str">
        <f t="shared" si="2"/>
        <v>ЗАКРЫТО</v>
      </c>
      <c r="AC48">
        <f>SUM($K48:K48)</f>
        <v>0</v>
      </c>
      <c r="AD48">
        <f>SUM($K48:L48)</f>
        <v>0</v>
      </c>
      <c r="AE48">
        <f>SUM($K48:M48)</f>
        <v>0</v>
      </c>
      <c r="AF48">
        <f>SUM($K48:N48)</f>
        <v>0</v>
      </c>
      <c r="AG48">
        <f>SUM($K48:O48)</f>
        <v>0</v>
      </c>
      <c r="AH48">
        <f>SUM($K48:P48)</f>
        <v>0</v>
      </c>
      <c r="AI48">
        <f>SUM($K48:Q48)</f>
        <v>0</v>
      </c>
      <c r="AJ48">
        <f>SUM($K48:R48)</f>
        <v>0</v>
      </c>
      <c r="AK48">
        <f>SUM($K48:S48)</f>
        <v>0</v>
      </c>
      <c r="AL48">
        <f>SUM($K48:T48)</f>
        <v>0</v>
      </c>
      <c r="AM48">
        <f>SUM($K48:U48)</f>
        <v>0</v>
      </c>
      <c r="AN48">
        <f>SUM($K48:V48)</f>
        <v>0</v>
      </c>
      <c r="AO48">
        <f>SUM($K48:W48)</f>
        <v>0</v>
      </c>
      <c r="AP48">
        <f>SUM($K48:X48)</f>
        <v>0</v>
      </c>
      <c r="AQ48">
        <f>SUM($K48:Y48)</f>
        <v>0</v>
      </c>
      <c r="AR48" t="str">
        <f t="shared" si="3"/>
        <v>ЗАКРЫТО</v>
      </c>
      <c r="AS48" t="str">
        <f t="shared" si="4"/>
        <v>ЗАКРЫТО</v>
      </c>
      <c r="AT48" t="str">
        <f t="shared" si="5"/>
        <v>ЗАКРЫТО</v>
      </c>
      <c r="AU48" t="str">
        <f t="shared" si="6"/>
        <v>ЗАКРЫТО</v>
      </c>
      <c r="AV48" t="str">
        <f t="shared" si="7"/>
        <v>ЗАКРЫТО</v>
      </c>
      <c r="AW48" t="str">
        <f t="shared" si="8"/>
        <v>ЗАКРЫТО</v>
      </c>
      <c r="AX48" t="str">
        <f t="shared" si="9"/>
        <v>ЗАКРЫТО</v>
      </c>
      <c r="AY48" t="str">
        <f t="shared" si="10"/>
        <v>ЗАКРЫТО</v>
      </c>
      <c r="AZ48" t="str">
        <f t="shared" si="11"/>
        <v>ЗАКРЫТО</v>
      </c>
      <c r="BA48" t="str">
        <f t="shared" si="12"/>
        <v>ЗАКРЫТО</v>
      </c>
      <c r="BB48" t="str">
        <f t="shared" si="13"/>
        <v>ЗАКРЫТО</v>
      </c>
      <c r="BC48" t="str">
        <f t="shared" si="14"/>
        <v>ЗАКРЫТО</v>
      </c>
      <c r="BD48" t="str">
        <f t="shared" si="15"/>
        <v>ЗАКРЫТО</v>
      </c>
      <c r="BE48" t="str">
        <f t="shared" si="16"/>
        <v>ЗАКРЫТО</v>
      </c>
      <c r="BF48" t="str">
        <f t="shared" si="17"/>
        <v>ЗАКРЫТО</v>
      </c>
    </row>
    <row r="49" spans="1:58" ht="27.6">
      <c r="A49" s="3" t="s">
        <v>228</v>
      </c>
      <c r="B49" s="3" t="s">
        <v>220</v>
      </c>
      <c r="C49" s="3" t="s">
        <v>90</v>
      </c>
      <c r="D49" s="3" t="s">
        <v>229</v>
      </c>
      <c r="E49" s="3">
        <v>140</v>
      </c>
      <c r="F49" s="3" t="s">
        <v>161</v>
      </c>
      <c r="G49" s="3" t="s">
        <v>136</v>
      </c>
      <c r="H49" s="3" t="s">
        <v>211</v>
      </c>
      <c r="I49" s="3" t="s">
        <v>230</v>
      </c>
      <c r="J49" s="3" t="s">
        <v>231</v>
      </c>
      <c r="K49" s="4">
        <f>SUMIF('Ход 2026'!$G$29:$G$38,$A49,'Ход 2026'!$I$29:$I$38)</f>
        <v>0</v>
      </c>
      <c r="L49" s="4">
        <f>SUMIF('Ход 2027'!$G$29:$G$38,$A49,'Ход 2027'!$I$29:$I$38)</f>
        <v>0</v>
      </c>
      <c r="M49" s="4">
        <f>SUMIF('Ход 2028'!$G$29:$G$38,$A49,'Ход 2028'!$I$29:$I$38)</f>
        <v>0</v>
      </c>
      <c r="N49" s="4">
        <f>SUMIF('Ход 2029'!$G$29:$G$38,$A49,'Ход 2029'!$I$29:$I$38)</f>
        <v>0</v>
      </c>
      <c r="O49" s="4">
        <f>SUMIF('Ход 2030'!$G$29:$G$38,$A49,'Ход 2030'!$I$29:$I$38)</f>
        <v>0</v>
      </c>
      <c r="P49" s="4">
        <f>SUMIF('Ход 2031'!$G$29:$G$38,$A49,'Ход 2031'!$I$29:$I$38)</f>
        <v>0</v>
      </c>
      <c r="Q49" s="4">
        <f>SUMIF('Ход 2032'!$G$29:$G$38,$A49,'Ход 2032'!$I$29:$I$38)</f>
        <v>0</v>
      </c>
      <c r="R49" s="4">
        <f>SUMIF('Ход 2033'!$G$29:$G$38,$A49,'Ход 2033'!$I$29:$I$38)</f>
        <v>0</v>
      </c>
      <c r="S49" s="4">
        <f>SUMIF('Ход 2034'!$G$29:$G$38,$A49,'Ход 2034'!$I$29:$I$38)</f>
        <v>0</v>
      </c>
      <c r="T49" s="4">
        <f>SUMIF('Ход 2035'!$G$29:$G$38,$A49,'Ход 2035'!$I$29:$I$38)</f>
        <v>0</v>
      </c>
      <c r="U49" s="4">
        <f>SUMIF('Ход 2036'!$G$29:$G$38,$A49,'Ход 2036'!$I$29:$I$38)</f>
        <v>0</v>
      </c>
      <c r="V49" s="4">
        <f>SUMIF('Ход 2037'!$G$29:$G$38,$A49,'Ход 2037'!$I$29:$I$38)</f>
        <v>0</v>
      </c>
      <c r="W49" s="4">
        <f>SUMIF('Ход 2038'!$G$29:$G$38,$A49,'Ход 2038'!$I$29:$I$38)</f>
        <v>0</v>
      </c>
      <c r="X49" s="4">
        <f>SUMIF('Ход 2039'!$G$29:$G$38,$A49,'Ход 2039'!$I$29:$I$38)</f>
        <v>0</v>
      </c>
      <c r="Y49" s="4">
        <f>SUMIF('Ход 2040'!$G$29:$G$38,$A49,'Ход 2040'!$I$29:$I$38)</f>
        <v>0</v>
      </c>
      <c r="Z49" s="5">
        <f t="shared" si="0"/>
        <v>0</v>
      </c>
      <c r="AA49" s="5">
        <f t="shared" si="1"/>
        <v>140</v>
      </c>
      <c r="AB49" s="3" t="str">
        <f t="shared" si="2"/>
        <v>ЗАКРЫТО</v>
      </c>
      <c r="AC49">
        <f>SUM($K49:K49)</f>
        <v>0</v>
      </c>
      <c r="AD49">
        <f>SUM($K49:L49)</f>
        <v>0</v>
      </c>
      <c r="AE49">
        <f>SUM($K49:M49)</f>
        <v>0</v>
      </c>
      <c r="AF49">
        <f>SUM($K49:N49)</f>
        <v>0</v>
      </c>
      <c r="AG49">
        <f>SUM($K49:O49)</f>
        <v>0</v>
      </c>
      <c r="AH49">
        <f>SUM($K49:P49)</f>
        <v>0</v>
      </c>
      <c r="AI49">
        <f>SUM($K49:Q49)</f>
        <v>0</v>
      </c>
      <c r="AJ49">
        <f>SUM($K49:R49)</f>
        <v>0</v>
      </c>
      <c r="AK49">
        <f>SUM($K49:S49)</f>
        <v>0</v>
      </c>
      <c r="AL49">
        <f>SUM($K49:T49)</f>
        <v>0</v>
      </c>
      <c r="AM49">
        <f>SUM($K49:U49)</f>
        <v>0</v>
      </c>
      <c r="AN49">
        <f>SUM($K49:V49)</f>
        <v>0</v>
      </c>
      <c r="AO49">
        <f>SUM($K49:W49)</f>
        <v>0</v>
      </c>
      <c r="AP49">
        <f>SUM($K49:X49)</f>
        <v>0</v>
      </c>
      <c r="AQ49">
        <f>SUM($K49:Y49)</f>
        <v>0</v>
      </c>
      <c r="AR49" t="str">
        <f t="shared" si="3"/>
        <v>ЗАКРЫТО</v>
      </c>
      <c r="AS49" t="str">
        <f t="shared" si="4"/>
        <v>ЗАКРЫТО</v>
      </c>
      <c r="AT49" t="str">
        <f t="shared" si="5"/>
        <v>ЗАКРЫТО</v>
      </c>
      <c r="AU49" t="str">
        <f t="shared" si="6"/>
        <v>ЗАКРЫТО</v>
      </c>
      <c r="AV49" t="str">
        <f t="shared" si="7"/>
        <v>ЗАКРЫТО</v>
      </c>
      <c r="AW49" t="str">
        <f t="shared" si="8"/>
        <v>ЗАКРЫТО</v>
      </c>
      <c r="AX49" t="str">
        <f t="shared" si="9"/>
        <v>ЗАКРЫТО</v>
      </c>
      <c r="AY49" t="str">
        <f t="shared" si="10"/>
        <v>ЗАКРЫТО</v>
      </c>
      <c r="AZ49" t="str">
        <f t="shared" si="11"/>
        <v>ЗАКРЫТО</v>
      </c>
      <c r="BA49" t="str">
        <f t="shared" si="12"/>
        <v>ЗАКРЫТО</v>
      </c>
      <c r="BB49" t="str">
        <f t="shared" si="13"/>
        <v>ЗАКРЫТО</v>
      </c>
      <c r="BC49" t="str">
        <f t="shared" si="14"/>
        <v>ЗАКРЫТО</v>
      </c>
      <c r="BD49" t="str">
        <f t="shared" si="15"/>
        <v>ЗАКРЫТО</v>
      </c>
      <c r="BE49" t="str">
        <f t="shared" si="16"/>
        <v>ЗАКРЫТО</v>
      </c>
      <c r="BF49" t="str">
        <f t="shared" si="17"/>
        <v>ЗАКРЫТО</v>
      </c>
    </row>
    <row r="50" spans="1:58" ht="41.4">
      <c r="A50" s="3" t="s">
        <v>232</v>
      </c>
      <c r="B50" s="3" t="s">
        <v>220</v>
      </c>
      <c r="C50" s="3" t="s">
        <v>233</v>
      </c>
      <c r="D50" s="3" t="s">
        <v>234</v>
      </c>
      <c r="E50" s="3">
        <v>190</v>
      </c>
      <c r="F50" s="3" t="s">
        <v>115</v>
      </c>
      <c r="G50" s="3" t="s">
        <v>165</v>
      </c>
      <c r="H50" s="3" t="s">
        <v>215</v>
      </c>
      <c r="I50" s="3" t="s">
        <v>235</v>
      </c>
      <c r="J50" s="3" t="s">
        <v>236</v>
      </c>
      <c r="K50" s="4">
        <f>SUMIF('Ход 2026'!$G$29:$G$38,$A50,'Ход 2026'!$I$29:$I$38)</f>
        <v>0</v>
      </c>
      <c r="L50" s="4">
        <f>SUMIF('Ход 2027'!$G$29:$G$38,$A50,'Ход 2027'!$I$29:$I$38)</f>
        <v>0</v>
      </c>
      <c r="M50" s="4">
        <f>SUMIF('Ход 2028'!$G$29:$G$38,$A50,'Ход 2028'!$I$29:$I$38)</f>
        <v>0</v>
      </c>
      <c r="N50" s="4">
        <f>SUMIF('Ход 2029'!$G$29:$G$38,$A50,'Ход 2029'!$I$29:$I$38)</f>
        <v>0</v>
      </c>
      <c r="O50" s="4">
        <f>SUMIF('Ход 2030'!$G$29:$G$38,$A50,'Ход 2030'!$I$29:$I$38)</f>
        <v>0</v>
      </c>
      <c r="P50" s="4">
        <f>SUMIF('Ход 2031'!$G$29:$G$38,$A50,'Ход 2031'!$I$29:$I$38)</f>
        <v>0</v>
      </c>
      <c r="Q50" s="4">
        <f>SUMIF('Ход 2032'!$G$29:$G$38,$A50,'Ход 2032'!$I$29:$I$38)</f>
        <v>0</v>
      </c>
      <c r="R50" s="4">
        <f>SUMIF('Ход 2033'!$G$29:$G$38,$A50,'Ход 2033'!$I$29:$I$38)</f>
        <v>0</v>
      </c>
      <c r="S50" s="4">
        <f>SUMIF('Ход 2034'!$G$29:$G$38,$A50,'Ход 2034'!$I$29:$I$38)</f>
        <v>0</v>
      </c>
      <c r="T50" s="4">
        <f>SUMIF('Ход 2035'!$G$29:$G$38,$A50,'Ход 2035'!$I$29:$I$38)</f>
        <v>0</v>
      </c>
      <c r="U50" s="4">
        <f>SUMIF('Ход 2036'!$G$29:$G$38,$A50,'Ход 2036'!$I$29:$I$38)</f>
        <v>0</v>
      </c>
      <c r="V50" s="4">
        <f>SUMIF('Ход 2037'!$G$29:$G$38,$A50,'Ход 2037'!$I$29:$I$38)</f>
        <v>0</v>
      </c>
      <c r="W50" s="4">
        <f>SUMIF('Ход 2038'!$G$29:$G$38,$A50,'Ход 2038'!$I$29:$I$38)</f>
        <v>0</v>
      </c>
      <c r="X50" s="4">
        <f>SUMIF('Ход 2039'!$G$29:$G$38,$A50,'Ход 2039'!$I$29:$I$38)</f>
        <v>0</v>
      </c>
      <c r="Y50" s="4">
        <f>SUMIF('Ход 2040'!$G$29:$G$38,$A50,'Ход 2040'!$I$29:$I$38)</f>
        <v>0</v>
      </c>
      <c r="Z50" s="5">
        <f t="shared" si="0"/>
        <v>0</v>
      </c>
      <c r="AA50" s="5">
        <f t="shared" si="1"/>
        <v>190</v>
      </c>
      <c r="AB50" s="3" t="str">
        <f t="shared" si="2"/>
        <v>ЗАКРЫТО</v>
      </c>
      <c r="AC50">
        <f>SUM($K50:K50)</f>
        <v>0</v>
      </c>
      <c r="AD50">
        <f>SUM($K50:L50)</f>
        <v>0</v>
      </c>
      <c r="AE50">
        <f>SUM($K50:M50)</f>
        <v>0</v>
      </c>
      <c r="AF50">
        <f>SUM($K50:N50)</f>
        <v>0</v>
      </c>
      <c r="AG50">
        <f>SUM($K50:O50)</f>
        <v>0</v>
      </c>
      <c r="AH50">
        <f>SUM($K50:P50)</f>
        <v>0</v>
      </c>
      <c r="AI50">
        <f>SUM($K50:Q50)</f>
        <v>0</v>
      </c>
      <c r="AJ50">
        <f>SUM($K50:R50)</f>
        <v>0</v>
      </c>
      <c r="AK50">
        <f>SUM($K50:S50)</f>
        <v>0</v>
      </c>
      <c r="AL50">
        <f>SUM($K50:T50)</f>
        <v>0</v>
      </c>
      <c r="AM50">
        <f>SUM($K50:U50)</f>
        <v>0</v>
      </c>
      <c r="AN50">
        <f>SUM($K50:V50)</f>
        <v>0</v>
      </c>
      <c r="AO50">
        <f>SUM($K50:W50)</f>
        <v>0</v>
      </c>
      <c r="AP50">
        <f>SUM($K50:X50)</f>
        <v>0</v>
      </c>
      <c r="AQ50">
        <f>SUM($K50:Y50)</f>
        <v>0</v>
      </c>
      <c r="AR50" t="str">
        <f t="shared" si="3"/>
        <v>ЗАКРЫТО</v>
      </c>
      <c r="AS50" t="str">
        <f t="shared" si="4"/>
        <v>ЗАКРЫТО</v>
      </c>
      <c r="AT50" t="str">
        <f t="shared" si="5"/>
        <v>ЗАКРЫТО</v>
      </c>
      <c r="AU50" t="str">
        <f t="shared" si="6"/>
        <v>ЗАКРЫТО</v>
      </c>
      <c r="AV50" t="str">
        <f t="shared" si="7"/>
        <v>ЗАКРЫТО</v>
      </c>
      <c r="AW50" t="str">
        <f t="shared" si="8"/>
        <v>ЗАКРЫТО</v>
      </c>
      <c r="AX50" t="str">
        <f t="shared" si="9"/>
        <v>ЗАКРЫТО</v>
      </c>
      <c r="AY50" t="str">
        <f t="shared" si="10"/>
        <v>ЗАКРЫТО</v>
      </c>
      <c r="AZ50" t="str">
        <f t="shared" si="11"/>
        <v>ЗАКРЫТО</v>
      </c>
      <c r="BA50" t="str">
        <f t="shared" si="12"/>
        <v>ЗАКРЫТО</v>
      </c>
      <c r="BB50" t="str">
        <f t="shared" si="13"/>
        <v>ЗАКРЫТО</v>
      </c>
      <c r="BC50" t="str">
        <f t="shared" si="14"/>
        <v>ЗАКРЫТО</v>
      </c>
      <c r="BD50" t="str">
        <f t="shared" si="15"/>
        <v>ЗАКРЫТО</v>
      </c>
      <c r="BE50" t="str">
        <f t="shared" si="16"/>
        <v>ЗАКРЫТО</v>
      </c>
      <c r="BF50" t="str">
        <f t="shared" si="17"/>
        <v>ЗАКРЫТО</v>
      </c>
    </row>
  </sheetData>
  <mergeCells count="10">
    <mergeCell ref="A6:C7"/>
    <mergeCell ref="E6:G7"/>
    <mergeCell ref="I6:K7"/>
    <mergeCell ref="M6:N7"/>
    <mergeCell ref="A1:AB2"/>
    <mergeCell ref="A3:AB3"/>
    <mergeCell ref="A5:C5"/>
    <mergeCell ref="E5:G5"/>
    <mergeCell ref="I5:K5"/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5"/>
  <sheetViews>
    <sheetView tabSelected="1" workbookViewId="0">
      <selection activeCell="A5" sqref="A5:I5"/>
    </sheetView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237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79.124586033305263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70.279743680276496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77.727489450675108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93.077427289391579</v>
      </c>
      <c r="V6" s="16"/>
      <c r="W6" s="16"/>
      <c r="X6" s="3"/>
    </row>
    <row r="7" spans="1:24" ht="27.6">
      <c r="A7" s="6" t="s">
        <v>253</v>
      </c>
      <c r="B7" s="6"/>
      <c r="C7" s="6"/>
      <c r="D7" s="7"/>
      <c r="E7" s="7"/>
      <c r="F7" s="7"/>
      <c r="G7" s="7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v>7.5</v>
      </c>
      <c r="C8" s="3"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v>8.5</v>
      </c>
      <c r="C9" s="3"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8.5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v>9</v>
      </c>
      <c r="C10" s="3"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v>7.5</v>
      </c>
      <c r="C11" s="3"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7.5</v>
      </c>
      <c r="J11" s="3"/>
      <c r="K11" s="3" t="s">
        <v>265</v>
      </c>
      <c r="L11" s="3">
        <v>7</v>
      </c>
      <c r="M11" s="3"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7</v>
      </c>
      <c r="T11" s="3"/>
      <c r="U11" s="3" t="s">
        <v>266</v>
      </c>
      <c r="V11" s="3"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v>9</v>
      </c>
      <c r="C12" s="3"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</v>
      </c>
      <c r="J12" s="3"/>
      <c r="K12" s="3" t="s">
        <v>269</v>
      </c>
      <c r="L12" s="3">
        <v>8</v>
      </c>
      <c r="M12" s="3"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</v>
      </c>
      <c r="T12" s="3"/>
      <c r="U12" s="3" t="s">
        <v>270</v>
      </c>
      <c r="V12" s="3"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v>7</v>
      </c>
      <c r="C13" s="3"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</v>
      </c>
      <c r="J13" s="3"/>
      <c r="K13" s="3" t="s">
        <v>273</v>
      </c>
      <c r="L13" s="3">
        <v>9.5</v>
      </c>
      <c r="M13" s="3"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9.5</v>
      </c>
      <c r="T13" s="3"/>
      <c r="U13" s="3" t="s">
        <v>274</v>
      </c>
      <c r="V13" s="3">
        <v>1</v>
      </c>
      <c r="W13" s="3" t="str">
        <f t="shared" si="2"/>
        <v>Сотрудничество</v>
      </c>
      <c r="X13" s="3" t="s">
        <v>275</v>
      </c>
    </row>
    <row r="14" spans="1:24" ht="27.6">
      <c r="A14" s="3" t="s">
        <v>276</v>
      </c>
      <c r="B14" s="3">
        <v>9.5</v>
      </c>
      <c r="C14" s="3"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9.5</v>
      </c>
      <c r="J14" s="3"/>
      <c r="K14" s="3" t="s">
        <v>277</v>
      </c>
      <c r="L14" s="3">
        <v>7.5</v>
      </c>
      <c r="M14" s="3"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7.5</v>
      </c>
      <c r="T14" s="3"/>
      <c r="U14" s="3" t="s">
        <v>278</v>
      </c>
      <c r="V14" s="3">
        <v>0.9</v>
      </c>
      <c r="W14" s="3" t="str">
        <f t="shared" si="2"/>
        <v>Сотрудничество</v>
      </c>
      <c r="X14" s="3" t="s">
        <v>467</v>
      </c>
    </row>
    <row r="15" spans="1:24" ht="55.2">
      <c r="A15" s="3" t="s">
        <v>280</v>
      </c>
      <c r="B15" s="3">
        <v>9.5</v>
      </c>
      <c r="C15" s="3"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9.5</v>
      </c>
      <c r="J15" s="3"/>
      <c r="K15" s="3" t="s">
        <v>281</v>
      </c>
      <c r="L15" s="3">
        <v>9</v>
      </c>
      <c r="M15" s="3"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</v>
      </c>
      <c r="T15" s="3"/>
      <c r="U15" s="3" t="s">
        <v>282</v>
      </c>
      <c r="V15" s="3"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v>9</v>
      </c>
      <c r="C16" s="3"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</v>
      </c>
      <c r="J16" s="3"/>
      <c r="K16" s="3" t="s">
        <v>285</v>
      </c>
      <c r="L16" s="3">
        <v>8.5</v>
      </c>
      <c r="M16" s="3"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8.5</v>
      </c>
      <c r="T16" s="3"/>
      <c r="U16" s="3" t="s">
        <v>286</v>
      </c>
      <c r="V16" s="3"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v>9</v>
      </c>
      <c r="C17" s="3"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</v>
      </c>
      <c r="J17" s="3"/>
      <c r="K17" s="3" t="s">
        <v>289</v>
      </c>
      <c r="L17" s="3">
        <v>7</v>
      </c>
      <c r="M17" s="3"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</v>
      </c>
      <c r="T17" s="3"/>
      <c r="U17" s="3" t="s">
        <v>290</v>
      </c>
      <c r="V17" s="3"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7"/>
      <c r="E18" s="7"/>
      <c r="F18" s="7"/>
      <c r="G18" s="7"/>
      <c r="H18" s="6"/>
      <c r="I18" s="6"/>
      <c r="J18" s="3"/>
      <c r="K18" s="3" t="s">
        <v>293</v>
      </c>
      <c r="L18" s="3">
        <v>7</v>
      </c>
      <c r="M18" s="3"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</v>
      </c>
      <c r="T18" s="3"/>
      <c r="U18" s="3" t="s">
        <v>294</v>
      </c>
      <c r="V18" s="3"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v>9</v>
      </c>
      <c r="C19" s="3"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3"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v>9</v>
      </c>
      <c r="C20" s="3"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3"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v>8</v>
      </c>
      <c r="C21" s="3"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3"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v>9</v>
      </c>
      <c r="C22" s="3"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3"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v>9</v>
      </c>
      <c r="C23" s="3"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3"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7"/>
      <c r="E24" s="7"/>
      <c r="F24" s="7"/>
      <c r="G24" s="7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3"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v>9.5</v>
      </c>
      <c r="C25" s="3"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9.5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3"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v>9</v>
      </c>
      <c r="C26" s="3"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3"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v>9.5</v>
      </c>
      <c r="C27" s="3"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v>9</v>
      </c>
      <c r="C28" s="3"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v>9</v>
      </c>
      <c r="C29" s="3"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v>9</v>
      </c>
      <c r="C30" s="3"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v>8</v>
      </c>
      <c r="C31" s="3"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v>8.5</v>
      </c>
      <c r="C32" s="3"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7"/>
      <c r="E33" s="7"/>
      <c r="F33" s="7"/>
      <c r="G33" s="7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v>8</v>
      </c>
      <c r="C34" s="3"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v>9.5</v>
      </c>
      <c r="C35" s="3"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v>9</v>
      </c>
      <c r="C36" s="3"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v>9</v>
      </c>
      <c r="C37" s="3"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v>8.5</v>
      </c>
      <c r="C38" s="3"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v>8.5</v>
      </c>
      <c r="C39" s="3"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v>9</v>
      </c>
      <c r="C40" s="3"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v>10</v>
      </c>
      <c r="C41" s="3"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v>9.5</v>
      </c>
      <c r="C42" s="3"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7"/>
      <c r="E43" s="7"/>
      <c r="F43" s="7"/>
      <c r="G43" s="7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v>8</v>
      </c>
      <c r="C44" s="3"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v>7.5</v>
      </c>
      <c r="C45" s="3"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v>8.5</v>
      </c>
      <c r="C46" s="3"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v>7</v>
      </c>
      <c r="C47" s="3"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v>5.5</v>
      </c>
      <c r="C48" s="3"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v>8</v>
      </c>
      <c r="C49" s="3"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v>9.5</v>
      </c>
      <c r="C50" s="3"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v>7.5</v>
      </c>
      <c r="C51" s="3"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7"/>
      <c r="E52" s="7"/>
      <c r="F52" s="7"/>
      <c r="G52" s="7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v>8</v>
      </c>
      <c r="C53" s="3"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v>9</v>
      </c>
      <c r="C54" s="3"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v>7</v>
      </c>
      <c r="C55" s="3"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349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2026'!U6</f>
        <v>93.077427289391579</v>
      </c>
      <c r="C6" s="3"/>
      <c r="D6" s="3"/>
      <c r="E6" s="3" t="s">
        <v>351</v>
      </c>
      <c r="F6" s="3">
        <f>'США 2026'!K6</f>
        <v>79.124586033305263</v>
      </c>
      <c r="G6" s="3"/>
      <c r="H6" s="3"/>
      <c r="I6" s="3" t="s">
        <v>351</v>
      </c>
      <c r="J6" s="3">
        <f>'США 2026'!N6</f>
        <v>70.279743680276496</v>
      </c>
      <c r="K6" s="3"/>
      <c r="L6" s="3"/>
      <c r="M6" s="3" t="s">
        <v>351</v>
      </c>
      <c r="N6" s="3">
        <f>'США 2026'!Q6</f>
        <v>77.727489450675108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93.077427289391579</v>
      </c>
      <c r="C8" s="3" t="str">
        <f>IF(B8&lt;0,"ПРЕВЫШЕНИЕ","OK")</f>
        <v>OK</v>
      </c>
      <c r="D8" s="3"/>
      <c r="E8" s="3" t="s">
        <v>353</v>
      </c>
      <c r="F8" s="3">
        <f>F6-F7</f>
        <v>79.124586033305263</v>
      </c>
      <c r="G8" s="3" t="str">
        <f>IF(F8&lt;0,"ПРЕВЫШЕНИЕ","OK")</f>
        <v>OK</v>
      </c>
      <c r="H8" s="3"/>
      <c r="I8" s="3" t="s">
        <v>353</v>
      </c>
      <c r="J8" s="3">
        <f>J6-J7</f>
        <v>70.279743680276496</v>
      </c>
      <c r="K8" s="3" t="str">
        <f>IF(J8&lt;0,"ПРЕВЫШЕНИЕ","OK")</f>
        <v>OK</v>
      </c>
      <c r="L8" s="3"/>
      <c r="M8" s="3" t="s">
        <v>353</v>
      </c>
      <c r="N8" s="3">
        <f>N6-N7</f>
        <v>77.727489450675108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2026'!V11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20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2026'!V12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18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2026'!V13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29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2026'!V14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86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2026'!V15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39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2026'!V16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62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2026'!V17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10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2026'!V18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87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2026'!V19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99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2026'!V20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57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2026'!V21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18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2026'!V22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16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2026'!V23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100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2026'!V24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80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2026'!V25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77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2026'!V26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24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IF(G29="","",VLOOKUP(G29,Технологии!$A$11:$BF$50,44,FALSE))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IF(G30="","",VLOOKUP(G30,Технологии!$A$11:$BF$50,44,FALSE))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IF(G31="","",VLOOKUP(G31,Технологии!$A$11:$BF$50,44,FALSE))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79.942570285164848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71.380339623616052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79.006988043161769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94.184520336997537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2026'!B8+'США 2026'!D8+('США 2026'!C8+'США 2026'!F8+'США 2026'!G8)+(0.35*LN(1+0.6*'Ход 2026'!B14)*POWER(MAX(0,1-'США 2026'!I8/10),0.7))))</f>
        <v>7.6</v>
      </c>
      <c r="C8" s="3">
        <f>MIN(1,'США 2026'!C8+'США 2026'!F8+(0.08*LN(1+0.5*'Ход 2026'!C14)*MAX(0,1-('США 2026'!C8+'США 2026'!F8))))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2026'!B9+'США 2026'!D9+('США 2026'!C9+'США 2026'!F9+'США 2026'!G9)+(0.35*LN(1+0.6*'Ход 2026'!B15)*POWER(MAX(0,1-'США 2026'!I9/10),0.7))))</f>
        <v>8.6999999999999993</v>
      </c>
      <c r="C9" s="3">
        <f>MIN(1,'США 2026'!C9+'США 2026'!F9+(0.08*LN(1+0.5*'Ход 2026'!C15)*MAX(0,1-('США 2026'!C9+'США 2026'!F9))))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8.6999999999999993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2026'!B10+'США 2026'!D10+('США 2026'!C10+'США 2026'!F10+'США 2026'!G10)+(0.35*LN(1+0.6*'Ход 2026'!B16)*POWER(MAX(0,1-'США 2026'!I10/10),0.7))))</f>
        <v>9.15</v>
      </c>
      <c r="C10" s="3">
        <f>MIN(1,'США 2026'!C10+'США 2026'!F10+(0.08*LN(1+0.5*'Ход 2026'!C16)*MAX(0,1-('США 2026'!C10+'США 2026'!F10))))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9.15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2026'!B11+'США 2026'!D11+('США 2026'!C11+'США 2026'!F11+'США 2026'!G11)+(0.35*LN(1+0.6*'Ход 2026'!B17)*POWER(MAX(0,1-'США 2026'!I11/10),0.7))))</f>
        <v>7.6</v>
      </c>
      <c r="C11" s="3">
        <f>MIN(1,'США 2026'!C11+'США 2026'!F11+(0.08*LN(1+0.5*'Ход 2026'!C17)*MAX(0,1-('США 2026'!C11+'США 2026'!F11))))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7.6</v>
      </c>
      <c r="J11" s="3"/>
      <c r="K11" s="3" t="s">
        <v>265</v>
      </c>
      <c r="L11" s="3">
        <f>MAX(1,MIN(10,'США 2026'!L11+'США 2026'!N11+('США 2026'!M11+'США 2026'!P11+'США 2026'!Q11)))</f>
        <v>7.4</v>
      </c>
      <c r="M11" s="3">
        <f>MIN(1,'США 2026'!M11+'США 2026'!P11+(0.1*LN(1+0.5*'Ход 2026'!H13)*POWER(MAX(0,1-'США 2026'!S11/10),0.8)))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7.4</v>
      </c>
      <c r="T11" s="3"/>
      <c r="U11" s="3" t="s">
        <v>266</v>
      </c>
      <c r="V11" s="7">
        <f>'США 2026'!V11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2026'!B12+'США 2026'!D12+('США 2026'!C12+'США 2026'!F12+'США 2026'!G12)+(0.35*LN(1+0.6*'Ход 2026'!B18)*POWER(MAX(0,1-'США 2026'!I12/10),0.7))))</f>
        <v>9.0500000000000007</v>
      </c>
      <c r="C12" s="3">
        <f>MIN(1,'США 2026'!C12+'США 2026'!F12+(0.08*LN(1+0.5*'Ход 2026'!C18)*MAX(0,1-('США 2026'!C12+'США 2026'!F12))))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9.0500000000000007</v>
      </c>
      <c r="J12" s="3"/>
      <c r="K12" s="3" t="s">
        <v>269</v>
      </c>
      <c r="L12" s="3">
        <f>MAX(1,MIN(10,'США 2026'!L12+'США 2026'!N12+('США 2026'!M12+'США 2026'!P12+'США 2026'!Q12)))</f>
        <v>8.35</v>
      </c>
      <c r="M12" s="3">
        <f>MIN(1,'США 2026'!M12+'США 2026'!P12+(0.1*LN(1+0.5*'Ход 2026'!H14)*POWER(MAX(0,1-'США 2026'!S12/10),0.8)))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8.35</v>
      </c>
      <c r="T12" s="3"/>
      <c r="U12" s="3" t="s">
        <v>270</v>
      </c>
      <c r="V12" s="7">
        <f>'США 2026'!V12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2026'!B13+'США 2026'!D13+('США 2026'!C13+'США 2026'!F13+'США 2026'!G13)+(0.35*LN(1+0.6*'Ход 2026'!B19)*POWER(MAX(0,1-'США 2026'!I13/10),0.7))))</f>
        <v>7.45</v>
      </c>
      <c r="C13" s="3">
        <f>MIN(1,'США 2026'!C13+'США 2026'!F13+(0.08*LN(1+0.5*'Ход 2026'!C19)*MAX(0,1-('США 2026'!C13+'США 2026'!F13))))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7.45</v>
      </c>
      <c r="J13" s="3"/>
      <c r="K13" s="3" t="s">
        <v>273</v>
      </c>
      <c r="L13" s="3">
        <f>MAX(1,MIN(10,'США 2026'!L13+'США 2026'!N13+('США 2026'!M13+'США 2026'!P13+'США 2026'!Q13)))</f>
        <v>9.65</v>
      </c>
      <c r="M13" s="3">
        <f>MIN(1,'США 2026'!M13+'США 2026'!P13+(0.1*LN(1+0.5*'Ход 2026'!H15)*POWER(MAX(0,1-'США 2026'!S13/10),0.8)))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9.65</v>
      </c>
      <c r="T13" s="3"/>
      <c r="U13" s="3" t="s">
        <v>274</v>
      </c>
      <c r="V13" s="7">
        <f>'США 2026'!V13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2026'!B14+'США 2026'!D14+('США 2026'!C14+'США 2026'!F14+'США 2026'!G14)+(0.35*LN(1+0.6*'Ход 2026'!B20)*POWER(MAX(0,1-'США 2026'!I14/10),0.7))))</f>
        <v>9.6999999999999993</v>
      </c>
      <c r="C14" s="3">
        <f>MIN(1,'США 2026'!C14+'США 2026'!F14+(0.08*LN(1+0.5*'Ход 2026'!C20)*MAX(0,1-('США 2026'!C14+'США 2026'!F14))))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9.6999999999999993</v>
      </c>
      <c r="J14" s="3"/>
      <c r="K14" s="3" t="s">
        <v>277</v>
      </c>
      <c r="L14" s="3">
        <f>MAX(1,MIN(10,'США 2026'!L14+'США 2026'!N14+('США 2026'!M14+'США 2026'!P14+'США 2026'!Q14)))</f>
        <v>7.8</v>
      </c>
      <c r="M14" s="3">
        <f>MIN(1,'США 2026'!M14+'США 2026'!P14+(0.1*LN(1+0.5*'Ход 2026'!H16)*POWER(MAX(0,1-'США 2026'!S14/10),0.8)))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7.8</v>
      </c>
      <c r="T14" s="3"/>
      <c r="U14" s="3" t="s">
        <v>278</v>
      </c>
      <c r="V14" s="7">
        <f>'США 2026'!V14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2026'!B15+'США 2026'!D15+('США 2026'!C15+'США 2026'!F15+'США 2026'!G15)+(0.35*LN(1+0.6*'Ход 2026'!B21)*POWER(MAX(0,1-'США 2026'!I15/10),0.7))))</f>
        <v>9.8000000000000007</v>
      </c>
      <c r="C15" s="3">
        <f>MIN(1,'США 2026'!C15+'США 2026'!F15+(0.08*LN(1+0.5*'Ход 2026'!C21)*MAX(0,1-('США 2026'!C15+'США 2026'!F15))))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9.8000000000000007</v>
      </c>
      <c r="J15" s="3"/>
      <c r="K15" s="3" t="s">
        <v>281</v>
      </c>
      <c r="L15" s="3">
        <f>MAX(1,MIN(10,'США 2026'!L15+'США 2026'!N15+('США 2026'!M15+'США 2026'!P15+'США 2026'!Q15)))</f>
        <v>9.1999999999999993</v>
      </c>
      <c r="M15" s="3">
        <f>MIN(1,'США 2026'!M15+'США 2026'!P15+(0.1*LN(1+0.5*'Ход 2026'!H17)*POWER(MAX(0,1-'США 2026'!S15/10),0.8)))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9.1999999999999993</v>
      </c>
      <c r="T15" s="3"/>
      <c r="U15" s="3" t="s">
        <v>282</v>
      </c>
      <c r="V15" s="7">
        <f>'США 2026'!V15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2026'!B16+'США 2026'!D16+('США 2026'!C16+'США 2026'!F16+'США 2026'!G16)+(0.35*LN(1+0.6*'Ход 2026'!B22)*POWER(MAX(0,1-'США 2026'!I16/10),0.7))))</f>
        <v>9.15</v>
      </c>
      <c r="C16" s="3">
        <f>MIN(1,'США 2026'!C16+'США 2026'!F16+(0.08*LN(1+0.5*'Ход 2026'!C22)*MAX(0,1-('США 2026'!C16+'США 2026'!F16))))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9.15</v>
      </c>
      <c r="J16" s="3"/>
      <c r="K16" s="3" t="s">
        <v>285</v>
      </c>
      <c r="L16" s="3">
        <f>MAX(1,MIN(10,'США 2026'!L16+'США 2026'!N16+('США 2026'!M16+'США 2026'!P16+'США 2026'!Q16)))</f>
        <v>8.85</v>
      </c>
      <c r="M16" s="3">
        <f>MIN(1,'США 2026'!M16+'США 2026'!P16+(0.1*LN(1+0.5*'Ход 2026'!H18)*POWER(MAX(0,1-'США 2026'!S16/10),0.8)))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8.85</v>
      </c>
      <c r="T16" s="3"/>
      <c r="U16" s="3" t="s">
        <v>286</v>
      </c>
      <c r="V16" s="7">
        <f>'США 2026'!V16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2026'!B17+'США 2026'!D17+('США 2026'!C17+'США 2026'!F17+'США 2026'!G17)+(0.35*LN(1+0.6*'Ход 2026'!B23)*POWER(MAX(0,1-'США 2026'!I17/10),0.7))))</f>
        <v>9.1</v>
      </c>
      <c r="C17" s="3">
        <f>MIN(1,'США 2026'!C17+'США 2026'!F17+(0.08*LN(1+0.5*'Ход 2026'!C23)*MAX(0,1-('США 2026'!C17+'США 2026'!F17))))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9.1</v>
      </c>
      <c r="J17" s="3"/>
      <c r="K17" s="3" t="s">
        <v>289</v>
      </c>
      <c r="L17" s="3">
        <f>MAX(1,MIN(10,'США 2026'!L17+'США 2026'!N17+('США 2026'!M17+'США 2026'!P17+'США 2026'!Q17)))</f>
        <v>7.3</v>
      </c>
      <c r="M17" s="3">
        <f>MIN(1,'США 2026'!M17+'США 2026'!P17+(0.1*LN(1+0.5*'Ход 2026'!H19)*POWER(MAX(0,1-'США 2026'!S17/10),0.8)))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7.3</v>
      </c>
      <c r="T17" s="3"/>
      <c r="U17" s="3" t="s">
        <v>290</v>
      </c>
      <c r="V17" s="7">
        <f>'США 2026'!V17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2026'!L18+'США 2026'!N18+('США 2026'!M18+'США 2026'!P18+'США 2026'!Q18)))</f>
        <v>7.3</v>
      </c>
      <c r="M18" s="3">
        <f>MIN(1,'США 2026'!M18+'США 2026'!P18+(0.1*LN(1+0.5*'Ход 2026'!H20)*POWER(MAX(0,1-'США 2026'!S18/10),0.8)))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7.3</v>
      </c>
      <c r="T18" s="3"/>
      <c r="U18" s="3" t="s">
        <v>294</v>
      </c>
      <c r="V18" s="7">
        <f>'США 2026'!V18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2026'!B19+'США 2026'!D19+('США 2026'!C19+'США 2026'!F19+'США 2026'!G19)+(0.35*LN(1+0.6*'Ход 2026'!B25)*POWER(MAX(0,1-'США 2026'!I19/10),0.7))))</f>
        <v>9.1</v>
      </c>
      <c r="C19" s="3">
        <f>MIN(1,'США 2026'!C19+'США 2026'!F19+(0.08*LN(1+0.5*'Ход 2026'!C25)*MAX(0,1-('США 2026'!C19+'США 2026'!F19))))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2026'!V19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2026'!B20+'США 2026'!D20+('США 2026'!C20+'США 2026'!F20+'США 2026'!G20)+(0.35*LN(1+0.6*'Ход 2026'!B26)*POWER(MAX(0,1-'США 2026'!I20/10),0.7))))</f>
        <v>9.1</v>
      </c>
      <c r="C20" s="3">
        <f>MIN(1,'США 2026'!C20+'США 2026'!F20+(0.08*LN(1+0.5*'Ход 2026'!C26)*MAX(0,1-('США 2026'!C20+'США 2026'!F20))))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2026'!V20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2026'!B21+'США 2026'!D21+('США 2026'!C21+'США 2026'!F21+'США 2026'!G21)+(0.35*LN(1+0.6*'Ход 2026'!B27)*POWER(MAX(0,1-'США 2026'!I21/10),0.7))))</f>
        <v>8.15</v>
      </c>
      <c r="C21" s="3">
        <f>MIN(1,'США 2026'!C21+'США 2026'!F21+(0.08*LN(1+0.5*'Ход 2026'!C27)*MAX(0,1-('США 2026'!C21+'США 2026'!F21))))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8.15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2026'!V21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2026'!B22+'США 2026'!D22+('США 2026'!C22+'США 2026'!F22+'США 2026'!G22)+(0.35*LN(1+0.6*'Ход 2026'!B28)*POWER(MAX(0,1-'США 2026'!I22/10),0.7))))</f>
        <v>9.1</v>
      </c>
      <c r="C22" s="3">
        <f>MIN(1,'США 2026'!C22+'США 2026'!F22+(0.08*LN(1+0.5*'Ход 2026'!C28)*MAX(0,1-('США 2026'!C22+'США 2026'!F22))))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2026'!V22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2026'!B23+'США 2026'!D23+('США 2026'!C23+'США 2026'!F23+'США 2026'!G23)+(0.35*LN(1+0.6*'Ход 2026'!B29)*POWER(MAX(0,1-'США 2026'!I23/10),0.7))))</f>
        <v>9.1</v>
      </c>
      <c r="C23" s="3">
        <f>MIN(1,'США 2026'!C23+'США 2026'!F23+(0.08*LN(1+0.5*'Ход 2026'!C29)*MAX(0,1-('США 2026'!C23+'США 2026'!F23))))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2026'!V23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2026'!V24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2026'!B25+'США 2026'!D25+('США 2026'!C25+'США 2026'!F25+'США 2026'!G25)+(0.35*LN(1+0.6*'Ход 2026'!B31)*POWER(MAX(0,1-'США 2026'!I25/10),0.7))))</f>
        <v>9.65</v>
      </c>
      <c r="C25" s="3">
        <f>MIN(1,'США 2026'!C25+'США 2026'!F25+(0.08*LN(1+0.5*'Ход 2026'!C31)*MAX(0,1-('США 2026'!C25+'США 2026'!F25))))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9.65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2026'!V25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2026'!B26+'США 2026'!D26+('США 2026'!C26+'США 2026'!F26+'США 2026'!G26)+(0.35*LN(1+0.6*'Ход 2026'!B32)*POWER(MAX(0,1-'США 2026'!I26/10),0.7))))</f>
        <v>9.1999999999999993</v>
      </c>
      <c r="C26" s="3">
        <f>MIN(1,'США 2026'!C26+'США 2026'!F26+(0.08*LN(1+0.5*'Ход 2026'!C32)*MAX(0,1-('США 2026'!C26+'США 2026'!F26))))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9.1999999999999993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2026'!V26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2026'!B27+'США 2026'!D27+('США 2026'!C27+'США 2026'!F27+'США 2026'!G27)+(0.35*LN(1+0.6*'Ход 2026'!B33)*POWER(MAX(0,1-'США 2026'!I27/10),0.7))))</f>
        <v>9.65</v>
      </c>
      <c r="C27" s="3">
        <f>MIN(1,'США 2026'!C27+'США 2026'!F27+(0.08*LN(1+0.5*'Ход 2026'!C33)*MAX(0,1-('США 2026'!C27+'США 2026'!F27))))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9.65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2026'!B28+'США 2026'!D28+('США 2026'!C28+'США 2026'!F28+'США 2026'!G28)+(0.35*LN(1+0.6*'Ход 2026'!B34)*POWER(MAX(0,1-'США 2026'!I28/10),0.7))))</f>
        <v>9.15</v>
      </c>
      <c r="C28" s="3">
        <f>MIN(1,'США 2026'!C28+'США 2026'!F28+(0.08*LN(1+0.5*'Ход 2026'!C34)*MAX(0,1-('США 2026'!C28+'США 2026'!F28))))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9.15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2026'!B29+'США 2026'!D29+('США 2026'!C29+'США 2026'!F29+'США 2026'!G29)+(0.35*LN(1+0.6*'Ход 2026'!B35)*POWER(MAX(0,1-'США 2026'!I29/10),0.7))))</f>
        <v>9.25</v>
      </c>
      <c r="C29" s="3">
        <f>MIN(1,'США 2026'!C29+'США 2026'!F29+(0.08*LN(1+0.5*'Ход 2026'!C35)*MAX(0,1-('США 2026'!C29+'США 2026'!F29))))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9.25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2026'!B30+'США 2026'!D30+('США 2026'!C30+'США 2026'!F30+'США 2026'!G30)+(0.35*LN(1+0.6*'Ход 2026'!B36)*POWER(MAX(0,1-'США 2026'!I30/10),0.7))))</f>
        <v>9.15</v>
      </c>
      <c r="C30" s="3">
        <f>MIN(1,'США 2026'!C30+'США 2026'!F30+(0.08*LN(1+0.5*'Ход 2026'!C36)*MAX(0,1-('США 2026'!C30+'США 2026'!F30))))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9.15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2026'!B31+'США 2026'!D31+('США 2026'!C31+'США 2026'!F31+'США 2026'!G31)+(0.35*LN(1+0.6*'Ход 2026'!B37)*POWER(MAX(0,1-'США 2026'!I31/10),0.7))))</f>
        <v>8.1</v>
      </c>
      <c r="C31" s="3">
        <f>MIN(1,'США 2026'!C31+'США 2026'!F31+(0.08*LN(1+0.5*'Ход 2026'!C37)*MAX(0,1-('США 2026'!C31+'США 2026'!F31))))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2026'!B32+'США 2026'!D32+('США 2026'!C32+'США 2026'!F32+'США 2026'!G32)+(0.35*LN(1+0.6*'Ход 2026'!B38)*POWER(MAX(0,1-'США 2026'!I32/10),0.7))))</f>
        <v>8.6</v>
      </c>
      <c r="C32" s="3">
        <f>MIN(1,'США 2026'!C32+'США 2026'!F32+(0.08*LN(1+0.5*'Ход 2026'!C38)*MAX(0,1-('США 2026'!C32+'США 2026'!F32))))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2026'!B34+'США 2026'!D34+('США 2026'!C34+'США 2026'!F34+'США 2026'!G34)+(0.35*LN(1+0.6*'Ход 2026'!B40)*POWER(MAX(0,1-'США 2026'!I34/10),0.7))))</f>
        <v>8.1</v>
      </c>
      <c r="C34" s="3">
        <f>MIN(1,'США 2026'!C34+'США 2026'!F34+(0.08*LN(1+0.5*'Ход 2026'!C40)*MAX(0,1-('США 2026'!C34+'США 2026'!F34))))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2026'!B35+'США 2026'!D35+('США 2026'!C35+'США 2026'!F35+'США 2026'!G35)+(0.35*LN(1+0.6*'Ход 2026'!B41)*POWER(MAX(0,1-'США 2026'!I35/10),0.7))))</f>
        <v>9.5500000000000007</v>
      </c>
      <c r="C35" s="3">
        <f>MIN(1,'США 2026'!C35+'США 2026'!F35+(0.08*LN(1+0.5*'Ход 2026'!C41)*MAX(0,1-('США 2026'!C35+'США 2026'!F35))))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9.5500000000000007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2026'!B36+'США 2026'!D36+('США 2026'!C36+'США 2026'!F36+'США 2026'!G36)+(0.35*LN(1+0.6*'Ход 2026'!B42)*POWER(MAX(0,1-'США 2026'!I36/10),0.7))))</f>
        <v>9.15</v>
      </c>
      <c r="C36" s="3">
        <f>MIN(1,'США 2026'!C36+'США 2026'!F36+(0.08*LN(1+0.5*'Ход 2026'!C42)*MAX(0,1-('США 2026'!C36+'США 2026'!F36))))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9.15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2026'!B37+'США 2026'!D37+('США 2026'!C37+'США 2026'!F37+'США 2026'!G37)+(0.35*LN(1+0.6*'Ход 2026'!B43)*POWER(MAX(0,1-'США 2026'!I37/10),0.7))))</f>
        <v>9.1999999999999993</v>
      </c>
      <c r="C37" s="3">
        <f>MIN(1,'США 2026'!C37+'США 2026'!F37+(0.08*LN(1+0.5*'Ход 2026'!C43)*MAX(0,1-('США 2026'!C37+'США 2026'!F37))))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9.1999999999999993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2026'!B38+'США 2026'!D38+('США 2026'!C38+'США 2026'!F38+'США 2026'!G38)+(0.35*LN(1+0.6*'Ход 2026'!B44)*POWER(MAX(0,1-'США 2026'!I38/10),0.7))))</f>
        <v>8.6999999999999993</v>
      </c>
      <c r="C38" s="3">
        <f>MIN(1,'США 2026'!C38+'США 2026'!F38+(0.08*LN(1+0.5*'Ход 2026'!C44)*MAX(0,1-('США 2026'!C38+'США 2026'!F38))))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8.6999999999999993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2026'!B39+'США 2026'!D39+('США 2026'!C39+'США 2026'!F39+'США 2026'!G39)+(0.35*LN(1+0.6*'Ход 2026'!B45)*POWER(MAX(0,1-'США 2026'!I39/10),0.7))))</f>
        <v>8.65</v>
      </c>
      <c r="C39" s="3">
        <f>MIN(1,'США 2026'!C39+'США 2026'!F39+(0.08*LN(1+0.5*'Ход 2026'!C45)*MAX(0,1-('США 2026'!C39+'США 2026'!F39))))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8.65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2026'!B40+'США 2026'!D40+('США 2026'!C40+'США 2026'!F40+'США 2026'!G40)+(0.35*LN(1+0.6*'Ход 2026'!B46)*POWER(MAX(0,1-'США 2026'!I40/10),0.7))))</f>
        <v>9.0500000000000007</v>
      </c>
      <c r="C40" s="3">
        <f>MIN(1,'США 2026'!C40+'США 2026'!F40+(0.08*LN(1+0.5*'Ход 2026'!C46)*MAX(0,1-('США 2026'!C40+'США 2026'!F40))))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9.0500000000000007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2026'!B41+'США 2026'!D41+('США 2026'!C41+'США 2026'!F41+'США 2026'!G41)+(0.35*LN(1+0.6*'Ход 2026'!B47)*POWER(MAX(0,1-'США 2026'!I41/10),0.7))))</f>
        <v>10</v>
      </c>
      <c r="C41" s="3">
        <f>MIN(1,'США 2026'!C41+'США 2026'!F41+(0.08*LN(1+0.5*'Ход 2026'!C47)*MAX(0,1-('США 2026'!C41+'США 2026'!F41))))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2026'!B42+'США 2026'!D42+('США 2026'!C42+'США 2026'!F42+'США 2026'!G42)+(0.35*LN(1+0.6*'Ход 2026'!B48)*POWER(MAX(0,1-'США 2026'!I42/10),0.7))))</f>
        <v>9.6</v>
      </c>
      <c r="C42" s="3">
        <f>MIN(1,'США 2026'!C42+'США 2026'!F42+(0.08*LN(1+0.5*'Ход 2026'!C48)*MAX(0,1-('США 2026'!C42+'США 2026'!F42))))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2026'!B44+'США 2026'!D44+('США 2026'!C44+'США 2026'!F44+'США 2026'!G44)+(0.35*LN(1+0.6*'Ход 2026'!B50)*POWER(MAX(0,1-'США 2026'!I44/10),0.7))))</f>
        <v>8.1</v>
      </c>
      <c r="C44" s="3">
        <f>MIN(1,'США 2026'!C44+'США 2026'!F44+(0.08*LN(1+0.5*'Ход 2026'!C50)*MAX(0,1-('США 2026'!C44+'США 2026'!F44))))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2026'!B45+'США 2026'!D45+('США 2026'!C45+'США 2026'!F45+'США 2026'!G45)+(0.35*LN(1+0.6*'Ход 2026'!B51)*POWER(MAX(0,1-'США 2026'!I45/10),0.7))))</f>
        <v>7.7</v>
      </c>
      <c r="C45" s="3">
        <f>MIN(1,'США 2026'!C45+'США 2026'!F45+(0.08*LN(1+0.5*'Ход 2026'!C51)*MAX(0,1-('США 2026'!C45+'США 2026'!F45))))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2026'!B46+'США 2026'!D46+('США 2026'!C46+'США 2026'!F46+'США 2026'!G46)+(0.35*LN(1+0.6*'Ход 2026'!B52)*POWER(MAX(0,1-'США 2026'!I46/10),0.7))))</f>
        <v>8.6</v>
      </c>
      <c r="C46" s="3">
        <f>MIN(1,'США 2026'!C46+'США 2026'!F46+(0.08*LN(1+0.5*'Ход 2026'!C52)*MAX(0,1-('США 2026'!C46+'США 2026'!F46))))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2026'!B47+'США 2026'!D47+('США 2026'!C47+'США 2026'!F47+'США 2026'!G47)+(0.35*LN(1+0.6*'Ход 2026'!B53)*POWER(MAX(0,1-'США 2026'!I47/10),0.7))))</f>
        <v>6.9</v>
      </c>
      <c r="C47" s="3">
        <f>MIN(1,'США 2026'!C47+'США 2026'!F47+(0.08*LN(1+0.5*'Ход 2026'!C53)*MAX(0,1-('США 2026'!C47+'США 2026'!F47))))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2026'!B48+'США 2026'!D48+('США 2026'!C48+'США 2026'!F48+'США 2026'!G48)+(0.35*LN(1+0.6*'Ход 2026'!B54)*POWER(MAX(0,1-'США 2026'!I48/10),0.7))))</f>
        <v>5.55</v>
      </c>
      <c r="C48" s="3">
        <f>MIN(1,'США 2026'!C48+'США 2026'!F48+(0.08*LN(1+0.5*'Ход 2026'!C54)*MAX(0,1-('США 2026'!C48+'США 2026'!F48))))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5.55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2026'!B49+'США 2026'!D49+('США 2026'!C49+'США 2026'!F49+'США 2026'!G49)+(0.35*LN(1+0.6*'Ход 2026'!B55)*POWER(MAX(0,1-'США 2026'!I49/10),0.7))))</f>
        <v>8.25</v>
      </c>
      <c r="C49" s="3">
        <f>MIN(1,'США 2026'!C49+'США 2026'!F49+(0.08*LN(1+0.5*'Ход 2026'!C55)*MAX(0,1-('США 2026'!C49+'США 2026'!F49))))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8.25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2026'!B50+'США 2026'!D50+('США 2026'!C50+'США 2026'!F50+'США 2026'!G50)+(0.35*LN(1+0.6*'Ход 2026'!B56)*POWER(MAX(0,1-'США 2026'!I50/10),0.7))))</f>
        <v>9.5500000000000007</v>
      </c>
      <c r="C50" s="3">
        <f>MIN(1,'США 2026'!C50+'США 2026'!F50+(0.08*LN(1+0.5*'Ход 2026'!C56)*MAX(0,1-('США 2026'!C50+'США 2026'!F50))))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9.5500000000000007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2026'!B51+'США 2026'!D51+('США 2026'!C51+'США 2026'!F51+'США 2026'!G51)+(0.35*LN(1+0.6*'Ход 2026'!B57)*POWER(MAX(0,1-'США 2026'!I51/10),0.7))))</f>
        <v>7.7</v>
      </c>
      <c r="C51" s="3">
        <f>MIN(1,'США 2026'!C51+'США 2026'!F51+(0.08*LN(1+0.5*'Ход 2026'!C57)*MAX(0,1-('США 2026'!C51+'США 2026'!F51))))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2026'!B53+'США 2026'!D53+('США 2026'!C53+'США 2026'!F53+'США 2026'!G53)+(0.35*LN(1+0.6*'Ход 2026'!B59)*POWER(MAX(0,1-'США 2026'!I53/10),0.7))))</f>
        <v>8.1999999999999993</v>
      </c>
      <c r="C53" s="3">
        <f>MIN(1,'США 2026'!C53+'США 2026'!F53+(0.08*LN(1+0.5*'Ход 2026'!C59)*MAX(0,1-('США 2026'!C53+'США 2026'!F53))))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8.1999999999999993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2026'!B54+'США 2026'!D54+('США 2026'!C54+'США 2026'!F54+'США 2026'!G54)+(0.35*LN(1+0.6*'Ход 2026'!B60)*POWER(MAX(0,1-'США 2026'!I54/10),0.7))))</f>
        <v>9.1</v>
      </c>
      <c r="C54" s="3">
        <f>MIN(1,'США 2026'!C54+'США 2026'!F54+(0.08*LN(1+0.5*'Ход 2026'!C60)*MAX(0,1-('США 2026'!C54+'США 2026'!F54))))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2026'!B55+'США 2026'!D55+('США 2026'!C55+'США 2026'!F55+'США 2026'!G55)+(0.35*LN(1+0.6*'Ход 2026'!B61)*POWER(MAX(0,1-'США 2026'!I55/10),0.7))))</f>
        <v>7.15</v>
      </c>
      <c r="C55" s="3">
        <f>MIN(1,'США 2026'!C55+'США 2026'!F55+(0.08*LN(1+0.5*'Ход 2026'!C61)*MAX(0,1-('США 2026'!C55+'США 2026'!F55))))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7.15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380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2027'!U6</f>
        <v>94.184520336997537</v>
      </c>
      <c r="C6" s="3"/>
      <c r="D6" s="3"/>
      <c r="E6" s="3" t="s">
        <v>351</v>
      </c>
      <c r="F6" s="3">
        <f>'США 2027'!K6</f>
        <v>79.942570285164848</v>
      </c>
      <c r="G6" s="3"/>
      <c r="H6" s="3"/>
      <c r="I6" s="3" t="s">
        <v>351</v>
      </c>
      <c r="J6" s="3">
        <f>'США 2027'!N6</f>
        <v>71.380339623616052</v>
      </c>
      <c r="K6" s="3"/>
      <c r="L6" s="3"/>
      <c r="M6" s="3" t="s">
        <v>351</v>
      </c>
      <c r="N6" s="3">
        <f>'США 2027'!Q6</f>
        <v>79.006988043161769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94.184520336997537</v>
      </c>
      <c r="C8" s="3" t="str">
        <f>IF(B8&lt;0,"ПРЕВЫШЕНИЕ","OK")</f>
        <v>OK</v>
      </c>
      <c r="D8" s="3"/>
      <c r="E8" s="3" t="s">
        <v>353</v>
      </c>
      <c r="F8" s="3">
        <f>F6-F7</f>
        <v>79.942570285164848</v>
      </c>
      <c r="G8" s="3" t="str">
        <f>IF(F8&lt;0,"ПРЕВЫШЕНИЕ","OK")</f>
        <v>OK</v>
      </c>
      <c r="H8" s="3"/>
      <c r="I8" s="3" t="s">
        <v>353</v>
      </c>
      <c r="J8" s="3">
        <f>J6-J7</f>
        <v>71.380339623616052</v>
      </c>
      <c r="K8" s="3" t="str">
        <f>IF(J8&lt;0,"ПРЕВЫШЕНИЕ","OK")</f>
        <v>OK</v>
      </c>
      <c r="L8" s="3"/>
      <c r="M8" s="3" t="s">
        <v>353</v>
      </c>
      <c r="N8" s="3">
        <f>N6-N7</f>
        <v>79.006988043161769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2027'!V11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89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2027'!V12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21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2027'!V13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73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2027'!V14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28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2027'!V15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79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2027'!V16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59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2027'!V17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53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2027'!V18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37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2027'!V19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92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2027'!V20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98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2027'!V21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41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2027'!V22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0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2027'!V23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74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2027'!V24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66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2027'!V25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15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2027'!V26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2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IF(G29="","",VLOOKUP(G29,Технологии!$A$11:$BF$50,45,FALSE))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IF(G30="","",VLOOKUP(G30,Технологии!$A$11:$BF$50,45,FALSE))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IF(G31="","",VLOOKUP(G31,Технологии!$A$11:$BF$50,45,FALSE))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80.702306992186351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72.410456162022413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80.258747557269217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95.232823063903837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2027'!B8+'США 2027'!D8+('США 2027'!C8+'США 2027'!F8+'США 2027'!G8)+(0.35*LN(1+0.6*'Ход 2027'!B14)*POWER(MAX(0,1-'США 2027'!I8/10),0.7))))</f>
        <v>7.6999999999999993</v>
      </c>
      <c r="C8" s="3">
        <f>MIN(1,'США 2027'!C8+'США 2027'!F8+(0.08*LN(1+0.5*'Ход 2027'!C14)*MAX(0,1-('США 2027'!C8+'США 2027'!F8))))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7.6999999999999993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2027'!B9+'США 2027'!D9+('США 2027'!C9+'США 2027'!F9+'США 2027'!G9)+(0.35*LN(1+0.6*'Ход 2027'!B15)*POWER(MAX(0,1-'США 2027'!I9/10),0.7))))</f>
        <v>8.8999999999999986</v>
      </c>
      <c r="C9" s="3">
        <f>MIN(1,'США 2027'!C9+'США 2027'!F9+(0.08*LN(1+0.5*'Ход 2027'!C15)*MAX(0,1-('США 2027'!C9+'США 2027'!F9))))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8.8999999999999986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2027'!B10+'США 2027'!D10+('США 2027'!C10+'США 2027'!F10+'США 2027'!G10)+(0.35*LN(1+0.6*'Ход 2027'!B16)*POWER(MAX(0,1-'США 2027'!I10/10),0.7))))</f>
        <v>9.3000000000000007</v>
      </c>
      <c r="C10" s="3">
        <f>MIN(1,'США 2027'!C10+'США 2027'!F10+(0.08*LN(1+0.5*'Ход 2027'!C16)*MAX(0,1-('США 2027'!C10+'США 2027'!F10))))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9.3000000000000007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2027'!B11+'США 2027'!D11+('США 2027'!C11+'США 2027'!F11+'США 2027'!G11)+(0.35*LN(1+0.6*'Ход 2027'!B17)*POWER(MAX(0,1-'США 2027'!I11/10),0.7))))</f>
        <v>7.6999999999999993</v>
      </c>
      <c r="C11" s="3">
        <f>MIN(1,'США 2027'!C11+'США 2027'!F11+(0.08*LN(1+0.5*'Ход 2027'!C17)*MAX(0,1-('США 2027'!C11+'США 2027'!F11))))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7.6999999999999993</v>
      </c>
      <c r="J11" s="3"/>
      <c r="K11" s="3" t="s">
        <v>265</v>
      </c>
      <c r="L11" s="3">
        <f>MAX(1,MIN(10,'США 2027'!L11+'США 2027'!N11+('США 2027'!M11+'США 2027'!P11+'США 2027'!Q11)))</f>
        <v>7.8000000000000007</v>
      </c>
      <c r="M11" s="3">
        <f>MIN(1,'США 2027'!M11+'США 2027'!P11+(0.1*LN(1+0.5*'Ход 2027'!H13)*POWER(MAX(0,1-'США 2027'!S11/10),0.8)))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7.8000000000000007</v>
      </c>
      <c r="T11" s="3"/>
      <c r="U11" s="3" t="s">
        <v>266</v>
      </c>
      <c r="V11" s="7">
        <f>'США 2027'!V11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2027'!B12+'США 2027'!D12+('США 2027'!C12+'США 2027'!F12+'США 2027'!G12)+(0.35*LN(1+0.6*'Ход 2027'!B18)*POWER(MAX(0,1-'США 2027'!I12/10),0.7))))</f>
        <v>9.1000000000000014</v>
      </c>
      <c r="C12" s="3">
        <f>MIN(1,'США 2027'!C12+'США 2027'!F12+(0.08*LN(1+0.5*'Ход 2027'!C18)*MAX(0,1-('США 2027'!C12+'США 2027'!F12))))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9.1000000000000014</v>
      </c>
      <c r="J12" s="3"/>
      <c r="K12" s="3" t="s">
        <v>269</v>
      </c>
      <c r="L12" s="3">
        <f>MAX(1,MIN(10,'США 2027'!L12+'США 2027'!N12+('США 2027'!M12+'США 2027'!P12+'США 2027'!Q12)))</f>
        <v>8.6999999999999993</v>
      </c>
      <c r="M12" s="3">
        <f>MIN(1,'США 2027'!M12+'США 2027'!P12+(0.1*LN(1+0.5*'Ход 2027'!H14)*POWER(MAX(0,1-'США 2027'!S12/10),0.8)))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8.6999999999999993</v>
      </c>
      <c r="T12" s="3"/>
      <c r="U12" s="3" t="s">
        <v>270</v>
      </c>
      <c r="V12" s="7">
        <f>'США 2027'!V12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2027'!B13+'США 2027'!D13+('США 2027'!C13+'США 2027'!F13+'США 2027'!G13)+(0.35*LN(1+0.6*'Ход 2027'!B19)*POWER(MAX(0,1-'США 2027'!I13/10),0.7))))</f>
        <v>7.9</v>
      </c>
      <c r="C13" s="3">
        <f>MIN(1,'США 2027'!C13+'США 2027'!F13+(0.08*LN(1+0.5*'Ход 2027'!C19)*MAX(0,1-('США 2027'!C13+'США 2027'!F13))))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7.9</v>
      </c>
      <c r="J13" s="3"/>
      <c r="K13" s="3" t="s">
        <v>273</v>
      </c>
      <c r="L13" s="3">
        <f>MAX(1,MIN(10,'США 2027'!L13+'США 2027'!N13+('США 2027'!M13+'США 2027'!P13+'США 2027'!Q13)))</f>
        <v>9.8000000000000007</v>
      </c>
      <c r="M13" s="3">
        <f>MIN(1,'США 2027'!M13+'США 2027'!P13+(0.1*LN(1+0.5*'Ход 2027'!H15)*POWER(MAX(0,1-'США 2027'!S13/10),0.8)))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9.8000000000000007</v>
      </c>
      <c r="T13" s="3"/>
      <c r="U13" s="3" t="s">
        <v>274</v>
      </c>
      <c r="V13" s="7">
        <f>'США 2027'!V13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2027'!B14+'США 2027'!D14+('США 2027'!C14+'США 2027'!F14+'США 2027'!G14)+(0.35*LN(1+0.6*'Ход 2027'!B20)*POWER(MAX(0,1-'США 2027'!I14/10),0.7))))</f>
        <v>9.8999999999999986</v>
      </c>
      <c r="C14" s="3">
        <f>MIN(1,'США 2027'!C14+'США 2027'!F14+(0.08*LN(1+0.5*'Ход 2027'!C20)*MAX(0,1-('США 2027'!C14+'США 2027'!F14))))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9.8999999999999986</v>
      </c>
      <c r="J14" s="3"/>
      <c r="K14" s="3" t="s">
        <v>277</v>
      </c>
      <c r="L14" s="3">
        <f>MAX(1,MIN(10,'США 2027'!L14+'США 2027'!N14+('США 2027'!M14+'США 2027'!P14+'США 2027'!Q14)))</f>
        <v>8.1</v>
      </c>
      <c r="M14" s="3">
        <f>MIN(1,'США 2027'!M14+'США 2027'!P14+(0.1*LN(1+0.5*'Ход 2027'!H16)*POWER(MAX(0,1-'США 2027'!S14/10),0.8)))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8.1</v>
      </c>
      <c r="T14" s="3"/>
      <c r="U14" s="3" t="s">
        <v>278</v>
      </c>
      <c r="V14" s="7">
        <f>'США 2027'!V14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2027'!B15+'США 2027'!D15+('США 2027'!C15+'США 2027'!F15+'США 2027'!G15)+(0.35*LN(1+0.6*'Ход 2027'!B21)*POWER(MAX(0,1-'США 2027'!I15/10),0.7))))</f>
        <v>10</v>
      </c>
      <c r="C15" s="3">
        <f>MIN(1,'США 2027'!C15+'США 2027'!F15+(0.08*LN(1+0.5*'Ход 2027'!C21)*MAX(0,1-('США 2027'!C15+'США 2027'!F15))))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2027'!L15+'США 2027'!N15+('США 2027'!M15+'США 2027'!P15+'США 2027'!Q15)))</f>
        <v>9.3999999999999986</v>
      </c>
      <c r="M15" s="3">
        <f>MIN(1,'США 2027'!M15+'США 2027'!P15+(0.1*LN(1+0.5*'Ход 2027'!H17)*POWER(MAX(0,1-'США 2027'!S15/10),0.8)))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9.3999999999999986</v>
      </c>
      <c r="T15" s="3"/>
      <c r="U15" s="3" t="s">
        <v>282</v>
      </c>
      <c r="V15" s="7">
        <f>'США 2027'!V15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2027'!B16+'США 2027'!D16+('США 2027'!C16+'США 2027'!F16+'США 2027'!G16)+(0.35*LN(1+0.6*'Ход 2027'!B22)*POWER(MAX(0,1-'США 2027'!I16/10),0.7))))</f>
        <v>9.3000000000000007</v>
      </c>
      <c r="C16" s="3">
        <f>MIN(1,'США 2027'!C16+'США 2027'!F16+(0.08*LN(1+0.5*'Ход 2027'!C22)*MAX(0,1-('США 2027'!C16+'США 2027'!F16))))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9.3000000000000007</v>
      </c>
      <c r="J16" s="3"/>
      <c r="K16" s="3" t="s">
        <v>285</v>
      </c>
      <c r="L16" s="3">
        <f>MAX(1,MIN(10,'США 2027'!L16+'США 2027'!N16+('США 2027'!M16+'США 2027'!P16+'США 2027'!Q16)))</f>
        <v>9.1999999999999993</v>
      </c>
      <c r="M16" s="3">
        <f>MIN(1,'США 2027'!M16+'США 2027'!P16+(0.1*LN(1+0.5*'Ход 2027'!H18)*POWER(MAX(0,1-'США 2027'!S16/10),0.8)))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9.1999999999999993</v>
      </c>
      <c r="T16" s="3"/>
      <c r="U16" s="3" t="s">
        <v>286</v>
      </c>
      <c r="V16" s="7">
        <f>'США 2027'!V16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2027'!B17+'США 2027'!D17+('США 2027'!C17+'США 2027'!F17+'США 2027'!G17)+(0.35*LN(1+0.6*'Ход 2027'!B23)*POWER(MAX(0,1-'США 2027'!I17/10),0.7))))</f>
        <v>9.1999999999999993</v>
      </c>
      <c r="C17" s="3">
        <f>MIN(1,'США 2027'!C17+'США 2027'!F17+(0.08*LN(1+0.5*'Ход 2027'!C23)*MAX(0,1-('США 2027'!C17+'США 2027'!F17))))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9.1999999999999993</v>
      </c>
      <c r="J17" s="3"/>
      <c r="K17" s="3" t="s">
        <v>289</v>
      </c>
      <c r="L17" s="3">
        <f>MAX(1,MIN(10,'США 2027'!L17+'США 2027'!N17+('США 2027'!M17+'США 2027'!P17+'США 2027'!Q17)))</f>
        <v>7.6</v>
      </c>
      <c r="M17" s="3">
        <f>MIN(1,'США 2027'!M17+'США 2027'!P17+(0.1*LN(1+0.5*'Ход 2027'!H19)*POWER(MAX(0,1-'США 2027'!S17/10),0.8)))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7.6</v>
      </c>
      <c r="T17" s="3"/>
      <c r="U17" s="3" t="s">
        <v>290</v>
      </c>
      <c r="V17" s="7">
        <f>'США 2027'!V17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2027'!L18+'США 2027'!N18+('США 2027'!M18+'США 2027'!P18+'США 2027'!Q18)))</f>
        <v>7.6</v>
      </c>
      <c r="M18" s="3">
        <f>MIN(1,'США 2027'!M18+'США 2027'!P18+(0.1*LN(1+0.5*'Ход 2027'!H20)*POWER(MAX(0,1-'США 2027'!S18/10),0.8)))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7.6</v>
      </c>
      <c r="T18" s="3"/>
      <c r="U18" s="3" t="s">
        <v>294</v>
      </c>
      <c r="V18" s="7">
        <f>'США 2027'!V18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2027'!B19+'США 2027'!D19+('США 2027'!C19+'США 2027'!F19+'США 2027'!G19)+(0.35*LN(1+0.6*'Ход 2027'!B25)*POWER(MAX(0,1-'США 2027'!I19/10),0.7))))</f>
        <v>9.1999999999999993</v>
      </c>
      <c r="C19" s="3">
        <f>MIN(1,'США 2027'!C19+'США 2027'!F19+(0.08*LN(1+0.5*'Ход 2027'!C25)*MAX(0,1-('США 2027'!C19+'США 2027'!F19))))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9.1999999999999993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2027'!V19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2027'!B20+'США 2027'!D20+('США 2027'!C20+'США 2027'!F20+'США 2027'!G20)+(0.35*LN(1+0.6*'Ход 2027'!B26)*POWER(MAX(0,1-'США 2027'!I20/10),0.7))))</f>
        <v>9.1999999999999993</v>
      </c>
      <c r="C20" s="3">
        <f>MIN(1,'США 2027'!C20+'США 2027'!F20+(0.08*LN(1+0.5*'Ход 2027'!C26)*MAX(0,1-('США 2027'!C20+'США 2027'!F20))))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9.1999999999999993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2027'!V20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2027'!B21+'США 2027'!D21+('США 2027'!C21+'США 2027'!F21+'США 2027'!G21)+(0.35*LN(1+0.6*'Ход 2027'!B27)*POWER(MAX(0,1-'США 2027'!I21/10),0.7))))</f>
        <v>8.3000000000000007</v>
      </c>
      <c r="C21" s="3">
        <f>MIN(1,'США 2027'!C21+'США 2027'!F21+(0.08*LN(1+0.5*'Ход 2027'!C27)*MAX(0,1-('США 2027'!C21+'США 2027'!F21))))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8.3000000000000007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2027'!V21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2027'!B22+'США 2027'!D22+('США 2027'!C22+'США 2027'!F22+'США 2027'!G22)+(0.35*LN(1+0.6*'Ход 2027'!B28)*POWER(MAX(0,1-'США 2027'!I22/10),0.7))))</f>
        <v>9.1999999999999993</v>
      </c>
      <c r="C22" s="3">
        <f>MIN(1,'США 2027'!C22+'США 2027'!F22+(0.08*LN(1+0.5*'Ход 2027'!C28)*MAX(0,1-('США 2027'!C22+'США 2027'!F22))))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9.1999999999999993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2027'!V22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2027'!B23+'США 2027'!D23+('США 2027'!C23+'США 2027'!F23+'США 2027'!G23)+(0.35*LN(1+0.6*'Ход 2027'!B29)*POWER(MAX(0,1-'США 2027'!I23/10),0.7))))</f>
        <v>9.1999999999999993</v>
      </c>
      <c r="C23" s="3">
        <f>MIN(1,'США 2027'!C23+'США 2027'!F23+(0.08*LN(1+0.5*'Ход 2027'!C29)*MAX(0,1-('США 2027'!C23+'США 2027'!F23))))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9.1999999999999993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2027'!V23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2027'!V24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2027'!B25+'США 2027'!D25+('США 2027'!C25+'США 2027'!F25+'США 2027'!G25)+(0.35*LN(1+0.6*'Ход 2027'!B31)*POWER(MAX(0,1-'США 2027'!I25/10),0.7))))</f>
        <v>9.8000000000000007</v>
      </c>
      <c r="C25" s="3">
        <f>MIN(1,'США 2027'!C25+'США 2027'!F25+(0.08*LN(1+0.5*'Ход 2027'!C31)*MAX(0,1-('США 2027'!C25+'США 2027'!F25))))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9.8000000000000007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2027'!V25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2027'!B26+'США 2027'!D26+('США 2027'!C26+'США 2027'!F26+'США 2027'!G26)+(0.35*LN(1+0.6*'Ход 2027'!B32)*POWER(MAX(0,1-'США 2027'!I26/10),0.7))))</f>
        <v>9.3999999999999986</v>
      </c>
      <c r="C26" s="3">
        <f>MIN(1,'США 2027'!C26+'США 2027'!F26+(0.08*LN(1+0.5*'Ход 2027'!C32)*MAX(0,1-('США 2027'!C26+'США 2027'!F26))))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9.3999999999999986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2027'!V26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2027'!B27+'США 2027'!D27+('США 2027'!C27+'США 2027'!F27+'США 2027'!G27)+(0.35*LN(1+0.6*'Ход 2027'!B33)*POWER(MAX(0,1-'США 2027'!I27/10),0.7))))</f>
        <v>9.8000000000000007</v>
      </c>
      <c r="C27" s="3">
        <f>MIN(1,'США 2027'!C27+'США 2027'!F27+(0.08*LN(1+0.5*'Ход 2027'!C33)*MAX(0,1-('США 2027'!C27+'США 2027'!F27))))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9.8000000000000007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2027'!B28+'США 2027'!D28+('США 2027'!C28+'США 2027'!F28+'США 2027'!G28)+(0.35*LN(1+0.6*'Ход 2027'!B34)*POWER(MAX(0,1-'США 2027'!I28/10),0.7))))</f>
        <v>9.3000000000000007</v>
      </c>
      <c r="C28" s="3">
        <f>MIN(1,'США 2027'!C28+'США 2027'!F28+(0.08*LN(1+0.5*'Ход 2027'!C34)*MAX(0,1-('США 2027'!C28+'США 2027'!F28))))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9.3000000000000007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2027'!B29+'США 2027'!D29+('США 2027'!C29+'США 2027'!F29+'США 2027'!G29)+(0.35*LN(1+0.6*'Ход 2027'!B35)*POWER(MAX(0,1-'США 2027'!I29/10),0.7))))</f>
        <v>9.5</v>
      </c>
      <c r="C29" s="3">
        <f>MIN(1,'США 2027'!C29+'США 2027'!F29+(0.08*LN(1+0.5*'Ход 2027'!C35)*MAX(0,1-('США 2027'!C29+'США 2027'!F29))))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2027'!B30+'США 2027'!D30+('США 2027'!C30+'США 2027'!F30+'США 2027'!G30)+(0.35*LN(1+0.6*'Ход 2027'!B36)*POWER(MAX(0,1-'США 2027'!I30/10),0.7))))</f>
        <v>9.3000000000000007</v>
      </c>
      <c r="C30" s="3">
        <f>MIN(1,'США 2027'!C30+'США 2027'!F30+(0.08*LN(1+0.5*'Ход 2027'!C36)*MAX(0,1-('США 2027'!C30+'США 2027'!F30))))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9.3000000000000007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2027'!B31+'США 2027'!D31+('США 2027'!C31+'США 2027'!F31+'США 2027'!G31)+(0.35*LN(1+0.6*'Ход 2027'!B37)*POWER(MAX(0,1-'США 2027'!I31/10),0.7))))</f>
        <v>8.1999999999999993</v>
      </c>
      <c r="C31" s="3">
        <f>MIN(1,'США 2027'!C31+'США 2027'!F31+(0.08*LN(1+0.5*'Ход 2027'!C37)*MAX(0,1-('США 2027'!C31+'США 2027'!F31))))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8.1999999999999993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2027'!B32+'США 2027'!D32+('США 2027'!C32+'США 2027'!F32+'США 2027'!G32)+(0.35*LN(1+0.6*'Ход 2027'!B38)*POWER(MAX(0,1-'США 2027'!I32/10),0.7))))</f>
        <v>8.6999999999999993</v>
      </c>
      <c r="C32" s="3">
        <f>MIN(1,'США 2027'!C32+'США 2027'!F32+(0.08*LN(1+0.5*'Ход 2027'!C38)*MAX(0,1-('США 2027'!C32+'США 2027'!F32))))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8.6999999999999993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2027'!B34+'США 2027'!D34+('США 2027'!C34+'США 2027'!F34+'США 2027'!G34)+(0.35*LN(1+0.6*'Ход 2027'!B40)*POWER(MAX(0,1-'США 2027'!I34/10),0.7))))</f>
        <v>8.1999999999999993</v>
      </c>
      <c r="C34" s="3">
        <f>MIN(1,'США 2027'!C34+'США 2027'!F34+(0.08*LN(1+0.5*'Ход 2027'!C40)*MAX(0,1-('США 2027'!C34+'США 2027'!F34))))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8.1999999999999993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2027'!B35+'США 2027'!D35+('США 2027'!C35+'США 2027'!F35+'США 2027'!G35)+(0.35*LN(1+0.6*'Ход 2027'!B41)*POWER(MAX(0,1-'США 2027'!I35/10),0.7))))</f>
        <v>9.6000000000000014</v>
      </c>
      <c r="C35" s="3">
        <f>MIN(1,'США 2027'!C35+'США 2027'!F35+(0.08*LN(1+0.5*'Ход 2027'!C41)*MAX(0,1-('США 2027'!C35+'США 2027'!F35))))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9.6000000000000014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2027'!B36+'США 2027'!D36+('США 2027'!C36+'США 2027'!F36+'США 2027'!G36)+(0.35*LN(1+0.6*'Ход 2027'!B42)*POWER(MAX(0,1-'США 2027'!I36/10),0.7))))</f>
        <v>9.3000000000000007</v>
      </c>
      <c r="C36" s="3">
        <f>MIN(1,'США 2027'!C36+'США 2027'!F36+(0.08*LN(1+0.5*'Ход 2027'!C42)*MAX(0,1-('США 2027'!C36+'США 2027'!F36))))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9.3000000000000007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2027'!B37+'США 2027'!D37+('США 2027'!C37+'США 2027'!F37+'США 2027'!G37)+(0.35*LN(1+0.6*'Ход 2027'!B43)*POWER(MAX(0,1-'США 2027'!I37/10),0.7))))</f>
        <v>9.3999999999999986</v>
      </c>
      <c r="C37" s="3">
        <f>MIN(1,'США 2027'!C37+'США 2027'!F37+(0.08*LN(1+0.5*'Ход 2027'!C43)*MAX(0,1-('США 2027'!C37+'США 2027'!F37))))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9.3999999999999986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2027'!B38+'США 2027'!D38+('США 2027'!C38+'США 2027'!F38+'США 2027'!G38)+(0.35*LN(1+0.6*'Ход 2027'!B44)*POWER(MAX(0,1-'США 2027'!I38/10),0.7))))</f>
        <v>8.8999999999999986</v>
      </c>
      <c r="C38" s="3">
        <f>MIN(1,'США 2027'!C38+'США 2027'!F38+(0.08*LN(1+0.5*'Ход 2027'!C44)*MAX(0,1-('США 2027'!C38+'США 2027'!F38))))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8.8999999999999986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2027'!B39+'США 2027'!D39+('США 2027'!C39+'США 2027'!F39+'США 2027'!G39)+(0.35*LN(1+0.6*'Ход 2027'!B45)*POWER(MAX(0,1-'США 2027'!I39/10),0.7))))</f>
        <v>8.8000000000000007</v>
      </c>
      <c r="C39" s="3">
        <f>MIN(1,'США 2027'!C39+'США 2027'!F39+(0.08*LN(1+0.5*'Ход 2027'!C45)*MAX(0,1-('США 2027'!C39+'США 2027'!F39))))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8.8000000000000007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2027'!B40+'США 2027'!D40+('США 2027'!C40+'США 2027'!F40+'США 2027'!G40)+(0.35*LN(1+0.6*'Ход 2027'!B46)*POWER(MAX(0,1-'США 2027'!I40/10),0.7))))</f>
        <v>9.1000000000000014</v>
      </c>
      <c r="C40" s="3">
        <f>MIN(1,'США 2027'!C40+'США 2027'!F40+(0.08*LN(1+0.5*'Ход 2027'!C46)*MAX(0,1-('США 2027'!C40+'США 2027'!F40))))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9.1000000000000014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2027'!B41+'США 2027'!D41+('США 2027'!C41+'США 2027'!F41+'США 2027'!G41)+(0.35*LN(1+0.6*'Ход 2027'!B47)*POWER(MAX(0,1-'США 2027'!I41/10),0.7))))</f>
        <v>10</v>
      </c>
      <c r="C41" s="3">
        <f>MIN(1,'США 2027'!C41+'США 2027'!F41+(0.08*LN(1+0.5*'Ход 2027'!C47)*MAX(0,1-('США 2027'!C41+'США 2027'!F41))))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2027'!B42+'США 2027'!D42+('США 2027'!C42+'США 2027'!F42+'США 2027'!G42)+(0.35*LN(1+0.6*'Ход 2027'!B48)*POWER(MAX(0,1-'США 2027'!I42/10),0.7))))</f>
        <v>9.6999999999999993</v>
      </c>
      <c r="C42" s="3">
        <f>MIN(1,'США 2027'!C42+'США 2027'!F42+(0.08*LN(1+0.5*'Ход 2027'!C48)*MAX(0,1-('США 2027'!C42+'США 2027'!F42))))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9.6999999999999993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2027'!B44+'США 2027'!D44+('США 2027'!C44+'США 2027'!F44+'США 2027'!G44)+(0.35*LN(1+0.6*'Ход 2027'!B50)*POWER(MAX(0,1-'США 2027'!I44/10),0.7))))</f>
        <v>8.1999999999999993</v>
      </c>
      <c r="C44" s="3">
        <f>MIN(1,'США 2027'!C44+'США 2027'!F44+(0.08*LN(1+0.5*'Ход 2027'!C50)*MAX(0,1-('США 2027'!C44+'США 2027'!F44))))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8.1999999999999993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2027'!B45+'США 2027'!D45+('США 2027'!C45+'США 2027'!F45+'США 2027'!G45)+(0.35*LN(1+0.6*'Ход 2027'!B51)*POWER(MAX(0,1-'США 2027'!I45/10),0.7))))</f>
        <v>7.9</v>
      </c>
      <c r="C45" s="3">
        <f>MIN(1,'США 2027'!C45+'США 2027'!F45+(0.08*LN(1+0.5*'Ход 2027'!C51)*MAX(0,1-('США 2027'!C45+'США 2027'!F45))))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7.9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2027'!B46+'США 2027'!D46+('США 2027'!C46+'США 2027'!F46+'США 2027'!G46)+(0.35*LN(1+0.6*'Ход 2027'!B52)*POWER(MAX(0,1-'США 2027'!I46/10),0.7))))</f>
        <v>8.6999999999999993</v>
      </c>
      <c r="C46" s="3">
        <f>MIN(1,'США 2027'!C46+'США 2027'!F46+(0.08*LN(1+0.5*'Ход 2027'!C52)*MAX(0,1-('США 2027'!C46+'США 2027'!F46))))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8.6999999999999993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2027'!B47+'США 2027'!D47+('США 2027'!C47+'США 2027'!F47+'США 2027'!G47)+(0.35*LN(1+0.6*'Ход 2027'!B53)*POWER(MAX(0,1-'США 2027'!I47/10),0.7))))</f>
        <v>6.8000000000000007</v>
      </c>
      <c r="C47" s="3">
        <f>MIN(1,'США 2027'!C47+'США 2027'!F47+(0.08*LN(1+0.5*'Ход 2027'!C53)*MAX(0,1-('США 2027'!C47+'США 2027'!F47))))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6.8000000000000007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2027'!B48+'США 2027'!D48+('США 2027'!C48+'США 2027'!F48+'США 2027'!G48)+(0.35*LN(1+0.6*'Ход 2027'!B54)*POWER(MAX(0,1-'США 2027'!I48/10),0.7))))</f>
        <v>5.6</v>
      </c>
      <c r="C48" s="3">
        <f>MIN(1,'США 2027'!C48+'США 2027'!F48+(0.08*LN(1+0.5*'Ход 2027'!C54)*MAX(0,1-('США 2027'!C48+'США 2027'!F48))))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2027'!B49+'США 2027'!D49+('США 2027'!C49+'США 2027'!F49+'США 2027'!G49)+(0.35*LN(1+0.6*'Ход 2027'!B55)*POWER(MAX(0,1-'США 2027'!I49/10),0.7))))</f>
        <v>8.5</v>
      </c>
      <c r="C49" s="3">
        <f>MIN(1,'США 2027'!C49+'США 2027'!F49+(0.08*LN(1+0.5*'Ход 2027'!C55)*MAX(0,1-('США 2027'!C49+'США 2027'!F49))))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2027'!B50+'США 2027'!D50+('США 2027'!C50+'США 2027'!F50+'США 2027'!G50)+(0.35*LN(1+0.6*'Ход 2027'!B56)*POWER(MAX(0,1-'США 2027'!I50/10),0.7))))</f>
        <v>9.6000000000000014</v>
      </c>
      <c r="C50" s="3">
        <f>MIN(1,'США 2027'!C50+'США 2027'!F50+(0.08*LN(1+0.5*'Ход 2027'!C56)*MAX(0,1-('США 2027'!C50+'США 2027'!F50))))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9.6000000000000014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2027'!B51+'США 2027'!D51+('США 2027'!C51+'США 2027'!F51+'США 2027'!G51)+(0.35*LN(1+0.6*'Ход 2027'!B57)*POWER(MAX(0,1-'США 2027'!I51/10),0.7))))</f>
        <v>7.9</v>
      </c>
      <c r="C51" s="3">
        <f>MIN(1,'США 2027'!C51+'США 2027'!F51+(0.08*LN(1+0.5*'Ход 2027'!C57)*MAX(0,1-('США 2027'!C51+'США 2027'!F51))))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7.9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2027'!B53+'США 2027'!D53+('США 2027'!C53+'США 2027'!F53+'США 2027'!G53)+(0.35*LN(1+0.6*'Ход 2027'!B59)*POWER(MAX(0,1-'США 2027'!I53/10),0.7))))</f>
        <v>8.3999999999999986</v>
      </c>
      <c r="C53" s="3">
        <f>MIN(1,'США 2027'!C53+'США 2027'!F53+(0.08*LN(1+0.5*'Ход 2027'!C59)*MAX(0,1-('США 2027'!C53+'США 2027'!F53))))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8.3999999999999986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2027'!B54+'США 2027'!D54+('США 2027'!C54+'США 2027'!F54+'США 2027'!G54)+(0.35*LN(1+0.6*'Ход 2027'!B60)*POWER(MAX(0,1-'США 2027'!I54/10),0.7))))</f>
        <v>9.1999999999999993</v>
      </c>
      <c r="C54" s="3">
        <f>MIN(1,'США 2027'!C54+'США 2027'!F54+(0.08*LN(1+0.5*'Ход 2027'!C60)*MAX(0,1-('США 2027'!C54+'США 2027'!F54))))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9.1999999999999993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2027'!B55+'США 2027'!D55+('США 2027'!C55+'США 2027'!F55+'США 2027'!G55)+(0.35*LN(1+0.6*'Ход 2027'!B61)*POWER(MAX(0,1-'США 2027'!I55/10),0.7))))</f>
        <v>7.3000000000000007</v>
      </c>
      <c r="C55" s="3">
        <f>MIN(1,'США 2027'!C55+'США 2027'!F55+(0.08*LN(1+0.5*'Ход 2027'!C61)*MAX(0,1-('США 2027'!C55+'США 2027'!F55))))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7.3000000000000007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382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2028'!U6</f>
        <v>95.232823063903837</v>
      </c>
      <c r="C6" s="3"/>
      <c r="D6" s="3"/>
      <c r="E6" s="3" t="s">
        <v>351</v>
      </c>
      <c r="F6" s="3">
        <f>'США 2028'!K6</f>
        <v>80.702306992186351</v>
      </c>
      <c r="G6" s="3"/>
      <c r="H6" s="3"/>
      <c r="I6" s="3" t="s">
        <v>351</v>
      </c>
      <c r="J6" s="3">
        <f>'США 2028'!N6</f>
        <v>72.410456162022413</v>
      </c>
      <c r="K6" s="3"/>
      <c r="L6" s="3"/>
      <c r="M6" s="3" t="s">
        <v>351</v>
      </c>
      <c r="N6" s="3">
        <f>'США 2028'!Q6</f>
        <v>80.258747557269217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95.232823063903837</v>
      </c>
      <c r="C8" s="3" t="str">
        <f>IF(B8&lt;0,"ПРЕВЫШЕНИЕ","OK")</f>
        <v>OK</v>
      </c>
      <c r="D8" s="3"/>
      <c r="E8" s="3" t="s">
        <v>353</v>
      </c>
      <c r="F8" s="3">
        <f>F6-F7</f>
        <v>80.702306992186351</v>
      </c>
      <c r="G8" s="3" t="str">
        <f>IF(F8&lt;0,"ПРЕВЫШЕНИЕ","OK")</f>
        <v>OK</v>
      </c>
      <c r="H8" s="3"/>
      <c r="I8" s="3" t="s">
        <v>353</v>
      </c>
      <c r="J8" s="3">
        <f>J6-J7</f>
        <v>72.410456162022413</v>
      </c>
      <c r="K8" s="3" t="str">
        <f>IF(J8&lt;0,"ПРЕВЫШЕНИЕ","OK")</f>
        <v>OK</v>
      </c>
      <c r="L8" s="3"/>
      <c r="M8" s="3" t="s">
        <v>353</v>
      </c>
      <c r="N8" s="3">
        <f>N6-N7</f>
        <v>80.258747557269217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2028'!V11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100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2028'!V12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32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2028'!V13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69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2028'!V14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39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2028'!V15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17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2028'!V16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73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2028'!V17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5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2028'!V18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34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2028'!V19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65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2028'!V20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64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2028'!V21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49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2028'!V22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70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2028'!V23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4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2028'!V24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81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2028'!V25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90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2028'!V26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71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IF(G29="","",VLOOKUP(G29,Технологии!$A$11:$BF$50,46,FALSE))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IF(G30="","",VLOOKUP(G30,Технологии!$A$11:$BF$50,46,FALSE))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IF(G31="","",VLOOKUP(G31,Технологии!$A$11:$BF$50,46,FALSE))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383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81.385165213979136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73.363901571130597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81.484278019062003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96.194187239011342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2028'!B8+'США 2028'!D8+('США 2028'!C8+'США 2028'!F8+'США 2028'!G8)+(0.35*LN(1+0.6*'Ход 2028'!B14)*POWER(MAX(0,1-'США 2028'!I8/10),0.7))))</f>
        <v>7.7999999999999989</v>
      </c>
      <c r="C8" s="3">
        <f>MIN(1,'США 2028'!C8+'США 2028'!F8+(0.08*LN(1+0.5*'Ход 2028'!C14)*MAX(0,1-('США 2028'!C8+'США 2028'!F8))))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7.7999999999999989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2028'!B9+'США 2028'!D9+('США 2028'!C9+'США 2028'!F9+'США 2028'!G9)+(0.35*LN(1+0.6*'Ход 2028'!B15)*POWER(MAX(0,1-'США 2028'!I9/10),0.7))))</f>
        <v>9.0999999999999979</v>
      </c>
      <c r="C9" s="3">
        <f>MIN(1,'США 2028'!C9+'США 2028'!F9+(0.08*LN(1+0.5*'Ход 2028'!C15)*MAX(0,1-('США 2028'!C9+'США 2028'!F9))))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9.0999999999999979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2028'!B10+'США 2028'!D10+('США 2028'!C10+'США 2028'!F10+'США 2028'!G10)+(0.35*LN(1+0.6*'Ход 2028'!B16)*POWER(MAX(0,1-'США 2028'!I10/10),0.7))))</f>
        <v>9.4500000000000011</v>
      </c>
      <c r="C10" s="3">
        <f>MIN(1,'США 2028'!C10+'США 2028'!F10+(0.08*LN(1+0.5*'Ход 2028'!C16)*MAX(0,1-('США 2028'!C10+'США 2028'!F10))))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9.4500000000000011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2028'!B11+'США 2028'!D11+('США 2028'!C11+'США 2028'!F11+'США 2028'!G11)+(0.35*LN(1+0.6*'Ход 2028'!B17)*POWER(MAX(0,1-'США 2028'!I11/10),0.7))))</f>
        <v>7.7999999999999989</v>
      </c>
      <c r="C11" s="3">
        <f>MIN(1,'США 2028'!C11+'США 2028'!F11+(0.08*LN(1+0.5*'Ход 2028'!C17)*MAX(0,1-('США 2028'!C11+'США 2028'!F11))))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7.7999999999999989</v>
      </c>
      <c r="J11" s="3"/>
      <c r="K11" s="3" t="s">
        <v>265</v>
      </c>
      <c r="L11" s="3">
        <f>MAX(1,MIN(10,'США 2028'!L11+'США 2028'!N11+('США 2028'!M11+'США 2028'!P11+'США 2028'!Q11)))</f>
        <v>8.2000000000000011</v>
      </c>
      <c r="M11" s="3">
        <f>MIN(1,'США 2028'!M11+'США 2028'!P11+(0.1*LN(1+0.5*'Ход 2028'!H13)*POWER(MAX(0,1-'США 2028'!S11/10),0.8)))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8.2000000000000011</v>
      </c>
      <c r="T11" s="3"/>
      <c r="U11" s="3" t="s">
        <v>266</v>
      </c>
      <c r="V11" s="7">
        <f>'США 2028'!V11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2028'!B12+'США 2028'!D12+('США 2028'!C12+'США 2028'!F12+'США 2028'!G12)+(0.35*LN(1+0.6*'Ход 2028'!B18)*POWER(MAX(0,1-'США 2028'!I12/10),0.7))))</f>
        <v>9.1500000000000021</v>
      </c>
      <c r="C12" s="3">
        <f>MIN(1,'США 2028'!C12+'США 2028'!F12+(0.08*LN(1+0.5*'Ход 2028'!C18)*MAX(0,1-('США 2028'!C12+'США 2028'!F12))))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9.1500000000000021</v>
      </c>
      <c r="J12" s="3"/>
      <c r="K12" s="3" t="s">
        <v>269</v>
      </c>
      <c r="L12" s="3">
        <f>MAX(1,MIN(10,'США 2028'!L12+'США 2028'!N12+('США 2028'!M12+'США 2028'!P12+'США 2028'!Q12)))</f>
        <v>9.0499999999999989</v>
      </c>
      <c r="M12" s="3">
        <f>MIN(1,'США 2028'!M12+'США 2028'!P12+(0.1*LN(1+0.5*'Ход 2028'!H14)*POWER(MAX(0,1-'США 2028'!S12/10),0.8)))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9.0499999999999989</v>
      </c>
      <c r="T12" s="3"/>
      <c r="U12" s="3" t="s">
        <v>270</v>
      </c>
      <c r="V12" s="7">
        <f>'США 2028'!V12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2028'!B13+'США 2028'!D13+('США 2028'!C13+'США 2028'!F13+'США 2028'!G13)+(0.35*LN(1+0.6*'Ход 2028'!B19)*POWER(MAX(0,1-'США 2028'!I13/10),0.7))))</f>
        <v>8.35</v>
      </c>
      <c r="C13" s="3">
        <f>MIN(1,'США 2028'!C13+'США 2028'!F13+(0.08*LN(1+0.5*'Ход 2028'!C19)*MAX(0,1-('США 2028'!C13+'США 2028'!F13))))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8.35</v>
      </c>
      <c r="J13" s="3"/>
      <c r="K13" s="3" t="s">
        <v>273</v>
      </c>
      <c r="L13" s="3">
        <f>MAX(1,MIN(10,'США 2028'!L13+'США 2028'!N13+('США 2028'!M13+'США 2028'!P13+'США 2028'!Q13)))</f>
        <v>9.9500000000000011</v>
      </c>
      <c r="M13" s="3">
        <f>MIN(1,'США 2028'!M13+'США 2028'!P13+(0.1*LN(1+0.5*'Ход 2028'!H15)*POWER(MAX(0,1-'США 2028'!S13/10),0.8)))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9.9500000000000011</v>
      </c>
      <c r="T13" s="3"/>
      <c r="U13" s="3" t="s">
        <v>274</v>
      </c>
      <c r="V13" s="7">
        <f>'США 2028'!V13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2028'!B14+'США 2028'!D14+('США 2028'!C14+'США 2028'!F14+'США 2028'!G14)+(0.35*LN(1+0.6*'Ход 2028'!B20)*POWER(MAX(0,1-'США 2028'!I14/10),0.7))))</f>
        <v>10</v>
      </c>
      <c r="C14" s="3">
        <f>MIN(1,'США 2028'!C14+'США 2028'!F14+(0.08*LN(1+0.5*'Ход 2028'!C20)*MAX(0,1-('США 2028'!C14+'США 2028'!F14))))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2028'!L14+'США 2028'!N14+('США 2028'!M14+'США 2028'!P14+'США 2028'!Q14)))</f>
        <v>8.4</v>
      </c>
      <c r="M14" s="3">
        <f>MIN(1,'США 2028'!M14+'США 2028'!P14+(0.1*LN(1+0.5*'Ход 2028'!H16)*POWER(MAX(0,1-'США 2028'!S14/10),0.8)))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8.4</v>
      </c>
      <c r="T14" s="3"/>
      <c r="U14" s="3" t="s">
        <v>278</v>
      </c>
      <c r="V14" s="7">
        <f>'США 2028'!V14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2028'!B15+'США 2028'!D15+('США 2028'!C15+'США 2028'!F15+'США 2028'!G15)+(0.35*LN(1+0.6*'Ход 2028'!B21)*POWER(MAX(0,1-'США 2028'!I15/10),0.7))))</f>
        <v>10</v>
      </c>
      <c r="C15" s="3">
        <f>MIN(1,'США 2028'!C15+'США 2028'!F15+(0.08*LN(1+0.5*'Ход 2028'!C21)*MAX(0,1-('США 2028'!C15+'США 2028'!F15))))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2028'!L15+'США 2028'!N15+('США 2028'!M15+'США 2028'!P15+'США 2028'!Q15)))</f>
        <v>9.5999999999999979</v>
      </c>
      <c r="M15" s="3">
        <f>MIN(1,'США 2028'!M15+'США 2028'!P15+(0.1*LN(1+0.5*'Ход 2028'!H17)*POWER(MAX(0,1-'США 2028'!S15/10),0.8)))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9.5999999999999979</v>
      </c>
      <c r="T15" s="3"/>
      <c r="U15" s="3" t="s">
        <v>282</v>
      </c>
      <c r="V15" s="7">
        <f>'США 2028'!V15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2028'!B16+'США 2028'!D16+('США 2028'!C16+'США 2028'!F16+'США 2028'!G16)+(0.35*LN(1+0.6*'Ход 2028'!B22)*POWER(MAX(0,1-'США 2028'!I16/10),0.7))))</f>
        <v>9.4500000000000011</v>
      </c>
      <c r="C16" s="3">
        <f>MIN(1,'США 2028'!C16+'США 2028'!F16+(0.08*LN(1+0.5*'Ход 2028'!C22)*MAX(0,1-('США 2028'!C16+'США 2028'!F16))))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9.4500000000000011</v>
      </c>
      <c r="J16" s="3"/>
      <c r="K16" s="3" t="s">
        <v>285</v>
      </c>
      <c r="L16" s="3">
        <f>MAX(1,MIN(10,'США 2028'!L16+'США 2028'!N16+('США 2028'!M16+'США 2028'!P16+'США 2028'!Q16)))</f>
        <v>9.5499999999999989</v>
      </c>
      <c r="M16" s="3">
        <f>MIN(1,'США 2028'!M16+'США 2028'!P16+(0.1*LN(1+0.5*'Ход 2028'!H18)*POWER(MAX(0,1-'США 2028'!S16/10),0.8)))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9.5499999999999989</v>
      </c>
      <c r="T16" s="3"/>
      <c r="U16" s="3" t="s">
        <v>286</v>
      </c>
      <c r="V16" s="7">
        <f>'США 2028'!V16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2028'!B17+'США 2028'!D17+('США 2028'!C17+'США 2028'!F17+'США 2028'!G17)+(0.35*LN(1+0.6*'Ход 2028'!B23)*POWER(MAX(0,1-'США 2028'!I17/10),0.7))))</f>
        <v>9.2999999999999989</v>
      </c>
      <c r="C17" s="3">
        <f>MIN(1,'США 2028'!C17+'США 2028'!F17+(0.08*LN(1+0.5*'Ход 2028'!C23)*MAX(0,1-('США 2028'!C17+'США 2028'!F17))))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9.2999999999999989</v>
      </c>
      <c r="J17" s="3"/>
      <c r="K17" s="3" t="s">
        <v>289</v>
      </c>
      <c r="L17" s="3">
        <f>MAX(1,MIN(10,'США 2028'!L17+'США 2028'!N17+('США 2028'!M17+'США 2028'!P17+'США 2028'!Q17)))</f>
        <v>7.8999999999999995</v>
      </c>
      <c r="M17" s="3">
        <f>MIN(1,'США 2028'!M17+'США 2028'!P17+(0.1*LN(1+0.5*'Ход 2028'!H19)*POWER(MAX(0,1-'США 2028'!S17/10),0.8)))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7.8999999999999995</v>
      </c>
      <c r="T17" s="3"/>
      <c r="U17" s="3" t="s">
        <v>290</v>
      </c>
      <c r="V17" s="7">
        <f>'США 2028'!V17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2028'!L18+'США 2028'!N18+('США 2028'!M18+'США 2028'!P18+'США 2028'!Q18)))</f>
        <v>7.8999999999999995</v>
      </c>
      <c r="M18" s="3">
        <f>MIN(1,'США 2028'!M18+'США 2028'!P18+(0.1*LN(1+0.5*'Ход 2028'!H20)*POWER(MAX(0,1-'США 2028'!S18/10),0.8)))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7.8999999999999995</v>
      </c>
      <c r="T18" s="3"/>
      <c r="U18" s="3" t="s">
        <v>294</v>
      </c>
      <c r="V18" s="7">
        <f>'США 2028'!V18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2028'!B19+'США 2028'!D19+('США 2028'!C19+'США 2028'!F19+'США 2028'!G19)+(0.35*LN(1+0.6*'Ход 2028'!B25)*POWER(MAX(0,1-'США 2028'!I19/10),0.7))))</f>
        <v>9.2999999999999989</v>
      </c>
      <c r="C19" s="3">
        <f>MIN(1,'США 2028'!C19+'США 2028'!F19+(0.08*LN(1+0.5*'Ход 2028'!C25)*MAX(0,1-('США 2028'!C19+'США 2028'!F19))))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9.2999999999999989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2028'!V19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2028'!B20+'США 2028'!D20+('США 2028'!C20+'США 2028'!F20+'США 2028'!G20)+(0.35*LN(1+0.6*'Ход 2028'!B26)*POWER(MAX(0,1-'США 2028'!I20/10),0.7))))</f>
        <v>9.2999999999999989</v>
      </c>
      <c r="C20" s="3">
        <f>MIN(1,'США 2028'!C20+'США 2028'!F20+(0.08*LN(1+0.5*'Ход 2028'!C26)*MAX(0,1-('США 2028'!C20+'США 2028'!F20))))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9.2999999999999989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2028'!V20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2028'!B21+'США 2028'!D21+('США 2028'!C21+'США 2028'!F21+'США 2028'!G21)+(0.35*LN(1+0.6*'Ход 2028'!B27)*POWER(MAX(0,1-'США 2028'!I21/10),0.7))))</f>
        <v>8.4500000000000011</v>
      </c>
      <c r="C21" s="3">
        <f>MIN(1,'США 2028'!C21+'США 2028'!F21+(0.08*LN(1+0.5*'Ход 2028'!C27)*MAX(0,1-('США 2028'!C21+'США 2028'!F21))))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8.4500000000000011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2028'!V21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2028'!B22+'США 2028'!D22+('США 2028'!C22+'США 2028'!F22+'США 2028'!G22)+(0.35*LN(1+0.6*'Ход 2028'!B28)*POWER(MAX(0,1-'США 2028'!I22/10),0.7))))</f>
        <v>9.2999999999999989</v>
      </c>
      <c r="C22" s="3">
        <f>MIN(1,'США 2028'!C22+'США 2028'!F22+(0.08*LN(1+0.5*'Ход 2028'!C28)*MAX(0,1-('США 2028'!C22+'США 2028'!F22))))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9.2999999999999989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2028'!V22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2028'!B23+'США 2028'!D23+('США 2028'!C23+'США 2028'!F23+'США 2028'!G23)+(0.35*LN(1+0.6*'Ход 2028'!B29)*POWER(MAX(0,1-'США 2028'!I23/10),0.7))))</f>
        <v>9.2999999999999989</v>
      </c>
      <c r="C23" s="3">
        <f>MIN(1,'США 2028'!C23+'США 2028'!F23+(0.08*LN(1+0.5*'Ход 2028'!C29)*MAX(0,1-('США 2028'!C23+'США 2028'!F23))))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9.2999999999999989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2028'!V23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2028'!V24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2028'!B25+'США 2028'!D25+('США 2028'!C25+'США 2028'!F25+'США 2028'!G25)+(0.35*LN(1+0.6*'Ход 2028'!B31)*POWER(MAX(0,1-'США 2028'!I25/10),0.7))))</f>
        <v>9.9500000000000011</v>
      </c>
      <c r="C25" s="3">
        <f>MIN(1,'США 2028'!C25+'США 2028'!F25+(0.08*LN(1+0.5*'Ход 2028'!C31)*MAX(0,1-('США 2028'!C25+'США 2028'!F25))))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9.9500000000000011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2028'!V25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2028'!B26+'США 2028'!D26+('США 2028'!C26+'США 2028'!F26+'США 2028'!G26)+(0.35*LN(1+0.6*'Ход 2028'!B32)*POWER(MAX(0,1-'США 2028'!I26/10),0.7))))</f>
        <v>9.5999999999999979</v>
      </c>
      <c r="C26" s="3">
        <f>MIN(1,'США 2028'!C26+'США 2028'!F26+(0.08*LN(1+0.5*'Ход 2028'!C32)*MAX(0,1-('США 2028'!C26+'США 2028'!F26))))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9.5999999999999979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2028'!V26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2028'!B27+'США 2028'!D27+('США 2028'!C27+'США 2028'!F27+'США 2028'!G27)+(0.35*LN(1+0.6*'Ход 2028'!B33)*POWER(MAX(0,1-'США 2028'!I27/10),0.7))))</f>
        <v>9.9500000000000011</v>
      </c>
      <c r="C27" s="3">
        <f>MIN(1,'США 2028'!C27+'США 2028'!F27+(0.08*LN(1+0.5*'Ход 2028'!C33)*MAX(0,1-('США 2028'!C27+'США 2028'!F27))))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9.9500000000000011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2028'!B28+'США 2028'!D28+('США 2028'!C28+'США 2028'!F28+'США 2028'!G28)+(0.35*LN(1+0.6*'Ход 2028'!B34)*POWER(MAX(0,1-'США 2028'!I28/10),0.7))))</f>
        <v>9.4500000000000011</v>
      </c>
      <c r="C28" s="3">
        <f>MIN(1,'США 2028'!C28+'США 2028'!F28+(0.08*LN(1+0.5*'Ход 2028'!C34)*MAX(0,1-('США 2028'!C28+'США 2028'!F28))))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9.4500000000000011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2028'!B29+'США 2028'!D29+('США 2028'!C29+'США 2028'!F29+'США 2028'!G29)+(0.35*LN(1+0.6*'Ход 2028'!B35)*POWER(MAX(0,1-'США 2028'!I29/10),0.7))))</f>
        <v>9.75</v>
      </c>
      <c r="C29" s="3">
        <f>MIN(1,'США 2028'!C29+'США 2028'!F29+(0.08*LN(1+0.5*'Ход 2028'!C35)*MAX(0,1-('США 2028'!C29+'США 2028'!F29))))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9.75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2028'!B30+'США 2028'!D30+('США 2028'!C30+'США 2028'!F30+'США 2028'!G30)+(0.35*LN(1+0.6*'Ход 2028'!B36)*POWER(MAX(0,1-'США 2028'!I30/10),0.7))))</f>
        <v>9.4500000000000011</v>
      </c>
      <c r="C30" s="3">
        <f>MIN(1,'США 2028'!C30+'США 2028'!F30+(0.08*LN(1+0.5*'Ход 2028'!C36)*MAX(0,1-('США 2028'!C30+'США 2028'!F30))))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9.4500000000000011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2028'!B31+'США 2028'!D31+('США 2028'!C31+'США 2028'!F31+'США 2028'!G31)+(0.35*LN(1+0.6*'Ход 2028'!B37)*POWER(MAX(0,1-'США 2028'!I31/10),0.7))))</f>
        <v>8.2999999999999989</v>
      </c>
      <c r="C31" s="3">
        <f>MIN(1,'США 2028'!C31+'США 2028'!F31+(0.08*LN(1+0.5*'Ход 2028'!C37)*MAX(0,1-('США 2028'!C31+'США 2028'!F31))))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8.2999999999999989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2028'!B32+'США 2028'!D32+('США 2028'!C32+'США 2028'!F32+'США 2028'!G32)+(0.35*LN(1+0.6*'Ход 2028'!B38)*POWER(MAX(0,1-'США 2028'!I32/10),0.7))))</f>
        <v>8.7999999999999989</v>
      </c>
      <c r="C32" s="3">
        <f>MIN(1,'США 2028'!C32+'США 2028'!F32+(0.08*LN(1+0.5*'Ход 2028'!C38)*MAX(0,1-('США 2028'!C32+'США 2028'!F32))))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8.7999999999999989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2028'!B34+'США 2028'!D34+('США 2028'!C34+'США 2028'!F34+'США 2028'!G34)+(0.35*LN(1+0.6*'Ход 2028'!B40)*POWER(MAX(0,1-'США 2028'!I34/10),0.7))))</f>
        <v>8.2999999999999989</v>
      </c>
      <c r="C34" s="3">
        <f>MIN(1,'США 2028'!C34+'США 2028'!F34+(0.08*LN(1+0.5*'Ход 2028'!C40)*MAX(0,1-('США 2028'!C34+'США 2028'!F34))))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8.2999999999999989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2028'!B35+'США 2028'!D35+('США 2028'!C35+'США 2028'!F35+'США 2028'!G35)+(0.35*LN(1+0.6*'Ход 2028'!B41)*POWER(MAX(0,1-'США 2028'!I35/10),0.7))))</f>
        <v>9.6500000000000021</v>
      </c>
      <c r="C35" s="3">
        <f>MIN(1,'США 2028'!C35+'США 2028'!F35+(0.08*LN(1+0.5*'Ход 2028'!C41)*MAX(0,1-('США 2028'!C35+'США 2028'!F35))))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9.6500000000000021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2028'!B36+'США 2028'!D36+('США 2028'!C36+'США 2028'!F36+'США 2028'!G36)+(0.35*LN(1+0.6*'Ход 2028'!B42)*POWER(MAX(0,1-'США 2028'!I36/10),0.7))))</f>
        <v>9.4500000000000011</v>
      </c>
      <c r="C36" s="3">
        <f>MIN(1,'США 2028'!C36+'США 2028'!F36+(0.08*LN(1+0.5*'Ход 2028'!C42)*MAX(0,1-('США 2028'!C36+'США 2028'!F36))))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9.4500000000000011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2028'!B37+'США 2028'!D37+('США 2028'!C37+'США 2028'!F37+'США 2028'!G37)+(0.35*LN(1+0.6*'Ход 2028'!B43)*POWER(MAX(0,1-'США 2028'!I37/10),0.7))))</f>
        <v>9.5999999999999979</v>
      </c>
      <c r="C37" s="3">
        <f>MIN(1,'США 2028'!C37+'США 2028'!F37+(0.08*LN(1+0.5*'Ход 2028'!C43)*MAX(0,1-('США 2028'!C37+'США 2028'!F37))))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9.5999999999999979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2028'!B38+'США 2028'!D38+('США 2028'!C38+'США 2028'!F38+'США 2028'!G38)+(0.35*LN(1+0.6*'Ход 2028'!B44)*POWER(MAX(0,1-'США 2028'!I38/10),0.7))))</f>
        <v>9.0999999999999979</v>
      </c>
      <c r="C38" s="3">
        <f>MIN(1,'США 2028'!C38+'США 2028'!F38+(0.08*LN(1+0.5*'Ход 2028'!C44)*MAX(0,1-('США 2028'!C38+'США 2028'!F38))))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9.0999999999999979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2028'!B39+'США 2028'!D39+('США 2028'!C39+'США 2028'!F39+'США 2028'!G39)+(0.35*LN(1+0.6*'Ход 2028'!B45)*POWER(MAX(0,1-'США 2028'!I39/10),0.7))))</f>
        <v>8.9500000000000011</v>
      </c>
      <c r="C39" s="3">
        <f>MIN(1,'США 2028'!C39+'США 2028'!F39+(0.08*LN(1+0.5*'Ход 2028'!C45)*MAX(0,1-('США 2028'!C39+'США 2028'!F39))))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8.9500000000000011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2028'!B40+'США 2028'!D40+('США 2028'!C40+'США 2028'!F40+'США 2028'!G40)+(0.35*LN(1+0.6*'Ход 2028'!B46)*POWER(MAX(0,1-'США 2028'!I40/10),0.7))))</f>
        <v>9.1500000000000021</v>
      </c>
      <c r="C40" s="3">
        <f>MIN(1,'США 2028'!C40+'США 2028'!F40+(0.08*LN(1+0.5*'Ход 2028'!C46)*MAX(0,1-('США 2028'!C40+'США 2028'!F40))))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9.1500000000000021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2028'!B41+'США 2028'!D41+('США 2028'!C41+'США 2028'!F41+'США 2028'!G41)+(0.35*LN(1+0.6*'Ход 2028'!B47)*POWER(MAX(0,1-'США 2028'!I41/10),0.7))))</f>
        <v>10</v>
      </c>
      <c r="C41" s="3">
        <f>MIN(1,'США 2028'!C41+'США 2028'!F41+(0.08*LN(1+0.5*'Ход 2028'!C47)*MAX(0,1-('США 2028'!C41+'США 2028'!F41))))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2028'!B42+'США 2028'!D42+('США 2028'!C42+'США 2028'!F42+'США 2028'!G42)+(0.35*LN(1+0.6*'Ход 2028'!B48)*POWER(MAX(0,1-'США 2028'!I42/10),0.7))))</f>
        <v>9.7999999999999989</v>
      </c>
      <c r="C42" s="3">
        <f>MIN(1,'США 2028'!C42+'США 2028'!F42+(0.08*LN(1+0.5*'Ход 2028'!C48)*MAX(0,1-('США 2028'!C42+'США 2028'!F42))))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9.7999999999999989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2028'!B44+'США 2028'!D44+('США 2028'!C44+'США 2028'!F44+'США 2028'!G44)+(0.35*LN(1+0.6*'Ход 2028'!B50)*POWER(MAX(0,1-'США 2028'!I44/10),0.7))))</f>
        <v>8.2999999999999989</v>
      </c>
      <c r="C44" s="3">
        <f>MIN(1,'США 2028'!C44+'США 2028'!F44+(0.08*LN(1+0.5*'Ход 2028'!C50)*MAX(0,1-('США 2028'!C44+'США 2028'!F44))))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8.2999999999999989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2028'!B45+'США 2028'!D45+('США 2028'!C45+'США 2028'!F45+'США 2028'!G45)+(0.35*LN(1+0.6*'Ход 2028'!B51)*POWER(MAX(0,1-'США 2028'!I45/10),0.7))))</f>
        <v>8.1</v>
      </c>
      <c r="C45" s="3">
        <f>MIN(1,'США 2028'!C45+'США 2028'!F45+(0.08*LN(1+0.5*'Ход 2028'!C51)*MAX(0,1-('США 2028'!C45+'США 2028'!F45))))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2028'!B46+'США 2028'!D46+('США 2028'!C46+'США 2028'!F46+'США 2028'!G46)+(0.35*LN(1+0.6*'Ход 2028'!B52)*POWER(MAX(0,1-'США 2028'!I46/10),0.7))))</f>
        <v>8.7999999999999989</v>
      </c>
      <c r="C46" s="3">
        <f>MIN(1,'США 2028'!C46+'США 2028'!F46+(0.08*LN(1+0.5*'Ход 2028'!C52)*MAX(0,1-('США 2028'!C46+'США 2028'!F46))))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8.7999999999999989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2028'!B47+'США 2028'!D47+('США 2028'!C47+'США 2028'!F47+'США 2028'!G47)+(0.35*LN(1+0.6*'Ход 2028'!B53)*POWER(MAX(0,1-'США 2028'!I47/10),0.7))))</f>
        <v>6.7000000000000011</v>
      </c>
      <c r="C47" s="3">
        <f>MIN(1,'США 2028'!C47+'США 2028'!F47+(0.08*LN(1+0.5*'Ход 2028'!C53)*MAX(0,1-('США 2028'!C47+'США 2028'!F47))))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6.7000000000000011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2028'!B48+'США 2028'!D48+('США 2028'!C48+'США 2028'!F48+'США 2028'!G48)+(0.35*LN(1+0.6*'Ход 2028'!B54)*POWER(MAX(0,1-'США 2028'!I48/10),0.7))))</f>
        <v>5.6499999999999995</v>
      </c>
      <c r="C48" s="3">
        <f>MIN(1,'США 2028'!C48+'США 2028'!F48+(0.08*LN(1+0.5*'Ход 2028'!C54)*MAX(0,1-('США 2028'!C48+'США 2028'!F48))))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5.6499999999999995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2028'!B49+'США 2028'!D49+('США 2028'!C49+'США 2028'!F49+'США 2028'!G49)+(0.35*LN(1+0.6*'Ход 2028'!B55)*POWER(MAX(0,1-'США 2028'!I49/10),0.7))))</f>
        <v>8.75</v>
      </c>
      <c r="C49" s="3">
        <f>MIN(1,'США 2028'!C49+'США 2028'!F49+(0.08*LN(1+0.5*'Ход 2028'!C55)*MAX(0,1-('США 2028'!C49+'США 2028'!F49))))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8.75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2028'!B50+'США 2028'!D50+('США 2028'!C50+'США 2028'!F50+'США 2028'!G50)+(0.35*LN(1+0.6*'Ход 2028'!B56)*POWER(MAX(0,1-'США 2028'!I50/10),0.7))))</f>
        <v>9.6500000000000021</v>
      </c>
      <c r="C50" s="3">
        <f>MIN(1,'США 2028'!C50+'США 2028'!F50+(0.08*LN(1+0.5*'Ход 2028'!C56)*MAX(0,1-('США 2028'!C50+'США 2028'!F50))))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9.6500000000000021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2028'!B51+'США 2028'!D51+('США 2028'!C51+'США 2028'!F51+'США 2028'!G51)+(0.35*LN(1+0.6*'Ход 2028'!B57)*POWER(MAX(0,1-'США 2028'!I51/10),0.7))))</f>
        <v>8.1</v>
      </c>
      <c r="C51" s="3">
        <f>MIN(1,'США 2028'!C51+'США 2028'!F51+(0.08*LN(1+0.5*'Ход 2028'!C57)*MAX(0,1-('США 2028'!C51+'США 2028'!F51))))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2028'!B53+'США 2028'!D53+('США 2028'!C53+'США 2028'!F53+'США 2028'!G53)+(0.35*LN(1+0.6*'Ход 2028'!B59)*POWER(MAX(0,1-'США 2028'!I53/10),0.7))))</f>
        <v>8.5999999999999979</v>
      </c>
      <c r="C53" s="3">
        <f>MIN(1,'США 2028'!C53+'США 2028'!F53+(0.08*LN(1+0.5*'Ход 2028'!C59)*MAX(0,1-('США 2028'!C53+'США 2028'!F53))))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8.5999999999999979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2028'!B54+'США 2028'!D54+('США 2028'!C54+'США 2028'!F54+'США 2028'!G54)+(0.35*LN(1+0.6*'Ход 2028'!B60)*POWER(MAX(0,1-'США 2028'!I54/10),0.7))))</f>
        <v>9.2999999999999989</v>
      </c>
      <c r="C54" s="3">
        <f>MIN(1,'США 2028'!C54+'США 2028'!F54+(0.08*LN(1+0.5*'Ход 2028'!C60)*MAX(0,1-('США 2028'!C54+'США 2028'!F54))))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9.2999999999999989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2028'!B55+'США 2028'!D55+('США 2028'!C55+'США 2028'!F55+'США 2028'!G55)+(0.35*LN(1+0.6*'Ход 2028'!B61)*POWER(MAX(0,1-'США 2028'!I55/10),0.7))))</f>
        <v>7.4500000000000011</v>
      </c>
      <c r="C55" s="3">
        <f>MIN(1,'США 2028'!C55+'США 2028'!F55+(0.08*LN(1+0.5*'Ход 2028'!C61)*MAX(0,1-('США 2028'!C55+'США 2028'!F55))))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7.4500000000000011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2029'!U6</f>
        <v>96.194187239011342</v>
      </c>
      <c r="C6" s="3"/>
      <c r="D6" s="3"/>
      <c r="E6" s="3" t="s">
        <v>351</v>
      </c>
      <c r="F6" s="3">
        <f>'США 2029'!K6</f>
        <v>81.385165213979136</v>
      </c>
      <c r="G6" s="3"/>
      <c r="H6" s="3"/>
      <c r="I6" s="3" t="s">
        <v>351</v>
      </c>
      <c r="J6" s="3">
        <f>'США 2029'!N6</f>
        <v>73.363901571130597</v>
      </c>
      <c r="K6" s="3"/>
      <c r="L6" s="3"/>
      <c r="M6" s="3" t="s">
        <v>351</v>
      </c>
      <c r="N6" s="3">
        <f>'США 2029'!Q6</f>
        <v>81.484278019062003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96.194187239011342</v>
      </c>
      <c r="C8" s="3" t="str">
        <f>IF(B8&lt;0,"ПРЕВЫШЕНИЕ","OK")</f>
        <v>OK</v>
      </c>
      <c r="D8" s="3"/>
      <c r="E8" s="3" t="s">
        <v>353</v>
      </c>
      <c r="F8" s="3">
        <f>F6-F7</f>
        <v>81.385165213979136</v>
      </c>
      <c r="G8" s="3" t="str">
        <f>IF(F8&lt;0,"ПРЕВЫШЕНИЕ","OK")</f>
        <v>OK</v>
      </c>
      <c r="H8" s="3"/>
      <c r="I8" s="3" t="s">
        <v>353</v>
      </c>
      <c r="J8" s="3">
        <f>J6-J7</f>
        <v>73.363901571130597</v>
      </c>
      <c r="K8" s="3" t="str">
        <f>IF(J8&lt;0,"ПРЕВЫШЕНИЕ","OK")</f>
        <v>OK</v>
      </c>
      <c r="L8" s="3"/>
      <c r="M8" s="3" t="s">
        <v>353</v>
      </c>
      <c r="N8" s="3">
        <f>N6-N7</f>
        <v>81.484278019062003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2029'!V11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50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2029'!V12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56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2029'!V13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18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2029'!V14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17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2029'!V15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97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2029'!V16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25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2029'!V17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53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2029'!V18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89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2029'!V19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53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2029'!V20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76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2029'!V21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78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2029'!V22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21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2029'!V23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53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2029'!V24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3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2029'!V25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90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2029'!V26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58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IF(G29="","",VLOOKUP(G29,Технологии!$A$11:$BF$50,47,FALSE))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IF(G30="","",VLOOKUP(G30,Технологии!$A$11:$BF$50,47,FALSE))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IF(G31="","",VLOOKUP(G31,Технологии!$A$11:$BF$50,47,FALSE))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81.999449482859205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74.116525005859202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82.68493084803012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97.084715298872027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2029'!B8+'США 2029'!D8+('США 2029'!C8+'США 2029'!F8+'США 2029'!G8)+(0.35*LN(1+0.6*'Ход 2029'!B14)*POWER(MAX(0,1-'США 2029'!I8/10),0.7))))</f>
        <v>7.8999999999999986</v>
      </c>
      <c r="C8" s="3">
        <f>MIN(1,'США 2029'!C8+'США 2029'!F8+(0.08*LN(1+0.5*'Ход 2029'!C14)*MAX(0,1-('США 2029'!C8+'США 2029'!F8))))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7.8999999999999986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2029'!B9+'США 2029'!D9+('США 2029'!C9+'США 2029'!F9+'США 2029'!G9)+(0.35*LN(1+0.6*'Ход 2029'!B15)*POWER(MAX(0,1-'США 2029'!I9/10),0.7))))</f>
        <v>9.2999999999999972</v>
      </c>
      <c r="C9" s="3">
        <f>MIN(1,'США 2029'!C9+'США 2029'!F9+(0.08*LN(1+0.5*'Ход 2029'!C15)*MAX(0,1-('США 2029'!C9+'США 2029'!F9))))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9.2999999999999972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2029'!B10+'США 2029'!D10+('США 2029'!C10+'США 2029'!F10+'США 2029'!G10)+(0.35*LN(1+0.6*'Ход 2029'!B16)*POWER(MAX(0,1-'США 2029'!I10/10),0.7))))</f>
        <v>9.6000000000000014</v>
      </c>
      <c r="C10" s="3">
        <f>MIN(1,'США 2029'!C10+'США 2029'!F10+(0.08*LN(1+0.5*'Ход 2029'!C16)*MAX(0,1-('США 2029'!C10+'США 2029'!F10))))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9.6000000000000014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2029'!B11+'США 2029'!D11+('США 2029'!C11+'США 2029'!F11+'США 2029'!G11)+(0.35*LN(1+0.6*'Ход 2029'!B17)*POWER(MAX(0,1-'США 2029'!I11/10),0.7))))</f>
        <v>7.8999999999999986</v>
      </c>
      <c r="C11" s="3">
        <f>MIN(1,'США 2029'!C11+'США 2029'!F11+(0.08*LN(1+0.5*'Ход 2029'!C17)*MAX(0,1-('США 2029'!C11+'США 2029'!F11))))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7.8999999999999986</v>
      </c>
      <c r="J11" s="3"/>
      <c r="K11" s="3" t="s">
        <v>265</v>
      </c>
      <c r="L11" s="3">
        <f>MAX(1,MIN(10,'США 2029'!L11+'США 2029'!N11+('США 2029'!M11+'США 2029'!P11+'США 2029'!Q11)))</f>
        <v>8.6000000000000014</v>
      </c>
      <c r="M11" s="3">
        <f>MIN(1,'США 2029'!M11+'США 2029'!P11+(0.1*LN(1+0.5*'Ход 2029'!H13)*POWER(MAX(0,1-'США 2029'!S11/10),0.8)))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8.6000000000000014</v>
      </c>
      <c r="T11" s="3"/>
      <c r="U11" s="3" t="s">
        <v>266</v>
      </c>
      <c r="V11" s="7">
        <f>'США 2029'!V11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2029'!B12+'США 2029'!D12+('США 2029'!C12+'США 2029'!F12+'США 2029'!G12)+(0.35*LN(1+0.6*'Ход 2029'!B18)*POWER(MAX(0,1-'США 2029'!I12/10),0.7))))</f>
        <v>9.2000000000000028</v>
      </c>
      <c r="C12" s="3">
        <f>MIN(1,'США 2029'!C12+'США 2029'!F12+(0.08*LN(1+0.5*'Ход 2029'!C18)*MAX(0,1-('США 2029'!C12+'США 2029'!F12))))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9.2000000000000028</v>
      </c>
      <c r="J12" s="3"/>
      <c r="K12" s="3" t="s">
        <v>269</v>
      </c>
      <c r="L12" s="3">
        <f>MAX(1,MIN(10,'США 2029'!L12+'США 2029'!N12+('США 2029'!M12+'США 2029'!P12+'США 2029'!Q12)))</f>
        <v>9.3999999999999986</v>
      </c>
      <c r="M12" s="3">
        <f>MIN(1,'США 2029'!M12+'США 2029'!P12+(0.1*LN(1+0.5*'Ход 2029'!H14)*POWER(MAX(0,1-'США 2029'!S12/10),0.8)))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9.3999999999999986</v>
      </c>
      <c r="T12" s="3"/>
      <c r="U12" s="3" t="s">
        <v>270</v>
      </c>
      <c r="V12" s="7">
        <f>'США 2029'!V12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2029'!B13+'США 2029'!D13+('США 2029'!C13+'США 2029'!F13+'США 2029'!G13)+(0.35*LN(1+0.6*'Ход 2029'!B19)*POWER(MAX(0,1-'США 2029'!I13/10),0.7))))</f>
        <v>8.7999999999999989</v>
      </c>
      <c r="C13" s="3">
        <f>MIN(1,'США 2029'!C13+'США 2029'!F13+(0.08*LN(1+0.5*'Ход 2029'!C19)*MAX(0,1-('США 2029'!C13+'США 2029'!F13))))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8.7999999999999989</v>
      </c>
      <c r="J13" s="3"/>
      <c r="K13" s="3" t="s">
        <v>273</v>
      </c>
      <c r="L13" s="3">
        <f>MAX(1,MIN(10,'США 2029'!L13+'США 2029'!N13+('США 2029'!M13+'США 2029'!P13+'США 2029'!Q13)))</f>
        <v>10</v>
      </c>
      <c r="M13" s="3">
        <f>MIN(1,'США 2029'!M13+'США 2029'!P13+(0.1*LN(1+0.5*'Ход 2029'!H15)*POWER(MAX(0,1-'США 2029'!S13/10),0.8)))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2029'!V13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2029'!B14+'США 2029'!D14+('США 2029'!C14+'США 2029'!F14+'США 2029'!G14)+(0.35*LN(1+0.6*'Ход 2029'!B20)*POWER(MAX(0,1-'США 2029'!I14/10),0.7))))</f>
        <v>10</v>
      </c>
      <c r="C14" s="3">
        <f>MIN(1,'США 2029'!C14+'США 2029'!F14+(0.08*LN(1+0.5*'Ход 2029'!C20)*MAX(0,1-('США 2029'!C14+'США 2029'!F14))))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2029'!L14+'США 2029'!N14+('США 2029'!M14+'США 2029'!P14+'США 2029'!Q14)))</f>
        <v>8.7000000000000011</v>
      </c>
      <c r="M14" s="3">
        <f>MIN(1,'США 2029'!M14+'США 2029'!P14+(0.1*LN(1+0.5*'Ход 2029'!H16)*POWER(MAX(0,1-'США 2029'!S14/10),0.8)))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8.7000000000000011</v>
      </c>
      <c r="T14" s="3"/>
      <c r="U14" s="3" t="s">
        <v>278</v>
      </c>
      <c r="V14" s="7">
        <f>'США 2029'!V14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2029'!B15+'США 2029'!D15+('США 2029'!C15+'США 2029'!F15+'США 2029'!G15)+(0.35*LN(1+0.6*'Ход 2029'!B21)*POWER(MAX(0,1-'США 2029'!I15/10),0.7))))</f>
        <v>10</v>
      </c>
      <c r="C15" s="3">
        <f>MIN(1,'США 2029'!C15+'США 2029'!F15+(0.08*LN(1+0.5*'Ход 2029'!C21)*MAX(0,1-('США 2029'!C15+'США 2029'!F15))))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2029'!L15+'США 2029'!N15+('США 2029'!M15+'США 2029'!P15+'США 2029'!Q15)))</f>
        <v>9.7999999999999972</v>
      </c>
      <c r="M15" s="3">
        <f>MIN(1,'США 2029'!M15+'США 2029'!P15+(0.1*LN(1+0.5*'Ход 2029'!H17)*POWER(MAX(0,1-'США 2029'!S15/10),0.8)))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9.7999999999999972</v>
      </c>
      <c r="T15" s="3"/>
      <c r="U15" s="3" t="s">
        <v>282</v>
      </c>
      <c r="V15" s="7">
        <f>'США 2029'!V15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2029'!B16+'США 2029'!D16+('США 2029'!C16+'США 2029'!F16+'США 2029'!G16)+(0.35*LN(1+0.6*'Ход 2029'!B22)*POWER(MAX(0,1-'США 2029'!I16/10),0.7))))</f>
        <v>9.6000000000000014</v>
      </c>
      <c r="C16" s="3">
        <f>MIN(1,'США 2029'!C16+'США 2029'!F16+(0.08*LN(1+0.5*'Ход 2029'!C22)*MAX(0,1-('США 2029'!C16+'США 2029'!F16))))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9.6000000000000014</v>
      </c>
      <c r="J16" s="3"/>
      <c r="K16" s="3" t="s">
        <v>285</v>
      </c>
      <c r="L16" s="3">
        <f>MAX(1,MIN(10,'США 2029'!L16+'США 2029'!N16+('США 2029'!M16+'США 2029'!P16+'США 2029'!Q16)))</f>
        <v>9.8999999999999986</v>
      </c>
      <c r="M16" s="3">
        <f>MIN(1,'США 2029'!M16+'США 2029'!P16+(0.1*LN(1+0.5*'Ход 2029'!H18)*POWER(MAX(0,1-'США 2029'!S16/10),0.8)))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9.8999999999999986</v>
      </c>
      <c r="T16" s="3"/>
      <c r="U16" s="3" t="s">
        <v>286</v>
      </c>
      <c r="V16" s="7">
        <f>'США 2029'!V16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2029'!B17+'США 2029'!D17+('США 2029'!C17+'США 2029'!F17+'США 2029'!G17)+(0.35*LN(1+0.6*'Ход 2029'!B23)*POWER(MAX(0,1-'США 2029'!I17/10),0.7))))</f>
        <v>9.3999999999999986</v>
      </c>
      <c r="C17" s="3">
        <f>MIN(1,'США 2029'!C17+'США 2029'!F17+(0.08*LN(1+0.5*'Ход 2029'!C23)*MAX(0,1-('США 2029'!C17+'США 2029'!F17))))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9.3999999999999986</v>
      </c>
      <c r="J17" s="3"/>
      <c r="K17" s="3" t="s">
        <v>289</v>
      </c>
      <c r="L17" s="3">
        <f>MAX(1,MIN(10,'США 2029'!L17+'США 2029'!N17+('США 2029'!M17+'США 2029'!P17+'США 2029'!Q17)))</f>
        <v>8.1999999999999993</v>
      </c>
      <c r="M17" s="3">
        <f>MIN(1,'США 2029'!M17+'США 2029'!P17+(0.1*LN(1+0.5*'Ход 2029'!H19)*POWER(MAX(0,1-'США 2029'!S17/10),0.8)))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8.1999999999999993</v>
      </c>
      <c r="T17" s="3"/>
      <c r="U17" s="3" t="s">
        <v>290</v>
      </c>
      <c r="V17" s="7">
        <f>'США 2029'!V17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2029'!L18+'США 2029'!N18+('США 2029'!M18+'США 2029'!P18+'США 2029'!Q18)))</f>
        <v>8.1999999999999993</v>
      </c>
      <c r="M18" s="3">
        <f>MIN(1,'США 2029'!M18+'США 2029'!P18+(0.1*LN(1+0.5*'Ход 2029'!H20)*POWER(MAX(0,1-'США 2029'!S18/10),0.8)))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8.1999999999999993</v>
      </c>
      <c r="T18" s="3"/>
      <c r="U18" s="3" t="s">
        <v>294</v>
      </c>
      <c r="V18" s="7">
        <f>'США 2029'!V18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2029'!B19+'США 2029'!D19+('США 2029'!C19+'США 2029'!F19+'США 2029'!G19)+(0.35*LN(1+0.6*'Ход 2029'!B25)*POWER(MAX(0,1-'США 2029'!I19/10),0.7))))</f>
        <v>9.3999999999999986</v>
      </c>
      <c r="C19" s="3">
        <f>MIN(1,'США 2029'!C19+'США 2029'!F19+(0.08*LN(1+0.5*'Ход 2029'!C25)*MAX(0,1-('США 2029'!C19+'США 2029'!F19))))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9.3999999999999986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2029'!V19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2029'!B20+'США 2029'!D20+('США 2029'!C20+'США 2029'!F20+'США 2029'!G20)+(0.35*LN(1+0.6*'Ход 2029'!B26)*POWER(MAX(0,1-'США 2029'!I20/10),0.7))))</f>
        <v>9.3999999999999986</v>
      </c>
      <c r="C20" s="3">
        <f>MIN(1,'США 2029'!C20+'США 2029'!F20+(0.08*LN(1+0.5*'Ход 2029'!C26)*MAX(0,1-('США 2029'!C20+'США 2029'!F20))))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9.3999999999999986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2029'!V20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2029'!B21+'США 2029'!D21+('США 2029'!C21+'США 2029'!F21+'США 2029'!G21)+(0.35*LN(1+0.6*'Ход 2029'!B27)*POWER(MAX(0,1-'США 2029'!I21/10),0.7))))</f>
        <v>8.6000000000000014</v>
      </c>
      <c r="C21" s="3">
        <f>MIN(1,'США 2029'!C21+'США 2029'!F21+(0.08*LN(1+0.5*'Ход 2029'!C27)*MAX(0,1-('США 2029'!C21+'США 2029'!F21))))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8.6000000000000014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2029'!V21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2029'!B22+'США 2029'!D22+('США 2029'!C22+'США 2029'!F22+'США 2029'!G22)+(0.35*LN(1+0.6*'Ход 2029'!B28)*POWER(MAX(0,1-'США 2029'!I22/10),0.7))))</f>
        <v>9.3999999999999986</v>
      </c>
      <c r="C22" s="3">
        <f>MIN(1,'США 2029'!C22+'США 2029'!F22+(0.08*LN(1+0.5*'Ход 2029'!C28)*MAX(0,1-('США 2029'!C22+'США 2029'!F22))))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9.3999999999999986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2029'!V22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2029'!B23+'США 2029'!D23+('США 2029'!C23+'США 2029'!F23+'США 2029'!G23)+(0.35*LN(1+0.6*'Ход 2029'!B29)*POWER(MAX(0,1-'США 2029'!I23/10),0.7))))</f>
        <v>9.3999999999999986</v>
      </c>
      <c r="C23" s="3">
        <f>MIN(1,'США 2029'!C23+'США 2029'!F23+(0.08*LN(1+0.5*'Ход 2029'!C29)*MAX(0,1-('США 2029'!C23+'США 2029'!F23))))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9.3999999999999986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2029'!V23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2029'!V24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2029'!B25+'США 2029'!D25+('США 2029'!C25+'США 2029'!F25+'США 2029'!G25)+(0.35*LN(1+0.6*'Ход 2029'!B31)*POWER(MAX(0,1-'США 2029'!I25/10),0.7))))</f>
        <v>10</v>
      </c>
      <c r="C25" s="3">
        <f>MIN(1,'США 2029'!C25+'США 2029'!F25+(0.08*LN(1+0.5*'Ход 2029'!C31)*MAX(0,1-('США 2029'!C25+'США 2029'!F25))))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2029'!V25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2029'!B26+'США 2029'!D26+('США 2029'!C26+'США 2029'!F26+'США 2029'!G26)+(0.35*LN(1+0.6*'Ход 2029'!B32)*POWER(MAX(0,1-'США 2029'!I26/10),0.7))))</f>
        <v>9.7999999999999972</v>
      </c>
      <c r="C26" s="3">
        <f>MIN(1,'США 2029'!C26+'США 2029'!F26+(0.08*LN(1+0.5*'Ход 2029'!C32)*MAX(0,1-('США 2029'!C26+'США 2029'!F26))))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9.7999999999999972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2029'!V26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2029'!B27+'США 2029'!D27+('США 2029'!C27+'США 2029'!F27+'США 2029'!G27)+(0.35*LN(1+0.6*'Ход 2029'!B33)*POWER(MAX(0,1-'США 2029'!I27/10),0.7))))</f>
        <v>10</v>
      </c>
      <c r="C27" s="3">
        <f>MIN(1,'США 2029'!C27+'США 2029'!F27+(0.08*LN(1+0.5*'Ход 2029'!C33)*MAX(0,1-('США 2029'!C27+'США 2029'!F27))))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2029'!B28+'США 2029'!D28+('США 2029'!C28+'США 2029'!F28+'США 2029'!G28)+(0.35*LN(1+0.6*'Ход 2029'!B34)*POWER(MAX(0,1-'США 2029'!I28/10),0.7))))</f>
        <v>9.6000000000000014</v>
      </c>
      <c r="C28" s="3">
        <f>MIN(1,'США 2029'!C28+'США 2029'!F28+(0.08*LN(1+0.5*'Ход 2029'!C34)*MAX(0,1-('США 2029'!C28+'США 2029'!F28))))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9.6000000000000014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2029'!B29+'США 2029'!D29+('США 2029'!C29+'США 2029'!F29+'США 2029'!G29)+(0.35*LN(1+0.6*'Ход 2029'!B35)*POWER(MAX(0,1-'США 2029'!I29/10),0.7))))</f>
        <v>10</v>
      </c>
      <c r="C29" s="3">
        <f>MIN(1,'США 2029'!C29+'США 2029'!F29+(0.08*LN(1+0.5*'Ход 2029'!C35)*MAX(0,1-('США 2029'!C29+'США 2029'!F29))))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2029'!B30+'США 2029'!D30+('США 2029'!C30+'США 2029'!F30+'США 2029'!G30)+(0.35*LN(1+0.6*'Ход 2029'!B36)*POWER(MAX(0,1-'США 2029'!I30/10),0.7))))</f>
        <v>9.6000000000000014</v>
      </c>
      <c r="C30" s="3">
        <f>MIN(1,'США 2029'!C30+'США 2029'!F30+(0.08*LN(1+0.5*'Ход 2029'!C36)*MAX(0,1-('США 2029'!C30+'США 2029'!F30))))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9.6000000000000014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2029'!B31+'США 2029'!D31+('США 2029'!C31+'США 2029'!F31+'США 2029'!G31)+(0.35*LN(1+0.6*'Ход 2029'!B37)*POWER(MAX(0,1-'США 2029'!I31/10),0.7))))</f>
        <v>8.3999999999999986</v>
      </c>
      <c r="C31" s="3">
        <f>MIN(1,'США 2029'!C31+'США 2029'!F31+(0.08*LN(1+0.5*'Ход 2029'!C37)*MAX(0,1-('США 2029'!C31+'США 2029'!F31))))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8.3999999999999986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2029'!B32+'США 2029'!D32+('США 2029'!C32+'США 2029'!F32+'США 2029'!G32)+(0.35*LN(1+0.6*'Ход 2029'!B38)*POWER(MAX(0,1-'США 2029'!I32/10),0.7))))</f>
        <v>8.8999999999999986</v>
      </c>
      <c r="C32" s="3">
        <f>MIN(1,'США 2029'!C32+'США 2029'!F32+(0.08*LN(1+0.5*'Ход 2029'!C38)*MAX(0,1-('США 2029'!C32+'США 2029'!F32))))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8.8999999999999986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2029'!B34+'США 2029'!D34+('США 2029'!C34+'США 2029'!F34+'США 2029'!G34)+(0.35*LN(1+0.6*'Ход 2029'!B40)*POWER(MAX(0,1-'США 2029'!I34/10),0.7))))</f>
        <v>8.3999999999999986</v>
      </c>
      <c r="C34" s="3">
        <f>MIN(1,'США 2029'!C34+'США 2029'!F34+(0.08*LN(1+0.5*'Ход 2029'!C40)*MAX(0,1-('США 2029'!C34+'США 2029'!F34))))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8.3999999999999986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2029'!B35+'США 2029'!D35+('США 2029'!C35+'США 2029'!F35+'США 2029'!G35)+(0.35*LN(1+0.6*'Ход 2029'!B41)*POWER(MAX(0,1-'США 2029'!I35/10),0.7))))</f>
        <v>9.7000000000000028</v>
      </c>
      <c r="C35" s="3">
        <f>MIN(1,'США 2029'!C35+'США 2029'!F35+(0.08*LN(1+0.5*'Ход 2029'!C41)*MAX(0,1-('США 2029'!C35+'США 2029'!F35))))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9.7000000000000028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2029'!B36+'США 2029'!D36+('США 2029'!C36+'США 2029'!F36+'США 2029'!G36)+(0.35*LN(1+0.6*'Ход 2029'!B42)*POWER(MAX(0,1-'США 2029'!I36/10),0.7))))</f>
        <v>9.6000000000000014</v>
      </c>
      <c r="C36" s="3">
        <f>MIN(1,'США 2029'!C36+'США 2029'!F36+(0.08*LN(1+0.5*'Ход 2029'!C42)*MAX(0,1-('США 2029'!C36+'США 2029'!F36))))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9.6000000000000014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2029'!B37+'США 2029'!D37+('США 2029'!C37+'США 2029'!F37+'США 2029'!G37)+(0.35*LN(1+0.6*'Ход 2029'!B43)*POWER(MAX(0,1-'США 2029'!I37/10),0.7))))</f>
        <v>9.7999999999999972</v>
      </c>
      <c r="C37" s="3">
        <f>MIN(1,'США 2029'!C37+'США 2029'!F37+(0.08*LN(1+0.5*'Ход 2029'!C43)*MAX(0,1-('США 2029'!C37+'США 2029'!F37))))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9.7999999999999972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2029'!B38+'США 2029'!D38+('США 2029'!C38+'США 2029'!F38+'США 2029'!G38)+(0.35*LN(1+0.6*'Ход 2029'!B44)*POWER(MAX(0,1-'США 2029'!I38/10),0.7))))</f>
        <v>9.2999999999999972</v>
      </c>
      <c r="C38" s="3">
        <f>MIN(1,'США 2029'!C38+'США 2029'!F38+(0.08*LN(1+0.5*'Ход 2029'!C44)*MAX(0,1-('США 2029'!C38+'США 2029'!F38))))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9.2999999999999972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2029'!B39+'США 2029'!D39+('США 2029'!C39+'США 2029'!F39+'США 2029'!G39)+(0.35*LN(1+0.6*'Ход 2029'!B45)*POWER(MAX(0,1-'США 2029'!I39/10),0.7))))</f>
        <v>9.1000000000000014</v>
      </c>
      <c r="C39" s="3">
        <f>MIN(1,'США 2029'!C39+'США 2029'!F39+(0.08*LN(1+0.5*'Ход 2029'!C45)*MAX(0,1-('США 2029'!C39+'США 2029'!F39))))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9.1000000000000014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2029'!B40+'США 2029'!D40+('США 2029'!C40+'США 2029'!F40+'США 2029'!G40)+(0.35*LN(1+0.6*'Ход 2029'!B46)*POWER(MAX(0,1-'США 2029'!I40/10),0.7))))</f>
        <v>9.2000000000000028</v>
      </c>
      <c r="C40" s="3">
        <f>MIN(1,'США 2029'!C40+'США 2029'!F40+(0.08*LN(1+0.5*'Ход 2029'!C46)*MAX(0,1-('США 2029'!C40+'США 2029'!F40))))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9.2000000000000028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2029'!B41+'США 2029'!D41+('США 2029'!C41+'США 2029'!F41+'США 2029'!G41)+(0.35*LN(1+0.6*'Ход 2029'!B47)*POWER(MAX(0,1-'США 2029'!I41/10),0.7))))</f>
        <v>10</v>
      </c>
      <c r="C41" s="3">
        <f>MIN(1,'США 2029'!C41+'США 2029'!F41+(0.08*LN(1+0.5*'Ход 2029'!C47)*MAX(0,1-('США 2029'!C41+'США 2029'!F41))))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2029'!B42+'США 2029'!D42+('США 2029'!C42+'США 2029'!F42+'США 2029'!G42)+(0.35*LN(1+0.6*'Ход 2029'!B48)*POWER(MAX(0,1-'США 2029'!I42/10),0.7))))</f>
        <v>9.8999999999999986</v>
      </c>
      <c r="C42" s="3">
        <f>MIN(1,'США 2029'!C42+'США 2029'!F42+(0.08*LN(1+0.5*'Ход 2029'!C48)*MAX(0,1-('США 2029'!C42+'США 2029'!F42))))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9.8999999999999986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2029'!B44+'США 2029'!D44+('США 2029'!C44+'США 2029'!F44+'США 2029'!G44)+(0.35*LN(1+0.6*'Ход 2029'!B50)*POWER(MAX(0,1-'США 2029'!I44/10),0.7))))</f>
        <v>8.3999999999999986</v>
      </c>
      <c r="C44" s="3">
        <f>MIN(1,'США 2029'!C44+'США 2029'!F44+(0.08*LN(1+0.5*'Ход 2029'!C50)*MAX(0,1-('США 2029'!C44+'США 2029'!F44))))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8.3999999999999986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2029'!B45+'США 2029'!D45+('США 2029'!C45+'США 2029'!F45+'США 2029'!G45)+(0.35*LN(1+0.6*'Ход 2029'!B51)*POWER(MAX(0,1-'США 2029'!I45/10),0.7))))</f>
        <v>8.2999999999999989</v>
      </c>
      <c r="C45" s="3">
        <f>MIN(1,'США 2029'!C45+'США 2029'!F45+(0.08*LN(1+0.5*'Ход 2029'!C51)*MAX(0,1-('США 2029'!C45+'США 2029'!F45))))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8.2999999999999989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2029'!B46+'США 2029'!D46+('США 2029'!C46+'США 2029'!F46+'США 2029'!G46)+(0.35*LN(1+0.6*'Ход 2029'!B52)*POWER(MAX(0,1-'США 2029'!I46/10),0.7))))</f>
        <v>8.8999999999999986</v>
      </c>
      <c r="C46" s="3">
        <f>MIN(1,'США 2029'!C46+'США 2029'!F46+(0.08*LN(1+0.5*'Ход 2029'!C52)*MAX(0,1-('США 2029'!C46+'США 2029'!F46))))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8.8999999999999986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2029'!B47+'США 2029'!D47+('США 2029'!C47+'США 2029'!F47+'США 2029'!G47)+(0.35*LN(1+0.6*'Ход 2029'!B53)*POWER(MAX(0,1-'США 2029'!I47/10),0.7))))</f>
        <v>6.6000000000000014</v>
      </c>
      <c r="C47" s="3">
        <f>MIN(1,'США 2029'!C47+'США 2029'!F47+(0.08*LN(1+0.5*'Ход 2029'!C53)*MAX(0,1-('США 2029'!C47+'США 2029'!F47))))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6.6000000000000014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2029'!B48+'США 2029'!D48+('США 2029'!C48+'США 2029'!F48+'США 2029'!G48)+(0.35*LN(1+0.6*'Ход 2029'!B54)*POWER(MAX(0,1-'США 2029'!I48/10),0.7))))</f>
        <v>5.6999999999999993</v>
      </c>
      <c r="C48" s="3">
        <f>MIN(1,'США 2029'!C48+'США 2029'!F48+(0.08*LN(1+0.5*'Ход 2029'!C54)*MAX(0,1-('США 2029'!C48+'США 2029'!F48))))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5.6999999999999993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2029'!B49+'США 2029'!D49+('США 2029'!C49+'США 2029'!F49+'США 2029'!G49)+(0.35*LN(1+0.6*'Ход 2029'!B55)*POWER(MAX(0,1-'США 2029'!I49/10),0.7))))</f>
        <v>9</v>
      </c>
      <c r="C49" s="3">
        <f>MIN(1,'США 2029'!C49+'США 2029'!F49+(0.08*LN(1+0.5*'Ход 2029'!C55)*MAX(0,1-('США 2029'!C49+'США 2029'!F49))))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2029'!B50+'США 2029'!D50+('США 2029'!C50+'США 2029'!F50+'США 2029'!G50)+(0.35*LN(1+0.6*'Ход 2029'!B56)*POWER(MAX(0,1-'США 2029'!I50/10),0.7))))</f>
        <v>9.7000000000000028</v>
      </c>
      <c r="C50" s="3">
        <f>MIN(1,'США 2029'!C50+'США 2029'!F50+(0.08*LN(1+0.5*'Ход 2029'!C56)*MAX(0,1-('США 2029'!C50+'США 2029'!F50))))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9.7000000000000028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2029'!B51+'США 2029'!D51+('США 2029'!C51+'США 2029'!F51+'США 2029'!G51)+(0.35*LN(1+0.6*'Ход 2029'!B57)*POWER(MAX(0,1-'США 2029'!I51/10),0.7))))</f>
        <v>8.2999999999999989</v>
      </c>
      <c r="C51" s="3">
        <f>MIN(1,'США 2029'!C51+'США 2029'!F51+(0.08*LN(1+0.5*'Ход 2029'!C57)*MAX(0,1-('США 2029'!C51+'США 2029'!F51))))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8.2999999999999989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2029'!B53+'США 2029'!D53+('США 2029'!C53+'США 2029'!F53+'США 2029'!G53)+(0.35*LN(1+0.6*'Ход 2029'!B59)*POWER(MAX(0,1-'США 2029'!I53/10),0.7))))</f>
        <v>8.7999999999999972</v>
      </c>
      <c r="C53" s="3">
        <f>MIN(1,'США 2029'!C53+'США 2029'!F53+(0.08*LN(1+0.5*'Ход 2029'!C59)*MAX(0,1-('США 2029'!C53+'США 2029'!F53))))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8.7999999999999972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2029'!B54+'США 2029'!D54+('США 2029'!C54+'США 2029'!F54+'США 2029'!G54)+(0.35*LN(1+0.6*'Ход 2029'!B60)*POWER(MAX(0,1-'США 2029'!I54/10),0.7))))</f>
        <v>9.3999999999999986</v>
      </c>
      <c r="C54" s="3">
        <f>MIN(1,'США 2029'!C54+'США 2029'!F54+(0.08*LN(1+0.5*'Ход 2029'!C60)*MAX(0,1-('США 2029'!C54+'США 2029'!F54))))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9.3999999999999986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2029'!B55+'США 2029'!D55+('США 2029'!C55+'США 2029'!F55+'США 2029'!G55)+(0.35*LN(1+0.6*'Ход 2029'!B61)*POWER(MAX(0,1-'США 2029'!I55/10),0.7))))</f>
        <v>7.6000000000000014</v>
      </c>
      <c r="C55" s="3">
        <f>MIN(1,'США 2029'!C55+'США 2029'!F55+(0.08*LN(1+0.5*'Ход 2029'!C61)*MAX(0,1-('США 2029'!C55+'США 2029'!F55))))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7.6000000000000014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386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2030'!U6</f>
        <v>97.084715298872027</v>
      </c>
      <c r="C6" s="3"/>
      <c r="D6" s="3"/>
      <c r="E6" s="3" t="s">
        <v>351</v>
      </c>
      <c r="F6" s="3">
        <f>'США 2030'!K6</f>
        <v>81.999449482859205</v>
      </c>
      <c r="G6" s="3"/>
      <c r="H6" s="3"/>
      <c r="I6" s="3" t="s">
        <v>351</v>
      </c>
      <c r="J6" s="3">
        <f>'США 2030'!N6</f>
        <v>74.116525005859202</v>
      </c>
      <c r="K6" s="3"/>
      <c r="L6" s="3"/>
      <c r="M6" s="3" t="s">
        <v>351</v>
      </c>
      <c r="N6" s="3">
        <f>'США 2030'!Q6</f>
        <v>82.68493084803012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97.084715298872027</v>
      </c>
      <c r="C8" s="3" t="str">
        <f>IF(B8&lt;0,"ПРЕВЫШЕНИЕ","OK")</f>
        <v>OK</v>
      </c>
      <c r="D8" s="3"/>
      <c r="E8" s="3" t="s">
        <v>353</v>
      </c>
      <c r="F8" s="3">
        <f>F6-F7</f>
        <v>81.999449482859205</v>
      </c>
      <c r="G8" s="3" t="str">
        <f>IF(F8&lt;0,"ПРЕВЫШЕНИЕ","OK")</f>
        <v>OK</v>
      </c>
      <c r="H8" s="3"/>
      <c r="I8" s="3" t="s">
        <v>353</v>
      </c>
      <c r="J8" s="3">
        <f>J6-J7</f>
        <v>74.116525005859202</v>
      </c>
      <c r="K8" s="3" t="str">
        <f>IF(J8&lt;0,"ПРЕВЫШЕНИЕ","OK")</f>
        <v>OK</v>
      </c>
      <c r="L8" s="3"/>
      <c r="M8" s="3" t="s">
        <v>353</v>
      </c>
      <c r="N8" s="3">
        <f>N6-N7</f>
        <v>82.68493084803012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2030'!V11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47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99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2030'!V13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0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2030'!V14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46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2030'!V15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61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2030'!V16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39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2030'!V17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81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2030'!V18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28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2030'!V19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62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2030'!V20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83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2030'!V21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30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2030'!V22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3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2030'!V23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45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2030'!V24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55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2030'!V25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30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17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IF(G29="","",VLOOKUP(G29,Технологии!$A$11:$BF$50,48,FALSE))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IF(G30="","",VLOOKUP(G30,Технологии!$A$11:$BF$50,48,FALSE))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IF(G31="","",VLOOKUP(G31,Технологии!$A$11:$BF$50,48,FALSE))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82.546662812354114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74.720550334630502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83.613794929265708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97.858701610434323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2030'!B8+'США 2030'!D8+('США 2030'!C8+'США 2030'!F8+'США 2030'!G8)+(0.35*LN(1+0.6*'Ход 2030'!B14)*POWER(MAX(0,1-'США 2030'!I8/10),0.7))))</f>
        <v>7.9999999999999982</v>
      </c>
      <c r="C8" s="3">
        <f>MIN(1,'США 2030'!C8+'США 2030'!F8+(0.08*LN(1+0.5*'Ход 2030'!C14)*MAX(0,1-('США 2030'!C8+'США 2030'!F8))))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7.9999999999999982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2030'!B9+'США 2030'!D9+('США 2030'!C9+'США 2030'!F9+'США 2030'!G9)+(0.35*LN(1+0.6*'Ход 2030'!B15)*POWER(MAX(0,1-'США 2030'!I9/10),0.7))))</f>
        <v>9.4999999999999964</v>
      </c>
      <c r="C9" s="3">
        <f>MIN(1,'США 2030'!C9+'США 2030'!F9+(0.08*LN(1+0.5*'Ход 2030'!C15)*MAX(0,1-('США 2030'!C9+'США 2030'!F9))))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9.4999999999999964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2030'!B10+'США 2030'!D10+('США 2030'!C10+'США 2030'!F10+'США 2030'!G10)+(0.35*LN(1+0.6*'Ход 2030'!B16)*POWER(MAX(0,1-'США 2030'!I10/10),0.7))))</f>
        <v>9.7500000000000018</v>
      </c>
      <c r="C10" s="3">
        <f>MIN(1,'США 2030'!C10+'США 2030'!F10+(0.08*LN(1+0.5*'Ход 2030'!C16)*MAX(0,1-('США 2030'!C10+'США 2030'!F10))))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9.7500000000000018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2030'!B11+'США 2030'!D11+('США 2030'!C11+'США 2030'!F11+'США 2030'!G11)+(0.35*LN(1+0.6*'Ход 2030'!B17)*POWER(MAX(0,1-'США 2030'!I11/10),0.7))))</f>
        <v>7.9999999999999982</v>
      </c>
      <c r="C11" s="3">
        <f>MIN(1,'США 2030'!C11+'США 2030'!F11+(0.08*LN(1+0.5*'Ход 2030'!C17)*MAX(0,1-('США 2030'!C11+'США 2030'!F11))))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7.9999999999999982</v>
      </c>
      <c r="J11" s="3"/>
      <c r="K11" s="3" t="s">
        <v>265</v>
      </c>
      <c r="L11" s="3">
        <f>MAX(1,MIN(10,'США 2030'!L11+'США 2030'!N11+('США 2030'!M11+'США 2030'!P11+'США 2030'!Q11)))</f>
        <v>9.0000000000000018</v>
      </c>
      <c r="M11" s="3">
        <f>MIN(1,'США 2030'!M11+'США 2030'!P11+(0.1*LN(1+0.5*'Ход 2030'!H13)*POWER(MAX(0,1-'США 2030'!S11/10),0.8)))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9.0000000000000018</v>
      </c>
      <c r="T11" s="3"/>
      <c r="U11" s="3" t="s">
        <v>266</v>
      </c>
      <c r="V11" s="7">
        <f>'США 2030'!V11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2030'!B12+'США 2030'!D12+('США 2030'!C12+'США 2030'!F12+'США 2030'!G12)+(0.35*LN(1+0.6*'Ход 2030'!B18)*POWER(MAX(0,1-'США 2030'!I12/10),0.7))))</f>
        <v>9.2500000000000036</v>
      </c>
      <c r="C12" s="3">
        <f>MIN(1,'США 2030'!C12+'США 2030'!F12+(0.08*LN(1+0.5*'Ход 2030'!C18)*MAX(0,1-('США 2030'!C12+'США 2030'!F12))))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9.2500000000000036</v>
      </c>
      <c r="J12" s="3"/>
      <c r="K12" s="3" t="s">
        <v>269</v>
      </c>
      <c r="L12" s="3">
        <f>MAX(1,MIN(10,'США 2030'!L12+'США 2030'!N12+('США 2030'!M12+'США 2030'!P12+'США 2030'!Q12)))</f>
        <v>9.7499999999999982</v>
      </c>
      <c r="M12" s="3">
        <f>MIN(1,'США 2030'!M12+'США 2030'!P12+(0.1*LN(1+0.5*'Ход 2030'!H14)*POWER(MAX(0,1-'США 2030'!S12/10),0.8)))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9.7499999999999982</v>
      </c>
      <c r="T12" s="3"/>
      <c r="U12" s="3" t="s">
        <v>270</v>
      </c>
      <c r="V12" s="7">
        <f>'США 2030'!V12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2030'!B13+'США 2030'!D13+('США 2030'!C13+'США 2030'!F13+'США 2030'!G13)+(0.35*LN(1+0.6*'Ход 2030'!B19)*POWER(MAX(0,1-'США 2030'!I13/10),0.7))))</f>
        <v>9.2499999999999982</v>
      </c>
      <c r="C13" s="3">
        <f>MIN(1,'США 2030'!C13+'США 2030'!F13+(0.08*LN(1+0.5*'Ход 2030'!C19)*MAX(0,1-('США 2030'!C13+'США 2030'!F13))))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9.2499999999999982</v>
      </c>
      <c r="J13" s="3"/>
      <c r="K13" s="3" t="s">
        <v>273</v>
      </c>
      <c r="L13" s="3">
        <f>MAX(1,MIN(10,'США 2030'!L13+'США 2030'!N13+('США 2030'!M13+'США 2030'!P13+'США 2030'!Q13)))</f>
        <v>10</v>
      </c>
      <c r="M13" s="3">
        <f>MIN(1,'США 2030'!M13+'США 2030'!P13+(0.1*LN(1+0.5*'Ход 2030'!H15)*POWER(MAX(0,1-'США 2030'!S13/10),0.8)))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2030'!V13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2030'!B14+'США 2030'!D14+('США 2030'!C14+'США 2030'!F14+'США 2030'!G14)+(0.35*LN(1+0.6*'Ход 2030'!B20)*POWER(MAX(0,1-'США 2030'!I14/10),0.7))))</f>
        <v>10</v>
      </c>
      <c r="C14" s="3">
        <f>MIN(1,'США 2030'!C14+'США 2030'!F14+(0.08*LN(1+0.5*'Ход 2030'!C20)*MAX(0,1-('США 2030'!C14+'США 2030'!F14))))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2030'!L14+'США 2030'!N14+('США 2030'!M14+'США 2030'!P14+'США 2030'!Q14)))</f>
        <v>9.0000000000000018</v>
      </c>
      <c r="M14" s="3">
        <f>MIN(1,'США 2030'!M14+'США 2030'!P14+(0.1*LN(1+0.5*'Ход 2030'!H16)*POWER(MAX(0,1-'США 2030'!S14/10),0.8)))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9.0000000000000018</v>
      </c>
      <c r="T14" s="3"/>
      <c r="U14" s="3" t="s">
        <v>278</v>
      </c>
      <c r="V14" s="7">
        <f>'США 2030'!V14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2030'!B15+'США 2030'!D15+('США 2030'!C15+'США 2030'!F15+'США 2030'!G15)+(0.35*LN(1+0.6*'Ход 2030'!B21)*POWER(MAX(0,1-'США 2030'!I15/10),0.7))))</f>
        <v>10</v>
      </c>
      <c r="C15" s="3">
        <f>MIN(1,'США 2030'!C15+'США 2030'!F15+(0.08*LN(1+0.5*'Ход 2030'!C21)*MAX(0,1-('США 2030'!C15+'США 2030'!F15))))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2030'!L15+'США 2030'!N15+('США 2030'!M15+'США 2030'!P15+'США 2030'!Q15)))</f>
        <v>9.9999999999999964</v>
      </c>
      <c r="M15" s="3">
        <f>MIN(1,'США 2030'!M15+'США 2030'!P15+(0.1*LN(1+0.5*'Ход 2030'!H17)*POWER(MAX(0,1-'США 2030'!S15/10),0.8)))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9.9999999999999964</v>
      </c>
      <c r="T15" s="3"/>
      <c r="U15" s="3" t="s">
        <v>282</v>
      </c>
      <c r="V15" s="7">
        <f>'США 2030'!V15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2030'!B16+'США 2030'!D16+('США 2030'!C16+'США 2030'!F16+'США 2030'!G16)+(0.35*LN(1+0.6*'Ход 2030'!B22)*POWER(MAX(0,1-'США 2030'!I16/10),0.7))))</f>
        <v>9.7500000000000018</v>
      </c>
      <c r="C16" s="3">
        <f>MIN(1,'США 2030'!C16+'США 2030'!F16+(0.08*LN(1+0.5*'Ход 2030'!C22)*MAX(0,1-('США 2030'!C16+'США 2030'!F16))))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9.7500000000000018</v>
      </c>
      <c r="J16" s="3"/>
      <c r="K16" s="3" t="s">
        <v>285</v>
      </c>
      <c r="L16" s="3">
        <f>MAX(1,MIN(10,'США 2030'!L16+'США 2030'!N16+('США 2030'!M16+'США 2030'!P16+'США 2030'!Q16)))</f>
        <v>10</v>
      </c>
      <c r="M16" s="3">
        <f>MIN(1,'США 2030'!M16+'США 2030'!P16+(0.1*LN(1+0.5*'Ход 2030'!H18)*POWER(MAX(0,1-'США 2030'!S16/10),0.8)))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2030'!V16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2030'!B17+'США 2030'!D17+('США 2030'!C17+'США 2030'!F17+'США 2030'!G17)+(0.35*LN(1+0.6*'Ход 2030'!B23)*POWER(MAX(0,1-'США 2030'!I17/10),0.7))))</f>
        <v>9.4999999999999982</v>
      </c>
      <c r="C17" s="3">
        <f>MIN(1,'США 2030'!C17+'США 2030'!F17+(0.08*LN(1+0.5*'Ход 2030'!C23)*MAX(0,1-('США 2030'!C17+'США 2030'!F17))))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9.4999999999999982</v>
      </c>
      <c r="J17" s="3"/>
      <c r="K17" s="3" t="s">
        <v>289</v>
      </c>
      <c r="L17" s="3">
        <f>MAX(1,MIN(10,'США 2030'!L17+'США 2030'!N17+('США 2030'!M17+'США 2030'!P17+'США 2030'!Q17)))</f>
        <v>8.5</v>
      </c>
      <c r="M17" s="3">
        <f>MIN(1,'США 2030'!M17+'США 2030'!P17+(0.1*LN(1+0.5*'Ход 2030'!H19)*POWER(MAX(0,1-'США 2030'!S17/10),0.8)))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8.5</v>
      </c>
      <c r="T17" s="3"/>
      <c r="U17" s="3" t="s">
        <v>290</v>
      </c>
      <c r="V17" s="7">
        <f>'США 2030'!V17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2030'!L18+'США 2030'!N18+('США 2030'!M18+'США 2030'!P18+'США 2030'!Q18)))</f>
        <v>8.5</v>
      </c>
      <c r="M18" s="3">
        <f>MIN(1,'США 2030'!M18+'США 2030'!P18+(0.1*LN(1+0.5*'Ход 2030'!H20)*POWER(MAX(0,1-'США 2030'!S18/10),0.8)))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8.5</v>
      </c>
      <c r="T18" s="3"/>
      <c r="U18" s="3" t="s">
        <v>294</v>
      </c>
      <c r="V18" s="7">
        <f>'США 2030'!V18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2030'!B19+'США 2030'!D19+('США 2030'!C19+'США 2030'!F19+'США 2030'!G19)+(0.35*LN(1+0.6*'Ход 2030'!B25)*POWER(MAX(0,1-'США 2030'!I19/10),0.7))))</f>
        <v>9.4999999999999982</v>
      </c>
      <c r="C19" s="3">
        <f>MIN(1,'США 2030'!C19+'США 2030'!F19+(0.08*LN(1+0.5*'Ход 2030'!C25)*MAX(0,1-('США 2030'!C19+'США 2030'!F19))))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9.4999999999999982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2030'!V19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2030'!B20+'США 2030'!D20+('США 2030'!C20+'США 2030'!F20+'США 2030'!G20)+(0.35*LN(1+0.6*'Ход 2030'!B26)*POWER(MAX(0,1-'США 2030'!I20/10),0.7))))</f>
        <v>9.4999999999999982</v>
      </c>
      <c r="C20" s="3">
        <f>MIN(1,'США 2030'!C20+'США 2030'!F20+(0.08*LN(1+0.5*'Ход 2030'!C26)*MAX(0,1-('США 2030'!C20+'США 2030'!F20))))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9.4999999999999982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2030'!V20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2030'!B21+'США 2030'!D21+('США 2030'!C21+'США 2030'!F21+'США 2030'!G21)+(0.35*LN(1+0.6*'Ход 2030'!B27)*POWER(MAX(0,1-'США 2030'!I21/10),0.7))))</f>
        <v>8.7500000000000018</v>
      </c>
      <c r="C21" s="3">
        <f>MIN(1,'США 2030'!C21+'США 2030'!F21+(0.08*LN(1+0.5*'Ход 2030'!C27)*MAX(0,1-('США 2030'!C21+'США 2030'!F21))))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8.7500000000000018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2030'!V21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2030'!B22+'США 2030'!D22+('США 2030'!C22+'США 2030'!F22+'США 2030'!G22)+(0.35*LN(1+0.6*'Ход 2030'!B28)*POWER(MAX(0,1-'США 2030'!I22/10),0.7))))</f>
        <v>9.4999999999999982</v>
      </c>
      <c r="C22" s="3">
        <f>MIN(1,'США 2030'!C22+'США 2030'!F22+(0.08*LN(1+0.5*'Ход 2030'!C28)*MAX(0,1-('США 2030'!C22+'США 2030'!F22))))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9.4999999999999982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2030'!V22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2030'!B23+'США 2030'!D23+('США 2030'!C23+'США 2030'!F23+'США 2030'!G23)+(0.35*LN(1+0.6*'Ход 2030'!B29)*POWER(MAX(0,1-'США 2030'!I23/10),0.7))))</f>
        <v>9.4999999999999982</v>
      </c>
      <c r="C23" s="3">
        <f>MIN(1,'США 2030'!C23+'США 2030'!F23+(0.08*LN(1+0.5*'Ход 2030'!C29)*MAX(0,1-('США 2030'!C23+'США 2030'!F23))))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9.4999999999999982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2030'!V23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2030'!V24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2030'!B25+'США 2030'!D25+('США 2030'!C25+'США 2030'!F25+'США 2030'!G25)+(0.35*LN(1+0.6*'Ход 2030'!B31)*POWER(MAX(0,1-'США 2030'!I25/10),0.7))))</f>
        <v>10</v>
      </c>
      <c r="C25" s="3">
        <f>MIN(1,'США 2030'!C25+'США 2030'!F25+(0.08*LN(1+0.5*'Ход 2030'!C31)*MAX(0,1-('США 2030'!C25+'США 2030'!F25))))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2030'!V25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2030'!B26+'США 2030'!D26+('США 2030'!C26+'США 2030'!F26+'США 2030'!G26)+(0.35*LN(1+0.6*'Ход 2030'!B32)*POWER(MAX(0,1-'США 2030'!I26/10),0.7))))</f>
        <v>9.9999999999999964</v>
      </c>
      <c r="C26" s="3">
        <f>MIN(1,'США 2030'!C26+'США 2030'!F26+(0.08*LN(1+0.5*'Ход 2030'!C32)*MAX(0,1-('США 2030'!C26+'США 2030'!F26))))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9.9999999999999964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2030'!V26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2030'!B27+'США 2030'!D27+('США 2030'!C27+'США 2030'!F27+'США 2030'!G27)+(0.35*LN(1+0.6*'Ход 2030'!B33)*POWER(MAX(0,1-'США 2030'!I27/10),0.7))))</f>
        <v>10</v>
      </c>
      <c r="C27" s="3">
        <f>MIN(1,'США 2030'!C27+'США 2030'!F27+(0.08*LN(1+0.5*'Ход 2030'!C33)*MAX(0,1-('США 2030'!C27+'США 2030'!F27))))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2030'!B28+'США 2030'!D28+('США 2030'!C28+'США 2030'!F28+'США 2030'!G28)+(0.35*LN(1+0.6*'Ход 2030'!B34)*POWER(MAX(0,1-'США 2030'!I28/10),0.7))))</f>
        <v>9.7500000000000018</v>
      </c>
      <c r="C28" s="3">
        <f>MIN(1,'США 2030'!C28+'США 2030'!F28+(0.08*LN(1+0.5*'Ход 2030'!C34)*MAX(0,1-('США 2030'!C28+'США 2030'!F28))))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9.7500000000000018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2030'!B29+'США 2030'!D29+('США 2030'!C29+'США 2030'!F29+'США 2030'!G29)+(0.35*LN(1+0.6*'Ход 2030'!B35)*POWER(MAX(0,1-'США 2030'!I29/10),0.7))))</f>
        <v>10</v>
      </c>
      <c r="C29" s="3">
        <f>MIN(1,'США 2030'!C29+'США 2030'!F29+(0.08*LN(1+0.5*'Ход 2030'!C35)*MAX(0,1-('США 2030'!C29+'США 2030'!F29))))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2030'!B30+'США 2030'!D30+('США 2030'!C30+'США 2030'!F30+'США 2030'!G30)+(0.35*LN(1+0.6*'Ход 2030'!B36)*POWER(MAX(0,1-'США 2030'!I30/10),0.7))))</f>
        <v>9.7500000000000018</v>
      </c>
      <c r="C30" s="3">
        <f>MIN(1,'США 2030'!C30+'США 2030'!F30+(0.08*LN(1+0.5*'Ход 2030'!C36)*MAX(0,1-('США 2030'!C30+'США 2030'!F30))))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9.7500000000000018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2030'!B31+'США 2030'!D31+('США 2030'!C31+'США 2030'!F31+'США 2030'!G31)+(0.35*LN(1+0.6*'Ход 2030'!B37)*POWER(MAX(0,1-'США 2030'!I31/10),0.7))))</f>
        <v>8.4999999999999982</v>
      </c>
      <c r="C31" s="3">
        <f>MIN(1,'США 2030'!C31+'США 2030'!F31+(0.08*LN(1+0.5*'Ход 2030'!C37)*MAX(0,1-('США 2030'!C31+'США 2030'!F31))))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8.4999999999999982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2030'!B32+'США 2030'!D32+('США 2030'!C32+'США 2030'!F32+'США 2030'!G32)+(0.35*LN(1+0.6*'Ход 2030'!B38)*POWER(MAX(0,1-'США 2030'!I32/10),0.7))))</f>
        <v>8.9999999999999982</v>
      </c>
      <c r="C32" s="3">
        <f>MIN(1,'США 2030'!C32+'США 2030'!F32+(0.08*LN(1+0.5*'Ход 2030'!C38)*MAX(0,1-('США 2030'!C32+'США 2030'!F32))))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8.9999999999999982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2030'!B34+'США 2030'!D34+('США 2030'!C34+'США 2030'!F34+'США 2030'!G34)+(0.35*LN(1+0.6*'Ход 2030'!B40)*POWER(MAX(0,1-'США 2030'!I34/10),0.7))))</f>
        <v>8.4999999999999982</v>
      </c>
      <c r="C34" s="3">
        <f>MIN(1,'США 2030'!C34+'США 2030'!F34+(0.08*LN(1+0.5*'Ход 2030'!C40)*MAX(0,1-('США 2030'!C34+'США 2030'!F34))))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8.4999999999999982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2030'!B35+'США 2030'!D35+('США 2030'!C35+'США 2030'!F35+'США 2030'!G35)+(0.35*LN(1+0.6*'Ход 2030'!B41)*POWER(MAX(0,1-'США 2030'!I35/10),0.7))))</f>
        <v>9.7500000000000036</v>
      </c>
      <c r="C35" s="3">
        <f>MIN(1,'США 2030'!C35+'США 2030'!F35+(0.08*LN(1+0.5*'Ход 2030'!C41)*MAX(0,1-('США 2030'!C35+'США 2030'!F35))))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9.7500000000000036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2030'!B36+'США 2030'!D36+('США 2030'!C36+'США 2030'!F36+'США 2030'!G36)+(0.35*LN(1+0.6*'Ход 2030'!B42)*POWER(MAX(0,1-'США 2030'!I36/10),0.7))))</f>
        <v>9.7500000000000018</v>
      </c>
      <c r="C36" s="3">
        <f>MIN(1,'США 2030'!C36+'США 2030'!F36+(0.08*LN(1+0.5*'Ход 2030'!C42)*MAX(0,1-('США 2030'!C36+'США 2030'!F36))))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9.7500000000000018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2030'!B37+'США 2030'!D37+('США 2030'!C37+'США 2030'!F37+'США 2030'!G37)+(0.35*LN(1+0.6*'Ход 2030'!B43)*POWER(MAX(0,1-'США 2030'!I37/10),0.7))))</f>
        <v>9.9999999999999964</v>
      </c>
      <c r="C37" s="3">
        <f>MIN(1,'США 2030'!C37+'США 2030'!F37+(0.08*LN(1+0.5*'Ход 2030'!C43)*MAX(0,1-('США 2030'!C37+'США 2030'!F37))))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9.9999999999999964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2030'!B38+'США 2030'!D38+('США 2030'!C38+'США 2030'!F38+'США 2030'!G38)+(0.35*LN(1+0.6*'Ход 2030'!B44)*POWER(MAX(0,1-'США 2030'!I38/10),0.7))))</f>
        <v>9.4999999999999964</v>
      </c>
      <c r="C38" s="3">
        <f>MIN(1,'США 2030'!C38+'США 2030'!F38+(0.08*LN(1+0.5*'Ход 2030'!C44)*MAX(0,1-('США 2030'!C38+'США 2030'!F38))))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9.4999999999999964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2030'!B39+'США 2030'!D39+('США 2030'!C39+'США 2030'!F39+'США 2030'!G39)+(0.35*LN(1+0.6*'Ход 2030'!B45)*POWER(MAX(0,1-'США 2030'!I39/10),0.7))))</f>
        <v>9.2500000000000018</v>
      </c>
      <c r="C39" s="3">
        <f>MIN(1,'США 2030'!C39+'США 2030'!F39+(0.08*LN(1+0.5*'Ход 2030'!C45)*MAX(0,1-('США 2030'!C39+'США 2030'!F39))))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9.2500000000000018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2030'!B40+'США 2030'!D40+('США 2030'!C40+'США 2030'!F40+'США 2030'!G40)+(0.35*LN(1+0.6*'Ход 2030'!B46)*POWER(MAX(0,1-'США 2030'!I40/10),0.7))))</f>
        <v>9.2500000000000036</v>
      </c>
      <c r="C40" s="3">
        <f>MIN(1,'США 2030'!C40+'США 2030'!F40+(0.08*LN(1+0.5*'Ход 2030'!C46)*MAX(0,1-('США 2030'!C40+'США 2030'!F40))))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9.2500000000000036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2030'!B41+'США 2030'!D41+('США 2030'!C41+'США 2030'!F41+'США 2030'!G41)+(0.35*LN(1+0.6*'Ход 2030'!B47)*POWER(MAX(0,1-'США 2030'!I41/10),0.7))))</f>
        <v>10</v>
      </c>
      <c r="C41" s="3">
        <f>MIN(1,'США 2030'!C41+'США 2030'!F41+(0.08*LN(1+0.5*'Ход 2030'!C47)*MAX(0,1-('США 2030'!C41+'США 2030'!F41))))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2030'!B42+'США 2030'!D42+('США 2030'!C42+'США 2030'!F42+'США 2030'!G42)+(0.35*LN(1+0.6*'Ход 2030'!B48)*POWER(MAX(0,1-'США 2030'!I42/10),0.7))))</f>
        <v>9.9999999999999982</v>
      </c>
      <c r="C42" s="3">
        <f>MIN(1,'США 2030'!C42+'США 2030'!F42+(0.08*LN(1+0.5*'Ход 2030'!C48)*MAX(0,1-('США 2030'!C42+'США 2030'!F42))))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9.9999999999999982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2030'!B44+'США 2030'!D44+('США 2030'!C44+'США 2030'!F44+'США 2030'!G44)+(0.35*LN(1+0.6*'Ход 2030'!B50)*POWER(MAX(0,1-'США 2030'!I44/10),0.7))))</f>
        <v>8.4999999999999982</v>
      </c>
      <c r="C44" s="3">
        <f>MIN(1,'США 2030'!C44+'США 2030'!F44+(0.08*LN(1+0.5*'Ход 2030'!C50)*MAX(0,1-('США 2030'!C44+'США 2030'!F44))))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8.4999999999999982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2030'!B45+'США 2030'!D45+('США 2030'!C45+'США 2030'!F45+'США 2030'!G45)+(0.35*LN(1+0.6*'Ход 2030'!B51)*POWER(MAX(0,1-'США 2030'!I45/10),0.7))))</f>
        <v>8.4999999999999982</v>
      </c>
      <c r="C45" s="3">
        <f>MIN(1,'США 2030'!C45+'США 2030'!F45+(0.08*LN(1+0.5*'Ход 2030'!C51)*MAX(0,1-('США 2030'!C45+'США 2030'!F45))))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8.4999999999999982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2030'!B46+'США 2030'!D46+('США 2030'!C46+'США 2030'!F46+'США 2030'!G46)+(0.35*LN(1+0.6*'Ход 2030'!B52)*POWER(MAX(0,1-'США 2030'!I46/10),0.7))))</f>
        <v>8.9999999999999982</v>
      </c>
      <c r="C46" s="3">
        <f>MIN(1,'США 2030'!C46+'США 2030'!F46+(0.08*LN(1+0.5*'Ход 2030'!C52)*MAX(0,1-('США 2030'!C46+'США 2030'!F46))))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8.9999999999999982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2030'!B47+'США 2030'!D47+('США 2030'!C47+'США 2030'!F47+'США 2030'!G47)+(0.35*LN(1+0.6*'Ход 2030'!B53)*POWER(MAX(0,1-'США 2030'!I47/10),0.7))))</f>
        <v>6.5000000000000018</v>
      </c>
      <c r="C47" s="3">
        <f>MIN(1,'США 2030'!C47+'США 2030'!F47+(0.08*LN(1+0.5*'Ход 2030'!C53)*MAX(0,1-('США 2030'!C47+'США 2030'!F47))))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6.5000000000000018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2030'!B48+'США 2030'!D48+('США 2030'!C48+'США 2030'!F48+'США 2030'!G48)+(0.35*LN(1+0.6*'Ход 2030'!B54)*POWER(MAX(0,1-'США 2030'!I48/10),0.7))))</f>
        <v>5.7499999999999991</v>
      </c>
      <c r="C48" s="3">
        <f>MIN(1,'США 2030'!C48+'США 2030'!F48+(0.08*LN(1+0.5*'Ход 2030'!C54)*MAX(0,1-('США 2030'!C48+'США 2030'!F48))))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5.7499999999999991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2030'!B49+'США 2030'!D49+('США 2030'!C49+'США 2030'!F49+'США 2030'!G49)+(0.35*LN(1+0.6*'Ход 2030'!B55)*POWER(MAX(0,1-'США 2030'!I49/10),0.7))))</f>
        <v>9.25</v>
      </c>
      <c r="C49" s="3">
        <f>MIN(1,'США 2030'!C49+'США 2030'!F49+(0.08*LN(1+0.5*'Ход 2030'!C55)*MAX(0,1-('США 2030'!C49+'США 2030'!F49))))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9.25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2030'!B50+'США 2030'!D50+('США 2030'!C50+'США 2030'!F50+'США 2030'!G50)+(0.35*LN(1+0.6*'Ход 2030'!B56)*POWER(MAX(0,1-'США 2030'!I50/10),0.7))))</f>
        <v>9.7500000000000036</v>
      </c>
      <c r="C50" s="3">
        <f>MIN(1,'США 2030'!C50+'США 2030'!F50+(0.08*LN(1+0.5*'Ход 2030'!C56)*MAX(0,1-('США 2030'!C50+'США 2030'!F50))))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9.7500000000000036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2030'!B51+'США 2030'!D51+('США 2030'!C51+'США 2030'!F51+'США 2030'!G51)+(0.35*LN(1+0.6*'Ход 2030'!B57)*POWER(MAX(0,1-'США 2030'!I51/10),0.7))))</f>
        <v>8.4999999999999982</v>
      </c>
      <c r="C51" s="3">
        <f>MIN(1,'США 2030'!C51+'США 2030'!F51+(0.08*LN(1+0.5*'Ход 2030'!C57)*MAX(0,1-('США 2030'!C51+'США 2030'!F51))))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8.4999999999999982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2030'!B53+'США 2030'!D53+('США 2030'!C53+'США 2030'!F53+'США 2030'!G53)+(0.35*LN(1+0.6*'Ход 2030'!B59)*POWER(MAX(0,1-'США 2030'!I53/10),0.7))))</f>
        <v>8.9999999999999964</v>
      </c>
      <c r="C53" s="3">
        <f>MIN(1,'США 2030'!C53+'США 2030'!F53+(0.08*LN(1+0.5*'Ход 2030'!C59)*MAX(0,1-('США 2030'!C53+'США 2030'!F53))))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8.9999999999999964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2030'!B54+'США 2030'!D54+('США 2030'!C54+'США 2030'!F54+'США 2030'!G54)+(0.35*LN(1+0.6*'Ход 2030'!B60)*POWER(MAX(0,1-'США 2030'!I54/10),0.7))))</f>
        <v>9.4999999999999982</v>
      </c>
      <c r="C54" s="3">
        <f>MIN(1,'США 2030'!C54+'США 2030'!F54+(0.08*LN(1+0.5*'Ход 2030'!C60)*MAX(0,1-('США 2030'!C54+'США 2030'!F54))))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9.4999999999999982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2030'!B55+'США 2030'!D55+('США 2030'!C55+'США 2030'!F55+'США 2030'!G55)+(0.35*LN(1+0.6*'Ход 2030'!B61)*POWER(MAX(0,1-'США 2030'!I55/10),0.7))))</f>
        <v>7.7500000000000018</v>
      </c>
      <c r="C55" s="3">
        <f>MIN(1,'США 2030'!C55+'США 2030'!F55+(0.08*LN(1+0.5*'Ход 2030'!C61)*MAX(0,1-('США 2030'!C55+'США 2030'!F55))))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7.7500000000000018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2031'!U6</f>
        <v>97.858701610434323</v>
      </c>
      <c r="C6" s="3"/>
      <c r="D6" s="3"/>
      <c r="E6" s="3" t="s">
        <v>351</v>
      </c>
      <c r="F6" s="3">
        <f>'США 2031'!K6</f>
        <v>82.546662812354114</v>
      </c>
      <c r="G6" s="3"/>
      <c r="H6" s="3"/>
      <c r="I6" s="3" t="s">
        <v>351</v>
      </c>
      <c r="J6" s="3">
        <f>'США 2031'!N6</f>
        <v>74.720550334630502</v>
      </c>
      <c r="K6" s="3"/>
      <c r="L6" s="3"/>
      <c r="M6" s="3" t="s">
        <v>351</v>
      </c>
      <c r="N6" s="3">
        <f>'США 2031'!Q6</f>
        <v>83.613794929265708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97.858701610434323</v>
      </c>
      <c r="C8" s="3" t="str">
        <f>IF(B8&lt;0,"ПРЕВЫШЕНИЕ","OK")</f>
        <v>OK</v>
      </c>
      <c r="D8" s="3"/>
      <c r="E8" s="3" t="s">
        <v>353</v>
      </c>
      <c r="F8" s="3">
        <f>F6-F7</f>
        <v>82.546662812354114</v>
      </c>
      <c r="G8" s="3" t="str">
        <f>IF(F8&lt;0,"ПРЕВЫШЕНИЕ","OK")</f>
        <v>OK</v>
      </c>
      <c r="H8" s="3"/>
      <c r="I8" s="3" t="s">
        <v>353</v>
      </c>
      <c r="J8" s="3">
        <f>J6-J7</f>
        <v>74.720550334630502</v>
      </c>
      <c r="K8" s="3" t="str">
        <f>IF(J8&lt;0,"ПРЕВЫШЕНИЕ","OK")</f>
        <v>OK</v>
      </c>
      <c r="L8" s="3"/>
      <c r="M8" s="3" t="s">
        <v>353</v>
      </c>
      <c r="N8" s="3">
        <f>N6-N7</f>
        <v>83.613794929265708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2031'!V11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68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2031'!V12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37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2031'!V13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18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2031'!V14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19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2031'!V15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71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2031'!V16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15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2031'!V17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1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2031'!V18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95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2031'!V19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93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2031'!V20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41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2031'!V21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53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2031'!V22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19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2031'!V23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12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2031'!V24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8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2031'!V25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42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2031'!V26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54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IF(G29="","",VLOOKUP(G29,Технологии!$A$11:$BF$50,49,FALSE))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IF(G30="","",VLOOKUP(G30,Технологии!$A$11:$BF$50,49,FALSE))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IF(G31="","",VLOOKUP(G31,Технологии!$A$11:$BF$50,49,FALSE))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IF(G32="","",VLOOKUP(G32,Технологии!$A$11:$BF$50,49,FALSE))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IF(G33="","",VLOOKUP(G33,Технологии!$A$11:$BF$50,49,FALSE))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IF(G34="","",VLOOKUP(G34,Технологии!$A$11:$BF$50,49,FALSE))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IF(G35="","",VLOOKUP(G35,Технологии!$A$11:$BF$50,49,FALSE))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IF(G36="","",VLOOKUP(G36,Технологии!$A$11:$BF$50,49,FALSE))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IF(G37="","",VLOOKUP(G37,Технологии!$A$11:$BF$50,49,FALSE))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IF(G38="","",VLOOKUP(G38,Технологии!$A$11:$BF$50,49,FALSE))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83.026831001467386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75.252279422938784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84.223243179721038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98.52605359112367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2031'!B8+'США 2031'!D8+('США 2031'!C8+'США 2031'!F8+'США 2031'!G8)+(0.35*LN(1+0.6*'Ход 2031'!B14)*POWER(MAX(0,1-'США 2031'!I8/10),0.7))))</f>
        <v>8.0999999999999979</v>
      </c>
      <c r="C8" s="3">
        <f>MIN(1,'США 2031'!C8+'США 2031'!F8+(0.08*LN(1+0.5*'Ход 2031'!C14)*MAX(0,1-('США 2031'!C8+'США 2031'!F8))))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8.0999999999999979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2031'!B9+'США 2031'!D9+('США 2031'!C9+'США 2031'!F9+'США 2031'!G9)+(0.35*LN(1+0.6*'Ход 2031'!B15)*POWER(MAX(0,1-'США 2031'!I9/10),0.7))))</f>
        <v>9.6999999999999957</v>
      </c>
      <c r="C9" s="3">
        <f>MIN(1,'США 2031'!C9+'США 2031'!F9+(0.08*LN(1+0.5*'Ход 2031'!C15)*MAX(0,1-('США 2031'!C9+'США 2031'!F9))))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9.6999999999999957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2031'!B10+'США 2031'!D10+('США 2031'!C10+'США 2031'!F10+'США 2031'!G10)+(0.35*LN(1+0.6*'Ход 2031'!B16)*POWER(MAX(0,1-'США 2031'!I10/10),0.7))))</f>
        <v>9.9000000000000021</v>
      </c>
      <c r="C10" s="3">
        <f>MIN(1,'США 2031'!C10+'США 2031'!F10+(0.08*LN(1+0.5*'Ход 2031'!C16)*MAX(0,1-('США 2031'!C10+'США 2031'!F10))))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9.9000000000000021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2031'!B11+'США 2031'!D11+('США 2031'!C11+'США 2031'!F11+'США 2031'!G11)+(0.35*LN(1+0.6*'Ход 2031'!B17)*POWER(MAX(0,1-'США 2031'!I11/10),0.7))))</f>
        <v>8.0999999999999979</v>
      </c>
      <c r="C11" s="3">
        <f>MIN(1,'США 2031'!C11+'США 2031'!F11+(0.08*LN(1+0.5*'Ход 2031'!C17)*MAX(0,1-('США 2031'!C11+'США 2031'!F11))))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8.0999999999999979</v>
      </c>
      <c r="J11" s="3"/>
      <c r="K11" s="3" t="s">
        <v>265</v>
      </c>
      <c r="L11" s="3">
        <f>MAX(1,MIN(10,'США 2031'!L11+'США 2031'!N11+('США 2031'!M11+'США 2031'!P11+'США 2031'!Q11)))</f>
        <v>9.4000000000000021</v>
      </c>
      <c r="M11" s="3">
        <f>MIN(1,'США 2031'!M11+'США 2031'!P11+(0.1*LN(1+0.5*'Ход 2031'!H13)*POWER(MAX(0,1-'США 2031'!S11/10),0.8)))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9.4000000000000021</v>
      </c>
      <c r="T11" s="3"/>
      <c r="U11" s="3" t="s">
        <v>266</v>
      </c>
      <c r="V11" s="7">
        <f>'США 2031'!V11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2031'!B12+'США 2031'!D12+('США 2031'!C12+'США 2031'!F12+'США 2031'!G12)+(0.35*LN(1+0.6*'Ход 2031'!B18)*POWER(MAX(0,1-'США 2031'!I12/10),0.7))))</f>
        <v>9.3000000000000043</v>
      </c>
      <c r="C12" s="3">
        <f>MIN(1,'США 2031'!C12+'США 2031'!F12+(0.08*LN(1+0.5*'Ход 2031'!C18)*MAX(0,1-('США 2031'!C12+'США 2031'!F12))))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9.3000000000000043</v>
      </c>
      <c r="J12" s="3"/>
      <c r="K12" s="3" t="s">
        <v>269</v>
      </c>
      <c r="L12" s="3">
        <f>MAX(1,MIN(10,'США 2031'!L12+'США 2031'!N12+('США 2031'!M12+'США 2031'!P12+'США 2031'!Q12)))</f>
        <v>10</v>
      </c>
      <c r="M12" s="3">
        <f>MIN(1,'США 2031'!M12+'США 2031'!P12+(0.1*LN(1+0.5*'Ход 2031'!H14)*POWER(MAX(0,1-'США 2031'!S12/10),0.8)))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2031'!V12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2031'!B13+'США 2031'!D13+('США 2031'!C13+'США 2031'!F13+'США 2031'!G13)+(0.35*LN(1+0.6*'Ход 2031'!B19)*POWER(MAX(0,1-'США 2031'!I13/10),0.7))))</f>
        <v>9.6999999999999975</v>
      </c>
      <c r="C13" s="3">
        <f>MIN(1,'США 2031'!C13+'США 2031'!F13+(0.08*LN(1+0.5*'Ход 2031'!C19)*MAX(0,1-('США 2031'!C13+'США 2031'!F13))))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9.6999999999999975</v>
      </c>
      <c r="J13" s="3"/>
      <c r="K13" s="3" t="s">
        <v>273</v>
      </c>
      <c r="L13" s="3">
        <f>MAX(1,MIN(10,'США 2031'!L13+'США 2031'!N13+('США 2031'!M13+'США 2031'!P13+'США 2031'!Q13)))</f>
        <v>10</v>
      </c>
      <c r="M13" s="3">
        <f>MIN(1,'США 2031'!M13+'США 2031'!P13+(0.1*LN(1+0.5*'Ход 2031'!H15)*POWER(MAX(0,1-'США 2031'!S13/10),0.8)))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2031'!V13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2031'!B14+'США 2031'!D14+('США 2031'!C14+'США 2031'!F14+'США 2031'!G14)+(0.35*LN(1+0.6*'Ход 2031'!B20)*POWER(MAX(0,1-'США 2031'!I14/10),0.7))))</f>
        <v>10</v>
      </c>
      <c r="C14" s="3">
        <f>MIN(1,'США 2031'!C14+'США 2031'!F14+(0.08*LN(1+0.5*'Ход 2031'!C20)*MAX(0,1-('США 2031'!C14+'США 2031'!F14))))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2031'!L14+'США 2031'!N14+('США 2031'!M14+'США 2031'!P14+'США 2031'!Q14)))</f>
        <v>9.3000000000000025</v>
      </c>
      <c r="M14" s="3">
        <f>MIN(1,'США 2031'!M14+'США 2031'!P14+(0.1*LN(1+0.5*'Ход 2031'!H16)*POWER(MAX(0,1-'США 2031'!S14/10),0.8)))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9.3000000000000025</v>
      </c>
      <c r="T14" s="3"/>
      <c r="U14" s="3" t="s">
        <v>278</v>
      </c>
      <c r="V14" s="7">
        <f>'США 2031'!V14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2031'!B15+'США 2031'!D15+('США 2031'!C15+'США 2031'!F15+'США 2031'!G15)+(0.35*LN(1+0.6*'Ход 2031'!B21)*POWER(MAX(0,1-'США 2031'!I15/10),0.7))))</f>
        <v>10</v>
      </c>
      <c r="C15" s="3">
        <f>MIN(1,'США 2031'!C15+'США 2031'!F15+(0.08*LN(1+0.5*'Ход 2031'!C21)*MAX(0,1-('США 2031'!C15+'США 2031'!F15))))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2031'!L15+'США 2031'!N15+('США 2031'!M15+'США 2031'!P15+'США 2031'!Q15)))</f>
        <v>10</v>
      </c>
      <c r="M15" s="3">
        <f>MIN(1,'США 2031'!M15+'США 2031'!P15+(0.1*LN(1+0.5*'Ход 2031'!H17)*POWER(MAX(0,1-'США 2031'!S15/10),0.8)))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2031'!V15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2031'!B16+'США 2031'!D16+('США 2031'!C16+'США 2031'!F16+'США 2031'!G16)+(0.35*LN(1+0.6*'Ход 2031'!B22)*POWER(MAX(0,1-'США 2031'!I16/10),0.7))))</f>
        <v>9.9000000000000021</v>
      </c>
      <c r="C16" s="3">
        <f>MIN(1,'США 2031'!C16+'США 2031'!F16+(0.08*LN(1+0.5*'Ход 2031'!C22)*MAX(0,1-('США 2031'!C16+'США 2031'!F16))))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9.9000000000000021</v>
      </c>
      <c r="J16" s="3"/>
      <c r="K16" s="3" t="s">
        <v>285</v>
      </c>
      <c r="L16" s="3">
        <f>MAX(1,MIN(10,'США 2031'!L16+'США 2031'!N16+('США 2031'!M16+'США 2031'!P16+'США 2031'!Q16)))</f>
        <v>10</v>
      </c>
      <c r="M16" s="3">
        <f>MIN(1,'США 2031'!M16+'США 2031'!P16+(0.1*LN(1+0.5*'Ход 2031'!H18)*POWER(MAX(0,1-'США 2031'!S16/10),0.8)))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2031'!V16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2031'!B17+'США 2031'!D17+('США 2031'!C17+'США 2031'!F17+'США 2031'!G17)+(0.35*LN(1+0.6*'Ход 2031'!B23)*POWER(MAX(0,1-'США 2031'!I17/10),0.7))))</f>
        <v>9.5999999999999979</v>
      </c>
      <c r="C17" s="3">
        <f>MIN(1,'США 2031'!C17+'США 2031'!F17+(0.08*LN(1+0.5*'Ход 2031'!C23)*MAX(0,1-('США 2031'!C17+'США 2031'!F17))))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9.5999999999999979</v>
      </c>
      <c r="J17" s="3"/>
      <c r="K17" s="3" t="s">
        <v>289</v>
      </c>
      <c r="L17" s="3">
        <f>MAX(1,MIN(10,'США 2031'!L17+'США 2031'!N17+('США 2031'!M17+'США 2031'!P17+'США 2031'!Q17)))</f>
        <v>8.8000000000000007</v>
      </c>
      <c r="M17" s="3">
        <f>MIN(1,'США 2031'!M17+'США 2031'!P17+(0.1*LN(1+0.5*'Ход 2031'!H19)*POWER(MAX(0,1-'США 2031'!S17/10),0.8)))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8.8000000000000007</v>
      </c>
      <c r="T17" s="3"/>
      <c r="U17" s="3" t="s">
        <v>290</v>
      </c>
      <c r="V17" s="7">
        <f>'США 2031'!V17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2031'!L18+'США 2031'!N18+('США 2031'!M18+'США 2031'!P18+'США 2031'!Q18)))</f>
        <v>8.8000000000000007</v>
      </c>
      <c r="M18" s="3">
        <f>MIN(1,'США 2031'!M18+'США 2031'!P18+(0.1*LN(1+0.5*'Ход 2031'!H20)*POWER(MAX(0,1-'США 2031'!S18/10),0.8)))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8.8000000000000007</v>
      </c>
      <c r="T18" s="3"/>
      <c r="U18" s="3" t="s">
        <v>294</v>
      </c>
      <c r="V18" s="7">
        <f>'США 2031'!V18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2031'!B19+'США 2031'!D19+('США 2031'!C19+'США 2031'!F19+'США 2031'!G19)+(0.35*LN(1+0.6*'Ход 2031'!B25)*POWER(MAX(0,1-'США 2031'!I19/10),0.7))))</f>
        <v>9.5999999999999979</v>
      </c>
      <c r="C19" s="3">
        <f>MIN(1,'США 2031'!C19+'США 2031'!F19+(0.08*LN(1+0.5*'Ход 2031'!C25)*MAX(0,1-('США 2031'!C19+'США 2031'!F19))))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9.5999999999999979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2031'!V19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2031'!B20+'США 2031'!D20+('США 2031'!C20+'США 2031'!F20+'США 2031'!G20)+(0.35*LN(1+0.6*'Ход 2031'!B26)*POWER(MAX(0,1-'США 2031'!I20/10),0.7))))</f>
        <v>9.5999999999999979</v>
      </c>
      <c r="C20" s="3">
        <f>MIN(1,'США 2031'!C20+'США 2031'!F20+(0.08*LN(1+0.5*'Ход 2031'!C26)*MAX(0,1-('США 2031'!C20+'США 2031'!F20))))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9.5999999999999979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2031'!V20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2031'!B21+'США 2031'!D21+('США 2031'!C21+'США 2031'!F21+'США 2031'!G21)+(0.35*LN(1+0.6*'Ход 2031'!B27)*POWER(MAX(0,1-'США 2031'!I21/10),0.7))))</f>
        <v>8.9000000000000021</v>
      </c>
      <c r="C21" s="3">
        <f>MIN(1,'США 2031'!C21+'США 2031'!F21+(0.08*LN(1+0.5*'Ход 2031'!C27)*MAX(0,1-('США 2031'!C21+'США 2031'!F21))))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8.9000000000000021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2031'!V21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2031'!B22+'США 2031'!D22+('США 2031'!C22+'США 2031'!F22+'США 2031'!G22)+(0.35*LN(1+0.6*'Ход 2031'!B28)*POWER(MAX(0,1-'США 2031'!I22/10),0.7))))</f>
        <v>9.5999999999999979</v>
      </c>
      <c r="C22" s="3">
        <f>MIN(1,'США 2031'!C22+'США 2031'!F22+(0.08*LN(1+0.5*'Ход 2031'!C28)*MAX(0,1-('США 2031'!C22+'США 2031'!F22))))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9.5999999999999979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2031'!V22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2031'!B23+'США 2031'!D23+('США 2031'!C23+'США 2031'!F23+'США 2031'!G23)+(0.35*LN(1+0.6*'Ход 2031'!B29)*POWER(MAX(0,1-'США 2031'!I23/10),0.7))))</f>
        <v>9.5999999999999979</v>
      </c>
      <c r="C23" s="3">
        <f>MIN(1,'США 2031'!C23+'США 2031'!F23+(0.08*LN(1+0.5*'Ход 2031'!C29)*MAX(0,1-('США 2031'!C23+'США 2031'!F23))))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9.5999999999999979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2031'!V23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2031'!V24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2031'!B25+'США 2031'!D25+('США 2031'!C25+'США 2031'!F25+'США 2031'!G25)+(0.35*LN(1+0.6*'Ход 2031'!B31)*POWER(MAX(0,1-'США 2031'!I25/10),0.7))))</f>
        <v>10</v>
      </c>
      <c r="C25" s="3">
        <f>MIN(1,'США 2031'!C25+'США 2031'!F25+(0.08*LN(1+0.5*'Ход 2031'!C31)*MAX(0,1-('США 2031'!C25+'США 2031'!F25))))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2031'!V25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2031'!B26+'США 2031'!D26+('США 2031'!C26+'США 2031'!F26+'США 2031'!G26)+(0.35*LN(1+0.6*'Ход 2031'!B32)*POWER(MAX(0,1-'США 2031'!I26/10),0.7))))</f>
        <v>10</v>
      </c>
      <c r="C26" s="3">
        <f>MIN(1,'США 2031'!C26+'США 2031'!F26+(0.08*LN(1+0.5*'Ход 2031'!C32)*MAX(0,1-('США 2031'!C26+'США 2031'!F26))))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2031'!V26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2031'!B27+'США 2031'!D27+('США 2031'!C27+'США 2031'!F27+'США 2031'!G27)+(0.35*LN(1+0.6*'Ход 2031'!B33)*POWER(MAX(0,1-'США 2031'!I27/10),0.7))))</f>
        <v>10</v>
      </c>
      <c r="C27" s="3">
        <f>MIN(1,'США 2031'!C27+'США 2031'!F27+(0.08*LN(1+0.5*'Ход 2031'!C33)*MAX(0,1-('США 2031'!C27+'США 2031'!F27))))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2031'!B28+'США 2031'!D28+('США 2031'!C28+'США 2031'!F28+'США 2031'!G28)+(0.35*LN(1+0.6*'Ход 2031'!B34)*POWER(MAX(0,1-'США 2031'!I28/10),0.7))))</f>
        <v>9.9000000000000021</v>
      </c>
      <c r="C28" s="3">
        <f>MIN(1,'США 2031'!C28+'США 2031'!F28+(0.08*LN(1+0.5*'Ход 2031'!C34)*MAX(0,1-('США 2031'!C28+'США 2031'!F28))))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9.9000000000000021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2031'!B29+'США 2031'!D29+('США 2031'!C29+'США 2031'!F29+'США 2031'!G29)+(0.35*LN(1+0.6*'Ход 2031'!B35)*POWER(MAX(0,1-'США 2031'!I29/10),0.7))))</f>
        <v>10</v>
      </c>
      <c r="C29" s="3">
        <f>MIN(1,'США 2031'!C29+'США 2031'!F29+(0.08*LN(1+0.5*'Ход 2031'!C35)*MAX(0,1-('США 2031'!C29+'США 2031'!F29))))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2031'!B30+'США 2031'!D30+('США 2031'!C30+'США 2031'!F30+'США 2031'!G30)+(0.35*LN(1+0.6*'Ход 2031'!B36)*POWER(MAX(0,1-'США 2031'!I30/10),0.7))))</f>
        <v>9.9000000000000021</v>
      </c>
      <c r="C30" s="3">
        <f>MIN(1,'США 2031'!C30+'США 2031'!F30+(0.08*LN(1+0.5*'Ход 2031'!C36)*MAX(0,1-('США 2031'!C30+'США 2031'!F30))))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9.9000000000000021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2031'!B31+'США 2031'!D31+('США 2031'!C31+'США 2031'!F31+'США 2031'!G31)+(0.35*LN(1+0.6*'Ход 2031'!B37)*POWER(MAX(0,1-'США 2031'!I31/10),0.7))))</f>
        <v>8.5999999999999979</v>
      </c>
      <c r="C31" s="3">
        <f>MIN(1,'США 2031'!C31+'США 2031'!F31+(0.08*LN(1+0.5*'Ход 2031'!C37)*MAX(0,1-('США 2031'!C31+'США 2031'!F31))))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8.5999999999999979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2031'!B32+'США 2031'!D32+('США 2031'!C32+'США 2031'!F32+'США 2031'!G32)+(0.35*LN(1+0.6*'Ход 2031'!B38)*POWER(MAX(0,1-'США 2031'!I32/10),0.7))))</f>
        <v>9.0999999999999979</v>
      </c>
      <c r="C32" s="3">
        <f>MIN(1,'США 2031'!C32+'США 2031'!F32+(0.08*LN(1+0.5*'Ход 2031'!C38)*MAX(0,1-('США 2031'!C32+'США 2031'!F32))))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9.0999999999999979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2031'!B34+'США 2031'!D34+('США 2031'!C34+'США 2031'!F34+'США 2031'!G34)+(0.35*LN(1+0.6*'Ход 2031'!B40)*POWER(MAX(0,1-'США 2031'!I34/10),0.7))))</f>
        <v>8.5999999999999979</v>
      </c>
      <c r="C34" s="3">
        <f>MIN(1,'США 2031'!C34+'США 2031'!F34+(0.08*LN(1+0.5*'Ход 2031'!C40)*MAX(0,1-('США 2031'!C34+'США 2031'!F34))))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8.5999999999999979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2031'!B35+'США 2031'!D35+('США 2031'!C35+'США 2031'!F35+'США 2031'!G35)+(0.35*LN(1+0.6*'Ход 2031'!B41)*POWER(MAX(0,1-'США 2031'!I35/10),0.7))))</f>
        <v>9.8000000000000043</v>
      </c>
      <c r="C35" s="3">
        <f>MIN(1,'США 2031'!C35+'США 2031'!F35+(0.08*LN(1+0.5*'Ход 2031'!C41)*MAX(0,1-('США 2031'!C35+'США 2031'!F35))))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9.8000000000000043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2031'!B36+'США 2031'!D36+('США 2031'!C36+'США 2031'!F36+'США 2031'!G36)+(0.35*LN(1+0.6*'Ход 2031'!B42)*POWER(MAX(0,1-'США 2031'!I36/10),0.7))))</f>
        <v>9.9000000000000021</v>
      </c>
      <c r="C36" s="3">
        <f>MIN(1,'США 2031'!C36+'США 2031'!F36+(0.08*LN(1+0.5*'Ход 2031'!C42)*MAX(0,1-('США 2031'!C36+'США 2031'!F36))))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9.9000000000000021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2031'!B37+'США 2031'!D37+('США 2031'!C37+'США 2031'!F37+'США 2031'!G37)+(0.35*LN(1+0.6*'Ход 2031'!B43)*POWER(MAX(0,1-'США 2031'!I37/10),0.7))))</f>
        <v>10</v>
      </c>
      <c r="C37" s="3">
        <f>MIN(1,'США 2031'!C37+'США 2031'!F37+(0.08*LN(1+0.5*'Ход 2031'!C43)*MAX(0,1-('США 2031'!C37+'США 2031'!F37))))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2031'!B38+'США 2031'!D38+('США 2031'!C38+'США 2031'!F38+'США 2031'!G38)+(0.35*LN(1+0.6*'Ход 2031'!B44)*POWER(MAX(0,1-'США 2031'!I38/10),0.7))))</f>
        <v>9.6999999999999957</v>
      </c>
      <c r="C38" s="3">
        <f>MIN(1,'США 2031'!C38+'США 2031'!F38+(0.08*LN(1+0.5*'Ход 2031'!C44)*MAX(0,1-('США 2031'!C38+'США 2031'!F38))))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9.6999999999999957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2031'!B39+'США 2031'!D39+('США 2031'!C39+'США 2031'!F39+'США 2031'!G39)+(0.35*LN(1+0.6*'Ход 2031'!B45)*POWER(MAX(0,1-'США 2031'!I39/10),0.7))))</f>
        <v>9.4000000000000021</v>
      </c>
      <c r="C39" s="3">
        <f>MIN(1,'США 2031'!C39+'США 2031'!F39+(0.08*LN(1+0.5*'Ход 2031'!C45)*MAX(0,1-('США 2031'!C39+'США 2031'!F39))))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9.4000000000000021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2031'!B40+'США 2031'!D40+('США 2031'!C40+'США 2031'!F40+'США 2031'!G40)+(0.35*LN(1+0.6*'Ход 2031'!B46)*POWER(MAX(0,1-'США 2031'!I40/10),0.7))))</f>
        <v>9.3000000000000043</v>
      </c>
      <c r="C40" s="3">
        <f>MIN(1,'США 2031'!C40+'США 2031'!F40+(0.08*LN(1+0.5*'Ход 2031'!C46)*MAX(0,1-('США 2031'!C40+'США 2031'!F40))))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9.3000000000000043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2031'!B41+'США 2031'!D41+('США 2031'!C41+'США 2031'!F41+'США 2031'!G41)+(0.35*LN(1+0.6*'Ход 2031'!B47)*POWER(MAX(0,1-'США 2031'!I41/10),0.7))))</f>
        <v>10</v>
      </c>
      <c r="C41" s="3">
        <f>MIN(1,'США 2031'!C41+'США 2031'!F41+(0.08*LN(1+0.5*'Ход 2031'!C47)*MAX(0,1-('США 2031'!C41+'США 2031'!F41))))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2031'!B42+'США 2031'!D42+('США 2031'!C42+'США 2031'!F42+'США 2031'!G42)+(0.35*LN(1+0.6*'Ход 2031'!B48)*POWER(MAX(0,1-'США 2031'!I42/10),0.7))))</f>
        <v>10</v>
      </c>
      <c r="C42" s="3">
        <f>MIN(1,'США 2031'!C42+'США 2031'!F42+(0.08*LN(1+0.5*'Ход 2031'!C48)*MAX(0,1-('США 2031'!C42+'США 2031'!F42))))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2031'!B44+'США 2031'!D44+('США 2031'!C44+'США 2031'!F44+'США 2031'!G44)+(0.35*LN(1+0.6*'Ход 2031'!B50)*POWER(MAX(0,1-'США 2031'!I44/10),0.7))))</f>
        <v>8.5999999999999979</v>
      </c>
      <c r="C44" s="3">
        <f>MIN(1,'США 2031'!C44+'США 2031'!F44+(0.08*LN(1+0.5*'Ход 2031'!C50)*MAX(0,1-('США 2031'!C44+'США 2031'!F44))))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8.5999999999999979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2031'!B45+'США 2031'!D45+('США 2031'!C45+'США 2031'!F45+'США 2031'!G45)+(0.35*LN(1+0.6*'Ход 2031'!B51)*POWER(MAX(0,1-'США 2031'!I45/10),0.7))))</f>
        <v>8.6999999999999975</v>
      </c>
      <c r="C45" s="3">
        <f>MIN(1,'США 2031'!C45+'США 2031'!F45+(0.08*LN(1+0.5*'Ход 2031'!C51)*MAX(0,1-('США 2031'!C45+'США 2031'!F45))))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8.6999999999999975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2031'!B46+'США 2031'!D46+('США 2031'!C46+'США 2031'!F46+'США 2031'!G46)+(0.35*LN(1+0.6*'Ход 2031'!B52)*POWER(MAX(0,1-'США 2031'!I46/10),0.7))))</f>
        <v>9.0999999999999979</v>
      </c>
      <c r="C46" s="3">
        <f>MIN(1,'США 2031'!C46+'США 2031'!F46+(0.08*LN(1+0.5*'Ход 2031'!C52)*MAX(0,1-('США 2031'!C46+'США 2031'!F46))))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9.0999999999999979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2031'!B47+'США 2031'!D47+('США 2031'!C47+'США 2031'!F47+'США 2031'!G47)+(0.35*LN(1+0.6*'Ход 2031'!B53)*POWER(MAX(0,1-'США 2031'!I47/10),0.7))))</f>
        <v>6.4000000000000021</v>
      </c>
      <c r="C47" s="3">
        <f>MIN(1,'США 2031'!C47+'США 2031'!F47+(0.08*LN(1+0.5*'Ход 2031'!C53)*MAX(0,1-('США 2031'!C47+'США 2031'!F47))))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6.4000000000000021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2031'!B48+'США 2031'!D48+('США 2031'!C48+'США 2031'!F48+'США 2031'!G48)+(0.35*LN(1+0.6*'Ход 2031'!B54)*POWER(MAX(0,1-'США 2031'!I48/10),0.7))))</f>
        <v>5.7999999999999989</v>
      </c>
      <c r="C48" s="3">
        <f>MIN(1,'США 2031'!C48+'США 2031'!F48+(0.08*LN(1+0.5*'Ход 2031'!C54)*MAX(0,1-('США 2031'!C48+'США 2031'!F48))))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5.7999999999999989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2031'!B49+'США 2031'!D49+('США 2031'!C49+'США 2031'!F49+'США 2031'!G49)+(0.35*LN(1+0.6*'Ход 2031'!B55)*POWER(MAX(0,1-'США 2031'!I49/10),0.7))))</f>
        <v>9.5</v>
      </c>
      <c r="C49" s="3">
        <f>MIN(1,'США 2031'!C49+'США 2031'!F49+(0.08*LN(1+0.5*'Ход 2031'!C55)*MAX(0,1-('США 2031'!C49+'США 2031'!F49))))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2031'!B50+'США 2031'!D50+('США 2031'!C50+'США 2031'!F50+'США 2031'!G50)+(0.35*LN(1+0.6*'Ход 2031'!B56)*POWER(MAX(0,1-'США 2031'!I50/10),0.7))))</f>
        <v>9.8000000000000043</v>
      </c>
      <c r="C50" s="3">
        <f>MIN(1,'США 2031'!C50+'США 2031'!F50+(0.08*LN(1+0.5*'Ход 2031'!C56)*MAX(0,1-('США 2031'!C50+'США 2031'!F50))))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9.8000000000000043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2031'!B51+'США 2031'!D51+('США 2031'!C51+'США 2031'!F51+'США 2031'!G51)+(0.35*LN(1+0.6*'Ход 2031'!B57)*POWER(MAX(0,1-'США 2031'!I51/10),0.7))))</f>
        <v>8.6999999999999975</v>
      </c>
      <c r="C51" s="3">
        <f>MIN(1,'США 2031'!C51+'США 2031'!F51+(0.08*LN(1+0.5*'Ход 2031'!C57)*MAX(0,1-('США 2031'!C51+'США 2031'!F51))))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8.6999999999999975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2031'!B53+'США 2031'!D53+('США 2031'!C53+'США 2031'!F53+'США 2031'!G53)+(0.35*LN(1+0.6*'Ход 2031'!B59)*POWER(MAX(0,1-'США 2031'!I53/10),0.7))))</f>
        <v>9.1999999999999957</v>
      </c>
      <c r="C53" s="3">
        <f>MIN(1,'США 2031'!C53+'США 2031'!F53+(0.08*LN(1+0.5*'Ход 2031'!C59)*MAX(0,1-('США 2031'!C53+'США 2031'!F53))))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9.1999999999999957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2031'!B54+'США 2031'!D54+('США 2031'!C54+'США 2031'!F54+'США 2031'!G54)+(0.35*LN(1+0.6*'Ход 2031'!B60)*POWER(MAX(0,1-'США 2031'!I54/10),0.7))))</f>
        <v>9.5999999999999979</v>
      </c>
      <c r="C54" s="3">
        <f>MIN(1,'США 2031'!C54+'США 2031'!F54+(0.08*LN(1+0.5*'Ход 2031'!C60)*MAX(0,1-('США 2031'!C54+'США 2031'!F54))))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9.5999999999999979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2031'!B55+'США 2031'!D55+('США 2031'!C55+'США 2031'!F55+'США 2031'!G55)+(0.35*LN(1+0.6*'Ход 2031'!B61)*POWER(MAX(0,1-'США 2031'!I55/10),0.7))))</f>
        <v>7.9000000000000021</v>
      </c>
      <c r="C55" s="3">
        <f>MIN(1,'США 2031'!C55+'США 2031'!F55+(0.08*LN(1+0.5*'Ход 2031'!C61)*MAX(0,1-('США 2031'!C55+'США 2031'!F55))))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7.9000000000000021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2032'!U6</f>
        <v>98.52605359112367</v>
      </c>
      <c r="C6" s="3"/>
      <c r="D6" s="3"/>
      <c r="E6" s="3" t="s">
        <v>351</v>
      </c>
      <c r="F6" s="3">
        <f>'США 2032'!K6</f>
        <v>83.026831001467386</v>
      </c>
      <c r="G6" s="3"/>
      <c r="H6" s="3"/>
      <c r="I6" s="3" t="s">
        <v>351</v>
      </c>
      <c r="J6" s="3">
        <f>'США 2032'!N6</f>
        <v>75.252279422938784</v>
      </c>
      <c r="K6" s="3"/>
      <c r="L6" s="3"/>
      <c r="M6" s="3" t="s">
        <v>351</v>
      </c>
      <c r="N6" s="3">
        <f>'США 2032'!Q6</f>
        <v>84.223243179721038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98.52605359112367</v>
      </c>
      <c r="C8" s="3" t="str">
        <f>IF(B8&lt;0,"ПРЕВЫШЕНИЕ","OK")</f>
        <v>OK</v>
      </c>
      <c r="D8" s="3"/>
      <c r="E8" s="3" t="s">
        <v>353</v>
      </c>
      <c r="F8" s="3">
        <f>F6-F7</f>
        <v>83.026831001467386</v>
      </c>
      <c r="G8" s="3" t="str">
        <f>IF(F8&lt;0,"ПРЕВЫШЕНИЕ","OK")</f>
        <v>OK</v>
      </c>
      <c r="H8" s="3"/>
      <c r="I8" s="3" t="s">
        <v>353</v>
      </c>
      <c r="J8" s="3">
        <f>J6-J7</f>
        <v>75.252279422938784</v>
      </c>
      <c r="K8" s="3" t="str">
        <f>IF(J8&lt;0,"ПРЕВЫШЕНИЕ","OK")</f>
        <v>OK</v>
      </c>
      <c r="L8" s="3"/>
      <c r="M8" s="3" t="s">
        <v>353</v>
      </c>
      <c r="N8" s="3">
        <f>N6-N7</f>
        <v>84.223243179721038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2032'!V11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95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2032'!V12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38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2032'!V13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82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2032'!V14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36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2032'!V15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85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2032'!V16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11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2032'!V17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0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2032'!V18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5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2032'!V19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19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2032'!V20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47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2032'!V21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77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2032'!V22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97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2032'!V23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96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2032'!V24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59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2032'!V25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26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2032'!V26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69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IF(G29="","",VLOOKUP(G29,Технологии!$A$11:$BF$50,50,FALSE))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IF(G30="","",VLOOKUP(G30,Технологии!$A$11:$BF$50,50,FALSE))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IF(G31="","",VLOOKUP(G31,Технологии!$A$11:$BF$50,50,FALSE))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IF(G32="","",VLOOKUP(G32,Технологии!$A$11:$BF$50,50,FALSE))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IF(G33="","",VLOOKUP(G33,Технологии!$A$11:$BF$50,50,FALSE))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IF(G34="","",VLOOKUP(G34,Технологии!$A$11:$BF$50,50,FALSE))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IF(G35="","",VLOOKUP(G35,Технологии!$A$11:$BF$50,50,FALSE))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IF(G36="","",VLOOKUP(G36,Технологии!$A$11:$BF$50,50,FALSE))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IF(G37="","",VLOOKUP(G37,Технологии!$A$11:$BF$50,50,FALSE))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IF(G38="","",VLOOKUP(G38,Технологии!$A$11:$BF$50,50,FALSE))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83.44285027923425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75.684940075888491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84.631484119701298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99.056664198093983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2032'!B8+'США 2032'!D8+('США 2032'!C8+'США 2032'!F8+'США 2032'!G8)+(0.35*LN(1+0.6*'Ход 2032'!B14)*POWER(MAX(0,1-'США 2032'!I8/10),0.7))))</f>
        <v>8.1999999999999975</v>
      </c>
      <c r="C8" s="3">
        <f>MIN(1,'США 2032'!C8+'США 2032'!F8+(0.08*LN(1+0.5*'Ход 2032'!C14)*MAX(0,1-('США 2032'!C8+'США 2032'!F8))))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8.1999999999999975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2032'!B9+'США 2032'!D9+('США 2032'!C9+'США 2032'!F9+'США 2032'!G9)+(0.35*LN(1+0.6*'Ход 2032'!B15)*POWER(MAX(0,1-'США 2032'!I9/10),0.7))))</f>
        <v>9.899999999999995</v>
      </c>
      <c r="C9" s="3">
        <f>MIN(1,'США 2032'!C9+'США 2032'!F9+(0.08*LN(1+0.5*'Ход 2032'!C15)*MAX(0,1-('США 2032'!C9+'США 2032'!F9))))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9.899999999999995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2032'!B10+'США 2032'!D10+('США 2032'!C10+'США 2032'!F10+'США 2032'!G10)+(0.35*LN(1+0.6*'Ход 2032'!B16)*POWER(MAX(0,1-'США 2032'!I10/10),0.7))))</f>
        <v>10</v>
      </c>
      <c r="C10" s="3">
        <f>MIN(1,'США 2032'!C10+'США 2032'!F10+(0.08*LN(1+0.5*'Ход 2032'!C16)*MAX(0,1-('США 2032'!C10+'США 2032'!F10))))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2032'!B11+'США 2032'!D11+('США 2032'!C11+'США 2032'!F11+'США 2032'!G11)+(0.35*LN(1+0.6*'Ход 2032'!B17)*POWER(MAX(0,1-'США 2032'!I11/10),0.7))))</f>
        <v>8.1999999999999975</v>
      </c>
      <c r="C11" s="3">
        <f>MIN(1,'США 2032'!C11+'США 2032'!F11+(0.08*LN(1+0.5*'Ход 2032'!C17)*MAX(0,1-('США 2032'!C11+'США 2032'!F11))))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8.1999999999999975</v>
      </c>
      <c r="J11" s="3"/>
      <c r="K11" s="3" t="s">
        <v>265</v>
      </c>
      <c r="L11" s="3">
        <f>MAX(1,MIN(10,'США 2032'!L11+'США 2032'!N11+('США 2032'!M11+'США 2032'!P11+'США 2032'!Q11)))</f>
        <v>9.8000000000000025</v>
      </c>
      <c r="M11" s="3">
        <f>MIN(1,'США 2032'!M11+'США 2032'!P11+(0.1*LN(1+0.5*'Ход 2032'!H13)*POWER(MAX(0,1-'США 2032'!S11/10),0.8)))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9.8000000000000025</v>
      </c>
      <c r="T11" s="3"/>
      <c r="U11" s="3" t="s">
        <v>266</v>
      </c>
      <c r="V11" s="7">
        <f>'США 2032'!V11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2032'!B12+'США 2032'!D12+('США 2032'!C12+'США 2032'!F12+'США 2032'!G12)+(0.35*LN(1+0.6*'Ход 2032'!B18)*POWER(MAX(0,1-'США 2032'!I12/10),0.7))))</f>
        <v>9.350000000000005</v>
      </c>
      <c r="C12" s="3">
        <f>MIN(1,'США 2032'!C12+'США 2032'!F12+(0.08*LN(1+0.5*'Ход 2032'!C18)*MAX(0,1-('США 2032'!C12+'США 2032'!F12))))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9.350000000000005</v>
      </c>
      <c r="J12" s="3"/>
      <c r="K12" s="3" t="s">
        <v>269</v>
      </c>
      <c r="L12" s="3">
        <f>MAX(1,MIN(10,'США 2032'!L12+'США 2032'!N12+('США 2032'!M12+'США 2032'!P12+'США 2032'!Q12)))</f>
        <v>10</v>
      </c>
      <c r="M12" s="3">
        <f>MIN(1,'США 2032'!M12+'США 2032'!P12+(0.1*LN(1+0.5*'Ход 2032'!H14)*POWER(MAX(0,1-'США 2032'!S12/10),0.8)))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2032'!V12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2032'!B13+'США 2032'!D13+('США 2032'!C13+'США 2032'!F13+'США 2032'!G13)+(0.35*LN(1+0.6*'Ход 2032'!B19)*POWER(MAX(0,1-'США 2032'!I13/10),0.7))))</f>
        <v>10</v>
      </c>
      <c r="C13" s="3">
        <f>MIN(1,'США 2032'!C13+'США 2032'!F13+(0.08*LN(1+0.5*'Ход 2032'!C19)*MAX(0,1-('США 2032'!C13+'США 2032'!F13))))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2032'!L13+'США 2032'!N13+('США 2032'!M13+'США 2032'!P13+'США 2032'!Q13)))</f>
        <v>10</v>
      </c>
      <c r="M13" s="3">
        <f>MIN(1,'США 2032'!M13+'США 2032'!P13+(0.1*LN(1+0.5*'Ход 2032'!H15)*POWER(MAX(0,1-'США 2032'!S13/10),0.8)))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2032'!V13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2032'!B14+'США 2032'!D14+('США 2032'!C14+'США 2032'!F14+'США 2032'!G14)+(0.35*LN(1+0.6*'Ход 2032'!B20)*POWER(MAX(0,1-'США 2032'!I14/10),0.7))))</f>
        <v>10</v>
      </c>
      <c r="C14" s="3">
        <f>MIN(1,'США 2032'!C14+'США 2032'!F14+(0.08*LN(1+0.5*'Ход 2032'!C20)*MAX(0,1-('США 2032'!C14+'США 2032'!F14))))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2032'!L14+'США 2032'!N14+('США 2032'!M14+'США 2032'!P14+'США 2032'!Q14)))</f>
        <v>9.6000000000000032</v>
      </c>
      <c r="M14" s="3">
        <f>MIN(1,'США 2032'!M14+'США 2032'!P14+(0.1*LN(1+0.5*'Ход 2032'!H16)*POWER(MAX(0,1-'США 2032'!S14/10),0.8)))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9.6000000000000032</v>
      </c>
      <c r="T14" s="3"/>
      <c r="U14" s="3" t="s">
        <v>278</v>
      </c>
      <c r="V14" s="7">
        <f>'США 2032'!V14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2032'!B15+'США 2032'!D15+('США 2032'!C15+'США 2032'!F15+'США 2032'!G15)+(0.35*LN(1+0.6*'Ход 2032'!B21)*POWER(MAX(0,1-'США 2032'!I15/10),0.7))))</f>
        <v>10</v>
      </c>
      <c r="C15" s="3">
        <f>MIN(1,'США 2032'!C15+'США 2032'!F15+(0.08*LN(1+0.5*'Ход 2032'!C21)*MAX(0,1-('США 2032'!C15+'США 2032'!F15))))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2032'!L15+'США 2032'!N15+('США 2032'!M15+'США 2032'!P15+'США 2032'!Q15)))</f>
        <v>10</v>
      </c>
      <c r="M15" s="3">
        <f>MIN(1,'США 2032'!M15+'США 2032'!P15+(0.1*LN(1+0.5*'Ход 2032'!H17)*POWER(MAX(0,1-'США 2032'!S15/10),0.8)))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2032'!V15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2032'!B16+'США 2032'!D16+('США 2032'!C16+'США 2032'!F16+'США 2032'!G16)+(0.35*LN(1+0.6*'Ход 2032'!B22)*POWER(MAX(0,1-'США 2032'!I16/10),0.7))))</f>
        <v>10</v>
      </c>
      <c r="C16" s="3">
        <f>MIN(1,'США 2032'!C16+'США 2032'!F16+(0.08*LN(1+0.5*'Ход 2032'!C22)*MAX(0,1-('США 2032'!C16+'США 2032'!F16))))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2032'!L16+'США 2032'!N16+('США 2032'!M16+'США 2032'!P16+'США 2032'!Q16)))</f>
        <v>10</v>
      </c>
      <c r="M16" s="3">
        <f>MIN(1,'США 2032'!M16+'США 2032'!P16+(0.1*LN(1+0.5*'Ход 2032'!H18)*POWER(MAX(0,1-'США 2032'!S16/10),0.8)))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2032'!V16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2032'!B17+'США 2032'!D17+('США 2032'!C17+'США 2032'!F17+'США 2032'!G17)+(0.35*LN(1+0.6*'Ход 2032'!B23)*POWER(MAX(0,1-'США 2032'!I17/10),0.7))))</f>
        <v>9.6999999999999975</v>
      </c>
      <c r="C17" s="3">
        <f>MIN(1,'США 2032'!C17+'США 2032'!F17+(0.08*LN(1+0.5*'Ход 2032'!C23)*MAX(0,1-('США 2032'!C17+'США 2032'!F17))))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9.6999999999999975</v>
      </c>
      <c r="J17" s="3"/>
      <c r="K17" s="3" t="s">
        <v>289</v>
      </c>
      <c r="L17" s="3">
        <f>MAX(1,MIN(10,'США 2032'!L17+'США 2032'!N17+('США 2032'!M17+'США 2032'!P17+'США 2032'!Q17)))</f>
        <v>9.1000000000000014</v>
      </c>
      <c r="M17" s="3">
        <f>MIN(1,'США 2032'!M17+'США 2032'!P17+(0.1*LN(1+0.5*'Ход 2032'!H19)*POWER(MAX(0,1-'США 2032'!S17/10),0.8)))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9.1000000000000014</v>
      </c>
      <c r="T17" s="3"/>
      <c r="U17" s="3" t="s">
        <v>290</v>
      </c>
      <c r="V17" s="7">
        <f>'США 2032'!V17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2032'!L18+'США 2032'!N18+('США 2032'!M18+'США 2032'!P18+'США 2032'!Q18)))</f>
        <v>9.1000000000000014</v>
      </c>
      <c r="M18" s="3">
        <f>MIN(1,'США 2032'!M18+'США 2032'!P18+(0.1*LN(1+0.5*'Ход 2032'!H20)*POWER(MAX(0,1-'США 2032'!S18/10),0.8)))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9.1000000000000014</v>
      </c>
      <c r="T18" s="3"/>
      <c r="U18" s="3" t="s">
        <v>294</v>
      </c>
      <c r="V18" s="7">
        <f>'США 2032'!V18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2032'!B19+'США 2032'!D19+('США 2032'!C19+'США 2032'!F19+'США 2032'!G19)+(0.35*LN(1+0.6*'Ход 2032'!B25)*POWER(MAX(0,1-'США 2032'!I19/10),0.7))))</f>
        <v>9.6999999999999975</v>
      </c>
      <c r="C19" s="3">
        <f>MIN(1,'США 2032'!C19+'США 2032'!F19+(0.08*LN(1+0.5*'Ход 2032'!C25)*MAX(0,1-('США 2032'!C19+'США 2032'!F19))))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9.6999999999999975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2032'!V19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2032'!B20+'США 2032'!D20+('США 2032'!C20+'США 2032'!F20+'США 2032'!G20)+(0.35*LN(1+0.6*'Ход 2032'!B26)*POWER(MAX(0,1-'США 2032'!I20/10),0.7))))</f>
        <v>9.6999999999999975</v>
      </c>
      <c r="C20" s="3">
        <f>MIN(1,'США 2032'!C20+'США 2032'!F20+(0.08*LN(1+0.5*'Ход 2032'!C26)*MAX(0,1-('США 2032'!C20+'США 2032'!F20))))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9.6999999999999975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2032'!V20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2032'!B21+'США 2032'!D21+('США 2032'!C21+'США 2032'!F21+'США 2032'!G21)+(0.35*LN(1+0.6*'Ход 2032'!B27)*POWER(MAX(0,1-'США 2032'!I21/10),0.7))))</f>
        <v>9.0500000000000025</v>
      </c>
      <c r="C21" s="3">
        <f>MIN(1,'США 2032'!C21+'США 2032'!F21+(0.08*LN(1+0.5*'Ход 2032'!C27)*MAX(0,1-('США 2032'!C21+'США 2032'!F21))))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9.0500000000000025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2032'!V21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2032'!B22+'США 2032'!D22+('США 2032'!C22+'США 2032'!F22+'США 2032'!G22)+(0.35*LN(1+0.6*'Ход 2032'!B28)*POWER(MAX(0,1-'США 2032'!I22/10),0.7))))</f>
        <v>9.6999999999999975</v>
      </c>
      <c r="C22" s="3">
        <f>MIN(1,'США 2032'!C22+'США 2032'!F22+(0.08*LN(1+0.5*'Ход 2032'!C28)*MAX(0,1-('США 2032'!C22+'США 2032'!F22))))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9.6999999999999975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2032'!V22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2032'!B23+'США 2032'!D23+('США 2032'!C23+'США 2032'!F23+'США 2032'!G23)+(0.35*LN(1+0.6*'Ход 2032'!B29)*POWER(MAX(0,1-'США 2032'!I23/10),0.7))))</f>
        <v>9.6999999999999975</v>
      </c>
      <c r="C23" s="3">
        <f>MIN(1,'США 2032'!C23+'США 2032'!F23+(0.08*LN(1+0.5*'Ход 2032'!C29)*MAX(0,1-('США 2032'!C23+'США 2032'!F23))))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9.6999999999999975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2032'!V23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2032'!V24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2032'!B25+'США 2032'!D25+('США 2032'!C25+'США 2032'!F25+'США 2032'!G25)+(0.35*LN(1+0.6*'Ход 2032'!B31)*POWER(MAX(0,1-'США 2032'!I25/10),0.7))))</f>
        <v>10</v>
      </c>
      <c r="C25" s="3">
        <f>MIN(1,'США 2032'!C25+'США 2032'!F25+(0.08*LN(1+0.5*'Ход 2032'!C31)*MAX(0,1-('США 2032'!C25+'США 2032'!F25))))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2032'!V25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2032'!B26+'США 2032'!D26+('США 2032'!C26+'США 2032'!F26+'США 2032'!G26)+(0.35*LN(1+0.6*'Ход 2032'!B32)*POWER(MAX(0,1-'США 2032'!I26/10),0.7))))</f>
        <v>10</v>
      </c>
      <c r="C26" s="3">
        <f>MIN(1,'США 2032'!C26+'США 2032'!F26+(0.08*LN(1+0.5*'Ход 2032'!C32)*MAX(0,1-('США 2032'!C26+'США 2032'!F26))))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2032'!V26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2032'!B27+'США 2032'!D27+('США 2032'!C27+'США 2032'!F27+'США 2032'!G27)+(0.35*LN(1+0.6*'Ход 2032'!B33)*POWER(MAX(0,1-'США 2032'!I27/10),0.7))))</f>
        <v>10</v>
      </c>
      <c r="C27" s="3">
        <f>MIN(1,'США 2032'!C27+'США 2032'!F27+(0.08*LN(1+0.5*'Ход 2032'!C33)*MAX(0,1-('США 2032'!C27+'США 2032'!F27))))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2032'!B28+'США 2032'!D28+('США 2032'!C28+'США 2032'!F28+'США 2032'!G28)+(0.35*LN(1+0.6*'Ход 2032'!B34)*POWER(MAX(0,1-'США 2032'!I28/10),0.7))))</f>
        <v>10</v>
      </c>
      <c r="C28" s="3">
        <f>MIN(1,'США 2032'!C28+'США 2032'!F28+(0.08*LN(1+0.5*'Ход 2032'!C34)*MAX(0,1-('США 2032'!C28+'США 2032'!F28))))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2032'!B29+'США 2032'!D29+('США 2032'!C29+'США 2032'!F29+'США 2032'!G29)+(0.35*LN(1+0.6*'Ход 2032'!B35)*POWER(MAX(0,1-'США 2032'!I29/10),0.7))))</f>
        <v>10</v>
      </c>
      <c r="C29" s="3">
        <f>MIN(1,'США 2032'!C29+'США 2032'!F29+(0.08*LN(1+0.5*'Ход 2032'!C35)*MAX(0,1-('США 2032'!C29+'США 2032'!F29))))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2032'!B30+'США 2032'!D30+('США 2032'!C30+'США 2032'!F30+'США 2032'!G30)+(0.35*LN(1+0.6*'Ход 2032'!B36)*POWER(MAX(0,1-'США 2032'!I30/10),0.7))))</f>
        <v>10</v>
      </c>
      <c r="C30" s="3">
        <f>MIN(1,'США 2032'!C30+'США 2032'!F30+(0.08*LN(1+0.5*'Ход 2032'!C36)*MAX(0,1-('США 2032'!C30+'США 2032'!F30))))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2032'!B31+'США 2032'!D31+('США 2032'!C31+'США 2032'!F31+'США 2032'!G31)+(0.35*LN(1+0.6*'Ход 2032'!B37)*POWER(MAX(0,1-'США 2032'!I31/10),0.7))))</f>
        <v>8.6999999999999975</v>
      </c>
      <c r="C31" s="3">
        <f>MIN(1,'США 2032'!C31+'США 2032'!F31+(0.08*LN(1+0.5*'Ход 2032'!C37)*MAX(0,1-('США 2032'!C31+'США 2032'!F31))))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8.6999999999999975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2032'!B32+'США 2032'!D32+('США 2032'!C32+'США 2032'!F32+'США 2032'!G32)+(0.35*LN(1+0.6*'Ход 2032'!B38)*POWER(MAX(0,1-'США 2032'!I32/10),0.7))))</f>
        <v>9.1999999999999975</v>
      </c>
      <c r="C32" s="3">
        <f>MIN(1,'США 2032'!C32+'США 2032'!F32+(0.08*LN(1+0.5*'Ход 2032'!C38)*MAX(0,1-('США 2032'!C32+'США 2032'!F32))))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9.1999999999999975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2032'!B34+'США 2032'!D34+('США 2032'!C34+'США 2032'!F34+'США 2032'!G34)+(0.35*LN(1+0.6*'Ход 2032'!B40)*POWER(MAX(0,1-'США 2032'!I34/10),0.7))))</f>
        <v>8.6999999999999975</v>
      </c>
      <c r="C34" s="3">
        <f>MIN(1,'США 2032'!C34+'США 2032'!F34+(0.08*LN(1+0.5*'Ход 2032'!C40)*MAX(0,1-('США 2032'!C34+'США 2032'!F34))))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8.6999999999999975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2032'!B35+'США 2032'!D35+('США 2032'!C35+'США 2032'!F35+'США 2032'!G35)+(0.35*LN(1+0.6*'Ход 2032'!B41)*POWER(MAX(0,1-'США 2032'!I35/10),0.7))))</f>
        <v>9.850000000000005</v>
      </c>
      <c r="C35" s="3">
        <f>MIN(1,'США 2032'!C35+'США 2032'!F35+(0.08*LN(1+0.5*'Ход 2032'!C41)*MAX(0,1-('США 2032'!C35+'США 2032'!F35))))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9.850000000000005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2032'!B36+'США 2032'!D36+('США 2032'!C36+'США 2032'!F36+'США 2032'!G36)+(0.35*LN(1+0.6*'Ход 2032'!B42)*POWER(MAX(0,1-'США 2032'!I36/10),0.7))))</f>
        <v>10</v>
      </c>
      <c r="C36" s="3">
        <f>MIN(1,'США 2032'!C36+'США 2032'!F36+(0.08*LN(1+0.5*'Ход 2032'!C42)*MAX(0,1-('США 2032'!C36+'США 2032'!F36))))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2032'!B37+'США 2032'!D37+('США 2032'!C37+'США 2032'!F37+'США 2032'!G37)+(0.35*LN(1+0.6*'Ход 2032'!B43)*POWER(MAX(0,1-'США 2032'!I37/10),0.7))))</f>
        <v>10</v>
      </c>
      <c r="C37" s="3">
        <f>MIN(1,'США 2032'!C37+'США 2032'!F37+(0.08*LN(1+0.5*'Ход 2032'!C43)*MAX(0,1-('США 2032'!C37+'США 2032'!F37))))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2032'!B38+'США 2032'!D38+('США 2032'!C38+'США 2032'!F38+'США 2032'!G38)+(0.35*LN(1+0.6*'Ход 2032'!B44)*POWER(MAX(0,1-'США 2032'!I38/10),0.7))))</f>
        <v>9.899999999999995</v>
      </c>
      <c r="C38" s="3">
        <f>MIN(1,'США 2032'!C38+'США 2032'!F38+(0.08*LN(1+0.5*'Ход 2032'!C44)*MAX(0,1-('США 2032'!C38+'США 2032'!F38))))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9.899999999999995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2032'!B39+'США 2032'!D39+('США 2032'!C39+'США 2032'!F39+'США 2032'!G39)+(0.35*LN(1+0.6*'Ход 2032'!B45)*POWER(MAX(0,1-'США 2032'!I39/10),0.7))))</f>
        <v>9.5500000000000025</v>
      </c>
      <c r="C39" s="3">
        <f>MIN(1,'США 2032'!C39+'США 2032'!F39+(0.08*LN(1+0.5*'Ход 2032'!C45)*MAX(0,1-('США 2032'!C39+'США 2032'!F39))))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9.5500000000000025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2032'!B40+'США 2032'!D40+('США 2032'!C40+'США 2032'!F40+'США 2032'!G40)+(0.35*LN(1+0.6*'Ход 2032'!B46)*POWER(MAX(0,1-'США 2032'!I40/10),0.7))))</f>
        <v>9.350000000000005</v>
      </c>
      <c r="C40" s="3">
        <f>MIN(1,'США 2032'!C40+'США 2032'!F40+(0.08*LN(1+0.5*'Ход 2032'!C46)*MAX(0,1-('США 2032'!C40+'США 2032'!F40))))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9.350000000000005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2032'!B41+'США 2032'!D41+('США 2032'!C41+'США 2032'!F41+'США 2032'!G41)+(0.35*LN(1+0.6*'Ход 2032'!B47)*POWER(MAX(0,1-'США 2032'!I41/10),0.7))))</f>
        <v>10</v>
      </c>
      <c r="C41" s="3">
        <f>MIN(1,'США 2032'!C41+'США 2032'!F41+(0.08*LN(1+0.5*'Ход 2032'!C47)*MAX(0,1-('США 2032'!C41+'США 2032'!F41))))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2032'!B42+'США 2032'!D42+('США 2032'!C42+'США 2032'!F42+'США 2032'!G42)+(0.35*LN(1+0.6*'Ход 2032'!B48)*POWER(MAX(0,1-'США 2032'!I42/10),0.7))))</f>
        <v>10</v>
      </c>
      <c r="C42" s="3">
        <f>MIN(1,'США 2032'!C42+'США 2032'!F42+(0.08*LN(1+0.5*'Ход 2032'!C48)*MAX(0,1-('США 2032'!C42+'США 2032'!F42))))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2032'!B44+'США 2032'!D44+('США 2032'!C44+'США 2032'!F44+'США 2032'!G44)+(0.35*LN(1+0.6*'Ход 2032'!B50)*POWER(MAX(0,1-'США 2032'!I44/10),0.7))))</f>
        <v>8.6999999999999975</v>
      </c>
      <c r="C44" s="3">
        <f>MIN(1,'США 2032'!C44+'США 2032'!F44+(0.08*LN(1+0.5*'Ход 2032'!C50)*MAX(0,1-('США 2032'!C44+'США 2032'!F44))))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8.6999999999999975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2032'!B45+'США 2032'!D45+('США 2032'!C45+'США 2032'!F45+'США 2032'!G45)+(0.35*LN(1+0.6*'Ход 2032'!B51)*POWER(MAX(0,1-'США 2032'!I45/10),0.7))))</f>
        <v>8.8999999999999968</v>
      </c>
      <c r="C45" s="3">
        <f>MIN(1,'США 2032'!C45+'США 2032'!F45+(0.08*LN(1+0.5*'Ход 2032'!C51)*MAX(0,1-('США 2032'!C45+'США 2032'!F45))))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8.8999999999999968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2032'!B46+'США 2032'!D46+('США 2032'!C46+'США 2032'!F46+'США 2032'!G46)+(0.35*LN(1+0.6*'Ход 2032'!B52)*POWER(MAX(0,1-'США 2032'!I46/10),0.7))))</f>
        <v>9.1999999999999975</v>
      </c>
      <c r="C46" s="3">
        <f>MIN(1,'США 2032'!C46+'США 2032'!F46+(0.08*LN(1+0.5*'Ход 2032'!C52)*MAX(0,1-('США 2032'!C46+'США 2032'!F46))))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9.1999999999999975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2032'!B47+'США 2032'!D47+('США 2032'!C47+'США 2032'!F47+'США 2032'!G47)+(0.35*LN(1+0.6*'Ход 2032'!B53)*POWER(MAX(0,1-'США 2032'!I47/10),0.7))))</f>
        <v>6.3000000000000025</v>
      </c>
      <c r="C47" s="3">
        <f>MIN(1,'США 2032'!C47+'США 2032'!F47+(0.08*LN(1+0.5*'Ход 2032'!C53)*MAX(0,1-('США 2032'!C47+'США 2032'!F47))))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6.3000000000000025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2032'!B48+'США 2032'!D48+('США 2032'!C48+'США 2032'!F48+'США 2032'!G48)+(0.35*LN(1+0.6*'Ход 2032'!B54)*POWER(MAX(0,1-'США 2032'!I48/10),0.7))))</f>
        <v>5.8499999999999988</v>
      </c>
      <c r="C48" s="3">
        <f>MIN(1,'США 2032'!C48+'США 2032'!F48+(0.08*LN(1+0.5*'Ход 2032'!C54)*MAX(0,1-('США 2032'!C48+'США 2032'!F48))))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5.8499999999999988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2032'!B49+'США 2032'!D49+('США 2032'!C49+'США 2032'!F49+'США 2032'!G49)+(0.35*LN(1+0.6*'Ход 2032'!B55)*POWER(MAX(0,1-'США 2032'!I49/10),0.7))))</f>
        <v>9.75</v>
      </c>
      <c r="C49" s="3">
        <f>MIN(1,'США 2032'!C49+'США 2032'!F49+(0.08*LN(1+0.5*'Ход 2032'!C55)*MAX(0,1-('США 2032'!C49+'США 2032'!F49))))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9.75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2032'!B50+'США 2032'!D50+('США 2032'!C50+'США 2032'!F50+'США 2032'!G50)+(0.35*LN(1+0.6*'Ход 2032'!B56)*POWER(MAX(0,1-'США 2032'!I50/10),0.7))))</f>
        <v>9.850000000000005</v>
      </c>
      <c r="C50" s="3">
        <f>MIN(1,'США 2032'!C50+'США 2032'!F50+(0.08*LN(1+0.5*'Ход 2032'!C56)*MAX(0,1-('США 2032'!C50+'США 2032'!F50))))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9.850000000000005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2032'!B51+'США 2032'!D51+('США 2032'!C51+'США 2032'!F51+'США 2032'!G51)+(0.35*LN(1+0.6*'Ход 2032'!B57)*POWER(MAX(0,1-'США 2032'!I51/10),0.7))))</f>
        <v>8.8999999999999968</v>
      </c>
      <c r="C51" s="3">
        <f>MIN(1,'США 2032'!C51+'США 2032'!F51+(0.08*LN(1+0.5*'Ход 2032'!C57)*MAX(0,1-('США 2032'!C51+'США 2032'!F51))))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8.8999999999999968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2032'!B53+'США 2032'!D53+('США 2032'!C53+'США 2032'!F53+'США 2032'!G53)+(0.35*LN(1+0.6*'Ход 2032'!B59)*POWER(MAX(0,1-'США 2032'!I53/10),0.7))))</f>
        <v>9.399999999999995</v>
      </c>
      <c r="C53" s="3">
        <f>MIN(1,'США 2032'!C53+'США 2032'!F53+(0.08*LN(1+0.5*'Ход 2032'!C59)*MAX(0,1-('США 2032'!C53+'США 2032'!F53))))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9.399999999999995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2032'!B54+'США 2032'!D54+('США 2032'!C54+'США 2032'!F54+'США 2032'!G54)+(0.35*LN(1+0.6*'Ход 2032'!B60)*POWER(MAX(0,1-'США 2032'!I54/10),0.7))))</f>
        <v>9.6999999999999975</v>
      </c>
      <c r="C54" s="3">
        <f>MIN(1,'США 2032'!C54+'США 2032'!F54+(0.08*LN(1+0.5*'Ход 2032'!C60)*MAX(0,1-('США 2032'!C54+'США 2032'!F54))))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9.6999999999999975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2032'!B55+'США 2032'!D55+('США 2032'!C55+'США 2032'!F55+'США 2032'!G55)+(0.35*LN(1+0.6*'Ход 2032'!B61)*POWER(MAX(0,1-'США 2032'!I55/10),0.7))))</f>
        <v>8.0500000000000025</v>
      </c>
      <c r="C55" s="3">
        <f>MIN(1,'США 2032'!C55+'США 2032'!F55+(0.08*LN(1+0.5*'Ход 2032'!C61)*MAX(0,1-('США 2032'!C55+'США 2032'!F55))))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8.0500000000000025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2033'!U6</f>
        <v>99.056664198093983</v>
      </c>
      <c r="C6" s="3"/>
      <c r="D6" s="3"/>
      <c r="E6" s="3" t="s">
        <v>351</v>
      </c>
      <c r="F6" s="3">
        <f>'США 2033'!K6</f>
        <v>83.44285027923425</v>
      </c>
      <c r="G6" s="3"/>
      <c r="H6" s="3"/>
      <c r="I6" s="3" t="s">
        <v>351</v>
      </c>
      <c r="J6" s="3">
        <f>'США 2033'!N6</f>
        <v>75.684940075888491</v>
      </c>
      <c r="K6" s="3"/>
      <c r="L6" s="3"/>
      <c r="M6" s="3" t="s">
        <v>351</v>
      </c>
      <c r="N6" s="3">
        <f>'США 2033'!Q6</f>
        <v>84.631484119701298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99.056664198093983</v>
      </c>
      <c r="C8" s="3" t="str">
        <f>IF(B8&lt;0,"ПРЕВЫШЕНИЕ","OK")</f>
        <v>OK</v>
      </c>
      <c r="D8" s="3"/>
      <c r="E8" s="3" t="s">
        <v>353</v>
      </c>
      <c r="F8" s="3">
        <f>F6-F7</f>
        <v>83.44285027923425</v>
      </c>
      <c r="G8" s="3" t="str">
        <f>IF(F8&lt;0,"ПРЕВЫШЕНИЕ","OK")</f>
        <v>OK</v>
      </c>
      <c r="H8" s="3"/>
      <c r="I8" s="3" t="s">
        <v>353</v>
      </c>
      <c r="J8" s="3">
        <f>J6-J7</f>
        <v>75.684940075888491</v>
      </c>
      <c r="K8" s="3" t="str">
        <f>IF(J8&lt;0,"ПРЕВЫШЕНИЕ","OK")</f>
        <v>OK</v>
      </c>
      <c r="L8" s="3"/>
      <c r="M8" s="3" t="s">
        <v>353</v>
      </c>
      <c r="N8" s="3">
        <f>N6-N7</f>
        <v>84.631484119701298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2033'!V11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10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2033'!V12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90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2033'!V13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53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2033'!V14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76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2033'!V15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28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2033'!V16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64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2033'!V17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52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2033'!V18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7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2033'!V19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43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2033'!V20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47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2033'!V21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10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2033'!V22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26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2033'!V23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18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2033'!V24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51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2033'!V25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5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2033'!V26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15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IF(G29="","",VLOOKUP(G29,Технологии!$A$11:$BF$50,51,FALSE))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IF(G30="","",VLOOKUP(G30,Технологии!$A$11:$BF$50,51,FALSE))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IF(G31="","",VLOOKUP(G31,Технологии!$A$11:$BF$50,51,FALSE))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IF(G32="","",VLOOKUP(G32,Технологии!$A$11:$BF$50,51,FALSE))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IF(G33="","",VLOOKUP(G33,Технологии!$A$11:$BF$50,51,FALSE))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IF(G34="","",VLOOKUP(G34,Технологии!$A$11:$BF$50,51,FALSE))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IF(G35="","",VLOOKUP(G35,Технологии!$A$11:$BF$50,51,FALSE))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IF(G36="","",VLOOKUP(G36,Технологии!$A$11:$BF$50,51,FALSE))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IF(G37="","",VLOOKUP(G37,Технологии!$A$11:$BF$50,51,FALSE))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IF(G38="","",VLOOKUP(G38,Технологии!$A$11:$BF$50,51,FALSE))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83.741292841872749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76.092847441418229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84.989825209969752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99.400533908869178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2033'!B8+'США 2033'!D8+('США 2033'!C8+'США 2033'!F8+'США 2033'!G8)+(0.35*LN(1+0.6*'Ход 2033'!B14)*POWER(MAX(0,1-'США 2033'!I8/10),0.7))))</f>
        <v>8.2999999999999972</v>
      </c>
      <c r="C8" s="3">
        <f>MIN(1,'США 2033'!C8+'США 2033'!F8+(0.08*LN(1+0.5*'Ход 2033'!C14)*MAX(0,1-('США 2033'!C8+'США 2033'!F8))))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8.2999999999999972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2033'!B9+'США 2033'!D9+('США 2033'!C9+'США 2033'!F9+'США 2033'!G9)+(0.35*LN(1+0.6*'Ход 2033'!B15)*POWER(MAX(0,1-'США 2033'!I9/10),0.7))))</f>
        <v>10</v>
      </c>
      <c r="C9" s="3">
        <f>MIN(1,'США 2033'!C9+'США 2033'!F9+(0.08*LN(1+0.5*'Ход 2033'!C15)*MAX(0,1-('США 2033'!C9+'США 2033'!F9))))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2033'!B10+'США 2033'!D10+('США 2033'!C10+'США 2033'!F10+'США 2033'!G10)+(0.35*LN(1+0.6*'Ход 2033'!B16)*POWER(MAX(0,1-'США 2033'!I10/10),0.7))))</f>
        <v>10</v>
      </c>
      <c r="C10" s="3">
        <f>MIN(1,'США 2033'!C10+'США 2033'!F10+(0.08*LN(1+0.5*'Ход 2033'!C16)*MAX(0,1-('США 2033'!C10+'США 2033'!F10))))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2033'!B11+'США 2033'!D11+('США 2033'!C11+'США 2033'!F11+'США 2033'!G11)+(0.35*LN(1+0.6*'Ход 2033'!B17)*POWER(MAX(0,1-'США 2033'!I11/10),0.7))))</f>
        <v>8.2999999999999972</v>
      </c>
      <c r="C11" s="3">
        <f>MIN(1,'США 2033'!C11+'США 2033'!F11+(0.08*LN(1+0.5*'Ход 2033'!C17)*MAX(0,1-('США 2033'!C11+'США 2033'!F11))))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8.2999999999999972</v>
      </c>
      <c r="J11" s="3"/>
      <c r="K11" s="3" t="s">
        <v>265</v>
      </c>
      <c r="L11" s="3">
        <f>MAX(1,MIN(10,'США 2033'!L11+'США 2033'!N11+('США 2033'!M11+'США 2033'!P11+'США 2033'!Q11)))</f>
        <v>10</v>
      </c>
      <c r="M11" s="3">
        <f>MIN(1,'США 2033'!M11+'США 2033'!P11+(0.1*LN(1+0.5*'Ход 2033'!H13)*POWER(MAX(0,1-'США 2033'!S11/10),0.8)))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2033'!V11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2033'!B12+'США 2033'!D12+('США 2033'!C12+'США 2033'!F12+'США 2033'!G12)+(0.35*LN(1+0.6*'Ход 2033'!B18)*POWER(MAX(0,1-'США 2033'!I12/10),0.7))))</f>
        <v>9.4000000000000057</v>
      </c>
      <c r="C12" s="3">
        <f>MIN(1,'США 2033'!C12+'США 2033'!F12+(0.08*LN(1+0.5*'Ход 2033'!C18)*MAX(0,1-('США 2033'!C12+'США 2033'!F12))))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9.4000000000000057</v>
      </c>
      <c r="J12" s="3"/>
      <c r="K12" s="3" t="s">
        <v>269</v>
      </c>
      <c r="L12" s="3">
        <f>MAX(1,MIN(10,'США 2033'!L12+'США 2033'!N12+('США 2033'!M12+'США 2033'!P12+'США 2033'!Q12)))</f>
        <v>10</v>
      </c>
      <c r="M12" s="3">
        <f>MIN(1,'США 2033'!M12+'США 2033'!P12+(0.1*LN(1+0.5*'Ход 2033'!H14)*POWER(MAX(0,1-'США 2033'!S12/10),0.8)))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2033'!V12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2033'!B13+'США 2033'!D13+('США 2033'!C13+'США 2033'!F13+'США 2033'!G13)+(0.35*LN(1+0.6*'Ход 2033'!B19)*POWER(MAX(0,1-'США 2033'!I13/10),0.7))))</f>
        <v>10</v>
      </c>
      <c r="C13" s="3">
        <f>MIN(1,'США 2033'!C13+'США 2033'!F13+(0.08*LN(1+0.5*'Ход 2033'!C19)*MAX(0,1-('США 2033'!C13+'США 2033'!F13))))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2033'!L13+'США 2033'!N13+('США 2033'!M13+'США 2033'!P13+'США 2033'!Q13)))</f>
        <v>10</v>
      </c>
      <c r="M13" s="3">
        <f>MIN(1,'США 2033'!M13+'США 2033'!P13+(0.1*LN(1+0.5*'Ход 2033'!H15)*POWER(MAX(0,1-'США 2033'!S13/10),0.8)))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2033'!V13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2033'!B14+'США 2033'!D14+('США 2033'!C14+'США 2033'!F14+'США 2033'!G14)+(0.35*LN(1+0.6*'Ход 2033'!B20)*POWER(MAX(0,1-'США 2033'!I14/10),0.7))))</f>
        <v>10</v>
      </c>
      <c r="C14" s="3">
        <f>MIN(1,'США 2033'!C14+'США 2033'!F14+(0.08*LN(1+0.5*'Ход 2033'!C20)*MAX(0,1-('США 2033'!C14+'США 2033'!F14))))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2033'!L14+'США 2033'!N14+('США 2033'!M14+'США 2033'!P14+'США 2033'!Q14)))</f>
        <v>9.9000000000000039</v>
      </c>
      <c r="M14" s="3">
        <f>MIN(1,'США 2033'!M14+'США 2033'!P14+(0.1*LN(1+0.5*'Ход 2033'!H16)*POWER(MAX(0,1-'США 2033'!S14/10),0.8)))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9.9000000000000039</v>
      </c>
      <c r="T14" s="3"/>
      <c r="U14" s="3" t="s">
        <v>278</v>
      </c>
      <c r="V14" s="7">
        <f>'США 2033'!V14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2033'!B15+'США 2033'!D15+('США 2033'!C15+'США 2033'!F15+'США 2033'!G15)+(0.35*LN(1+0.6*'Ход 2033'!B21)*POWER(MAX(0,1-'США 2033'!I15/10),0.7))))</f>
        <v>10</v>
      </c>
      <c r="C15" s="3">
        <f>MIN(1,'США 2033'!C15+'США 2033'!F15+(0.08*LN(1+0.5*'Ход 2033'!C21)*MAX(0,1-('США 2033'!C15+'США 2033'!F15))))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2033'!L15+'США 2033'!N15+('США 2033'!M15+'США 2033'!P15+'США 2033'!Q15)))</f>
        <v>10</v>
      </c>
      <c r="M15" s="3">
        <f>MIN(1,'США 2033'!M15+'США 2033'!P15+(0.1*LN(1+0.5*'Ход 2033'!H17)*POWER(MAX(0,1-'США 2033'!S15/10),0.8)))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2033'!V15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2033'!B16+'США 2033'!D16+('США 2033'!C16+'США 2033'!F16+'США 2033'!G16)+(0.35*LN(1+0.6*'Ход 2033'!B22)*POWER(MAX(0,1-'США 2033'!I16/10),0.7))))</f>
        <v>10</v>
      </c>
      <c r="C16" s="3">
        <f>MIN(1,'США 2033'!C16+'США 2033'!F16+(0.08*LN(1+0.5*'Ход 2033'!C22)*MAX(0,1-('США 2033'!C16+'США 2033'!F16))))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2033'!L16+'США 2033'!N16+('США 2033'!M16+'США 2033'!P16+'США 2033'!Q16)))</f>
        <v>10</v>
      </c>
      <c r="M16" s="3">
        <f>MIN(1,'США 2033'!M16+'США 2033'!P16+(0.1*LN(1+0.5*'Ход 2033'!H18)*POWER(MAX(0,1-'США 2033'!S16/10),0.8)))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2033'!V16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2033'!B17+'США 2033'!D17+('США 2033'!C17+'США 2033'!F17+'США 2033'!G17)+(0.35*LN(1+0.6*'Ход 2033'!B23)*POWER(MAX(0,1-'США 2033'!I17/10),0.7))))</f>
        <v>9.7999999999999972</v>
      </c>
      <c r="C17" s="3">
        <f>MIN(1,'США 2033'!C17+'США 2033'!F17+(0.08*LN(1+0.5*'Ход 2033'!C23)*MAX(0,1-('США 2033'!C17+'США 2033'!F17))))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9.7999999999999972</v>
      </c>
      <c r="J17" s="3"/>
      <c r="K17" s="3" t="s">
        <v>289</v>
      </c>
      <c r="L17" s="3">
        <f>MAX(1,MIN(10,'США 2033'!L17+'США 2033'!N17+('США 2033'!M17+'США 2033'!P17+'США 2033'!Q17)))</f>
        <v>9.4000000000000021</v>
      </c>
      <c r="M17" s="3">
        <f>MIN(1,'США 2033'!M17+'США 2033'!P17+(0.1*LN(1+0.5*'Ход 2033'!H19)*POWER(MAX(0,1-'США 2033'!S17/10),0.8)))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9.4000000000000021</v>
      </c>
      <c r="T17" s="3"/>
      <c r="U17" s="3" t="s">
        <v>290</v>
      </c>
      <c r="V17" s="7">
        <f>'США 2033'!V17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2033'!L18+'США 2033'!N18+('США 2033'!M18+'США 2033'!P18+'США 2033'!Q18)))</f>
        <v>9.4000000000000021</v>
      </c>
      <c r="M18" s="3">
        <f>MIN(1,'США 2033'!M18+'США 2033'!P18+(0.1*LN(1+0.5*'Ход 2033'!H20)*POWER(MAX(0,1-'США 2033'!S18/10),0.8)))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9.4000000000000021</v>
      </c>
      <c r="T18" s="3"/>
      <c r="U18" s="3" t="s">
        <v>294</v>
      </c>
      <c r="V18" s="7">
        <f>'США 2033'!V18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2033'!B19+'США 2033'!D19+('США 2033'!C19+'США 2033'!F19+'США 2033'!G19)+(0.35*LN(1+0.6*'Ход 2033'!B25)*POWER(MAX(0,1-'США 2033'!I19/10),0.7))))</f>
        <v>9.7999999999999972</v>
      </c>
      <c r="C19" s="3">
        <f>MIN(1,'США 2033'!C19+'США 2033'!F19+(0.08*LN(1+0.5*'Ход 2033'!C25)*MAX(0,1-('США 2033'!C19+'США 2033'!F19))))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9.7999999999999972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2033'!V19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2033'!B20+'США 2033'!D20+('США 2033'!C20+'США 2033'!F20+'США 2033'!G20)+(0.35*LN(1+0.6*'Ход 2033'!B26)*POWER(MAX(0,1-'США 2033'!I20/10),0.7))))</f>
        <v>9.7999999999999972</v>
      </c>
      <c r="C20" s="3">
        <f>MIN(1,'США 2033'!C20+'США 2033'!F20+(0.08*LN(1+0.5*'Ход 2033'!C26)*MAX(0,1-('США 2033'!C20+'США 2033'!F20))))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9.7999999999999972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2033'!V20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2033'!B21+'США 2033'!D21+('США 2033'!C21+'США 2033'!F21+'США 2033'!G21)+(0.35*LN(1+0.6*'Ход 2033'!B27)*POWER(MAX(0,1-'США 2033'!I21/10),0.7))))</f>
        <v>9.2000000000000028</v>
      </c>
      <c r="C21" s="3">
        <f>MIN(1,'США 2033'!C21+'США 2033'!F21+(0.08*LN(1+0.5*'Ход 2033'!C27)*MAX(0,1-('США 2033'!C21+'США 2033'!F21))))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9.2000000000000028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2033'!V21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2033'!B22+'США 2033'!D22+('США 2033'!C22+'США 2033'!F22+'США 2033'!G22)+(0.35*LN(1+0.6*'Ход 2033'!B28)*POWER(MAX(0,1-'США 2033'!I22/10),0.7))))</f>
        <v>9.7999999999999972</v>
      </c>
      <c r="C22" s="3">
        <f>MIN(1,'США 2033'!C22+'США 2033'!F22+(0.08*LN(1+0.5*'Ход 2033'!C28)*MAX(0,1-('США 2033'!C22+'США 2033'!F22))))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9.7999999999999972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2033'!V22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2033'!B23+'США 2033'!D23+('США 2033'!C23+'США 2033'!F23+'США 2033'!G23)+(0.35*LN(1+0.6*'Ход 2033'!B29)*POWER(MAX(0,1-'США 2033'!I23/10),0.7))))</f>
        <v>9.7999999999999972</v>
      </c>
      <c r="C23" s="3">
        <f>MIN(1,'США 2033'!C23+'США 2033'!F23+(0.08*LN(1+0.5*'Ход 2033'!C29)*MAX(0,1-('США 2033'!C23+'США 2033'!F23))))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9.7999999999999972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2033'!V23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2033'!V24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2033'!B25+'США 2033'!D25+('США 2033'!C25+'США 2033'!F25+'США 2033'!G25)+(0.35*LN(1+0.6*'Ход 2033'!B31)*POWER(MAX(0,1-'США 2033'!I25/10),0.7))))</f>
        <v>10</v>
      </c>
      <c r="C25" s="3">
        <f>MIN(1,'США 2033'!C25+'США 2033'!F25+(0.08*LN(1+0.5*'Ход 2033'!C31)*MAX(0,1-('США 2033'!C25+'США 2033'!F25))))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2033'!V25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2033'!B26+'США 2033'!D26+('США 2033'!C26+'США 2033'!F26+'США 2033'!G26)+(0.35*LN(1+0.6*'Ход 2033'!B32)*POWER(MAX(0,1-'США 2033'!I26/10),0.7))))</f>
        <v>10</v>
      </c>
      <c r="C26" s="3">
        <f>MIN(1,'США 2033'!C26+'США 2033'!F26+(0.08*LN(1+0.5*'Ход 2033'!C32)*MAX(0,1-('США 2033'!C26+'США 2033'!F26))))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2033'!V26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2033'!B27+'США 2033'!D27+('США 2033'!C27+'США 2033'!F27+'США 2033'!G27)+(0.35*LN(1+0.6*'Ход 2033'!B33)*POWER(MAX(0,1-'США 2033'!I27/10),0.7))))</f>
        <v>10</v>
      </c>
      <c r="C27" s="3">
        <f>MIN(1,'США 2033'!C27+'США 2033'!F27+(0.08*LN(1+0.5*'Ход 2033'!C33)*MAX(0,1-('США 2033'!C27+'США 2033'!F27))))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2033'!B28+'США 2033'!D28+('США 2033'!C28+'США 2033'!F28+'США 2033'!G28)+(0.35*LN(1+0.6*'Ход 2033'!B34)*POWER(MAX(0,1-'США 2033'!I28/10),0.7))))</f>
        <v>10</v>
      </c>
      <c r="C28" s="3">
        <f>MIN(1,'США 2033'!C28+'США 2033'!F28+(0.08*LN(1+0.5*'Ход 2033'!C34)*MAX(0,1-('США 2033'!C28+'США 2033'!F28))))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2033'!B29+'США 2033'!D29+('США 2033'!C29+'США 2033'!F29+'США 2033'!G29)+(0.35*LN(1+0.6*'Ход 2033'!B35)*POWER(MAX(0,1-'США 2033'!I29/10),0.7))))</f>
        <v>10</v>
      </c>
      <c r="C29" s="3">
        <f>MIN(1,'США 2033'!C29+'США 2033'!F29+(0.08*LN(1+0.5*'Ход 2033'!C35)*MAX(0,1-('США 2033'!C29+'США 2033'!F29))))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2033'!B30+'США 2033'!D30+('США 2033'!C30+'США 2033'!F30+'США 2033'!G30)+(0.35*LN(1+0.6*'Ход 2033'!B36)*POWER(MAX(0,1-'США 2033'!I30/10),0.7))))</f>
        <v>10</v>
      </c>
      <c r="C30" s="3">
        <f>MIN(1,'США 2033'!C30+'США 2033'!F30+(0.08*LN(1+0.5*'Ход 2033'!C36)*MAX(0,1-('США 2033'!C30+'США 2033'!F30))))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2033'!B31+'США 2033'!D31+('США 2033'!C31+'США 2033'!F31+'США 2033'!G31)+(0.35*LN(1+0.6*'Ход 2033'!B37)*POWER(MAX(0,1-'США 2033'!I31/10),0.7))))</f>
        <v>8.7999999999999972</v>
      </c>
      <c r="C31" s="3">
        <f>MIN(1,'США 2033'!C31+'США 2033'!F31+(0.08*LN(1+0.5*'Ход 2033'!C37)*MAX(0,1-('США 2033'!C31+'США 2033'!F31))))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8.7999999999999972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2033'!B32+'США 2033'!D32+('США 2033'!C32+'США 2033'!F32+'США 2033'!G32)+(0.35*LN(1+0.6*'Ход 2033'!B38)*POWER(MAX(0,1-'США 2033'!I32/10),0.7))))</f>
        <v>9.2999999999999972</v>
      </c>
      <c r="C32" s="3">
        <f>MIN(1,'США 2033'!C32+'США 2033'!F32+(0.08*LN(1+0.5*'Ход 2033'!C38)*MAX(0,1-('США 2033'!C32+'США 2033'!F32))))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9.2999999999999972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2033'!B34+'США 2033'!D34+('США 2033'!C34+'США 2033'!F34+'США 2033'!G34)+(0.35*LN(1+0.6*'Ход 2033'!B40)*POWER(MAX(0,1-'США 2033'!I34/10),0.7))))</f>
        <v>8.7999999999999972</v>
      </c>
      <c r="C34" s="3">
        <f>MIN(1,'США 2033'!C34+'США 2033'!F34+(0.08*LN(1+0.5*'Ход 2033'!C40)*MAX(0,1-('США 2033'!C34+'США 2033'!F34))))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8.7999999999999972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2033'!B35+'США 2033'!D35+('США 2033'!C35+'США 2033'!F35+'США 2033'!G35)+(0.35*LN(1+0.6*'Ход 2033'!B41)*POWER(MAX(0,1-'США 2033'!I35/10),0.7))))</f>
        <v>9.9000000000000057</v>
      </c>
      <c r="C35" s="3">
        <f>MIN(1,'США 2033'!C35+'США 2033'!F35+(0.08*LN(1+0.5*'Ход 2033'!C41)*MAX(0,1-('США 2033'!C35+'США 2033'!F35))))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9.9000000000000057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2033'!B36+'США 2033'!D36+('США 2033'!C36+'США 2033'!F36+'США 2033'!G36)+(0.35*LN(1+0.6*'Ход 2033'!B42)*POWER(MAX(0,1-'США 2033'!I36/10),0.7))))</f>
        <v>10</v>
      </c>
      <c r="C36" s="3">
        <f>MIN(1,'США 2033'!C36+'США 2033'!F36+(0.08*LN(1+0.5*'Ход 2033'!C42)*MAX(0,1-('США 2033'!C36+'США 2033'!F36))))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2033'!B37+'США 2033'!D37+('США 2033'!C37+'США 2033'!F37+'США 2033'!G37)+(0.35*LN(1+0.6*'Ход 2033'!B43)*POWER(MAX(0,1-'США 2033'!I37/10),0.7))))</f>
        <v>10</v>
      </c>
      <c r="C37" s="3">
        <f>MIN(1,'США 2033'!C37+'США 2033'!F37+(0.08*LN(1+0.5*'Ход 2033'!C43)*MAX(0,1-('США 2033'!C37+'США 2033'!F37))))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2033'!B38+'США 2033'!D38+('США 2033'!C38+'США 2033'!F38+'США 2033'!G38)+(0.35*LN(1+0.6*'Ход 2033'!B44)*POWER(MAX(0,1-'США 2033'!I38/10),0.7))))</f>
        <v>10</v>
      </c>
      <c r="C38" s="3">
        <f>MIN(1,'США 2033'!C38+'США 2033'!F38+(0.08*LN(1+0.5*'Ход 2033'!C44)*MAX(0,1-('США 2033'!C38+'США 2033'!F38))))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2033'!B39+'США 2033'!D39+('США 2033'!C39+'США 2033'!F39+'США 2033'!G39)+(0.35*LN(1+0.6*'Ход 2033'!B45)*POWER(MAX(0,1-'США 2033'!I39/10),0.7))))</f>
        <v>9.7000000000000028</v>
      </c>
      <c r="C39" s="3">
        <f>MIN(1,'США 2033'!C39+'США 2033'!F39+(0.08*LN(1+0.5*'Ход 2033'!C45)*MAX(0,1-('США 2033'!C39+'США 2033'!F39))))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9.7000000000000028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2033'!B40+'США 2033'!D40+('США 2033'!C40+'США 2033'!F40+'США 2033'!G40)+(0.35*LN(1+0.6*'Ход 2033'!B46)*POWER(MAX(0,1-'США 2033'!I40/10),0.7))))</f>
        <v>9.4000000000000057</v>
      </c>
      <c r="C40" s="3">
        <f>MIN(1,'США 2033'!C40+'США 2033'!F40+(0.08*LN(1+0.5*'Ход 2033'!C46)*MAX(0,1-('США 2033'!C40+'США 2033'!F40))))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9.4000000000000057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2033'!B41+'США 2033'!D41+('США 2033'!C41+'США 2033'!F41+'США 2033'!G41)+(0.35*LN(1+0.6*'Ход 2033'!B47)*POWER(MAX(0,1-'США 2033'!I41/10),0.7))))</f>
        <v>10</v>
      </c>
      <c r="C41" s="3">
        <f>MIN(1,'США 2033'!C41+'США 2033'!F41+(0.08*LN(1+0.5*'Ход 2033'!C47)*MAX(0,1-('США 2033'!C41+'США 2033'!F41))))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2033'!B42+'США 2033'!D42+('США 2033'!C42+'США 2033'!F42+'США 2033'!G42)+(0.35*LN(1+0.6*'Ход 2033'!B48)*POWER(MAX(0,1-'США 2033'!I42/10),0.7))))</f>
        <v>10</v>
      </c>
      <c r="C42" s="3">
        <f>MIN(1,'США 2033'!C42+'США 2033'!F42+(0.08*LN(1+0.5*'Ход 2033'!C48)*MAX(0,1-('США 2033'!C42+'США 2033'!F42))))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2033'!B44+'США 2033'!D44+('США 2033'!C44+'США 2033'!F44+'США 2033'!G44)+(0.35*LN(1+0.6*'Ход 2033'!B50)*POWER(MAX(0,1-'США 2033'!I44/10),0.7))))</f>
        <v>8.7999999999999972</v>
      </c>
      <c r="C44" s="3">
        <f>MIN(1,'США 2033'!C44+'США 2033'!F44+(0.08*LN(1+0.5*'Ход 2033'!C50)*MAX(0,1-('США 2033'!C44+'США 2033'!F44))))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8.7999999999999972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2033'!B45+'США 2033'!D45+('США 2033'!C45+'США 2033'!F45+'США 2033'!G45)+(0.35*LN(1+0.6*'Ход 2033'!B51)*POWER(MAX(0,1-'США 2033'!I45/10),0.7))))</f>
        <v>9.0999999999999961</v>
      </c>
      <c r="C45" s="3">
        <f>MIN(1,'США 2033'!C45+'США 2033'!F45+(0.08*LN(1+0.5*'Ход 2033'!C51)*MAX(0,1-('США 2033'!C45+'США 2033'!F45))))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9.0999999999999961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2033'!B46+'США 2033'!D46+('США 2033'!C46+'США 2033'!F46+'США 2033'!G46)+(0.35*LN(1+0.6*'Ход 2033'!B52)*POWER(MAX(0,1-'США 2033'!I46/10),0.7))))</f>
        <v>9.2999999999999972</v>
      </c>
      <c r="C46" s="3">
        <f>MIN(1,'США 2033'!C46+'США 2033'!F46+(0.08*LN(1+0.5*'Ход 2033'!C52)*MAX(0,1-('США 2033'!C46+'США 2033'!F46))))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9.2999999999999972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2033'!B47+'США 2033'!D47+('США 2033'!C47+'США 2033'!F47+'США 2033'!G47)+(0.35*LN(1+0.6*'Ход 2033'!B53)*POWER(MAX(0,1-'США 2033'!I47/10),0.7))))</f>
        <v>6.2000000000000028</v>
      </c>
      <c r="C47" s="3">
        <f>MIN(1,'США 2033'!C47+'США 2033'!F47+(0.08*LN(1+0.5*'Ход 2033'!C53)*MAX(0,1-('США 2033'!C47+'США 2033'!F47))))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6.2000000000000028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2033'!B48+'США 2033'!D48+('США 2033'!C48+'США 2033'!F48+'США 2033'!G48)+(0.35*LN(1+0.6*'Ход 2033'!B54)*POWER(MAX(0,1-'США 2033'!I48/10),0.7))))</f>
        <v>5.8999999999999986</v>
      </c>
      <c r="C48" s="3">
        <f>MIN(1,'США 2033'!C48+'США 2033'!F48+(0.08*LN(1+0.5*'Ход 2033'!C54)*MAX(0,1-('США 2033'!C48+'США 2033'!F48))))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5.8999999999999986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2033'!B49+'США 2033'!D49+('США 2033'!C49+'США 2033'!F49+'США 2033'!G49)+(0.35*LN(1+0.6*'Ход 2033'!B55)*POWER(MAX(0,1-'США 2033'!I49/10),0.7))))</f>
        <v>10</v>
      </c>
      <c r="C49" s="3">
        <f>MIN(1,'США 2033'!C49+'США 2033'!F49+(0.08*LN(1+0.5*'Ход 2033'!C55)*MAX(0,1-('США 2033'!C49+'США 2033'!F49))))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2033'!B50+'США 2033'!D50+('США 2033'!C50+'США 2033'!F50+'США 2033'!G50)+(0.35*LN(1+0.6*'Ход 2033'!B56)*POWER(MAX(0,1-'США 2033'!I50/10),0.7))))</f>
        <v>9.9000000000000057</v>
      </c>
      <c r="C50" s="3">
        <f>MIN(1,'США 2033'!C50+'США 2033'!F50+(0.08*LN(1+0.5*'Ход 2033'!C56)*MAX(0,1-('США 2033'!C50+'США 2033'!F50))))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9.9000000000000057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2033'!B51+'США 2033'!D51+('США 2033'!C51+'США 2033'!F51+'США 2033'!G51)+(0.35*LN(1+0.6*'Ход 2033'!B57)*POWER(MAX(0,1-'США 2033'!I51/10),0.7))))</f>
        <v>9.0999999999999961</v>
      </c>
      <c r="C51" s="3">
        <f>MIN(1,'США 2033'!C51+'США 2033'!F51+(0.08*LN(1+0.5*'Ход 2033'!C57)*MAX(0,1-('США 2033'!C51+'США 2033'!F51))))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9.0999999999999961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2033'!B53+'США 2033'!D53+('США 2033'!C53+'США 2033'!F53+'США 2033'!G53)+(0.35*LN(1+0.6*'Ход 2033'!B59)*POWER(MAX(0,1-'США 2033'!I53/10),0.7))))</f>
        <v>9.5999999999999943</v>
      </c>
      <c r="C53" s="3">
        <f>MIN(1,'США 2033'!C53+'США 2033'!F53+(0.08*LN(1+0.5*'Ход 2033'!C59)*MAX(0,1-('США 2033'!C53+'США 2033'!F53))))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9.5999999999999943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2033'!B54+'США 2033'!D54+('США 2033'!C54+'США 2033'!F54+'США 2033'!G54)+(0.35*LN(1+0.6*'Ход 2033'!B60)*POWER(MAX(0,1-'США 2033'!I54/10),0.7))))</f>
        <v>9.7999999999999972</v>
      </c>
      <c r="C54" s="3">
        <f>MIN(1,'США 2033'!C54+'США 2033'!F54+(0.08*LN(1+0.5*'Ход 2033'!C60)*MAX(0,1-('США 2033'!C54+'США 2033'!F54))))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9.7999999999999972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2033'!B55+'США 2033'!D55+('США 2033'!C55+'США 2033'!F55+'США 2033'!G55)+(0.35*LN(1+0.6*'Ход 2033'!B61)*POWER(MAX(0,1-'США 2033'!I55/10),0.7))))</f>
        <v>8.2000000000000028</v>
      </c>
      <c r="C55" s="3">
        <f>MIN(1,'США 2033'!C55+'США 2033'!F55+(0.08*LN(1+0.5*'Ход 2033'!C61)*MAX(0,1-('США 2033'!C55+'США 2033'!F55))))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8.2000000000000028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2034'!U6</f>
        <v>99.400533908869178</v>
      </c>
      <c r="C6" s="3"/>
      <c r="D6" s="3"/>
      <c r="E6" s="3" t="s">
        <v>351</v>
      </c>
      <c r="F6" s="3">
        <f>'США 2034'!K6</f>
        <v>83.741292841872749</v>
      </c>
      <c r="G6" s="3"/>
      <c r="H6" s="3"/>
      <c r="I6" s="3" t="s">
        <v>351</v>
      </c>
      <c r="J6" s="3">
        <f>'США 2034'!N6</f>
        <v>76.092847441418229</v>
      </c>
      <c r="K6" s="3"/>
      <c r="L6" s="3"/>
      <c r="M6" s="3" t="s">
        <v>351</v>
      </c>
      <c r="N6" s="3">
        <f>'США 2034'!Q6</f>
        <v>84.989825209969752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99.400533908869178</v>
      </c>
      <c r="C8" s="3" t="str">
        <f>IF(B8&lt;0,"ПРЕВЫШЕНИЕ","OK")</f>
        <v>OK</v>
      </c>
      <c r="D8" s="3"/>
      <c r="E8" s="3" t="s">
        <v>353</v>
      </c>
      <c r="F8" s="3">
        <f>F6-F7</f>
        <v>83.741292841872749</v>
      </c>
      <c r="G8" s="3" t="str">
        <f>IF(F8&lt;0,"ПРЕВЫШЕНИЕ","OK")</f>
        <v>OK</v>
      </c>
      <c r="H8" s="3"/>
      <c r="I8" s="3" t="s">
        <v>353</v>
      </c>
      <c r="J8" s="3">
        <f>J6-J7</f>
        <v>76.092847441418229</v>
      </c>
      <c r="K8" s="3" t="str">
        <f>IF(J8&lt;0,"ПРЕВЫШЕНИЕ","OK")</f>
        <v>OK</v>
      </c>
      <c r="L8" s="3"/>
      <c r="M8" s="3" t="s">
        <v>353</v>
      </c>
      <c r="N8" s="3">
        <f>N6-N7</f>
        <v>84.989825209969752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2034'!V11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26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2034'!V12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60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2034'!V13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89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2034'!V14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13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2034'!V15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40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2034'!V16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68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2034'!V17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48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2034'!V18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34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2034'!V19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68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2034'!V20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85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2034'!V21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30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2034'!V22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30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2034'!V23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5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2034'!V24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43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2034'!V25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75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2034'!V26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80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IF(G29="","",VLOOKUP(G29,Технологии!$A$11:$BF$50,52,FALSE))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IF(G30="","",VLOOKUP(G30,Технологии!$A$11:$BF$50,52,FALSE))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IF(G31="","",VLOOKUP(G31,Технологии!$A$11:$BF$50,52,FALSE))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IF(G32="","",VLOOKUP(G32,Технологии!$A$11:$BF$50,52,FALSE))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IF(G33="","",VLOOKUP(G33,Технологии!$A$11:$BF$50,52,FALSE))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IF(G34="","",VLOOKUP(G34,Технологии!$A$11:$BF$50,52,FALSE))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IF(G35="","",VLOOKUP(G35,Технологии!$A$11:$BF$50,52,FALSE))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IF(G36="","",VLOOKUP(G36,Технологии!$A$11:$BF$50,52,FALSE))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IF(G37="","",VLOOKUP(G37,Технологии!$A$11:$BF$50,52,FALSE))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IF(G38="","",VLOOKUP(G38,Технологии!$A$11:$BF$50,52,FALSE))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395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83.999852430175864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76.341855116556999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85.336881699518287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99.603927726224754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2034'!B8+'США 2034'!D8+('США 2034'!C8+'США 2034'!F8+'США 2034'!G8)+(0.35*LN(1+0.6*'Ход 2034'!B14)*POWER(MAX(0,1-'США 2034'!I8/10),0.7))))</f>
        <v>8.3999999999999968</v>
      </c>
      <c r="C8" s="3">
        <f>MIN(1,'США 2034'!C8+'США 2034'!F8+(0.08*LN(1+0.5*'Ход 2034'!C14)*MAX(0,1-('США 2034'!C8+'США 2034'!F8))))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8.3999999999999968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2034'!B9+'США 2034'!D9+('США 2034'!C9+'США 2034'!F9+'США 2034'!G9)+(0.35*LN(1+0.6*'Ход 2034'!B15)*POWER(MAX(0,1-'США 2034'!I9/10),0.7))))</f>
        <v>10</v>
      </c>
      <c r="C9" s="3">
        <f>MIN(1,'США 2034'!C9+'США 2034'!F9+(0.08*LN(1+0.5*'Ход 2034'!C15)*MAX(0,1-('США 2034'!C9+'США 2034'!F9))))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2034'!B10+'США 2034'!D10+('США 2034'!C10+'США 2034'!F10+'США 2034'!G10)+(0.35*LN(1+0.6*'Ход 2034'!B16)*POWER(MAX(0,1-'США 2034'!I10/10),0.7))))</f>
        <v>10</v>
      </c>
      <c r="C10" s="3">
        <f>MIN(1,'США 2034'!C10+'США 2034'!F10+(0.08*LN(1+0.5*'Ход 2034'!C16)*MAX(0,1-('США 2034'!C10+'США 2034'!F10))))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2034'!B11+'США 2034'!D11+('США 2034'!C11+'США 2034'!F11+'США 2034'!G11)+(0.35*LN(1+0.6*'Ход 2034'!B17)*POWER(MAX(0,1-'США 2034'!I11/10),0.7))))</f>
        <v>8.3999999999999968</v>
      </c>
      <c r="C11" s="3">
        <f>MIN(1,'США 2034'!C11+'США 2034'!F11+(0.08*LN(1+0.5*'Ход 2034'!C17)*MAX(0,1-('США 2034'!C11+'США 2034'!F11))))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8.3999999999999968</v>
      </c>
      <c r="J11" s="3"/>
      <c r="K11" s="3" t="s">
        <v>265</v>
      </c>
      <c r="L11" s="3">
        <f>MAX(1,MIN(10,'США 2034'!L11+'США 2034'!N11+('США 2034'!M11+'США 2034'!P11+'США 2034'!Q11)))</f>
        <v>10</v>
      </c>
      <c r="M11" s="3">
        <f>MIN(1,'США 2034'!M11+'США 2034'!P11+(0.1*LN(1+0.5*'Ход 2034'!H13)*POWER(MAX(0,1-'США 2034'!S11/10),0.8)))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2034'!V11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2034'!B12+'США 2034'!D12+('США 2034'!C12+'США 2034'!F12+'США 2034'!G12)+(0.35*LN(1+0.6*'Ход 2034'!B18)*POWER(MAX(0,1-'США 2034'!I12/10),0.7))))</f>
        <v>9.4500000000000064</v>
      </c>
      <c r="C12" s="3">
        <f>MIN(1,'США 2034'!C12+'США 2034'!F12+(0.08*LN(1+0.5*'Ход 2034'!C18)*MAX(0,1-('США 2034'!C12+'США 2034'!F12))))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9.4500000000000064</v>
      </c>
      <c r="J12" s="3"/>
      <c r="K12" s="3" t="s">
        <v>269</v>
      </c>
      <c r="L12" s="3">
        <f>MAX(1,MIN(10,'США 2034'!L12+'США 2034'!N12+('США 2034'!M12+'США 2034'!P12+'США 2034'!Q12)))</f>
        <v>10</v>
      </c>
      <c r="M12" s="3">
        <f>MIN(1,'США 2034'!M12+'США 2034'!P12+(0.1*LN(1+0.5*'Ход 2034'!H14)*POWER(MAX(0,1-'США 2034'!S12/10),0.8)))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2034'!V12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2034'!B13+'США 2034'!D13+('США 2034'!C13+'США 2034'!F13+'США 2034'!G13)+(0.35*LN(1+0.6*'Ход 2034'!B19)*POWER(MAX(0,1-'США 2034'!I13/10),0.7))))</f>
        <v>10</v>
      </c>
      <c r="C13" s="3">
        <f>MIN(1,'США 2034'!C13+'США 2034'!F13+(0.08*LN(1+0.5*'Ход 2034'!C19)*MAX(0,1-('США 2034'!C13+'США 2034'!F13))))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2034'!L13+'США 2034'!N13+('США 2034'!M13+'США 2034'!P13+'США 2034'!Q13)))</f>
        <v>10</v>
      </c>
      <c r="M13" s="3">
        <f>MIN(1,'США 2034'!M13+'США 2034'!P13+(0.1*LN(1+0.5*'Ход 2034'!H15)*POWER(MAX(0,1-'США 2034'!S13/10),0.8)))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2034'!V13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2034'!B14+'США 2034'!D14+('США 2034'!C14+'США 2034'!F14+'США 2034'!G14)+(0.35*LN(1+0.6*'Ход 2034'!B20)*POWER(MAX(0,1-'США 2034'!I14/10),0.7))))</f>
        <v>10</v>
      </c>
      <c r="C14" s="3">
        <f>MIN(1,'США 2034'!C14+'США 2034'!F14+(0.08*LN(1+0.5*'Ход 2034'!C20)*MAX(0,1-('США 2034'!C14+'США 2034'!F14))))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2034'!L14+'США 2034'!N14+('США 2034'!M14+'США 2034'!P14+'США 2034'!Q14)))</f>
        <v>10</v>
      </c>
      <c r="M14" s="3">
        <f>MIN(1,'США 2034'!M14+'США 2034'!P14+(0.1*LN(1+0.5*'Ход 2034'!H16)*POWER(MAX(0,1-'США 2034'!S14/10),0.8)))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2034'!V14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2034'!B15+'США 2034'!D15+('США 2034'!C15+'США 2034'!F15+'США 2034'!G15)+(0.35*LN(1+0.6*'Ход 2034'!B21)*POWER(MAX(0,1-'США 2034'!I15/10),0.7))))</f>
        <v>10</v>
      </c>
      <c r="C15" s="3">
        <f>MIN(1,'США 2034'!C15+'США 2034'!F15+(0.08*LN(1+0.5*'Ход 2034'!C21)*MAX(0,1-('США 2034'!C15+'США 2034'!F15))))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2034'!L15+'США 2034'!N15+('США 2034'!M15+'США 2034'!P15+'США 2034'!Q15)))</f>
        <v>10</v>
      </c>
      <c r="M15" s="3">
        <f>MIN(1,'США 2034'!M15+'США 2034'!P15+(0.1*LN(1+0.5*'Ход 2034'!H17)*POWER(MAX(0,1-'США 2034'!S15/10),0.8)))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2034'!V15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2034'!B16+'США 2034'!D16+('США 2034'!C16+'США 2034'!F16+'США 2034'!G16)+(0.35*LN(1+0.6*'Ход 2034'!B22)*POWER(MAX(0,1-'США 2034'!I16/10),0.7))))</f>
        <v>10</v>
      </c>
      <c r="C16" s="3">
        <f>MIN(1,'США 2034'!C16+'США 2034'!F16+(0.08*LN(1+0.5*'Ход 2034'!C22)*MAX(0,1-('США 2034'!C16+'США 2034'!F16))))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2034'!L16+'США 2034'!N16+('США 2034'!M16+'США 2034'!P16+'США 2034'!Q16)))</f>
        <v>10</v>
      </c>
      <c r="M16" s="3">
        <f>MIN(1,'США 2034'!M16+'США 2034'!P16+(0.1*LN(1+0.5*'Ход 2034'!H18)*POWER(MAX(0,1-'США 2034'!S16/10),0.8)))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2034'!V16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2034'!B17+'США 2034'!D17+('США 2034'!C17+'США 2034'!F17+'США 2034'!G17)+(0.35*LN(1+0.6*'Ход 2034'!B23)*POWER(MAX(0,1-'США 2034'!I17/10),0.7))))</f>
        <v>9.8999999999999968</v>
      </c>
      <c r="C17" s="3">
        <f>MIN(1,'США 2034'!C17+'США 2034'!F17+(0.08*LN(1+0.5*'Ход 2034'!C23)*MAX(0,1-('США 2034'!C17+'США 2034'!F17))))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9.8999999999999968</v>
      </c>
      <c r="J17" s="3"/>
      <c r="K17" s="3" t="s">
        <v>289</v>
      </c>
      <c r="L17" s="3">
        <f>MAX(1,MIN(10,'США 2034'!L17+'США 2034'!N17+('США 2034'!M17+'США 2034'!P17+'США 2034'!Q17)))</f>
        <v>9.7000000000000028</v>
      </c>
      <c r="M17" s="3">
        <f>MIN(1,'США 2034'!M17+'США 2034'!P17+(0.1*LN(1+0.5*'Ход 2034'!H19)*POWER(MAX(0,1-'США 2034'!S17/10),0.8)))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9.7000000000000028</v>
      </c>
      <c r="T17" s="3"/>
      <c r="U17" s="3" t="s">
        <v>290</v>
      </c>
      <c r="V17" s="7">
        <f>'США 2034'!V17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2034'!L18+'США 2034'!N18+('США 2034'!M18+'США 2034'!P18+'США 2034'!Q18)))</f>
        <v>9.7000000000000028</v>
      </c>
      <c r="M18" s="3">
        <f>MIN(1,'США 2034'!M18+'США 2034'!P18+(0.1*LN(1+0.5*'Ход 2034'!H20)*POWER(MAX(0,1-'США 2034'!S18/10),0.8)))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9.7000000000000028</v>
      </c>
      <c r="T18" s="3"/>
      <c r="U18" s="3" t="s">
        <v>294</v>
      </c>
      <c r="V18" s="7">
        <f>'США 2034'!V18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2034'!B19+'США 2034'!D19+('США 2034'!C19+'США 2034'!F19+'США 2034'!G19)+(0.35*LN(1+0.6*'Ход 2034'!B25)*POWER(MAX(0,1-'США 2034'!I19/10),0.7))))</f>
        <v>9.8999999999999968</v>
      </c>
      <c r="C19" s="3">
        <f>MIN(1,'США 2034'!C19+'США 2034'!F19+(0.08*LN(1+0.5*'Ход 2034'!C25)*MAX(0,1-('США 2034'!C19+'США 2034'!F19))))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9.8999999999999968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2034'!V19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2034'!B20+'США 2034'!D20+('США 2034'!C20+'США 2034'!F20+'США 2034'!G20)+(0.35*LN(1+0.6*'Ход 2034'!B26)*POWER(MAX(0,1-'США 2034'!I20/10),0.7))))</f>
        <v>9.8999999999999968</v>
      </c>
      <c r="C20" s="3">
        <f>MIN(1,'США 2034'!C20+'США 2034'!F20+(0.08*LN(1+0.5*'Ход 2034'!C26)*MAX(0,1-('США 2034'!C20+'США 2034'!F20))))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9.8999999999999968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2034'!V20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2034'!B21+'США 2034'!D21+('США 2034'!C21+'США 2034'!F21+'США 2034'!G21)+(0.35*LN(1+0.6*'Ход 2034'!B27)*POWER(MAX(0,1-'США 2034'!I21/10),0.7))))</f>
        <v>9.3500000000000032</v>
      </c>
      <c r="C21" s="3">
        <f>MIN(1,'США 2034'!C21+'США 2034'!F21+(0.08*LN(1+0.5*'Ход 2034'!C27)*MAX(0,1-('США 2034'!C21+'США 2034'!F21))))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9.3500000000000032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2034'!V21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2034'!B22+'США 2034'!D22+('США 2034'!C22+'США 2034'!F22+'США 2034'!G22)+(0.35*LN(1+0.6*'Ход 2034'!B28)*POWER(MAX(0,1-'США 2034'!I22/10),0.7))))</f>
        <v>9.8999999999999968</v>
      </c>
      <c r="C22" s="3">
        <f>MIN(1,'США 2034'!C22+'США 2034'!F22+(0.08*LN(1+0.5*'Ход 2034'!C28)*MAX(0,1-('США 2034'!C22+'США 2034'!F22))))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9.8999999999999968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2034'!V22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2034'!B23+'США 2034'!D23+('США 2034'!C23+'США 2034'!F23+'США 2034'!G23)+(0.35*LN(1+0.6*'Ход 2034'!B29)*POWER(MAX(0,1-'США 2034'!I23/10),0.7))))</f>
        <v>9.8999999999999968</v>
      </c>
      <c r="C23" s="3">
        <f>MIN(1,'США 2034'!C23+'США 2034'!F23+(0.08*LN(1+0.5*'Ход 2034'!C29)*MAX(0,1-('США 2034'!C23+'США 2034'!F23))))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9.8999999999999968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2034'!V23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2034'!V24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2034'!B25+'США 2034'!D25+('США 2034'!C25+'США 2034'!F25+'США 2034'!G25)+(0.35*LN(1+0.6*'Ход 2034'!B31)*POWER(MAX(0,1-'США 2034'!I25/10),0.7))))</f>
        <v>10</v>
      </c>
      <c r="C25" s="3">
        <f>MIN(1,'США 2034'!C25+'США 2034'!F25+(0.08*LN(1+0.5*'Ход 2034'!C31)*MAX(0,1-('США 2034'!C25+'США 2034'!F25))))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2034'!V25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2034'!B26+'США 2034'!D26+('США 2034'!C26+'США 2034'!F26+'США 2034'!G26)+(0.35*LN(1+0.6*'Ход 2034'!B32)*POWER(MAX(0,1-'США 2034'!I26/10),0.7))))</f>
        <v>10</v>
      </c>
      <c r="C26" s="3">
        <f>MIN(1,'США 2034'!C26+'США 2034'!F26+(0.08*LN(1+0.5*'Ход 2034'!C32)*MAX(0,1-('США 2034'!C26+'США 2034'!F26))))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2034'!V26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2034'!B27+'США 2034'!D27+('США 2034'!C27+'США 2034'!F27+'США 2034'!G27)+(0.35*LN(1+0.6*'Ход 2034'!B33)*POWER(MAX(0,1-'США 2034'!I27/10),0.7))))</f>
        <v>10</v>
      </c>
      <c r="C27" s="3">
        <f>MIN(1,'США 2034'!C27+'США 2034'!F27+(0.08*LN(1+0.5*'Ход 2034'!C33)*MAX(0,1-('США 2034'!C27+'США 2034'!F27))))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2034'!B28+'США 2034'!D28+('США 2034'!C28+'США 2034'!F28+'США 2034'!G28)+(0.35*LN(1+0.6*'Ход 2034'!B34)*POWER(MAX(0,1-'США 2034'!I28/10),0.7))))</f>
        <v>10</v>
      </c>
      <c r="C28" s="3">
        <f>MIN(1,'США 2034'!C28+'США 2034'!F28+(0.08*LN(1+0.5*'Ход 2034'!C34)*MAX(0,1-('США 2034'!C28+'США 2034'!F28))))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2034'!B29+'США 2034'!D29+('США 2034'!C29+'США 2034'!F29+'США 2034'!G29)+(0.35*LN(1+0.6*'Ход 2034'!B35)*POWER(MAX(0,1-'США 2034'!I29/10),0.7))))</f>
        <v>10</v>
      </c>
      <c r="C29" s="3">
        <f>MIN(1,'США 2034'!C29+'США 2034'!F29+(0.08*LN(1+0.5*'Ход 2034'!C35)*MAX(0,1-('США 2034'!C29+'США 2034'!F29))))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2034'!B30+'США 2034'!D30+('США 2034'!C30+'США 2034'!F30+'США 2034'!G30)+(0.35*LN(1+0.6*'Ход 2034'!B36)*POWER(MAX(0,1-'США 2034'!I30/10),0.7))))</f>
        <v>10</v>
      </c>
      <c r="C30" s="3">
        <f>MIN(1,'США 2034'!C30+'США 2034'!F30+(0.08*LN(1+0.5*'Ход 2034'!C36)*MAX(0,1-('США 2034'!C30+'США 2034'!F30))))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2034'!B31+'США 2034'!D31+('США 2034'!C31+'США 2034'!F31+'США 2034'!G31)+(0.35*LN(1+0.6*'Ход 2034'!B37)*POWER(MAX(0,1-'США 2034'!I31/10),0.7))))</f>
        <v>8.8999999999999968</v>
      </c>
      <c r="C31" s="3">
        <f>MIN(1,'США 2034'!C31+'США 2034'!F31+(0.08*LN(1+0.5*'Ход 2034'!C37)*MAX(0,1-('США 2034'!C31+'США 2034'!F31))))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8.8999999999999968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2034'!B32+'США 2034'!D32+('США 2034'!C32+'США 2034'!F32+'США 2034'!G32)+(0.35*LN(1+0.6*'Ход 2034'!B38)*POWER(MAX(0,1-'США 2034'!I32/10),0.7))))</f>
        <v>9.3999999999999968</v>
      </c>
      <c r="C32" s="3">
        <f>MIN(1,'США 2034'!C32+'США 2034'!F32+(0.08*LN(1+0.5*'Ход 2034'!C38)*MAX(0,1-('США 2034'!C32+'США 2034'!F32))))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9.3999999999999968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2034'!B34+'США 2034'!D34+('США 2034'!C34+'США 2034'!F34+'США 2034'!G34)+(0.35*LN(1+0.6*'Ход 2034'!B40)*POWER(MAX(0,1-'США 2034'!I34/10),0.7))))</f>
        <v>8.8999999999999968</v>
      </c>
      <c r="C34" s="3">
        <f>MIN(1,'США 2034'!C34+'США 2034'!F34+(0.08*LN(1+0.5*'Ход 2034'!C40)*MAX(0,1-('США 2034'!C34+'США 2034'!F34))))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8.8999999999999968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2034'!B35+'США 2034'!D35+('США 2034'!C35+'США 2034'!F35+'США 2034'!G35)+(0.35*LN(1+0.6*'Ход 2034'!B41)*POWER(MAX(0,1-'США 2034'!I35/10),0.7))))</f>
        <v>9.9500000000000064</v>
      </c>
      <c r="C35" s="3">
        <f>MIN(1,'США 2034'!C35+'США 2034'!F35+(0.08*LN(1+0.5*'Ход 2034'!C41)*MAX(0,1-('США 2034'!C35+'США 2034'!F35))))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9.9500000000000064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2034'!B36+'США 2034'!D36+('США 2034'!C36+'США 2034'!F36+'США 2034'!G36)+(0.35*LN(1+0.6*'Ход 2034'!B42)*POWER(MAX(0,1-'США 2034'!I36/10),0.7))))</f>
        <v>10</v>
      </c>
      <c r="C36" s="3">
        <f>MIN(1,'США 2034'!C36+'США 2034'!F36+(0.08*LN(1+0.5*'Ход 2034'!C42)*MAX(0,1-('США 2034'!C36+'США 2034'!F36))))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2034'!B37+'США 2034'!D37+('США 2034'!C37+'США 2034'!F37+'США 2034'!G37)+(0.35*LN(1+0.6*'Ход 2034'!B43)*POWER(MAX(0,1-'США 2034'!I37/10),0.7))))</f>
        <v>10</v>
      </c>
      <c r="C37" s="3">
        <f>MIN(1,'США 2034'!C37+'США 2034'!F37+(0.08*LN(1+0.5*'Ход 2034'!C43)*MAX(0,1-('США 2034'!C37+'США 2034'!F37))))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2034'!B38+'США 2034'!D38+('США 2034'!C38+'США 2034'!F38+'США 2034'!G38)+(0.35*LN(1+0.6*'Ход 2034'!B44)*POWER(MAX(0,1-'США 2034'!I38/10),0.7))))</f>
        <v>10</v>
      </c>
      <c r="C38" s="3">
        <f>MIN(1,'США 2034'!C38+'США 2034'!F38+(0.08*LN(1+0.5*'Ход 2034'!C44)*MAX(0,1-('США 2034'!C38+'США 2034'!F38))))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2034'!B39+'США 2034'!D39+('США 2034'!C39+'США 2034'!F39+'США 2034'!G39)+(0.35*LN(1+0.6*'Ход 2034'!B45)*POWER(MAX(0,1-'США 2034'!I39/10),0.7))))</f>
        <v>9.8500000000000032</v>
      </c>
      <c r="C39" s="3">
        <f>MIN(1,'США 2034'!C39+'США 2034'!F39+(0.08*LN(1+0.5*'Ход 2034'!C45)*MAX(0,1-('США 2034'!C39+'США 2034'!F39))))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9.8500000000000032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2034'!B40+'США 2034'!D40+('США 2034'!C40+'США 2034'!F40+'США 2034'!G40)+(0.35*LN(1+0.6*'Ход 2034'!B46)*POWER(MAX(0,1-'США 2034'!I40/10),0.7))))</f>
        <v>9.4500000000000064</v>
      </c>
      <c r="C40" s="3">
        <f>MIN(1,'США 2034'!C40+'США 2034'!F40+(0.08*LN(1+0.5*'Ход 2034'!C46)*MAX(0,1-('США 2034'!C40+'США 2034'!F40))))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9.4500000000000064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2034'!B41+'США 2034'!D41+('США 2034'!C41+'США 2034'!F41+'США 2034'!G41)+(0.35*LN(1+0.6*'Ход 2034'!B47)*POWER(MAX(0,1-'США 2034'!I41/10),0.7))))</f>
        <v>10</v>
      </c>
      <c r="C41" s="3">
        <f>MIN(1,'США 2034'!C41+'США 2034'!F41+(0.08*LN(1+0.5*'Ход 2034'!C47)*MAX(0,1-('США 2034'!C41+'США 2034'!F41))))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2034'!B42+'США 2034'!D42+('США 2034'!C42+'США 2034'!F42+'США 2034'!G42)+(0.35*LN(1+0.6*'Ход 2034'!B48)*POWER(MAX(0,1-'США 2034'!I42/10),0.7))))</f>
        <v>10</v>
      </c>
      <c r="C42" s="3">
        <f>MIN(1,'США 2034'!C42+'США 2034'!F42+(0.08*LN(1+0.5*'Ход 2034'!C48)*MAX(0,1-('США 2034'!C42+'США 2034'!F42))))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2034'!B44+'США 2034'!D44+('США 2034'!C44+'США 2034'!F44+'США 2034'!G44)+(0.35*LN(1+0.6*'Ход 2034'!B50)*POWER(MAX(0,1-'США 2034'!I44/10),0.7))))</f>
        <v>8.8999999999999968</v>
      </c>
      <c r="C44" s="3">
        <f>MIN(1,'США 2034'!C44+'США 2034'!F44+(0.08*LN(1+0.5*'Ход 2034'!C50)*MAX(0,1-('США 2034'!C44+'США 2034'!F44))))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8.8999999999999968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2034'!B45+'США 2034'!D45+('США 2034'!C45+'США 2034'!F45+'США 2034'!G45)+(0.35*LN(1+0.6*'Ход 2034'!B51)*POWER(MAX(0,1-'США 2034'!I45/10),0.7))))</f>
        <v>9.2999999999999954</v>
      </c>
      <c r="C45" s="3">
        <f>MIN(1,'США 2034'!C45+'США 2034'!F45+(0.08*LN(1+0.5*'Ход 2034'!C51)*MAX(0,1-('США 2034'!C45+'США 2034'!F45))))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9.2999999999999954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2034'!B46+'США 2034'!D46+('США 2034'!C46+'США 2034'!F46+'США 2034'!G46)+(0.35*LN(1+0.6*'Ход 2034'!B52)*POWER(MAX(0,1-'США 2034'!I46/10),0.7))))</f>
        <v>9.3999999999999968</v>
      </c>
      <c r="C46" s="3">
        <f>MIN(1,'США 2034'!C46+'США 2034'!F46+(0.08*LN(1+0.5*'Ход 2034'!C52)*MAX(0,1-('США 2034'!C46+'США 2034'!F46))))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9.3999999999999968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2034'!B47+'США 2034'!D47+('США 2034'!C47+'США 2034'!F47+'США 2034'!G47)+(0.35*LN(1+0.6*'Ход 2034'!B53)*POWER(MAX(0,1-'США 2034'!I47/10),0.7))))</f>
        <v>6.1000000000000032</v>
      </c>
      <c r="C47" s="3">
        <f>MIN(1,'США 2034'!C47+'США 2034'!F47+(0.08*LN(1+0.5*'Ход 2034'!C53)*MAX(0,1-('США 2034'!C47+'США 2034'!F47))))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6.1000000000000032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2034'!B48+'США 2034'!D48+('США 2034'!C48+'США 2034'!F48+'США 2034'!G48)+(0.35*LN(1+0.6*'Ход 2034'!B54)*POWER(MAX(0,1-'США 2034'!I48/10),0.7))))</f>
        <v>5.9499999999999984</v>
      </c>
      <c r="C48" s="3">
        <f>MIN(1,'США 2034'!C48+'США 2034'!F48+(0.08*LN(1+0.5*'Ход 2034'!C54)*MAX(0,1-('США 2034'!C48+'США 2034'!F48))))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5.9499999999999984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2034'!B49+'США 2034'!D49+('США 2034'!C49+'США 2034'!F49+'США 2034'!G49)+(0.35*LN(1+0.6*'Ход 2034'!B55)*POWER(MAX(0,1-'США 2034'!I49/10),0.7))))</f>
        <v>10</v>
      </c>
      <c r="C49" s="3">
        <f>MIN(1,'США 2034'!C49+'США 2034'!F49+(0.08*LN(1+0.5*'Ход 2034'!C55)*MAX(0,1-('США 2034'!C49+'США 2034'!F49))))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2034'!B50+'США 2034'!D50+('США 2034'!C50+'США 2034'!F50+'США 2034'!G50)+(0.35*LN(1+0.6*'Ход 2034'!B56)*POWER(MAX(0,1-'США 2034'!I50/10),0.7))))</f>
        <v>9.9500000000000064</v>
      </c>
      <c r="C50" s="3">
        <f>MIN(1,'США 2034'!C50+'США 2034'!F50+(0.08*LN(1+0.5*'Ход 2034'!C56)*MAX(0,1-('США 2034'!C50+'США 2034'!F50))))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9.9500000000000064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2034'!B51+'США 2034'!D51+('США 2034'!C51+'США 2034'!F51+'США 2034'!G51)+(0.35*LN(1+0.6*'Ход 2034'!B57)*POWER(MAX(0,1-'США 2034'!I51/10),0.7))))</f>
        <v>9.2999999999999954</v>
      </c>
      <c r="C51" s="3">
        <f>MIN(1,'США 2034'!C51+'США 2034'!F51+(0.08*LN(1+0.5*'Ход 2034'!C57)*MAX(0,1-('США 2034'!C51+'США 2034'!F51))))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9.2999999999999954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2034'!B53+'США 2034'!D53+('США 2034'!C53+'США 2034'!F53+'США 2034'!G53)+(0.35*LN(1+0.6*'Ход 2034'!B59)*POWER(MAX(0,1-'США 2034'!I53/10),0.7))))</f>
        <v>9.7999999999999936</v>
      </c>
      <c r="C53" s="3">
        <f>MIN(1,'США 2034'!C53+'США 2034'!F53+(0.08*LN(1+0.5*'Ход 2034'!C59)*MAX(0,1-('США 2034'!C53+'США 2034'!F53))))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9.7999999999999936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2034'!B54+'США 2034'!D54+('США 2034'!C54+'США 2034'!F54+'США 2034'!G54)+(0.35*LN(1+0.6*'Ход 2034'!B60)*POWER(MAX(0,1-'США 2034'!I54/10),0.7))))</f>
        <v>9.8999999999999968</v>
      </c>
      <c r="C54" s="3">
        <f>MIN(1,'США 2034'!C54+'США 2034'!F54+(0.08*LN(1+0.5*'Ход 2034'!C60)*MAX(0,1-('США 2034'!C54+'США 2034'!F54))))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9.8999999999999968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2034'!B55+'США 2034'!D55+('США 2034'!C55+'США 2034'!F55+'США 2034'!G55)+(0.35*LN(1+0.6*'Ход 2034'!B61)*POWER(MAX(0,1-'США 2034'!I55/10),0.7))))</f>
        <v>8.3500000000000032</v>
      </c>
      <c r="C55" s="3">
        <f>MIN(1,'США 2034'!C55+'США 2034'!F55+(0.08*LN(1+0.5*'Ход 2034'!C61)*MAX(0,1-('США 2034'!C55+'США 2034'!F55))))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8.3500000000000032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396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2035'!U6</f>
        <v>99.603927726224754</v>
      </c>
      <c r="C6" s="3"/>
      <c r="D6" s="3"/>
      <c r="E6" s="3" t="s">
        <v>351</v>
      </c>
      <c r="F6" s="3">
        <f>'США 2035'!K6</f>
        <v>83.999852430175864</v>
      </c>
      <c r="G6" s="3"/>
      <c r="H6" s="3"/>
      <c r="I6" s="3" t="s">
        <v>351</v>
      </c>
      <c r="J6" s="3">
        <f>'США 2035'!N6</f>
        <v>76.341855116556999</v>
      </c>
      <c r="K6" s="3"/>
      <c r="L6" s="3"/>
      <c r="M6" s="3" t="s">
        <v>351</v>
      </c>
      <c r="N6" s="3">
        <f>'США 2035'!Q6</f>
        <v>85.336881699518287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99.603927726224754</v>
      </c>
      <c r="C8" s="3" t="str">
        <f>IF(B8&lt;0,"ПРЕВЫШЕНИЕ","OK")</f>
        <v>OK</v>
      </c>
      <c r="D8" s="3"/>
      <c r="E8" s="3" t="s">
        <v>353</v>
      </c>
      <c r="F8" s="3">
        <f>F6-F7</f>
        <v>83.999852430175864</v>
      </c>
      <c r="G8" s="3" t="str">
        <f>IF(F8&lt;0,"ПРЕВЫШЕНИЕ","OK")</f>
        <v>OK</v>
      </c>
      <c r="H8" s="3"/>
      <c r="I8" s="3" t="s">
        <v>353</v>
      </c>
      <c r="J8" s="3">
        <f>J6-J7</f>
        <v>76.341855116556999</v>
      </c>
      <c r="K8" s="3" t="str">
        <f>IF(J8&lt;0,"ПРЕВЫШЕНИЕ","OK")</f>
        <v>OK</v>
      </c>
      <c r="L8" s="3"/>
      <c r="M8" s="3" t="s">
        <v>353</v>
      </c>
      <c r="N8" s="3">
        <f>N6-N7</f>
        <v>85.336881699518287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2035'!V11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35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2035'!V12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85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2035'!V13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77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2035'!V14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29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2035'!V15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81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2035'!V16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72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2035'!V17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73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2035'!V18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37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2035'!V19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1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2035'!V20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48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2035'!V21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76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2035'!V22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49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2035'!V23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90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2035'!V24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45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2035'!V25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60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2035'!V26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79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IF(G29="","",VLOOKUP(G29,Технологии!$A$11:$BF$50,53,FALSE))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IF(G30="","",VLOOKUP(G30,Технологии!$A$11:$BF$50,53,FALSE))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IF(G31="","",VLOOKUP(G31,Технологии!$A$11:$BF$50,53,FALSE))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IF(G32="","",VLOOKUP(G32,Технологии!$A$11:$BF$50,53,FALSE))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IF(G33="","",VLOOKUP(G33,Технологии!$A$11:$BF$50,53,FALSE))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IF(G34="","",VLOOKUP(G34,Технологии!$A$11:$BF$50,53,FALSE))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IF(G35="","",VLOOKUP(G35,Технологии!$A$11:$BF$50,53,FALSE))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IF(G36="","",VLOOKUP(G36,Технологии!$A$11:$BF$50,53,FALSE))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IF(G37="","",VLOOKUP(G37,Технологии!$A$11:$BF$50,53,FALSE))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IF(G38="","",VLOOKUP(G38,Технологии!$A$11:$BF$50,53,FALSE))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84.251275318315351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76.512378632036786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85.673117710887709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99.781843208483437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2035'!B8+'США 2035'!D8+('США 2035'!C8+'США 2035'!F8+'США 2035'!G8)+(0.35*LN(1+0.6*'Ход 2035'!B14)*POWER(MAX(0,1-'США 2035'!I8/10),0.7))))</f>
        <v>8.4999999999999964</v>
      </c>
      <c r="C8" s="3">
        <f>MIN(1,'США 2035'!C8+'США 2035'!F8+(0.08*LN(1+0.5*'Ход 2035'!C14)*MAX(0,1-('США 2035'!C8+'США 2035'!F8))))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8.4999999999999964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2035'!B9+'США 2035'!D9+('США 2035'!C9+'США 2035'!F9+'США 2035'!G9)+(0.35*LN(1+0.6*'Ход 2035'!B15)*POWER(MAX(0,1-'США 2035'!I9/10),0.7))))</f>
        <v>10</v>
      </c>
      <c r="C9" s="3">
        <f>MIN(1,'США 2035'!C9+'США 2035'!F9+(0.08*LN(1+0.5*'Ход 2035'!C15)*MAX(0,1-('США 2035'!C9+'США 2035'!F9))))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2035'!B10+'США 2035'!D10+('США 2035'!C10+'США 2035'!F10+'США 2035'!G10)+(0.35*LN(1+0.6*'Ход 2035'!B16)*POWER(MAX(0,1-'США 2035'!I10/10),0.7))))</f>
        <v>10</v>
      </c>
      <c r="C10" s="3">
        <f>MIN(1,'США 2035'!C10+'США 2035'!F10+(0.08*LN(1+0.5*'Ход 2035'!C16)*MAX(0,1-('США 2035'!C10+'США 2035'!F10))))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2035'!B11+'США 2035'!D11+('США 2035'!C11+'США 2035'!F11+'США 2035'!G11)+(0.35*LN(1+0.6*'Ход 2035'!B17)*POWER(MAX(0,1-'США 2035'!I11/10),0.7))))</f>
        <v>8.4999999999999964</v>
      </c>
      <c r="C11" s="3">
        <f>MIN(1,'США 2035'!C11+'США 2035'!F11+(0.08*LN(1+0.5*'Ход 2035'!C17)*MAX(0,1-('США 2035'!C11+'США 2035'!F11))))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8.4999999999999964</v>
      </c>
      <c r="J11" s="3"/>
      <c r="K11" s="3" t="s">
        <v>265</v>
      </c>
      <c r="L11" s="3">
        <f>MAX(1,MIN(10,'США 2035'!L11+'США 2035'!N11+('США 2035'!M11+'США 2035'!P11+'США 2035'!Q11)))</f>
        <v>10</v>
      </c>
      <c r="M11" s="3">
        <f>MIN(1,'США 2035'!M11+'США 2035'!P11+(0.1*LN(1+0.5*'Ход 2035'!H13)*POWER(MAX(0,1-'США 2035'!S11/10),0.8)))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2035'!V11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2035'!B12+'США 2035'!D12+('США 2035'!C12+'США 2035'!F12+'США 2035'!G12)+(0.35*LN(1+0.6*'Ход 2035'!B18)*POWER(MAX(0,1-'США 2035'!I12/10),0.7))))</f>
        <v>9.5000000000000071</v>
      </c>
      <c r="C12" s="3">
        <f>MIN(1,'США 2035'!C12+'США 2035'!F12+(0.08*LN(1+0.5*'Ход 2035'!C18)*MAX(0,1-('США 2035'!C12+'США 2035'!F12))))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9.5000000000000071</v>
      </c>
      <c r="J12" s="3"/>
      <c r="K12" s="3" t="s">
        <v>269</v>
      </c>
      <c r="L12" s="3">
        <f>MAX(1,MIN(10,'США 2035'!L12+'США 2035'!N12+('США 2035'!M12+'США 2035'!P12+'США 2035'!Q12)))</f>
        <v>10</v>
      </c>
      <c r="M12" s="3">
        <f>MIN(1,'США 2035'!M12+'США 2035'!P12+(0.1*LN(1+0.5*'Ход 2035'!H14)*POWER(MAX(0,1-'США 2035'!S12/10),0.8)))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2035'!V12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2035'!B13+'США 2035'!D13+('США 2035'!C13+'США 2035'!F13+'США 2035'!G13)+(0.35*LN(1+0.6*'Ход 2035'!B19)*POWER(MAX(0,1-'США 2035'!I13/10),0.7))))</f>
        <v>10</v>
      </c>
      <c r="C13" s="3">
        <f>MIN(1,'США 2035'!C13+'США 2035'!F13+(0.08*LN(1+0.5*'Ход 2035'!C19)*MAX(0,1-('США 2035'!C13+'США 2035'!F13))))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2035'!L13+'США 2035'!N13+('США 2035'!M13+'США 2035'!P13+'США 2035'!Q13)))</f>
        <v>10</v>
      </c>
      <c r="M13" s="3">
        <f>MIN(1,'США 2035'!M13+'США 2035'!P13+(0.1*LN(1+0.5*'Ход 2035'!H15)*POWER(MAX(0,1-'США 2035'!S13/10),0.8)))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2035'!V13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2035'!B14+'США 2035'!D14+('США 2035'!C14+'США 2035'!F14+'США 2035'!G14)+(0.35*LN(1+0.6*'Ход 2035'!B20)*POWER(MAX(0,1-'США 2035'!I14/10),0.7))))</f>
        <v>10</v>
      </c>
      <c r="C14" s="3">
        <f>MIN(1,'США 2035'!C14+'США 2035'!F14+(0.08*LN(1+0.5*'Ход 2035'!C20)*MAX(0,1-('США 2035'!C14+'США 2035'!F14))))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2035'!L14+'США 2035'!N14+('США 2035'!M14+'США 2035'!P14+'США 2035'!Q14)))</f>
        <v>10</v>
      </c>
      <c r="M14" s="3">
        <f>MIN(1,'США 2035'!M14+'США 2035'!P14+(0.1*LN(1+0.5*'Ход 2035'!H16)*POWER(MAX(0,1-'США 2035'!S14/10),0.8)))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2035'!V14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2035'!B15+'США 2035'!D15+('США 2035'!C15+'США 2035'!F15+'США 2035'!G15)+(0.35*LN(1+0.6*'Ход 2035'!B21)*POWER(MAX(0,1-'США 2035'!I15/10),0.7))))</f>
        <v>10</v>
      </c>
      <c r="C15" s="3">
        <f>MIN(1,'США 2035'!C15+'США 2035'!F15+(0.08*LN(1+0.5*'Ход 2035'!C21)*MAX(0,1-('США 2035'!C15+'США 2035'!F15))))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2035'!L15+'США 2035'!N15+('США 2035'!M15+'США 2035'!P15+'США 2035'!Q15)))</f>
        <v>10</v>
      </c>
      <c r="M15" s="3">
        <f>MIN(1,'США 2035'!M15+'США 2035'!P15+(0.1*LN(1+0.5*'Ход 2035'!H17)*POWER(MAX(0,1-'США 2035'!S15/10),0.8)))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2035'!V15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2035'!B16+'США 2035'!D16+('США 2035'!C16+'США 2035'!F16+'США 2035'!G16)+(0.35*LN(1+0.6*'Ход 2035'!B22)*POWER(MAX(0,1-'США 2035'!I16/10),0.7))))</f>
        <v>10</v>
      </c>
      <c r="C16" s="3">
        <f>MIN(1,'США 2035'!C16+'США 2035'!F16+(0.08*LN(1+0.5*'Ход 2035'!C22)*MAX(0,1-('США 2035'!C16+'США 2035'!F16))))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2035'!L16+'США 2035'!N16+('США 2035'!M16+'США 2035'!P16+'США 2035'!Q16)))</f>
        <v>10</v>
      </c>
      <c r="M16" s="3">
        <f>MIN(1,'США 2035'!M16+'США 2035'!P16+(0.1*LN(1+0.5*'Ход 2035'!H18)*POWER(MAX(0,1-'США 2035'!S16/10),0.8)))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2035'!V16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2035'!B17+'США 2035'!D17+('США 2035'!C17+'США 2035'!F17+'США 2035'!G17)+(0.35*LN(1+0.6*'Ход 2035'!B23)*POWER(MAX(0,1-'США 2035'!I17/10),0.7))))</f>
        <v>9.9999999999999964</v>
      </c>
      <c r="C17" s="3">
        <f>MIN(1,'США 2035'!C17+'США 2035'!F17+(0.08*LN(1+0.5*'Ход 2035'!C23)*MAX(0,1-('США 2035'!C17+'США 2035'!F17))))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9.9999999999999964</v>
      </c>
      <c r="J17" s="3"/>
      <c r="K17" s="3" t="s">
        <v>289</v>
      </c>
      <c r="L17" s="3">
        <f>MAX(1,MIN(10,'США 2035'!L17+'США 2035'!N17+('США 2035'!M17+'США 2035'!P17+'США 2035'!Q17)))</f>
        <v>10</v>
      </c>
      <c r="M17" s="3">
        <f>MIN(1,'США 2035'!M17+'США 2035'!P17+(0.1*LN(1+0.5*'Ход 2035'!H19)*POWER(MAX(0,1-'США 2035'!S17/10),0.8)))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2035'!V17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2035'!L18+'США 2035'!N18+('США 2035'!M18+'США 2035'!P18+'США 2035'!Q18)))</f>
        <v>10</v>
      </c>
      <c r="M18" s="3">
        <f>MIN(1,'США 2035'!M18+'США 2035'!P18+(0.1*LN(1+0.5*'Ход 2035'!H20)*POWER(MAX(0,1-'США 2035'!S18/10),0.8)))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2035'!V18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2035'!B19+'США 2035'!D19+('США 2035'!C19+'США 2035'!F19+'США 2035'!G19)+(0.35*LN(1+0.6*'Ход 2035'!B25)*POWER(MAX(0,1-'США 2035'!I19/10),0.7))))</f>
        <v>9.9999999999999964</v>
      </c>
      <c r="C19" s="3">
        <f>MIN(1,'США 2035'!C19+'США 2035'!F19+(0.08*LN(1+0.5*'Ход 2035'!C25)*MAX(0,1-('США 2035'!C19+'США 2035'!F19))))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9.9999999999999964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2035'!V19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2035'!B20+'США 2035'!D20+('США 2035'!C20+'США 2035'!F20+'США 2035'!G20)+(0.35*LN(1+0.6*'Ход 2035'!B26)*POWER(MAX(0,1-'США 2035'!I20/10),0.7))))</f>
        <v>9.9999999999999964</v>
      </c>
      <c r="C20" s="3">
        <f>MIN(1,'США 2035'!C20+'США 2035'!F20+(0.08*LN(1+0.5*'Ход 2035'!C26)*MAX(0,1-('США 2035'!C20+'США 2035'!F20))))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9.9999999999999964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2035'!V20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2035'!B21+'США 2035'!D21+('США 2035'!C21+'США 2035'!F21+'США 2035'!G21)+(0.35*LN(1+0.6*'Ход 2035'!B27)*POWER(MAX(0,1-'США 2035'!I21/10),0.7))))</f>
        <v>9.5000000000000036</v>
      </c>
      <c r="C21" s="3">
        <f>MIN(1,'США 2035'!C21+'США 2035'!F21+(0.08*LN(1+0.5*'Ход 2035'!C27)*MAX(0,1-('США 2035'!C21+'США 2035'!F21))))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9.5000000000000036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2035'!V21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2035'!B22+'США 2035'!D22+('США 2035'!C22+'США 2035'!F22+'США 2035'!G22)+(0.35*LN(1+0.6*'Ход 2035'!B28)*POWER(MAX(0,1-'США 2035'!I22/10),0.7))))</f>
        <v>9.9999999999999964</v>
      </c>
      <c r="C22" s="3">
        <f>MIN(1,'США 2035'!C22+'США 2035'!F22+(0.08*LN(1+0.5*'Ход 2035'!C28)*MAX(0,1-('США 2035'!C22+'США 2035'!F22))))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9.9999999999999964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2035'!V22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2035'!B23+'США 2035'!D23+('США 2035'!C23+'США 2035'!F23+'США 2035'!G23)+(0.35*LN(1+0.6*'Ход 2035'!B29)*POWER(MAX(0,1-'США 2035'!I23/10),0.7))))</f>
        <v>9.9999999999999964</v>
      </c>
      <c r="C23" s="3">
        <f>MIN(1,'США 2035'!C23+'США 2035'!F23+(0.08*LN(1+0.5*'Ход 2035'!C29)*MAX(0,1-('США 2035'!C23+'США 2035'!F23))))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9.9999999999999964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2035'!V23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2035'!V24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2035'!B25+'США 2035'!D25+('США 2035'!C25+'США 2035'!F25+'США 2035'!G25)+(0.35*LN(1+0.6*'Ход 2035'!B31)*POWER(MAX(0,1-'США 2035'!I25/10),0.7))))</f>
        <v>10</v>
      </c>
      <c r="C25" s="3">
        <f>MIN(1,'США 2035'!C25+'США 2035'!F25+(0.08*LN(1+0.5*'Ход 2035'!C31)*MAX(0,1-('США 2035'!C25+'США 2035'!F25))))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2035'!V25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2035'!B26+'США 2035'!D26+('США 2035'!C26+'США 2035'!F26+'США 2035'!G26)+(0.35*LN(1+0.6*'Ход 2035'!B32)*POWER(MAX(0,1-'США 2035'!I26/10),0.7))))</f>
        <v>10</v>
      </c>
      <c r="C26" s="3">
        <f>MIN(1,'США 2035'!C26+'США 2035'!F26+(0.08*LN(1+0.5*'Ход 2035'!C32)*MAX(0,1-('США 2035'!C26+'США 2035'!F26))))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2035'!V26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2035'!B27+'США 2035'!D27+('США 2035'!C27+'США 2035'!F27+'США 2035'!G27)+(0.35*LN(1+0.6*'Ход 2035'!B33)*POWER(MAX(0,1-'США 2035'!I27/10),0.7))))</f>
        <v>10</v>
      </c>
      <c r="C27" s="3">
        <f>MIN(1,'США 2035'!C27+'США 2035'!F27+(0.08*LN(1+0.5*'Ход 2035'!C33)*MAX(0,1-('США 2035'!C27+'США 2035'!F27))))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2035'!B28+'США 2035'!D28+('США 2035'!C28+'США 2035'!F28+'США 2035'!G28)+(0.35*LN(1+0.6*'Ход 2035'!B34)*POWER(MAX(0,1-'США 2035'!I28/10),0.7))))</f>
        <v>10</v>
      </c>
      <c r="C28" s="3">
        <f>MIN(1,'США 2035'!C28+'США 2035'!F28+(0.08*LN(1+0.5*'Ход 2035'!C34)*MAX(0,1-('США 2035'!C28+'США 2035'!F28))))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2035'!B29+'США 2035'!D29+('США 2035'!C29+'США 2035'!F29+'США 2035'!G29)+(0.35*LN(1+0.6*'Ход 2035'!B35)*POWER(MAX(0,1-'США 2035'!I29/10),0.7))))</f>
        <v>10</v>
      </c>
      <c r="C29" s="3">
        <f>MIN(1,'США 2035'!C29+'США 2035'!F29+(0.08*LN(1+0.5*'Ход 2035'!C35)*MAX(0,1-('США 2035'!C29+'США 2035'!F29))))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2035'!B30+'США 2035'!D30+('США 2035'!C30+'США 2035'!F30+'США 2035'!G30)+(0.35*LN(1+0.6*'Ход 2035'!B36)*POWER(MAX(0,1-'США 2035'!I30/10),0.7))))</f>
        <v>10</v>
      </c>
      <c r="C30" s="3">
        <f>MIN(1,'США 2035'!C30+'США 2035'!F30+(0.08*LN(1+0.5*'Ход 2035'!C36)*MAX(0,1-('США 2035'!C30+'США 2035'!F30))))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2035'!B31+'США 2035'!D31+('США 2035'!C31+'США 2035'!F31+'США 2035'!G31)+(0.35*LN(1+0.6*'Ход 2035'!B37)*POWER(MAX(0,1-'США 2035'!I31/10),0.7))))</f>
        <v>8.9999999999999964</v>
      </c>
      <c r="C31" s="3">
        <f>MIN(1,'США 2035'!C31+'США 2035'!F31+(0.08*LN(1+0.5*'Ход 2035'!C37)*MAX(0,1-('США 2035'!C31+'США 2035'!F31))))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8.9999999999999964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2035'!B32+'США 2035'!D32+('США 2035'!C32+'США 2035'!F32+'США 2035'!G32)+(0.35*LN(1+0.6*'Ход 2035'!B38)*POWER(MAX(0,1-'США 2035'!I32/10),0.7))))</f>
        <v>9.4999999999999964</v>
      </c>
      <c r="C32" s="3">
        <f>MIN(1,'США 2035'!C32+'США 2035'!F32+(0.08*LN(1+0.5*'Ход 2035'!C38)*MAX(0,1-('США 2035'!C32+'США 2035'!F32))))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9.4999999999999964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2035'!B34+'США 2035'!D34+('США 2035'!C34+'США 2035'!F34+'США 2035'!G34)+(0.35*LN(1+0.6*'Ход 2035'!B40)*POWER(MAX(0,1-'США 2035'!I34/10),0.7))))</f>
        <v>8.9999999999999964</v>
      </c>
      <c r="C34" s="3">
        <f>MIN(1,'США 2035'!C34+'США 2035'!F34+(0.08*LN(1+0.5*'Ход 2035'!C40)*MAX(0,1-('США 2035'!C34+'США 2035'!F34))))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8.9999999999999964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2035'!B35+'США 2035'!D35+('США 2035'!C35+'США 2035'!F35+'США 2035'!G35)+(0.35*LN(1+0.6*'Ход 2035'!B41)*POWER(MAX(0,1-'США 2035'!I35/10),0.7))))</f>
        <v>10</v>
      </c>
      <c r="C35" s="3">
        <f>MIN(1,'США 2035'!C35+'США 2035'!F35+(0.08*LN(1+0.5*'Ход 2035'!C41)*MAX(0,1-('США 2035'!C35+'США 2035'!F35))))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2035'!B36+'США 2035'!D36+('США 2035'!C36+'США 2035'!F36+'США 2035'!G36)+(0.35*LN(1+0.6*'Ход 2035'!B42)*POWER(MAX(0,1-'США 2035'!I36/10),0.7))))</f>
        <v>10</v>
      </c>
      <c r="C36" s="3">
        <f>MIN(1,'США 2035'!C36+'США 2035'!F36+(0.08*LN(1+0.5*'Ход 2035'!C42)*MAX(0,1-('США 2035'!C36+'США 2035'!F36))))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2035'!B37+'США 2035'!D37+('США 2035'!C37+'США 2035'!F37+'США 2035'!G37)+(0.35*LN(1+0.6*'Ход 2035'!B43)*POWER(MAX(0,1-'США 2035'!I37/10),0.7))))</f>
        <v>10</v>
      </c>
      <c r="C37" s="3">
        <f>MIN(1,'США 2035'!C37+'США 2035'!F37+(0.08*LN(1+0.5*'Ход 2035'!C43)*MAX(0,1-('США 2035'!C37+'США 2035'!F37))))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2035'!B38+'США 2035'!D38+('США 2035'!C38+'США 2035'!F38+'США 2035'!G38)+(0.35*LN(1+0.6*'Ход 2035'!B44)*POWER(MAX(0,1-'США 2035'!I38/10),0.7))))</f>
        <v>10</v>
      </c>
      <c r="C38" s="3">
        <f>MIN(1,'США 2035'!C38+'США 2035'!F38+(0.08*LN(1+0.5*'Ход 2035'!C44)*MAX(0,1-('США 2035'!C38+'США 2035'!F38))))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2035'!B39+'США 2035'!D39+('США 2035'!C39+'США 2035'!F39+'США 2035'!G39)+(0.35*LN(1+0.6*'Ход 2035'!B45)*POWER(MAX(0,1-'США 2035'!I39/10),0.7))))</f>
        <v>10</v>
      </c>
      <c r="C39" s="3">
        <f>MIN(1,'США 2035'!C39+'США 2035'!F39+(0.08*LN(1+0.5*'Ход 2035'!C45)*MAX(0,1-('США 2035'!C39+'США 2035'!F39))))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2035'!B40+'США 2035'!D40+('США 2035'!C40+'США 2035'!F40+'США 2035'!G40)+(0.35*LN(1+0.6*'Ход 2035'!B46)*POWER(MAX(0,1-'США 2035'!I40/10),0.7))))</f>
        <v>9.5000000000000071</v>
      </c>
      <c r="C40" s="3">
        <f>MIN(1,'США 2035'!C40+'США 2035'!F40+(0.08*LN(1+0.5*'Ход 2035'!C46)*MAX(0,1-('США 2035'!C40+'США 2035'!F40))))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9.5000000000000071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2035'!B41+'США 2035'!D41+('США 2035'!C41+'США 2035'!F41+'США 2035'!G41)+(0.35*LN(1+0.6*'Ход 2035'!B47)*POWER(MAX(0,1-'США 2035'!I41/10),0.7))))</f>
        <v>10</v>
      </c>
      <c r="C41" s="3">
        <f>MIN(1,'США 2035'!C41+'США 2035'!F41+(0.08*LN(1+0.5*'Ход 2035'!C47)*MAX(0,1-('США 2035'!C41+'США 2035'!F41))))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2035'!B42+'США 2035'!D42+('США 2035'!C42+'США 2035'!F42+'США 2035'!G42)+(0.35*LN(1+0.6*'Ход 2035'!B48)*POWER(MAX(0,1-'США 2035'!I42/10),0.7))))</f>
        <v>10</v>
      </c>
      <c r="C42" s="3">
        <f>MIN(1,'США 2035'!C42+'США 2035'!F42+(0.08*LN(1+0.5*'Ход 2035'!C48)*MAX(0,1-('США 2035'!C42+'США 2035'!F42))))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2035'!B44+'США 2035'!D44+('США 2035'!C44+'США 2035'!F44+'США 2035'!G44)+(0.35*LN(1+0.6*'Ход 2035'!B50)*POWER(MAX(0,1-'США 2035'!I44/10),0.7))))</f>
        <v>8.9999999999999964</v>
      </c>
      <c r="C44" s="3">
        <f>MIN(1,'США 2035'!C44+'США 2035'!F44+(0.08*LN(1+0.5*'Ход 2035'!C50)*MAX(0,1-('США 2035'!C44+'США 2035'!F44))))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8.9999999999999964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2035'!B45+'США 2035'!D45+('США 2035'!C45+'США 2035'!F45+'США 2035'!G45)+(0.35*LN(1+0.6*'Ход 2035'!B51)*POWER(MAX(0,1-'США 2035'!I45/10),0.7))))</f>
        <v>9.4999999999999947</v>
      </c>
      <c r="C45" s="3">
        <f>MIN(1,'США 2035'!C45+'США 2035'!F45+(0.08*LN(1+0.5*'Ход 2035'!C51)*MAX(0,1-('США 2035'!C45+'США 2035'!F45))))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9.4999999999999947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2035'!B46+'США 2035'!D46+('США 2035'!C46+'США 2035'!F46+'США 2035'!G46)+(0.35*LN(1+0.6*'Ход 2035'!B52)*POWER(MAX(0,1-'США 2035'!I46/10),0.7))))</f>
        <v>9.4999999999999964</v>
      </c>
      <c r="C46" s="3">
        <f>MIN(1,'США 2035'!C46+'США 2035'!F46+(0.08*LN(1+0.5*'Ход 2035'!C52)*MAX(0,1-('США 2035'!C46+'США 2035'!F46))))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9.4999999999999964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2035'!B47+'США 2035'!D47+('США 2035'!C47+'США 2035'!F47+'США 2035'!G47)+(0.35*LN(1+0.6*'Ход 2035'!B53)*POWER(MAX(0,1-'США 2035'!I47/10),0.7))))</f>
        <v>6.0000000000000036</v>
      </c>
      <c r="C47" s="3">
        <f>MIN(1,'США 2035'!C47+'США 2035'!F47+(0.08*LN(1+0.5*'Ход 2035'!C53)*MAX(0,1-('США 2035'!C47+'США 2035'!F47))))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6.0000000000000036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2035'!B48+'США 2035'!D48+('США 2035'!C48+'США 2035'!F48+'США 2035'!G48)+(0.35*LN(1+0.6*'Ход 2035'!B54)*POWER(MAX(0,1-'США 2035'!I48/10),0.7))))</f>
        <v>5.9999999999999982</v>
      </c>
      <c r="C48" s="3">
        <f>MIN(1,'США 2035'!C48+'США 2035'!F48+(0.08*LN(1+0.5*'Ход 2035'!C54)*MAX(0,1-('США 2035'!C48+'США 2035'!F48))))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5.9999999999999982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2035'!B49+'США 2035'!D49+('США 2035'!C49+'США 2035'!F49+'США 2035'!G49)+(0.35*LN(1+0.6*'Ход 2035'!B55)*POWER(MAX(0,1-'США 2035'!I49/10),0.7))))</f>
        <v>10</v>
      </c>
      <c r="C49" s="3">
        <f>MIN(1,'США 2035'!C49+'США 2035'!F49+(0.08*LN(1+0.5*'Ход 2035'!C55)*MAX(0,1-('США 2035'!C49+'США 2035'!F49))))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2035'!B50+'США 2035'!D50+('США 2035'!C50+'США 2035'!F50+'США 2035'!G50)+(0.35*LN(1+0.6*'Ход 2035'!B56)*POWER(MAX(0,1-'США 2035'!I50/10),0.7))))</f>
        <v>10</v>
      </c>
      <c r="C50" s="3">
        <f>MIN(1,'США 2035'!C50+'США 2035'!F50+(0.08*LN(1+0.5*'Ход 2035'!C56)*MAX(0,1-('США 2035'!C50+'США 2035'!F50))))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2035'!B51+'США 2035'!D51+('США 2035'!C51+'США 2035'!F51+'США 2035'!G51)+(0.35*LN(1+0.6*'Ход 2035'!B57)*POWER(MAX(0,1-'США 2035'!I51/10),0.7))))</f>
        <v>9.4999999999999947</v>
      </c>
      <c r="C51" s="3">
        <f>MIN(1,'США 2035'!C51+'США 2035'!F51+(0.08*LN(1+0.5*'Ход 2035'!C57)*MAX(0,1-('США 2035'!C51+'США 2035'!F51))))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9.4999999999999947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2035'!B53+'США 2035'!D53+('США 2035'!C53+'США 2035'!F53+'США 2035'!G53)+(0.35*LN(1+0.6*'Ход 2035'!B59)*POWER(MAX(0,1-'США 2035'!I53/10),0.7))))</f>
        <v>9.9999999999999929</v>
      </c>
      <c r="C53" s="3">
        <f>MIN(1,'США 2035'!C53+'США 2035'!F53+(0.08*LN(1+0.5*'Ход 2035'!C59)*MAX(0,1-('США 2035'!C53+'США 2035'!F53))))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9.9999999999999929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2035'!B54+'США 2035'!D54+('США 2035'!C54+'США 2035'!F54+'США 2035'!G54)+(0.35*LN(1+0.6*'Ход 2035'!B60)*POWER(MAX(0,1-'США 2035'!I54/10),0.7))))</f>
        <v>9.9999999999999964</v>
      </c>
      <c r="C54" s="3">
        <f>MIN(1,'США 2035'!C54+'США 2035'!F54+(0.08*LN(1+0.5*'Ход 2035'!C60)*MAX(0,1-('США 2035'!C54+'США 2035'!F54))))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9.9999999999999964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2035'!B55+'США 2035'!D55+('США 2035'!C55+'США 2035'!F55+'США 2035'!G55)+(0.35*LN(1+0.6*'Ход 2035'!B61)*POWER(MAX(0,1-'США 2035'!I55/10),0.7))))</f>
        <v>8.5000000000000036</v>
      </c>
      <c r="C55" s="3">
        <f>MIN(1,'США 2035'!C55+'США 2035'!F55+(0.08*LN(1+0.5*'Ход 2035'!C61)*MAX(0,1-('США 2035'!C55+'США 2035'!F55))))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8.5000000000000036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398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2036'!U6</f>
        <v>99.781843208483437</v>
      </c>
      <c r="C6" s="3"/>
      <c r="D6" s="3"/>
      <c r="E6" s="3" t="s">
        <v>351</v>
      </c>
      <c r="F6" s="3">
        <f>'США 2036'!K6</f>
        <v>84.251275318315351</v>
      </c>
      <c r="G6" s="3"/>
      <c r="H6" s="3"/>
      <c r="I6" s="3" t="s">
        <v>351</v>
      </c>
      <c r="J6" s="3">
        <f>'США 2036'!N6</f>
        <v>76.512378632036786</v>
      </c>
      <c r="K6" s="3"/>
      <c r="L6" s="3"/>
      <c r="M6" s="3" t="s">
        <v>351</v>
      </c>
      <c r="N6" s="3">
        <f>'США 2036'!Q6</f>
        <v>85.673117710887709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99.781843208483437</v>
      </c>
      <c r="C8" s="3" t="str">
        <f>IF(B8&lt;0,"ПРЕВЫШЕНИЕ","OK")</f>
        <v>OK</v>
      </c>
      <c r="D8" s="3"/>
      <c r="E8" s="3" t="s">
        <v>353</v>
      </c>
      <c r="F8" s="3">
        <f>F6-F7</f>
        <v>84.251275318315351</v>
      </c>
      <c r="G8" s="3" t="str">
        <f>IF(F8&lt;0,"ПРЕВЫШЕНИЕ","OK")</f>
        <v>OK</v>
      </c>
      <c r="H8" s="3"/>
      <c r="I8" s="3" t="s">
        <v>353</v>
      </c>
      <c r="J8" s="3">
        <f>J6-J7</f>
        <v>76.512378632036786</v>
      </c>
      <c r="K8" s="3" t="str">
        <f>IF(J8&lt;0,"ПРЕВЫШЕНИЕ","OK")</f>
        <v>OK</v>
      </c>
      <c r="L8" s="3"/>
      <c r="M8" s="3" t="s">
        <v>353</v>
      </c>
      <c r="N8" s="3">
        <f>N6-N7</f>
        <v>85.673117710887709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2036'!V11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95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2036'!V12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55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2036'!V13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0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2036'!V14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28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2036'!V15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74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2036'!V16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39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2036'!V17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89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2036'!V18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26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2036'!V19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51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2036'!V20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46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2036'!V21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88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2036'!V22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31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2036'!V23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70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2036'!V24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15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2036'!V25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7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2036'!V26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6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IF(G29="","",VLOOKUP(G29,Технологии!$A$11:$BF$50,54,FALSE))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IF(G30="","",VLOOKUP(G30,Технологии!$A$11:$BF$50,54,FALSE))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IF(G31="","",VLOOKUP(G31,Технологии!$A$11:$BF$50,54,FALSE))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IF(G32="","",VLOOKUP(G32,Технологии!$A$11:$BF$50,54,FALSE))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IF(G33="","",VLOOKUP(G33,Технологии!$A$11:$BF$50,54,FALSE))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IF(G34="","",VLOOKUP(G34,Технологии!$A$11:$BF$50,54,FALSE))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IF(G35="","",VLOOKUP(G35,Технологии!$A$11:$BF$50,54,FALSE))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IF(G36="","",VLOOKUP(G36,Технологии!$A$11:$BF$50,54,FALSE))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IF(G37="","",VLOOKUP(G37,Технологии!$A$11:$BF$50,54,FALSE))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IF(G38="","",VLOOKUP(G38,Технологии!$A$11:$BF$50,54,FALSE))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84.386961098108088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76.539969935105347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85.694448795058392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99.798222994111143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2036'!B8+'США 2036'!D8+('США 2036'!C8+'США 2036'!F8+'США 2036'!G8)+(0.35*LN(1+0.6*'Ход 2036'!B14)*POWER(MAX(0,1-'США 2036'!I8/10),0.7))))</f>
        <v>8.5999999999999961</v>
      </c>
      <c r="C8" s="3">
        <f>MIN(1,'США 2036'!C8+'США 2036'!F8+(0.08*LN(1+0.5*'Ход 2036'!C14)*MAX(0,1-('США 2036'!C8+'США 2036'!F8))))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8.5999999999999961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2036'!B9+'США 2036'!D9+('США 2036'!C9+'США 2036'!F9+'США 2036'!G9)+(0.35*LN(1+0.6*'Ход 2036'!B15)*POWER(MAX(0,1-'США 2036'!I9/10),0.7))))</f>
        <v>10</v>
      </c>
      <c r="C9" s="3">
        <f>MIN(1,'США 2036'!C9+'США 2036'!F9+(0.08*LN(1+0.5*'Ход 2036'!C15)*MAX(0,1-('США 2036'!C9+'США 2036'!F9))))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2036'!B10+'США 2036'!D10+('США 2036'!C10+'США 2036'!F10+'США 2036'!G10)+(0.35*LN(1+0.6*'Ход 2036'!B16)*POWER(MAX(0,1-'США 2036'!I10/10),0.7))))</f>
        <v>10</v>
      </c>
      <c r="C10" s="3">
        <f>MIN(1,'США 2036'!C10+'США 2036'!F10+(0.08*LN(1+0.5*'Ход 2036'!C16)*MAX(0,1-('США 2036'!C10+'США 2036'!F10))))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2036'!B11+'США 2036'!D11+('США 2036'!C11+'США 2036'!F11+'США 2036'!G11)+(0.35*LN(1+0.6*'Ход 2036'!B17)*POWER(MAX(0,1-'США 2036'!I11/10),0.7))))</f>
        <v>8.5999999999999961</v>
      </c>
      <c r="C11" s="3">
        <f>MIN(1,'США 2036'!C11+'США 2036'!F11+(0.08*LN(1+0.5*'Ход 2036'!C17)*MAX(0,1-('США 2036'!C11+'США 2036'!F11))))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8.5999999999999961</v>
      </c>
      <c r="J11" s="3"/>
      <c r="K11" s="3" t="s">
        <v>265</v>
      </c>
      <c r="L11" s="3">
        <f>MAX(1,MIN(10,'США 2036'!L11+'США 2036'!N11+('США 2036'!M11+'США 2036'!P11+'США 2036'!Q11)))</f>
        <v>10</v>
      </c>
      <c r="M11" s="3">
        <f>MIN(1,'США 2036'!M11+'США 2036'!P11+(0.1*LN(1+0.5*'Ход 2036'!H13)*POWER(MAX(0,1-'США 2036'!S11/10),0.8)))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2036'!V11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2036'!B12+'США 2036'!D12+('США 2036'!C12+'США 2036'!F12+'США 2036'!G12)+(0.35*LN(1+0.6*'Ход 2036'!B18)*POWER(MAX(0,1-'США 2036'!I12/10),0.7))))</f>
        <v>9.5500000000000078</v>
      </c>
      <c r="C12" s="3">
        <f>MIN(1,'США 2036'!C12+'США 2036'!F12+(0.08*LN(1+0.5*'Ход 2036'!C18)*MAX(0,1-('США 2036'!C12+'США 2036'!F12))))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9.5500000000000078</v>
      </c>
      <c r="J12" s="3"/>
      <c r="K12" s="3" t="s">
        <v>269</v>
      </c>
      <c r="L12" s="3">
        <f>MAX(1,MIN(10,'США 2036'!L12+'США 2036'!N12+('США 2036'!M12+'США 2036'!P12+'США 2036'!Q12)))</f>
        <v>10</v>
      </c>
      <c r="M12" s="3">
        <f>MIN(1,'США 2036'!M12+'США 2036'!P12+(0.1*LN(1+0.5*'Ход 2036'!H14)*POWER(MAX(0,1-'США 2036'!S12/10),0.8)))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2036'!V12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2036'!B13+'США 2036'!D13+('США 2036'!C13+'США 2036'!F13+'США 2036'!G13)+(0.35*LN(1+0.6*'Ход 2036'!B19)*POWER(MAX(0,1-'США 2036'!I13/10),0.7))))</f>
        <v>10</v>
      </c>
      <c r="C13" s="3">
        <f>MIN(1,'США 2036'!C13+'США 2036'!F13+(0.08*LN(1+0.5*'Ход 2036'!C19)*MAX(0,1-('США 2036'!C13+'США 2036'!F13))))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2036'!L13+'США 2036'!N13+('США 2036'!M13+'США 2036'!P13+'США 2036'!Q13)))</f>
        <v>10</v>
      </c>
      <c r="M13" s="3">
        <f>MIN(1,'США 2036'!M13+'США 2036'!P13+(0.1*LN(1+0.5*'Ход 2036'!H15)*POWER(MAX(0,1-'США 2036'!S13/10),0.8)))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2036'!V13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2036'!B14+'США 2036'!D14+('США 2036'!C14+'США 2036'!F14+'США 2036'!G14)+(0.35*LN(1+0.6*'Ход 2036'!B20)*POWER(MAX(0,1-'США 2036'!I14/10),0.7))))</f>
        <v>10</v>
      </c>
      <c r="C14" s="3">
        <f>MIN(1,'США 2036'!C14+'США 2036'!F14+(0.08*LN(1+0.5*'Ход 2036'!C20)*MAX(0,1-('США 2036'!C14+'США 2036'!F14))))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2036'!L14+'США 2036'!N14+('США 2036'!M14+'США 2036'!P14+'США 2036'!Q14)))</f>
        <v>10</v>
      </c>
      <c r="M14" s="3">
        <f>MIN(1,'США 2036'!M14+'США 2036'!P14+(0.1*LN(1+0.5*'Ход 2036'!H16)*POWER(MAX(0,1-'США 2036'!S14/10),0.8)))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2036'!V14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2036'!B15+'США 2036'!D15+('США 2036'!C15+'США 2036'!F15+'США 2036'!G15)+(0.35*LN(1+0.6*'Ход 2036'!B21)*POWER(MAX(0,1-'США 2036'!I15/10),0.7))))</f>
        <v>10</v>
      </c>
      <c r="C15" s="3">
        <f>MIN(1,'США 2036'!C15+'США 2036'!F15+(0.08*LN(1+0.5*'Ход 2036'!C21)*MAX(0,1-('США 2036'!C15+'США 2036'!F15))))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2036'!L15+'США 2036'!N15+('США 2036'!M15+'США 2036'!P15+'США 2036'!Q15)))</f>
        <v>10</v>
      </c>
      <c r="M15" s="3">
        <f>MIN(1,'США 2036'!M15+'США 2036'!P15+(0.1*LN(1+0.5*'Ход 2036'!H17)*POWER(MAX(0,1-'США 2036'!S15/10),0.8)))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2036'!V15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2036'!B16+'США 2036'!D16+('США 2036'!C16+'США 2036'!F16+'США 2036'!G16)+(0.35*LN(1+0.6*'Ход 2036'!B22)*POWER(MAX(0,1-'США 2036'!I16/10),0.7))))</f>
        <v>10</v>
      </c>
      <c r="C16" s="3">
        <f>MIN(1,'США 2036'!C16+'США 2036'!F16+(0.08*LN(1+0.5*'Ход 2036'!C22)*MAX(0,1-('США 2036'!C16+'США 2036'!F16))))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2036'!L16+'США 2036'!N16+('США 2036'!M16+'США 2036'!P16+'США 2036'!Q16)))</f>
        <v>10</v>
      </c>
      <c r="M16" s="3">
        <f>MIN(1,'США 2036'!M16+'США 2036'!P16+(0.1*LN(1+0.5*'Ход 2036'!H18)*POWER(MAX(0,1-'США 2036'!S16/10),0.8)))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2036'!V16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2036'!B17+'США 2036'!D17+('США 2036'!C17+'США 2036'!F17+'США 2036'!G17)+(0.35*LN(1+0.6*'Ход 2036'!B23)*POWER(MAX(0,1-'США 2036'!I17/10),0.7))))</f>
        <v>10</v>
      </c>
      <c r="C17" s="3">
        <f>MIN(1,'США 2036'!C17+'США 2036'!F17+(0.08*LN(1+0.5*'Ход 2036'!C23)*MAX(0,1-('США 2036'!C17+'США 2036'!F17))))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3"/>
      <c r="K17" s="3" t="s">
        <v>289</v>
      </c>
      <c r="L17" s="3">
        <f>MAX(1,MIN(10,'США 2036'!L17+'США 2036'!N17+('США 2036'!M17+'США 2036'!P17+'США 2036'!Q17)))</f>
        <v>10</v>
      </c>
      <c r="M17" s="3">
        <f>MIN(1,'США 2036'!M17+'США 2036'!P17+(0.1*LN(1+0.5*'Ход 2036'!H19)*POWER(MAX(0,1-'США 2036'!S17/10),0.8)))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2036'!V17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2036'!L18+'США 2036'!N18+('США 2036'!M18+'США 2036'!P18+'США 2036'!Q18)))</f>
        <v>10</v>
      </c>
      <c r="M18" s="3">
        <f>MIN(1,'США 2036'!M18+'США 2036'!P18+(0.1*LN(1+0.5*'Ход 2036'!H20)*POWER(MAX(0,1-'США 2036'!S18/10),0.8)))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2036'!V18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2036'!B19+'США 2036'!D19+('США 2036'!C19+'США 2036'!F19+'США 2036'!G19)+(0.35*LN(1+0.6*'Ход 2036'!B25)*POWER(MAX(0,1-'США 2036'!I19/10),0.7))))</f>
        <v>10</v>
      </c>
      <c r="C19" s="3">
        <f>MIN(1,'США 2036'!C19+'США 2036'!F19+(0.08*LN(1+0.5*'Ход 2036'!C25)*MAX(0,1-('США 2036'!C19+'США 2036'!F19))))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2036'!V19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2036'!B20+'США 2036'!D20+('США 2036'!C20+'США 2036'!F20+'США 2036'!G20)+(0.35*LN(1+0.6*'Ход 2036'!B26)*POWER(MAX(0,1-'США 2036'!I20/10),0.7))))</f>
        <v>10</v>
      </c>
      <c r="C20" s="3">
        <f>MIN(1,'США 2036'!C20+'США 2036'!F20+(0.08*LN(1+0.5*'Ход 2036'!C26)*MAX(0,1-('США 2036'!C20+'США 2036'!F20))))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10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2036'!V20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2036'!B21+'США 2036'!D21+('США 2036'!C21+'США 2036'!F21+'США 2036'!G21)+(0.35*LN(1+0.6*'Ход 2036'!B27)*POWER(MAX(0,1-'США 2036'!I21/10),0.7))))</f>
        <v>9.6500000000000039</v>
      </c>
      <c r="C21" s="3">
        <f>MIN(1,'США 2036'!C21+'США 2036'!F21+(0.08*LN(1+0.5*'Ход 2036'!C27)*MAX(0,1-('США 2036'!C21+'США 2036'!F21))))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9.6500000000000039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2036'!V21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2036'!B22+'США 2036'!D22+('США 2036'!C22+'США 2036'!F22+'США 2036'!G22)+(0.35*LN(1+0.6*'Ход 2036'!B28)*POWER(MAX(0,1-'США 2036'!I22/10),0.7))))</f>
        <v>10</v>
      </c>
      <c r="C22" s="3">
        <f>MIN(1,'США 2036'!C22+'США 2036'!F22+(0.08*LN(1+0.5*'Ход 2036'!C28)*MAX(0,1-('США 2036'!C22+'США 2036'!F22))))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2036'!V22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2036'!B23+'США 2036'!D23+('США 2036'!C23+'США 2036'!F23+'США 2036'!G23)+(0.35*LN(1+0.6*'Ход 2036'!B29)*POWER(MAX(0,1-'США 2036'!I23/10),0.7))))</f>
        <v>10</v>
      </c>
      <c r="C23" s="3">
        <f>MIN(1,'США 2036'!C23+'США 2036'!F23+(0.08*LN(1+0.5*'Ход 2036'!C29)*MAX(0,1-('США 2036'!C23+'США 2036'!F23))))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2036'!V23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2036'!V24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2036'!B25+'США 2036'!D25+('США 2036'!C25+'США 2036'!F25+'США 2036'!G25)+(0.35*LN(1+0.6*'Ход 2036'!B31)*POWER(MAX(0,1-'США 2036'!I25/10),0.7))))</f>
        <v>10</v>
      </c>
      <c r="C25" s="3">
        <f>MIN(1,'США 2036'!C25+'США 2036'!F25+(0.08*LN(1+0.5*'Ход 2036'!C31)*MAX(0,1-('США 2036'!C25+'США 2036'!F25))))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2036'!V25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2036'!B26+'США 2036'!D26+('США 2036'!C26+'США 2036'!F26+'США 2036'!G26)+(0.35*LN(1+0.6*'Ход 2036'!B32)*POWER(MAX(0,1-'США 2036'!I26/10),0.7))))</f>
        <v>10</v>
      </c>
      <c r="C26" s="3">
        <f>MIN(1,'США 2036'!C26+'США 2036'!F26+(0.08*LN(1+0.5*'Ход 2036'!C32)*MAX(0,1-('США 2036'!C26+'США 2036'!F26))))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2036'!V26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2036'!B27+'США 2036'!D27+('США 2036'!C27+'США 2036'!F27+'США 2036'!G27)+(0.35*LN(1+0.6*'Ход 2036'!B33)*POWER(MAX(0,1-'США 2036'!I27/10),0.7))))</f>
        <v>10</v>
      </c>
      <c r="C27" s="3">
        <f>MIN(1,'США 2036'!C27+'США 2036'!F27+(0.08*LN(1+0.5*'Ход 2036'!C33)*MAX(0,1-('США 2036'!C27+'США 2036'!F27))))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2036'!B28+'США 2036'!D28+('США 2036'!C28+'США 2036'!F28+'США 2036'!G28)+(0.35*LN(1+0.6*'Ход 2036'!B34)*POWER(MAX(0,1-'США 2036'!I28/10),0.7))))</f>
        <v>10</v>
      </c>
      <c r="C28" s="3">
        <f>MIN(1,'США 2036'!C28+'США 2036'!F28+(0.08*LN(1+0.5*'Ход 2036'!C34)*MAX(0,1-('США 2036'!C28+'США 2036'!F28))))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2036'!B29+'США 2036'!D29+('США 2036'!C29+'США 2036'!F29+'США 2036'!G29)+(0.35*LN(1+0.6*'Ход 2036'!B35)*POWER(MAX(0,1-'США 2036'!I29/10),0.7))))</f>
        <v>10</v>
      </c>
      <c r="C29" s="3">
        <f>MIN(1,'США 2036'!C29+'США 2036'!F29+(0.08*LN(1+0.5*'Ход 2036'!C35)*MAX(0,1-('США 2036'!C29+'США 2036'!F29))))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2036'!B30+'США 2036'!D30+('США 2036'!C30+'США 2036'!F30+'США 2036'!G30)+(0.35*LN(1+0.6*'Ход 2036'!B36)*POWER(MAX(0,1-'США 2036'!I30/10),0.7))))</f>
        <v>10</v>
      </c>
      <c r="C30" s="3">
        <f>MIN(1,'США 2036'!C30+'США 2036'!F30+(0.08*LN(1+0.5*'Ход 2036'!C36)*MAX(0,1-('США 2036'!C30+'США 2036'!F30))))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2036'!B31+'США 2036'!D31+('США 2036'!C31+'США 2036'!F31+'США 2036'!G31)+(0.35*LN(1+0.6*'Ход 2036'!B37)*POWER(MAX(0,1-'США 2036'!I31/10),0.7))))</f>
        <v>9.0999999999999961</v>
      </c>
      <c r="C31" s="3">
        <f>MIN(1,'США 2036'!C31+'США 2036'!F31+(0.08*LN(1+0.5*'Ход 2036'!C37)*MAX(0,1-('США 2036'!C31+'США 2036'!F31))))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9.0999999999999961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2036'!B32+'США 2036'!D32+('США 2036'!C32+'США 2036'!F32+'США 2036'!G32)+(0.35*LN(1+0.6*'Ход 2036'!B38)*POWER(MAX(0,1-'США 2036'!I32/10),0.7))))</f>
        <v>9.5999999999999961</v>
      </c>
      <c r="C32" s="3">
        <f>MIN(1,'США 2036'!C32+'США 2036'!F32+(0.08*LN(1+0.5*'Ход 2036'!C38)*MAX(0,1-('США 2036'!C32+'США 2036'!F32))))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9.5999999999999961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2036'!B34+'США 2036'!D34+('США 2036'!C34+'США 2036'!F34+'США 2036'!G34)+(0.35*LN(1+0.6*'Ход 2036'!B40)*POWER(MAX(0,1-'США 2036'!I34/10),0.7))))</f>
        <v>9.0999999999999961</v>
      </c>
      <c r="C34" s="3">
        <f>MIN(1,'США 2036'!C34+'США 2036'!F34+(0.08*LN(1+0.5*'Ход 2036'!C40)*MAX(0,1-('США 2036'!C34+'США 2036'!F34))))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9.0999999999999961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2036'!B35+'США 2036'!D35+('США 2036'!C35+'США 2036'!F35+'США 2036'!G35)+(0.35*LN(1+0.6*'Ход 2036'!B41)*POWER(MAX(0,1-'США 2036'!I35/10),0.7))))</f>
        <v>10</v>
      </c>
      <c r="C35" s="3">
        <f>MIN(1,'США 2036'!C35+'США 2036'!F35+(0.08*LN(1+0.5*'Ход 2036'!C41)*MAX(0,1-('США 2036'!C35+'США 2036'!F35))))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2036'!B36+'США 2036'!D36+('США 2036'!C36+'США 2036'!F36+'США 2036'!G36)+(0.35*LN(1+0.6*'Ход 2036'!B42)*POWER(MAX(0,1-'США 2036'!I36/10),0.7))))</f>
        <v>10</v>
      </c>
      <c r="C36" s="3">
        <f>MIN(1,'США 2036'!C36+'США 2036'!F36+(0.08*LN(1+0.5*'Ход 2036'!C42)*MAX(0,1-('США 2036'!C36+'США 2036'!F36))))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2036'!B37+'США 2036'!D37+('США 2036'!C37+'США 2036'!F37+'США 2036'!G37)+(0.35*LN(1+0.6*'Ход 2036'!B43)*POWER(MAX(0,1-'США 2036'!I37/10),0.7))))</f>
        <v>10</v>
      </c>
      <c r="C37" s="3">
        <f>MIN(1,'США 2036'!C37+'США 2036'!F37+(0.08*LN(1+0.5*'Ход 2036'!C43)*MAX(0,1-('США 2036'!C37+'США 2036'!F37))))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2036'!B38+'США 2036'!D38+('США 2036'!C38+'США 2036'!F38+'США 2036'!G38)+(0.35*LN(1+0.6*'Ход 2036'!B44)*POWER(MAX(0,1-'США 2036'!I38/10),0.7))))</f>
        <v>10</v>
      </c>
      <c r="C38" s="3">
        <f>MIN(1,'США 2036'!C38+'США 2036'!F38+(0.08*LN(1+0.5*'Ход 2036'!C44)*MAX(0,1-('США 2036'!C38+'США 2036'!F38))))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2036'!B39+'США 2036'!D39+('США 2036'!C39+'США 2036'!F39+'США 2036'!G39)+(0.35*LN(1+0.6*'Ход 2036'!B45)*POWER(MAX(0,1-'США 2036'!I39/10),0.7))))</f>
        <v>10</v>
      </c>
      <c r="C39" s="3">
        <f>MIN(1,'США 2036'!C39+'США 2036'!F39+(0.08*LN(1+0.5*'Ход 2036'!C45)*MAX(0,1-('США 2036'!C39+'США 2036'!F39))))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2036'!B40+'США 2036'!D40+('США 2036'!C40+'США 2036'!F40+'США 2036'!G40)+(0.35*LN(1+0.6*'Ход 2036'!B46)*POWER(MAX(0,1-'США 2036'!I40/10),0.7))))</f>
        <v>9.5500000000000078</v>
      </c>
      <c r="C40" s="3">
        <f>MIN(1,'США 2036'!C40+'США 2036'!F40+(0.08*LN(1+0.5*'Ход 2036'!C46)*MAX(0,1-('США 2036'!C40+'США 2036'!F40))))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9.5500000000000078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2036'!B41+'США 2036'!D41+('США 2036'!C41+'США 2036'!F41+'США 2036'!G41)+(0.35*LN(1+0.6*'Ход 2036'!B47)*POWER(MAX(0,1-'США 2036'!I41/10),0.7))))</f>
        <v>10</v>
      </c>
      <c r="C41" s="3">
        <f>MIN(1,'США 2036'!C41+'США 2036'!F41+(0.08*LN(1+0.5*'Ход 2036'!C47)*MAX(0,1-('США 2036'!C41+'США 2036'!F41))))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2036'!B42+'США 2036'!D42+('США 2036'!C42+'США 2036'!F42+'США 2036'!G42)+(0.35*LN(1+0.6*'Ход 2036'!B48)*POWER(MAX(0,1-'США 2036'!I42/10),0.7))))</f>
        <v>10</v>
      </c>
      <c r="C42" s="3">
        <f>MIN(1,'США 2036'!C42+'США 2036'!F42+(0.08*LN(1+0.5*'Ход 2036'!C48)*MAX(0,1-('США 2036'!C42+'США 2036'!F42))))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2036'!B44+'США 2036'!D44+('США 2036'!C44+'США 2036'!F44+'США 2036'!G44)+(0.35*LN(1+0.6*'Ход 2036'!B50)*POWER(MAX(0,1-'США 2036'!I44/10),0.7))))</f>
        <v>9.0999999999999961</v>
      </c>
      <c r="C44" s="3">
        <f>MIN(1,'США 2036'!C44+'США 2036'!F44+(0.08*LN(1+0.5*'Ход 2036'!C50)*MAX(0,1-('США 2036'!C44+'США 2036'!F44))))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9.0999999999999961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2036'!B45+'США 2036'!D45+('США 2036'!C45+'США 2036'!F45+'США 2036'!G45)+(0.35*LN(1+0.6*'Ход 2036'!B51)*POWER(MAX(0,1-'США 2036'!I45/10),0.7))))</f>
        <v>9.699999999999994</v>
      </c>
      <c r="C45" s="3">
        <f>MIN(1,'США 2036'!C45+'США 2036'!F45+(0.08*LN(1+0.5*'Ход 2036'!C51)*MAX(0,1-('США 2036'!C45+'США 2036'!F45))))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9.699999999999994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2036'!B46+'США 2036'!D46+('США 2036'!C46+'США 2036'!F46+'США 2036'!G46)+(0.35*LN(1+0.6*'Ход 2036'!B52)*POWER(MAX(0,1-'США 2036'!I46/10),0.7))))</f>
        <v>9.5999999999999961</v>
      </c>
      <c r="C46" s="3">
        <f>MIN(1,'США 2036'!C46+'США 2036'!F46+(0.08*LN(1+0.5*'Ход 2036'!C52)*MAX(0,1-('США 2036'!C46+'США 2036'!F46))))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9.5999999999999961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2036'!B47+'США 2036'!D47+('США 2036'!C47+'США 2036'!F47+'США 2036'!G47)+(0.35*LN(1+0.6*'Ход 2036'!B53)*POWER(MAX(0,1-'США 2036'!I47/10),0.7))))</f>
        <v>5.9000000000000039</v>
      </c>
      <c r="C47" s="3">
        <f>MIN(1,'США 2036'!C47+'США 2036'!F47+(0.08*LN(1+0.5*'Ход 2036'!C53)*MAX(0,1-('США 2036'!C47+'США 2036'!F47))))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5.9000000000000039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2036'!B48+'США 2036'!D48+('США 2036'!C48+'США 2036'!F48+'США 2036'!G48)+(0.35*LN(1+0.6*'Ход 2036'!B54)*POWER(MAX(0,1-'США 2036'!I48/10),0.7))))</f>
        <v>6.049999999999998</v>
      </c>
      <c r="C48" s="3">
        <f>MIN(1,'США 2036'!C48+'США 2036'!F48+(0.08*LN(1+0.5*'Ход 2036'!C54)*MAX(0,1-('США 2036'!C48+'США 2036'!F48))))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6.049999999999998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2036'!B49+'США 2036'!D49+('США 2036'!C49+'США 2036'!F49+'США 2036'!G49)+(0.35*LN(1+0.6*'Ход 2036'!B55)*POWER(MAX(0,1-'США 2036'!I49/10),0.7))))</f>
        <v>10</v>
      </c>
      <c r="C49" s="3">
        <f>MIN(1,'США 2036'!C49+'США 2036'!F49+(0.08*LN(1+0.5*'Ход 2036'!C55)*MAX(0,1-('США 2036'!C49+'США 2036'!F49))))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2036'!B50+'США 2036'!D50+('США 2036'!C50+'США 2036'!F50+'США 2036'!G50)+(0.35*LN(1+0.6*'Ход 2036'!B56)*POWER(MAX(0,1-'США 2036'!I50/10),0.7))))</f>
        <v>10</v>
      </c>
      <c r="C50" s="3">
        <f>MIN(1,'США 2036'!C50+'США 2036'!F50+(0.08*LN(1+0.5*'Ход 2036'!C56)*MAX(0,1-('США 2036'!C50+'США 2036'!F50))))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2036'!B51+'США 2036'!D51+('США 2036'!C51+'США 2036'!F51+'США 2036'!G51)+(0.35*LN(1+0.6*'Ход 2036'!B57)*POWER(MAX(0,1-'США 2036'!I51/10),0.7))))</f>
        <v>9.699999999999994</v>
      </c>
      <c r="C51" s="3">
        <f>MIN(1,'США 2036'!C51+'США 2036'!F51+(0.08*LN(1+0.5*'Ход 2036'!C57)*MAX(0,1-('США 2036'!C51+'США 2036'!F51))))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9.699999999999994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2036'!B53+'США 2036'!D53+('США 2036'!C53+'США 2036'!F53+'США 2036'!G53)+(0.35*LN(1+0.6*'Ход 2036'!B59)*POWER(MAX(0,1-'США 2036'!I53/10),0.7))))</f>
        <v>10</v>
      </c>
      <c r="C53" s="3">
        <f>MIN(1,'США 2036'!C53+'США 2036'!F53+(0.08*LN(1+0.5*'Ход 2036'!C59)*MAX(0,1-('США 2036'!C53+'США 2036'!F53))))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2036'!B54+'США 2036'!D54+('США 2036'!C54+'США 2036'!F54+'США 2036'!G54)+(0.35*LN(1+0.6*'Ход 2036'!B60)*POWER(MAX(0,1-'США 2036'!I54/10),0.7))))</f>
        <v>10</v>
      </c>
      <c r="C54" s="3">
        <f>MIN(1,'США 2036'!C54+'США 2036'!F54+(0.08*LN(1+0.5*'Ход 2036'!C60)*MAX(0,1-('США 2036'!C54+'США 2036'!F54))))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2036'!B55+'США 2036'!D55+('США 2036'!C55+'США 2036'!F55+'США 2036'!G55)+(0.35*LN(1+0.6*'Ход 2036'!B61)*POWER(MAX(0,1-'США 2036'!I55/10),0.7))))</f>
        <v>8.6500000000000039</v>
      </c>
      <c r="C55" s="3">
        <f>MIN(1,'США 2036'!C55+'США 2036'!F55+(0.08*LN(1+0.5*'Ход 2036'!C61)*MAX(0,1-('США 2036'!C55+'США 2036'!F55))))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8.6500000000000039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400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2037'!U6</f>
        <v>99.798222994111143</v>
      </c>
      <c r="C6" s="3"/>
      <c r="D6" s="3"/>
      <c r="E6" s="3" t="s">
        <v>351</v>
      </c>
      <c r="F6" s="3">
        <f>'США 2037'!K6</f>
        <v>84.386961098108088</v>
      </c>
      <c r="G6" s="3"/>
      <c r="H6" s="3"/>
      <c r="I6" s="3" t="s">
        <v>351</v>
      </c>
      <c r="J6" s="3">
        <f>'США 2037'!N6</f>
        <v>76.539969935105347</v>
      </c>
      <c r="K6" s="3"/>
      <c r="L6" s="3"/>
      <c r="M6" s="3" t="s">
        <v>351</v>
      </c>
      <c r="N6" s="3">
        <f>'США 2037'!Q6</f>
        <v>85.694448795058392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99.798222994111143</v>
      </c>
      <c r="C8" s="3" t="str">
        <f>IF(B8&lt;0,"ПРЕВЫШЕНИЕ","OK")</f>
        <v>OK</v>
      </c>
      <c r="D8" s="3"/>
      <c r="E8" s="3" t="s">
        <v>353</v>
      </c>
      <c r="F8" s="3">
        <f>F6-F7</f>
        <v>84.386961098108088</v>
      </c>
      <c r="G8" s="3" t="str">
        <f>IF(F8&lt;0,"ПРЕВЫШЕНИЕ","OK")</f>
        <v>OK</v>
      </c>
      <c r="H8" s="3"/>
      <c r="I8" s="3" t="s">
        <v>353</v>
      </c>
      <c r="J8" s="3">
        <f>J6-J7</f>
        <v>76.539969935105347</v>
      </c>
      <c r="K8" s="3" t="str">
        <f>IF(J8&lt;0,"ПРЕВЫШЕНИЕ","OK")</f>
        <v>OK</v>
      </c>
      <c r="L8" s="3"/>
      <c r="M8" s="3" t="s">
        <v>353</v>
      </c>
      <c r="N8" s="3">
        <f>N6-N7</f>
        <v>85.694448795058392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2037'!V11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94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2037'!V12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71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2037'!V13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61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2037'!V14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98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2037'!V15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86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2037'!V16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96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2037'!V17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33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2037'!V18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11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2037'!V19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49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2037'!V20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15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2037'!V21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49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2037'!V22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49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2037'!V23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44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2037'!V24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73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2037'!V25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31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2037'!V26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96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IF(G29="","",VLOOKUP(G29,Технологии!$A$11:$BF$50,55,FALSE))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IF(G30="","",VLOOKUP(G30,Технологии!$A$11:$BF$50,55,FALSE))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IF(G31="","",VLOOKUP(G31,Технологии!$A$11:$BF$50,55,FALSE))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IF(G32="","",VLOOKUP(G32,Технологии!$A$11:$BF$50,55,FALSE))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IF(G33="","",VLOOKUP(G33,Технологии!$A$11:$BF$50,55,FALSE))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IF(G34="","",VLOOKUP(G34,Технологии!$A$11:$BF$50,55,FALSE))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IF(G35="","",VLOOKUP(G35,Технологии!$A$11:$BF$50,55,FALSE))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IF(G36="","",VLOOKUP(G36,Технологии!$A$11:$BF$50,55,FALSE))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IF(G37="","",VLOOKUP(G37,Технологии!$A$11:$BF$50,55,FALSE))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IF(G38="","",VLOOKUP(G38,Технологии!$A$11:$BF$50,55,FALSE))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401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84.519282849847343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76.567259070502118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85.713329487788329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99.814428386559996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2037'!B8+'США 2037'!D8+('США 2037'!C8+'США 2037'!F8+'США 2037'!G8)+(0.35*LN(1+0.6*'Ход 2037'!B14)*POWER(MAX(0,1-'США 2037'!I8/10),0.7))))</f>
        <v>8.6999999999999957</v>
      </c>
      <c r="C8" s="3">
        <f>MIN(1,'США 2037'!C8+'США 2037'!F8+(0.08*LN(1+0.5*'Ход 2037'!C14)*MAX(0,1-('США 2037'!C8+'США 2037'!F8))))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8.6999999999999957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2037'!B9+'США 2037'!D9+('США 2037'!C9+'США 2037'!F9+'США 2037'!G9)+(0.35*LN(1+0.6*'Ход 2037'!B15)*POWER(MAX(0,1-'США 2037'!I9/10),0.7))))</f>
        <v>10</v>
      </c>
      <c r="C9" s="3">
        <f>MIN(1,'США 2037'!C9+'США 2037'!F9+(0.08*LN(1+0.5*'Ход 2037'!C15)*MAX(0,1-('США 2037'!C9+'США 2037'!F9))))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2037'!B10+'США 2037'!D10+('США 2037'!C10+'США 2037'!F10+'США 2037'!G10)+(0.35*LN(1+0.6*'Ход 2037'!B16)*POWER(MAX(0,1-'США 2037'!I10/10),0.7))))</f>
        <v>10</v>
      </c>
      <c r="C10" s="3">
        <f>MIN(1,'США 2037'!C10+'США 2037'!F10+(0.08*LN(1+0.5*'Ход 2037'!C16)*MAX(0,1-('США 2037'!C10+'США 2037'!F10))))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2037'!B11+'США 2037'!D11+('США 2037'!C11+'США 2037'!F11+'США 2037'!G11)+(0.35*LN(1+0.6*'Ход 2037'!B17)*POWER(MAX(0,1-'США 2037'!I11/10),0.7))))</f>
        <v>8.6999999999999957</v>
      </c>
      <c r="C11" s="3">
        <f>MIN(1,'США 2037'!C11+'США 2037'!F11+(0.08*LN(1+0.5*'Ход 2037'!C17)*MAX(0,1-('США 2037'!C11+'США 2037'!F11))))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8.6999999999999957</v>
      </c>
      <c r="J11" s="3"/>
      <c r="K11" s="3" t="s">
        <v>265</v>
      </c>
      <c r="L11" s="3">
        <f>MAX(1,MIN(10,'США 2037'!L11+'США 2037'!N11+('США 2037'!M11+'США 2037'!P11+'США 2037'!Q11)))</f>
        <v>10</v>
      </c>
      <c r="M11" s="3">
        <f>MIN(1,'США 2037'!M11+'США 2037'!P11+(0.1*LN(1+0.5*'Ход 2037'!H13)*POWER(MAX(0,1-'США 2037'!S11/10),0.8)))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2037'!V11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2037'!B12+'США 2037'!D12+('США 2037'!C12+'США 2037'!F12+'США 2037'!G12)+(0.35*LN(1+0.6*'Ход 2037'!B18)*POWER(MAX(0,1-'США 2037'!I12/10),0.7))))</f>
        <v>9.6000000000000085</v>
      </c>
      <c r="C12" s="3">
        <f>MIN(1,'США 2037'!C12+'США 2037'!F12+(0.08*LN(1+0.5*'Ход 2037'!C18)*MAX(0,1-('США 2037'!C12+'США 2037'!F12))))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9.6000000000000085</v>
      </c>
      <c r="J12" s="3"/>
      <c r="K12" s="3" t="s">
        <v>269</v>
      </c>
      <c r="L12" s="3">
        <f>MAX(1,MIN(10,'США 2037'!L12+'США 2037'!N12+('США 2037'!M12+'США 2037'!P12+'США 2037'!Q12)))</f>
        <v>10</v>
      </c>
      <c r="M12" s="3">
        <f>MIN(1,'США 2037'!M12+'США 2037'!P12+(0.1*LN(1+0.5*'Ход 2037'!H14)*POWER(MAX(0,1-'США 2037'!S12/10),0.8)))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2037'!V12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2037'!B13+'США 2037'!D13+('США 2037'!C13+'США 2037'!F13+'США 2037'!G13)+(0.35*LN(1+0.6*'Ход 2037'!B19)*POWER(MAX(0,1-'США 2037'!I13/10),0.7))))</f>
        <v>10</v>
      </c>
      <c r="C13" s="3">
        <f>MIN(1,'США 2037'!C13+'США 2037'!F13+(0.08*LN(1+0.5*'Ход 2037'!C19)*MAX(0,1-('США 2037'!C13+'США 2037'!F13))))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2037'!L13+'США 2037'!N13+('США 2037'!M13+'США 2037'!P13+'США 2037'!Q13)))</f>
        <v>10</v>
      </c>
      <c r="M13" s="3">
        <f>MIN(1,'США 2037'!M13+'США 2037'!P13+(0.1*LN(1+0.5*'Ход 2037'!H15)*POWER(MAX(0,1-'США 2037'!S13/10),0.8)))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2037'!V13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2037'!B14+'США 2037'!D14+('США 2037'!C14+'США 2037'!F14+'США 2037'!G14)+(0.35*LN(1+0.6*'Ход 2037'!B20)*POWER(MAX(0,1-'США 2037'!I14/10),0.7))))</f>
        <v>10</v>
      </c>
      <c r="C14" s="3">
        <f>MIN(1,'США 2037'!C14+'США 2037'!F14+(0.08*LN(1+0.5*'Ход 2037'!C20)*MAX(0,1-('США 2037'!C14+'США 2037'!F14))))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2037'!L14+'США 2037'!N14+('США 2037'!M14+'США 2037'!P14+'США 2037'!Q14)))</f>
        <v>10</v>
      </c>
      <c r="M14" s="3">
        <f>MIN(1,'США 2037'!M14+'США 2037'!P14+(0.1*LN(1+0.5*'Ход 2037'!H16)*POWER(MAX(0,1-'США 2037'!S14/10),0.8)))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2037'!V14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2037'!B15+'США 2037'!D15+('США 2037'!C15+'США 2037'!F15+'США 2037'!G15)+(0.35*LN(1+0.6*'Ход 2037'!B21)*POWER(MAX(0,1-'США 2037'!I15/10),0.7))))</f>
        <v>10</v>
      </c>
      <c r="C15" s="3">
        <f>MIN(1,'США 2037'!C15+'США 2037'!F15+(0.08*LN(1+0.5*'Ход 2037'!C21)*MAX(0,1-('США 2037'!C15+'США 2037'!F15))))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2037'!L15+'США 2037'!N15+('США 2037'!M15+'США 2037'!P15+'США 2037'!Q15)))</f>
        <v>10</v>
      </c>
      <c r="M15" s="3">
        <f>MIN(1,'США 2037'!M15+'США 2037'!P15+(0.1*LN(1+0.5*'Ход 2037'!H17)*POWER(MAX(0,1-'США 2037'!S15/10),0.8)))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2037'!V15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2037'!B16+'США 2037'!D16+('США 2037'!C16+'США 2037'!F16+'США 2037'!G16)+(0.35*LN(1+0.6*'Ход 2037'!B22)*POWER(MAX(0,1-'США 2037'!I16/10),0.7))))</f>
        <v>10</v>
      </c>
      <c r="C16" s="3">
        <f>MIN(1,'США 2037'!C16+'США 2037'!F16+(0.08*LN(1+0.5*'Ход 2037'!C22)*MAX(0,1-('США 2037'!C16+'США 2037'!F16))))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2037'!L16+'США 2037'!N16+('США 2037'!M16+'США 2037'!P16+'США 2037'!Q16)))</f>
        <v>10</v>
      </c>
      <c r="M16" s="3">
        <f>MIN(1,'США 2037'!M16+'США 2037'!P16+(0.1*LN(1+0.5*'Ход 2037'!H18)*POWER(MAX(0,1-'США 2037'!S16/10),0.8)))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2037'!V16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2037'!B17+'США 2037'!D17+('США 2037'!C17+'США 2037'!F17+'США 2037'!G17)+(0.35*LN(1+0.6*'Ход 2037'!B23)*POWER(MAX(0,1-'США 2037'!I17/10),0.7))))</f>
        <v>10</v>
      </c>
      <c r="C17" s="3">
        <f>MIN(1,'США 2037'!C17+'США 2037'!F17+(0.08*LN(1+0.5*'Ход 2037'!C23)*MAX(0,1-('США 2037'!C17+'США 2037'!F17))))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3"/>
      <c r="K17" s="3" t="s">
        <v>289</v>
      </c>
      <c r="L17" s="3">
        <f>MAX(1,MIN(10,'США 2037'!L17+'США 2037'!N17+('США 2037'!M17+'США 2037'!P17+'США 2037'!Q17)))</f>
        <v>10</v>
      </c>
      <c r="M17" s="3">
        <f>MIN(1,'США 2037'!M17+'США 2037'!P17+(0.1*LN(1+0.5*'Ход 2037'!H19)*POWER(MAX(0,1-'США 2037'!S17/10),0.8)))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2037'!V17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2037'!L18+'США 2037'!N18+('США 2037'!M18+'США 2037'!P18+'США 2037'!Q18)))</f>
        <v>10</v>
      </c>
      <c r="M18" s="3">
        <f>MIN(1,'США 2037'!M18+'США 2037'!P18+(0.1*LN(1+0.5*'Ход 2037'!H20)*POWER(MAX(0,1-'США 2037'!S18/10),0.8)))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2037'!V18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2037'!B19+'США 2037'!D19+('США 2037'!C19+'США 2037'!F19+'США 2037'!G19)+(0.35*LN(1+0.6*'Ход 2037'!B25)*POWER(MAX(0,1-'США 2037'!I19/10),0.7))))</f>
        <v>10</v>
      </c>
      <c r="C19" s="3">
        <f>MIN(1,'США 2037'!C19+'США 2037'!F19+(0.08*LN(1+0.5*'Ход 2037'!C25)*MAX(0,1-('США 2037'!C19+'США 2037'!F19))))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2037'!V19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2037'!B20+'США 2037'!D20+('США 2037'!C20+'США 2037'!F20+'США 2037'!G20)+(0.35*LN(1+0.6*'Ход 2037'!B26)*POWER(MAX(0,1-'США 2037'!I20/10),0.7))))</f>
        <v>10</v>
      </c>
      <c r="C20" s="3">
        <f>MIN(1,'США 2037'!C20+'США 2037'!F20+(0.08*LN(1+0.5*'Ход 2037'!C26)*MAX(0,1-('США 2037'!C20+'США 2037'!F20))))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10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2037'!V20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2037'!B21+'США 2037'!D21+('США 2037'!C21+'США 2037'!F21+'США 2037'!G21)+(0.35*LN(1+0.6*'Ход 2037'!B27)*POWER(MAX(0,1-'США 2037'!I21/10),0.7))))</f>
        <v>9.8000000000000043</v>
      </c>
      <c r="C21" s="3">
        <f>MIN(1,'США 2037'!C21+'США 2037'!F21+(0.08*LN(1+0.5*'Ход 2037'!C27)*MAX(0,1-('США 2037'!C21+'США 2037'!F21))))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9.8000000000000043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2037'!V21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2037'!B22+'США 2037'!D22+('США 2037'!C22+'США 2037'!F22+'США 2037'!G22)+(0.35*LN(1+0.6*'Ход 2037'!B28)*POWER(MAX(0,1-'США 2037'!I22/10),0.7))))</f>
        <v>10</v>
      </c>
      <c r="C22" s="3">
        <f>MIN(1,'США 2037'!C22+'США 2037'!F22+(0.08*LN(1+0.5*'Ход 2037'!C28)*MAX(0,1-('США 2037'!C22+'США 2037'!F22))))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2037'!V22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2037'!B23+'США 2037'!D23+('США 2037'!C23+'США 2037'!F23+'США 2037'!G23)+(0.35*LN(1+0.6*'Ход 2037'!B29)*POWER(MAX(0,1-'США 2037'!I23/10),0.7))))</f>
        <v>10</v>
      </c>
      <c r="C23" s="3">
        <f>MIN(1,'США 2037'!C23+'США 2037'!F23+(0.08*LN(1+0.5*'Ход 2037'!C29)*MAX(0,1-('США 2037'!C23+'США 2037'!F23))))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2037'!V23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2037'!V24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2037'!B25+'США 2037'!D25+('США 2037'!C25+'США 2037'!F25+'США 2037'!G25)+(0.35*LN(1+0.6*'Ход 2037'!B31)*POWER(MAX(0,1-'США 2037'!I25/10),0.7))))</f>
        <v>10</v>
      </c>
      <c r="C25" s="3">
        <f>MIN(1,'США 2037'!C25+'США 2037'!F25+(0.08*LN(1+0.5*'Ход 2037'!C31)*MAX(0,1-('США 2037'!C25+'США 2037'!F25))))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2037'!V25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2037'!B26+'США 2037'!D26+('США 2037'!C26+'США 2037'!F26+'США 2037'!G26)+(0.35*LN(1+0.6*'Ход 2037'!B32)*POWER(MAX(0,1-'США 2037'!I26/10),0.7))))</f>
        <v>10</v>
      </c>
      <c r="C26" s="3">
        <f>MIN(1,'США 2037'!C26+'США 2037'!F26+(0.08*LN(1+0.5*'Ход 2037'!C32)*MAX(0,1-('США 2037'!C26+'США 2037'!F26))))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2037'!V26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2037'!B27+'США 2037'!D27+('США 2037'!C27+'США 2037'!F27+'США 2037'!G27)+(0.35*LN(1+0.6*'Ход 2037'!B33)*POWER(MAX(0,1-'США 2037'!I27/10),0.7))))</f>
        <v>10</v>
      </c>
      <c r="C27" s="3">
        <f>MIN(1,'США 2037'!C27+'США 2037'!F27+(0.08*LN(1+0.5*'Ход 2037'!C33)*MAX(0,1-('США 2037'!C27+'США 2037'!F27))))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2037'!B28+'США 2037'!D28+('США 2037'!C28+'США 2037'!F28+'США 2037'!G28)+(0.35*LN(1+0.6*'Ход 2037'!B34)*POWER(MAX(0,1-'США 2037'!I28/10),0.7))))</f>
        <v>10</v>
      </c>
      <c r="C28" s="3">
        <f>MIN(1,'США 2037'!C28+'США 2037'!F28+(0.08*LN(1+0.5*'Ход 2037'!C34)*MAX(0,1-('США 2037'!C28+'США 2037'!F28))))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2037'!B29+'США 2037'!D29+('США 2037'!C29+'США 2037'!F29+'США 2037'!G29)+(0.35*LN(1+0.6*'Ход 2037'!B35)*POWER(MAX(0,1-'США 2037'!I29/10),0.7))))</f>
        <v>10</v>
      </c>
      <c r="C29" s="3">
        <f>MIN(1,'США 2037'!C29+'США 2037'!F29+(0.08*LN(1+0.5*'Ход 2037'!C35)*MAX(0,1-('США 2037'!C29+'США 2037'!F29))))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2037'!B30+'США 2037'!D30+('США 2037'!C30+'США 2037'!F30+'США 2037'!G30)+(0.35*LN(1+0.6*'Ход 2037'!B36)*POWER(MAX(0,1-'США 2037'!I30/10),0.7))))</f>
        <v>10</v>
      </c>
      <c r="C30" s="3">
        <f>MIN(1,'США 2037'!C30+'США 2037'!F30+(0.08*LN(1+0.5*'Ход 2037'!C36)*MAX(0,1-('США 2037'!C30+'США 2037'!F30))))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2037'!B31+'США 2037'!D31+('США 2037'!C31+'США 2037'!F31+'США 2037'!G31)+(0.35*LN(1+0.6*'Ход 2037'!B37)*POWER(MAX(0,1-'США 2037'!I31/10),0.7))))</f>
        <v>9.1999999999999957</v>
      </c>
      <c r="C31" s="3">
        <f>MIN(1,'США 2037'!C31+'США 2037'!F31+(0.08*LN(1+0.5*'Ход 2037'!C37)*MAX(0,1-('США 2037'!C31+'США 2037'!F31))))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9.1999999999999957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2037'!B32+'США 2037'!D32+('США 2037'!C32+'США 2037'!F32+'США 2037'!G32)+(0.35*LN(1+0.6*'Ход 2037'!B38)*POWER(MAX(0,1-'США 2037'!I32/10),0.7))))</f>
        <v>9.6999999999999957</v>
      </c>
      <c r="C32" s="3">
        <f>MIN(1,'США 2037'!C32+'США 2037'!F32+(0.08*LN(1+0.5*'Ход 2037'!C38)*MAX(0,1-('США 2037'!C32+'США 2037'!F32))))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9.6999999999999957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2037'!B34+'США 2037'!D34+('США 2037'!C34+'США 2037'!F34+'США 2037'!G34)+(0.35*LN(1+0.6*'Ход 2037'!B40)*POWER(MAX(0,1-'США 2037'!I34/10),0.7))))</f>
        <v>9.1999999999999957</v>
      </c>
      <c r="C34" s="3">
        <f>MIN(1,'США 2037'!C34+'США 2037'!F34+(0.08*LN(1+0.5*'Ход 2037'!C40)*MAX(0,1-('США 2037'!C34+'США 2037'!F34))))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9.1999999999999957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2037'!B35+'США 2037'!D35+('США 2037'!C35+'США 2037'!F35+'США 2037'!G35)+(0.35*LN(1+0.6*'Ход 2037'!B41)*POWER(MAX(0,1-'США 2037'!I35/10),0.7))))</f>
        <v>10</v>
      </c>
      <c r="C35" s="3">
        <f>MIN(1,'США 2037'!C35+'США 2037'!F35+(0.08*LN(1+0.5*'Ход 2037'!C41)*MAX(0,1-('США 2037'!C35+'США 2037'!F35))))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2037'!B36+'США 2037'!D36+('США 2037'!C36+'США 2037'!F36+'США 2037'!G36)+(0.35*LN(1+0.6*'Ход 2037'!B42)*POWER(MAX(0,1-'США 2037'!I36/10),0.7))))</f>
        <v>10</v>
      </c>
      <c r="C36" s="3">
        <f>MIN(1,'США 2037'!C36+'США 2037'!F36+(0.08*LN(1+0.5*'Ход 2037'!C42)*MAX(0,1-('США 2037'!C36+'США 2037'!F36))))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2037'!B37+'США 2037'!D37+('США 2037'!C37+'США 2037'!F37+'США 2037'!G37)+(0.35*LN(1+0.6*'Ход 2037'!B43)*POWER(MAX(0,1-'США 2037'!I37/10),0.7))))</f>
        <v>10</v>
      </c>
      <c r="C37" s="3">
        <f>MIN(1,'США 2037'!C37+'США 2037'!F37+(0.08*LN(1+0.5*'Ход 2037'!C43)*MAX(0,1-('США 2037'!C37+'США 2037'!F37))))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2037'!B38+'США 2037'!D38+('США 2037'!C38+'США 2037'!F38+'США 2037'!G38)+(0.35*LN(1+0.6*'Ход 2037'!B44)*POWER(MAX(0,1-'США 2037'!I38/10),0.7))))</f>
        <v>10</v>
      </c>
      <c r="C38" s="3">
        <f>MIN(1,'США 2037'!C38+'США 2037'!F38+(0.08*LN(1+0.5*'Ход 2037'!C44)*MAX(0,1-('США 2037'!C38+'США 2037'!F38))))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2037'!B39+'США 2037'!D39+('США 2037'!C39+'США 2037'!F39+'США 2037'!G39)+(0.35*LN(1+0.6*'Ход 2037'!B45)*POWER(MAX(0,1-'США 2037'!I39/10),0.7))))</f>
        <v>10</v>
      </c>
      <c r="C39" s="3">
        <f>MIN(1,'США 2037'!C39+'США 2037'!F39+(0.08*LN(1+0.5*'Ход 2037'!C45)*MAX(0,1-('США 2037'!C39+'США 2037'!F39))))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2037'!B40+'США 2037'!D40+('США 2037'!C40+'США 2037'!F40+'США 2037'!G40)+(0.35*LN(1+0.6*'Ход 2037'!B46)*POWER(MAX(0,1-'США 2037'!I40/10),0.7))))</f>
        <v>9.6000000000000085</v>
      </c>
      <c r="C40" s="3">
        <f>MIN(1,'США 2037'!C40+'США 2037'!F40+(0.08*LN(1+0.5*'Ход 2037'!C46)*MAX(0,1-('США 2037'!C40+'США 2037'!F40))))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9.6000000000000085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2037'!B41+'США 2037'!D41+('США 2037'!C41+'США 2037'!F41+'США 2037'!G41)+(0.35*LN(1+0.6*'Ход 2037'!B47)*POWER(MAX(0,1-'США 2037'!I41/10),0.7))))</f>
        <v>10</v>
      </c>
      <c r="C41" s="3">
        <f>MIN(1,'США 2037'!C41+'США 2037'!F41+(0.08*LN(1+0.5*'Ход 2037'!C47)*MAX(0,1-('США 2037'!C41+'США 2037'!F41))))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2037'!B42+'США 2037'!D42+('США 2037'!C42+'США 2037'!F42+'США 2037'!G42)+(0.35*LN(1+0.6*'Ход 2037'!B48)*POWER(MAX(0,1-'США 2037'!I42/10),0.7))))</f>
        <v>10</v>
      </c>
      <c r="C42" s="3">
        <f>MIN(1,'США 2037'!C42+'США 2037'!F42+(0.08*LN(1+0.5*'Ход 2037'!C48)*MAX(0,1-('США 2037'!C42+'США 2037'!F42))))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2037'!B44+'США 2037'!D44+('США 2037'!C44+'США 2037'!F44+'США 2037'!G44)+(0.35*LN(1+0.6*'Ход 2037'!B50)*POWER(MAX(0,1-'США 2037'!I44/10),0.7))))</f>
        <v>9.1999999999999957</v>
      </c>
      <c r="C44" s="3">
        <f>MIN(1,'США 2037'!C44+'США 2037'!F44+(0.08*LN(1+0.5*'Ход 2037'!C50)*MAX(0,1-('США 2037'!C44+'США 2037'!F44))))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9.1999999999999957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2037'!B45+'США 2037'!D45+('США 2037'!C45+'США 2037'!F45+'США 2037'!G45)+(0.35*LN(1+0.6*'Ход 2037'!B51)*POWER(MAX(0,1-'США 2037'!I45/10),0.7))))</f>
        <v>9.8999999999999932</v>
      </c>
      <c r="C45" s="3">
        <f>MIN(1,'США 2037'!C45+'США 2037'!F45+(0.08*LN(1+0.5*'Ход 2037'!C51)*MAX(0,1-('США 2037'!C45+'США 2037'!F45))))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9.8999999999999932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2037'!B46+'США 2037'!D46+('США 2037'!C46+'США 2037'!F46+'США 2037'!G46)+(0.35*LN(1+0.6*'Ход 2037'!B52)*POWER(MAX(0,1-'США 2037'!I46/10),0.7))))</f>
        <v>9.6999999999999957</v>
      </c>
      <c r="C46" s="3">
        <f>MIN(1,'США 2037'!C46+'США 2037'!F46+(0.08*LN(1+0.5*'Ход 2037'!C52)*MAX(0,1-('США 2037'!C46+'США 2037'!F46))))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9.6999999999999957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2037'!B47+'США 2037'!D47+('США 2037'!C47+'США 2037'!F47+'США 2037'!G47)+(0.35*LN(1+0.6*'Ход 2037'!B53)*POWER(MAX(0,1-'США 2037'!I47/10),0.7))))</f>
        <v>5.8000000000000043</v>
      </c>
      <c r="C47" s="3">
        <f>MIN(1,'США 2037'!C47+'США 2037'!F47+(0.08*LN(1+0.5*'Ход 2037'!C53)*MAX(0,1-('США 2037'!C47+'США 2037'!F47))))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5.8000000000000043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2037'!B48+'США 2037'!D48+('США 2037'!C48+'США 2037'!F48+'США 2037'!G48)+(0.35*LN(1+0.6*'Ход 2037'!B54)*POWER(MAX(0,1-'США 2037'!I48/10),0.7))))</f>
        <v>6.0999999999999979</v>
      </c>
      <c r="C48" s="3">
        <f>MIN(1,'США 2037'!C48+'США 2037'!F48+(0.08*LN(1+0.5*'Ход 2037'!C54)*MAX(0,1-('США 2037'!C48+'США 2037'!F48))))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6.0999999999999979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2037'!B49+'США 2037'!D49+('США 2037'!C49+'США 2037'!F49+'США 2037'!G49)+(0.35*LN(1+0.6*'Ход 2037'!B55)*POWER(MAX(0,1-'США 2037'!I49/10),0.7))))</f>
        <v>10</v>
      </c>
      <c r="C49" s="3">
        <f>MIN(1,'США 2037'!C49+'США 2037'!F49+(0.08*LN(1+0.5*'Ход 2037'!C55)*MAX(0,1-('США 2037'!C49+'США 2037'!F49))))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2037'!B50+'США 2037'!D50+('США 2037'!C50+'США 2037'!F50+'США 2037'!G50)+(0.35*LN(1+0.6*'Ход 2037'!B56)*POWER(MAX(0,1-'США 2037'!I50/10),0.7))))</f>
        <v>10</v>
      </c>
      <c r="C50" s="3">
        <f>MIN(1,'США 2037'!C50+'США 2037'!F50+(0.08*LN(1+0.5*'Ход 2037'!C56)*MAX(0,1-('США 2037'!C50+'США 2037'!F50))))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2037'!B51+'США 2037'!D51+('США 2037'!C51+'США 2037'!F51+'США 2037'!G51)+(0.35*LN(1+0.6*'Ход 2037'!B57)*POWER(MAX(0,1-'США 2037'!I51/10),0.7))))</f>
        <v>9.8999999999999932</v>
      </c>
      <c r="C51" s="3">
        <f>MIN(1,'США 2037'!C51+'США 2037'!F51+(0.08*LN(1+0.5*'Ход 2037'!C57)*MAX(0,1-('США 2037'!C51+'США 2037'!F51))))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9.8999999999999932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2037'!B53+'США 2037'!D53+('США 2037'!C53+'США 2037'!F53+'США 2037'!G53)+(0.35*LN(1+0.6*'Ход 2037'!B59)*POWER(MAX(0,1-'США 2037'!I53/10),0.7))))</f>
        <v>10</v>
      </c>
      <c r="C53" s="3">
        <f>MIN(1,'США 2037'!C53+'США 2037'!F53+(0.08*LN(1+0.5*'Ход 2037'!C59)*MAX(0,1-('США 2037'!C53+'США 2037'!F53))))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2037'!B54+'США 2037'!D54+('США 2037'!C54+'США 2037'!F54+'США 2037'!G54)+(0.35*LN(1+0.6*'Ход 2037'!B60)*POWER(MAX(0,1-'США 2037'!I54/10),0.7))))</f>
        <v>10</v>
      </c>
      <c r="C54" s="3">
        <f>MIN(1,'США 2037'!C54+'США 2037'!F54+(0.08*LN(1+0.5*'Ход 2037'!C60)*MAX(0,1-('США 2037'!C54+'США 2037'!F54))))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2037'!B55+'США 2037'!D55+('США 2037'!C55+'США 2037'!F55+'США 2037'!G55)+(0.35*LN(1+0.6*'Ход 2037'!B61)*POWER(MAX(0,1-'США 2037'!I55/10),0.7))))</f>
        <v>8.8000000000000043</v>
      </c>
      <c r="C55" s="3">
        <f>MIN(1,'США 2037'!C55+'США 2037'!F55+(0.08*LN(1+0.5*'Ход 2037'!C61)*MAX(0,1-('США 2037'!C55+'США 2037'!F55))))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8.8000000000000043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402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2038'!U6</f>
        <v>99.814428386559996</v>
      </c>
      <c r="C6" s="3"/>
      <c r="D6" s="3"/>
      <c r="E6" s="3" t="s">
        <v>351</v>
      </c>
      <c r="F6" s="3">
        <f>'США 2038'!K6</f>
        <v>84.519282849847343</v>
      </c>
      <c r="G6" s="3"/>
      <c r="H6" s="3"/>
      <c r="I6" s="3" t="s">
        <v>351</v>
      </c>
      <c r="J6" s="3">
        <f>'США 2038'!N6</f>
        <v>76.567259070502118</v>
      </c>
      <c r="K6" s="3"/>
      <c r="L6" s="3"/>
      <c r="M6" s="3" t="s">
        <v>351</v>
      </c>
      <c r="N6" s="3">
        <f>'США 2038'!Q6</f>
        <v>85.713329487788329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99.814428386559996</v>
      </c>
      <c r="C8" s="3" t="str">
        <f>IF(B8&lt;0,"ПРЕВЫШЕНИЕ","OK")</f>
        <v>OK</v>
      </c>
      <c r="D8" s="3"/>
      <c r="E8" s="3" t="s">
        <v>353</v>
      </c>
      <c r="F8" s="3">
        <f>F6-F7</f>
        <v>84.519282849847343</v>
      </c>
      <c r="G8" s="3" t="str">
        <f>IF(F8&lt;0,"ПРЕВЫШЕНИЕ","OK")</f>
        <v>OK</v>
      </c>
      <c r="H8" s="3"/>
      <c r="I8" s="3" t="s">
        <v>353</v>
      </c>
      <c r="J8" s="3">
        <f>J6-J7</f>
        <v>76.567259070502118</v>
      </c>
      <c r="K8" s="3" t="str">
        <f>IF(J8&lt;0,"ПРЕВЫШЕНИЕ","OK")</f>
        <v>OK</v>
      </c>
      <c r="L8" s="3"/>
      <c r="M8" s="3" t="s">
        <v>353</v>
      </c>
      <c r="N8" s="3">
        <f>N6-N7</f>
        <v>85.713329487788329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2038'!V11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52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2038'!V12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91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2038'!V13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95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2038'!V14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92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2038'!V15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48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2038'!V16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65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2038'!V17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14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2038'!V18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39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2038'!V19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42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2038'!V20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75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2038'!V21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48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2038'!V22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1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2038'!V23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28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2038'!V24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28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2038'!V25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70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2038'!V26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17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IF(G29="","",VLOOKUP(G29,Технологии!$A$11:$BF$50,56,FALSE))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IF(G30="","",VLOOKUP(G30,Технологии!$A$11:$BF$50,56,FALSE))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IF(G31="","",VLOOKUP(G31,Технологии!$A$11:$BF$50,56,FALSE))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IF(G32="","",VLOOKUP(G32,Технологии!$A$11:$BF$50,56,FALSE))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IF(G33="","",VLOOKUP(G33,Технологии!$A$11:$BF$50,56,FALSE))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IF(G34="","",VLOOKUP(G34,Технологии!$A$11:$BF$50,56,FALSE))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IF(G35="","",VLOOKUP(G35,Технологии!$A$11:$BF$50,56,FALSE))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IF(G36="","",VLOOKUP(G36,Технологии!$A$11:$BF$50,56,FALSE))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IF(G37="","",VLOOKUP(G37,Технологии!$A$11:$BF$50,56,FALSE))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IF(G38="","",VLOOKUP(G38,Технологии!$A$11:$BF$50,56,FALSE))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403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84.63831522848767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76.594252532863891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85.729725398428045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99.830463218738856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2038'!B8+'США 2038'!D8+('США 2038'!C8+'США 2038'!F8+'США 2038'!G8)+(0.35*LN(1+0.6*'Ход 2038'!B14)*POWER(MAX(0,1-'США 2038'!I8/10),0.7))))</f>
        <v>8.7999999999999954</v>
      </c>
      <c r="C8" s="3">
        <f>MIN(1,'США 2038'!C8+'США 2038'!F8+(0.08*LN(1+0.5*'Ход 2038'!C14)*MAX(0,1-('США 2038'!C8+'США 2038'!F8))))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8.7999999999999954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2038'!B9+'США 2038'!D9+('США 2038'!C9+'США 2038'!F9+'США 2038'!G9)+(0.35*LN(1+0.6*'Ход 2038'!B15)*POWER(MAX(0,1-'США 2038'!I9/10),0.7))))</f>
        <v>10</v>
      </c>
      <c r="C9" s="3">
        <f>MIN(1,'США 2038'!C9+'США 2038'!F9+(0.08*LN(1+0.5*'Ход 2038'!C15)*MAX(0,1-('США 2038'!C9+'США 2038'!F9))))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2038'!B10+'США 2038'!D10+('США 2038'!C10+'США 2038'!F10+'США 2038'!G10)+(0.35*LN(1+0.6*'Ход 2038'!B16)*POWER(MAX(0,1-'США 2038'!I10/10),0.7))))</f>
        <v>10</v>
      </c>
      <c r="C10" s="3">
        <f>MIN(1,'США 2038'!C10+'США 2038'!F10+(0.08*LN(1+0.5*'Ход 2038'!C16)*MAX(0,1-('США 2038'!C10+'США 2038'!F10))))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2038'!B11+'США 2038'!D11+('США 2038'!C11+'США 2038'!F11+'США 2038'!G11)+(0.35*LN(1+0.6*'Ход 2038'!B17)*POWER(MAX(0,1-'США 2038'!I11/10),0.7))))</f>
        <v>8.7999999999999954</v>
      </c>
      <c r="C11" s="3">
        <f>MIN(1,'США 2038'!C11+'США 2038'!F11+(0.08*LN(1+0.5*'Ход 2038'!C17)*MAX(0,1-('США 2038'!C11+'США 2038'!F11))))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8.7999999999999954</v>
      </c>
      <c r="J11" s="3"/>
      <c r="K11" s="3" t="s">
        <v>265</v>
      </c>
      <c r="L11" s="3">
        <f>MAX(1,MIN(10,'США 2038'!L11+'США 2038'!N11+('США 2038'!M11+'США 2038'!P11+'США 2038'!Q11)))</f>
        <v>10</v>
      </c>
      <c r="M11" s="3">
        <f>MIN(1,'США 2038'!M11+'США 2038'!P11+(0.1*LN(1+0.5*'Ход 2038'!H13)*POWER(MAX(0,1-'США 2038'!S11/10),0.8)))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2038'!V11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2038'!B12+'США 2038'!D12+('США 2038'!C12+'США 2038'!F12+'США 2038'!G12)+(0.35*LN(1+0.6*'Ход 2038'!B18)*POWER(MAX(0,1-'США 2038'!I12/10),0.7))))</f>
        <v>9.6500000000000092</v>
      </c>
      <c r="C12" s="3">
        <f>MIN(1,'США 2038'!C12+'США 2038'!F12+(0.08*LN(1+0.5*'Ход 2038'!C18)*MAX(0,1-('США 2038'!C12+'США 2038'!F12))))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9.6500000000000092</v>
      </c>
      <c r="J12" s="3"/>
      <c r="K12" s="3" t="s">
        <v>269</v>
      </c>
      <c r="L12" s="3">
        <f>MAX(1,MIN(10,'США 2038'!L12+'США 2038'!N12+('США 2038'!M12+'США 2038'!P12+'США 2038'!Q12)))</f>
        <v>10</v>
      </c>
      <c r="M12" s="3">
        <f>MIN(1,'США 2038'!M12+'США 2038'!P12+(0.1*LN(1+0.5*'Ход 2038'!H14)*POWER(MAX(0,1-'США 2038'!S12/10),0.8)))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2038'!V12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2038'!B13+'США 2038'!D13+('США 2038'!C13+'США 2038'!F13+'США 2038'!G13)+(0.35*LN(1+0.6*'Ход 2038'!B19)*POWER(MAX(0,1-'США 2038'!I13/10),0.7))))</f>
        <v>10</v>
      </c>
      <c r="C13" s="3">
        <f>MIN(1,'США 2038'!C13+'США 2038'!F13+(0.08*LN(1+0.5*'Ход 2038'!C19)*MAX(0,1-('США 2038'!C13+'США 2038'!F13))))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2038'!L13+'США 2038'!N13+('США 2038'!M13+'США 2038'!P13+'США 2038'!Q13)))</f>
        <v>10</v>
      </c>
      <c r="M13" s="3">
        <f>MIN(1,'США 2038'!M13+'США 2038'!P13+(0.1*LN(1+0.5*'Ход 2038'!H15)*POWER(MAX(0,1-'США 2038'!S13/10),0.8)))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2038'!V13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2038'!B14+'США 2038'!D14+('США 2038'!C14+'США 2038'!F14+'США 2038'!G14)+(0.35*LN(1+0.6*'Ход 2038'!B20)*POWER(MAX(0,1-'США 2038'!I14/10),0.7))))</f>
        <v>10</v>
      </c>
      <c r="C14" s="3">
        <f>MIN(1,'США 2038'!C14+'США 2038'!F14+(0.08*LN(1+0.5*'Ход 2038'!C20)*MAX(0,1-('США 2038'!C14+'США 2038'!F14))))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2038'!L14+'США 2038'!N14+('США 2038'!M14+'США 2038'!P14+'США 2038'!Q14)))</f>
        <v>10</v>
      </c>
      <c r="M14" s="3">
        <f>MIN(1,'США 2038'!M14+'США 2038'!P14+(0.1*LN(1+0.5*'Ход 2038'!H16)*POWER(MAX(0,1-'США 2038'!S14/10),0.8)))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2038'!V14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2038'!B15+'США 2038'!D15+('США 2038'!C15+'США 2038'!F15+'США 2038'!G15)+(0.35*LN(1+0.6*'Ход 2038'!B21)*POWER(MAX(0,1-'США 2038'!I15/10),0.7))))</f>
        <v>10</v>
      </c>
      <c r="C15" s="3">
        <f>MIN(1,'США 2038'!C15+'США 2038'!F15+(0.08*LN(1+0.5*'Ход 2038'!C21)*MAX(0,1-('США 2038'!C15+'США 2038'!F15))))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2038'!L15+'США 2038'!N15+('США 2038'!M15+'США 2038'!P15+'США 2038'!Q15)))</f>
        <v>10</v>
      </c>
      <c r="M15" s="3">
        <f>MIN(1,'США 2038'!M15+'США 2038'!P15+(0.1*LN(1+0.5*'Ход 2038'!H17)*POWER(MAX(0,1-'США 2038'!S15/10),0.8)))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2038'!V15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2038'!B16+'США 2038'!D16+('США 2038'!C16+'США 2038'!F16+'США 2038'!G16)+(0.35*LN(1+0.6*'Ход 2038'!B22)*POWER(MAX(0,1-'США 2038'!I16/10),0.7))))</f>
        <v>10</v>
      </c>
      <c r="C16" s="3">
        <f>MIN(1,'США 2038'!C16+'США 2038'!F16+(0.08*LN(1+0.5*'Ход 2038'!C22)*MAX(0,1-('США 2038'!C16+'США 2038'!F16))))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2038'!L16+'США 2038'!N16+('США 2038'!M16+'США 2038'!P16+'США 2038'!Q16)))</f>
        <v>10</v>
      </c>
      <c r="M16" s="3">
        <f>MIN(1,'США 2038'!M16+'США 2038'!P16+(0.1*LN(1+0.5*'Ход 2038'!H18)*POWER(MAX(0,1-'США 2038'!S16/10),0.8)))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2038'!V16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2038'!B17+'США 2038'!D17+('США 2038'!C17+'США 2038'!F17+'США 2038'!G17)+(0.35*LN(1+0.6*'Ход 2038'!B23)*POWER(MAX(0,1-'США 2038'!I17/10),0.7))))</f>
        <v>10</v>
      </c>
      <c r="C17" s="3">
        <f>MIN(1,'США 2038'!C17+'США 2038'!F17+(0.08*LN(1+0.5*'Ход 2038'!C23)*MAX(0,1-('США 2038'!C17+'США 2038'!F17))))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3"/>
      <c r="K17" s="3" t="s">
        <v>289</v>
      </c>
      <c r="L17" s="3">
        <f>MAX(1,MIN(10,'США 2038'!L17+'США 2038'!N17+('США 2038'!M17+'США 2038'!P17+'США 2038'!Q17)))</f>
        <v>10</v>
      </c>
      <c r="M17" s="3">
        <f>MIN(1,'США 2038'!M17+'США 2038'!P17+(0.1*LN(1+0.5*'Ход 2038'!H19)*POWER(MAX(0,1-'США 2038'!S17/10),0.8)))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2038'!V17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2038'!L18+'США 2038'!N18+('США 2038'!M18+'США 2038'!P18+'США 2038'!Q18)))</f>
        <v>10</v>
      </c>
      <c r="M18" s="3">
        <f>MIN(1,'США 2038'!M18+'США 2038'!P18+(0.1*LN(1+0.5*'Ход 2038'!H20)*POWER(MAX(0,1-'США 2038'!S18/10),0.8)))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2038'!V18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2038'!B19+'США 2038'!D19+('США 2038'!C19+'США 2038'!F19+'США 2038'!G19)+(0.35*LN(1+0.6*'Ход 2038'!B25)*POWER(MAX(0,1-'США 2038'!I19/10),0.7))))</f>
        <v>10</v>
      </c>
      <c r="C19" s="3">
        <f>MIN(1,'США 2038'!C19+'США 2038'!F19+(0.08*LN(1+0.5*'Ход 2038'!C25)*MAX(0,1-('США 2038'!C19+'США 2038'!F19))))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2038'!V19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2038'!B20+'США 2038'!D20+('США 2038'!C20+'США 2038'!F20+'США 2038'!G20)+(0.35*LN(1+0.6*'Ход 2038'!B26)*POWER(MAX(0,1-'США 2038'!I20/10),0.7))))</f>
        <v>10</v>
      </c>
      <c r="C20" s="3">
        <f>MIN(1,'США 2038'!C20+'США 2038'!F20+(0.08*LN(1+0.5*'Ход 2038'!C26)*MAX(0,1-('США 2038'!C20+'США 2038'!F20))))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10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2038'!V20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2038'!B21+'США 2038'!D21+('США 2038'!C21+'США 2038'!F21+'США 2038'!G21)+(0.35*LN(1+0.6*'Ход 2038'!B27)*POWER(MAX(0,1-'США 2038'!I21/10),0.7))))</f>
        <v>9.9500000000000046</v>
      </c>
      <c r="C21" s="3">
        <f>MIN(1,'США 2038'!C21+'США 2038'!F21+(0.08*LN(1+0.5*'Ход 2038'!C27)*MAX(0,1-('США 2038'!C21+'США 2038'!F21))))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9.9500000000000046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2038'!V21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2038'!B22+'США 2038'!D22+('США 2038'!C22+'США 2038'!F22+'США 2038'!G22)+(0.35*LN(1+0.6*'Ход 2038'!B28)*POWER(MAX(0,1-'США 2038'!I22/10),0.7))))</f>
        <v>10</v>
      </c>
      <c r="C22" s="3">
        <f>MIN(1,'США 2038'!C22+'США 2038'!F22+(0.08*LN(1+0.5*'Ход 2038'!C28)*MAX(0,1-('США 2038'!C22+'США 2038'!F22))))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2038'!V22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2038'!B23+'США 2038'!D23+('США 2038'!C23+'США 2038'!F23+'США 2038'!G23)+(0.35*LN(1+0.6*'Ход 2038'!B29)*POWER(MAX(0,1-'США 2038'!I23/10),0.7))))</f>
        <v>10</v>
      </c>
      <c r="C23" s="3">
        <f>MIN(1,'США 2038'!C23+'США 2038'!F23+(0.08*LN(1+0.5*'Ход 2038'!C29)*MAX(0,1-('США 2038'!C23+'США 2038'!F23))))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2038'!V23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2038'!V24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2038'!B25+'США 2038'!D25+('США 2038'!C25+'США 2038'!F25+'США 2038'!G25)+(0.35*LN(1+0.6*'Ход 2038'!B31)*POWER(MAX(0,1-'США 2038'!I25/10),0.7))))</f>
        <v>10</v>
      </c>
      <c r="C25" s="3">
        <f>MIN(1,'США 2038'!C25+'США 2038'!F25+(0.08*LN(1+0.5*'Ход 2038'!C31)*MAX(0,1-('США 2038'!C25+'США 2038'!F25))))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2038'!V25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2038'!B26+'США 2038'!D26+('США 2038'!C26+'США 2038'!F26+'США 2038'!G26)+(0.35*LN(1+0.6*'Ход 2038'!B32)*POWER(MAX(0,1-'США 2038'!I26/10),0.7))))</f>
        <v>10</v>
      </c>
      <c r="C26" s="3">
        <f>MIN(1,'США 2038'!C26+'США 2038'!F26+(0.08*LN(1+0.5*'Ход 2038'!C32)*MAX(0,1-('США 2038'!C26+'США 2038'!F26))))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2038'!V26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2038'!B27+'США 2038'!D27+('США 2038'!C27+'США 2038'!F27+'США 2038'!G27)+(0.35*LN(1+0.6*'Ход 2038'!B33)*POWER(MAX(0,1-'США 2038'!I27/10),0.7))))</f>
        <v>10</v>
      </c>
      <c r="C27" s="3">
        <f>MIN(1,'США 2038'!C27+'США 2038'!F27+(0.08*LN(1+0.5*'Ход 2038'!C33)*MAX(0,1-('США 2038'!C27+'США 2038'!F27))))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2038'!B28+'США 2038'!D28+('США 2038'!C28+'США 2038'!F28+'США 2038'!G28)+(0.35*LN(1+0.6*'Ход 2038'!B34)*POWER(MAX(0,1-'США 2038'!I28/10),0.7))))</f>
        <v>10</v>
      </c>
      <c r="C28" s="3">
        <f>MIN(1,'США 2038'!C28+'США 2038'!F28+(0.08*LN(1+0.5*'Ход 2038'!C34)*MAX(0,1-('США 2038'!C28+'США 2038'!F28))))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2038'!B29+'США 2038'!D29+('США 2038'!C29+'США 2038'!F29+'США 2038'!G29)+(0.35*LN(1+0.6*'Ход 2038'!B35)*POWER(MAX(0,1-'США 2038'!I29/10),0.7))))</f>
        <v>10</v>
      </c>
      <c r="C29" s="3">
        <f>MIN(1,'США 2038'!C29+'США 2038'!F29+(0.08*LN(1+0.5*'Ход 2038'!C35)*MAX(0,1-('США 2038'!C29+'США 2038'!F29))))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2038'!B30+'США 2038'!D30+('США 2038'!C30+'США 2038'!F30+'США 2038'!G30)+(0.35*LN(1+0.6*'Ход 2038'!B36)*POWER(MAX(0,1-'США 2038'!I30/10),0.7))))</f>
        <v>10</v>
      </c>
      <c r="C30" s="3">
        <f>MIN(1,'США 2038'!C30+'США 2038'!F30+(0.08*LN(1+0.5*'Ход 2038'!C36)*MAX(0,1-('США 2038'!C30+'США 2038'!F30))))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2038'!B31+'США 2038'!D31+('США 2038'!C31+'США 2038'!F31+'США 2038'!G31)+(0.35*LN(1+0.6*'Ход 2038'!B37)*POWER(MAX(0,1-'США 2038'!I31/10),0.7))))</f>
        <v>9.2999999999999954</v>
      </c>
      <c r="C31" s="3">
        <f>MIN(1,'США 2038'!C31+'США 2038'!F31+(0.08*LN(1+0.5*'Ход 2038'!C37)*MAX(0,1-('США 2038'!C31+'США 2038'!F31))))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9.2999999999999954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2038'!B32+'США 2038'!D32+('США 2038'!C32+'США 2038'!F32+'США 2038'!G32)+(0.35*LN(1+0.6*'Ход 2038'!B38)*POWER(MAX(0,1-'США 2038'!I32/10),0.7))))</f>
        <v>9.7999999999999954</v>
      </c>
      <c r="C32" s="3">
        <f>MIN(1,'США 2038'!C32+'США 2038'!F32+(0.08*LN(1+0.5*'Ход 2038'!C38)*MAX(0,1-('США 2038'!C32+'США 2038'!F32))))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9.7999999999999954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2038'!B34+'США 2038'!D34+('США 2038'!C34+'США 2038'!F34+'США 2038'!G34)+(0.35*LN(1+0.6*'Ход 2038'!B40)*POWER(MAX(0,1-'США 2038'!I34/10),0.7))))</f>
        <v>9.2999999999999954</v>
      </c>
      <c r="C34" s="3">
        <f>MIN(1,'США 2038'!C34+'США 2038'!F34+(0.08*LN(1+0.5*'Ход 2038'!C40)*MAX(0,1-('США 2038'!C34+'США 2038'!F34))))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9.2999999999999954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2038'!B35+'США 2038'!D35+('США 2038'!C35+'США 2038'!F35+'США 2038'!G35)+(0.35*LN(1+0.6*'Ход 2038'!B41)*POWER(MAX(0,1-'США 2038'!I35/10),0.7))))</f>
        <v>10</v>
      </c>
      <c r="C35" s="3">
        <f>MIN(1,'США 2038'!C35+'США 2038'!F35+(0.08*LN(1+0.5*'Ход 2038'!C41)*MAX(0,1-('США 2038'!C35+'США 2038'!F35))))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2038'!B36+'США 2038'!D36+('США 2038'!C36+'США 2038'!F36+'США 2038'!G36)+(0.35*LN(1+0.6*'Ход 2038'!B42)*POWER(MAX(0,1-'США 2038'!I36/10),0.7))))</f>
        <v>10</v>
      </c>
      <c r="C36" s="3">
        <f>MIN(1,'США 2038'!C36+'США 2038'!F36+(0.08*LN(1+0.5*'Ход 2038'!C42)*MAX(0,1-('США 2038'!C36+'США 2038'!F36))))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2038'!B37+'США 2038'!D37+('США 2038'!C37+'США 2038'!F37+'США 2038'!G37)+(0.35*LN(1+0.6*'Ход 2038'!B43)*POWER(MAX(0,1-'США 2038'!I37/10),0.7))))</f>
        <v>10</v>
      </c>
      <c r="C37" s="3">
        <f>MIN(1,'США 2038'!C37+'США 2038'!F37+(0.08*LN(1+0.5*'Ход 2038'!C43)*MAX(0,1-('США 2038'!C37+'США 2038'!F37))))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2038'!B38+'США 2038'!D38+('США 2038'!C38+'США 2038'!F38+'США 2038'!G38)+(0.35*LN(1+0.6*'Ход 2038'!B44)*POWER(MAX(0,1-'США 2038'!I38/10),0.7))))</f>
        <v>10</v>
      </c>
      <c r="C38" s="3">
        <f>MIN(1,'США 2038'!C38+'США 2038'!F38+(0.08*LN(1+0.5*'Ход 2038'!C44)*MAX(0,1-('США 2038'!C38+'США 2038'!F38))))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2038'!B39+'США 2038'!D39+('США 2038'!C39+'США 2038'!F39+'США 2038'!G39)+(0.35*LN(1+0.6*'Ход 2038'!B45)*POWER(MAX(0,1-'США 2038'!I39/10),0.7))))</f>
        <v>10</v>
      </c>
      <c r="C39" s="3">
        <f>MIN(1,'США 2038'!C39+'США 2038'!F39+(0.08*LN(1+0.5*'Ход 2038'!C45)*MAX(0,1-('США 2038'!C39+'США 2038'!F39))))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2038'!B40+'США 2038'!D40+('США 2038'!C40+'США 2038'!F40+'США 2038'!G40)+(0.35*LN(1+0.6*'Ход 2038'!B46)*POWER(MAX(0,1-'США 2038'!I40/10),0.7))))</f>
        <v>9.6500000000000092</v>
      </c>
      <c r="C40" s="3">
        <f>MIN(1,'США 2038'!C40+'США 2038'!F40+(0.08*LN(1+0.5*'Ход 2038'!C46)*MAX(0,1-('США 2038'!C40+'США 2038'!F40))))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9.6500000000000092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2038'!B41+'США 2038'!D41+('США 2038'!C41+'США 2038'!F41+'США 2038'!G41)+(0.35*LN(1+0.6*'Ход 2038'!B47)*POWER(MAX(0,1-'США 2038'!I41/10),0.7))))</f>
        <v>10</v>
      </c>
      <c r="C41" s="3">
        <f>MIN(1,'США 2038'!C41+'США 2038'!F41+(0.08*LN(1+0.5*'Ход 2038'!C47)*MAX(0,1-('США 2038'!C41+'США 2038'!F41))))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2038'!B42+'США 2038'!D42+('США 2038'!C42+'США 2038'!F42+'США 2038'!G42)+(0.35*LN(1+0.6*'Ход 2038'!B48)*POWER(MAX(0,1-'США 2038'!I42/10),0.7))))</f>
        <v>10</v>
      </c>
      <c r="C42" s="3">
        <f>MIN(1,'США 2038'!C42+'США 2038'!F42+(0.08*LN(1+0.5*'Ход 2038'!C48)*MAX(0,1-('США 2038'!C42+'США 2038'!F42))))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2038'!B44+'США 2038'!D44+('США 2038'!C44+'США 2038'!F44+'США 2038'!G44)+(0.35*LN(1+0.6*'Ход 2038'!B50)*POWER(MAX(0,1-'США 2038'!I44/10),0.7))))</f>
        <v>9.2999999999999954</v>
      </c>
      <c r="C44" s="3">
        <f>MIN(1,'США 2038'!C44+'США 2038'!F44+(0.08*LN(1+0.5*'Ход 2038'!C50)*MAX(0,1-('США 2038'!C44+'США 2038'!F44))))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9.2999999999999954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2038'!B45+'США 2038'!D45+('США 2038'!C45+'США 2038'!F45+'США 2038'!G45)+(0.35*LN(1+0.6*'Ход 2038'!B51)*POWER(MAX(0,1-'США 2038'!I45/10),0.7))))</f>
        <v>10</v>
      </c>
      <c r="C45" s="3">
        <f>MIN(1,'США 2038'!C45+'США 2038'!F45+(0.08*LN(1+0.5*'Ход 2038'!C51)*MAX(0,1-('США 2038'!C45+'США 2038'!F45))))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2038'!B46+'США 2038'!D46+('США 2038'!C46+'США 2038'!F46+'США 2038'!G46)+(0.35*LN(1+0.6*'Ход 2038'!B52)*POWER(MAX(0,1-'США 2038'!I46/10),0.7))))</f>
        <v>9.7999999999999954</v>
      </c>
      <c r="C46" s="3">
        <f>MIN(1,'США 2038'!C46+'США 2038'!F46+(0.08*LN(1+0.5*'Ход 2038'!C52)*MAX(0,1-('США 2038'!C46+'США 2038'!F46))))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9.7999999999999954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2038'!B47+'США 2038'!D47+('США 2038'!C47+'США 2038'!F47+'США 2038'!G47)+(0.35*LN(1+0.6*'Ход 2038'!B53)*POWER(MAX(0,1-'США 2038'!I47/10),0.7))))</f>
        <v>5.7000000000000046</v>
      </c>
      <c r="C47" s="3">
        <f>MIN(1,'США 2038'!C47+'США 2038'!F47+(0.08*LN(1+0.5*'Ход 2038'!C53)*MAX(0,1-('США 2038'!C47+'США 2038'!F47))))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5.7000000000000046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2038'!B48+'США 2038'!D48+('США 2038'!C48+'США 2038'!F48+'США 2038'!G48)+(0.35*LN(1+0.6*'Ход 2038'!B54)*POWER(MAX(0,1-'США 2038'!I48/10),0.7))))</f>
        <v>6.1499999999999977</v>
      </c>
      <c r="C48" s="3">
        <f>MIN(1,'США 2038'!C48+'США 2038'!F48+(0.08*LN(1+0.5*'Ход 2038'!C54)*MAX(0,1-('США 2038'!C48+'США 2038'!F48))))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6.1499999999999977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2038'!B49+'США 2038'!D49+('США 2038'!C49+'США 2038'!F49+'США 2038'!G49)+(0.35*LN(1+0.6*'Ход 2038'!B55)*POWER(MAX(0,1-'США 2038'!I49/10),0.7))))</f>
        <v>10</v>
      </c>
      <c r="C49" s="3">
        <f>MIN(1,'США 2038'!C49+'США 2038'!F49+(0.08*LN(1+0.5*'Ход 2038'!C55)*MAX(0,1-('США 2038'!C49+'США 2038'!F49))))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2038'!B50+'США 2038'!D50+('США 2038'!C50+'США 2038'!F50+'США 2038'!G50)+(0.35*LN(1+0.6*'Ход 2038'!B56)*POWER(MAX(0,1-'США 2038'!I50/10),0.7))))</f>
        <v>10</v>
      </c>
      <c r="C50" s="3">
        <f>MIN(1,'США 2038'!C50+'США 2038'!F50+(0.08*LN(1+0.5*'Ход 2038'!C56)*MAX(0,1-('США 2038'!C50+'США 2038'!F50))))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2038'!B51+'США 2038'!D51+('США 2038'!C51+'США 2038'!F51+'США 2038'!G51)+(0.35*LN(1+0.6*'Ход 2038'!B57)*POWER(MAX(0,1-'США 2038'!I51/10),0.7))))</f>
        <v>10</v>
      </c>
      <c r="C51" s="3">
        <f>MIN(1,'США 2038'!C51+'США 2038'!F51+(0.08*LN(1+0.5*'Ход 2038'!C57)*MAX(0,1-('США 2038'!C51+'США 2038'!F51))))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2038'!B53+'США 2038'!D53+('США 2038'!C53+'США 2038'!F53+'США 2038'!G53)+(0.35*LN(1+0.6*'Ход 2038'!B59)*POWER(MAX(0,1-'США 2038'!I53/10),0.7))))</f>
        <v>10</v>
      </c>
      <c r="C53" s="3">
        <f>MIN(1,'США 2038'!C53+'США 2038'!F53+(0.08*LN(1+0.5*'Ход 2038'!C59)*MAX(0,1-('США 2038'!C53+'США 2038'!F53))))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2038'!B54+'США 2038'!D54+('США 2038'!C54+'США 2038'!F54+'США 2038'!G54)+(0.35*LN(1+0.6*'Ход 2038'!B60)*POWER(MAX(0,1-'США 2038'!I54/10),0.7))))</f>
        <v>10</v>
      </c>
      <c r="C54" s="3">
        <f>MIN(1,'США 2038'!C54+'США 2038'!F54+(0.08*LN(1+0.5*'Ход 2038'!C60)*MAX(0,1-('США 2038'!C54+'США 2038'!F54))))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2038'!B55+'США 2038'!D55+('США 2038'!C55+'США 2038'!F55+'США 2038'!G55)+(0.35*LN(1+0.6*'Ход 2038'!B61)*POWER(MAX(0,1-'США 2038'!I55/10),0.7))))</f>
        <v>8.9500000000000046</v>
      </c>
      <c r="C55" s="3">
        <f>MIN(1,'США 2038'!C55+'США 2038'!F55+(0.08*LN(1+0.5*'Ход 2038'!C61)*MAX(0,1-('США 2038'!C55+'США 2038'!F55))))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8.9500000000000046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404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2039'!U6</f>
        <v>99.830463218738856</v>
      </c>
      <c r="C6" s="3"/>
      <c r="D6" s="3"/>
      <c r="E6" s="3" t="s">
        <v>351</v>
      </c>
      <c r="F6" s="3">
        <f>'США 2039'!K6</f>
        <v>84.63831522848767</v>
      </c>
      <c r="G6" s="3"/>
      <c r="H6" s="3"/>
      <c r="I6" s="3" t="s">
        <v>351</v>
      </c>
      <c r="J6" s="3">
        <f>'США 2039'!N6</f>
        <v>76.594252532863891</v>
      </c>
      <c r="K6" s="3"/>
      <c r="L6" s="3"/>
      <c r="M6" s="3" t="s">
        <v>351</v>
      </c>
      <c r="N6" s="3">
        <f>'США 2039'!Q6</f>
        <v>85.729725398428045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99.830463218738856</v>
      </c>
      <c r="C8" s="3" t="str">
        <f>IF(B8&lt;0,"ПРЕВЫШЕНИЕ","OK")</f>
        <v>OK</v>
      </c>
      <c r="D8" s="3"/>
      <c r="E8" s="3" t="s">
        <v>353</v>
      </c>
      <c r="F8" s="3">
        <f>F6-F7</f>
        <v>84.63831522848767</v>
      </c>
      <c r="G8" s="3" t="str">
        <f>IF(F8&lt;0,"ПРЕВЫШЕНИЕ","OK")</f>
        <v>OK</v>
      </c>
      <c r="H8" s="3"/>
      <c r="I8" s="3" t="s">
        <v>353</v>
      </c>
      <c r="J8" s="3">
        <f>J6-J7</f>
        <v>76.594252532863891</v>
      </c>
      <c r="K8" s="3" t="str">
        <f>IF(J8&lt;0,"ПРЕВЫШЕНИЕ","OK")</f>
        <v>OK</v>
      </c>
      <c r="L8" s="3"/>
      <c r="M8" s="3" t="s">
        <v>353</v>
      </c>
      <c r="N8" s="3">
        <f>N6-N7</f>
        <v>85.729725398428045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2039'!V11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17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2039'!V12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30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2039'!V13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7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2039'!V14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17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2039'!V15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42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2039'!V16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37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2039'!V17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11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2039'!V18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42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2039'!V19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24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2039'!V20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46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2039'!V21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91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2039'!V22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40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2039'!V23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64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2039'!V24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89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2039'!V25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29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2039'!V26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66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IF(G29="","",VLOOKUP(G29,Технологии!$A$11:$BF$50,57,FALSE))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IF(G30="","",VLOOKUP(G30,Технологии!$A$11:$BF$50,57,FALSE))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IF(G31="","",VLOOKUP(G31,Технологии!$A$11:$BF$50,57,FALSE))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IF(G32="","",VLOOKUP(G32,Технологии!$A$11:$BF$50,57,FALSE))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IF(G33="","",VLOOKUP(G33,Технологии!$A$11:$BF$50,57,FALSE))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IF(G34="","",VLOOKUP(G34,Технологии!$A$11:$BF$50,57,FALSE))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IF(G35="","",VLOOKUP(G35,Технологии!$A$11:$BF$50,57,FALSE))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IF(G36="","",VLOOKUP(G36,Технологии!$A$11:$BF$50,57,FALSE))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IF(G37="","",VLOOKUP(G37,Технологии!$A$11:$BF$50,57,FALSE))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IF(G38="","",VLOOKUP(G38,Технологии!$A$11:$BF$50,57,FALSE))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405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84.729198888146939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76.620956608506773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85.743599049180972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99.846331195990871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2039'!B8+'США 2039'!D8+('США 2039'!C8+'США 2039'!F8+'США 2039'!G8)+(0.35*LN(1+0.6*'Ход 2039'!B14)*POWER(MAX(0,1-'США 2039'!I8/10),0.7))))</f>
        <v>8.899999999999995</v>
      </c>
      <c r="C8" s="3">
        <f>MIN(1,'США 2039'!C8+'США 2039'!F8+(0.08*LN(1+0.5*'Ход 2039'!C14)*MAX(0,1-('США 2039'!C8+'США 2039'!F8))))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8.899999999999995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2039'!B9+'США 2039'!D9+('США 2039'!C9+'США 2039'!F9+'США 2039'!G9)+(0.35*LN(1+0.6*'Ход 2039'!B15)*POWER(MAX(0,1-'США 2039'!I9/10),0.7))))</f>
        <v>10</v>
      </c>
      <c r="C9" s="3">
        <f>MIN(1,'США 2039'!C9+'США 2039'!F9+(0.08*LN(1+0.5*'Ход 2039'!C15)*MAX(0,1-('США 2039'!C9+'США 2039'!F9))))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2039'!B10+'США 2039'!D10+('США 2039'!C10+'США 2039'!F10+'США 2039'!G10)+(0.35*LN(1+0.6*'Ход 2039'!B16)*POWER(MAX(0,1-'США 2039'!I10/10),0.7))))</f>
        <v>10</v>
      </c>
      <c r="C10" s="3">
        <f>MIN(1,'США 2039'!C10+'США 2039'!F10+(0.08*LN(1+0.5*'Ход 2039'!C16)*MAX(0,1-('США 2039'!C10+'США 2039'!F10))))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2039'!B11+'США 2039'!D11+('США 2039'!C11+'США 2039'!F11+'США 2039'!G11)+(0.35*LN(1+0.6*'Ход 2039'!B17)*POWER(MAX(0,1-'США 2039'!I11/10),0.7))))</f>
        <v>8.899999999999995</v>
      </c>
      <c r="C11" s="3">
        <f>MIN(1,'США 2039'!C11+'США 2039'!F11+(0.08*LN(1+0.5*'Ход 2039'!C17)*MAX(0,1-('США 2039'!C11+'США 2039'!F11))))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8.899999999999995</v>
      </c>
      <c r="J11" s="3"/>
      <c r="K11" s="3" t="s">
        <v>265</v>
      </c>
      <c r="L11" s="3">
        <f>MAX(1,MIN(10,'США 2039'!L11+'США 2039'!N11+('США 2039'!M11+'США 2039'!P11+'США 2039'!Q11)))</f>
        <v>10</v>
      </c>
      <c r="M11" s="3">
        <f>MIN(1,'США 2039'!M11+'США 2039'!P11+(0.1*LN(1+0.5*'Ход 2039'!H13)*POWER(MAX(0,1-'США 2039'!S11/10),0.8)))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2039'!V11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2039'!B12+'США 2039'!D12+('США 2039'!C12+'США 2039'!F12+'США 2039'!G12)+(0.35*LN(1+0.6*'Ход 2039'!B18)*POWER(MAX(0,1-'США 2039'!I12/10),0.7))))</f>
        <v>9.7000000000000099</v>
      </c>
      <c r="C12" s="3">
        <f>MIN(1,'США 2039'!C12+'США 2039'!F12+(0.08*LN(1+0.5*'Ход 2039'!C18)*MAX(0,1-('США 2039'!C12+'США 2039'!F12))))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9.7000000000000099</v>
      </c>
      <c r="J12" s="3"/>
      <c r="K12" s="3" t="s">
        <v>269</v>
      </c>
      <c r="L12" s="3">
        <f>MAX(1,MIN(10,'США 2039'!L12+'США 2039'!N12+('США 2039'!M12+'США 2039'!P12+'США 2039'!Q12)))</f>
        <v>10</v>
      </c>
      <c r="M12" s="3">
        <f>MIN(1,'США 2039'!M12+'США 2039'!P12+(0.1*LN(1+0.5*'Ход 2039'!H14)*POWER(MAX(0,1-'США 2039'!S12/10),0.8)))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2039'!V12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2039'!B13+'США 2039'!D13+('США 2039'!C13+'США 2039'!F13+'США 2039'!G13)+(0.35*LN(1+0.6*'Ход 2039'!B19)*POWER(MAX(0,1-'США 2039'!I13/10),0.7))))</f>
        <v>10</v>
      </c>
      <c r="C13" s="3">
        <f>MIN(1,'США 2039'!C13+'США 2039'!F13+(0.08*LN(1+0.5*'Ход 2039'!C19)*MAX(0,1-('США 2039'!C13+'США 2039'!F13))))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2039'!L13+'США 2039'!N13+('США 2039'!M13+'США 2039'!P13+'США 2039'!Q13)))</f>
        <v>10</v>
      </c>
      <c r="M13" s="3">
        <f>MIN(1,'США 2039'!M13+'США 2039'!P13+(0.1*LN(1+0.5*'Ход 2039'!H15)*POWER(MAX(0,1-'США 2039'!S13/10),0.8)))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2039'!V13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2039'!B14+'США 2039'!D14+('США 2039'!C14+'США 2039'!F14+'США 2039'!G14)+(0.35*LN(1+0.6*'Ход 2039'!B20)*POWER(MAX(0,1-'США 2039'!I14/10),0.7))))</f>
        <v>10</v>
      </c>
      <c r="C14" s="3">
        <f>MIN(1,'США 2039'!C14+'США 2039'!F14+(0.08*LN(1+0.5*'Ход 2039'!C20)*MAX(0,1-('США 2039'!C14+'США 2039'!F14))))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2039'!L14+'США 2039'!N14+('США 2039'!M14+'США 2039'!P14+'США 2039'!Q14)))</f>
        <v>10</v>
      </c>
      <c r="M14" s="3">
        <f>MIN(1,'США 2039'!M14+'США 2039'!P14+(0.1*LN(1+0.5*'Ход 2039'!H16)*POWER(MAX(0,1-'США 2039'!S14/10),0.8)))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2039'!V14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2039'!B15+'США 2039'!D15+('США 2039'!C15+'США 2039'!F15+'США 2039'!G15)+(0.35*LN(1+0.6*'Ход 2039'!B21)*POWER(MAX(0,1-'США 2039'!I15/10),0.7))))</f>
        <v>10</v>
      </c>
      <c r="C15" s="3">
        <f>MIN(1,'США 2039'!C15+'США 2039'!F15+(0.08*LN(1+0.5*'Ход 2039'!C21)*MAX(0,1-('США 2039'!C15+'США 2039'!F15))))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2039'!L15+'США 2039'!N15+('США 2039'!M15+'США 2039'!P15+'США 2039'!Q15)))</f>
        <v>10</v>
      </c>
      <c r="M15" s="3">
        <f>MIN(1,'США 2039'!M15+'США 2039'!P15+(0.1*LN(1+0.5*'Ход 2039'!H17)*POWER(MAX(0,1-'США 2039'!S15/10),0.8)))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2039'!V15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2039'!B16+'США 2039'!D16+('США 2039'!C16+'США 2039'!F16+'США 2039'!G16)+(0.35*LN(1+0.6*'Ход 2039'!B22)*POWER(MAX(0,1-'США 2039'!I16/10),0.7))))</f>
        <v>10</v>
      </c>
      <c r="C16" s="3">
        <f>MIN(1,'США 2039'!C16+'США 2039'!F16+(0.08*LN(1+0.5*'Ход 2039'!C22)*MAX(0,1-('США 2039'!C16+'США 2039'!F16))))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2039'!L16+'США 2039'!N16+('США 2039'!M16+'США 2039'!P16+'США 2039'!Q16)))</f>
        <v>10</v>
      </c>
      <c r="M16" s="3">
        <f>MIN(1,'США 2039'!M16+'США 2039'!P16+(0.1*LN(1+0.5*'Ход 2039'!H18)*POWER(MAX(0,1-'США 2039'!S16/10),0.8)))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2039'!V16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2039'!B17+'США 2039'!D17+('США 2039'!C17+'США 2039'!F17+'США 2039'!G17)+(0.35*LN(1+0.6*'Ход 2039'!B23)*POWER(MAX(0,1-'США 2039'!I17/10),0.7))))</f>
        <v>10</v>
      </c>
      <c r="C17" s="3">
        <f>MIN(1,'США 2039'!C17+'США 2039'!F17+(0.08*LN(1+0.5*'Ход 2039'!C23)*MAX(0,1-('США 2039'!C17+'США 2039'!F17))))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3"/>
      <c r="K17" s="3" t="s">
        <v>289</v>
      </c>
      <c r="L17" s="3">
        <f>MAX(1,MIN(10,'США 2039'!L17+'США 2039'!N17+('США 2039'!M17+'США 2039'!P17+'США 2039'!Q17)))</f>
        <v>10</v>
      </c>
      <c r="M17" s="3">
        <f>MIN(1,'США 2039'!M17+'США 2039'!P17+(0.1*LN(1+0.5*'Ход 2039'!H19)*POWER(MAX(0,1-'США 2039'!S17/10),0.8)))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2039'!V17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2039'!L18+'США 2039'!N18+('США 2039'!M18+'США 2039'!P18+'США 2039'!Q18)))</f>
        <v>10</v>
      </c>
      <c r="M18" s="3">
        <f>MIN(1,'США 2039'!M18+'США 2039'!P18+(0.1*LN(1+0.5*'Ход 2039'!H20)*POWER(MAX(0,1-'США 2039'!S18/10),0.8)))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2039'!V18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2039'!B19+'США 2039'!D19+('США 2039'!C19+'США 2039'!F19+'США 2039'!G19)+(0.35*LN(1+0.6*'Ход 2039'!B25)*POWER(MAX(0,1-'США 2039'!I19/10),0.7))))</f>
        <v>10</v>
      </c>
      <c r="C19" s="3">
        <f>MIN(1,'США 2039'!C19+'США 2039'!F19+(0.08*LN(1+0.5*'Ход 2039'!C25)*MAX(0,1-('США 2039'!C19+'США 2039'!F19))))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2039'!V19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2039'!B20+'США 2039'!D20+('США 2039'!C20+'США 2039'!F20+'США 2039'!G20)+(0.35*LN(1+0.6*'Ход 2039'!B26)*POWER(MAX(0,1-'США 2039'!I20/10),0.7))))</f>
        <v>10</v>
      </c>
      <c r="C20" s="3">
        <f>MIN(1,'США 2039'!C20+'США 2039'!F20+(0.08*LN(1+0.5*'Ход 2039'!C26)*MAX(0,1-('США 2039'!C20+'США 2039'!F20))))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10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2039'!V20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2039'!B21+'США 2039'!D21+('США 2039'!C21+'США 2039'!F21+'США 2039'!G21)+(0.35*LN(1+0.6*'Ход 2039'!B27)*POWER(MAX(0,1-'США 2039'!I21/10),0.7))))</f>
        <v>10</v>
      </c>
      <c r="C21" s="3">
        <f>MIN(1,'США 2039'!C21+'США 2039'!F21+(0.08*LN(1+0.5*'Ход 2039'!C27)*MAX(0,1-('США 2039'!C21+'США 2039'!F21))))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10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2039'!V21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2039'!B22+'США 2039'!D22+('США 2039'!C22+'США 2039'!F22+'США 2039'!G22)+(0.35*LN(1+0.6*'Ход 2039'!B28)*POWER(MAX(0,1-'США 2039'!I22/10),0.7))))</f>
        <v>10</v>
      </c>
      <c r="C22" s="3">
        <f>MIN(1,'США 2039'!C22+'США 2039'!F22+(0.08*LN(1+0.5*'Ход 2039'!C28)*MAX(0,1-('США 2039'!C22+'США 2039'!F22))))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2039'!V22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2039'!B23+'США 2039'!D23+('США 2039'!C23+'США 2039'!F23+'США 2039'!G23)+(0.35*LN(1+0.6*'Ход 2039'!B29)*POWER(MAX(0,1-'США 2039'!I23/10),0.7))))</f>
        <v>10</v>
      </c>
      <c r="C23" s="3">
        <f>MIN(1,'США 2039'!C23+'США 2039'!F23+(0.08*LN(1+0.5*'Ход 2039'!C29)*MAX(0,1-('США 2039'!C23+'США 2039'!F23))))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2039'!V23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2039'!V24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2039'!B25+'США 2039'!D25+('США 2039'!C25+'США 2039'!F25+'США 2039'!G25)+(0.35*LN(1+0.6*'Ход 2039'!B31)*POWER(MAX(0,1-'США 2039'!I25/10),0.7))))</f>
        <v>10</v>
      </c>
      <c r="C25" s="3">
        <f>MIN(1,'США 2039'!C25+'США 2039'!F25+(0.08*LN(1+0.5*'Ход 2039'!C31)*MAX(0,1-('США 2039'!C25+'США 2039'!F25))))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2039'!V25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2039'!B26+'США 2039'!D26+('США 2039'!C26+'США 2039'!F26+'США 2039'!G26)+(0.35*LN(1+0.6*'Ход 2039'!B32)*POWER(MAX(0,1-'США 2039'!I26/10),0.7))))</f>
        <v>10</v>
      </c>
      <c r="C26" s="3">
        <f>MIN(1,'США 2039'!C26+'США 2039'!F26+(0.08*LN(1+0.5*'Ход 2039'!C32)*MAX(0,1-('США 2039'!C26+'США 2039'!F26))))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2039'!V26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2039'!B27+'США 2039'!D27+('США 2039'!C27+'США 2039'!F27+'США 2039'!G27)+(0.35*LN(1+0.6*'Ход 2039'!B33)*POWER(MAX(0,1-'США 2039'!I27/10),0.7))))</f>
        <v>10</v>
      </c>
      <c r="C27" s="3">
        <f>MIN(1,'США 2039'!C27+'США 2039'!F27+(0.08*LN(1+0.5*'Ход 2039'!C33)*MAX(0,1-('США 2039'!C27+'США 2039'!F27))))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2039'!B28+'США 2039'!D28+('США 2039'!C28+'США 2039'!F28+'США 2039'!G28)+(0.35*LN(1+0.6*'Ход 2039'!B34)*POWER(MAX(0,1-'США 2039'!I28/10),0.7))))</f>
        <v>10</v>
      </c>
      <c r="C28" s="3">
        <f>MIN(1,'США 2039'!C28+'США 2039'!F28+(0.08*LN(1+0.5*'Ход 2039'!C34)*MAX(0,1-('США 2039'!C28+'США 2039'!F28))))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2039'!B29+'США 2039'!D29+('США 2039'!C29+'США 2039'!F29+'США 2039'!G29)+(0.35*LN(1+0.6*'Ход 2039'!B35)*POWER(MAX(0,1-'США 2039'!I29/10),0.7))))</f>
        <v>10</v>
      </c>
      <c r="C29" s="3">
        <f>MIN(1,'США 2039'!C29+'США 2039'!F29+(0.08*LN(1+0.5*'Ход 2039'!C35)*MAX(0,1-('США 2039'!C29+'США 2039'!F29))))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2039'!B30+'США 2039'!D30+('США 2039'!C30+'США 2039'!F30+'США 2039'!G30)+(0.35*LN(1+0.6*'Ход 2039'!B36)*POWER(MAX(0,1-'США 2039'!I30/10),0.7))))</f>
        <v>10</v>
      </c>
      <c r="C30" s="3">
        <f>MIN(1,'США 2039'!C30+'США 2039'!F30+(0.08*LN(1+0.5*'Ход 2039'!C36)*MAX(0,1-('США 2039'!C30+'США 2039'!F30))))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2039'!B31+'США 2039'!D31+('США 2039'!C31+'США 2039'!F31+'США 2039'!G31)+(0.35*LN(1+0.6*'Ход 2039'!B37)*POWER(MAX(0,1-'США 2039'!I31/10),0.7))))</f>
        <v>9.399999999999995</v>
      </c>
      <c r="C31" s="3">
        <f>MIN(1,'США 2039'!C31+'США 2039'!F31+(0.08*LN(1+0.5*'Ход 2039'!C37)*MAX(0,1-('США 2039'!C31+'США 2039'!F31))))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9.399999999999995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2039'!B32+'США 2039'!D32+('США 2039'!C32+'США 2039'!F32+'США 2039'!G32)+(0.35*LN(1+0.6*'Ход 2039'!B38)*POWER(MAX(0,1-'США 2039'!I32/10),0.7))))</f>
        <v>9.899999999999995</v>
      </c>
      <c r="C32" s="3">
        <f>MIN(1,'США 2039'!C32+'США 2039'!F32+(0.08*LN(1+0.5*'Ход 2039'!C38)*MAX(0,1-('США 2039'!C32+'США 2039'!F32))))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9.899999999999995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2039'!B34+'США 2039'!D34+('США 2039'!C34+'США 2039'!F34+'США 2039'!G34)+(0.35*LN(1+0.6*'Ход 2039'!B40)*POWER(MAX(0,1-'США 2039'!I34/10),0.7))))</f>
        <v>9.399999999999995</v>
      </c>
      <c r="C34" s="3">
        <f>MIN(1,'США 2039'!C34+'США 2039'!F34+(0.08*LN(1+0.5*'Ход 2039'!C40)*MAX(0,1-('США 2039'!C34+'США 2039'!F34))))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9.399999999999995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2039'!B35+'США 2039'!D35+('США 2039'!C35+'США 2039'!F35+'США 2039'!G35)+(0.35*LN(1+0.6*'Ход 2039'!B41)*POWER(MAX(0,1-'США 2039'!I35/10),0.7))))</f>
        <v>10</v>
      </c>
      <c r="C35" s="3">
        <f>MIN(1,'США 2039'!C35+'США 2039'!F35+(0.08*LN(1+0.5*'Ход 2039'!C41)*MAX(0,1-('США 2039'!C35+'США 2039'!F35))))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2039'!B36+'США 2039'!D36+('США 2039'!C36+'США 2039'!F36+'США 2039'!G36)+(0.35*LN(1+0.6*'Ход 2039'!B42)*POWER(MAX(0,1-'США 2039'!I36/10),0.7))))</f>
        <v>10</v>
      </c>
      <c r="C36" s="3">
        <f>MIN(1,'США 2039'!C36+'США 2039'!F36+(0.08*LN(1+0.5*'Ход 2039'!C42)*MAX(0,1-('США 2039'!C36+'США 2039'!F36))))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2039'!B37+'США 2039'!D37+('США 2039'!C37+'США 2039'!F37+'США 2039'!G37)+(0.35*LN(1+0.6*'Ход 2039'!B43)*POWER(MAX(0,1-'США 2039'!I37/10),0.7))))</f>
        <v>10</v>
      </c>
      <c r="C37" s="3">
        <f>MIN(1,'США 2039'!C37+'США 2039'!F37+(0.08*LN(1+0.5*'Ход 2039'!C43)*MAX(0,1-('США 2039'!C37+'США 2039'!F37))))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2039'!B38+'США 2039'!D38+('США 2039'!C38+'США 2039'!F38+'США 2039'!G38)+(0.35*LN(1+0.6*'Ход 2039'!B44)*POWER(MAX(0,1-'США 2039'!I38/10),0.7))))</f>
        <v>10</v>
      </c>
      <c r="C38" s="3">
        <f>MIN(1,'США 2039'!C38+'США 2039'!F38+(0.08*LN(1+0.5*'Ход 2039'!C44)*MAX(0,1-('США 2039'!C38+'США 2039'!F38))))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2039'!B39+'США 2039'!D39+('США 2039'!C39+'США 2039'!F39+'США 2039'!G39)+(0.35*LN(1+0.6*'Ход 2039'!B45)*POWER(MAX(0,1-'США 2039'!I39/10),0.7))))</f>
        <v>10</v>
      </c>
      <c r="C39" s="3">
        <f>MIN(1,'США 2039'!C39+'США 2039'!F39+(0.08*LN(1+0.5*'Ход 2039'!C45)*MAX(0,1-('США 2039'!C39+'США 2039'!F39))))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2039'!B40+'США 2039'!D40+('США 2039'!C40+'США 2039'!F40+'США 2039'!G40)+(0.35*LN(1+0.6*'Ход 2039'!B46)*POWER(MAX(0,1-'США 2039'!I40/10),0.7))))</f>
        <v>9.7000000000000099</v>
      </c>
      <c r="C40" s="3">
        <f>MIN(1,'США 2039'!C40+'США 2039'!F40+(0.08*LN(1+0.5*'Ход 2039'!C46)*MAX(0,1-('США 2039'!C40+'США 2039'!F40))))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9.7000000000000099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2039'!B41+'США 2039'!D41+('США 2039'!C41+'США 2039'!F41+'США 2039'!G41)+(0.35*LN(1+0.6*'Ход 2039'!B47)*POWER(MAX(0,1-'США 2039'!I41/10),0.7))))</f>
        <v>10</v>
      </c>
      <c r="C41" s="3">
        <f>MIN(1,'США 2039'!C41+'США 2039'!F41+(0.08*LN(1+0.5*'Ход 2039'!C47)*MAX(0,1-('США 2039'!C41+'США 2039'!F41))))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2039'!B42+'США 2039'!D42+('США 2039'!C42+'США 2039'!F42+'США 2039'!G42)+(0.35*LN(1+0.6*'Ход 2039'!B48)*POWER(MAX(0,1-'США 2039'!I42/10),0.7))))</f>
        <v>10</v>
      </c>
      <c r="C42" s="3">
        <f>MIN(1,'США 2039'!C42+'США 2039'!F42+(0.08*LN(1+0.5*'Ход 2039'!C48)*MAX(0,1-('США 2039'!C42+'США 2039'!F42))))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2039'!B44+'США 2039'!D44+('США 2039'!C44+'США 2039'!F44+'США 2039'!G44)+(0.35*LN(1+0.6*'Ход 2039'!B50)*POWER(MAX(0,1-'США 2039'!I44/10),0.7))))</f>
        <v>9.399999999999995</v>
      </c>
      <c r="C44" s="3">
        <f>MIN(1,'США 2039'!C44+'США 2039'!F44+(0.08*LN(1+0.5*'Ход 2039'!C50)*MAX(0,1-('США 2039'!C44+'США 2039'!F44))))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9.399999999999995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2039'!B45+'США 2039'!D45+('США 2039'!C45+'США 2039'!F45+'США 2039'!G45)+(0.35*LN(1+0.6*'Ход 2039'!B51)*POWER(MAX(0,1-'США 2039'!I45/10),0.7))))</f>
        <v>10</v>
      </c>
      <c r="C45" s="3">
        <f>MIN(1,'США 2039'!C45+'США 2039'!F45+(0.08*LN(1+0.5*'Ход 2039'!C51)*MAX(0,1-('США 2039'!C45+'США 2039'!F45))))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2039'!B46+'США 2039'!D46+('США 2039'!C46+'США 2039'!F46+'США 2039'!G46)+(0.35*LN(1+0.6*'Ход 2039'!B52)*POWER(MAX(0,1-'США 2039'!I46/10),0.7))))</f>
        <v>9.899999999999995</v>
      </c>
      <c r="C46" s="3">
        <f>MIN(1,'США 2039'!C46+'США 2039'!F46+(0.08*LN(1+0.5*'Ход 2039'!C52)*MAX(0,1-('США 2039'!C46+'США 2039'!F46))))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9.899999999999995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2039'!B47+'США 2039'!D47+('США 2039'!C47+'США 2039'!F47+'США 2039'!G47)+(0.35*LN(1+0.6*'Ход 2039'!B53)*POWER(MAX(0,1-'США 2039'!I47/10),0.7))))</f>
        <v>5.600000000000005</v>
      </c>
      <c r="C47" s="3">
        <f>MIN(1,'США 2039'!C47+'США 2039'!F47+(0.08*LN(1+0.5*'Ход 2039'!C53)*MAX(0,1-('США 2039'!C47+'США 2039'!F47))))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5.600000000000005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2039'!B48+'США 2039'!D48+('США 2039'!C48+'США 2039'!F48+'США 2039'!G48)+(0.35*LN(1+0.6*'Ход 2039'!B54)*POWER(MAX(0,1-'США 2039'!I48/10),0.7))))</f>
        <v>6.1999999999999975</v>
      </c>
      <c r="C48" s="3">
        <f>MIN(1,'США 2039'!C48+'США 2039'!F48+(0.08*LN(1+0.5*'Ход 2039'!C54)*MAX(0,1-('США 2039'!C48+'США 2039'!F48))))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6.1999999999999975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2039'!B49+'США 2039'!D49+('США 2039'!C49+'США 2039'!F49+'США 2039'!G49)+(0.35*LN(1+0.6*'Ход 2039'!B55)*POWER(MAX(0,1-'США 2039'!I49/10),0.7))))</f>
        <v>10</v>
      </c>
      <c r="C49" s="3">
        <f>MIN(1,'США 2039'!C49+'США 2039'!F49+(0.08*LN(1+0.5*'Ход 2039'!C55)*MAX(0,1-('США 2039'!C49+'США 2039'!F49))))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2039'!B50+'США 2039'!D50+('США 2039'!C50+'США 2039'!F50+'США 2039'!G50)+(0.35*LN(1+0.6*'Ход 2039'!B56)*POWER(MAX(0,1-'США 2039'!I50/10),0.7))))</f>
        <v>10</v>
      </c>
      <c r="C50" s="3">
        <f>MIN(1,'США 2039'!C50+'США 2039'!F50+(0.08*LN(1+0.5*'Ход 2039'!C56)*MAX(0,1-('США 2039'!C50+'США 2039'!F50))))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2039'!B51+'США 2039'!D51+('США 2039'!C51+'США 2039'!F51+'США 2039'!G51)+(0.35*LN(1+0.6*'Ход 2039'!B57)*POWER(MAX(0,1-'США 2039'!I51/10),0.7))))</f>
        <v>10</v>
      </c>
      <c r="C51" s="3">
        <f>MIN(1,'США 2039'!C51+'США 2039'!F51+(0.08*LN(1+0.5*'Ход 2039'!C57)*MAX(0,1-('США 2039'!C51+'США 2039'!F51))))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2039'!B53+'США 2039'!D53+('США 2039'!C53+'США 2039'!F53+'США 2039'!G53)+(0.35*LN(1+0.6*'Ход 2039'!B59)*POWER(MAX(0,1-'США 2039'!I53/10),0.7))))</f>
        <v>10</v>
      </c>
      <c r="C53" s="3">
        <f>MIN(1,'США 2039'!C53+'США 2039'!F53+(0.08*LN(1+0.5*'Ход 2039'!C59)*MAX(0,1-('США 2039'!C53+'США 2039'!F53))))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2039'!B54+'США 2039'!D54+('США 2039'!C54+'США 2039'!F54+'США 2039'!G54)+(0.35*LN(1+0.6*'Ход 2039'!B60)*POWER(MAX(0,1-'США 2039'!I54/10),0.7))))</f>
        <v>10</v>
      </c>
      <c r="C54" s="3">
        <f>MIN(1,'США 2039'!C54+'США 2039'!F54+(0.08*LN(1+0.5*'Ход 2039'!C60)*MAX(0,1-('США 2039'!C54+'США 2039'!F54))))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2039'!B55+'США 2039'!D55+('США 2039'!C55+'США 2039'!F55+'США 2039'!G55)+(0.35*LN(1+0.6*'Ход 2039'!B61)*POWER(MAX(0,1-'США 2039'!I55/10),0.7))))</f>
        <v>9.100000000000005</v>
      </c>
      <c r="C55" s="3">
        <f>MIN(1,'США 2039'!C55+'США 2039'!F55+(0.08*LN(1+0.5*'Ход 2039'!C61)*MAX(0,1-('США 2039'!C55+'США 2039'!F55))))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9.100000000000005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/>
  </sheetViews>
  <sheetFormatPr defaultRowHeight="13.8"/>
  <cols>
    <col min="1" max="1" width="36" customWidth="1"/>
    <col min="2" max="3" width="13" customWidth="1"/>
    <col min="7" max="7" width="25" customWidth="1"/>
    <col min="8" max="8" width="32" customWidth="1"/>
    <col min="9" max="9" width="13" customWidth="1"/>
    <col min="10" max="10" width="18" customWidth="1"/>
    <col min="11" max="11" width="16" customWidth="1"/>
    <col min="12" max="12" width="17" customWidth="1"/>
    <col min="13" max="13" width="13" customWidth="1"/>
    <col min="14" max="14" width="16" customWidth="1"/>
    <col min="15" max="17" width="18" customWidth="1"/>
    <col min="18" max="18" width="15" customWidth="1"/>
    <col min="19" max="19" width="17" customWidth="1"/>
    <col min="20" max="20" width="15" customWidth="1"/>
    <col min="21" max="21" width="14" customWidth="1"/>
  </cols>
  <sheetData>
    <row r="1" spans="1:21">
      <c r="A1" s="18" t="s">
        <v>406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>
      <c r="A3" s="11" t="s">
        <v>350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5" t="s">
        <v>243</v>
      </c>
      <c r="B5" s="15"/>
      <c r="C5" s="15"/>
      <c r="D5" s="3"/>
      <c r="E5" s="15" t="s">
        <v>240</v>
      </c>
      <c r="F5" s="15"/>
      <c r="G5" s="15"/>
      <c r="H5" s="3"/>
      <c r="I5" s="15" t="s">
        <v>241</v>
      </c>
      <c r="J5" s="15"/>
      <c r="K5" s="15"/>
      <c r="L5" s="3"/>
      <c r="M5" s="15" t="s">
        <v>242</v>
      </c>
      <c r="N5" s="15"/>
      <c r="O5" s="15"/>
      <c r="P5" s="3"/>
      <c r="Q5" s="3"/>
      <c r="R5" s="3"/>
      <c r="S5" s="3"/>
      <c r="T5" s="3"/>
      <c r="U5" s="3"/>
    </row>
    <row r="6" spans="1:21">
      <c r="A6" s="3" t="s">
        <v>351</v>
      </c>
      <c r="B6" s="3">
        <f>'США 2040'!U6</f>
        <v>99.846331195990871</v>
      </c>
      <c r="C6" s="3"/>
      <c r="D6" s="3"/>
      <c r="E6" s="3" t="s">
        <v>351</v>
      </c>
      <c r="F6" s="3">
        <f>'США 2040'!K6</f>
        <v>84.729198888146939</v>
      </c>
      <c r="G6" s="3"/>
      <c r="H6" s="3"/>
      <c r="I6" s="3" t="s">
        <v>351</v>
      </c>
      <c r="J6" s="3">
        <f>'США 2040'!N6</f>
        <v>76.620956608506773</v>
      </c>
      <c r="K6" s="3"/>
      <c r="L6" s="3"/>
      <c r="M6" s="3" t="s">
        <v>351</v>
      </c>
      <c r="N6" s="3">
        <f>'США 2040'!Q6</f>
        <v>85.743599049180972</v>
      </c>
      <c r="O6" s="3"/>
      <c r="P6" s="3"/>
      <c r="Q6" s="3"/>
      <c r="R6" s="3"/>
      <c r="S6" s="3"/>
      <c r="T6" s="3"/>
      <c r="U6" s="3"/>
    </row>
    <row r="7" spans="1:21" ht="27.6">
      <c r="A7" s="3" t="s">
        <v>352</v>
      </c>
      <c r="B7" s="3">
        <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f>
        <v>0</v>
      </c>
      <c r="C7" s="3"/>
      <c r="D7" s="3"/>
      <c r="E7" s="3" t="s">
        <v>352</v>
      </c>
      <c r="F7" s="3">
        <f>SUM(H13:H20)</f>
        <v>0</v>
      </c>
      <c r="G7" s="3"/>
      <c r="H7" s="3"/>
      <c r="I7" s="3" t="s">
        <v>352</v>
      </c>
      <c r="J7" s="3">
        <f>SUM(I29:I38)</f>
        <v>0</v>
      </c>
      <c r="K7" s="3"/>
      <c r="L7" s="3"/>
      <c r="M7" s="3" t="s">
        <v>352</v>
      </c>
      <c r="N7" s="3">
        <f>SUM(N13:Q28)+J24</f>
        <v>0</v>
      </c>
      <c r="O7" s="3"/>
      <c r="P7" s="3"/>
      <c r="Q7" s="3"/>
      <c r="R7" s="3"/>
      <c r="S7" s="3"/>
      <c r="T7" s="3"/>
      <c r="U7" s="3"/>
    </row>
    <row r="8" spans="1:21">
      <c r="A8" s="3" t="s">
        <v>353</v>
      </c>
      <c r="B8" s="3">
        <f>B6-B7</f>
        <v>99.846331195990871</v>
      </c>
      <c r="C8" s="3" t="str">
        <f>IF(B8&lt;0,"ПРЕВЫШЕНИЕ","OK")</f>
        <v>OK</v>
      </c>
      <c r="D8" s="3"/>
      <c r="E8" s="3" t="s">
        <v>353</v>
      </c>
      <c r="F8" s="3">
        <f>F6-F7</f>
        <v>84.729198888146939</v>
      </c>
      <c r="G8" s="3" t="str">
        <f>IF(F8&lt;0,"ПРЕВЫШЕНИЕ","OK")</f>
        <v>OK</v>
      </c>
      <c r="H8" s="3"/>
      <c r="I8" s="3" t="s">
        <v>353</v>
      </c>
      <c r="J8" s="3">
        <f>J6-J7</f>
        <v>76.620956608506773</v>
      </c>
      <c r="K8" s="3" t="str">
        <f>IF(J8&lt;0,"ПРЕВЫШЕНИЕ","OK")</f>
        <v>OK</v>
      </c>
      <c r="L8" s="3"/>
      <c r="M8" s="3" t="s">
        <v>353</v>
      </c>
      <c r="N8" s="3">
        <f>N6-N7</f>
        <v>85.743599049180972</v>
      </c>
      <c r="O8" s="3" t="str">
        <f>IF(N8&lt;0,"ПРЕВЫШЕНИЕ","OK")</f>
        <v>OK</v>
      </c>
      <c r="P8" s="3"/>
      <c r="Q8" s="3"/>
      <c r="R8" s="3"/>
      <c r="S8" s="3"/>
      <c r="T8" s="3"/>
      <c r="U8" s="3"/>
    </row>
    <row r="9" spans="1: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19" t="s">
        <v>354</v>
      </c>
      <c r="B11" s="19"/>
      <c r="C11" s="19"/>
      <c r="D11" s="3"/>
      <c r="E11" s="3"/>
      <c r="F11" s="3"/>
      <c r="G11" s="19" t="s">
        <v>355</v>
      </c>
      <c r="H11" s="19"/>
      <c r="I11" s="3"/>
      <c r="J11" s="3"/>
      <c r="K11" s="3"/>
      <c r="L11" s="20" t="s">
        <v>356</v>
      </c>
      <c r="M11" s="20"/>
      <c r="N11" s="20"/>
      <c r="O11" s="20"/>
      <c r="P11" s="20"/>
      <c r="Q11" s="20"/>
      <c r="R11" s="20"/>
      <c r="S11" s="20"/>
      <c r="T11" s="20"/>
      <c r="U11" s="20"/>
    </row>
    <row r="12" spans="1:21" ht="27.6">
      <c r="A12" s="3" t="s">
        <v>244</v>
      </c>
      <c r="B12" s="3" t="s">
        <v>357</v>
      </c>
      <c r="C12" s="3" t="s">
        <v>358</v>
      </c>
      <c r="D12" s="3"/>
      <c r="E12" s="3"/>
      <c r="F12" s="3"/>
      <c r="G12" s="3" t="s">
        <v>259</v>
      </c>
      <c r="H12" s="3" t="s">
        <v>359</v>
      </c>
      <c r="I12" s="3"/>
      <c r="J12" s="3"/>
      <c r="K12" s="3"/>
      <c r="L12" s="3" t="s">
        <v>260</v>
      </c>
      <c r="M12" s="3" t="s">
        <v>360</v>
      </c>
      <c r="N12" s="3" t="s">
        <v>361</v>
      </c>
      <c r="O12" s="3" t="s">
        <v>362</v>
      </c>
      <c r="P12" s="3" t="s">
        <v>363</v>
      </c>
      <c r="Q12" s="3" t="s">
        <v>364</v>
      </c>
      <c r="R12" s="3" t="s">
        <v>365</v>
      </c>
      <c r="S12" s="3" t="s">
        <v>366</v>
      </c>
      <c r="T12" s="3" t="s">
        <v>367</v>
      </c>
      <c r="U12" s="3" t="s">
        <v>368</v>
      </c>
    </row>
    <row r="13" spans="1:21" ht="27.6">
      <c r="A13" s="3" t="s">
        <v>253</v>
      </c>
      <c r="B13" s="7"/>
      <c r="C13" s="7"/>
      <c r="D13" s="3"/>
      <c r="E13" s="3"/>
      <c r="F13" s="3"/>
      <c r="G13" s="3" t="s">
        <v>265</v>
      </c>
      <c r="H13" s="7">
        <v>0</v>
      </c>
      <c r="I13" s="3"/>
      <c r="J13" s="3"/>
      <c r="K13" s="3"/>
      <c r="L13" s="3" t="s">
        <v>266</v>
      </c>
      <c r="M13" s="3">
        <f>'США 2040'!V11</f>
        <v>-1.5</v>
      </c>
      <c r="N13" s="7">
        <v>0</v>
      </c>
      <c r="O13" s="7">
        <v>0</v>
      </c>
      <c r="P13" s="7">
        <v>0</v>
      </c>
      <c r="Q13" s="7">
        <v>0</v>
      </c>
      <c r="R13" s="8">
        <f t="shared" ref="R13:R28" si="0">IF(M13&gt;=5,0,MIN(0.75,(0.1+0.08*(IF(M13=0,0,SIGN(M13)*POWER(ABS(M13)/5,1.25))))+0.5*(MIN(1,LN(1+N13)/LN(41)))*((5-M13)/10)))</f>
        <v>8.223801269218517E-2</v>
      </c>
      <c r="S13" s="8">
        <f t="shared" ref="S13:S28" si="1">MAX(0,1-R13-T13)</f>
        <v>0.8</v>
      </c>
      <c r="T13" s="8">
        <f t="shared" ref="T13:T28" si="2">IF(M13&lt;=-5,0,MAX(0,(0.1-0.08*(IF(M13=0,0,SIGN(M13)*POWER(ABS(M13)/5,1.25))))*(1-0.85*(MIN(1,LN(1+N13)/LN(41))))))</f>
        <v>0.11776198730781484</v>
      </c>
      <c r="U13" s="3">
        <f t="shared" ref="U13:U28" ca="1" si="3">RANDBETWEEN(0,100)</f>
        <v>77</v>
      </c>
    </row>
    <row r="14" spans="1:21">
      <c r="A14" s="3" t="s">
        <v>254</v>
      </c>
      <c r="B14" s="7">
        <v>0</v>
      </c>
      <c r="C14" s="7">
        <v>0</v>
      </c>
      <c r="D14" s="3"/>
      <c r="E14" s="3"/>
      <c r="F14" s="3"/>
      <c r="G14" s="3" t="s">
        <v>269</v>
      </c>
      <c r="H14" s="7">
        <v>0</v>
      </c>
      <c r="I14" s="3"/>
      <c r="J14" s="3"/>
      <c r="K14" s="3"/>
      <c r="L14" s="3" t="s">
        <v>270</v>
      </c>
      <c r="M14" s="3">
        <f>'США 2040'!V12</f>
        <v>-1.1000000000000001</v>
      </c>
      <c r="N14" s="7">
        <v>0</v>
      </c>
      <c r="O14" s="7">
        <v>0</v>
      </c>
      <c r="P14" s="7">
        <v>0</v>
      </c>
      <c r="Q14" s="7">
        <v>0</v>
      </c>
      <c r="R14" s="8">
        <f t="shared" si="0"/>
        <v>8.7946356626468061E-2</v>
      </c>
      <c r="S14" s="8">
        <f t="shared" si="1"/>
        <v>0.79999999999999993</v>
      </c>
      <c r="T14" s="8">
        <f t="shared" si="2"/>
        <v>0.11205364337353195</v>
      </c>
      <c r="U14" s="3">
        <f t="shared" ca="1" si="3"/>
        <v>93</v>
      </c>
    </row>
    <row r="15" spans="1:21" ht="27.6">
      <c r="A15" s="3" t="s">
        <v>255</v>
      </c>
      <c r="B15" s="7">
        <v>0</v>
      </c>
      <c r="C15" s="7">
        <v>0</v>
      </c>
      <c r="D15" s="3"/>
      <c r="E15" s="3"/>
      <c r="F15" s="3"/>
      <c r="G15" s="3" t="s">
        <v>273</v>
      </c>
      <c r="H15" s="7">
        <v>0</v>
      </c>
      <c r="I15" s="3"/>
      <c r="J15" s="3"/>
      <c r="K15" s="3"/>
      <c r="L15" s="3" t="s">
        <v>274</v>
      </c>
      <c r="M15" s="3">
        <f>'США 2040'!V13</f>
        <v>1</v>
      </c>
      <c r="N15" s="7">
        <v>0</v>
      </c>
      <c r="O15" s="7">
        <v>0</v>
      </c>
      <c r="P15" s="7">
        <v>0</v>
      </c>
      <c r="Q15" s="7">
        <v>0</v>
      </c>
      <c r="R15" s="8">
        <f t="shared" si="0"/>
        <v>0.11069984487962276</v>
      </c>
      <c r="S15" s="8">
        <f t="shared" si="1"/>
        <v>0.79999999999999993</v>
      </c>
      <c r="T15" s="8">
        <f t="shared" si="2"/>
        <v>8.9300155120377256E-2</v>
      </c>
      <c r="U15" s="3">
        <f t="shared" ca="1" si="3"/>
        <v>12</v>
      </c>
    </row>
    <row r="16" spans="1:21">
      <c r="A16" s="3" t="s">
        <v>258</v>
      </c>
      <c r="B16" s="7">
        <v>0</v>
      </c>
      <c r="C16" s="7">
        <v>0</v>
      </c>
      <c r="D16" s="3"/>
      <c r="E16" s="3"/>
      <c r="F16" s="3"/>
      <c r="G16" s="3" t="s">
        <v>277</v>
      </c>
      <c r="H16" s="7">
        <v>0</v>
      </c>
      <c r="I16" s="3"/>
      <c r="J16" s="3"/>
      <c r="K16" s="3"/>
      <c r="L16" s="3" t="s">
        <v>278</v>
      </c>
      <c r="M16" s="3">
        <f>'США 2040'!V14</f>
        <v>0.9</v>
      </c>
      <c r="N16" s="7">
        <v>0</v>
      </c>
      <c r="O16" s="7">
        <v>0</v>
      </c>
      <c r="P16" s="7">
        <v>0</v>
      </c>
      <c r="Q16" s="7">
        <v>0</v>
      </c>
      <c r="R16" s="8">
        <f t="shared" si="0"/>
        <v>0.10937952009902989</v>
      </c>
      <c r="S16" s="8">
        <f t="shared" si="1"/>
        <v>0.8</v>
      </c>
      <c r="T16" s="8">
        <f t="shared" si="2"/>
        <v>9.0620479900970122E-2</v>
      </c>
      <c r="U16" s="3">
        <f t="shared" ca="1" si="3"/>
        <v>28</v>
      </c>
    </row>
    <row r="17" spans="1:21">
      <c r="A17" s="3" t="s">
        <v>264</v>
      </c>
      <c r="B17" s="7">
        <v>0</v>
      </c>
      <c r="C17" s="7">
        <v>0</v>
      </c>
      <c r="D17" s="3"/>
      <c r="E17" s="3"/>
      <c r="F17" s="3"/>
      <c r="G17" s="3" t="s">
        <v>281</v>
      </c>
      <c r="H17" s="7">
        <v>0</v>
      </c>
      <c r="I17" s="3"/>
      <c r="J17" s="3"/>
      <c r="K17" s="3"/>
      <c r="L17" s="3" t="s">
        <v>282</v>
      </c>
      <c r="M17" s="3">
        <f>'США 2040'!V15</f>
        <v>3.2</v>
      </c>
      <c r="N17" s="7">
        <v>0</v>
      </c>
      <c r="O17" s="7">
        <v>0</v>
      </c>
      <c r="P17" s="7">
        <v>0</v>
      </c>
      <c r="Q17" s="7">
        <v>0</v>
      </c>
      <c r="R17" s="8">
        <f t="shared" si="0"/>
        <v>0.1457946721791957</v>
      </c>
      <c r="S17" s="8">
        <f t="shared" si="1"/>
        <v>0.79999999999999993</v>
      </c>
      <c r="T17" s="8">
        <f t="shared" si="2"/>
        <v>5.4205327820804311E-2</v>
      </c>
      <c r="U17" s="3">
        <f t="shared" ca="1" si="3"/>
        <v>46</v>
      </c>
    </row>
    <row r="18" spans="1:21" ht="27.6">
      <c r="A18" s="3" t="s">
        <v>268</v>
      </c>
      <c r="B18" s="7">
        <v>0</v>
      </c>
      <c r="C18" s="7">
        <v>0</v>
      </c>
      <c r="D18" s="3"/>
      <c r="E18" s="3"/>
      <c r="F18" s="3"/>
      <c r="G18" s="3" t="s">
        <v>285</v>
      </c>
      <c r="H18" s="7">
        <v>0</v>
      </c>
      <c r="I18" s="3"/>
      <c r="J18" s="3"/>
      <c r="K18" s="3"/>
      <c r="L18" s="3" t="s">
        <v>286</v>
      </c>
      <c r="M18" s="3">
        <f>'США 2040'!V16</f>
        <v>3.2</v>
      </c>
      <c r="N18" s="7">
        <v>0</v>
      </c>
      <c r="O18" s="7">
        <v>0</v>
      </c>
      <c r="P18" s="7">
        <v>0</v>
      </c>
      <c r="Q18" s="7">
        <v>0</v>
      </c>
      <c r="R18" s="8">
        <f t="shared" si="0"/>
        <v>0.1457946721791957</v>
      </c>
      <c r="S18" s="8">
        <f t="shared" si="1"/>
        <v>0.79999999999999993</v>
      </c>
      <c r="T18" s="8">
        <f t="shared" si="2"/>
        <v>5.4205327820804311E-2</v>
      </c>
      <c r="U18" s="3">
        <f t="shared" ca="1" si="3"/>
        <v>59</v>
      </c>
    </row>
    <row r="19" spans="1:21" ht="27.6">
      <c r="A19" s="3" t="s">
        <v>272</v>
      </c>
      <c r="B19" s="7">
        <v>0</v>
      </c>
      <c r="C19" s="7">
        <v>0</v>
      </c>
      <c r="D19" s="3"/>
      <c r="E19" s="3"/>
      <c r="F19" s="3"/>
      <c r="G19" s="3" t="s">
        <v>289</v>
      </c>
      <c r="H19" s="7">
        <v>0</v>
      </c>
      <c r="I19" s="3"/>
      <c r="J19" s="3"/>
      <c r="K19" s="3"/>
      <c r="L19" s="3" t="s">
        <v>290</v>
      </c>
      <c r="M19" s="3">
        <f>'США 2040'!V17</f>
        <v>4</v>
      </c>
      <c r="N19" s="7">
        <v>0</v>
      </c>
      <c r="O19" s="7">
        <v>0</v>
      </c>
      <c r="P19" s="7">
        <v>0</v>
      </c>
      <c r="Q19" s="7">
        <v>0</v>
      </c>
      <c r="R19" s="8">
        <f t="shared" si="0"/>
        <v>0.16052746297620327</v>
      </c>
      <c r="S19" s="8">
        <f t="shared" si="1"/>
        <v>0.8</v>
      </c>
      <c r="T19" s="8">
        <f t="shared" si="2"/>
        <v>3.9472537023796744E-2</v>
      </c>
      <c r="U19" s="3">
        <f t="shared" ca="1" si="3"/>
        <v>86</v>
      </c>
    </row>
    <row r="20" spans="1:21">
      <c r="A20" s="3" t="s">
        <v>276</v>
      </c>
      <c r="B20" s="7">
        <v>0</v>
      </c>
      <c r="C20" s="7">
        <v>0</v>
      </c>
      <c r="D20" s="3"/>
      <c r="E20" s="3"/>
      <c r="F20" s="3"/>
      <c r="G20" s="3" t="s">
        <v>293</v>
      </c>
      <c r="H20" s="7">
        <v>0</v>
      </c>
      <c r="I20" s="3"/>
      <c r="J20" s="3"/>
      <c r="K20" s="3"/>
      <c r="L20" s="3" t="s">
        <v>294</v>
      </c>
      <c r="M20" s="3">
        <f>'США 2040'!V18</f>
        <v>3.8</v>
      </c>
      <c r="N20" s="7">
        <v>0</v>
      </c>
      <c r="O20" s="7">
        <v>0</v>
      </c>
      <c r="P20" s="7">
        <v>0</v>
      </c>
      <c r="Q20" s="7">
        <v>0</v>
      </c>
      <c r="R20" s="8">
        <f t="shared" si="0"/>
        <v>0.15676844227323875</v>
      </c>
      <c r="S20" s="8">
        <f t="shared" si="1"/>
        <v>0.8</v>
      </c>
      <c r="T20" s="8">
        <f t="shared" si="2"/>
        <v>4.3231557726761266E-2</v>
      </c>
      <c r="U20" s="3">
        <f t="shared" ca="1" si="3"/>
        <v>52</v>
      </c>
    </row>
    <row r="21" spans="1:21">
      <c r="A21" s="3" t="s">
        <v>280</v>
      </c>
      <c r="B21" s="7">
        <v>0</v>
      </c>
      <c r="C21" s="7">
        <v>0</v>
      </c>
      <c r="D21" s="3"/>
      <c r="E21" s="3"/>
      <c r="F21" s="3"/>
      <c r="G21" s="3"/>
      <c r="H21" s="3"/>
      <c r="I21" s="3"/>
      <c r="J21" s="3"/>
      <c r="K21" s="3"/>
      <c r="L21" s="3" t="s">
        <v>297</v>
      </c>
      <c r="M21" s="3">
        <f>'США 2040'!V19</f>
        <v>2.4</v>
      </c>
      <c r="N21" s="7">
        <v>0</v>
      </c>
      <c r="O21" s="7">
        <v>0</v>
      </c>
      <c r="P21" s="7">
        <v>0</v>
      </c>
      <c r="Q21" s="7">
        <v>0</v>
      </c>
      <c r="R21" s="8">
        <f t="shared" si="0"/>
        <v>0.13196255833821044</v>
      </c>
      <c r="S21" s="8">
        <f t="shared" si="1"/>
        <v>0.79999999999999993</v>
      </c>
      <c r="T21" s="8">
        <f t="shared" si="2"/>
        <v>6.8037441661789572E-2</v>
      </c>
      <c r="U21" s="3">
        <f t="shared" ca="1" si="3"/>
        <v>95</v>
      </c>
    </row>
    <row r="22" spans="1:21" ht="27.6">
      <c r="A22" s="3" t="s">
        <v>284</v>
      </c>
      <c r="B22" s="7">
        <v>0</v>
      </c>
      <c r="C22" s="7">
        <v>0</v>
      </c>
      <c r="D22" s="3"/>
      <c r="E22" s="3"/>
      <c r="F22" s="3"/>
      <c r="G22" s="20" t="s">
        <v>369</v>
      </c>
      <c r="H22" s="20"/>
      <c r="I22" s="20"/>
      <c r="J22" s="20"/>
      <c r="K22" s="3"/>
      <c r="L22" s="3" t="s">
        <v>300</v>
      </c>
      <c r="M22" s="3">
        <f>'США 2040'!V20</f>
        <v>3</v>
      </c>
      <c r="N22" s="7">
        <v>0</v>
      </c>
      <c r="O22" s="7">
        <v>0</v>
      </c>
      <c r="P22" s="7">
        <v>0</v>
      </c>
      <c r="Q22" s="7">
        <v>0</v>
      </c>
      <c r="R22" s="8">
        <f t="shared" si="0"/>
        <v>0.1422453633660829</v>
      </c>
      <c r="S22" s="8">
        <f t="shared" si="1"/>
        <v>0.79999999999999993</v>
      </c>
      <c r="T22" s="8">
        <f t="shared" si="2"/>
        <v>5.7754636633917118E-2</v>
      </c>
      <c r="U22" s="3">
        <f t="shared" ca="1" si="3"/>
        <v>22</v>
      </c>
    </row>
    <row r="23" spans="1:21" ht="41.4">
      <c r="A23" s="3" t="s">
        <v>288</v>
      </c>
      <c r="B23" s="7">
        <v>0</v>
      </c>
      <c r="C23" s="7">
        <v>0</v>
      </c>
      <c r="D23" s="3"/>
      <c r="E23" s="3"/>
      <c r="F23" s="3"/>
      <c r="G23" s="3" t="s">
        <v>370</v>
      </c>
      <c r="H23" s="3" t="s">
        <v>371</v>
      </c>
      <c r="I23" s="3" t="s">
        <v>372</v>
      </c>
      <c r="J23" s="3" t="s">
        <v>373</v>
      </c>
      <c r="K23" s="3"/>
      <c r="L23" s="3" t="s">
        <v>303</v>
      </c>
      <c r="M23" s="3">
        <f>'США 2040'!V21</f>
        <v>-2.5</v>
      </c>
      <c r="N23" s="7">
        <v>0</v>
      </c>
      <c r="O23" s="7">
        <v>0</v>
      </c>
      <c r="P23" s="7">
        <v>0</v>
      </c>
      <c r="Q23" s="7">
        <v>0</v>
      </c>
      <c r="R23" s="8">
        <f t="shared" si="0"/>
        <v>6.6364143389851415E-2</v>
      </c>
      <c r="S23" s="8">
        <f t="shared" si="1"/>
        <v>0.8</v>
      </c>
      <c r="T23" s="8">
        <f t="shared" si="2"/>
        <v>0.1336358566101486</v>
      </c>
      <c r="U23" s="3">
        <f t="shared" ca="1" si="3"/>
        <v>67</v>
      </c>
    </row>
    <row r="24" spans="1:21" ht="27.6">
      <c r="A24" s="3" t="s">
        <v>292</v>
      </c>
      <c r="B24" s="7"/>
      <c r="C24" s="7"/>
      <c r="D24" s="3"/>
      <c r="E24" s="3"/>
      <c r="F24" s="3"/>
      <c r="G24" s="7">
        <v>0</v>
      </c>
      <c r="H24" s="7">
        <v>0</v>
      </c>
      <c r="I24" s="7">
        <v>0</v>
      </c>
      <c r="J24" s="3">
        <f>SUM(G24:I24)</f>
        <v>0</v>
      </c>
      <c r="K24" s="3"/>
      <c r="L24" s="3" t="s">
        <v>306</v>
      </c>
      <c r="M24" s="3">
        <f>'США 2040'!V22</f>
        <v>4</v>
      </c>
      <c r="N24" s="7">
        <v>0</v>
      </c>
      <c r="O24" s="7">
        <v>0</v>
      </c>
      <c r="P24" s="7">
        <v>0</v>
      </c>
      <c r="Q24" s="7">
        <v>0</v>
      </c>
      <c r="R24" s="8">
        <f t="shared" si="0"/>
        <v>0.16052746297620327</v>
      </c>
      <c r="S24" s="8">
        <f t="shared" si="1"/>
        <v>0.8</v>
      </c>
      <c r="T24" s="8">
        <f t="shared" si="2"/>
        <v>3.9472537023796744E-2</v>
      </c>
      <c r="U24" s="3">
        <f t="shared" ca="1" si="3"/>
        <v>51</v>
      </c>
    </row>
    <row r="25" spans="1:21">
      <c r="A25" s="3" t="s">
        <v>296</v>
      </c>
      <c r="B25" s="7">
        <v>0</v>
      </c>
      <c r="C25" s="7">
        <v>0</v>
      </c>
      <c r="D25" s="3"/>
      <c r="E25" s="3"/>
      <c r="F25" s="3"/>
      <c r="G25" s="3"/>
      <c r="H25" s="3"/>
      <c r="I25" s="3"/>
      <c r="J25" s="3"/>
      <c r="K25" s="3"/>
      <c r="L25" s="3" t="s">
        <v>309</v>
      </c>
      <c r="M25" s="3">
        <f>'США 2040'!V23</f>
        <v>0.8</v>
      </c>
      <c r="N25" s="7">
        <v>0</v>
      </c>
      <c r="O25" s="7">
        <v>0</v>
      </c>
      <c r="P25" s="7">
        <v>0</v>
      </c>
      <c r="Q25" s="7">
        <v>0</v>
      </c>
      <c r="R25" s="8">
        <f t="shared" si="0"/>
        <v>0.10809543081003106</v>
      </c>
      <c r="S25" s="8">
        <f t="shared" si="1"/>
        <v>0.8</v>
      </c>
      <c r="T25" s="8">
        <f t="shared" si="2"/>
        <v>9.1904569189968949E-2</v>
      </c>
      <c r="U25" s="3">
        <f t="shared" ca="1" si="3"/>
        <v>38</v>
      </c>
    </row>
    <row r="26" spans="1:21">
      <c r="A26" s="3" t="s">
        <v>299</v>
      </c>
      <c r="B26" s="7">
        <v>0</v>
      </c>
      <c r="C26" s="7">
        <v>0</v>
      </c>
      <c r="D26" s="3"/>
      <c r="E26" s="3"/>
      <c r="F26" s="3"/>
      <c r="G26" s="3"/>
      <c r="H26" s="3"/>
      <c r="I26" s="3"/>
      <c r="J26" s="3"/>
      <c r="K26" s="3"/>
      <c r="L26" s="3" t="s">
        <v>312</v>
      </c>
      <c r="M26" s="3">
        <f>'США 2040'!V24</f>
        <v>3</v>
      </c>
      <c r="N26" s="7">
        <v>0</v>
      </c>
      <c r="O26" s="7">
        <v>0</v>
      </c>
      <c r="P26" s="7">
        <v>0</v>
      </c>
      <c r="Q26" s="7">
        <v>0</v>
      </c>
      <c r="R26" s="8">
        <f t="shared" si="0"/>
        <v>0.1422453633660829</v>
      </c>
      <c r="S26" s="8">
        <f t="shared" si="1"/>
        <v>0.79999999999999993</v>
      </c>
      <c r="T26" s="8">
        <f t="shared" si="2"/>
        <v>5.7754636633917118E-2</v>
      </c>
      <c r="U26" s="3">
        <f t="shared" ca="1" si="3"/>
        <v>32</v>
      </c>
    </row>
    <row r="27" spans="1:21">
      <c r="A27" s="3" t="s">
        <v>302</v>
      </c>
      <c r="B27" s="7">
        <v>0</v>
      </c>
      <c r="C27" s="7">
        <v>0</v>
      </c>
      <c r="D27" s="3"/>
      <c r="E27" s="3"/>
      <c r="F27" s="3"/>
      <c r="G27" s="20" t="s">
        <v>374</v>
      </c>
      <c r="H27" s="20"/>
      <c r="I27" s="20"/>
      <c r="J27" s="20"/>
      <c r="K27" s="20"/>
      <c r="L27" s="3" t="s">
        <v>315</v>
      </c>
      <c r="M27" s="3">
        <f>'США 2040'!V25</f>
        <v>2.6</v>
      </c>
      <c r="N27" s="7">
        <v>0</v>
      </c>
      <c r="O27" s="7">
        <v>0</v>
      </c>
      <c r="P27" s="7">
        <v>0</v>
      </c>
      <c r="Q27" s="7">
        <v>0</v>
      </c>
      <c r="R27" s="8">
        <f t="shared" si="0"/>
        <v>0.13532597575514926</v>
      </c>
      <c r="S27" s="8">
        <f t="shared" si="1"/>
        <v>0.8</v>
      </c>
      <c r="T27" s="8">
        <f t="shared" si="2"/>
        <v>6.4674024244850747E-2</v>
      </c>
      <c r="U27" s="3">
        <f t="shared" ca="1" si="3"/>
        <v>11</v>
      </c>
    </row>
    <row r="28" spans="1:21" ht="27.6">
      <c r="A28" s="3" t="s">
        <v>305</v>
      </c>
      <c r="B28" s="7">
        <v>0</v>
      </c>
      <c r="C28" s="7">
        <v>0</v>
      </c>
      <c r="D28" s="3"/>
      <c r="E28" s="3"/>
      <c r="F28" s="3"/>
      <c r="G28" s="3" t="s">
        <v>375</v>
      </c>
      <c r="H28" s="3" t="s">
        <v>9</v>
      </c>
      <c r="I28" s="3" t="s">
        <v>376</v>
      </c>
      <c r="J28" s="3" t="s">
        <v>377</v>
      </c>
      <c r="K28" s="3" t="s">
        <v>378</v>
      </c>
      <c r="L28" s="3" t="s">
        <v>318</v>
      </c>
      <c r="M28" s="3">
        <f>'США 2040'!V26</f>
        <v>0</v>
      </c>
      <c r="N28" s="7">
        <v>0</v>
      </c>
      <c r="O28" s="7">
        <v>0</v>
      </c>
      <c r="P28" s="7">
        <v>0</v>
      </c>
      <c r="Q28" s="7">
        <v>0</v>
      </c>
      <c r="R28" s="8">
        <f t="shared" si="0"/>
        <v>0.1</v>
      </c>
      <c r="S28" s="8">
        <f t="shared" si="1"/>
        <v>0.8</v>
      </c>
      <c r="T28" s="8">
        <f t="shared" si="2"/>
        <v>0.1</v>
      </c>
      <c r="U28" s="3">
        <f t="shared" ca="1" si="3"/>
        <v>48</v>
      </c>
    </row>
    <row r="29" spans="1:21" ht="27.6">
      <c r="A29" s="3" t="s">
        <v>308</v>
      </c>
      <c r="B29" s="7">
        <v>0</v>
      </c>
      <c r="C29" s="7">
        <v>0</v>
      </c>
      <c r="D29" s="3"/>
      <c r="E29" s="3"/>
      <c r="F29" s="3"/>
      <c r="G29" s="7"/>
      <c r="H29" s="4" t="str">
        <f>IF(G29="","",VLOOKUP(G29,Технологии!$A$11:$D$50,4,FALSE))</f>
        <v/>
      </c>
      <c r="I29" s="7">
        <v>0</v>
      </c>
      <c r="J29" s="7"/>
      <c r="K29" s="4" t="str">
        <f>IF(G29="","",VLOOKUP(G29,Технологии!$A$11:$BF$50,58,FALSE))</f>
        <v/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7.6">
      <c r="A30" s="3" t="s">
        <v>311</v>
      </c>
      <c r="B30" s="7"/>
      <c r="C30" s="7"/>
      <c r="D30" s="3"/>
      <c r="E30" s="3"/>
      <c r="F30" s="3"/>
      <c r="G30" s="7"/>
      <c r="H30" s="4" t="str">
        <f>IF(G30="","",VLOOKUP(G30,Технологии!$A$11:$D$50,4,FALSE))</f>
        <v/>
      </c>
      <c r="I30" s="7">
        <v>0</v>
      </c>
      <c r="J30" s="7"/>
      <c r="K30" s="4" t="str">
        <f>IF(G30="","",VLOOKUP(G30,Технологии!$A$11:$BF$50,58,FALSE))</f>
        <v/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 t="s">
        <v>314</v>
      </c>
      <c r="B31" s="7">
        <v>0</v>
      </c>
      <c r="C31" s="7">
        <v>0</v>
      </c>
      <c r="D31" s="3"/>
      <c r="E31" s="3"/>
      <c r="F31" s="3"/>
      <c r="G31" s="7"/>
      <c r="H31" s="4" t="str">
        <f>IF(G31="","",VLOOKUP(G31,Технологии!$A$11:$D$50,4,FALSE))</f>
        <v/>
      </c>
      <c r="I31" s="7">
        <v>0</v>
      </c>
      <c r="J31" s="7"/>
      <c r="K31" s="4" t="str">
        <f>IF(G31="","",VLOOKUP(G31,Технологии!$A$11:$BF$50,58,FALSE))</f>
        <v/>
      </c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 t="s">
        <v>317</v>
      </c>
      <c r="B32" s="7">
        <v>0</v>
      </c>
      <c r="C32" s="7">
        <v>0</v>
      </c>
      <c r="D32" s="3"/>
      <c r="E32" s="3"/>
      <c r="F32" s="3"/>
      <c r="G32" s="7"/>
      <c r="H32" s="4" t="str">
        <f>IF(G32="","",VLOOKUP(G32,Технологии!$A$11:$D$50,4,FALSE))</f>
        <v/>
      </c>
      <c r="I32" s="7">
        <v>0</v>
      </c>
      <c r="J32" s="7"/>
      <c r="K32" s="4" t="str">
        <f>IF(G32="","",VLOOKUP(G32,Технологии!$A$11:$BF$50,58,FALSE))</f>
        <v/>
      </c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 t="s">
        <v>320</v>
      </c>
      <c r="B33" s="7">
        <v>0</v>
      </c>
      <c r="C33" s="7">
        <v>0</v>
      </c>
      <c r="D33" s="3"/>
      <c r="E33" s="3"/>
      <c r="F33" s="3"/>
      <c r="G33" s="7"/>
      <c r="H33" s="4" t="str">
        <f>IF(G33="","",VLOOKUP(G33,Технологии!$A$11:$D$50,4,FALSE))</f>
        <v/>
      </c>
      <c r="I33" s="7">
        <v>0</v>
      </c>
      <c r="J33" s="7"/>
      <c r="K33" s="4" t="str">
        <f>IF(G33="","",VLOOKUP(G33,Технологии!$A$11:$BF$50,58,FALSE))</f>
        <v/>
      </c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 t="s">
        <v>321</v>
      </c>
      <c r="B34" s="7">
        <v>0</v>
      </c>
      <c r="C34" s="7">
        <v>0</v>
      </c>
      <c r="D34" s="3"/>
      <c r="E34" s="3"/>
      <c r="F34" s="3"/>
      <c r="G34" s="7"/>
      <c r="H34" s="4" t="str">
        <f>IF(G34="","",VLOOKUP(G34,Технологии!$A$11:$D$50,4,FALSE))</f>
        <v/>
      </c>
      <c r="I34" s="7">
        <v>0</v>
      </c>
      <c r="J34" s="7"/>
      <c r="K34" s="4" t="str">
        <f>IF(G34="","",VLOOKUP(G34,Технологии!$A$11:$BF$50,58,FALSE))</f>
        <v/>
      </c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 t="s">
        <v>322</v>
      </c>
      <c r="B35" s="7">
        <v>0</v>
      </c>
      <c r="C35" s="7">
        <v>0</v>
      </c>
      <c r="D35" s="3"/>
      <c r="E35" s="3"/>
      <c r="F35" s="3"/>
      <c r="G35" s="7"/>
      <c r="H35" s="4" t="str">
        <f>IF(G35="","",VLOOKUP(G35,Технологии!$A$11:$D$50,4,FALSE))</f>
        <v/>
      </c>
      <c r="I35" s="7">
        <v>0</v>
      </c>
      <c r="J35" s="7"/>
      <c r="K35" s="4" t="str">
        <f>IF(G35="","",VLOOKUP(G35,Технологии!$A$11:$BF$50,58,FALSE))</f>
        <v/>
      </c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 t="s">
        <v>323</v>
      </c>
      <c r="B36" s="7">
        <v>0</v>
      </c>
      <c r="C36" s="7">
        <v>0</v>
      </c>
      <c r="D36" s="3"/>
      <c r="E36" s="3"/>
      <c r="F36" s="3"/>
      <c r="G36" s="7"/>
      <c r="H36" s="4" t="str">
        <f>IF(G36="","",VLOOKUP(G36,Технологии!$A$11:$D$50,4,FALSE))</f>
        <v/>
      </c>
      <c r="I36" s="7">
        <v>0</v>
      </c>
      <c r="J36" s="7"/>
      <c r="K36" s="4" t="str">
        <f>IF(G36="","",VLOOKUP(G36,Технологии!$A$11:$BF$50,58,FALSE))</f>
        <v/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7.6">
      <c r="A37" s="3" t="s">
        <v>324</v>
      </c>
      <c r="B37" s="7">
        <v>0</v>
      </c>
      <c r="C37" s="7">
        <v>0</v>
      </c>
      <c r="D37" s="3"/>
      <c r="E37" s="3"/>
      <c r="F37" s="3"/>
      <c r="G37" s="7"/>
      <c r="H37" s="4" t="str">
        <f>IF(G37="","",VLOOKUP(G37,Технологии!$A$11:$D$50,4,FALSE))</f>
        <v/>
      </c>
      <c r="I37" s="7">
        <v>0</v>
      </c>
      <c r="J37" s="7"/>
      <c r="K37" s="4" t="str">
        <f>IF(G37="","",VLOOKUP(G37,Технологии!$A$11:$BF$50,58,FALSE))</f>
        <v/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 t="s">
        <v>325</v>
      </c>
      <c r="B38" s="7">
        <v>0</v>
      </c>
      <c r="C38" s="7">
        <v>0</v>
      </c>
      <c r="D38" s="3"/>
      <c r="E38" s="3"/>
      <c r="F38" s="3"/>
      <c r="G38" s="7"/>
      <c r="H38" s="4" t="str">
        <f>IF(G38="","",VLOOKUP(G38,Технологии!$A$11:$D$50,4,FALSE))</f>
        <v/>
      </c>
      <c r="I38" s="7">
        <v>0</v>
      </c>
      <c r="J38" s="7"/>
      <c r="K38" s="4" t="str">
        <f>IF(G38="","",VLOOKUP(G38,Технологии!$A$11:$BF$50,58,FALSE))</f>
        <v/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7.6">
      <c r="A39" s="3" t="s">
        <v>326</v>
      </c>
      <c r="B39" s="7"/>
      <c r="C39" s="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7.6">
      <c r="A40" s="3" t="s">
        <v>327</v>
      </c>
      <c r="B40" s="7">
        <v>0</v>
      </c>
      <c r="C40" s="7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 t="s">
        <v>328</v>
      </c>
      <c r="B41" s="7">
        <v>0</v>
      </c>
      <c r="C41" s="7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 t="s">
        <v>329</v>
      </c>
      <c r="B42" s="7">
        <v>0</v>
      </c>
      <c r="C42" s="7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 t="s">
        <v>330</v>
      </c>
      <c r="B43" s="7">
        <v>0</v>
      </c>
      <c r="C43" s="7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7.6">
      <c r="A44" s="3" t="s">
        <v>331</v>
      </c>
      <c r="B44" s="7">
        <v>0</v>
      </c>
      <c r="C44" s="7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7.6">
      <c r="A45" s="3" t="s">
        <v>332</v>
      </c>
      <c r="B45" s="7">
        <v>0</v>
      </c>
      <c r="C45" s="7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 t="s">
        <v>333</v>
      </c>
      <c r="B46" s="7">
        <v>0</v>
      </c>
      <c r="C46" s="7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7.6">
      <c r="A47" s="3" t="s">
        <v>334</v>
      </c>
      <c r="B47" s="7">
        <v>0</v>
      </c>
      <c r="C47" s="7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 t="s">
        <v>335</v>
      </c>
      <c r="B48" s="7">
        <v>0</v>
      </c>
      <c r="C48" s="7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7.6">
      <c r="A49" s="3" t="s">
        <v>336</v>
      </c>
      <c r="B49" s="7"/>
      <c r="C49" s="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 t="s">
        <v>337</v>
      </c>
      <c r="B50" s="7">
        <v>0</v>
      </c>
      <c r="C50" s="7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 t="s">
        <v>338</v>
      </c>
      <c r="B51" s="7">
        <v>0</v>
      </c>
      <c r="C51" s="7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 t="s">
        <v>339</v>
      </c>
      <c r="B52" s="7">
        <v>0</v>
      </c>
      <c r="C52" s="7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 t="s">
        <v>340</v>
      </c>
      <c r="B53" s="7">
        <v>0</v>
      </c>
      <c r="C53" s="7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 t="s">
        <v>341</v>
      </c>
      <c r="B54" s="7">
        <v>0</v>
      </c>
      <c r="C54" s="7">
        <v>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7.6">
      <c r="A55" s="3" t="s">
        <v>342</v>
      </c>
      <c r="B55" s="7">
        <v>0</v>
      </c>
      <c r="C55" s="7">
        <v>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7.6">
      <c r="A56" s="3" t="s">
        <v>343</v>
      </c>
      <c r="B56" s="7">
        <v>0</v>
      </c>
      <c r="C56" s="7">
        <v>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 t="s">
        <v>344</v>
      </c>
      <c r="B57" s="7">
        <v>0</v>
      </c>
      <c r="C57" s="7">
        <v>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 t="s">
        <v>345</v>
      </c>
      <c r="B58" s="7"/>
      <c r="C58" s="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 t="s">
        <v>346</v>
      </c>
      <c r="B59" s="7">
        <v>0</v>
      </c>
      <c r="C59" s="7">
        <v>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 t="s">
        <v>347</v>
      </c>
      <c r="B60" s="7">
        <v>0</v>
      </c>
      <c r="C60" s="7">
        <v>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7.6">
      <c r="A61" s="3" t="s">
        <v>348</v>
      </c>
      <c r="B61" s="7">
        <v>0</v>
      </c>
      <c r="C61" s="7">
        <v>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</sheetData>
  <mergeCells count="11">
    <mergeCell ref="A11:C11"/>
    <mergeCell ref="G11:H11"/>
    <mergeCell ref="G22:J22"/>
    <mergeCell ref="G27:K27"/>
    <mergeCell ref="L11:U11"/>
    <mergeCell ref="A1:U2"/>
    <mergeCell ref="A3:U3"/>
    <mergeCell ref="A5:C5"/>
    <mergeCell ref="E5:G5"/>
    <mergeCell ref="I5:K5"/>
    <mergeCell ref="M5:O5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55"/>
  <sheetViews>
    <sheetView workbookViewId="0"/>
  </sheetViews>
  <sheetFormatPr defaultRowHeight="13.8"/>
  <cols>
    <col min="1" max="1" width="33" customWidth="1"/>
    <col min="2" max="2" width="11" customWidth="1"/>
    <col min="3" max="7" width="13" customWidth="1"/>
    <col min="8" max="8" width="11" customWidth="1"/>
    <col min="9" max="9" width="12" customWidth="1"/>
    <col min="10" max="10" width="3" customWidth="1"/>
    <col min="11" max="11" width="24" customWidth="1"/>
    <col min="12" max="12" width="11" customWidth="1"/>
    <col min="13" max="17" width="13" customWidth="1"/>
    <col min="18" max="18" width="11" customWidth="1"/>
    <col min="19" max="19" width="12" customWidth="1"/>
    <col min="20" max="20" width="3" customWidth="1"/>
    <col min="21" max="21" width="17" customWidth="1"/>
    <col min="22" max="22" width="10" customWidth="1"/>
    <col min="23" max="23" width="24" customWidth="1"/>
    <col min="24" max="24" width="43" customWidth="1"/>
  </cols>
  <sheetData>
    <row r="1" spans="1:24">
      <c r="A1" s="14" t="s">
        <v>407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4" ht="14.4">
      <c r="A3" s="11" t="s">
        <v>238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6">
      <c r="A5" s="17" t="s">
        <v>239</v>
      </c>
      <c r="B5" s="17"/>
      <c r="C5" s="17"/>
      <c r="D5" s="17"/>
      <c r="E5" s="17"/>
      <c r="F5" s="17"/>
      <c r="G5" s="17"/>
      <c r="H5" s="17"/>
      <c r="I5" s="17"/>
      <c r="J5" s="3"/>
      <c r="K5" s="15" t="s">
        <v>240</v>
      </c>
      <c r="L5" s="15"/>
      <c r="M5" s="15"/>
      <c r="N5" s="15" t="s">
        <v>241</v>
      </c>
      <c r="O5" s="15"/>
      <c r="P5" s="15"/>
      <c r="Q5" s="15" t="s">
        <v>242</v>
      </c>
      <c r="R5" s="15"/>
      <c r="S5" s="15"/>
      <c r="T5" s="3"/>
      <c r="U5" s="15" t="s">
        <v>243</v>
      </c>
      <c r="V5" s="15"/>
      <c r="W5" s="15"/>
      <c r="X5" s="3"/>
    </row>
    <row r="6" spans="1:24" ht="41.4">
      <c r="A6" s="1" t="s">
        <v>244</v>
      </c>
      <c r="B6" s="1" t="s">
        <v>245</v>
      </c>
      <c r="C6" s="1" t="s">
        <v>246</v>
      </c>
      <c r="D6" s="1" t="s">
        <v>247</v>
      </c>
      <c r="E6" s="1" t="s">
        <v>248</v>
      </c>
      <c r="F6" s="1" t="s">
        <v>249</v>
      </c>
      <c r="G6" s="1" t="s">
        <v>250</v>
      </c>
      <c r="H6" s="1" t="s">
        <v>251</v>
      </c>
      <c r="I6" s="1" t="s">
        <v>252</v>
      </c>
      <c r="J6" s="3"/>
      <c r="K6" s="16">
        <f>100*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-1)+POWER(I9/10,-1)+POWER(I10/10,-1)+POWER(I11/10,-1)+POWER(I12/10,-1)+POWER(I13/10,-1)+POWER(I14/10,-1)+POWER(I15/10,-1)+POWER(I16/10,-1)+POWER(I17/10,-1))/10,1/-1)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f>
        <v>84.810506344573398</v>
      </c>
      <c r="L6" s="16"/>
      <c r="M6" s="16"/>
      <c r="N6" s="16">
        <f>100*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10,0.1)*POWER(S17/10,0.1)*POWER(S16/10,0.05)*POWER(S18/10,0.05)),0.8)*POWER((POWER(I34/10,0.2)*POWER(I22/10,0.15)*POWER(I25/10,0.1)*POWER(I27/10,0.1)*POWER(I15/10,0.15)*POWER(I28/10,0.1)*POWER(I40/10,0.1)*POWER(I31/10,0.1)),0.2)),2))</f>
        <v>76.647377384273881</v>
      </c>
      <c r="O6" s="16"/>
      <c r="P6" s="16"/>
      <c r="Q6" s="16">
        <f>100*POWER(((AVERAGE(V11:V25)+5)/10),0.3)*POWER((POWER(I16/10,0.15)*POWER(I32/10,0.15)*POWER(I40/10,0.2)*POWER(I41/10,0.15)*POWER(I46/10,0.15)*POWER(I47/10,0.2)),0.3)*POWER((POWER(S12/10,0.2)*POWER(S15/10,0.2)*POWER(S16/10,0.3)*POWER(S17/10,0.3)),0.4)</f>
        <v>85.754909707381941</v>
      </c>
      <c r="R6" s="16"/>
      <c r="S6" s="16"/>
      <c r="T6" s="3"/>
      <c r="U6" s="16">
        <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f>
        <v>99.862035901745969</v>
      </c>
      <c r="V6" s="16"/>
      <c r="W6" s="16"/>
      <c r="X6" s="3"/>
    </row>
    <row r="7" spans="1:24" ht="27.6">
      <c r="A7" s="6" t="s">
        <v>253</v>
      </c>
      <c r="B7" s="6"/>
      <c r="C7" s="6"/>
      <c r="D7" s="6"/>
      <c r="E7" s="6"/>
      <c r="F7" s="6"/>
      <c r="G7" s="6"/>
      <c r="H7" s="6"/>
      <c r="I7" s="6"/>
      <c r="J7" s="3"/>
      <c r="K7" s="16"/>
      <c r="L7" s="16"/>
      <c r="M7" s="16"/>
      <c r="N7" s="16"/>
      <c r="O7" s="16"/>
      <c r="P7" s="16"/>
      <c r="Q7" s="16"/>
      <c r="R7" s="16"/>
      <c r="S7" s="16"/>
      <c r="T7" s="3"/>
      <c r="U7" s="16"/>
      <c r="V7" s="16"/>
      <c r="W7" s="16"/>
      <c r="X7" s="3"/>
    </row>
    <row r="8" spans="1:24">
      <c r="A8" s="3" t="s">
        <v>254</v>
      </c>
      <c r="B8" s="3">
        <f>MAX(1,MIN(10,'США 2040'!B8+'США 2040'!D8+('США 2040'!C8+'США 2040'!F8+'США 2040'!G8)+(0.35*LN(1+0.6*'Ход 2040'!B14)*POWER(MAX(0,1-'США 2040'!I8/10),0.7))))</f>
        <v>8.9999999999999947</v>
      </c>
      <c r="C8" s="3">
        <f>MIN(1,'США 2040'!C8+'США 2040'!F8+(0.08*LN(1+0.5*'Ход 2040'!C14)*MAX(0,1-('США 2040'!C8+'США 2040'!F8))))</f>
        <v>0.1</v>
      </c>
      <c r="D8" s="7">
        <v>0</v>
      </c>
      <c r="E8" s="7">
        <v>0</v>
      </c>
      <c r="F8" s="7">
        <v>0</v>
      </c>
      <c r="G8" s="7">
        <v>0</v>
      </c>
      <c r="H8" s="3">
        <v>0</v>
      </c>
      <c r="I8" s="3">
        <f t="shared" ref="I8:I17" si="0">MAX(1,MIN(10,B8+D8+E8+H8))</f>
        <v>8.9999999999999947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8.2">
      <c r="A9" s="3" t="s">
        <v>255</v>
      </c>
      <c r="B9" s="3">
        <f>MAX(1,MIN(10,'США 2040'!B9+'США 2040'!D9+('США 2040'!C9+'США 2040'!F9+'США 2040'!G9)+(0.35*LN(1+0.6*'Ход 2040'!B15)*POWER(MAX(0,1-'США 2040'!I9/10),0.7))))</f>
        <v>10</v>
      </c>
      <c r="C9" s="3">
        <f>MIN(1,'США 2040'!C9+'США 2040'!F9+(0.08*LN(1+0.5*'Ход 2040'!C15)*MAX(0,1-('США 2040'!C9+'США 2040'!F9))))</f>
        <v>0.2</v>
      </c>
      <c r="D9" s="7">
        <v>0</v>
      </c>
      <c r="E9" s="7">
        <v>0</v>
      </c>
      <c r="F9" s="7">
        <v>0</v>
      </c>
      <c r="G9" s="7">
        <v>0</v>
      </c>
      <c r="H9" s="3">
        <v>0</v>
      </c>
      <c r="I9" s="3">
        <f t="shared" si="0"/>
        <v>10</v>
      </c>
      <c r="J9" s="3"/>
      <c r="K9" s="17" t="s">
        <v>256</v>
      </c>
      <c r="L9" s="17"/>
      <c r="M9" s="17"/>
      <c r="N9" s="17"/>
      <c r="O9" s="17"/>
      <c r="P9" s="17"/>
      <c r="Q9" s="17"/>
      <c r="R9" s="17"/>
      <c r="S9" s="17"/>
      <c r="T9" s="3"/>
      <c r="U9" s="17" t="s">
        <v>257</v>
      </c>
      <c r="V9" s="17"/>
      <c r="W9" s="17"/>
      <c r="X9" s="17"/>
    </row>
    <row r="10" spans="1:24" ht="41.4">
      <c r="A10" s="3" t="s">
        <v>258</v>
      </c>
      <c r="B10" s="3">
        <f>MAX(1,MIN(10,'США 2040'!B10+'США 2040'!D10+('США 2040'!C10+'США 2040'!F10+'США 2040'!G10)+(0.35*LN(1+0.6*'Ход 2040'!B16)*POWER(MAX(0,1-'США 2040'!I10/10),0.7))))</f>
        <v>10</v>
      </c>
      <c r="C10" s="3">
        <f>MIN(1,'США 2040'!C10+'США 2040'!F10+(0.08*LN(1+0.5*'Ход 2040'!C16)*MAX(0,1-('США 2040'!C10+'США 2040'!F10))))</f>
        <v>0.15</v>
      </c>
      <c r="D10" s="7">
        <v>0</v>
      </c>
      <c r="E10" s="7">
        <v>0</v>
      </c>
      <c r="F10" s="7">
        <v>0</v>
      </c>
      <c r="G10" s="7">
        <v>0</v>
      </c>
      <c r="H10" s="3">
        <v>0</v>
      </c>
      <c r="I10" s="3">
        <f t="shared" si="0"/>
        <v>10</v>
      </c>
      <c r="J10" s="3"/>
      <c r="K10" s="1" t="s">
        <v>259</v>
      </c>
      <c r="L10" s="1" t="s">
        <v>245</v>
      </c>
      <c r="M10" s="1" t="s">
        <v>246</v>
      </c>
      <c r="N10" s="1" t="s">
        <v>247</v>
      </c>
      <c r="O10" s="1" t="s">
        <v>248</v>
      </c>
      <c r="P10" s="1" t="s">
        <v>249</v>
      </c>
      <c r="Q10" s="1" t="s">
        <v>250</v>
      </c>
      <c r="R10" s="1" t="s">
        <v>251</v>
      </c>
      <c r="S10" s="1" t="s">
        <v>252</v>
      </c>
      <c r="T10" s="3"/>
      <c r="U10" s="1" t="s">
        <v>260</v>
      </c>
      <c r="V10" s="1" t="s">
        <v>261</v>
      </c>
      <c r="W10" s="1" t="s">
        <v>262</v>
      </c>
      <c r="X10" s="1" t="s">
        <v>263</v>
      </c>
    </row>
    <row r="11" spans="1:24" ht="55.2">
      <c r="A11" s="3" t="s">
        <v>264</v>
      </c>
      <c r="B11" s="3">
        <f>MAX(1,MIN(10,'США 2040'!B11+'США 2040'!D11+('США 2040'!C11+'США 2040'!F11+'США 2040'!G11)+(0.35*LN(1+0.6*'Ход 2040'!B17)*POWER(MAX(0,1-'США 2040'!I11/10),0.7))))</f>
        <v>8.9999999999999947</v>
      </c>
      <c r="C11" s="3">
        <f>MIN(1,'США 2040'!C11+'США 2040'!F11+(0.08*LN(1+0.5*'Ход 2040'!C17)*MAX(0,1-('США 2040'!C11+'США 2040'!F11))))</f>
        <v>0.1</v>
      </c>
      <c r="D11" s="7">
        <v>0</v>
      </c>
      <c r="E11" s="7">
        <v>0</v>
      </c>
      <c r="F11" s="7">
        <v>0</v>
      </c>
      <c r="G11" s="7">
        <v>0</v>
      </c>
      <c r="H11" s="3">
        <v>0</v>
      </c>
      <c r="I11" s="3">
        <f t="shared" si="0"/>
        <v>8.9999999999999947</v>
      </c>
      <c r="J11" s="3"/>
      <c r="K11" s="3" t="s">
        <v>265</v>
      </c>
      <c r="L11" s="3">
        <f>MAX(1,MIN(10,'США 2040'!L11+'США 2040'!N11+('США 2040'!M11+'США 2040'!P11+'США 2040'!Q11)))</f>
        <v>10</v>
      </c>
      <c r="M11" s="3">
        <f>MIN(1,'США 2040'!M11+'США 2040'!P11+(0.1*LN(1+0.5*'Ход 2040'!H13)*POWER(MAX(0,1-'США 2040'!S11/10),0.8)))</f>
        <v>0.4</v>
      </c>
      <c r="N11" s="7">
        <v>0</v>
      </c>
      <c r="O11" s="7">
        <v>0</v>
      </c>
      <c r="P11" s="7">
        <v>0</v>
      </c>
      <c r="Q11" s="7">
        <v>0</v>
      </c>
      <c r="R11" s="3">
        <v>0</v>
      </c>
      <c r="S11" s="3">
        <f t="shared" ref="S11:S18" si="1">MAX(1,MIN(10,L11+N11+O11+R11))</f>
        <v>10</v>
      </c>
      <c r="T11" s="3"/>
      <c r="U11" s="3" t="s">
        <v>266</v>
      </c>
      <c r="V11" s="7">
        <f>'США 2040'!V11</f>
        <v>-1.5</v>
      </c>
      <c r="W11" s="3" t="str">
        <f t="shared" ref="W11:W26" si="2"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f>
        <v>Конфронтация</v>
      </c>
      <c r="X11" s="3" t="s">
        <v>267</v>
      </c>
    </row>
    <row r="12" spans="1:24" ht="55.2">
      <c r="A12" s="3" t="s">
        <v>268</v>
      </c>
      <c r="B12" s="3">
        <f>MAX(1,MIN(10,'США 2040'!B12+'США 2040'!D12+('США 2040'!C12+'США 2040'!F12+'США 2040'!G12)+(0.35*LN(1+0.6*'Ход 2040'!B18)*POWER(MAX(0,1-'США 2040'!I12/10),0.7))))</f>
        <v>9.7500000000000107</v>
      </c>
      <c r="C12" s="3">
        <f>MIN(1,'США 2040'!C12+'США 2040'!F12+(0.08*LN(1+0.5*'Ход 2040'!C18)*MAX(0,1-('США 2040'!C12+'США 2040'!F12))))</f>
        <v>0.05</v>
      </c>
      <c r="D12" s="7">
        <v>0</v>
      </c>
      <c r="E12" s="7">
        <v>0</v>
      </c>
      <c r="F12" s="7">
        <v>0</v>
      </c>
      <c r="G12" s="7">
        <v>0</v>
      </c>
      <c r="H12" s="3">
        <v>0</v>
      </c>
      <c r="I12" s="3">
        <f t="shared" si="0"/>
        <v>9.7500000000000107</v>
      </c>
      <c r="J12" s="3"/>
      <c r="K12" s="3" t="s">
        <v>269</v>
      </c>
      <c r="L12" s="3">
        <f>MAX(1,MIN(10,'США 2040'!L12+'США 2040'!N12+('США 2040'!M12+'США 2040'!P12+'США 2040'!Q12)))</f>
        <v>10</v>
      </c>
      <c r="M12" s="3">
        <f>MIN(1,'США 2040'!M12+'США 2040'!P12+(0.1*LN(1+0.5*'Ход 2040'!H14)*POWER(MAX(0,1-'США 2040'!S12/10),0.8)))</f>
        <v>0.35</v>
      </c>
      <c r="N12" s="7">
        <v>0</v>
      </c>
      <c r="O12" s="7">
        <v>0</v>
      </c>
      <c r="P12" s="7">
        <v>0</v>
      </c>
      <c r="Q12" s="7">
        <v>0</v>
      </c>
      <c r="R12" s="3">
        <v>0</v>
      </c>
      <c r="S12" s="3">
        <f t="shared" si="1"/>
        <v>10</v>
      </c>
      <c r="T12" s="3"/>
      <c r="U12" s="3" t="s">
        <v>270</v>
      </c>
      <c r="V12" s="7">
        <f>'США 2040'!V12</f>
        <v>-1.1000000000000001</v>
      </c>
      <c r="W12" s="3" t="str">
        <f t="shared" si="2"/>
        <v>Конфронтация</v>
      </c>
      <c r="X12" s="3" t="s">
        <v>271</v>
      </c>
    </row>
    <row r="13" spans="1:24" ht="55.2">
      <c r="A13" s="3" t="s">
        <v>272</v>
      </c>
      <c r="B13" s="3">
        <f>MAX(1,MIN(10,'США 2040'!B13+'США 2040'!D13+('США 2040'!C13+'США 2040'!F13+'США 2040'!G13)+(0.35*LN(1+0.6*'Ход 2040'!B19)*POWER(MAX(0,1-'США 2040'!I13/10),0.7))))</f>
        <v>10</v>
      </c>
      <c r="C13" s="3">
        <f>MIN(1,'США 2040'!C13+'США 2040'!F13+(0.08*LN(1+0.5*'Ход 2040'!C19)*MAX(0,1-('США 2040'!C13+'США 2040'!F13))))</f>
        <v>0.45</v>
      </c>
      <c r="D13" s="7">
        <v>0</v>
      </c>
      <c r="E13" s="7">
        <v>0</v>
      </c>
      <c r="F13" s="7">
        <v>0</v>
      </c>
      <c r="G13" s="7">
        <v>0</v>
      </c>
      <c r="H13" s="3">
        <v>0</v>
      </c>
      <c r="I13" s="3">
        <f t="shared" si="0"/>
        <v>10</v>
      </c>
      <c r="J13" s="3"/>
      <c r="K13" s="3" t="s">
        <v>273</v>
      </c>
      <c r="L13" s="3">
        <f>MAX(1,MIN(10,'США 2040'!L13+'США 2040'!N13+('США 2040'!M13+'США 2040'!P13+'США 2040'!Q13)))</f>
        <v>10</v>
      </c>
      <c r="M13" s="3">
        <f>MIN(1,'США 2040'!M13+'США 2040'!P13+(0.1*LN(1+0.5*'Ход 2040'!H15)*POWER(MAX(0,1-'США 2040'!S13/10),0.8)))</f>
        <v>0.15</v>
      </c>
      <c r="N13" s="7">
        <v>0</v>
      </c>
      <c r="O13" s="7">
        <v>0</v>
      </c>
      <c r="P13" s="7">
        <v>0</v>
      </c>
      <c r="Q13" s="7">
        <v>0</v>
      </c>
      <c r="R13" s="3">
        <v>0</v>
      </c>
      <c r="S13" s="3">
        <f t="shared" si="1"/>
        <v>10</v>
      </c>
      <c r="T13" s="3"/>
      <c r="U13" s="3" t="s">
        <v>274</v>
      </c>
      <c r="V13" s="7">
        <f>'США 2040'!V13</f>
        <v>1</v>
      </c>
      <c r="W13" s="3" t="str">
        <f t="shared" si="2"/>
        <v>Сотрудничество</v>
      </c>
      <c r="X13" s="3" t="s">
        <v>275</v>
      </c>
    </row>
    <row r="14" spans="1:24" ht="41.4">
      <c r="A14" s="3" t="s">
        <v>276</v>
      </c>
      <c r="B14" s="3">
        <f>MAX(1,MIN(10,'США 2040'!B14+'США 2040'!D14+('США 2040'!C14+'США 2040'!F14+'США 2040'!G14)+(0.35*LN(1+0.6*'Ход 2040'!B20)*POWER(MAX(0,1-'США 2040'!I14/10),0.7))))</f>
        <v>10</v>
      </c>
      <c r="C14" s="3">
        <f>MIN(1,'США 2040'!C14+'США 2040'!F14+(0.08*LN(1+0.5*'Ход 2040'!C20)*MAX(0,1-('США 2040'!C14+'США 2040'!F14))))</f>
        <v>0.2</v>
      </c>
      <c r="D14" s="7">
        <v>0</v>
      </c>
      <c r="E14" s="7">
        <v>0</v>
      </c>
      <c r="F14" s="7">
        <v>0</v>
      </c>
      <c r="G14" s="7">
        <v>0</v>
      </c>
      <c r="H14" s="3">
        <v>0</v>
      </c>
      <c r="I14" s="3">
        <f t="shared" si="0"/>
        <v>10</v>
      </c>
      <c r="J14" s="3"/>
      <c r="K14" s="3" t="s">
        <v>277</v>
      </c>
      <c r="L14" s="3">
        <f>MAX(1,MIN(10,'США 2040'!L14+'США 2040'!N14+('США 2040'!M14+'США 2040'!P14+'США 2040'!Q14)))</f>
        <v>10</v>
      </c>
      <c r="M14" s="3">
        <f>MIN(1,'США 2040'!M14+'США 2040'!P14+(0.1*LN(1+0.5*'Ход 2040'!H16)*POWER(MAX(0,1-'США 2040'!S14/10),0.8)))</f>
        <v>0.3</v>
      </c>
      <c r="N14" s="7">
        <v>0</v>
      </c>
      <c r="O14" s="7">
        <v>0</v>
      </c>
      <c r="P14" s="7">
        <v>0</v>
      </c>
      <c r="Q14" s="7">
        <v>0</v>
      </c>
      <c r="R14" s="3">
        <v>0</v>
      </c>
      <c r="S14" s="3">
        <f t="shared" si="1"/>
        <v>10</v>
      </c>
      <c r="T14" s="3"/>
      <c r="U14" s="3" t="s">
        <v>278</v>
      </c>
      <c r="V14" s="7">
        <f>'США 2040'!V14</f>
        <v>0.9</v>
      </c>
      <c r="W14" s="3" t="str">
        <f t="shared" si="2"/>
        <v>Сотрудничество</v>
      </c>
      <c r="X14" s="3" t="s">
        <v>279</v>
      </c>
    </row>
    <row r="15" spans="1:24" ht="55.2">
      <c r="A15" s="3" t="s">
        <v>280</v>
      </c>
      <c r="B15" s="3">
        <f>MAX(1,MIN(10,'США 2040'!B15+'США 2040'!D15+('США 2040'!C15+'США 2040'!F15+'США 2040'!G15)+(0.35*LN(1+0.6*'Ход 2040'!B21)*POWER(MAX(0,1-'США 2040'!I15/10),0.7))))</f>
        <v>10</v>
      </c>
      <c r="C15" s="3">
        <f>MIN(1,'США 2040'!C15+'США 2040'!F15+(0.08*LN(1+0.5*'Ход 2040'!C21)*MAX(0,1-('США 2040'!C15+'США 2040'!F15))))</f>
        <v>0.3</v>
      </c>
      <c r="D15" s="7">
        <v>0</v>
      </c>
      <c r="E15" s="7">
        <v>0</v>
      </c>
      <c r="F15" s="7">
        <v>0</v>
      </c>
      <c r="G15" s="7">
        <v>0</v>
      </c>
      <c r="H15" s="3">
        <v>0</v>
      </c>
      <c r="I15" s="3">
        <f t="shared" si="0"/>
        <v>10</v>
      </c>
      <c r="J15" s="3"/>
      <c r="K15" s="3" t="s">
        <v>281</v>
      </c>
      <c r="L15" s="3">
        <f>MAX(1,MIN(10,'США 2040'!L15+'США 2040'!N15+('США 2040'!M15+'США 2040'!P15+'США 2040'!Q15)))</f>
        <v>10</v>
      </c>
      <c r="M15" s="3">
        <f>MIN(1,'США 2040'!M15+'США 2040'!P15+(0.1*LN(1+0.5*'Ход 2040'!H17)*POWER(MAX(0,1-'США 2040'!S15/10),0.8)))</f>
        <v>0.2</v>
      </c>
      <c r="N15" s="7">
        <v>0</v>
      </c>
      <c r="O15" s="7">
        <v>0</v>
      </c>
      <c r="P15" s="7">
        <v>0</v>
      </c>
      <c r="Q15" s="7">
        <v>0</v>
      </c>
      <c r="R15" s="3">
        <v>0</v>
      </c>
      <c r="S15" s="3">
        <f t="shared" si="1"/>
        <v>10</v>
      </c>
      <c r="T15" s="3"/>
      <c r="U15" s="3" t="s">
        <v>282</v>
      </c>
      <c r="V15" s="7">
        <f>'США 2040'!V15</f>
        <v>3.2</v>
      </c>
      <c r="W15" s="3" t="str">
        <f t="shared" si="2"/>
        <v>Стратегический союз</v>
      </c>
      <c r="X15" s="3" t="s">
        <v>283</v>
      </c>
    </row>
    <row r="16" spans="1:24" ht="55.2">
      <c r="A16" s="3" t="s">
        <v>284</v>
      </c>
      <c r="B16" s="3">
        <f>MAX(1,MIN(10,'США 2040'!B16+'США 2040'!D16+('США 2040'!C16+'США 2040'!F16+'США 2040'!G16)+(0.35*LN(1+0.6*'Ход 2040'!B22)*POWER(MAX(0,1-'США 2040'!I16/10),0.7))))</f>
        <v>10</v>
      </c>
      <c r="C16" s="3">
        <f>MIN(1,'США 2040'!C16+'США 2040'!F16+(0.08*LN(1+0.5*'Ход 2040'!C22)*MAX(0,1-('США 2040'!C16+'США 2040'!F16))))</f>
        <v>0.15</v>
      </c>
      <c r="D16" s="7">
        <v>0</v>
      </c>
      <c r="E16" s="7">
        <v>0</v>
      </c>
      <c r="F16" s="7">
        <v>0</v>
      </c>
      <c r="G16" s="7">
        <v>0</v>
      </c>
      <c r="H16" s="3">
        <v>0</v>
      </c>
      <c r="I16" s="3">
        <f t="shared" si="0"/>
        <v>10</v>
      </c>
      <c r="J16" s="3"/>
      <c r="K16" s="3" t="s">
        <v>285</v>
      </c>
      <c r="L16" s="3">
        <f>MAX(1,MIN(10,'США 2040'!L16+'США 2040'!N16+('США 2040'!M16+'США 2040'!P16+'США 2040'!Q16)))</f>
        <v>10</v>
      </c>
      <c r="M16" s="3">
        <f>MIN(1,'США 2040'!M16+'США 2040'!P16+(0.1*LN(1+0.5*'Ход 2040'!H18)*POWER(MAX(0,1-'США 2040'!S16/10),0.8)))</f>
        <v>0.35</v>
      </c>
      <c r="N16" s="7">
        <v>0</v>
      </c>
      <c r="O16" s="7">
        <v>0</v>
      </c>
      <c r="P16" s="7">
        <v>0</v>
      </c>
      <c r="Q16" s="7">
        <v>0</v>
      </c>
      <c r="R16" s="3">
        <v>0</v>
      </c>
      <c r="S16" s="3">
        <f t="shared" si="1"/>
        <v>10</v>
      </c>
      <c r="T16" s="3"/>
      <c r="U16" s="3" t="s">
        <v>286</v>
      </c>
      <c r="V16" s="7">
        <f>'США 2040'!V16</f>
        <v>3.2</v>
      </c>
      <c r="W16" s="3" t="str">
        <f t="shared" si="2"/>
        <v>Стратегический союз</v>
      </c>
      <c r="X16" s="3" t="s">
        <v>287</v>
      </c>
    </row>
    <row r="17" spans="1:24" ht="55.2">
      <c r="A17" s="3" t="s">
        <v>288</v>
      </c>
      <c r="B17" s="3">
        <f>MAX(1,MIN(10,'США 2040'!B17+'США 2040'!D17+('США 2040'!C17+'США 2040'!F17+'США 2040'!G17)+(0.35*LN(1+0.6*'Ход 2040'!B23)*POWER(MAX(0,1-'США 2040'!I17/10),0.7))))</f>
        <v>10</v>
      </c>
      <c r="C17" s="3">
        <f>MIN(1,'США 2040'!C17+'США 2040'!F17+(0.08*LN(1+0.5*'Ход 2040'!C23)*MAX(0,1-('США 2040'!C17+'США 2040'!F17))))</f>
        <v>0.1</v>
      </c>
      <c r="D17" s="7">
        <v>0</v>
      </c>
      <c r="E17" s="7">
        <v>0</v>
      </c>
      <c r="F17" s="7">
        <v>0</v>
      </c>
      <c r="G17" s="7">
        <v>0</v>
      </c>
      <c r="H17" s="3">
        <v>0</v>
      </c>
      <c r="I17" s="3">
        <f t="shared" si="0"/>
        <v>10</v>
      </c>
      <c r="J17" s="3"/>
      <c r="K17" s="3" t="s">
        <v>289</v>
      </c>
      <c r="L17" s="3">
        <f>MAX(1,MIN(10,'США 2040'!L17+'США 2040'!N17+('США 2040'!M17+'США 2040'!P17+'США 2040'!Q17)))</f>
        <v>10</v>
      </c>
      <c r="M17" s="3">
        <f>MIN(1,'США 2040'!M17+'США 2040'!P17+(0.1*LN(1+0.5*'Ход 2040'!H19)*POWER(MAX(0,1-'США 2040'!S17/10),0.8)))</f>
        <v>0.3</v>
      </c>
      <c r="N17" s="7">
        <v>0</v>
      </c>
      <c r="O17" s="7">
        <v>0</v>
      </c>
      <c r="P17" s="7">
        <v>0</v>
      </c>
      <c r="Q17" s="7">
        <v>0</v>
      </c>
      <c r="R17" s="3">
        <v>0</v>
      </c>
      <c r="S17" s="3">
        <f t="shared" si="1"/>
        <v>10</v>
      </c>
      <c r="T17" s="3"/>
      <c r="U17" s="3" t="s">
        <v>290</v>
      </c>
      <c r="V17" s="7">
        <f>'США 2040'!V17</f>
        <v>4</v>
      </c>
      <c r="W17" s="3" t="str">
        <f t="shared" si="2"/>
        <v>Стратегический союз</v>
      </c>
      <c r="X17" s="3" t="s">
        <v>291</v>
      </c>
    </row>
    <row r="18" spans="1:24" ht="55.2">
      <c r="A18" s="6" t="s">
        <v>292</v>
      </c>
      <c r="B18" s="6"/>
      <c r="C18" s="6"/>
      <c r="D18" s="6"/>
      <c r="E18" s="6"/>
      <c r="F18" s="6"/>
      <c r="G18" s="6"/>
      <c r="H18" s="6"/>
      <c r="I18" s="6"/>
      <c r="J18" s="3"/>
      <c r="K18" s="3" t="s">
        <v>293</v>
      </c>
      <c r="L18" s="3">
        <f>MAX(1,MIN(10,'США 2040'!L18+'США 2040'!N18+('США 2040'!M18+'США 2040'!P18+'США 2040'!Q18)))</f>
        <v>10</v>
      </c>
      <c r="M18" s="3">
        <f>MIN(1,'США 2040'!M18+'США 2040'!P18+(0.1*LN(1+0.5*'Ход 2040'!H20)*POWER(MAX(0,1-'США 2040'!S18/10),0.8)))</f>
        <v>0.3</v>
      </c>
      <c r="N18" s="7">
        <v>0</v>
      </c>
      <c r="O18" s="7">
        <v>0</v>
      </c>
      <c r="P18" s="7">
        <v>0</v>
      </c>
      <c r="Q18" s="7">
        <v>0</v>
      </c>
      <c r="R18" s="3">
        <v>0</v>
      </c>
      <c r="S18" s="3">
        <f t="shared" si="1"/>
        <v>10</v>
      </c>
      <c r="T18" s="3"/>
      <c r="U18" s="3" t="s">
        <v>294</v>
      </c>
      <c r="V18" s="7">
        <f>'США 2040'!V18</f>
        <v>3.8</v>
      </c>
      <c r="W18" s="3" t="str">
        <f t="shared" si="2"/>
        <v>Стратегический союз</v>
      </c>
      <c r="X18" s="3" t="s">
        <v>295</v>
      </c>
    </row>
    <row r="19" spans="1:24" ht="55.2">
      <c r="A19" s="3" t="s">
        <v>296</v>
      </c>
      <c r="B19" s="3">
        <f>MAX(1,MIN(10,'США 2040'!B19+'США 2040'!D19+('США 2040'!C19+'США 2040'!F19+'США 2040'!G19)+(0.35*LN(1+0.6*'Ход 2040'!B25)*POWER(MAX(0,1-'США 2040'!I19/10),0.7))))</f>
        <v>10</v>
      </c>
      <c r="C19" s="3">
        <f>MIN(1,'США 2040'!C19+'США 2040'!F19+(0.08*LN(1+0.5*'Ход 2040'!C25)*MAX(0,1-('США 2040'!C19+'США 2040'!F19))))</f>
        <v>0.1</v>
      </c>
      <c r="D19" s="7">
        <v>0</v>
      </c>
      <c r="E19" s="7">
        <v>0</v>
      </c>
      <c r="F19" s="7">
        <v>0</v>
      </c>
      <c r="G19" s="7">
        <v>0</v>
      </c>
      <c r="H19" s="3">
        <v>0</v>
      </c>
      <c r="I19" s="3">
        <f>MAX(1,MIN(10,B19+D19+E19+H19))</f>
        <v>10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 t="s">
        <v>297</v>
      </c>
      <c r="V19" s="7">
        <f>'США 2040'!V19</f>
        <v>2.4</v>
      </c>
      <c r="W19" s="3" t="str">
        <f t="shared" si="2"/>
        <v>Стратегическое партнёрство</v>
      </c>
      <c r="X19" s="3" t="s">
        <v>298</v>
      </c>
    </row>
    <row r="20" spans="1:24" ht="55.2">
      <c r="A20" s="3" t="s">
        <v>299</v>
      </c>
      <c r="B20" s="3">
        <f>MAX(1,MIN(10,'США 2040'!B20+'США 2040'!D20+('США 2040'!C20+'США 2040'!F20+'США 2040'!G20)+(0.35*LN(1+0.6*'Ход 2040'!B26)*POWER(MAX(0,1-'США 2040'!I20/10),0.7))))</f>
        <v>10</v>
      </c>
      <c r="C20" s="3">
        <f>MIN(1,'США 2040'!C20+'США 2040'!F20+(0.08*LN(1+0.5*'Ход 2040'!C26)*MAX(0,1-('США 2040'!C20+'США 2040'!F20))))</f>
        <v>0.1</v>
      </c>
      <c r="D20" s="7">
        <v>0</v>
      </c>
      <c r="E20" s="7">
        <v>0</v>
      </c>
      <c r="F20" s="7">
        <v>0</v>
      </c>
      <c r="G20" s="7">
        <v>0</v>
      </c>
      <c r="H20" s="3">
        <v>0</v>
      </c>
      <c r="I20" s="3">
        <f>MAX(1,MIN(10,B20+D20+E20+H20))</f>
        <v>10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 t="s">
        <v>300</v>
      </c>
      <c r="V20" s="7">
        <f>'США 2040'!V20</f>
        <v>3</v>
      </c>
      <c r="W20" s="3" t="str">
        <f t="shared" si="2"/>
        <v>Стратегическое партнёрство</v>
      </c>
      <c r="X20" s="3" t="s">
        <v>301</v>
      </c>
    </row>
    <row r="21" spans="1:24" ht="55.2">
      <c r="A21" s="3" t="s">
        <v>302</v>
      </c>
      <c r="B21" s="3">
        <f>MAX(1,MIN(10,'США 2040'!B21+'США 2040'!D21+('США 2040'!C21+'США 2040'!F21+'США 2040'!G21)+(0.35*LN(1+0.6*'Ход 2040'!B27)*POWER(MAX(0,1-'США 2040'!I21/10),0.7))))</f>
        <v>10</v>
      </c>
      <c r="C21" s="3">
        <f>MIN(1,'США 2040'!C21+'США 2040'!F21+(0.08*LN(1+0.5*'Ход 2040'!C27)*MAX(0,1-('США 2040'!C21+'США 2040'!F21))))</f>
        <v>0.15</v>
      </c>
      <c r="D21" s="7">
        <v>0</v>
      </c>
      <c r="E21" s="7">
        <v>0</v>
      </c>
      <c r="F21" s="7">
        <v>0</v>
      </c>
      <c r="G21" s="7">
        <v>0</v>
      </c>
      <c r="H21" s="3">
        <v>0</v>
      </c>
      <c r="I21" s="3">
        <f>MAX(1,MIN(10,B21+D21+E21+H21))</f>
        <v>10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303</v>
      </c>
      <c r="V21" s="7">
        <f>'США 2040'!V21</f>
        <v>-2.5</v>
      </c>
      <c r="W21" s="3" t="str">
        <f t="shared" si="2"/>
        <v>Вооружённый конфликт</v>
      </c>
      <c r="X21" s="3" t="s">
        <v>304</v>
      </c>
    </row>
    <row r="22" spans="1:24" ht="55.2">
      <c r="A22" s="3" t="s">
        <v>305</v>
      </c>
      <c r="B22" s="3">
        <f>MAX(1,MIN(10,'США 2040'!B22+'США 2040'!D22+('США 2040'!C22+'США 2040'!F22+'США 2040'!G22)+(0.35*LN(1+0.6*'Ход 2040'!B28)*POWER(MAX(0,1-'США 2040'!I22/10),0.7))))</f>
        <v>10</v>
      </c>
      <c r="C22" s="3">
        <f>MIN(1,'США 2040'!C22+'США 2040'!F22+(0.08*LN(1+0.5*'Ход 2040'!C28)*MAX(0,1-('США 2040'!C22+'США 2040'!F22))))</f>
        <v>0.1</v>
      </c>
      <c r="D22" s="7">
        <v>0</v>
      </c>
      <c r="E22" s="7">
        <v>0</v>
      </c>
      <c r="F22" s="7">
        <v>0</v>
      </c>
      <c r="G22" s="7">
        <v>0</v>
      </c>
      <c r="H22" s="3">
        <v>0</v>
      </c>
      <c r="I22" s="3">
        <f>MAX(1,MIN(10,B22+D22+E22+H22))</f>
        <v>10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 t="s">
        <v>306</v>
      </c>
      <c r="V22" s="7">
        <f>'США 2040'!V22</f>
        <v>4</v>
      </c>
      <c r="W22" s="3" t="str">
        <f t="shared" si="2"/>
        <v>Стратегический союз</v>
      </c>
      <c r="X22" s="3" t="s">
        <v>307</v>
      </c>
    </row>
    <row r="23" spans="1:24" ht="55.2">
      <c r="A23" s="3" t="s">
        <v>308</v>
      </c>
      <c r="B23" s="3">
        <f>MAX(1,MIN(10,'США 2040'!B23+'США 2040'!D23+('США 2040'!C23+'США 2040'!F23+'США 2040'!G23)+(0.35*LN(1+0.6*'Ход 2040'!B29)*POWER(MAX(0,1-'США 2040'!I23/10),0.7))))</f>
        <v>10</v>
      </c>
      <c r="C23" s="3">
        <f>MIN(1,'США 2040'!C23+'США 2040'!F23+(0.08*LN(1+0.5*'Ход 2040'!C29)*MAX(0,1-('США 2040'!C23+'США 2040'!F23))))</f>
        <v>0.1</v>
      </c>
      <c r="D23" s="7">
        <v>0</v>
      </c>
      <c r="E23" s="7">
        <v>0</v>
      </c>
      <c r="F23" s="7">
        <v>0</v>
      </c>
      <c r="G23" s="7">
        <v>0</v>
      </c>
      <c r="H23" s="3">
        <v>0</v>
      </c>
      <c r="I23" s="3">
        <f>MAX(1,MIN(10,B23+D23+E23+H23))</f>
        <v>10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 t="s">
        <v>309</v>
      </c>
      <c r="V23" s="7">
        <f>'США 2040'!V23</f>
        <v>0.8</v>
      </c>
      <c r="W23" s="3" t="str">
        <f t="shared" si="2"/>
        <v>Сотрудничество</v>
      </c>
      <c r="X23" s="3" t="s">
        <v>310</v>
      </c>
    </row>
    <row r="24" spans="1:24" ht="41.4">
      <c r="A24" s="6" t="s">
        <v>311</v>
      </c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 t="s">
        <v>312</v>
      </c>
      <c r="V24" s="7">
        <f>'США 2040'!V24</f>
        <v>3</v>
      </c>
      <c r="W24" s="3" t="str">
        <f t="shared" si="2"/>
        <v>Стратегическое партнёрство</v>
      </c>
      <c r="X24" s="3" t="s">
        <v>313</v>
      </c>
    </row>
    <row r="25" spans="1:24" ht="41.4">
      <c r="A25" s="3" t="s">
        <v>314</v>
      </c>
      <c r="B25" s="3">
        <f>MAX(1,MIN(10,'США 2040'!B25+'США 2040'!D25+('США 2040'!C25+'США 2040'!F25+'США 2040'!G25)+(0.35*LN(1+0.6*'Ход 2040'!B31)*POWER(MAX(0,1-'США 2040'!I25/10),0.7))))</f>
        <v>10</v>
      </c>
      <c r="C25" s="3">
        <f>MIN(1,'США 2040'!C25+'США 2040'!F25+(0.08*LN(1+0.5*'Ход 2040'!C31)*MAX(0,1-('США 2040'!C25+'США 2040'!F25))))</f>
        <v>0.15</v>
      </c>
      <c r="D25" s="7">
        <v>0</v>
      </c>
      <c r="E25" s="7">
        <v>0</v>
      </c>
      <c r="F25" s="7">
        <v>0</v>
      </c>
      <c r="G25" s="7">
        <v>0</v>
      </c>
      <c r="H25" s="3">
        <v>0</v>
      </c>
      <c r="I25" s="3">
        <f t="shared" ref="I25:I32" si="3">MAX(1,MIN(10,B25+D25+E25+H25))</f>
        <v>10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 t="s">
        <v>315</v>
      </c>
      <c r="V25" s="7">
        <f>'США 2040'!V25</f>
        <v>2.6</v>
      </c>
      <c r="W25" s="3" t="str">
        <f t="shared" si="2"/>
        <v>Стратегическое партнёрство</v>
      </c>
      <c r="X25" s="3" t="s">
        <v>316</v>
      </c>
    </row>
    <row r="26" spans="1:24" ht="27.6">
      <c r="A26" s="3" t="s">
        <v>317</v>
      </c>
      <c r="B26" s="3">
        <f>MAX(1,MIN(10,'США 2040'!B26+'США 2040'!D26+('США 2040'!C26+'США 2040'!F26+'США 2040'!G26)+(0.35*LN(1+0.6*'Ход 2040'!B32)*POWER(MAX(0,1-'США 2040'!I26/10),0.7))))</f>
        <v>10</v>
      </c>
      <c r="C26" s="3">
        <f>MIN(1,'США 2040'!C26+'США 2040'!F26+(0.08*LN(1+0.5*'Ход 2040'!C32)*MAX(0,1-('США 2040'!C26+'США 2040'!F26))))</f>
        <v>0.2</v>
      </c>
      <c r="D26" s="7">
        <v>0</v>
      </c>
      <c r="E26" s="7">
        <v>0</v>
      </c>
      <c r="F26" s="7">
        <v>0</v>
      </c>
      <c r="G26" s="7">
        <v>0</v>
      </c>
      <c r="H26" s="3">
        <v>0</v>
      </c>
      <c r="I26" s="3">
        <f t="shared" si="3"/>
        <v>10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318</v>
      </c>
      <c r="V26" s="7">
        <f>'США 2040'!V26</f>
        <v>0</v>
      </c>
      <c r="W26" s="3" t="str">
        <f t="shared" si="2"/>
        <v>Нейтралитет</v>
      </c>
      <c r="X26" s="3" t="s">
        <v>319</v>
      </c>
    </row>
    <row r="27" spans="1:24" ht="27.6">
      <c r="A27" s="3" t="s">
        <v>320</v>
      </c>
      <c r="B27" s="3">
        <f>MAX(1,MIN(10,'США 2040'!B27+'США 2040'!D27+('США 2040'!C27+'США 2040'!F27+'США 2040'!G27)+(0.35*LN(1+0.6*'Ход 2040'!B33)*POWER(MAX(0,1-'США 2040'!I27/10),0.7))))</f>
        <v>10</v>
      </c>
      <c r="C27" s="3">
        <f>MIN(1,'США 2040'!C27+'США 2040'!F27+(0.08*LN(1+0.5*'Ход 2040'!C33)*MAX(0,1-('США 2040'!C27+'США 2040'!F27))))</f>
        <v>0.15</v>
      </c>
      <c r="D27" s="7">
        <v>0</v>
      </c>
      <c r="E27" s="7">
        <v>0</v>
      </c>
      <c r="F27" s="7">
        <v>0</v>
      </c>
      <c r="G27" s="7">
        <v>0</v>
      </c>
      <c r="H27" s="3">
        <v>0</v>
      </c>
      <c r="I27" s="3">
        <f t="shared" si="3"/>
        <v>10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A28" s="3" t="s">
        <v>321</v>
      </c>
      <c r="B28" s="3">
        <f>MAX(1,MIN(10,'США 2040'!B28+'США 2040'!D28+('США 2040'!C28+'США 2040'!F28+'США 2040'!G28)+(0.35*LN(1+0.6*'Ход 2040'!B34)*POWER(MAX(0,1-'США 2040'!I28/10),0.7))))</f>
        <v>10</v>
      </c>
      <c r="C28" s="3">
        <f>MIN(1,'США 2040'!C28+'США 2040'!F28+(0.08*LN(1+0.5*'Ход 2040'!C34)*MAX(0,1-('США 2040'!C28+'США 2040'!F28))))</f>
        <v>0.15</v>
      </c>
      <c r="D28" s="7">
        <v>0</v>
      </c>
      <c r="E28" s="7">
        <v>0</v>
      </c>
      <c r="F28" s="7">
        <v>0</v>
      </c>
      <c r="G28" s="7">
        <v>0</v>
      </c>
      <c r="H28" s="3">
        <v>0</v>
      </c>
      <c r="I28" s="3">
        <f t="shared" si="3"/>
        <v>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A29" s="3" t="s">
        <v>322</v>
      </c>
      <c r="B29" s="3">
        <f>MAX(1,MIN(10,'США 2040'!B29+'США 2040'!D29+('США 2040'!C29+'США 2040'!F29+'США 2040'!G29)+(0.35*LN(1+0.6*'Ход 2040'!B35)*POWER(MAX(0,1-'США 2040'!I29/10),0.7))))</f>
        <v>10</v>
      </c>
      <c r="C29" s="3">
        <f>MIN(1,'США 2040'!C29+'США 2040'!F29+(0.08*LN(1+0.5*'Ход 2040'!C35)*MAX(0,1-('США 2040'!C29+'США 2040'!F29))))</f>
        <v>0.25</v>
      </c>
      <c r="D29" s="7">
        <v>0</v>
      </c>
      <c r="E29" s="7">
        <v>0</v>
      </c>
      <c r="F29" s="7">
        <v>0</v>
      </c>
      <c r="G29" s="7">
        <v>0</v>
      </c>
      <c r="H29" s="3">
        <v>0</v>
      </c>
      <c r="I29" s="3">
        <f t="shared" si="3"/>
        <v>10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A30" s="3" t="s">
        <v>323</v>
      </c>
      <c r="B30" s="3">
        <f>MAX(1,MIN(10,'США 2040'!B30+'США 2040'!D30+('США 2040'!C30+'США 2040'!F30+'США 2040'!G30)+(0.35*LN(1+0.6*'Ход 2040'!B36)*POWER(MAX(0,1-'США 2040'!I30/10),0.7))))</f>
        <v>10</v>
      </c>
      <c r="C30" s="3">
        <f>MIN(1,'США 2040'!C30+'США 2040'!F30+(0.08*LN(1+0.5*'Ход 2040'!C36)*MAX(0,1-('США 2040'!C30+'США 2040'!F30))))</f>
        <v>0.15</v>
      </c>
      <c r="D30" s="7">
        <v>0</v>
      </c>
      <c r="E30" s="7">
        <v>0</v>
      </c>
      <c r="F30" s="7">
        <v>0</v>
      </c>
      <c r="G30" s="7">
        <v>0</v>
      </c>
      <c r="H30" s="3">
        <v>0</v>
      </c>
      <c r="I30" s="3">
        <f t="shared" si="3"/>
        <v>10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7.6">
      <c r="A31" s="3" t="s">
        <v>324</v>
      </c>
      <c r="B31" s="3">
        <f>MAX(1,MIN(10,'США 2040'!B31+'США 2040'!D31+('США 2040'!C31+'США 2040'!F31+'США 2040'!G31)+(0.35*LN(1+0.6*'Ход 2040'!B37)*POWER(MAX(0,1-'США 2040'!I31/10),0.7))))</f>
        <v>9.4999999999999947</v>
      </c>
      <c r="C31" s="3">
        <f>MIN(1,'США 2040'!C31+'США 2040'!F31+(0.08*LN(1+0.5*'Ход 2040'!C37)*MAX(0,1-('США 2040'!C31+'США 2040'!F31))))</f>
        <v>0.1</v>
      </c>
      <c r="D31" s="7">
        <v>0</v>
      </c>
      <c r="E31" s="7">
        <v>0</v>
      </c>
      <c r="F31" s="7">
        <v>0</v>
      </c>
      <c r="G31" s="7">
        <v>0</v>
      </c>
      <c r="H31" s="3">
        <v>0</v>
      </c>
      <c r="I31" s="3">
        <f t="shared" si="3"/>
        <v>9.4999999999999947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A32" s="3" t="s">
        <v>325</v>
      </c>
      <c r="B32" s="3">
        <f>MAX(1,MIN(10,'США 2040'!B32+'США 2040'!D32+('США 2040'!C32+'США 2040'!F32+'США 2040'!G32)+(0.35*LN(1+0.6*'Ход 2040'!B38)*POWER(MAX(0,1-'США 2040'!I32/10),0.7))))</f>
        <v>9.9999999999999947</v>
      </c>
      <c r="C32" s="3">
        <f>MIN(1,'США 2040'!C32+'США 2040'!F32+(0.08*LN(1+0.5*'Ход 2040'!C38)*MAX(0,1-('США 2040'!C32+'США 2040'!F32))))</f>
        <v>0.1</v>
      </c>
      <c r="D32" s="7">
        <v>0</v>
      </c>
      <c r="E32" s="7">
        <v>0</v>
      </c>
      <c r="F32" s="7">
        <v>0</v>
      </c>
      <c r="G32" s="7">
        <v>0</v>
      </c>
      <c r="H32" s="3">
        <v>0</v>
      </c>
      <c r="I32" s="3">
        <f t="shared" si="3"/>
        <v>9.9999999999999947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7.6">
      <c r="A33" s="6" t="s">
        <v>326</v>
      </c>
      <c r="B33" s="6"/>
      <c r="C33" s="6"/>
      <c r="D33" s="6"/>
      <c r="E33" s="6"/>
      <c r="F33" s="6"/>
      <c r="G33" s="6"/>
      <c r="H33" s="6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7.6">
      <c r="A34" s="3" t="s">
        <v>327</v>
      </c>
      <c r="B34" s="3">
        <f>MAX(1,MIN(10,'США 2040'!B34+'США 2040'!D34+('США 2040'!C34+'США 2040'!F34+'США 2040'!G34)+(0.35*LN(1+0.6*'Ход 2040'!B40)*POWER(MAX(0,1-'США 2040'!I34/10),0.7))))</f>
        <v>9.4999999999999947</v>
      </c>
      <c r="C34" s="3">
        <f>MIN(1,'США 2040'!C34+'США 2040'!F34+(0.08*LN(1+0.5*'Ход 2040'!C40)*MAX(0,1-('США 2040'!C34+'США 2040'!F34))))</f>
        <v>0.1</v>
      </c>
      <c r="D34" s="7">
        <v>0</v>
      </c>
      <c r="E34" s="7">
        <v>0</v>
      </c>
      <c r="F34" s="7">
        <v>0</v>
      </c>
      <c r="G34" s="7">
        <v>0</v>
      </c>
      <c r="H34" s="3">
        <v>0</v>
      </c>
      <c r="I34" s="3">
        <f t="shared" ref="I34:I42" si="4">MAX(1,MIN(10,B34+D34+E34+H34))</f>
        <v>9.4999999999999947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>
      <c r="A35" s="3" t="s">
        <v>328</v>
      </c>
      <c r="B35" s="3">
        <f>MAX(1,MIN(10,'США 2040'!B35+'США 2040'!D35+('США 2040'!C35+'США 2040'!F35+'США 2040'!G35)+(0.35*LN(1+0.6*'Ход 2040'!B41)*POWER(MAX(0,1-'США 2040'!I35/10),0.7))))</f>
        <v>10</v>
      </c>
      <c r="C35" s="3">
        <f>MIN(1,'США 2040'!C35+'США 2040'!F35+(0.08*LN(1+0.5*'Ход 2040'!C41)*MAX(0,1-('США 2040'!C35+'США 2040'!F35))))</f>
        <v>0.05</v>
      </c>
      <c r="D35" s="7">
        <v>0</v>
      </c>
      <c r="E35" s="7">
        <v>0</v>
      </c>
      <c r="F35" s="7">
        <v>0</v>
      </c>
      <c r="G35" s="7">
        <v>0</v>
      </c>
      <c r="H35" s="3">
        <v>0</v>
      </c>
      <c r="I35" s="3">
        <f t="shared" si="4"/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>
      <c r="A36" s="3" t="s">
        <v>329</v>
      </c>
      <c r="B36" s="3">
        <f>MAX(1,MIN(10,'США 2040'!B36+'США 2040'!D36+('США 2040'!C36+'США 2040'!F36+'США 2040'!G36)+(0.35*LN(1+0.6*'Ход 2040'!B42)*POWER(MAX(0,1-'США 2040'!I36/10),0.7))))</f>
        <v>10</v>
      </c>
      <c r="C36" s="3">
        <f>MIN(1,'США 2040'!C36+'США 2040'!F36+(0.08*LN(1+0.5*'Ход 2040'!C42)*MAX(0,1-('США 2040'!C36+'США 2040'!F36))))</f>
        <v>0.15</v>
      </c>
      <c r="D36" s="7">
        <v>0</v>
      </c>
      <c r="E36" s="7">
        <v>0</v>
      </c>
      <c r="F36" s="7">
        <v>0</v>
      </c>
      <c r="G36" s="7">
        <v>0</v>
      </c>
      <c r="H36" s="3">
        <v>0</v>
      </c>
      <c r="I36" s="3">
        <f t="shared" si="4"/>
        <v>10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>
      <c r="A37" s="3" t="s">
        <v>330</v>
      </c>
      <c r="B37" s="3">
        <f>MAX(1,MIN(10,'США 2040'!B37+'США 2040'!D37+('США 2040'!C37+'США 2040'!F37+'США 2040'!G37)+(0.35*LN(1+0.6*'Ход 2040'!B43)*POWER(MAX(0,1-'США 2040'!I37/10),0.7))))</f>
        <v>10</v>
      </c>
      <c r="C37" s="3">
        <f>MIN(1,'США 2040'!C37+'США 2040'!F37+(0.08*LN(1+0.5*'Ход 2040'!C43)*MAX(0,1-('США 2040'!C37+'США 2040'!F37))))</f>
        <v>0.2</v>
      </c>
      <c r="D37" s="7">
        <v>0</v>
      </c>
      <c r="E37" s="7">
        <v>0</v>
      </c>
      <c r="F37" s="7">
        <v>0</v>
      </c>
      <c r="G37" s="7">
        <v>0</v>
      </c>
      <c r="H37" s="3">
        <v>0</v>
      </c>
      <c r="I37" s="3">
        <f t="shared" si="4"/>
        <v>10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7.6">
      <c r="A38" s="3" t="s">
        <v>331</v>
      </c>
      <c r="B38" s="3">
        <f>MAX(1,MIN(10,'США 2040'!B38+'США 2040'!D38+('США 2040'!C38+'США 2040'!F38+'США 2040'!G38)+(0.35*LN(1+0.6*'Ход 2040'!B44)*POWER(MAX(0,1-'США 2040'!I38/10),0.7))))</f>
        <v>10</v>
      </c>
      <c r="C38" s="3">
        <f>MIN(1,'США 2040'!C38+'США 2040'!F38+(0.08*LN(1+0.5*'Ход 2040'!C44)*MAX(0,1-('США 2040'!C38+'США 2040'!F38))))</f>
        <v>0.2</v>
      </c>
      <c r="D38" s="7">
        <v>0</v>
      </c>
      <c r="E38" s="7">
        <v>0</v>
      </c>
      <c r="F38" s="7">
        <v>0</v>
      </c>
      <c r="G38" s="7">
        <v>0</v>
      </c>
      <c r="H38" s="3">
        <v>0</v>
      </c>
      <c r="I38" s="3">
        <f t="shared" si="4"/>
        <v>10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7.6">
      <c r="A39" s="3" t="s">
        <v>332</v>
      </c>
      <c r="B39" s="3">
        <f>MAX(1,MIN(10,'США 2040'!B39+'США 2040'!D39+('США 2040'!C39+'США 2040'!F39+'США 2040'!G39)+(0.35*LN(1+0.6*'Ход 2040'!B45)*POWER(MAX(0,1-'США 2040'!I39/10),0.7))))</f>
        <v>10</v>
      </c>
      <c r="C39" s="3">
        <f>MIN(1,'США 2040'!C39+'США 2040'!F39+(0.08*LN(1+0.5*'Ход 2040'!C45)*MAX(0,1-('США 2040'!C39+'США 2040'!F39))))</f>
        <v>0.15</v>
      </c>
      <c r="D39" s="7">
        <v>0</v>
      </c>
      <c r="E39" s="7">
        <v>0</v>
      </c>
      <c r="F39" s="7">
        <v>0</v>
      </c>
      <c r="G39" s="7">
        <v>0</v>
      </c>
      <c r="H39" s="3">
        <v>0</v>
      </c>
      <c r="I39" s="3">
        <f t="shared" si="4"/>
        <v>10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>
      <c r="A40" s="3" t="s">
        <v>333</v>
      </c>
      <c r="B40" s="3">
        <f>MAX(1,MIN(10,'США 2040'!B40+'США 2040'!D40+('США 2040'!C40+'США 2040'!F40+'США 2040'!G40)+(0.35*LN(1+0.6*'Ход 2040'!B46)*POWER(MAX(0,1-'США 2040'!I40/10),0.7))))</f>
        <v>9.7500000000000107</v>
      </c>
      <c r="C40" s="3">
        <f>MIN(1,'США 2040'!C40+'США 2040'!F40+(0.08*LN(1+0.5*'Ход 2040'!C46)*MAX(0,1-('США 2040'!C40+'США 2040'!F40))))</f>
        <v>0.05</v>
      </c>
      <c r="D40" s="7">
        <v>0</v>
      </c>
      <c r="E40" s="7">
        <v>0</v>
      </c>
      <c r="F40" s="7">
        <v>0</v>
      </c>
      <c r="G40" s="7">
        <v>0</v>
      </c>
      <c r="H40" s="3">
        <v>0</v>
      </c>
      <c r="I40" s="3">
        <f t="shared" si="4"/>
        <v>9.7500000000000107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7.6">
      <c r="A41" s="3" t="s">
        <v>334</v>
      </c>
      <c r="B41" s="3">
        <f>MAX(1,MIN(10,'США 2040'!B41+'США 2040'!D41+('США 2040'!C41+'США 2040'!F41+'США 2040'!G41)+(0.35*LN(1+0.6*'Ход 2040'!B47)*POWER(MAX(0,1-'США 2040'!I41/10),0.7))))</f>
        <v>10</v>
      </c>
      <c r="C41" s="3">
        <f>MIN(1,'США 2040'!C41+'США 2040'!F41+(0.08*LN(1+0.5*'Ход 2040'!C47)*MAX(0,1-('США 2040'!C41+'США 2040'!F41))))</f>
        <v>0.05</v>
      </c>
      <c r="D41" s="7">
        <v>0</v>
      </c>
      <c r="E41" s="7">
        <v>0</v>
      </c>
      <c r="F41" s="7">
        <v>0</v>
      </c>
      <c r="G41" s="7">
        <v>0</v>
      </c>
      <c r="H41" s="3">
        <v>0</v>
      </c>
      <c r="I41" s="3">
        <f t="shared" si="4"/>
        <v>10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>
      <c r="A42" s="3" t="s">
        <v>335</v>
      </c>
      <c r="B42" s="3">
        <f>MAX(1,MIN(10,'США 2040'!B42+'США 2040'!D42+('США 2040'!C42+'США 2040'!F42+'США 2040'!G42)+(0.35*LN(1+0.6*'Ход 2040'!B48)*POWER(MAX(0,1-'США 2040'!I42/10),0.7))))</f>
        <v>10</v>
      </c>
      <c r="C42" s="3">
        <f>MIN(1,'США 2040'!C42+'США 2040'!F42+(0.08*LN(1+0.5*'Ход 2040'!C48)*MAX(0,1-('США 2040'!C42+'США 2040'!F42))))</f>
        <v>0.1</v>
      </c>
      <c r="D42" s="7">
        <v>0</v>
      </c>
      <c r="E42" s="7">
        <v>0</v>
      </c>
      <c r="F42" s="7">
        <v>0</v>
      </c>
      <c r="G42" s="7">
        <v>0</v>
      </c>
      <c r="H42" s="3">
        <v>0</v>
      </c>
      <c r="I42" s="3">
        <f t="shared" si="4"/>
        <v>10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7.6">
      <c r="A43" s="6" t="s">
        <v>336</v>
      </c>
      <c r="B43" s="6"/>
      <c r="C43" s="6"/>
      <c r="D43" s="6"/>
      <c r="E43" s="6"/>
      <c r="F43" s="6"/>
      <c r="G43" s="6"/>
      <c r="H43" s="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>
      <c r="A44" s="3" t="s">
        <v>337</v>
      </c>
      <c r="B44" s="3">
        <f>MAX(1,MIN(10,'США 2040'!B44+'США 2040'!D44+('США 2040'!C44+'США 2040'!F44+'США 2040'!G44)+(0.35*LN(1+0.6*'Ход 2040'!B50)*POWER(MAX(0,1-'США 2040'!I44/10),0.7))))</f>
        <v>9.4999999999999947</v>
      </c>
      <c r="C44" s="3">
        <f>MIN(1,'США 2040'!C44+'США 2040'!F44+(0.08*LN(1+0.5*'Ход 2040'!C50)*MAX(0,1-('США 2040'!C44+'США 2040'!F44))))</f>
        <v>0.1</v>
      </c>
      <c r="D44" s="7">
        <v>0</v>
      </c>
      <c r="E44" s="7">
        <v>0</v>
      </c>
      <c r="F44" s="7">
        <v>0</v>
      </c>
      <c r="G44" s="7">
        <v>0</v>
      </c>
      <c r="H44" s="3">
        <v>0</v>
      </c>
      <c r="I44" s="3">
        <f t="shared" ref="I44:I51" si="5">MAX(1,MIN(10,B44+D44+E44+H44))</f>
        <v>9.4999999999999947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>
      <c r="A45" s="3" t="s">
        <v>338</v>
      </c>
      <c r="B45" s="3">
        <f>MAX(1,MIN(10,'США 2040'!B45+'США 2040'!D45+('США 2040'!C45+'США 2040'!F45+'США 2040'!G45)+(0.35*LN(1+0.6*'Ход 2040'!B51)*POWER(MAX(0,1-'США 2040'!I45/10),0.7))))</f>
        <v>10</v>
      </c>
      <c r="C45" s="3">
        <f>MIN(1,'США 2040'!C45+'США 2040'!F45+(0.08*LN(1+0.5*'Ход 2040'!C51)*MAX(0,1-('США 2040'!C45+'США 2040'!F45))))</f>
        <v>0.2</v>
      </c>
      <c r="D45" s="7">
        <v>0</v>
      </c>
      <c r="E45" s="7">
        <v>0</v>
      </c>
      <c r="F45" s="7">
        <v>0</v>
      </c>
      <c r="G45" s="7">
        <v>0</v>
      </c>
      <c r="H45" s="3">
        <v>0</v>
      </c>
      <c r="I45" s="3">
        <f t="shared" si="5"/>
        <v>10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>
      <c r="A46" s="3" t="s">
        <v>339</v>
      </c>
      <c r="B46" s="3">
        <f>MAX(1,MIN(10,'США 2040'!B46+'США 2040'!D46+('США 2040'!C46+'США 2040'!F46+'США 2040'!G46)+(0.35*LN(1+0.6*'Ход 2040'!B52)*POWER(MAX(0,1-'США 2040'!I46/10),0.7))))</f>
        <v>9.9999999999999947</v>
      </c>
      <c r="C46" s="3">
        <f>MIN(1,'США 2040'!C46+'США 2040'!F46+(0.08*LN(1+0.5*'Ход 2040'!C52)*MAX(0,1-('США 2040'!C46+'США 2040'!F46))))</f>
        <v>0.1</v>
      </c>
      <c r="D46" s="7">
        <v>0</v>
      </c>
      <c r="E46" s="7">
        <v>0</v>
      </c>
      <c r="F46" s="7">
        <v>0</v>
      </c>
      <c r="G46" s="7">
        <v>0</v>
      </c>
      <c r="H46" s="3">
        <v>0</v>
      </c>
      <c r="I46" s="3">
        <f t="shared" si="5"/>
        <v>9.9999999999999947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>
      <c r="A47" s="3" t="s">
        <v>340</v>
      </c>
      <c r="B47" s="3">
        <f>MAX(1,MIN(10,'США 2040'!B47+'США 2040'!D47+('США 2040'!C47+'США 2040'!F47+'США 2040'!G47)+(0.35*LN(1+0.6*'Ход 2040'!B53)*POWER(MAX(0,1-'США 2040'!I47/10),0.7))))</f>
        <v>5.5000000000000053</v>
      </c>
      <c r="C47" s="3">
        <f>MIN(1,'США 2040'!C47+'США 2040'!F47+(0.08*LN(1+0.5*'Ход 2040'!C53)*MAX(0,1-('США 2040'!C47+'США 2040'!F47))))</f>
        <v>-0.1</v>
      </c>
      <c r="D47" s="7">
        <v>0</v>
      </c>
      <c r="E47" s="7">
        <v>0</v>
      </c>
      <c r="F47" s="7">
        <v>0</v>
      </c>
      <c r="G47" s="7">
        <v>0</v>
      </c>
      <c r="H47" s="3">
        <v>0</v>
      </c>
      <c r="I47" s="3">
        <f t="shared" si="5"/>
        <v>5.5000000000000053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>
      <c r="A48" s="3" t="s">
        <v>341</v>
      </c>
      <c r="B48" s="3">
        <f>MAX(1,MIN(10,'США 2040'!B48+'США 2040'!D48+('США 2040'!C48+'США 2040'!F48+'США 2040'!G48)+(0.35*LN(1+0.6*'Ход 2040'!B54)*POWER(MAX(0,1-'США 2040'!I48/10),0.7))))</f>
        <v>6.2499999999999973</v>
      </c>
      <c r="C48" s="3">
        <f>MIN(1,'США 2040'!C48+'США 2040'!F48+(0.08*LN(1+0.5*'Ход 2040'!C54)*MAX(0,1-('США 2040'!C48+'США 2040'!F48))))</f>
        <v>0.05</v>
      </c>
      <c r="D48" s="7">
        <v>0</v>
      </c>
      <c r="E48" s="7">
        <v>0</v>
      </c>
      <c r="F48" s="7">
        <v>0</v>
      </c>
      <c r="G48" s="7">
        <v>0</v>
      </c>
      <c r="H48" s="3">
        <v>0</v>
      </c>
      <c r="I48" s="3">
        <f t="shared" si="5"/>
        <v>6.2499999999999973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7.6">
      <c r="A49" s="3" t="s">
        <v>342</v>
      </c>
      <c r="B49" s="3">
        <f>MAX(1,MIN(10,'США 2040'!B49+'США 2040'!D49+('США 2040'!C49+'США 2040'!F49+'США 2040'!G49)+(0.35*LN(1+0.6*'Ход 2040'!B55)*POWER(MAX(0,1-'США 2040'!I49/10),0.7))))</f>
        <v>10</v>
      </c>
      <c r="C49" s="3">
        <f>MIN(1,'США 2040'!C49+'США 2040'!F49+(0.08*LN(1+0.5*'Ход 2040'!C55)*MAX(0,1-('США 2040'!C49+'США 2040'!F49))))</f>
        <v>0.25</v>
      </c>
      <c r="D49" s="7">
        <v>0</v>
      </c>
      <c r="E49" s="7">
        <v>0</v>
      </c>
      <c r="F49" s="7">
        <v>0</v>
      </c>
      <c r="G49" s="7">
        <v>0</v>
      </c>
      <c r="H49" s="3">
        <v>0</v>
      </c>
      <c r="I49" s="3">
        <f t="shared" si="5"/>
        <v>10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7.6">
      <c r="A50" s="3" t="s">
        <v>343</v>
      </c>
      <c r="B50" s="3">
        <f>MAX(1,MIN(10,'США 2040'!B50+'США 2040'!D50+('США 2040'!C50+'США 2040'!F50+'США 2040'!G50)+(0.35*LN(1+0.6*'Ход 2040'!B56)*POWER(MAX(0,1-'США 2040'!I50/10),0.7))))</f>
        <v>10</v>
      </c>
      <c r="C50" s="3">
        <f>MIN(1,'США 2040'!C50+'США 2040'!F50+(0.08*LN(1+0.5*'Ход 2040'!C56)*MAX(0,1-('США 2040'!C50+'США 2040'!F50))))</f>
        <v>0.05</v>
      </c>
      <c r="D50" s="7">
        <v>0</v>
      </c>
      <c r="E50" s="7">
        <v>0</v>
      </c>
      <c r="F50" s="7">
        <v>0</v>
      </c>
      <c r="G50" s="7">
        <v>0</v>
      </c>
      <c r="H50" s="3">
        <v>0</v>
      </c>
      <c r="I50" s="3">
        <f t="shared" si="5"/>
        <v>10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>
      <c r="A51" s="3" t="s">
        <v>344</v>
      </c>
      <c r="B51" s="3">
        <f>MAX(1,MIN(10,'США 2040'!B51+'США 2040'!D51+('США 2040'!C51+'США 2040'!F51+'США 2040'!G51)+(0.35*LN(1+0.6*'Ход 2040'!B57)*POWER(MAX(0,1-'США 2040'!I51/10),0.7))))</f>
        <v>10</v>
      </c>
      <c r="C51" s="3">
        <f>MIN(1,'США 2040'!C51+'США 2040'!F51+(0.08*LN(1+0.5*'Ход 2040'!C57)*MAX(0,1-('США 2040'!C51+'США 2040'!F51))))</f>
        <v>0.2</v>
      </c>
      <c r="D51" s="7">
        <v>0</v>
      </c>
      <c r="E51" s="7">
        <v>0</v>
      </c>
      <c r="F51" s="7">
        <v>0</v>
      </c>
      <c r="G51" s="7">
        <v>0</v>
      </c>
      <c r="H51" s="3">
        <v>0</v>
      </c>
      <c r="I51" s="3">
        <f t="shared" si="5"/>
        <v>10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>
      <c r="A52" s="6" t="s">
        <v>345</v>
      </c>
      <c r="B52" s="6"/>
      <c r="C52" s="6"/>
      <c r="D52" s="6"/>
      <c r="E52" s="6"/>
      <c r="F52" s="6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>
      <c r="A53" s="3" t="s">
        <v>346</v>
      </c>
      <c r="B53" s="3">
        <f>MAX(1,MIN(10,'США 2040'!B53+'США 2040'!D53+('США 2040'!C53+'США 2040'!F53+'США 2040'!G53)+(0.35*LN(1+0.6*'Ход 2040'!B59)*POWER(MAX(0,1-'США 2040'!I53/10),0.7))))</f>
        <v>10</v>
      </c>
      <c r="C53" s="3">
        <f>MIN(1,'США 2040'!C53+'США 2040'!F53+(0.08*LN(1+0.5*'Ход 2040'!C59)*MAX(0,1-('США 2040'!C53+'США 2040'!F53))))</f>
        <v>0.2</v>
      </c>
      <c r="D53" s="7">
        <v>0</v>
      </c>
      <c r="E53" s="7">
        <v>0</v>
      </c>
      <c r="F53" s="7">
        <v>0</v>
      </c>
      <c r="G53" s="7">
        <v>0</v>
      </c>
      <c r="H53" s="3">
        <v>0</v>
      </c>
      <c r="I53" s="3">
        <f>MAX(1,MIN(10,B53+D53+E53+H53))</f>
        <v>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7.6">
      <c r="A54" s="3" t="s">
        <v>347</v>
      </c>
      <c r="B54" s="3">
        <f>MAX(1,MIN(10,'США 2040'!B54+'США 2040'!D54+('США 2040'!C54+'США 2040'!F54+'США 2040'!G54)+(0.35*LN(1+0.6*'Ход 2040'!B60)*POWER(MAX(0,1-'США 2040'!I54/10),0.7))))</f>
        <v>10</v>
      </c>
      <c r="C54" s="3">
        <f>MIN(1,'США 2040'!C54+'США 2040'!F54+(0.08*LN(1+0.5*'Ход 2040'!C60)*MAX(0,1-('США 2040'!C54+'США 2040'!F54))))</f>
        <v>0.1</v>
      </c>
      <c r="D54" s="7">
        <v>0</v>
      </c>
      <c r="E54" s="7">
        <v>0</v>
      </c>
      <c r="F54" s="7">
        <v>0</v>
      </c>
      <c r="G54" s="7">
        <v>0</v>
      </c>
      <c r="H54" s="3">
        <v>0</v>
      </c>
      <c r="I54" s="3">
        <f>MAX(1,MIN(10,B54+D54+E54+H54))</f>
        <v>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7.6">
      <c r="A55" s="3" t="s">
        <v>348</v>
      </c>
      <c r="B55" s="3">
        <f>MAX(1,MIN(10,'США 2040'!B55+'США 2040'!D55+('США 2040'!C55+'США 2040'!F55+'США 2040'!G55)+(0.35*LN(1+0.6*'Ход 2040'!B61)*POWER(MAX(0,1-'США 2040'!I55/10),0.7))))</f>
        <v>9.2500000000000053</v>
      </c>
      <c r="C55" s="3">
        <f>MIN(1,'США 2040'!C55+'США 2040'!F55+(0.08*LN(1+0.5*'Ход 2040'!C61)*MAX(0,1-('США 2040'!C55+'США 2040'!F55))))</f>
        <v>0.15</v>
      </c>
      <c r="D55" s="7">
        <v>0</v>
      </c>
      <c r="E55" s="7">
        <v>0</v>
      </c>
      <c r="F55" s="7">
        <v>0</v>
      </c>
      <c r="G55" s="7">
        <v>0</v>
      </c>
      <c r="H55" s="3">
        <v>0</v>
      </c>
      <c r="I55" s="3">
        <f>MAX(1,MIN(10,B55+D55+E55+H55))</f>
        <v>9.2500000000000053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mergeCells count="13">
    <mergeCell ref="K9:S9"/>
    <mergeCell ref="U9:X9"/>
    <mergeCell ref="A1:X2"/>
    <mergeCell ref="A3:X3"/>
    <mergeCell ref="K5:M5"/>
    <mergeCell ref="K6:M7"/>
    <mergeCell ref="N5:P5"/>
    <mergeCell ref="N6:P7"/>
    <mergeCell ref="Q5:S5"/>
    <mergeCell ref="Q6:S7"/>
    <mergeCell ref="U5:W5"/>
    <mergeCell ref="U6:W7"/>
    <mergeCell ref="A5:I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91"/>
  <sheetViews>
    <sheetView workbookViewId="0"/>
  </sheetViews>
  <sheetFormatPr defaultRowHeight="13.8"/>
  <cols>
    <col min="1" max="1" width="32" customWidth="1"/>
    <col min="2" max="2" width="20" customWidth="1"/>
    <col min="3" max="3" width="38" customWidth="1"/>
    <col min="4" max="4" width="70" customWidth="1"/>
  </cols>
  <sheetData>
    <row r="1" spans="1:4" ht="17.399999999999999">
      <c r="A1" s="21" t="s">
        <v>408</v>
      </c>
      <c r="B1" s="21"/>
      <c r="C1" s="21"/>
      <c r="D1" s="21"/>
    </row>
    <row r="2" spans="1:4">
      <c r="A2" s="3"/>
      <c r="B2" s="3"/>
      <c r="C2" s="3"/>
      <c r="D2" s="3"/>
    </row>
    <row r="3" spans="1:4">
      <c r="A3" s="20" t="s">
        <v>409</v>
      </c>
      <c r="B3" s="20"/>
      <c r="C3" s="20"/>
      <c r="D3" s="20"/>
    </row>
    <row r="4" spans="1:4">
      <c r="A4" s="3"/>
      <c r="B4" s="3"/>
      <c r="C4" s="3"/>
      <c r="D4" s="3"/>
    </row>
    <row r="5" spans="1:4" ht="27.6">
      <c r="A5" s="9" t="s">
        <v>410</v>
      </c>
      <c r="B5" s="9" t="s">
        <v>411</v>
      </c>
      <c r="C5" s="9" t="s">
        <v>412</v>
      </c>
      <c r="D5" s="9" t="s">
        <v>413</v>
      </c>
    </row>
    <row r="6" spans="1:4" ht="124.2">
      <c r="A6" s="3" t="s">
        <v>414</v>
      </c>
      <c r="B6" s="3" t="s">
        <v>415</v>
      </c>
      <c r="C6" s="3" t="s">
        <v>416</v>
      </c>
      <c r="D6" s="3" t="s">
        <v>417</v>
      </c>
    </row>
    <row r="7" spans="1:4" ht="138">
      <c r="A7" s="3" t="s">
        <v>418</v>
      </c>
      <c r="B7" s="3" t="s">
        <v>419</v>
      </c>
      <c r="C7" s="3" t="s">
        <v>420</v>
      </c>
      <c r="D7" s="3" t="s">
        <v>421</v>
      </c>
    </row>
    <row r="8" spans="1:4" ht="96.6">
      <c r="A8" s="3" t="s">
        <v>422</v>
      </c>
      <c r="B8" s="3" t="s">
        <v>423</v>
      </c>
      <c r="C8" s="3" t="s">
        <v>424</v>
      </c>
      <c r="D8" s="3" t="s">
        <v>425</v>
      </c>
    </row>
    <row r="9" spans="1:4" ht="82.8">
      <c r="A9" s="3" t="s">
        <v>426</v>
      </c>
      <c r="B9" s="3" t="s">
        <v>427</v>
      </c>
      <c r="C9" s="3" t="s">
        <v>428</v>
      </c>
      <c r="D9" s="3" t="s">
        <v>429</v>
      </c>
    </row>
    <row r="10" spans="1:4" ht="96.6">
      <c r="A10" s="3" t="s">
        <v>430</v>
      </c>
      <c r="B10" s="3" t="s">
        <v>431</v>
      </c>
      <c r="C10" s="3" t="s">
        <v>432</v>
      </c>
      <c r="D10" s="3" t="s">
        <v>433</v>
      </c>
    </row>
    <row r="11" spans="1:4" ht="41.4">
      <c r="A11" s="3" t="s">
        <v>278</v>
      </c>
      <c r="B11" s="3" t="s">
        <v>434</v>
      </c>
      <c r="C11" s="3" t="s">
        <v>435</v>
      </c>
      <c r="D11" s="3" t="s">
        <v>436</v>
      </c>
    </row>
    <row r="12" spans="1:4" ht="55.2">
      <c r="A12" s="3" t="s">
        <v>290</v>
      </c>
      <c r="B12" s="3" t="s">
        <v>437</v>
      </c>
      <c r="C12" s="3" t="s">
        <v>438</v>
      </c>
      <c r="D12" s="3" t="s">
        <v>439</v>
      </c>
    </row>
    <row r="13" spans="1:4" ht="41.4">
      <c r="A13" s="3" t="s">
        <v>294</v>
      </c>
      <c r="B13" s="3" t="s">
        <v>440</v>
      </c>
      <c r="C13" s="3" t="s">
        <v>441</v>
      </c>
      <c r="D13" s="3" t="s">
        <v>442</v>
      </c>
    </row>
    <row r="14" spans="1:4" ht="96.6">
      <c r="A14" s="3" t="s">
        <v>274</v>
      </c>
      <c r="B14" s="3" t="s">
        <v>443</v>
      </c>
      <c r="C14" s="3" t="s">
        <v>444</v>
      </c>
      <c r="D14" s="3" t="s">
        <v>445</v>
      </c>
    </row>
    <row r="15" spans="1:4" ht="96.6">
      <c r="A15" s="3" t="s">
        <v>300</v>
      </c>
      <c r="B15" s="3" t="s">
        <v>446</v>
      </c>
      <c r="C15" s="3" t="s">
        <v>447</v>
      </c>
      <c r="D15" s="3" t="s">
        <v>448</v>
      </c>
    </row>
    <row r="16" spans="1:4" ht="69">
      <c r="A16" s="3" t="s">
        <v>306</v>
      </c>
      <c r="B16" s="3" t="s">
        <v>449</v>
      </c>
      <c r="C16" s="3" t="s">
        <v>450</v>
      </c>
      <c r="D16" s="3" t="s">
        <v>451</v>
      </c>
    </row>
    <row r="17" spans="1:4" ht="69">
      <c r="A17" s="3" t="s">
        <v>315</v>
      </c>
      <c r="B17" s="3" t="s">
        <v>452</v>
      </c>
      <c r="C17" s="3" t="s">
        <v>453</v>
      </c>
      <c r="D17" s="3" t="s">
        <v>454</v>
      </c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9" t="s">
        <v>455</v>
      </c>
      <c r="B20" s="9" t="s">
        <v>456</v>
      </c>
      <c r="C20" s="9" t="s">
        <v>457</v>
      </c>
      <c r="D20" s="3"/>
    </row>
    <row r="21" spans="1:4">
      <c r="A21" s="3" t="s">
        <v>254</v>
      </c>
      <c r="B21" s="3">
        <v>7.5</v>
      </c>
      <c r="C21" s="3">
        <v>0.1</v>
      </c>
      <c r="D21" s="3"/>
    </row>
    <row r="22" spans="1:4" ht="27.6">
      <c r="A22" s="3" t="s">
        <v>255</v>
      </c>
      <c r="B22" s="3">
        <v>8.5</v>
      </c>
      <c r="C22" s="3">
        <v>0.2</v>
      </c>
      <c r="D22" s="3"/>
    </row>
    <row r="23" spans="1:4">
      <c r="A23" s="3" t="s">
        <v>258</v>
      </c>
      <c r="B23" s="3">
        <v>9</v>
      </c>
      <c r="C23" s="3">
        <v>0.15</v>
      </c>
      <c r="D23" s="3"/>
    </row>
    <row r="24" spans="1:4">
      <c r="A24" s="3" t="s">
        <v>264</v>
      </c>
      <c r="B24" s="3">
        <v>7.5</v>
      </c>
      <c r="C24" s="3">
        <v>0.1</v>
      </c>
      <c r="D24" s="3"/>
    </row>
    <row r="25" spans="1:4" ht="27.6">
      <c r="A25" s="3" t="s">
        <v>268</v>
      </c>
      <c r="B25" s="3">
        <v>9</v>
      </c>
      <c r="C25" s="3">
        <v>0.05</v>
      </c>
      <c r="D25" s="3"/>
    </row>
    <row r="26" spans="1:4" ht="27.6">
      <c r="A26" s="3" t="s">
        <v>272</v>
      </c>
      <c r="B26" s="3">
        <v>7</v>
      </c>
      <c r="C26" s="3">
        <v>0.45</v>
      </c>
      <c r="D26" s="3"/>
    </row>
    <row r="27" spans="1:4">
      <c r="A27" s="3" t="s">
        <v>276</v>
      </c>
      <c r="B27" s="3">
        <v>9.5</v>
      </c>
      <c r="C27" s="3">
        <v>0.2</v>
      </c>
      <c r="D27" s="3"/>
    </row>
    <row r="28" spans="1:4" ht="27.6">
      <c r="A28" s="3" t="s">
        <v>280</v>
      </c>
      <c r="B28" s="3">
        <v>10</v>
      </c>
      <c r="C28" s="3">
        <v>0.3</v>
      </c>
      <c r="D28" s="3"/>
    </row>
    <row r="29" spans="1:4">
      <c r="A29" s="3" t="s">
        <v>284</v>
      </c>
      <c r="B29" s="3">
        <v>9</v>
      </c>
      <c r="C29" s="3">
        <v>0.15</v>
      </c>
      <c r="D29" s="3"/>
    </row>
    <row r="30" spans="1:4">
      <c r="A30" s="3" t="s">
        <v>288</v>
      </c>
      <c r="B30" s="3">
        <v>9</v>
      </c>
      <c r="C30" s="3">
        <v>0.1</v>
      </c>
      <c r="D30" s="3"/>
    </row>
    <row r="31" spans="1:4" ht="27.6">
      <c r="A31" s="3" t="s">
        <v>296</v>
      </c>
      <c r="B31" s="3">
        <v>10</v>
      </c>
      <c r="C31" s="3">
        <v>0.1</v>
      </c>
      <c r="D31" s="3"/>
    </row>
    <row r="32" spans="1:4">
      <c r="A32" s="3" t="s">
        <v>299</v>
      </c>
      <c r="B32" s="3">
        <v>10</v>
      </c>
      <c r="C32" s="3">
        <v>0.1</v>
      </c>
      <c r="D32" s="3"/>
    </row>
    <row r="33" spans="1:4">
      <c r="A33" s="3" t="s">
        <v>302</v>
      </c>
      <c r="B33" s="3">
        <v>9.5</v>
      </c>
      <c r="C33" s="3">
        <v>0.15</v>
      </c>
      <c r="D33" s="3"/>
    </row>
    <row r="34" spans="1:4" ht="27.6">
      <c r="A34" s="3" t="s">
        <v>305</v>
      </c>
      <c r="B34" s="3">
        <v>9.5</v>
      </c>
      <c r="C34" s="3">
        <v>0.1</v>
      </c>
      <c r="D34" s="3"/>
    </row>
    <row r="35" spans="1:4" ht="27.6">
      <c r="A35" s="3" t="s">
        <v>308</v>
      </c>
      <c r="B35" s="3">
        <v>10</v>
      </c>
      <c r="C35" s="3">
        <v>0.1</v>
      </c>
      <c r="D35" s="3"/>
    </row>
    <row r="36" spans="1:4">
      <c r="A36" s="3" t="s">
        <v>314</v>
      </c>
      <c r="B36" s="3">
        <v>9.5</v>
      </c>
      <c r="C36" s="3">
        <v>0.15</v>
      </c>
      <c r="D36" s="3"/>
    </row>
    <row r="37" spans="1:4">
      <c r="A37" s="3" t="s">
        <v>317</v>
      </c>
      <c r="B37" s="3">
        <v>9</v>
      </c>
      <c r="C37" s="3">
        <v>0.2</v>
      </c>
      <c r="D37" s="3"/>
    </row>
    <row r="38" spans="1:4" ht="27.6">
      <c r="A38" s="3" t="s">
        <v>320</v>
      </c>
      <c r="B38" s="3">
        <v>9.5</v>
      </c>
      <c r="C38" s="3">
        <v>0.15</v>
      </c>
      <c r="D38" s="3"/>
    </row>
    <row r="39" spans="1:4">
      <c r="A39" s="3" t="s">
        <v>321</v>
      </c>
      <c r="B39" s="3">
        <v>10</v>
      </c>
      <c r="C39" s="3">
        <v>0.15</v>
      </c>
      <c r="D39" s="3"/>
    </row>
    <row r="40" spans="1:4">
      <c r="A40" s="3" t="s">
        <v>322</v>
      </c>
      <c r="B40" s="3">
        <v>9</v>
      </c>
      <c r="C40" s="3">
        <v>0.25</v>
      </c>
      <c r="D40" s="3"/>
    </row>
    <row r="41" spans="1:4">
      <c r="A41" s="3" t="s">
        <v>323</v>
      </c>
      <c r="B41" s="3">
        <v>9</v>
      </c>
      <c r="C41" s="3">
        <v>0.15</v>
      </c>
      <c r="D41" s="3"/>
    </row>
    <row r="42" spans="1:4" ht="27.6">
      <c r="A42" s="3" t="s">
        <v>324</v>
      </c>
      <c r="B42" s="3">
        <v>8</v>
      </c>
      <c r="C42" s="3">
        <v>0.1</v>
      </c>
      <c r="D42" s="3"/>
    </row>
    <row r="43" spans="1:4">
      <c r="A43" s="3" t="s">
        <v>325</v>
      </c>
      <c r="B43" s="3">
        <v>9.5</v>
      </c>
      <c r="C43" s="3">
        <v>0.1</v>
      </c>
      <c r="D43" s="3"/>
    </row>
    <row r="44" spans="1:4" ht="27.6">
      <c r="A44" s="3" t="s">
        <v>327</v>
      </c>
      <c r="B44" s="3">
        <v>9.5</v>
      </c>
      <c r="C44" s="3">
        <v>0.1</v>
      </c>
      <c r="D44" s="3"/>
    </row>
    <row r="45" spans="1:4">
      <c r="A45" s="3" t="s">
        <v>328</v>
      </c>
      <c r="B45" s="3">
        <v>9.5</v>
      </c>
      <c r="C45" s="3">
        <v>0.05</v>
      </c>
      <c r="D45" s="3"/>
    </row>
    <row r="46" spans="1:4">
      <c r="A46" s="3" t="s">
        <v>329</v>
      </c>
      <c r="B46" s="3">
        <v>9</v>
      </c>
      <c r="C46" s="3">
        <v>0.15</v>
      </c>
      <c r="D46" s="3"/>
    </row>
    <row r="47" spans="1:4">
      <c r="A47" s="3" t="s">
        <v>330</v>
      </c>
      <c r="B47" s="3">
        <v>9</v>
      </c>
      <c r="C47" s="3">
        <v>0.2</v>
      </c>
      <c r="D47" s="3"/>
    </row>
    <row r="48" spans="1:4" ht="27.6">
      <c r="A48" s="3" t="s">
        <v>331</v>
      </c>
      <c r="B48" s="3">
        <v>8.5</v>
      </c>
      <c r="C48" s="3">
        <v>0.2</v>
      </c>
      <c r="D48" s="3"/>
    </row>
    <row r="49" spans="1:4" ht="27.6">
      <c r="A49" s="3" t="s">
        <v>332</v>
      </c>
      <c r="B49" s="3">
        <v>8.5</v>
      </c>
      <c r="C49" s="3">
        <v>0.15</v>
      </c>
      <c r="D49" s="3"/>
    </row>
    <row r="50" spans="1:4">
      <c r="A50" s="3" t="s">
        <v>333</v>
      </c>
      <c r="B50" s="3">
        <v>10</v>
      </c>
      <c r="C50" s="3">
        <v>0.05</v>
      </c>
      <c r="D50" s="3"/>
    </row>
    <row r="51" spans="1:4" ht="27.6">
      <c r="A51" s="3" t="s">
        <v>334</v>
      </c>
      <c r="B51" s="3">
        <v>10</v>
      </c>
      <c r="C51" s="3">
        <v>0.05</v>
      </c>
      <c r="D51" s="3"/>
    </row>
    <row r="52" spans="1:4">
      <c r="A52" s="3" t="s">
        <v>335</v>
      </c>
      <c r="B52" s="3">
        <v>9.5</v>
      </c>
      <c r="C52" s="3">
        <v>0.1</v>
      </c>
      <c r="D52" s="3"/>
    </row>
    <row r="53" spans="1:4">
      <c r="A53" s="3" t="s">
        <v>337</v>
      </c>
      <c r="B53" s="3">
        <v>8</v>
      </c>
      <c r="C53" s="3">
        <v>0.1</v>
      </c>
      <c r="D53" s="3"/>
    </row>
    <row r="54" spans="1:4">
      <c r="A54" s="3" t="s">
        <v>338</v>
      </c>
      <c r="B54" s="3">
        <v>7.5</v>
      </c>
      <c r="C54" s="3">
        <v>0.2</v>
      </c>
      <c r="D54" s="3"/>
    </row>
    <row r="55" spans="1:4" ht="27.6">
      <c r="A55" s="3" t="s">
        <v>339</v>
      </c>
      <c r="B55" s="3">
        <v>8.5</v>
      </c>
      <c r="C55" s="3">
        <v>0.1</v>
      </c>
      <c r="D55" s="3"/>
    </row>
    <row r="56" spans="1:4">
      <c r="A56" s="3" t="s">
        <v>340</v>
      </c>
      <c r="B56" s="3">
        <v>7</v>
      </c>
      <c r="C56" s="3">
        <v>-0.1</v>
      </c>
      <c r="D56" s="3"/>
    </row>
    <row r="57" spans="1:4">
      <c r="A57" s="3" t="s">
        <v>341</v>
      </c>
      <c r="B57" s="3">
        <v>5.5</v>
      </c>
      <c r="C57" s="3">
        <v>0.05</v>
      </c>
      <c r="D57" s="3"/>
    </row>
    <row r="58" spans="1:4" ht="27.6">
      <c r="A58" s="3" t="s">
        <v>342</v>
      </c>
      <c r="B58" s="3">
        <v>8</v>
      </c>
      <c r="C58" s="3">
        <v>0.25</v>
      </c>
      <c r="D58" s="3"/>
    </row>
    <row r="59" spans="1:4" ht="27.6">
      <c r="A59" s="3" t="s">
        <v>343</v>
      </c>
      <c r="B59" s="3">
        <v>9.5</v>
      </c>
      <c r="C59" s="3">
        <v>0.05</v>
      </c>
      <c r="D59" s="3"/>
    </row>
    <row r="60" spans="1:4">
      <c r="A60" s="3" t="s">
        <v>344</v>
      </c>
      <c r="B60" s="3">
        <v>7.5</v>
      </c>
      <c r="C60" s="3">
        <v>0.2</v>
      </c>
      <c r="D60" s="3"/>
    </row>
    <row r="61" spans="1:4">
      <c r="A61" s="3" t="s">
        <v>346</v>
      </c>
      <c r="B61" s="3">
        <v>8</v>
      </c>
      <c r="C61" s="3">
        <v>0.2</v>
      </c>
      <c r="D61" s="3"/>
    </row>
    <row r="62" spans="1:4" ht="27.6">
      <c r="A62" s="3" t="s">
        <v>347</v>
      </c>
      <c r="B62" s="3">
        <v>9</v>
      </c>
      <c r="C62" s="3">
        <v>0.1</v>
      </c>
      <c r="D62" s="3"/>
    </row>
    <row r="63" spans="1:4" ht="27.6">
      <c r="A63" s="3" t="s">
        <v>348</v>
      </c>
      <c r="B63" s="3">
        <v>7</v>
      </c>
      <c r="C63" s="3">
        <v>0.15</v>
      </c>
      <c r="D63" s="3"/>
    </row>
    <row r="64" spans="1:4">
      <c r="A64" s="3"/>
      <c r="B64" s="3"/>
      <c r="C64" s="3"/>
      <c r="D64" s="3"/>
    </row>
    <row r="65" spans="1:4">
      <c r="A65" s="9" t="s">
        <v>458</v>
      </c>
      <c r="B65" s="9" t="s">
        <v>456</v>
      </c>
      <c r="C65" s="9" t="s">
        <v>457</v>
      </c>
      <c r="D65" s="3"/>
    </row>
    <row r="66" spans="1:4">
      <c r="A66" s="3" t="s">
        <v>265</v>
      </c>
      <c r="B66" s="3">
        <v>7</v>
      </c>
      <c r="C66" s="3">
        <v>0.4</v>
      </c>
      <c r="D66" s="3"/>
    </row>
    <row r="67" spans="1:4">
      <c r="A67" s="3" t="s">
        <v>269</v>
      </c>
      <c r="B67" s="3">
        <v>8</v>
      </c>
      <c r="C67" s="3">
        <v>0.35</v>
      </c>
      <c r="D67" s="3"/>
    </row>
    <row r="68" spans="1:4">
      <c r="A68" s="3" t="s">
        <v>273</v>
      </c>
      <c r="B68" s="3">
        <v>9.5</v>
      </c>
      <c r="C68" s="3">
        <v>0.15</v>
      </c>
      <c r="D68" s="3"/>
    </row>
    <row r="69" spans="1:4">
      <c r="A69" s="3" t="s">
        <v>277</v>
      </c>
      <c r="B69" s="3">
        <v>7.5</v>
      </c>
      <c r="C69" s="3">
        <v>0.3</v>
      </c>
      <c r="D69" s="3"/>
    </row>
    <row r="70" spans="1:4">
      <c r="A70" s="3" t="s">
        <v>281</v>
      </c>
      <c r="B70" s="3">
        <v>9</v>
      </c>
      <c r="C70" s="3">
        <v>0.2</v>
      </c>
      <c r="D70" s="3"/>
    </row>
    <row r="71" spans="1:4">
      <c r="A71" s="3" t="s">
        <v>285</v>
      </c>
      <c r="B71" s="3">
        <v>8.5</v>
      </c>
      <c r="C71" s="3">
        <v>0.35</v>
      </c>
      <c r="D71" s="3"/>
    </row>
    <row r="72" spans="1:4">
      <c r="A72" s="3" t="s">
        <v>289</v>
      </c>
      <c r="B72" s="3">
        <v>7</v>
      </c>
      <c r="C72" s="3">
        <v>0.3</v>
      </c>
      <c r="D72" s="3"/>
    </row>
    <row r="73" spans="1:4">
      <c r="A73" s="3" t="s">
        <v>293</v>
      </c>
      <c r="B73" s="3">
        <v>7</v>
      </c>
      <c r="C73" s="3">
        <v>0.3</v>
      </c>
      <c r="D73" s="3"/>
    </row>
    <row r="74" spans="1:4">
      <c r="A74" s="3"/>
      <c r="B74" s="3"/>
      <c r="C74" s="3"/>
      <c r="D74" s="3"/>
    </row>
    <row r="75" spans="1:4">
      <c r="A75" s="9" t="s">
        <v>260</v>
      </c>
      <c r="B75" s="9" t="s">
        <v>459</v>
      </c>
      <c r="C75" s="9" t="s">
        <v>460</v>
      </c>
      <c r="D75" s="9" t="s">
        <v>461</v>
      </c>
    </row>
    <row r="76" spans="1:4" ht="27.6">
      <c r="A76" s="3" t="s">
        <v>266</v>
      </c>
      <c r="B76" s="3">
        <v>-1.5</v>
      </c>
      <c r="C76" s="3" t="s">
        <v>462</v>
      </c>
      <c r="D76" s="3" t="s">
        <v>267</v>
      </c>
    </row>
    <row r="77" spans="1:4" ht="27.6">
      <c r="A77" s="3" t="s">
        <v>270</v>
      </c>
      <c r="B77" s="3">
        <v>-1.1000000000000001</v>
      </c>
      <c r="C77" s="3" t="s">
        <v>462</v>
      </c>
      <c r="D77" s="3" t="s">
        <v>271</v>
      </c>
    </row>
    <row r="78" spans="1:4" ht="27.6">
      <c r="A78" s="3" t="s">
        <v>274</v>
      </c>
      <c r="B78" s="3">
        <v>2.2999999999999998</v>
      </c>
      <c r="C78" s="3" t="s">
        <v>463</v>
      </c>
      <c r="D78" s="3" t="s">
        <v>275</v>
      </c>
    </row>
    <row r="79" spans="1:4" ht="27.6">
      <c r="A79" s="3" t="s">
        <v>278</v>
      </c>
      <c r="B79" s="3">
        <v>3.9</v>
      </c>
      <c r="C79" s="3" t="s">
        <v>464</v>
      </c>
      <c r="D79" s="3" t="s">
        <v>279</v>
      </c>
    </row>
    <row r="80" spans="1:4" ht="41.4">
      <c r="A80" s="3" t="s">
        <v>282</v>
      </c>
      <c r="B80" s="3">
        <v>3.2</v>
      </c>
      <c r="C80" s="3" t="s">
        <v>464</v>
      </c>
      <c r="D80" s="3" t="s">
        <v>283</v>
      </c>
    </row>
    <row r="81" spans="1:4" ht="27.6">
      <c r="A81" s="3" t="s">
        <v>286</v>
      </c>
      <c r="B81" s="3">
        <v>3.2</v>
      </c>
      <c r="C81" s="3" t="s">
        <v>464</v>
      </c>
      <c r="D81" s="3" t="s">
        <v>287</v>
      </c>
    </row>
    <row r="82" spans="1:4" ht="27.6">
      <c r="A82" s="3" t="s">
        <v>290</v>
      </c>
      <c r="B82" s="3">
        <v>4</v>
      </c>
      <c r="C82" s="3" t="s">
        <v>464</v>
      </c>
      <c r="D82" s="3" t="s">
        <v>291</v>
      </c>
    </row>
    <row r="83" spans="1:4" ht="27.6">
      <c r="A83" s="3" t="s">
        <v>294</v>
      </c>
      <c r="B83" s="3">
        <v>3.8</v>
      </c>
      <c r="C83" s="3" t="s">
        <v>464</v>
      </c>
      <c r="D83" s="3" t="s">
        <v>295</v>
      </c>
    </row>
    <row r="84" spans="1:4" ht="27.6">
      <c r="A84" s="3" t="s">
        <v>297</v>
      </c>
      <c r="B84" s="3">
        <v>2.4</v>
      </c>
      <c r="C84" s="3" t="s">
        <v>463</v>
      </c>
      <c r="D84" s="3" t="s">
        <v>298</v>
      </c>
    </row>
    <row r="85" spans="1:4" ht="27.6">
      <c r="A85" s="3" t="s">
        <v>300</v>
      </c>
      <c r="B85" s="3">
        <v>3</v>
      </c>
      <c r="C85" s="3" t="s">
        <v>463</v>
      </c>
      <c r="D85" s="3" t="s">
        <v>301</v>
      </c>
    </row>
    <row r="86" spans="1:4" ht="27.6">
      <c r="A86" s="3" t="s">
        <v>303</v>
      </c>
      <c r="B86" s="3">
        <v>-1.9</v>
      </c>
      <c r="C86" s="3" t="s">
        <v>462</v>
      </c>
      <c r="D86" s="3" t="s">
        <v>304</v>
      </c>
    </row>
    <row r="87" spans="1:4" ht="27.6">
      <c r="A87" s="3" t="s">
        <v>306</v>
      </c>
      <c r="B87" s="3">
        <v>4</v>
      </c>
      <c r="C87" s="3" t="s">
        <v>464</v>
      </c>
      <c r="D87" s="3" t="s">
        <v>307</v>
      </c>
    </row>
    <row r="88" spans="1:4" ht="27.6">
      <c r="A88" s="3" t="s">
        <v>309</v>
      </c>
      <c r="B88" s="3">
        <v>0.8</v>
      </c>
      <c r="C88" s="3" t="s">
        <v>465</v>
      </c>
      <c r="D88" s="3" t="s">
        <v>310</v>
      </c>
    </row>
    <row r="89" spans="1:4" ht="27.6">
      <c r="A89" s="3" t="s">
        <v>312</v>
      </c>
      <c r="B89" s="3">
        <v>3</v>
      </c>
      <c r="C89" s="3" t="s">
        <v>463</v>
      </c>
      <c r="D89" s="3" t="s">
        <v>313</v>
      </c>
    </row>
    <row r="90" spans="1:4" ht="27.6">
      <c r="A90" s="3" t="s">
        <v>315</v>
      </c>
      <c r="B90" s="3">
        <v>2.6</v>
      </c>
      <c r="C90" s="3" t="s">
        <v>463</v>
      </c>
      <c r="D90" s="3" t="s">
        <v>316</v>
      </c>
    </row>
    <row r="91" spans="1:4" ht="27.6">
      <c r="A91" s="3" t="s">
        <v>318</v>
      </c>
      <c r="B91" s="3">
        <v>0</v>
      </c>
      <c r="C91" s="3" t="s">
        <v>466</v>
      </c>
      <c r="D91" s="3" t="s">
        <v>319</v>
      </c>
    </row>
  </sheetData>
  <mergeCells count="2">
    <mergeCell ref="A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33</vt:i4>
      </vt:variant>
    </vt:vector>
  </HeadingPairs>
  <TitlesOfParts>
    <vt:vector size="33" baseType="lpstr">
      <vt:lpstr>Технологии</vt:lpstr>
      <vt:lpstr>США 2026</vt:lpstr>
      <vt:lpstr>Ход 2026</vt:lpstr>
      <vt:lpstr>США 2027</vt:lpstr>
      <vt:lpstr>Ход 2027</vt:lpstr>
      <vt:lpstr>США 2028</vt:lpstr>
      <vt:lpstr>Ход 2028</vt:lpstr>
      <vt:lpstr>США 2029</vt:lpstr>
      <vt:lpstr>Ход 2029</vt:lpstr>
      <vt:lpstr>США 2030</vt:lpstr>
      <vt:lpstr>Ход 2030</vt:lpstr>
      <vt:lpstr>США 2031</vt:lpstr>
      <vt:lpstr>Ход 2031</vt:lpstr>
      <vt:lpstr>США 2032</vt:lpstr>
      <vt:lpstr>Ход 2032</vt:lpstr>
      <vt:lpstr>США 2033</vt:lpstr>
      <vt:lpstr>Ход 2033</vt:lpstr>
      <vt:lpstr>США 2034</vt:lpstr>
      <vt:lpstr>Ход 2034</vt:lpstr>
      <vt:lpstr>США 2035</vt:lpstr>
      <vt:lpstr>Ход 2035</vt:lpstr>
      <vt:lpstr>США 2036</vt:lpstr>
      <vt:lpstr>Ход 2036</vt:lpstr>
      <vt:lpstr>США 2037</vt:lpstr>
      <vt:lpstr>Ход 2037</vt:lpstr>
      <vt:lpstr>США 2038</vt:lpstr>
      <vt:lpstr>Ход 2038</vt:lpstr>
      <vt:lpstr>США 2039</vt:lpstr>
      <vt:lpstr>Ход 2039</vt:lpstr>
      <vt:lpstr>США 2040</vt:lpstr>
      <vt:lpstr>Ход 2040</vt:lpstr>
      <vt:lpstr>США конец 2040</vt:lpstr>
      <vt:lpstr>Методика США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2026-10-04T16:50:48Z</dcterms:modified>
</cp:coreProperties>
</file>