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d7bfae20f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f8976cd027374592"/>
    <x:sheet xmlns:r="http://schemas.openxmlformats.org/officeDocument/2006/relationships" name="ОАЭ 2026" sheetId="2" r:id="R3b667ee6ea834a83"/>
    <x:sheet xmlns:r="http://schemas.openxmlformats.org/officeDocument/2006/relationships" name="Ход 2026" sheetId="3" r:id="R301ad679f00649bf"/>
    <x:sheet xmlns:r="http://schemas.openxmlformats.org/officeDocument/2006/relationships" name="ОАЭ 2027" sheetId="4" r:id="Re3d57bca8c3a47c8"/>
    <x:sheet xmlns:r="http://schemas.openxmlformats.org/officeDocument/2006/relationships" name="Ход 2027" sheetId="5" r:id="Rd05ee183aac64e66"/>
    <x:sheet xmlns:r="http://schemas.openxmlformats.org/officeDocument/2006/relationships" name="ОАЭ 2028" sheetId="6" r:id="Ra072e989b262454c"/>
    <x:sheet xmlns:r="http://schemas.openxmlformats.org/officeDocument/2006/relationships" name="Ход 2028" sheetId="7" r:id="Rd433f43eee684f65"/>
    <x:sheet xmlns:r="http://schemas.openxmlformats.org/officeDocument/2006/relationships" name="ОАЭ 2029" sheetId="8" r:id="Rc22cb243a3714738"/>
    <x:sheet xmlns:r="http://schemas.openxmlformats.org/officeDocument/2006/relationships" name="Ход 2029" sheetId="9" r:id="R5e7df7091e9e4237"/>
    <x:sheet xmlns:r="http://schemas.openxmlformats.org/officeDocument/2006/relationships" name="ОАЭ 2030" sheetId="10" r:id="Re39e1ecb38394e1e"/>
    <x:sheet xmlns:r="http://schemas.openxmlformats.org/officeDocument/2006/relationships" name="Ход 2030" sheetId="11" r:id="R281ad0b5943242b0"/>
    <x:sheet xmlns:r="http://schemas.openxmlformats.org/officeDocument/2006/relationships" name="ОАЭ 2031" sheetId="12" r:id="R62945ad35b714da9"/>
    <x:sheet xmlns:r="http://schemas.openxmlformats.org/officeDocument/2006/relationships" name="Ход 2031" sheetId="13" r:id="R883187f1bb30415c"/>
    <x:sheet xmlns:r="http://schemas.openxmlformats.org/officeDocument/2006/relationships" name="ОАЭ 2032" sheetId="14" r:id="Re801a65e6bcc4bf9"/>
    <x:sheet xmlns:r="http://schemas.openxmlformats.org/officeDocument/2006/relationships" name="Ход 2032" sheetId="15" r:id="Rd8726d30aead4b95"/>
    <x:sheet xmlns:r="http://schemas.openxmlformats.org/officeDocument/2006/relationships" name="ОАЭ 2033" sheetId="16" r:id="Re8d1c85569ad4ea0"/>
    <x:sheet xmlns:r="http://schemas.openxmlformats.org/officeDocument/2006/relationships" name="Ход 2033" sheetId="17" r:id="R3c262e834cab4a50"/>
    <x:sheet xmlns:r="http://schemas.openxmlformats.org/officeDocument/2006/relationships" name="ОАЭ 2034" sheetId="18" r:id="R0302b5ce83d9416c"/>
    <x:sheet xmlns:r="http://schemas.openxmlformats.org/officeDocument/2006/relationships" name="Ход 2034" sheetId="19" r:id="R0f7361c192e34817"/>
    <x:sheet xmlns:r="http://schemas.openxmlformats.org/officeDocument/2006/relationships" name="ОАЭ 2035" sheetId="20" r:id="R3944ead67f4f4c46"/>
    <x:sheet xmlns:r="http://schemas.openxmlformats.org/officeDocument/2006/relationships" name="Ход 2035" sheetId="21" r:id="Rfe1b095da89c499c"/>
    <x:sheet xmlns:r="http://schemas.openxmlformats.org/officeDocument/2006/relationships" name="ОАЭ 2036" sheetId="22" r:id="Rfa90bb25536e4bd6"/>
    <x:sheet xmlns:r="http://schemas.openxmlformats.org/officeDocument/2006/relationships" name="Ход 2036" sheetId="23" r:id="R59ae583329d84af8"/>
    <x:sheet xmlns:r="http://schemas.openxmlformats.org/officeDocument/2006/relationships" name="ОАЭ 2037" sheetId="24" r:id="Rd240d7fb40cc4cd6"/>
    <x:sheet xmlns:r="http://schemas.openxmlformats.org/officeDocument/2006/relationships" name="Ход 2037" sheetId="25" r:id="R8089051c99a14a7a"/>
    <x:sheet xmlns:r="http://schemas.openxmlformats.org/officeDocument/2006/relationships" name="ОАЭ 2038" sheetId="26" r:id="Rb8ce2adfb8734ae4"/>
    <x:sheet xmlns:r="http://schemas.openxmlformats.org/officeDocument/2006/relationships" name="Ход 2038" sheetId="27" r:id="R8df69fe56743477e"/>
    <x:sheet xmlns:r="http://schemas.openxmlformats.org/officeDocument/2006/relationships" name="ОАЭ 2039" sheetId="28" r:id="R7e2d8dd2aefd4371"/>
    <x:sheet xmlns:r="http://schemas.openxmlformats.org/officeDocument/2006/relationships" name="Ход 2039" sheetId="29" r:id="Rd6d5cf0bc87147ba"/>
    <x:sheet xmlns:r="http://schemas.openxmlformats.org/officeDocument/2006/relationships" name="ОАЭ 2040" sheetId="30" r:id="R10c33b3e8e8445ac"/>
    <x:sheet xmlns:r="http://schemas.openxmlformats.org/officeDocument/2006/relationships" name="Ход 2040" sheetId="31" r:id="R5761dc7b28c3455a"/>
    <x:sheet xmlns:r="http://schemas.openxmlformats.org/officeDocument/2006/relationships" name="ОАЭ конец 2040" sheetId="32" r:id="R5991fc0fc1aa4bcb"/>
    <x:sheet xmlns:r="http://schemas.openxmlformats.org/officeDocument/2006/relationships" name="Методика ОАЭ 2026" sheetId="33" r:id="R666876726641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177b5f0f2419b" /><Relationship Type="http://schemas.openxmlformats.org/officeDocument/2006/relationships/theme" Target="/xl/theme/theme1.xml" Id="Rd89866dad85d424b" /><Relationship Type="http://schemas.openxmlformats.org/officeDocument/2006/relationships/sharedStrings" Target="/xl/sharedStrings.xml" Id="Rddd51c45a5274904" /><Relationship Type="http://schemas.openxmlformats.org/officeDocument/2006/relationships/worksheet" Target="/xl/worksheets/sheet1.xml" Id="Rf8976cd027374592" /><Relationship Type="http://schemas.openxmlformats.org/officeDocument/2006/relationships/worksheet" Target="/xl/worksheets/sheet2.xml" Id="R3b667ee6ea834a83" /><Relationship Type="http://schemas.openxmlformats.org/officeDocument/2006/relationships/worksheet" Target="/xl/worksheets/sheet3.xml" Id="R301ad679f00649bf" /><Relationship Type="http://schemas.openxmlformats.org/officeDocument/2006/relationships/worksheet" Target="/xl/worksheets/sheet4.xml" Id="Re3d57bca8c3a47c8" /><Relationship Type="http://schemas.openxmlformats.org/officeDocument/2006/relationships/worksheet" Target="/xl/worksheets/sheet5.xml" Id="Rd05ee183aac64e66" /><Relationship Type="http://schemas.openxmlformats.org/officeDocument/2006/relationships/worksheet" Target="/xl/worksheets/sheet6.xml" Id="Ra072e989b262454c" /><Relationship Type="http://schemas.openxmlformats.org/officeDocument/2006/relationships/worksheet" Target="/xl/worksheets/sheet7.xml" Id="Rd433f43eee684f65" /><Relationship Type="http://schemas.openxmlformats.org/officeDocument/2006/relationships/worksheet" Target="/xl/worksheets/sheet8.xml" Id="Rc22cb243a3714738" /><Relationship Type="http://schemas.openxmlformats.org/officeDocument/2006/relationships/worksheet" Target="/xl/worksheets/sheet9.xml" Id="R5e7df7091e9e4237" /><Relationship Type="http://schemas.openxmlformats.org/officeDocument/2006/relationships/worksheet" Target="/xl/worksheets/sheet10.xml" Id="Re39e1ecb38394e1e" /><Relationship Type="http://schemas.openxmlformats.org/officeDocument/2006/relationships/worksheet" Target="/xl/worksheets/sheet11.xml" Id="R281ad0b5943242b0" /><Relationship Type="http://schemas.openxmlformats.org/officeDocument/2006/relationships/worksheet" Target="/xl/worksheets/sheet12.xml" Id="R62945ad35b714da9" /><Relationship Type="http://schemas.openxmlformats.org/officeDocument/2006/relationships/worksheet" Target="/xl/worksheets/sheet13.xml" Id="R883187f1bb30415c" /><Relationship Type="http://schemas.openxmlformats.org/officeDocument/2006/relationships/worksheet" Target="/xl/worksheets/sheet14.xml" Id="Re801a65e6bcc4bf9" /><Relationship Type="http://schemas.openxmlformats.org/officeDocument/2006/relationships/worksheet" Target="/xl/worksheets/sheet15.xml" Id="Rd8726d30aead4b95" /><Relationship Type="http://schemas.openxmlformats.org/officeDocument/2006/relationships/worksheet" Target="/xl/worksheets/sheet16.xml" Id="Re8d1c85569ad4ea0" /><Relationship Type="http://schemas.openxmlformats.org/officeDocument/2006/relationships/worksheet" Target="/xl/worksheets/sheet17.xml" Id="R3c262e834cab4a50" /><Relationship Type="http://schemas.openxmlformats.org/officeDocument/2006/relationships/worksheet" Target="/xl/worksheets/sheet18.xml" Id="R0302b5ce83d9416c" /><Relationship Type="http://schemas.openxmlformats.org/officeDocument/2006/relationships/worksheet" Target="/xl/worksheets/sheet19.xml" Id="R0f7361c192e34817" /><Relationship Type="http://schemas.openxmlformats.org/officeDocument/2006/relationships/worksheet" Target="/xl/worksheets/sheet20.xml" Id="R3944ead67f4f4c46" /><Relationship Type="http://schemas.openxmlformats.org/officeDocument/2006/relationships/worksheet" Target="/xl/worksheets/sheet21.xml" Id="Rfe1b095da89c499c" /><Relationship Type="http://schemas.openxmlformats.org/officeDocument/2006/relationships/worksheet" Target="/xl/worksheets/sheet22.xml" Id="Rfa90bb25536e4bd6" /><Relationship Type="http://schemas.openxmlformats.org/officeDocument/2006/relationships/worksheet" Target="/xl/worksheets/sheet23.xml" Id="R59ae583329d84af8" /><Relationship Type="http://schemas.openxmlformats.org/officeDocument/2006/relationships/worksheet" Target="/xl/worksheets/sheet24.xml" Id="Rd240d7fb40cc4cd6" /><Relationship Type="http://schemas.openxmlformats.org/officeDocument/2006/relationships/worksheet" Target="/xl/worksheets/sheet25.xml" Id="R8089051c99a14a7a" /><Relationship Type="http://schemas.openxmlformats.org/officeDocument/2006/relationships/worksheet" Target="/xl/worksheets/sheet26.xml" Id="Rb8ce2adfb8734ae4" /><Relationship Type="http://schemas.openxmlformats.org/officeDocument/2006/relationships/worksheet" Target="/xl/worksheets/sheet27.xml" Id="R8df69fe56743477e" /><Relationship Type="http://schemas.openxmlformats.org/officeDocument/2006/relationships/worksheet" Target="/xl/worksheets/sheet28.xml" Id="R7e2d8dd2aefd4371" /><Relationship Type="http://schemas.openxmlformats.org/officeDocument/2006/relationships/worksheet" Target="/xl/worksheets/sheet29.xml" Id="Rd6d5cf0bc87147ba" /><Relationship Type="http://schemas.openxmlformats.org/officeDocument/2006/relationships/worksheet" Target="/xl/worksheets/sheet30.xml" Id="R10c33b3e8e8445ac" /><Relationship Type="http://schemas.openxmlformats.org/officeDocument/2006/relationships/worksheet" Target="/xl/worksheets/sheet31.xml" Id="R5761dc7b28c3455a" /><Relationship Type="http://schemas.openxmlformats.org/officeDocument/2006/relationships/worksheet" Target="/xl/worksheets/sheet32.xml" Id="R5991fc0fc1aa4bcb" /><Relationship Type="http://schemas.openxmlformats.org/officeDocument/2006/relationships/worksheet" Target="/xl/worksheets/sheet33.xml" Id="R66687672664142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69.05849805509284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66.99281824829738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81.86910213348162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90.01442479720576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7.5</x:v>
      </x:c>
      <x:c r="C8" s="42" t="n"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7.5</x:v>
      </x:c>
      <x:c r="C9" s="42" t="n"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9.5</x:v>
      </x:c>
      <x:c r="C10" s="42" t="n"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4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</x:v>
      </x:c>
      <x:c r="J11" s="42"/>
      <x:c r="K11" s="42" t="str">
        <x:v>Производство</x:v>
      </x:c>
      <x:c r="L11" s="42" t="n">
        <x:v>7</x:v>
      </x:c>
      <x:c r="M11" s="42" t="n"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</x:v>
      </x:c>
      <x:c r="T11" s="42"/>
      <x:c r="U11" s="42" t="str">
        <x:v>Россия</x:v>
      </x:c>
      <x:c r="V11" s="42" t="n">
        <x:v>2.1</x:v>
      </x:c>
      <x:c r="W11" s="42" t="str"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v>6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</x:v>
      </x:c>
      <x:c r="J12" s="42"/>
      <x:c r="K12" s="42" t="str">
        <x:v>Управление</x:v>
      </x:c>
      <x:c r="L12" s="42" t="n">
        <x:v>8.5</x:v>
      </x:c>
      <x:c r="M12" s="42" t="n"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8.5</x:v>
      </x:c>
      <x:c r="T12" s="42"/>
      <x:c r="U12" s="42" t="str">
        <x:v>США</x:v>
      </x:c>
      <x:c r="V12" s="42" t="n">
        <x:v>3.2</x:v>
      </x:c>
      <x:c r="W12" s="42" t="str"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v>2</x:v>
      </x:c>
      <x:c r="C13" s="42" t="n"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</x:v>
      </x:c>
      <x:c r="J13" s="42"/>
      <x:c r="K13" s="42" t="str">
        <x:v>Познание</x:v>
      </x:c>
      <x:c r="L13" s="42" t="n">
        <x:v>7.5</x:v>
      </x:c>
      <x:c r="M13" s="42" t="n"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7.5</x:v>
      </x:c>
      <x:c r="T13" s="42"/>
      <x:c r="U13" s="42" t="str">
        <x:v>Китай</x:v>
      </x:c>
      <x:c r="V13" s="42" t="n">
        <x:v>3</x:v>
      </x:c>
      <x:c r="W13" s="42" t="str"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v>7</x:v>
      </x:c>
      <x:c r="C14" s="42" t="n"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</x:v>
      </x:c>
      <x:c r="J14" s="42"/>
      <x:c r="K14" s="42" t="str">
        <x:v>Обучение</x:v>
      </x:c>
      <x:c r="L14" s="42" t="n">
        <x:v>7.5</x:v>
      </x:c>
      <x:c r="M14" s="42" t="n"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7.5</x:v>
      </x:c>
      <x:c r="T14" s="42"/>
      <x:c r="U14" s="42" t="str">
        <x:v>Индия</x:v>
      </x:c>
      <x:c r="V14" s="42" t="n">
        <x:v>3.2</x:v>
      </x:c>
      <x:c r="W14" s="42" t="str"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v>8.5</x:v>
      </x:c>
      <x:c r="C15" s="42" t="n"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8.5</x:v>
      </x:c>
      <x:c r="J15" s="42"/>
      <x:c r="K15" s="42" t="str">
        <x:v>Война</x:v>
      </x:c>
      <x:c r="L15" s="42" t="n">
        <x:v>7</x:v>
      </x:c>
      <x:c r="M15" s="42" t="n"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</x:v>
      </x:c>
      <x:c r="T15" s="42"/>
      <x:c r="U15" s="42" t="str">
        <x:v>Великобритания</x:v>
      </x:c>
      <x:c r="V15" s="42" t="n">
        <x:v>2.8</x:v>
      </x:c>
      <x:c r="W15" s="42" t="str"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v>9.5</x:v>
      </x:c>
      <x:c r="C16" s="42" t="n"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</x:v>
      </x:c>
      <x:c r="J16" s="42"/>
      <x:c r="K16" s="42" t="str">
        <x:v>Экономика</x:v>
      </x:c>
      <x:c r="L16" s="42" t="n">
        <x:v>8.5</x:v>
      </x:c>
      <x:c r="M16" s="42" t="n"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8.5</x:v>
      </x:c>
      <x:c r="T16" s="42"/>
      <x:c r="U16" s="42" t="str">
        <x:v>Франция</x:v>
      </x:c>
      <x:c r="V16" s="42" t="n">
        <x:v>3.1</x:v>
      </x:c>
      <x:c r="W16" s="42" t="str"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v>9</x:v>
      </x:c>
      <x:c r="C17" s="42" t="n"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</x:v>
      </x:c>
      <x:c r="J17" s="42"/>
      <x:c r="K17" s="42" t="str">
        <x:v>Государственное управление</x:v>
      </x:c>
      <x:c r="L17" s="42" t="n">
        <x:v>8.5</x:v>
      </x:c>
      <x:c r="M17" s="42" t="n"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8.5</x:v>
      </x:c>
      <x:c r="T17" s="42"/>
      <x:c r="U17" s="42" t="str">
        <x:v>Германия</x:v>
      </x:c>
      <x:c r="V17" s="42" t="n">
        <x:v>2.3</x:v>
      </x:c>
      <x:c r="W17" s="42" t="str"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8.5</x:v>
      </x:c>
      <x:c r="M18" s="42" t="n"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8.5</x:v>
      </x:c>
      <x:c r="T18" s="42"/>
      <x:c r="U18" s="42" t="str">
        <x:v>Япония</x:v>
      </x:c>
      <x:c r="V18" s="42" t="n">
        <x:v>2.3</x:v>
      </x:c>
      <x:c r="W18" s="42" t="str"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v>7.5</x:v>
      </x:c>
      <x:c r="C19" s="42" t="n"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42" t="n">
        <x:v>2.4</x:v>
      </x:c>
      <x:c r="W19" s="42" t="str"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v>8</x:v>
      </x:c>
      <x:c r="C20" s="42" t="n"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42" t="n">
        <x:v>2.5</x:v>
      </x:c>
      <x:c r="W20" s="42" t="str"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v>7.5</x:v>
      </x:c>
      <x:c r="C21" s="42" t="n"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42" t="n">
        <x:v>3.5</x:v>
      </x:c>
      <x:c r="W21" s="42" t="str"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v>7</x:v>
      </x:c>
      <x:c r="C22" s="42" t="n"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42" t="n">
        <x:v>1.2</x:v>
      </x:c>
      <x:c r="W22" s="42" t="str"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v>7.5</x:v>
      </x:c>
      <x:c r="C23" s="42" t="n"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42" t="n">
        <x:v>2.2</x:v>
      </x:c>
      <x:c r="W23" s="42" t="str"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42" t="n">
        <x:v>2.1</x:v>
      </x:c>
      <x:c r="W24" s="42" t="str"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v>7.5</x:v>
      </x:c>
      <x:c r="C25" s="42" t="n"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2.3</x:v>
      </x:c>
      <x:c r="W25" s="42" t="str"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v>7.5</x:v>
      </x:c>
      <x:c r="C26" s="42" t="n"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8</x:v>
      </x:c>
      <x:c r="C27" s="42" t="n"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7.5</x:v>
      </x:c>
      <x:c r="C28" s="42" t="n"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7</x:v>
      </x:c>
      <x:c r="C29" s="42" t="n"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7.5</x:v>
      </x:c>
      <x:c r="C30" s="42" t="n"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7.5</x:v>
      </x:c>
      <x:c r="C31" s="42" t="n"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8.5</x:v>
      </x:c>
      <x:c r="C32" s="42" t="n"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8.5</x:v>
      </x:c>
      <x:c r="C34" s="42" t="n"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8</x:v>
      </x:c>
      <x:c r="C35" s="42" t="n"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9</x:v>
      </x:c>
      <x:c r="C36" s="42" t="n"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8.5</x:v>
      </x:c>
      <x:c r="C37" s="42" t="n"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9</x:v>
      </x:c>
      <x:c r="C38" s="42" t="n"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9</x:v>
      </x:c>
      <x:c r="C39" s="42" t="n"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10</x:v>
      </x:c>
      <x:c r="C40" s="42" t="n"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8.5</x:v>
      </x:c>
      <x:c r="C41" s="42" t="n"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9</x:v>
      </x:c>
      <x:c r="C42" s="42" t="n"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8</x:v>
      </x:c>
      <x:c r="C44" s="42" t="n"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9</x:v>
      </x:c>
      <x:c r="C45" s="42" t="n"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9</x:v>
      </x:c>
      <x:c r="C46" s="42" t="n"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8</x:v>
      </x:c>
      <x:c r="C47" s="42" t="n"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8</x:v>
      </x:c>
      <x:c r="C48" s="42" t="n"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9</x:v>
      </x:c>
      <x:c r="C49" s="42" t="n"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9</x:v>
      </x:c>
      <x:c r="C50" s="42" t="n"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9</x:v>
      </x:c>
      <x:c r="C51" s="42" t="n"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8</x:v>
      </x:c>
      <x:c r="C53" s="42" t="n"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8</x:v>
      </x:c>
      <x:c r="C54" s="42" t="n"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7</x:v>
      </x:c>
      <x:c r="C55" s="42" t="n"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2026'!U6</x:f>
        <x:v>90.01442479720576</x:v>
      </x:c>
      <x:c r="C6" s="42"/>
      <x:c r="D6" s="42"/>
      <x:c r="E6" s="42" t="str">
        <x:v>Доступно</x:v>
      </x:c>
      <x:c r="F6" s="42" t="n">
        <x:f>'ОАЭ 2026'!K6</x:f>
        <x:v>69.05849805509284</x:v>
      </x:c>
      <x:c r="G6" s="42"/>
      <x:c r="H6" s="42"/>
      <x:c r="I6" s="42" t="str">
        <x:v>Доступно</x:v>
      </x:c>
      <x:c r="J6" s="42" t="n">
        <x:f>'ОАЭ 2026'!N6</x:f>
        <x:v>66.99281824829738</x:v>
      </x:c>
      <x:c r="K6" s="42"/>
      <x:c r="L6" s="42"/>
      <x:c r="M6" s="42" t="str">
        <x:v>Доступно</x:v>
      </x:c>
      <x:c r="N6" s="42" t="n">
        <x:f>'ОАЭ 2026'!Q6</x:f>
        <x:v>81.86910213348162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90.01442479720576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69.05849805509284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66.99281824829738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81.86910213348162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2026'!V11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54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2026'!V12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17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2026'!V13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2026'!V14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59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2026'!V15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34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2026'!V16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26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2026'!V17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55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2026'!V18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40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2026'!V19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77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2026'!V20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10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2026'!V21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12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2026'!V22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37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2026'!V23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83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2026'!V24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2026'!V25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19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71.2183704788593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68.58870501826462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83.3785735194036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91.21565951080906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2026'!B8+'ОАЭ 2026'!D8+('ОАЭ 2026'!C8+'ОАЭ 2026'!F8+'ОАЭ 2026'!G8)+(0.35*LN(1+0.6*'Ход 2026'!B14)*POWER(MAX(0,1-'ОАЭ 2026'!I8/10),0.7))))</x:f>
        <x:v>7.55</x:v>
      </x:c>
      <x:c r="C8" s="42" t="n">
        <x:f>MIN(1,'ОАЭ 2026'!C8+'ОАЭ 2026'!F8+(0.08*LN(1+0.5*'Ход 2026'!C14)*MAX(0,1-('ОАЭ 2026'!C8+'ОАЭ 2026'!F8))))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7.55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2026'!B9+'ОАЭ 2026'!D9+('ОАЭ 2026'!C9+'ОАЭ 2026'!F9+'ОАЭ 2026'!G9)+(0.35*LN(1+0.6*'Ход 2026'!B15)*POWER(MAX(0,1-'ОАЭ 2026'!I9/10),0.7))))</x:f>
        <x:v>7.6</x:v>
      </x:c>
      <x:c r="C9" s="42" t="n">
        <x:f>MIN(1,'ОАЭ 2026'!C9+'ОАЭ 2026'!F9+(0.08*LN(1+0.5*'Ход 2026'!C15)*MAX(0,1-('ОАЭ 2026'!C9+'ОАЭ 2026'!F9))))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2026'!B10+'ОАЭ 2026'!D10+('ОАЭ 2026'!C10+'ОАЭ 2026'!F10+'ОАЭ 2026'!G10)+(0.35*LN(1+0.6*'Ход 2026'!B16)*POWER(MAX(0,1-'ОАЭ 2026'!I10/10),0.7))))</x:f>
        <x:v>9.55</x:v>
      </x:c>
      <x:c r="C10" s="42" t="n">
        <x:f>MIN(1,'ОАЭ 2026'!C10+'ОАЭ 2026'!F10+(0.08*LN(1+0.5*'Ход 2026'!C16)*MAX(0,1-('ОАЭ 2026'!C10+'ОАЭ 2026'!F10))))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9.55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2026'!B11+'ОАЭ 2026'!D11+('ОАЭ 2026'!C11+'ОАЭ 2026'!F11+'ОАЭ 2026'!G11)+(0.35*LN(1+0.6*'Ход 2026'!B17)*POWER(MAX(0,1-'ОАЭ 2026'!I11/10),0.7))))</x:f>
        <x:v>4.05</x:v>
      </x:c>
      <x:c r="C11" s="42" t="n">
        <x:f>MIN(1,'ОАЭ 2026'!C11+'ОАЭ 2026'!F11+(0.08*LN(1+0.5*'Ход 2026'!C17)*MAX(0,1-('ОАЭ 2026'!C11+'ОАЭ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4.05</x:v>
      </x:c>
      <x:c r="J11" s="42"/>
      <x:c r="K11" s="42" t="str">
        <x:v>Производство</x:v>
      </x:c>
      <x:c r="L11" s="42" t="n">
        <x:f>MAX(1,MIN(10,'ОАЭ 2026'!L11+'ОАЭ 2026'!N11+('ОАЭ 2026'!M11+'ОАЭ 2026'!P11+'ОАЭ 2026'!Q11)))</x:f>
        <x:v>7.35</x:v>
      </x:c>
      <x:c r="M11" s="42" t="n">
        <x:f>MIN(1,'ОАЭ 2026'!M11+'ОАЭ 2026'!P11+(0.10*LN(1+0.5*'Ход 2026'!H13)*POWER(MAX(0,1-'ОАЭ 2026'!S11/10),0.8)))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7.35</x:v>
      </x:c>
      <x:c r="T11" s="42"/>
      <x:c r="U11" s="42" t="str">
        <x:v>Россия</x:v>
      </x:c>
      <x:c r="V11" s="64" t="n">
        <x:f>'ОАЭ 2026'!V11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2026'!B12+'ОАЭ 2026'!D12+('ОАЭ 2026'!C12+'ОАЭ 2026'!F12+'ОАЭ 2026'!G12)+(0.35*LN(1+0.6*'Ход 2026'!B18)*POWER(MAX(0,1-'ОАЭ 2026'!I12/10),0.7))))</x:f>
        <x:v>6.05</x:v>
      </x:c>
      <x:c r="C12" s="42" t="n">
        <x:f>MIN(1,'ОАЭ 2026'!C12+'ОАЭ 2026'!F12+(0.08*LN(1+0.5*'Ход 2026'!C18)*MAX(0,1-('ОАЭ 2026'!C12+'ОАЭ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6.05</x:v>
      </x:c>
      <x:c r="J12" s="42"/>
      <x:c r="K12" s="42" t="str">
        <x:v>Управление</x:v>
      </x:c>
      <x:c r="L12" s="42" t="n">
        <x:f>MAX(1,MIN(10,'ОАЭ 2026'!L12+'ОАЭ 2026'!N12+('ОАЭ 2026'!M12+'ОАЭ 2026'!P12+'ОАЭ 2026'!Q12)))</x:f>
        <x:v>8.8</x:v>
      </x:c>
      <x:c r="M12" s="42" t="n">
        <x:f>MIN(1,'ОАЭ 2026'!M12+'ОАЭ 2026'!P12+(0.10*LN(1+0.5*'Ход 2026'!H14)*POWER(MAX(0,1-'ОАЭ 2026'!S12/10),0.8)))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8.8</x:v>
      </x:c>
      <x:c r="T12" s="42"/>
      <x:c r="U12" s="42" t="str">
        <x:v>США</x:v>
      </x:c>
      <x:c r="V12" s="64" t="n">
        <x:f>'ОАЭ 2026'!V12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2026'!B13+'ОАЭ 2026'!D13+('ОАЭ 2026'!C13+'ОАЭ 2026'!F13+'ОАЭ 2026'!G13)+(0.35*LN(1+0.6*'Ход 2026'!B19)*POWER(MAX(0,1-'ОАЭ 2026'!I13/10),0.7))))</x:f>
        <x:v>2.3</x:v>
      </x:c>
      <x:c r="C13" s="42" t="n">
        <x:f>MIN(1,'ОАЭ 2026'!C13+'ОАЭ 2026'!F13+(0.08*LN(1+0.5*'Ход 2026'!C19)*MAX(0,1-('ОАЭ 2026'!C13+'ОАЭ 2026'!F13))))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2.3</x:v>
      </x:c>
      <x:c r="J13" s="42"/>
      <x:c r="K13" s="42" t="str">
        <x:v>Познание</x:v>
      </x:c>
      <x:c r="L13" s="42" t="n">
        <x:f>MAX(1,MIN(10,'ОАЭ 2026'!L13+'ОАЭ 2026'!N13+('ОАЭ 2026'!M13+'ОАЭ 2026'!P13+'ОАЭ 2026'!Q13)))</x:f>
        <x:v>7.8</x:v>
      </x:c>
      <x:c r="M13" s="42" t="n">
        <x:f>MIN(1,'ОАЭ 2026'!M13+'ОАЭ 2026'!P13+(0.10*LN(1+0.5*'Ход 2026'!H15)*POWER(MAX(0,1-'ОАЭ 2026'!S13/10),0.8)))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7.8</x:v>
      </x:c>
      <x:c r="T13" s="42"/>
      <x:c r="U13" s="42" t="str">
        <x:v>Китай</x:v>
      </x:c>
      <x:c r="V13" s="64" t="n">
        <x:f>'ОАЭ 2026'!V13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2026'!B14+'ОАЭ 2026'!D14+('ОАЭ 2026'!C14+'ОАЭ 2026'!F14+'ОАЭ 2026'!G14)+(0.35*LN(1+0.6*'Ход 2026'!B20)*POWER(MAX(0,1-'ОАЭ 2026'!I14/10),0.7))))</x:f>
        <x:v>7.3</x:v>
      </x:c>
      <x:c r="C14" s="42" t="n">
        <x:f>MIN(1,'ОАЭ 2026'!C14+'ОАЭ 2026'!F14+(0.08*LN(1+0.5*'Ход 2026'!C20)*MAX(0,1-('ОАЭ 2026'!C14+'ОАЭ 2026'!F14))))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7.3</x:v>
      </x:c>
      <x:c r="J14" s="42"/>
      <x:c r="K14" s="42" t="str">
        <x:v>Обучение</x:v>
      </x:c>
      <x:c r="L14" s="42" t="n">
        <x:f>MAX(1,MIN(10,'ОАЭ 2026'!L14+'ОАЭ 2026'!N14+('ОАЭ 2026'!M14+'ОАЭ 2026'!P14+'ОАЭ 2026'!Q14)))</x:f>
        <x:v>7.85</x:v>
      </x:c>
      <x:c r="M14" s="42" t="n">
        <x:f>MIN(1,'ОАЭ 2026'!M14+'ОАЭ 2026'!P14+(0.10*LN(1+0.5*'Ход 2026'!H16)*POWER(MAX(0,1-'ОАЭ 2026'!S14/10),0.8)))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7.85</x:v>
      </x:c>
      <x:c r="T14" s="42"/>
      <x:c r="U14" s="42" t="str">
        <x:v>Индия</x:v>
      </x:c>
      <x:c r="V14" s="64" t="n">
        <x:f>'ОАЭ 2026'!V14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2026'!B15+'ОАЭ 2026'!D15+('ОАЭ 2026'!C15+'ОАЭ 2026'!F15+'ОАЭ 2026'!G15)+(0.35*LN(1+0.6*'Ход 2026'!B21)*POWER(MAX(0,1-'ОАЭ 2026'!I15/10),0.7))))</x:f>
        <x:v>8.85</x:v>
      </x:c>
      <x:c r="C15" s="42" t="n">
        <x:f>MIN(1,'ОАЭ 2026'!C15+'ОАЭ 2026'!F15+(0.08*LN(1+0.5*'Ход 2026'!C21)*MAX(0,1-('ОАЭ 2026'!C15+'ОАЭ 2026'!F15))))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8.85</x:v>
      </x:c>
      <x:c r="J15" s="42"/>
      <x:c r="K15" s="42" t="str">
        <x:v>Война</x:v>
      </x:c>
      <x:c r="L15" s="42" t="n">
        <x:f>MAX(1,MIN(10,'ОАЭ 2026'!L15+'ОАЭ 2026'!N15+('ОАЭ 2026'!M15+'ОАЭ 2026'!P15+'ОАЭ 2026'!Q15)))</x:f>
        <x:v>7.25</x:v>
      </x:c>
      <x:c r="M15" s="42" t="n">
        <x:f>MIN(1,'ОАЭ 2026'!M15+'ОАЭ 2026'!P15+(0.10*LN(1+0.5*'Ход 2026'!H17)*POWER(MAX(0,1-'ОАЭ 2026'!S15/10),0.8)))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7.25</x:v>
      </x:c>
      <x:c r="T15" s="42"/>
      <x:c r="U15" s="42" t="str">
        <x:v>Великобритания</x:v>
      </x:c>
      <x:c r="V15" s="64" t="n">
        <x:f>'ОАЭ 2026'!V15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2026'!B16+'ОАЭ 2026'!D16+('ОАЭ 2026'!C16+'ОАЭ 2026'!F16+'ОАЭ 2026'!G16)+(0.35*LN(1+0.6*'Ход 2026'!B22)*POWER(MAX(0,1-'ОАЭ 2026'!I16/10),0.7))))</x:f>
        <x:v>9.65</x:v>
      </x:c>
      <x:c r="C16" s="42" t="n">
        <x:f>MIN(1,'ОАЭ 2026'!C16+'ОАЭ 2026'!F16+(0.08*LN(1+0.5*'Ход 2026'!C22)*MAX(0,1-('ОАЭ 2026'!C16+'ОАЭ 2026'!F16))))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9.65</x:v>
      </x:c>
      <x:c r="J16" s="42"/>
      <x:c r="K16" s="42" t="str">
        <x:v>Экономика</x:v>
      </x:c>
      <x:c r="L16" s="42" t="n">
        <x:f>MAX(1,MIN(10,'ОАЭ 2026'!L16+'ОАЭ 2026'!N16+('ОАЭ 2026'!M16+'ОАЭ 2026'!P16+'ОАЭ 2026'!Q16)))</x:f>
        <x:v>8.8</x:v>
      </x:c>
      <x:c r="M16" s="42" t="n">
        <x:f>MIN(1,'ОАЭ 2026'!M16+'ОАЭ 2026'!P16+(0.10*LN(1+0.5*'Ход 2026'!H18)*POWER(MAX(0,1-'ОАЭ 2026'!S16/10),0.8)))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8.8</x:v>
      </x:c>
      <x:c r="T16" s="42"/>
      <x:c r="U16" s="42" t="str">
        <x:v>Франция</x:v>
      </x:c>
      <x:c r="V16" s="64" t="n">
        <x:f>'ОАЭ 2026'!V16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2026'!B17+'ОАЭ 2026'!D17+('ОАЭ 2026'!C17+'ОАЭ 2026'!F17+'ОАЭ 2026'!G17)+(0.35*LN(1+0.6*'Ход 2026'!B23)*POWER(MAX(0,1-'ОАЭ 2026'!I17/10),0.7))))</x:f>
        <x:v>9.1</x:v>
      </x:c>
      <x:c r="C17" s="42" t="n">
        <x:f>MIN(1,'ОАЭ 2026'!C17+'ОАЭ 2026'!F17+(0.08*LN(1+0.5*'Ход 2026'!C23)*MAX(0,1-('ОАЭ 2026'!C17+'ОАЭ 2026'!F17))))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9.1</x:v>
      </x:c>
      <x:c r="J17" s="42"/>
      <x:c r="K17" s="42" t="str">
        <x:v>Государственное управление</x:v>
      </x:c>
      <x:c r="L17" s="42" t="n">
        <x:f>MAX(1,MIN(10,'ОАЭ 2026'!L17+'ОАЭ 2026'!N17+('ОАЭ 2026'!M17+'ОАЭ 2026'!P17+'ОАЭ 2026'!Q17)))</x:f>
        <x:v>8.75</x:v>
      </x:c>
      <x:c r="M17" s="42" t="n">
        <x:f>MIN(1,'ОАЭ 2026'!M17+'ОАЭ 2026'!P17+(0.10*LN(1+0.5*'Ход 2026'!H19)*POWER(MAX(0,1-'ОАЭ 2026'!S17/10),0.8)))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8.75</x:v>
      </x:c>
      <x:c r="T17" s="42"/>
      <x:c r="U17" s="42" t="str">
        <x:v>Германия</x:v>
      </x:c>
      <x:c r="V17" s="64" t="n">
        <x:f>'ОАЭ 2026'!V17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2026'!L18+'ОАЭ 2026'!N18+('ОАЭ 2026'!M18+'ОАЭ 2026'!P18+'ОАЭ 2026'!Q18)))</x:f>
        <x:v>8.75</x:v>
      </x:c>
      <x:c r="M18" s="42" t="n">
        <x:f>MIN(1,'ОАЭ 2026'!M18+'ОАЭ 2026'!P18+(0.10*LN(1+0.5*'Ход 2026'!H20)*POWER(MAX(0,1-'ОАЭ 2026'!S18/10),0.8)))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8.75</x:v>
      </x:c>
      <x:c r="T18" s="42"/>
      <x:c r="U18" s="42" t="str">
        <x:v>Япония</x:v>
      </x:c>
      <x:c r="V18" s="64" t="n">
        <x:f>'ОАЭ 2026'!V18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2026'!B19+'ОАЭ 2026'!D19+('ОАЭ 2026'!C19+'ОАЭ 2026'!F19+'ОАЭ 2026'!G19)+(0.35*LN(1+0.6*'Ход 2026'!B25)*POWER(MAX(0,1-'ОАЭ 2026'!I19/10),0.7))))</x:f>
        <x:v>7.75</x:v>
      </x:c>
      <x:c r="C19" s="42" t="n">
        <x:f>MIN(1,'ОАЭ 2026'!C19+'ОАЭ 2026'!F19+(0.08*LN(1+0.5*'Ход 2026'!C25)*MAX(0,1-('ОАЭ 2026'!C19+'ОАЭ 2026'!F19))))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2026'!V19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2026'!B20+'ОАЭ 2026'!D20+('ОАЭ 2026'!C20+'ОАЭ 2026'!F20+'ОАЭ 2026'!G20)+(0.35*LN(1+0.6*'Ход 2026'!B26)*POWER(MAX(0,1-'ОАЭ 2026'!I20/10),0.7))))</x:f>
        <x:v>8.3</x:v>
      </x:c>
      <x:c r="C20" s="42" t="n">
        <x:f>MIN(1,'ОАЭ 2026'!C20+'ОАЭ 2026'!F20+(0.08*LN(1+0.5*'Ход 2026'!C26)*MAX(0,1-('ОАЭ 2026'!C20+'ОАЭ 2026'!F20))))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8.3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2026'!V20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2026'!B21+'ОАЭ 2026'!D21+('ОАЭ 2026'!C21+'ОАЭ 2026'!F21+'ОАЭ 2026'!G21)+(0.35*LN(1+0.6*'Ход 2026'!B27)*POWER(MAX(0,1-'ОАЭ 2026'!I21/10),0.7))))</x:f>
        <x:v>7.8</x:v>
      </x:c>
      <x:c r="C21" s="42" t="n">
        <x:f>MIN(1,'ОАЭ 2026'!C21+'ОАЭ 2026'!F21+(0.08*LN(1+0.5*'Ход 2026'!C27)*MAX(0,1-('ОАЭ 2026'!C21+'ОАЭ 2026'!F21))))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2026'!V21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2026'!B22+'ОАЭ 2026'!D22+('ОАЭ 2026'!C22+'ОАЭ 2026'!F22+'ОАЭ 2026'!G22)+(0.35*LN(1+0.6*'Ход 2026'!B28)*POWER(MAX(0,1-'ОАЭ 2026'!I22/10),0.7))))</x:f>
        <x:v>7.2</x:v>
      </x:c>
      <x:c r="C22" s="42" t="n">
        <x:f>MIN(1,'ОАЭ 2026'!C22+'ОАЭ 2026'!F22+(0.08*LN(1+0.5*'Ход 2026'!C28)*MAX(0,1-('ОАЭ 2026'!C22+'ОАЭ 2026'!F22))))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7.2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2026'!V22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2026'!B23+'ОАЭ 2026'!D23+('ОАЭ 2026'!C23+'ОАЭ 2026'!F23+'ОАЭ 2026'!G23)+(0.35*LN(1+0.6*'Ход 2026'!B29)*POWER(MAX(0,1-'ОАЭ 2026'!I23/10),0.7))))</x:f>
        <x:v>7.75</x:v>
      </x:c>
      <x:c r="C23" s="42" t="n">
        <x:f>MIN(1,'ОАЭ 2026'!C23+'ОАЭ 2026'!F23+(0.08*LN(1+0.5*'Ход 2026'!C29)*MAX(0,1-('ОАЭ 2026'!C23+'ОАЭ 2026'!F23))))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2026'!V23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2026'!V24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2026'!B25+'ОАЭ 2026'!D25+('ОАЭ 2026'!C25+'ОАЭ 2026'!F25+'ОАЭ 2026'!G25)+(0.35*LN(1+0.6*'Ход 2026'!B31)*POWER(MAX(0,1-'ОАЭ 2026'!I25/10),0.7))))</x:f>
        <x:v>7.7</x:v>
      </x:c>
      <x:c r="C25" s="42" t="n">
        <x:f>MIN(1,'ОАЭ 2026'!C25+'ОАЭ 2026'!F25+(0.08*LN(1+0.5*'Ход 2026'!C31)*MAX(0,1-('ОАЭ 2026'!C25+'ОАЭ 2026'!F25))))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2026'!V25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2026'!B26+'ОАЭ 2026'!D26+('ОАЭ 2026'!C26+'ОАЭ 2026'!F26+'ОАЭ 2026'!G26)+(0.35*LN(1+0.6*'Ход 2026'!B32)*POWER(MAX(0,1-'ОАЭ 2026'!I26/10),0.7))))</x:f>
        <x:v>7.75</x:v>
      </x:c>
      <x:c r="C26" s="42" t="n">
        <x:f>MIN(1,'ОАЭ 2026'!C26+'ОАЭ 2026'!F26+(0.08*LN(1+0.5*'Ход 2026'!C32)*MAX(0,1-('ОАЭ 2026'!C26+'ОАЭ 2026'!F26))))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2026'!B27+'ОАЭ 2026'!D27+('ОАЭ 2026'!C27+'ОАЭ 2026'!F27+'ОАЭ 2026'!G27)+(0.35*LN(1+0.6*'Ход 2026'!B33)*POWER(MAX(0,1-'ОАЭ 2026'!I27/10),0.7))))</x:f>
        <x:v>8.25</x:v>
      </x:c>
      <x:c r="C27" s="42" t="n">
        <x:f>MIN(1,'ОАЭ 2026'!C27+'ОАЭ 2026'!F27+(0.08*LN(1+0.5*'Ход 2026'!C33)*MAX(0,1-('ОАЭ 2026'!C27+'ОАЭ 2026'!F27))))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8.25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2026'!B28+'ОАЭ 2026'!D28+('ОАЭ 2026'!C28+'ОАЭ 2026'!F28+'ОАЭ 2026'!G28)+(0.35*LN(1+0.6*'Ход 2026'!B34)*POWER(MAX(0,1-'ОАЭ 2026'!I28/10),0.7))))</x:f>
        <x:v>7.8</x:v>
      </x:c>
      <x:c r="C28" s="42" t="n">
        <x:f>MIN(1,'ОАЭ 2026'!C28+'ОАЭ 2026'!F28+(0.08*LN(1+0.5*'Ход 2026'!C34)*MAX(0,1-('ОАЭ 2026'!C28+'ОАЭ 2026'!F28))))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7.8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2026'!B29+'ОАЭ 2026'!D29+('ОАЭ 2026'!C29+'ОАЭ 2026'!F29+'ОАЭ 2026'!G29)+(0.35*LN(1+0.6*'Ход 2026'!B35)*POWER(MAX(0,1-'ОАЭ 2026'!I29/10),0.7))))</x:f>
        <x:v>7.25</x:v>
      </x:c>
      <x:c r="C29" s="42" t="n">
        <x:f>MIN(1,'ОАЭ 2026'!C29+'ОАЭ 2026'!F29+(0.08*LN(1+0.5*'Ход 2026'!C35)*MAX(0,1-('ОАЭ 2026'!C29+'ОАЭ 2026'!F29))))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2026'!B30+'ОАЭ 2026'!D30+('ОАЭ 2026'!C30+'ОАЭ 2026'!F30+'ОАЭ 2026'!G30)+(0.35*LN(1+0.6*'Ход 2026'!B36)*POWER(MAX(0,1-'ОАЭ 2026'!I30/10),0.7))))</x:f>
        <x:v>7.7</x:v>
      </x:c>
      <x:c r="C30" s="42" t="n">
        <x:f>MIN(1,'ОАЭ 2026'!C30+'ОАЭ 2026'!F30+(0.08*LN(1+0.5*'Ход 2026'!C36)*MAX(0,1-('ОАЭ 2026'!C30+'ОАЭ 2026'!F30))))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2026'!B31+'ОАЭ 2026'!D31+('ОАЭ 2026'!C31+'ОАЭ 2026'!F31+'ОАЭ 2026'!G31)+(0.35*LN(1+0.6*'Ход 2026'!B37)*POWER(MAX(0,1-'ОАЭ 2026'!I31/10),0.7))))</x:f>
        <x:v>7.7</x:v>
      </x:c>
      <x:c r="C31" s="42" t="n">
        <x:f>MIN(1,'ОАЭ 2026'!C31+'ОАЭ 2026'!F31+(0.08*LN(1+0.5*'Ход 2026'!C37)*MAX(0,1-('ОАЭ 2026'!C31+'ОАЭ 2026'!F31))))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2026'!B32+'ОАЭ 2026'!D32+('ОАЭ 2026'!C32+'ОАЭ 2026'!F32+'ОАЭ 2026'!G32)+(0.35*LN(1+0.6*'Ход 2026'!B38)*POWER(MAX(0,1-'ОАЭ 2026'!I32/10),0.7))))</x:f>
        <x:v>8.7</x:v>
      </x:c>
      <x:c r="C32" s="42" t="n">
        <x:f>MIN(1,'ОАЭ 2026'!C32+'ОАЭ 2026'!F32+(0.08*LN(1+0.5*'Ход 2026'!C38)*MAX(0,1-('ОАЭ 2026'!C32+'ОАЭ 2026'!F32))))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2026'!B34+'ОАЭ 2026'!D34+('ОАЭ 2026'!C34+'ОАЭ 2026'!F34+'ОАЭ 2026'!G34)+(0.35*LN(1+0.6*'Ход 2026'!B40)*POWER(MAX(0,1-'ОАЭ 2026'!I34/10),0.7))))</x:f>
        <x:v>8.75</x:v>
      </x:c>
      <x:c r="C34" s="42" t="n">
        <x:f>MIN(1,'ОАЭ 2026'!C34+'ОАЭ 2026'!F34+(0.08*LN(1+0.5*'Ход 2026'!C40)*MAX(0,1-('ОАЭ 2026'!C34+'ОАЭ 2026'!F34))))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2026'!B35+'ОАЭ 2026'!D35+('ОАЭ 2026'!C35+'ОАЭ 2026'!F35+'ОАЭ 2026'!G35)+(0.35*LN(1+0.6*'Ход 2026'!B41)*POWER(MAX(0,1-'ОАЭ 2026'!I35/10),0.7))))</x:f>
        <x:v>8.15</x:v>
      </x:c>
      <x:c r="C35" s="42" t="n">
        <x:f>MIN(1,'ОАЭ 2026'!C35+'ОАЭ 2026'!F35+(0.08*LN(1+0.5*'Ход 2026'!C41)*MAX(0,1-('ОАЭ 2026'!C35+'ОАЭ 2026'!F35))))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8.15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2026'!B36+'ОАЭ 2026'!D36+('ОАЭ 2026'!C36+'ОАЭ 2026'!F36+'ОАЭ 2026'!G36)+(0.35*LN(1+0.6*'Ход 2026'!B42)*POWER(MAX(0,1-'ОАЭ 2026'!I36/10),0.7))))</x:f>
        <x:v>9.25</x:v>
      </x:c>
      <x:c r="C36" s="42" t="n">
        <x:f>MIN(1,'ОАЭ 2026'!C36+'ОАЭ 2026'!F36+(0.08*LN(1+0.5*'Ход 2026'!C42)*MAX(0,1-('ОАЭ 2026'!C36+'ОАЭ 2026'!F36))))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9.25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2026'!B37+'ОАЭ 2026'!D37+('ОАЭ 2026'!C37+'ОАЭ 2026'!F37+'ОАЭ 2026'!G37)+(0.35*LN(1+0.6*'Ход 2026'!B43)*POWER(MAX(0,1-'ОАЭ 2026'!I37/10),0.7))))</x:f>
        <x:v>8.8</x:v>
      </x:c>
      <x:c r="C37" s="42" t="n">
        <x:f>MIN(1,'ОАЭ 2026'!C37+'ОАЭ 2026'!F37+(0.08*LN(1+0.5*'Ход 2026'!C43)*MAX(0,1-('ОАЭ 2026'!C37+'ОАЭ 2026'!F37))))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2026'!B38+'ОАЭ 2026'!D38+('ОАЭ 2026'!C38+'ОАЭ 2026'!F38+'ОАЭ 2026'!G38)+(0.35*LN(1+0.6*'Ход 2026'!B44)*POWER(MAX(0,1-'ОАЭ 2026'!I38/10),0.7))))</x:f>
        <x:v>9.25</x:v>
      </x:c>
      <x:c r="C38" s="42" t="n">
        <x:f>MIN(1,'ОАЭ 2026'!C38+'ОАЭ 2026'!F38+(0.08*LN(1+0.5*'Ход 2026'!C44)*MAX(0,1-('ОАЭ 2026'!C38+'ОАЭ 2026'!F38))))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2026'!B39+'ОАЭ 2026'!D39+('ОАЭ 2026'!C39+'ОАЭ 2026'!F39+'ОАЭ 2026'!G39)+(0.35*LN(1+0.6*'Ход 2026'!B45)*POWER(MAX(0,1-'ОАЭ 2026'!I39/10),0.7))))</x:f>
        <x:v>9.25</x:v>
      </x:c>
      <x:c r="C39" s="42" t="n">
        <x:f>MIN(1,'ОАЭ 2026'!C39+'ОАЭ 2026'!F39+(0.08*LN(1+0.5*'Ход 2026'!C45)*MAX(0,1-('ОАЭ 2026'!C39+'ОАЭ 2026'!F39))))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9.25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2026'!B40+'ОАЭ 2026'!D40+('ОАЭ 2026'!C40+'ОАЭ 2026'!F40+'ОАЭ 2026'!G40)+(0.35*LN(1+0.6*'Ход 2026'!B46)*POWER(MAX(0,1-'ОАЭ 2026'!I40/10),0.7))))</x:f>
        <x:v>10</x:v>
      </x:c>
      <x:c r="C40" s="42" t="n">
        <x:f>MIN(1,'ОАЭ 2026'!C40+'ОАЭ 2026'!F40+(0.08*LN(1+0.5*'Ход 2026'!C46)*MAX(0,1-('ОАЭ 2026'!C40+'ОАЭ 2026'!F40))))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2026'!B41+'ОАЭ 2026'!D41+('ОАЭ 2026'!C41+'ОАЭ 2026'!F41+'ОАЭ 2026'!G41)+(0.35*LN(1+0.6*'Ход 2026'!B47)*POWER(MAX(0,1-'ОАЭ 2026'!I41/10),0.7))))</x:f>
        <x:v>8.8</x:v>
      </x:c>
      <x:c r="C41" s="42" t="n">
        <x:f>MIN(1,'ОАЭ 2026'!C41+'ОАЭ 2026'!F41+(0.08*LN(1+0.5*'Ход 2026'!C47)*MAX(0,1-('ОАЭ 2026'!C41+'ОАЭ 2026'!F41))))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2026'!B42+'ОАЭ 2026'!D42+('ОАЭ 2026'!C42+'ОАЭ 2026'!F42+'ОАЭ 2026'!G42)+(0.35*LN(1+0.6*'Ход 2026'!B48)*POWER(MAX(0,1-'ОАЭ 2026'!I42/10),0.7))))</x:f>
        <x:v>9.15</x:v>
      </x:c>
      <x:c r="C42" s="42" t="n">
        <x:f>MIN(1,'ОАЭ 2026'!C42+'ОАЭ 2026'!F42+(0.08*LN(1+0.5*'Ход 2026'!C48)*MAX(0,1-('ОАЭ 2026'!C42+'ОАЭ 2026'!F42))))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2026'!B44+'ОАЭ 2026'!D44+('ОАЭ 2026'!C44+'ОАЭ 2026'!F44+'ОАЭ 2026'!G44)+(0.35*LN(1+0.6*'Ход 2026'!B50)*POWER(MAX(0,1-'ОАЭ 2026'!I44/10),0.7))))</x:f>
        <x:v>8.15</x:v>
      </x:c>
      <x:c r="C44" s="42" t="n">
        <x:f>MIN(1,'ОАЭ 2026'!C44+'ОАЭ 2026'!F44+(0.08*LN(1+0.5*'Ход 2026'!C50)*MAX(0,1-('ОАЭ 2026'!C44+'ОАЭ 2026'!F44))))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8.15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2026'!B45+'ОАЭ 2026'!D45+('ОАЭ 2026'!C45+'ОАЭ 2026'!F45+'ОАЭ 2026'!G45)+(0.35*LN(1+0.6*'Ход 2026'!B51)*POWER(MAX(0,1-'ОАЭ 2026'!I45/10),0.7))))</x:f>
        <x:v>9.2</x:v>
      </x:c>
      <x:c r="C45" s="42" t="n">
        <x:f>MIN(1,'ОАЭ 2026'!C45+'ОАЭ 2026'!F45+(0.08*LN(1+0.5*'Ход 2026'!C51)*MAX(0,1-('ОАЭ 2026'!C45+'ОАЭ 2026'!F45))))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2026'!B46+'ОАЭ 2026'!D46+('ОАЭ 2026'!C46+'ОАЭ 2026'!F46+'ОАЭ 2026'!G46)+(0.35*LN(1+0.6*'Ход 2026'!B52)*POWER(MAX(0,1-'ОАЭ 2026'!I46/10),0.7))))</x:f>
        <x:v>9.2</x:v>
      </x:c>
      <x:c r="C46" s="42" t="n">
        <x:f>MIN(1,'ОАЭ 2026'!C46+'ОАЭ 2026'!F46+(0.08*LN(1+0.5*'Ход 2026'!C52)*MAX(0,1-('ОАЭ 2026'!C46+'ОАЭ 2026'!F46))))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2026'!B47+'ОАЭ 2026'!D47+('ОАЭ 2026'!C47+'ОАЭ 2026'!F47+'ОАЭ 2026'!G47)+(0.35*LN(1+0.6*'Ход 2026'!B53)*POWER(MAX(0,1-'ОАЭ 2026'!I47/10),0.7))))</x:f>
        <x:v>8.1</x:v>
      </x:c>
      <x:c r="C47" s="42" t="n">
        <x:f>MIN(1,'ОАЭ 2026'!C47+'ОАЭ 2026'!F47+(0.08*LN(1+0.5*'Ход 2026'!C53)*MAX(0,1-('ОАЭ 2026'!C47+'ОАЭ 2026'!F47))))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2026'!B48+'ОАЭ 2026'!D48+('ОАЭ 2026'!C48+'ОАЭ 2026'!F48+'ОАЭ 2026'!G48)+(0.35*LN(1+0.6*'Ход 2026'!B54)*POWER(MAX(0,1-'ОАЭ 2026'!I48/10),0.7))))</x:f>
        <x:v>8.1</x:v>
      </x:c>
      <x:c r="C48" s="42" t="n">
        <x:f>MIN(1,'ОАЭ 2026'!C48+'ОАЭ 2026'!F48+(0.08*LN(1+0.5*'Ход 2026'!C54)*MAX(0,1-('ОАЭ 2026'!C48+'ОАЭ 2026'!F48))))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2026'!B49+'ОАЭ 2026'!D49+('ОАЭ 2026'!C49+'ОАЭ 2026'!F49+'ОАЭ 2026'!G49)+(0.35*LN(1+0.6*'Ход 2026'!B55)*POWER(MAX(0,1-'ОАЭ 2026'!I49/10),0.7))))</x:f>
        <x:v>9.25</x:v>
      </x:c>
      <x:c r="C49" s="42" t="n">
        <x:f>MIN(1,'ОАЭ 2026'!C49+'ОАЭ 2026'!F49+(0.08*LN(1+0.5*'Ход 2026'!C55)*MAX(0,1-('ОАЭ 2026'!C49+'ОАЭ 2026'!F49))))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9.25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2026'!B50+'ОАЭ 2026'!D50+('ОАЭ 2026'!C50+'ОАЭ 2026'!F50+'ОАЭ 2026'!G50)+(0.35*LN(1+0.6*'Ход 2026'!B56)*POWER(MAX(0,1-'ОАЭ 2026'!I50/10),0.7))))</x:f>
        <x:v>9.05</x:v>
      </x:c>
      <x:c r="C50" s="42" t="n">
        <x:f>MIN(1,'ОАЭ 2026'!C50+'ОАЭ 2026'!F50+(0.08*LN(1+0.5*'Ход 2026'!C56)*MAX(0,1-('ОАЭ 2026'!C50+'ОАЭ 2026'!F50))))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2026'!B51+'ОАЭ 2026'!D51+('ОАЭ 2026'!C51+'ОАЭ 2026'!F51+'ОАЭ 2026'!G51)+(0.35*LN(1+0.6*'Ход 2026'!B57)*POWER(MAX(0,1-'ОАЭ 2026'!I51/10),0.7))))</x:f>
        <x:v>9.2</x:v>
      </x:c>
      <x:c r="C51" s="42" t="n">
        <x:f>MIN(1,'ОАЭ 2026'!C51+'ОАЭ 2026'!F51+(0.08*LN(1+0.5*'Ход 2026'!C57)*MAX(0,1-('ОАЭ 2026'!C51+'ОАЭ 2026'!F51))))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2026'!B53+'ОАЭ 2026'!D53+('ОАЭ 2026'!C53+'ОАЭ 2026'!F53+'ОАЭ 2026'!G53)+(0.35*LN(1+0.6*'Ход 2026'!B59)*POWER(MAX(0,1-'ОАЭ 2026'!I53/10),0.7))))</x:f>
        <x:v>8.2</x:v>
      </x:c>
      <x:c r="C53" s="42" t="n">
        <x:f>MIN(1,'ОАЭ 2026'!C53+'ОАЭ 2026'!F53+(0.08*LN(1+0.5*'Ход 2026'!C59)*MAX(0,1-('ОАЭ 2026'!C53+'ОАЭ 2026'!F53))))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8.2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2026'!B54+'ОАЭ 2026'!D54+('ОАЭ 2026'!C54+'ОАЭ 2026'!F54+'ОАЭ 2026'!G54)+(0.35*LN(1+0.6*'Ход 2026'!B60)*POWER(MAX(0,1-'ОАЭ 2026'!I54/10),0.7))))</x:f>
        <x:v>8.2</x:v>
      </x:c>
      <x:c r="C54" s="42" t="n">
        <x:f>MIN(1,'ОАЭ 2026'!C54+'ОАЭ 2026'!F54+(0.08*LN(1+0.5*'Ход 2026'!C60)*MAX(0,1-('ОАЭ 2026'!C54+'ОАЭ 2026'!F54))))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8.2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2026'!B55+'ОАЭ 2026'!D55+('ОАЭ 2026'!C55+'ОАЭ 2026'!F55+'ОАЭ 2026'!G55)+(0.35*LN(1+0.6*'Ход 2026'!B61)*POWER(MAX(0,1-'ОАЭ 2026'!I55/10),0.7))))</x:f>
        <x:v>7.15</x:v>
      </x:c>
      <x:c r="C55" s="42" t="n">
        <x:f>MIN(1,'ОАЭ 2026'!C55+'ОАЭ 2026'!F55+(0.08*LN(1+0.5*'Ход 2026'!C61)*MAX(0,1-('ОАЭ 2026'!C55+'ОАЭ 2026'!F55))))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7.15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2027'!U6</x:f>
        <x:v>91.21565951080906</x:v>
      </x:c>
      <x:c r="C6" s="42"/>
      <x:c r="D6" s="42"/>
      <x:c r="E6" s="42" t="str">
        <x:v>Доступно</x:v>
      </x:c>
      <x:c r="F6" s="42" t="n">
        <x:f>'ОАЭ 2027'!K6</x:f>
        <x:v>71.2183704788593</x:v>
      </x:c>
      <x:c r="G6" s="42"/>
      <x:c r="H6" s="42"/>
      <x:c r="I6" s="42" t="str">
        <x:v>Доступно</x:v>
      </x:c>
      <x:c r="J6" s="42" t="n">
        <x:f>'ОАЭ 2027'!N6</x:f>
        <x:v>68.58870501826462</x:v>
      </x:c>
      <x:c r="K6" s="42"/>
      <x:c r="L6" s="42"/>
      <x:c r="M6" s="42" t="str">
        <x:v>Доступно</x:v>
      </x:c>
      <x:c r="N6" s="42" t="n">
        <x:f>'ОАЭ 2027'!Q6</x:f>
        <x:v>83.3785735194036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91.21565951080906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71.2183704788593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68.58870501826462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83.3785735194036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2027'!V11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55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2027'!V12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20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2027'!V13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40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2027'!V14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93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2027'!V15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61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2027'!V16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17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2027'!V17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2027'!V18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12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2027'!V19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10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2027'!V20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10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2027'!V21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24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2027'!V22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45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2027'!V23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60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2027'!V24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62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2027'!V25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73.12109249351393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70.08540262603125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84.86976544606141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92.35394760609536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2027'!B8+'ОАЭ 2027'!D8+('ОАЭ 2027'!C8+'ОАЭ 2027'!F8+'ОАЭ 2027'!G8)+(0.35*LN(1+0.6*'Ход 2027'!B14)*POWER(MAX(0,1-'ОАЭ 2027'!I8/10),0.7))))</x:f>
        <x:v>7.6</x:v>
      </x:c>
      <x:c r="C8" s="42" t="n">
        <x:f>MIN(1,'ОАЭ 2027'!C8+'ОАЭ 2027'!F8+(0.08*LN(1+0.5*'Ход 2027'!C14)*MAX(0,1-('ОАЭ 2027'!C8+'ОАЭ 2027'!F8))))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2027'!B9+'ОАЭ 2027'!D9+('ОАЭ 2027'!C9+'ОАЭ 2027'!F9+'ОАЭ 2027'!G9)+(0.35*LN(1+0.6*'Ход 2027'!B15)*POWER(MAX(0,1-'ОАЭ 2027'!I9/10),0.7))))</x:f>
        <x:v>7.699999999999999</x:v>
      </x:c>
      <x:c r="C9" s="42" t="n">
        <x:f>MIN(1,'ОАЭ 2027'!C9+'ОАЭ 2027'!F9+(0.08*LN(1+0.5*'Ход 2027'!C15)*MAX(0,1-('ОАЭ 2027'!C9+'ОАЭ 2027'!F9))))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7.699999999999999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2027'!B10+'ОАЭ 2027'!D10+('ОАЭ 2027'!C10+'ОАЭ 2027'!F10+'ОАЭ 2027'!G10)+(0.35*LN(1+0.6*'Ход 2027'!B16)*POWER(MAX(0,1-'ОАЭ 2027'!I10/10),0.7))))</x:f>
        <x:v>9.600000000000001</x:v>
      </x:c>
      <x:c r="C10" s="42" t="n">
        <x:f>MIN(1,'ОАЭ 2027'!C10+'ОАЭ 2027'!F10+(0.08*LN(1+0.5*'Ход 2027'!C16)*MAX(0,1-('ОАЭ 2027'!C10+'ОАЭ 2027'!F10))))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9.600000000000001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2027'!B11+'ОАЭ 2027'!D11+('ОАЭ 2027'!C11+'ОАЭ 2027'!F11+'ОАЭ 2027'!G11)+(0.35*LN(1+0.6*'Ход 2027'!B17)*POWER(MAX(0,1-'ОАЭ 2027'!I11/10),0.7))))</x:f>
        <x:v>4.1</x:v>
      </x:c>
      <x:c r="C11" s="42" t="n">
        <x:f>MIN(1,'ОАЭ 2027'!C11+'ОАЭ 2027'!F11+(0.08*LN(1+0.5*'Ход 2027'!C17)*MAX(0,1-('ОАЭ 2027'!C11+'ОАЭ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4.1</x:v>
      </x:c>
      <x:c r="J11" s="42"/>
      <x:c r="K11" s="42" t="str">
        <x:v>Производство</x:v>
      </x:c>
      <x:c r="L11" s="42" t="n">
        <x:f>MAX(1,MIN(10,'ОАЭ 2027'!L11+'ОАЭ 2027'!N11+('ОАЭ 2027'!M11+'ОАЭ 2027'!P11+'ОАЭ 2027'!Q11)))</x:f>
        <x:v>7.699999999999999</x:v>
      </x:c>
      <x:c r="M11" s="42" t="n">
        <x:f>MIN(1,'ОАЭ 2027'!M11+'ОАЭ 2027'!P11+(0.10*LN(1+0.5*'Ход 2027'!H13)*POWER(MAX(0,1-'ОАЭ 2027'!S11/10),0.8)))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7.699999999999999</x:v>
      </x:c>
      <x:c r="T11" s="42"/>
      <x:c r="U11" s="42" t="str">
        <x:v>Россия</x:v>
      </x:c>
      <x:c r="V11" s="64" t="n">
        <x:f>'ОАЭ 2027'!V11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2027'!B12+'ОАЭ 2027'!D12+('ОАЭ 2027'!C12+'ОАЭ 2027'!F12+'ОАЭ 2027'!G12)+(0.35*LN(1+0.6*'Ход 2027'!B18)*POWER(MAX(0,1-'ОАЭ 2027'!I12/10),0.7))))</x:f>
        <x:v>6.1</x:v>
      </x:c>
      <x:c r="C12" s="42" t="n">
        <x:f>MIN(1,'ОАЭ 2027'!C12+'ОАЭ 2027'!F12+(0.08*LN(1+0.5*'Ход 2027'!C18)*MAX(0,1-('ОАЭ 2027'!C12+'ОАЭ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</x:v>
      </x:c>
      <x:c r="J12" s="42"/>
      <x:c r="K12" s="42" t="str">
        <x:v>Управление</x:v>
      </x:c>
      <x:c r="L12" s="42" t="n">
        <x:f>MAX(1,MIN(10,'ОАЭ 2027'!L12+'ОАЭ 2027'!N12+('ОАЭ 2027'!M12+'ОАЭ 2027'!P12+'ОАЭ 2027'!Q12)))</x:f>
        <x:v>9.100000000000001</x:v>
      </x:c>
      <x:c r="M12" s="42" t="n">
        <x:f>MIN(1,'ОАЭ 2027'!M12+'ОАЭ 2027'!P12+(0.10*LN(1+0.5*'Ход 2027'!H14)*POWER(MAX(0,1-'ОАЭ 2027'!S12/10),0.8)))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9.100000000000001</x:v>
      </x:c>
      <x:c r="T12" s="42"/>
      <x:c r="U12" s="42" t="str">
        <x:v>США</x:v>
      </x:c>
      <x:c r="V12" s="64" t="n">
        <x:f>'ОАЭ 2027'!V12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2027'!B13+'ОАЭ 2027'!D13+('ОАЭ 2027'!C13+'ОАЭ 2027'!F13+'ОАЭ 2027'!G13)+(0.35*LN(1+0.6*'Ход 2027'!B19)*POWER(MAX(0,1-'ОАЭ 2027'!I13/10),0.7))))</x:f>
        <x:v>2.5999999999999996</x:v>
      </x:c>
      <x:c r="C13" s="42" t="n">
        <x:f>MIN(1,'ОАЭ 2027'!C13+'ОАЭ 2027'!F13+(0.08*LN(1+0.5*'Ход 2027'!C19)*MAX(0,1-('ОАЭ 2027'!C13+'ОАЭ 2027'!F13))))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2.5999999999999996</x:v>
      </x:c>
      <x:c r="J13" s="42"/>
      <x:c r="K13" s="42" t="str">
        <x:v>Познание</x:v>
      </x:c>
      <x:c r="L13" s="42" t="n">
        <x:f>MAX(1,MIN(10,'ОАЭ 2027'!L13+'ОАЭ 2027'!N13+('ОАЭ 2027'!M13+'ОАЭ 2027'!P13+'ОАЭ 2027'!Q13)))</x:f>
        <x:v>8.1</x:v>
      </x:c>
      <x:c r="M13" s="42" t="n">
        <x:f>MIN(1,'ОАЭ 2027'!M13+'ОАЭ 2027'!P13+(0.10*LN(1+0.5*'Ход 2027'!H15)*POWER(MAX(0,1-'ОАЭ 2027'!S13/10),0.8)))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8.1</x:v>
      </x:c>
      <x:c r="T13" s="42"/>
      <x:c r="U13" s="42" t="str">
        <x:v>Китай</x:v>
      </x:c>
      <x:c r="V13" s="64" t="n">
        <x:f>'ОАЭ 2027'!V13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2027'!B14+'ОАЭ 2027'!D14+('ОАЭ 2027'!C14+'ОАЭ 2027'!F14+'ОАЭ 2027'!G14)+(0.35*LN(1+0.6*'Ход 2027'!B20)*POWER(MAX(0,1-'ОАЭ 2027'!I14/10),0.7))))</x:f>
        <x:v>7.6</x:v>
      </x:c>
      <x:c r="C14" s="42" t="n">
        <x:f>MIN(1,'ОАЭ 2027'!C14+'ОАЭ 2027'!F14+(0.08*LN(1+0.5*'Ход 2027'!C20)*MAX(0,1-('ОАЭ 2027'!C14+'ОАЭ 2027'!F14))))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7.6</x:v>
      </x:c>
      <x:c r="J14" s="42"/>
      <x:c r="K14" s="42" t="str">
        <x:v>Обучение</x:v>
      </x:c>
      <x:c r="L14" s="42" t="n">
        <x:f>MAX(1,MIN(10,'ОАЭ 2027'!L14+'ОАЭ 2027'!N14+('ОАЭ 2027'!M14+'ОАЭ 2027'!P14+'ОАЭ 2027'!Q14)))</x:f>
        <x:v>8.2</x:v>
      </x:c>
      <x:c r="M14" s="42" t="n">
        <x:f>MIN(1,'ОАЭ 2027'!M14+'ОАЭ 2027'!P14+(0.10*LN(1+0.5*'Ход 2027'!H16)*POWER(MAX(0,1-'ОАЭ 2027'!S14/10),0.8)))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</x:v>
      </x:c>
      <x:c r="T14" s="42"/>
      <x:c r="U14" s="42" t="str">
        <x:v>Индия</x:v>
      </x:c>
      <x:c r="V14" s="64" t="n">
        <x:f>'ОАЭ 2027'!V14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2027'!B15+'ОАЭ 2027'!D15+('ОАЭ 2027'!C15+'ОАЭ 2027'!F15+'ОАЭ 2027'!G15)+(0.35*LN(1+0.6*'Ход 2027'!B21)*POWER(MAX(0,1-'ОАЭ 2027'!I15/10),0.7))))</x:f>
        <x:v>9.2</x:v>
      </x:c>
      <x:c r="C15" s="42" t="n">
        <x:f>MIN(1,'ОАЭ 2027'!C15+'ОАЭ 2027'!F15+(0.08*LN(1+0.5*'Ход 2027'!C21)*MAX(0,1-('ОАЭ 2027'!C15+'ОАЭ 2027'!F15))))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9.2</x:v>
      </x:c>
      <x:c r="J15" s="42"/>
      <x:c r="K15" s="42" t="str">
        <x:v>Война</x:v>
      </x:c>
      <x:c r="L15" s="42" t="n">
        <x:f>MAX(1,MIN(10,'ОАЭ 2027'!L15+'ОАЭ 2027'!N15+('ОАЭ 2027'!M15+'ОАЭ 2027'!P15+'ОАЭ 2027'!Q15)))</x:f>
        <x:v>7.5</x:v>
      </x:c>
      <x:c r="M15" s="42" t="n">
        <x:f>MIN(1,'ОАЭ 2027'!M15+'ОАЭ 2027'!P15+(0.10*LN(1+0.5*'Ход 2027'!H17)*POWER(MAX(0,1-'ОАЭ 2027'!S15/10),0.8)))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7.5</x:v>
      </x:c>
      <x:c r="T15" s="42"/>
      <x:c r="U15" s="42" t="str">
        <x:v>Великобритания</x:v>
      </x:c>
      <x:c r="V15" s="64" t="n">
        <x:f>'ОАЭ 2027'!V15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2027'!B16+'ОАЭ 2027'!D16+('ОАЭ 2027'!C16+'ОАЭ 2027'!F16+'ОАЭ 2027'!G16)+(0.35*LN(1+0.6*'Ход 2027'!B22)*POWER(MAX(0,1-'ОАЭ 2027'!I16/10),0.7))))</x:f>
        <x:v>9.8</x:v>
      </x:c>
      <x:c r="C16" s="42" t="n">
        <x:f>MIN(1,'ОАЭ 2027'!C16+'ОАЭ 2027'!F16+(0.08*LN(1+0.5*'Ход 2027'!C22)*MAX(0,1-('ОАЭ 2027'!C16+'ОАЭ 2027'!F16))))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9.8</x:v>
      </x:c>
      <x:c r="J16" s="42"/>
      <x:c r="K16" s="42" t="str">
        <x:v>Экономика</x:v>
      </x:c>
      <x:c r="L16" s="42" t="n">
        <x:f>MAX(1,MIN(10,'ОАЭ 2027'!L16+'ОАЭ 2027'!N16+('ОАЭ 2027'!M16+'ОАЭ 2027'!P16+'ОАЭ 2027'!Q16)))</x:f>
        <x:v>9.100000000000001</x:v>
      </x:c>
      <x:c r="M16" s="42" t="n">
        <x:f>MIN(1,'ОАЭ 2027'!M16+'ОАЭ 2027'!P16+(0.10*LN(1+0.5*'Ход 2027'!H18)*POWER(MAX(0,1-'ОАЭ 2027'!S16/10),0.8)))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9.100000000000001</x:v>
      </x:c>
      <x:c r="T16" s="42"/>
      <x:c r="U16" s="42" t="str">
        <x:v>Франция</x:v>
      </x:c>
      <x:c r="V16" s="64" t="n">
        <x:f>'ОАЭ 2027'!V16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2027'!B17+'ОАЭ 2027'!D17+('ОАЭ 2027'!C17+'ОАЭ 2027'!F17+'ОАЭ 2027'!G17)+(0.35*LN(1+0.6*'Ход 2027'!B23)*POWER(MAX(0,1-'ОАЭ 2027'!I17/10),0.7))))</x:f>
        <x:v>9.2</x:v>
      </x:c>
      <x:c r="C17" s="42" t="n">
        <x:f>MIN(1,'ОАЭ 2027'!C17+'ОАЭ 2027'!F17+(0.08*LN(1+0.5*'Ход 2027'!C23)*MAX(0,1-('ОАЭ 2027'!C17+'ОАЭ 2027'!F17))))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9.2</x:v>
      </x:c>
      <x:c r="J17" s="42"/>
      <x:c r="K17" s="42" t="str">
        <x:v>Государственное управление</x:v>
      </x:c>
      <x:c r="L17" s="42" t="n">
        <x:f>MAX(1,MIN(10,'ОАЭ 2027'!L17+'ОАЭ 2027'!N17+('ОАЭ 2027'!M17+'ОАЭ 2027'!P17+'ОАЭ 2027'!Q17)))</x:f>
        <x:v>9</x:v>
      </x:c>
      <x:c r="M17" s="42" t="n">
        <x:f>MIN(1,'ОАЭ 2027'!M17+'ОАЭ 2027'!P17+(0.10*LN(1+0.5*'Ход 2027'!H19)*POWER(MAX(0,1-'ОАЭ 2027'!S17/10),0.8)))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</x:v>
      </x:c>
      <x:c r="T17" s="42"/>
      <x:c r="U17" s="42" t="str">
        <x:v>Германия</x:v>
      </x:c>
      <x:c r="V17" s="64" t="n">
        <x:f>'ОАЭ 2027'!V17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2027'!L18+'ОАЭ 2027'!N18+('ОАЭ 2027'!M18+'ОАЭ 2027'!P18+'ОАЭ 2027'!Q18)))</x:f>
        <x:v>9</x:v>
      </x:c>
      <x:c r="M18" s="42" t="n">
        <x:f>MIN(1,'ОАЭ 2027'!M18+'ОАЭ 2027'!P18+(0.10*LN(1+0.5*'Ход 2027'!H20)*POWER(MAX(0,1-'ОАЭ 2027'!S18/10),0.8)))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</x:v>
      </x:c>
      <x:c r="T18" s="42"/>
      <x:c r="U18" s="42" t="str">
        <x:v>Япония</x:v>
      </x:c>
      <x:c r="V18" s="64" t="n">
        <x:f>'ОАЭ 2027'!V18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2027'!B19+'ОАЭ 2027'!D19+('ОАЭ 2027'!C19+'ОАЭ 2027'!F19+'ОАЭ 2027'!G19)+(0.35*LN(1+0.6*'Ход 2027'!B25)*POWER(MAX(0,1-'ОАЭ 2027'!I19/10),0.7))))</x:f>
        <x:v>8</x:v>
      </x:c>
      <x:c r="C19" s="42" t="n">
        <x:f>MIN(1,'ОАЭ 2027'!C19+'ОАЭ 2027'!F19+(0.08*LN(1+0.5*'Ход 2027'!C25)*MAX(0,1-('ОАЭ 2027'!C19+'ОАЭ 2027'!F19))))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2027'!V19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2027'!B20+'ОАЭ 2027'!D20+('ОАЭ 2027'!C20+'ОАЭ 2027'!F20+'ОАЭ 2027'!G20)+(0.35*LN(1+0.6*'Ход 2027'!B26)*POWER(MAX(0,1-'ОАЭ 2027'!I20/10),0.7))))</x:f>
        <x:v>8.600000000000001</x:v>
      </x:c>
      <x:c r="C20" s="42" t="n">
        <x:f>MIN(1,'ОАЭ 2027'!C20+'ОАЭ 2027'!F20+(0.08*LN(1+0.5*'Ход 2027'!C26)*MAX(0,1-('ОАЭ 2027'!C20+'ОАЭ 2027'!F20))))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8.600000000000001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2027'!V20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2027'!B21+'ОАЭ 2027'!D21+('ОАЭ 2027'!C21+'ОАЭ 2027'!F21+'ОАЭ 2027'!G21)+(0.35*LN(1+0.6*'Ход 2027'!B27)*POWER(MAX(0,1-'ОАЭ 2027'!I21/10),0.7))))</x:f>
        <x:v>8.1</x:v>
      </x:c>
      <x:c r="C21" s="42" t="n">
        <x:f>MIN(1,'ОАЭ 2027'!C21+'ОАЭ 2027'!F21+(0.08*LN(1+0.5*'Ход 2027'!C27)*MAX(0,1-('ОАЭ 2027'!C21+'ОАЭ 2027'!F21))))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2027'!V21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2027'!B22+'ОАЭ 2027'!D22+('ОАЭ 2027'!C22+'ОАЭ 2027'!F22+'ОАЭ 2027'!G22)+(0.35*LN(1+0.6*'Ход 2027'!B28)*POWER(MAX(0,1-'ОАЭ 2027'!I22/10),0.7))))</x:f>
        <x:v>7.4</x:v>
      </x:c>
      <x:c r="C22" s="42" t="n">
        <x:f>MIN(1,'ОАЭ 2027'!C22+'ОАЭ 2027'!F22+(0.08*LN(1+0.5*'Ход 2027'!C28)*MAX(0,1-('ОАЭ 2027'!C22+'ОАЭ 2027'!F22))))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7.4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2027'!V22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2027'!B23+'ОАЭ 2027'!D23+('ОАЭ 2027'!C23+'ОАЭ 2027'!F23+'ОАЭ 2027'!G23)+(0.35*LN(1+0.6*'Ход 2027'!B29)*POWER(MAX(0,1-'ОАЭ 2027'!I23/10),0.7))))</x:f>
        <x:v>8</x:v>
      </x:c>
      <x:c r="C23" s="42" t="n">
        <x:f>MIN(1,'ОАЭ 2027'!C23+'ОАЭ 2027'!F23+(0.08*LN(1+0.5*'Ход 2027'!C29)*MAX(0,1-('ОАЭ 2027'!C23+'ОАЭ 2027'!F23))))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2027'!V23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2027'!V24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2027'!B25+'ОАЭ 2027'!D25+('ОАЭ 2027'!C25+'ОАЭ 2027'!F25+'ОАЭ 2027'!G25)+(0.35*LN(1+0.6*'Ход 2027'!B31)*POWER(MAX(0,1-'ОАЭ 2027'!I25/10),0.7))))</x:f>
        <x:v>7.9</x:v>
      </x:c>
      <x:c r="C25" s="42" t="n">
        <x:f>MIN(1,'ОАЭ 2027'!C25+'ОАЭ 2027'!F25+(0.08*LN(1+0.5*'Ход 2027'!C31)*MAX(0,1-('ОАЭ 2027'!C25+'ОАЭ 2027'!F25))))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7.9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2027'!V25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2027'!B26+'ОАЭ 2027'!D26+('ОАЭ 2027'!C26+'ОАЭ 2027'!F26+'ОАЭ 2027'!G26)+(0.35*LN(1+0.6*'Ход 2027'!B32)*POWER(MAX(0,1-'ОАЭ 2027'!I26/10),0.7))))</x:f>
        <x:v>8</x:v>
      </x:c>
      <x:c r="C26" s="42" t="n">
        <x:f>MIN(1,'ОАЭ 2027'!C26+'ОАЭ 2027'!F26+(0.08*LN(1+0.5*'Ход 2027'!C32)*MAX(0,1-('ОАЭ 2027'!C26+'ОАЭ 2027'!F26))))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2027'!B27+'ОАЭ 2027'!D27+('ОАЭ 2027'!C27+'ОАЭ 2027'!F27+'ОАЭ 2027'!G27)+(0.35*LN(1+0.6*'Ход 2027'!B33)*POWER(MAX(0,1-'ОАЭ 2027'!I27/10),0.7))))</x:f>
        <x:v>8.5</x:v>
      </x:c>
      <x:c r="C27" s="42" t="n">
        <x:f>MIN(1,'ОАЭ 2027'!C27+'ОАЭ 2027'!F27+(0.08*LN(1+0.5*'Ход 2027'!C33)*MAX(0,1-('ОАЭ 2027'!C27+'ОАЭ 2027'!F27))))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2027'!B28+'ОАЭ 2027'!D28+('ОАЭ 2027'!C28+'ОАЭ 2027'!F28+'ОАЭ 2027'!G28)+(0.35*LN(1+0.6*'Ход 2027'!B34)*POWER(MAX(0,1-'ОАЭ 2027'!I28/10),0.7))))</x:f>
        <x:v>8.1</x:v>
      </x:c>
      <x:c r="C28" s="42" t="n">
        <x:f>MIN(1,'ОАЭ 2027'!C28+'ОАЭ 2027'!F28+(0.08*LN(1+0.5*'Ход 2027'!C34)*MAX(0,1-('ОАЭ 2027'!C28+'ОАЭ 2027'!F28))))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2027'!B29+'ОАЭ 2027'!D29+('ОАЭ 2027'!C29+'ОАЭ 2027'!F29+'ОАЭ 2027'!G29)+(0.35*LN(1+0.6*'Ход 2027'!B35)*POWER(MAX(0,1-'ОАЭ 2027'!I29/10),0.7))))</x:f>
        <x:v>7.5</x:v>
      </x:c>
      <x:c r="C29" s="42" t="n">
        <x:f>MIN(1,'ОАЭ 2027'!C29+'ОАЭ 2027'!F29+(0.08*LN(1+0.5*'Ход 2027'!C35)*MAX(0,1-('ОАЭ 2027'!C29+'ОАЭ 2027'!F29))))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2027'!B30+'ОАЭ 2027'!D30+('ОАЭ 2027'!C30+'ОАЭ 2027'!F30+'ОАЭ 2027'!G30)+(0.35*LN(1+0.6*'Ход 2027'!B36)*POWER(MAX(0,1-'ОАЭ 2027'!I30/10),0.7))))</x:f>
        <x:v>7.9</x:v>
      </x:c>
      <x:c r="C30" s="42" t="n">
        <x:f>MIN(1,'ОАЭ 2027'!C30+'ОАЭ 2027'!F30+(0.08*LN(1+0.5*'Ход 2027'!C36)*MAX(0,1-('ОАЭ 2027'!C30+'ОАЭ 2027'!F30))))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2027'!B31+'ОАЭ 2027'!D31+('ОАЭ 2027'!C31+'ОАЭ 2027'!F31+'ОАЭ 2027'!G31)+(0.35*LN(1+0.6*'Ход 2027'!B37)*POWER(MAX(0,1-'ОАЭ 2027'!I31/10),0.7))))</x:f>
        <x:v>7.9</x:v>
      </x:c>
      <x:c r="C31" s="42" t="n">
        <x:f>MIN(1,'ОАЭ 2027'!C31+'ОАЭ 2027'!F31+(0.08*LN(1+0.5*'Ход 2027'!C37)*MAX(0,1-('ОАЭ 2027'!C31+'ОАЭ 2027'!F31))))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2027'!B32+'ОАЭ 2027'!D32+('ОАЭ 2027'!C32+'ОАЭ 2027'!F32+'ОАЭ 2027'!G32)+(0.35*LN(1+0.6*'Ход 2027'!B38)*POWER(MAX(0,1-'ОАЭ 2027'!I32/10),0.7))))</x:f>
        <x:v>8.899999999999999</x:v>
      </x:c>
      <x:c r="C32" s="42" t="n">
        <x:f>MIN(1,'ОАЭ 2027'!C32+'ОАЭ 2027'!F32+(0.08*LN(1+0.5*'Ход 2027'!C38)*MAX(0,1-('ОАЭ 2027'!C32+'ОАЭ 2027'!F32))))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8.899999999999999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2027'!B34+'ОАЭ 2027'!D34+('ОАЭ 2027'!C34+'ОАЭ 2027'!F34+'ОАЭ 2027'!G34)+(0.35*LN(1+0.6*'Ход 2027'!B40)*POWER(MAX(0,1-'ОАЭ 2027'!I34/10),0.7))))</x:f>
        <x:v>9</x:v>
      </x:c>
      <x:c r="C34" s="42" t="n">
        <x:f>MIN(1,'ОАЭ 2027'!C34+'ОАЭ 2027'!F34+(0.08*LN(1+0.5*'Ход 2027'!C40)*MAX(0,1-('ОАЭ 2027'!C34+'ОАЭ 2027'!F34))))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2027'!B35+'ОАЭ 2027'!D35+('ОАЭ 2027'!C35+'ОАЭ 2027'!F35+'ОАЭ 2027'!G35)+(0.35*LN(1+0.6*'Ход 2027'!B41)*POWER(MAX(0,1-'ОАЭ 2027'!I35/10),0.7))))</x:f>
        <x:v>8.3</x:v>
      </x:c>
      <x:c r="C35" s="42" t="n">
        <x:f>MIN(1,'ОАЭ 2027'!C35+'ОАЭ 2027'!F35+(0.08*LN(1+0.5*'Ход 2027'!C41)*MAX(0,1-('ОАЭ 2027'!C35+'ОАЭ 2027'!F35))))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2027'!B36+'ОАЭ 2027'!D36+('ОАЭ 2027'!C36+'ОАЭ 2027'!F36+'ОАЭ 2027'!G36)+(0.35*LN(1+0.6*'Ход 2027'!B42)*POWER(MAX(0,1-'ОАЭ 2027'!I36/10),0.7))))</x:f>
        <x:v>9.5</x:v>
      </x:c>
      <x:c r="C36" s="42" t="n">
        <x:f>MIN(1,'ОАЭ 2027'!C36+'ОАЭ 2027'!F36+(0.08*LN(1+0.5*'Ход 2027'!C42)*MAX(0,1-('ОАЭ 2027'!C36+'ОАЭ 2027'!F36))))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2027'!B37+'ОАЭ 2027'!D37+('ОАЭ 2027'!C37+'ОАЭ 2027'!F37+'ОАЭ 2027'!G37)+(0.35*LN(1+0.6*'Ход 2027'!B43)*POWER(MAX(0,1-'ОАЭ 2027'!I37/10),0.7))))</x:f>
        <x:v>9.100000000000001</x:v>
      </x:c>
      <x:c r="C37" s="42" t="n">
        <x:f>MIN(1,'ОАЭ 2027'!C37+'ОАЭ 2027'!F37+(0.08*LN(1+0.5*'Ход 2027'!C43)*MAX(0,1-('ОАЭ 2027'!C37+'ОАЭ 2027'!F37))))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9.100000000000001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2027'!B38+'ОАЭ 2027'!D38+('ОАЭ 2027'!C38+'ОАЭ 2027'!F38+'ОАЭ 2027'!G38)+(0.35*LN(1+0.6*'Ход 2027'!B44)*POWER(MAX(0,1-'ОАЭ 2027'!I38/10),0.7))))</x:f>
        <x:v>9.5</x:v>
      </x:c>
      <x:c r="C38" s="42" t="n">
        <x:f>MIN(1,'ОАЭ 2027'!C38+'ОАЭ 2027'!F38+(0.08*LN(1+0.5*'Ход 2027'!C44)*MAX(0,1-('ОАЭ 2027'!C38+'ОАЭ 2027'!F38))))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2027'!B39+'ОАЭ 2027'!D39+('ОАЭ 2027'!C39+'ОАЭ 2027'!F39+'ОАЭ 2027'!G39)+(0.35*LN(1+0.6*'Ход 2027'!B45)*POWER(MAX(0,1-'ОАЭ 2027'!I39/10),0.7))))</x:f>
        <x:v>9.5</x:v>
      </x:c>
      <x:c r="C39" s="42" t="n">
        <x:f>MIN(1,'ОАЭ 2027'!C39+'ОАЭ 2027'!F39+(0.08*LN(1+0.5*'Ход 2027'!C45)*MAX(0,1-('ОАЭ 2027'!C39+'ОАЭ 2027'!F39))))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2027'!B40+'ОАЭ 2027'!D40+('ОАЭ 2027'!C40+'ОАЭ 2027'!F40+'ОАЭ 2027'!G40)+(0.35*LN(1+0.6*'Ход 2027'!B46)*POWER(MAX(0,1-'ОАЭ 2027'!I40/10),0.7))))</x:f>
        <x:v>10</x:v>
      </x:c>
      <x:c r="C40" s="42" t="n">
        <x:f>MIN(1,'ОАЭ 2027'!C40+'ОАЭ 2027'!F40+(0.08*LN(1+0.5*'Ход 2027'!C46)*MAX(0,1-('ОАЭ 2027'!C40+'ОАЭ 2027'!F40))))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2027'!B41+'ОАЭ 2027'!D41+('ОАЭ 2027'!C41+'ОАЭ 2027'!F41+'ОАЭ 2027'!G41)+(0.35*LN(1+0.6*'Ход 2027'!B47)*POWER(MAX(0,1-'ОАЭ 2027'!I41/10),0.7))))</x:f>
        <x:v>9.100000000000001</x:v>
      </x:c>
      <x:c r="C41" s="42" t="n">
        <x:f>MIN(1,'ОАЭ 2027'!C41+'ОАЭ 2027'!F41+(0.08*LN(1+0.5*'Ход 2027'!C47)*MAX(0,1-('ОАЭ 2027'!C41+'ОАЭ 2027'!F41))))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9.100000000000001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2027'!B42+'ОАЭ 2027'!D42+('ОАЭ 2027'!C42+'ОАЭ 2027'!F42+'ОАЭ 2027'!G42)+(0.35*LN(1+0.6*'Ход 2027'!B48)*POWER(MAX(0,1-'ОАЭ 2027'!I42/10),0.7))))</x:f>
        <x:v>9.3</x:v>
      </x:c>
      <x:c r="C42" s="42" t="n">
        <x:f>MIN(1,'ОАЭ 2027'!C42+'ОАЭ 2027'!F42+(0.08*LN(1+0.5*'Ход 2027'!C48)*MAX(0,1-('ОАЭ 2027'!C42+'ОАЭ 2027'!F42))))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9.3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2027'!B44+'ОАЭ 2027'!D44+('ОАЭ 2027'!C44+'ОАЭ 2027'!F44+'ОАЭ 2027'!G44)+(0.35*LN(1+0.6*'Ход 2027'!B50)*POWER(MAX(0,1-'ОАЭ 2027'!I44/10),0.7))))</x:f>
        <x:v>8.3</x:v>
      </x:c>
      <x:c r="C44" s="42" t="n">
        <x:f>MIN(1,'ОАЭ 2027'!C44+'ОАЭ 2027'!F44+(0.08*LN(1+0.5*'Ход 2027'!C50)*MAX(0,1-('ОАЭ 2027'!C44+'ОАЭ 2027'!F44))))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2027'!B45+'ОАЭ 2027'!D45+('ОАЭ 2027'!C45+'ОАЭ 2027'!F45+'ОАЭ 2027'!G45)+(0.35*LN(1+0.6*'Ход 2027'!B51)*POWER(MAX(0,1-'ОАЭ 2027'!I45/10),0.7))))</x:f>
        <x:v>9.399999999999999</x:v>
      </x:c>
      <x:c r="C45" s="42" t="n">
        <x:f>MIN(1,'ОАЭ 2027'!C45+'ОАЭ 2027'!F45+(0.08*LN(1+0.5*'Ход 2027'!C51)*MAX(0,1-('ОАЭ 2027'!C45+'ОАЭ 2027'!F45))))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9.399999999999999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2027'!B46+'ОАЭ 2027'!D46+('ОАЭ 2027'!C46+'ОАЭ 2027'!F46+'ОАЭ 2027'!G46)+(0.35*LN(1+0.6*'Ход 2027'!B52)*POWER(MAX(0,1-'ОАЭ 2027'!I46/10),0.7))))</x:f>
        <x:v>9.399999999999999</x:v>
      </x:c>
      <x:c r="C46" s="42" t="n">
        <x:f>MIN(1,'ОАЭ 2027'!C46+'ОАЭ 2027'!F46+(0.08*LN(1+0.5*'Ход 2027'!C52)*MAX(0,1-('ОАЭ 2027'!C46+'ОАЭ 2027'!F46))))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9.399999999999999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2027'!B47+'ОАЭ 2027'!D47+('ОАЭ 2027'!C47+'ОАЭ 2027'!F47+'ОАЭ 2027'!G47)+(0.35*LN(1+0.6*'Ход 2027'!B53)*POWER(MAX(0,1-'ОАЭ 2027'!I47/10),0.7))))</x:f>
        <x:v>8.2</x:v>
      </x:c>
      <x:c r="C47" s="42" t="n">
        <x:f>MIN(1,'ОАЭ 2027'!C47+'ОАЭ 2027'!F47+(0.08*LN(1+0.5*'Ход 2027'!C53)*MAX(0,1-('ОАЭ 2027'!C47+'ОАЭ 2027'!F47))))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2027'!B48+'ОАЭ 2027'!D48+('ОАЭ 2027'!C48+'ОАЭ 2027'!F48+'ОАЭ 2027'!G48)+(0.35*LN(1+0.6*'Ход 2027'!B54)*POWER(MAX(0,1-'ОАЭ 2027'!I48/10),0.7))))</x:f>
        <x:v>8.2</x:v>
      </x:c>
      <x:c r="C48" s="42" t="n">
        <x:f>MIN(1,'ОАЭ 2027'!C48+'ОАЭ 2027'!F48+(0.08*LN(1+0.5*'Ход 2027'!C54)*MAX(0,1-('ОАЭ 2027'!C48+'ОАЭ 2027'!F48))))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8.2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2027'!B49+'ОАЭ 2027'!D49+('ОАЭ 2027'!C49+'ОАЭ 2027'!F49+'ОАЭ 2027'!G49)+(0.35*LN(1+0.6*'Ход 2027'!B55)*POWER(MAX(0,1-'ОАЭ 2027'!I49/10),0.7))))</x:f>
        <x:v>9.5</x:v>
      </x:c>
      <x:c r="C49" s="42" t="n">
        <x:f>MIN(1,'ОАЭ 2027'!C49+'ОАЭ 2027'!F49+(0.08*LN(1+0.5*'Ход 2027'!C55)*MAX(0,1-('ОАЭ 2027'!C49+'ОАЭ 2027'!F49))))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2027'!B50+'ОАЭ 2027'!D50+('ОАЭ 2027'!C50+'ОАЭ 2027'!F50+'ОАЭ 2027'!G50)+(0.35*LN(1+0.6*'Ход 2027'!B56)*POWER(MAX(0,1-'ОАЭ 2027'!I50/10),0.7))))</x:f>
        <x:v>9.100000000000001</x:v>
      </x:c>
      <x:c r="C50" s="42" t="n">
        <x:f>MIN(1,'ОАЭ 2027'!C50+'ОАЭ 2027'!F50+(0.08*LN(1+0.5*'Ход 2027'!C56)*MAX(0,1-('ОАЭ 2027'!C50+'ОАЭ 2027'!F50))))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9.100000000000001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2027'!B51+'ОАЭ 2027'!D51+('ОАЭ 2027'!C51+'ОАЭ 2027'!F51+'ОАЭ 2027'!G51)+(0.35*LN(1+0.6*'Ход 2027'!B57)*POWER(MAX(0,1-'ОАЭ 2027'!I51/10),0.7))))</x:f>
        <x:v>9.399999999999999</x:v>
      </x:c>
      <x:c r="C51" s="42" t="n">
        <x:f>MIN(1,'ОАЭ 2027'!C51+'ОАЭ 2027'!F51+(0.08*LN(1+0.5*'Ход 2027'!C57)*MAX(0,1-('ОАЭ 2027'!C51+'ОАЭ 2027'!F51))))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9.399999999999999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2027'!B53+'ОАЭ 2027'!D53+('ОАЭ 2027'!C53+'ОАЭ 2027'!F53+'ОАЭ 2027'!G53)+(0.35*LN(1+0.6*'Ход 2027'!B59)*POWER(MAX(0,1-'ОАЭ 2027'!I53/10),0.7))))</x:f>
        <x:v>8.399999999999999</x:v>
      </x:c>
      <x:c r="C53" s="42" t="n">
        <x:f>MIN(1,'ОАЭ 2027'!C53+'ОАЭ 2027'!F53+(0.08*LN(1+0.5*'Ход 2027'!C59)*MAX(0,1-('ОАЭ 2027'!C53+'ОАЭ 2027'!F53))))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8.399999999999999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2027'!B54+'ОАЭ 2027'!D54+('ОАЭ 2027'!C54+'ОАЭ 2027'!F54+'ОАЭ 2027'!G54)+(0.35*LN(1+0.6*'Ход 2027'!B60)*POWER(MAX(0,1-'ОАЭ 2027'!I54/10),0.7))))</x:f>
        <x:v>8.399999999999999</x:v>
      </x:c>
      <x:c r="C54" s="42" t="n">
        <x:f>MIN(1,'ОАЭ 2027'!C54+'ОАЭ 2027'!F54+(0.08*LN(1+0.5*'Ход 2027'!C60)*MAX(0,1-('ОАЭ 2027'!C54+'ОАЭ 2027'!F54))))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8.399999999999999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2027'!B55+'ОАЭ 2027'!D55+('ОАЭ 2027'!C55+'ОАЭ 2027'!F55+'ОАЭ 2027'!G55)+(0.35*LN(1+0.6*'Ход 2027'!B61)*POWER(MAX(0,1-'ОАЭ 2027'!I55/10),0.7))))</x:f>
        <x:v>7.300000000000001</x:v>
      </x:c>
      <x:c r="C55" s="42" t="n">
        <x:f>MIN(1,'ОАЭ 2027'!C55+'ОАЭ 2027'!F55+(0.08*LN(1+0.5*'Ход 2027'!C61)*MAX(0,1-('ОАЭ 2027'!C55+'ОАЭ 2027'!F55))))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7.300000000000001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2028'!U6</x:f>
        <x:v>92.35394760609536</x:v>
      </x:c>
      <x:c r="C6" s="42"/>
      <x:c r="D6" s="42"/>
      <x:c r="E6" s="42" t="str">
        <x:v>Доступно</x:v>
      </x:c>
      <x:c r="F6" s="42" t="n">
        <x:f>'ОАЭ 2028'!K6</x:f>
        <x:v>73.12109249351393</x:v>
      </x:c>
      <x:c r="G6" s="42"/>
      <x:c r="H6" s="42"/>
      <x:c r="I6" s="42" t="str">
        <x:v>Доступно</x:v>
      </x:c>
      <x:c r="J6" s="42" t="n">
        <x:f>'ОАЭ 2028'!N6</x:f>
        <x:v>70.08540262603125</x:v>
      </x:c>
      <x:c r="K6" s="42"/>
      <x:c r="L6" s="42"/>
      <x:c r="M6" s="42" t="str">
        <x:v>Доступно</x:v>
      </x:c>
      <x:c r="N6" s="42" t="n">
        <x:f>'ОАЭ 2028'!Q6</x:f>
        <x:v>84.86976544606141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92.35394760609536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73.12109249351393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70.08540262603125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84.86976544606141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2028'!V11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2028'!V12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73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2028'!V13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28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2028'!V14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33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2028'!V15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10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2028'!V16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50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2028'!V17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39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2028'!V18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51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2028'!V19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59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2028'!V20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89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2028'!V21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82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2028'!V22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40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2028'!V23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90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2028'!V24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2028'!V25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74.81985105113381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71.48950372064931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86.34353216410132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93.43821631378181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2028'!B8+'ОАЭ 2028'!D8+('ОАЭ 2028'!C8+'ОАЭ 2028'!F8+'ОАЭ 2028'!G8)+(0.35*LN(1+0.6*'Ход 2028'!B14)*POWER(MAX(0,1-'ОАЭ 2028'!I8/10),0.7))))</x:f>
        <x:v>7.6499999999999995</x:v>
      </x:c>
      <x:c r="C8" s="42" t="n">
        <x:f>MIN(1,'ОАЭ 2028'!C8+'ОАЭ 2028'!F8+(0.08*LN(1+0.5*'Ход 2028'!C14)*MAX(0,1-('ОАЭ 2028'!C8+'ОАЭ 2028'!F8))))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7.6499999999999995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2028'!B9+'ОАЭ 2028'!D9+('ОАЭ 2028'!C9+'ОАЭ 2028'!F9+'ОАЭ 2028'!G9)+(0.35*LN(1+0.6*'Ход 2028'!B15)*POWER(MAX(0,1-'ОАЭ 2028'!I9/10),0.7))))</x:f>
        <x:v>7.799999999999999</x:v>
      </x:c>
      <x:c r="C9" s="42" t="n">
        <x:f>MIN(1,'ОАЭ 2028'!C9+'ОАЭ 2028'!F9+(0.08*LN(1+0.5*'Ход 2028'!C15)*MAX(0,1-('ОАЭ 2028'!C9+'ОАЭ 2028'!F9))))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7.799999999999999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2028'!B10+'ОАЭ 2028'!D10+('ОАЭ 2028'!C10+'ОАЭ 2028'!F10+'ОАЭ 2028'!G10)+(0.35*LN(1+0.6*'Ход 2028'!B16)*POWER(MAX(0,1-'ОАЭ 2028'!I10/10),0.7))))</x:f>
        <x:v>9.650000000000002</x:v>
      </x:c>
      <x:c r="C10" s="42" t="n">
        <x:f>MIN(1,'ОАЭ 2028'!C10+'ОАЭ 2028'!F10+(0.08*LN(1+0.5*'Ход 2028'!C16)*MAX(0,1-('ОАЭ 2028'!C10+'ОАЭ 2028'!F10))))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9.650000000000002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2028'!B11+'ОАЭ 2028'!D11+('ОАЭ 2028'!C11+'ОАЭ 2028'!F11+'ОАЭ 2028'!G11)+(0.35*LN(1+0.6*'Ход 2028'!B17)*POWER(MAX(0,1-'ОАЭ 2028'!I11/10),0.7))))</x:f>
        <x:v>4.1499999999999995</x:v>
      </x:c>
      <x:c r="C11" s="42" t="n">
        <x:f>MIN(1,'ОАЭ 2028'!C11+'ОАЭ 2028'!F11+(0.08*LN(1+0.5*'Ход 2028'!C17)*MAX(0,1-('ОАЭ 2028'!C11+'ОАЭ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4.1499999999999995</x:v>
      </x:c>
      <x:c r="J11" s="42"/>
      <x:c r="K11" s="42" t="str">
        <x:v>Производство</x:v>
      </x:c>
      <x:c r="L11" s="42" t="n">
        <x:f>MAX(1,MIN(10,'ОАЭ 2028'!L11+'ОАЭ 2028'!N11+('ОАЭ 2028'!M11+'ОАЭ 2028'!P11+'ОАЭ 2028'!Q11)))</x:f>
        <x:v>8.049999999999999</x:v>
      </x:c>
      <x:c r="M11" s="42" t="n">
        <x:f>MIN(1,'ОАЭ 2028'!M11+'ОАЭ 2028'!P11+(0.10*LN(1+0.5*'Ход 2028'!H13)*POWER(MAX(0,1-'ОАЭ 2028'!S11/10),0.8)))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8.049999999999999</x:v>
      </x:c>
      <x:c r="T11" s="42"/>
      <x:c r="U11" s="42" t="str">
        <x:v>Россия</x:v>
      </x:c>
      <x:c r="V11" s="64" t="n">
        <x:f>'ОАЭ 2028'!V11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2028'!B12+'ОАЭ 2028'!D12+('ОАЭ 2028'!C12+'ОАЭ 2028'!F12+'ОАЭ 2028'!G12)+(0.35*LN(1+0.6*'Ход 2028'!B18)*POWER(MAX(0,1-'ОАЭ 2028'!I12/10),0.7))))</x:f>
        <x:v>6.1499999999999995</x:v>
      </x:c>
      <x:c r="C12" s="42" t="n">
        <x:f>MIN(1,'ОАЭ 2028'!C12+'ОАЭ 2028'!F12+(0.08*LN(1+0.5*'Ход 2028'!C18)*MAX(0,1-('ОАЭ 2028'!C12+'ОАЭ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6.1499999999999995</x:v>
      </x:c>
      <x:c r="J12" s="42"/>
      <x:c r="K12" s="42" t="str">
        <x:v>Управление</x:v>
      </x:c>
      <x:c r="L12" s="42" t="n">
        <x:f>MAX(1,MIN(10,'ОАЭ 2028'!L12+'ОАЭ 2028'!N12+('ОАЭ 2028'!M12+'ОАЭ 2028'!P12+'ОАЭ 2028'!Q12)))</x:f>
        <x:v>9.400000000000002</x:v>
      </x:c>
      <x:c r="M12" s="42" t="n">
        <x:f>MIN(1,'ОАЭ 2028'!M12+'ОАЭ 2028'!P12+(0.10*LN(1+0.5*'Ход 2028'!H14)*POWER(MAX(0,1-'ОАЭ 2028'!S12/10),0.8)))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9.400000000000002</x:v>
      </x:c>
      <x:c r="T12" s="42"/>
      <x:c r="U12" s="42" t="str">
        <x:v>США</x:v>
      </x:c>
      <x:c r="V12" s="64" t="n">
        <x:f>'ОАЭ 2028'!V12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2028'!B13+'ОАЭ 2028'!D13+('ОАЭ 2028'!C13+'ОАЭ 2028'!F13+'ОАЭ 2028'!G13)+(0.35*LN(1+0.6*'Ход 2028'!B19)*POWER(MAX(0,1-'ОАЭ 2028'!I13/10),0.7))))</x:f>
        <x:v>2.8999999999999995</x:v>
      </x:c>
      <x:c r="C13" s="42" t="n">
        <x:f>MIN(1,'ОАЭ 2028'!C13+'ОАЭ 2028'!F13+(0.08*LN(1+0.5*'Ход 2028'!C19)*MAX(0,1-('ОАЭ 2028'!C13+'ОАЭ 2028'!F13))))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2.8999999999999995</x:v>
      </x:c>
      <x:c r="J13" s="42"/>
      <x:c r="K13" s="42" t="str">
        <x:v>Познание</x:v>
      </x:c>
      <x:c r="L13" s="42" t="n">
        <x:f>MAX(1,MIN(10,'ОАЭ 2028'!L13+'ОАЭ 2028'!N13+('ОАЭ 2028'!M13+'ОАЭ 2028'!P13+'ОАЭ 2028'!Q13)))</x:f>
        <x:v>8.4</x:v>
      </x:c>
      <x:c r="M13" s="42" t="n">
        <x:f>MIN(1,'ОАЭ 2028'!M13+'ОАЭ 2028'!P13+(0.10*LN(1+0.5*'Ход 2028'!H15)*POWER(MAX(0,1-'ОАЭ 2028'!S13/10),0.8)))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8.4</x:v>
      </x:c>
      <x:c r="T13" s="42"/>
      <x:c r="U13" s="42" t="str">
        <x:v>Китай</x:v>
      </x:c>
      <x:c r="V13" s="64" t="n">
        <x:f>'ОАЭ 2028'!V13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2028'!B14+'ОАЭ 2028'!D14+('ОАЭ 2028'!C14+'ОАЭ 2028'!F14+'ОАЭ 2028'!G14)+(0.35*LN(1+0.6*'Ход 2028'!B20)*POWER(MAX(0,1-'ОАЭ 2028'!I14/10),0.7))))</x:f>
        <x:v>7.8999999999999995</x:v>
      </x:c>
      <x:c r="C14" s="42" t="n">
        <x:f>MIN(1,'ОАЭ 2028'!C14+'ОАЭ 2028'!F14+(0.08*LN(1+0.5*'Ход 2028'!C20)*MAX(0,1-('ОАЭ 2028'!C14+'ОАЭ 2028'!F14))))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7.8999999999999995</x:v>
      </x:c>
      <x:c r="J14" s="42"/>
      <x:c r="K14" s="42" t="str">
        <x:v>Обучение</x:v>
      </x:c>
      <x:c r="L14" s="42" t="n">
        <x:f>MAX(1,MIN(10,'ОАЭ 2028'!L14+'ОАЭ 2028'!N14+('ОАЭ 2028'!M14+'ОАЭ 2028'!P14+'ОАЭ 2028'!Q14)))</x:f>
        <x:v>8.549999999999999</x:v>
      </x:c>
      <x:c r="M14" s="42" t="n">
        <x:f>MIN(1,'ОАЭ 2028'!M14+'ОАЭ 2028'!P14+(0.10*LN(1+0.5*'Ход 2028'!H16)*POWER(MAX(0,1-'ОАЭ 2028'!S14/10),0.8)))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8.549999999999999</x:v>
      </x:c>
      <x:c r="T14" s="42"/>
      <x:c r="U14" s="42" t="str">
        <x:v>Индия</x:v>
      </x:c>
      <x:c r="V14" s="64" t="n">
        <x:f>'ОАЭ 2028'!V14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2028'!B15+'ОАЭ 2028'!D15+('ОАЭ 2028'!C15+'ОАЭ 2028'!F15+'ОАЭ 2028'!G15)+(0.35*LN(1+0.6*'Ход 2028'!B21)*POWER(MAX(0,1-'ОАЭ 2028'!I15/10),0.7))))</x:f>
        <x:v>9.549999999999999</x:v>
      </x:c>
      <x:c r="C15" s="42" t="n">
        <x:f>MIN(1,'ОАЭ 2028'!C15+'ОАЭ 2028'!F15+(0.08*LN(1+0.5*'Ход 2028'!C21)*MAX(0,1-('ОАЭ 2028'!C15+'ОАЭ 2028'!F15))))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9.549999999999999</x:v>
      </x:c>
      <x:c r="J15" s="42"/>
      <x:c r="K15" s="42" t="str">
        <x:v>Война</x:v>
      </x:c>
      <x:c r="L15" s="42" t="n">
        <x:f>MAX(1,MIN(10,'ОАЭ 2028'!L15+'ОАЭ 2028'!N15+('ОАЭ 2028'!M15+'ОАЭ 2028'!P15+'ОАЭ 2028'!Q15)))</x:f>
        <x:v>7.75</x:v>
      </x:c>
      <x:c r="M15" s="42" t="n">
        <x:f>MIN(1,'ОАЭ 2028'!M15+'ОАЭ 2028'!P15+(0.10*LN(1+0.5*'Ход 2028'!H17)*POWER(MAX(0,1-'ОАЭ 2028'!S15/10),0.8)))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7.75</x:v>
      </x:c>
      <x:c r="T15" s="42"/>
      <x:c r="U15" s="42" t="str">
        <x:v>Великобритания</x:v>
      </x:c>
      <x:c r="V15" s="64" t="n">
        <x:f>'ОАЭ 2028'!V15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2028'!B16+'ОАЭ 2028'!D16+('ОАЭ 2028'!C16+'ОАЭ 2028'!F16+'ОАЭ 2028'!G16)+(0.35*LN(1+0.6*'Ход 2028'!B22)*POWER(MAX(0,1-'ОАЭ 2028'!I16/10),0.7))))</x:f>
        <x:v>9.950000000000001</x:v>
      </x:c>
      <x:c r="C16" s="42" t="n">
        <x:f>MIN(1,'ОАЭ 2028'!C16+'ОАЭ 2028'!F16+(0.08*LN(1+0.5*'Ход 2028'!C22)*MAX(0,1-('ОАЭ 2028'!C16+'ОАЭ 2028'!F16))))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9.950000000000001</x:v>
      </x:c>
      <x:c r="J16" s="42"/>
      <x:c r="K16" s="42" t="str">
        <x:v>Экономика</x:v>
      </x:c>
      <x:c r="L16" s="42" t="n">
        <x:f>MAX(1,MIN(10,'ОАЭ 2028'!L16+'ОАЭ 2028'!N16+('ОАЭ 2028'!M16+'ОАЭ 2028'!P16+'ОАЭ 2028'!Q16)))</x:f>
        <x:v>9.400000000000002</x:v>
      </x:c>
      <x:c r="M16" s="42" t="n">
        <x:f>MIN(1,'ОАЭ 2028'!M16+'ОАЭ 2028'!P16+(0.10*LN(1+0.5*'Ход 2028'!H18)*POWER(MAX(0,1-'ОАЭ 2028'!S16/10),0.8)))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9.400000000000002</x:v>
      </x:c>
      <x:c r="T16" s="42"/>
      <x:c r="U16" s="42" t="str">
        <x:v>Франция</x:v>
      </x:c>
      <x:c r="V16" s="64" t="n">
        <x:f>'ОАЭ 2028'!V16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2028'!B17+'ОАЭ 2028'!D17+('ОАЭ 2028'!C17+'ОАЭ 2028'!F17+'ОАЭ 2028'!G17)+(0.35*LN(1+0.6*'Ход 2028'!B23)*POWER(MAX(0,1-'ОАЭ 2028'!I17/10),0.7))))</x:f>
        <x:v>9.299999999999999</x:v>
      </x:c>
      <x:c r="C17" s="42" t="n">
        <x:f>MIN(1,'ОАЭ 2028'!C17+'ОАЭ 2028'!F17+(0.08*LN(1+0.5*'Ход 2028'!C23)*MAX(0,1-('ОАЭ 2028'!C17+'ОАЭ 2028'!F17))))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9.299999999999999</x:v>
      </x:c>
      <x:c r="J17" s="42"/>
      <x:c r="K17" s="42" t="str">
        <x:v>Государственное управление</x:v>
      </x:c>
      <x:c r="L17" s="42" t="n">
        <x:f>MAX(1,MIN(10,'ОАЭ 2028'!L17+'ОАЭ 2028'!N17+('ОАЭ 2028'!M17+'ОАЭ 2028'!P17+'ОАЭ 2028'!Q17)))</x:f>
        <x:v>9.25</x:v>
      </x:c>
      <x:c r="M17" s="42" t="n">
        <x:f>MIN(1,'ОАЭ 2028'!M17+'ОАЭ 2028'!P17+(0.10*LN(1+0.5*'Ход 2028'!H19)*POWER(MAX(0,1-'ОАЭ 2028'!S17/10),0.8)))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9.25</x:v>
      </x:c>
      <x:c r="T17" s="42"/>
      <x:c r="U17" s="42" t="str">
        <x:v>Германия</x:v>
      </x:c>
      <x:c r="V17" s="64" t="n">
        <x:f>'ОАЭ 2028'!V17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2028'!L18+'ОАЭ 2028'!N18+('ОАЭ 2028'!M18+'ОАЭ 2028'!P18+'ОАЭ 2028'!Q18)))</x:f>
        <x:v>9.25</x:v>
      </x:c>
      <x:c r="M18" s="42" t="n">
        <x:f>MIN(1,'ОАЭ 2028'!M18+'ОАЭ 2028'!P18+(0.10*LN(1+0.5*'Ход 2028'!H20)*POWER(MAX(0,1-'ОАЭ 2028'!S18/10),0.8)))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9.25</x:v>
      </x:c>
      <x:c r="T18" s="42"/>
      <x:c r="U18" s="42" t="str">
        <x:v>Япония</x:v>
      </x:c>
      <x:c r="V18" s="64" t="n">
        <x:f>'ОАЭ 2028'!V18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2028'!B19+'ОАЭ 2028'!D19+('ОАЭ 2028'!C19+'ОАЭ 2028'!F19+'ОАЭ 2028'!G19)+(0.35*LN(1+0.6*'Ход 2028'!B25)*POWER(MAX(0,1-'ОАЭ 2028'!I19/10),0.7))))</x:f>
        <x:v>8.25</x:v>
      </x:c>
      <x:c r="C19" s="42" t="n">
        <x:f>MIN(1,'ОАЭ 2028'!C19+'ОАЭ 2028'!F19+(0.08*LN(1+0.5*'Ход 2028'!C25)*MAX(0,1-('ОАЭ 2028'!C19+'ОАЭ 2028'!F19))))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2028'!V19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2028'!B20+'ОАЭ 2028'!D20+('ОАЭ 2028'!C20+'ОАЭ 2028'!F20+'ОАЭ 2028'!G20)+(0.35*LN(1+0.6*'Ход 2028'!B26)*POWER(MAX(0,1-'ОАЭ 2028'!I20/10),0.7))))</x:f>
        <x:v>8.900000000000002</x:v>
      </x:c>
      <x:c r="C20" s="42" t="n">
        <x:f>MIN(1,'ОАЭ 2028'!C20+'ОАЭ 2028'!F20+(0.08*LN(1+0.5*'Ход 2028'!C26)*MAX(0,1-('ОАЭ 2028'!C20+'ОАЭ 2028'!F20))))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8.900000000000002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2028'!V20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2028'!B21+'ОАЭ 2028'!D21+('ОАЭ 2028'!C21+'ОАЭ 2028'!F21+'ОАЭ 2028'!G21)+(0.35*LN(1+0.6*'Ход 2028'!B27)*POWER(MAX(0,1-'ОАЭ 2028'!I21/10),0.7))))</x:f>
        <x:v>8.4</x:v>
      </x:c>
      <x:c r="C21" s="42" t="n">
        <x:f>MIN(1,'ОАЭ 2028'!C21+'ОАЭ 2028'!F21+(0.08*LN(1+0.5*'Ход 2028'!C27)*MAX(0,1-('ОАЭ 2028'!C21+'ОАЭ 2028'!F21))))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8.4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2028'!V21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2028'!B22+'ОАЭ 2028'!D22+('ОАЭ 2028'!C22+'ОАЭ 2028'!F22+'ОАЭ 2028'!G22)+(0.35*LN(1+0.6*'Ход 2028'!B28)*POWER(MAX(0,1-'ОАЭ 2028'!I22/10),0.7))))</x:f>
        <x:v>7.6000000000000005</x:v>
      </x:c>
      <x:c r="C22" s="42" t="n">
        <x:f>MIN(1,'ОАЭ 2028'!C22+'ОАЭ 2028'!F22+(0.08*LN(1+0.5*'Ход 2028'!C28)*MAX(0,1-('ОАЭ 2028'!C22+'ОАЭ 2028'!F22))))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7.6000000000000005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2028'!V22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2028'!B23+'ОАЭ 2028'!D23+('ОАЭ 2028'!C23+'ОАЭ 2028'!F23+'ОАЭ 2028'!G23)+(0.35*LN(1+0.6*'Ход 2028'!B29)*POWER(MAX(0,1-'ОАЭ 2028'!I23/10),0.7))))</x:f>
        <x:v>8.25</x:v>
      </x:c>
      <x:c r="C23" s="42" t="n">
        <x:f>MIN(1,'ОАЭ 2028'!C23+'ОАЭ 2028'!F23+(0.08*LN(1+0.5*'Ход 2028'!C29)*MAX(0,1-('ОАЭ 2028'!C23+'ОАЭ 2028'!F23))))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2028'!V23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2028'!V24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2028'!B25+'ОАЭ 2028'!D25+('ОАЭ 2028'!C25+'ОАЭ 2028'!F25+'ОАЭ 2028'!G25)+(0.35*LN(1+0.6*'Ход 2028'!B31)*POWER(MAX(0,1-'ОАЭ 2028'!I25/10),0.7))))</x:f>
        <x:v>8.1</x:v>
      </x:c>
      <x:c r="C25" s="42" t="n">
        <x:f>MIN(1,'ОАЭ 2028'!C25+'ОАЭ 2028'!F25+(0.08*LN(1+0.5*'Ход 2028'!C31)*MAX(0,1-('ОАЭ 2028'!C25+'ОАЭ 2028'!F25))))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8.1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2028'!V25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2028'!B26+'ОАЭ 2028'!D26+('ОАЭ 2028'!C26+'ОАЭ 2028'!F26+'ОАЭ 2028'!G26)+(0.35*LN(1+0.6*'Ход 2028'!B32)*POWER(MAX(0,1-'ОАЭ 2028'!I26/10),0.7))))</x:f>
        <x:v>8.25</x:v>
      </x:c>
      <x:c r="C26" s="42" t="n">
        <x:f>MIN(1,'ОАЭ 2028'!C26+'ОАЭ 2028'!F26+(0.08*LN(1+0.5*'Ход 2028'!C32)*MAX(0,1-('ОАЭ 2028'!C26+'ОАЭ 2028'!F26))))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2028'!B27+'ОАЭ 2028'!D27+('ОАЭ 2028'!C27+'ОАЭ 2028'!F27+'ОАЭ 2028'!G27)+(0.35*LN(1+0.6*'Ход 2028'!B33)*POWER(MAX(0,1-'ОАЭ 2028'!I27/10),0.7))))</x:f>
        <x:v>8.75</x:v>
      </x:c>
      <x:c r="C27" s="42" t="n">
        <x:f>MIN(1,'ОАЭ 2028'!C27+'ОАЭ 2028'!F27+(0.08*LN(1+0.5*'Ход 2028'!C33)*MAX(0,1-('ОАЭ 2028'!C27+'ОАЭ 2028'!F27))))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2028'!B28+'ОАЭ 2028'!D28+('ОАЭ 2028'!C28+'ОАЭ 2028'!F28+'ОАЭ 2028'!G28)+(0.35*LN(1+0.6*'Ход 2028'!B34)*POWER(MAX(0,1-'ОАЭ 2028'!I28/10),0.7))))</x:f>
        <x:v>8.4</x:v>
      </x:c>
      <x:c r="C28" s="42" t="n">
        <x:f>MIN(1,'ОАЭ 2028'!C28+'ОАЭ 2028'!F28+(0.08*LN(1+0.5*'Ход 2028'!C34)*MAX(0,1-('ОАЭ 2028'!C28+'ОАЭ 2028'!F28))))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8.4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2028'!B29+'ОАЭ 2028'!D29+('ОАЭ 2028'!C29+'ОАЭ 2028'!F29+'ОАЭ 2028'!G29)+(0.35*LN(1+0.6*'Ход 2028'!B35)*POWER(MAX(0,1-'ОАЭ 2028'!I29/10),0.7))))</x:f>
        <x:v>7.75</x:v>
      </x:c>
      <x:c r="C29" s="42" t="n">
        <x:f>MIN(1,'ОАЭ 2028'!C29+'ОАЭ 2028'!F29+(0.08*LN(1+0.5*'Ход 2028'!C35)*MAX(0,1-('ОАЭ 2028'!C29+'ОАЭ 2028'!F29))))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2028'!B30+'ОАЭ 2028'!D30+('ОАЭ 2028'!C30+'ОАЭ 2028'!F30+'ОАЭ 2028'!G30)+(0.35*LN(1+0.6*'Ход 2028'!B36)*POWER(MAX(0,1-'ОАЭ 2028'!I30/10),0.7))))</x:f>
        <x:v>8.1</x:v>
      </x:c>
      <x:c r="C30" s="42" t="n">
        <x:f>MIN(1,'ОАЭ 2028'!C30+'ОАЭ 2028'!F30+(0.08*LN(1+0.5*'Ход 2028'!C36)*MAX(0,1-('ОАЭ 2028'!C30+'ОАЭ 2028'!F30))))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2028'!B31+'ОАЭ 2028'!D31+('ОАЭ 2028'!C31+'ОАЭ 2028'!F31+'ОАЭ 2028'!G31)+(0.35*LN(1+0.6*'Ход 2028'!B37)*POWER(MAX(0,1-'ОАЭ 2028'!I31/10),0.7))))</x:f>
        <x:v>8.1</x:v>
      </x:c>
      <x:c r="C31" s="42" t="n">
        <x:f>MIN(1,'ОАЭ 2028'!C31+'ОАЭ 2028'!F31+(0.08*LN(1+0.5*'Ход 2028'!C37)*MAX(0,1-('ОАЭ 2028'!C31+'ОАЭ 2028'!F31))))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2028'!B32+'ОАЭ 2028'!D32+('ОАЭ 2028'!C32+'ОАЭ 2028'!F32+'ОАЭ 2028'!G32)+(0.35*LN(1+0.6*'Ход 2028'!B38)*POWER(MAX(0,1-'ОАЭ 2028'!I32/10),0.7))))</x:f>
        <x:v>9.099999999999998</x:v>
      </x:c>
      <x:c r="C32" s="42" t="n">
        <x:f>MIN(1,'ОАЭ 2028'!C32+'ОАЭ 2028'!F32+(0.08*LN(1+0.5*'Ход 2028'!C38)*MAX(0,1-('ОАЭ 2028'!C32+'ОАЭ 2028'!F32))))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9.099999999999998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2028'!B34+'ОАЭ 2028'!D34+('ОАЭ 2028'!C34+'ОАЭ 2028'!F34+'ОАЭ 2028'!G34)+(0.35*LN(1+0.6*'Ход 2028'!B40)*POWER(MAX(0,1-'ОАЭ 2028'!I34/10),0.7))))</x:f>
        <x:v>9.25</x:v>
      </x:c>
      <x:c r="C34" s="42" t="n">
        <x:f>MIN(1,'ОАЭ 2028'!C34+'ОАЭ 2028'!F34+(0.08*LN(1+0.5*'Ход 2028'!C40)*MAX(0,1-('ОАЭ 2028'!C34+'ОАЭ 2028'!F34))))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9.25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2028'!B35+'ОАЭ 2028'!D35+('ОАЭ 2028'!C35+'ОАЭ 2028'!F35+'ОАЭ 2028'!G35)+(0.35*LN(1+0.6*'Ход 2028'!B41)*POWER(MAX(0,1-'ОАЭ 2028'!I35/10),0.7))))</x:f>
        <x:v>8.450000000000001</x:v>
      </x:c>
      <x:c r="C35" s="42" t="n">
        <x:f>MIN(1,'ОАЭ 2028'!C35+'ОАЭ 2028'!F35+(0.08*LN(1+0.5*'Ход 2028'!C41)*MAX(0,1-('ОАЭ 2028'!C35+'ОАЭ 2028'!F35))))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8.450000000000001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2028'!B36+'ОАЭ 2028'!D36+('ОАЭ 2028'!C36+'ОАЭ 2028'!F36+'ОАЭ 2028'!G36)+(0.35*LN(1+0.6*'Ход 2028'!B42)*POWER(MAX(0,1-'ОАЭ 2028'!I36/10),0.7))))</x:f>
        <x:v>9.75</x:v>
      </x:c>
      <x:c r="C36" s="42" t="n">
        <x:f>MIN(1,'ОАЭ 2028'!C36+'ОАЭ 2028'!F36+(0.08*LN(1+0.5*'Ход 2028'!C42)*MAX(0,1-('ОАЭ 2028'!C36+'ОАЭ 2028'!F36))))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9.75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2028'!B37+'ОАЭ 2028'!D37+('ОАЭ 2028'!C37+'ОАЭ 2028'!F37+'ОАЭ 2028'!G37)+(0.35*LN(1+0.6*'Ход 2028'!B43)*POWER(MAX(0,1-'ОАЭ 2028'!I37/10),0.7))))</x:f>
        <x:v>9.400000000000002</x:v>
      </x:c>
      <x:c r="C37" s="42" t="n">
        <x:f>MIN(1,'ОАЭ 2028'!C37+'ОАЭ 2028'!F37+(0.08*LN(1+0.5*'Ход 2028'!C43)*MAX(0,1-('ОАЭ 2028'!C37+'ОАЭ 2028'!F37))))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9.400000000000002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2028'!B38+'ОАЭ 2028'!D38+('ОАЭ 2028'!C38+'ОАЭ 2028'!F38+'ОАЭ 2028'!G38)+(0.35*LN(1+0.6*'Ход 2028'!B44)*POWER(MAX(0,1-'ОАЭ 2028'!I38/10),0.7))))</x:f>
        <x:v>9.75</x:v>
      </x:c>
      <x:c r="C38" s="42" t="n">
        <x:f>MIN(1,'ОАЭ 2028'!C38+'ОАЭ 2028'!F38+(0.08*LN(1+0.5*'Ход 2028'!C44)*MAX(0,1-('ОАЭ 2028'!C38+'ОАЭ 2028'!F38))))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2028'!B39+'ОАЭ 2028'!D39+('ОАЭ 2028'!C39+'ОАЭ 2028'!F39+'ОАЭ 2028'!G39)+(0.35*LN(1+0.6*'Ход 2028'!B45)*POWER(MAX(0,1-'ОАЭ 2028'!I39/10),0.7))))</x:f>
        <x:v>9.75</x:v>
      </x:c>
      <x:c r="C39" s="42" t="n">
        <x:f>MIN(1,'ОАЭ 2028'!C39+'ОАЭ 2028'!F39+(0.08*LN(1+0.5*'Ход 2028'!C45)*MAX(0,1-('ОАЭ 2028'!C39+'ОАЭ 2028'!F39))))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2028'!B40+'ОАЭ 2028'!D40+('ОАЭ 2028'!C40+'ОАЭ 2028'!F40+'ОАЭ 2028'!G40)+(0.35*LN(1+0.6*'Ход 2028'!B46)*POWER(MAX(0,1-'ОАЭ 2028'!I40/10),0.7))))</x:f>
        <x:v>10</x:v>
      </x:c>
      <x:c r="C40" s="42" t="n">
        <x:f>MIN(1,'ОАЭ 2028'!C40+'ОАЭ 2028'!F40+(0.08*LN(1+0.5*'Ход 2028'!C46)*MAX(0,1-('ОАЭ 2028'!C40+'ОАЭ 2028'!F40))))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2028'!B41+'ОАЭ 2028'!D41+('ОАЭ 2028'!C41+'ОАЭ 2028'!F41+'ОАЭ 2028'!G41)+(0.35*LN(1+0.6*'Ход 2028'!B47)*POWER(MAX(0,1-'ОАЭ 2028'!I41/10),0.7))))</x:f>
        <x:v>9.400000000000002</x:v>
      </x:c>
      <x:c r="C41" s="42" t="n">
        <x:f>MIN(1,'ОАЭ 2028'!C41+'ОАЭ 2028'!F41+(0.08*LN(1+0.5*'Ход 2028'!C47)*MAX(0,1-('ОАЭ 2028'!C41+'ОАЭ 2028'!F41))))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9.400000000000002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2028'!B42+'ОАЭ 2028'!D42+('ОАЭ 2028'!C42+'ОАЭ 2028'!F42+'ОАЭ 2028'!G42)+(0.35*LN(1+0.6*'Ход 2028'!B48)*POWER(MAX(0,1-'ОАЭ 2028'!I42/10),0.7))))</x:f>
        <x:v>9.450000000000001</x:v>
      </x:c>
      <x:c r="C42" s="42" t="n">
        <x:f>MIN(1,'ОАЭ 2028'!C42+'ОАЭ 2028'!F42+(0.08*LN(1+0.5*'Ход 2028'!C48)*MAX(0,1-('ОАЭ 2028'!C42+'ОАЭ 2028'!F42))))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9.450000000000001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2028'!B44+'ОАЭ 2028'!D44+('ОАЭ 2028'!C44+'ОАЭ 2028'!F44+'ОАЭ 2028'!G44)+(0.35*LN(1+0.6*'Ход 2028'!B50)*POWER(MAX(0,1-'ОАЭ 2028'!I44/10),0.7))))</x:f>
        <x:v>8.450000000000001</x:v>
      </x:c>
      <x:c r="C44" s="42" t="n">
        <x:f>MIN(1,'ОАЭ 2028'!C44+'ОАЭ 2028'!F44+(0.08*LN(1+0.5*'Ход 2028'!C50)*MAX(0,1-('ОАЭ 2028'!C44+'ОАЭ 2028'!F44))))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8.450000000000001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2028'!B45+'ОАЭ 2028'!D45+('ОАЭ 2028'!C45+'ОАЭ 2028'!F45+'ОАЭ 2028'!G45)+(0.35*LN(1+0.6*'Ход 2028'!B51)*POWER(MAX(0,1-'ОАЭ 2028'!I45/10),0.7))))</x:f>
        <x:v>9.599999999999998</x:v>
      </x:c>
      <x:c r="C45" s="42" t="n">
        <x:f>MIN(1,'ОАЭ 2028'!C45+'ОАЭ 2028'!F45+(0.08*LN(1+0.5*'Ход 2028'!C51)*MAX(0,1-('ОАЭ 2028'!C45+'ОАЭ 2028'!F45))))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9.599999999999998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2028'!B46+'ОАЭ 2028'!D46+('ОАЭ 2028'!C46+'ОАЭ 2028'!F46+'ОАЭ 2028'!G46)+(0.35*LN(1+0.6*'Ход 2028'!B52)*POWER(MAX(0,1-'ОАЭ 2028'!I46/10),0.7))))</x:f>
        <x:v>9.599999999999998</x:v>
      </x:c>
      <x:c r="C46" s="42" t="n">
        <x:f>MIN(1,'ОАЭ 2028'!C46+'ОАЭ 2028'!F46+(0.08*LN(1+0.5*'Ход 2028'!C52)*MAX(0,1-('ОАЭ 2028'!C46+'ОАЭ 2028'!F46))))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2028'!B47+'ОАЭ 2028'!D47+('ОАЭ 2028'!C47+'ОАЭ 2028'!F47+'ОАЭ 2028'!G47)+(0.35*LN(1+0.6*'Ход 2028'!B53)*POWER(MAX(0,1-'ОАЭ 2028'!I47/10),0.7))))</x:f>
        <x:v>8.299999999999999</x:v>
      </x:c>
      <x:c r="C47" s="42" t="n">
        <x:f>MIN(1,'ОАЭ 2028'!C47+'ОАЭ 2028'!F47+(0.08*LN(1+0.5*'Ход 2028'!C53)*MAX(0,1-('ОАЭ 2028'!C47+'ОАЭ 2028'!F47))))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8.299999999999999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2028'!B48+'ОАЭ 2028'!D48+('ОАЭ 2028'!C48+'ОАЭ 2028'!F48+'ОАЭ 2028'!G48)+(0.35*LN(1+0.6*'Ход 2028'!B54)*POWER(MAX(0,1-'ОАЭ 2028'!I48/10),0.7))))</x:f>
        <x:v>8.299999999999999</x:v>
      </x:c>
      <x:c r="C48" s="42" t="n">
        <x:f>MIN(1,'ОАЭ 2028'!C48+'ОАЭ 2028'!F48+(0.08*LN(1+0.5*'Ход 2028'!C54)*MAX(0,1-('ОАЭ 2028'!C48+'ОАЭ 2028'!F48))))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8.299999999999999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2028'!B49+'ОАЭ 2028'!D49+('ОАЭ 2028'!C49+'ОАЭ 2028'!F49+'ОАЭ 2028'!G49)+(0.35*LN(1+0.6*'Ход 2028'!B55)*POWER(MAX(0,1-'ОАЭ 2028'!I49/10),0.7))))</x:f>
        <x:v>9.75</x:v>
      </x:c>
      <x:c r="C49" s="42" t="n">
        <x:f>MIN(1,'ОАЭ 2028'!C49+'ОАЭ 2028'!F49+(0.08*LN(1+0.5*'Ход 2028'!C55)*MAX(0,1-('ОАЭ 2028'!C49+'ОАЭ 2028'!F49))))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9.75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2028'!B50+'ОАЭ 2028'!D50+('ОАЭ 2028'!C50+'ОАЭ 2028'!F50+'ОАЭ 2028'!G50)+(0.35*LN(1+0.6*'Ход 2028'!B56)*POWER(MAX(0,1-'ОАЭ 2028'!I50/10),0.7))))</x:f>
        <x:v>9.150000000000002</x:v>
      </x:c>
      <x:c r="C50" s="42" t="n">
        <x:f>MIN(1,'ОАЭ 2028'!C50+'ОАЭ 2028'!F50+(0.08*LN(1+0.5*'Ход 2028'!C56)*MAX(0,1-('ОАЭ 2028'!C50+'ОАЭ 2028'!F50))))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9.150000000000002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2028'!B51+'ОАЭ 2028'!D51+('ОАЭ 2028'!C51+'ОАЭ 2028'!F51+'ОАЭ 2028'!G51)+(0.35*LN(1+0.6*'Ход 2028'!B57)*POWER(MAX(0,1-'ОАЭ 2028'!I51/10),0.7))))</x:f>
        <x:v>9.599999999999998</x:v>
      </x:c>
      <x:c r="C51" s="42" t="n">
        <x:f>MIN(1,'ОАЭ 2028'!C51+'ОАЭ 2028'!F51+(0.08*LN(1+0.5*'Ход 2028'!C57)*MAX(0,1-('ОАЭ 2028'!C51+'ОАЭ 2028'!F51))))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2028'!B53+'ОАЭ 2028'!D53+('ОАЭ 2028'!C53+'ОАЭ 2028'!F53+'ОАЭ 2028'!G53)+(0.35*LN(1+0.6*'Ход 2028'!B59)*POWER(MAX(0,1-'ОАЭ 2028'!I53/10),0.7))))</x:f>
        <x:v>8.599999999999998</x:v>
      </x:c>
      <x:c r="C53" s="42" t="n">
        <x:f>MIN(1,'ОАЭ 2028'!C53+'ОАЭ 2028'!F53+(0.08*LN(1+0.5*'Ход 2028'!C59)*MAX(0,1-('ОАЭ 2028'!C53+'ОАЭ 2028'!F53))))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8.599999999999998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2028'!B54+'ОАЭ 2028'!D54+('ОАЭ 2028'!C54+'ОАЭ 2028'!F54+'ОАЭ 2028'!G54)+(0.35*LN(1+0.6*'Ход 2028'!B60)*POWER(MAX(0,1-'ОАЭ 2028'!I54/10),0.7))))</x:f>
        <x:v>8.599999999999998</x:v>
      </x:c>
      <x:c r="C54" s="42" t="n">
        <x:f>MIN(1,'ОАЭ 2028'!C54+'ОАЭ 2028'!F54+(0.08*LN(1+0.5*'Ход 2028'!C60)*MAX(0,1-('ОАЭ 2028'!C54+'ОАЭ 2028'!F54))))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8.599999999999998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2028'!B55+'ОАЭ 2028'!D55+('ОАЭ 2028'!C55+'ОАЭ 2028'!F55+'ОАЭ 2028'!G55)+(0.35*LN(1+0.6*'Ход 2028'!B61)*POWER(MAX(0,1-'ОАЭ 2028'!I55/10),0.7))))</x:f>
        <x:v>7.450000000000001</x:v>
      </x:c>
      <x:c r="C55" s="42" t="n">
        <x:f>MIN(1,'ОАЭ 2028'!C55+'ОАЭ 2028'!F55+(0.08*LN(1+0.5*'Ход 2028'!C61)*MAX(0,1-('ОАЭ 2028'!C55+'ОАЭ 2028'!F55))))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7.450000000000001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2029'!U6</x:f>
        <x:v>93.43821631378181</x:v>
      </x:c>
      <x:c r="C6" s="42"/>
      <x:c r="D6" s="42"/>
      <x:c r="E6" s="42" t="str">
        <x:v>Доступно</x:v>
      </x:c>
      <x:c r="F6" s="42" t="n">
        <x:f>'ОАЭ 2029'!K6</x:f>
        <x:v>74.81985105113381</x:v>
      </x:c>
      <x:c r="G6" s="42"/>
      <x:c r="H6" s="42"/>
      <x:c r="I6" s="42" t="str">
        <x:v>Доступно</x:v>
      </x:c>
      <x:c r="J6" s="42" t="n">
        <x:f>'ОАЭ 2029'!N6</x:f>
        <x:v>71.48950372064931</x:v>
      </x:c>
      <x:c r="K6" s="42"/>
      <x:c r="L6" s="42"/>
      <x:c r="M6" s="42" t="str">
        <x:v>Доступно</x:v>
      </x:c>
      <x:c r="N6" s="42" t="n">
        <x:f>'ОАЭ 2029'!Q6</x:f>
        <x:v>86.34353216410132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93.43821631378181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74.81985105113381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71.48950372064931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86.34353216410132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2029'!V11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95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2029'!V12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52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2029'!V13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48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2029'!V14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87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2029'!V15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27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2029'!V16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19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2029'!V17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25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2029'!V18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81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2029'!V19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94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2029'!V20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2029'!V21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65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2029'!V22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58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2029'!V23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2029'!V24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54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2029'!V25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52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76.34065026243051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72.80726201247872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87.76135502679375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94.46439164138715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2029'!B8+'ОАЭ 2029'!D8+('ОАЭ 2029'!C8+'ОАЭ 2029'!F8+'ОАЭ 2029'!G8)+(0.35*LN(1+0.6*'Ход 2029'!B14)*POWER(MAX(0,1-'ОАЭ 2029'!I8/10),0.7))))</x:f>
        <x:v>7.699999999999999</x:v>
      </x:c>
      <x:c r="C8" s="42" t="n">
        <x:f>MIN(1,'ОАЭ 2029'!C8+'ОАЭ 2029'!F8+(0.08*LN(1+0.5*'Ход 2029'!C14)*MAX(0,1-('ОАЭ 2029'!C8+'ОАЭ 2029'!F8))))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7.699999999999999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2029'!B9+'ОАЭ 2029'!D9+('ОАЭ 2029'!C9+'ОАЭ 2029'!F9+'ОАЭ 2029'!G9)+(0.35*LN(1+0.6*'Ход 2029'!B15)*POWER(MAX(0,1-'ОАЭ 2029'!I9/10),0.7))))</x:f>
        <x:v>7.899999999999999</x:v>
      </x:c>
      <x:c r="C9" s="42" t="n">
        <x:f>MIN(1,'ОАЭ 2029'!C9+'ОАЭ 2029'!F9+(0.08*LN(1+0.5*'Ход 2029'!C15)*MAX(0,1-('ОАЭ 2029'!C9+'ОАЭ 2029'!F9))))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7.899999999999999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2029'!B10+'ОАЭ 2029'!D10+('ОАЭ 2029'!C10+'ОАЭ 2029'!F10+'ОАЭ 2029'!G10)+(0.35*LN(1+0.6*'Ход 2029'!B16)*POWER(MAX(0,1-'ОАЭ 2029'!I10/10),0.7))))</x:f>
        <x:v>9.700000000000003</x:v>
      </x:c>
      <x:c r="C10" s="42" t="n">
        <x:f>MIN(1,'ОАЭ 2029'!C10+'ОАЭ 2029'!F10+(0.08*LN(1+0.5*'Ход 2029'!C16)*MAX(0,1-('ОАЭ 2029'!C10+'ОАЭ 2029'!F10))))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9.700000000000003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2029'!B11+'ОАЭ 2029'!D11+('ОАЭ 2029'!C11+'ОАЭ 2029'!F11+'ОАЭ 2029'!G11)+(0.35*LN(1+0.6*'Ход 2029'!B17)*POWER(MAX(0,1-'ОАЭ 2029'!I11/10),0.7))))</x:f>
        <x:v>4.199999999999999</x:v>
      </x:c>
      <x:c r="C11" s="42" t="n">
        <x:f>MIN(1,'ОАЭ 2029'!C11+'ОАЭ 2029'!F11+(0.08*LN(1+0.5*'Ход 2029'!C17)*MAX(0,1-('ОАЭ 2029'!C11+'ОАЭ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4.199999999999999</x:v>
      </x:c>
      <x:c r="J11" s="42"/>
      <x:c r="K11" s="42" t="str">
        <x:v>Производство</x:v>
      </x:c>
      <x:c r="L11" s="42" t="n">
        <x:f>MAX(1,MIN(10,'ОАЭ 2029'!L11+'ОАЭ 2029'!N11+('ОАЭ 2029'!M11+'ОАЭ 2029'!P11+'ОАЭ 2029'!Q11)))</x:f>
        <x:v>8.399999999999999</x:v>
      </x:c>
      <x:c r="M11" s="42" t="n">
        <x:f>MIN(1,'ОАЭ 2029'!M11+'ОАЭ 2029'!P11+(0.10*LN(1+0.5*'Ход 2029'!H13)*POWER(MAX(0,1-'ОАЭ 2029'!S11/10),0.8)))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8.399999999999999</x:v>
      </x:c>
      <x:c r="T11" s="42"/>
      <x:c r="U11" s="42" t="str">
        <x:v>Россия</x:v>
      </x:c>
      <x:c r="V11" s="64" t="n">
        <x:f>'ОАЭ 2029'!V11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2029'!B12+'ОАЭ 2029'!D12+('ОАЭ 2029'!C12+'ОАЭ 2029'!F12+'ОАЭ 2029'!G12)+(0.35*LN(1+0.6*'Ход 2029'!B18)*POWER(MAX(0,1-'ОАЭ 2029'!I12/10),0.7))))</x:f>
        <x:v>6.199999999999999</x:v>
      </x:c>
      <x:c r="C12" s="42" t="n">
        <x:f>MIN(1,'ОАЭ 2029'!C12+'ОАЭ 2029'!F12+(0.08*LN(1+0.5*'Ход 2029'!C18)*MAX(0,1-('ОАЭ 2029'!C12+'ОАЭ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6.199999999999999</x:v>
      </x:c>
      <x:c r="J12" s="42"/>
      <x:c r="K12" s="42" t="str">
        <x:v>Управление</x:v>
      </x:c>
      <x:c r="L12" s="42" t="n">
        <x:f>MAX(1,MIN(10,'ОАЭ 2029'!L12+'ОАЭ 2029'!N12+('ОАЭ 2029'!M12+'ОАЭ 2029'!P12+'ОАЭ 2029'!Q12)))</x:f>
        <x:v>9.700000000000003</x:v>
      </x:c>
      <x:c r="M12" s="42" t="n">
        <x:f>MIN(1,'ОАЭ 2029'!M12+'ОАЭ 2029'!P12+(0.10*LN(1+0.5*'Ход 2029'!H14)*POWER(MAX(0,1-'ОАЭ 2029'!S12/10),0.8)))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9.700000000000003</x:v>
      </x:c>
      <x:c r="T12" s="42"/>
      <x:c r="U12" s="42" t="str">
        <x:v>США</x:v>
      </x:c>
      <x:c r="V12" s="64" t="n">
        <x:f>'ОАЭ 2029'!V12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2029'!B13+'ОАЭ 2029'!D13+('ОАЭ 2029'!C13+'ОАЭ 2029'!F13+'ОАЭ 2029'!G13)+(0.35*LN(1+0.6*'Ход 2029'!B19)*POWER(MAX(0,1-'ОАЭ 2029'!I13/10),0.7))))</x:f>
        <x:v>3.1999999999999993</x:v>
      </x:c>
      <x:c r="C13" s="42" t="n">
        <x:f>MIN(1,'ОАЭ 2029'!C13+'ОАЭ 2029'!F13+(0.08*LN(1+0.5*'Ход 2029'!C19)*MAX(0,1-('ОАЭ 2029'!C13+'ОАЭ 2029'!F13))))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3.1999999999999993</x:v>
      </x:c>
      <x:c r="J13" s="42"/>
      <x:c r="K13" s="42" t="str">
        <x:v>Познание</x:v>
      </x:c>
      <x:c r="L13" s="42" t="n">
        <x:f>MAX(1,MIN(10,'ОАЭ 2029'!L13+'ОАЭ 2029'!N13+('ОАЭ 2029'!M13+'ОАЭ 2029'!P13+'ОАЭ 2029'!Q13)))</x:f>
        <x:v>8.700000000000001</x:v>
      </x:c>
      <x:c r="M13" s="42" t="n">
        <x:f>MIN(1,'ОАЭ 2029'!M13+'ОАЭ 2029'!P13+(0.10*LN(1+0.5*'Ход 2029'!H15)*POWER(MAX(0,1-'ОАЭ 2029'!S13/10),0.8)))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8.700000000000001</x:v>
      </x:c>
      <x:c r="T13" s="42"/>
      <x:c r="U13" s="42" t="str">
        <x:v>Китай</x:v>
      </x:c>
      <x:c r="V13" s="64" t="n">
        <x:f>'ОАЭ 2029'!V13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2029'!B14+'ОАЭ 2029'!D14+('ОАЭ 2029'!C14+'ОАЭ 2029'!F14+'ОАЭ 2029'!G14)+(0.35*LN(1+0.6*'Ход 2029'!B20)*POWER(MAX(0,1-'ОАЭ 2029'!I14/10),0.7))))</x:f>
        <x:v>8.2</x:v>
      </x:c>
      <x:c r="C14" s="42" t="n">
        <x:f>MIN(1,'ОАЭ 2029'!C14+'ОАЭ 2029'!F14+(0.08*LN(1+0.5*'Ход 2029'!C20)*MAX(0,1-('ОАЭ 2029'!C14+'ОАЭ 2029'!F14))))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8.2</x:v>
      </x:c>
      <x:c r="J14" s="42"/>
      <x:c r="K14" s="42" t="str">
        <x:v>Обучение</x:v>
      </x:c>
      <x:c r="L14" s="42" t="n">
        <x:f>MAX(1,MIN(10,'ОАЭ 2029'!L14+'ОАЭ 2029'!N14+('ОАЭ 2029'!M14+'ОАЭ 2029'!P14+'ОАЭ 2029'!Q14)))</x:f>
        <x:v>8.899999999999999</x:v>
      </x:c>
      <x:c r="M14" s="42" t="n">
        <x:f>MIN(1,'ОАЭ 2029'!M14+'ОАЭ 2029'!P14+(0.10*LN(1+0.5*'Ход 2029'!H16)*POWER(MAX(0,1-'ОАЭ 2029'!S14/10),0.8)))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8.899999999999999</x:v>
      </x:c>
      <x:c r="T14" s="42"/>
      <x:c r="U14" s="42" t="str">
        <x:v>Индия</x:v>
      </x:c>
      <x:c r="V14" s="64" t="n">
        <x:f>'ОАЭ 2029'!V14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2029'!B15+'ОАЭ 2029'!D15+('ОАЭ 2029'!C15+'ОАЭ 2029'!F15+'ОАЭ 2029'!G15)+(0.35*LN(1+0.6*'Ход 2029'!B21)*POWER(MAX(0,1-'ОАЭ 2029'!I15/10),0.7))))</x:f>
        <x:v>9.899999999999999</x:v>
      </x:c>
      <x:c r="C15" s="42" t="n">
        <x:f>MIN(1,'ОАЭ 2029'!C15+'ОАЭ 2029'!F15+(0.08*LN(1+0.5*'Ход 2029'!C21)*MAX(0,1-('ОАЭ 2029'!C15+'ОАЭ 2029'!F15))))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9.899999999999999</x:v>
      </x:c>
      <x:c r="J15" s="42"/>
      <x:c r="K15" s="42" t="str">
        <x:v>Война</x:v>
      </x:c>
      <x:c r="L15" s="42" t="n">
        <x:f>MAX(1,MIN(10,'ОАЭ 2029'!L15+'ОАЭ 2029'!N15+('ОАЭ 2029'!M15+'ОАЭ 2029'!P15+'ОАЭ 2029'!Q15)))</x:f>
        <x:v>8</x:v>
      </x:c>
      <x:c r="M15" s="42" t="n">
        <x:f>MIN(1,'ОАЭ 2029'!M15+'ОАЭ 2029'!P15+(0.10*LN(1+0.5*'Ход 2029'!H17)*POWER(MAX(0,1-'ОАЭ 2029'!S15/10),0.8)))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</x:v>
      </x:c>
      <x:c r="T15" s="42"/>
      <x:c r="U15" s="42" t="str">
        <x:v>Великобритания</x:v>
      </x:c>
      <x:c r="V15" s="64" t="n">
        <x:f>'ОАЭ 2029'!V15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2029'!B16+'ОАЭ 2029'!D16+('ОАЭ 2029'!C16+'ОАЭ 2029'!F16+'ОАЭ 2029'!G16)+(0.35*LN(1+0.6*'Ход 2029'!B22)*POWER(MAX(0,1-'ОАЭ 2029'!I16/10),0.7))))</x:f>
        <x:v>10</x:v>
      </x:c>
      <x:c r="C16" s="42" t="n">
        <x:f>MIN(1,'ОАЭ 2029'!C16+'ОАЭ 2029'!F16+(0.08*LN(1+0.5*'Ход 2029'!C22)*MAX(0,1-('ОАЭ 2029'!C16+'ОАЭ 2029'!F16))))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2029'!L16+'ОАЭ 2029'!N16+('ОАЭ 2029'!M16+'ОАЭ 2029'!P16+'ОАЭ 2029'!Q16)))</x:f>
        <x:v>9.700000000000003</x:v>
      </x:c>
      <x:c r="M16" s="42" t="n">
        <x:f>MIN(1,'ОАЭ 2029'!M16+'ОАЭ 2029'!P16+(0.10*LN(1+0.5*'Ход 2029'!H18)*POWER(MAX(0,1-'ОАЭ 2029'!S16/10),0.8)))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9.700000000000003</x:v>
      </x:c>
      <x:c r="T16" s="42"/>
      <x:c r="U16" s="42" t="str">
        <x:v>Франция</x:v>
      </x:c>
      <x:c r="V16" s="64" t="n">
        <x:f>'ОАЭ 2029'!V16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2029'!B17+'ОАЭ 2029'!D17+('ОАЭ 2029'!C17+'ОАЭ 2029'!F17+'ОАЭ 2029'!G17)+(0.35*LN(1+0.6*'Ход 2029'!B23)*POWER(MAX(0,1-'ОАЭ 2029'!I17/10),0.7))))</x:f>
        <x:v>9.399999999999999</x:v>
      </x:c>
      <x:c r="C17" s="42" t="n">
        <x:f>MIN(1,'ОАЭ 2029'!C17+'ОАЭ 2029'!F17+(0.08*LN(1+0.5*'Ход 2029'!C23)*MAX(0,1-('ОАЭ 2029'!C17+'ОАЭ 2029'!F17))))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9.399999999999999</x:v>
      </x:c>
      <x:c r="J17" s="42"/>
      <x:c r="K17" s="42" t="str">
        <x:v>Государственное управление</x:v>
      </x:c>
      <x:c r="L17" s="42" t="n">
        <x:f>MAX(1,MIN(10,'ОАЭ 2029'!L17+'ОАЭ 2029'!N17+('ОАЭ 2029'!M17+'ОАЭ 2029'!P17+'ОАЭ 2029'!Q17)))</x:f>
        <x:v>9.5</x:v>
      </x:c>
      <x:c r="M17" s="42" t="n">
        <x:f>MIN(1,'ОАЭ 2029'!M17+'ОАЭ 2029'!P17+(0.10*LN(1+0.5*'Ход 2029'!H19)*POWER(MAX(0,1-'ОАЭ 2029'!S17/10),0.8)))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9.5</x:v>
      </x:c>
      <x:c r="T17" s="42"/>
      <x:c r="U17" s="42" t="str">
        <x:v>Германия</x:v>
      </x:c>
      <x:c r="V17" s="64" t="n">
        <x:f>'ОАЭ 2029'!V17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2029'!L18+'ОАЭ 2029'!N18+('ОАЭ 2029'!M18+'ОАЭ 2029'!P18+'ОАЭ 2029'!Q18)))</x:f>
        <x:v>9.5</x:v>
      </x:c>
      <x:c r="M18" s="42" t="n">
        <x:f>MIN(1,'ОАЭ 2029'!M18+'ОАЭ 2029'!P18+(0.10*LN(1+0.5*'Ход 2029'!H20)*POWER(MAX(0,1-'ОАЭ 2029'!S18/10),0.8)))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9.5</x:v>
      </x:c>
      <x:c r="T18" s="42"/>
      <x:c r="U18" s="42" t="str">
        <x:v>Япония</x:v>
      </x:c>
      <x:c r="V18" s="64" t="n">
        <x:f>'ОАЭ 2029'!V18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2029'!B19+'ОАЭ 2029'!D19+('ОАЭ 2029'!C19+'ОАЭ 2029'!F19+'ОАЭ 2029'!G19)+(0.35*LN(1+0.6*'Ход 2029'!B25)*POWER(MAX(0,1-'ОАЭ 2029'!I19/10),0.7))))</x:f>
        <x:v>8.5</x:v>
      </x:c>
      <x:c r="C19" s="42" t="n">
        <x:f>MIN(1,'ОАЭ 2029'!C19+'ОАЭ 2029'!F19+(0.08*LN(1+0.5*'Ход 2029'!C25)*MAX(0,1-('ОАЭ 2029'!C19+'ОАЭ 2029'!F19))))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2029'!V19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2029'!B20+'ОАЭ 2029'!D20+('ОАЭ 2029'!C20+'ОАЭ 2029'!F20+'ОАЭ 2029'!G20)+(0.35*LN(1+0.6*'Ход 2029'!B26)*POWER(MAX(0,1-'ОАЭ 2029'!I20/10),0.7))))</x:f>
        <x:v>9.200000000000003</x:v>
      </x:c>
      <x:c r="C20" s="42" t="n">
        <x:f>MIN(1,'ОАЭ 2029'!C20+'ОАЭ 2029'!F20+(0.08*LN(1+0.5*'Ход 2029'!C26)*MAX(0,1-('ОАЭ 2029'!C20+'ОАЭ 2029'!F20))))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9.200000000000003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2029'!V20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2029'!B21+'ОАЭ 2029'!D21+('ОАЭ 2029'!C21+'ОАЭ 2029'!F21+'ОАЭ 2029'!G21)+(0.35*LN(1+0.6*'Ход 2029'!B27)*POWER(MAX(0,1-'ОАЭ 2029'!I21/10),0.7))))</x:f>
        <x:v>8.700000000000001</x:v>
      </x:c>
      <x:c r="C21" s="42" t="n">
        <x:f>MIN(1,'ОАЭ 2029'!C21+'ОАЭ 2029'!F21+(0.08*LN(1+0.5*'Ход 2029'!C27)*MAX(0,1-('ОАЭ 2029'!C21+'ОАЭ 2029'!F21))))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8.700000000000001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2029'!V21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2029'!B22+'ОАЭ 2029'!D22+('ОАЭ 2029'!C22+'ОАЭ 2029'!F22+'ОАЭ 2029'!G22)+(0.35*LN(1+0.6*'Ход 2029'!B28)*POWER(MAX(0,1-'ОАЭ 2029'!I22/10),0.7))))</x:f>
        <x:v>7.800000000000001</x:v>
      </x:c>
      <x:c r="C22" s="42" t="n">
        <x:f>MIN(1,'ОАЭ 2029'!C22+'ОАЭ 2029'!F22+(0.08*LN(1+0.5*'Ход 2029'!C28)*MAX(0,1-('ОАЭ 2029'!C22+'ОАЭ 2029'!F22))))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7.800000000000001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2029'!V22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2029'!B23+'ОАЭ 2029'!D23+('ОАЭ 2029'!C23+'ОАЭ 2029'!F23+'ОАЭ 2029'!G23)+(0.35*LN(1+0.6*'Ход 2029'!B29)*POWER(MAX(0,1-'ОАЭ 2029'!I23/10),0.7))))</x:f>
        <x:v>8.5</x:v>
      </x:c>
      <x:c r="C23" s="42" t="n">
        <x:f>MIN(1,'ОАЭ 2029'!C23+'ОАЭ 2029'!F23+(0.08*LN(1+0.5*'Ход 2029'!C29)*MAX(0,1-('ОАЭ 2029'!C23+'ОАЭ 2029'!F23))))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2029'!V23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2029'!V24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2029'!B25+'ОАЭ 2029'!D25+('ОАЭ 2029'!C25+'ОАЭ 2029'!F25+'ОАЭ 2029'!G25)+(0.35*LN(1+0.6*'Ход 2029'!B31)*POWER(MAX(0,1-'ОАЭ 2029'!I25/10),0.7))))</x:f>
        <x:v>8.299999999999999</x:v>
      </x:c>
      <x:c r="C25" s="42" t="n">
        <x:f>MIN(1,'ОАЭ 2029'!C25+'ОАЭ 2029'!F25+(0.08*LN(1+0.5*'Ход 2029'!C31)*MAX(0,1-('ОАЭ 2029'!C25+'ОАЭ 2029'!F25))))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8.299999999999999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2029'!V25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2029'!B26+'ОАЭ 2029'!D26+('ОАЭ 2029'!C26+'ОАЭ 2029'!F26+'ОАЭ 2029'!G26)+(0.35*LN(1+0.6*'Ход 2029'!B32)*POWER(MAX(0,1-'ОАЭ 2029'!I26/10),0.7))))</x:f>
        <x:v>8.5</x:v>
      </x:c>
      <x:c r="C26" s="42" t="n">
        <x:f>MIN(1,'ОАЭ 2029'!C26+'ОАЭ 2029'!F26+(0.08*LN(1+0.5*'Ход 2029'!C32)*MAX(0,1-('ОАЭ 2029'!C26+'ОАЭ 2029'!F26))))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2029'!B27+'ОАЭ 2029'!D27+('ОАЭ 2029'!C27+'ОАЭ 2029'!F27+'ОАЭ 2029'!G27)+(0.35*LN(1+0.6*'Ход 2029'!B33)*POWER(MAX(0,1-'ОАЭ 2029'!I27/10),0.7))))</x:f>
        <x:v>9</x:v>
      </x:c>
      <x:c r="C27" s="42" t="n">
        <x:f>MIN(1,'ОАЭ 2029'!C27+'ОАЭ 2029'!F27+(0.08*LN(1+0.5*'Ход 2029'!C33)*MAX(0,1-('ОАЭ 2029'!C27+'ОАЭ 2029'!F27))))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2029'!B28+'ОАЭ 2029'!D28+('ОАЭ 2029'!C28+'ОАЭ 2029'!F28+'ОАЭ 2029'!G28)+(0.35*LN(1+0.6*'Ход 2029'!B34)*POWER(MAX(0,1-'ОАЭ 2029'!I28/10),0.7))))</x:f>
        <x:v>8.700000000000001</x:v>
      </x:c>
      <x:c r="C28" s="42" t="n">
        <x:f>MIN(1,'ОАЭ 2029'!C28+'ОАЭ 2029'!F28+(0.08*LN(1+0.5*'Ход 2029'!C34)*MAX(0,1-('ОАЭ 2029'!C28+'ОАЭ 2029'!F28))))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8.700000000000001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2029'!B29+'ОАЭ 2029'!D29+('ОАЭ 2029'!C29+'ОАЭ 2029'!F29+'ОАЭ 2029'!G29)+(0.35*LN(1+0.6*'Ход 2029'!B35)*POWER(MAX(0,1-'ОАЭ 2029'!I29/10),0.7))))</x:f>
        <x:v>8</x:v>
      </x:c>
      <x:c r="C29" s="42" t="n">
        <x:f>MIN(1,'ОАЭ 2029'!C29+'ОАЭ 2029'!F29+(0.08*LN(1+0.5*'Ход 2029'!C35)*MAX(0,1-('ОАЭ 2029'!C29+'ОАЭ 2029'!F29))))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2029'!B30+'ОАЭ 2029'!D30+('ОАЭ 2029'!C30+'ОАЭ 2029'!F30+'ОАЭ 2029'!G30)+(0.35*LN(1+0.6*'Ход 2029'!B36)*POWER(MAX(0,1-'ОАЭ 2029'!I30/10),0.7))))</x:f>
        <x:v>8.299999999999999</x:v>
      </x:c>
      <x:c r="C30" s="42" t="n">
        <x:f>MIN(1,'ОАЭ 2029'!C30+'ОАЭ 2029'!F30+(0.08*LN(1+0.5*'Ход 2029'!C36)*MAX(0,1-('ОАЭ 2029'!C30+'ОАЭ 2029'!F30))))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8.299999999999999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2029'!B31+'ОАЭ 2029'!D31+('ОАЭ 2029'!C31+'ОАЭ 2029'!F31+'ОАЭ 2029'!G31)+(0.35*LN(1+0.6*'Ход 2029'!B37)*POWER(MAX(0,1-'ОАЭ 2029'!I31/10),0.7))))</x:f>
        <x:v>8.299999999999999</x:v>
      </x:c>
      <x:c r="C31" s="42" t="n">
        <x:f>MIN(1,'ОАЭ 2029'!C31+'ОАЭ 2029'!F31+(0.08*LN(1+0.5*'Ход 2029'!C37)*MAX(0,1-('ОАЭ 2029'!C31+'ОАЭ 2029'!F31))))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2029'!B32+'ОАЭ 2029'!D32+('ОАЭ 2029'!C32+'ОАЭ 2029'!F32+'ОАЭ 2029'!G32)+(0.35*LN(1+0.6*'Ход 2029'!B38)*POWER(MAX(0,1-'ОАЭ 2029'!I32/10),0.7))))</x:f>
        <x:v>9.299999999999997</x:v>
      </x:c>
      <x:c r="C32" s="42" t="n">
        <x:f>MIN(1,'ОАЭ 2029'!C32+'ОАЭ 2029'!F32+(0.08*LN(1+0.5*'Ход 2029'!C38)*MAX(0,1-('ОАЭ 2029'!C32+'ОАЭ 2029'!F32))))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9.299999999999997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2029'!B34+'ОАЭ 2029'!D34+('ОАЭ 2029'!C34+'ОАЭ 2029'!F34+'ОАЭ 2029'!G34)+(0.35*LN(1+0.6*'Ход 2029'!B40)*POWER(MAX(0,1-'ОАЭ 2029'!I34/10),0.7))))</x:f>
        <x:v>9.5</x:v>
      </x:c>
      <x:c r="C34" s="42" t="n">
        <x:f>MIN(1,'ОАЭ 2029'!C34+'ОАЭ 2029'!F34+(0.08*LN(1+0.5*'Ход 2029'!C40)*MAX(0,1-('ОАЭ 2029'!C34+'ОАЭ 2029'!F34))))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2029'!B35+'ОАЭ 2029'!D35+('ОАЭ 2029'!C35+'ОАЭ 2029'!F35+'ОАЭ 2029'!G35)+(0.35*LN(1+0.6*'Ход 2029'!B41)*POWER(MAX(0,1-'ОАЭ 2029'!I35/10),0.7))))</x:f>
        <x:v>8.600000000000001</x:v>
      </x:c>
      <x:c r="C35" s="42" t="n">
        <x:f>MIN(1,'ОАЭ 2029'!C35+'ОАЭ 2029'!F35+(0.08*LN(1+0.5*'Ход 2029'!C41)*MAX(0,1-('ОАЭ 2029'!C35+'ОАЭ 2029'!F35))))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8.600000000000001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2029'!B36+'ОАЭ 2029'!D36+('ОАЭ 2029'!C36+'ОАЭ 2029'!F36+'ОАЭ 2029'!G36)+(0.35*LN(1+0.6*'Ход 2029'!B42)*POWER(MAX(0,1-'ОАЭ 2029'!I36/10),0.7))))</x:f>
        <x:v>10</x:v>
      </x:c>
      <x:c r="C36" s="42" t="n">
        <x:f>MIN(1,'ОАЭ 2029'!C36+'ОАЭ 2029'!F36+(0.08*LN(1+0.5*'Ход 2029'!C42)*MAX(0,1-('ОАЭ 2029'!C36+'ОАЭ 2029'!F36))))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2029'!B37+'ОАЭ 2029'!D37+('ОАЭ 2029'!C37+'ОАЭ 2029'!F37+'ОАЭ 2029'!G37)+(0.35*LN(1+0.6*'Ход 2029'!B43)*POWER(MAX(0,1-'ОАЭ 2029'!I37/10),0.7))))</x:f>
        <x:v>9.700000000000003</x:v>
      </x:c>
      <x:c r="C37" s="42" t="n">
        <x:f>MIN(1,'ОАЭ 2029'!C37+'ОАЭ 2029'!F37+(0.08*LN(1+0.5*'Ход 2029'!C43)*MAX(0,1-('ОАЭ 2029'!C37+'ОАЭ 2029'!F37))))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9.700000000000003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2029'!B38+'ОАЭ 2029'!D38+('ОАЭ 2029'!C38+'ОАЭ 2029'!F38+'ОАЭ 2029'!G38)+(0.35*LN(1+0.6*'Ход 2029'!B44)*POWER(MAX(0,1-'ОАЭ 2029'!I38/10),0.7))))</x:f>
        <x:v>10</x:v>
      </x:c>
      <x:c r="C38" s="42" t="n">
        <x:f>MIN(1,'ОАЭ 2029'!C38+'ОАЭ 2029'!F38+(0.08*LN(1+0.5*'Ход 2029'!C44)*MAX(0,1-('ОАЭ 2029'!C38+'ОАЭ 2029'!F38))))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2029'!B39+'ОАЭ 2029'!D39+('ОАЭ 2029'!C39+'ОАЭ 2029'!F39+'ОАЭ 2029'!G39)+(0.35*LN(1+0.6*'Ход 2029'!B45)*POWER(MAX(0,1-'ОАЭ 2029'!I39/10),0.7))))</x:f>
        <x:v>10</x:v>
      </x:c>
      <x:c r="C39" s="42" t="n">
        <x:f>MIN(1,'ОАЭ 2029'!C39+'ОАЭ 2029'!F39+(0.08*LN(1+0.5*'Ход 2029'!C45)*MAX(0,1-('ОАЭ 2029'!C39+'ОАЭ 2029'!F39))))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2029'!B40+'ОАЭ 2029'!D40+('ОАЭ 2029'!C40+'ОАЭ 2029'!F40+'ОАЭ 2029'!G40)+(0.35*LN(1+0.6*'Ход 2029'!B46)*POWER(MAX(0,1-'ОАЭ 2029'!I40/10),0.7))))</x:f>
        <x:v>10</x:v>
      </x:c>
      <x:c r="C40" s="42" t="n">
        <x:f>MIN(1,'ОАЭ 2029'!C40+'ОАЭ 2029'!F40+(0.08*LN(1+0.5*'Ход 2029'!C46)*MAX(0,1-('ОАЭ 2029'!C40+'ОАЭ 2029'!F40))))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2029'!B41+'ОАЭ 2029'!D41+('ОАЭ 2029'!C41+'ОАЭ 2029'!F41+'ОАЭ 2029'!G41)+(0.35*LN(1+0.6*'Ход 2029'!B47)*POWER(MAX(0,1-'ОАЭ 2029'!I41/10),0.7))))</x:f>
        <x:v>9.700000000000003</x:v>
      </x:c>
      <x:c r="C41" s="42" t="n">
        <x:f>MIN(1,'ОАЭ 2029'!C41+'ОАЭ 2029'!F41+(0.08*LN(1+0.5*'Ход 2029'!C47)*MAX(0,1-('ОАЭ 2029'!C41+'ОАЭ 2029'!F41))))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9.700000000000003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2029'!B42+'ОАЭ 2029'!D42+('ОАЭ 2029'!C42+'ОАЭ 2029'!F42+'ОАЭ 2029'!G42)+(0.35*LN(1+0.6*'Ход 2029'!B48)*POWER(MAX(0,1-'ОАЭ 2029'!I42/10),0.7))))</x:f>
        <x:v>9.600000000000001</x:v>
      </x:c>
      <x:c r="C42" s="42" t="n">
        <x:f>MIN(1,'ОАЭ 2029'!C42+'ОАЭ 2029'!F42+(0.08*LN(1+0.5*'Ход 2029'!C48)*MAX(0,1-('ОАЭ 2029'!C42+'ОАЭ 2029'!F42))))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9.600000000000001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2029'!B44+'ОАЭ 2029'!D44+('ОАЭ 2029'!C44+'ОАЭ 2029'!F44+'ОАЭ 2029'!G44)+(0.35*LN(1+0.6*'Ход 2029'!B50)*POWER(MAX(0,1-'ОАЭ 2029'!I44/10),0.7))))</x:f>
        <x:v>8.600000000000001</x:v>
      </x:c>
      <x:c r="C44" s="42" t="n">
        <x:f>MIN(1,'ОАЭ 2029'!C44+'ОАЭ 2029'!F44+(0.08*LN(1+0.5*'Ход 2029'!C50)*MAX(0,1-('ОАЭ 2029'!C44+'ОАЭ 2029'!F44))))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8.600000000000001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2029'!B45+'ОАЭ 2029'!D45+('ОАЭ 2029'!C45+'ОАЭ 2029'!F45+'ОАЭ 2029'!G45)+(0.35*LN(1+0.6*'Ход 2029'!B51)*POWER(MAX(0,1-'ОАЭ 2029'!I45/10),0.7))))</x:f>
        <x:v>9.799999999999997</x:v>
      </x:c>
      <x:c r="C45" s="42" t="n">
        <x:f>MIN(1,'ОАЭ 2029'!C45+'ОАЭ 2029'!F45+(0.08*LN(1+0.5*'Ход 2029'!C51)*MAX(0,1-('ОАЭ 2029'!C45+'ОАЭ 2029'!F45))))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9.799999999999997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2029'!B46+'ОАЭ 2029'!D46+('ОАЭ 2029'!C46+'ОАЭ 2029'!F46+'ОАЭ 2029'!G46)+(0.35*LN(1+0.6*'Ход 2029'!B52)*POWER(MAX(0,1-'ОАЭ 2029'!I46/10),0.7))))</x:f>
        <x:v>9.799999999999997</x:v>
      </x:c>
      <x:c r="C46" s="42" t="n">
        <x:f>MIN(1,'ОАЭ 2029'!C46+'ОАЭ 2029'!F46+(0.08*LN(1+0.5*'Ход 2029'!C52)*MAX(0,1-('ОАЭ 2029'!C46+'ОАЭ 2029'!F46))))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9.799999999999997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2029'!B47+'ОАЭ 2029'!D47+('ОАЭ 2029'!C47+'ОАЭ 2029'!F47+'ОАЭ 2029'!G47)+(0.35*LN(1+0.6*'Ход 2029'!B53)*POWER(MAX(0,1-'ОАЭ 2029'!I47/10),0.7))))</x:f>
        <x:v>8.399999999999999</x:v>
      </x:c>
      <x:c r="C47" s="42" t="n">
        <x:f>MIN(1,'ОАЭ 2029'!C47+'ОАЭ 2029'!F47+(0.08*LN(1+0.5*'Ход 2029'!C53)*MAX(0,1-('ОАЭ 2029'!C47+'ОАЭ 2029'!F47))))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8.399999999999999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2029'!B48+'ОАЭ 2029'!D48+('ОАЭ 2029'!C48+'ОАЭ 2029'!F48+'ОАЭ 2029'!G48)+(0.35*LN(1+0.6*'Ход 2029'!B54)*POWER(MAX(0,1-'ОАЭ 2029'!I48/10),0.7))))</x:f>
        <x:v>8.399999999999999</x:v>
      </x:c>
      <x:c r="C48" s="42" t="n">
        <x:f>MIN(1,'ОАЭ 2029'!C48+'ОАЭ 2029'!F48+(0.08*LN(1+0.5*'Ход 2029'!C54)*MAX(0,1-('ОАЭ 2029'!C48+'ОАЭ 2029'!F48))))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8.399999999999999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2029'!B49+'ОАЭ 2029'!D49+('ОАЭ 2029'!C49+'ОАЭ 2029'!F49+'ОАЭ 2029'!G49)+(0.35*LN(1+0.6*'Ход 2029'!B55)*POWER(MAX(0,1-'ОАЭ 2029'!I49/10),0.7))))</x:f>
        <x:v>10</x:v>
      </x:c>
      <x:c r="C49" s="42" t="n">
        <x:f>MIN(1,'ОАЭ 2029'!C49+'ОАЭ 2029'!F49+(0.08*LN(1+0.5*'Ход 2029'!C55)*MAX(0,1-('ОАЭ 2029'!C49+'ОАЭ 2029'!F49))))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2029'!B50+'ОАЭ 2029'!D50+('ОАЭ 2029'!C50+'ОАЭ 2029'!F50+'ОАЭ 2029'!G50)+(0.35*LN(1+0.6*'Ход 2029'!B56)*POWER(MAX(0,1-'ОАЭ 2029'!I50/10),0.7))))</x:f>
        <x:v>9.200000000000003</x:v>
      </x:c>
      <x:c r="C50" s="42" t="n">
        <x:f>MIN(1,'ОАЭ 2029'!C50+'ОАЭ 2029'!F50+(0.08*LN(1+0.5*'Ход 2029'!C56)*MAX(0,1-('ОАЭ 2029'!C50+'ОАЭ 2029'!F50))))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9.200000000000003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2029'!B51+'ОАЭ 2029'!D51+('ОАЭ 2029'!C51+'ОАЭ 2029'!F51+'ОАЭ 2029'!G51)+(0.35*LN(1+0.6*'Ход 2029'!B57)*POWER(MAX(0,1-'ОАЭ 2029'!I51/10),0.7))))</x:f>
        <x:v>9.799999999999997</x:v>
      </x:c>
      <x:c r="C51" s="42" t="n">
        <x:f>MIN(1,'ОАЭ 2029'!C51+'ОАЭ 2029'!F51+(0.08*LN(1+0.5*'Ход 2029'!C57)*MAX(0,1-('ОАЭ 2029'!C51+'ОАЭ 2029'!F51))))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2029'!B53+'ОАЭ 2029'!D53+('ОАЭ 2029'!C53+'ОАЭ 2029'!F53+'ОАЭ 2029'!G53)+(0.35*LN(1+0.6*'Ход 2029'!B59)*POWER(MAX(0,1-'ОАЭ 2029'!I53/10),0.7))))</x:f>
        <x:v>8.799999999999997</x:v>
      </x:c>
      <x:c r="C53" s="42" t="n">
        <x:f>MIN(1,'ОАЭ 2029'!C53+'ОАЭ 2029'!F53+(0.08*LN(1+0.5*'Ход 2029'!C59)*MAX(0,1-('ОАЭ 2029'!C53+'ОАЭ 2029'!F53))))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8.799999999999997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2029'!B54+'ОАЭ 2029'!D54+('ОАЭ 2029'!C54+'ОАЭ 2029'!F54+'ОАЭ 2029'!G54)+(0.35*LN(1+0.6*'Ход 2029'!B60)*POWER(MAX(0,1-'ОАЭ 2029'!I54/10),0.7))))</x:f>
        <x:v>8.799999999999997</x:v>
      </x:c>
      <x:c r="C54" s="42" t="n">
        <x:f>MIN(1,'ОАЭ 2029'!C54+'ОАЭ 2029'!F54+(0.08*LN(1+0.5*'Ход 2029'!C60)*MAX(0,1-('ОАЭ 2029'!C54+'ОАЭ 2029'!F54))))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8.799999999999997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2029'!B55+'ОАЭ 2029'!D55+('ОАЭ 2029'!C55+'ОАЭ 2029'!F55+'ОАЭ 2029'!G55)+(0.35*LN(1+0.6*'Ход 2029'!B61)*POWER(MAX(0,1-'ОАЭ 2029'!I55/10),0.7))))</x:f>
        <x:v>7.600000000000001</x:v>
      </x:c>
      <x:c r="C55" s="42" t="n">
        <x:f>MIN(1,'ОАЭ 2029'!C55+'ОАЭ 2029'!F55+(0.08*LN(1+0.5*'Ход 2029'!C61)*MAX(0,1-('ОАЭ 2029'!C55+'ОАЭ 2029'!F55))))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7.600000000000001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2030'!U6</x:f>
        <x:v>94.46439164138715</x:v>
      </x:c>
      <x:c r="C6" s="42"/>
      <x:c r="D6" s="42"/>
      <x:c r="E6" s="42" t="str">
        <x:v>Доступно</x:v>
      </x:c>
      <x:c r="F6" s="42" t="n">
        <x:f>'ОАЭ 2030'!K6</x:f>
        <x:v>76.34065026243051</x:v>
      </x:c>
      <x:c r="G6" s="42"/>
      <x:c r="H6" s="42"/>
      <x:c r="I6" s="42" t="str">
        <x:v>Доступно</x:v>
      </x:c>
      <x:c r="J6" s="42" t="n">
        <x:f>'ОАЭ 2030'!N6</x:f>
        <x:v>72.80726201247872</x:v>
      </x:c>
      <x:c r="K6" s="42"/>
      <x:c r="L6" s="42"/>
      <x:c r="M6" s="42" t="str">
        <x:v>Доступно</x:v>
      </x:c>
      <x:c r="N6" s="42" t="n">
        <x:f>'ОАЭ 2030'!Q6</x:f>
        <x:v>87.76135502679375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94.46439164138715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76.34065026243051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72.80726201247872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87.76135502679375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2030'!V11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87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2030'!V12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58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2030'!V13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93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2030'!V14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2030'!V15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63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2030'!V16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84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2030'!V17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32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2030'!V18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69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2030'!V19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16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2030'!V21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39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2030'!V22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87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2030'!V23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59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2030'!V24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23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2030'!V25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77.60997972882919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74.01609199386164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89.14276851605705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95.40302686690559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2030'!B8+'ОАЭ 2030'!D8+('ОАЭ 2030'!C8+'ОАЭ 2030'!F8+'ОАЭ 2030'!G8)+(0.35*LN(1+0.6*'Ход 2030'!B14)*POWER(MAX(0,1-'ОАЭ 2030'!I8/10),0.7))))</x:f>
        <x:v>7.749999999999999</x:v>
      </x:c>
      <x:c r="C8" s="42" t="n">
        <x:f>MIN(1,'ОАЭ 2030'!C8+'ОАЭ 2030'!F8+(0.08*LN(1+0.5*'Ход 2030'!C14)*MAX(0,1-('ОАЭ 2030'!C8+'ОАЭ 2030'!F8))))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7.749999999999999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2030'!B9+'ОАЭ 2030'!D9+('ОАЭ 2030'!C9+'ОАЭ 2030'!F9+'ОАЭ 2030'!G9)+(0.35*LN(1+0.6*'Ход 2030'!B15)*POWER(MAX(0,1-'ОАЭ 2030'!I9/10),0.7))))</x:f>
        <x:v>7.999999999999998</x:v>
      </x:c>
      <x:c r="C9" s="42" t="n">
        <x:f>MIN(1,'ОАЭ 2030'!C9+'ОАЭ 2030'!F9+(0.08*LN(1+0.5*'Ход 2030'!C15)*MAX(0,1-('ОАЭ 2030'!C9+'ОАЭ 2030'!F9))))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7.999999999999998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2030'!B10+'ОАЭ 2030'!D10+('ОАЭ 2030'!C10+'ОАЭ 2030'!F10+'ОАЭ 2030'!G10)+(0.35*LN(1+0.6*'Ход 2030'!B16)*POWER(MAX(0,1-'ОАЭ 2030'!I10/10),0.7))))</x:f>
        <x:v>9.750000000000004</x:v>
      </x:c>
      <x:c r="C10" s="42" t="n">
        <x:f>MIN(1,'ОАЭ 2030'!C10+'ОАЭ 2030'!F10+(0.08*LN(1+0.5*'Ход 2030'!C16)*MAX(0,1-('ОАЭ 2030'!C10+'ОАЭ 2030'!F10))))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9.750000000000004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2030'!B11+'ОАЭ 2030'!D11+('ОАЭ 2030'!C11+'ОАЭ 2030'!F11+'ОАЭ 2030'!G11)+(0.35*LN(1+0.6*'Ход 2030'!B17)*POWER(MAX(0,1-'ОАЭ 2030'!I11/10),0.7))))</x:f>
        <x:v>4.249999999999999</x:v>
      </x:c>
      <x:c r="C11" s="42" t="n">
        <x:f>MIN(1,'ОАЭ 2030'!C11+'ОАЭ 2030'!F11+(0.08*LN(1+0.5*'Ход 2030'!C17)*MAX(0,1-('ОАЭ 2030'!C11+'ОАЭ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4.249999999999999</x:v>
      </x:c>
      <x:c r="J11" s="42"/>
      <x:c r="K11" s="42" t="str">
        <x:v>Производство</x:v>
      </x:c>
      <x:c r="L11" s="42" t="n">
        <x:f>MAX(1,MIN(10,'ОАЭ 2030'!L11+'ОАЭ 2030'!N11+('ОАЭ 2030'!M11+'ОАЭ 2030'!P11+'ОАЭ 2030'!Q11)))</x:f>
        <x:v>8.749999999999998</x:v>
      </x:c>
      <x:c r="M11" s="42" t="n">
        <x:f>MIN(1,'ОАЭ 2030'!M11+'ОАЭ 2030'!P11+(0.10*LN(1+0.5*'Ход 2030'!H13)*POWER(MAX(0,1-'ОАЭ 2030'!S11/10),0.8)))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8.749999999999998</x:v>
      </x:c>
      <x:c r="T11" s="42"/>
      <x:c r="U11" s="42" t="str">
        <x:v>Россия</x:v>
      </x:c>
      <x:c r="V11" s="64" t="n">
        <x:f>'ОАЭ 2030'!V11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2030'!B12+'ОАЭ 2030'!D12+('ОАЭ 2030'!C12+'ОАЭ 2030'!F12+'ОАЭ 2030'!G12)+(0.35*LN(1+0.6*'Ход 2030'!B18)*POWER(MAX(0,1-'ОАЭ 2030'!I12/10),0.7))))</x:f>
        <x:v>6.249999999999999</x:v>
      </x:c>
      <x:c r="C12" s="42" t="n">
        <x:f>MIN(1,'ОАЭ 2030'!C12+'ОАЭ 2030'!F12+(0.08*LN(1+0.5*'Ход 2030'!C18)*MAX(0,1-('ОАЭ 2030'!C12+'ОАЭ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6.249999999999999</x:v>
      </x:c>
      <x:c r="J12" s="42"/>
      <x:c r="K12" s="42" t="str">
        <x:v>Управление</x:v>
      </x:c>
      <x:c r="L12" s="42" t="n">
        <x:f>MAX(1,MIN(10,'ОАЭ 2030'!L12+'ОАЭ 2030'!N12+('ОАЭ 2030'!M12+'ОАЭ 2030'!P12+'ОАЭ 2030'!Q12)))</x:f>
        <x:v>10</x:v>
      </x:c>
      <x:c r="M12" s="42" t="n">
        <x:f>MIN(1,'ОАЭ 2030'!M12+'ОАЭ 2030'!P12+(0.10*LN(1+0.5*'Ход 2030'!H14)*POWER(MAX(0,1-'ОАЭ 2030'!S12/10),0.8)))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2030'!V12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2030'!B13+'ОАЭ 2030'!D13+('ОАЭ 2030'!C13+'ОАЭ 2030'!F13+'ОАЭ 2030'!G13)+(0.35*LN(1+0.6*'Ход 2030'!B19)*POWER(MAX(0,1-'ОАЭ 2030'!I13/10),0.7))))</x:f>
        <x:v>3.499999999999999</x:v>
      </x:c>
      <x:c r="C13" s="42" t="n">
        <x:f>MIN(1,'ОАЭ 2030'!C13+'ОАЭ 2030'!F13+(0.08*LN(1+0.5*'Ход 2030'!C19)*MAX(0,1-('ОАЭ 2030'!C13+'ОАЭ 2030'!F13))))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3.499999999999999</x:v>
      </x:c>
      <x:c r="J13" s="42"/>
      <x:c r="K13" s="42" t="str">
        <x:v>Познание</x:v>
      </x:c>
      <x:c r="L13" s="42" t="n">
        <x:f>MAX(1,MIN(10,'ОАЭ 2030'!L13+'ОАЭ 2030'!N13+('ОАЭ 2030'!M13+'ОАЭ 2030'!P13+'ОАЭ 2030'!Q13)))</x:f>
        <x:v>9.000000000000002</x:v>
      </x:c>
      <x:c r="M13" s="42" t="n">
        <x:f>MIN(1,'ОАЭ 2030'!M13+'ОАЭ 2030'!P13+(0.10*LN(1+0.5*'Ход 2030'!H15)*POWER(MAX(0,1-'ОАЭ 2030'!S13/10),0.8)))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9.000000000000002</x:v>
      </x:c>
      <x:c r="T13" s="42"/>
      <x:c r="U13" s="42" t="str">
        <x:v>Китай</x:v>
      </x:c>
      <x:c r="V13" s="64" t="n">
        <x:f>'ОАЭ 2030'!V13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2030'!B14+'ОАЭ 2030'!D14+('ОАЭ 2030'!C14+'ОАЭ 2030'!F14+'ОАЭ 2030'!G14)+(0.35*LN(1+0.6*'Ход 2030'!B20)*POWER(MAX(0,1-'ОАЭ 2030'!I14/10),0.7))))</x:f>
        <x:v>8.5</x:v>
      </x:c>
      <x:c r="C14" s="42" t="n">
        <x:f>MIN(1,'ОАЭ 2030'!C14+'ОАЭ 2030'!F14+(0.08*LN(1+0.5*'Ход 2030'!C20)*MAX(0,1-('ОАЭ 2030'!C14+'ОАЭ 2030'!F14))))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8.5</x:v>
      </x:c>
      <x:c r="J14" s="42"/>
      <x:c r="K14" s="42" t="str">
        <x:v>Обучение</x:v>
      </x:c>
      <x:c r="L14" s="42" t="n">
        <x:f>MAX(1,MIN(10,'ОАЭ 2030'!L14+'ОАЭ 2030'!N14+('ОАЭ 2030'!M14+'ОАЭ 2030'!P14+'ОАЭ 2030'!Q14)))</x:f>
        <x:v>9.249999999999998</x:v>
      </x:c>
      <x:c r="M14" s="42" t="n">
        <x:f>MIN(1,'ОАЭ 2030'!M14+'ОАЭ 2030'!P14+(0.10*LN(1+0.5*'Ход 2030'!H16)*POWER(MAX(0,1-'ОАЭ 2030'!S14/10),0.8)))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9.249999999999998</x:v>
      </x:c>
      <x:c r="T14" s="42"/>
      <x:c r="U14" s="42" t="str">
        <x:v>Индия</x:v>
      </x:c>
      <x:c r="V14" s="64" t="n">
        <x:f>'ОАЭ 2030'!V14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2030'!B15+'ОАЭ 2030'!D15+('ОАЭ 2030'!C15+'ОАЭ 2030'!F15+'ОАЭ 2030'!G15)+(0.35*LN(1+0.6*'Ход 2030'!B21)*POWER(MAX(0,1-'ОАЭ 2030'!I15/10),0.7))))</x:f>
        <x:v>10</x:v>
      </x:c>
      <x:c r="C15" s="42" t="n">
        <x:f>MIN(1,'ОАЭ 2030'!C15+'ОАЭ 2030'!F15+(0.08*LN(1+0.5*'Ход 2030'!C21)*MAX(0,1-('ОАЭ 2030'!C15+'ОАЭ 2030'!F15))))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2030'!L15+'ОАЭ 2030'!N15+('ОАЭ 2030'!M15+'ОАЭ 2030'!P15+'ОАЭ 2030'!Q15)))</x:f>
        <x:v>8.25</x:v>
      </x:c>
      <x:c r="M15" s="42" t="n">
        <x:f>MIN(1,'ОАЭ 2030'!M15+'ОАЭ 2030'!P15+(0.10*LN(1+0.5*'Ход 2030'!H17)*POWER(MAX(0,1-'ОАЭ 2030'!S15/10),0.8)))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8.25</x:v>
      </x:c>
      <x:c r="T15" s="42"/>
      <x:c r="U15" s="42" t="str">
        <x:v>Великобритания</x:v>
      </x:c>
      <x:c r="V15" s="64" t="n">
        <x:f>'ОАЭ 2030'!V15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2030'!B16+'ОАЭ 2030'!D16+('ОАЭ 2030'!C16+'ОАЭ 2030'!F16+'ОАЭ 2030'!G16)+(0.35*LN(1+0.6*'Ход 2030'!B22)*POWER(MAX(0,1-'ОАЭ 2030'!I16/10),0.7))))</x:f>
        <x:v>10</x:v>
      </x:c>
      <x:c r="C16" s="42" t="n">
        <x:f>MIN(1,'ОАЭ 2030'!C16+'ОАЭ 2030'!F16+(0.08*LN(1+0.5*'Ход 2030'!C22)*MAX(0,1-('ОАЭ 2030'!C16+'ОАЭ 2030'!F16))))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2030'!L16+'ОАЭ 2030'!N16+('ОАЭ 2030'!M16+'ОАЭ 2030'!P16+'ОАЭ 2030'!Q16)))</x:f>
        <x:v>10</x:v>
      </x:c>
      <x:c r="M16" s="42" t="n">
        <x:f>MIN(1,'ОАЭ 2030'!M16+'ОАЭ 2030'!P16+(0.10*LN(1+0.5*'Ход 2030'!H18)*POWER(MAX(0,1-'ОАЭ 2030'!S16/10),0.8)))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2030'!V16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2030'!B17+'ОАЭ 2030'!D17+('ОАЭ 2030'!C17+'ОАЭ 2030'!F17+'ОАЭ 2030'!G17)+(0.35*LN(1+0.6*'Ход 2030'!B23)*POWER(MAX(0,1-'ОАЭ 2030'!I17/10),0.7))))</x:f>
        <x:v>9.499999999999998</x:v>
      </x:c>
      <x:c r="C17" s="42" t="n">
        <x:f>MIN(1,'ОАЭ 2030'!C17+'ОАЭ 2030'!F17+(0.08*LN(1+0.5*'Ход 2030'!C23)*MAX(0,1-('ОАЭ 2030'!C17+'ОАЭ 2030'!F17))))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9.499999999999998</x:v>
      </x:c>
      <x:c r="J17" s="42"/>
      <x:c r="K17" s="42" t="str">
        <x:v>Государственное управление</x:v>
      </x:c>
      <x:c r="L17" s="42" t="n">
        <x:f>MAX(1,MIN(10,'ОАЭ 2030'!L17+'ОАЭ 2030'!N17+('ОАЭ 2030'!M17+'ОАЭ 2030'!P17+'ОАЭ 2030'!Q17)))</x:f>
        <x:v>9.75</x:v>
      </x:c>
      <x:c r="M17" s="42" t="n">
        <x:f>MIN(1,'ОАЭ 2030'!M17+'ОАЭ 2030'!P17+(0.10*LN(1+0.5*'Ход 2030'!H19)*POWER(MAX(0,1-'ОАЭ 2030'!S17/10),0.8)))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9.75</x:v>
      </x:c>
      <x:c r="T17" s="42"/>
      <x:c r="U17" s="42" t="str">
        <x:v>Германия</x:v>
      </x:c>
      <x:c r="V17" s="64" t="n">
        <x:f>'ОАЭ 2030'!V17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2030'!L18+'ОАЭ 2030'!N18+('ОАЭ 2030'!M18+'ОАЭ 2030'!P18+'ОАЭ 2030'!Q18)))</x:f>
        <x:v>9.75</x:v>
      </x:c>
      <x:c r="M18" s="42" t="n">
        <x:f>MIN(1,'ОАЭ 2030'!M18+'ОАЭ 2030'!P18+(0.10*LN(1+0.5*'Ход 2030'!H20)*POWER(MAX(0,1-'ОАЭ 2030'!S18/10),0.8)))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9.75</x:v>
      </x:c>
      <x:c r="T18" s="42"/>
      <x:c r="U18" s="42" t="str">
        <x:v>Япония</x:v>
      </x:c>
      <x:c r="V18" s="64" t="n">
        <x:f>'ОАЭ 2030'!V18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2030'!B19+'ОАЭ 2030'!D19+('ОАЭ 2030'!C19+'ОАЭ 2030'!F19+'ОАЭ 2030'!G19)+(0.35*LN(1+0.6*'Ход 2030'!B25)*POWER(MAX(0,1-'ОАЭ 2030'!I19/10),0.7))))</x:f>
        <x:v>8.75</x:v>
      </x:c>
      <x:c r="C19" s="42" t="n">
        <x:f>MIN(1,'ОАЭ 2030'!C19+'ОАЭ 2030'!F19+(0.08*LN(1+0.5*'Ход 2030'!C25)*MAX(0,1-('ОАЭ 2030'!C19+'ОАЭ 2030'!F19))))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2030'!V19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2030'!B20+'ОАЭ 2030'!D20+('ОАЭ 2030'!C20+'ОАЭ 2030'!F20+'ОАЭ 2030'!G20)+(0.35*LN(1+0.6*'Ход 2030'!B26)*POWER(MAX(0,1-'ОАЭ 2030'!I20/10),0.7))))</x:f>
        <x:v>9.500000000000004</x:v>
      </x:c>
      <x:c r="C20" s="42" t="n">
        <x:f>MIN(1,'ОАЭ 2030'!C20+'ОАЭ 2030'!F20+(0.08*LN(1+0.5*'Ход 2030'!C26)*MAX(0,1-('ОАЭ 2030'!C20+'ОАЭ 2030'!F20))))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9.500000000000004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2030'!B21+'ОАЭ 2030'!D21+('ОАЭ 2030'!C21+'ОАЭ 2030'!F21+'ОАЭ 2030'!G21)+(0.35*LN(1+0.6*'Ход 2030'!B27)*POWER(MAX(0,1-'ОАЭ 2030'!I21/10),0.7))))</x:f>
        <x:v>9.000000000000002</x:v>
      </x:c>
      <x:c r="C21" s="42" t="n">
        <x:f>MIN(1,'ОАЭ 2030'!C21+'ОАЭ 2030'!F21+(0.08*LN(1+0.5*'Ход 2030'!C27)*MAX(0,1-('ОАЭ 2030'!C21+'ОАЭ 2030'!F21))))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9.000000000000002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2030'!V21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2030'!B22+'ОАЭ 2030'!D22+('ОАЭ 2030'!C22+'ОАЭ 2030'!F22+'ОАЭ 2030'!G22)+(0.35*LN(1+0.6*'Ход 2030'!B28)*POWER(MAX(0,1-'ОАЭ 2030'!I22/10),0.7))))</x:f>
        <x:v>8</x:v>
      </x:c>
      <x:c r="C22" s="42" t="n">
        <x:f>MIN(1,'ОАЭ 2030'!C22+'ОАЭ 2030'!F22+(0.08*LN(1+0.5*'Ход 2030'!C28)*MAX(0,1-('ОАЭ 2030'!C22+'ОАЭ 2030'!F22))))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2030'!V22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2030'!B23+'ОАЭ 2030'!D23+('ОАЭ 2030'!C23+'ОАЭ 2030'!F23+'ОАЭ 2030'!G23)+(0.35*LN(1+0.6*'Ход 2030'!B29)*POWER(MAX(0,1-'ОАЭ 2030'!I23/10),0.7))))</x:f>
        <x:v>8.75</x:v>
      </x:c>
      <x:c r="C23" s="42" t="n">
        <x:f>MIN(1,'ОАЭ 2030'!C23+'ОАЭ 2030'!F23+(0.08*LN(1+0.5*'Ход 2030'!C29)*MAX(0,1-('ОАЭ 2030'!C23+'ОАЭ 2030'!F23))))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2030'!V23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2030'!V24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2030'!B25+'ОАЭ 2030'!D25+('ОАЭ 2030'!C25+'ОАЭ 2030'!F25+'ОАЭ 2030'!G25)+(0.35*LN(1+0.6*'Ход 2030'!B31)*POWER(MAX(0,1-'ОАЭ 2030'!I25/10),0.7))))</x:f>
        <x:v>8.499999999999998</x:v>
      </x:c>
      <x:c r="C25" s="42" t="n">
        <x:f>MIN(1,'ОАЭ 2030'!C25+'ОАЭ 2030'!F25+(0.08*LN(1+0.5*'Ход 2030'!C31)*MAX(0,1-('ОАЭ 2030'!C25+'ОАЭ 2030'!F25))))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8.499999999999998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2030'!V25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2030'!B26+'ОАЭ 2030'!D26+('ОАЭ 2030'!C26+'ОАЭ 2030'!F26+'ОАЭ 2030'!G26)+(0.35*LN(1+0.6*'Ход 2030'!B32)*POWER(MAX(0,1-'ОАЭ 2030'!I26/10),0.7))))</x:f>
        <x:v>8.75</x:v>
      </x:c>
      <x:c r="C26" s="42" t="n">
        <x:f>MIN(1,'ОАЭ 2030'!C26+'ОАЭ 2030'!F26+(0.08*LN(1+0.5*'Ход 2030'!C32)*MAX(0,1-('ОАЭ 2030'!C26+'ОАЭ 2030'!F26))))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2030'!B27+'ОАЭ 2030'!D27+('ОАЭ 2030'!C27+'ОАЭ 2030'!F27+'ОАЭ 2030'!G27)+(0.35*LN(1+0.6*'Ход 2030'!B33)*POWER(MAX(0,1-'ОАЭ 2030'!I27/10),0.7))))</x:f>
        <x:v>9.25</x:v>
      </x:c>
      <x:c r="C27" s="42" t="n">
        <x:f>MIN(1,'ОАЭ 2030'!C27+'ОАЭ 2030'!F27+(0.08*LN(1+0.5*'Ход 2030'!C33)*MAX(0,1-('ОАЭ 2030'!C27+'ОАЭ 2030'!F27))))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9.25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2030'!B28+'ОАЭ 2030'!D28+('ОАЭ 2030'!C28+'ОАЭ 2030'!F28+'ОАЭ 2030'!G28)+(0.35*LN(1+0.6*'Ход 2030'!B34)*POWER(MAX(0,1-'ОАЭ 2030'!I28/10),0.7))))</x:f>
        <x:v>9.000000000000002</x:v>
      </x:c>
      <x:c r="C28" s="42" t="n">
        <x:f>MIN(1,'ОАЭ 2030'!C28+'ОАЭ 2030'!F28+(0.08*LN(1+0.5*'Ход 2030'!C34)*MAX(0,1-('ОАЭ 2030'!C28+'ОАЭ 2030'!F28))))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9.000000000000002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2030'!B29+'ОАЭ 2030'!D29+('ОАЭ 2030'!C29+'ОАЭ 2030'!F29+'ОАЭ 2030'!G29)+(0.35*LN(1+0.6*'Ход 2030'!B35)*POWER(MAX(0,1-'ОАЭ 2030'!I29/10),0.7))))</x:f>
        <x:v>8.25</x:v>
      </x:c>
      <x:c r="C29" s="42" t="n">
        <x:f>MIN(1,'ОАЭ 2030'!C29+'ОАЭ 2030'!F29+(0.08*LN(1+0.5*'Ход 2030'!C35)*MAX(0,1-('ОАЭ 2030'!C29+'ОАЭ 2030'!F29))))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2030'!B30+'ОАЭ 2030'!D30+('ОАЭ 2030'!C30+'ОАЭ 2030'!F30+'ОАЭ 2030'!G30)+(0.35*LN(1+0.6*'Ход 2030'!B36)*POWER(MAX(0,1-'ОАЭ 2030'!I30/10),0.7))))</x:f>
        <x:v>8.499999999999998</x:v>
      </x:c>
      <x:c r="C30" s="42" t="n">
        <x:f>MIN(1,'ОАЭ 2030'!C30+'ОАЭ 2030'!F30+(0.08*LN(1+0.5*'Ход 2030'!C36)*MAX(0,1-('ОАЭ 2030'!C30+'ОАЭ 2030'!F30))))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8.499999999999998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2030'!B31+'ОАЭ 2030'!D31+('ОАЭ 2030'!C31+'ОАЭ 2030'!F31+'ОАЭ 2030'!G31)+(0.35*LN(1+0.6*'Ход 2030'!B37)*POWER(MAX(0,1-'ОАЭ 2030'!I31/10),0.7))))</x:f>
        <x:v>8.499999999999998</x:v>
      </x:c>
      <x:c r="C31" s="42" t="n">
        <x:f>MIN(1,'ОАЭ 2030'!C31+'ОАЭ 2030'!F31+(0.08*LN(1+0.5*'Ход 2030'!C37)*MAX(0,1-('ОАЭ 2030'!C31+'ОАЭ 2030'!F31))))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8.499999999999998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2030'!B32+'ОАЭ 2030'!D32+('ОАЭ 2030'!C32+'ОАЭ 2030'!F32+'ОАЭ 2030'!G32)+(0.35*LN(1+0.6*'Ход 2030'!B38)*POWER(MAX(0,1-'ОАЭ 2030'!I32/10),0.7))))</x:f>
        <x:v>9.499999999999996</x:v>
      </x:c>
      <x:c r="C32" s="42" t="n">
        <x:f>MIN(1,'ОАЭ 2030'!C32+'ОАЭ 2030'!F32+(0.08*LN(1+0.5*'Ход 2030'!C38)*MAX(0,1-('ОАЭ 2030'!C32+'ОАЭ 2030'!F32))))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9.499999999999996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2030'!B34+'ОАЭ 2030'!D34+('ОАЭ 2030'!C34+'ОАЭ 2030'!F34+'ОАЭ 2030'!G34)+(0.35*LN(1+0.6*'Ход 2030'!B40)*POWER(MAX(0,1-'ОАЭ 2030'!I34/10),0.7))))</x:f>
        <x:v>9.75</x:v>
      </x:c>
      <x:c r="C34" s="42" t="n">
        <x:f>MIN(1,'ОАЭ 2030'!C34+'ОАЭ 2030'!F34+(0.08*LN(1+0.5*'Ход 2030'!C40)*MAX(0,1-('ОАЭ 2030'!C34+'ОАЭ 2030'!F34))))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2030'!B35+'ОАЭ 2030'!D35+('ОАЭ 2030'!C35+'ОАЭ 2030'!F35+'ОАЭ 2030'!G35)+(0.35*LN(1+0.6*'Ход 2030'!B41)*POWER(MAX(0,1-'ОАЭ 2030'!I35/10),0.7))))</x:f>
        <x:v>8.750000000000002</x:v>
      </x:c>
      <x:c r="C35" s="42" t="n">
        <x:f>MIN(1,'ОАЭ 2030'!C35+'ОАЭ 2030'!F35+(0.08*LN(1+0.5*'Ход 2030'!C41)*MAX(0,1-('ОАЭ 2030'!C35+'ОАЭ 2030'!F35))))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8.750000000000002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2030'!B36+'ОАЭ 2030'!D36+('ОАЭ 2030'!C36+'ОАЭ 2030'!F36+'ОАЭ 2030'!G36)+(0.35*LN(1+0.6*'Ход 2030'!B42)*POWER(MAX(0,1-'ОАЭ 2030'!I36/10),0.7))))</x:f>
        <x:v>10</x:v>
      </x:c>
      <x:c r="C36" s="42" t="n">
        <x:f>MIN(1,'ОАЭ 2030'!C36+'ОАЭ 2030'!F36+(0.08*LN(1+0.5*'Ход 2030'!C42)*MAX(0,1-('ОАЭ 2030'!C36+'ОАЭ 2030'!F36))))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2030'!B37+'ОАЭ 2030'!D37+('ОАЭ 2030'!C37+'ОАЭ 2030'!F37+'ОАЭ 2030'!G37)+(0.35*LN(1+0.6*'Ход 2030'!B43)*POWER(MAX(0,1-'ОАЭ 2030'!I37/10),0.7))))</x:f>
        <x:v>10</x:v>
      </x:c>
      <x:c r="C37" s="42" t="n">
        <x:f>MIN(1,'ОАЭ 2030'!C37+'ОАЭ 2030'!F37+(0.08*LN(1+0.5*'Ход 2030'!C43)*MAX(0,1-('ОАЭ 2030'!C37+'ОАЭ 2030'!F37))))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2030'!B38+'ОАЭ 2030'!D38+('ОАЭ 2030'!C38+'ОАЭ 2030'!F38+'ОАЭ 2030'!G38)+(0.35*LN(1+0.6*'Ход 2030'!B44)*POWER(MAX(0,1-'ОАЭ 2030'!I38/10),0.7))))</x:f>
        <x:v>10</x:v>
      </x:c>
      <x:c r="C38" s="42" t="n">
        <x:f>MIN(1,'ОАЭ 2030'!C38+'ОАЭ 2030'!F38+(0.08*LN(1+0.5*'Ход 2030'!C44)*MAX(0,1-('ОАЭ 2030'!C38+'ОАЭ 2030'!F38))))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2030'!B39+'ОАЭ 2030'!D39+('ОАЭ 2030'!C39+'ОАЭ 2030'!F39+'ОАЭ 2030'!G39)+(0.35*LN(1+0.6*'Ход 2030'!B45)*POWER(MAX(0,1-'ОАЭ 2030'!I39/10),0.7))))</x:f>
        <x:v>10</x:v>
      </x:c>
      <x:c r="C39" s="42" t="n">
        <x:f>MIN(1,'ОАЭ 2030'!C39+'ОАЭ 2030'!F39+(0.08*LN(1+0.5*'Ход 2030'!C45)*MAX(0,1-('ОАЭ 2030'!C39+'ОАЭ 2030'!F39))))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2030'!B40+'ОАЭ 2030'!D40+('ОАЭ 2030'!C40+'ОАЭ 2030'!F40+'ОАЭ 2030'!G40)+(0.35*LN(1+0.6*'Ход 2030'!B46)*POWER(MAX(0,1-'ОАЭ 2030'!I40/10),0.7))))</x:f>
        <x:v>10</x:v>
      </x:c>
      <x:c r="C40" s="42" t="n">
        <x:f>MIN(1,'ОАЭ 2030'!C40+'ОАЭ 2030'!F40+(0.08*LN(1+0.5*'Ход 2030'!C46)*MAX(0,1-('ОАЭ 2030'!C40+'ОАЭ 2030'!F40))))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2030'!B41+'ОАЭ 2030'!D41+('ОАЭ 2030'!C41+'ОАЭ 2030'!F41+'ОАЭ 2030'!G41)+(0.35*LN(1+0.6*'Ход 2030'!B47)*POWER(MAX(0,1-'ОАЭ 2030'!I41/10),0.7))))</x:f>
        <x:v>10</x:v>
      </x:c>
      <x:c r="C41" s="42" t="n">
        <x:f>MIN(1,'ОАЭ 2030'!C41+'ОАЭ 2030'!F41+(0.08*LN(1+0.5*'Ход 2030'!C47)*MAX(0,1-('ОАЭ 2030'!C41+'ОАЭ 2030'!F41))))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2030'!B42+'ОАЭ 2030'!D42+('ОАЭ 2030'!C42+'ОАЭ 2030'!F42+'ОАЭ 2030'!G42)+(0.35*LN(1+0.6*'Ход 2030'!B48)*POWER(MAX(0,1-'ОАЭ 2030'!I42/10),0.7))))</x:f>
        <x:v>9.750000000000002</x:v>
      </x:c>
      <x:c r="C42" s="42" t="n">
        <x:f>MIN(1,'ОАЭ 2030'!C42+'ОАЭ 2030'!F42+(0.08*LN(1+0.5*'Ход 2030'!C48)*MAX(0,1-('ОАЭ 2030'!C42+'ОАЭ 2030'!F42))))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9.750000000000002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2030'!B44+'ОАЭ 2030'!D44+('ОАЭ 2030'!C44+'ОАЭ 2030'!F44+'ОАЭ 2030'!G44)+(0.35*LN(1+0.6*'Ход 2030'!B50)*POWER(MAX(0,1-'ОАЭ 2030'!I44/10),0.7))))</x:f>
        <x:v>8.750000000000002</x:v>
      </x:c>
      <x:c r="C44" s="42" t="n">
        <x:f>MIN(1,'ОАЭ 2030'!C44+'ОАЭ 2030'!F44+(0.08*LN(1+0.5*'Ход 2030'!C50)*MAX(0,1-('ОАЭ 2030'!C44+'ОАЭ 2030'!F44))))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8.750000000000002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2030'!B45+'ОАЭ 2030'!D45+('ОАЭ 2030'!C45+'ОАЭ 2030'!F45+'ОАЭ 2030'!G45)+(0.35*LN(1+0.6*'Ход 2030'!B51)*POWER(MAX(0,1-'ОАЭ 2030'!I45/10),0.7))))</x:f>
        <x:v>9.999999999999996</x:v>
      </x:c>
      <x:c r="C45" s="42" t="n">
        <x:f>MIN(1,'ОАЭ 2030'!C45+'ОАЭ 2030'!F45+(0.08*LN(1+0.5*'Ход 2030'!C51)*MAX(0,1-('ОАЭ 2030'!C45+'ОАЭ 2030'!F45))))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9.999999999999996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2030'!B46+'ОАЭ 2030'!D46+('ОАЭ 2030'!C46+'ОАЭ 2030'!F46+'ОАЭ 2030'!G46)+(0.35*LN(1+0.6*'Ход 2030'!B52)*POWER(MAX(0,1-'ОАЭ 2030'!I46/10),0.7))))</x:f>
        <x:v>9.999999999999996</x:v>
      </x:c>
      <x:c r="C46" s="42" t="n">
        <x:f>MIN(1,'ОАЭ 2030'!C46+'ОАЭ 2030'!F46+(0.08*LN(1+0.5*'Ход 2030'!C52)*MAX(0,1-('ОАЭ 2030'!C46+'ОАЭ 2030'!F46))))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9.999999999999996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2030'!B47+'ОАЭ 2030'!D47+('ОАЭ 2030'!C47+'ОАЭ 2030'!F47+'ОАЭ 2030'!G47)+(0.35*LN(1+0.6*'Ход 2030'!B53)*POWER(MAX(0,1-'ОАЭ 2030'!I47/10),0.7))))</x:f>
        <x:v>8.499999999999998</x:v>
      </x:c>
      <x:c r="C47" s="42" t="n">
        <x:f>MIN(1,'ОАЭ 2030'!C47+'ОАЭ 2030'!F47+(0.08*LN(1+0.5*'Ход 2030'!C53)*MAX(0,1-('ОАЭ 2030'!C47+'ОАЭ 2030'!F47))))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8.499999999999998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2030'!B48+'ОАЭ 2030'!D48+('ОАЭ 2030'!C48+'ОАЭ 2030'!F48+'ОАЭ 2030'!G48)+(0.35*LN(1+0.6*'Ход 2030'!B54)*POWER(MAX(0,1-'ОАЭ 2030'!I48/10),0.7))))</x:f>
        <x:v>8.499999999999998</x:v>
      </x:c>
      <x:c r="C48" s="42" t="n">
        <x:f>MIN(1,'ОАЭ 2030'!C48+'ОАЭ 2030'!F48+(0.08*LN(1+0.5*'Ход 2030'!C54)*MAX(0,1-('ОАЭ 2030'!C48+'ОАЭ 2030'!F48))))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8.499999999999998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2030'!B49+'ОАЭ 2030'!D49+('ОАЭ 2030'!C49+'ОАЭ 2030'!F49+'ОАЭ 2030'!G49)+(0.35*LN(1+0.6*'Ход 2030'!B55)*POWER(MAX(0,1-'ОАЭ 2030'!I49/10),0.7))))</x:f>
        <x:v>10</x:v>
      </x:c>
      <x:c r="C49" s="42" t="n">
        <x:f>MIN(1,'ОАЭ 2030'!C49+'ОАЭ 2030'!F49+(0.08*LN(1+0.5*'Ход 2030'!C55)*MAX(0,1-('ОАЭ 2030'!C49+'ОАЭ 2030'!F49))))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2030'!B50+'ОАЭ 2030'!D50+('ОАЭ 2030'!C50+'ОАЭ 2030'!F50+'ОАЭ 2030'!G50)+(0.35*LN(1+0.6*'Ход 2030'!B56)*POWER(MAX(0,1-'ОАЭ 2030'!I50/10),0.7))))</x:f>
        <x:v>9.250000000000004</x:v>
      </x:c>
      <x:c r="C50" s="42" t="n">
        <x:f>MIN(1,'ОАЭ 2030'!C50+'ОАЭ 2030'!F50+(0.08*LN(1+0.5*'Ход 2030'!C56)*MAX(0,1-('ОАЭ 2030'!C50+'ОАЭ 2030'!F50))))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9.250000000000004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2030'!B51+'ОАЭ 2030'!D51+('ОАЭ 2030'!C51+'ОАЭ 2030'!F51+'ОАЭ 2030'!G51)+(0.35*LN(1+0.6*'Ход 2030'!B57)*POWER(MAX(0,1-'ОАЭ 2030'!I51/10),0.7))))</x:f>
        <x:v>9.999999999999996</x:v>
      </x:c>
      <x:c r="C51" s="42" t="n">
        <x:f>MIN(1,'ОАЭ 2030'!C51+'ОАЭ 2030'!F51+(0.08*LN(1+0.5*'Ход 2030'!C57)*MAX(0,1-('ОАЭ 2030'!C51+'ОАЭ 2030'!F51))))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9.999999999999996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2030'!B53+'ОАЭ 2030'!D53+('ОАЭ 2030'!C53+'ОАЭ 2030'!F53+'ОАЭ 2030'!G53)+(0.35*LN(1+0.6*'Ход 2030'!B59)*POWER(MAX(0,1-'ОАЭ 2030'!I53/10),0.7))))</x:f>
        <x:v>8.999999999999996</x:v>
      </x:c>
      <x:c r="C53" s="42" t="n">
        <x:f>MIN(1,'ОАЭ 2030'!C53+'ОАЭ 2030'!F53+(0.08*LN(1+0.5*'Ход 2030'!C59)*MAX(0,1-('ОАЭ 2030'!C53+'ОАЭ 2030'!F53))))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8.999999999999996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2030'!B54+'ОАЭ 2030'!D54+('ОАЭ 2030'!C54+'ОАЭ 2030'!F54+'ОАЭ 2030'!G54)+(0.35*LN(1+0.6*'Ход 2030'!B60)*POWER(MAX(0,1-'ОАЭ 2030'!I54/10),0.7))))</x:f>
        <x:v>8.999999999999996</x:v>
      </x:c>
      <x:c r="C54" s="42" t="n">
        <x:f>MIN(1,'ОАЭ 2030'!C54+'ОАЭ 2030'!F54+(0.08*LN(1+0.5*'Ход 2030'!C60)*MAX(0,1-('ОАЭ 2030'!C54+'ОАЭ 2030'!F54))))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8.999999999999996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2030'!B55+'ОАЭ 2030'!D55+('ОАЭ 2030'!C55+'ОАЭ 2030'!F55+'ОАЭ 2030'!G55)+(0.35*LN(1+0.6*'Ход 2030'!B61)*POWER(MAX(0,1-'ОАЭ 2030'!I55/10),0.7))))</x:f>
        <x:v>7.750000000000002</x:v>
      </x:c>
      <x:c r="C55" s="42" t="n">
        <x:f>MIN(1,'ОАЭ 2030'!C55+'ОАЭ 2030'!F55+(0.08*LN(1+0.5*'Ход 2030'!C61)*MAX(0,1-('ОАЭ 2030'!C55+'ОАЭ 2030'!F55))))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7.750000000000002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2031'!U6</x:f>
        <x:v>95.40302686690559</x:v>
      </x:c>
      <x:c r="C6" s="42"/>
      <x:c r="D6" s="42"/>
      <x:c r="E6" s="42" t="str">
        <x:v>Доступно</x:v>
      </x:c>
      <x:c r="F6" s="42" t="n">
        <x:f>'ОАЭ 2031'!K6</x:f>
        <x:v>77.60997972882919</x:v>
      </x:c>
      <x:c r="G6" s="42"/>
      <x:c r="H6" s="42"/>
      <x:c r="I6" s="42" t="str">
        <x:v>Доступно</x:v>
      </x:c>
      <x:c r="J6" s="42" t="n">
        <x:f>'ОАЭ 2031'!N6</x:f>
        <x:v>74.01609199386164</x:v>
      </x:c>
      <x:c r="K6" s="42"/>
      <x:c r="L6" s="42"/>
      <x:c r="M6" s="42" t="str">
        <x:v>Доступно</x:v>
      </x:c>
      <x:c r="N6" s="42" t="n">
        <x:f>'ОАЭ 2031'!Q6</x:f>
        <x:v>89.14276851605705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95.40302686690559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77.60997972882919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74.01609199386164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89.14276851605705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2031'!V11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52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2031'!V12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17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2031'!V13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70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2031'!V14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31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2031'!V15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70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2031'!V16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31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2031'!V17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13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2031'!V18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94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2031'!V19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21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2031'!V20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2031'!V21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2031'!V22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75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2031'!V23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95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2031'!V24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69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2031'!V25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78.67320199554828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75.00898832865315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89.77485234691714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96.1101966201662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2031'!B8+'ОАЭ 2031'!D8+('ОАЭ 2031'!C8+'ОАЭ 2031'!F8+'ОАЭ 2031'!G8)+(0.35*LN(1+0.6*'Ход 2031'!B14)*POWER(MAX(0,1-'ОАЭ 2031'!I8/10),0.7))))</x:f>
        <x:v>7.799999999999999</x:v>
      </x:c>
      <x:c r="C8" s="42" t="n">
        <x:f>MIN(1,'ОАЭ 2031'!C8+'ОАЭ 2031'!F8+(0.08*LN(1+0.5*'Ход 2031'!C14)*MAX(0,1-('ОАЭ 2031'!C8+'ОАЭ 2031'!F8))))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7.799999999999999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2031'!B9+'ОАЭ 2031'!D9+('ОАЭ 2031'!C9+'ОАЭ 2031'!F9+'ОАЭ 2031'!G9)+(0.35*LN(1+0.6*'Ход 2031'!B15)*POWER(MAX(0,1-'ОАЭ 2031'!I9/10),0.7))))</x:f>
        <x:v>8.099999999999998</x:v>
      </x:c>
      <x:c r="C9" s="42" t="n">
        <x:f>MIN(1,'ОАЭ 2031'!C9+'ОАЭ 2031'!F9+(0.08*LN(1+0.5*'Ход 2031'!C15)*MAX(0,1-('ОАЭ 2031'!C9+'ОАЭ 2031'!F9))))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8.099999999999998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2031'!B10+'ОАЭ 2031'!D10+('ОАЭ 2031'!C10+'ОАЭ 2031'!F10+'ОАЭ 2031'!G10)+(0.35*LN(1+0.6*'Ход 2031'!B16)*POWER(MAX(0,1-'ОАЭ 2031'!I10/10),0.7))))</x:f>
        <x:v>9.800000000000004</x:v>
      </x:c>
      <x:c r="C10" s="42" t="n">
        <x:f>MIN(1,'ОАЭ 2031'!C10+'ОАЭ 2031'!F10+(0.08*LN(1+0.5*'Ход 2031'!C16)*MAX(0,1-('ОАЭ 2031'!C10+'ОАЭ 2031'!F10))))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9.800000000000004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2031'!B11+'ОАЭ 2031'!D11+('ОАЭ 2031'!C11+'ОАЭ 2031'!F11+'ОАЭ 2031'!G11)+(0.35*LN(1+0.6*'Ход 2031'!B17)*POWER(MAX(0,1-'ОАЭ 2031'!I11/10),0.7))))</x:f>
        <x:v>4.299999999999999</x:v>
      </x:c>
      <x:c r="C11" s="42" t="n">
        <x:f>MIN(1,'ОАЭ 2031'!C11+'ОАЭ 2031'!F11+(0.08*LN(1+0.5*'Ход 2031'!C17)*MAX(0,1-('ОАЭ 2031'!C11+'ОАЭ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4.299999999999999</x:v>
      </x:c>
      <x:c r="J11" s="42"/>
      <x:c r="K11" s="42" t="str">
        <x:v>Производство</x:v>
      </x:c>
      <x:c r="L11" s="42" t="n">
        <x:f>MAX(1,MIN(10,'ОАЭ 2031'!L11+'ОАЭ 2031'!N11+('ОАЭ 2031'!M11+'ОАЭ 2031'!P11+'ОАЭ 2031'!Q11)))</x:f>
        <x:v>9.099999999999998</x:v>
      </x:c>
      <x:c r="M11" s="42" t="n">
        <x:f>MIN(1,'ОАЭ 2031'!M11+'ОАЭ 2031'!P11+(0.10*LN(1+0.5*'Ход 2031'!H13)*POWER(MAX(0,1-'ОАЭ 2031'!S11/10),0.8)))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9.099999999999998</x:v>
      </x:c>
      <x:c r="T11" s="42"/>
      <x:c r="U11" s="42" t="str">
        <x:v>Россия</x:v>
      </x:c>
      <x:c r="V11" s="64" t="n">
        <x:f>'ОАЭ 2031'!V11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2031'!B12+'ОАЭ 2031'!D12+('ОАЭ 2031'!C12+'ОАЭ 2031'!F12+'ОАЭ 2031'!G12)+(0.35*LN(1+0.6*'Ход 2031'!B18)*POWER(MAX(0,1-'ОАЭ 2031'!I12/10),0.7))))</x:f>
        <x:v>6.299999999999999</x:v>
      </x:c>
      <x:c r="C12" s="42" t="n">
        <x:f>MIN(1,'ОАЭ 2031'!C12+'ОАЭ 2031'!F12+(0.08*LN(1+0.5*'Ход 2031'!C18)*MAX(0,1-('ОАЭ 2031'!C12+'ОАЭ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6.299999999999999</x:v>
      </x:c>
      <x:c r="J12" s="42"/>
      <x:c r="K12" s="42" t="str">
        <x:v>Управление</x:v>
      </x:c>
      <x:c r="L12" s="42" t="n">
        <x:f>MAX(1,MIN(10,'ОАЭ 2031'!L12+'ОАЭ 2031'!N12+('ОАЭ 2031'!M12+'ОАЭ 2031'!P12+'ОАЭ 2031'!Q12)))</x:f>
        <x:v>10</x:v>
      </x:c>
      <x:c r="M12" s="42" t="n">
        <x:f>MIN(1,'ОАЭ 2031'!M12+'ОАЭ 2031'!P12+(0.10*LN(1+0.5*'Ход 2031'!H14)*POWER(MAX(0,1-'ОАЭ 2031'!S12/10),0.8)))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2031'!V12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2031'!B13+'ОАЭ 2031'!D13+('ОАЭ 2031'!C13+'ОАЭ 2031'!F13+'ОАЭ 2031'!G13)+(0.35*LN(1+0.6*'Ход 2031'!B19)*POWER(MAX(0,1-'ОАЭ 2031'!I13/10),0.7))))</x:f>
        <x:v>3.799999999999999</x:v>
      </x:c>
      <x:c r="C13" s="42" t="n">
        <x:f>MIN(1,'ОАЭ 2031'!C13+'ОАЭ 2031'!F13+(0.08*LN(1+0.5*'Ход 2031'!C19)*MAX(0,1-('ОАЭ 2031'!C13+'ОАЭ 2031'!F13))))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3.799999999999999</x:v>
      </x:c>
      <x:c r="J13" s="42"/>
      <x:c r="K13" s="42" t="str">
        <x:v>Познание</x:v>
      </x:c>
      <x:c r="L13" s="42" t="n">
        <x:f>MAX(1,MIN(10,'ОАЭ 2031'!L13+'ОАЭ 2031'!N13+('ОАЭ 2031'!M13+'ОАЭ 2031'!P13+'ОАЭ 2031'!Q13)))</x:f>
        <x:v>9.300000000000002</x:v>
      </x:c>
      <x:c r="M13" s="42" t="n">
        <x:f>MIN(1,'ОАЭ 2031'!M13+'ОАЭ 2031'!P13+(0.10*LN(1+0.5*'Ход 2031'!H15)*POWER(MAX(0,1-'ОАЭ 2031'!S13/10),0.8)))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9.300000000000002</x:v>
      </x:c>
      <x:c r="T13" s="42"/>
      <x:c r="U13" s="42" t="str">
        <x:v>Китай</x:v>
      </x:c>
      <x:c r="V13" s="64" t="n">
        <x:f>'ОАЭ 2031'!V13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2031'!B14+'ОАЭ 2031'!D14+('ОАЭ 2031'!C14+'ОАЭ 2031'!F14+'ОАЭ 2031'!G14)+(0.35*LN(1+0.6*'Ход 2031'!B20)*POWER(MAX(0,1-'ОАЭ 2031'!I14/10),0.7))))</x:f>
        <x:v>8.8</x:v>
      </x:c>
      <x:c r="C14" s="42" t="n">
        <x:f>MIN(1,'ОАЭ 2031'!C14+'ОАЭ 2031'!F14+(0.08*LN(1+0.5*'Ход 2031'!C20)*MAX(0,1-('ОАЭ 2031'!C14+'ОАЭ 2031'!F14))))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8.8</x:v>
      </x:c>
      <x:c r="J14" s="42"/>
      <x:c r="K14" s="42" t="str">
        <x:v>Обучение</x:v>
      </x:c>
      <x:c r="L14" s="42" t="n">
        <x:f>MAX(1,MIN(10,'ОАЭ 2031'!L14+'ОАЭ 2031'!N14+('ОАЭ 2031'!M14+'ОАЭ 2031'!P14+'ОАЭ 2031'!Q14)))</x:f>
        <x:v>9.599999999999998</x:v>
      </x:c>
      <x:c r="M14" s="42" t="n">
        <x:f>MIN(1,'ОАЭ 2031'!M14+'ОАЭ 2031'!P14+(0.10*LN(1+0.5*'Ход 2031'!H16)*POWER(MAX(0,1-'ОАЭ 2031'!S14/10),0.8)))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9.599999999999998</x:v>
      </x:c>
      <x:c r="T14" s="42"/>
      <x:c r="U14" s="42" t="str">
        <x:v>Индия</x:v>
      </x:c>
      <x:c r="V14" s="64" t="n">
        <x:f>'ОАЭ 2031'!V14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2031'!B15+'ОАЭ 2031'!D15+('ОАЭ 2031'!C15+'ОАЭ 2031'!F15+'ОАЭ 2031'!G15)+(0.35*LN(1+0.6*'Ход 2031'!B21)*POWER(MAX(0,1-'ОАЭ 2031'!I15/10),0.7))))</x:f>
        <x:v>10</x:v>
      </x:c>
      <x:c r="C15" s="42" t="n">
        <x:f>MIN(1,'ОАЭ 2031'!C15+'ОАЭ 2031'!F15+(0.08*LN(1+0.5*'Ход 2031'!C21)*MAX(0,1-('ОАЭ 2031'!C15+'ОАЭ 2031'!F15))))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2031'!L15+'ОАЭ 2031'!N15+('ОАЭ 2031'!M15+'ОАЭ 2031'!P15+'ОАЭ 2031'!Q15)))</x:f>
        <x:v>8.5</x:v>
      </x:c>
      <x:c r="M15" s="42" t="n">
        <x:f>MIN(1,'ОАЭ 2031'!M15+'ОАЭ 2031'!P15+(0.10*LN(1+0.5*'Ход 2031'!H17)*POWER(MAX(0,1-'ОАЭ 2031'!S15/10),0.8)))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</x:v>
      </x:c>
      <x:c r="T15" s="42"/>
      <x:c r="U15" s="42" t="str">
        <x:v>Великобритания</x:v>
      </x:c>
      <x:c r="V15" s="64" t="n">
        <x:f>'ОАЭ 2031'!V15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2031'!B16+'ОАЭ 2031'!D16+('ОАЭ 2031'!C16+'ОАЭ 2031'!F16+'ОАЭ 2031'!G16)+(0.35*LN(1+0.6*'Ход 2031'!B22)*POWER(MAX(0,1-'ОАЭ 2031'!I16/10),0.7))))</x:f>
        <x:v>10</x:v>
      </x:c>
      <x:c r="C16" s="42" t="n">
        <x:f>MIN(1,'ОАЭ 2031'!C16+'ОАЭ 2031'!F16+(0.08*LN(1+0.5*'Ход 2031'!C22)*MAX(0,1-('ОАЭ 2031'!C16+'ОАЭ 2031'!F16))))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2031'!L16+'ОАЭ 2031'!N16+('ОАЭ 2031'!M16+'ОАЭ 2031'!P16+'ОАЭ 2031'!Q16)))</x:f>
        <x:v>10</x:v>
      </x:c>
      <x:c r="M16" s="42" t="n">
        <x:f>MIN(1,'ОАЭ 2031'!M16+'ОАЭ 2031'!P16+(0.10*LN(1+0.5*'Ход 2031'!H18)*POWER(MAX(0,1-'ОАЭ 2031'!S16/10),0.8)))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2031'!V16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2031'!B17+'ОАЭ 2031'!D17+('ОАЭ 2031'!C17+'ОАЭ 2031'!F17+'ОАЭ 2031'!G17)+(0.35*LN(1+0.6*'Ход 2031'!B23)*POWER(MAX(0,1-'ОАЭ 2031'!I17/10),0.7))))</x:f>
        <x:v>9.599999999999998</x:v>
      </x:c>
      <x:c r="C17" s="42" t="n">
        <x:f>MIN(1,'ОАЭ 2031'!C17+'ОАЭ 2031'!F17+(0.08*LN(1+0.5*'Ход 2031'!C23)*MAX(0,1-('ОАЭ 2031'!C17+'ОАЭ 2031'!F17))))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9.599999999999998</x:v>
      </x:c>
      <x:c r="J17" s="42"/>
      <x:c r="K17" s="42" t="str">
        <x:v>Государственное управление</x:v>
      </x:c>
      <x:c r="L17" s="42" t="n">
        <x:f>MAX(1,MIN(10,'ОАЭ 2031'!L17+'ОАЭ 2031'!N17+('ОАЭ 2031'!M17+'ОАЭ 2031'!P17+'ОАЭ 2031'!Q17)))</x:f>
        <x:v>10</x:v>
      </x:c>
      <x:c r="M17" s="42" t="n">
        <x:f>MIN(1,'ОАЭ 2031'!M17+'ОАЭ 2031'!P17+(0.10*LN(1+0.5*'Ход 2031'!H19)*POWER(MAX(0,1-'ОАЭ 2031'!S17/10),0.8)))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2031'!V17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2031'!L18+'ОАЭ 2031'!N18+('ОАЭ 2031'!M18+'ОАЭ 2031'!P18+'ОАЭ 2031'!Q18)))</x:f>
        <x:v>10</x:v>
      </x:c>
      <x:c r="M18" s="42" t="n">
        <x:f>MIN(1,'ОАЭ 2031'!M18+'ОАЭ 2031'!P18+(0.10*LN(1+0.5*'Ход 2031'!H20)*POWER(MAX(0,1-'ОАЭ 2031'!S18/10),0.8)))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2031'!V18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2031'!B19+'ОАЭ 2031'!D19+('ОАЭ 2031'!C19+'ОАЭ 2031'!F19+'ОАЭ 2031'!G19)+(0.35*LN(1+0.6*'Ход 2031'!B25)*POWER(MAX(0,1-'ОАЭ 2031'!I19/10),0.7))))</x:f>
        <x:v>9</x:v>
      </x:c>
      <x:c r="C19" s="42" t="n">
        <x:f>MIN(1,'ОАЭ 2031'!C19+'ОАЭ 2031'!F19+(0.08*LN(1+0.5*'Ход 2031'!C25)*MAX(0,1-('ОАЭ 2031'!C19+'ОАЭ 2031'!F19))))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2031'!V19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2031'!B20+'ОАЭ 2031'!D20+('ОАЭ 2031'!C20+'ОАЭ 2031'!F20+'ОАЭ 2031'!G20)+(0.35*LN(1+0.6*'Ход 2031'!B26)*POWER(MAX(0,1-'ОАЭ 2031'!I20/10),0.7))))</x:f>
        <x:v>9.800000000000004</x:v>
      </x:c>
      <x:c r="C20" s="42" t="n">
        <x:f>MIN(1,'ОАЭ 2031'!C20+'ОАЭ 2031'!F20+(0.08*LN(1+0.5*'Ход 2031'!C26)*MAX(0,1-('ОАЭ 2031'!C20+'ОАЭ 2031'!F20))))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9.800000000000004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2031'!V20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2031'!B21+'ОАЭ 2031'!D21+('ОАЭ 2031'!C21+'ОАЭ 2031'!F21+'ОАЭ 2031'!G21)+(0.35*LN(1+0.6*'Ход 2031'!B27)*POWER(MAX(0,1-'ОАЭ 2031'!I21/10),0.7))))</x:f>
        <x:v>9.300000000000002</x:v>
      </x:c>
      <x:c r="C21" s="42" t="n">
        <x:f>MIN(1,'ОАЭ 2031'!C21+'ОАЭ 2031'!F21+(0.08*LN(1+0.5*'Ход 2031'!C27)*MAX(0,1-('ОАЭ 2031'!C21+'ОАЭ 2031'!F21))))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9.300000000000002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2031'!V21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2031'!B22+'ОАЭ 2031'!D22+('ОАЭ 2031'!C22+'ОАЭ 2031'!F22+'ОАЭ 2031'!G22)+(0.35*LN(1+0.6*'Ход 2031'!B28)*POWER(MAX(0,1-'ОАЭ 2031'!I22/10),0.7))))</x:f>
        <x:v>8.2</x:v>
      </x:c>
      <x:c r="C22" s="42" t="n">
        <x:f>MIN(1,'ОАЭ 2031'!C22+'ОАЭ 2031'!F22+(0.08*LN(1+0.5*'Ход 2031'!C28)*MAX(0,1-('ОАЭ 2031'!C22+'ОАЭ 2031'!F22))))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8.2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2031'!V22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2031'!B23+'ОАЭ 2031'!D23+('ОАЭ 2031'!C23+'ОАЭ 2031'!F23+'ОАЭ 2031'!G23)+(0.35*LN(1+0.6*'Ход 2031'!B29)*POWER(MAX(0,1-'ОАЭ 2031'!I23/10),0.7))))</x:f>
        <x:v>9</x:v>
      </x:c>
      <x:c r="C23" s="42" t="n">
        <x:f>MIN(1,'ОАЭ 2031'!C23+'ОАЭ 2031'!F23+(0.08*LN(1+0.5*'Ход 2031'!C29)*MAX(0,1-('ОАЭ 2031'!C23+'ОАЭ 2031'!F23))))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2031'!V23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2031'!V24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2031'!B25+'ОАЭ 2031'!D25+('ОАЭ 2031'!C25+'ОАЭ 2031'!F25+'ОАЭ 2031'!G25)+(0.35*LN(1+0.6*'Ход 2031'!B31)*POWER(MAX(0,1-'ОАЭ 2031'!I25/10),0.7))))</x:f>
        <x:v>8.699999999999998</x:v>
      </x:c>
      <x:c r="C25" s="42" t="n">
        <x:f>MIN(1,'ОАЭ 2031'!C25+'ОАЭ 2031'!F25+(0.08*LN(1+0.5*'Ход 2031'!C31)*MAX(0,1-('ОАЭ 2031'!C25+'ОАЭ 2031'!F25))))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2031'!V25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2031'!B26+'ОАЭ 2031'!D26+('ОАЭ 2031'!C26+'ОАЭ 2031'!F26+'ОАЭ 2031'!G26)+(0.35*LN(1+0.6*'Ход 2031'!B32)*POWER(MAX(0,1-'ОАЭ 2031'!I26/10),0.7))))</x:f>
        <x:v>9</x:v>
      </x:c>
      <x:c r="C26" s="42" t="n">
        <x:f>MIN(1,'ОАЭ 2031'!C26+'ОАЭ 2031'!F26+(0.08*LN(1+0.5*'Ход 2031'!C32)*MAX(0,1-('ОАЭ 2031'!C26+'ОАЭ 2031'!F26))))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2031'!B27+'ОАЭ 2031'!D27+('ОАЭ 2031'!C27+'ОАЭ 2031'!F27+'ОАЭ 2031'!G27)+(0.35*LN(1+0.6*'Ход 2031'!B33)*POWER(MAX(0,1-'ОАЭ 2031'!I27/10),0.7))))</x:f>
        <x:v>9.5</x:v>
      </x:c>
      <x:c r="C27" s="42" t="n">
        <x:f>MIN(1,'ОАЭ 2031'!C27+'ОАЭ 2031'!F27+(0.08*LN(1+0.5*'Ход 2031'!C33)*MAX(0,1-('ОАЭ 2031'!C27+'ОАЭ 2031'!F27))))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2031'!B28+'ОАЭ 2031'!D28+('ОАЭ 2031'!C28+'ОАЭ 2031'!F28+'ОАЭ 2031'!G28)+(0.35*LN(1+0.6*'Ход 2031'!B34)*POWER(MAX(0,1-'ОАЭ 2031'!I28/10),0.7))))</x:f>
        <x:v>9.300000000000002</x:v>
      </x:c>
      <x:c r="C28" s="42" t="n">
        <x:f>MIN(1,'ОАЭ 2031'!C28+'ОАЭ 2031'!F28+(0.08*LN(1+0.5*'Ход 2031'!C34)*MAX(0,1-('ОАЭ 2031'!C28+'ОАЭ 2031'!F28))))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9.300000000000002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2031'!B29+'ОАЭ 2031'!D29+('ОАЭ 2031'!C29+'ОАЭ 2031'!F29+'ОАЭ 2031'!G29)+(0.35*LN(1+0.6*'Ход 2031'!B35)*POWER(MAX(0,1-'ОАЭ 2031'!I29/10),0.7))))</x:f>
        <x:v>8.5</x:v>
      </x:c>
      <x:c r="C29" s="42" t="n">
        <x:f>MIN(1,'ОАЭ 2031'!C29+'ОАЭ 2031'!F29+(0.08*LN(1+0.5*'Ход 2031'!C35)*MAX(0,1-('ОАЭ 2031'!C29+'ОАЭ 2031'!F29))))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2031'!B30+'ОАЭ 2031'!D30+('ОАЭ 2031'!C30+'ОАЭ 2031'!F30+'ОАЭ 2031'!G30)+(0.35*LN(1+0.6*'Ход 2031'!B36)*POWER(MAX(0,1-'ОАЭ 2031'!I30/10),0.7))))</x:f>
        <x:v>8.699999999999998</x:v>
      </x:c>
      <x:c r="C30" s="42" t="n">
        <x:f>MIN(1,'ОАЭ 2031'!C30+'ОАЭ 2031'!F30+(0.08*LN(1+0.5*'Ход 2031'!C36)*MAX(0,1-('ОАЭ 2031'!C30+'ОАЭ 2031'!F30))))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8.699999999999998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2031'!B31+'ОАЭ 2031'!D31+('ОАЭ 2031'!C31+'ОАЭ 2031'!F31+'ОАЭ 2031'!G31)+(0.35*LN(1+0.6*'Ход 2031'!B37)*POWER(MAX(0,1-'ОАЭ 2031'!I31/10),0.7))))</x:f>
        <x:v>8.699999999999998</x:v>
      </x:c>
      <x:c r="C31" s="42" t="n">
        <x:f>MIN(1,'ОАЭ 2031'!C31+'ОАЭ 2031'!F31+(0.08*LN(1+0.5*'Ход 2031'!C37)*MAX(0,1-('ОАЭ 2031'!C31+'ОАЭ 2031'!F31))))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8.699999999999998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2031'!B32+'ОАЭ 2031'!D32+('ОАЭ 2031'!C32+'ОАЭ 2031'!F32+'ОАЭ 2031'!G32)+(0.35*LN(1+0.6*'Ход 2031'!B38)*POWER(MAX(0,1-'ОАЭ 2031'!I32/10),0.7))))</x:f>
        <x:v>9.699999999999996</x:v>
      </x:c>
      <x:c r="C32" s="42" t="n">
        <x:f>MIN(1,'ОАЭ 2031'!C32+'ОАЭ 2031'!F32+(0.08*LN(1+0.5*'Ход 2031'!C38)*MAX(0,1-('ОАЭ 2031'!C32+'ОАЭ 2031'!F32))))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9.699999999999996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2031'!B34+'ОАЭ 2031'!D34+('ОАЭ 2031'!C34+'ОАЭ 2031'!F34+'ОАЭ 2031'!G34)+(0.35*LN(1+0.6*'Ход 2031'!B40)*POWER(MAX(0,1-'ОАЭ 2031'!I34/10),0.7))))</x:f>
        <x:v>10</x:v>
      </x:c>
      <x:c r="C34" s="42" t="n">
        <x:f>MIN(1,'ОАЭ 2031'!C34+'ОАЭ 2031'!F34+(0.08*LN(1+0.5*'Ход 2031'!C40)*MAX(0,1-('ОАЭ 2031'!C34+'ОАЭ 2031'!F34))))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2031'!B35+'ОАЭ 2031'!D35+('ОАЭ 2031'!C35+'ОАЭ 2031'!F35+'ОАЭ 2031'!G35)+(0.35*LN(1+0.6*'Ход 2031'!B41)*POWER(MAX(0,1-'ОАЭ 2031'!I35/10),0.7))))</x:f>
        <x:v>8.900000000000002</x:v>
      </x:c>
      <x:c r="C35" s="42" t="n">
        <x:f>MIN(1,'ОАЭ 2031'!C35+'ОАЭ 2031'!F35+(0.08*LN(1+0.5*'Ход 2031'!C41)*MAX(0,1-('ОАЭ 2031'!C35+'ОАЭ 2031'!F35))))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8.900000000000002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2031'!B36+'ОАЭ 2031'!D36+('ОАЭ 2031'!C36+'ОАЭ 2031'!F36+'ОАЭ 2031'!G36)+(0.35*LN(1+0.6*'Ход 2031'!B42)*POWER(MAX(0,1-'ОАЭ 2031'!I36/10),0.7))))</x:f>
        <x:v>10</x:v>
      </x:c>
      <x:c r="C36" s="42" t="n">
        <x:f>MIN(1,'ОАЭ 2031'!C36+'ОАЭ 2031'!F36+(0.08*LN(1+0.5*'Ход 2031'!C42)*MAX(0,1-('ОАЭ 2031'!C36+'ОАЭ 2031'!F36))))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2031'!B37+'ОАЭ 2031'!D37+('ОАЭ 2031'!C37+'ОАЭ 2031'!F37+'ОАЭ 2031'!G37)+(0.35*LN(1+0.6*'Ход 2031'!B43)*POWER(MAX(0,1-'ОАЭ 2031'!I37/10),0.7))))</x:f>
        <x:v>10</x:v>
      </x:c>
      <x:c r="C37" s="42" t="n">
        <x:f>MIN(1,'ОАЭ 2031'!C37+'ОАЭ 2031'!F37+(0.08*LN(1+0.5*'Ход 2031'!C43)*MAX(0,1-('ОАЭ 2031'!C37+'ОАЭ 2031'!F37))))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2031'!B38+'ОАЭ 2031'!D38+('ОАЭ 2031'!C38+'ОАЭ 2031'!F38+'ОАЭ 2031'!G38)+(0.35*LN(1+0.6*'Ход 2031'!B44)*POWER(MAX(0,1-'ОАЭ 2031'!I38/10),0.7))))</x:f>
        <x:v>10</x:v>
      </x:c>
      <x:c r="C38" s="42" t="n">
        <x:f>MIN(1,'ОАЭ 2031'!C38+'ОАЭ 2031'!F38+(0.08*LN(1+0.5*'Ход 2031'!C44)*MAX(0,1-('ОАЭ 2031'!C38+'ОАЭ 2031'!F38))))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2031'!B39+'ОАЭ 2031'!D39+('ОАЭ 2031'!C39+'ОАЭ 2031'!F39+'ОАЭ 2031'!G39)+(0.35*LN(1+0.6*'Ход 2031'!B45)*POWER(MAX(0,1-'ОАЭ 2031'!I39/10),0.7))))</x:f>
        <x:v>10</x:v>
      </x:c>
      <x:c r="C39" s="42" t="n">
        <x:f>MIN(1,'ОАЭ 2031'!C39+'ОАЭ 2031'!F39+(0.08*LN(1+0.5*'Ход 2031'!C45)*MAX(0,1-('ОАЭ 2031'!C39+'ОАЭ 2031'!F39))))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2031'!B40+'ОАЭ 2031'!D40+('ОАЭ 2031'!C40+'ОАЭ 2031'!F40+'ОАЭ 2031'!G40)+(0.35*LN(1+0.6*'Ход 2031'!B46)*POWER(MAX(0,1-'ОАЭ 2031'!I40/10),0.7))))</x:f>
        <x:v>10</x:v>
      </x:c>
      <x:c r="C40" s="42" t="n">
        <x:f>MIN(1,'ОАЭ 2031'!C40+'ОАЭ 2031'!F40+(0.08*LN(1+0.5*'Ход 2031'!C46)*MAX(0,1-('ОАЭ 2031'!C40+'ОАЭ 2031'!F40))))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2031'!B41+'ОАЭ 2031'!D41+('ОАЭ 2031'!C41+'ОАЭ 2031'!F41+'ОАЭ 2031'!G41)+(0.35*LN(1+0.6*'Ход 2031'!B47)*POWER(MAX(0,1-'ОАЭ 2031'!I41/10),0.7))))</x:f>
        <x:v>10</x:v>
      </x:c>
      <x:c r="C41" s="42" t="n">
        <x:f>MIN(1,'ОАЭ 2031'!C41+'ОАЭ 2031'!F41+(0.08*LN(1+0.5*'Ход 2031'!C47)*MAX(0,1-('ОАЭ 2031'!C41+'ОАЭ 2031'!F41))))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2031'!B42+'ОАЭ 2031'!D42+('ОАЭ 2031'!C42+'ОАЭ 2031'!F42+'ОАЭ 2031'!G42)+(0.35*LN(1+0.6*'Ход 2031'!B48)*POWER(MAX(0,1-'ОАЭ 2031'!I42/10),0.7))))</x:f>
        <x:v>9.900000000000002</x:v>
      </x:c>
      <x:c r="C42" s="42" t="n">
        <x:f>MIN(1,'ОАЭ 2031'!C42+'ОАЭ 2031'!F42+(0.08*LN(1+0.5*'Ход 2031'!C48)*MAX(0,1-('ОАЭ 2031'!C42+'ОАЭ 2031'!F42))))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9.900000000000002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2031'!B44+'ОАЭ 2031'!D44+('ОАЭ 2031'!C44+'ОАЭ 2031'!F44+'ОАЭ 2031'!G44)+(0.35*LN(1+0.6*'Ход 2031'!B50)*POWER(MAX(0,1-'ОАЭ 2031'!I44/10),0.7))))</x:f>
        <x:v>8.900000000000002</x:v>
      </x:c>
      <x:c r="C44" s="42" t="n">
        <x:f>MIN(1,'ОАЭ 2031'!C44+'ОАЭ 2031'!F44+(0.08*LN(1+0.5*'Ход 2031'!C50)*MAX(0,1-('ОАЭ 2031'!C44+'ОАЭ 2031'!F44))))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8.900000000000002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2031'!B45+'ОАЭ 2031'!D45+('ОАЭ 2031'!C45+'ОАЭ 2031'!F45+'ОАЭ 2031'!G45)+(0.35*LN(1+0.6*'Ход 2031'!B51)*POWER(MAX(0,1-'ОАЭ 2031'!I45/10),0.7))))</x:f>
        <x:v>10</x:v>
      </x:c>
      <x:c r="C45" s="42" t="n">
        <x:f>MIN(1,'ОАЭ 2031'!C45+'ОАЭ 2031'!F45+(0.08*LN(1+0.5*'Ход 2031'!C51)*MAX(0,1-('ОАЭ 2031'!C45+'ОАЭ 2031'!F45))))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2031'!B46+'ОАЭ 2031'!D46+('ОАЭ 2031'!C46+'ОАЭ 2031'!F46+'ОАЭ 2031'!G46)+(0.35*LN(1+0.6*'Ход 2031'!B52)*POWER(MAX(0,1-'ОАЭ 2031'!I46/10),0.7))))</x:f>
        <x:v>10</x:v>
      </x:c>
      <x:c r="C46" s="42" t="n">
        <x:f>MIN(1,'ОАЭ 2031'!C46+'ОАЭ 2031'!F46+(0.08*LN(1+0.5*'Ход 2031'!C52)*MAX(0,1-('ОАЭ 2031'!C46+'ОАЭ 2031'!F46))))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2031'!B47+'ОАЭ 2031'!D47+('ОАЭ 2031'!C47+'ОАЭ 2031'!F47+'ОАЭ 2031'!G47)+(0.35*LN(1+0.6*'Ход 2031'!B53)*POWER(MAX(0,1-'ОАЭ 2031'!I47/10),0.7))))</x:f>
        <x:v>8.599999999999998</x:v>
      </x:c>
      <x:c r="C47" s="42" t="n">
        <x:f>MIN(1,'ОАЭ 2031'!C47+'ОАЭ 2031'!F47+(0.08*LN(1+0.5*'Ход 2031'!C53)*MAX(0,1-('ОАЭ 2031'!C47+'ОАЭ 2031'!F47))))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8.599999999999998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2031'!B48+'ОАЭ 2031'!D48+('ОАЭ 2031'!C48+'ОАЭ 2031'!F48+'ОАЭ 2031'!G48)+(0.35*LN(1+0.6*'Ход 2031'!B54)*POWER(MAX(0,1-'ОАЭ 2031'!I48/10),0.7))))</x:f>
        <x:v>8.599999999999998</x:v>
      </x:c>
      <x:c r="C48" s="42" t="n">
        <x:f>MIN(1,'ОАЭ 2031'!C48+'ОАЭ 2031'!F48+(0.08*LN(1+0.5*'Ход 2031'!C54)*MAX(0,1-('ОАЭ 2031'!C48+'ОАЭ 2031'!F48))))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8.599999999999998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2031'!B49+'ОАЭ 2031'!D49+('ОАЭ 2031'!C49+'ОАЭ 2031'!F49+'ОАЭ 2031'!G49)+(0.35*LN(1+0.6*'Ход 2031'!B55)*POWER(MAX(0,1-'ОАЭ 2031'!I49/10),0.7))))</x:f>
        <x:v>10</x:v>
      </x:c>
      <x:c r="C49" s="42" t="n">
        <x:f>MIN(1,'ОАЭ 2031'!C49+'ОАЭ 2031'!F49+(0.08*LN(1+0.5*'Ход 2031'!C55)*MAX(0,1-('ОАЭ 2031'!C49+'ОАЭ 2031'!F49))))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2031'!B50+'ОАЭ 2031'!D50+('ОАЭ 2031'!C50+'ОАЭ 2031'!F50+'ОАЭ 2031'!G50)+(0.35*LN(1+0.6*'Ход 2031'!B56)*POWER(MAX(0,1-'ОАЭ 2031'!I50/10),0.7))))</x:f>
        <x:v>9.300000000000004</x:v>
      </x:c>
      <x:c r="C50" s="42" t="n">
        <x:f>MIN(1,'ОАЭ 2031'!C50+'ОАЭ 2031'!F50+(0.08*LN(1+0.5*'Ход 2031'!C56)*MAX(0,1-('ОАЭ 2031'!C50+'ОАЭ 2031'!F50))))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9.300000000000004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2031'!B51+'ОАЭ 2031'!D51+('ОАЭ 2031'!C51+'ОАЭ 2031'!F51+'ОАЭ 2031'!G51)+(0.35*LN(1+0.6*'Ход 2031'!B57)*POWER(MAX(0,1-'ОАЭ 2031'!I51/10),0.7))))</x:f>
        <x:v>10</x:v>
      </x:c>
      <x:c r="C51" s="42" t="n">
        <x:f>MIN(1,'ОАЭ 2031'!C51+'ОАЭ 2031'!F51+(0.08*LN(1+0.5*'Ход 2031'!C57)*MAX(0,1-('ОАЭ 2031'!C51+'ОАЭ 2031'!F51))))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2031'!B53+'ОАЭ 2031'!D53+('ОАЭ 2031'!C53+'ОАЭ 2031'!F53+'ОАЭ 2031'!G53)+(0.35*LN(1+0.6*'Ход 2031'!B59)*POWER(MAX(0,1-'ОАЭ 2031'!I53/10),0.7))))</x:f>
        <x:v>9.199999999999996</x:v>
      </x:c>
      <x:c r="C53" s="42" t="n">
        <x:f>MIN(1,'ОАЭ 2031'!C53+'ОАЭ 2031'!F53+(0.08*LN(1+0.5*'Ход 2031'!C59)*MAX(0,1-('ОАЭ 2031'!C53+'ОАЭ 2031'!F53))))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9.199999999999996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2031'!B54+'ОАЭ 2031'!D54+('ОАЭ 2031'!C54+'ОАЭ 2031'!F54+'ОАЭ 2031'!G54)+(0.35*LN(1+0.6*'Ход 2031'!B60)*POWER(MAX(0,1-'ОАЭ 2031'!I54/10),0.7))))</x:f>
        <x:v>9.199999999999996</x:v>
      </x:c>
      <x:c r="C54" s="42" t="n">
        <x:f>MIN(1,'ОАЭ 2031'!C54+'ОАЭ 2031'!F54+(0.08*LN(1+0.5*'Ход 2031'!C60)*MAX(0,1-('ОАЭ 2031'!C54+'ОАЭ 2031'!F54))))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9.199999999999996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2031'!B55+'ОАЭ 2031'!D55+('ОАЭ 2031'!C55+'ОАЭ 2031'!F55+'ОАЭ 2031'!G55)+(0.35*LN(1+0.6*'Ход 2031'!B61)*POWER(MAX(0,1-'ОАЭ 2031'!I55/10),0.7))))</x:f>
        <x:v>7.900000000000002</x:v>
      </x:c>
      <x:c r="C55" s="42" t="n">
        <x:f>MIN(1,'ОАЭ 2031'!C55+'ОАЭ 2031'!F55+(0.08*LN(1+0.5*'Ход 2031'!C61)*MAX(0,1-('ОАЭ 2031'!C55+'ОАЭ 2031'!F55))))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7.900000000000002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2032'!U6</x:f>
        <x:v>96.1101966201662</x:v>
      </x:c>
      <x:c r="C6" s="42"/>
      <x:c r="D6" s="42"/>
      <x:c r="E6" s="42" t="str">
        <x:v>Доступно</x:v>
      </x:c>
      <x:c r="F6" s="42" t="n">
        <x:f>'ОАЭ 2032'!K6</x:f>
        <x:v>78.67320199554828</x:v>
      </x:c>
      <x:c r="G6" s="42"/>
      <x:c r="H6" s="42"/>
      <x:c r="I6" s="42" t="str">
        <x:v>Доступно</x:v>
      </x:c>
      <x:c r="J6" s="42" t="n">
        <x:f>'ОАЭ 2032'!N6</x:f>
        <x:v>75.00898832865315</x:v>
      </x:c>
      <x:c r="K6" s="42"/>
      <x:c r="L6" s="42"/>
      <x:c r="M6" s="42" t="str">
        <x:v>Доступно</x:v>
      </x:c>
      <x:c r="N6" s="42" t="n">
        <x:f>'ОАЭ 2032'!Q6</x:f>
        <x:v>89.77485234691714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96.1101966201662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78.67320199554828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75.00898832865315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89.77485234691714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2032'!V11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46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2032'!V12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77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2032'!V13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95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2032'!V14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56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2032'!V15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90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2032'!V16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54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2032'!V17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78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2032'!V18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88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2032'!V19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23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2032'!V20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2032'!V21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39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2032'!V22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84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2032'!V23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16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2032'!V24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42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2032'!V25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70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79.60913724035004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75.80187078907912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90.12845647912519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96.66466789616933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2032'!B8+'ОАЭ 2032'!D8+('ОАЭ 2032'!C8+'ОАЭ 2032'!F8+'ОАЭ 2032'!G8)+(0.35*LN(1+0.6*'Ход 2032'!B14)*POWER(MAX(0,1-'ОАЭ 2032'!I8/10),0.7))))</x:f>
        <x:v>7.849999999999999</x:v>
      </x:c>
      <x:c r="C8" s="42" t="n">
        <x:f>MIN(1,'ОАЭ 2032'!C8+'ОАЭ 2032'!F8+(0.08*LN(1+0.5*'Ход 2032'!C14)*MAX(0,1-('ОАЭ 2032'!C8+'ОАЭ 2032'!F8))))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7.849999999999999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2032'!B9+'ОАЭ 2032'!D9+('ОАЭ 2032'!C9+'ОАЭ 2032'!F9+'ОАЭ 2032'!G9)+(0.35*LN(1+0.6*'Ход 2032'!B15)*POWER(MAX(0,1-'ОАЭ 2032'!I9/10),0.7))))</x:f>
        <x:v>8.199999999999998</x:v>
      </x:c>
      <x:c r="C9" s="42" t="n">
        <x:f>MIN(1,'ОАЭ 2032'!C9+'ОАЭ 2032'!F9+(0.08*LN(1+0.5*'Ход 2032'!C15)*MAX(0,1-('ОАЭ 2032'!C9+'ОАЭ 2032'!F9))))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8.199999999999998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2032'!B10+'ОАЭ 2032'!D10+('ОАЭ 2032'!C10+'ОАЭ 2032'!F10+'ОАЭ 2032'!G10)+(0.35*LN(1+0.6*'Ход 2032'!B16)*POWER(MAX(0,1-'ОАЭ 2032'!I10/10),0.7))))</x:f>
        <x:v>9.850000000000005</x:v>
      </x:c>
      <x:c r="C10" s="42" t="n">
        <x:f>MIN(1,'ОАЭ 2032'!C10+'ОАЭ 2032'!F10+(0.08*LN(1+0.5*'Ход 2032'!C16)*MAX(0,1-('ОАЭ 2032'!C10+'ОАЭ 2032'!F10))))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9.850000000000005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2032'!B11+'ОАЭ 2032'!D11+('ОАЭ 2032'!C11+'ОАЭ 2032'!F11+'ОАЭ 2032'!G11)+(0.35*LN(1+0.6*'Ход 2032'!B17)*POWER(MAX(0,1-'ОАЭ 2032'!I11/10),0.7))))</x:f>
        <x:v>4.349999999999999</x:v>
      </x:c>
      <x:c r="C11" s="42" t="n">
        <x:f>MIN(1,'ОАЭ 2032'!C11+'ОАЭ 2032'!F11+(0.08*LN(1+0.5*'Ход 2032'!C17)*MAX(0,1-('ОАЭ 2032'!C11+'ОАЭ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4.349999999999999</x:v>
      </x:c>
      <x:c r="J11" s="42"/>
      <x:c r="K11" s="42" t="str">
        <x:v>Производство</x:v>
      </x:c>
      <x:c r="L11" s="42" t="n">
        <x:f>MAX(1,MIN(10,'ОАЭ 2032'!L11+'ОАЭ 2032'!N11+('ОАЭ 2032'!M11+'ОАЭ 2032'!P11+'ОАЭ 2032'!Q11)))</x:f>
        <x:v>9.449999999999998</x:v>
      </x:c>
      <x:c r="M11" s="42" t="n">
        <x:f>MIN(1,'ОАЭ 2032'!M11+'ОАЭ 2032'!P11+(0.10*LN(1+0.5*'Ход 2032'!H13)*POWER(MAX(0,1-'ОАЭ 2032'!S11/10),0.8)))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9.449999999999998</x:v>
      </x:c>
      <x:c r="T11" s="42"/>
      <x:c r="U11" s="42" t="str">
        <x:v>Россия</x:v>
      </x:c>
      <x:c r="V11" s="64" t="n">
        <x:f>'ОАЭ 2032'!V11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2032'!B12+'ОАЭ 2032'!D12+('ОАЭ 2032'!C12+'ОАЭ 2032'!F12+'ОАЭ 2032'!G12)+(0.35*LN(1+0.6*'Ход 2032'!B18)*POWER(MAX(0,1-'ОАЭ 2032'!I12/10),0.7))))</x:f>
        <x:v>6.349999999999999</x:v>
      </x:c>
      <x:c r="C12" s="42" t="n">
        <x:f>MIN(1,'ОАЭ 2032'!C12+'ОАЭ 2032'!F12+(0.08*LN(1+0.5*'Ход 2032'!C18)*MAX(0,1-('ОАЭ 2032'!C12+'ОАЭ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6.349999999999999</x:v>
      </x:c>
      <x:c r="J12" s="42"/>
      <x:c r="K12" s="42" t="str">
        <x:v>Управление</x:v>
      </x:c>
      <x:c r="L12" s="42" t="n">
        <x:f>MAX(1,MIN(10,'ОАЭ 2032'!L12+'ОАЭ 2032'!N12+('ОАЭ 2032'!M12+'ОАЭ 2032'!P12+'ОАЭ 2032'!Q12)))</x:f>
        <x:v>10</x:v>
      </x:c>
      <x:c r="M12" s="42" t="n">
        <x:f>MIN(1,'ОАЭ 2032'!M12+'ОАЭ 2032'!P12+(0.10*LN(1+0.5*'Ход 2032'!H14)*POWER(MAX(0,1-'ОАЭ 2032'!S12/10),0.8)))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2032'!V12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2032'!B13+'ОАЭ 2032'!D13+('ОАЭ 2032'!C13+'ОАЭ 2032'!F13+'ОАЭ 2032'!G13)+(0.35*LN(1+0.6*'Ход 2032'!B19)*POWER(MAX(0,1-'ОАЭ 2032'!I13/10),0.7))))</x:f>
        <x:v>4.099999999999999</x:v>
      </x:c>
      <x:c r="C13" s="42" t="n">
        <x:f>MIN(1,'ОАЭ 2032'!C13+'ОАЭ 2032'!F13+(0.08*LN(1+0.5*'Ход 2032'!C19)*MAX(0,1-('ОАЭ 2032'!C13+'ОАЭ 2032'!F13))))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4.099999999999999</x:v>
      </x:c>
      <x:c r="J13" s="42"/>
      <x:c r="K13" s="42" t="str">
        <x:v>Познание</x:v>
      </x:c>
      <x:c r="L13" s="42" t="n">
        <x:f>MAX(1,MIN(10,'ОАЭ 2032'!L13+'ОАЭ 2032'!N13+('ОАЭ 2032'!M13+'ОАЭ 2032'!P13+'ОАЭ 2032'!Q13)))</x:f>
        <x:v>9.600000000000003</x:v>
      </x:c>
      <x:c r="M13" s="42" t="n">
        <x:f>MIN(1,'ОАЭ 2032'!M13+'ОАЭ 2032'!P13+(0.10*LN(1+0.5*'Ход 2032'!H15)*POWER(MAX(0,1-'ОАЭ 2032'!S13/10),0.8)))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9.600000000000003</x:v>
      </x:c>
      <x:c r="T13" s="42"/>
      <x:c r="U13" s="42" t="str">
        <x:v>Китай</x:v>
      </x:c>
      <x:c r="V13" s="64" t="n">
        <x:f>'ОАЭ 2032'!V13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2032'!B14+'ОАЭ 2032'!D14+('ОАЭ 2032'!C14+'ОАЭ 2032'!F14+'ОАЭ 2032'!G14)+(0.35*LN(1+0.6*'Ход 2032'!B20)*POWER(MAX(0,1-'ОАЭ 2032'!I14/10),0.7))))</x:f>
        <x:v>9.100000000000001</x:v>
      </x:c>
      <x:c r="C14" s="42" t="n">
        <x:f>MIN(1,'ОАЭ 2032'!C14+'ОАЭ 2032'!F14+(0.08*LN(1+0.5*'Ход 2032'!C20)*MAX(0,1-('ОАЭ 2032'!C14+'ОАЭ 2032'!F14))))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9.100000000000001</x:v>
      </x:c>
      <x:c r="J14" s="42"/>
      <x:c r="K14" s="42" t="str">
        <x:v>Обучение</x:v>
      </x:c>
      <x:c r="L14" s="42" t="n">
        <x:f>MAX(1,MIN(10,'ОАЭ 2032'!L14+'ОАЭ 2032'!N14+('ОАЭ 2032'!M14+'ОАЭ 2032'!P14+'ОАЭ 2032'!Q14)))</x:f>
        <x:v>9.949999999999998</x:v>
      </x:c>
      <x:c r="M14" s="42" t="n">
        <x:f>MIN(1,'ОАЭ 2032'!M14+'ОАЭ 2032'!P14+(0.10*LN(1+0.5*'Ход 2032'!H16)*POWER(MAX(0,1-'ОАЭ 2032'!S14/10),0.8)))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9.949999999999998</x:v>
      </x:c>
      <x:c r="T14" s="42"/>
      <x:c r="U14" s="42" t="str">
        <x:v>Индия</x:v>
      </x:c>
      <x:c r="V14" s="64" t="n">
        <x:f>'ОАЭ 2032'!V14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2032'!B15+'ОАЭ 2032'!D15+('ОАЭ 2032'!C15+'ОАЭ 2032'!F15+'ОАЭ 2032'!G15)+(0.35*LN(1+0.6*'Ход 2032'!B21)*POWER(MAX(0,1-'ОАЭ 2032'!I15/10),0.7))))</x:f>
        <x:v>10</x:v>
      </x:c>
      <x:c r="C15" s="42" t="n">
        <x:f>MIN(1,'ОАЭ 2032'!C15+'ОАЭ 2032'!F15+(0.08*LN(1+0.5*'Ход 2032'!C21)*MAX(0,1-('ОАЭ 2032'!C15+'ОАЭ 2032'!F15))))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2032'!L15+'ОАЭ 2032'!N15+('ОАЭ 2032'!M15+'ОАЭ 2032'!P15+'ОАЭ 2032'!Q15)))</x:f>
        <x:v>8.75</x:v>
      </x:c>
      <x:c r="M15" s="42" t="n">
        <x:f>MIN(1,'ОАЭ 2032'!M15+'ОАЭ 2032'!P15+(0.10*LN(1+0.5*'Ход 2032'!H17)*POWER(MAX(0,1-'ОАЭ 2032'!S15/10),0.8)))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8.75</x:v>
      </x:c>
      <x:c r="T15" s="42"/>
      <x:c r="U15" s="42" t="str">
        <x:v>Великобритания</x:v>
      </x:c>
      <x:c r="V15" s="64" t="n">
        <x:f>'ОАЭ 2032'!V15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2032'!B16+'ОАЭ 2032'!D16+('ОАЭ 2032'!C16+'ОАЭ 2032'!F16+'ОАЭ 2032'!G16)+(0.35*LN(1+0.6*'Ход 2032'!B22)*POWER(MAX(0,1-'ОАЭ 2032'!I16/10),0.7))))</x:f>
        <x:v>10</x:v>
      </x:c>
      <x:c r="C16" s="42" t="n">
        <x:f>MIN(1,'ОАЭ 2032'!C16+'ОАЭ 2032'!F16+(0.08*LN(1+0.5*'Ход 2032'!C22)*MAX(0,1-('ОАЭ 2032'!C16+'ОАЭ 2032'!F16))))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2032'!L16+'ОАЭ 2032'!N16+('ОАЭ 2032'!M16+'ОАЭ 2032'!P16+'ОАЭ 2032'!Q16)))</x:f>
        <x:v>10</x:v>
      </x:c>
      <x:c r="M16" s="42" t="n">
        <x:f>MIN(1,'ОАЭ 2032'!M16+'ОАЭ 2032'!P16+(0.10*LN(1+0.5*'Ход 2032'!H18)*POWER(MAX(0,1-'ОАЭ 2032'!S16/10),0.8)))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2032'!V16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2032'!B17+'ОАЭ 2032'!D17+('ОАЭ 2032'!C17+'ОАЭ 2032'!F17+'ОАЭ 2032'!G17)+(0.35*LN(1+0.6*'Ход 2032'!B23)*POWER(MAX(0,1-'ОАЭ 2032'!I17/10),0.7))))</x:f>
        <x:v>9.699999999999998</x:v>
      </x:c>
      <x:c r="C17" s="42" t="n">
        <x:f>MIN(1,'ОАЭ 2032'!C17+'ОАЭ 2032'!F17+(0.08*LN(1+0.5*'Ход 2032'!C23)*MAX(0,1-('ОАЭ 2032'!C17+'ОАЭ 2032'!F17))))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9.699999999999998</x:v>
      </x:c>
      <x:c r="J17" s="42"/>
      <x:c r="K17" s="42" t="str">
        <x:v>Государственное управление</x:v>
      </x:c>
      <x:c r="L17" s="42" t="n">
        <x:f>MAX(1,MIN(10,'ОАЭ 2032'!L17+'ОАЭ 2032'!N17+('ОАЭ 2032'!M17+'ОАЭ 2032'!P17+'ОАЭ 2032'!Q17)))</x:f>
        <x:v>10</x:v>
      </x:c>
      <x:c r="M17" s="42" t="n">
        <x:f>MIN(1,'ОАЭ 2032'!M17+'ОАЭ 2032'!P17+(0.10*LN(1+0.5*'Ход 2032'!H19)*POWER(MAX(0,1-'ОАЭ 2032'!S17/10),0.8)))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2032'!V17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2032'!L18+'ОАЭ 2032'!N18+('ОАЭ 2032'!M18+'ОАЭ 2032'!P18+'ОАЭ 2032'!Q18)))</x:f>
        <x:v>10</x:v>
      </x:c>
      <x:c r="M18" s="42" t="n">
        <x:f>MIN(1,'ОАЭ 2032'!M18+'ОАЭ 2032'!P18+(0.10*LN(1+0.5*'Ход 2032'!H20)*POWER(MAX(0,1-'ОАЭ 2032'!S18/10),0.8)))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2032'!V18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2032'!B19+'ОАЭ 2032'!D19+('ОАЭ 2032'!C19+'ОАЭ 2032'!F19+'ОАЭ 2032'!G19)+(0.35*LN(1+0.6*'Ход 2032'!B25)*POWER(MAX(0,1-'ОАЭ 2032'!I19/10),0.7))))</x:f>
        <x:v>9.25</x:v>
      </x:c>
      <x:c r="C19" s="42" t="n">
        <x:f>MIN(1,'ОАЭ 2032'!C19+'ОАЭ 2032'!F19+(0.08*LN(1+0.5*'Ход 2032'!C25)*MAX(0,1-('ОАЭ 2032'!C19+'ОАЭ 2032'!F19))))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2032'!V19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2032'!B20+'ОАЭ 2032'!D20+('ОАЭ 2032'!C20+'ОАЭ 2032'!F20+'ОАЭ 2032'!G20)+(0.35*LN(1+0.6*'Ход 2032'!B26)*POWER(MAX(0,1-'ОАЭ 2032'!I20/10),0.7))))</x:f>
        <x:v>10</x:v>
      </x:c>
      <x:c r="C20" s="42" t="n">
        <x:f>MIN(1,'ОАЭ 2032'!C20+'ОАЭ 2032'!F20+(0.08*LN(1+0.5*'Ход 2032'!C26)*MAX(0,1-('ОАЭ 2032'!C20+'ОАЭ 2032'!F20))))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2032'!V20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2032'!B21+'ОАЭ 2032'!D21+('ОАЭ 2032'!C21+'ОАЭ 2032'!F21+'ОАЭ 2032'!G21)+(0.35*LN(1+0.6*'Ход 2032'!B27)*POWER(MAX(0,1-'ОАЭ 2032'!I21/10),0.7))))</x:f>
        <x:v>9.600000000000003</x:v>
      </x:c>
      <x:c r="C21" s="42" t="n">
        <x:f>MIN(1,'ОАЭ 2032'!C21+'ОАЭ 2032'!F21+(0.08*LN(1+0.5*'Ход 2032'!C27)*MAX(0,1-('ОАЭ 2032'!C21+'ОАЭ 2032'!F21))))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9.600000000000003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2032'!V21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2032'!B22+'ОАЭ 2032'!D22+('ОАЭ 2032'!C22+'ОАЭ 2032'!F22+'ОАЭ 2032'!G22)+(0.35*LN(1+0.6*'Ход 2032'!B28)*POWER(MAX(0,1-'ОАЭ 2032'!I22/10),0.7))))</x:f>
        <x:v>8.399999999999999</x:v>
      </x:c>
      <x:c r="C22" s="42" t="n">
        <x:f>MIN(1,'ОАЭ 2032'!C22+'ОАЭ 2032'!F22+(0.08*LN(1+0.5*'Ход 2032'!C28)*MAX(0,1-('ОАЭ 2032'!C22+'ОАЭ 2032'!F22))))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8.399999999999999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2032'!V22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2032'!B23+'ОАЭ 2032'!D23+('ОАЭ 2032'!C23+'ОАЭ 2032'!F23+'ОАЭ 2032'!G23)+(0.35*LN(1+0.6*'Ход 2032'!B29)*POWER(MAX(0,1-'ОАЭ 2032'!I23/10),0.7))))</x:f>
        <x:v>9.25</x:v>
      </x:c>
      <x:c r="C23" s="42" t="n">
        <x:f>MIN(1,'ОАЭ 2032'!C23+'ОАЭ 2032'!F23+(0.08*LN(1+0.5*'Ход 2032'!C29)*MAX(0,1-('ОАЭ 2032'!C23+'ОАЭ 2032'!F23))))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2032'!V23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2032'!V24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2032'!B25+'ОАЭ 2032'!D25+('ОАЭ 2032'!C25+'ОАЭ 2032'!F25+'ОАЭ 2032'!G25)+(0.35*LN(1+0.6*'Ход 2032'!B31)*POWER(MAX(0,1-'ОАЭ 2032'!I25/10),0.7))))</x:f>
        <x:v>8.899999999999997</x:v>
      </x:c>
      <x:c r="C25" s="42" t="n">
        <x:f>MIN(1,'ОАЭ 2032'!C25+'ОАЭ 2032'!F25+(0.08*LN(1+0.5*'Ход 2032'!C31)*MAX(0,1-('ОАЭ 2032'!C25+'ОАЭ 2032'!F25))))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2032'!V25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2032'!B26+'ОАЭ 2032'!D26+('ОАЭ 2032'!C26+'ОАЭ 2032'!F26+'ОАЭ 2032'!G26)+(0.35*LN(1+0.6*'Ход 2032'!B32)*POWER(MAX(0,1-'ОАЭ 2032'!I26/10),0.7))))</x:f>
        <x:v>9.25</x:v>
      </x:c>
      <x:c r="C26" s="42" t="n">
        <x:f>MIN(1,'ОАЭ 2032'!C26+'ОАЭ 2032'!F26+(0.08*LN(1+0.5*'Ход 2032'!C32)*MAX(0,1-('ОАЭ 2032'!C26+'ОАЭ 2032'!F26))))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2032'!B27+'ОАЭ 2032'!D27+('ОАЭ 2032'!C27+'ОАЭ 2032'!F27+'ОАЭ 2032'!G27)+(0.35*LN(1+0.6*'Ход 2032'!B33)*POWER(MAX(0,1-'ОАЭ 2032'!I27/10),0.7))))</x:f>
        <x:v>9.75</x:v>
      </x:c>
      <x:c r="C27" s="42" t="n">
        <x:f>MIN(1,'ОАЭ 2032'!C27+'ОАЭ 2032'!F27+(0.08*LN(1+0.5*'Ход 2032'!C33)*MAX(0,1-('ОАЭ 2032'!C27+'ОАЭ 2032'!F27))))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9.75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2032'!B28+'ОАЭ 2032'!D28+('ОАЭ 2032'!C28+'ОАЭ 2032'!F28+'ОАЭ 2032'!G28)+(0.35*LN(1+0.6*'Ход 2032'!B34)*POWER(MAX(0,1-'ОАЭ 2032'!I28/10),0.7))))</x:f>
        <x:v>9.600000000000003</x:v>
      </x:c>
      <x:c r="C28" s="42" t="n">
        <x:f>MIN(1,'ОАЭ 2032'!C28+'ОАЭ 2032'!F28+(0.08*LN(1+0.5*'Ход 2032'!C34)*MAX(0,1-('ОАЭ 2032'!C28+'ОАЭ 2032'!F28))))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9.600000000000003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2032'!B29+'ОАЭ 2032'!D29+('ОАЭ 2032'!C29+'ОАЭ 2032'!F29+'ОАЭ 2032'!G29)+(0.35*LN(1+0.6*'Ход 2032'!B35)*POWER(MAX(0,1-'ОАЭ 2032'!I29/10),0.7))))</x:f>
        <x:v>8.75</x:v>
      </x:c>
      <x:c r="C29" s="42" t="n">
        <x:f>MIN(1,'ОАЭ 2032'!C29+'ОАЭ 2032'!F29+(0.08*LN(1+0.5*'Ход 2032'!C35)*MAX(0,1-('ОАЭ 2032'!C29+'ОАЭ 2032'!F29))))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2032'!B30+'ОАЭ 2032'!D30+('ОАЭ 2032'!C30+'ОАЭ 2032'!F30+'ОАЭ 2032'!G30)+(0.35*LN(1+0.6*'Ход 2032'!B36)*POWER(MAX(0,1-'ОАЭ 2032'!I30/10),0.7))))</x:f>
        <x:v>8.899999999999997</x:v>
      </x:c>
      <x:c r="C30" s="42" t="n">
        <x:f>MIN(1,'ОАЭ 2032'!C30+'ОАЭ 2032'!F30+(0.08*LN(1+0.5*'Ход 2032'!C36)*MAX(0,1-('ОАЭ 2032'!C30+'ОАЭ 2032'!F30))))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8.899999999999997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2032'!B31+'ОАЭ 2032'!D31+('ОАЭ 2032'!C31+'ОАЭ 2032'!F31+'ОАЭ 2032'!G31)+(0.35*LN(1+0.6*'Ход 2032'!B37)*POWER(MAX(0,1-'ОАЭ 2032'!I31/10),0.7))))</x:f>
        <x:v>8.899999999999997</x:v>
      </x:c>
      <x:c r="C31" s="42" t="n">
        <x:f>MIN(1,'ОАЭ 2032'!C31+'ОАЭ 2032'!F31+(0.08*LN(1+0.5*'Ход 2032'!C37)*MAX(0,1-('ОАЭ 2032'!C31+'ОАЭ 2032'!F31))))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8.899999999999997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2032'!B32+'ОАЭ 2032'!D32+('ОАЭ 2032'!C32+'ОАЭ 2032'!F32+'ОАЭ 2032'!G32)+(0.35*LN(1+0.6*'Ход 2032'!B38)*POWER(MAX(0,1-'ОАЭ 2032'!I32/10),0.7))))</x:f>
        <x:v>9.899999999999995</x:v>
      </x:c>
      <x:c r="C32" s="42" t="n">
        <x:f>MIN(1,'ОАЭ 2032'!C32+'ОАЭ 2032'!F32+(0.08*LN(1+0.5*'Ход 2032'!C38)*MAX(0,1-('ОАЭ 2032'!C32+'ОАЭ 2032'!F32))))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9.899999999999995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2032'!B34+'ОАЭ 2032'!D34+('ОАЭ 2032'!C34+'ОАЭ 2032'!F34+'ОАЭ 2032'!G34)+(0.35*LN(1+0.6*'Ход 2032'!B40)*POWER(MAX(0,1-'ОАЭ 2032'!I34/10),0.7))))</x:f>
        <x:v>10</x:v>
      </x:c>
      <x:c r="C34" s="42" t="n">
        <x:f>MIN(1,'ОАЭ 2032'!C34+'ОАЭ 2032'!F34+(0.08*LN(1+0.5*'Ход 2032'!C40)*MAX(0,1-('ОАЭ 2032'!C34+'ОАЭ 2032'!F34))))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2032'!B35+'ОАЭ 2032'!D35+('ОАЭ 2032'!C35+'ОАЭ 2032'!F35+'ОАЭ 2032'!G35)+(0.35*LN(1+0.6*'Ход 2032'!B41)*POWER(MAX(0,1-'ОАЭ 2032'!I35/10),0.7))))</x:f>
        <x:v>9.050000000000002</x:v>
      </x:c>
      <x:c r="C35" s="42" t="n">
        <x:f>MIN(1,'ОАЭ 2032'!C35+'ОАЭ 2032'!F35+(0.08*LN(1+0.5*'Ход 2032'!C41)*MAX(0,1-('ОАЭ 2032'!C35+'ОАЭ 2032'!F35))))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9.050000000000002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2032'!B36+'ОАЭ 2032'!D36+('ОАЭ 2032'!C36+'ОАЭ 2032'!F36+'ОАЭ 2032'!G36)+(0.35*LN(1+0.6*'Ход 2032'!B42)*POWER(MAX(0,1-'ОАЭ 2032'!I36/10),0.7))))</x:f>
        <x:v>10</x:v>
      </x:c>
      <x:c r="C36" s="42" t="n">
        <x:f>MIN(1,'ОАЭ 2032'!C36+'ОАЭ 2032'!F36+(0.08*LN(1+0.5*'Ход 2032'!C42)*MAX(0,1-('ОАЭ 2032'!C36+'ОАЭ 2032'!F36))))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2032'!B37+'ОАЭ 2032'!D37+('ОАЭ 2032'!C37+'ОАЭ 2032'!F37+'ОАЭ 2032'!G37)+(0.35*LN(1+0.6*'Ход 2032'!B43)*POWER(MAX(0,1-'ОАЭ 2032'!I37/10),0.7))))</x:f>
        <x:v>10</x:v>
      </x:c>
      <x:c r="C37" s="42" t="n">
        <x:f>MIN(1,'ОАЭ 2032'!C37+'ОАЭ 2032'!F37+(0.08*LN(1+0.5*'Ход 2032'!C43)*MAX(0,1-('ОАЭ 2032'!C37+'ОАЭ 2032'!F37))))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2032'!B38+'ОАЭ 2032'!D38+('ОАЭ 2032'!C38+'ОАЭ 2032'!F38+'ОАЭ 2032'!G38)+(0.35*LN(1+0.6*'Ход 2032'!B44)*POWER(MAX(0,1-'ОАЭ 2032'!I38/10),0.7))))</x:f>
        <x:v>10</x:v>
      </x:c>
      <x:c r="C38" s="42" t="n">
        <x:f>MIN(1,'ОАЭ 2032'!C38+'ОАЭ 2032'!F38+(0.08*LN(1+0.5*'Ход 2032'!C44)*MAX(0,1-('ОАЭ 2032'!C38+'ОАЭ 2032'!F38))))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2032'!B39+'ОАЭ 2032'!D39+('ОАЭ 2032'!C39+'ОАЭ 2032'!F39+'ОАЭ 2032'!G39)+(0.35*LN(1+0.6*'Ход 2032'!B45)*POWER(MAX(0,1-'ОАЭ 2032'!I39/10),0.7))))</x:f>
        <x:v>10</x:v>
      </x:c>
      <x:c r="C39" s="42" t="n">
        <x:f>MIN(1,'ОАЭ 2032'!C39+'ОАЭ 2032'!F39+(0.08*LN(1+0.5*'Ход 2032'!C45)*MAX(0,1-('ОАЭ 2032'!C39+'ОАЭ 2032'!F39))))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2032'!B40+'ОАЭ 2032'!D40+('ОАЭ 2032'!C40+'ОАЭ 2032'!F40+'ОАЭ 2032'!G40)+(0.35*LN(1+0.6*'Ход 2032'!B46)*POWER(MAX(0,1-'ОАЭ 2032'!I40/10),0.7))))</x:f>
        <x:v>10</x:v>
      </x:c>
      <x:c r="C40" s="42" t="n">
        <x:f>MIN(1,'ОАЭ 2032'!C40+'ОАЭ 2032'!F40+(0.08*LN(1+0.5*'Ход 2032'!C46)*MAX(0,1-('ОАЭ 2032'!C40+'ОАЭ 2032'!F40))))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2032'!B41+'ОАЭ 2032'!D41+('ОАЭ 2032'!C41+'ОАЭ 2032'!F41+'ОАЭ 2032'!G41)+(0.35*LN(1+0.6*'Ход 2032'!B47)*POWER(MAX(0,1-'ОАЭ 2032'!I41/10),0.7))))</x:f>
        <x:v>10</x:v>
      </x:c>
      <x:c r="C41" s="42" t="n">
        <x:f>MIN(1,'ОАЭ 2032'!C41+'ОАЭ 2032'!F41+(0.08*LN(1+0.5*'Ход 2032'!C47)*MAX(0,1-('ОАЭ 2032'!C41+'ОАЭ 2032'!F41))))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2032'!B42+'ОАЭ 2032'!D42+('ОАЭ 2032'!C42+'ОАЭ 2032'!F42+'ОАЭ 2032'!G42)+(0.35*LN(1+0.6*'Ход 2032'!B48)*POWER(MAX(0,1-'ОАЭ 2032'!I42/10),0.7))))</x:f>
        <x:v>10</x:v>
      </x:c>
      <x:c r="C42" s="42" t="n">
        <x:f>MIN(1,'ОАЭ 2032'!C42+'ОАЭ 2032'!F42+(0.08*LN(1+0.5*'Ход 2032'!C48)*MAX(0,1-('ОАЭ 2032'!C42+'ОАЭ 2032'!F42))))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2032'!B44+'ОАЭ 2032'!D44+('ОАЭ 2032'!C44+'ОАЭ 2032'!F44+'ОАЭ 2032'!G44)+(0.35*LN(1+0.6*'Ход 2032'!B50)*POWER(MAX(0,1-'ОАЭ 2032'!I44/10),0.7))))</x:f>
        <x:v>9.050000000000002</x:v>
      </x:c>
      <x:c r="C44" s="42" t="n">
        <x:f>MIN(1,'ОАЭ 2032'!C44+'ОАЭ 2032'!F44+(0.08*LN(1+0.5*'Ход 2032'!C50)*MAX(0,1-('ОАЭ 2032'!C44+'ОАЭ 2032'!F44))))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9.050000000000002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2032'!B45+'ОАЭ 2032'!D45+('ОАЭ 2032'!C45+'ОАЭ 2032'!F45+'ОАЭ 2032'!G45)+(0.35*LN(1+0.6*'Ход 2032'!B51)*POWER(MAX(0,1-'ОАЭ 2032'!I45/10),0.7))))</x:f>
        <x:v>10</x:v>
      </x:c>
      <x:c r="C45" s="42" t="n">
        <x:f>MIN(1,'ОАЭ 2032'!C45+'ОАЭ 2032'!F45+(0.08*LN(1+0.5*'Ход 2032'!C51)*MAX(0,1-('ОАЭ 2032'!C45+'ОАЭ 2032'!F45))))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2032'!B46+'ОАЭ 2032'!D46+('ОАЭ 2032'!C46+'ОАЭ 2032'!F46+'ОАЭ 2032'!G46)+(0.35*LN(1+0.6*'Ход 2032'!B52)*POWER(MAX(0,1-'ОАЭ 2032'!I46/10),0.7))))</x:f>
        <x:v>10</x:v>
      </x:c>
      <x:c r="C46" s="42" t="n">
        <x:f>MIN(1,'ОАЭ 2032'!C46+'ОАЭ 2032'!F46+(0.08*LN(1+0.5*'Ход 2032'!C52)*MAX(0,1-('ОАЭ 2032'!C46+'ОАЭ 2032'!F46))))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2032'!B47+'ОАЭ 2032'!D47+('ОАЭ 2032'!C47+'ОАЭ 2032'!F47+'ОАЭ 2032'!G47)+(0.35*LN(1+0.6*'Ход 2032'!B53)*POWER(MAX(0,1-'ОАЭ 2032'!I47/10),0.7))))</x:f>
        <x:v>8.699999999999998</x:v>
      </x:c>
      <x:c r="C47" s="42" t="n">
        <x:f>MIN(1,'ОАЭ 2032'!C47+'ОАЭ 2032'!F47+(0.08*LN(1+0.5*'Ход 2032'!C53)*MAX(0,1-('ОАЭ 2032'!C47+'ОАЭ 2032'!F47))))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8.699999999999998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2032'!B48+'ОАЭ 2032'!D48+('ОАЭ 2032'!C48+'ОАЭ 2032'!F48+'ОАЭ 2032'!G48)+(0.35*LN(1+0.6*'Ход 2032'!B54)*POWER(MAX(0,1-'ОАЭ 2032'!I48/10),0.7))))</x:f>
        <x:v>8.699999999999998</x:v>
      </x:c>
      <x:c r="C48" s="42" t="n">
        <x:f>MIN(1,'ОАЭ 2032'!C48+'ОАЭ 2032'!F48+(0.08*LN(1+0.5*'Ход 2032'!C54)*MAX(0,1-('ОАЭ 2032'!C48+'ОАЭ 2032'!F48))))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8.699999999999998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2032'!B49+'ОАЭ 2032'!D49+('ОАЭ 2032'!C49+'ОАЭ 2032'!F49+'ОАЭ 2032'!G49)+(0.35*LN(1+0.6*'Ход 2032'!B55)*POWER(MAX(0,1-'ОАЭ 2032'!I49/10),0.7))))</x:f>
        <x:v>10</x:v>
      </x:c>
      <x:c r="C49" s="42" t="n">
        <x:f>MIN(1,'ОАЭ 2032'!C49+'ОАЭ 2032'!F49+(0.08*LN(1+0.5*'Ход 2032'!C55)*MAX(0,1-('ОАЭ 2032'!C49+'ОАЭ 2032'!F49))))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2032'!B50+'ОАЭ 2032'!D50+('ОАЭ 2032'!C50+'ОАЭ 2032'!F50+'ОАЭ 2032'!G50)+(0.35*LN(1+0.6*'Ход 2032'!B56)*POWER(MAX(0,1-'ОАЭ 2032'!I50/10),0.7))))</x:f>
        <x:v>9.350000000000005</x:v>
      </x:c>
      <x:c r="C50" s="42" t="n">
        <x:f>MIN(1,'ОАЭ 2032'!C50+'ОАЭ 2032'!F50+(0.08*LN(1+0.5*'Ход 2032'!C56)*MAX(0,1-('ОАЭ 2032'!C50+'ОАЭ 2032'!F50))))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9.350000000000005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2032'!B51+'ОАЭ 2032'!D51+('ОАЭ 2032'!C51+'ОАЭ 2032'!F51+'ОАЭ 2032'!G51)+(0.35*LN(1+0.6*'Ход 2032'!B57)*POWER(MAX(0,1-'ОАЭ 2032'!I51/10),0.7))))</x:f>
        <x:v>10</x:v>
      </x:c>
      <x:c r="C51" s="42" t="n">
        <x:f>MIN(1,'ОАЭ 2032'!C51+'ОАЭ 2032'!F51+(0.08*LN(1+0.5*'Ход 2032'!C57)*MAX(0,1-('ОАЭ 2032'!C51+'ОАЭ 2032'!F51))))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2032'!B53+'ОАЭ 2032'!D53+('ОАЭ 2032'!C53+'ОАЭ 2032'!F53+'ОАЭ 2032'!G53)+(0.35*LN(1+0.6*'Ход 2032'!B59)*POWER(MAX(0,1-'ОАЭ 2032'!I53/10),0.7))))</x:f>
        <x:v>9.399999999999995</x:v>
      </x:c>
      <x:c r="C53" s="42" t="n">
        <x:f>MIN(1,'ОАЭ 2032'!C53+'ОАЭ 2032'!F53+(0.08*LN(1+0.5*'Ход 2032'!C59)*MAX(0,1-('ОАЭ 2032'!C53+'ОАЭ 2032'!F53))))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9.399999999999995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2032'!B54+'ОАЭ 2032'!D54+('ОАЭ 2032'!C54+'ОАЭ 2032'!F54+'ОАЭ 2032'!G54)+(0.35*LN(1+0.6*'Ход 2032'!B60)*POWER(MAX(0,1-'ОАЭ 2032'!I54/10),0.7))))</x:f>
        <x:v>9.399999999999995</x:v>
      </x:c>
      <x:c r="C54" s="42" t="n">
        <x:f>MIN(1,'ОАЭ 2032'!C54+'ОАЭ 2032'!F54+(0.08*LN(1+0.5*'Ход 2032'!C60)*MAX(0,1-('ОАЭ 2032'!C54+'ОАЭ 2032'!F54))))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9.399999999999995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2032'!B55+'ОАЭ 2032'!D55+('ОАЭ 2032'!C55+'ОАЭ 2032'!F55+'ОАЭ 2032'!G55)+(0.35*LN(1+0.6*'Ход 2032'!B61)*POWER(MAX(0,1-'ОАЭ 2032'!I55/10),0.7))))</x:f>
        <x:v>8.050000000000002</x:v>
      </x:c>
      <x:c r="C55" s="42" t="n">
        <x:f>MIN(1,'ОАЭ 2032'!C55+'ОАЭ 2032'!F55+(0.08*LN(1+0.5*'Ход 2032'!C61)*MAX(0,1-('ОАЭ 2032'!C55+'ОАЭ 2032'!F55))))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8.050000000000002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2033'!U6</x:f>
        <x:v>96.66466789616933</x:v>
      </x:c>
      <x:c r="C6" s="42"/>
      <x:c r="D6" s="42"/>
      <x:c r="E6" s="42" t="str">
        <x:v>Доступно</x:v>
      </x:c>
      <x:c r="F6" s="42" t="n">
        <x:f>'ОАЭ 2033'!K6</x:f>
        <x:v>79.60913724035004</x:v>
      </x:c>
      <x:c r="G6" s="42"/>
      <x:c r="H6" s="42"/>
      <x:c r="I6" s="42" t="str">
        <x:v>Доступно</x:v>
      </x:c>
      <x:c r="J6" s="42" t="n">
        <x:f>'ОАЭ 2033'!N6</x:f>
        <x:v>75.80187078907912</x:v>
      </x:c>
      <x:c r="K6" s="42"/>
      <x:c r="L6" s="42"/>
      <x:c r="M6" s="42" t="str">
        <x:v>Доступно</x:v>
      </x:c>
      <x:c r="N6" s="42" t="n">
        <x:f>'ОАЭ 2033'!Q6</x:f>
        <x:v>90.12845647912519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96.66466789616933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79.60913724035004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75.80187078907912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90.12845647912519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2033'!V11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32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2033'!V12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18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2033'!V13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23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2033'!V14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96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2033'!V15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98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2033'!V16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90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2033'!V17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53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2033'!V18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18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2033'!V19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97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2033'!V20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2033'!V21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54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2033'!V22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32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2033'!V23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82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2033'!V24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42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2033'!V25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6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80.42023967534531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76.34054781297414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90.43466026684158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97.13684424876568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2033'!B8+'ОАЭ 2033'!D8+('ОАЭ 2033'!C8+'ОАЭ 2033'!F8+'ОАЭ 2033'!G8)+(0.35*LN(1+0.6*'Ход 2033'!B14)*POWER(MAX(0,1-'ОАЭ 2033'!I8/10),0.7))))</x:f>
        <x:v>7.899999999999999</x:v>
      </x:c>
      <x:c r="C8" s="42" t="n">
        <x:f>MIN(1,'ОАЭ 2033'!C8+'ОАЭ 2033'!F8+(0.08*LN(1+0.5*'Ход 2033'!C14)*MAX(0,1-('ОАЭ 2033'!C8+'ОАЭ 2033'!F8))))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7.899999999999999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2033'!B9+'ОАЭ 2033'!D9+('ОАЭ 2033'!C9+'ОАЭ 2033'!F9+'ОАЭ 2033'!G9)+(0.35*LN(1+0.6*'Ход 2033'!B15)*POWER(MAX(0,1-'ОАЭ 2033'!I9/10),0.7))))</x:f>
        <x:v>8.299999999999997</x:v>
      </x:c>
      <x:c r="C9" s="42" t="n">
        <x:f>MIN(1,'ОАЭ 2033'!C9+'ОАЭ 2033'!F9+(0.08*LN(1+0.5*'Ход 2033'!C15)*MAX(0,1-('ОАЭ 2033'!C9+'ОАЭ 2033'!F9))))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8.299999999999997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2033'!B10+'ОАЭ 2033'!D10+('ОАЭ 2033'!C10+'ОАЭ 2033'!F10+'ОАЭ 2033'!G10)+(0.35*LN(1+0.6*'Ход 2033'!B16)*POWER(MAX(0,1-'ОАЭ 2033'!I10/10),0.7))))</x:f>
        <x:v>9.900000000000006</x:v>
      </x:c>
      <x:c r="C10" s="42" t="n">
        <x:f>MIN(1,'ОАЭ 2033'!C10+'ОАЭ 2033'!F10+(0.08*LN(1+0.5*'Ход 2033'!C16)*MAX(0,1-('ОАЭ 2033'!C10+'ОАЭ 2033'!F10))))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9.900000000000006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2033'!B11+'ОАЭ 2033'!D11+('ОАЭ 2033'!C11+'ОАЭ 2033'!F11+'ОАЭ 2033'!G11)+(0.35*LN(1+0.6*'Ход 2033'!B17)*POWER(MAX(0,1-'ОАЭ 2033'!I11/10),0.7))))</x:f>
        <x:v>4.399999999999999</x:v>
      </x:c>
      <x:c r="C11" s="42" t="n">
        <x:f>MIN(1,'ОАЭ 2033'!C11+'ОАЭ 2033'!F11+(0.08*LN(1+0.5*'Ход 2033'!C17)*MAX(0,1-('ОАЭ 2033'!C11+'ОАЭ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4.399999999999999</x:v>
      </x:c>
      <x:c r="J11" s="42"/>
      <x:c r="K11" s="42" t="str">
        <x:v>Производство</x:v>
      </x:c>
      <x:c r="L11" s="42" t="n">
        <x:f>MAX(1,MIN(10,'ОАЭ 2033'!L11+'ОАЭ 2033'!N11+('ОАЭ 2033'!M11+'ОАЭ 2033'!P11+'ОАЭ 2033'!Q11)))</x:f>
        <x:v>9.799999999999997</x:v>
      </x:c>
      <x:c r="M11" s="42" t="n">
        <x:f>MIN(1,'ОАЭ 2033'!M11+'ОАЭ 2033'!P11+(0.10*LN(1+0.5*'Ход 2033'!H13)*POWER(MAX(0,1-'ОАЭ 2033'!S11/10),0.8)))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9.799999999999997</x:v>
      </x:c>
      <x:c r="T11" s="42"/>
      <x:c r="U11" s="42" t="str">
        <x:v>Россия</x:v>
      </x:c>
      <x:c r="V11" s="64" t="n">
        <x:f>'ОАЭ 2033'!V11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2033'!B12+'ОАЭ 2033'!D12+('ОАЭ 2033'!C12+'ОАЭ 2033'!F12+'ОАЭ 2033'!G12)+(0.35*LN(1+0.6*'Ход 2033'!B18)*POWER(MAX(0,1-'ОАЭ 2033'!I12/10),0.7))))</x:f>
        <x:v>6.399999999999999</x:v>
      </x:c>
      <x:c r="C12" s="42" t="n">
        <x:f>MIN(1,'ОАЭ 2033'!C12+'ОАЭ 2033'!F12+(0.08*LN(1+0.5*'Ход 2033'!C18)*MAX(0,1-('ОАЭ 2033'!C12+'ОАЭ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6.399999999999999</x:v>
      </x:c>
      <x:c r="J12" s="42"/>
      <x:c r="K12" s="42" t="str">
        <x:v>Управление</x:v>
      </x:c>
      <x:c r="L12" s="42" t="n">
        <x:f>MAX(1,MIN(10,'ОАЭ 2033'!L12+'ОАЭ 2033'!N12+('ОАЭ 2033'!M12+'ОАЭ 2033'!P12+'ОАЭ 2033'!Q12)))</x:f>
        <x:v>10</x:v>
      </x:c>
      <x:c r="M12" s="42" t="n">
        <x:f>MIN(1,'ОАЭ 2033'!M12+'ОАЭ 2033'!P12+(0.10*LN(1+0.5*'Ход 2033'!H14)*POWER(MAX(0,1-'ОАЭ 2033'!S12/10),0.8)))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2033'!V12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2033'!B13+'ОАЭ 2033'!D13+('ОАЭ 2033'!C13+'ОАЭ 2033'!F13+'ОАЭ 2033'!G13)+(0.35*LN(1+0.6*'Ход 2033'!B19)*POWER(MAX(0,1-'ОАЭ 2033'!I13/10),0.7))))</x:f>
        <x:v>4.399999999999999</x:v>
      </x:c>
      <x:c r="C13" s="42" t="n">
        <x:f>MIN(1,'ОАЭ 2033'!C13+'ОАЭ 2033'!F13+(0.08*LN(1+0.5*'Ход 2033'!C19)*MAX(0,1-('ОАЭ 2033'!C13+'ОАЭ 2033'!F13))))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4.399999999999999</x:v>
      </x:c>
      <x:c r="J13" s="42"/>
      <x:c r="K13" s="42" t="str">
        <x:v>Познание</x:v>
      </x:c>
      <x:c r="L13" s="42" t="n">
        <x:f>MAX(1,MIN(10,'ОАЭ 2033'!L13+'ОАЭ 2033'!N13+('ОАЭ 2033'!M13+'ОАЭ 2033'!P13+'ОАЭ 2033'!Q13)))</x:f>
        <x:v>9.900000000000004</x:v>
      </x:c>
      <x:c r="M13" s="42" t="n">
        <x:f>MIN(1,'ОАЭ 2033'!M13+'ОАЭ 2033'!P13+(0.10*LN(1+0.5*'Ход 2033'!H15)*POWER(MAX(0,1-'ОАЭ 2033'!S13/10),0.8)))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9.900000000000004</x:v>
      </x:c>
      <x:c r="T13" s="42"/>
      <x:c r="U13" s="42" t="str">
        <x:v>Китай</x:v>
      </x:c>
      <x:c r="V13" s="64" t="n">
        <x:f>'ОАЭ 2033'!V13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2033'!B14+'ОАЭ 2033'!D14+('ОАЭ 2033'!C14+'ОАЭ 2033'!F14+'ОАЭ 2033'!G14)+(0.35*LN(1+0.6*'Ход 2033'!B20)*POWER(MAX(0,1-'ОАЭ 2033'!I14/10),0.7))))</x:f>
        <x:v>9.400000000000002</x:v>
      </x:c>
      <x:c r="C14" s="42" t="n">
        <x:f>MIN(1,'ОАЭ 2033'!C14+'ОАЭ 2033'!F14+(0.08*LN(1+0.5*'Ход 2033'!C20)*MAX(0,1-('ОАЭ 2033'!C14+'ОАЭ 2033'!F14))))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9.400000000000002</x:v>
      </x:c>
      <x:c r="J14" s="42"/>
      <x:c r="K14" s="42" t="str">
        <x:v>Обучение</x:v>
      </x:c>
      <x:c r="L14" s="42" t="n">
        <x:f>MAX(1,MIN(10,'ОАЭ 2033'!L14+'ОАЭ 2033'!N14+('ОАЭ 2033'!M14+'ОАЭ 2033'!P14+'ОАЭ 2033'!Q14)))</x:f>
        <x:v>10</x:v>
      </x:c>
      <x:c r="M14" s="42" t="n">
        <x:f>MIN(1,'ОАЭ 2033'!M14+'ОАЭ 2033'!P14+(0.10*LN(1+0.5*'Ход 2033'!H16)*POWER(MAX(0,1-'ОАЭ 2033'!S14/10),0.8)))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2033'!V14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2033'!B15+'ОАЭ 2033'!D15+('ОАЭ 2033'!C15+'ОАЭ 2033'!F15+'ОАЭ 2033'!G15)+(0.35*LN(1+0.6*'Ход 2033'!B21)*POWER(MAX(0,1-'ОАЭ 2033'!I15/10),0.7))))</x:f>
        <x:v>10</x:v>
      </x:c>
      <x:c r="C15" s="42" t="n">
        <x:f>MIN(1,'ОАЭ 2033'!C15+'ОАЭ 2033'!F15+(0.08*LN(1+0.5*'Ход 2033'!C21)*MAX(0,1-('ОАЭ 2033'!C15+'ОАЭ 2033'!F15))))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2033'!L15+'ОАЭ 2033'!N15+('ОАЭ 2033'!M15+'ОАЭ 2033'!P15+'ОАЭ 2033'!Q15)))</x:f>
        <x:v>9</x:v>
      </x:c>
      <x:c r="M15" s="42" t="n">
        <x:f>MIN(1,'ОАЭ 2033'!M15+'ОАЭ 2033'!P15+(0.10*LN(1+0.5*'Ход 2033'!H17)*POWER(MAX(0,1-'ОАЭ 2033'!S15/10),0.8)))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</x:v>
      </x:c>
      <x:c r="T15" s="42"/>
      <x:c r="U15" s="42" t="str">
        <x:v>Великобритания</x:v>
      </x:c>
      <x:c r="V15" s="64" t="n">
        <x:f>'ОАЭ 2033'!V15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2033'!B16+'ОАЭ 2033'!D16+('ОАЭ 2033'!C16+'ОАЭ 2033'!F16+'ОАЭ 2033'!G16)+(0.35*LN(1+0.6*'Ход 2033'!B22)*POWER(MAX(0,1-'ОАЭ 2033'!I16/10),0.7))))</x:f>
        <x:v>10</x:v>
      </x:c>
      <x:c r="C16" s="42" t="n">
        <x:f>MIN(1,'ОАЭ 2033'!C16+'ОАЭ 2033'!F16+(0.08*LN(1+0.5*'Ход 2033'!C22)*MAX(0,1-('ОАЭ 2033'!C16+'ОАЭ 2033'!F16))))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2033'!L16+'ОАЭ 2033'!N16+('ОАЭ 2033'!M16+'ОАЭ 2033'!P16+'ОАЭ 2033'!Q16)))</x:f>
        <x:v>10</x:v>
      </x:c>
      <x:c r="M16" s="42" t="n">
        <x:f>MIN(1,'ОАЭ 2033'!M16+'ОАЭ 2033'!P16+(0.10*LN(1+0.5*'Ход 2033'!H18)*POWER(MAX(0,1-'ОАЭ 2033'!S16/10),0.8)))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2033'!V16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2033'!B17+'ОАЭ 2033'!D17+('ОАЭ 2033'!C17+'ОАЭ 2033'!F17+'ОАЭ 2033'!G17)+(0.35*LN(1+0.6*'Ход 2033'!B23)*POWER(MAX(0,1-'ОАЭ 2033'!I17/10),0.7))))</x:f>
        <x:v>9.799999999999997</x:v>
      </x:c>
      <x:c r="C17" s="42" t="n">
        <x:f>MIN(1,'ОАЭ 2033'!C17+'ОАЭ 2033'!F17+(0.08*LN(1+0.5*'Ход 2033'!C23)*MAX(0,1-('ОАЭ 2033'!C17+'ОАЭ 2033'!F17))))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9.799999999999997</x:v>
      </x:c>
      <x:c r="J17" s="42"/>
      <x:c r="K17" s="42" t="str">
        <x:v>Государственное управление</x:v>
      </x:c>
      <x:c r="L17" s="42" t="n">
        <x:f>MAX(1,MIN(10,'ОАЭ 2033'!L17+'ОАЭ 2033'!N17+('ОАЭ 2033'!M17+'ОАЭ 2033'!P17+'ОАЭ 2033'!Q17)))</x:f>
        <x:v>10</x:v>
      </x:c>
      <x:c r="M17" s="42" t="n">
        <x:f>MIN(1,'ОАЭ 2033'!M17+'ОАЭ 2033'!P17+(0.10*LN(1+0.5*'Ход 2033'!H19)*POWER(MAX(0,1-'ОАЭ 2033'!S17/10),0.8)))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2033'!V17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2033'!L18+'ОАЭ 2033'!N18+('ОАЭ 2033'!M18+'ОАЭ 2033'!P18+'ОАЭ 2033'!Q18)))</x:f>
        <x:v>10</x:v>
      </x:c>
      <x:c r="M18" s="42" t="n">
        <x:f>MIN(1,'ОАЭ 2033'!M18+'ОАЭ 2033'!P18+(0.10*LN(1+0.5*'Ход 2033'!H20)*POWER(MAX(0,1-'ОАЭ 2033'!S18/10),0.8)))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2033'!V18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2033'!B19+'ОАЭ 2033'!D19+('ОАЭ 2033'!C19+'ОАЭ 2033'!F19+'ОАЭ 2033'!G19)+(0.35*LN(1+0.6*'Ход 2033'!B25)*POWER(MAX(0,1-'ОАЭ 2033'!I19/10),0.7))))</x:f>
        <x:v>9.5</x:v>
      </x:c>
      <x:c r="C19" s="42" t="n">
        <x:f>MIN(1,'ОАЭ 2033'!C19+'ОАЭ 2033'!F19+(0.08*LN(1+0.5*'Ход 2033'!C25)*MAX(0,1-('ОАЭ 2033'!C19+'ОАЭ 2033'!F19))))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2033'!V19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2033'!B20+'ОАЭ 2033'!D20+('ОАЭ 2033'!C20+'ОАЭ 2033'!F20+'ОАЭ 2033'!G20)+(0.35*LN(1+0.6*'Ход 2033'!B26)*POWER(MAX(0,1-'ОАЭ 2033'!I20/10),0.7))))</x:f>
        <x:v>10</x:v>
      </x:c>
      <x:c r="C20" s="42" t="n">
        <x:f>MIN(1,'ОАЭ 2033'!C20+'ОАЭ 2033'!F20+(0.08*LN(1+0.5*'Ход 2033'!C26)*MAX(0,1-('ОАЭ 2033'!C20+'ОАЭ 2033'!F20))))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2033'!V20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2033'!B21+'ОАЭ 2033'!D21+('ОАЭ 2033'!C21+'ОАЭ 2033'!F21+'ОАЭ 2033'!G21)+(0.35*LN(1+0.6*'Ход 2033'!B27)*POWER(MAX(0,1-'ОАЭ 2033'!I21/10),0.7))))</x:f>
        <x:v>9.900000000000004</x:v>
      </x:c>
      <x:c r="C21" s="42" t="n">
        <x:f>MIN(1,'ОАЭ 2033'!C21+'ОАЭ 2033'!F21+(0.08*LN(1+0.5*'Ход 2033'!C27)*MAX(0,1-('ОАЭ 2033'!C21+'ОАЭ 2033'!F21))))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9.900000000000004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2033'!V21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2033'!B22+'ОАЭ 2033'!D22+('ОАЭ 2033'!C22+'ОАЭ 2033'!F22+'ОАЭ 2033'!G22)+(0.35*LN(1+0.6*'Ход 2033'!B28)*POWER(MAX(0,1-'ОАЭ 2033'!I22/10),0.7))))</x:f>
        <x:v>8.599999999999998</x:v>
      </x:c>
      <x:c r="C22" s="42" t="n">
        <x:f>MIN(1,'ОАЭ 2033'!C22+'ОАЭ 2033'!F22+(0.08*LN(1+0.5*'Ход 2033'!C28)*MAX(0,1-('ОАЭ 2033'!C22+'ОАЭ 2033'!F22))))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8.599999999999998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2033'!V22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2033'!B23+'ОАЭ 2033'!D23+('ОАЭ 2033'!C23+'ОАЭ 2033'!F23+'ОАЭ 2033'!G23)+(0.35*LN(1+0.6*'Ход 2033'!B29)*POWER(MAX(0,1-'ОАЭ 2033'!I23/10),0.7))))</x:f>
        <x:v>9.5</x:v>
      </x:c>
      <x:c r="C23" s="42" t="n">
        <x:f>MIN(1,'ОАЭ 2033'!C23+'ОАЭ 2033'!F23+(0.08*LN(1+0.5*'Ход 2033'!C29)*MAX(0,1-('ОАЭ 2033'!C23+'ОАЭ 2033'!F23))))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2033'!V23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2033'!V24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2033'!B25+'ОАЭ 2033'!D25+('ОАЭ 2033'!C25+'ОАЭ 2033'!F25+'ОАЭ 2033'!G25)+(0.35*LN(1+0.6*'Ход 2033'!B31)*POWER(MAX(0,1-'ОАЭ 2033'!I25/10),0.7))))</x:f>
        <x:v>9.099999999999996</x:v>
      </x:c>
      <x:c r="C25" s="42" t="n">
        <x:f>MIN(1,'ОАЭ 2033'!C25+'ОАЭ 2033'!F25+(0.08*LN(1+0.5*'Ход 2033'!C31)*MAX(0,1-('ОАЭ 2033'!C25+'ОАЭ 2033'!F25))))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9.099999999999996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2033'!V25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2033'!B26+'ОАЭ 2033'!D26+('ОАЭ 2033'!C26+'ОАЭ 2033'!F26+'ОАЭ 2033'!G26)+(0.35*LN(1+0.6*'Ход 2033'!B32)*POWER(MAX(0,1-'ОАЭ 2033'!I26/10),0.7))))</x:f>
        <x:v>9.5</x:v>
      </x:c>
      <x:c r="C26" s="42" t="n">
        <x:f>MIN(1,'ОАЭ 2033'!C26+'ОАЭ 2033'!F26+(0.08*LN(1+0.5*'Ход 2033'!C32)*MAX(0,1-('ОАЭ 2033'!C26+'ОАЭ 2033'!F26))))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2033'!B27+'ОАЭ 2033'!D27+('ОАЭ 2033'!C27+'ОАЭ 2033'!F27+'ОАЭ 2033'!G27)+(0.35*LN(1+0.6*'Ход 2033'!B33)*POWER(MAX(0,1-'ОАЭ 2033'!I27/10),0.7))))</x:f>
        <x:v>10</x:v>
      </x:c>
      <x:c r="C27" s="42" t="n">
        <x:f>MIN(1,'ОАЭ 2033'!C27+'ОАЭ 2033'!F27+(0.08*LN(1+0.5*'Ход 2033'!C33)*MAX(0,1-('ОАЭ 2033'!C27+'ОАЭ 2033'!F27))))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2033'!B28+'ОАЭ 2033'!D28+('ОАЭ 2033'!C28+'ОАЭ 2033'!F28+'ОАЭ 2033'!G28)+(0.35*LN(1+0.6*'Ход 2033'!B34)*POWER(MAX(0,1-'ОАЭ 2033'!I28/10),0.7))))</x:f>
        <x:v>9.900000000000004</x:v>
      </x:c>
      <x:c r="C28" s="42" t="n">
        <x:f>MIN(1,'ОАЭ 2033'!C28+'ОАЭ 2033'!F28+(0.08*LN(1+0.5*'Ход 2033'!C34)*MAX(0,1-('ОАЭ 2033'!C28+'ОАЭ 2033'!F28))))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9.900000000000004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2033'!B29+'ОАЭ 2033'!D29+('ОАЭ 2033'!C29+'ОАЭ 2033'!F29+'ОАЭ 2033'!G29)+(0.35*LN(1+0.6*'Ход 2033'!B35)*POWER(MAX(0,1-'ОАЭ 2033'!I29/10),0.7))))</x:f>
        <x:v>9</x:v>
      </x:c>
      <x:c r="C29" s="42" t="n">
        <x:f>MIN(1,'ОАЭ 2033'!C29+'ОАЭ 2033'!F29+(0.08*LN(1+0.5*'Ход 2033'!C35)*MAX(0,1-('ОАЭ 2033'!C29+'ОАЭ 2033'!F29))))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2033'!B30+'ОАЭ 2033'!D30+('ОАЭ 2033'!C30+'ОАЭ 2033'!F30+'ОАЭ 2033'!G30)+(0.35*LN(1+0.6*'Ход 2033'!B36)*POWER(MAX(0,1-'ОАЭ 2033'!I30/10),0.7))))</x:f>
        <x:v>9.099999999999996</x:v>
      </x:c>
      <x:c r="C30" s="42" t="n">
        <x:f>MIN(1,'ОАЭ 2033'!C30+'ОАЭ 2033'!F30+(0.08*LN(1+0.5*'Ход 2033'!C36)*MAX(0,1-('ОАЭ 2033'!C30+'ОАЭ 2033'!F30))))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9.099999999999996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2033'!B31+'ОАЭ 2033'!D31+('ОАЭ 2033'!C31+'ОАЭ 2033'!F31+'ОАЭ 2033'!G31)+(0.35*LN(1+0.6*'Ход 2033'!B37)*POWER(MAX(0,1-'ОАЭ 2033'!I31/10),0.7))))</x:f>
        <x:v>9.099999999999996</x:v>
      </x:c>
      <x:c r="C31" s="42" t="n">
        <x:f>MIN(1,'ОАЭ 2033'!C31+'ОАЭ 2033'!F31+(0.08*LN(1+0.5*'Ход 2033'!C37)*MAX(0,1-('ОАЭ 2033'!C31+'ОАЭ 2033'!F31))))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9.099999999999996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2033'!B32+'ОАЭ 2033'!D32+('ОАЭ 2033'!C32+'ОАЭ 2033'!F32+'ОАЭ 2033'!G32)+(0.35*LN(1+0.6*'Ход 2033'!B38)*POWER(MAX(0,1-'ОАЭ 2033'!I32/10),0.7))))</x:f>
        <x:v>10</x:v>
      </x:c>
      <x:c r="C32" s="42" t="n">
        <x:f>MIN(1,'ОАЭ 2033'!C32+'ОАЭ 2033'!F32+(0.08*LN(1+0.5*'Ход 2033'!C38)*MAX(0,1-('ОАЭ 2033'!C32+'ОАЭ 2033'!F32))))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2033'!B34+'ОАЭ 2033'!D34+('ОАЭ 2033'!C34+'ОАЭ 2033'!F34+'ОАЭ 2033'!G34)+(0.35*LN(1+0.6*'Ход 2033'!B40)*POWER(MAX(0,1-'ОАЭ 2033'!I34/10),0.7))))</x:f>
        <x:v>10</x:v>
      </x:c>
      <x:c r="C34" s="42" t="n">
        <x:f>MIN(1,'ОАЭ 2033'!C34+'ОАЭ 2033'!F34+(0.08*LN(1+0.5*'Ход 2033'!C40)*MAX(0,1-('ОАЭ 2033'!C34+'ОАЭ 2033'!F34))))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2033'!B35+'ОАЭ 2033'!D35+('ОАЭ 2033'!C35+'ОАЭ 2033'!F35+'ОАЭ 2033'!G35)+(0.35*LN(1+0.6*'Ход 2033'!B41)*POWER(MAX(0,1-'ОАЭ 2033'!I35/10),0.7))))</x:f>
        <x:v>9.200000000000003</x:v>
      </x:c>
      <x:c r="C35" s="42" t="n">
        <x:f>MIN(1,'ОАЭ 2033'!C35+'ОАЭ 2033'!F35+(0.08*LN(1+0.5*'Ход 2033'!C41)*MAX(0,1-('ОАЭ 2033'!C35+'ОАЭ 2033'!F35))))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9.200000000000003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2033'!B36+'ОАЭ 2033'!D36+('ОАЭ 2033'!C36+'ОАЭ 2033'!F36+'ОАЭ 2033'!G36)+(0.35*LN(1+0.6*'Ход 2033'!B42)*POWER(MAX(0,1-'ОАЭ 2033'!I36/10),0.7))))</x:f>
        <x:v>10</x:v>
      </x:c>
      <x:c r="C36" s="42" t="n">
        <x:f>MIN(1,'ОАЭ 2033'!C36+'ОАЭ 2033'!F36+(0.08*LN(1+0.5*'Ход 2033'!C42)*MAX(0,1-('ОАЭ 2033'!C36+'ОАЭ 2033'!F36))))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2033'!B37+'ОАЭ 2033'!D37+('ОАЭ 2033'!C37+'ОАЭ 2033'!F37+'ОАЭ 2033'!G37)+(0.35*LN(1+0.6*'Ход 2033'!B43)*POWER(MAX(0,1-'ОАЭ 2033'!I37/10),0.7))))</x:f>
        <x:v>10</x:v>
      </x:c>
      <x:c r="C37" s="42" t="n">
        <x:f>MIN(1,'ОАЭ 2033'!C37+'ОАЭ 2033'!F37+(0.08*LN(1+0.5*'Ход 2033'!C43)*MAX(0,1-('ОАЭ 2033'!C37+'ОАЭ 2033'!F37))))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2033'!B38+'ОАЭ 2033'!D38+('ОАЭ 2033'!C38+'ОАЭ 2033'!F38+'ОАЭ 2033'!G38)+(0.35*LN(1+0.6*'Ход 2033'!B44)*POWER(MAX(0,1-'ОАЭ 2033'!I38/10),0.7))))</x:f>
        <x:v>10</x:v>
      </x:c>
      <x:c r="C38" s="42" t="n">
        <x:f>MIN(1,'ОАЭ 2033'!C38+'ОАЭ 2033'!F38+(0.08*LN(1+0.5*'Ход 2033'!C44)*MAX(0,1-('ОАЭ 2033'!C38+'ОАЭ 2033'!F38))))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2033'!B39+'ОАЭ 2033'!D39+('ОАЭ 2033'!C39+'ОАЭ 2033'!F39+'ОАЭ 2033'!G39)+(0.35*LN(1+0.6*'Ход 2033'!B45)*POWER(MAX(0,1-'ОАЭ 2033'!I39/10),0.7))))</x:f>
        <x:v>10</x:v>
      </x:c>
      <x:c r="C39" s="42" t="n">
        <x:f>MIN(1,'ОАЭ 2033'!C39+'ОАЭ 2033'!F39+(0.08*LN(1+0.5*'Ход 2033'!C45)*MAX(0,1-('ОАЭ 2033'!C39+'ОАЭ 2033'!F39))))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2033'!B40+'ОАЭ 2033'!D40+('ОАЭ 2033'!C40+'ОАЭ 2033'!F40+'ОАЭ 2033'!G40)+(0.35*LN(1+0.6*'Ход 2033'!B46)*POWER(MAX(0,1-'ОАЭ 2033'!I40/10),0.7))))</x:f>
        <x:v>10</x:v>
      </x:c>
      <x:c r="C40" s="42" t="n">
        <x:f>MIN(1,'ОАЭ 2033'!C40+'ОАЭ 2033'!F40+(0.08*LN(1+0.5*'Ход 2033'!C46)*MAX(0,1-('ОАЭ 2033'!C40+'ОАЭ 2033'!F40))))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2033'!B41+'ОАЭ 2033'!D41+('ОАЭ 2033'!C41+'ОАЭ 2033'!F41+'ОАЭ 2033'!G41)+(0.35*LN(1+0.6*'Ход 2033'!B47)*POWER(MAX(0,1-'ОАЭ 2033'!I41/10),0.7))))</x:f>
        <x:v>10</x:v>
      </x:c>
      <x:c r="C41" s="42" t="n">
        <x:f>MIN(1,'ОАЭ 2033'!C41+'ОАЭ 2033'!F41+(0.08*LN(1+0.5*'Ход 2033'!C47)*MAX(0,1-('ОАЭ 2033'!C41+'ОАЭ 2033'!F41))))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2033'!B42+'ОАЭ 2033'!D42+('ОАЭ 2033'!C42+'ОАЭ 2033'!F42+'ОАЭ 2033'!G42)+(0.35*LN(1+0.6*'Ход 2033'!B48)*POWER(MAX(0,1-'ОАЭ 2033'!I42/10),0.7))))</x:f>
        <x:v>10</x:v>
      </x:c>
      <x:c r="C42" s="42" t="n">
        <x:f>MIN(1,'ОАЭ 2033'!C42+'ОАЭ 2033'!F42+(0.08*LN(1+0.5*'Ход 2033'!C48)*MAX(0,1-('ОАЭ 2033'!C42+'ОАЭ 2033'!F42))))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2033'!B44+'ОАЭ 2033'!D44+('ОАЭ 2033'!C44+'ОАЭ 2033'!F44+'ОАЭ 2033'!G44)+(0.35*LN(1+0.6*'Ход 2033'!B50)*POWER(MAX(0,1-'ОАЭ 2033'!I44/10),0.7))))</x:f>
        <x:v>9.200000000000003</x:v>
      </x:c>
      <x:c r="C44" s="42" t="n">
        <x:f>MIN(1,'ОАЭ 2033'!C44+'ОАЭ 2033'!F44+(0.08*LN(1+0.5*'Ход 2033'!C50)*MAX(0,1-('ОАЭ 2033'!C44+'ОАЭ 2033'!F44))))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9.200000000000003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2033'!B45+'ОАЭ 2033'!D45+('ОАЭ 2033'!C45+'ОАЭ 2033'!F45+'ОАЭ 2033'!G45)+(0.35*LN(1+0.6*'Ход 2033'!B51)*POWER(MAX(0,1-'ОАЭ 2033'!I45/10),0.7))))</x:f>
        <x:v>10</x:v>
      </x:c>
      <x:c r="C45" s="42" t="n">
        <x:f>MIN(1,'ОАЭ 2033'!C45+'ОАЭ 2033'!F45+(0.08*LN(1+0.5*'Ход 2033'!C51)*MAX(0,1-('ОАЭ 2033'!C45+'ОАЭ 2033'!F45))))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2033'!B46+'ОАЭ 2033'!D46+('ОАЭ 2033'!C46+'ОАЭ 2033'!F46+'ОАЭ 2033'!G46)+(0.35*LN(1+0.6*'Ход 2033'!B52)*POWER(MAX(0,1-'ОАЭ 2033'!I46/10),0.7))))</x:f>
        <x:v>10</x:v>
      </x:c>
      <x:c r="C46" s="42" t="n">
        <x:f>MIN(1,'ОАЭ 2033'!C46+'ОАЭ 2033'!F46+(0.08*LN(1+0.5*'Ход 2033'!C52)*MAX(0,1-('ОАЭ 2033'!C46+'ОАЭ 2033'!F46))))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2033'!B47+'ОАЭ 2033'!D47+('ОАЭ 2033'!C47+'ОАЭ 2033'!F47+'ОАЭ 2033'!G47)+(0.35*LN(1+0.6*'Ход 2033'!B53)*POWER(MAX(0,1-'ОАЭ 2033'!I47/10),0.7))))</x:f>
        <x:v>8.799999999999997</x:v>
      </x:c>
      <x:c r="C47" s="42" t="n">
        <x:f>MIN(1,'ОАЭ 2033'!C47+'ОАЭ 2033'!F47+(0.08*LN(1+0.5*'Ход 2033'!C53)*MAX(0,1-('ОАЭ 2033'!C47+'ОАЭ 2033'!F47))))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8.799999999999997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2033'!B48+'ОАЭ 2033'!D48+('ОАЭ 2033'!C48+'ОАЭ 2033'!F48+'ОАЭ 2033'!G48)+(0.35*LN(1+0.6*'Ход 2033'!B54)*POWER(MAX(0,1-'ОАЭ 2033'!I48/10),0.7))))</x:f>
        <x:v>8.799999999999997</x:v>
      </x:c>
      <x:c r="C48" s="42" t="n">
        <x:f>MIN(1,'ОАЭ 2033'!C48+'ОАЭ 2033'!F48+(0.08*LN(1+0.5*'Ход 2033'!C54)*MAX(0,1-('ОАЭ 2033'!C48+'ОАЭ 2033'!F48))))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8.799999999999997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2033'!B49+'ОАЭ 2033'!D49+('ОАЭ 2033'!C49+'ОАЭ 2033'!F49+'ОАЭ 2033'!G49)+(0.35*LN(1+0.6*'Ход 2033'!B55)*POWER(MAX(0,1-'ОАЭ 2033'!I49/10),0.7))))</x:f>
        <x:v>10</x:v>
      </x:c>
      <x:c r="C49" s="42" t="n">
        <x:f>MIN(1,'ОАЭ 2033'!C49+'ОАЭ 2033'!F49+(0.08*LN(1+0.5*'Ход 2033'!C55)*MAX(0,1-('ОАЭ 2033'!C49+'ОАЭ 2033'!F49))))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2033'!B50+'ОАЭ 2033'!D50+('ОАЭ 2033'!C50+'ОАЭ 2033'!F50+'ОАЭ 2033'!G50)+(0.35*LN(1+0.6*'Ход 2033'!B56)*POWER(MAX(0,1-'ОАЭ 2033'!I50/10),0.7))))</x:f>
        <x:v>9.400000000000006</x:v>
      </x:c>
      <x:c r="C50" s="42" t="n">
        <x:f>MIN(1,'ОАЭ 2033'!C50+'ОАЭ 2033'!F50+(0.08*LN(1+0.5*'Ход 2033'!C56)*MAX(0,1-('ОАЭ 2033'!C50+'ОАЭ 2033'!F50))))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9.400000000000006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2033'!B51+'ОАЭ 2033'!D51+('ОАЭ 2033'!C51+'ОАЭ 2033'!F51+'ОАЭ 2033'!G51)+(0.35*LN(1+0.6*'Ход 2033'!B57)*POWER(MAX(0,1-'ОАЭ 2033'!I51/10),0.7))))</x:f>
        <x:v>10</x:v>
      </x:c>
      <x:c r="C51" s="42" t="n">
        <x:f>MIN(1,'ОАЭ 2033'!C51+'ОАЭ 2033'!F51+(0.08*LN(1+0.5*'Ход 2033'!C57)*MAX(0,1-('ОАЭ 2033'!C51+'ОАЭ 2033'!F51))))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2033'!B53+'ОАЭ 2033'!D53+('ОАЭ 2033'!C53+'ОАЭ 2033'!F53+'ОАЭ 2033'!G53)+(0.35*LN(1+0.6*'Ход 2033'!B59)*POWER(MAX(0,1-'ОАЭ 2033'!I53/10),0.7))))</x:f>
        <x:v>9.599999999999994</x:v>
      </x:c>
      <x:c r="C53" s="42" t="n">
        <x:f>MIN(1,'ОАЭ 2033'!C53+'ОАЭ 2033'!F53+(0.08*LN(1+0.5*'Ход 2033'!C59)*MAX(0,1-('ОАЭ 2033'!C53+'ОАЭ 2033'!F53))))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9.599999999999994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2033'!B54+'ОАЭ 2033'!D54+('ОАЭ 2033'!C54+'ОАЭ 2033'!F54+'ОАЭ 2033'!G54)+(0.35*LN(1+0.6*'Ход 2033'!B60)*POWER(MAX(0,1-'ОАЭ 2033'!I54/10),0.7))))</x:f>
        <x:v>9.599999999999994</x:v>
      </x:c>
      <x:c r="C54" s="42" t="n">
        <x:f>MIN(1,'ОАЭ 2033'!C54+'ОАЭ 2033'!F54+(0.08*LN(1+0.5*'Ход 2033'!C60)*MAX(0,1-('ОАЭ 2033'!C54+'ОАЭ 2033'!F54))))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9.599999999999994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2033'!B55+'ОАЭ 2033'!D55+('ОАЭ 2033'!C55+'ОАЭ 2033'!F55+'ОАЭ 2033'!G55)+(0.35*LN(1+0.6*'Ход 2033'!B61)*POWER(MAX(0,1-'ОАЭ 2033'!I55/10),0.7))))</x:f>
        <x:v>8.200000000000003</x:v>
      </x:c>
      <x:c r="C55" s="42" t="n">
        <x:f>MIN(1,'ОАЭ 2033'!C55+'ОАЭ 2033'!F55+(0.08*LN(1+0.5*'Ход 2033'!C61)*MAX(0,1-('ОАЭ 2033'!C55+'ОАЭ 2033'!F55))))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8.200000000000003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2034'!U6</x:f>
        <x:v>97.13684424876568</x:v>
      </x:c>
      <x:c r="C6" s="42"/>
      <x:c r="D6" s="42"/>
      <x:c r="E6" s="42" t="str">
        <x:v>Доступно</x:v>
      </x:c>
      <x:c r="F6" s="42" t="n">
        <x:f>'ОАЭ 2034'!K6</x:f>
        <x:v>80.42023967534531</x:v>
      </x:c>
      <x:c r="G6" s="42"/>
      <x:c r="H6" s="42"/>
      <x:c r="I6" s="42" t="str">
        <x:v>Доступно</x:v>
      </x:c>
      <x:c r="J6" s="42" t="n">
        <x:f>'ОАЭ 2034'!N6</x:f>
        <x:v>76.34054781297414</x:v>
      </x:c>
      <x:c r="K6" s="42"/>
      <x:c r="L6" s="42"/>
      <x:c r="M6" s="42" t="str">
        <x:v>Доступно</x:v>
      </x:c>
      <x:c r="N6" s="42" t="n">
        <x:f>'ОАЭ 2034'!Q6</x:f>
        <x:v>90.43466026684158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97.13684424876568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80.42023967534531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76.34054781297414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90.43466026684158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2034'!V11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31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2034'!V12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26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2034'!V13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36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2034'!V14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71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2034'!V15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81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2034'!V16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74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2034'!V17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2034'!V18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67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2034'!V19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80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2034'!V20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84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2034'!V21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2034'!V22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48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2034'!V23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80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2034'!V24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73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2034'!V25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52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81.07764863617489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76.53428415808801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90.69457068599165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97.4803180683467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2034'!B8+'ОАЭ 2034'!D8+('ОАЭ 2034'!C8+'ОАЭ 2034'!F8+'ОАЭ 2034'!G8)+(0.35*LN(1+0.6*'Ход 2034'!B14)*POWER(MAX(0,1-'ОАЭ 2034'!I8/10),0.7))))</x:f>
        <x:v>7.949999999999998</x:v>
      </x:c>
      <x:c r="C8" s="42" t="n">
        <x:f>MIN(1,'ОАЭ 2034'!C8+'ОАЭ 2034'!F8+(0.08*LN(1+0.5*'Ход 2034'!C14)*MAX(0,1-('ОАЭ 2034'!C8+'ОАЭ 2034'!F8))))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7.949999999999998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2034'!B9+'ОАЭ 2034'!D9+('ОАЭ 2034'!C9+'ОАЭ 2034'!F9+'ОАЭ 2034'!G9)+(0.35*LN(1+0.6*'Ход 2034'!B15)*POWER(MAX(0,1-'ОАЭ 2034'!I9/10),0.7))))</x:f>
        <x:v>8.399999999999997</x:v>
      </x:c>
      <x:c r="C9" s="42" t="n">
        <x:f>MIN(1,'ОАЭ 2034'!C9+'ОАЭ 2034'!F9+(0.08*LN(1+0.5*'Ход 2034'!C15)*MAX(0,1-('ОАЭ 2034'!C9+'ОАЭ 2034'!F9))))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8.399999999999997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2034'!B10+'ОАЭ 2034'!D10+('ОАЭ 2034'!C10+'ОАЭ 2034'!F10+'ОАЭ 2034'!G10)+(0.35*LN(1+0.6*'Ход 2034'!B16)*POWER(MAX(0,1-'ОАЭ 2034'!I10/10),0.7))))</x:f>
        <x:v>9.950000000000006</x:v>
      </x:c>
      <x:c r="C10" s="42" t="n">
        <x:f>MIN(1,'ОАЭ 2034'!C10+'ОАЭ 2034'!F10+(0.08*LN(1+0.5*'Ход 2034'!C16)*MAX(0,1-('ОАЭ 2034'!C10+'ОАЭ 2034'!F10))))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9.950000000000006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2034'!B11+'ОАЭ 2034'!D11+('ОАЭ 2034'!C11+'ОАЭ 2034'!F11+'ОАЭ 2034'!G11)+(0.35*LN(1+0.6*'Ход 2034'!B17)*POWER(MAX(0,1-'ОАЭ 2034'!I11/10),0.7))))</x:f>
        <x:v>4.449999999999998</x:v>
      </x:c>
      <x:c r="C11" s="42" t="n">
        <x:f>MIN(1,'ОАЭ 2034'!C11+'ОАЭ 2034'!F11+(0.08*LN(1+0.5*'Ход 2034'!C17)*MAX(0,1-('ОАЭ 2034'!C11+'ОАЭ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4.449999999999998</x:v>
      </x:c>
      <x:c r="J11" s="42"/>
      <x:c r="K11" s="42" t="str">
        <x:v>Производство</x:v>
      </x:c>
      <x:c r="L11" s="42" t="n">
        <x:f>MAX(1,MIN(10,'ОАЭ 2034'!L11+'ОАЭ 2034'!N11+('ОАЭ 2034'!M11+'ОАЭ 2034'!P11+'ОАЭ 2034'!Q11)))</x:f>
        <x:v>10</x:v>
      </x:c>
      <x:c r="M11" s="42" t="n">
        <x:f>MIN(1,'ОАЭ 2034'!M11+'ОАЭ 2034'!P11+(0.10*LN(1+0.5*'Ход 2034'!H13)*POWER(MAX(0,1-'ОАЭ 2034'!S11/10),0.8)))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'ОАЭ 2034'!V11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2034'!B12+'ОАЭ 2034'!D12+('ОАЭ 2034'!C12+'ОАЭ 2034'!F12+'ОАЭ 2034'!G12)+(0.35*LN(1+0.6*'Ход 2034'!B18)*POWER(MAX(0,1-'ОАЭ 2034'!I12/10),0.7))))</x:f>
        <x:v>6.449999999999998</x:v>
      </x:c>
      <x:c r="C12" s="42" t="n">
        <x:f>MIN(1,'ОАЭ 2034'!C12+'ОАЭ 2034'!F12+(0.08*LN(1+0.5*'Ход 2034'!C18)*MAX(0,1-('ОАЭ 2034'!C12+'ОАЭ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6.449999999999998</x:v>
      </x:c>
      <x:c r="J12" s="42"/>
      <x:c r="K12" s="42" t="str">
        <x:v>Управление</x:v>
      </x:c>
      <x:c r="L12" s="42" t="n">
        <x:f>MAX(1,MIN(10,'ОАЭ 2034'!L12+'ОАЭ 2034'!N12+('ОАЭ 2034'!M12+'ОАЭ 2034'!P12+'ОАЭ 2034'!Q12)))</x:f>
        <x:v>10</x:v>
      </x:c>
      <x:c r="M12" s="42" t="n">
        <x:f>MIN(1,'ОАЭ 2034'!M12+'ОАЭ 2034'!P12+(0.10*LN(1+0.5*'Ход 2034'!H14)*POWER(MAX(0,1-'ОАЭ 2034'!S12/10),0.8)))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2034'!V12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2034'!B13+'ОАЭ 2034'!D13+('ОАЭ 2034'!C13+'ОАЭ 2034'!F13+'ОАЭ 2034'!G13)+(0.35*LN(1+0.6*'Ход 2034'!B19)*POWER(MAX(0,1-'ОАЭ 2034'!I13/10),0.7))))</x:f>
        <x:v>4.699999999999998</x:v>
      </x:c>
      <x:c r="C13" s="42" t="n">
        <x:f>MIN(1,'ОАЭ 2034'!C13+'ОАЭ 2034'!F13+(0.08*LN(1+0.5*'Ход 2034'!C19)*MAX(0,1-('ОАЭ 2034'!C13+'ОАЭ 2034'!F13))))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4.699999999999998</x:v>
      </x:c>
      <x:c r="J13" s="42"/>
      <x:c r="K13" s="42" t="str">
        <x:v>Познание</x:v>
      </x:c>
      <x:c r="L13" s="42" t="n">
        <x:f>MAX(1,MIN(10,'ОАЭ 2034'!L13+'ОАЭ 2034'!N13+('ОАЭ 2034'!M13+'ОАЭ 2034'!P13+'ОАЭ 2034'!Q13)))</x:f>
        <x:v>10</x:v>
      </x:c>
      <x:c r="M13" s="42" t="n">
        <x:f>MIN(1,'ОАЭ 2034'!M13+'ОАЭ 2034'!P13+(0.10*LN(1+0.5*'Ход 2034'!H15)*POWER(MAX(0,1-'ОАЭ 2034'!S13/10),0.8)))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'ОАЭ 2034'!V13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2034'!B14+'ОАЭ 2034'!D14+('ОАЭ 2034'!C14+'ОАЭ 2034'!F14+'ОАЭ 2034'!G14)+(0.35*LN(1+0.6*'Ход 2034'!B20)*POWER(MAX(0,1-'ОАЭ 2034'!I14/10),0.7))))</x:f>
        <x:v>9.700000000000003</x:v>
      </x:c>
      <x:c r="C14" s="42" t="n">
        <x:f>MIN(1,'ОАЭ 2034'!C14+'ОАЭ 2034'!F14+(0.08*LN(1+0.5*'Ход 2034'!C20)*MAX(0,1-('ОАЭ 2034'!C14+'ОАЭ 2034'!F14))))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9.700000000000003</x:v>
      </x:c>
      <x:c r="J14" s="42"/>
      <x:c r="K14" s="42" t="str">
        <x:v>Обучение</x:v>
      </x:c>
      <x:c r="L14" s="42" t="n">
        <x:f>MAX(1,MIN(10,'ОАЭ 2034'!L14+'ОАЭ 2034'!N14+('ОАЭ 2034'!M14+'ОАЭ 2034'!P14+'ОАЭ 2034'!Q14)))</x:f>
        <x:v>10</x:v>
      </x:c>
      <x:c r="M14" s="42" t="n">
        <x:f>MIN(1,'ОАЭ 2034'!M14+'ОАЭ 2034'!P14+(0.10*LN(1+0.5*'Ход 2034'!H16)*POWER(MAX(0,1-'ОАЭ 2034'!S14/10),0.8)))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2034'!V14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2034'!B15+'ОАЭ 2034'!D15+('ОАЭ 2034'!C15+'ОАЭ 2034'!F15+'ОАЭ 2034'!G15)+(0.35*LN(1+0.6*'Ход 2034'!B21)*POWER(MAX(0,1-'ОАЭ 2034'!I15/10),0.7))))</x:f>
        <x:v>10</x:v>
      </x:c>
      <x:c r="C15" s="42" t="n">
        <x:f>MIN(1,'ОАЭ 2034'!C15+'ОАЭ 2034'!F15+(0.08*LN(1+0.5*'Ход 2034'!C21)*MAX(0,1-('ОАЭ 2034'!C15+'ОАЭ 2034'!F15))))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2034'!L15+'ОАЭ 2034'!N15+('ОАЭ 2034'!M15+'ОАЭ 2034'!P15+'ОАЭ 2034'!Q15)))</x:f>
        <x:v>9.25</x:v>
      </x:c>
      <x:c r="M15" s="42" t="n">
        <x:f>MIN(1,'ОАЭ 2034'!M15+'ОАЭ 2034'!P15+(0.10*LN(1+0.5*'Ход 2034'!H17)*POWER(MAX(0,1-'ОАЭ 2034'!S15/10),0.8)))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9.25</x:v>
      </x:c>
      <x:c r="T15" s="42"/>
      <x:c r="U15" s="42" t="str">
        <x:v>Великобритания</x:v>
      </x:c>
      <x:c r="V15" s="64" t="n">
        <x:f>'ОАЭ 2034'!V15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2034'!B16+'ОАЭ 2034'!D16+('ОАЭ 2034'!C16+'ОАЭ 2034'!F16+'ОАЭ 2034'!G16)+(0.35*LN(1+0.6*'Ход 2034'!B22)*POWER(MAX(0,1-'ОАЭ 2034'!I16/10),0.7))))</x:f>
        <x:v>10</x:v>
      </x:c>
      <x:c r="C16" s="42" t="n">
        <x:f>MIN(1,'ОАЭ 2034'!C16+'ОАЭ 2034'!F16+(0.08*LN(1+0.5*'Ход 2034'!C22)*MAX(0,1-('ОАЭ 2034'!C16+'ОАЭ 2034'!F16))))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2034'!L16+'ОАЭ 2034'!N16+('ОАЭ 2034'!M16+'ОАЭ 2034'!P16+'ОАЭ 2034'!Q16)))</x:f>
        <x:v>10</x:v>
      </x:c>
      <x:c r="M16" s="42" t="n">
        <x:f>MIN(1,'ОАЭ 2034'!M16+'ОАЭ 2034'!P16+(0.10*LN(1+0.5*'Ход 2034'!H18)*POWER(MAX(0,1-'ОАЭ 2034'!S16/10),0.8)))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2034'!V16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2034'!B17+'ОАЭ 2034'!D17+('ОАЭ 2034'!C17+'ОАЭ 2034'!F17+'ОАЭ 2034'!G17)+(0.35*LN(1+0.6*'Ход 2034'!B23)*POWER(MAX(0,1-'ОАЭ 2034'!I17/10),0.7))))</x:f>
        <x:v>9.899999999999997</x:v>
      </x:c>
      <x:c r="C17" s="42" t="n">
        <x:f>MIN(1,'ОАЭ 2034'!C17+'ОАЭ 2034'!F17+(0.08*LN(1+0.5*'Ход 2034'!C23)*MAX(0,1-('ОАЭ 2034'!C17+'ОАЭ 2034'!F17))))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9.899999999999997</x:v>
      </x:c>
      <x:c r="J17" s="42"/>
      <x:c r="K17" s="42" t="str">
        <x:v>Государственное управление</x:v>
      </x:c>
      <x:c r="L17" s="42" t="n">
        <x:f>MAX(1,MIN(10,'ОАЭ 2034'!L17+'ОАЭ 2034'!N17+('ОАЭ 2034'!M17+'ОАЭ 2034'!P17+'ОАЭ 2034'!Q17)))</x:f>
        <x:v>10</x:v>
      </x:c>
      <x:c r="M17" s="42" t="n">
        <x:f>MIN(1,'ОАЭ 2034'!M17+'ОАЭ 2034'!P17+(0.10*LN(1+0.5*'Ход 2034'!H19)*POWER(MAX(0,1-'ОАЭ 2034'!S17/10),0.8)))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2034'!V17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2034'!L18+'ОАЭ 2034'!N18+('ОАЭ 2034'!M18+'ОАЭ 2034'!P18+'ОАЭ 2034'!Q18)))</x:f>
        <x:v>10</x:v>
      </x:c>
      <x:c r="M18" s="42" t="n">
        <x:f>MIN(1,'ОАЭ 2034'!M18+'ОАЭ 2034'!P18+(0.10*LN(1+0.5*'Ход 2034'!H20)*POWER(MAX(0,1-'ОАЭ 2034'!S18/10),0.8)))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2034'!V18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2034'!B19+'ОАЭ 2034'!D19+('ОАЭ 2034'!C19+'ОАЭ 2034'!F19+'ОАЭ 2034'!G19)+(0.35*LN(1+0.6*'Ход 2034'!B25)*POWER(MAX(0,1-'ОАЭ 2034'!I19/10),0.7))))</x:f>
        <x:v>9.75</x:v>
      </x:c>
      <x:c r="C19" s="42" t="n">
        <x:f>MIN(1,'ОАЭ 2034'!C19+'ОАЭ 2034'!F19+(0.08*LN(1+0.5*'Ход 2034'!C25)*MAX(0,1-('ОАЭ 2034'!C19+'ОАЭ 2034'!F19))))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2034'!V19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2034'!B20+'ОАЭ 2034'!D20+('ОАЭ 2034'!C20+'ОАЭ 2034'!F20+'ОАЭ 2034'!G20)+(0.35*LN(1+0.6*'Ход 2034'!B26)*POWER(MAX(0,1-'ОАЭ 2034'!I20/10),0.7))))</x:f>
        <x:v>10</x:v>
      </x:c>
      <x:c r="C20" s="42" t="n">
        <x:f>MIN(1,'ОАЭ 2034'!C20+'ОАЭ 2034'!F20+(0.08*LN(1+0.5*'Ход 2034'!C26)*MAX(0,1-('ОАЭ 2034'!C20+'ОАЭ 2034'!F20))))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2034'!V20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2034'!B21+'ОАЭ 2034'!D21+('ОАЭ 2034'!C21+'ОАЭ 2034'!F21+'ОАЭ 2034'!G21)+(0.35*LN(1+0.6*'Ход 2034'!B27)*POWER(MAX(0,1-'ОАЭ 2034'!I21/10),0.7))))</x:f>
        <x:v>10</x:v>
      </x:c>
      <x:c r="C21" s="42" t="n">
        <x:f>MIN(1,'ОАЭ 2034'!C21+'ОАЭ 2034'!F21+(0.08*LN(1+0.5*'Ход 2034'!C27)*MAX(0,1-('ОАЭ 2034'!C21+'ОАЭ 2034'!F21))))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2034'!V21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2034'!B22+'ОАЭ 2034'!D22+('ОАЭ 2034'!C22+'ОАЭ 2034'!F22+'ОАЭ 2034'!G22)+(0.35*LN(1+0.6*'Ход 2034'!B28)*POWER(MAX(0,1-'ОАЭ 2034'!I22/10),0.7))))</x:f>
        <x:v>8.799999999999997</x:v>
      </x:c>
      <x:c r="C22" s="42" t="n">
        <x:f>MIN(1,'ОАЭ 2034'!C22+'ОАЭ 2034'!F22+(0.08*LN(1+0.5*'Ход 2034'!C28)*MAX(0,1-('ОАЭ 2034'!C22+'ОАЭ 2034'!F22))))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2034'!V22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2034'!B23+'ОАЭ 2034'!D23+('ОАЭ 2034'!C23+'ОАЭ 2034'!F23+'ОАЭ 2034'!G23)+(0.35*LN(1+0.6*'Ход 2034'!B29)*POWER(MAX(0,1-'ОАЭ 2034'!I23/10),0.7))))</x:f>
        <x:v>9.75</x:v>
      </x:c>
      <x:c r="C23" s="42" t="n">
        <x:f>MIN(1,'ОАЭ 2034'!C23+'ОАЭ 2034'!F23+(0.08*LN(1+0.5*'Ход 2034'!C29)*MAX(0,1-('ОАЭ 2034'!C23+'ОАЭ 2034'!F23))))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2034'!V23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2034'!V24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2034'!B25+'ОАЭ 2034'!D25+('ОАЭ 2034'!C25+'ОАЭ 2034'!F25+'ОАЭ 2034'!G25)+(0.35*LN(1+0.6*'Ход 2034'!B31)*POWER(MAX(0,1-'ОАЭ 2034'!I25/10),0.7))))</x:f>
        <x:v>9.299999999999995</x:v>
      </x:c>
      <x:c r="C25" s="42" t="n">
        <x:f>MIN(1,'ОАЭ 2034'!C25+'ОАЭ 2034'!F25+(0.08*LN(1+0.5*'Ход 2034'!C31)*MAX(0,1-('ОАЭ 2034'!C25+'ОАЭ 2034'!F25))))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2034'!V25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2034'!B26+'ОАЭ 2034'!D26+('ОАЭ 2034'!C26+'ОАЭ 2034'!F26+'ОАЭ 2034'!G26)+(0.35*LN(1+0.6*'Ход 2034'!B32)*POWER(MAX(0,1-'ОАЭ 2034'!I26/10),0.7))))</x:f>
        <x:v>9.75</x:v>
      </x:c>
      <x:c r="C26" s="42" t="n">
        <x:f>MIN(1,'ОАЭ 2034'!C26+'ОАЭ 2034'!F26+(0.08*LN(1+0.5*'Ход 2034'!C32)*MAX(0,1-('ОАЭ 2034'!C26+'ОАЭ 2034'!F26))))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2034'!B27+'ОАЭ 2034'!D27+('ОАЭ 2034'!C27+'ОАЭ 2034'!F27+'ОАЭ 2034'!G27)+(0.35*LN(1+0.6*'Ход 2034'!B33)*POWER(MAX(0,1-'ОАЭ 2034'!I27/10),0.7))))</x:f>
        <x:v>10</x:v>
      </x:c>
      <x:c r="C27" s="42" t="n">
        <x:f>MIN(1,'ОАЭ 2034'!C27+'ОАЭ 2034'!F27+(0.08*LN(1+0.5*'Ход 2034'!C33)*MAX(0,1-('ОАЭ 2034'!C27+'ОАЭ 2034'!F27))))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2034'!B28+'ОАЭ 2034'!D28+('ОАЭ 2034'!C28+'ОАЭ 2034'!F28+'ОАЭ 2034'!G28)+(0.35*LN(1+0.6*'Ход 2034'!B34)*POWER(MAX(0,1-'ОАЭ 2034'!I28/10),0.7))))</x:f>
        <x:v>10</x:v>
      </x:c>
      <x:c r="C28" s="42" t="n">
        <x:f>MIN(1,'ОАЭ 2034'!C28+'ОАЭ 2034'!F28+(0.08*LN(1+0.5*'Ход 2034'!C34)*MAX(0,1-('ОАЭ 2034'!C28+'ОАЭ 2034'!F28))))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2034'!B29+'ОАЭ 2034'!D29+('ОАЭ 2034'!C29+'ОАЭ 2034'!F29+'ОАЭ 2034'!G29)+(0.35*LN(1+0.6*'Ход 2034'!B35)*POWER(MAX(0,1-'ОАЭ 2034'!I29/10),0.7))))</x:f>
        <x:v>9.25</x:v>
      </x:c>
      <x:c r="C29" s="42" t="n">
        <x:f>MIN(1,'ОАЭ 2034'!C29+'ОАЭ 2034'!F29+(0.08*LN(1+0.5*'Ход 2034'!C35)*MAX(0,1-('ОАЭ 2034'!C29+'ОАЭ 2034'!F29))))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2034'!B30+'ОАЭ 2034'!D30+('ОАЭ 2034'!C30+'ОАЭ 2034'!F30+'ОАЭ 2034'!G30)+(0.35*LN(1+0.6*'Ход 2034'!B36)*POWER(MAX(0,1-'ОАЭ 2034'!I30/10),0.7))))</x:f>
        <x:v>9.299999999999995</x:v>
      </x:c>
      <x:c r="C30" s="42" t="n">
        <x:f>MIN(1,'ОАЭ 2034'!C30+'ОАЭ 2034'!F30+(0.08*LN(1+0.5*'Ход 2034'!C36)*MAX(0,1-('ОАЭ 2034'!C30+'ОАЭ 2034'!F30))))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2034'!B31+'ОАЭ 2034'!D31+('ОАЭ 2034'!C31+'ОАЭ 2034'!F31+'ОАЭ 2034'!G31)+(0.35*LN(1+0.6*'Ход 2034'!B37)*POWER(MAX(0,1-'ОАЭ 2034'!I31/10),0.7))))</x:f>
        <x:v>9.299999999999995</x:v>
      </x:c>
      <x:c r="C31" s="42" t="n">
        <x:f>MIN(1,'ОАЭ 2034'!C31+'ОАЭ 2034'!F31+(0.08*LN(1+0.5*'Ход 2034'!C37)*MAX(0,1-('ОАЭ 2034'!C31+'ОАЭ 2034'!F31))))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9.299999999999995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2034'!B32+'ОАЭ 2034'!D32+('ОАЭ 2034'!C32+'ОАЭ 2034'!F32+'ОАЭ 2034'!G32)+(0.35*LN(1+0.6*'Ход 2034'!B38)*POWER(MAX(0,1-'ОАЭ 2034'!I32/10),0.7))))</x:f>
        <x:v>10</x:v>
      </x:c>
      <x:c r="C32" s="42" t="n">
        <x:f>MIN(1,'ОАЭ 2034'!C32+'ОАЭ 2034'!F32+(0.08*LN(1+0.5*'Ход 2034'!C38)*MAX(0,1-('ОАЭ 2034'!C32+'ОАЭ 2034'!F32))))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2034'!B34+'ОАЭ 2034'!D34+('ОАЭ 2034'!C34+'ОАЭ 2034'!F34+'ОАЭ 2034'!G34)+(0.35*LN(1+0.6*'Ход 2034'!B40)*POWER(MAX(0,1-'ОАЭ 2034'!I34/10),0.7))))</x:f>
        <x:v>10</x:v>
      </x:c>
      <x:c r="C34" s="42" t="n">
        <x:f>MIN(1,'ОАЭ 2034'!C34+'ОАЭ 2034'!F34+(0.08*LN(1+0.5*'Ход 2034'!C40)*MAX(0,1-('ОАЭ 2034'!C34+'ОАЭ 2034'!F34))))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2034'!B35+'ОАЭ 2034'!D35+('ОАЭ 2034'!C35+'ОАЭ 2034'!F35+'ОАЭ 2034'!G35)+(0.35*LN(1+0.6*'Ход 2034'!B41)*POWER(MAX(0,1-'ОАЭ 2034'!I35/10),0.7))))</x:f>
        <x:v>9.350000000000003</x:v>
      </x:c>
      <x:c r="C35" s="42" t="n">
        <x:f>MIN(1,'ОАЭ 2034'!C35+'ОАЭ 2034'!F35+(0.08*LN(1+0.5*'Ход 2034'!C41)*MAX(0,1-('ОАЭ 2034'!C35+'ОАЭ 2034'!F35))))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9.350000000000003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2034'!B36+'ОАЭ 2034'!D36+('ОАЭ 2034'!C36+'ОАЭ 2034'!F36+'ОАЭ 2034'!G36)+(0.35*LN(1+0.6*'Ход 2034'!B42)*POWER(MAX(0,1-'ОАЭ 2034'!I36/10),0.7))))</x:f>
        <x:v>10</x:v>
      </x:c>
      <x:c r="C36" s="42" t="n">
        <x:f>MIN(1,'ОАЭ 2034'!C36+'ОАЭ 2034'!F36+(0.08*LN(1+0.5*'Ход 2034'!C42)*MAX(0,1-('ОАЭ 2034'!C36+'ОАЭ 2034'!F36))))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2034'!B37+'ОАЭ 2034'!D37+('ОАЭ 2034'!C37+'ОАЭ 2034'!F37+'ОАЭ 2034'!G37)+(0.35*LN(1+0.6*'Ход 2034'!B43)*POWER(MAX(0,1-'ОАЭ 2034'!I37/10),0.7))))</x:f>
        <x:v>10</x:v>
      </x:c>
      <x:c r="C37" s="42" t="n">
        <x:f>MIN(1,'ОАЭ 2034'!C37+'ОАЭ 2034'!F37+(0.08*LN(1+0.5*'Ход 2034'!C43)*MAX(0,1-('ОАЭ 2034'!C37+'ОАЭ 2034'!F37))))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2034'!B38+'ОАЭ 2034'!D38+('ОАЭ 2034'!C38+'ОАЭ 2034'!F38+'ОАЭ 2034'!G38)+(0.35*LN(1+0.6*'Ход 2034'!B44)*POWER(MAX(0,1-'ОАЭ 2034'!I38/10),0.7))))</x:f>
        <x:v>10</x:v>
      </x:c>
      <x:c r="C38" s="42" t="n">
        <x:f>MIN(1,'ОАЭ 2034'!C38+'ОАЭ 2034'!F38+(0.08*LN(1+0.5*'Ход 2034'!C44)*MAX(0,1-('ОАЭ 2034'!C38+'ОАЭ 2034'!F38))))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2034'!B39+'ОАЭ 2034'!D39+('ОАЭ 2034'!C39+'ОАЭ 2034'!F39+'ОАЭ 2034'!G39)+(0.35*LN(1+0.6*'Ход 2034'!B45)*POWER(MAX(0,1-'ОАЭ 2034'!I39/10),0.7))))</x:f>
        <x:v>10</x:v>
      </x:c>
      <x:c r="C39" s="42" t="n">
        <x:f>MIN(1,'ОАЭ 2034'!C39+'ОАЭ 2034'!F39+(0.08*LN(1+0.5*'Ход 2034'!C45)*MAX(0,1-('ОАЭ 2034'!C39+'ОАЭ 2034'!F39))))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2034'!B40+'ОАЭ 2034'!D40+('ОАЭ 2034'!C40+'ОАЭ 2034'!F40+'ОАЭ 2034'!G40)+(0.35*LN(1+0.6*'Ход 2034'!B46)*POWER(MAX(0,1-'ОАЭ 2034'!I40/10),0.7))))</x:f>
        <x:v>10</x:v>
      </x:c>
      <x:c r="C40" s="42" t="n">
        <x:f>MIN(1,'ОАЭ 2034'!C40+'ОАЭ 2034'!F40+(0.08*LN(1+0.5*'Ход 2034'!C46)*MAX(0,1-('ОАЭ 2034'!C40+'ОАЭ 2034'!F40))))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2034'!B41+'ОАЭ 2034'!D41+('ОАЭ 2034'!C41+'ОАЭ 2034'!F41+'ОАЭ 2034'!G41)+(0.35*LN(1+0.6*'Ход 2034'!B47)*POWER(MAX(0,1-'ОАЭ 2034'!I41/10),0.7))))</x:f>
        <x:v>10</x:v>
      </x:c>
      <x:c r="C41" s="42" t="n">
        <x:f>MIN(1,'ОАЭ 2034'!C41+'ОАЭ 2034'!F41+(0.08*LN(1+0.5*'Ход 2034'!C47)*MAX(0,1-('ОАЭ 2034'!C41+'ОАЭ 2034'!F41))))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2034'!B42+'ОАЭ 2034'!D42+('ОАЭ 2034'!C42+'ОАЭ 2034'!F42+'ОАЭ 2034'!G42)+(0.35*LN(1+0.6*'Ход 2034'!B48)*POWER(MAX(0,1-'ОАЭ 2034'!I42/10),0.7))))</x:f>
        <x:v>10</x:v>
      </x:c>
      <x:c r="C42" s="42" t="n">
        <x:f>MIN(1,'ОАЭ 2034'!C42+'ОАЭ 2034'!F42+(0.08*LN(1+0.5*'Ход 2034'!C48)*MAX(0,1-('ОАЭ 2034'!C42+'ОАЭ 2034'!F42))))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2034'!B44+'ОАЭ 2034'!D44+('ОАЭ 2034'!C44+'ОАЭ 2034'!F44+'ОАЭ 2034'!G44)+(0.35*LN(1+0.6*'Ход 2034'!B50)*POWER(MAX(0,1-'ОАЭ 2034'!I44/10),0.7))))</x:f>
        <x:v>9.350000000000003</x:v>
      </x:c>
      <x:c r="C44" s="42" t="n">
        <x:f>MIN(1,'ОАЭ 2034'!C44+'ОАЭ 2034'!F44+(0.08*LN(1+0.5*'Ход 2034'!C50)*MAX(0,1-('ОАЭ 2034'!C44+'ОАЭ 2034'!F44))))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9.350000000000003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2034'!B45+'ОАЭ 2034'!D45+('ОАЭ 2034'!C45+'ОАЭ 2034'!F45+'ОАЭ 2034'!G45)+(0.35*LN(1+0.6*'Ход 2034'!B51)*POWER(MAX(0,1-'ОАЭ 2034'!I45/10),0.7))))</x:f>
        <x:v>10</x:v>
      </x:c>
      <x:c r="C45" s="42" t="n">
        <x:f>MIN(1,'ОАЭ 2034'!C45+'ОАЭ 2034'!F45+(0.08*LN(1+0.5*'Ход 2034'!C51)*MAX(0,1-('ОАЭ 2034'!C45+'ОАЭ 2034'!F45))))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2034'!B46+'ОАЭ 2034'!D46+('ОАЭ 2034'!C46+'ОАЭ 2034'!F46+'ОАЭ 2034'!G46)+(0.35*LN(1+0.6*'Ход 2034'!B52)*POWER(MAX(0,1-'ОАЭ 2034'!I46/10),0.7))))</x:f>
        <x:v>10</x:v>
      </x:c>
      <x:c r="C46" s="42" t="n">
        <x:f>MIN(1,'ОАЭ 2034'!C46+'ОАЭ 2034'!F46+(0.08*LN(1+0.5*'Ход 2034'!C52)*MAX(0,1-('ОАЭ 2034'!C46+'ОАЭ 2034'!F46))))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2034'!B47+'ОАЭ 2034'!D47+('ОАЭ 2034'!C47+'ОАЭ 2034'!F47+'ОАЭ 2034'!G47)+(0.35*LN(1+0.6*'Ход 2034'!B53)*POWER(MAX(0,1-'ОАЭ 2034'!I47/10),0.7))))</x:f>
        <x:v>8.899999999999997</x:v>
      </x:c>
      <x:c r="C47" s="42" t="n">
        <x:f>MIN(1,'ОАЭ 2034'!C47+'ОАЭ 2034'!F47+(0.08*LN(1+0.5*'Ход 2034'!C53)*MAX(0,1-('ОАЭ 2034'!C47+'ОАЭ 2034'!F47))))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8.899999999999997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2034'!B48+'ОАЭ 2034'!D48+('ОАЭ 2034'!C48+'ОАЭ 2034'!F48+'ОАЭ 2034'!G48)+(0.35*LN(1+0.6*'Ход 2034'!B54)*POWER(MAX(0,1-'ОАЭ 2034'!I48/10),0.7))))</x:f>
        <x:v>8.899999999999997</x:v>
      </x:c>
      <x:c r="C48" s="42" t="n">
        <x:f>MIN(1,'ОАЭ 2034'!C48+'ОАЭ 2034'!F48+(0.08*LN(1+0.5*'Ход 2034'!C54)*MAX(0,1-('ОАЭ 2034'!C48+'ОАЭ 2034'!F48))))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8.899999999999997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2034'!B49+'ОАЭ 2034'!D49+('ОАЭ 2034'!C49+'ОАЭ 2034'!F49+'ОАЭ 2034'!G49)+(0.35*LN(1+0.6*'Ход 2034'!B55)*POWER(MAX(0,1-'ОАЭ 2034'!I49/10),0.7))))</x:f>
        <x:v>10</x:v>
      </x:c>
      <x:c r="C49" s="42" t="n">
        <x:f>MIN(1,'ОАЭ 2034'!C49+'ОАЭ 2034'!F49+(0.08*LN(1+0.5*'Ход 2034'!C55)*MAX(0,1-('ОАЭ 2034'!C49+'ОАЭ 2034'!F49))))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2034'!B50+'ОАЭ 2034'!D50+('ОАЭ 2034'!C50+'ОАЭ 2034'!F50+'ОАЭ 2034'!G50)+(0.35*LN(1+0.6*'Ход 2034'!B56)*POWER(MAX(0,1-'ОАЭ 2034'!I50/10),0.7))))</x:f>
        <x:v>9.450000000000006</x:v>
      </x:c>
      <x:c r="C50" s="42" t="n">
        <x:f>MIN(1,'ОАЭ 2034'!C50+'ОАЭ 2034'!F50+(0.08*LN(1+0.5*'Ход 2034'!C56)*MAX(0,1-('ОАЭ 2034'!C50+'ОАЭ 2034'!F50))))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9.450000000000006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2034'!B51+'ОАЭ 2034'!D51+('ОАЭ 2034'!C51+'ОАЭ 2034'!F51+'ОАЭ 2034'!G51)+(0.35*LN(1+0.6*'Ход 2034'!B57)*POWER(MAX(0,1-'ОАЭ 2034'!I51/10),0.7))))</x:f>
        <x:v>10</x:v>
      </x:c>
      <x:c r="C51" s="42" t="n">
        <x:f>MIN(1,'ОАЭ 2034'!C51+'ОАЭ 2034'!F51+(0.08*LN(1+0.5*'Ход 2034'!C57)*MAX(0,1-('ОАЭ 2034'!C51+'ОАЭ 2034'!F51))))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2034'!B53+'ОАЭ 2034'!D53+('ОАЭ 2034'!C53+'ОАЭ 2034'!F53+'ОАЭ 2034'!G53)+(0.35*LN(1+0.6*'Ход 2034'!B59)*POWER(MAX(0,1-'ОАЭ 2034'!I53/10),0.7))))</x:f>
        <x:v>9.799999999999994</x:v>
      </x:c>
      <x:c r="C53" s="42" t="n">
        <x:f>MIN(1,'ОАЭ 2034'!C53+'ОАЭ 2034'!F53+(0.08*LN(1+0.5*'Ход 2034'!C59)*MAX(0,1-('ОАЭ 2034'!C53+'ОАЭ 2034'!F53))))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9.799999999999994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2034'!B54+'ОАЭ 2034'!D54+('ОАЭ 2034'!C54+'ОАЭ 2034'!F54+'ОАЭ 2034'!G54)+(0.35*LN(1+0.6*'Ход 2034'!B60)*POWER(MAX(0,1-'ОАЭ 2034'!I54/10),0.7))))</x:f>
        <x:v>9.799999999999994</x:v>
      </x:c>
      <x:c r="C54" s="42" t="n">
        <x:f>MIN(1,'ОАЭ 2034'!C54+'ОАЭ 2034'!F54+(0.08*LN(1+0.5*'Ход 2034'!C60)*MAX(0,1-('ОАЭ 2034'!C54+'ОАЭ 2034'!F54))))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9.799999999999994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2034'!B55+'ОАЭ 2034'!D55+('ОАЭ 2034'!C55+'ОАЭ 2034'!F55+'ОАЭ 2034'!G55)+(0.35*LN(1+0.6*'Ход 2034'!B61)*POWER(MAX(0,1-'ОАЭ 2034'!I55/10),0.7))))</x:f>
        <x:v>8.350000000000003</x:v>
      </x:c>
      <x:c r="C55" s="42" t="n">
        <x:f>MIN(1,'ОАЭ 2034'!C55+'ОАЭ 2034'!F55+(0.08*LN(1+0.5*'Ход 2034'!C61)*MAX(0,1-('ОАЭ 2034'!C55+'ОАЭ 2034'!F55))))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8.350000000000003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2035'!U6</x:f>
        <x:v>97.4803180683467</x:v>
      </x:c>
      <x:c r="C6" s="42"/>
      <x:c r="D6" s="42"/>
      <x:c r="E6" s="42" t="str">
        <x:v>Доступно</x:v>
      </x:c>
      <x:c r="F6" s="42" t="n">
        <x:f>'ОАЭ 2035'!K6</x:f>
        <x:v>81.07764863617489</x:v>
      </x:c>
      <x:c r="G6" s="42"/>
      <x:c r="H6" s="42"/>
      <x:c r="I6" s="42" t="str">
        <x:v>Доступно</x:v>
      </x:c>
      <x:c r="J6" s="42" t="n">
        <x:f>'ОАЭ 2035'!N6</x:f>
        <x:v>76.53428415808801</x:v>
      </x:c>
      <x:c r="K6" s="42"/>
      <x:c r="L6" s="42"/>
      <x:c r="M6" s="42" t="str">
        <x:v>Доступно</x:v>
      </x:c>
      <x:c r="N6" s="42" t="n">
        <x:f>'ОАЭ 2035'!Q6</x:f>
        <x:v>90.69457068599165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97.4803180683467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81.07764863617489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76.53428415808801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90.69457068599165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2035'!V11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71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2035'!V12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36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2035'!V13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52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2035'!V14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24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2035'!V15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41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2035'!V16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92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2035'!V17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89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2035'!V18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28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2035'!V19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95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2035'!V20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2035'!V21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71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2035'!V22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81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2035'!V23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100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2035'!V24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21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2035'!V25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22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81.66384143413902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76.58902583922931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90.94922220213951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97.71150102130554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2035'!B8+'ОАЭ 2035'!D8+('ОАЭ 2035'!C8+'ОАЭ 2035'!F8+'ОАЭ 2035'!G8)+(0.35*LN(1+0.6*'Ход 2035'!B14)*POWER(MAX(0,1-'ОАЭ 2035'!I8/10),0.7))))</x:f>
        <x:v>7.999999999999998</x:v>
      </x:c>
      <x:c r="C8" s="42" t="n">
        <x:f>MIN(1,'ОАЭ 2035'!C8+'ОАЭ 2035'!F8+(0.08*LN(1+0.5*'Ход 2035'!C14)*MAX(0,1-('ОАЭ 2035'!C8+'ОАЭ 2035'!F8))))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7.999999999999998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2035'!B9+'ОАЭ 2035'!D9+('ОАЭ 2035'!C9+'ОАЭ 2035'!F9+'ОАЭ 2035'!G9)+(0.35*LN(1+0.6*'Ход 2035'!B15)*POWER(MAX(0,1-'ОАЭ 2035'!I9/10),0.7))))</x:f>
        <x:v>8.499999999999996</x:v>
      </x:c>
      <x:c r="C9" s="42" t="n">
        <x:f>MIN(1,'ОАЭ 2035'!C9+'ОАЭ 2035'!F9+(0.08*LN(1+0.5*'Ход 2035'!C15)*MAX(0,1-('ОАЭ 2035'!C9+'ОАЭ 2035'!F9))))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8.499999999999996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2035'!B10+'ОАЭ 2035'!D10+('ОАЭ 2035'!C10+'ОАЭ 2035'!F10+'ОАЭ 2035'!G10)+(0.35*LN(1+0.6*'Ход 2035'!B16)*POWER(MAX(0,1-'ОАЭ 2035'!I10/10),0.7))))</x:f>
        <x:v>10</x:v>
      </x:c>
      <x:c r="C10" s="42" t="n">
        <x:f>MIN(1,'ОАЭ 2035'!C10+'ОАЭ 2035'!F10+(0.08*LN(1+0.5*'Ход 2035'!C16)*MAX(0,1-('ОАЭ 2035'!C10+'ОАЭ 2035'!F10))))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2035'!B11+'ОАЭ 2035'!D11+('ОАЭ 2035'!C11+'ОАЭ 2035'!F11+'ОАЭ 2035'!G11)+(0.35*LN(1+0.6*'Ход 2035'!B17)*POWER(MAX(0,1-'ОАЭ 2035'!I11/10),0.7))))</x:f>
        <x:v>4.499999999999998</x:v>
      </x:c>
      <x:c r="C11" s="42" t="n">
        <x:f>MIN(1,'ОАЭ 2035'!C11+'ОАЭ 2035'!F11+(0.08*LN(1+0.5*'Ход 2035'!C17)*MAX(0,1-('ОАЭ 2035'!C11+'ОАЭ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4.499999999999998</x:v>
      </x:c>
      <x:c r="J11" s="42"/>
      <x:c r="K11" s="42" t="str">
        <x:v>Производство</x:v>
      </x:c>
      <x:c r="L11" s="42" t="n">
        <x:f>MAX(1,MIN(10,'ОАЭ 2035'!L11+'ОАЭ 2035'!N11+('ОАЭ 2035'!M11+'ОАЭ 2035'!P11+'ОАЭ 2035'!Q11)))</x:f>
        <x:v>10</x:v>
      </x:c>
      <x:c r="M11" s="42" t="n">
        <x:f>MIN(1,'ОАЭ 2035'!M11+'ОАЭ 2035'!P11+(0.10*LN(1+0.5*'Ход 2035'!H13)*POWER(MAX(0,1-'ОАЭ 2035'!S11/10),0.8)))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'ОАЭ 2035'!V11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2035'!B12+'ОАЭ 2035'!D12+('ОАЭ 2035'!C12+'ОАЭ 2035'!F12+'ОАЭ 2035'!G12)+(0.35*LN(1+0.6*'Ход 2035'!B18)*POWER(MAX(0,1-'ОАЭ 2035'!I12/10),0.7))))</x:f>
        <x:v>6.499999999999998</x:v>
      </x:c>
      <x:c r="C12" s="42" t="n">
        <x:f>MIN(1,'ОАЭ 2035'!C12+'ОАЭ 2035'!F12+(0.08*LN(1+0.5*'Ход 2035'!C18)*MAX(0,1-('ОАЭ 2035'!C12+'ОАЭ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6.499999999999998</x:v>
      </x:c>
      <x:c r="J12" s="42"/>
      <x:c r="K12" s="42" t="str">
        <x:v>Управление</x:v>
      </x:c>
      <x:c r="L12" s="42" t="n">
        <x:f>MAX(1,MIN(10,'ОАЭ 2035'!L12+'ОАЭ 2035'!N12+('ОАЭ 2035'!M12+'ОАЭ 2035'!P12+'ОАЭ 2035'!Q12)))</x:f>
        <x:v>10</x:v>
      </x:c>
      <x:c r="M12" s="42" t="n">
        <x:f>MIN(1,'ОАЭ 2035'!M12+'ОАЭ 2035'!P12+(0.10*LN(1+0.5*'Ход 2035'!H14)*POWER(MAX(0,1-'ОАЭ 2035'!S12/10),0.8)))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2035'!V12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2035'!B13+'ОАЭ 2035'!D13+('ОАЭ 2035'!C13+'ОАЭ 2035'!F13+'ОАЭ 2035'!G13)+(0.35*LN(1+0.6*'Ход 2035'!B19)*POWER(MAX(0,1-'ОАЭ 2035'!I13/10),0.7))))</x:f>
        <x:v>4.999999999999998</x:v>
      </x:c>
      <x:c r="C13" s="42" t="n">
        <x:f>MIN(1,'ОАЭ 2035'!C13+'ОАЭ 2035'!F13+(0.08*LN(1+0.5*'Ход 2035'!C19)*MAX(0,1-('ОАЭ 2035'!C13+'ОАЭ 2035'!F13))))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4.999999999999998</x:v>
      </x:c>
      <x:c r="J13" s="42"/>
      <x:c r="K13" s="42" t="str">
        <x:v>Познание</x:v>
      </x:c>
      <x:c r="L13" s="42" t="n">
        <x:f>MAX(1,MIN(10,'ОАЭ 2035'!L13+'ОАЭ 2035'!N13+('ОАЭ 2035'!M13+'ОАЭ 2035'!P13+'ОАЭ 2035'!Q13)))</x:f>
        <x:v>10</x:v>
      </x:c>
      <x:c r="M13" s="42" t="n">
        <x:f>MIN(1,'ОАЭ 2035'!M13+'ОАЭ 2035'!P13+(0.10*LN(1+0.5*'Ход 2035'!H15)*POWER(MAX(0,1-'ОАЭ 2035'!S13/10),0.8)))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'ОАЭ 2035'!V13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2035'!B14+'ОАЭ 2035'!D14+('ОАЭ 2035'!C14+'ОАЭ 2035'!F14+'ОАЭ 2035'!G14)+(0.35*LN(1+0.6*'Ход 2035'!B20)*POWER(MAX(0,1-'ОАЭ 2035'!I14/10),0.7))))</x:f>
        <x:v>10</x:v>
      </x:c>
      <x:c r="C14" s="42" t="n">
        <x:f>MIN(1,'ОАЭ 2035'!C14+'ОАЭ 2035'!F14+(0.08*LN(1+0.5*'Ход 2035'!C20)*MAX(0,1-('ОАЭ 2035'!C14+'ОАЭ 2035'!F14))))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MAX(1,MIN(10,'ОАЭ 2035'!L14+'ОАЭ 2035'!N14+('ОАЭ 2035'!M14+'ОАЭ 2035'!P14+'ОАЭ 2035'!Q14)))</x:f>
        <x:v>10</x:v>
      </x:c>
      <x:c r="M14" s="42" t="n">
        <x:f>MIN(1,'ОАЭ 2035'!M14+'ОАЭ 2035'!P14+(0.10*LN(1+0.5*'Ход 2035'!H16)*POWER(MAX(0,1-'ОАЭ 2035'!S14/10),0.8)))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2035'!V14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2035'!B15+'ОАЭ 2035'!D15+('ОАЭ 2035'!C15+'ОАЭ 2035'!F15+'ОАЭ 2035'!G15)+(0.35*LN(1+0.6*'Ход 2035'!B21)*POWER(MAX(0,1-'ОАЭ 2035'!I15/10),0.7))))</x:f>
        <x:v>10</x:v>
      </x:c>
      <x:c r="C15" s="42" t="n">
        <x:f>MIN(1,'ОАЭ 2035'!C15+'ОАЭ 2035'!F15+(0.08*LN(1+0.5*'Ход 2035'!C21)*MAX(0,1-('ОАЭ 2035'!C15+'ОАЭ 2035'!F15))))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2035'!L15+'ОАЭ 2035'!N15+('ОАЭ 2035'!M15+'ОАЭ 2035'!P15+'ОАЭ 2035'!Q15)))</x:f>
        <x:v>9.5</x:v>
      </x:c>
      <x:c r="M15" s="42" t="n">
        <x:f>MIN(1,'ОАЭ 2035'!M15+'ОАЭ 2035'!P15+(0.10*LN(1+0.5*'Ход 2035'!H17)*POWER(MAX(0,1-'ОАЭ 2035'!S15/10),0.8)))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9.5</x:v>
      </x:c>
      <x:c r="T15" s="42"/>
      <x:c r="U15" s="42" t="str">
        <x:v>Великобритания</x:v>
      </x:c>
      <x:c r="V15" s="64" t="n">
        <x:f>'ОАЭ 2035'!V15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2035'!B16+'ОАЭ 2035'!D16+('ОАЭ 2035'!C16+'ОАЭ 2035'!F16+'ОАЭ 2035'!G16)+(0.35*LN(1+0.6*'Ход 2035'!B22)*POWER(MAX(0,1-'ОАЭ 2035'!I16/10),0.7))))</x:f>
        <x:v>10</x:v>
      </x:c>
      <x:c r="C16" s="42" t="n">
        <x:f>MIN(1,'ОАЭ 2035'!C16+'ОАЭ 2035'!F16+(0.08*LN(1+0.5*'Ход 2035'!C22)*MAX(0,1-('ОАЭ 2035'!C16+'ОАЭ 2035'!F16))))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2035'!L16+'ОАЭ 2035'!N16+('ОАЭ 2035'!M16+'ОАЭ 2035'!P16+'ОАЭ 2035'!Q16)))</x:f>
        <x:v>10</x:v>
      </x:c>
      <x:c r="M16" s="42" t="n">
        <x:f>MIN(1,'ОАЭ 2035'!M16+'ОАЭ 2035'!P16+(0.10*LN(1+0.5*'Ход 2035'!H18)*POWER(MAX(0,1-'ОАЭ 2035'!S16/10),0.8)))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2035'!V16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2035'!B17+'ОАЭ 2035'!D17+('ОАЭ 2035'!C17+'ОАЭ 2035'!F17+'ОАЭ 2035'!G17)+(0.35*LN(1+0.6*'Ход 2035'!B23)*POWER(MAX(0,1-'ОАЭ 2035'!I17/10),0.7))))</x:f>
        <x:v>9.999999999999996</x:v>
      </x:c>
      <x:c r="C17" s="42" t="n">
        <x:f>MIN(1,'ОАЭ 2035'!C17+'ОАЭ 2035'!F17+(0.08*LN(1+0.5*'Ход 2035'!C23)*MAX(0,1-('ОАЭ 2035'!C17+'ОАЭ 2035'!F17))))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9.999999999999996</x:v>
      </x:c>
      <x:c r="J17" s="42"/>
      <x:c r="K17" s="42" t="str">
        <x:v>Государственное управление</x:v>
      </x:c>
      <x:c r="L17" s="42" t="n">
        <x:f>MAX(1,MIN(10,'ОАЭ 2035'!L17+'ОАЭ 2035'!N17+('ОАЭ 2035'!M17+'ОАЭ 2035'!P17+'ОАЭ 2035'!Q17)))</x:f>
        <x:v>10</x:v>
      </x:c>
      <x:c r="M17" s="42" t="n">
        <x:f>MIN(1,'ОАЭ 2035'!M17+'ОАЭ 2035'!P17+(0.10*LN(1+0.5*'Ход 2035'!H19)*POWER(MAX(0,1-'ОАЭ 2035'!S17/10),0.8)))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2035'!V17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2035'!L18+'ОАЭ 2035'!N18+('ОАЭ 2035'!M18+'ОАЭ 2035'!P18+'ОАЭ 2035'!Q18)))</x:f>
        <x:v>10</x:v>
      </x:c>
      <x:c r="M18" s="42" t="n">
        <x:f>MIN(1,'ОАЭ 2035'!M18+'ОАЭ 2035'!P18+(0.10*LN(1+0.5*'Ход 2035'!H20)*POWER(MAX(0,1-'ОАЭ 2035'!S18/10),0.8)))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2035'!V18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2035'!B19+'ОАЭ 2035'!D19+('ОАЭ 2035'!C19+'ОАЭ 2035'!F19+'ОАЭ 2035'!G19)+(0.35*LN(1+0.6*'Ход 2035'!B25)*POWER(MAX(0,1-'ОАЭ 2035'!I19/10),0.7))))</x:f>
        <x:v>10</x:v>
      </x:c>
      <x:c r="C19" s="42" t="n">
        <x:f>MIN(1,'ОАЭ 2035'!C19+'ОАЭ 2035'!F19+(0.08*LN(1+0.5*'Ход 2035'!C25)*MAX(0,1-('ОАЭ 2035'!C19+'ОАЭ 2035'!F19))))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2035'!V19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2035'!B20+'ОАЭ 2035'!D20+('ОАЭ 2035'!C20+'ОАЭ 2035'!F20+'ОАЭ 2035'!G20)+(0.35*LN(1+0.6*'Ход 2035'!B26)*POWER(MAX(0,1-'ОАЭ 2035'!I20/10),0.7))))</x:f>
        <x:v>10</x:v>
      </x:c>
      <x:c r="C20" s="42" t="n">
        <x:f>MIN(1,'ОАЭ 2035'!C20+'ОАЭ 2035'!F20+(0.08*LN(1+0.5*'Ход 2035'!C26)*MAX(0,1-('ОАЭ 2035'!C20+'ОАЭ 2035'!F20))))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2035'!V20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2035'!B21+'ОАЭ 2035'!D21+('ОАЭ 2035'!C21+'ОАЭ 2035'!F21+'ОАЭ 2035'!G21)+(0.35*LN(1+0.6*'Ход 2035'!B27)*POWER(MAX(0,1-'ОАЭ 2035'!I21/10),0.7))))</x:f>
        <x:v>10</x:v>
      </x:c>
      <x:c r="C21" s="42" t="n">
        <x:f>MIN(1,'ОАЭ 2035'!C21+'ОАЭ 2035'!F21+(0.08*LN(1+0.5*'Ход 2035'!C27)*MAX(0,1-('ОАЭ 2035'!C21+'ОАЭ 2035'!F21))))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2035'!V21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2035'!B22+'ОАЭ 2035'!D22+('ОАЭ 2035'!C22+'ОАЭ 2035'!F22+'ОАЭ 2035'!G22)+(0.35*LN(1+0.6*'Ход 2035'!B28)*POWER(MAX(0,1-'ОАЭ 2035'!I22/10),0.7))))</x:f>
        <x:v>8.999999999999996</x:v>
      </x:c>
      <x:c r="C22" s="42" t="n">
        <x:f>MIN(1,'ОАЭ 2035'!C22+'ОАЭ 2035'!F22+(0.08*LN(1+0.5*'Ход 2035'!C28)*MAX(0,1-('ОАЭ 2035'!C22+'ОАЭ 2035'!F22))))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8.999999999999996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2035'!V22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2035'!B23+'ОАЭ 2035'!D23+('ОАЭ 2035'!C23+'ОАЭ 2035'!F23+'ОАЭ 2035'!G23)+(0.35*LN(1+0.6*'Ход 2035'!B29)*POWER(MAX(0,1-'ОАЭ 2035'!I23/10),0.7))))</x:f>
        <x:v>10</x:v>
      </x:c>
      <x:c r="C23" s="42" t="n">
        <x:f>MIN(1,'ОАЭ 2035'!C23+'ОАЭ 2035'!F23+(0.08*LN(1+0.5*'Ход 2035'!C29)*MAX(0,1-('ОАЭ 2035'!C23+'ОАЭ 2035'!F23))))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2035'!V23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2035'!V24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2035'!B25+'ОАЭ 2035'!D25+('ОАЭ 2035'!C25+'ОАЭ 2035'!F25+'ОАЭ 2035'!G25)+(0.35*LN(1+0.6*'Ход 2035'!B31)*POWER(MAX(0,1-'ОАЭ 2035'!I25/10),0.7))))</x:f>
        <x:v>9.499999999999995</x:v>
      </x:c>
      <x:c r="C25" s="42" t="n">
        <x:f>MIN(1,'ОАЭ 2035'!C25+'ОАЭ 2035'!F25+(0.08*LN(1+0.5*'Ход 2035'!C31)*MAX(0,1-('ОАЭ 2035'!C25+'ОАЭ 2035'!F25))))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2035'!V25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2035'!B26+'ОАЭ 2035'!D26+('ОАЭ 2035'!C26+'ОАЭ 2035'!F26+'ОАЭ 2035'!G26)+(0.35*LN(1+0.6*'Ход 2035'!B32)*POWER(MAX(0,1-'ОАЭ 2035'!I26/10),0.7))))</x:f>
        <x:v>10</x:v>
      </x:c>
      <x:c r="C26" s="42" t="n">
        <x:f>MIN(1,'ОАЭ 2035'!C26+'ОАЭ 2035'!F26+(0.08*LN(1+0.5*'Ход 2035'!C32)*MAX(0,1-('ОАЭ 2035'!C26+'ОАЭ 2035'!F26))))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2035'!B27+'ОАЭ 2035'!D27+('ОАЭ 2035'!C27+'ОАЭ 2035'!F27+'ОАЭ 2035'!G27)+(0.35*LN(1+0.6*'Ход 2035'!B33)*POWER(MAX(0,1-'ОАЭ 2035'!I27/10),0.7))))</x:f>
        <x:v>10</x:v>
      </x:c>
      <x:c r="C27" s="42" t="n">
        <x:f>MIN(1,'ОАЭ 2035'!C27+'ОАЭ 2035'!F27+(0.08*LN(1+0.5*'Ход 2035'!C33)*MAX(0,1-('ОАЭ 2035'!C27+'ОАЭ 2035'!F27))))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2035'!B28+'ОАЭ 2035'!D28+('ОАЭ 2035'!C28+'ОАЭ 2035'!F28+'ОАЭ 2035'!G28)+(0.35*LN(1+0.6*'Ход 2035'!B34)*POWER(MAX(0,1-'ОАЭ 2035'!I28/10),0.7))))</x:f>
        <x:v>10</x:v>
      </x:c>
      <x:c r="C28" s="42" t="n">
        <x:f>MIN(1,'ОАЭ 2035'!C28+'ОАЭ 2035'!F28+(0.08*LN(1+0.5*'Ход 2035'!C34)*MAX(0,1-('ОАЭ 2035'!C28+'ОАЭ 2035'!F28))))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2035'!B29+'ОАЭ 2035'!D29+('ОАЭ 2035'!C29+'ОАЭ 2035'!F29+'ОАЭ 2035'!G29)+(0.35*LN(1+0.6*'Ход 2035'!B35)*POWER(MAX(0,1-'ОАЭ 2035'!I29/10),0.7))))</x:f>
        <x:v>9.5</x:v>
      </x:c>
      <x:c r="C29" s="42" t="n">
        <x:f>MIN(1,'ОАЭ 2035'!C29+'ОАЭ 2035'!F29+(0.08*LN(1+0.5*'Ход 2035'!C35)*MAX(0,1-('ОАЭ 2035'!C29+'ОАЭ 2035'!F29))))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2035'!B30+'ОАЭ 2035'!D30+('ОАЭ 2035'!C30+'ОАЭ 2035'!F30+'ОАЭ 2035'!G30)+(0.35*LN(1+0.6*'Ход 2035'!B36)*POWER(MAX(0,1-'ОАЭ 2035'!I30/10),0.7))))</x:f>
        <x:v>9.499999999999995</x:v>
      </x:c>
      <x:c r="C30" s="42" t="n">
        <x:f>MIN(1,'ОАЭ 2035'!C30+'ОАЭ 2035'!F30+(0.08*LN(1+0.5*'Ход 2035'!C36)*MAX(0,1-('ОАЭ 2035'!C30+'ОАЭ 2035'!F30))))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9.499999999999995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2035'!B31+'ОАЭ 2035'!D31+('ОАЭ 2035'!C31+'ОАЭ 2035'!F31+'ОАЭ 2035'!G31)+(0.35*LN(1+0.6*'Ход 2035'!B37)*POWER(MAX(0,1-'ОАЭ 2035'!I31/10),0.7))))</x:f>
        <x:v>9.499999999999995</x:v>
      </x:c>
      <x:c r="C31" s="42" t="n">
        <x:f>MIN(1,'ОАЭ 2035'!C31+'ОАЭ 2035'!F31+(0.08*LN(1+0.5*'Ход 2035'!C37)*MAX(0,1-('ОАЭ 2035'!C31+'ОАЭ 2035'!F31))))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9.499999999999995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2035'!B32+'ОАЭ 2035'!D32+('ОАЭ 2035'!C32+'ОАЭ 2035'!F32+'ОАЭ 2035'!G32)+(0.35*LN(1+0.6*'Ход 2035'!B38)*POWER(MAX(0,1-'ОАЭ 2035'!I32/10),0.7))))</x:f>
        <x:v>10</x:v>
      </x:c>
      <x:c r="C32" s="42" t="n">
        <x:f>MIN(1,'ОАЭ 2035'!C32+'ОАЭ 2035'!F32+(0.08*LN(1+0.5*'Ход 2035'!C38)*MAX(0,1-('ОАЭ 2035'!C32+'ОАЭ 2035'!F32))))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2035'!B34+'ОАЭ 2035'!D34+('ОАЭ 2035'!C34+'ОАЭ 2035'!F34+'ОАЭ 2035'!G34)+(0.35*LN(1+0.6*'Ход 2035'!B40)*POWER(MAX(0,1-'ОАЭ 2035'!I34/10),0.7))))</x:f>
        <x:v>10</x:v>
      </x:c>
      <x:c r="C34" s="42" t="n">
        <x:f>MIN(1,'ОАЭ 2035'!C34+'ОАЭ 2035'!F34+(0.08*LN(1+0.5*'Ход 2035'!C40)*MAX(0,1-('ОАЭ 2035'!C34+'ОАЭ 2035'!F34))))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2035'!B35+'ОАЭ 2035'!D35+('ОАЭ 2035'!C35+'ОАЭ 2035'!F35+'ОАЭ 2035'!G35)+(0.35*LN(1+0.6*'Ход 2035'!B41)*POWER(MAX(0,1-'ОАЭ 2035'!I35/10),0.7))))</x:f>
        <x:v>9.500000000000004</x:v>
      </x:c>
      <x:c r="C35" s="42" t="n">
        <x:f>MIN(1,'ОАЭ 2035'!C35+'ОАЭ 2035'!F35+(0.08*LN(1+0.5*'Ход 2035'!C41)*MAX(0,1-('ОАЭ 2035'!C35+'ОАЭ 2035'!F35))))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9.500000000000004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2035'!B36+'ОАЭ 2035'!D36+('ОАЭ 2035'!C36+'ОАЭ 2035'!F36+'ОАЭ 2035'!G36)+(0.35*LN(1+0.6*'Ход 2035'!B42)*POWER(MAX(0,1-'ОАЭ 2035'!I36/10),0.7))))</x:f>
        <x:v>10</x:v>
      </x:c>
      <x:c r="C36" s="42" t="n">
        <x:f>MIN(1,'ОАЭ 2035'!C36+'ОАЭ 2035'!F36+(0.08*LN(1+0.5*'Ход 2035'!C42)*MAX(0,1-('ОАЭ 2035'!C36+'ОАЭ 2035'!F36))))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2035'!B37+'ОАЭ 2035'!D37+('ОАЭ 2035'!C37+'ОАЭ 2035'!F37+'ОАЭ 2035'!G37)+(0.35*LN(1+0.6*'Ход 2035'!B43)*POWER(MAX(0,1-'ОАЭ 2035'!I37/10),0.7))))</x:f>
        <x:v>10</x:v>
      </x:c>
      <x:c r="C37" s="42" t="n">
        <x:f>MIN(1,'ОАЭ 2035'!C37+'ОАЭ 2035'!F37+(0.08*LN(1+0.5*'Ход 2035'!C43)*MAX(0,1-('ОАЭ 2035'!C37+'ОАЭ 2035'!F37))))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2035'!B38+'ОАЭ 2035'!D38+('ОАЭ 2035'!C38+'ОАЭ 2035'!F38+'ОАЭ 2035'!G38)+(0.35*LN(1+0.6*'Ход 2035'!B44)*POWER(MAX(0,1-'ОАЭ 2035'!I38/10),0.7))))</x:f>
        <x:v>10</x:v>
      </x:c>
      <x:c r="C38" s="42" t="n">
        <x:f>MIN(1,'ОАЭ 2035'!C38+'ОАЭ 2035'!F38+(0.08*LN(1+0.5*'Ход 2035'!C44)*MAX(0,1-('ОАЭ 2035'!C38+'ОАЭ 2035'!F38))))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2035'!B39+'ОАЭ 2035'!D39+('ОАЭ 2035'!C39+'ОАЭ 2035'!F39+'ОАЭ 2035'!G39)+(0.35*LN(1+0.6*'Ход 2035'!B45)*POWER(MAX(0,1-'ОАЭ 2035'!I39/10),0.7))))</x:f>
        <x:v>10</x:v>
      </x:c>
      <x:c r="C39" s="42" t="n">
        <x:f>MIN(1,'ОАЭ 2035'!C39+'ОАЭ 2035'!F39+(0.08*LN(1+0.5*'Ход 2035'!C45)*MAX(0,1-('ОАЭ 2035'!C39+'ОАЭ 2035'!F39))))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2035'!B40+'ОАЭ 2035'!D40+('ОАЭ 2035'!C40+'ОАЭ 2035'!F40+'ОАЭ 2035'!G40)+(0.35*LN(1+0.6*'Ход 2035'!B46)*POWER(MAX(0,1-'ОАЭ 2035'!I40/10),0.7))))</x:f>
        <x:v>10</x:v>
      </x:c>
      <x:c r="C40" s="42" t="n">
        <x:f>MIN(1,'ОАЭ 2035'!C40+'ОАЭ 2035'!F40+(0.08*LN(1+0.5*'Ход 2035'!C46)*MAX(0,1-('ОАЭ 2035'!C40+'ОАЭ 2035'!F40))))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2035'!B41+'ОАЭ 2035'!D41+('ОАЭ 2035'!C41+'ОАЭ 2035'!F41+'ОАЭ 2035'!G41)+(0.35*LN(1+0.6*'Ход 2035'!B47)*POWER(MAX(0,1-'ОАЭ 2035'!I41/10),0.7))))</x:f>
        <x:v>10</x:v>
      </x:c>
      <x:c r="C41" s="42" t="n">
        <x:f>MIN(1,'ОАЭ 2035'!C41+'ОАЭ 2035'!F41+(0.08*LN(1+0.5*'Ход 2035'!C47)*MAX(0,1-('ОАЭ 2035'!C41+'ОАЭ 2035'!F41))))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2035'!B42+'ОАЭ 2035'!D42+('ОАЭ 2035'!C42+'ОАЭ 2035'!F42+'ОАЭ 2035'!G42)+(0.35*LN(1+0.6*'Ход 2035'!B48)*POWER(MAX(0,1-'ОАЭ 2035'!I42/10),0.7))))</x:f>
        <x:v>10</x:v>
      </x:c>
      <x:c r="C42" s="42" t="n">
        <x:f>MIN(1,'ОАЭ 2035'!C42+'ОАЭ 2035'!F42+(0.08*LN(1+0.5*'Ход 2035'!C48)*MAX(0,1-('ОАЭ 2035'!C42+'ОАЭ 2035'!F42))))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2035'!B44+'ОАЭ 2035'!D44+('ОАЭ 2035'!C44+'ОАЭ 2035'!F44+'ОАЭ 2035'!G44)+(0.35*LN(1+0.6*'Ход 2035'!B50)*POWER(MAX(0,1-'ОАЭ 2035'!I44/10),0.7))))</x:f>
        <x:v>9.500000000000004</x:v>
      </x:c>
      <x:c r="C44" s="42" t="n">
        <x:f>MIN(1,'ОАЭ 2035'!C44+'ОАЭ 2035'!F44+(0.08*LN(1+0.5*'Ход 2035'!C50)*MAX(0,1-('ОАЭ 2035'!C44+'ОАЭ 2035'!F44))))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9.500000000000004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2035'!B45+'ОАЭ 2035'!D45+('ОАЭ 2035'!C45+'ОАЭ 2035'!F45+'ОАЭ 2035'!G45)+(0.35*LN(1+0.6*'Ход 2035'!B51)*POWER(MAX(0,1-'ОАЭ 2035'!I45/10),0.7))))</x:f>
        <x:v>10</x:v>
      </x:c>
      <x:c r="C45" s="42" t="n">
        <x:f>MIN(1,'ОАЭ 2035'!C45+'ОАЭ 2035'!F45+(0.08*LN(1+0.5*'Ход 2035'!C51)*MAX(0,1-('ОАЭ 2035'!C45+'ОАЭ 2035'!F45))))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2035'!B46+'ОАЭ 2035'!D46+('ОАЭ 2035'!C46+'ОАЭ 2035'!F46+'ОАЭ 2035'!G46)+(0.35*LN(1+0.6*'Ход 2035'!B52)*POWER(MAX(0,1-'ОАЭ 2035'!I46/10),0.7))))</x:f>
        <x:v>10</x:v>
      </x:c>
      <x:c r="C46" s="42" t="n">
        <x:f>MIN(1,'ОАЭ 2035'!C46+'ОАЭ 2035'!F46+(0.08*LN(1+0.5*'Ход 2035'!C52)*MAX(0,1-('ОАЭ 2035'!C46+'ОАЭ 2035'!F46))))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2035'!B47+'ОАЭ 2035'!D47+('ОАЭ 2035'!C47+'ОАЭ 2035'!F47+'ОАЭ 2035'!G47)+(0.35*LN(1+0.6*'Ход 2035'!B53)*POWER(MAX(0,1-'ОАЭ 2035'!I47/10),0.7))))</x:f>
        <x:v>8.999999999999996</x:v>
      </x:c>
      <x:c r="C47" s="42" t="n">
        <x:f>MIN(1,'ОАЭ 2035'!C47+'ОАЭ 2035'!F47+(0.08*LN(1+0.5*'Ход 2035'!C53)*MAX(0,1-('ОАЭ 2035'!C47+'ОАЭ 2035'!F47))))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8.999999999999996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2035'!B48+'ОАЭ 2035'!D48+('ОАЭ 2035'!C48+'ОАЭ 2035'!F48+'ОАЭ 2035'!G48)+(0.35*LN(1+0.6*'Ход 2035'!B54)*POWER(MAX(0,1-'ОАЭ 2035'!I48/10),0.7))))</x:f>
        <x:v>8.999999999999996</x:v>
      </x:c>
      <x:c r="C48" s="42" t="n">
        <x:f>MIN(1,'ОАЭ 2035'!C48+'ОАЭ 2035'!F48+(0.08*LN(1+0.5*'Ход 2035'!C54)*MAX(0,1-('ОАЭ 2035'!C48+'ОАЭ 2035'!F48))))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8.999999999999996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2035'!B49+'ОАЭ 2035'!D49+('ОАЭ 2035'!C49+'ОАЭ 2035'!F49+'ОАЭ 2035'!G49)+(0.35*LN(1+0.6*'Ход 2035'!B55)*POWER(MAX(0,1-'ОАЭ 2035'!I49/10),0.7))))</x:f>
        <x:v>10</x:v>
      </x:c>
      <x:c r="C49" s="42" t="n">
        <x:f>MIN(1,'ОАЭ 2035'!C49+'ОАЭ 2035'!F49+(0.08*LN(1+0.5*'Ход 2035'!C55)*MAX(0,1-('ОАЭ 2035'!C49+'ОАЭ 2035'!F49))))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2035'!B50+'ОАЭ 2035'!D50+('ОАЭ 2035'!C50+'ОАЭ 2035'!F50+'ОАЭ 2035'!G50)+(0.35*LN(1+0.6*'Ход 2035'!B56)*POWER(MAX(0,1-'ОАЭ 2035'!I50/10),0.7))))</x:f>
        <x:v>9.500000000000007</x:v>
      </x:c>
      <x:c r="C50" s="42" t="n">
        <x:f>MIN(1,'ОАЭ 2035'!C50+'ОАЭ 2035'!F50+(0.08*LN(1+0.5*'Ход 2035'!C56)*MAX(0,1-('ОАЭ 2035'!C50+'ОАЭ 2035'!F50))))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9.500000000000007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2035'!B51+'ОАЭ 2035'!D51+('ОАЭ 2035'!C51+'ОАЭ 2035'!F51+'ОАЭ 2035'!G51)+(0.35*LN(1+0.6*'Ход 2035'!B57)*POWER(MAX(0,1-'ОАЭ 2035'!I51/10),0.7))))</x:f>
        <x:v>10</x:v>
      </x:c>
      <x:c r="C51" s="42" t="n">
        <x:f>MIN(1,'ОАЭ 2035'!C51+'ОАЭ 2035'!F51+(0.08*LN(1+0.5*'Ход 2035'!C57)*MAX(0,1-('ОАЭ 2035'!C51+'ОАЭ 2035'!F51))))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2035'!B53+'ОАЭ 2035'!D53+('ОАЭ 2035'!C53+'ОАЭ 2035'!F53+'ОАЭ 2035'!G53)+(0.35*LN(1+0.6*'Ход 2035'!B59)*POWER(MAX(0,1-'ОАЭ 2035'!I53/10),0.7))))</x:f>
        <x:v>9.999999999999993</x:v>
      </x:c>
      <x:c r="C53" s="42" t="n">
        <x:f>MIN(1,'ОАЭ 2035'!C53+'ОАЭ 2035'!F53+(0.08*LN(1+0.5*'Ход 2035'!C59)*MAX(0,1-('ОАЭ 2035'!C53+'ОАЭ 2035'!F53))))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9.999999999999993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2035'!B54+'ОАЭ 2035'!D54+('ОАЭ 2035'!C54+'ОАЭ 2035'!F54+'ОАЭ 2035'!G54)+(0.35*LN(1+0.6*'Ход 2035'!B60)*POWER(MAX(0,1-'ОАЭ 2035'!I54/10),0.7))))</x:f>
        <x:v>9.999999999999993</x:v>
      </x:c>
      <x:c r="C54" s="42" t="n">
        <x:f>MIN(1,'ОАЭ 2035'!C54+'ОАЭ 2035'!F54+(0.08*LN(1+0.5*'Ход 2035'!C60)*MAX(0,1-('ОАЭ 2035'!C54+'ОАЭ 2035'!F54))))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9.999999999999993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2035'!B55+'ОАЭ 2035'!D55+('ОАЭ 2035'!C55+'ОАЭ 2035'!F55+'ОАЭ 2035'!G55)+(0.35*LN(1+0.6*'Ход 2035'!B61)*POWER(MAX(0,1-'ОАЭ 2035'!I55/10),0.7))))</x:f>
        <x:v>8.500000000000004</x:v>
      </x:c>
      <x:c r="C55" s="42" t="n">
        <x:f>MIN(1,'ОАЭ 2035'!C55+'ОАЭ 2035'!F55+(0.08*LN(1+0.5*'Ход 2035'!C61)*MAX(0,1-('ОАЭ 2035'!C55+'ОАЭ 2035'!F55))))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8.500000000000004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2036'!U6</x:f>
        <x:v>97.71150102130554</x:v>
      </x:c>
      <x:c r="C6" s="42"/>
      <x:c r="D6" s="42"/>
      <x:c r="E6" s="42" t="str">
        <x:v>Доступно</x:v>
      </x:c>
      <x:c r="F6" s="42" t="n">
        <x:f>'ОАЭ 2036'!K6</x:f>
        <x:v>81.66384143413902</x:v>
      </x:c>
      <x:c r="G6" s="42"/>
      <x:c r="H6" s="42"/>
      <x:c r="I6" s="42" t="str">
        <x:v>Доступно</x:v>
      </x:c>
      <x:c r="J6" s="42" t="n">
        <x:f>'ОАЭ 2036'!N6</x:f>
        <x:v>76.58902583922931</x:v>
      </x:c>
      <x:c r="K6" s="42"/>
      <x:c r="L6" s="42"/>
      <x:c r="M6" s="42" t="str">
        <x:v>Доступно</x:v>
      </x:c>
      <x:c r="N6" s="42" t="n">
        <x:f>'ОАЭ 2036'!Q6</x:f>
        <x:v>90.94922220213951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97.71150102130554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81.66384143413902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76.58902583922931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90.94922220213951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2036'!V11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78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2036'!V12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58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2036'!V13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90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2036'!V14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10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2036'!V15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38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2036'!V16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95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2036'!V17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2036'!V18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48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2036'!V19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26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2036'!V21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52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2036'!V22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39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2036'!V23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77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2036'!V24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95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2036'!V25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74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82.02695671079174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76.64251337062954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91.19885863938246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97.87210622425334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2036'!B8+'ОАЭ 2036'!D8+('ОАЭ 2036'!C8+'ОАЭ 2036'!F8+'ОАЭ 2036'!G8)+(0.35*LN(1+0.6*'Ход 2036'!B14)*POWER(MAX(0,1-'ОАЭ 2036'!I8/10),0.7))))</x:f>
        <x:v>8.049999999999999</x:v>
      </x:c>
      <x:c r="C8" s="42" t="n">
        <x:f>MIN(1,'ОАЭ 2036'!C8+'ОАЭ 2036'!F8+(0.08*LN(1+0.5*'Ход 2036'!C14)*MAX(0,1-('ОАЭ 2036'!C8+'ОАЭ 2036'!F8))))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8.049999999999999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2036'!B9+'ОАЭ 2036'!D9+('ОАЭ 2036'!C9+'ОАЭ 2036'!F9+'ОАЭ 2036'!G9)+(0.35*LN(1+0.6*'Ход 2036'!B15)*POWER(MAX(0,1-'ОАЭ 2036'!I9/10),0.7))))</x:f>
        <x:v>8.599999999999996</x:v>
      </x:c>
      <x:c r="C9" s="42" t="n">
        <x:f>MIN(1,'ОАЭ 2036'!C9+'ОАЭ 2036'!F9+(0.08*LN(1+0.5*'Ход 2036'!C15)*MAX(0,1-('ОАЭ 2036'!C9+'ОАЭ 2036'!F9))))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8.599999999999996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2036'!B10+'ОАЭ 2036'!D10+('ОАЭ 2036'!C10+'ОАЭ 2036'!F10+'ОАЭ 2036'!G10)+(0.35*LN(1+0.6*'Ход 2036'!B16)*POWER(MAX(0,1-'ОАЭ 2036'!I10/10),0.7))))</x:f>
        <x:v>10</x:v>
      </x:c>
      <x:c r="C10" s="42" t="n">
        <x:f>MIN(1,'ОАЭ 2036'!C10+'ОАЭ 2036'!F10+(0.08*LN(1+0.5*'Ход 2036'!C16)*MAX(0,1-('ОАЭ 2036'!C10+'ОАЭ 2036'!F10))))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2036'!B11+'ОАЭ 2036'!D11+('ОАЭ 2036'!C11+'ОАЭ 2036'!F11+'ОАЭ 2036'!G11)+(0.35*LN(1+0.6*'Ход 2036'!B17)*POWER(MAX(0,1-'ОАЭ 2036'!I11/10),0.7))))</x:f>
        <x:v>4.549999999999998</x:v>
      </x:c>
      <x:c r="C11" s="42" t="n">
        <x:f>MIN(1,'ОАЭ 2036'!C11+'ОАЭ 2036'!F11+(0.08*LN(1+0.5*'Ход 2036'!C17)*MAX(0,1-('ОАЭ 2036'!C11+'ОАЭ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4.549999999999998</x:v>
      </x:c>
      <x:c r="J11" s="42"/>
      <x:c r="K11" s="42" t="str">
        <x:v>Производство</x:v>
      </x:c>
      <x:c r="L11" s="42" t="n">
        <x:f>MAX(1,MIN(10,'ОАЭ 2036'!L11+'ОАЭ 2036'!N11+('ОАЭ 2036'!M11+'ОАЭ 2036'!P11+'ОАЭ 2036'!Q11)))</x:f>
        <x:v>10</x:v>
      </x:c>
      <x:c r="M11" s="42" t="n">
        <x:f>MIN(1,'ОАЭ 2036'!M11+'ОАЭ 2036'!P11+(0.10*LN(1+0.5*'Ход 2036'!H13)*POWER(MAX(0,1-'ОАЭ 2036'!S11/10),0.8)))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'ОАЭ 2036'!V11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2036'!B12+'ОАЭ 2036'!D12+('ОАЭ 2036'!C12+'ОАЭ 2036'!F12+'ОАЭ 2036'!G12)+(0.35*LN(1+0.6*'Ход 2036'!B18)*POWER(MAX(0,1-'ОАЭ 2036'!I12/10),0.7))))</x:f>
        <x:v>6.549999999999998</x:v>
      </x:c>
      <x:c r="C12" s="42" t="n">
        <x:f>MIN(1,'ОАЭ 2036'!C12+'ОАЭ 2036'!F12+(0.08*LN(1+0.5*'Ход 2036'!C18)*MAX(0,1-('ОАЭ 2036'!C12+'ОАЭ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6.549999999999998</x:v>
      </x:c>
      <x:c r="J12" s="42"/>
      <x:c r="K12" s="42" t="str">
        <x:v>Управление</x:v>
      </x:c>
      <x:c r="L12" s="42" t="n">
        <x:f>MAX(1,MIN(10,'ОАЭ 2036'!L12+'ОАЭ 2036'!N12+('ОАЭ 2036'!M12+'ОАЭ 2036'!P12+'ОАЭ 2036'!Q12)))</x:f>
        <x:v>10</x:v>
      </x:c>
      <x:c r="M12" s="42" t="n">
        <x:f>MIN(1,'ОАЭ 2036'!M12+'ОАЭ 2036'!P12+(0.10*LN(1+0.5*'Ход 2036'!H14)*POWER(MAX(0,1-'ОАЭ 2036'!S12/10),0.8)))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2036'!V12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2036'!B13+'ОАЭ 2036'!D13+('ОАЭ 2036'!C13+'ОАЭ 2036'!F13+'ОАЭ 2036'!G13)+(0.35*LN(1+0.6*'Ход 2036'!B19)*POWER(MAX(0,1-'ОАЭ 2036'!I13/10),0.7))))</x:f>
        <x:v>5.299999999999998</x:v>
      </x:c>
      <x:c r="C13" s="42" t="n">
        <x:f>MIN(1,'ОАЭ 2036'!C13+'ОАЭ 2036'!F13+(0.08*LN(1+0.5*'Ход 2036'!C19)*MAX(0,1-('ОАЭ 2036'!C13+'ОАЭ 2036'!F13))))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5.299999999999998</x:v>
      </x:c>
      <x:c r="J13" s="42"/>
      <x:c r="K13" s="42" t="str">
        <x:v>Познание</x:v>
      </x:c>
      <x:c r="L13" s="42" t="n">
        <x:f>MAX(1,MIN(10,'ОАЭ 2036'!L13+'ОАЭ 2036'!N13+('ОАЭ 2036'!M13+'ОАЭ 2036'!P13+'ОАЭ 2036'!Q13)))</x:f>
        <x:v>10</x:v>
      </x:c>
      <x:c r="M13" s="42" t="n">
        <x:f>MIN(1,'ОАЭ 2036'!M13+'ОАЭ 2036'!P13+(0.10*LN(1+0.5*'Ход 2036'!H15)*POWER(MAX(0,1-'ОАЭ 2036'!S13/10),0.8)))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'ОАЭ 2036'!V13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2036'!B14+'ОАЭ 2036'!D14+('ОАЭ 2036'!C14+'ОАЭ 2036'!F14+'ОАЭ 2036'!G14)+(0.35*LN(1+0.6*'Ход 2036'!B20)*POWER(MAX(0,1-'ОАЭ 2036'!I14/10),0.7))))</x:f>
        <x:v>10</x:v>
      </x:c>
      <x:c r="C14" s="42" t="n">
        <x:f>MIN(1,'ОАЭ 2036'!C14+'ОАЭ 2036'!F14+(0.08*LN(1+0.5*'Ход 2036'!C20)*MAX(0,1-('ОАЭ 2036'!C14+'ОАЭ 2036'!F14))))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MAX(1,MIN(10,'ОАЭ 2036'!L14+'ОАЭ 2036'!N14+('ОАЭ 2036'!M14+'ОАЭ 2036'!P14+'ОАЭ 2036'!Q14)))</x:f>
        <x:v>10</x:v>
      </x:c>
      <x:c r="M14" s="42" t="n">
        <x:f>MIN(1,'ОАЭ 2036'!M14+'ОАЭ 2036'!P14+(0.10*LN(1+0.5*'Ход 2036'!H16)*POWER(MAX(0,1-'ОАЭ 2036'!S14/10),0.8)))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2036'!V14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2036'!B15+'ОАЭ 2036'!D15+('ОАЭ 2036'!C15+'ОАЭ 2036'!F15+'ОАЭ 2036'!G15)+(0.35*LN(1+0.6*'Ход 2036'!B21)*POWER(MAX(0,1-'ОАЭ 2036'!I15/10),0.7))))</x:f>
        <x:v>10</x:v>
      </x:c>
      <x:c r="C15" s="42" t="n">
        <x:f>MIN(1,'ОАЭ 2036'!C15+'ОАЭ 2036'!F15+(0.08*LN(1+0.5*'Ход 2036'!C21)*MAX(0,1-('ОАЭ 2036'!C15+'ОАЭ 2036'!F15))))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2036'!L15+'ОАЭ 2036'!N15+('ОАЭ 2036'!M15+'ОАЭ 2036'!P15+'ОАЭ 2036'!Q15)))</x:f>
        <x:v>9.75</x:v>
      </x:c>
      <x:c r="M15" s="42" t="n">
        <x:f>MIN(1,'ОАЭ 2036'!M15+'ОАЭ 2036'!P15+(0.10*LN(1+0.5*'Ход 2036'!H17)*POWER(MAX(0,1-'ОАЭ 2036'!S15/10),0.8)))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9.75</x:v>
      </x:c>
      <x:c r="T15" s="42"/>
      <x:c r="U15" s="42" t="str">
        <x:v>Великобритания</x:v>
      </x:c>
      <x:c r="V15" s="64" t="n">
        <x:f>'ОАЭ 2036'!V15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2036'!B16+'ОАЭ 2036'!D16+('ОАЭ 2036'!C16+'ОАЭ 2036'!F16+'ОАЭ 2036'!G16)+(0.35*LN(1+0.6*'Ход 2036'!B22)*POWER(MAX(0,1-'ОАЭ 2036'!I16/10),0.7))))</x:f>
        <x:v>10</x:v>
      </x:c>
      <x:c r="C16" s="42" t="n">
        <x:f>MIN(1,'ОАЭ 2036'!C16+'ОАЭ 2036'!F16+(0.08*LN(1+0.5*'Ход 2036'!C22)*MAX(0,1-('ОАЭ 2036'!C16+'ОАЭ 2036'!F16))))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2036'!L16+'ОАЭ 2036'!N16+('ОАЭ 2036'!M16+'ОАЭ 2036'!P16+'ОАЭ 2036'!Q16)))</x:f>
        <x:v>10</x:v>
      </x:c>
      <x:c r="M16" s="42" t="n">
        <x:f>MIN(1,'ОАЭ 2036'!M16+'ОАЭ 2036'!P16+(0.10*LN(1+0.5*'Ход 2036'!H18)*POWER(MAX(0,1-'ОАЭ 2036'!S16/10),0.8)))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2036'!V16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2036'!B17+'ОАЭ 2036'!D17+('ОАЭ 2036'!C17+'ОАЭ 2036'!F17+'ОАЭ 2036'!G17)+(0.35*LN(1+0.6*'Ход 2036'!B23)*POWER(MAX(0,1-'ОАЭ 2036'!I17/10),0.7))))</x:f>
        <x:v>10</x:v>
      </x:c>
      <x:c r="C17" s="42" t="n">
        <x:f>MIN(1,'ОАЭ 2036'!C17+'ОАЭ 2036'!F17+(0.08*LN(1+0.5*'Ход 2036'!C23)*MAX(0,1-('ОАЭ 2036'!C17+'ОАЭ 2036'!F17))))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MAX(1,MIN(10,'ОАЭ 2036'!L17+'ОАЭ 2036'!N17+('ОАЭ 2036'!M17+'ОАЭ 2036'!P17+'ОАЭ 2036'!Q17)))</x:f>
        <x:v>10</x:v>
      </x:c>
      <x:c r="M17" s="42" t="n">
        <x:f>MIN(1,'ОАЭ 2036'!M17+'ОАЭ 2036'!P17+(0.10*LN(1+0.5*'Ход 2036'!H19)*POWER(MAX(0,1-'ОАЭ 2036'!S17/10),0.8)))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2036'!V17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2036'!L18+'ОАЭ 2036'!N18+('ОАЭ 2036'!M18+'ОАЭ 2036'!P18+'ОАЭ 2036'!Q18)))</x:f>
        <x:v>10</x:v>
      </x:c>
      <x:c r="M18" s="42" t="n">
        <x:f>MIN(1,'ОАЭ 2036'!M18+'ОАЭ 2036'!P18+(0.10*LN(1+0.5*'Ход 2036'!H20)*POWER(MAX(0,1-'ОАЭ 2036'!S18/10),0.8)))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2036'!V18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2036'!B19+'ОАЭ 2036'!D19+('ОАЭ 2036'!C19+'ОАЭ 2036'!F19+'ОАЭ 2036'!G19)+(0.35*LN(1+0.6*'Ход 2036'!B25)*POWER(MAX(0,1-'ОАЭ 2036'!I19/10),0.7))))</x:f>
        <x:v>10</x:v>
      </x:c>
      <x:c r="C19" s="42" t="n">
        <x:f>MIN(1,'ОАЭ 2036'!C19+'ОАЭ 2036'!F19+(0.08*LN(1+0.5*'Ход 2036'!C25)*MAX(0,1-('ОАЭ 2036'!C19+'ОАЭ 2036'!F19))))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2036'!V19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2036'!B20+'ОАЭ 2036'!D20+('ОАЭ 2036'!C20+'ОАЭ 2036'!F20+'ОАЭ 2036'!G20)+(0.35*LN(1+0.6*'Ход 2036'!B26)*POWER(MAX(0,1-'ОАЭ 2036'!I20/10),0.7))))</x:f>
        <x:v>10</x:v>
      </x:c>
      <x:c r="C20" s="42" t="n">
        <x:f>MIN(1,'ОАЭ 2036'!C20+'ОАЭ 2036'!F20+(0.08*LN(1+0.5*'Ход 2036'!C26)*MAX(0,1-('ОАЭ 2036'!C20+'ОАЭ 2036'!F20))))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2036'!B21+'ОАЭ 2036'!D21+('ОАЭ 2036'!C21+'ОАЭ 2036'!F21+'ОАЭ 2036'!G21)+(0.35*LN(1+0.6*'Ход 2036'!B27)*POWER(MAX(0,1-'ОАЭ 2036'!I21/10),0.7))))</x:f>
        <x:v>10</x:v>
      </x:c>
      <x:c r="C21" s="42" t="n">
        <x:f>MIN(1,'ОАЭ 2036'!C21+'ОАЭ 2036'!F21+(0.08*LN(1+0.5*'Ход 2036'!C27)*MAX(0,1-('ОАЭ 2036'!C21+'ОАЭ 2036'!F21))))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2036'!V21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2036'!B22+'ОАЭ 2036'!D22+('ОАЭ 2036'!C22+'ОАЭ 2036'!F22+'ОАЭ 2036'!G22)+(0.35*LN(1+0.6*'Ход 2036'!B28)*POWER(MAX(0,1-'ОАЭ 2036'!I22/10),0.7))))</x:f>
        <x:v>9.199999999999996</x:v>
      </x:c>
      <x:c r="C22" s="42" t="n">
        <x:f>MIN(1,'ОАЭ 2036'!C22+'ОАЭ 2036'!F22+(0.08*LN(1+0.5*'Ход 2036'!C28)*MAX(0,1-('ОАЭ 2036'!C22+'ОАЭ 2036'!F22))))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9.199999999999996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2036'!V22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2036'!B23+'ОАЭ 2036'!D23+('ОАЭ 2036'!C23+'ОАЭ 2036'!F23+'ОАЭ 2036'!G23)+(0.35*LN(1+0.6*'Ход 2036'!B29)*POWER(MAX(0,1-'ОАЭ 2036'!I23/10),0.7))))</x:f>
        <x:v>10</x:v>
      </x:c>
      <x:c r="C23" s="42" t="n">
        <x:f>MIN(1,'ОАЭ 2036'!C23+'ОАЭ 2036'!F23+(0.08*LN(1+0.5*'Ход 2036'!C29)*MAX(0,1-('ОАЭ 2036'!C23+'ОАЭ 2036'!F23))))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2036'!V23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2036'!V24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2036'!B25+'ОАЭ 2036'!D25+('ОАЭ 2036'!C25+'ОАЭ 2036'!F25+'ОАЭ 2036'!G25)+(0.35*LN(1+0.6*'Ход 2036'!B31)*POWER(MAX(0,1-'ОАЭ 2036'!I25/10),0.7))))</x:f>
        <x:v>9.699999999999994</x:v>
      </x:c>
      <x:c r="C25" s="42" t="n">
        <x:f>MIN(1,'ОАЭ 2036'!C25+'ОАЭ 2036'!F25+(0.08*LN(1+0.5*'Ход 2036'!C31)*MAX(0,1-('ОАЭ 2036'!C25+'ОАЭ 2036'!F25))))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9.699999999999994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2036'!V25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2036'!B26+'ОАЭ 2036'!D26+('ОАЭ 2036'!C26+'ОАЭ 2036'!F26+'ОАЭ 2036'!G26)+(0.35*LN(1+0.6*'Ход 2036'!B32)*POWER(MAX(0,1-'ОАЭ 2036'!I26/10),0.7))))</x:f>
        <x:v>10</x:v>
      </x:c>
      <x:c r="C26" s="42" t="n">
        <x:f>MIN(1,'ОАЭ 2036'!C26+'ОАЭ 2036'!F26+(0.08*LN(1+0.5*'Ход 2036'!C32)*MAX(0,1-('ОАЭ 2036'!C26+'ОАЭ 2036'!F26))))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2036'!B27+'ОАЭ 2036'!D27+('ОАЭ 2036'!C27+'ОАЭ 2036'!F27+'ОАЭ 2036'!G27)+(0.35*LN(1+0.6*'Ход 2036'!B33)*POWER(MAX(0,1-'ОАЭ 2036'!I27/10),0.7))))</x:f>
        <x:v>10</x:v>
      </x:c>
      <x:c r="C27" s="42" t="n">
        <x:f>MIN(1,'ОАЭ 2036'!C27+'ОАЭ 2036'!F27+(0.08*LN(1+0.5*'Ход 2036'!C33)*MAX(0,1-('ОАЭ 2036'!C27+'ОАЭ 2036'!F27))))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2036'!B28+'ОАЭ 2036'!D28+('ОАЭ 2036'!C28+'ОАЭ 2036'!F28+'ОАЭ 2036'!G28)+(0.35*LN(1+0.6*'Ход 2036'!B34)*POWER(MAX(0,1-'ОАЭ 2036'!I28/10),0.7))))</x:f>
        <x:v>10</x:v>
      </x:c>
      <x:c r="C28" s="42" t="n">
        <x:f>MIN(1,'ОАЭ 2036'!C28+'ОАЭ 2036'!F28+(0.08*LN(1+0.5*'Ход 2036'!C34)*MAX(0,1-('ОАЭ 2036'!C28+'ОАЭ 2036'!F28))))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2036'!B29+'ОАЭ 2036'!D29+('ОАЭ 2036'!C29+'ОАЭ 2036'!F29+'ОАЭ 2036'!G29)+(0.35*LN(1+0.6*'Ход 2036'!B35)*POWER(MAX(0,1-'ОАЭ 2036'!I29/10),0.7))))</x:f>
        <x:v>9.75</x:v>
      </x:c>
      <x:c r="C29" s="42" t="n">
        <x:f>MIN(1,'ОАЭ 2036'!C29+'ОАЭ 2036'!F29+(0.08*LN(1+0.5*'Ход 2036'!C35)*MAX(0,1-('ОАЭ 2036'!C29+'ОАЭ 2036'!F29))))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2036'!B30+'ОАЭ 2036'!D30+('ОАЭ 2036'!C30+'ОАЭ 2036'!F30+'ОАЭ 2036'!G30)+(0.35*LN(1+0.6*'Ход 2036'!B36)*POWER(MAX(0,1-'ОАЭ 2036'!I30/10),0.7))))</x:f>
        <x:v>9.699999999999994</x:v>
      </x:c>
      <x:c r="C30" s="42" t="n">
        <x:f>MIN(1,'ОАЭ 2036'!C30+'ОАЭ 2036'!F30+(0.08*LN(1+0.5*'Ход 2036'!C36)*MAX(0,1-('ОАЭ 2036'!C30+'ОАЭ 2036'!F30))))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9.699999999999994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2036'!B31+'ОАЭ 2036'!D31+('ОАЭ 2036'!C31+'ОАЭ 2036'!F31+'ОАЭ 2036'!G31)+(0.35*LN(1+0.6*'Ход 2036'!B37)*POWER(MAX(0,1-'ОАЭ 2036'!I31/10),0.7))))</x:f>
        <x:v>9.699999999999994</x:v>
      </x:c>
      <x:c r="C31" s="42" t="n">
        <x:f>MIN(1,'ОАЭ 2036'!C31+'ОАЭ 2036'!F31+(0.08*LN(1+0.5*'Ход 2036'!C37)*MAX(0,1-('ОАЭ 2036'!C31+'ОАЭ 2036'!F31))))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9.699999999999994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2036'!B32+'ОАЭ 2036'!D32+('ОАЭ 2036'!C32+'ОАЭ 2036'!F32+'ОАЭ 2036'!G32)+(0.35*LN(1+0.6*'Ход 2036'!B38)*POWER(MAX(0,1-'ОАЭ 2036'!I32/10),0.7))))</x:f>
        <x:v>10</x:v>
      </x:c>
      <x:c r="C32" s="42" t="n">
        <x:f>MIN(1,'ОАЭ 2036'!C32+'ОАЭ 2036'!F32+(0.08*LN(1+0.5*'Ход 2036'!C38)*MAX(0,1-('ОАЭ 2036'!C32+'ОАЭ 2036'!F32))))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2036'!B34+'ОАЭ 2036'!D34+('ОАЭ 2036'!C34+'ОАЭ 2036'!F34+'ОАЭ 2036'!G34)+(0.35*LN(1+0.6*'Ход 2036'!B40)*POWER(MAX(0,1-'ОАЭ 2036'!I34/10),0.7))))</x:f>
        <x:v>10</x:v>
      </x:c>
      <x:c r="C34" s="42" t="n">
        <x:f>MIN(1,'ОАЭ 2036'!C34+'ОАЭ 2036'!F34+(0.08*LN(1+0.5*'Ход 2036'!C40)*MAX(0,1-('ОАЭ 2036'!C34+'ОАЭ 2036'!F34))))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2036'!B35+'ОАЭ 2036'!D35+('ОАЭ 2036'!C35+'ОАЭ 2036'!F35+'ОАЭ 2036'!G35)+(0.35*LN(1+0.6*'Ход 2036'!B41)*POWER(MAX(0,1-'ОАЭ 2036'!I35/10),0.7))))</x:f>
        <x:v>9.650000000000004</x:v>
      </x:c>
      <x:c r="C35" s="42" t="n">
        <x:f>MIN(1,'ОАЭ 2036'!C35+'ОАЭ 2036'!F35+(0.08*LN(1+0.5*'Ход 2036'!C41)*MAX(0,1-('ОАЭ 2036'!C35+'ОАЭ 2036'!F35))))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9.650000000000004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2036'!B36+'ОАЭ 2036'!D36+('ОАЭ 2036'!C36+'ОАЭ 2036'!F36+'ОАЭ 2036'!G36)+(0.35*LN(1+0.6*'Ход 2036'!B42)*POWER(MAX(0,1-'ОАЭ 2036'!I36/10),0.7))))</x:f>
        <x:v>10</x:v>
      </x:c>
      <x:c r="C36" s="42" t="n">
        <x:f>MIN(1,'ОАЭ 2036'!C36+'ОАЭ 2036'!F36+(0.08*LN(1+0.5*'Ход 2036'!C42)*MAX(0,1-('ОАЭ 2036'!C36+'ОАЭ 2036'!F36))))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2036'!B37+'ОАЭ 2036'!D37+('ОАЭ 2036'!C37+'ОАЭ 2036'!F37+'ОАЭ 2036'!G37)+(0.35*LN(1+0.6*'Ход 2036'!B43)*POWER(MAX(0,1-'ОАЭ 2036'!I37/10),0.7))))</x:f>
        <x:v>10</x:v>
      </x:c>
      <x:c r="C37" s="42" t="n">
        <x:f>MIN(1,'ОАЭ 2036'!C37+'ОАЭ 2036'!F37+(0.08*LN(1+0.5*'Ход 2036'!C43)*MAX(0,1-('ОАЭ 2036'!C37+'ОАЭ 2036'!F37))))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2036'!B38+'ОАЭ 2036'!D38+('ОАЭ 2036'!C38+'ОАЭ 2036'!F38+'ОАЭ 2036'!G38)+(0.35*LN(1+0.6*'Ход 2036'!B44)*POWER(MAX(0,1-'ОАЭ 2036'!I38/10),0.7))))</x:f>
        <x:v>10</x:v>
      </x:c>
      <x:c r="C38" s="42" t="n">
        <x:f>MIN(1,'ОАЭ 2036'!C38+'ОАЭ 2036'!F38+(0.08*LN(1+0.5*'Ход 2036'!C44)*MAX(0,1-('ОАЭ 2036'!C38+'ОАЭ 2036'!F38))))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2036'!B39+'ОАЭ 2036'!D39+('ОАЭ 2036'!C39+'ОАЭ 2036'!F39+'ОАЭ 2036'!G39)+(0.35*LN(1+0.6*'Ход 2036'!B45)*POWER(MAX(0,1-'ОАЭ 2036'!I39/10),0.7))))</x:f>
        <x:v>10</x:v>
      </x:c>
      <x:c r="C39" s="42" t="n">
        <x:f>MIN(1,'ОАЭ 2036'!C39+'ОАЭ 2036'!F39+(0.08*LN(1+0.5*'Ход 2036'!C45)*MAX(0,1-('ОАЭ 2036'!C39+'ОАЭ 2036'!F39))))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2036'!B40+'ОАЭ 2036'!D40+('ОАЭ 2036'!C40+'ОАЭ 2036'!F40+'ОАЭ 2036'!G40)+(0.35*LN(1+0.6*'Ход 2036'!B46)*POWER(MAX(0,1-'ОАЭ 2036'!I40/10),0.7))))</x:f>
        <x:v>10</x:v>
      </x:c>
      <x:c r="C40" s="42" t="n">
        <x:f>MIN(1,'ОАЭ 2036'!C40+'ОАЭ 2036'!F40+(0.08*LN(1+0.5*'Ход 2036'!C46)*MAX(0,1-('ОАЭ 2036'!C40+'ОАЭ 2036'!F40))))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2036'!B41+'ОАЭ 2036'!D41+('ОАЭ 2036'!C41+'ОАЭ 2036'!F41+'ОАЭ 2036'!G41)+(0.35*LN(1+0.6*'Ход 2036'!B47)*POWER(MAX(0,1-'ОАЭ 2036'!I41/10),0.7))))</x:f>
        <x:v>10</x:v>
      </x:c>
      <x:c r="C41" s="42" t="n">
        <x:f>MIN(1,'ОАЭ 2036'!C41+'ОАЭ 2036'!F41+(0.08*LN(1+0.5*'Ход 2036'!C47)*MAX(0,1-('ОАЭ 2036'!C41+'ОАЭ 2036'!F41))))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2036'!B42+'ОАЭ 2036'!D42+('ОАЭ 2036'!C42+'ОАЭ 2036'!F42+'ОАЭ 2036'!G42)+(0.35*LN(1+0.6*'Ход 2036'!B48)*POWER(MAX(0,1-'ОАЭ 2036'!I42/10),0.7))))</x:f>
        <x:v>10</x:v>
      </x:c>
      <x:c r="C42" s="42" t="n">
        <x:f>MIN(1,'ОАЭ 2036'!C42+'ОАЭ 2036'!F42+(0.08*LN(1+0.5*'Ход 2036'!C48)*MAX(0,1-('ОАЭ 2036'!C42+'ОАЭ 2036'!F42))))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2036'!B44+'ОАЭ 2036'!D44+('ОАЭ 2036'!C44+'ОАЭ 2036'!F44+'ОАЭ 2036'!G44)+(0.35*LN(1+0.6*'Ход 2036'!B50)*POWER(MAX(0,1-'ОАЭ 2036'!I44/10),0.7))))</x:f>
        <x:v>9.650000000000004</x:v>
      </x:c>
      <x:c r="C44" s="42" t="n">
        <x:f>MIN(1,'ОАЭ 2036'!C44+'ОАЭ 2036'!F44+(0.08*LN(1+0.5*'Ход 2036'!C50)*MAX(0,1-('ОАЭ 2036'!C44+'ОАЭ 2036'!F44))))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9.650000000000004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2036'!B45+'ОАЭ 2036'!D45+('ОАЭ 2036'!C45+'ОАЭ 2036'!F45+'ОАЭ 2036'!G45)+(0.35*LN(1+0.6*'Ход 2036'!B51)*POWER(MAX(0,1-'ОАЭ 2036'!I45/10),0.7))))</x:f>
        <x:v>10</x:v>
      </x:c>
      <x:c r="C45" s="42" t="n">
        <x:f>MIN(1,'ОАЭ 2036'!C45+'ОАЭ 2036'!F45+(0.08*LN(1+0.5*'Ход 2036'!C51)*MAX(0,1-('ОАЭ 2036'!C45+'ОАЭ 2036'!F45))))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2036'!B46+'ОАЭ 2036'!D46+('ОАЭ 2036'!C46+'ОАЭ 2036'!F46+'ОАЭ 2036'!G46)+(0.35*LN(1+0.6*'Ход 2036'!B52)*POWER(MAX(0,1-'ОАЭ 2036'!I46/10),0.7))))</x:f>
        <x:v>10</x:v>
      </x:c>
      <x:c r="C46" s="42" t="n">
        <x:f>MIN(1,'ОАЭ 2036'!C46+'ОАЭ 2036'!F46+(0.08*LN(1+0.5*'Ход 2036'!C52)*MAX(0,1-('ОАЭ 2036'!C46+'ОАЭ 2036'!F46))))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2036'!B47+'ОАЭ 2036'!D47+('ОАЭ 2036'!C47+'ОАЭ 2036'!F47+'ОАЭ 2036'!G47)+(0.35*LN(1+0.6*'Ход 2036'!B53)*POWER(MAX(0,1-'ОАЭ 2036'!I47/10),0.7))))</x:f>
        <x:v>9.099999999999996</x:v>
      </x:c>
      <x:c r="C47" s="42" t="n">
        <x:f>MIN(1,'ОАЭ 2036'!C47+'ОАЭ 2036'!F47+(0.08*LN(1+0.5*'Ход 2036'!C53)*MAX(0,1-('ОАЭ 2036'!C47+'ОАЭ 2036'!F47))))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9.099999999999996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2036'!B48+'ОАЭ 2036'!D48+('ОАЭ 2036'!C48+'ОАЭ 2036'!F48+'ОАЭ 2036'!G48)+(0.35*LN(1+0.6*'Ход 2036'!B54)*POWER(MAX(0,1-'ОАЭ 2036'!I48/10),0.7))))</x:f>
        <x:v>9.099999999999996</x:v>
      </x:c>
      <x:c r="C48" s="42" t="n">
        <x:f>MIN(1,'ОАЭ 2036'!C48+'ОАЭ 2036'!F48+(0.08*LN(1+0.5*'Ход 2036'!C54)*MAX(0,1-('ОАЭ 2036'!C48+'ОАЭ 2036'!F48))))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9.099999999999996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2036'!B49+'ОАЭ 2036'!D49+('ОАЭ 2036'!C49+'ОАЭ 2036'!F49+'ОАЭ 2036'!G49)+(0.35*LN(1+0.6*'Ход 2036'!B55)*POWER(MAX(0,1-'ОАЭ 2036'!I49/10),0.7))))</x:f>
        <x:v>10</x:v>
      </x:c>
      <x:c r="C49" s="42" t="n">
        <x:f>MIN(1,'ОАЭ 2036'!C49+'ОАЭ 2036'!F49+(0.08*LN(1+0.5*'Ход 2036'!C55)*MAX(0,1-('ОАЭ 2036'!C49+'ОАЭ 2036'!F49))))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2036'!B50+'ОАЭ 2036'!D50+('ОАЭ 2036'!C50+'ОАЭ 2036'!F50+'ОАЭ 2036'!G50)+(0.35*LN(1+0.6*'Ход 2036'!B56)*POWER(MAX(0,1-'ОАЭ 2036'!I50/10),0.7))))</x:f>
        <x:v>9.550000000000008</x:v>
      </x:c>
      <x:c r="C50" s="42" t="n">
        <x:f>MIN(1,'ОАЭ 2036'!C50+'ОАЭ 2036'!F50+(0.08*LN(1+0.5*'Ход 2036'!C56)*MAX(0,1-('ОАЭ 2036'!C50+'ОАЭ 2036'!F50))))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9.550000000000008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2036'!B51+'ОАЭ 2036'!D51+('ОАЭ 2036'!C51+'ОАЭ 2036'!F51+'ОАЭ 2036'!G51)+(0.35*LN(1+0.6*'Ход 2036'!B57)*POWER(MAX(0,1-'ОАЭ 2036'!I51/10),0.7))))</x:f>
        <x:v>10</x:v>
      </x:c>
      <x:c r="C51" s="42" t="n">
        <x:f>MIN(1,'ОАЭ 2036'!C51+'ОАЭ 2036'!F51+(0.08*LN(1+0.5*'Ход 2036'!C57)*MAX(0,1-('ОАЭ 2036'!C51+'ОАЭ 2036'!F51))))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2036'!B53+'ОАЭ 2036'!D53+('ОАЭ 2036'!C53+'ОАЭ 2036'!F53+'ОАЭ 2036'!G53)+(0.35*LN(1+0.6*'Ход 2036'!B59)*POWER(MAX(0,1-'ОАЭ 2036'!I53/10),0.7))))</x:f>
        <x:v>10</x:v>
      </x:c>
      <x:c r="C53" s="42" t="n">
        <x:f>MIN(1,'ОАЭ 2036'!C53+'ОАЭ 2036'!F53+(0.08*LN(1+0.5*'Ход 2036'!C59)*MAX(0,1-('ОАЭ 2036'!C53+'ОАЭ 2036'!F53))))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2036'!B54+'ОАЭ 2036'!D54+('ОАЭ 2036'!C54+'ОАЭ 2036'!F54+'ОАЭ 2036'!G54)+(0.35*LN(1+0.6*'Ход 2036'!B60)*POWER(MAX(0,1-'ОАЭ 2036'!I54/10),0.7))))</x:f>
        <x:v>10</x:v>
      </x:c>
      <x:c r="C54" s="42" t="n">
        <x:f>MIN(1,'ОАЭ 2036'!C54+'ОАЭ 2036'!F54+(0.08*LN(1+0.5*'Ход 2036'!C60)*MAX(0,1-('ОАЭ 2036'!C54+'ОАЭ 2036'!F54))))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2036'!B55+'ОАЭ 2036'!D55+('ОАЭ 2036'!C55+'ОАЭ 2036'!F55+'ОАЭ 2036'!G55)+(0.35*LN(1+0.6*'Ход 2036'!B61)*POWER(MAX(0,1-'ОАЭ 2036'!I55/10),0.7))))</x:f>
        <x:v>8.650000000000004</x:v>
      </x:c>
      <x:c r="C55" s="42" t="n">
        <x:f>MIN(1,'ОАЭ 2036'!C55+'ОАЭ 2036'!F55+(0.08*LN(1+0.5*'Ход 2036'!C61)*MAX(0,1-('ОАЭ 2036'!C55+'ОАЭ 2036'!F55))))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8.650000000000004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2037'!U6</x:f>
        <x:v>97.87210622425334</x:v>
      </x:c>
      <x:c r="C6" s="42"/>
      <x:c r="D6" s="42"/>
      <x:c r="E6" s="42" t="str">
        <x:v>Доступно</x:v>
      </x:c>
      <x:c r="F6" s="42" t="n">
        <x:f>'ОАЭ 2037'!K6</x:f>
        <x:v>82.02695671079174</x:v>
      </x:c>
      <x:c r="G6" s="42"/>
      <x:c r="H6" s="42"/>
      <x:c r="I6" s="42" t="str">
        <x:v>Доступно</x:v>
      </x:c>
      <x:c r="J6" s="42" t="n">
        <x:f>'ОАЭ 2037'!N6</x:f>
        <x:v>76.64251337062954</x:v>
      </x:c>
      <x:c r="K6" s="42"/>
      <x:c r="L6" s="42"/>
      <x:c r="M6" s="42" t="str">
        <x:v>Доступно</x:v>
      </x:c>
      <x:c r="N6" s="42" t="n">
        <x:f>'ОАЭ 2037'!Q6</x:f>
        <x:v>91.19885863938246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97.87210622425334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82.02695671079174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76.64251337062954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91.19885863938246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2037'!V11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90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2037'!V12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97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2037'!V13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85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2037'!V14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66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2037'!V15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80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2037'!V16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73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2037'!V17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40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2037'!V18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16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2037'!V19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71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17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2037'!V21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83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2037'!V22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2037'!V23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79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2037'!V24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33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2037'!V25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100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82.36870156855369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76.69480094003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91.44370627245605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98.02586812548576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2037'!B8+'ОАЭ 2037'!D8+('ОАЭ 2037'!C8+'ОАЭ 2037'!F8+'ОАЭ 2037'!G8)+(0.35*LN(1+0.6*'Ход 2037'!B14)*POWER(MAX(0,1-'ОАЭ 2037'!I8/10),0.7))))</x:f>
        <x:v>8.1</x:v>
      </x:c>
      <x:c r="C8" s="42" t="n">
        <x:f>MIN(1,'ОАЭ 2037'!C8+'ОАЭ 2037'!F8+(0.08*LN(1+0.5*'Ход 2037'!C14)*MAX(0,1-('ОАЭ 2037'!C8+'ОАЭ 2037'!F8))))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2037'!B9+'ОАЭ 2037'!D9+('ОАЭ 2037'!C9+'ОАЭ 2037'!F9+'ОАЭ 2037'!G9)+(0.35*LN(1+0.6*'Ход 2037'!B15)*POWER(MAX(0,1-'ОАЭ 2037'!I9/10),0.7))))</x:f>
        <x:v>8.699999999999996</x:v>
      </x:c>
      <x:c r="C9" s="42" t="n">
        <x:f>MIN(1,'ОАЭ 2037'!C9+'ОАЭ 2037'!F9+(0.08*LN(1+0.5*'Ход 2037'!C15)*MAX(0,1-('ОАЭ 2037'!C9+'ОАЭ 2037'!F9))))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8.699999999999996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2037'!B10+'ОАЭ 2037'!D10+('ОАЭ 2037'!C10+'ОАЭ 2037'!F10+'ОАЭ 2037'!G10)+(0.35*LN(1+0.6*'Ход 2037'!B16)*POWER(MAX(0,1-'ОАЭ 2037'!I10/10),0.7))))</x:f>
        <x:v>10</x:v>
      </x:c>
      <x:c r="C10" s="42" t="n">
        <x:f>MIN(1,'ОАЭ 2037'!C10+'ОАЭ 2037'!F10+(0.08*LN(1+0.5*'Ход 2037'!C16)*MAX(0,1-('ОАЭ 2037'!C10+'ОАЭ 2037'!F10))))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2037'!B11+'ОАЭ 2037'!D11+('ОАЭ 2037'!C11+'ОАЭ 2037'!F11+'ОАЭ 2037'!G11)+(0.35*LN(1+0.6*'Ход 2037'!B17)*POWER(MAX(0,1-'ОАЭ 2037'!I11/10),0.7))))</x:f>
        <x:v>4.599999999999998</x:v>
      </x:c>
      <x:c r="C11" s="42" t="n">
        <x:f>MIN(1,'ОАЭ 2037'!C11+'ОАЭ 2037'!F11+(0.08*LN(1+0.5*'Ход 2037'!C17)*MAX(0,1-('ОАЭ 2037'!C11+'ОАЭ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4.599999999999998</x:v>
      </x:c>
      <x:c r="J11" s="42"/>
      <x:c r="K11" s="42" t="str">
        <x:v>Производство</x:v>
      </x:c>
      <x:c r="L11" s="42" t="n">
        <x:f>MAX(1,MIN(10,'ОАЭ 2037'!L11+'ОАЭ 2037'!N11+('ОАЭ 2037'!M11+'ОАЭ 2037'!P11+'ОАЭ 2037'!Q11)))</x:f>
        <x:v>10</x:v>
      </x:c>
      <x:c r="M11" s="42" t="n">
        <x:f>MIN(1,'ОАЭ 2037'!M11+'ОАЭ 2037'!P11+(0.10*LN(1+0.5*'Ход 2037'!H13)*POWER(MAX(0,1-'ОАЭ 2037'!S11/10),0.8)))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'ОАЭ 2037'!V11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2037'!B12+'ОАЭ 2037'!D12+('ОАЭ 2037'!C12+'ОАЭ 2037'!F12+'ОАЭ 2037'!G12)+(0.35*LN(1+0.6*'Ход 2037'!B18)*POWER(MAX(0,1-'ОАЭ 2037'!I12/10),0.7))))</x:f>
        <x:v>6.599999999999998</x:v>
      </x:c>
      <x:c r="C12" s="42" t="n">
        <x:f>MIN(1,'ОАЭ 2037'!C12+'ОАЭ 2037'!F12+(0.08*LN(1+0.5*'Ход 2037'!C18)*MAX(0,1-('ОАЭ 2037'!C12+'ОАЭ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6.599999999999998</x:v>
      </x:c>
      <x:c r="J12" s="42"/>
      <x:c r="K12" s="42" t="str">
        <x:v>Управление</x:v>
      </x:c>
      <x:c r="L12" s="42" t="n">
        <x:f>MAX(1,MIN(10,'ОАЭ 2037'!L12+'ОАЭ 2037'!N12+('ОАЭ 2037'!M12+'ОАЭ 2037'!P12+'ОАЭ 2037'!Q12)))</x:f>
        <x:v>10</x:v>
      </x:c>
      <x:c r="M12" s="42" t="n">
        <x:f>MIN(1,'ОАЭ 2037'!M12+'ОАЭ 2037'!P12+(0.10*LN(1+0.5*'Ход 2037'!H14)*POWER(MAX(0,1-'ОАЭ 2037'!S12/10),0.8)))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2037'!V12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2037'!B13+'ОАЭ 2037'!D13+('ОАЭ 2037'!C13+'ОАЭ 2037'!F13+'ОАЭ 2037'!G13)+(0.35*LN(1+0.6*'Ход 2037'!B19)*POWER(MAX(0,1-'ОАЭ 2037'!I13/10),0.7))))</x:f>
        <x:v>5.599999999999998</x:v>
      </x:c>
      <x:c r="C13" s="42" t="n">
        <x:f>MIN(1,'ОАЭ 2037'!C13+'ОАЭ 2037'!F13+(0.08*LN(1+0.5*'Ход 2037'!C19)*MAX(0,1-('ОАЭ 2037'!C13+'ОАЭ 2037'!F13))))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5.599999999999998</x:v>
      </x:c>
      <x:c r="J13" s="42"/>
      <x:c r="K13" s="42" t="str">
        <x:v>Познание</x:v>
      </x:c>
      <x:c r="L13" s="42" t="n">
        <x:f>MAX(1,MIN(10,'ОАЭ 2037'!L13+'ОАЭ 2037'!N13+('ОАЭ 2037'!M13+'ОАЭ 2037'!P13+'ОАЭ 2037'!Q13)))</x:f>
        <x:v>10</x:v>
      </x:c>
      <x:c r="M13" s="42" t="n">
        <x:f>MIN(1,'ОАЭ 2037'!M13+'ОАЭ 2037'!P13+(0.10*LN(1+0.5*'Ход 2037'!H15)*POWER(MAX(0,1-'ОАЭ 2037'!S13/10),0.8)))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'ОАЭ 2037'!V13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2037'!B14+'ОАЭ 2037'!D14+('ОАЭ 2037'!C14+'ОАЭ 2037'!F14+'ОАЭ 2037'!G14)+(0.35*LN(1+0.6*'Ход 2037'!B20)*POWER(MAX(0,1-'ОАЭ 2037'!I14/10),0.7))))</x:f>
        <x:v>10</x:v>
      </x:c>
      <x:c r="C14" s="42" t="n">
        <x:f>MIN(1,'ОАЭ 2037'!C14+'ОАЭ 2037'!F14+(0.08*LN(1+0.5*'Ход 2037'!C20)*MAX(0,1-('ОАЭ 2037'!C14+'ОАЭ 2037'!F14))))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MAX(1,MIN(10,'ОАЭ 2037'!L14+'ОАЭ 2037'!N14+('ОАЭ 2037'!M14+'ОАЭ 2037'!P14+'ОАЭ 2037'!Q14)))</x:f>
        <x:v>10</x:v>
      </x:c>
      <x:c r="M14" s="42" t="n">
        <x:f>MIN(1,'ОАЭ 2037'!M14+'ОАЭ 2037'!P14+(0.10*LN(1+0.5*'Ход 2037'!H16)*POWER(MAX(0,1-'ОАЭ 2037'!S14/10),0.8)))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2037'!V14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2037'!B15+'ОАЭ 2037'!D15+('ОАЭ 2037'!C15+'ОАЭ 2037'!F15+'ОАЭ 2037'!G15)+(0.35*LN(1+0.6*'Ход 2037'!B21)*POWER(MAX(0,1-'ОАЭ 2037'!I15/10),0.7))))</x:f>
        <x:v>10</x:v>
      </x:c>
      <x:c r="C15" s="42" t="n">
        <x:f>MIN(1,'ОАЭ 2037'!C15+'ОАЭ 2037'!F15+(0.08*LN(1+0.5*'Ход 2037'!C21)*MAX(0,1-('ОАЭ 2037'!C15+'ОАЭ 2037'!F15))))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2037'!L15+'ОАЭ 2037'!N15+('ОАЭ 2037'!M15+'ОАЭ 2037'!P15+'ОАЭ 2037'!Q15)))</x:f>
        <x:v>10</x:v>
      </x:c>
      <x:c r="M15" s="42" t="n">
        <x:f>MIN(1,'ОАЭ 2037'!M15+'ОАЭ 2037'!P15+(0.10*LN(1+0.5*'Ход 2037'!H17)*POWER(MAX(0,1-'ОАЭ 2037'!S15/10),0.8)))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'ОАЭ 2037'!V15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2037'!B16+'ОАЭ 2037'!D16+('ОАЭ 2037'!C16+'ОАЭ 2037'!F16+'ОАЭ 2037'!G16)+(0.35*LN(1+0.6*'Ход 2037'!B22)*POWER(MAX(0,1-'ОАЭ 2037'!I16/10),0.7))))</x:f>
        <x:v>10</x:v>
      </x:c>
      <x:c r="C16" s="42" t="n">
        <x:f>MIN(1,'ОАЭ 2037'!C16+'ОАЭ 2037'!F16+(0.08*LN(1+0.5*'Ход 2037'!C22)*MAX(0,1-('ОАЭ 2037'!C16+'ОАЭ 2037'!F16))))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2037'!L16+'ОАЭ 2037'!N16+('ОАЭ 2037'!M16+'ОАЭ 2037'!P16+'ОАЭ 2037'!Q16)))</x:f>
        <x:v>10</x:v>
      </x:c>
      <x:c r="M16" s="42" t="n">
        <x:f>MIN(1,'ОАЭ 2037'!M16+'ОАЭ 2037'!P16+(0.10*LN(1+0.5*'Ход 2037'!H18)*POWER(MAX(0,1-'ОАЭ 2037'!S16/10),0.8)))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2037'!V16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2037'!B17+'ОАЭ 2037'!D17+('ОАЭ 2037'!C17+'ОАЭ 2037'!F17+'ОАЭ 2037'!G17)+(0.35*LN(1+0.6*'Ход 2037'!B23)*POWER(MAX(0,1-'ОАЭ 2037'!I17/10),0.7))))</x:f>
        <x:v>10</x:v>
      </x:c>
      <x:c r="C17" s="42" t="n">
        <x:f>MIN(1,'ОАЭ 2037'!C17+'ОАЭ 2037'!F17+(0.08*LN(1+0.5*'Ход 2037'!C23)*MAX(0,1-('ОАЭ 2037'!C17+'ОАЭ 2037'!F17))))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MAX(1,MIN(10,'ОАЭ 2037'!L17+'ОАЭ 2037'!N17+('ОАЭ 2037'!M17+'ОАЭ 2037'!P17+'ОАЭ 2037'!Q17)))</x:f>
        <x:v>10</x:v>
      </x:c>
      <x:c r="M17" s="42" t="n">
        <x:f>MIN(1,'ОАЭ 2037'!M17+'ОАЭ 2037'!P17+(0.10*LN(1+0.5*'Ход 2037'!H19)*POWER(MAX(0,1-'ОАЭ 2037'!S17/10),0.8)))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2037'!V17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2037'!L18+'ОАЭ 2037'!N18+('ОАЭ 2037'!M18+'ОАЭ 2037'!P18+'ОАЭ 2037'!Q18)))</x:f>
        <x:v>10</x:v>
      </x:c>
      <x:c r="M18" s="42" t="n">
        <x:f>MIN(1,'ОАЭ 2037'!M18+'ОАЭ 2037'!P18+(0.10*LN(1+0.5*'Ход 2037'!H20)*POWER(MAX(0,1-'ОАЭ 2037'!S18/10),0.8)))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2037'!V18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2037'!B19+'ОАЭ 2037'!D19+('ОАЭ 2037'!C19+'ОАЭ 2037'!F19+'ОАЭ 2037'!G19)+(0.35*LN(1+0.6*'Ход 2037'!B25)*POWER(MAX(0,1-'ОАЭ 2037'!I19/10),0.7))))</x:f>
        <x:v>10</x:v>
      </x:c>
      <x:c r="C19" s="42" t="n">
        <x:f>MIN(1,'ОАЭ 2037'!C19+'ОАЭ 2037'!F19+(0.08*LN(1+0.5*'Ход 2037'!C25)*MAX(0,1-('ОАЭ 2037'!C19+'ОАЭ 2037'!F19))))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2037'!V19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2037'!B20+'ОАЭ 2037'!D20+('ОАЭ 2037'!C20+'ОАЭ 2037'!F20+'ОАЭ 2037'!G20)+(0.35*LN(1+0.6*'Ход 2037'!B26)*POWER(MAX(0,1-'ОАЭ 2037'!I20/10),0.7))))</x:f>
        <x:v>10</x:v>
      </x:c>
      <x:c r="C20" s="42" t="n">
        <x:f>MIN(1,'ОАЭ 2037'!C20+'ОАЭ 2037'!F20+(0.08*LN(1+0.5*'Ход 2037'!C26)*MAX(0,1-('ОАЭ 2037'!C20+'ОАЭ 2037'!F20))))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2037'!B21+'ОАЭ 2037'!D21+('ОАЭ 2037'!C21+'ОАЭ 2037'!F21+'ОАЭ 2037'!G21)+(0.35*LN(1+0.6*'Ход 2037'!B27)*POWER(MAX(0,1-'ОАЭ 2037'!I21/10),0.7))))</x:f>
        <x:v>10</x:v>
      </x:c>
      <x:c r="C21" s="42" t="n">
        <x:f>MIN(1,'ОАЭ 2037'!C21+'ОАЭ 2037'!F21+(0.08*LN(1+0.5*'Ход 2037'!C27)*MAX(0,1-('ОАЭ 2037'!C21+'ОАЭ 2037'!F21))))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2037'!V21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2037'!B22+'ОАЭ 2037'!D22+('ОАЭ 2037'!C22+'ОАЭ 2037'!F22+'ОАЭ 2037'!G22)+(0.35*LN(1+0.6*'Ход 2037'!B28)*POWER(MAX(0,1-'ОАЭ 2037'!I22/10),0.7))))</x:f>
        <x:v>9.399999999999995</x:v>
      </x:c>
      <x:c r="C22" s="42" t="n">
        <x:f>MIN(1,'ОАЭ 2037'!C22+'ОАЭ 2037'!F22+(0.08*LN(1+0.5*'Ход 2037'!C28)*MAX(0,1-('ОАЭ 2037'!C22+'ОАЭ 2037'!F22))))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9.399999999999995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2037'!V22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2037'!B23+'ОАЭ 2037'!D23+('ОАЭ 2037'!C23+'ОАЭ 2037'!F23+'ОАЭ 2037'!G23)+(0.35*LN(1+0.6*'Ход 2037'!B29)*POWER(MAX(0,1-'ОАЭ 2037'!I23/10),0.7))))</x:f>
        <x:v>10</x:v>
      </x:c>
      <x:c r="C23" s="42" t="n">
        <x:f>MIN(1,'ОАЭ 2037'!C23+'ОАЭ 2037'!F23+(0.08*LN(1+0.5*'Ход 2037'!C29)*MAX(0,1-('ОАЭ 2037'!C23+'ОАЭ 2037'!F23))))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2037'!V23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2037'!V24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2037'!B25+'ОАЭ 2037'!D25+('ОАЭ 2037'!C25+'ОАЭ 2037'!F25+'ОАЭ 2037'!G25)+(0.35*LN(1+0.6*'Ход 2037'!B31)*POWER(MAX(0,1-'ОАЭ 2037'!I25/10),0.7))))</x:f>
        <x:v>9.899999999999993</x:v>
      </x:c>
      <x:c r="C25" s="42" t="n">
        <x:f>MIN(1,'ОАЭ 2037'!C25+'ОАЭ 2037'!F25+(0.08*LN(1+0.5*'Ход 2037'!C31)*MAX(0,1-('ОАЭ 2037'!C25+'ОАЭ 2037'!F25))))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9.899999999999993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2037'!V25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2037'!B26+'ОАЭ 2037'!D26+('ОАЭ 2037'!C26+'ОАЭ 2037'!F26+'ОАЭ 2037'!G26)+(0.35*LN(1+0.6*'Ход 2037'!B32)*POWER(MAX(0,1-'ОАЭ 2037'!I26/10),0.7))))</x:f>
        <x:v>10</x:v>
      </x:c>
      <x:c r="C26" s="42" t="n">
        <x:f>MIN(1,'ОАЭ 2037'!C26+'ОАЭ 2037'!F26+(0.08*LN(1+0.5*'Ход 2037'!C32)*MAX(0,1-('ОАЭ 2037'!C26+'ОАЭ 2037'!F26))))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2037'!B27+'ОАЭ 2037'!D27+('ОАЭ 2037'!C27+'ОАЭ 2037'!F27+'ОАЭ 2037'!G27)+(0.35*LN(1+0.6*'Ход 2037'!B33)*POWER(MAX(0,1-'ОАЭ 2037'!I27/10),0.7))))</x:f>
        <x:v>10</x:v>
      </x:c>
      <x:c r="C27" s="42" t="n">
        <x:f>MIN(1,'ОАЭ 2037'!C27+'ОАЭ 2037'!F27+(0.08*LN(1+0.5*'Ход 2037'!C33)*MAX(0,1-('ОАЭ 2037'!C27+'ОАЭ 2037'!F27))))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2037'!B28+'ОАЭ 2037'!D28+('ОАЭ 2037'!C28+'ОАЭ 2037'!F28+'ОАЭ 2037'!G28)+(0.35*LN(1+0.6*'Ход 2037'!B34)*POWER(MAX(0,1-'ОАЭ 2037'!I28/10),0.7))))</x:f>
        <x:v>10</x:v>
      </x:c>
      <x:c r="C28" s="42" t="n">
        <x:f>MIN(1,'ОАЭ 2037'!C28+'ОАЭ 2037'!F28+(0.08*LN(1+0.5*'Ход 2037'!C34)*MAX(0,1-('ОАЭ 2037'!C28+'ОАЭ 2037'!F28))))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2037'!B29+'ОАЭ 2037'!D29+('ОАЭ 2037'!C29+'ОАЭ 2037'!F29+'ОАЭ 2037'!G29)+(0.35*LN(1+0.6*'Ход 2037'!B35)*POWER(MAX(0,1-'ОАЭ 2037'!I29/10),0.7))))</x:f>
        <x:v>10</x:v>
      </x:c>
      <x:c r="C29" s="42" t="n">
        <x:f>MIN(1,'ОАЭ 2037'!C29+'ОАЭ 2037'!F29+(0.08*LN(1+0.5*'Ход 2037'!C35)*MAX(0,1-('ОАЭ 2037'!C29+'ОАЭ 2037'!F29))))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2037'!B30+'ОАЭ 2037'!D30+('ОАЭ 2037'!C30+'ОАЭ 2037'!F30+'ОАЭ 2037'!G30)+(0.35*LN(1+0.6*'Ход 2037'!B36)*POWER(MAX(0,1-'ОАЭ 2037'!I30/10),0.7))))</x:f>
        <x:v>9.899999999999993</x:v>
      </x:c>
      <x:c r="C30" s="42" t="n">
        <x:f>MIN(1,'ОАЭ 2037'!C30+'ОАЭ 2037'!F30+(0.08*LN(1+0.5*'Ход 2037'!C36)*MAX(0,1-('ОАЭ 2037'!C30+'ОАЭ 2037'!F30))))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9.899999999999993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2037'!B31+'ОАЭ 2037'!D31+('ОАЭ 2037'!C31+'ОАЭ 2037'!F31+'ОАЭ 2037'!G31)+(0.35*LN(1+0.6*'Ход 2037'!B37)*POWER(MAX(0,1-'ОАЭ 2037'!I31/10),0.7))))</x:f>
        <x:v>9.899999999999993</x:v>
      </x:c>
      <x:c r="C31" s="42" t="n">
        <x:f>MIN(1,'ОАЭ 2037'!C31+'ОАЭ 2037'!F31+(0.08*LN(1+0.5*'Ход 2037'!C37)*MAX(0,1-('ОАЭ 2037'!C31+'ОАЭ 2037'!F31))))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9.899999999999993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2037'!B32+'ОАЭ 2037'!D32+('ОАЭ 2037'!C32+'ОАЭ 2037'!F32+'ОАЭ 2037'!G32)+(0.35*LN(1+0.6*'Ход 2037'!B38)*POWER(MAX(0,1-'ОАЭ 2037'!I32/10),0.7))))</x:f>
        <x:v>10</x:v>
      </x:c>
      <x:c r="C32" s="42" t="n">
        <x:f>MIN(1,'ОАЭ 2037'!C32+'ОАЭ 2037'!F32+(0.08*LN(1+0.5*'Ход 2037'!C38)*MAX(0,1-('ОАЭ 2037'!C32+'ОАЭ 2037'!F32))))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2037'!B34+'ОАЭ 2037'!D34+('ОАЭ 2037'!C34+'ОАЭ 2037'!F34+'ОАЭ 2037'!G34)+(0.35*LN(1+0.6*'Ход 2037'!B40)*POWER(MAX(0,1-'ОАЭ 2037'!I34/10),0.7))))</x:f>
        <x:v>10</x:v>
      </x:c>
      <x:c r="C34" s="42" t="n">
        <x:f>MIN(1,'ОАЭ 2037'!C34+'ОАЭ 2037'!F34+(0.08*LN(1+0.5*'Ход 2037'!C40)*MAX(0,1-('ОАЭ 2037'!C34+'ОАЭ 2037'!F34))))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2037'!B35+'ОАЭ 2037'!D35+('ОАЭ 2037'!C35+'ОАЭ 2037'!F35+'ОАЭ 2037'!G35)+(0.35*LN(1+0.6*'Ход 2037'!B41)*POWER(MAX(0,1-'ОАЭ 2037'!I35/10),0.7))))</x:f>
        <x:v>9.800000000000004</x:v>
      </x:c>
      <x:c r="C35" s="42" t="n">
        <x:f>MIN(1,'ОАЭ 2037'!C35+'ОАЭ 2037'!F35+(0.08*LN(1+0.5*'Ход 2037'!C41)*MAX(0,1-('ОАЭ 2037'!C35+'ОАЭ 2037'!F35))))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9.800000000000004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2037'!B36+'ОАЭ 2037'!D36+('ОАЭ 2037'!C36+'ОАЭ 2037'!F36+'ОАЭ 2037'!G36)+(0.35*LN(1+0.6*'Ход 2037'!B42)*POWER(MAX(0,1-'ОАЭ 2037'!I36/10),0.7))))</x:f>
        <x:v>10</x:v>
      </x:c>
      <x:c r="C36" s="42" t="n">
        <x:f>MIN(1,'ОАЭ 2037'!C36+'ОАЭ 2037'!F36+(0.08*LN(1+0.5*'Ход 2037'!C42)*MAX(0,1-('ОАЭ 2037'!C36+'ОАЭ 2037'!F36))))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2037'!B37+'ОАЭ 2037'!D37+('ОАЭ 2037'!C37+'ОАЭ 2037'!F37+'ОАЭ 2037'!G37)+(0.35*LN(1+0.6*'Ход 2037'!B43)*POWER(MAX(0,1-'ОАЭ 2037'!I37/10),0.7))))</x:f>
        <x:v>10</x:v>
      </x:c>
      <x:c r="C37" s="42" t="n">
        <x:f>MIN(1,'ОАЭ 2037'!C37+'ОАЭ 2037'!F37+(0.08*LN(1+0.5*'Ход 2037'!C43)*MAX(0,1-('ОАЭ 2037'!C37+'ОАЭ 2037'!F37))))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2037'!B38+'ОАЭ 2037'!D38+('ОАЭ 2037'!C38+'ОАЭ 2037'!F38+'ОАЭ 2037'!G38)+(0.35*LN(1+0.6*'Ход 2037'!B44)*POWER(MAX(0,1-'ОАЭ 2037'!I38/10),0.7))))</x:f>
        <x:v>10</x:v>
      </x:c>
      <x:c r="C38" s="42" t="n">
        <x:f>MIN(1,'ОАЭ 2037'!C38+'ОАЭ 2037'!F38+(0.08*LN(1+0.5*'Ход 2037'!C44)*MAX(0,1-('ОАЭ 2037'!C38+'ОАЭ 2037'!F38))))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2037'!B39+'ОАЭ 2037'!D39+('ОАЭ 2037'!C39+'ОАЭ 2037'!F39+'ОАЭ 2037'!G39)+(0.35*LN(1+0.6*'Ход 2037'!B45)*POWER(MAX(0,1-'ОАЭ 2037'!I39/10),0.7))))</x:f>
        <x:v>10</x:v>
      </x:c>
      <x:c r="C39" s="42" t="n">
        <x:f>MIN(1,'ОАЭ 2037'!C39+'ОАЭ 2037'!F39+(0.08*LN(1+0.5*'Ход 2037'!C45)*MAX(0,1-('ОАЭ 2037'!C39+'ОАЭ 2037'!F39))))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2037'!B40+'ОАЭ 2037'!D40+('ОАЭ 2037'!C40+'ОАЭ 2037'!F40+'ОАЭ 2037'!G40)+(0.35*LN(1+0.6*'Ход 2037'!B46)*POWER(MAX(0,1-'ОАЭ 2037'!I40/10),0.7))))</x:f>
        <x:v>10</x:v>
      </x:c>
      <x:c r="C40" s="42" t="n">
        <x:f>MIN(1,'ОАЭ 2037'!C40+'ОАЭ 2037'!F40+(0.08*LN(1+0.5*'Ход 2037'!C46)*MAX(0,1-('ОАЭ 2037'!C40+'ОАЭ 2037'!F40))))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2037'!B41+'ОАЭ 2037'!D41+('ОАЭ 2037'!C41+'ОАЭ 2037'!F41+'ОАЭ 2037'!G41)+(0.35*LN(1+0.6*'Ход 2037'!B47)*POWER(MAX(0,1-'ОАЭ 2037'!I41/10),0.7))))</x:f>
        <x:v>10</x:v>
      </x:c>
      <x:c r="C41" s="42" t="n">
        <x:f>MIN(1,'ОАЭ 2037'!C41+'ОАЭ 2037'!F41+(0.08*LN(1+0.5*'Ход 2037'!C47)*MAX(0,1-('ОАЭ 2037'!C41+'ОАЭ 2037'!F41))))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2037'!B42+'ОАЭ 2037'!D42+('ОАЭ 2037'!C42+'ОАЭ 2037'!F42+'ОАЭ 2037'!G42)+(0.35*LN(1+0.6*'Ход 2037'!B48)*POWER(MAX(0,1-'ОАЭ 2037'!I42/10),0.7))))</x:f>
        <x:v>10</x:v>
      </x:c>
      <x:c r="C42" s="42" t="n">
        <x:f>MIN(1,'ОАЭ 2037'!C42+'ОАЭ 2037'!F42+(0.08*LN(1+0.5*'Ход 2037'!C48)*MAX(0,1-('ОАЭ 2037'!C42+'ОАЭ 2037'!F42))))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2037'!B44+'ОАЭ 2037'!D44+('ОАЭ 2037'!C44+'ОАЭ 2037'!F44+'ОАЭ 2037'!G44)+(0.35*LN(1+0.6*'Ход 2037'!B50)*POWER(MAX(0,1-'ОАЭ 2037'!I44/10),0.7))))</x:f>
        <x:v>9.800000000000004</x:v>
      </x:c>
      <x:c r="C44" s="42" t="n">
        <x:f>MIN(1,'ОАЭ 2037'!C44+'ОАЭ 2037'!F44+(0.08*LN(1+0.5*'Ход 2037'!C50)*MAX(0,1-('ОАЭ 2037'!C44+'ОАЭ 2037'!F44))))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9.800000000000004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2037'!B45+'ОАЭ 2037'!D45+('ОАЭ 2037'!C45+'ОАЭ 2037'!F45+'ОАЭ 2037'!G45)+(0.35*LN(1+0.6*'Ход 2037'!B51)*POWER(MAX(0,1-'ОАЭ 2037'!I45/10),0.7))))</x:f>
        <x:v>10</x:v>
      </x:c>
      <x:c r="C45" s="42" t="n">
        <x:f>MIN(1,'ОАЭ 2037'!C45+'ОАЭ 2037'!F45+(0.08*LN(1+0.5*'Ход 2037'!C51)*MAX(0,1-('ОАЭ 2037'!C45+'ОАЭ 2037'!F45))))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2037'!B46+'ОАЭ 2037'!D46+('ОАЭ 2037'!C46+'ОАЭ 2037'!F46+'ОАЭ 2037'!G46)+(0.35*LN(1+0.6*'Ход 2037'!B52)*POWER(MAX(0,1-'ОАЭ 2037'!I46/10),0.7))))</x:f>
        <x:v>10</x:v>
      </x:c>
      <x:c r="C46" s="42" t="n">
        <x:f>MIN(1,'ОАЭ 2037'!C46+'ОАЭ 2037'!F46+(0.08*LN(1+0.5*'Ход 2037'!C52)*MAX(0,1-('ОАЭ 2037'!C46+'ОАЭ 2037'!F46))))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2037'!B47+'ОАЭ 2037'!D47+('ОАЭ 2037'!C47+'ОАЭ 2037'!F47+'ОАЭ 2037'!G47)+(0.35*LN(1+0.6*'Ход 2037'!B53)*POWER(MAX(0,1-'ОАЭ 2037'!I47/10),0.7))))</x:f>
        <x:v>9.199999999999996</x:v>
      </x:c>
      <x:c r="C47" s="42" t="n">
        <x:f>MIN(1,'ОАЭ 2037'!C47+'ОАЭ 2037'!F47+(0.08*LN(1+0.5*'Ход 2037'!C53)*MAX(0,1-('ОАЭ 2037'!C47+'ОАЭ 2037'!F47))))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9.199999999999996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2037'!B48+'ОАЭ 2037'!D48+('ОАЭ 2037'!C48+'ОАЭ 2037'!F48+'ОАЭ 2037'!G48)+(0.35*LN(1+0.6*'Ход 2037'!B54)*POWER(MAX(0,1-'ОАЭ 2037'!I48/10),0.7))))</x:f>
        <x:v>9.199999999999996</x:v>
      </x:c>
      <x:c r="C48" s="42" t="n">
        <x:f>MIN(1,'ОАЭ 2037'!C48+'ОАЭ 2037'!F48+(0.08*LN(1+0.5*'Ход 2037'!C54)*MAX(0,1-('ОАЭ 2037'!C48+'ОАЭ 2037'!F48))))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9.199999999999996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2037'!B49+'ОАЭ 2037'!D49+('ОАЭ 2037'!C49+'ОАЭ 2037'!F49+'ОАЭ 2037'!G49)+(0.35*LN(1+0.6*'Ход 2037'!B55)*POWER(MAX(0,1-'ОАЭ 2037'!I49/10),0.7))))</x:f>
        <x:v>10</x:v>
      </x:c>
      <x:c r="C49" s="42" t="n">
        <x:f>MIN(1,'ОАЭ 2037'!C49+'ОАЭ 2037'!F49+(0.08*LN(1+0.5*'Ход 2037'!C55)*MAX(0,1-('ОАЭ 2037'!C49+'ОАЭ 2037'!F49))))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2037'!B50+'ОАЭ 2037'!D50+('ОАЭ 2037'!C50+'ОАЭ 2037'!F50+'ОАЭ 2037'!G50)+(0.35*LN(1+0.6*'Ход 2037'!B56)*POWER(MAX(0,1-'ОАЭ 2037'!I50/10),0.7))))</x:f>
        <x:v>9.600000000000009</x:v>
      </x:c>
      <x:c r="C50" s="42" t="n">
        <x:f>MIN(1,'ОАЭ 2037'!C50+'ОАЭ 2037'!F50+(0.08*LN(1+0.5*'Ход 2037'!C56)*MAX(0,1-('ОАЭ 2037'!C50+'ОАЭ 2037'!F50))))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9.600000000000009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2037'!B51+'ОАЭ 2037'!D51+('ОАЭ 2037'!C51+'ОАЭ 2037'!F51+'ОАЭ 2037'!G51)+(0.35*LN(1+0.6*'Ход 2037'!B57)*POWER(MAX(0,1-'ОАЭ 2037'!I51/10),0.7))))</x:f>
        <x:v>10</x:v>
      </x:c>
      <x:c r="C51" s="42" t="n">
        <x:f>MIN(1,'ОАЭ 2037'!C51+'ОАЭ 2037'!F51+(0.08*LN(1+0.5*'Ход 2037'!C57)*MAX(0,1-('ОАЭ 2037'!C51+'ОАЭ 2037'!F51))))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2037'!B53+'ОАЭ 2037'!D53+('ОАЭ 2037'!C53+'ОАЭ 2037'!F53+'ОАЭ 2037'!G53)+(0.35*LN(1+0.6*'Ход 2037'!B59)*POWER(MAX(0,1-'ОАЭ 2037'!I53/10),0.7))))</x:f>
        <x:v>10</x:v>
      </x:c>
      <x:c r="C53" s="42" t="n">
        <x:f>MIN(1,'ОАЭ 2037'!C53+'ОАЭ 2037'!F53+(0.08*LN(1+0.5*'Ход 2037'!C59)*MAX(0,1-('ОАЭ 2037'!C53+'ОАЭ 2037'!F53))))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2037'!B54+'ОАЭ 2037'!D54+('ОАЭ 2037'!C54+'ОАЭ 2037'!F54+'ОАЭ 2037'!G54)+(0.35*LN(1+0.6*'Ход 2037'!B60)*POWER(MAX(0,1-'ОАЭ 2037'!I54/10),0.7))))</x:f>
        <x:v>10</x:v>
      </x:c>
      <x:c r="C54" s="42" t="n">
        <x:f>MIN(1,'ОАЭ 2037'!C54+'ОАЭ 2037'!F54+(0.08*LN(1+0.5*'Ход 2037'!C60)*MAX(0,1-('ОАЭ 2037'!C54+'ОАЭ 2037'!F54))))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2037'!B55+'ОАЭ 2037'!D55+('ОАЭ 2037'!C55+'ОАЭ 2037'!F55+'ОАЭ 2037'!G55)+(0.35*LN(1+0.6*'Ход 2037'!B61)*POWER(MAX(0,1-'ОАЭ 2037'!I55/10),0.7))))</x:f>
        <x:v>8.800000000000004</x:v>
      </x:c>
      <x:c r="C55" s="42" t="n">
        <x:f>MIN(1,'ОАЭ 2037'!C55+'ОАЭ 2037'!F55+(0.08*LN(1+0.5*'Ход 2037'!C61)*MAX(0,1-('ОАЭ 2037'!C55+'ОАЭ 2037'!F55))))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8.800000000000004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2038'!U6</x:f>
        <x:v>98.02586812548576</x:v>
      </x:c>
      <x:c r="C6" s="42"/>
      <x:c r="D6" s="42"/>
      <x:c r="E6" s="42" t="str">
        <x:v>Доступно</x:v>
      </x:c>
      <x:c r="F6" s="42" t="n">
        <x:f>'ОАЭ 2038'!K6</x:f>
        <x:v>82.36870156855369</x:v>
      </x:c>
      <x:c r="G6" s="42"/>
      <x:c r="H6" s="42"/>
      <x:c r="I6" s="42" t="str">
        <x:v>Доступно</x:v>
      </x:c>
      <x:c r="J6" s="42" t="n">
        <x:f>'ОАЭ 2038'!N6</x:f>
        <x:v>76.69480094003</x:v>
      </x:c>
      <x:c r="K6" s="42"/>
      <x:c r="L6" s="42"/>
      <x:c r="M6" s="42" t="str">
        <x:v>Доступно</x:v>
      </x:c>
      <x:c r="N6" s="42" t="n">
        <x:f>'ОАЭ 2038'!Q6</x:f>
        <x:v>91.44370627245605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98.02586812548576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82.36870156855369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76.69480094003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91.44370627245605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2038'!V11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92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2038'!V12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97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2038'!V13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57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2038'!V14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73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2038'!V15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69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2038'!V16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49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2038'!V17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57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2038'!V18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25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2038'!V19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57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87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2038'!V21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41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2038'!V22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23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2038'!V23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90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2038'!V24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52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2038'!V25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82.63300586541995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76.73172998595616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91.50304092844145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98.14841009818657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2038'!B8+'ОАЭ 2038'!D8+('ОАЭ 2038'!C8+'ОАЭ 2038'!F8+'ОАЭ 2038'!G8)+(0.35*LN(1+0.6*'Ход 2038'!B14)*POWER(MAX(0,1-'ОАЭ 2038'!I8/10),0.7))))</x:f>
        <x:v>8.15</x:v>
      </x:c>
      <x:c r="C8" s="42" t="n">
        <x:f>MIN(1,'ОАЭ 2038'!C8+'ОАЭ 2038'!F8+(0.08*LN(1+0.5*'Ход 2038'!C14)*MAX(0,1-('ОАЭ 2038'!C8+'ОАЭ 2038'!F8))))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8.15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2038'!B9+'ОАЭ 2038'!D9+('ОАЭ 2038'!C9+'ОАЭ 2038'!F9+'ОАЭ 2038'!G9)+(0.35*LN(1+0.6*'Ход 2038'!B15)*POWER(MAX(0,1-'ОАЭ 2038'!I9/10),0.7))))</x:f>
        <x:v>8.799999999999995</x:v>
      </x:c>
      <x:c r="C9" s="42" t="n">
        <x:f>MIN(1,'ОАЭ 2038'!C9+'ОАЭ 2038'!F9+(0.08*LN(1+0.5*'Ход 2038'!C15)*MAX(0,1-('ОАЭ 2038'!C9+'ОАЭ 2038'!F9))))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8.799999999999995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2038'!B10+'ОАЭ 2038'!D10+('ОАЭ 2038'!C10+'ОАЭ 2038'!F10+'ОАЭ 2038'!G10)+(0.35*LN(1+0.6*'Ход 2038'!B16)*POWER(MAX(0,1-'ОАЭ 2038'!I10/10),0.7))))</x:f>
        <x:v>10</x:v>
      </x:c>
      <x:c r="C10" s="42" t="n">
        <x:f>MIN(1,'ОАЭ 2038'!C10+'ОАЭ 2038'!F10+(0.08*LN(1+0.5*'Ход 2038'!C16)*MAX(0,1-('ОАЭ 2038'!C10+'ОАЭ 2038'!F10))))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2038'!B11+'ОАЭ 2038'!D11+('ОАЭ 2038'!C11+'ОАЭ 2038'!F11+'ОАЭ 2038'!G11)+(0.35*LN(1+0.6*'Ход 2038'!B17)*POWER(MAX(0,1-'ОАЭ 2038'!I11/10),0.7))))</x:f>
        <x:v>4.649999999999998</x:v>
      </x:c>
      <x:c r="C11" s="42" t="n">
        <x:f>MIN(1,'ОАЭ 2038'!C11+'ОАЭ 2038'!F11+(0.08*LN(1+0.5*'Ход 2038'!C17)*MAX(0,1-('ОАЭ 2038'!C11+'ОАЭ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4.649999999999998</x:v>
      </x:c>
      <x:c r="J11" s="42"/>
      <x:c r="K11" s="42" t="str">
        <x:v>Производство</x:v>
      </x:c>
      <x:c r="L11" s="42" t="n">
        <x:f>MAX(1,MIN(10,'ОАЭ 2038'!L11+'ОАЭ 2038'!N11+('ОАЭ 2038'!M11+'ОАЭ 2038'!P11+'ОАЭ 2038'!Q11)))</x:f>
        <x:v>10</x:v>
      </x:c>
      <x:c r="M11" s="42" t="n">
        <x:f>MIN(1,'ОАЭ 2038'!M11+'ОАЭ 2038'!P11+(0.10*LN(1+0.5*'Ход 2038'!H13)*POWER(MAX(0,1-'ОАЭ 2038'!S11/10),0.8)))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'ОАЭ 2038'!V11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2038'!B12+'ОАЭ 2038'!D12+('ОАЭ 2038'!C12+'ОАЭ 2038'!F12+'ОАЭ 2038'!G12)+(0.35*LN(1+0.6*'Ход 2038'!B18)*POWER(MAX(0,1-'ОАЭ 2038'!I12/10),0.7))))</x:f>
        <x:v>6.649999999999998</x:v>
      </x:c>
      <x:c r="C12" s="42" t="n">
        <x:f>MIN(1,'ОАЭ 2038'!C12+'ОАЭ 2038'!F12+(0.08*LN(1+0.5*'Ход 2038'!C18)*MAX(0,1-('ОАЭ 2038'!C12+'ОАЭ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6.649999999999998</x:v>
      </x:c>
      <x:c r="J12" s="42"/>
      <x:c r="K12" s="42" t="str">
        <x:v>Управление</x:v>
      </x:c>
      <x:c r="L12" s="42" t="n">
        <x:f>MAX(1,MIN(10,'ОАЭ 2038'!L12+'ОАЭ 2038'!N12+('ОАЭ 2038'!M12+'ОАЭ 2038'!P12+'ОАЭ 2038'!Q12)))</x:f>
        <x:v>10</x:v>
      </x:c>
      <x:c r="M12" s="42" t="n">
        <x:f>MIN(1,'ОАЭ 2038'!M12+'ОАЭ 2038'!P12+(0.10*LN(1+0.5*'Ход 2038'!H14)*POWER(MAX(0,1-'ОАЭ 2038'!S12/10),0.8)))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2038'!V12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2038'!B13+'ОАЭ 2038'!D13+('ОАЭ 2038'!C13+'ОАЭ 2038'!F13+'ОАЭ 2038'!G13)+(0.35*LN(1+0.6*'Ход 2038'!B19)*POWER(MAX(0,1-'ОАЭ 2038'!I13/10),0.7))))</x:f>
        <x:v>5.899999999999998</x:v>
      </x:c>
      <x:c r="C13" s="42" t="n">
        <x:f>MIN(1,'ОАЭ 2038'!C13+'ОАЭ 2038'!F13+(0.08*LN(1+0.5*'Ход 2038'!C19)*MAX(0,1-('ОАЭ 2038'!C13+'ОАЭ 2038'!F13))))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5.899999999999998</x:v>
      </x:c>
      <x:c r="J13" s="42"/>
      <x:c r="K13" s="42" t="str">
        <x:v>Познание</x:v>
      </x:c>
      <x:c r="L13" s="42" t="n">
        <x:f>MAX(1,MIN(10,'ОАЭ 2038'!L13+'ОАЭ 2038'!N13+('ОАЭ 2038'!M13+'ОАЭ 2038'!P13+'ОАЭ 2038'!Q13)))</x:f>
        <x:v>10</x:v>
      </x:c>
      <x:c r="M13" s="42" t="n">
        <x:f>MIN(1,'ОАЭ 2038'!M13+'ОАЭ 2038'!P13+(0.10*LN(1+0.5*'Ход 2038'!H15)*POWER(MAX(0,1-'ОАЭ 2038'!S13/10),0.8)))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'ОАЭ 2038'!V13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2038'!B14+'ОАЭ 2038'!D14+('ОАЭ 2038'!C14+'ОАЭ 2038'!F14+'ОАЭ 2038'!G14)+(0.35*LN(1+0.6*'Ход 2038'!B20)*POWER(MAX(0,1-'ОАЭ 2038'!I14/10),0.7))))</x:f>
        <x:v>10</x:v>
      </x:c>
      <x:c r="C14" s="42" t="n">
        <x:f>MIN(1,'ОАЭ 2038'!C14+'ОАЭ 2038'!F14+(0.08*LN(1+0.5*'Ход 2038'!C20)*MAX(0,1-('ОАЭ 2038'!C14+'ОАЭ 2038'!F14))))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MAX(1,MIN(10,'ОАЭ 2038'!L14+'ОАЭ 2038'!N14+('ОАЭ 2038'!M14+'ОАЭ 2038'!P14+'ОАЭ 2038'!Q14)))</x:f>
        <x:v>10</x:v>
      </x:c>
      <x:c r="M14" s="42" t="n">
        <x:f>MIN(1,'ОАЭ 2038'!M14+'ОАЭ 2038'!P14+(0.10*LN(1+0.5*'Ход 2038'!H16)*POWER(MAX(0,1-'ОАЭ 2038'!S14/10),0.8)))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2038'!V14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2038'!B15+'ОАЭ 2038'!D15+('ОАЭ 2038'!C15+'ОАЭ 2038'!F15+'ОАЭ 2038'!G15)+(0.35*LN(1+0.6*'Ход 2038'!B21)*POWER(MAX(0,1-'ОАЭ 2038'!I15/10),0.7))))</x:f>
        <x:v>10</x:v>
      </x:c>
      <x:c r="C15" s="42" t="n">
        <x:f>MIN(1,'ОАЭ 2038'!C15+'ОАЭ 2038'!F15+(0.08*LN(1+0.5*'Ход 2038'!C21)*MAX(0,1-('ОАЭ 2038'!C15+'ОАЭ 2038'!F15))))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2038'!L15+'ОАЭ 2038'!N15+('ОАЭ 2038'!M15+'ОАЭ 2038'!P15+'ОАЭ 2038'!Q15)))</x:f>
        <x:v>10</x:v>
      </x:c>
      <x:c r="M15" s="42" t="n">
        <x:f>MIN(1,'ОАЭ 2038'!M15+'ОАЭ 2038'!P15+(0.10*LN(1+0.5*'Ход 2038'!H17)*POWER(MAX(0,1-'ОАЭ 2038'!S15/10),0.8)))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'ОАЭ 2038'!V15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2038'!B16+'ОАЭ 2038'!D16+('ОАЭ 2038'!C16+'ОАЭ 2038'!F16+'ОАЭ 2038'!G16)+(0.35*LN(1+0.6*'Ход 2038'!B22)*POWER(MAX(0,1-'ОАЭ 2038'!I16/10),0.7))))</x:f>
        <x:v>10</x:v>
      </x:c>
      <x:c r="C16" s="42" t="n">
        <x:f>MIN(1,'ОАЭ 2038'!C16+'ОАЭ 2038'!F16+(0.08*LN(1+0.5*'Ход 2038'!C22)*MAX(0,1-('ОАЭ 2038'!C16+'ОАЭ 2038'!F16))))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2038'!L16+'ОАЭ 2038'!N16+('ОАЭ 2038'!M16+'ОАЭ 2038'!P16+'ОАЭ 2038'!Q16)))</x:f>
        <x:v>10</x:v>
      </x:c>
      <x:c r="M16" s="42" t="n">
        <x:f>MIN(1,'ОАЭ 2038'!M16+'ОАЭ 2038'!P16+(0.10*LN(1+0.5*'Ход 2038'!H18)*POWER(MAX(0,1-'ОАЭ 2038'!S16/10),0.8)))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2038'!V16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2038'!B17+'ОАЭ 2038'!D17+('ОАЭ 2038'!C17+'ОАЭ 2038'!F17+'ОАЭ 2038'!G17)+(0.35*LN(1+0.6*'Ход 2038'!B23)*POWER(MAX(0,1-'ОАЭ 2038'!I17/10),0.7))))</x:f>
        <x:v>10</x:v>
      </x:c>
      <x:c r="C17" s="42" t="n">
        <x:f>MIN(1,'ОАЭ 2038'!C17+'ОАЭ 2038'!F17+(0.08*LN(1+0.5*'Ход 2038'!C23)*MAX(0,1-('ОАЭ 2038'!C17+'ОАЭ 2038'!F17))))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MAX(1,MIN(10,'ОАЭ 2038'!L17+'ОАЭ 2038'!N17+('ОАЭ 2038'!M17+'ОАЭ 2038'!P17+'ОАЭ 2038'!Q17)))</x:f>
        <x:v>10</x:v>
      </x:c>
      <x:c r="M17" s="42" t="n">
        <x:f>MIN(1,'ОАЭ 2038'!M17+'ОАЭ 2038'!P17+(0.10*LN(1+0.5*'Ход 2038'!H19)*POWER(MAX(0,1-'ОАЭ 2038'!S17/10),0.8)))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2038'!V17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2038'!L18+'ОАЭ 2038'!N18+('ОАЭ 2038'!M18+'ОАЭ 2038'!P18+'ОАЭ 2038'!Q18)))</x:f>
        <x:v>10</x:v>
      </x:c>
      <x:c r="M18" s="42" t="n">
        <x:f>MIN(1,'ОАЭ 2038'!M18+'ОАЭ 2038'!P18+(0.10*LN(1+0.5*'Ход 2038'!H20)*POWER(MAX(0,1-'ОАЭ 2038'!S18/10),0.8)))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2038'!V18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2038'!B19+'ОАЭ 2038'!D19+('ОАЭ 2038'!C19+'ОАЭ 2038'!F19+'ОАЭ 2038'!G19)+(0.35*LN(1+0.6*'Ход 2038'!B25)*POWER(MAX(0,1-'ОАЭ 2038'!I19/10),0.7))))</x:f>
        <x:v>10</x:v>
      </x:c>
      <x:c r="C19" s="42" t="n">
        <x:f>MIN(1,'ОАЭ 2038'!C19+'ОАЭ 2038'!F19+(0.08*LN(1+0.5*'Ход 2038'!C25)*MAX(0,1-('ОАЭ 2038'!C19+'ОАЭ 2038'!F19))))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2038'!V19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2038'!B20+'ОАЭ 2038'!D20+('ОАЭ 2038'!C20+'ОАЭ 2038'!F20+'ОАЭ 2038'!G20)+(0.35*LN(1+0.6*'Ход 2038'!B26)*POWER(MAX(0,1-'ОАЭ 2038'!I20/10),0.7))))</x:f>
        <x:v>10</x:v>
      </x:c>
      <x:c r="C20" s="42" t="n">
        <x:f>MIN(1,'ОАЭ 2038'!C20+'ОАЭ 2038'!F20+(0.08*LN(1+0.5*'Ход 2038'!C26)*MAX(0,1-('ОАЭ 2038'!C20+'ОАЭ 2038'!F20))))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2038'!B21+'ОАЭ 2038'!D21+('ОАЭ 2038'!C21+'ОАЭ 2038'!F21+'ОАЭ 2038'!G21)+(0.35*LN(1+0.6*'Ход 2038'!B27)*POWER(MAX(0,1-'ОАЭ 2038'!I21/10),0.7))))</x:f>
        <x:v>10</x:v>
      </x:c>
      <x:c r="C21" s="42" t="n">
        <x:f>MIN(1,'ОАЭ 2038'!C21+'ОАЭ 2038'!F21+(0.08*LN(1+0.5*'Ход 2038'!C27)*MAX(0,1-('ОАЭ 2038'!C21+'ОАЭ 2038'!F21))))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2038'!V21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2038'!B22+'ОАЭ 2038'!D22+('ОАЭ 2038'!C22+'ОАЭ 2038'!F22+'ОАЭ 2038'!G22)+(0.35*LN(1+0.6*'Ход 2038'!B28)*POWER(MAX(0,1-'ОАЭ 2038'!I22/10),0.7))))</x:f>
        <x:v>9.599999999999994</x:v>
      </x:c>
      <x:c r="C22" s="42" t="n">
        <x:f>MIN(1,'ОАЭ 2038'!C22+'ОАЭ 2038'!F22+(0.08*LN(1+0.5*'Ход 2038'!C28)*MAX(0,1-('ОАЭ 2038'!C22+'ОАЭ 2038'!F22))))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9.599999999999994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2038'!V22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2038'!B23+'ОАЭ 2038'!D23+('ОАЭ 2038'!C23+'ОАЭ 2038'!F23+'ОАЭ 2038'!G23)+(0.35*LN(1+0.6*'Ход 2038'!B29)*POWER(MAX(0,1-'ОАЭ 2038'!I23/10),0.7))))</x:f>
        <x:v>10</x:v>
      </x:c>
      <x:c r="C23" s="42" t="n">
        <x:f>MIN(1,'ОАЭ 2038'!C23+'ОАЭ 2038'!F23+(0.08*LN(1+0.5*'Ход 2038'!C29)*MAX(0,1-('ОАЭ 2038'!C23+'ОАЭ 2038'!F23))))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2038'!V23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2038'!V24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2038'!B25+'ОАЭ 2038'!D25+('ОАЭ 2038'!C25+'ОАЭ 2038'!F25+'ОАЭ 2038'!G25)+(0.35*LN(1+0.6*'Ход 2038'!B31)*POWER(MAX(0,1-'ОАЭ 2038'!I25/10),0.7))))</x:f>
        <x:v>10</x:v>
      </x:c>
      <x:c r="C25" s="42" t="n">
        <x:f>MIN(1,'ОАЭ 2038'!C25+'ОАЭ 2038'!F25+(0.08*LN(1+0.5*'Ход 2038'!C31)*MAX(0,1-('ОАЭ 2038'!C25+'ОАЭ 2038'!F25))))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2038'!V25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2038'!B26+'ОАЭ 2038'!D26+('ОАЭ 2038'!C26+'ОАЭ 2038'!F26+'ОАЭ 2038'!G26)+(0.35*LN(1+0.6*'Ход 2038'!B32)*POWER(MAX(0,1-'ОАЭ 2038'!I26/10),0.7))))</x:f>
        <x:v>10</x:v>
      </x:c>
      <x:c r="C26" s="42" t="n">
        <x:f>MIN(1,'ОАЭ 2038'!C26+'ОАЭ 2038'!F26+(0.08*LN(1+0.5*'Ход 2038'!C32)*MAX(0,1-('ОАЭ 2038'!C26+'ОАЭ 2038'!F26))))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2038'!B27+'ОАЭ 2038'!D27+('ОАЭ 2038'!C27+'ОАЭ 2038'!F27+'ОАЭ 2038'!G27)+(0.35*LN(1+0.6*'Ход 2038'!B33)*POWER(MAX(0,1-'ОАЭ 2038'!I27/10),0.7))))</x:f>
        <x:v>10</x:v>
      </x:c>
      <x:c r="C27" s="42" t="n">
        <x:f>MIN(1,'ОАЭ 2038'!C27+'ОАЭ 2038'!F27+(0.08*LN(1+0.5*'Ход 2038'!C33)*MAX(0,1-('ОАЭ 2038'!C27+'ОАЭ 2038'!F27))))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2038'!B28+'ОАЭ 2038'!D28+('ОАЭ 2038'!C28+'ОАЭ 2038'!F28+'ОАЭ 2038'!G28)+(0.35*LN(1+0.6*'Ход 2038'!B34)*POWER(MAX(0,1-'ОАЭ 2038'!I28/10),0.7))))</x:f>
        <x:v>10</x:v>
      </x:c>
      <x:c r="C28" s="42" t="n">
        <x:f>MIN(1,'ОАЭ 2038'!C28+'ОАЭ 2038'!F28+(0.08*LN(1+0.5*'Ход 2038'!C34)*MAX(0,1-('ОАЭ 2038'!C28+'ОАЭ 2038'!F28))))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2038'!B29+'ОАЭ 2038'!D29+('ОАЭ 2038'!C29+'ОАЭ 2038'!F29+'ОАЭ 2038'!G29)+(0.35*LN(1+0.6*'Ход 2038'!B35)*POWER(MAX(0,1-'ОАЭ 2038'!I29/10),0.7))))</x:f>
        <x:v>10</x:v>
      </x:c>
      <x:c r="C29" s="42" t="n">
        <x:f>MIN(1,'ОАЭ 2038'!C29+'ОАЭ 2038'!F29+(0.08*LN(1+0.5*'Ход 2038'!C35)*MAX(0,1-('ОАЭ 2038'!C29+'ОАЭ 2038'!F29))))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2038'!B30+'ОАЭ 2038'!D30+('ОАЭ 2038'!C30+'ОАЭ 2038'!F30+'ОАЭ 2038'!G30)+(0.35*LN(1+0.6*'Ход 2038'!B36)*POWER(MAX(0,1-'ОАЭ 2038'!I30/10),0.7))))</x:f>
        <x:v>10</x:v>
      </x:c>
      <x:c r="C30" s="42" t="n">
        <x:f>MIN(1,'ОАЭ 2038'!C30+'ОАЭ 2038'!F30+(0.08*LN(1+0.5*'Ход 2038'!C36)*MAX(0,1-('ОАЭ 2038'!C30+'ОАЭ 2038'!F30))))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2038'!B31+'ОАЭ 2038'!D31+('ОАЭ 2038'!C31+'ОАЭ 2038'!F31+'ОАЭ 2038'!G31)+(0.35*LN(1+0.6*'Ход 2038'!B37)*POWER(MAX(0,1-'ОАЭ 2038'!I31/10),0.7))))</x:f>
        <x:v>10</x:v>
      </x:c>
      <x:c r="C31" s="42" t="n">
        <x:f>MIN(1,'ОАЭ 2038'!C31+'ОАЭ 2038'!F31+(0.08*LN(1+0.5*'Ход 2038'!C37)*MAX(0,1-('ОАЭ 2038'!C31+'ОАЭ 2038'!F31))))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10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2038'!B32+'ОАЭ 2038'!D32+('ОАЭ 2038'!C32+'ОАЭ 2038'!F32+'ОАЭ 2038'!G32)+(0.35*LN(1+0.6*'Ход 2038'!B38)*POWER(MAX(0,1-'ОАЭ 2038'!I32/10),0.7))))</x:f>
        <x:v>10</x:v>
      </x:c>
      <x:c r="C32" s="42" t="n">
        <x:f>MIN(1,'ОАЭ 2038'!C32+'ОАЭ 2038'!F32+(0.08*LN(1+0.5*'Ход 2038'!C38)*MAX(0,1-('ОАЭ 2038'!C32+'ОАЭ 2038'!F32))))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2038'!B34+'ОАЭ 2038'!D34+('ОАЭ 2038'!C34+'ОАЭ 2038'!F34+'ОАЭ 2038'!G34)+(0.35*LN(1+0.6*'Ход 2038'!B40)*POWER(MAX(0,1-'ОАЭ 2038'!I34/10),0.7))))</x:f>
        <x:v>10</x:v>
      </x:c>
      <x:c r="C34" s="42" t="n">
        <x:f>MIN(1,'ОАЭ 2038'!C34+'ОАЭ 2038'!F34+(0.08*LN(1+0.5*'Ход 2038'!C40)*MAX(0,1-('ОАЭ 2038'!C34+'ОАЭ 2038'!F34))))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2038'!B35+'ОАЭ 2038'!D35+('ОАЭ 2038'!C35+'ОАЭ 2038'!F35+'ОАЭ 2038'!G35)+(0.35*LN(1+0.6*'Ход 2038'!B41)*POWER(MAX(0,1-'ОАЭ 2038'!I35/10),0.7))))</x:f>
        <x:v>9.950000000000005</x:v>
      </x:c>
      <x:c r="C35" s="42" t="n">
        <x:f>MIN(1,'ОАЭ 2038'!C35+'ОАЭ 2038'!F35+(0.08*LN(1+0.5*'Ход 2038'!C41)*MAX(0,1-('ОАЭ 2038'!C35+'ОАЭ 2038'!F35))))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9.950000000000005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2038'!B36+'ОАЭ 2038'!D36+('ОАЭ 2038'!C36+'ОАЭ 2038'!F36+'ОАЭ 2038'!G36)+(0.35*LN(1+0.6*'Ход 2038'!B42)*POWER(MAX(0,1-'ОАЭ 2038'!I36/10),0.7))))</x:f>
        <x:v>10</x:v>
      </x:c>
      <x:c r="C36" s="42" t="n">
        <x:f>MIN(1,'ОАЭ 2038'!C36+'ОАЭ 2038'!F36+(0.08*LN(1+0.5*'Ход 2038'!C42)*MAX(0,1-('ОАЭ 2038'!C36+'ОАЭ 2038'!F36))))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2038'!B37+'ОАЭ 2038'!D37+('ОАЭ 2038'!C37+'ОАЭ 2038'!F37+'ОАЭ 2038'!G37)+(0.35*LN(1+0.6*'Ход 2038'!B43)*POWER(MAX(0,1-'ОАЭ 2038'!I37/10),0.7))))</x:f>
        <x:v>10</x:v>
      </x:c>
      <x:c r="C37" s="42" t="n">
        <x:f>MIN(1,'ОАЭ 2038'!C37+'ОАЭ 2038'!F37+(0.08*LN(1+0.5*'Ход 2038'!C43)*MAX(0,1-('ОАЭ 2038'!C37+'ОАЭ 2038'!F37))))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2038'!B38+'ОАЭ 2038'!D38+('ОАЭ 2038'!C38+'ОАЭ 2038'!F38+'ОАЭ 2038'!G38)+(0.35*LN(1+0.6*'Ход 2038'!B44)*POWER(MAX(0,1-'ОАЭ 2038'!I38/10),0.7))))</x:f>
        <x:v>10</x:v>
      </x:c>
      <x:c r="C38" s="42" t="n">
        <x:f>MIN(1,'ОАЭ 2038'!C38+'ОАЭ 2038'!F38+(0.08*LN(1+0.5*'Ход 2038'!C44)*MAX(0,1-('ОАЭ 2038'!C38+'ОАЭ 2038'!F38))))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2038'!B39+'ОАЭ 2038'!D39+('ОАЭ 2038'!C39+'ОАЭ 2038'!F39+'ОАЭ 2038'!G39)+(0.35*LN(1+0.6*'Ход 2038'!B45)*POWER(MAX(0,1-'ОАЭ 2038'!I39/10),0.7))))</x:f>
        <x:v>10</x:v>
      </x:c>
      <x:c r="C39" s="42" t="n">
        <x:f>MIN(1,'ОАЭ 2038'!C39+'ОАЭ 2038'!F39+(0.08*LN(1+0.5*'Ход 2038'!C45)*MAX(0,1-('ОАЭ 2038'!C39+'ОАЭ 2038'!F39))))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2038'!B40+'ОАЭ 2038'!D40+('ОАЭ 2038'!C40+'ОАЭ 2038'!F40+'ОАЭ 2038'!G40)+(0.35*LN(1+0.6*'Ход 2038'!B46)*POWER(MAX(0,1-'ОАЭ 2038'!I40/10),0.7))))</x:f>
        <x:v>10</x:v>
      </x:c>
      <x:c r="C40" s="42" t="n">
        <x:f>MIN(1,'ОАЭ 2038'!C40+'ОАЭ 2038'!F40+(0.08*LN(1+0.5*'Ход 2038'!C46)*MAX(0,1-('ОАЭ 2038'!C40+'ОАЭ 2038'!F40))))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2038'!B41+'ОАЭ 2038'!D41+('ОАЭ 2038'!C41+'ОАЭ 2038'!F41+'ОАЭ 2038'!G41)+(0.35*LN(1+0.6*'Ход 2038'!B47)*POWER(MAX(0,1-'ОАЭ 2038'!I41/10),0.7))))</x:f>
        <x:v>10</x:v>
      </x:c>
      <x:c r="C41" s="42" t="n">
        <x:f>MIN(1,'ОАЭ 2038'!C41+'ОАЭ 2038'!F41+(0.08*LN(1+0.5*'Ход 2038'!C47)*MAX(0,1-('ОАЭ 2038'!C41+'ОАЭ 2038'!F41))))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2038'!B42+'ОАЭ 2038'!D42+('ОАЭ 2038'!C42+'ОАЭ 2038'!F42+'ОАЭ 2038'!G42)+(0.35*LN(1+0.6*'Ход 2038'!B48)*POWER(MAX(0,1-'ОАЭ 2038'!I42/10),0.7))))</x:f>
        <x:v>10</x:v>
      </x:c>
      <x:c r="C42" s="42" t="n">
        <x:f>MIN(1,'ОАЭ 2038'!C42+'ОАЭ 2038'!F42+(0.08*LN(1+0.5*'Ход 2038'!C48)*MAX(0,1-('ОАЭ 2038'!C42+'ОАЭ 2038'!F42))))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2038'!B44+'ОАЭ 2038'!D44+('ОАЭ 2038'!C44+'ОАЭ 2038'!F44+'ОАЭ 2038'!G44)+(0.35*LN(1+0.6*'Ход 2038'!B50)*POWER(MAX(0,1-'ОАЭ 2038'!I44/10),0.7))))</x:f>
        <x:v>9.950000000000005</x:v>
      </x:c>
      <x:c r="C44" s="42" t="n">
        <x:f>MIN(1,'ОАЭ 2038'!C44+'ОАЭ 2038'!F44+(0.08*LN(1+0.5*'Ход 2038'!C50)*MAX(0,1-('ОАЭ 2038'!C44+'ОАЭ 2038'!F44))))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9.950000000000005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2038'!B45+'ОАЭ 2038'!D45+('ОАЭ 2038'!C45+'ОАЭ 2038'!F45+'ОАЭ 2038'!G45)+(0.35*LN(1+0.6*'Ход 2038'!B51)*POWER(MAX(0,1-'ОАЭ 2038'!I45/10),0.7))))</x:f>
        <x:v>10</x:v>
      </x:c>
      <x:c r="C45" s="42" t="n">
        <x:f>MIN(1,'ОАЭ 2038'!C45+'ОАЭ 2038'!F45+(0.08*LN(1+0.5*'Ход 2038'!C51)*MAX(0,1-('ОАЭ 2038'!C45+'ОАЭ 2038'!F45))))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2038'!B46+'ОАЭ 2038'!D46+('ОАЭ 2038'!C46+'ОАЭ 2038'!F46+'ОАЭ 2038'!G46)+(0.35*LN(1+0.6*'Ход 2038'!B52)*POWER(MAX(0,1-'ОАЭ 2038'!I46/10),0.7))))</x:f>
        <x:v>10</x:v>
      </x:c>
      <x:c r="C46" s="42" t="n">
        <x:f>MIN(1,'ОАЭ 2038'!C46+'ОАЭ 2038'!F46+(0.08*LN(1+0.5*'Ход 2038'!C52)*MAX(0,1-('ОАЭ 2038'!C46+'ОАЭ 2038'!F46))))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2038'!B47+'ОАЭ 2038'!D47+('ОАЭ 2038'!C47+'ОАЭ 2038'!F47+'ОАЭ 2038'!G47)+(0.35*LN(1+0.6*'Ход 2038'!B53)*POWER(MAX(0,1-'ОАЭ 2038'!I47/10),0.7))))</x:f>
        <x:v>9.299999999999995</x:v>
      </x:c>
      <x:c r="C47" s="42" t="n">
        <x:f>MIN(1,'ОАЭ 2038'!C47+'ОАЭ 2038'!F47+(0.08*LN(1+0.5*'Ход 2038'!C53)*MAX(0,1-('ОАЭ 2038'!C47+'ОАЭ 2038'!F47))))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9.299999999999995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2038'!B48+'ОАЭ 2038'!D48+('ОАЭ 2038'!C48+'ОАЭ 2038'!F48+'ОАЭ 2038'!G48)+(0.35*LN(1+0.6*'Ход 2038'!B54)*POWER(MAX(0,1-'ОАЭ 2038'!I48/10),0.7))))</x:f>
        <x:v>9.299999999999995</x:v>
      </x:c>
      <x:c r="C48" s="42" t="n">
        <x:f>MIN(1,'ОАЭ 2038'!C48+'ОАЭ 2038'!F48+(0.08*LN(1+0.5*'Ход 2038'!C54)*MAX(0,1-('ОАЭ 2038'!C48+'ОАЭ 2038'!F48))))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9.299999999999995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2038'!B49+'ОАЭ 2038'!D49+('ОАЭ 2038'!C49+'ОАЭ 2038'!F49+'ОАЭ 2038'!G49)+(0.35*LN(1+0.6*'Ход 2038'!B55)*POWER(MAX(0,1-'ОАЭ 2038'!I49/10),0.7))))</x:f>
        <x:v>10</x:v>
      </x:c>
      <x:c r="C49" s="42" t="n">
        <x:f>MIN(1,'ОАЭ 2038'!C49+'ОАЭ 2038'!F49+(0.08*LN(1+0.5*'Ход 2038'!C55)*MAX(0,1-('ОАЭ 2038'!C49+'ОАЭ 2038'!F49))))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2038'!B50+'ОАЭ 2038'!D50+('ОАЭ 2038'!C50+'ОАЭ 2038'!F50+'ОАЭ 2038'!G50)+(0.35*LN(1+0.6*'Ход 2038'!B56)*POWER(MAX(0,1-'ОАЭ 2038'!I50/10),0.7))))</x:f>
        <x:v>9.65000000000001</x:v>
      </x:c>
      <x:c r="C50" s="42" t="n">
        <x:f>MIN(1,'ОАЭ 2038'!C50+'ОАЭ 2038'!F50+(0.08*LN(1+0.5*'Ход 2038'!C56)*MAX(0,1-('ОАЭ 2038'!C50+'ОАЭ 2038'!F50))))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2038'!B51+'ОАЭ 2038'!D51+('ОАЭ 2038'!C51+'ОАЭ 2038'!F51+'ОАЭ 2038'!G51)+(0.35*LN(1+0.6*'Ход 2038'!B57)*POWER(MAX(0,1-'ОАЭ 2038'!I51/10),0.7))))</x:f>
        <x:v>10</x:v>
      </x:c>
      <x:c r="C51" s="42" t="n">
        <x:f>MIN(1,'ОАЭ 2038'!C51+'ОАЭ 2038'!F51+(0.08*LN(1+0.5*'Ход 2038'!C57)*MAX(0,1-('ОАЭ 2038'!C51+'ОАЭ 2038'!F51))))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2038'!B53+'ОАЭ 2038'!D53+('ОАЭ 2038'!C53+'ОАЭ 2038'!F53+'ОАЭ 2038'!G53)+(0.35*LN(1+0.6*'Ход 2038'!B59)*POWER(MAX(0,1-'ОАЭ 2038'!I53/10),0.7))))</x:f>
        <x:v>10</x:v>
      </x:c>
      <x:c r="C53" s="42" t="n">
        <x:f>MIN(1,'ОАЭ 2038'!C53+'ОАЭ 2038'!F53+(0.08*LN(1+0.5*'Ход 2038'!C59)*MAX(0,1-('ОАЭ 2038'!C53+'ОАЭ 2038'!F53))))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2038'!B54+'ОАЭ 2038'!D54+('ОАЭ 2038'!C54+'ОАЭ 2038'!F54+'ОАЭ 2038'!G54)+(0.35*LN(1+0.6*'Ход 2038'!B60)*POWER(MAX(0,1-'ОАЭ 2038'!I54/10),0.7))))</x:f>
        <x:v>10</x:v>
      </x:c>
      <x:c r="C54" s="42" t="n">
        <x:f>MIN(1,'ОАЭ 2038'!C54+'ОАЭ 2038'!F54+(0.08*LN(1+0.5*'Ход 2038'!C60)*MAX(0,1-('ОАЭ 2038'!C54+'ОАЭ 2038'!F54))))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2038'!B55+'ОАЭ 2038'!D55+('ОАЭ 2038'!C55+'ОАЭ 2038'!F55+'ОАЭ 2038'!G55)+(0.35*LN(1+0.6*'Ход 2038'!B61)*POWER(MAX(0,1-'ОАЭ 2038'!I55/10),0.7))))</x:f>
        <x:v>8.950000000000005</x:v>
      </x:c>
      <x:c r="C55" s="42" t="n">
        <x:f>MIN(1,'ОАЭ 2038'!C55+'ОАЭ 2038'!F55+(0.08*LN(1+0.5*'Ход 2038'!C61)*MAX(0,1-('ОАЭ 2038'!C55+'ОАЭ 2038'!F55))))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8.950000000000005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2039'!U6</x:f>
        <x:v>98.14841009818657</x:v>
      </x:c>
      <x:c r="C6" s="42"/>
      <x:c r="D6" s="42"/>
      <x:c r="E6" s="42" t="str">
        <x:v>Доступно</x:v>
      </x:c>
      <x:c r="F6" s="42" t="n">
        <x:f>'ОАЭ 2039'!K6</x:f>
        <x:v>82.63300586541995</x:v>
      </x:c>
      <x:c r="G6" s="42"/>
      <x:c r="H6" s="42"/>
      <x:c r="I6" s="42" t="str">
        <x:v>Доступно</x:v>
      </x:c>
      <x:c r="J6" s="42" t="n">
        <x:f>'ОАЭ 2039'!N6</x:f>
        <x:v>76.73172998595616</x:v>
      </x:c>
      <x:c r="K6" s="42"/>
      <x:c r="L6" s="42"/>
      <x:c r="M6" s="42" t="str">
        <x:v>Доступно</x:v>
      </x:c>
      <x:c r="N6" s="42" t="n">
        <x:f>'ОАЭ 2039'!Q6</x:f>
        <x:v>91.50304092844145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98.14841009818657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82.63300586541995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76.73172998595616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91.50304092844145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2039'!V11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78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2039'!V12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20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2039'!V13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67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2039'!V14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45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2039'!V15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32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2039'!V16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30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2039'!V17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75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2039'!V18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53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2039'!V19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26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2039'!V20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2039'!V21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52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2039'!V22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23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2039'!V23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21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2039'!V24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12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2039'!V25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77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82.83964845316504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76.7538110666236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91.56177886166859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98.26591741888346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2039'!B8+'ОАЭ 2039'!D8+('ОАЭ 2039'!C8+'ОАЭ 2039'!F8+'ОАЭ 2039'!G8)+(0.35*LN(1+0.6*'Ход 2039'!B14)*POWER(MAX(0,1-'ОАЭ 2039'!I8/10),0.7))))</x:f>
        <x:v>8.200000000000001</x:v>
      </x:c>
      <x:c r="C8" s="42" t="n">
        <x:f>MIN(1,'ОАЭ 2039'!C8+'ОАЭ 2039'!F8+(0.08*LN(1+0.5*'Ход 2039'!C14)*MAX(0,1-('ОАЭ 2039'!C8+'ОАЭ 2039'!F8))))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8.200000000000001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2039'!B9+'ОАЭ 2039'!D9+('ОАЭ 2039'!C9+'ОАЭ 2039'!F9+'ОАЭ 2039'!G9)+(0.35*LN(1+0.6*'Ход 2039'!B15)*POWER(MAX(0,1-'ОАЭ 2039'!I9/10),0.7))))</x:f>
        <x:v>8.899999999999995</x:v>
      </x:c>
      <x:c r="C9" s="42" t="n">
        <x:f>MIN(1,'ОАЭ 2039'!C9+'ОАЭ 2039'!F9+(0.08*LN(1+0.5*'Ход 2039'!C15)*MAX(0,1-('ОАЭ 2039'!C9+'ОАЭ 2039'!F9))))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8.899999999999995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2039'!B10+'ОАЭ 2039'!D10+('ОАЭ 2039'!C10+'ОАЭ 2039'!F10+'ОАЭ 2039'!G10)+(0.35*LN(1+0.6*'Ход 2039'!B16)*POWER(MAX(0,1-'ОАЭ 2039'!I10/10),0.7))))</x:f>
        <x:v>10</x:v>
      </x:c>
      <x:c r="C10" s="42" t="n">
        <x:f>MIN(1,'ОАЭ 2039'!C10+'ОАЭ 2039'!F10+(0.08*LN(1+0.5*'Ход 2039'!C16)*MAX(0,1-('ОАЭ 2039'!C10+'ОАЭ 2039'!F10))))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2039'!B11+'ОАЭ 2039'!D11+('ОАЭ 2039'!C11+'ОАЭ 2039'!F11+'ОАЭ 2039'!G11)+(0.35*LN(1+0.6*'Ход 2039'!B17)*POWER(MAX(0,1-'ОАЭ 2039'!I11/10),0.7))))</x:f>
        <x:v>4.6999999999999975</x:v>
      </x:c>
      <x:c r="C11" s="42" t="n">
        <x:f>MIN(1,'ОАЭ 2039'!C11+'ОАЭ 2039'!F11+(0.08*LN(1+0.5*'Ход 2039'!C17)*MAX(0,1-('ОАЭ 2039'!C11+'ОАЭ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4.6999999999999975</x:v>
      </x:c>
      <x:c r="J11" s="42"/>
      <x:c r="K11" s="42" t="str">
        <x:v>Производство</x:v>
      </x:c>
      <x:c r="L11" s="42" t="n">
        <x:f>MAX(1,MIN(10,'ОАЭ 2039'!L11+'ОАЭ 2039'!N11+('ОАЭ 2039'!M11+'ОАЭ 2039'!P11+'ОАЭ 2039'!Q11)))</x:f>
        <x:v>10</x:v>
      </x:c>
      <x:c r="M11" s="42" t="n">
        <x:f>MIN(1,'ОАЭ 2039'!M11+'ОАЭ 2039'!P11+(0.10*LN(1+0.5*'Ход 2039'!H13)*POWER(MAX(0,1-'ОАЭ 2039'!S11/10),0.8)))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'ОАЭ 2039'!V11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2039'!B12+'ОАЭ 2039'!D12+('ОАЭ 2039'!C12+'ОАЭ 2039'!F12+'ОАЭ 2039'!G12)+(0.35*LN(1+0.6*'Ход 2039'!B18)*POWER(MAX(0,1-'ОАЭ 2039'!I12/10),0.7))))</x:f>
        <x:v>6.6999999999999975</x:v>
      </x:c>
      <x:c r="C12" s="42" t="n">
        <x:f>MIN(1,'ОАЭ 2039'!C12+'ОАЭ 2039'!F12+(0.08*LN(1+0.5*'Ход 2039'!C18)*MAX(0,1-('ОАЭ 2039'!C12+'ОАЭ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6.6999999999999975</x:v>
      </x:c>
      <x:c r="J12" s="42"/>
      <x:c r="K12" s="42" t="str">
        <x:v>Управление</x:v>
      </x:c>
      <x:c r="L12" s="42" t="n">
        <x:f>MAX(1,MIN(10,'ОАЭ 2039'!L12+'ОАЭ 2039'!N12+('ОАЭ 2039'!M12+'ОАЭ 2039'!P12+'ОАЭ 2039'!Q12)))</x:f>
        <x:v>10</x:v>
      </x:c>
      <x:c r="M12" s="42" t="n">
        <x:f>MIN(1,'ОАЭ 2039'!M12+'ОАЭ 2039'!P12+(0.10*LN(1+0.5*'Ход 2039'!H14)*POWER(MAX(0,1-'ОАЭ 2039'!S12/10),0.8)))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2039'!V12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2039'!B13+'ОАЭ 2039'!D13+('ОАЭ 2039'!C13+'ОАЭ 2039'!F13+'ОАЭ 2039'!G13)+(0.35*LN(1+0.6*'Ход 2039'!B19)*POWER(MAX(0,1-'ОАЭ 2039'!I13/10),0.7))))</x:f>
        <x:v>6.1999999999999975</x:v>
      </x:c>
      <x:c r="C13" s="42" t="n">
        <x:f>MIN(1,'ОАЭ 2039'!C13+'ОАЭ 2039'!F13+(0.08*LN(1+0.5*'Ход 2039'!C19)*MAX(0,1-('ОАЭ 2039'!C13+'ОАЭ 2039'!F13))))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6.1999999999999975</x:v>
      </x:c>
      <x:c r="J13" s="42"/>
      <x:c r="K13" s="42" t="str">
        <x:v>Познание</x:v>
      </x:c>
      <x:c r="L13" s="42" t="n">
        <x:f>MAX(1,MIN(10,'ОАЭ 2039'!L13+'ОАЭ 2039'!N13+('ОАЭ 2039'!M13+'ОАЭ 2039'!P13+'ОАЭ 2039'!Q13)))</x:f>
        <x:v>10</x:v>
      </x:c>
      <x:c r="M13" s="42" t="n">
        <x:f>MIN(1,'ОАЭ 2039'!M13+'ОАЭ 2039'!P13+(0.10*LN(1+0.5*'Ход 2039'!H15)*POWER(MAX(0,1-'ОАЭ 2039'!S13/10),0.8)))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'ОАЭ 2039'!V13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2039'!B14+'ОАЭ 2039'!D14+('ОАЭ 2039'!C14+'ОАЭ 2039'!F14+'ОАЭ 2039'!G14)+(0.35*LN(1+0.6*'Ход 2039'!B20)*POWER(MAX(0,1-'ОАЭ 2039'!I14/10),0.7))))</x:f>
        <x:v>10</x:v>
      </x:c>
      <x:c r="C14" s="42" t="n">
        <x:f>MIN(1,'ОАЭ 2039'!C14+'ОАЭ 2039'!F14+(0.08*LN(1+0.5*'Ход 2039'!C20)*MAX(0,1-('ОАЭ 2039'!C14+'ОАЭ 2039'!F14))))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MAX(1,MIN(10,'ОАЭ 2039'!L14+'ОАЭ 2039'!N14+('ОАЭ 2039'!M14+'ОАЭ 2039'!P14+'ОАЭ 2039'!Q14)))</x:f>
        <x:v>10</x:v>
      </x:c>
      <x:c r="M14" s="42" t="n">
        <x:f>MIN(1,'ОАЭ 2039'!M14+'ОАЭ 2039'!P14+(0.10*LN(1+0.5*'Ход 2039'!H16)*POWER(MAX(0,1-'ОАЭ 2039'!S14/10),0.8)))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2039'!V14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2039'!B15+'ОАЭ 2039'!D15+('ОАЭ 2039'!C15+'ОАЭ 2039'!F15+'ОАЭ 2039'!G15)+(0.35*LN(1+0.6*'Ход 2039'!B21)*POWER(MAX(0,1-'ОАЭ 2039'!I15/10),0.7))))</x:f>
        <x:v>10</x:v>
      </x:c>
      <x:c r="C15" s="42" t="n">
        <x:f>MIN(1,'ОАЭ 2039'!C15+'ОАЭ 2039'!F15+(0.08*LN(1+0.5*'Ход 2039'!C21)*MAX(0,1-('ОАЭ 2039'!C15+'ОАЭ 2039'!F15))))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2039'!L15+'ОАЭ 2039'!N15+('ОАЭ 2039'!M15+'ОАЭ 2039'!P15+'ОАЭ 2039'!Q15)))</x:f>
        <x:v>10</x:v>
      </x:c>
      <x:c r="M15" s="42" t="n">
        <x:f>MIN(1,'ОАЭ 2039'!M15+'ОАЭ 2039'!P15+(0.10*LN(1+0.5*'Ход 2039'!H17)*POWER(MAX(0,1-'ОАЭ 2039'!S15/10),0.8)))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'ОАЭ 2039'!V15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2039'!B16+'ОАЭ 2039'!D16+('ОАЭ 2039'!C16+'ОАЭ 2039'!F16+'ОАЭ 2039'!G16)+(0.35*LN(1+0.6*'Ход 2039'!B22)*POWER(MAX(0,1-'ОАЭ 2039'!I16/10),0.7))))</x:f>
        <x:v>10</x:v>
      </x:c>
      <x:c r="C16" s="42" t="n">
        <x:f>MIN(1,'ОАЭ 2039'!C16+'ОАЭ 2039'!F16+(0.08*LN(1+0.5*'Ход 2039'!C22)*MAX(0,1-('ОАЭ 2039'!C16+'ОАЭ 2039'!F16))))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2039'!L16+'ОАЭ 2039'!N16+('ОАЭ 2039'!M16+'ОАЭ 2039'!P16+'ОАЭ 2039'!Q16)))</x:f>
        <x:v>10</x:v>
      </x:c>
      <x:c r="M16" s="42" t="n">
        <x:f>MIN(1,'ОАЭ 2039'!M16+'ОАЭ 2039'!P16+(0.10*LN(1+0.5*'Ход 2039'!H18)*POWER(MAX(0,1-'ОАЭ 2039'!S16/10),0.8)))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2039'!V16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2039'!B17+'ОАЭ 2039'!D17+('ОАЭ 2039'!C17+'ОАЭ 2039'!F17+'ОАЭ 2039'!G17)+(0.35*LN(1+0.6*'Ход 2039'!B23)*POWER(MAX(0,1-'ОАЭ 2039'!I17/10),0.7))))</x:f>
        <x:v>10</x:v>
      </x:c>
      <x:c r="C17" s="42" t="n">
        <x:f>MIN(1,'ОАЭ 2039'!C17+'ОАЭ 2039'!F17+(0.08*LN(1+0.5*'Ход 2039'!C23)*MAX(0,1-('ОАЭ 2039'!C17+'ОАЭ 2039'!F17))))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MAX(1,MIN(10,'ОАЭ 2039'!L17+'ОАЭ 2039'!N17+('ОАЭ 2039'!M17+'ОАЭ 2039'!P17+'ОАЭ 2039'!Q17)))</x:f>
        <x:v>10</x:v>
      </x:c>
      <x:c r="M17" s="42" t="n">
        <x:f>MIN(1,'ОАЭ 2039'!M17+'ОАЭ 2039'!P17+(0.10*LN(1+0.5*'Ход 2039'!H19)*POWER(MAX(0,1-'ОАЭ 2039'!S17/10),0.8)))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2039'!V17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2039'!L18+'ОАЭ 2039'!N18+('ОАЭ 2039'!M18+'ОАЭ 2039'!P18+'ОАЭ 2039'!Q18)))</x:f>
        <x:v>10</x:v>
      </x:c>
      <x:c r="M18" s="42" t="n">
        <x:f>MIN(1,'ОАЭ 2039'!M18+'ОАЭ 2039'!P18+(0.10*LN(1+0.5*'Ход 2039'!H20)*POWER(MAX(0,1-'ОАЭ 2039'!S18/10),0.8)))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2039'!V18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2039'!B19+'ОАЭ 2039'!D19+('ОАЭ 2039'!C19+'ОАЭ 2039'!F19+'ОАЭ 2039'!G19)+(0.35*LN(1+0.6*'Ход 2039'!B25)*POWER(MAX(0,1-'ОАЭ 2039'!I19/10),0.7))))</x:f>
        <x:v>10</x:v>
      </x:c>
      <x:c r="C19" s="42" t="n">
        <x:f>MIN(1,'ОАЭ 2039'!C19+'ОАЭ 2039'!F19+(0.08*LN(1+0.5*'Ход 2039'!C25)*MAX(0,1-('ОАЭ 2039'!C19+'ОАЭ 2039'!F19))))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2039'!V19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2039'!B20+'ОАЭ 2039'!D20+('ОАЭ 2039'!C20+'ОАЭ 2039'!F20+'ОАЭ 2039'!G20)+(0.35*LN(1+0.6*'Ход 2039'!B26)*POWER(MAX(0,1-'ОАЭ 2039'!I20/10),0.7))))</x:f>
        <x:v>10</x:v>
      </x:c>
      <x:c r="C20" s="42" t="n">
        <x:f>MIN(1,'ОАЭ 2039'!C20+'ОАЭ 2039'!F20+(0.08*LN(1+0.5*'Ход 2039'!C26)*MAX(0,1-('ОАЭ 2039'!C20+'ОАЭ 2039'!F20))))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2039'!V20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2039'!B21+'ОАЭ 2039'!D21+('ОАЭ 2039'!C21+'ОАЭ 2039'!F21+'ОАЭ 2039'!G21)+(0.35*LN(1+0.6*'Ход 2039'!B27)*POWER(MAX(0,1-'ОАЭ 2039'!I21/10),0.7))))</x:f>
        <x:v>10</x:v>
      </x:c>
      <x:c r="C21" s="42" t="n">
        <x:f>MIN(1,'ОАЭ 2039'!C21+'ОАЭ 2039'!F21+(0.08*LN(1+0.5*'Ход 2039'!C27)*MAX(0,1-('ОАЭ 2039'!C21+'ОАЭ 2039'!F21))))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2039'!V21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2039'!B22+'ОАЭ 2039'!D22+('ОАЭ 2039'!C22+'ОАЭ 2039'!F22+'ОАЭ 2039'!G22)+(0.35*LN(1+0.6*'Ход 2039'!B28)*POWER(MAX(0,1-'ОАЭ 2039'!I22/10),0.7))))</x:f>
        <x:v>9.799999999999994</x:v>
      </x:c>
      <x:c r="C22" s="42" t="n">
        <x:f>MIN(1,'ОАЭ 2039'!C22+'ОАЭ 2039'!F22+(0.08*LN(1+0.5*'Ход 2039'!C28)*MAX(0,1-('ОАЭ 2039'!C22+'ОАЭ 2039'!F22))))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9.799999999999994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2039'!V22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2039'!B23+'ОАЭ 2039'!D23+('ОАЭ 2039'!C23+'ОАЭ 2039'!F23+'ОАЭ 2039'!G23)+(0.35*LN(1+0.6*'Ход 2039'!B29)*POWER(MAX(0,1-'ОАЭ 2039'!I23/10),0.7))))</x:f>
        <x:v>10</x:v>
      </x:c>
      <x:c r="C23" s="42" t="n">
        <x:f>MIN(1,'ОАЭ 2039'!C23+'ОАЭ 2039'!F23+(0.08*LN(1+0.5*'Ход 2039'!C29)*MAX(0,1-('ОАЭ 2039'!C23+'ОАЭ 2039'!F23))))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2039'!V23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2039'!V24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2039'!B25+'ОАЭ 2039'!D25+('ОАЭ 2039'!C25+'ОАЭ 2039'!F25+'ОАЭ 2039'!G25)+(0.35*LN(1+0.6*'Ход 2039'!B31)*POWER(MAX(0,1-'ОАЭ 2039'!I25/10),0.7))))</x:f>
        <x:v>10</x:v>
      </x:c>
      <x:c r="C25" s="42" t="n">
        <x:f>MIN(1,'ОАЭ 2039'!C25+'ОАЭ 2039'!F25+(0.08*LN(1+0.5*'Ход 2039'!C31)*MAX(0,1-('ОАЭ 2039'!C25+'ОАЭ 2039'!F25))))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2039'!V25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2039'!B26+'ОАЭ 2039'!D26+('ОАЭ 2039'!C26+'ОАЭ 2039'!F26+'ОАЭ 2039'!G26)+(0.35*LN(1+0.6*'Ход 2039'!B32)*POWER(MAX(0,1-'ОАЭ 2039'!I26/10),0.7))))</x:f>
        <x:v>10</x:v>
      </x:c>
      <x:c r="C26" s="42" t="n">
        <x:f>MIN(1,'ОАЭ 2039'!C26+'ОАЭ 2039'!F26+(0.08*LN(1+0.5*'Ход 2039'!C32)*MAX(0,1-('ОАЭ 2039'!C26+'ОАЭ 2039'!F26))))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2039'!B27+'ОАЭ 2039'!D27+('ОАЭ 2039'!C27+'ОАЭ 2039'!F27+'ОАЭ 2039'!G27)+(0.35*LN(1+0.6*'Ход 2039'!B33)*POWER(MAX(0,1-'ОАЭ 2039'!I27/10),0.7))))</x:f>
        <x:v>10</x:v>
      </x:c>
      <x:c r="C27" s="42" t="n">
        <x:f>MIN(1,'ОАЭ 2039'!C27+'ОАЭ 2039'!F27+(0.08*LN(1+0.5*'Ход 2039'!C33)*MAX(0,1-('ОАЭ 2039'!C27+'ОАЭ 2039'!F27))))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2039'!B28+'ОАЭ 2039'!D28+('ОАЭ 2039'!C28+'ОАЭ 2039'!F28+'ОАЭ 2039'!G28)+(0.35*LN(1+0.6*'Ход 2039'!B34)*POWER(MAX(0,1-'ОАЭ 2039'!I28/10),0.7))))</x:f>
        <x:v>10</x:v>
      </x:c>
      <x:c r="C28" s="42" t="n">
        <x:f>MIN(1,'ОАЭ 2039'!C28+'ОАЭ 2039'!F28+(0.08*LN(1+0.5*'Ход 2039'!C34)*MAX(0,1-('ОАЭ 2039'!C28+'ОАЭ 2039'!F28))))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2039'!B29+'ОАЭ 2039'!D29+('ОАЭ 2039'!C29+'ОАЭ 2039'!F29+'ОАЭ 2039'!G29)+(0.35*LN(1+0.6*'Ход 2039'!B35)*POWER(MAX(0,1-'ОАЭ 2039'!I29/10),0.7))))</x:f>
        <x:v>10</x:v>
      </x:c>
      <x:c r="C29" s="42" t="n">
        <x:f>MIN(1,'ОАЭ 2039'!C29+'ОАЭ 2039'!F29+(0.08*LN(1+0.5*'Ход 2039'!C35)*MAX(0,1-('ОАЭ 2039'!C29+'ОАЭ 2039'!F29))))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2039'!B30+'ОАЭ 2039'!D30+('ОАЭ 2039'!C30+'ОАЭ 2039'!F30+'ОАЭ 2039'!G30)+(0.35*LN(1+0.6*'Ход 2039'!B36)*POWER(MAX(0,1-'ОАЭ 2039'!I30/10),0.7))))</x:f>
        <x:v>10</x:v>
      </x:c>
      <x:c r="C30" s="42" t="n">
        <x:f>MIN(1,'ОАЭ 2039'!C30+'ОАЭ 2039'!F30+(0.08*LN(1+0.5*'Ход 2039'!C36)*MAX(0,1-('ОАЭ 2039'!C30+'ОАЭ 2039'!F30))))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2039'!B31+'ОАЭ 2039'!D31+('ОАЭ 2039'!C31+'ОАЭ 2039'!F31+'ОАЭ 2039'!G31)+(0.35*LN(1+0.6*'Ход 2039'!B37)*POWER(MAX(0,1-'ОАЭ 2039'!I31/10),0.7))))</x:f>
        <x:v>10</x:v>
      </x:c>
      <x:c r="C31" s="42" t="n">
        <x:f>MIN(1,'ОАЭ 2039'!C31+'ОАЭ 2039'!F31+(0.08*LN(1+0.5*'Ход 2039'!C37)*MAX(0,1-('ОАЭ 2039'!C31+'ОАЭ 2039'!F31))))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10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2039'!B32+'ОАЭ 2039'!D32+('ОАЭ 2039'!C32+'ОАЭ 2039'!F32+'ОАЭ 2039'!G32)+(0.35*LN(1+0.6*'Ход 2039'!B38)*POWER(MAX(0,1-'ОАЭ 2039'!I32/10),0.7))))</x:f>
        <x:v>10</x:v>
      </x:c>
      <x:c r="C32" s="42" t="n">
        <x:f>MIN(1,'ОАЭ 2039'!C32+'ОАЭ 2039'!F32+(0.08*LN(1+0.5*'Ход 2039'!C38)*MAX(0,1-('ОАЭ 2039'!C32+'ОАЭ 2039'!F32))))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2039'!B34+'ОАЭ 2039'!D34+('ОАЭ 2039'!C34+'ОАЭ 2039'!F34+'ОАЭ 2039'!G34)+(0.35*LN(1+0.6*'Ход 2039'!B40)*POWER(MAX(0,1-'ОАЭ 2039'!I34/10),0.7))))</x:f>
        <x:v>10</x:v>
      </x:c>
      <x:c r="C34" s="42" t="n">
        <x:f>MIN(1,'ОАЭ 2039'!C34+'ОАЭ 2039'!F34+(0.08*LN(1+0.5*'Ход 2039'!C40)*MAX(0,1-('ОАЭ 2039'!C34+'ОАЭ 2039'!F34))))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2039'!B35+'ОАЭ 2039'!D35+('ОАЭ 2039'!C35+'ОАЭ 2039'!F35+'ОАЭ 2039'!G35)+(0.35*LN(1+0.6*'Ход 2039'!B41)*POWER(MAX(0,1-'ОАЭ 2039'!I35/10),0.7))))</x:f>
        <x:v>10</x:v>
      </x:c>
      <x:c r="C35" s="42" t="n">
        <x:f>MIN(1,'ОАЭ 2039'!C35+'ОАЭ 2039'!F35+(0.08*LN(1+0.5*'Ход 2039'!C41)*MAX(0,1-('ОАЭ 2039'!C35+'ОАЭ 2039'!F35))))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2039'!B36+'ОАЭ 2039'!D36+('ОАЭ 2039'!C36+'ОАЭ 2039'!F36+'ОАЭ 2039'!G36)+(0.35*LN(1+0.6*'Ход 2039'!B42)*POWER(MAX(0,1-'ОАЭ 2039'!I36/10),0.7))))</x:f>
        <x:v>10</x:v>
      </x:c>
      <x:c r="C36" s="42" t="n">
        <x:f>MIN(1,'ОАЭ 2039'!C36+'ОАЭ 2039'!F36+(0.08*LN(1+0.5*'Ход 2039'!C42)*MAX(0,1-('ОАЭ 2039'!C36+'ОАЭ 2039'!F36))))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2039'!B37+'ОАЭ 2039'!D37+('ОАЭ 2039'!C37+'ОАЭ 2039'!F37+'ОАЭ 2039'!G37)+(0.35*LN(1+0.6*'Ход 2039'!B43)*POWER(MAX(0,1-'ОАЭ 2039'!I37/10),0.7))))</x:f>
        <x:v>10</x:v>
      </x:c>
      <x:c r="C37" s="42" t="n">
        <x:f>MIN(1,'ОАЭ 2039'!C37+'ОАЭ 2039'!F37+(0.08*LN(1+0.5*'Ход 2039'!C43)*MAX(0,1-('ОАЭ 2039'!C37+'ОАЭ 2039'!F37))))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2039'!B38+'ОАЭ 2039'!D38+('ОАЭ 2039'!C38+'ОАЭ 2039'!F38+'ОАЭ 2039'!G38)+(0.35*LN(1+0.6*'Ход 2039'!B44)*POWER(MAX(0,1-'ОАЭ 2039'!I38/10),0.7))))</x:f>
        <x:v>10</x:v>
      </x:c>
      <x:c r="C38" s="42" t="n">
        <x:f>MIN(1,'ОАЭ 2039'!C38+'ОАЭ 2039'!F38+(0.08*LN(1+0.5*'Ход 2039'!C44)*MAX(0,1-('ОАЭ 2039'!C38+'ОАЭ 2039'!F38))))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2039'!B39+'ОАЭ 2039'!D39+('ОАЭ 2039'!C39+'ОАЭ 2039'!F39+'ОАЭ 2039'!G39)+(0.35*LN(1+0.6*'Ход 2039'!B45)*POWER(MAX(0,1-'ОАЭ 2039'!I39/10),0.7))))</x:f>
        <x:v>10</x:v>
      </x:c>
      <x:c r="C39" s="42" t="n">
        <x:f>MIN(1,'ОАЭ 2039'!C39+'ОАЭ 2039'!F39+(0.08*LN(1+0.5*'Ход 2039'!C45)*MAX(0,1-('ОАЭ 2039'!C39+'ОАЭ 2039'!F39))))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2039'!B40+'ОАЭ 2039'!D40+('ОАЭ 2039'!C40+'ОАЭ 2039'!F40+'ОАЭ 2039'!G40)+(0.35*LN(1+0.6*'Ход 2039'!B46)*POWER(MAX(0,1-'ОАЭ 2039'!I40/10),0.7))))</x:f>
        <x:v>10</x:v>
      </x:c>
      <x:c r="C40" s="42" t="n">
        <x:f>MIN(1,'ОАЭ 2039'!C40+'ОАЭ 2039'!F40+(0.08*LN(1+0.5*'Ход 2039'!C46)*MAX(0,1-('ОАЭ 2039'!C40+'ОАЭ 2039'!F40))))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2039'!B41+'ОАЭ 2039'!D41+('ОАЭ 2039'!C41+'ОАЭ 2039'!F41+'ОАЭ 2039'!G41)+(0.35*LN(1+0.6*'Ход 2039'!B47)*POWER(MAX(0,1-'ОАЭ 2039'!I41/10),0.7))))</x:f>
        <x:v>10</x:v>
      </x:c>
      <x:c r="C41" s="42" t="n">
        <x:f>MIN(1,'ОАЭ 2039'!C41+'ОАЭ 2039'!F41+(0.08*LN(1+0.5*'Ход 2039'!C47)*MAX(0,1-('ОАЭ 2039'!C41+'ОАЭ 2039'!F41))))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2039'!B42+'ОАЭ 2039'!D42+('ОАЭ 2039'!C42+'ОАЭ 2039'!F42+'ОАЭ 2039'!G42)+(0.35*LN(1+0.6*'Ход 2039'!B48)*POWER(MAX(0,1-'ОАЭ 2039'!I42/10),0.7))))</x:f>
        <x:v>10</x:v>
      </x:c>
      <x:c r="C42" s="42" t="n">
        <x:f>MIN(1,'ОАЭ 2039'!C42+'ОАЭ 2039'!F42+(0.08*LN(1+0.5*'Ход 2039'!C48)*MAX(0,1-('ОАЭ 2039'!C42+'ОАЭ 2039'!F42))))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2039'!B44+'ОАЭ 2039'!D44+('ОАЭ 2039'!C44+'ОАЭ 2039'!F44+'ОАЭ 2039'!G44)+(0.35*LN(1+0.6*'Ход 2039'!B50)*POWER(MAX(0,1-'ОАЭ 2039'!I44/10),0.7))))</x:f>
        <x:v>10</x:v>
      </x:c>
      <x:c r="C44" s="42" t="n">
        <x:f>MIN(1,'ОАЭ 2039'!C44+'ОАЭ 2039'!F44+(0.08*LN(1+0.5*'Ход 2039'!C50)*MAX(0,1-('ОАЭ 2039'!C44+'ОАЭ 2039'!F44))))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2039'!B45+'ОАЭ 2039'!D45+('ОАЭ 2039'!C45+'ОАЭ 2039'!F45+'ОАЭ 2039'!G45)+(0.35*LN(1+0.6*'Ход 2039'!B51)*POWER(MAX(0,1-'ОАЭ 2039'!I45/10),0.7))))</x:f>
        <x:v>10</x:v>
      </x:c>
      <x:c r="C45" s="42" t="n">
        <x:f>MIN(1,'ОАЭ 2039'!C45+'ОАЭ 2039'!F45+(0.08*LN(1+0.5*'Ход 2039'!C51)*MAX(0,1-('ОАЭ 2039'!C45+'ОАЭ 2039'!F45))))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2039'!B46+'ОАЭ 2039'!D46+('ОАЭ 2039'!C46+'ОАЭ 2039'!F46+'ОАЭ 2039'!G46)+(0.35*LN(1+0.6*'Ход 2039'!B52)*POWER(MAX(0,1-'ОАЭ 2039'!I46/10),0.7))))</x:f>
        <x:v>10</x:v>
      </x:c>
      <x:c r="C46" s="42" t="n">
        <x:f>MIN(1,'ОАЭ 2039'!C46+'ОАЭ 2039'!F46+(0.08*LN(1+0.5*'Ход 2039'!C52)*MAX(0,1-('ОАЭ 2039'!C46+'ОАЭ 2039'!F46))))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2039'!B47+'ОАЭ 2039'!D47+('ОАЭ 2039'!C47+'ОАЭ 2039'!F47+'ОАЭ 2039'!G47)+(0.35*LN(1+0.6*'Ход 2039'!B53)*POWER(MAX(0,1-'ОАЭ 2039'!I47/10),0.7))))</x:f>
        <x:v>9.399999999999995</x:v>
      </x:c>
      <x:c r="C47" s="42" t="n">
        <x:f>MIN(1,'ОАЭ 2039'!C47+'ОАЭ 2039'!F47+(0.08*LN(1+0.5*'Ход 2039'!C53)*MAX(0,1-('ОАЭ 2039'!C47+'ОАЭ 2039'!F47))))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9.399999999999995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2039'!B48+'ОАЭ 2039'!D48+('ОАЭ 2039'!C48+'ОАЭ 2039'!F48+'ОАЭ 2039'!G48)+(0.35*LN(1+0.6*'Ход 2039'!B54)*POWER(MAX(0,1-'ОАЭ 2039'!I48/10),0.7))))</x:f>
        <x:v>9.399999999999995</x:v>
      </x:c>
      <x:c r="C48" s="42" t="n">
        <x:f>MIN(1,'ОАЭ 2039'!C48+'ОАЭ 2039'!F48+(0.08*LN(1+0.5*'Ход 2039'!C54)*MAX(0,1-('ОАЭ 2039'!C48+'ОАЭ 2039'!F48))))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9.399999999999995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2039'!B49+'ОАЭ 2039'!D49+('ОАЭ 2039'!C49+'ОАЭ 2039'!F49+'ОАЭ 2039'!G49)+(0.35*LN(1+0.6*'Ход 2039'!B55)*POWER(MAX(0,1-'ОАЭ 2039'!I49/10),0.7))))</x:f>
        <x:v>10</x:v>
      </x:c>
      <x:c r="C49" s="42" t="n">
        <x:f>MIN(1,'ОАЭ 2039'!C49+'ОАЭ 2039'!F49+(0.08*LN(1+0.5*'Ход 2039'!C55)*MAX(0,1-('ОАЭ 2039'!C49+'ОАЭ 2039'!F49))))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2039'!B50+'ОАЭ 2039'!D50+('ОАЭ 2039'!C50+'ОАЭ 2039'!F50+'ОАЭ 2039'!G50)+(0.35*LN(1+0.6*'Ход 2039'!B56)*POWER(MAX(0,1-'ОАЭ 2039'!I50/10),0.7))))</x:f>
        <x:v>9.70000000000001</x:v>
      </x:c>
      <x:c r="C50" s="42" t="n">
        <x:f>MIN(1,'ОАЭ 2039'!C50+'ОАЭ 2039'!F50+(0.08*LN(1+0.5*'Ход 2039'!C56)*MAX(0,1-('ОАЭ 2039'!C50+'ОАЭ 2039'!F50))))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2039'!B51+'ОАЭ 2039'!D51+('ОАЭ 2039'!C51+'ОАЭ 2039'!F51+'ОАЭ 2039'!G51)+(0.35*LN(1+0.6*'Ход 2039'!B57)*POWER(MAX(0,1-'ОАЭ 2039'!I51/10),0.7))))</x:f>
        <x:v>10</x:v>
      </x:c>
      <x:c r="C51" s="42" t="n">
        <x:f>MIN(1,'ОАЭ 2039'!C51+'ОАЭ 2039'!F51+(0.08*LN(1+0.5*'Ход 2039'!C57)*MAX(0,1-('ОАЭ 2039'!C51+'ОАЭ 2039'!F51))))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2039'!B53+'ОАЭ 2039'!D53+('ОАЭ 2039'!C53+'ОАЭ 2039'!F53+'ОАЭ 2039'!G53)+(0.35*LN(1+0.6*'Ход 2039'!B59)*POWER(MAX(0,1-'ОАЭ 2039'!I53/10),0.7))))</x:f>
        <x:v>10</x:v>
      </x:c>
      <x:c r="C53" s="42" t="n">
        <x:f>MIN(1,'ОАЭ 2039'!C53+'ОАЭ 2039'!F53+(0.08*LN(1+0.5*'Ход 2039'!C59)*MAX(0,1-('ОАЭ 2039'!C53+'ОАЭ 2039'!F53))))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2039'!B54+'ОАЭ 2039'!D54+('ОАЭ 2039'!C54+'ОАЭ 2039'!F54+'ОАЭ 2039'!G54)+(0.35*LN(1+0.6*'Ход 2039'!B60)*POWER(MAX(0,1-'ОАЭ 2039'!I54/10),0.7))))</x:f>
        <x:v>10</x:v>
      </x:c>
      <x:c r="C54" s="42" t="n">
        <x:f>MIN(1,'ОАЭ 2039'!C54+'ОАЭ 2039'!F54+(0.08*LN(1+0.5*'Ход 2039'!C60)*MAX(0,1-('ОАЭ 2039'!C54+'ОАЭ 2039'!F54))))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2039'!B55+'ОАЭ 2039'!D55+('ОАЭ 2039'!C55+'ОАЭ 2039'!F55+'ОАЭ 2039'!G55)+(0.35*LN(1+0.6*'Ход 2039'!B61)*POWER(MAX(0,1-'ОАЭ 2039'!I55/10),0.7))))</x:f>
        <x:v>9.100000000000005</x:v>
      </x:c>
      <x:c r="C55" s="42" t="n">
        <x:f>MIN(1,'ОАЭ 2039'!C55+'ОАЭ 2039'!F55+(0.08*LN(1+0.5*'Ход 2039'!C61)*MAX(0,1-('ОАЭ 2039'!C55+'ОАЭ 2039'!F55))))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9.100000000000005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'ОАЭ 2040'!U6</x:f>
        <x:v>98.26591741888346</x:v>
      </x:c>
      <x:c r="C6" s="42"/>
      <x:c r="D6" s="42"/>
      <x:c r="E6" s="42" t="str">
        <x:v>Доступно</x:v>
      </x:c>
      <x:c r="F6" s="42" t="n">
        <x:f>'ОАЭ 2040'!K6</x:f>
        <x:v>82.83964845316504</x:v>
      </x:c>
      <x:c r="G6" s="42"/>
      <x:c r="H6" s="42"/>
      <x:c r="I6" s="42" t="str">
        <x:v>Доступно</x:v>
      </x:c>
      <x:c r="J6" s="42" t="n">
        <x:f>'ОАЭ 2040'!N6</x:f>
        <x:v>76.7538110666236</x:v>
      </x:c>
      <x:c r="K6" s="42"/>
      <x:c r="L6" s="42"/>
      <x:c r="M6" s="42" t="str">
        <x:v>Доступно</x:v>
      </x:c>
      <x:c r="N6" s="42" t="n">
        <x:f>'ОАЭ 2040'!Q6</x:f>
        <x:v>91.56177886166859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98.26591741888346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82.83964845316504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76.7538110666236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91.56177886166859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'ОАЭ 2040'!V11</x:f>
        <x:v>2.1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0.1270490240468571</x:v>
      </x:c>
      <x:c r="S13" s="74" t="n">
        <x:f>MAX(0,1-R13-T13)</x:f>
        <x:v>0.7999999999999999</x:v>
      </x:c>
      <x:c r="T13" s="74" t="n">
        <x:f>IF(M13&lt;=-5,0,MAX(0,(0.10-0.08*(IF(M13=0,0,SIGN(M13)*POWER(ABS(M13)/5,1.25))))*(1-0.85*(MIN(1,LN(1+N13)/LN(41))))))</x:f>
        <x:v>0.0729509759531429</x:v>
      </x:c>
      <x:c r="U13" s="42" t="n">
        <x:f>RANDBETWEEN(0,100)</x:f>
        <x:v>73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'ОАЭ 2040'!V12</x:f>
        <x:v>3.2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0.1457946721791957</x:v>
      </x:c>
      <x:c r="S14" s="74" t="n">
        <x:f>MAX(0,1-R14-T14)</x:f>
        <x:v>0.7999999999999999</x:v>
      </x:c>
      <x:c r="T14" s="74" t="n">
        <x:f>IF(M14&lt;=-5,0,MAX(0,(0.10-0.08*(IF(M14=0,0,SIGN(M14)*POWER(ABS(M14)/5,1.25))))*(1-0.85*(MIN(1,LN(1+N14)/LN(41))))))</x:f>
        <x:v>0.05420532782080431</x:v>
      </x:c>
      <x:c r="U14" s="42" t="n">
        <x:f>RANDBETWEEN(0,100)</x:f>
        <x:v>92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'ОАЭ 2040'!V13</x:f>
        <x:v>3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0.1422453633660829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0.05775463663391712</x:v>
      </x:c>
      <x:c r="U15" s="42" t="n">
        <x:f>RANDBETWEEN(0,100)</x:f>
        <x:v>79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'ОАЭ 2040'!V14</x:f>
        <x:v>3.2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0.1457946721791957</x:v>
      </x:c>
      <x:c r="S16" s="74" t="n">
        <x:f>MAX(0,1-R16-T16)</x:f>
        <x:v>0.7999999999999999</x:v>
      </x:c>
      <x:c r="T16" s="74" t="n">
        <x:f>IF(M16&lt;=-5,0,MAX(0,(0.10-0.08*(IF(M16=0,0,SIGN(M16)*POWER(ABS(M16)/5,1.25))))*(1-0.85*(MIN(1,LN(1+N16)/LN(41))))))</x:f>
        <x:v>0.05420532782080431</x:v>
      </x:c>
      <x:c r="U16" s="42" t="n">
        <x:f>RANDBETWEEN(0,100)</x:f>
        <x:v>27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'ОАЭ 2040'!V15</x:f>
        <x:v>2.8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0.1387547572345661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0.0612452427654339</x:v>
      </x:c>
      <x:c r="U17" s="42" t="n">
        <x:f>RANDBETWEEN(0,100)</x:f>
        <x:v>59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'ОАЭ 2040'!V16</x:f>
        <x:v>3.1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0.1440128608605813</x:v>
      </x:c>
      <x:c r="S18" s="74" t="n">
        <x:f>MAX(0,1-R18-T18)</x:f>
        <x:v>0.8</x:v>
      </x:c>
      <x:c r="T18" s="74" t="n">
        <x:f>IF(M18&lt;=-5,0,MAX(0,(0.10-0.08*(IF(M18=0,0,SIGN(M18)*POWER(ABS(M18)/5,1.25))))*(1-0.85*(MIN(1,LN(1+N18)/LN(41))))))</x:f>
        <x:v>0.055987139139418704</x:v>
      </x:c>
      <x:c r="U18" s="42" t="n">
        <x:f>RANDBETWEEN(0,100)</x:f>
        <x:v>67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'ОАЭ 2040'!V17</x:f>
        <x:v>2.3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0.1303066041587433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0.06969339584125672</x:v>
      </x:c>
      <x:c r="U19" s="42" t="n">
        <x:f>RANDBETWEEN(0,100)</x:f>
        <x:v>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'ОАЭ 2040'!V18</x:f>
        <x:v>2.3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0.1303066041587433</x:v>
      </x:c>
      <x:c r="S20" s="74" t="n">
        <x:f>MAX(0,1-R20-T20)</x:f>
        <x:v>0.8</x:v>
      </x:c>
      <x:c r="T20" s="74" t="n">
        <x:f>IF(M20&lt;=-5,0,MAX(0,(0.10-0.08*(IF(M20=0,0,SIGN(M20)*POWER(ABS(M20)/5,1.25))))*(1-0.85*(MIN(1,LN(1+N20)/LN(41))))))</x:f>
        <x:v>0.06969339584125672</x:v>
      </x:c>
      <x:c r="U20" s="42" t="n">
        <x:f>RANDBETWEEN(0,100)</x:f>
        <x:v>90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'ОАЭ 2040'!V19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56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'ОАЭ 2040'!V20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'ОАЭ 2040'!V21</x:f>
        <x:v>3.5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0.1512227082768069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0.04877729172319312</x:v>
      </x:c>
      <x:c r="U23" s="42" t="n">
        <x:f>RANDBETWEEN(0,100)</x:f>
        <x:v>54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'ОАЭ 2040'!V22</x:f>
        <x:v>1.2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0.11343860036446944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0.08656139963553057</x:v>
      </x:c>
      <x:c r="U24" s="42" t="n">
        <x:f>RANDBETWEEN(0,100)</x:f>
        <x:v>38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'ОАЭ 2040'!V23</x:f>
        <x:v>2.2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0.1286685569230192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0.07133144307698082</x:v>
      </x:c>
      <x:c r="U25" s="42" t="n">
        <x:f>RANDBETWEEN(0,100)</x:f>
        <x:v>46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'ОАЭ 2040'!V24</x:f>
        <x:v>2.1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0.1270490240468571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0.0729509759531429</x:v>
      </x:c>
      <x:c r="U26" s="42" t="n">
        <x:f>RANDBETWEEN(0,100)</x:f>
        <x:v>47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'ОАЭ 2040'!V25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87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'ОАЭ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ОАЭ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83.02958530391415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76.77543186180422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91.61993232656941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98.37884669512916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MAX(1,MIN(10,'ОАЭ 2040'!B8+'ОАЭ 2040'!D8+('ОАЭ 2040'!C8+'ОАЭ 2040'!F8+'ОАЭ 2040'!G8)+(0.35*LN(1+0.6*'Ход 2040'!B14)*POWER(MAX(0,1-'ОАЭ 2040'!I8/10),0.7))))</x:f>
        <x:v>8.250000000000002</x:v>
      </x:c>
      <x:c r="C8" s="42" t="n">
        <x:f>MIN(1,'ОАЭ 2040'!C8+'ОАЭ 2040'!F8+(0.08*LN(1+0.5*'Ход 2040'!C14)*MAX(0,1-('ОАЭ 2040'!C8+'ОАЭ 2040'!F8))))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8.250000000000002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MAX(1,MIN(10,'ОАЭ 2040'!B9+'ОАЭ 2040'!D9+('ОАЭ 2040'!C9+'ОАЭ 2040'!F9+'ОАЭ 2040'!G9)+(0.35*LN(1+0.6*'Ход 2040'!B15)*POWER(MAX(0,1-'ОАЭ 2040'!I9/10),0.7))))</x:f>
        <x:v>8.999999999999995</x:v>
      </x:c>
      <x:c r="C9" s="42" t="n">
        <x:f>MIN(1,'ОАЭ 2040'!C9+'ОАЭ 2040'!F9+(0.08*LN(1+0.5*'Ход 2040'!C15)*MAX(0,1-('ОАЭ 2040'!C9+'ОАЭ 2040'!F9))))</x:f>
        <x:v>0.1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8.999999999999995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MAX(1,MIN(10,'ОАЭ 2040'!B10+'ОАЭ 2040'!D10+('ОАЭ 2040'!C10+'ОАЭ 2040'!F10+'ОАЭ 2040'!G10)+(0.35*LN(1+0.6*'Ход 2040'!B16)*POWER(MAX(0,1-'ОАЭ 2040'!I10/10),0.7))))</x:f>
        <x:v>10</x:v>
      </x:c>
      <x:c r="C10" s="42" t="n">
        <x:f>MIN(1,'ОАЭ 2040'!C10+'ОАЭ 2040'!F10+(0.08*LN(1+0.5*'Ход 2040'!C16)*MAX(0,1-('ОАЭ 2040'!C10+'ОАЭ 2040'!F10))))</x:f>
        <x:v>0.05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10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MAX(1,MIN(10,'ОАЭ 2040'!B11+'ОАЭ 2040'!D11+('ОАЭ 2040'!C11+'ОАЭ 2040'!F11+'ОАЭ 2040'!G11)+(0.35*LN(1+0.6*'Ход 2040'!B17)*POWER(MAX(0,1-'ОАЭ 2040'!I11/10),0.7))))</x:f>
        <x:v>4.749999999999997</x:v>
      </x:c>
      <x:c r="C11" s="42" t="n">
        <x:f>MIN(1,'ОАЭ 2040'!C11+'ОАЭ 2040'!F11+(0.08*LN(1+0.5*'Ход 2040'!C17)*MAX(0,1-('ОАЭ 2040'!C11+'ОАЭ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4.749999999999997</x:v>
      </x:c>
      <x:c r="J11" s="42"/>
      <x:c r="K11" s="42" t="str">
        <x:v>Производство</x:v>
      </x:c>
      <x:c r="L11" s="42" t="n">
        <x:f>MAX(1,MIN(10,'ОАЭ 2040'!L11+'ОАЭ 2040'!N11+('ОАЭ 2040'!M11+'ОАЭ 2040'!P11+'ОАЭ 2040'!Q11)))</x:f>
        <x:v>10</x:v>
      </x:c>
      <x:c r="M11" s="42" t="n">
        <x:f>MIN(1,'ОАЭ 2040'!M11+'ОАЭ 2040'!P11+(0.10*LN(1+0.5*'Ход 2040'!H13)*POWER(MAX(0,1-'ОАЭ 2040'!S11/10),0.8)))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'ОАЭ 2040'!V11</x:f>
        <x:v>2.1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Стратегическое партнёрство</x:v>
      </x:c>
      <x:c r="X11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12">
      <x:c r="A12" s="42" t="str">
        <x:v>Пространственные и природно-географические ресурсы</x:v>
      </x:c>
      <x:c r="B12" s="42" t="n">
        <x:f>MAX(1,MIN(10,'ОАЭ 2040'!B12+'ОАЭ 2040'!D12+('ОАЭ 2040'!C12+'ОАЭ 2040'!F12+'ОАЭ 2040'!G12)+(0.35*LN(1+0.6*'Ход 2040'!B18)*POWER(MAX(0,1-'ОАЭ 2040'!I12/10),0.7))))</x:f>
        <x:v>6.749999999999997</x:v>
      </x:c>
      <x:c r="C12" s="42" t="n">
        <x:f>MIN(1,'ОАЭ 2040'!C12+'ОАЭ 2040'!F12+(0.08*LN(1+0.5*'Ход 2040'!C18)*MAX(0,1-('ОАЭ 2040'!C12+'ОАЭ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6.749999999999997</x:v>
      </x:c>
      <x:c r="J12" s="42"/>
      <x:c r="K12" s="42" t="str">
        <x:v>Управление</x:v>
      </x:c>
      <x:c r="L12" s="42" t="n">
        <x:f>MAX(1,MIN(10,'ОАЭ 2040'!L12+'ОАЭ 2040'!N12+('ОАЭ 2040'!M12+'ОАЭ 2040'!P12+'ОАЭ 2040'!Q12)))</x:f>
        <x:v>10</x:v>
      </x:c>
      <x:c r="M12" s="42" t="n">
        <x:f>MIN(1,'ОАЭ 2040'!M12+'ОАЭ 2040'!P12+(0.10*LN(1+0.5*'Ход 2040'!H14)*POWER(MAX(0,1-'ОАЭ 2040'!S12/10),0.8)))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'ОАЭ 2040'!V12</x:f>
        <x:v>3.2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Очень тесное стратегическое, оборонное, технологическое и инвестиционное партнёрство.</x:v>
      </x:c>
    </x:row>
    <x:row r="13">
      <x:c r="A13" s="42" t="str">
        <x:v>Мощности производства полупроводников</x:v>
      </x:c>
      <x:c r="B13" s="42" t="n">
        <x:f>MAX(1,MIN(10,'ОАЭ 2040'!B13+'ОАЭ 2040'!D13+('ОАЭ 2040'!C13+'ОАЭ 2040'!F13+'ОАЭ 2040'!G13)+(0.35*LN(1+0.6*'Ход 2040'!B19)*POWER(MAX(0,1-'ОАЭ 2040'!I13/10),0.7))))</x:f>
        <x:v>6.499999999999997</x:v>
      </x:c>
      <x:c r="C13" s="42" t="n">
        <x:f>MIN(1,'ОАЭ 2040'!C13+'ОАЭ 2040'!F13+(0.08*LN(1+0.5*'Ход 2040'!C19)*MAX(0,1-('ОАЭ 2040'!C13+'ОАЭ 2040'!F13))))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6.499999999999997</x:v>
      </x:c>
      <x:c r="J13" s="42"/>
      <x:c r="K13" s="42" t="str">
        <x:v>Познание</x:v>
      </x:c>
      <x:c r="L13" s="42" t="n">
        <x:f>MAX(1,MIN(10,'ОАЭ 2040'!L13+'ОАЭ 2040'!N13+('ОАЭ 2040'!M13+'ОАЭ 2040'!P13+'ОАЭ 2040'!Q13)))</x:f>
        <x:v>10</x:v>
      </x:c>
      <x:c r="M13" s="42" t="n">
        <x:f>MIN(1,'ОАЭ 2040'!M13+'ОАЭ 2040'!P13+(0.10*LN(1+0.5*'Ход 2040'!H15)*POWER(MAX(0,1-'ОАЭ 2040'!S13/10),0.8)))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'ОАЭ 2040'!V13</x:f>
        <x:v>3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14">
      <x:c r="A14" s="42" t="str">
        <x:v>Вычислительные компоненты</x:v>
      </x:c>
      <x:c r="B14" s="42" t="n">
        <x:f>MAX(1,MIN(10,'ОАЭ 2040'!B14+'ОАЭ 2040'!D14+('ОАЭ 2040'!C14+'ОАЭ 2040'!F14+'ОАЭ 2040'!G14)+(0.35*LN(1+0.6*'Ход 2040'!B20)*POWER(MAX(0,1-'ОАЭ 2040'!I14/10),0.7))))</x:f>
        <x:v>10</x:v>
      </x:c>
      <x:c r="C14" s="42" t="n">
        <x:f>MIN(1,'ОАЭ 2040'!C14+'ОАЭ 2040'!F14+(0.08*LN(1+0.5*'Ход 2040'!C20)*MAX(0,1-('ОАЭ 2040'!C14+'ОАЭ 2040'!F14))))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MAX(1,MIN(10,'ОАЭ 2040'!L14+'ОАЭ 2040'!N14+('ОАЭ 2040'!M14+'ОАЭ 2040'!P14+'ОАЭ 2040'!Q14)))</x:f>
        <x:v>10</x:v>
      </x:c>
      <x:c r="M14" s="42" t="n">
        <x:f>MIN(1,'ОАЭ 2040'!M14+'ОАЭ 2040'!P14+(0.10*LN(1+0.5*'Ход 2040'!H16)*POWER(MAX(0,1-'ОАЭ 2040'!S14/10),0.8)))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'ОАЭ 2040'!V14</x:f>
        <x:v>3.2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Стратегический союз</x:v>
      </x:c>
      <x:c r="X14" s="42" t="str">
        <x:v>Очень тесное торговое, инвестиционное и стратегическое партнёрство, усиленное крупной индийской диаспорой.</x:v>
      </x:c>
    </x:row>
    <x:row r="15">
      <x:c r="A15" s="42" t="str">
        <x:v>ЦОД и вычислительная инфраструктура</x:v>
      </x:c>
      <x:c r="B15" s="42" t="n">
        <x:f>MAX(1,MIN(10,'ОАЭ 2040'!B15+'ОАЭ 2040'!D15+('ОАЭ 2040'!C15+'ОАЭ 2040'!F15+'ОАЭ 2040'!G15)+(0.35*LN(1+0.6*'Ход 2040'!B21)*POWER(MAX(0,1-'ОАЭ 2040'!I15/10),0.7))))</x:f>
        <x:v>10</x:v>
      </x:c>
      <x:c r="C15" s="42" t="n">
        <x:f>MIN(1,'ОАЭ 2040'!C15+'ОАЭ 2040'!F15+(0.08*LN(1+0.5*'Ход 2040'!C21)*MAX(0,1-('ОАЭ 2040'!C15+'ОАЭ 2040'!F15))))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MAX(1,MIN(10,'ОАЭ 2040'!L15+'ОАЭ 2040'!N15+('ОАЭ 2040'!M15+'ОАЭ 2040'!P15+'ОАЭ 2040'!Q15)))</x:f>
        <x:v>10</x:v>
      </x:c>
      <x:c r="M15" s="42" t="n">
        <x:f>MIN(1,'ОАЭ 2040'!M15+'ОАЭ 2040'!P15+(0.10*LN(1+0.5*'Ход 2040'!H17)*POWER(MAX(0,1-'ОАЭ 2040'!S15/10),0.8)))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10</x:v>
      </x:c>
      <x:c r="T15" s="42"/>
      <x:c r="U15" s="42" t="str">
        <x:v>Великобритания</x:v>
      </x:c>
      <x:c r="V15" s="64" t="n">
        <x:f>'ОАЭ 2040'!V15</x:f>
        <x:v>2.8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Глубокие финансовые, инвестиционные, оборонные и исторически сложившиеся политические связи.</x:v>
      </x:c>
    </x:row>
    <x:row r="16">
      <x:c r="A16" s="42" t="str">
        <x:v>Сетевые ресурсы</x:v>
      </x:c>
      <x:c r="B16" s="42" t="n">
        <x:f>MAX(1,MIN(10,'ОАЭ 2040'!B16+'ОАЭ 2040'!D16+('ОАЭ 2040'!C16+'ОАЭ 2040'!F16+'ОАЭ 2040'!G16)+(0.35*LN(1+0.6*'Ход 2040'!B22)*POWER(MAX(0,1-'ОАЭ 2040'!I16/10),0.7))))</x:f>
        <x:v>10</x:v>
      </x:c>
      <x:c r="C16" s="42" t="n">
        <x:f>MIN(1,'ОАЭ 2040'!C16+'ОАЭ 2040'!F16+(0.08*LN(1+0.5*'Ход 2040'!C22)*MAX(0,1-('ОАЭ 2040'!C16+'ОАЭ 2040'!F16))))</x:f>
        <x:v>0.15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MAX(1,MIN(10,'ОАЭ 2040'!L16+'ОАЭ 2040'!N16+('ОАЭ 2040'!M16+'ОАЭ 2040'!P16+'ОАЭ 2040'!Q16)))</x:f>
        <x:v>10</x:v>
      </x:c>
      <x:c r="M16" s="42" t="n">
        <x:f>MIN(1,'ОАЭ 2040'!M16+'ОАЭ 2040'!P16+(0.10*LN(1+0.5*'Ход 2040'!H18)*POWER(MAX(0,1-'ОАЭ 2040'!S16/10),0.8)))</x:f>
        <x:v>0.3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'ОАЭ 2040'!V16</x:f>
        <x:v>3.1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Стратегический союз</x:v>
      </x:c>
      <x:c r="X16" s="42" t="str">
        <x:v>Очень тесное стратегическое и оборонное партнёрство, крупные инвестиционные и энергетические связи.</x:v>
      </x:c>
    </x:row>
    <x:row r="17">
      <x:c r="A17" s="42" t="str">
        <x:v>Конечные устройства</x:v>
      </x:c>
      <x:c r="B17" s="42" t="n">
        <x:f>MAX(1,MIN(10,'ОАЭ 2040'!B17+'ОАЭ 2040'!D17+('ОАЭ 2040'!C17+'ОАЭ 2040'!F17+'ОАЭ 2040'!G17)+(0.35*LN(1+0.6*'Ход 2040'!B23)*POWER(MAX(0,1-'ОАЭ 2040'!I17/10),0.7))))</x:f>
        <x:v>10</x:v>
      </x:c>
      <x:c r="C17" s="42" t="n">
        <x:f>MIN(1,'ОАЭ 2040'!C17+'ОАЭ 2040'!F17+(0.08*LN(1+0.5*'Ход 2040'!C23)*MAX(0,1-('ОАЭ 2040'!C17+'ОАЭ 2040'!F17))))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MAX(1,MIN(10,'ОАЭ 2040'!L17+'ОАЭ 2040'!N17+('ОАЭ 2040'!M17+'ОАЭ 2040'!P17+'ОАЭ 2040'!Q17)))</x:f>
        <x:v>10</x:v>
      </x:c>
      <x:c r="M17" s="42" t="n">
        <x:f>MIN(1,'ОАЭ 2040'!M17+'ОАЭ 2040'!P17+(0.10*LN(1+0.5*'Ход 2040'!H19)*POWER(MAX(0,1-'ОАЭ 2040'!S17/10),0.8)))</x:f>
        <x:v>0.25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'ОАЭ 2040'!V17</x:f>
        <x:v>2.3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Развитые торговые, инвестиционные и технологические отношения.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MAX(1,MIN(10,'ОАЭ 2040'!L18+'ОАЭ 2040'!N18+('ОАЭ 2040'!M18+'ОАЭ 2040'!P18+'ОАЭ 2040'!Q18)))</x:f>
        <x:v>10</x:v>
      </x:c>
      <x:c r="M18" s="42" t="n">
        <x:f>MIN(1,'ОАЭ 2040'!M18+'ОАЭ 2040'!P18+(0.10*LN(1+0.5*'Ход 2040'!H20)*POWER(MAX(0,1-'ОАЭ 2040'!S18/10),0.8)))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'ОАЭ 2040'!V18</x:f>
        <x:v>2.3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Сильные энергетические, инвестиционные и технологические связи.</x:v>
      </x:c>
    </x:row>
    <x:row r="19">
      <x:c r="A19" s="42" t="str">
        <x:v>Базовый программный стек вычислений</x:v>
      </x:c>
      <x:c r="B19" s="42" t="n">
        <x:f>MAX(1,MIN(10,'ОАЭ 2040'!B19+'ОАЭ 2040'!D19+('ОАЭ 2040'!C19+'ОАЭ 2040'!F19+'ОАЭ 2040'!G19)+(0.35*LN(1+0.6*'Ход 2040'!B25)*POWER(MAX(0,1-'ОАЭ 2040'!I19/10),0.7))))</x:f>
        <x:v>10</x:v>
      </x:c>
      <x:c r="C19" s="42" t="n">
        <x:f>MIN(1,'ОАЭ 2040'!C19+'ОАЭ 2040'!F19+(0.08*LN(1+0.5*'Ход 2040'!C25)*MAX(0,1-('ОАЭ 2040'!C19+'ОАЭ 2040'!F19))))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'ОАЭ 2040'!V19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Тесное сотрудничество в энергетике, атомной отрасли, технологиях и инфраструктуре.</x:v>
      </x:c>
    </x:row>
    <x:row r="20">
      <x:c r="A20" s="42" t="str">
        <x:v>Стек разработки ИИ</x:v>
      </x:c>
      <x:c r="B20" s="42" t="n">
        <x:f>MAX(1,MIN(10,'ОАЭ 2040'!B20+'ОАЭ 2040'!D20+('ОАЭ 2040'!C20+'ОАЭ 2040'!F20+'ОАЭ 2040'!G20)+(0.35*LN(1+0.6*'Ход 2040'!B26)*POWER(MAX(0,1-'ОАЭ 2040'!I20/10),0.7))))</x:f>
        <x:v>10</x:v>
      </x:c>
      <x:c r="C20" s="42" t="n">
        <x:f>MIN(1,'ОАЭ 2040'!C20+'ОАЭ 2040'!F20+(0.08*LN(1+0.5*'Ход 2040'!C26)*MAX(0,1-('ОАЭ 2040'!C20+'ОАЭ 2040'!F20))))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'ОАЭ 2040'!V20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После нормализации отношения быстро усиливаются в торговле, инвестициях и политическом взаимодействии.</x:v>
      </x:c>
    </x:row>
    <x:row r="21">
      <x:c r="A21" s="42" t="str">
        <x:v>Стек эксплуатации ИИ</x:v>
      </x:c>
      <x:c r="B21" s="42" t="n">
        <x:f>MAX(1,MIN(10,'ОАЭ 2040'!B21+'ОАЭ 2040'!D21+('ОАЭ 2040'!C21+'ОАЭ 2040'!F21+'ОАЭ 2040'!G21)+(0.35*LN(1+0.6*'Ход 2040'!B27)*POWER(MAX(0,1-'ОАЭ 2040'!I21/10),0.7))))</x:f>
        <x:v>10</x:v>
      </x:c>
      <x:c r="C21" s="42" t="n">
        <x:f>MIN(1,'ОАЭ 2040'!C21+'ОАЭ 2040'!F21+(0.08*LN(1+0.5*'Ход 2040'!C27)*MAX(0,1-('ОАЭ 2040'!C21+'ОАЭ 2040'!F21))))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'ОАЭ 2040'!V21</x:f>
        <x:v>3.5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Стратегический союз</x:v>
      </x:c>
      <x:c r="X21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22">
      <x:c r="A22" s="42" t="str">
        <x:v>Математико-алгоритмические ресурсы</x:v>
      </x:c>
      <x:c r="B22" s="42" t="n">
        <x:f>MAX(1,MIN(10,'ОАЭ 2040'!B22+'ОАЭ 2040'!D22+('ОАЭ 2040'!C22+'ОАЭ 2040'!F22+'ОАЭ 2040'!G22)+(0.35*LN(1+0.6*'Ход 2040'!B28)*POWER(MAX(0,1-'ОАЭ 2040'!I22/10),0.7))))</x:f>
        <x:v>9.999999999999993</x:v>
      </x:c>
      <x:c r="C22" s="42" t="n">
        <x:f>MIN(1,'ОАЭ 2040'!C22+'ОАЭ 2040'!F22+(0.08*LN(1+0.5*'Ход 2040'!C28)*MAX(0,1-('ОАЭ 2040'!C22+'ОАЭ 2040'!F22))))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9.999999999999993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'ОАЭ 2040'!V22</x:f>
        <x:v>1.2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23">
      <x:c r="A23" s="42" t="str">
        <x:v>Методы построения и совершенствования моделей</x:v>
      </x:c>
      <x:c r="B23" s="42" t="n">
        <x:f>MAX(1,MIN(10,'ОАЭ 2040'!B23+'ОАЭ 2040'!D23+('ОАЭ 2040'!C23+'ОАЭ 2040'!F23+'ОАЭ 2040'!G23)+(0.35*LN(1+0.6*'Ход 2040'!B29)*POWER(MAX(0,1-'ОАЭ 2040'!I23/10),0.7))))</x:f>
        <x:v>10</x:v>
      </x:c>
      <x:c r="C23" s="42" t="n">
        <x:f>MIN(1,'ОАЭ 2040'!C23+'ОАЭ 2040'!F23+(0.08*LN(1+0.5*'Ход 2040'!C29)*MAX(0,1-('ОАЭ 2040'!C23+'ОАЭ 2040'!F23))))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'ОАЭ 2040'!V23</x:f>
        <x:v>2.2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Стратегическое партнёрство</x:v>
      </x:c>
      <x:c r="X23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'ОАЭ 2040'!V24</x:f>
        <x:v>2.1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Быстро растущие инвестиционные и торговые связи, включая инфраструктурные и продовольственные проекты.</x:v>
      </x:c>
    </x:row>
    <x:row r="25">
      <x:c r="A25" s="42" t="str">
        <x:v>Исходные данные</x:v>
      </x:c>
      <x:c r="B25" s="42" t="n">
        <x:f>MAX(1,MIN(10,'ОАЭ 2040'!B25+'ОАЭ 2040'!D25+('ОАЭ 2040'!C25+'ОАЭ 2040'!F25+'ОАЭ 2040'!G25)+(0.35*LN(1+0.6*'Ход 2040'!B31)*POWER(MAX(0,1-'ОАЭ 2040'!I25/10),0.7))))</x:f>
        <x:v>10</x:v>
      </x:c>
      <x:c r="C25" s="42" t="n">
        <x:f>MIN(1,'ОАЭ 2040'!C25+'ОАЭ 2040'!F25+(0.08*LN(1+0.5*'Ход 2040'!C31)*MAX(0,1-('ОАЭ 2040'!C25+'ОАЭ 2040'!F25))))</x:f>
        <x:v>0.2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10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'ОАЭ 2040'!V25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26">
      <x:c r="A26" s="42" t="str">
        <x:v>Производные данные</x:v>
      </x:c>
      <x:c r="B26" s="42" t="n">
        <x:f>MAX(1,MIN(10,'ОАЭ 2040'!B26+'ОАЭ 2040'!D26+('ОАЭ 2040'!C26+'ОАЭ 2040'!F26+'ОАЭ 2040'!G26)+(0.35*LN(1+0.6*'Ход 2040'!B32)*POWER(MAX(0,1-'ОАЭ 2040'!I26/10),0.7))))</x:f>
        <x:v>10</x:v>
      </x:c>
      <x:c r="C26" s="42" t="n">
        <x:f>MIN(1,'ОАЭ 2040'!C26+'ОАЭ 2040'!F26+(0.08*LN(1+0.5*'Ход 2040'!C32)*MAX(0,1-('ОАЭ 2040'!C26+'ОАЭ 2040'!F26))))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'ОАЭ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MAX(1,MIN(10,'ОАЭ 2040'!B27+'ОАЭ 2040'!D27+('ОАЭ 2040'!C27+'ОАЭ 2040'!F27+'ОАЭ 2040'!G27)+(0.35*LN(1+0.6*'Ход 2040'!B33)*POWER(MAX(0,1-'ОАЭ 2040'!I27/10),0.7))))</x:f>
        <x:v>10</x:v>
      </x:c>
      <x:c r="C27" s="42" t="n">
        <x:f>MIN(1,'ОАЭ 2040'!C27+'ОАЭ 2040'!F27+(0.08*LN(1+0.5*'Ход 2040'!C33)*MAX(0,1-('ОАЭ 2040'!C27+'ОАЭ 2040'!F27))))</x:f>
        <x:v>0.25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10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MAX(1,MIN(10,'ОАЭ 2040'!B28+'ОАЭ 2040'!D28+('ОАЭ 2040'!C28+'ОАЭ 2040'!F28+'ОАЭ 2040'!G28)+(0.35*LN(1+0.6*'Ход 2040'!B34)*POWER(MAX(0,1-'ОАЭ 2040'!I28/10),0.7))))</x:f>
        <x:v>10</x:v>
      </x:c>
      <x:c r="C28" s="42" t="n">
        <x:f>MIN(1,'ОАЭ 2040'!C28+'ОАЭ 2040'!F28+(0.08*LN(1+0.5*'Ход 2040'!C34)*MAX(0,1-('ОАЭ 2040'!C28+'ОАЭ 2040'!F28))))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MAX(1,MIN(10,'ОАЭ 2040'!B29+'ОАЭ 2040'!D29+('ОАЭ 2040'!C29+'ОАЭ 2040'!F29+'ОАЭ 2040'!G29)+(0.35*LN(1+0.6*'Ход 2040'!B35)*POWER(MAX(0,1-'ОАЭ 2040'!I29/10),0.7))))</x:f>
        <x:v>10</x:v>
      </x:c>
      <x:c r="C29" s="42" t="n">
        <x:f>MIN(1,'ОАЭ 2040'!C29+'ОАЭ 2040'!F29+(0.08*LN(1+0.5*'Ход 2040'!C35)*MAX(0,1-('ОАЭ 2040'!C29+'ОАЭ 2040'!F29))))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MAX(1,MIN(10,'ОАЭ 2040'!B30+'ОАЭ 2040'!D30+('ОАЭ 2040'!C30+'ОАЭ 2040'!F30+'ОАЭ 2040'!G30)+(0.35*LN(1+0.6*'Ход 2040'!B36)*POWER(MAX(0,1-'ОАЭ 2040'!I30/10),0.7))))</x:f>
        <x:v>10</x:v>
      </x:c>
      <x:c r="C30" s="42" t="n">
        <x:f>MIN(1,'ОАЭ 2040'!C30+'ОАЭ 2040'!F30+(0.08*LN(1+0.5*'Ход 2040'!C36)*MAX(0,1-('ОАЭ 2040'!C30+'ОАЭ 2040'!F30))))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10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MAX(1,MIN(10,'ОАЭ 2040'!B31+'ОАЭ 2040'!D31+('ОАЭ 2040'!C31+'ОАЭ 2040'!F31+'ОАЭ 2040'!G31)+(0.35*LN(1+0.6*'Ход 2040'!B37)*POWER(MAX(0,1-'ОАЭ 2040'!I31/10),0.7))))</x:f>
        <x:v>10</x:v>
      </x:c>
      <x:c r="C31" s="42" t="n">
        <x:f>MIN(1,'ОАЭ 2040'!C31+'ОАЭ 2040'!F31+(0.08*LN(1+0.5*'Ход 2040'!C37)*MAX(0,1-('ОАЭ 2040'!C31+'ОАЭ 2040'!F31))))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10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MAX(1,MIN(10,'ОАЭ 2040'!B32+'ОАЭ 2040'!D32+('ОАЭ 2040'!C32+'ОАЭ 2040'!F32+'ОАЭ 2040'!G32)+(0.35*LN(1+0.6*'Ход 2040'!B38)*POWER(MAX(0,1-'ОАЭ 2040'!I32/10),0.7))))</x:f>
        <x:v>10</x:v>
      </x:c>
      <x:c r="C32" s="42" t="n">
        <x:f>MIN(1,'ОАЭ 2040'!C32+'ОАЭ 2040'!F32+(0.08*LN(1+0.5*'Ход 2040'!C38)*MAX(0,1-('ОАЭ 2040'!C32+'ОАЭ 2040'!F32))))</x:f>
        <x:v>0.2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MAX(1,MIN(10,'ОАЭ 2040'!B34+'ОАЭ 2040'!D34+('ОАЭ 2040'!C34+'ОАЭ 2040'!F34+'ОАЭ 2040'!G34)+(0.35*LN(1+0.6*'Ход 2040'!B40)*POWER(MAX(0,1-'ОАЭ 2040'!I34/10),0.7))))</x:f>
        <x:v>10</x:v>
      </x:c>
      <x:c r="C34" s="42" t="n">
        <x:f>MIN(1,'ОАЭ 2040'!C34+'ОАЭ 2040'!F34+(0.08*LN(1+0.5*'Ход 2040'!C40)*MAX(0,1-('ОАЭ 2040'!C34+'ОАЭ 2040'!F34))))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MAX(1,MIN(10,'ОАЭ 2040'!B35+'ОАЭ 2040'!D35+('ОАЭ 2040'!C35+'ОАЭ 2040'!F35+'ОАЭ 2040'!G35)+(0.35*LN(1+0.6*'Ход 2040'!B41)*POWER(MAX(0,1-'ОАЭ 2040'!I35/10),0.7))))</x:f>
        <x:v>10</x:v>
      </x:c>
      <x:c r="C35" s="42" t="n">
        <x:f>MIN(1,'ОАЭ 2040'!C35+'ОАЭ 2040'!F35+(0.08*LN(1+0.5*'Ход 2040'!C41)*MAX(0,1-('ОАЭ 2040'!C35+'ОАЭ 2040'!F35))))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MAX(1,MIN(10,'ОАЭ 2040'!B36+'ОАЭ 2040'!D36+('ОАЭ 2040'!C36+'ОАЭ 2040'!F36+'ОАЭ 2040'!G36)+(0.35*LN(1+0.6*'Ход 2040'!B42)*POWER(MAX(0,1-'ОАЭ 2040'!I36/10),0.7))))</x:f>
        <x:v>10</x:v>
      </x:c>
      <x:c r="C36" s="42" t="n">
        <x:f>MIN(1,'ОАЭ 2040'!C36+'ОАЭ 2040'!F36+(0.08*LN(1+0.5*'Ход 2040'!C42)*MAX(0,1-('ОАЭ 2040'!C36+'ОАЭ 2040'!F36))))</x:f>
        <x:v>0.25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MAX(1,MIN(10,'ОАЭ 2040'!B37+'ОАЭ 2040'!D37+('ОАЭ 2040'!C37+'ОАЭ 2040'!F37+'ОАЭ 2040'!G37)+(0.35*LN(1+0.6*'Ход 2040'!B43)*POWER(MAX(0,1-'ОАЭ 2040'!I37/10),0.7))))</x:f>
        <x:v>10</x:v>
      </x:c>
      <x:c r="C37" s="42" t="n">
        <x:f>MIN(1,'ОАЭ 2040'!C37+'ОАЭ 2040'!F37+(0.08*LN(1+0.5*'Ход 2040'!C43)*MAX(0,1-('ОАЭ 2040'!C37+'ОАЭ 2040'!F37))))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MAX(1,MIN(10,'ОАЭ 2040'!B38+'ОАЭ 2040'!D38+('ОАЭ 2040'!C38+'ОАЭ 2040'!F38+'ОАЭ 2040'!G38)+(0.35*LN(1+0.6*'Ход 2040'!B44)*POWER(MAX(0,1-'ОАЭ 2040'!I38/10),0.7))))</x:f>
        <x:v>10</x:v>
      </x:c>
      <x:c r="C38" s="42" t="n">
        <x:f>MIN(1,'ОАЭ 2040'!C38+'ОАЭ 2040'!F38+(0.08*LN(1+0.5*'Ход 2040'!C44)*MAX(0,1-('ОАЭ 2040'!C38+'ОАЭ 2040'!F38))))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MAX(1,MIN(10,'ОАЭ 2040'!B39+'ОАЭ 2040'!D39+('ОАЭ 2040'!C39+'ОАЭ 2040'!F39+'ОАЭ 2040'!G39)+(0.35*LN(1+0.6*'Ход 2040'!B45)*POWER(MAX(0,1-'ОАЭ 2040'!I39/10),0.7))))</x:f>
        <x:v>10</x:v>
      </x:c>
      <x:c r="C39" s="42" t="n">
        <x:f>MIN(1,'ОАЭ 2040'!C39+'ОАЭ 2040'!F39+(0.08*LN(1+0.5*'Ход 2040'!C45)*MAX(0,1-('ОАЭ 2040'!C39+'ОАЭ 2040'!F39))))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MAX(1,MIN(10,'ОАЭ 2040'!B40+'ОАЭ 2040'!D40+('ОАЭ 2040'!C40+'ОАЭ 2040'!F40+'ОАЭ 2040'!G40)+(0.35*LN(1+0.6*'Ход 2040'!B46)*POWER(MAX(0,1-'ОАЭ 2040'!I40/10),0.7))))</x:f>
        <x:v>10</x:v>
      </x:c>
      <x:c r="C40" s="42" t="n">
        <x:f>MIN(1,'ОАЭ 2040'!C40+'ОАЭ 2040'!F40+(0.08*LN(1+0.5*'Ход 2040'!C46)*MAX(0,1-('ОАЭ 2040'!C40+'ОАЭ 2040'!F40))))</x:f>
        <x:v>0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MAX(1,MIN(10,'ОАЭ 2040'!B41+'ОАЭ 2040'!D41+('ОАЭ 2040'!C41+'ОАЭ 2040'!F41+'ОАЭ 2040'!G41)+(0.35*LN(1+0.6*'Ход 2040'!B47)*POWER(MAX(0,1-'ОАЭ 2040'!I41/10),0.7))))</x:f>
        <x:v>10</x:v>
      </x:c>
      <x:c r="C41" s="42" t="n">
        <x:f>MIN(1,'ОАЭ 2040'!C41+'ОАЭ 2040'!F41+(0.08*LN(1+0.5*'Ход 2040'!C47)*MAX(0,1-('ОАЭ 2040'!C41+'ОАЭ 2040'!F41))))</x:f>
        <x:v>0.3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MAX(1,MIN(10,'ОАЭ 2040'!B42+'ОАЭ 2040'!D42+('ОАЭ 2040'!C42+'ОАЭ 2040'!F42+'ОАЭ 2040'!G42)+(0.35*LN(1+0.6*'Ход 2040'!B48)*POWER(MAX(0,1-'ОАЭ 2040'!I42/10),0.7))))</x:f>
        <x:v>10</x:v>
      </x:c>
      <x:c r="C42" s="42" t="n">
        <x:f>MIN(1,'ОАЭ 2040'!C42+'ОАЭ 2040'!F42+(0.08*LN(1+0.5*'Ход 2040'!C48)*MAX(0,1-('ОАЭ 2040'!C42+'ОАЭ 2040'!F42))))</x:f>
        <x:v>0.15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10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MAX(1,MIN(10,'ОАЭ 2040'!B44+'ОАЭ 2040'!D44+('ОАЭ 2040'!C44+'ОАЭ 2040'!F44+'ОАЭ 2040'!G44)+(0.35*LN(1+0.6*'Ход 2040'!B50)*POWER(MAX(0,1-'ОАЭ 2040'!I44/10),0.7))))</x:f>
        <x:v>10</x:v>
      </x:c>
      <x:c r="C44" s="42" t="n">
        <x:f>MIN(1,'ОАЭ 2040'!C44+'ОАЭ 2040'!F44+(0.08*LN(1+0.5*'Ход 2040'!C50)*MAX(0,1-('ОАЭ 2040'!C44+'ОАЭ 2040'!F44))))</x:f>
        <x:v>0.15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10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MAX(1,MIN(10,'ОАЭ 2040'!B45+'ОАЭ 2040'!D45+('ОАЭ 2040'!C45+'ОАЭ 2040'!F45+'ОАЭ 2040'!G45)+(0.35*LN(1+0.6*'Ход 2040'!B51)*POWER(MAX(0,1-'ОАЭ 2040'!I45/10),0.7))))</x:f>
        <x:v>10</x:v>
      </x:c>
      <x:c r="C45" s="42" t="n">
        <x:f>MIN(1,'ОАЭ 2040'!C45+'ОАЭ 2040'!F45+(0.08*LN(1+0.5*'Ход 2040'!C51)*MAX(0,1-('ОАЭ 2040'!C45+'ОАЭ 2040'!F45))))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10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MAX(1,MIN(10,'ОАЭ 2040'!B46+'ОАЭ 2040'!D46+('ОАЭ 2040'!C46+'ОАЭ 2040'!F46+'ОАЭ 2040'!G46)+(0.35*LN(1+0.6*'Ход 2040'!B52)*POWER(MAX(0,1-'ОАЭ 2040'!I46/10),0.7))))</x:f>
        <x:v>10</x:v>
      </x:c>
      <x:c r="C46" s="42" t="n">
        <x:f>MIN(1,'ОАЭ 2040'!C46+'ОАЭ 2040'!F46+(0.08*LN(1+0.5*'Ход 2040'!C52)*MAX(0,1-('ОАЭ 2040'!C46+'ОАЭ 2040'!F46))))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10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MAX(1,MIN(10,'ОАЭ 2040'!B47+'ОАЭ 2040'!D47+('ОАЭ 2040'!C47+'ОАЭ 2040'!F47+'ОАЭ 2040'!G47)+(0.35*LN(1+0.6*'Ход 2040'!B53)*POWER(MAX(0,1-'ОАЭ 2040'!I47/10),0.7))))</x:f>
        <x:v>9.499999999999995</x:v>
      </x:c>
      <x:c r="C47" s="42" t="n">
        <x:f>MIN(1,'ОАЭ 2040'!C47+'ОАЭ 2040'!F47+(0.08*LN(1+0.5*'Ход 2040'!C53)*MAX(0,1-('ОАЭ 2040'!C47+'ОАЭ 2040'!F47))))</x:f>
        <x:v>0.1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9.499999999999995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MAX(1,MIN(10,'ОАЭ 2040'!B48+'ОАЭ 2040'!D48+('ОАЭ 2040'!C48+'ОАЭ 2040'!F48+'ОАЭ 2040'!G48)+(0.35*LN(1+0.6*'Ход 2040'!B54)*POWER(MAX(0,1-'ОАЭ 2040'!I48/10),0.7))))</x:f>
        <x:v>9.499999999999995</x:v>
      </x:c>
      <x:c r="C48" s="42" t="n">
        <x:f>MIN(1,'ОАЭ 2040'!C48+'ОАЭ 2040'!F48+(0.08*LN(1+0.5*'Ход 2040'!C54)*MAX(0,1-('ОАЭ 2040'!C48+'ОАЭ 2040'!F48))))</x:f>
        <x:v>0.1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9.499999999999995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MAX(1,MIN(10,'ОАЭ 2040'!B49+'ОАЭ 2040'!D49+('ОАЭ 2040'!C49+'ОАЭ 2040'!F49+'ОАЭ 2040'!G49)+(0.35*LN(1+0.6*'Ход 2040'!B55)*POWER(MAX(0,1-'ОАЭ 2040'!I49/10),0.7))))</x:f>
        <x:v>10</x:v>
      </x:c>
      <x:c r="C49" s="42" t="n">
        <x:f>MIN(1,'ОАЭ 2040'!C49+'ОАЭ 2040'!F49+(0.08*LN(1+0.5*'Ход 2040'!C55)*MAX(0,1-('ОАЭ 2040'!C49+'ОАЭ 2040'!F49))))</x:f>
        <x:v>0.25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MAX(1,MIN(10,'ОАЭ 2040'!B50+'ОАЭ 2040'!D50+('ОАЭ 2040'!C50+'ОАЭ 2040'!F50+'ОАЭ 2040'!G50)+(0.35*LN(1+0.6*'Ход 2040'!B56)*POWER(MAX(0,1-'ОАЭ 2040'!I50/10),0.7))))</x:f>
        <x:v>9.75000000000001</x:v>
      </x:c>
      <x:c r="C50" s="42" t="n">
        <x:f>MIN(1,'ОАЭ 2040'!C50+'ОАЭ 2040'!F50+(0.08*LN(1+0.5*'Ход 2040'!C56)*MAX(0,1-('ОАЭ 2040'!C50+'ОАЭ 2040'!F50))))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9.75000000000001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MAX(1,MIN(10,'ОАЭ 2040'!B51+'ОАЭ 2040'!D51+('ОАЭ 2040'!C51+'ОАЭ 2040'!F51+'ОАЭ 2040'!G51)+(0.35*LN(1+0.6*'Ход 2040'!B57)*POWER(MAX(0,1-'ОАЭ 2040'!I51/10),0.7))))</x:f>
        <x:v>10</x:v>
      </x:c>
      <x:c r="C51" s="42" t="n">
        <x:f>MIN(1,'ОАЭ 2040'!C51+'ОАЭ 2040'!F51+(0.08*LN(1+0.5*'Ход 2040'!C57)*MAX(0,1-('ОАЭ 2040'!C51+'ОАЭ 2040'!F51))))</x:f>
        <x:v>0.2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MAX(1,MIN(10,'ОАЭ 2040'!B53+'ОАЭ 2040'!D53+('ОАЭ 2040'!C53+'ОАЭ 2040'!F53+'ОАЭ 2040'!G53)+(0.35*LN(1+0.6*'Ход 2040'!B59)*POWER(MAX(0,1-'ОАЭ 2040'!I53/10),0.7))))</x:f>
        <x:v>10</x:v>
      </x:c>
      <x:c r="C53" s="42" t="n">
        <x:f>MIN(1,'ОАЭ 2040'!C53+'ОАЭ 2040'!F53+(0.08*LN(1+0.5*'Ход 2040'!C59)*MAX(0,1-('ОАЭ 2040'!C53+'ОАЭ 2040'!F53))))</x:f>
        <x:v>0.2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MAX(1,MIN(10,'ОАЭ 2040'!B54+'ОАЭ 2040'!D54+('ОАЭ 2040'!C54+'ОАЭ 2040'!F54+'ОАЭ 2040'!G54)+(0.35*LN(1+0.6*'Ход 2040'!B60)*POWER(MAX(0,1-'ОАЭ 2040'!I54/10),0.7))))</x:f>
        <x:v>10</x:v>
      </x:c>
      <x:c r="C54" s="42" t="n">
        <x:f>MIN(1,'ОАЭ 2040'!C54+'ОАЭ 2040'!F54+(0.08*LN(1+0.5*'Ход 2040'!C60)*MAX(0,1-('ОАЭ 2040'!C54+'ОАЭ 2040'!F54))))</x:f>
        <x:v>0.2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MAX(1,MIN(10,'ОАЭ 2040'!B55+'ОАЭ 2040'!D55+('ОАЭ 2040'!C55+'ОАЭ 2040'!F55+'ОАЭ 2040'!G55)+(0.35*LN(1+0.6*'Ход 2040'!B61)*POWER(MAX(0,1-'ОАЭ 2040'!I55/10),0.7))))</x:f>
        <x:v>9.250000000000005</x:v>
      </x:c>
      <x:c r="C55" s="42" t="n">
        <x:f>MIN(1,'ОАЭ 2040'!C55+'ОАЭ 2040'!F55+(0.08*LN(1+0.5*'Ход 2040'!C61)*MAX(0,1-('ОАЭ 2040'!C55+'ОАЭ 2040'!F55))))</x:f>
        <x:v>0.15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9.250000000000005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ОАЭ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динамики 2026–2040. Профиль ОАЭ отражает очень сильную энергетическую и финансовую базу, мирового уровня цифровую инфраструктуру, быстрое государственное внедрение ИИ и способность импортировать технологии и кадры при слабой собственной полупроводниковой и фундаментальной компонентной базе и ограничениях по воде.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ИИ и государственная стратегия</x:v>
      </x:c>
      <x:c r="B6" s="42" t="str">
        <x:v>ОАЭ системно инвестируют в национальные AI-институты, модели и государственное внедрение ИИ.</x:v>
      </x:c>
      <x:c r="C6" s="42" t="str">
        <x:v>UAE Artificial Intelligence Office</x:v>
      </x:c>
      <x:c r="D6" s="42" t="str">
        <x:v>https://ai.gov.ae/</x:v>
      </x:c>
    </x:row>
    <x:row r="7">
      <x:c r="A7" s="42" t="str">
        <x:v>Цифровое государство</x:v>
      </x:c>
      <x:c r="B7" s="42" t="str">
        <x:v>Высокая цифровизация государственных услуг и интеграция данных создают сильную базу для внедрения ИИ.</x:v>
      </x:c>
      <x:c r="C7" s="42" t="str">
        <x:v>UAE Government</x:v>
      </x:c>
      <x:c r="D7" s="42" t="str">
        <x:v>https://u.ae/</x:v>
      </x:c>
    </x:row>
    <x:row r="8">
      <x:c r="A8" s="42" t="str">
        <x:v>Вычисления и ЦОД</x:v>
      </x:c>
      <x:c r="B8" s="42" t="str">
        <x:v>Крупные инвестиции в облака, дата-центры и AI-инфраструктуру позволяют быстро наращивать вычислительные мощности.</x:v>
      </x:c>
      <x:c r="C8" s="42" t="str">
        <x:v>UAE Ministry of Artificial Intelligence / Digital Economy</x:v>
      </x:c>
      <x:c r="D8" s="42" t="str">
        <x:v>https://u.ae/</x:v>
      </x:c>
    </x:row>
    <x:row r="9">
      <x:c r="A9" s="42" t="str">
        <x:v>Финансовая база</x:v>
      </x:c>
      <x:c r="B9" s="42" t="str">
        <x:v>Высокая концентрация капитала и государственные инвестиционные фонды позволяют ускоренно закупать технологии и привлекать кадры.</x:v>
      </x:c>
      <x:c r="C9" s="42" t="str">
        <x:v>UAE Government</x:v>
      </x:c>
      <x:c r="D9" s="42" t="str">
        <x:v>https://u.ae/</x:v>
      </x:c>
    </x:row>
    <x:row r="10">
      <x:c r="A10" s="42" t="str">
        <x:v>Инновационная система</x:v>
      </x:c>
      <x:c r="B10" s="42" t="str">
        <x:v>ОАЭ относятся к наиболее динамичным инновационным экономикам региона, опираясь на импорт технологий и международные центры R&amp;D.</x:v>
      </x:c>
      <x:c r="C10" s="42" t="str">
        <x:v>WIPO — Global Innovation Index</x:v>
      </x:c>
      <x:c r="D10" s="42" t="str">
        <x:v>https://www.wipo.int/global_innovation_index/en/</x:v>
      </x:c>
    </x:row>
    <x:row r="11">
      <x:c r="A11" s="42" t="str">
        <x:v>Физические ограничения</x:v>
      </x:c>
      <x:c r="B11" s="42" t="str">
        <x:v>Засушливый климат и ограниченность пресной воды являются структурным ограничением, несмотря на развитую инфраструктуру опреснения и охлаждения.</x:v>
      </x:c>
      <x:c r="C11" s="42" t="str">
        <x:v>UAE Ministry of Energy and Infrastructure</x:v>
      </x:c>
      <x:c r="D11" s="42" t="str">
        <x:v>https://www.moei.gov.ae/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7.5</x:v>
      </x:c>
      <x:c r="C15" s="42" t="n">
        <x:v>0.05</x:v>
      </x:c>
      <x:c r="D15" s="42"/>
    </x:row>
    <x:row r="16">
      <x:c r="A16" s="42" t="str">
        <x:v>Химические и технологические материалы</x:v>
      </x:c>
      <x:c r="B16" s="42" t="n">
        <x:v>7.5</x:v>
      </x:c>
      <x:c r="C16" s="42" t="n">
        <x:v>0.1</x:v>
      </x:c>
      <x:c r="D16" s="42"/>
    </x:row>
    <x:row r="17">
      <x:c r="A17" s="42" t="str">
        <x:v>Энергетические ресурсы</x:v>
      </x:c>
      <x:c r="B17" s="42" t="n">
        <x:v>9.5</x:v>
      </x:c>
      <x:c r="C17" s="42" t="n">
        <x:v>0.05</x:v>
      </x:c>
      <x:c r="D17" s="42"/>
    </x:row>
    <x:row r="18">
      <x:c r="A18" s="42" t="str">
        <x:v>Вода и ресурс отвода тепла</x:v>
      </x:c>
      <x:c r="B18" s="42" t="n">
        <x:v>4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6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2</x:v>
      </x:c>
      <x:c r="C20" s="85" t="n">
        <x:v>0.3</x:v>
      </x:c>
      <x:c r="D20" s="42"/>
    </x:row>
    <x:row r="21">
      <x:c r="A21" s="42" t="str">
        <x:v>Вычислительные компоненты</x:v>
      </x:c>
      <x:c r="B21" s="42" t="n">
        <x:v>7</x:v>
      </x:c>
      <x:c r="C21" s="42" t="n">
        <x:v>0.3</x:v>
      </x:c>
      <x:c r="D21" s="42"/>
    </x:row>
    <x:row r="22">
      <x:c r="A22" s="42" t="str">
        <x:v>ЦОД и вычислительная инфраструктура</x:v>
      </x:c>
      <x:c r="B22" s="42" t="n">
        <x:v>8.5</x:v>
      </x:c>
      <x:c r="C22" s="42" t="n">
        <x:v>0.35</x:v>
      </x:c>
      <x:c r="D22" s="42"/>
    </x:row>
    <x:row r="23">
      <x:c r="A23" s="42" t="str">
        <x:v>Сетевые ресурсы</x:v>
      </x:c>
      <x:c r="B23" s="42" t="n">
        <x:v>9.5</x:v>
      </x:c>
      <x:c r="C23" s="42" t="n">
        <x:v>0.15</x:v>
      </x:c>
      <x:c r="D23" s="42"/>
    </x:row>
    <x:row r="24">
      <x:c r="A24" s="42" t="str">
        <x:v>Конечные устройства</x:v>
      </x:c>
      <x:c r="B24" s="42" t="n">
        <x:v>9</x:v>
      </x:c>
      <x:c r="C24" s="42" t="n">
        <x:v>0.1</x:v>
      </x:c>
      <x:c r="D24" s="42"/>
    </x:row>
    <x:row r="25">
      <x:c r="A25" s="42" t="str">
        <x:v>Базовый программный стек вычислений</x:v>
      </x:c>
      <x:c r="B25" s="42" t="n">
        <x:v>7.5</x:v>
      </x:c>
      <x:c r="C25" s="42" t="n">
        <x:v>0.25</x:v>
      </x:c>
      <x:c r="D25" s="42"/>
    </x:row>
    <x:row r="26">
      <x:c r="A26" s="42" t="str">
        <x:v>Стек разработки ИИ</x:v>
      </x:c>
      <x:c r="B26" s="42" t="n">
        <x:v>8</x:v>
      </x:c>
      <x:c r="C26" s="42" t="n">
        <x:v>0.3</x:v>
      </x:c>
      <x:c r="D26" s="42"/>
    </x:row>
    <x:row r="27">
      <x:c r="A27" s="42" t="str">
        <x:v>Стек эксплуатации ИИ</x:v>
      </x:c>
      <x:c r="B27" s="42" t="n">
        <x:v>7.5</x:v>
      </x:c>
      <x:c r="C27" s="42" t="n">
        <x:v>0.3</x:v>
      </x:c>
      <x:c r="D27" s="42"/>
    </x:row>
    <x:row r="28">
      <x:c r="A28" s="42" t="str">
        <x:v>Математико-алгоритмические ресурсы</x:v>
      </x:c>
      <x:c r="B28" s="42" t="n">
        <x:v>7</x:v>
      </x:c>
      <x:c r="C28" s="42" t="n">
        <x:v>0.2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7.5</x:v>
      </x:c>
      <x:c r="C29" s="42" t="n">
        <x:v>0.25</x:v>
      </x:c>
      <x:c r="D29" s="42"/>
    </x:row>
    <x:row r="30">
      <x:c r="A30" s="42" t="str">
        <x:v>Исходные данные</x:v>
      </x:c>
      <x:c r="B30" s="42" t="n">
        <x:v>7.5</x:v>
      </x:c>
      <x:c r="C30" s="42" t="n">
        <x:v>0.2</x:v>
      </x:c>
      <x:c r="D30" s="42"/>
    </x:row>
    <x:row r="31">
      <x:c r="A31" s="42" t="str">
        <x:v>Производные данные</x:v>
      </x:c>
      <x:c r="B31" s="42" t="n">
        <x:v>7.5</x:v>
      </x:c>
      <x:c r="C31" s="42" t="n">
        <x:v>0.25</x:v>
      </x:c>
      <x:c r="D31" s="42"/>
    </x:row>
    <x:row r="32">
      <x:c r="A32" s="42" t="str">
        <x:v>Контекстные информационные ресурсы</x:v>
      </x:c>
      <x:c r="B32" s="42" t="n">
        <x:v>8</x:v>
      </x:c>
      <x:c r="C32" s="42" t="n">
        <x:v>0.25</x:v>
      </x:c>
      <x:c r="D32" s="42"/>
    </x:row>
    <x:row r="33">
      <x:c r="A33" s="42" t="str">
        <x:v>Модельные ресурсы</x:v>
      </x:c>
      <x:c r="B33" s="42" t="n">
        <x:v>7.5</x:v>
      </x:c>
      <x:c r="C33" s="42" t="n">
        <x:v>0.3</x:v>
      </x:c>
      <x:c r="D33" s="42"/>
    </x:row>
    <x:row r="34">
      <x:c r="A34" s="42" t="str">
        <x:v>Ресурсы оценки</x:v>
      </x:c>
      <x:c r="B34" s="42" t="n">
        <x:v>7</x:v>
      </x:c>
      <x:c r="C34" s="42" t="n">
        <x:v>0.25</x:v>
      </x:c>
      <x:c r="D34" s="42"/>
    </x:row>
    <x:row r="35">
      <x:c r="A35" s="42" t="str">
        <x:v>Документационные ресурсы</x:v>
      </x:c>
      <x:c r="B35" s="42" t="n">
        <x:v>7.5</x:v>
      </x:c>
      <x:c r="C35" s="42" t="n">
        <x:v>0.2</x:v>
      </x:c>
      <x:c r="D35" s="42"/>
    </x:row>
    <x:row r="36">
      <x:c r="A36" s="42" t="str">
        <x:v>Права доступа к информационным ресурсам</x:v>
      </x:c>
      <x:c r="B36" s="42" t="n">
        <x:v>7.5</x:v>
      </x:c>
      <x:c r="C36" s="42" t="n">
        <x:v>0.2</x:v>
      </x:c>
      <x:c r="D36" s="42"/>
    </x:row>
    <x:row r="37">
      <x:c r="A37" s="42" t="str">
        <x:v>Кибербезопасностные ресурсы</x:v>
      </x:c>
      <x:c r="B37" s="42" t="n">
        <x:v>8.5</x:v>
      </x:c>
      <x:c r="C37" s="42" t="n">
        <x:v>0.2</x:v>
      </x:c>
      <x:c r="D37" s="42"/>
    </x:row>
    <x:row r="38">
      <x:c r="A38" s="42" t="str">
        <x:v>Квалифицированный человеческий ресурс</x:v>
      </x:c>
      <x:c r="B38" s="42" t="n">
        <x:v>8.5</x:v>
      </x:c>
      <x:c r="C38" s="42" t="n">
        <x:v>0.25</x:v>
      </x:c>
      <x:c r="D38" s="42"/>
    </x:row>
    <x:row r="39">
      <x:c r="A39" s="42" t="str">
        <x:v>Предметная экспертиза</x:v>
      </x:c>
      <x:c r="B39" s="42" t="n">
        <x:v>8</x:v>
      </x:c>
      <x:c r="C39" s="42" t="n">
        <x:v>0.15</x:v>
      </x:c>
      <x:c r="D39" s="42"/>
    </x:row>
    <x:row r="40">
      <x:c r="A40" s="42" t="str">
        <x:v>Оцифрованность деятельности</x:v>
      </x:c>
      <x:c r="B40" s="42" t="n">
        <x:v>9</x:v>
      </x:c>
      <x:c r="C40" s="42" t="n">
        <x:v>0.25</x:v>
      </x:c>
      <x:c r="D40" s="42"/>
    </x:row>
    <x:row r="41">
      <x:c r="A41" s="42" t="str">
        <x:v>Интеграционные ресурсы</x:v>
      </x:c>
      <x:c r="B41" s="42" t="n">
        <x:v>8.5</x:v>
      </x:c>
      <x:c r="C41" s="42" t="n">
        <x:v>0.3</x:v>
      </x:c>
      <x:c r="D41" s="42"/>
    </x:row>
    <x:row r="42">
      <x:c r="A42" s="42" t="str">
        <x:v>Организационная архитектура внедрения</x:v>
      </x:c>
      <x:c r="B42" s="42" t="n">
        <x:v>9</x:v>
      </x:c>
      <x:c r="C42" s="42" t="n">
        <x:v>0.25</x:v>
      </x:c>
      <x:c r="D42" s="42"/>
    </x:row>
    <x:row r="43">
      <x:c r="A43" s="42" t="str">
        <x:v>Организационная способность к изменению</x:v>
      </x:c>
      <x:c r="B43" s="42" t="n">
        <x:v>9</x:v>
      </x:c>
      <x:c r="C43" s="42" t="n">
        <x:v>0.25</x:v>
      </x:c>
      <x:c r="D43" s="42"/>
    </x:row>
    <x:row r="44">
      <x:c r="A44" s="42" t="str">
        <x:v>Финансовые ресурсы</x:v>
      </x:c>
      <x:c r="B44" s="42" t="n">
        <x:v>10</x:v>
      </x:c>
      <x:c r="C44" s="42" t="n">
        <x:v>0</x:v>
      </x:c>
      <x:c r="D44" s="42"/>
    </x:row>
    <x:row r="45">
      <x:c r="A45" s="42" t="str">
        <x:v>Поставщики и рынок технологических услуг</x:v>
      </x:c>
      <x:c r="B45" s="42" t="n">
        <x:v>8.5</x:v>
      </x:c>
      <x:c r="C45" s="42" t="n">
        <x:v>0.3</x:v>
      </x:c>
      <x:c r="D45" s="42"/>
    </x:row>
    <x:row r="46">
      <x:c r="A46" s="42" t="str">
        <x:v>Экономическая целесообразность</x:v>
      </x:c>
      <x:c r="B46" s="42" t="n">
        <x:v>9</x:v>
      </x:c>
      <x:c r="C46" s="42" t="n">
        <x:v>0.15</x:v>
      </x:c>
      <x:c r="D46" s="42"/>
    </x:row>
    <x:row r="47">
      <x:c r="A47" s="42" t="str">
        <x:v>Правовая среда</x:v>
      </x:c>
      <x:c r="B47" s="42" t="n">
        <x:v>8</x:v>
      </x:c>
      <x:c r="C47" s="42" t="n">
        <x:v>0.15</x:v>
      </x:c>
      <x:c r="D47" s="42"/>
    </x:row>
    <x:row r="48">
      <x:c r="A48" s="42" t="str">
        <x:v>Регуляторная и стандартная среда</x:v>
      </x:c>
      <x:c r="B48" s="42" t="n">
        <x:v>9</x:v>
      </x:c>
      <x:c r="C48" s="42" t="n">
        <x:v>0.2</x:v>
      </x:c>
      <x:c r="D48" s="42"/>
    </x:row>
    <x:row r="49">
      <x:c r="A49" s="42" t="str">
        <x:v>Институциональная инфраструктура</x:v>
      </x:c>
      <x:c r="B49" s="42" t="n">
        <x:v>9</x:v>
      </x:c>
      <x:c r="C49" s="42" t="n">
        <x:v>0.2</x:v>
      </x:c>
      <x:c r="D49" s="42"/>
    </x:row>
    <x:row r="50">
      <x:c r="A50" s="42" t="str">
        <x:v>Конкурентная и торговая среда</x:v>
      </x:c>
      <x:c r="B50" s="42" t="n">
        <x:v>8</x:v>
      </x:c>
      <x:c r="C50" s="42" t="n">
        <x:v>0.1</x:v>
      </x:c>
      <x:c r="D50" s="42"/>
    </x:row>
    <x:row r="51">
      <x:c r="A51" s="42" t="str">
        <x:v>Социальное доверие</x:v>
      </x:c>
      <x:c r="B51" s="42" t="n">
        <x:v>8</x:v>
      </x:c>
      <x:c r="C51" s="42" t="n">
        <x:v>0.1</x:v>
      </x:c>
      <x:c r="D51" s="42"/>
    </x:row>
    <x:row r="52">
      <x:c r="A52" s="42" t="str">
        <x:v>Готовность работников к использованию ИИ</x:v>
      </x:c>
      <x:c r="B52" s="42" t="n">
        <x:v>9</x:v>
      </x:c>
      <x:c r="C52" s="42" t="n">
        <x:v>0.25</x:v>
      </x:c>
      <x:c r="D52" s="42"/>
    </x:row>
    <x:row r="53">
      <x:c r="A53" s="42" t="str">
        <x:v>Локальная социально-культурная применимость</x:v>
      </x:c>
      <x:c r="B53" s="42" t="n">
        <x:v>9</x:v>
      </x:c>
      <x:c r="C53" s="42" t="n">
        <x:v>0.05</x:v>
      </x:c>
      <x:c r="D53" s="42"/>
    </x:row>
    <x:row r="54">
      <x:c r="A54" s="42" t="str">
        <x:v>Система управления ИИ</x:v>
      </x:c>
      <x:c r="B54" s="42" t="n">
        <x:v>9</x:v>
      </x:c>
      <x:c r="C54" s="42" t="n">
        <x:v>0.2</x:v>
      </x:c>
      <x:c r="D54" s="42"/>
    </x:row>
    <x:row r="55">
      <x:c r="A55" s="42" t="str">
        <x:v>Поствнедренческий мониторинг</x:v>
      </x:c>
      <x:c r="B55" s="42" t="n">
        <x:v>8</x:v>
      </x:c>
      <x:c r="C55" s="42" t="n">
        <x:v>0.2</x:v>
      </x:c>
      <x:c r="D55" s="42"/>
    </x:row>
    <x:row r="56">
      <x:c r="A56" s="42" t="str">
        <x:v>Ресурс обновления и восстановления</x:v>
      </x:c>
      <x:c r="B56" s="42" t="n">
        <x:v>8</x:v>
      </x:c>
      <x:c r="C56" s="42" t="n">
        <x:v>0.2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7</x:v>
      </x:c>
      <x:c r="C57" s="42" t="n">
        <x:v>0.15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7</x:v>
      </x:c>
      <x:c r="C61" s="42" t="n">
        <x:v>0.35</x:v>
      </x:c>
      <x:c r="D61" s="42"/>
    </x:row>
    <x:row r="62">
      <x:c r="A62" s="42" t="str">
        <x:v>Управление</x:v>
      </x:c>
      <x:c r="B62" s="42" t="n">
        <x:v>8.5</x:v>
      </x:c>
      <x:c r="C62" s="42" t="n">
        <x:v>0.3</x:v>
      </x:c>
      <x:c r="D62" s="42"/>
    </x:row>
    <x:row r="63">
      <x:c r="A63" s="42" t="str">
        <x:v>Познание</x:v>
      </x:c>
      <x:c r="B63" s="42" t="n">
        <x:v>7.5</x:v>
      </x:c>
      <x:c r="C63" s="42" t="n">
        <x:v>0.3</x:v>
      </x:c>
      <x:c r="D63" s="42"/>
    </x:row>
    <x:row r="64">
      <x:c r="A64" s="42" t="str">
        <x:v>Обучение</x:v>
      </x:c>
      <x:c r="B64" s="42" t="n">
        <x:v>7.5</x:v>
      </x:c>
      <x:c r="C64" s="42" t="n">
        <x:v>0.35</x:v>
      </x:c>
      <x:c r="D64" s="42"/>
    </x:row>
    <x:row r="65">
      <x:c r="A65" s="85" t="str">
        <x:v>Война</x:v>
      </x:c>
      <x:c r="B65" s="85" t="n">
        <x:v>7</x:v>
      </x:c>
      <x:c r="C65" s="85" t="n">
        <x:v>0.25</x:v>
      </x:c>
      <x:c r="D65" s="42"/>
    </x:row>
    <x:row r="66">
      <x:c r="A66" s="42" t="str">
        <x:v>Экономика</x:v>
      </x:c>
      <x:c r="B66" s="42" t="n">
        <x:v>8.5</x:v>
      </x:c>
      <x:c r="C66" s="42" t="n">
        <x:v>0.3</x:v>
      </x:c>
      <x:c r="D66" s="42"/>
    </x:row>
    <x:row r="67">
      <x:c r="A67" s="42" t="str">
        <x:v>Государственное управление</x:v>
      </x:c>
      <x:c r="B67" s="42" t="n">
        <x:v>8.5</x:v>
      </x:c>
      <x:c r="C67" s="42" t="n">
        <x:v>0.25</x:v>
      </x:c>
      <x:c r="D67" s="42"/>
    </x:row>
    <x:row r="68">
      <x:c r="A68" s="42" t="str">
        <x:v>Принятие ИИ</x:v>
      </x:c>
      <x:c r="B68" s="42" t="n">
        <x:v>8.5</x:v>
      </x:c>
      <x:c r="C68" s="42" t="n">
        <x:v>0.25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2.1</x:v>
      </x:c>
      <x:c r="C72" s="42" t="str">
        <x:v>Стратегическое партнёрство</x:v>
      </x:c>
      <x:c r="D72" s="42" t="str">
        <x:v>Прагматичные и развитые торговые, инвестиционные и политические отношения при сохранении самостоятельной внешнеполитической линии ОАЭ.</x:v>
      </x:c>
    </x:row>
    <x:row r="73">
      <x:c r="A73" s="42" t="str">
        <x:v>США</x:v>
      </x:c>
      <x:c r="B73" s="42" t="n">
        <x:v>3.2</x:v>
      </x:c>
      <x:c r="C73" s="42" t="str">
        <x:v>Стратегический союз</x:v>
      </x:c>
      <x:c r="D73" s="42" t="str">
        <x:v>Очень тесное стратегическое, оборонное, технологическое и инвестиционное партнёрство.</x:v>
      </x:c>
    </x:row>
    <x:row r="74">
      <x:c r="A74" s="42" t="str">
        <x:v>Китай</x:v>
      </x:c>
      <x:c r="B74" s="42" t="n">
        <x:v>3</x:v>
      </x:c>
      <x:c r="C74" s="42" t="str">
        <x:v>Стратегическое партнёрство</x:v>
      </x:c>
      <x:c r="D74" s="42" t="str">
        <x:v>Крупное стратегическое, торговое и технологическое партнёрство, включая инфраструктуру, цифровые технологии и энергетику.</x:v>
      </x:c>
    </x:row>
    <x:row r="75">
      <x:c r="A75" s="85" t="str">
        <x:v>Индия</x:v>
      </x:c>
      <x:c r="B75" s="85" t="n">
        <x:v>3.2</x:v>
      </x:c>
      <x:c r="C75" s="85" t="str">
        <x:v>Стратегический союз</x:v>
      </x:c>
      <x:c r="D75" s="85" t="str">
        <x:v>Очень тесное торговое, инвестиционное и стратегическое партнёрство, усиленное крупной индийской диаспорой.</x:v>
      </x:c>
    </x:row>
    <x:row r="76">
      <x:c r="A76" s="42" t="str">
        <x:v>Великобритания</x:v>
      </x:c>
      <x:c r="B76" s="42" t="n">
        <x:v>2.8</x:v>
      </x:c>
      <x:c r="C76" s="42" t="str">
        <x:v>Стратегическое партнёрство</x:v>
      </x:c>
      <x:c r="D76" s="42" t="str">
        <x:v>Глубокие финансовые, инвестиционные, оборонные и исторически сложившиеся политические связи.</x:v>
      </x:c>
    </x:row>
    <x:row r="77">
      <x:c r="A77" s="42" t="str">
        <x:v>Франция</x:v>
      </x:c>
      <x:c r="B77" s="42" t="n">
        <x:v>3.1</x:v>
      </x:c>
      <x:c r="C77" s="42" t="str">
        <x:v>Стратегический союз</x:v>
      </x:c>
      <x:c r="D77" s="42" t="str">
        <x:v>Очень тесное стратегическое и оборонное партнёрство, крупные инвестиционные и энергетические связи.</x:v>
      </x:c>
    </x:row>
    <x:row r="78">
      <x:c r="A78" s="42" t="str">
        <x:v>Германия</x:v>
      </x:c>
      <x:c r="B78" s="42" t="n">
        <x:v>2.3</x:v>
      </x:c>
      <x:c r="C78" s="42" t="str">
        <x:v>Стратегическое партнёрство</x:v>
      </x:c>
      <x:c r="D78" s="42" t="str">
        <x:v>Развитые торговые, инвестиционные и технологические отношения.</x:v>
      </x:c>
    </x:row>
    <x:row r="79">
      <x:c r="A79" s="42" t="str">
        <x:v>Япония</x:v>
      </x:c>
      <x:c r="B79" s="42" t="n">
        <x:v>2.3</x:v>
      </x:c>
      <x:c r="C79" s="42" t="str">
        <x:v>Стратегическое партнёрство</x:v>
      </x:c>
      <x:c r="D79" s="42" t="str">
        <x:v>Сильные энергетические, инвестиционные и технологические связи.</x:v>
      </x:c>
    </x:row>
    <x:row r="80">
      <x:c r="A80" s="42" t="str">
        <x:v>Южная Корея</x:v>
      </x:c>
      <x:c r="B80" s="42" t="n">
        <x:v>2.4</x:v>
      </x:c>
      <x:c r="C80" s="42" t="str">
        <x:v>Стратегическое партнёрство</x:v>
      </x:c>
      <x:c r="D80" s="42" t="str">
        <x:v>Тесное сотрудничество в энергетике, атомной отрасли, технологиях и инфраструктуре.</x:v>
      </x:c>
    </x:row>
    <x:row r="81">
      <x:c r="A81" s="42" t="str">
        <x:v>Турция</x:v>
      </x:c>
      <x:c r="B81" s="42" t="n">
        <x:v>2.5</x:v>
      </x:c>
      <x:c r="C81" s="42" t="str">
        <x:v>Стратегическое партнёрство</x:v>
      </x:c>
      <x:c r="D81" s="42" t="str">
        <x:v>После нормализации отношения быстро усиливаются в торговле, инвестициях и политическом взаимодействии.</x:v>
      </x:c>
    </x:row>
    <x:row r="82">
      <x:c r="A82" s="42" t="str">
        <x:v>Саудовская Аравия</x:v>
      </x:c>
      <x:c r="B82" s="42" t="n">
        <x:v>3.5</x:v>
      </x:c>
      <x:c r="C82" s="42" t="str">
        <x:v>Стратегический союз</x:v>
      </x:c>
      <x:c r="D82" s="42" t="str">
        <x:v>Очень тесная взаимосвязь монархий Залива и высокий уровень политического, экономического и регионального взаимодействия при наличии конкуренции.</x:v>
      </x:c>
    </x:row>
    <x:row r="83">
      <x:c r="A83" s="42" t="str">
        <x:v>Иран</x:v>
      </x:c>
      <x:c r="B83" s="42" t="n">
        <x:v>1.2</x:v>
      </x:c>
      <x:c r="C83" s="42" t="str">
        <x:v>Партнёрство</x:v>
      </x:c>
      <x:c r="D83" s="42" t="str">
        <x:v>Значимые торговые и финансовые связи сочетаются с региональными противоречиями и осторожным политическим балансированием.</x:v>
      </x:c>
    </x:row>
    <x:row r="84">
      <x:c r="A84" s="42" t="str">
        <x:v>Израиль</x:v>
      </x:c>
      <x:c r="B84" s="42" t="n">
        <x:v>2.2</x:v>
      </x:c>
      <x:c r="C84" s="42" t="str">
        <x:v>Стратегическое партнёрство</x:v>
      </x:c>
      <x:c r="D84" s="42" t="str">
        <x:v>После нормализации сформировались интенсивные торговые, инвестиционные, технологические и туристические связи.</x:v>
      </x:c>
    </x:row>
    <x:row r="85">
      <x:c r="A85" s="42" t="str">
        <x:v>Бразилия</x:v>
      </x:c>
      <x:c r="B85" s="42" t="n">
        <x:v>2.1</x:v>
      </x:c>
      <x:c r="C85" s="42" t="str">
        <x:v>Стратегическое партнёрство</x:v>
      </x:c>
      <x:c r="D85" s="42" t="str">
        <x:v>Быстро растущие инвестиционные и торговые связи, включая инфраструктурные и продовольственные проекты.</x:v>
      </x:c>
    </x:row>
    <x:row r="86">
      <x:c r="A86" s="42" t="str">
        <x:v>Индонезия</x:v>
      </x:c>
      <x:c r="B86" s="42" t="n">
        <x:v>2.3</x:v>
      </x:c>
      <x:c r="C86" s="42" t="str">
        <x:v>Стратегическое партнёрство</x:v>
      </x:c>
      <x:c r="D86" s="42" t="str">
        <x:v>Развитые политические, инвестиционные и исламские институциональные связи, растущее экономическое сотрудничество.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