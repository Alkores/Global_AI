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хнологии" sheetId="1" r:id="rId4"/>
    <sheet state="visible" name="Россия 2026" sheetId="2" r:id="rId5"/>
    <sheet state="visible" name="Ход 2026" sheetId="3" r:id="rId6"/>
    <sheet state="visible" name="Россия 2027" sheetId="4" r:id="rId7"/>
    <sheet state="visible" name="Ход 2027" sheetId="5" r:id="rId8"/>
    <sheet state="visible" name="Россия 2028" sheetId="6" r:id="rId9"/>
    <sheet state="visible" name="Ход 2028" sheetId="7" r:id="rId10"/>
    <sheet state="visible" name="Россия 2029" sheetId="8" r:id="rId11"/>
    <sheet state="visible" name="Ход 2029" sheetId="9" r:id="rId12"/>
    <sheet state="visible" name="Россия 2030" sheetId="10" r:id="rId13"/>
    <sheet state="visible" name="Ход 2030" sheetId="11" r:id="rId14"/>
    <sheet state="visible" name="Россия 2031" sheetId="12" r:id="rId15"/>
    <sheet state="visible" name="Ход 2031" sheetId="13" r:id="rId16"/>
    <sheet state="visible" name="Россия 2032" sheetId="14" r:id="rId17"/>
    <sheet state="visible" name="Ход 2032" sheetId="15" r:id="rId18"/>
    <sheet state="visible" name="Россия 2033" sheetId="16" r:id="rId19"/>
    <sheet state="visible" name="Ход 2033" sheetId="17" r:id="rId20"/>
    <sheet state="visible" name="Россия 2034" sheetId="18" r:id="rId21"/>
    <sheet state="visible" name="Ход 2034" sheetId="19" r:id="rId22"/>
    <sheet state="visible" name="Россия 2035" sheetId="20" r:id="rId23"/>
    <sheet state="visible" name="Ход 2035" sheetId="21" r:id="rId24"/>
    <sheet state="visible" name="Россия 2036" sheetId="22" r:id="rId25"/>
    <sheet state="visible" name="Ход 2036" sheetId="23" r:id="rId26"/>
    <sheet state="visible" name="Россия 2037" sheetId="24" r:id="rId27"/>
    <sheet state="visible" name="Ход 2037" sheetId="25" r:id="rId28"/>
    <sheet state="visible" name="Россия 2038" sheetId="26" r:id="rId29"/>
    <sheet state="visible" name="Ход 2038" sheetId="27" r:id="rId30"/>
    <sheet state="visible" name="Россия 2039" sheetId="28" r:id="rId31"/>
    <sheet state="visible" name="Ход 2039" sheetId="29" r:id="rId32"/>
    <sheet state="visible" name="Россия 2040" sheetId="30" r:id="rId33"/>
    <sheet state="visible" name="Ход 2040" sheetId="31" r:id="rId34"/>
    <sheet state="visible" name="Россия конец 2040" sheetId="32" r:id="rId35"/>
  </sheets>
  <definedNames>
    <definedName hidden="1" localSheetId="0" name="_xlnm._FilterDatabase">'Технологии'!$AB$10:$AB$50</definedName>
  </definedNames>
  <calcPr/>
  <extLst>
    <ext uri="GoogleSheetsCustomDataVersion2">
      <go:sheetsCustomData xmlns:go="http://customooxmlschemas.google.com/" r:id="rId36" roundtripDataChecksum="ssen9zGFTfamoaoyuS8kZ7MltbCD/ifHMCHYuEFHqGk="/>
    </ext>
  </extLst>
</workbook>
</file>

<file path=xl/sharedStrings.xml><?xml version="1.0" encoding="utf-8"?>
<sst xmlns="http://schemas.openxmlformats.org/spreadsheetml/2006/main" count="4078" uniqueCount="409">
  <si>
    <t>ДЕРЕВО ТЕХНОЛОГИЙ — 15 ХОДОВ</t>
  </si>
  <si>
    <t>РОССИЯ — СОСТОЯНИЕ НА НАЧАЛО 2026 ГОДА</t>
  </si>
  <si>
    <t>ХОД 2026 — РАСПРЕДЕЛЕНИЕ ОЧКОВ</t>
  </si>
  <si>
    <t>РОССИЯ — СОСТОЯНИЕ НА НАЧАЛО 2027 ГОДА</t>
  </si>
  <si>
    <t>Жёлтые поля заполняются вручную. Четыре колонки эффектов всегда создаются с нулём и не содержат формул.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</si>
  <si>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</si>
  <si>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Жёлтые ячейки — ввод игрока.</t>
  </si>
  <si>
    <t>ВСЕГО ТЕХНОЛОГИЙ</t>
  </si>
  <si>
    <t>ОСНОВНЫХ ВЕТВЕЙ</t>
  </si>
  <si>
    <t>МЕЖВЕТВЕВЫХ</t>
  </si>
  <si>
    <t>1. РЕСУРСНАЯ БАЗА ИИ</t>
  </si>
  <si>
    <t>СТАРТОВО ОТКРЫТО</t>
  </si>
  <si>
    <t>ОЧКИ ИИ</t>
  </si>
  <si>
    <t>ОЧКИ ТРАНСФОРМАЦИИ</t>
  </si>
  <si>
    <t>ОЧКИ НАУКИ</t>
  </si>
  <si>
    <t>ВНЕШНЕПОЛИТИЧЕСКИЕ ОЧКИ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</si>
  <si>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</si>
  <si>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</si>
  <si>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</si>
  <si>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</si>
  <si>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</si>
  <si>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</si>
  <si>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ID</t>
  </si>
  <si>
    <t>Временный эффект
на прирост</t>
  </si>
  <si>
    <t>От торговли</t>
  </si>
  <si>
    <t>Ветвь</t>
  </si>
  <si>
    <t>Реальное
значение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</si>
  <si>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</si>
  <si>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</si>
  <si>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</si>
  <si>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</si>
  <si>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</si>
  <si>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</si>
  <si>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</si>
  <si>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</si>
  <si>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</si>
  <si>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</si>
  <si>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</si>
  <si>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</si>
  <si>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</si>
  <si>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</si>
  <si>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</si>
  <si>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</si>
  <si>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</si>
  <si>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</si>
  <si>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</si>
  <si>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</si>
  <si>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</si>
  <si>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</si>
  <si>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</si>
  <si>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</si>
  <si>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</si>
  <si>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</si>
  <si>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</si>
  <si>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Доступно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</si>
  <si>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</si>
  <si>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</si>
  <si>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</si>
  <si>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</si>
  <si>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</si>
  <si>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</si>
  <si>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</si>
  <si>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</si>
  <si>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</si>
  <si>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</si>
  <si>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</si>
  <si>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</si>
  <si>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</si>
  <si>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</si>
  <si>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</si>
  <si>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</si>
  <si>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</si>
  <si>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</si>
  <si>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</si>
  <si>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</si>
  <si>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</si>
  <si>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</si>
  <si>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</si>
  <si>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</si>
  <si>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</si>
  <si>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</si>
  <si>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</si>
  <si>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</si>
  <si>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</si>
  <si>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C1</t>
  </si>
  <si>
    <t>Вычисления и аппаратная база</t>
  </si>
  <si>
    <t>I</t>
  </si>
  <si>
    <t>Энергоэффективные ИИ-ускорители</t>
  </si>
  <si>
    <t>Специализированные ускорители с лучшим отношением вычислений к энергопотреблению.</t>
  </si>
  <si>
    <t>Вычислительные компоненты +0,2; прирост ЦОД +0,05/год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</si>
  <si>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</si>
  <si>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</si>
  <si>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</si>
  <si>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</si>
  <si>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</si>
  <si>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</si>
  <si>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</si>
  <si>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Сфера</t>
  </si>
  <si>
    <t>Очки ИИ в прирост</t>
  </si>
  <si>
    <t>Страна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</si>
  <si>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</si>
  <si>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</si>
  <si>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</si>
  <si>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</si>
  <si>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</si>
  <si>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Шанс улучшения</t>
  </si>
  <si>
    <t>Шанс без изменений</t>
  </si>
  <si>
    <t>Шанс ухудшения</t>
  </si>
  <si>
    <t>Бросок 0–100</t>
  </si>
  <si>
    <t>I. Материально-физическая и вычислительная база</t>
  </si>
  <si>
    <t>Производство</t>
  </si>
  <si>
    <t>США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</si>
  <si>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</si>
  <si>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</si>
  <si>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</si>
  <si>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</si>
  <si>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</si>
  <si>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Код −5…+5</t>
  </si>
  <si>
    <t>Статус</t>
  </si>
  <si>
    <t>Краткое положение</t>
  </si>
  <si>
    <t>Вода и ресурс отвода тепла</t>
  </si>
  <si>
    <t>Управление</t>
  </si>
  <si>
    <t>Китай</t>
  </si>
  <si>
    <t>Санкции и глубокие разногласия сохраняются; дипломатические каналы не разорваны.</t>
  </si>
  <si>
    <t>Пространственные и природно-географические ресурсы</t>
  </si>
  <si>
    <t>Всеобъемлющее партнёрство и стратегическое взаимодействие; формально не военный союз.</t>
  </si>
  <si>
    <t>Мощности производства полупроводников</t>
  </si>
  <si>
    <t>Познание</t>
  </si>
  <si>
    <t>Индия</t>
  </si>
  <si>
    <t>Особо привилегированное стратегическое партнёрство.</t>
  </si>
  <si>
    <t>Вычислительные компоненты</t>
  </si>
  <si>
    <t>Обучение</t>
  </si>
  <si>
    <t>Великобритания</t>
  </si>
  <si>
    <t>Широкий санкционный режим и жёсткое политико-безопасностное противостояние.</t>
  </si>
  <si>
    <t>ЦОД и вычислительная инфраструктура</t>
  </si>
  <si>
    <t>Война</t>
  </si>
  <si>
    <t>Франция</t>
  </si>
  <si>
    <t>Санкции и поддержка Украины сочетаются с сохранением отдельных каналов диалога.</t>
  </si>
  <si>
    <t>Сетевые ресурсы</t>
  </si>
  <si>
    <t>C2</t>
  </si>
  <si>
    <t>II</t>
  </si>
  <si>
    <t>Проектирование специализированных ускорителей</t>
  </si>
  <si>
    <t>Экономика</t>
  </si>
  <si>
    <t>Собственные архитектуры ускорителей и средств их проектирования.</t>
  </si>
  <si>
    <t>Вычислительные компоненты +0,3; их прирост +0,08/год</t>
  </si>
  <si>
    <t>Германия</t>
  </si>
  <si>
    <t>Участие в санкциях ЕС и поддержке Украины; политические отношения существенно ухудшены.</t>
  </si>
  <si>
    <t>Конечные устройства</t>
  </si>
  <si>
    <t>Государственное управление</t>
  </si>
  <si>
    <t>Япония</t>
  </si>
  <si>
    <t>Санкции и замороженное экономическое сотрудничество; сохраняются необходимые двусторонние контакты.</t>
  </si>
  <si>
    <t>II. Программно-алгоритмический потенциал</t>
  </si>
  <si>
    <t>Принятие ИИ</t>
  </si>
  <si>
    <t>Южная Корея</t>
  </si>
  <si>
    <t>Санкционное давление и серьёзные разногласия по вопросам Украины и российско-корейского военного сотрудничества.</t>
  </si>
  <si>
    <t>Базовый программный стек вычислений</t>
  </si>
  <si>
    <t>Турция</t>
  </si>
  <si>
    <t>Плотный политический и экономический контакт при существенных разногласиях по отдельным региональным вопросам.</t>
  </si>
  <si>
    <t>Стек разработки ИИ</t>
  </si>
  <si>
    <t>Саудовская Аравия</t>
  </si>
  <si>
    <t>Активное энергетическое и экономическое сотрудничество; союзных обязательств нет.</t>
  </si>
  <si>
    <t>Стек эксплуатации ИИ</t>
  </si>
  <si>
    <t>Иран</t>
  </si>
  <si>
    <t>Действует договор о всеобъемлющем стратегическом партнёрстве.</t>
  </si>
  <si>
    <t>Математико-алгоритмические ресурсы</t>
  </si>
  <si>
    <t>Израиль</t>
  </si>
  <si>
    <t>Дипломатические контакты сохраняются, но по ряду ближневосточных вопросов позиции расходятся.</t>
  </si>
  <si>
    <t>Методы построения и совершенствования моделей</t>
  </si>
  <si>
    <t>Бразилия</t>
  </si>
  <si>
    <t>Активное взаимодействие в БРИКС и устойчивый политический диалог.</t>
  </si>
  <si>
    <t>III. Данные, модели и информационная безопасность</t>
  </si>
  <si>
    <t>ОАЭ</t>
  </si>
  <si>
    <t>Стратегическое партнёрство и развитые экономические связи.</t>
  </si>
  <si>
    <t>Исходные данные</t>
  </si>
  <si>
    <t>Индонезия</t>
  </si>
  <si>
    <t>В 2025 году подтверждено развитие стратегического партнёрства.</t>
  </si>
  <si>
    <t>Производные данные</t>
  </si>
  <si>
    <t>Прочее</t>
  </si>
  <si>
    <t>Агрегированная строка для остальных государств; базовое состояние — нейтралитет.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</si>
  <si>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</si>
  <si>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</si>
  <si>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</si>
  <si>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</si>
  <si>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</si>
  <si>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</si>
  <si>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ОБОРОНА — ВНЕШНЕПОЛИТИЧЕСКИЕ ОЧКИ</t>
  </si>
  <si>
    <t>IV. Люди, организация и экономика внедрения</t>
  </si>
  <si>
    <t>Квалифицированный человеческий ресурс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</si>
  <si>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</si>
  <si>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</si>
  <si>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</si>
  <si>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</si>
  <si>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Предметная экспертиза</t>
  </si>
  <si>
    <t>Оцифрованность деятельности</t>
  </si>
  <si>
    <t>C3</t>
  </si>
  <si>
    <t>Передовая микроэлектроника для ИИ</t>
  </si>
  <si>
    <t>Технологическая база для специализированных чипов, памяти и упаковки.</t>
  </si>
  <si>
    <t>Полупроводниковое производство +0,4; его прирост +0,08/год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</si>
  <si>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</si>
  <si>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</si>
  <si>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</si>
  <si>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</si>
  <si>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</si>
  <si>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</si>
  <si>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</si>
  <si>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</si>
  <si>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</si>
  <si>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</si>
  <si>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</si>
  <si>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3. РАСПРЕДЕЛЕНИЕ ОЧКОВ НАУКИ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</si>
  <si>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</si>
  <si>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</si>
  <si>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</si>
  <si>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</si>
  <si>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</si>
  <si>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</si>
  <si>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ID технологии</t>
  </si>
  <si>
    <t>Очки науки</t>
  </si>
  <si>
    <t>Примечание</t>
  </si>
  <si>
    <t>Статус после хода</t>
  </si>
  <si>
    <t>Ресурс обновления и восстановления</t>
  </si>
  <si>
    <t>Ресурс утилизации и воспроизводства физической базы</t>
  </si>
  <si>
    <t>A1</t>
  </si>
  <si>
    <t>C4</t>
  </si>
  <si>
    <t>III</t>
  </si>
  <si>
    <t>Гетерогенные вычислительные кластеры</t>
  </si>
  <si>
    <t>Совместное использование CPU, GPU, специализированных ускорителей и распределённой памяти.</t>
  </si>
  <si>
    <t>ЦОД +0,4; Стек эксплуатации ИИ +0,2; прирост ЦОД +0,05/год</t>
  </si>
  <si>
    <t>M1</t>
  </si>
  <si>
    <t>S1</t>
  </si>
  <si>
    <t>C5</t>
  </si>
  <si>
    <t>IV</t>
  </si>
  <si>
    <t>Суверенная распределённая вычислительная сеть</t>
  </si>
  <si>
    <t>Национальная сеть взаимозаменяемых ЦОД и вычислительных узлов.</t>
  </si>
  <si>
    <t>Сетевые ресурсы +0,4; прирост ЦОД +0,10/год; защита Афины +15%</t>
  </si>
  <si>
    <t>C6</t>
  </si>
  <si>
    <t>V</t>
  </si>
  <si>
    <t>Новые вычислительные архитектуры</t>
  </si>
  <si>
    <t>Нейроморфные, вычислительно-памятные и иные постфоннеймановские архитектуры.</t>
  </si>
  <si>
    <t>Вычислительные компоненты +0,5; Математико-алгоритмические ресурсы +0,3; исследования ветви Модели +10%</t>
  </si>
  <si>
    <t>Модели и алгоритмы</t>
  </si>
  <si>
    <t>Эффективное обучение моделей</t>
  </si>
  <si>
    <t>Улучшенные методы оптимизации, сжатия и обучения моделей.</t>
  </si>
  <si>
    <t>Методы построения моделей +0,2; их прирост +0,05/год</t>
  </si>
  <si>
    <t>ХОД 2027 — РАСПРЕДЕЛЕНИЕ ОЧКОВ</t>
  </si>
  <si>
    <t>M2</t>
  </si>
  <si>
    <t>Мультимодальные фундаментальные модели</t>
  </si>
  <si>
    <t>Совместная работа с текстом, изображениями, звуком, видео и другими модальностями.</t>
  </si>
  <si>
    <t>Модельные ресурсы +0,3; прирост Принятия ИИ +0,05/год; атака Аполлона +10%</t>
  </si>
  <si>
    <t>M3</t>
  </si>
  <si>
    <t>Модели рассуждения и планирования</t>
  </si>
  <si>
    <t>Многошаговое решение задач, планирование и проверка промежуточных результатов.</t>
  </si>
  <si>
    <t>Методы построения моделей +0,3; прирост Познания +0,08/год</t>
  </si>
  <si>
    <t>M4</t>
  </si>
  <si>
    <t>Адаптивные модели непрерывного обучения</t>
  </si>
  <si>
    <t>Модели, способные обновляться при изменении среды и данных.</t>
  </si>
  <si>
    <t>Модельные ресурсы +0,4; их прирост +0,08/год; прирост Управления +0,05/год</t>
  </si>
  <si>
    <t>S2</t>
  </si>
  <si>
    <t>M5</t>
  </si>
  <si>
    <t>Модели мира и причинного прогнозирования</t>
  </si>
  <si>
    <t>Моделирование среды, сценариев и последствий решений.</t>
  </si>
  <si>
    <t>Познание +0,3; прирост Познания +0,10/год; атака Афины +10%</t>
  </si>
  <si>
    <t>Купиф</t>
  </si>
  <si>
    <t>M6</t>
  </si>
  <si>
    <t>Самосовершенствующиеся фронтирные модели</t>
  </si>
  <si>
    <t>Системы, автоматизирующие существенную часть собственного улучшения.</t>
  </si>
  <si>
    <t>Прирост Методов построения моделей +0,15/год; Модельных ресурсов +0,10/год; эффективность науки для M/A/X +15%</t>
  </si>
  <si>
    <t>D1</t>
  </si>
  <si>
    <t>Данные и знания</t>
  </si>
  <si>
    <t>Интероперабельные пространства данных</t>
  </si>
  <si>
    <t>Стандартизованный обмен данными между организациями и системами.</t>
  </si>
  <si>
    <t>Исходные данные +0,2; Интеграционные ресурсы +0,2; их прирост +0,05/год</t>
  </si>
  <si>
    <t>D2</t>
  </si>
  <si>
    <t>Промышленное производство синтетических данных</t>
  </si>
  <si>
    <t>Генерация обучающих и тестовых данных при дефиците реальных наблюдений.</t>
  </si>
  <si>
    <t>Производные данные +0,3; их прирост +0,10/год</t>
  </si>
  <si>
    <t>РОССИЯ — СОСТОЯНИЕ НА НАЧАЛО 2028 ГОДА</t>
  </si>
  <si>
    <t>D3</t>
  </si>
  <si>
    <t>Графы знаний и семантические модели</t>
  </si>
  <si>
    <t>Машиночитаемые связи между объектами, понятиями и фактами.</t>
  </si>
  <si>
    <t>Контекстные информационные ресурсы +0,3; прирост Познания +0,05/год</t>
  </si>
  <si>
    <t>D4</t>
  </si>
  <si>
    <t>Проверяемые системы поиска и извлечения знаний</t>
  </si>
  <si>
    <t>Доступ моделей к документированным и проверяемым источникам.</t>
  </si>
  <si>
    <t>Документационные ресурсы +0,3; Права доступа +0,2; прирост Госуправления +0,05/год</t>
  </si>
  <si>
    <t>ХОД 2028 — РАСПРЕДЕЛЕНИЕ ОЧКОВ</t>
  </si>
  <si>
    <t>D5</t>
  </si>
  <si>
    <t>Национальная машиночитаемая инфраструктура знаний</t>
  </si>
  <si>
    <t>Связанная система государственных, научных и отраслевых знаний.</t>
  </si>
  <si>
    <t>Контекстные ресурсы +0,5; их прирост +0,10/год; защита Аполлона +15%</t>
  </si>
  <si>
    <t>D6</t>
  </si>
  <si>
    <t>Автономные экосистемы данных</t>
  </si>
  <si>
    <t>Автоматическое получение, очистка, разметка, проверка и обновление данных.</t>
  </si>
  <si>
    <t>Прирост Исходных данных +0,10/год; Производных +0,15/год; Ресурсов оценки +0,10/год</t>
  </si>
  <si>
    <t>Агенты и автономные системы</t>
  </si>
  <si>
    <t>ИИ-копилоты с использованием инструментов</t>
  </si>
  <si>
    <t>ИИ работает с программами, поиском и информационными системами.</t>
  </si>
  <si>
    <t>Прирост Управления +0,05/год; прирост Экономики +0,05/год</t>
  </si>
  <si>
    <t>РОССИЯ — СОСТОЯНИЕ НА НАЧАЛО 2029 ГОДА</t>
  </si>
  <si>
    <t>A2</t>
  </si>
  <si>
    <t>Агенты рабочих процессов</t>
  </si>
  <si>
    <t>Выполнение многошаговых процессов внутри организаций.</t>
  </si>
  <si>
    <t>Организационная архитектура внедрения +0,3; её прирост +0,08/год</t>
  </si>
  <si>
    <t>A3</t>
  </si>
  <si>
    <t>Многоагентная оркестрация</t>
  </si>
  <si>
    <t>Координация множества специализированных агентов.</t>
  </si>
  <si>
    <t>Прирост Управления +0,08/год; атака Афины +10%</t>
  </si>
  <si>
    <t>A4</t>
  </si>
  <si>
    <t>Автономные организационные процессы</t>
  </si>
  <si>
    <t>Автоматическое ведение существенной части типовых процессов организаций.</t>
  </si>
  <si>
    <t>Организационная способность к изменению +0,4; прирост Экономики +0,08/год</t>
  </si>
  <si>
    <t>A5</t>
  </si>
  <si>
    <t>Государственные ИИ-агенты</t>
  </si>
  <si>
    <t>Агентные системы в масштабах государственного управления.</t>
  </si>
  <si>
    <t>Прирост Госуправления +0,12/год; Управления +0,08/год; улучшение отношений +10%</t>
  </si>
  <si>
    <t>A6</t>
  </si>
  <si>
    <t>Стратегические автономные агентные системы</t>
  </si>
  <si>
    <t>Агентные контуры, самостоятельно планирующие длинные цепочки действий.</t>
  </si>
  <si>
    <t>Управление +0,4; атака Афины +15%; атака Аполлона +15%</t>
  </si>
  <si>
    <t>R1</t>
  </si>
  <si>
    <t>Физический ИИ и робототехника</t>
  </si>
  <si>
    <t>Машинное зрение и интеллектуальное управление</t>
  </si>
  <si>
    <t>Распознавание физической среды и управление оборудованием.</t>
  </si>
  <si>
    <t>Оцифрованность деятельности +0,2; прирост Производства +0,05/год</t>
  </si>
  <si>
    <t>ХОД 2029 — РАСПРЕДЕЛЕНИЕ ОЧКОВ</t>
  </si>
  <si>
    <t>R2</t>
  </si>
  <si>
    <t>Интеллектуальная промышленная робототехника</t>
  </si>
  <si>
    <t>Роботы, способные адаптироваться к производственным операциям.</t>
  </si>
  <si>
    <t>Производство +0,3; его прирост +0,08/год</t>
  </si>
  <si>
    <t>R3</t>
  </si>
  <si>
    <t>Автономная логистика</t>
  </si>
  <si>
    <t>Автоматизированные транспортные, складские и распределительные системы.</t>
  </si>
  <si>
    <t>Прирост Экономики +0,08/год; защита Афины +10%</t>
  </si>
  <si>
    <t>R4</t>
  </si>
  <si>
    <t>Автономные мобильные системы</t>
  </si>
  <si>
    <t>Воздушные, наземные и морские автономные платформы.</t>
  </si>
  <si>
    <t>Прирост Войны +0,08/год; атака Ареса +15%</t>
  </si>
  <si>
    <t>R5</t>
  </si>
  <si>
    <t>Универсальный воплощённый ИИ</t>
  </si>
  <si>
    <t>Роботизированные системы, способные осваивать новые физические задачи.</t>
  </si>
  <si>
    <t>Прирост Производства +0,12/год; Готовность работников +0,2; прирост Принятия ИИ +0,05/год</t>
  </si>
  <si>
    <t>R6</t>
  </si>
  <si>
    <t>Автономные производственные комплексы</t>
  </si>
  <si>
    <t>Производство с минимальным постоянным человеческим оперативным управлением.</t>
  </si>
  <si>
    <t>Производство +0,5; его прирост +0,15/год; очки трансформации в ресурсы группы I эффективнее на 15%</t>
  </si>
  <si>
    <t>Надёжность, безопасность и контроль</t>
  </si>
  <si>
    <t>Систематическая оценка ИИ</t>
  </si>
  <si>
    <t>Бенчмарки, тестирование и контроль деградации моделей.</t>
  </si>
  <si>
    <t>Ресурсы оценки +0,3; прирост Поствнедренческого мониторинга +0,05/год</t>
  </si>
  <si>
    <t>Интерпретируемый ИИ</t>
  </si>
  <si>
    <t>Средства объяснения поведения и результатов модели.</t>
  </si>
  <si>
    <t>Документационные ресурсы +0,2; Социальное доверие +0,2; прирост Принятия ИИ +0,05/год</t>
  </si>
  <si>
    <t>S3</t>
  </si>
  <si>
    <t>Защищённый MLOps и инфраструктура ИИ</t>
  </si>
  <si>
    <t>Контроль доступа, моделей, обновлений и цепочек поставки.</t>
  </si>
  <si>
    <t>Кибербезопасностные ресурсы +0,3; прирост Стека эксплуатации ИИ +0,05/год; защита Афины +10%</t>
  </si>
  <si>
    <t>S4</t>
  </si>
  <si>
    <t>Автоматизированный red teaming</t>
  </si>
  <si>
    <t>Постоянный поиск уязвимостей и опасных режимов поведения.</t>
  </si>
  <si>
    <t>Ресурсы оценки +0,4; прирост Кибербезопасности +0,08/год; защита Аполлона +10%</t>
  </si>
  <si>
    <t>РОССИЯ — СОСТОЯНИЕ НА НАЧАЛО 2030 ГОДА</t>
  </si>
  <si>
    <t>S5</t>
  </si>
  <si>
    <t>Контроль автономных агентов</t>
  </si>
  <si>
    <t>Ограничения действий, права, аудит и остановка автономных систем.</t>
  </si>
  <si>
    <t>Система управления ИИ +0,4; прирост Принятия ИИ +0,08/год; защита Афины и Аполлона +10%</t>
  </si>
  <si>
    <t>S6</t>
  </si>
  <si>
    <t>Проверяемый и самоинтерпретируемый ИИ</t>
  </si>
  <si>
    <t>Системы, способные обосновывать и проверять собственное выполнение требований.</t>
  </si>
  <si>
    <t>Система управления ИИ +0,5; Регуляторная среда +0,3; прирост Социального доверия +0,10/год; вся оборона +10%</t>
  </si>
  <si>
    <t>X1</t>
  </si>
  <si>
    <t>Межветвевые</t>
  </si>
  <si>
    <t>Автономное научное исследование</t>
  </si>
  <si>
    <t>ИИ формулирует гипотезы, планирует исследования, анализирует результаты и предлагает новые эксперименты.</t>
  </si>
  <si>
    <t>Прирост Познания +0,10/год; эффективность вложенных очков науки +15%</t>
  </si>
  <si>
    <t>X2</t>
  </si>
  <si>
    <t>Национальная ИИ-платформа</t>
  </si>
  <si>
    <t>Унифицированная инфраструктура вычислений, данных, моделей и развёртывания.</t>
  </si>
  <si>
    <t>Прирост Принятия ИИ +0,10/год; Госуправления +0,08/год; очки ИИ в сферы эффективнее на 10%</t>
  </si>
  <si>
    <t>X3</t>
  </si>
  <si>
    <t>Автономный цифровой контур государства</t>
  </si>
  <si>
    <t>Связанная система данных, агентов и государственного управления.</t>
  </si>
  <si>
    <t>Госуправление +0,5; его прирост +0,12/год; улучшение отношений +15%; защита Аполлона +10%</t>
  </si>
  <si>
    <t>X4</t>
  </si>
  <si>
    <t>V+</t>
  </si>
  <si>
    <t>Самоускоряющийся контур исследований ИИ</t>
  </si>
  <si>
    <t>ИИ автоматизирует значительную часть цикла создания следующего поколения ИИ.</t>
  </si>
  <si>
    <t>Эффективность очков науки +25%; прирост Методов моделей +0,10/год; Модельных ресурсов +0,10/год; открывает карты прорывов/рисков</t>
  </si>
  <si>
    <t>ХОД 2030 — РАСПРЕДЕЛЕНИЕ ОЧКОВ</t>
  </si>
  <si>
    <t>РОССИЯ — СОСТОЯНИЕ НА НАЧАЛО 2031 ГОДА</t>
  </si>
  <si>
    <t>ХОД 2031 — РАСПРЕДЕЛЕНИЕ ОЧКОВ</t>
  </si>
  <si>
    <t>РОССИЯ — СОСТОЯНИЕ НА НАЧАЛО 2032 ГОДА</t>
  </si>
  <si>
    <t>ХОД 2032 — РАСПРЕДЕЛЕНИЕ ОЧКОВ</t>
  </si>
  <si>
    <t>РОССИЯ — СОСТОЯНИЕ НА НАЧАЛО 2033 ГОДА</t>
  </si>
  <si>
    <t>ХОД 2033 — РАСПРЕДЕЛЕНИЕ ОЧКОВ</t>
  </si>
  <si>
    <t>РОССИЯ — СОСТОЯНИЕ НА НАЧАЛО 2034 ГОДА</t>
  </si>
  <si>
    <t>ХОД 2034 — РАСПРЕДЕЛЕНИЕ ОЧКОВ</t>
  </si>
  <si>
    <t>РОССИЯ — СОСТОЯНИЕ НА НАЧАЛО 2035 ГОДА</t>
  </si>
  <si>
    <t>ХОД 2035 — РАСПРЕДЕЛЕНИЕ ОЧКОВ</t>
  </si>
  <si>
    <t>РОССИЯ — СОСТОЯНИЕ НА НАЧАЛО 2036 ГОДА</t>
  </si>
  <si>
    <t>ХОД 2036 — РАСПРЕДЕЛЕНИЕ ОЧКОВ</t>
  </si>
  <si>
    <t>РОССИЯ — СОСТОЯНИЕ НА НАЧАЛО 2037 ГОДА</t>
  </si>
  <si>
    <t>ХОД 2037 — РАСПРЕДЕЛЕНИЕ ОЧКОВ</t>
  </si>
  <si>
    <t>РОССИЯ — СОСТОЯНИЕ НА НАЧАЛО 2038 ГОДА</t>
  </si>
  <si>
    <t>ХОД 2038 — РАСПРЕДЕЛЕНИЕ ОЧКОВ</t>
  </si>
  <si>
    <t>РОССИЯ — СОСТОЯНИЕ НА НАЧАЛО 2039 ГОДА</t>
  </si>
  <si>
    <t>ХОД 2039 — РАСПРЕДЕЛЕНИЕ ОЧКОВ</t>
  </si>
  <si>
    <t>РОССИЯ — СОСТОЯНИЕ НА НАЧАЛО 2040 ГОДА</t>
  </si>
  <si>
    <t>ХОД 2040 — РАСПРЕДЕЛЕНИЕ ОЧКОВ</t>
  </si>
  <si>
    <t>РОССИЯ — СОСТОЯНИЕ НА КОНЕЦ 2040 ГОДА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</si>
</sst>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0">
    <font>
      <sz val="11.0"/>
      <color rgb="FF000000"/>
      <name val="Carlito"/>
      <scheme val="minor"/>
    </font>
    <font>
      <b/>
      <sz val="18.0"/>
      <color rgb="FFFFFFFF"/>
      <name val="Carlito"/>
    </font>
    <font/>
    <font>
      <i/>
      <sz val="11.0"/>
      <color rgb="FF244062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2.0"/>
      <color rgb="FFFFFFFF"/>
      <name val="Carlito"/>
    </font>
    <font>
      <b/>
      <sz val="18.0"/>
      <color theme="1"/>
      <name val="Carlito"/>
    </font>
    <font>
      <b/>
      <sz val="8.0"/>
      <color rgb="FF777777"/>
      <name val="Carlito"/>
    </font>
    <font>
      <color theme="1"/>
      <name val="Carlito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2F75B5"/>
        <bgColor rgb="FF2F75B5"/>
      </patternFill>
    </fill>
    <fill>
      <patternFill patternType="solid">
        <fgColor rgb="FFE2F0D9"/>
        <bgColor rgb="FFE2F0D9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wrapText="1"/>
    </xf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shrinkToFit="0" wrapText="1"/>
    </xf>
    <xf borderId="7" fillId="4" fontId="5" numFmtId="0" xfId="0" applyAlignment="1" applyBorder="1" applyFill="1" applyFont="1">
      <alignment horizontal="center"/>
    </xf>
    <xf borderId="7" fillId="4" fontId="6" numFmtId="0" xfId="0" applyAlignment="1" applyBorder="1" applyFill="1" applyFont="1">
      <alignment shrinkToFit="0" wrapText="1"/>
    </xf>
    <xf borderId="1" fillId="5" fontId="7" numFmtId="0" xfId="0" applyAlignment="1" applyBorder="1" applyFill="1" applyFont="1">
      <alignment horizontal="center"/>
    </xf>
    <xf borderId="7" fillId="4" fontId="5" numFmtId="0" xfId="0" applyAlignment="1" applyBorder="1" applyFill="1" applyFont="1">
      <alignment horizontal="center" shrinkToFit="0" wrapText="1"/>
    </xf>
    <xf borderId="10" fillId="6" fontId="5" numFmtId="0" xfId="0" applyAlignment="1" applyBorder="1" applyFill="1" applyFont="1">
      <alignment shrinkToFit="0" wrapText="1"/>
    </xf>
    <xf borderId="10" fillId="7" fontId="8" numFmtId="0" xfId="0" applyAlignment="1" applyBorder="1" applyFill="1" applyFont="1">
      <alignment shrinkToFit="0" wrapText="1"/>
    </xf>
    <xf borderId="0" fillId="0" fontId="4" numFmtId="164" xfId="0" applyAlignment="1" applyFont="1" applyNumberFormat="1">
      <alignment shrinkToFit="0" wrapText="1"/>
    </xf>
    <xf borderId="10" fillId="7" fontId="4" numFmtId="0" xfId="0" applyAlignment="1" applyBorder="1" applyFill="1" applyFont="1">
      <alignment shrinkToFit="0" wrapText="1"/>
    </xf>
    <xf borderId="10" fillId="5" fontId="4" numFmtId="0" xfId="0" applyAlignment="1" applyBorder="1" applyFill="1" applyFont="1">
      <alignment shrinkToFit="0" wrapText="1"/>
    </xf>
    <xf borderId="0" fillId="0" fontId="9" numFmtId="0" xfId="0" applyFont="1"/>
    <xf borderId="1" fillId="5" fontId="7" numFmtId="164" xfId="0" applyAlignment="1" applyBorder="1" applyFill="1" applyFont="1" applyNumberFormat="1">
      <alignment horizontal="center" shrinkToFit="0" wrapText="1"/>
    </xf>
    <xf borderId="7" fillId="4" fontId="5" numFmtId="0" xfId="0" applyAlignment="1" applyBorder="1" applyFill="1" applyFont="1">
      <alignment shrinkToFit="0" wrapText="1"/>
    </xf>
    <xf borderId="10" fillId="8" fontId="4" numFmtId="0" xfId="0" applyAlignment="1" applyBorder="1" applyFill="1" applyFont="1">
      <alignment shrinkToFit="0" wrapText="1"/>
    </xf>
    <xf borderId="10" fillId="8" fontId="4" numFmtId="0" xfId="0" applyAlignment="1" applyBorder="1" applyFill="1" applyFont="1">
      <alignment readingOrder="0" shrinkToFit="0" wrapText="1"/>
    </xf>
    <xf borderId="10" fillId="9" fontId="4" numFmtId="0" xfId="0" applyAlignment="1" applyBorder="1" applyFill="1" applyFont="1">
      <alignment shrinkToFit="0" wrapText="1"/>
    </xf>
    <xf borderId="0" fillId="0" fontId="4" numFmtId="165" xfId="0" applyAlignment="1" applyFont="1" applyNumberFormat="1">
      <alignment shrinkToFit="0" wrapText="1"/>
    </xf>
    <xf borderId="10" fillId="7" fontId="4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4.0"/>
    <col customWidth="1" min="3" max="3" width="9.0"/>
    <col customWidth="1" min="4" max="4" width="31.0"/>
    <col customWidth="1" min="5" max="8" width="11.0"/>
    <col customWidth="1" min="9" max="9" width="42.0"/>
    <col customWidth="1" min="10" max="10" width="48.0"/>
    <col customWidth="1" min="11" max="25" width="11.0"/>
    <col customWidth="1" min="26" max="26" width="13.0"/>
    <col customWidth="1" min="27" max="27" width="11.0"/>
    <col customWidth="1" min="28" max="28" width="15.0"/>
    <col customWidth="1" min="29" max="58" width="3.0"/>
  </cols>
  <sheetData>
    <row r="1" ht="13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8"/>
    </row>
    <row r="3" ht="13.5" customHeight="1">
      <c r="A3" s="9" t="s">
        <v>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1"/>
    </row>
    <row r="4" ht="13.5" customHeight="1"/>
    <row r="5" ht="13.5" customHeight="1">
      <c r="A5" s="13" t="s">
        <v>7</v>
      </c>
      <c r="B5" s="10"/>
      <c r="C5" s="11"/>
      <c r="E5" s="13" t="s">
        <v>8</v>
      </c>
      <c r="F5" s="10"/>
      <c r="G5" s="11"/>
      <c r="I5" s="13" t="s">
        <v>9</v>
      </c>
      <c r="J5" s="10"/>
      <c r="K5" s="11"/>
      <c r="M5" s="13" t="s">
        <v>11</v>
      </c>
      <c r="N5" s="11"/>
    </row>
    <row r="6" ht="13.5" customHeight="1">
      <c r="A6" s="15">
        <v>40.0</v>
      </c>
      <c r="B6" s="3"/>
      <c r="C6" s="5"/>
      <c r="E6" s="15">
        <v>6.0</v>
      </c>
      <c r="F6" s="3"/>
      <c r="G6" s="5"/>
      <c r="I6" s="15">
        <v>4.0</v>
      </c>
      <c r="J6" s="3"/>
      <c r="K6" s="5"/>
      <c r="M6" s="15">
        <v>6.0</v>
      </c>
      <c r="N6" s="5"/>
    </row>
    <row r="7" ht="13.5" customHeight="1">
      <c r="A7" s="6"/>
      <c r="B7" s="7"/>
      <c r="C7" s="8"/>
      <c r="E7" s="6"/>
      <c r="F7" s="7"/>
      <c r="G7" s="8"/>
      <c r="I7" s="6"/>
      <c r="J7" s="7"/>
      <c r="K7" s="8"/>
      <c r="M7" s="6"/>
      <c r="N7" s="8"/>
    </row>
    <row r="8" ht="13.5" customHeight="1"/>
    <row r="9" ht="13.5" customHeight="1"/>
    <row r="10" ht="13.5" customHeight="1">
      <c r="A10" s="17" t="s">
        <v>22</v>
      </c>
      <c r="B10" s="17" t="s">
        <v>25</v>
      </c>
      <c r="C10" s="17" t="s">
        <v>27</v>
      </c>
      <c r="D10" s="17" t="s">
        <v>28</v>
      </c>
      <c r="E10" s="17" t="s">
        <v>29</v>
      </c>
      <c r="F10" s="17" t="s">
        <v>30</v>
      </c>
      <c r="G10" s="17" t="s">
        <v>31</v>
      </c>
      <c r="H10" s="17" t="s">
        <v>32</v>
      </c>
      <c r="I10" s="17" t="s">
        <v>33</v>
      </c>
      <c r="J10" s="17" t="s">
        <v>34</v>
      </c>
      <c r="K10" s="17" t="s">
        <v>35</v>
      </c>
      <c r="L10" s="17" t="s">
        <v>36</v>
      </c>
      <c r="M10" s="17" t="s">
        <v>37</v>
      </c>
      <c r="N10" s="17" t="s">
        <v>38</v>
      </c>
      <c r="O10" s="17" t="s">
        <v>39</v>
      </c>
      <c r="P10" s="17" t="s">
        <v>40</v>
      </c>
      <c r="Q10" s="17" t="s">
        <v>41</v>
      </c>
      <c r="R10" s="17" t="s">
        <v>42</v>
      </c>
      <c r="S10" s="17" t="s">
        <v>43</v>
      </c>
      <c r="T10" s="17" t="s">
        <v>44</v>
      </c>
      <c r="U10" s="17" t="s">
        <v>45</v>
      </c>
      <c r="V10" s="17" t="s">
        <v>46</v>
      </c>
      <c r="W10" s="17" t="s">
        <v>47</v>
      </c>
      <c r="X10" s="17" t="s">
        <v>48</v>
      </c>
      <c r="Y10" s="17" t="s">
        <v>49</v>
      </c>
      <c r="Z10" s="17" t="s">
        <v>50</v>
      </c>
      <c r="AA10" s="17" t="s">
        <v>51</v>
      </c>
      <c r="AB10" s="17" t="s">
        <v>52</v>
      </c>
      <c r="AC10" s="18" t="s">
        <v>53</v>
      </c>
      <c r="AD10" s="18" t="s">
        <v>55</v>
      </c>
      <c r="AE10" s="18" t="s">
        <v>56</v>
      </c>
      <c r="AF10" s="18" t="s">
        <v>57</v>
      </c>
      <c r="AG10" s="18" t="s">
        <v>58</v>
      </c>
      <c r="AH10" s="18" t="s">
        <v>59</v>
      </c>
      <c r="AI10" s="18" t="s">
        <v>60</v>
      </c>
      <c r="AJ10" s="18" t="s">
        <v>61</v>
      </c>
      <c r="AK10" s="18" t="s">
        <v>62</v>
      </c>
      <c r="AL10" s="18" t="s">
        <v>63</v>
      </c>
      <c r="AM10" s="18" t="s">
        <v>64</v>
      </c>
      <c r="AN10" s="18" t="s">
        <v>65</v>
      </c>
      <c r="AO10" s="18" t="s">
        <v>66</v>
      </c>
      <c r="AP10" s="18" t="s">
        <v>67</v>
      </c>
      <c r="AQ10" s="18" t="s">
        <v>68</v>
      </c>
      <c r="AR10" s="18" t="s">
        <v>69</v>
      </c>
      <c r="AS10" s="18" t="s">
        <v>70</v>
      </c>
      <c r="AT10" s="18" t="s">
        <v>71</v>
      </c>
      <c r="AU10" s="18" t="s">
        <v>72</v>
      </c>
      <c r="AV10" s="18" t="s">
        <v>73</v>
      </c>
      <c r="AW10" s="18" t="s">
        <v>74</v>
      </c>
      <c r="AX10" s="18" t="s">
        <v>75</v>
      </c>
      <c r="AY10" s="18" t="s">
        <v>76</v>
      </c>
      <c r="AZ10" s="18" t="s">
        <v>77</v>
      </c>
      <c r="BA10" s="18" t="s">
        <v>78</v>
      </c>
      <c r="BB10" s="18" t="s">
        <v>79</v>
      </c>
      <c r="BC10" s="18" t="s">
        <v>80</v>
      </c>
      <c r="BD10" s="18" t="s">
        <v>81</v>
      </c>
      <c r="BE10" s="18" t="s">
        <v>82</v>
      </c>
      <c r="BF10" s="18" t="s">
        <v>83</v>
      </c>
    </row>
    <row r="11" ht="13.5" customHeight="1">
      <c r="A11" s="12" t="s">
        <v>84</v>
      </c>
      <c r="B11" s="12" t="s">
        <v>85</v>
      </c>
      <c r="C11" s="12" t="s">
        <v>86</v>
      </c>
      <c r="D11" s="12" t="s">
        <v>87</v>
      </c>
      <c r="E11" s="12">
        <v>20.0</v>
      </c>
      <c r="F11" s="12"/>
      <c r="G11" s="12"/>
      <c r="H11" s="12"/>
      <c r="I11" s="12" t="s">
        <v>88</v>
      </c>
      <c r="J11" s="12" t="s">
        <v>89</v>
      </c>
      <c r="K11" s="20">
        <f>SUMIF('Ход 2026'!$G$29:$G$38,$A11,'Ход 2026'!$I$29:$I$38)</f>
        <v>0</v>
      </c>
      <c r="L11" s="20">
        <f>SUMIF('Ход 2027'!$G$29:$G$38,$A11,'Ход 2027'!$I$29:$I$38)</f>
        <v>0</v>
      </c>
      <c r="M11" s="20">
        <f>SUMIF('Ход 2028'!$G$29:$G$38,$A11,'Ход 2028'!$I$29:$I$38)</f>
        <v>0</v>
      </c>
      <c r="N11" s="20">
        <f>SUMIF('Ход 2029'!$G$29:$G$38,$A11,'Ход 2029'!$I$29:$I$38)</f>
        <v>0</v>
      </c>
      <c r="O11" s="20">
        <f>SUMIF('Ход 2030'!$G$29:$G$38,$A11,'Ход 2030'!$I$29:$I$38)</f>
        <v>0</v>
      </c>
      <c r="P11" s="20">
        <f>SUMIF('Ход 2031'!$G$29:$G$38,$A11,'Ход 2031'!$I$29:$I$38)</f>
        <v>0</v>
      </c>
      <c r="Q11" s="20">
        <f>SUMIF('Ход 2032'!$G$29:$G$38,$A11,'Ход 2032'!$I$29:$I$38)</f>
        <v>0</v>
      </c>
      <c r="R11" s="20">
        <f>SUMIF('Ход 2033'!$G$29:$G$38,$A11,'Ход 2033'!$I$29:$I$38)</f>
        <v>0</v>
      </c>
      <c r="S11" s="20">
        <f>SUMIF('Ход 2034'!$G$29:$G$38,$A11,'Ход 2034'!$I$29:$I$38)</f>
        <v>0</v>
      </c>
      <c r="T11" s="20">
        <f>SUMIF('Ход 2035'!$G$29:$G$38,$A11,'Ход 2035'!$I$29:$I$38)</f>
        <v>0</v>
      </c>
      <c r="U11" s="20">
        <f>SUMIF('Ход 2036'!$G$29:$G$38,$A11,'Ход 2036'!$I$29:$I$38)</f>
        <v>0</v>
      </c>
      <c r="V11" s="20">
        <f>SUMIF('Ход 2037'!$G$29:$G$38,$A11,'Ход 2037'!$I$29:$I$38)</f>
        <v>0</v>
      </c>
      <c r="W11" s="20">
        <f>SUMIF('Ход 2038'!$G$29:$G$38,$A11,'Ход 2038'!$I$29:$I$38)</f>
        <v>0</v>
      </c>
      <c r="X11" s="20">
        <f>SUMIF('Ход 2039'!$G$29:$G$38,$A11,'Ход 2039'!$I$29:$I$38)</f>
        <v>0</v>
      </c>
      <c r="Y11" s="20">
        <f>SUMIF('Ход 2040'!$G$29:$G$38,$A11,'Ход 2040'!$I$29:$I$38)</f>
        <v>0</v>
      </c>
      <c r="Z11" s="21">
        <f t="shared" ref="Z11:Z50" si="2">SUM(K11:Y11)</f>
        <v>0</v>
      </c>
      <c r="AA11" s="21">
        <f t="shared" ref="AA11:AA50" si="3">MAX(0,E11-Z11)</f>
        <v>20</v>
      </c>
      <c r="AB11" s="12" t="str">
        <f t="shared" ref="AB11:AB50" si="4">BF11</f>
        <v>ОТКРЫТО</v>
      </c>
      <c r="AC11" s="22">
        <f t="shared" ref="AC11:AQ11" si="1">SUM($K11:K11)</f>
        <v>0</v>
      </c>
      <c r="AD11" s="22">
        <f t="shared" si="1"/>
        <v>0</v>
      </c>
      <c r="AE11" s="22">
        <f t="shared" si="1"/>
        <v>0</v>
      </c>
      <c r="AF11" s="22">
        <f t="shared" si="1"/>
        <v>0</v>
      </c>
      <c r="AG11" s="22">
        <f t="shared" si="1"/>
        <v>0</v>
      </c>
      <c r="AH11" s="22">
        <f t="shared" si="1"/>
        <v>0</v>
      </c>
      <c r="AI11" s="22">
        <f t="shared" si="1"/>
        <v>0</v>
      </c>
      <c r="AJ11" s="22">
        <f t="shared" si="1"/>
        <v>0</v>
      </c>
      <c r="AK11" s="22">
        <f t="shared" si="1"/>
        <v>0</v>
      </c>
      <c r="AL11" s="22">
        <f t="shared" si="1"/>
        <v>0</v>
      </c>
      <c r="AM11" s="22">
        <f t="shared" si="1"/>
        <v>0</v>
      </c>
      <c r="AN11" s="22">
        <f t="shared" si="1"/>
        <v>0</v>
      </c>
      <c r="AO11" s="22">
        <f t="shared" si="1"/>
        <v>0</v>
      </c>
      <c r="AP11" s="22">
        <f t="shared" si="1"/>
        <v>0</v>
      </c>
      <c r="AQ11" s="22">
        <f t="shared" si="1"/>
        <v>0</v>
      </c>
      <c r="AR11" s="22" t="str">
        <f t="shared" ref="AR11:AR50" si="6"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f>
        <v>ОТКРЫТО</v>
      </c>
      <c r="AS11" s="22" t="str">
        <f t="shared" ref="AS11:AS50" si="7"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f>
        <v>ОТКРЫТО</v>
      </c>
      <c r="AT11" s="22" t="str">
        <f t="shared" ref="AT11:AT50" si="8"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f>
        <v>ОТКРЫТО</v>
      </c>
      <c r="AU11" s="22" t="str">
        <f t="shared" ref="AU11:AU50" si="9"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f>
        <v>ОТКРЫТО</v>
      </c>
      <c r="AV11" s="22" t="str">
        <f t="shared" ref="AV11:AV50" si="10"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f>
        <v>ОТКРЫТО</v>
      </c>
      <c r="AW11" s="22" t="str">
        <f t="shared" ref="AW11:AW50" si="11"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f>
        <v>ОТКРЫТО</v>
      </c>
      <c r="AX11" s="22" t="str">
        <f t="shared" ref="AX11:AX50" si="12"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f>
        <v>ОТКРЫТО</v>
      </c>
      <c r="AY11" s="22" t="str">
        <f t="shared" ref="AY11:AY50" si="13"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f>
        <v>ОТКРЫТО</v>
      </c>
      <c r="AZ11" s="22" t="str">
        <f t="shared" ref="AZ11:AZ50" si="14"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f>
        <v>ОТКРЫТО</v>
      </c>
      <c r="BA11" s="22" t="str">
        <f t="shared" ref="BA11:BA50" si="15"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f>
        <v>ОТКРЫТО</v>
      </c>
      <c r="BB11" s="22" t="str">
        <f t="shared" ref="BB11:BB50" si="16"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f>
        <v>ОТКРЫТО</v>
      </c>
      <c r="BC11" s="22" t="str">
        <f t="shared" ref="BC11:BC50" si="17"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f>
        <v>ОТКРЫТО</v>
      </c>
      <c r="BD11" s="22" t="str">
        <f t="shared" ref="BD11:BD50" si="18"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f>
        <v>ОТКРЫТО</v>
      </c>
      <c r="BE11" s="22" t="str">
        <f t="shared" ref="BE11:BE50" si="19"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f>
        <v>ОТКРЫТО</v>
      </c>
      <c r="BF11" s="22" t="str">
        <f t="shared" ref="BF11:BF50" si="20"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f>
        <v>ОТКРЫТО</v>
      </c>
    </row>
    <row r="12" ht="13.5" customHeight="1">
      <c r="A12" s="12" t="s">
        <v>139</v>
      </c>
      <c r="B12" s="12" t="s">
        <v>85</v>
      </c>
      <c r="C12" s="12" t="s">
        <v>140</v>
      </c>
      <c r="D12" s="12" t="s">
        <v>141</v>
      </c>
      <c r="E12" s="12">
        <v>40.0</v>
      </c>
      <c r="F12" s="12" t="s">
        <v>84</v>
      </c>
      <c r="G12" s="12"/>
      <c r="H12" s="12"/>
      <c r="I12" s="12" t="s">
        <v>143</v>
      </c>
      <c r="J12" s="12" t="s">
        <v>144</v>
      </c>
      <c r="K12" s="20">
        <f>SUMIF('Ход 2026'!$G$29:$G$38,$A12,'Ход 2026'!$I$29:$I$38)</f>
        <v>0</v>
      </c>
      <c r="L12" s="29">
        <v>40.0</v>
      </c>
      <c r="M12" s="20">
        <f>SUMIF('Ход 2028'!$G$29:$G$38,$A12,'Ход 2028'!$I$29:$I$38)</f>
        <v>0</v>
      </c>
      <c r="N12" s="20">
        <f>SUMIF('Ход 2029'!$G$29:$G$38,$A12,'Ход 2029'!$I$29:$I$38)</f>
        <v>0</v>
      </c>
      <c r="O12" s="20">
        <f>SUMIF('Ход 2030'!$G$29:$G$38,$A12,'Ход 2030'!$I$29:$I$38)</f>
        <v>0</v>
      </c>
      <c r="P12" s="20">
        <f>SUMIF('Ход 2031'!$G$29:$G$38,$A12,'Ход 2031'!$I$29:$I$38)</f>
        <v>0</v>
      </c>
      <c r="Q12" s="20">
        <f>SUMIF('Ход 2032'!$G$29:$G$38,$A12,'Ход 2032'!$I$29:$I$38)</f>
        <v>0</v>
      </c>
      <c r="R12" s="20">
        <f>SUMIF('Ход 2033'!$G$29:$G$38,$A12,'Ход 2033'!$I$29:$I$38)</f>
        <v>0</v>
      </c>
      <c r="S12" s="20">
        <f>SUMIF('Ход 2034'!$G$29:$G$38,$A12,'Ход 2034'!$I$29:$I$38)</f>
        <v>0</v>
      </c>
      <c r="T12" s="20">
        <f>SUMIF('Ход 2035'!$G$29:$G$38,$A12,'Ход 2035'!$I$29:$I$38)</f>
        <v>0</v>
      </c>
      <c r="U12" s="20">
        <f>SUMIF('Ход 2036'!$G$29:$G$38,$A12,'Ход 2036'!$I$29:$I$38)</f>
        <v>0</v>
      </c>
      <c r="V12" s="20">
        <f>SUMIF('Ход 2037'!$G$29:$G$38,$A12,'Ход 2037'!$I$29:$I$38)</f>
        <v>0</v>
      </c>
      <c r="W12" s="20">
        <f>SUMIF('Ход 2038'!$G$29:$G$38,$A12,'Ход 2038'!$I$29:$I$38)</f>
        <v>0</v>
      </c>
      <c r="X12" s="20">
        <f>SUMIF('Ход 2039'!$G$29:$G$38,$A12,'Ход 2039'!$I$29:$I$38)</f>
        <v>0</v>
      </c>
      <c r="Y12" s="20">
        <f>SUMIF('Ход 2040'!$G$29:$G$38,$A12,'Ход 2040'!$I$29:$I$38)</f>
        <v>0</v>
      </c>
      <c r="Z12" s="21">
        <f t="shared" si="2"/>
        <v>40</v>
      </c>
      <c r="AA12" s="21">
        <f t="shared" si="3"/>
        <v>0</v>
      </c>
      <c r="AB12" s="12" t="str">
        <f t="shared" si="4"/>
        <v>ИЗУЧЕНО</v>
      </c>
      <c r="AC12" s="22">
        <f t="shared" ref="AC12:AQ12" si="5">SUM($K12:K12)</f>
        <v>0</v>
      </c>
      <c r="AD12" s="22">
        <f t="shared" si="5"/>
        <v>40</v>
      </c>
      <c r="AE12" s="22">
        <f t="shared" si="5"/>
        <v>40</v>
      </c>
      <c r="AF12" s="22">
        <f t="shared" si="5"/>
        <v>40</v>
      </c>
      <c r="AG12" s="22">
        <f t="shared" si="5"/>
        <v>40</v>
      </c>
      <c r="AH12" s="22">
        <f t="shared" si="5"/>
        <v>40</v>
      </c>
      <c r="AI12" s="22">
        <f t="shared" si="5"/>
        <v>40</v>
      </c>
      <c r="AJ12" s="22">
        <f t="shared" si="5"/>
        <v>40</v>
      </c>
      <c r="AK12" s="22">
        <f t="shared" si="5"/>
        <v>40</v>
      </c>
      <c r="AL12" s="22">
        <f t="shared" si="5"/>
        <v>40</v>
      </c>
      <c r="AM12" s="22">
        <f t="shared" si="5"/>
        <v>40</v>
      </c>
      <c r="AN12" s="22">
        <f t="shared" si="5"/>
        <v>40</v>
      </c>
      <c r="AO12" s="22">
        <f t="shared" si="5"/>
        <v>40</v>
      </c>
      <c r="AP12" s="22">
        <f t="shared" si="5"/>
        <v>40</v>
      </c>
      <c r="AQ12" s="22">
        <f t="shared" si="5"/>
        <v>40</v>
      </c>
      <c r="AR12" s="22" t="str">
        <f t="shared" si="6"/>
        <v>ЗАКРЫТО</v>
      </c>
      <c r="AS12" s="22" t="str">
        <f t="shared" si="7"/>
        <v>ИЗУЧЕНО</v>
      </c>
      <c r="AT12" s="22" t="str">
        <f t="shared" si="8"/>
        <v>ИЗУЧЕНО</v>
      </c>
      <c r="AU12" s="22" t="str">
        <f t="shared" si="9"/>
        <v>ИЗУЧЕНО</v>
      </c>
      <c r="AV12" s="22" t="str">
        <f t="shared" si="10"/>
        <v>ИЗУЧЕНО</v>
      </c>
      <c r="AW12" s="22" t="str">
        <f t="shared" si="11"/>
        <v>ИЗУЧЕНО</v>
      </c>
      <c r="AX12" s="22" t="str">
        <f t="shared" si="12"/>
        <v>ИЗУЧЕНО</v>
      </c>
      <c r="AY12" s="22" t="str">
        <f t="shared" si="13"/>
        <v>ИЗУЧЕНО</v>
      </c>
      <c r="AZ12" s="22" t="str">
        <f t="shared" si="14"/>
        <v>ИЗУЧЕНО</v>
      </c>
      <c r="BA12" s="22" t="str">
        <f t="shared" si="15"/>
        <v>ИЗУЧЕНО</v>
      </c>
      <c r="BB12" s="22" t="str">
        <f t="shared" si="16"/>
        <v>ИЗУЧЕНО</v>
      </c>
      <c r="BC12" s="22" t="str">
        <f t="shared" si="17"/>
        <v>ИЗУЧЕНО</v>
      </c>
      <c r="BD12" s="22" t="str">
        <f t="shared" si="18"/>
        <v>ИЗУЧЕНО</v>
      </c>
      <c r="BE12" s="22" t="str">
        <f t="shared" si="19"/>
        <v>ИЗУЧЕНО</v>
      </c>
      <c r="BF12" s="22" t="str">
        <f t="shared" si="20"/>
        <v>ИЗУЧЕНО</v>
      </c>
    </row>
    <row r="13" ht="13.5" customHeight="1">
      <c r="A13" s="12" t="s">
        <v>194</v>
      </c>
      <c r="B13" s="12" t="s">
        <v>85</v>
      </c>
      <c r="C13" s="12" t="s">
        <v>140</v>
      </c>
      <c r="D13" s="12" t="s">
        <v>195</v>
      </c>
      <c r="E13" s="12">
        <v>45.0</v>
      </c>
      <c r="F13" s="12" t="s">
        <v>84</v>
      </c>
      <c r="G13" s="12"/>
      <c r="H13" s="12"/>
      <c r="I13" s="12" t="s">
        <v>196</v>
      </c>
      <c r="J13" s="12" t="s">
        <v>197</v>
      </c>
      <c r="K13" s="20">
        <f>SUMIF('Ход 2026'!$G$29:$G$38,$A13,'Ход 2026'!$I$29:$I$38)</f>
        <v>0</v>
      </c>
      <c r="L13" s="20">
        <f>SUMIF('Ход 2027'!$G$29:$G$38,$A13,'Ход 2027'!$I$29:$I$38)</f>
        <v>0</v>
      </c>
      <c r="M13" s="20">
        <f>SUMIF('Ход 2028'!$G$29:$G$38,$A13,'Ход 2028'!$I$29:$I$38)</f>
        <v>0</v>
      </c>
      <c r="N13" s="20">
        <f>SUMIF('Ход 2029'!$G$29:$G$38,$A13,'Ход 2029'!$I$29:$I$38)</f>
        <v>0</v>
      </c>
      <c r="O13" s="20">
        <f>SUMIF('Ход 2030'!$G$29:$G$38,$A13,'Ход 2030'!$I$29:$I$38)</f>
        <v>0</v>
      </c>
      <c r="P13" s="20">
        <f>SUMIF('Ход 2031'!$G$29:$G$38,$A13,'Ход 2031'!$I$29:$I$38)</f>
        <v>0</v>
      </c>
      <c r="Q13" s="20">
        <f>SUMIF('Ход 2032'!$G$29:$G$38,$A13,'Ход 2032'!$I$29:$I$38)</f>
        <v>0</v>
      </c>
      <c r="R13" s="20">
        <f>SUMIF('Ход 2033'!$G$29:$G$38,$A13,'Ход 2033'!$I$29:$I$38)</f>
        <v>0</v>
      </c>
      <c r="S13" s="20">
        <f>SUMIF('Ход 2034'!$G$29:$G$38,$A13,'Ход 2034'!$I$29:$I$38)</f>
        <v>0</v>
      </c>
      <c r="T13" s="20">
        <f>SUMIF('Ход 2035'!$G$29:$G$38,$A13,'Ход 2035'!$I$29:$I$38)</f>
        <v>0</v>
      </c>
      <c r="U13" s="20">
        <f>SUMIF('Ход 2036'!$G$29:$G$38,$A13,'Ход 2036'!$I$29:$I$38)</f>
        <v>0</v>
      </c>
      <c r="V13" s="20">
        <f>SUMIF('Ход 2037'!$G$29:$G$38,$A13,'Ход 2037'!$I$29:$I$38)</f>
        <v>0</v>
      </c>
      <c r="W13" s="20">
        <f>SUMIF('Ход 2038'!$G$29:$G$38,$A13,'Ход 2038'!$I$29:$I$38)</f>
        <v>0</v>
      </c>
      <c r="X13" s="20">
        <f>SUMIF('Ход 2039'!$G$29:$G$38,$A13,'Ход 2039'!$I$29:$I$38)</f>
        <v>0</v>
      </c>
      <c r="Y13" s="20">
        <f>SUMIF('Ход 2040'!$G$29:$G$38,$A13,'Ход 2040'!$I$29:$I$38)</f>
        <v>0</v>
      </c>
      <c r="Z13" s="21">
        <f t="shared" si="2"/>
        <v>0</v>
      </c>
      <c r="AA13" s="21">
        <f t="shared" si="3"/>
        <v>45</v>
      </c>
      <c r="AB13" s="12" t="str">
        <f t="shared" si="4"/>
        <v>ЗАКРЫТО</v>
      </c>
      <c r="AC13" s="22">
        <f t="shared" ref="AC13:AQ13" si="21">SUM($K13:K13)</f>
        <v>0</v>
      </c>
      <c r="AD13" s="22">
        <f t="shared" si="21"/>
        <v>0</v>
      </c>
      <c r="AE13" s="22">
        <f t="shared" si="21"/>
        <v>0</v>
      </c>
      <c r="AF13" s="22">
        <f t="shared" si="21"/>
        <v>0</v>
      </c>
      <c r="AG13" s="22">
        <f t="shared" si="21"/>
        <v>0</v>
      </c>
      <c r="AH13" s="22">
        <f t="shared" si="21"/>
        <v>0</v>
      </c>
      <c r="AI13" s="22">
        <f t="shared" si="21"/>
        <v>0</v>
      </c>
      <c r="AJ13" s="22">
        <f t="shared" si="21"/>
        <v>0</v>
      </c>
      <c r="AK13" s="22">
        <f t="shared" si="21"/>
        <v>0</v>
      </c>
      <c r="AL13" s="22">
        <f t="shared" si="21"/>
        <v>0</v>
      </c>
      <c r="AM13" s="22">
        <f t="shared" si="21"/>
        <v>0</v>
      </c>
      <c r="AN13" s="22">
        <f t="shared" si="21"/>
        <v>0</v>
      </c>
      <c r="AO13" s="22">
        <f t="shared" si="21"/>
        <v>0</v>
      </c>
      <c r="AP13" s="22">
        <f t="shared" si="21"/>
        <v>0</v>
      </c>
      <c r="AQ13" s="22">
        <f t="shared" si="21"/>
        <v>0</v>
      </c>
      <c r="AR13" s="22" t="str">
        <f t="shared" si="6"/>
        <v>ЗАКРЫТО</v>
      </c>
      <c r="AS13" s="22" t="str">
        <f t="shared" si="7"/>
        <v>ЗАКРЫТО</v>
      </c>
      <c r="AT13" s="22" t="str">
        <f t="shared" si="8"/>
        <v>ЗАКРЫТО</v>
      </c>
      <c r="AU13" s="22" t="str">
        <f t="shared" si="9"/>
        <v>ЗАКРЫТО</v>
      </c>
      <c r="AV13" s="22" t="str">
        <f t="shared" si="10"/>
        <v>ЗАКРЫТО</v>
      </c>
      <c r="AW13" s="22" t="str">
        <f t="shared" si="11"/>
        <v>ЗАКРЫТО</v>
      </c>
      <c r="AX13" s="22" t="str">
        <f t="shared" si="12"/>
        <v>ЗАКРЫТО</v>
      </c>
      <c r="AY13" s="22" t="str">
        <f t="shared" si="13"/>
        <v>ЗАКРЫТО</v>
      </c>
      <c r="AZ13" s="22" t="str">
        <f t="shared" si="14"/>
        <v>ЗАКРЫТО</v>
      </c>
      <c r="BA13" s="22" t="str">
        <f t="shared" si="15"/>
        <v>ЗАКРЫТО</v>
      </c>
      <c r="BB13" s="22" t="str">
        <f t="shared" si="16"/>
        <v>ЗАКРЫТО</v>
      </c>
      <c r="BC13" s="22" t="str">
        <f t="shared" si="17"/>
        <v>ЗАКРЫТО</v>
      </c>
      <c r="BD13" s="22" t="str">
        <f t="shared" si="18"/>
        <v>ЗАКРЫТО</v>
      </c>
      <c r="BE13" s="22" t="str">
        <f t="shared" si="19"/>
        <v>ЗАКРЫТО</v>
      </c>
      <c r="BF13" s="22" t="str">
        <f t="shared" si="20"/>
        <v>ЗАКРЫТО</v>
      </c>
    </row>
    <row r="14" ht="13.5" customHeight="1">
      <c r="A14" s="12" t="s">
        <v>223</v>
      </c>
      <c r="B14" s="12" t="s">
        <v>85</v>
      </c>
      <c r="C14" s="12" t="s">
        <v>224</v>
      </c>
      <c r="D14" s="12" t="s">
        <v>225</v>
      </c>
      <c r="E14" s="12">
        <v>65.0</v>
      </c>
      <c r="F14" s="12" t="s">
        <v>139</v>
      </c>
      <c r="G14" s="12" t="s">
        <v>194</v>
      </c>
      <c r="H14" s="12"/>
      <c r="I14" s="12" t="s">
        <v>226</v>
      </c>
      <c r="J14" s="12" t="s">
        <v>227</v>
      </c>
      <c r="K14" s="20">
        <f>SUMIF('Ход 2026'!$G$29:$G$38,$A14,'Ход 2026'!$I$29:$I$38)</f>
        <v>0</v>
      </c>
      <c r="L14" s="20">
        <f>SUMIF('Ход 2027'!$G$29:$G$38,$A14,'Ход 2027'!$I$29:$I$38)</f>
        <v>0</v>
      </c>
      <c r="M14" s="20">
        <f>SUMIF('Ход 2028'!$G$29:$G$38,$A14,'Ход 2028'!$I$29:$I$38)</f>
        <v>0</v>
      </c>
      <c r="N14" s="20">
        <f>SUMIF('Ход 2029'!$G$29:$G$38,$A14,'Ход 2029'!$I$29:$I$38)</f>
        <v>0</v>
      </c>
      <c r="O14" s="20">
        <f>SUMIF('Ход 2030'!$G$29:$G$38,$A14,'Ход 2030'!$I$29:$I$38)</f>
        <v>0</v>
      </c>
      <c r="P14" s="20">
        <f>SUMIF('Ход 2031'!$G$29:$G$38,$A14,'Ход 2031'!$I$29:$I$38)</f>
        <v>0</v>
      </c>
      <c r="Q14" s="20">
        <f>SUMIF('Ход 2032'!$G$29:$G$38,$A14,'Ход 2032'!$I$29:$I$38)</f>
        <v>0</v>
      </c>
      <c r="R14" s="20">
        <f>SUMIF('Ход 2033'!$G$29:$G$38,$A14,'Ход 2033'!$I$29:$I$38)</f>
        <v>0</v>
      </c>
      <c r="S14" s="20">
        <f>SUMIF('Ход 2034'!$G$29:$G$38,$A14,'Ход 2034'!$I$29:$I$38)</f>
        <v>0</v>
      </c>
      <c r="T14" s="20">
        <f>SUMIF('Ход 2035'!$G$29:$G$38,$A14,'Ход 2035'!$I$29:$I$38)</f>
        <v>0</v>
      </c>
      <c r="U14" s="20">
        <f>SUMIF('Ход 2036'!$G$29:$G$38,$A14,'Ход 2036'!$I$29:$I$38)</f>
        <v>0</v>
      </c>
      <c r="V14" s="20">
        <f>SUMIF('Ход 2037'!$G$29:$G$38,$A14,'Ход 2037'!$I$29:$I$38)</f>
        <v>0</v>
      </c>
      <c r="W14" s="20">
        <f>SUMIF('Ход 2038'!$G$29:$G$38,$A14,'Ход 2038'!$I$29:$I$38)</f>
        <v>0</v>
      </c>
      <c r="X14" s="20">
        <f>SUMIF('Ход 2039'!$G$29:$G$38,$A14,'Ход 2039'!$I$29:$I$38)</f>
        <v>0</v>
      </c>
      <c r="Y14" s="20">
        <f>SUMIF('Ход 2040'!$G$29:$G$38,$A14,'Ход 2040'!$I$29:$I$38)</f>
        <v>0</v>
      </c>
      <c r="Z14" s="21">
        <f t="shared" si="2"/>
        <v>0</v>
      </c>
      <c r="AA14" s="21">
        <f t="shared" si="3"/>
        <v>65</v>
      </c>
      <c r="AB14" s="12" t="str">
        <f t="shared" si="4"/>
        <v>ЗАКРЫТО</v>
      </c>
      <c r="AC14" s="22">
        <f t="shared" ref="AC14:AQ14" si="22">SUM($K14:K14)</f>
        <v>0</v>
      </c>
      <c r="AD14" s="22">
        <f t="shared" si="22"/>
        <v>0</v>
      </c>
      <c r="AE14" s="22">
        <f t="shared" si="22"/>
        <v>0</v>
      </c>
      <c r="AF14" s="22">
        <f t="shared" si="22"/>
        <v>0</v>
      </c>
      <c r="AG14" s="22">
        <f t="shared" si="22"/>
        <v>0</v>
      </c>
      <c r="AH14" s="22">
        <f t="shared" si="22"/>
        <v>0</v>
      </c>
      <c r="AI14" s="22">
        <f t="shared" si="22"/>
        <v>0</v>
      </c>
      <c r="AJ14" s="22">
        <f t="shared" si="22"/>
        <v>0</v>
      </c>
      <c r="AK14" s="22">
        <f t="shared" si="22"/>
        <v>0</v>
      </c>
      <c r="AL14" s="22">
        <f t="shared" si="22"/>
        <v>0</v>
      </c>
      <c r="AM14" s="22">
        <f t="shared" si="22"/>
        <v>0</v>
      </c>
      <c r="AN14" s="22">
        <f t="shared" si="22"/>
        <v>0</v>
      </c>
      <c r="AO14" s="22">
        <f t="shared" si="22"/>
        <v>0</v>
      </c>
      <c r="AP14" s="22">
        <f t="shared" si="22"/>
        <v>0</v>
      </c>
      <c r="AQ14" s="22">
        <f t="shared" si="22"/>
        <v>0</v>
      </c>
      <c r="AR14" s="22" t="str">
        <f t="shared" si="6"/>
        <v>ЗАКРЫТО</v>
      </c>
      <c r="AS14" s="22" t="str">
        <f t="shared" si="7"/>
        <v>ЗАКРЫТО</v>
      </c>
      <c r="AT14" s="22" t="str">
        <f t="shared" si="8"/>
        <v>ЗАКРЫТО</v>
      </c>
      <c r="AU14" s="22" t="str">
        <f t="shared" si="9"/>
        <v>ЗАКРЫТО</v>
      </c>
      <c r="AV14" s="22" t="str">
        <f t="shared" si="10"/>
        <v>ЗАКРЫТО</v>
      </c>
      <c r="AW14" s="22" t="str">
        <f t="shared" si="11"/>
        <v>ЗАКРЫТО</v>
      </c>
      <c r="AX14" s="22" t="str">
        <f t="shared" si="12"/>
        <v>ЗАКРЫТО</v>
      </c>
      <c r="AY14" s="22" t="str">
        <f t="shared" si="13"/>
        <v>ЗАКРЫТО</v>
      </c>
      <c r="AZ14" s="22" t="str">
        <f t="shared" si="14"/>
        <v>ЗАКРЫТО</v>
      </c>
      <c r="BA14" s="22" t="str">
        <f t="shared" si="15"/>
        <v>ЗАКРЫТО</v>
      </c>
      <c r="BB14" s="22" t="str">
        <f t="shared" si="16"/>
        <v>ЗАКРЫТО</v>
      </c>
      <c r="BC14" s="22" t="str">
        <f t="shared" si="17"/>
        <v>ЗАКРЫТО</v>
      </c>
      <c r="BD14" s="22" t="str">
        <f t="shared" si="18"/>
        <v>ЗАКРЫТО</v>
      </c>
      <c r="BE14" s="22" t="str">
        <f t="shared" si="19"/>
        <v>ЗАКРЫТО</v>
      </c>
      <c r="BF14" s="22" t="str">
        <f t="shared" si="20"/>
        <v>ЗАКРЫТО</v>
      </c>
    </row>
    <row r="15" ht="13.5" customHeight="1">
      <c r="A15" s="12" t="s">
        <v>230</v>
      </c>
      <c r="B15" s="12" t="s">
        <v>85</v>
      </c>
      <c r="C15" s="12" t="s">
        <v>231</v>
      </c>
      <c r="D15" s="12" t="s">
        <v>232</v>
      </c>
      <c r="E15" s="12">
        <v>100.0</v>
      </c>
      <c r="F15" s="12" t="s">
        <v>223</v>
      </c>
      <c r="G15" s="12"/>
      <c r="H15" s="12"/>
      <c r="I15" s="12" t="s">
        <v>233</v>
      </c>
      <c r="J15" s="12" t="s">
        <v>234</v>
      </c>
      <c r="K15" s="20">
        <f>SUMIF('Ход 2026'!$G$29:$G$38,$A15,'Ход 2026'!$I$29:$I$38)</f>
        <v>0</v>
      </c>
      <c r="L15" s="20">
        <f>SUMIF('Ход 2027'!$G$29:$G$38,$A15,'Ход 2027'!$I$29:$I$38)</f>
        <v>0</v>
      </c>
      <c r="M15" s="20">
        <f>SUMIF('Ход 2028'!$G$29:$G$38,$A15,'Ход 2028'!$I$29:$I$38)</f>
        <v>0</v>
      </c>
      <c r="N15" s="20">
        <f>SUMIF('Ход 2029'!$G$29:$G$38,$A15,'Ход 2029'!$I$29:$I$38)</f>
        <v>0</v>
      </c>
      <c r="O15" s="20">
        <f>SUMIF('Ход 2030'!$G$29:$G$38,$A15,'Ход 2030'!$I$29:$I$38)</f>
        <v>0</v>
      </c>
      <c r="P15" s="20">
        <f>SUMIF('Ход 2031'!$G$29:$G$38,$A15,'Ход 2031'!$I$29:$I$38)</f>
        <v>0</v>
      </c>
      <c r="Q15" s="20">
        <f>SUMIF('Ход 2032'!$G$29:$G$38,$A15,'Ход 2032'!$I$29:$I$38)</f>
        <v>0</v>
      </c>
      <c r="R15" s="20">
        <f>SUMIF('Ход 2033'!$G$29:$G$38,$A15,'Ход 2033'!$I$29:$I$38)</f>
        <v>0</v>
      </c>
      <c r="S15" s="20">
        <f>SUMIF('Ход 2034'!$G$29:$G$38,$A15,'Ход 2034'!$I$29:$I$38)</f>
        <v>0</v>
      </c>
      <c r="T15" s="20">
        <f>SUMIF('Ход 2035'!$G$29:$G$38,$A15,'Ход 2035'!$I$29:$I$38)</f>
        <v>0</v>
      </c>
      <c r="U15" s="20">
        <f>SUMIF('Ход 2036'!$G$29:$G$38,$A15,'Ход 2036'!$I$29:$I$38)</f>
        <v>0</v>
      </c>
      <c r="V15" s="20">
        <f>SUMIF('Ход 2037'!$G$29:$G$38,$A15,'Ход 2037'!$I$29:$I$38)</f>
        <v>0</v>
      </c>
      <c r="W15" s="20">
        <f>SUMIF('Ход 2038'!$G$29:$G$38,$A15,'Ход 2038'!$I$29:$I$38)</f>
        <v>0</v>
      </c>
      <c r="X15" s="20">
        <f>SUMIF('Ход 2039'!$G$29:$G$38,$A15,'Ход 2039'!$I$29:$I$38)</f>
        <v>0</v>
      </c>
      <c r="Y15" s="20">
        <f>SUMIF('Ход 2040'!$G$29:$G$38,$A15,'Ход 2040'!$I$29:$I$38)</f>
        <v>0</v>
      </c>
      <c r="Z15" s="21">
        <f t="shared" si="2"/>
        <v>0</v>
      </c>
      <c r="AA15" s="21">
        <f t="shared" si="3"/>
        <v>100</v>
      </c>
      <c r="AB15" s="12" t="str">
        <f t="shared" si="4"/>
        <v>ЗАКРЫТО</v>
      </c>
      <c r="AC15" s="22">
        <f t="shared" ref="AC15:AQ15" si="23">SUM($K15:K15)</f>
        <v>0</v>
      </c>
      <c r="AD15" s="22">
        <f t="shared" si="23"/>
        <v>0</v>
      </c>
      <c r="AE15" s="22">
        <f t="shared" si="23"/>
        <v>0</v>
      </c>
      <c r="AF15" s="22">
        <f t="shared" si="23"/>
        <v>0</v>
      </c>
      <c r="AG15" s="22">
        <f t="shared" si="23"/>
        <v>0</v>
      </c>
      <c r="AH15" s="22">
        <f t="shared" si="23"/>
        <v>0</v>
      </c>
      <c r="AI15" s="22">
        <f t="shared" si="23"/>
        <v>0</v>
      </c>
      <c r="AJ15" s="22">
        <f t="shared" si="23"/>
        <v>0</v>
      </c>
      <c r="AK15" s="22">
        <f t="shared" si="23"/>
        <v>0</v>
      </c>
      <c r="AL15" s="22">
        <f t="shared" si="23"/>
        <v>0</v>
      </c>
      <c r="AM15" s="22">
        <f t="shared" si="23"/>
        <v>0</v>
      </c>
      <c r="AN15" s="22">
        <f t="shared" si="23"/>
        <v>0</v>
      </c>
      <c r="AO15" s="22">
        <f t="shared" si="23"/>
        <v>0</v>
      </c>
      <c r="AP15" s="22">
        <f t="shared" si="23"/>
        <v>0</v>
      </c>
      <c r="AQ15" s="22">
        <f t="shared" si="23"/>
        <v>0</v>
      </c>
      <c r="AR15" s="22" t="str">
        <f t="shared" si="6"/>
        <v>ЗАКРЫТО</v>
      </c>
      <c r="AS15" s="22" t="str">
        <f t="shared" si="7"/>
        <v>ЗАКРЫТО</v>
      </c>
      <c r="AT15" s="22" t="str">
        <f t="shared" si="8"/>
        <v>ЗАКРЫТО</v>
      </c>
      <c r="AU15" s="22" t="str">
        <f t="shared" si="9"/>
        <v>ЗАКРЫТО</v>
      </c>
      <c r="AV15" s="22" t="str">
        <f t="shared" si="10"/>
        <v>ЗАКРЫТО</v>
      </c>
      <c r="AW15" s="22" t="str">
        <f t="shared" si="11"/>
        <v>ЗАКРЫТО</v>
      </c>
      <c r="AX15" s="22" t="str">
        <f t="shared" si="12"/>
        <v>ЗАКРЫТО</v>
      </c>
      <c r="AY15" s="22" t="str">
        <f t="shared" si="13"/>
        <v>ЗАКРЫТО</v>
      </c>
      <c r="AZ15" s="22" t="str">
        <f t="shared" si="14"/>
        <v>ЗАКРЫТО</v>
      </c>
      <c r="BA15" s="22" t="str">
        <f t="shared" si="15"/>
        <v>ЗАКРЫТО</v>
      </c>
      <c r="BB15" s="22" t="str">
        <f t="shared" si="16"/>
        <v>ЗАКРЫТО</v>
      </c>
      <c r="BC15" s="22" t="str">
        <f t="shared" si="17"/>
        <v>ЗАКРЫТО</v>
      </c>
      <c r="BD15" s="22" t="str">
        <f t="shared" si="18"/>
        <v>ЗАКРЫТО</v>
      </c>
      <c r="BE15" s="22" t="str">
        <f t="shared" si="19"/>
        <v>ЗАКРЫТО</v>
      </c>
      <c r="BF15" s="22" t="str">
        <f t="shared" si="20"/>
        <v>ЗАКРЫТО</v>
      </c>
    </row>
    <row r="16" ht="13.5" customHeight="1">
      <c r="A16" s="12" t="s">
        <v>235</v>
      </c>
      <c r="B16" s="12" t="s">
        <v>85</v>
      </c>
      <c r="C16" s="12" t="s">
        <v>236</v>
      </c>
      <c r="D16" s="12" t="s">
        <v>237</v>
      </c>
      <c r="E16" s="12">
        <v>150.0</v>
      </c>
      <c r="F16" s="12" t="s">
        <v>230</v>
      </c>
      <c r="G16" s="12"/>
      <c r="H16" s="12"/>
      <c r="I16" s="12" t="s">
        <v>238</v>
      </c>
      <c r="J16" s="12" t="s">
        <v>239</v>
      </c>
      <c r="K16" s="20">
        <f>SUMIF('Ход 2026'!$G$29:$G$38,$A16,'Ход 2026'!$I$29:$I$38)</f>
        <v>0</v>
      </c>
      <c r="L16" s="20">
        <f>SUMIF('Ход 2027'!$G$29:$G$38,$A16,'Ход 2027'!$I$29:$I$38)</f>
        <v>0</v>
      </c>
      <c r="M16" s="20">
        <f>SUMIF('Ход 2028'!$G$29:$G$38,$A16,'Ход 2028'!$I$29:$I$38)</f>
        <v>0</v>
      </c>
      <c r="N16" s="20">
        <f>SUMIF('Ход 2029'!$G$29:$G$38,$A16,'Ход 2029'!$I$29:$I$38)</f>
        <v>0</v>
      </c>
      <c r="O16" s="20">
        <f>SUMIF('Ход 2030'!$G$29:$G$38,$A16,'Ход 2030'!$I$29:$I$38)</f>
        <v>0</v>
      </c>
      <c r="P16" s="20">
        <f>SUMIF('Ход 2031'!$G$29:$G$38,$A16,'Ход 2031'!$I$29:$I$38)</f>
        <v>0</v>
      </c>
      <c r="Q16" s="20">
        <f>SUMIF('Ход 2032'!$G$29:$G$38,$A16,'Ход 2032'!$I$29:$I$38)</f>
        <v>0</v>
      </c>
      <c r="R16" s="20">
        <f>SUMIF('Ход 2033'!$G$29:$G$38,$A16,'Ход 2033'!$I$29:$I$38)</f>
        <v>0</v>
      </c>
      <c r="S16" s="20">
        <f>SUMIF('Ход 2034'!$G$29:$G$38,$A16,'Ход 2034'!$I$29:$I$38)</f>
        <v>0</v>
      </c>
      <c r="T16" s="20">
        <f>SUMIF('Ход 2035'!$G$29:$G$38,$A16,'Ход 2035'!$I$29:$I$38)</f>
        <v>0</v>
      </c>
      <c r="U16" s="20">
        <f>SUMIF('Ход 2036'!$G$29:$G$38,$A16,'Ход 2036'!$I$29:$I$38)</f>
        <v>0</v>
      </c>
      <c r="V16" s="20">
        <f>SUMIF('Ход 2037'!$G$29:$G$38,$A16,'Ход 2037'!$I$29:$I$38)</f>
        <v>0</v>
      </c>
      <c r="W16" s="20">
        <f>SUMIF('Ход 2038'!$G$29:$G$38,$A16,'Ход 2038'!$I$29:$I$38)</f>
        <v>0</v>
      </c>
      <c r="X16" s="20">
        <f>SUMIF('Ход 2039'!$G$29:$G$38,$A16,'Ход 2039'!$I$29:$I$38)</f>
        <v>0</v>
      </c>
      <c r="Y16" s="20">
        <f>SUMIF('Ход 2040'!$G$29:$G$38,$A16,'Ход 2040'!$I$29:$I$38)</f>
        <v>0</v>
      </c>
      <c r="Z16" s="21">
        <f t="shared" si="2"/>
        <v>0</v>
      </c>
      <c r="AA16" s="21">
        <f t="shared" si="3"/>
        <v>150</v>
      </c>
      <c r="AB16" s="12" t="str">
        <f t="shared" si="4"/>
        <v>ЗАКРЫТО</v>
      </c>
      <c r="AC16" s="22">
        <f t="shared" ref="AC16:AQ16" si="24">SUM($K16:K16)</f>
        <v>0</v>
      </c>
      <c r="AD16" s="22">
        <f t="shared" si="24"/>
        <v>0</v>
      </c>
      <c r="AE16" s="22">
        <f t="shared" si="24"/>
        <v>0</v>
      </c>
      <c r="AF16" s="22">
        <f t="shared" si="24"/>
        <v>0</v>
      </c>
      <c r="AG16" s="22">
        <f t="shared" si="24"/>
        <v>0</v>
      </c>
      <c r="AH16" s="22">
        <f t="shared" si="24"/>
        <v>0</v>
      </c>
      <c r="AI16" s="22">
        <f t="shared" si="24"/>
        <v>0</v>
      </c>
      <c r="AJ16" s="22">
        <f t="shared" si="24"/>
        <v>0</v>
      </c>
      <c r="AK16" s="22">
        <f t="shared" si="24"/>
        <v>0</v>
      </c>
      <c r="AL16" s="22">
        <f t="shared" si="24"/>
        <v>0</v>
      </c>
      <c r="AM16" s="22">
        <f t="shared" si="24"/>
        <v>0</v>
      </c>
      <c r="AN16" s="22">
        <f t="shared" si="24"/>
        <v>0</v>
      </c>
      <c r="AO16" s="22">
        <f t="shared" si="24"/>
        <v>0</v>
      </c>
      <c r="AP16" s="22">
        <f t="shared" si="24"/>
        <v>0</v>
      </c>
      <c r="AQ16" s="22">
        <f t="shared" si="24"/>
        <v>0</v>
      </c>
      <c r="AR16" s="22" t="str">
        <f t="shared" si="6"/>
        <v>ЗАКРЫТО</v>
      </c>
      <c r="AS16" s="22" t="str">
        <f t="shared" si="7"/>
        <v>ЗАКРЫТО</v>
      </c>
      <c r="AT16" s="22" t="str">
        <f t="shared" si="8"/>
        <v>ЗАКРЫТО</v>
      </c>
      <c r="AU16" s="22" t="str">
        <f t="shared" si="9"/>
        <v>ЗАКРЫТО</v>
      </c>
      <c r="AV16" s="22" t="str">
        <f t="shared" si="10"/>
        <v>ЗАКРЫТО</v>
      </c>
      <c r="AW16" s="22" t="str">
        <f t="shared" si="11"/>
        <v>ЗАКРЫТО</v>
      </c>
      <c r="AX16" s="22" t="str">
        <f t="shared" si="12"/>
        <v>ЗАКРЫТО</v>
      </c>
      <c r="AY16" s="22" t="str">
        <f t="shared" si="13"/>
        <v>ЗАКРЫТО</v>
      </c>
      <c r="AZ16" s="22" t="str">
        <f t="shared" si="14"/>
        <v>ЗАКРЫТО</v>
      </c>
      <c r="BA16" s="22" t="str">
        <f t="shared" si="15"/>
        <v>ЗАКРЫТО</v>
      </c>
      <c r="BB16" s="22" t="str">
        <f t="shared" si="16"/>
        <v>ЗАКРЫТО</v>
      </c>
      <c r="BC16" s="22" t="str">
        <f t="shared" si="17"/>
        <v>ЗАКРЫТО</v>
      </c>
      <c r="BD16" s="22" t="str">
        <f t="shared" si="18"/>
        <v>ЗАКРЫТО</v>
      </c>
      <c r="BE16" s="22" t="str">
        <f t="shared" si="19"/>
        <v>ЗАКРЫТО</v>
      </c>
      <c r="BF16" s="22" t="str">
        <f t="shared" si="20"/>
        <v>ЗАКРЫТО</v>
      </c>
    </row>
    <row r="17" ht="13.5" customHeight="1">
      <c r="A17" s="12" t="s">
        <v>228</v>
      </c>
      <c r="B17" s="12" t="s">
        <v>240</v>
      </c>
      <c r="C17" s="12" t="s">
        <v>86</v>
      </c>
      <c r="D17" s="12" t="s">
        <v>241</v>
      </c>
      <c r="E17" s="12">
        <v>20.0</v>
      </c>
      <c r="F17" s="12"/>
      <c r="G17" s="12"/>
      <c r="H17" s="12"/>
      <c r="I17" s="12" t="s">
        <v>242</v>
      </c>
      <c r="J17" s="12" t="s">
        <v>243</v>
      </c>
      <c r="K17" s="20">
        <f>SUMIF('Ход 2026'!$G$29:$G$38,$A17,'Ход 2026'!$I$29:$I$38)</f>
        <v>20</v>
      </c>
      <c r="L17" s="20">
        <f>SUMIF('Ход 2027'!$G$29:$G$38,$A17,'Ход 2027'!$I$29:$I$38)</f>
        <v>0</v>
      </c>
      <c r="M17" s="20">
        <f>SUMIF('Ход 2028'!$G$29:$G$38,$A17,'Ход 2028'!$I$29:$I$38)</f>
        <v>0</v>
      </c>
      <c r="N17" s="20">
        <f>SUMIF('Ход 2029'!$G$29:$G$38,$A17,'Ход 2029'!$I$29:$I$38)</f>
        <v>0</v>
      </c>
      <c r="O17" s="20">
        <f>SUMIF('Ход 2030'!$G$29:$G$38,$A17,'Ход 2030'!$I$29:$I$38)</f>
        <v>0</v>
      </c>
      <c r="P17" s="20">
        <f>SUMIF('Ход 2031'!$G$29:$G$38,$A17,'Ход 2031'!$I$29:$I$38)</f>
        <v>0</v>
      </c>
      <c r="Q17" s="20">
        <f>SUMIF('Ход 2032'!$G$29:$G$38,$A17,'Ход 2032'!$I$29:$I$38)</f>
        <v>0</v>
      </c>
      <c r="R17" s="20">
        <f>SUMIF('Ход 2033'!$G$29:$G$38,$A17,'Ход 2033'!$I$29:$I$38)</f>
        <v>0</v>
      </c>
      <c r="S17" s="20">
        <f>SUMIF('Ход 2034'!$G$29:$G$38,$A17,'Ход 2034'!$I$29:$I$38)</f>
        <v>0</v>
      </c>
      <c r="T17" s="20">
        <f>SUMIF('Ход 2035'!$G$29:$G$38,$A17,'Ход 2035'!$I$29:$I$38)</f>
        <v>0</v>
      </c>
      <c r="U17" s="20">
        <f>SUMIF('Ход 2036'!$G$29:$G$38,$A17,'Ход 2036'!$I$29:$I$38)</f>
        <v>0</v>
      </c>
      <c r="V17" s="20">
        <f>SUMIF('Ход 2037'!$G$29:$G$38,$A17,'Ход 2037'!$I$29:$I$38)</f>
        <v>0</v>
      </c>
      <c r="W17" s="20">
        <f>SUMIF('Ход 2038'!$G$29:$G$38,$A17,'Ход 2038'!$I$29:$I$38)</f>
        <v>0</v>
      </c>
      <c r="X17" s="20">
        <f>SUMIF('Ход 2039'!$G$29:$G$38,$A17,'Ход 2039'!$I$29:$I$38)</f>
        <v>0</v>
      </c>
      <c r="Y17" s="20">
        <f>SUMIF('Ход 2040'!$G$29:$G$38,$A17,'Ход 2040'!$I$29:$I$38)</f>
        <v>0</v>
      </c>
      <c r="Z17" s="21">
        <f t="shared" si="2"/>
        <v>20</v>
      </c>
      <c r="AA17" s="21">
        <f t="shared" si="3"/>
        <v>0</v>
      </c>
      <c r="AB17" s="12" t="str">
        <f t="shared" si="4"/>
        <v>ИЗУЧЕНО</v>
      </c>
      <c r="AC17" s="22">
        <f t="shared" ref="AC17:AQ17" si="25">SUM($K17:K17)</f>
        <v>20</v>
      </c>
      <c r="AD17" s="22">
        <f t="shared" si="25"/>
        <v>20</v>
      </c>
      <c r="AE17" s="22">
        <f t="shared" si="25"/>
        <v>20</v>
      </c>
      <c r="AF17" s="22">
        <f t="shared" si="25"/>
        <v>20</v>
      </c>
      <c r="AG17" s="22">
        <f t="shared" si="25"/>
        <v>20</v>
      </c>
      <c r="AH17" s="22">
        <f t="shared" si="25"/>
        <v>20</v>
      </c>
      <c r="AI17" s="22">
        <f t="shared" si="25"/>
        <v>20</v>
      </c>
      <c r="AJ17" s="22">
        <f t="shared" si="25"/>
        <v>20</v>
      </c>
      <c r="AK17" s="22">
        <f t="shared" si="25"/>
        <v>20</v>
      </c>
      <c r="AL17" s="22">
        <f t="shared" si="25"/>
        <v>20</v>
      </c>
      <c r="AM17" s="22">
        <f t="shared" si="25"/>
        <v>20</v>
      </c>
      <c r="AN17" s="22">
        <f t="shared" si="25"/>
        <v>20</v>
      </c>
      <c r="AO17" s="22">
        <f t="shared" si="25"/>
        <v>20</v>
      </c>
      <c r="AP17" s="22">
        <f t="shared" si="25"/>
        <v>20</v>
      </c>
      <c r="AQ17" s="22">
        <f t="shared" si="25"/>
        <v>20</v>
      </c>
      <c r="AR17" s="22" t="str">
        <f t="shared" si="6"/>
        <v>ИЗУЧЕНО</v>
      </c>
      <c r="AS17" s="22" t="str">
        <f t="shared" si="7"/>
        <v>ИЗУЧЕНО</v>
      </c>
      <c r="AT17" s="22" t="str">
        <f t="shared" si="8"/>
        <v>ИЗУЧЕНО</v>
      </c>
      <c r="AU17" s="22" t="str">
        <f t="shared" si="9"/>
        <v>ИЗУЧЕНО</v>
      </c>
      <c r="AV17" s="22" t="str">
        <f t="shared" si="10"/>
        <v>ИЗУЧЕНО</v>
      </c>
      <c r="AW17" s="22" t="str">
        <f t="shared" si="11"/>
        <v>ИЗУЧЕНО</v>
      </c>
      <c r="AX17" s="22" t="str">
        <f t="shared" si="12"/>
        <v>ИЗУЧЕНО</v>
      </c>
      <c r="AY17" s="22" t="str">
        <f t="shared" si="13"/>
        <v>ИЗУЧЕНО</v>
      </c>
      <c r="AZ17" s="22" t="str">
        <f t="shared" si="14"/>
        <v>ИЗУЧЕНО</v>
      </c>
      <c r="BA17" s="22" t="str">
        <f t="shared" si="15"/>
        <v>ИЗУЧЕНО</v>
      </c>
      <c r="BB17" s="22" t="str">
        <f t="shared" si="16"/>
        <v>ИЗУЧЕНО</v>
      </c>
      <c r="BC17" s="22" t="str">
        <f t="shared" si="17"/>
        <v>ИЗУЧЕНО</v>
      </c>
      <c r="BD17" s="22" t="str">
        <f t="shared" si="18"/>
        <v>ИЗУЧЕНО</v>
      </c>
      <c r="BE17" s="22" t="str">
        <f t="shared" si="19"/>
        <v>ИЗУЧЕНО</v>
      </c>
      <c r="BF17" s="22" t="str">
        <f t="shared" si="20"/>
        <v>ИЗУЧЕНО</v>
      </c>
    </row>
    <row r="18" ht="13.5" customHeight="1">
      <c r="A18" s="12" t="s">
        <v>245</v>
      </c>
      <c r="B18" s="12" t="s">
        <v>240</v>
      </c>
      <c r="C18" s="12" t="s">
        <v>140</v>
      </c>
      <c r="D18" s="12" t="s">
        <v>246</v>
      </c>
      <c r="E18" s="12">
        <v>40.0</v>
      </c>
      <c r="F18" s="12" t="s">
        <v>228</v>
      </c>
      <c r="G18" s="12"/>
      <c r="H18" s="12"/>
      <c r="I18" s="12" t="s">
        <v>247</v>
      </c>
      <c r="J18" s="12" t="s">
        <v>248</v>
      </c>
      <c r="K18" s="20">
        <f>SUMIF('Ход 2026'!$G$29:$G$38,$A18,'Ход 2026'!$I$29:$I$38)</f>
        <v>0</v>
      </c>
      <c r="L18" s="20">
        <f>SUMIF('Ход 2027'!$G$29:$G$38,$A18,'Ход 2027'!$I$29:$I$38)</f>
        <v>21.1</v>
      </c>
      <c r="M18" s="20">
        <f>SUMIF('Ход 2028'!$G$29:$G$38,$A18,'Ход 2028'!$I$29:$I$38)</f>
        <v>0</v>
      </c>
      <c r="N18" s="20">
        <f>SUMIF('Ход 2029'!$G$29:$G$38,$A18,'Ход 2029'!$I$29:$I$38)</f>
        <v>0</v>
      </c>
      <c r="O18" s="20">
        <f>SUMIF('Ход 2030'!$G$29:$G$38,$A18,'Ход 2030'!$I$29:$I$38)</f>
        <v>0</v>
      </c>
      <c r="P18" s="20">
        <f>SUMIF('Ход 2031'!$G$29:$G$38,$A18,'Ход 2031'!$I$29:$I$38)</f>
        <v>0</v>
      </c>
      <c r="Q18" s="20">
        <f>SUMIF('Ход 2032'!$G$29:$G$38,$A18,'Ход 2032'!$I$29:$I$38)</f>
        <v>0</v>
      </c>
      <c r="R18" s="20">
        <f>SUMIF('Ход 2033'!$G$29:$G$38,$A18,'Ход 2033'!$I$29:$I$38)</f>
        <v>0</v>
      </c>
      <c r="S18" s="20">
        <f>SUMIF('Ход 2034'!$G$29:$G$38,$A18,'Ход 2034'!$I$29:$I$38)</f>
        <v>0</v>
      </c>
      <c r="T18" s="20">
        <f>SUMIF('Ход 2035'!$G$29:$G$38,$A18,'Ход 2035'!$I$29:$I$38)</f>
        <v>0</v>
      </c>
      <c r="U18" s="20">
        <f>SUMIF('Ход 2036'!$G$29:$G$38,$A18,'Ход 2036'!$I$29:$I$38)</f>
        <v>0</v>
      </c>
      <c r="V18" s="20">
        <f>SUMIF('Ход 2037'!$G$29:$G$38,$A18,'Ход 2037'!$I$29:$I$38)</f>
        <v>0</v>
      </c>
      <c r="W18" s="20">
        <f>SUMIF('Ход 2038'!$G$29:$G$38,$A18,'Ход 2038'!$I$29:$I$38)</f>
        <v>0</v>
      </c>
      <c r="X18" s="20">
        <f>SUMIF('Ход 2039'!$G$29:$G$38,$A18,'Ход 2039'!$I$29:$I$38)</f>
        <v>0</v>
      </c>
      <c r="Y18" s="20">
        <f>SUMIF('Ход 2040'!$G$29:$G$38,$A18,'Ход 2040'!$I$29:$I$38)</f>
        <v>0</v>
      </c>
      <c r="Z18" s="21">
        <f t="shared" si="2"/>
        <v>21.1</v>
      </c>
      <c r="AA18" s="21">
        <f t="shared" si="3"/>
        <v>18.9</v>
      </c>
      <c r="AB18" s="12" t="str">
        <f t="shared" si="4"/>
        <v>ОТКРЫТО</v>
      </c>
      <c r="AC18" s="22">
        <f t="shared" ref="AC18:AQ18" si="26">SUM($K18:K18)</f>
        <v>0</v>
      </c>
      <c r="AD18" s="22">
        <f t="shared" si="26"/>
        <v>21.1</v>
      </c>
      <c r="AE18" s="22">
        <f t="shared" si="26"/>
        <v>21.1</v>
      </c>
      <c r="AF18" s="22">
        <f t="shared" si="26"/>
        <v>21.1</v>
      </c>
      <c r="AG18" s="22">
        <f t="shared" si="26"/>
        <v>21.1</v>
      </c>
      <c r="AH18" s="22">
        <f t="shared" si="26"/>
        <v>21.1</v>
      </c>
      <c r="AI18" s="22">
        <f t="shared" si="26"/>
        <v>21.1</v>
      </c>
      <c r="AJ18" s="22">
        <f t="shared" si="26"/>
        <v>21.1</v>
      </c>
      <c r="AK18" s="22">
        <f t="shared" si="26"/>
        <v>21.1</v>
      </c>
      <c r="AL18" s="22">
        <f t="shared" si="26"/>
        <v>21.1</v>
      </c>
      <c r="AM18" s="22">
        <f t="shared" si="26"/>
        <v>21.1</v>
      </c>
      <c r="AN18" s="22">
        <f t="shared" si="26"/>
        <v>21.1</v>
      </c>
      <c r="AO18" s="22">
        <f t="shared" si="26"/>
        <v>21.1</v>
      </c>
      <c r="AP18" s="22">
        <f t="shared" si="26"/>
        <v>21.1</v>
      </c>
      <c r="AQ18" s="22">
        <f t="shared" si="26"/>
        <v>21.1</v>
      </c>
      <c r="AR18" s="22" t="str">
        <f t="shared" si="6"/>
        <v>ОТКРЫТО</v>
      </c>
      <c r="AS18" s="22" t="str">
        <f t="shared" si="7"/>
        <v>ОТКРЫТО</v>
      </c>
      <c r="AT18" s="22" t="str">
        <f t="shared" si="8"/>
        <v>ОТКРЫТО</v>
      </c>
      <c r="AU18" s="22" t="str">
        <f t="shared" si="9"/>
        <v>ОТКРЫТО</v>
      </c>
      <c r="AV18" s="22" t="str">
        <f t="shared" si="10"/>
        <v>ОТКРЫТО</v>
      </c>
      <c r="AW18" s="22" t="str">
        <f t="shared" si="11"/>
        <v>ОТКРЫТО</v>
      </c>
      <c r="AX18" s="22" t="str">
        <f t="shared" si="12"/>
        <v>ОТКРЫТО</v>
      </c>
      <c r="AY18" s="22" t="str">
        <f t="shared" si="13"/>
        <v>ОТКРЫТО</v>
      </c>
      <c r="AZ18" s="22" t="str">
        <f t="shared" si="14"/>
        <v>ОТКРЫТО</v>
      </c>
      <c r="BA18" s="22" t="str">
        <f t="shared" si="15"/>
        <v>ОТКРЫТО</v>
      </c>
      <c r="BB18" s="22" t="str">
        <f t="shared" si="16"/>
        <v>ОТКРЫТО</v>
      </c>
      <c r="BC18" s="22" t="str">
        <f t="shared" si="17"/>
        <v>ОТКРЫТО</v>
      </c>
      <c r="BD18" s="22" t="str">
        <f t="shared" si="18"/>
        <v>ОТКРЫТО</v>
      </c>
      <c r="BE18" s="22" t="str">
        <f t="shared" si="19"/>
        <v>ОТКРЫТО</v>
      </c>
      <c r="BF18" s="22" t="str">
        <f t="shared" si="20"/>
        <v>ОТКРЫТО</v>
      </c>
    </row>
    <row r="19" ht="13.5" customHeight="1">
      <c r="A19" s="12" t="s">
        <v>249</v>
      </c>
      <c r="B19" s="12" t="s">
        <v>240</v>
      </c>
      <c r="C19" s="12" t="s">
        <v>140</v>
      </c>
      <c r="D19" s="12" t="s">
        <v>250</v>
      </c>
      <c r="E19" s="12">
        <v>45.0</v>
      </c>
      <c r="F19" s="12" t="s">
        <v>228</v>
      </c>
      <c r="G19" s="12"/>
      <c r="H19" s="12"/>
      <c r="I19" s="12" t="s">
        <v>251</v>
      </c>
      <c r="J19" s="12" t="s">
        <v>252</v>
      </c>
      <c r="K19" s="20">
        <f>SUMIF('Ход 2026'!$G$29:$G$38,$A19,'Ход 2026'!$I$29:$I$38)</f>
        <v>0</v>
      </c>
      <c r="L19" s="20">
        <f>SUMIF('Ход 2027'!$G$29:$G$38,$A19,'Ход 2027'!$I$29:$I$38)</f>
        <v>0</v>
      </c>
      <c r="M19" s="20">
        <f>SUMIF('Ход 2028'!$G$29:$G$38,$A19,'Ход 2028'!$I$29:$I$38)</f>
        <v>0</v>
      </c>
      <c r="N19" s="20">
        <f>SUMIF('Ход 2029'!$G$29:$G$38,$A19,'Ход 2029'!$I$29:$I$38)</f>
        <v>0</v>
      </c>
      <c r="O19" s="20">
        <f>SUMIF('Ход 2030'!$G$29:$G$38,$A19,'Ход 2030'!$I$29:$I$38)</f>
        <v>0</v>
      </c>
      <c r="P19" s="20">
        <f>SUMIF('Ход 2031'!$G$29:$G$38,$A19,'Ход 2031'!$I$29:$I$38)</f>
        <v>0</v>
      </c>
      <c r="Q19" s="20">
        <f>SUMIF('Ход 2032'!$G$29:$G$38,$A19,'Ход 2032'!$I$29:$I$38)</f>
        <v>0</v>
      </c>
      <c r="R19" s="20">
        <f>SUMIF('Ход 2033'!$G$29:$G$38,$A19,'Ход 2033'!$I$29:$I$38)</f>
        <v>0</v>
      </c>
      <c r="S19" s="20">
        <f>SUMIF('Ход 2034'!$G$29:$G$38,$A19,'Ход 2034'!$I$29:$I$38)</f>
        <v>0</v>
      </c>
      <c r="T19" s="20">
        <f>SUMIF('Ход 2035'!$G$29:$G$38,$A19,'Ход 2035'!$I$29:$I$38)</f>
        <v>0</v>
      </c>
      <c r="U19" s="20">
        <f>SUMIF('Ход 2036'!$G$29:$G$38,$A19,'Ход 2036'!$I$29:$I$38)</f>
        <v>0</v>
      </c>
      <c r="V19" s="20">
        <f>SUMIF('Ход 2037'!$G$29:$G$38,$A19,'Ход 2037'!$I$29:$I$38)</f>
        <v>0</v>
      </c>
      <c r="W19" s="20">
        <f>SUMIF('Ход 2038'!$G$29:$G$38,$A19,'Ход 2038'!$I$29:$I$38)</f>
        <v>0</v>
      </c>
      <c r="X19" s="20">
        <f>SUMIF('Ход 2039'!$G$29:$G$38,$A19,'Ход 2039'!$I$29:$I$38)</f>
        <v>0</v>
      </c>
      <c r="Y19" s="20">
        <f>SUMIF('Ход 2040'!$G$29:$G$38,$A19,'Ход 2040'!$I$29:$I$38)</f>
        <v>0</v>
      </c>
      <c r="Z19" s="21">
        <f t="shared" si="2"/>
        <v>0</v>
      </c>
      <c r="AA19" s="21">
        <f t="shared" si="3"/>
        <v>45</v>
      </c>
      <c r="AB19" s="12" t="str">
        <f t="shared" si="4"/>
        <v>ОТКРЫТО</v>
      </c>
      <c r="AC19" s="22">
        <f t="shared" ref="AC19:AQ19" si="27">SUM($K19:K19)</f>
        <v>0</v>
      </c>
      <c r="AD19" s="22">
        <f t="shared" si="27"/>
        <v>0</v>
      </c>
      <c r="AE19" s="22">
        <f t="shared" si="27"/>
        <v>0</v>
      </c>
      <c r="AF19" s="22">
        <f t="shared" si="27"/>
        <v>0</v>
      </c>
      <c r="AG19" s="22">
        <f t="shared" si="27"/>
        <v>0</v>
      </c>
      <c r="AH19" s="22">
        <f t="shared" si="27"/>
        <v>0</v>
      </c>
      <c r="AI19" s="22">
        <f t="shared" si="27"/>
        <v>0</v>
      </c>
      <c r="AJ19" s="22">
        <f t="shared" si="27"/>
        <v>0</v>
      </c>
      <c r="AK19" s="22">
        <f t="shared" si="27"/>
        <v>0</v>
      </c>
      <c r="AL19" s="22">
        <f t="shared" si="27"/>
        <v>0</v>
      </c>
      <c r="AM19" s="22">
        <f t="shared" si="27"/>
        <v>0</v>
      </c>
      <c r="AN19" s="22">
        <f t="shared" si="27"/>
        <v>0</v>
      </c>
      <c r="AO19" s="22">
        <f t="shared" si="27"/>
        <v>0</v>
      </c>
      <c r="AP19" s="22">
        <f t="shared" si="27"/>
        <v>0</v>
      </c>
      <c r="AQ19" s="22">
        <f t="shared" si="27"/>
        <v>0</v>
      </c>
      <c r="AR19" s="22" t="str">
        <f t="shared" si="6"/>
        <v>ОТКРЫТО</v>
      </c>
      <c r="AS19" s="22" t="str">
        <f t="shared" si="7"/>
        <v>ОТКРЫТО</v>
      </c>
      <c r="AT19" s="22" t="str">
        <f t="shared" si="8"/>
        <v>ОТКРЫТО</v>
      </c>
      <c r="AU19" s="22" t="str">
        <f t="shared" si="9"/>
        <v>ОТКРЫТО</v>
      </c>
      <c r="AV19" s="22" t="str">
        <f t="shared" si="10"/>
        <v>ОТКРЫТО</v>
      </c>
      <c r="AW19" s="22" t="str">
        <f t="shared" si="11"/>
        <v>ОТКРЫТО</v>
      </c>
      <c r="AX19" s="22" t="str">
        <f t="shared" si="12"/>
        <v>ОТКРЫТО</v>
      </c>
      <c r="AY19" s="22" t="str">
        <f t="shared" si="13"/>
        <v>ОТКРЫТО</v>
      </c>
      <c r="AZ19" s="22" t="str">
        <f t="shared" si="14"/>
        <v>ОТКРЫТО</v>
      </c>
      <c r="BA19" s="22" t="str">
        <f t="shared" si="15"/>
        <v>ОТКРЫТО</v>
      </c>
      <c r="BB19" s="22" t="str">
        <f t="shared" si="16"/>
        <v>ОТКРЫТО</v>
      </c>
      <c r="BC19" s="22" t="str">
        <f t="shared" si="17"/>
        <v>ОТКРЫТО</v>
      </c>
      <c r="BD19" s="22" t="str">
        <f t="shared" si="18"/>
        <v>ОТКРЫТО</v>
      </c>
      <c r="BE19" s="22" t="str">
        <f t="shared" si="19"/>
        <v>ОТКРЫТО</v>
      </c>
      <c r="BF19" s="22" t="str">
        <f t="shared" si="20"/>
        <v>ОТКРЫТО</v>
      </c>
    </row>
    <row r="20" ht="13.5" customHeight="1">
      <c r="A20" s="12" t="s">
        <v>253</v>
      </c>
      <c r="B20" s="12" t="s">
        <v>240</v>
      </c>
      <c r="C20" s="12" t="s">
        <v>224</v>
      </c>
      <c r="D20" s="12" t="s">
        <v>254</v>
      </c>
      <c r="E20" s="12">
        <v>65.0</v>
      </c>
      <c r="F20" s="12" t="s">
        <v>245</v>
      </c>
      <c r="G20" s="12" t="s">
        <v>249</v>
      </c>
      <c r="H20" s="12"/>
      <c r="I20" s="12" t="s">
        <v>255</v>
      </c>
      <c r="J20" s="12" t="s">
        <v>256</v>
      </c>
      <c r="K20" s="20">
        <f>SUMIF('Ход 2026'!$G$29:$G$38,$A20,'Ход 2026'!$I$29:$I$38)</f>
        <v>0</v>
      </c>
      <c r="L20" s="20">
        <f>SUMIF('Ход 2027'!$G$29:$G$38,$A20,'Ход 2027'!$I$29:$I$38)</f>
        <v>0</v>
      </c>
      <c r="M20" s="20">
        <f>SUMIF('Ход 2028'!$G$29:$G$38,$A20,'Ход 2028'!$I$29:$I$38)</f>
        <v>0</v>
      </c>
      <c r="N20" s="20">
        <f>SUMIF('Ход 2029'!$G$29:$G$38,$A20,'Ход 2029'!$I$29:$I$38)</f>
        <v>0</v>
      </c>
      <c r="O20" s="20">
        <f>SUMIF('Ход 2030'!$G$29:$G$38,$A20,'Ход 2030'!$I$29:$I$38)</f>
        <v>0</v>
      </c>
      <c r="P20" s="20">
        <f>SUMIF('Ход 2031'!$G$29:$G$38,$A20,'Ход 2031'!$I$29:$I$38)</f>
        <v>0</v>
      </c>
      <c r="Q20" s="20">
        <f>SUMIF('Ход 2032'!$G$29:$G$38,$A20,'Ход 2032'!$I$29:$I$38)</f>
        <v>0</v>
      </c>
      <c r="R20" s="20">
        <f>SUMIF('Ход 2033'!$G$29:$G$38,$A20,'Ход 2033'!$I$29:$I$38)</f>
        <v>0</v>
      </c>
      <c r="S20" s="20">
        <f>SUMIF('Ход 2034'!$G$29:$G$38,$A20,'Ход 2034'!$I$29:$I$38)</f>
        <v>0</v>
      </c>
      <c r="T20" s="20">
        <f>SUMIF('Ход 2035'!$G$29:$G$38,$A20,'Ход 2035'!$I$29:$I$38)</f>
        <v>0</v>
      </c>
      <c r="U20" s="20">
        <f>SUMIF('Ход 2036'!$G$29:$G$38,$A20,'Ход 2036'!$I$29:$I$38)</f>
        <v>0</v>
      </c>
      <c r="V20" s="20">
        <f>SUMIF('Ход 2037'!$G$29:$G$38,$A20,'Ход 2037'!$I$29:$I$38)</f>
        <v>0</v>
      </c>
      <c r="W20" s="20">
        <f>SUMIF('Ход 2038'!$G$29:$G$38,$A20,'Ход 2038'!$I$29:$I$38)</f>
        <v>0</v>
      </c>
      <c r="X20" s="20">
        <f>SUMIF('Ход 2039'!$G$29:$G$38,$A20,'Ход 2039'!$I$29:$I$38)</f>
        <v>0</v>
      </c>
      <c r="Y20" s="20">
        <f>SUMIF('Ход 2040'!$G$29:$G$38,$A20,'Ход 2040'!$I$29:$I$38)</f>
        <v>0</v>
      </c>
      <c r="Z20" s="21">
        <f t="shared" si="2"/>
        <v>0</v>
      </c>
      <c r="AA20" s="21">
        <f t="shared" si="3"/>
        <v>65</v>
      </c>
      <c r="AB20" s="12" t="str">
        <f t="shared" si="4"/>
        <v>ЗАКРЫТО</v>
      </c>
      <c r="AC20" s="22">
        <f t="shared" ref="AC20:AQ20" si="28">SUM($K20:K20)</f>
        <v>0</v>
      </c>
      <c r="AD20" s="22">
        <f t="shared" si="28"/>
        <v>0</v>
      </c>
      <c r="AE20" s="22">
        <f t="shared" si="28"/>
        <v>0</v>
      </c>
      <c r="AF20" s="22">
        <f t="shared" si="28"/>
        <v>0</v>
      </c>
      <c r="AG20" s="22">
        <f t="shared" si="28"/>
        <v>0</v>
      </c>
      <c r="AH20" s="22">
        <f t="shared" si="28"/>
        <v>0</v>
      </c>
      <c r="AI20" s="22">
        <f t="shared" si="28"/>
        <v>0</v>
      </c>
      <c r="AJ20" s="22">
        <f t="shared" si="28"/>
        <v>0</v>
      </c>
      <c r="AK20" s="22">
        <f t="shared" si="28"/>
        <v>0</v>
      </c>
      <c r="AL20" s="22">
        <f t="shared" si="28"/>
        <v>0</v>
      </c>
      <c r="AM20" s="22">
        <f t="shared" si="28"/>
        <v>0</v>
      </c>
      <c r="AN20" s="22">
        <f t="shared" si="28"/>
        <v>0</v>
      </c>
      <c r="AO20" s="22">
        <f t="shared" si="28"/>
        <v>0</v>
      </c>
      <c r="AP20" s="22">
        <f t="shared" si="28"/>
        <v>0</v>
      </c>
      <c r="AQ20" s="22">
        <f t="shared" si="28"/>
        <v>0</v>
      </c>
      <c r="AR20" s="22" t="str">
        <f t="shared" si="6"/>
        <v>ЗАКРЫТО</v>
      </c>
      <c r="AS20" s="22" t="str">
        <f t="shared" si="7"/>
        <v>ЗАКРЫТО</v>
      </c>
      <c r="AT20" s="22" t="str">
        <f t="shared" si="8"/>
        <v>ЗАКРЫТО</v>
      </c>
      <c r="AU20" s="22" t="str">
        <f t="shared" si="9"/>
        <v>ЗАКРЫТО</v>
      </c>
      <c r="AV20" s="22" t="str">
        <f t="shared" si="10"/>
        <v>ЗАКРЫТО</v>
      </c>
      <c r="AW20" s="22" t="str">
        <f t="shared" si="11"/>
        <v>ЗАКРЫТО</v>
      </c>
      <c r="AX20" s="22" t="str">
        <f t="shared" si="12"/>
        <v>ЗАКРЫТО</v>
      </c>
      <c r="AY20" s="22" t="str">
        <f t="shared" si="13"/>
        <v>ЗАКРЫТО</v>
      </c>
      <c r="AZ20" s="22" t="str">
        <f t="shared" si="14"/>
        <v>ЗАКРЫТО</v>
      </c>
      <c r="BA20" s="22" t="str">
        <f t="shared" si="15"/>
        <v>ЗАКРЫТО</v>
      </c>
      <c r="BB20" s="22" t="str">
        <f t="shared" si="16"/>
        <v>ЗАКРЫТО</v>
      </c>
      <c r="BC20" s="22" t="str">
        <f t="shared" si="17"/>
        <v>ЗАКРЫТО</v>
      </c>
      <c r="BD20" s="22" t="str">
        <f t="shared" si="18"/>
        <v>ЗАКРЫТО</v>
      </c>
      <c r="BE20" s="22" t="str">
        <f t="shared" si="19"/>
        <v>ЗАКРЫТО</v>
      </c>
      <c r="BF20" s="22" t="str">
        <f t="shared" si="20"/>
        <v>ЗАКРЫТО</v>
      </c>
    </row>
    <row r="21" ht="13.5" customHeight="1">
      <c r="A21" s="12" t="s">
        <v>258</v>
      </c>
      <c r="B21" s="12" t="s">
        <v>240</v>
      </c>
      <c r="C21" s="12" t="s">
        <v>231</v>
      </c>
      <c r="D21" s="12" t="s">
        <v>259</v>
      </c>
      <c r="E21" s="12">
        <v>100.0</v>
      </c>
      <c r="F21" s="12" t="s">
        <v>253</v>
      </c>
      <c r="G21" s="12"/>
      <c r="H21" s="12"/>
      <c r="I21" s="12" t="s">
        <v>260</v>
      </c>
      <c r="J21" s="12" t="s">
        <v>261</v>
      </c>
      <c r="K21" s="20">
        <f>SUMIF('Ход 2026'!$G$29:$G$38,$A21,'Ход 2026'!$I$29:$I$38)</f>
        <v>0</v>
      </c>
      <c r="L21" s="20">
        <f>SUMIF('Ход 2027'!$G$29:$G$38,$A21,'Ход 2027'!$I$29:$I$38)</f>
        <v>0</v>
      </c>
      <c r="M21" s="20">
        <f>SUMIF('Ход 2028'!$G$29:$G$38,$A21,'Ход 2028'!$I$29:$I$38)</f>
        <v>0</v>
      </c>
      <c r="N21" s="20">
        <f>SUMIF('Ход 2029'!$G$29:$G$38,$A21,'Ход 2029'!$I$29:$I$38)</f>
        <v>0</v>
      </c>
      <c r="O21" s="20">
        <f>SUMIF('Ход 2030'!$G$29:$G$38,$A21,'Ход 2030'!$I$29:$I$38)</f>
        <v>0</v>
      </c>
      <c r="P21" s="20">
        <f>SUMIF('Ход 2031'!$G$29:$G$38,$A21,'Ход 2031'!$I$29:$I$38)</f>
        <v>0</v>
      </c>
      <c r="Q21" s="20">
        <f>SUMIF('Ход 2032'!$G$29:$G$38,$A21,'Ход 2032'!$I$29:$I$38)</f>
        <v>0</v>
      </c>
      <c r="R21" s="20">
        <f>SUMIF('Ход 2033'!$G$29:$G$38,$A21,'Ход 2033'!$I$29:$I$38)</f>
        <v>0</v>
      </c>
      <c r="S21" s="20">
        <f>SUMIF('Ход 2034'!$G$29:$G$38,$A21,'Ход 2034'!$I$29:$I$38)</f>
        <v>0</v>
      </c>
      <c r="T21" s="20">
        <f>SUMIF('Ход 2035'!$G$29:$G$38,$A21,'Ход 2035'!$I$29:$I$38)</f>
        <v>0</v>
      </c>
      <c r="U21" s="20">
        <f>SUMIF('Ход 2036'!$G$29:$G$38,$A21,'Ход 2036'!$I$29:$I$38)</f>
        <v>0</v>
      </c>
      <c r="V21" s="20">
        <f>SUMIF('Ход 2037'!$G$29:$G$38,$A21,'Ход 2037'!$I$29:$I$38)</f>
        <v>0</v>
      </c>
      <c r="W21" s="20">
        <f>SUMIF('Ход 2038'!$G$29:$G$38,$A21,'Ход 2038'!$I$29:$I$38)</f>
        <v>0</v>
      </c>
      <c r="X21" s="20">
        <f>SUMIF('Ход 2039'!$G$29:$G$38,$A21,'Ход 2039'!$I$29:$I$38)</f>
        <v>0</v>
      </c>
      <c r="Y21" s="20">
        <f>SUMIF('Ход 2040'!$G$29:$G$38,$A21,'Ход 2040'!$I$29:$I$38)</f>
        <v>0</v>
      </c>
      <c r="Z21" s="21">
        <f t="shared" si="2"/>
        <v>0</v>
      </c>
      <c r="AA21" s="21">
        <f t="shared" si="3"/>
        <v>100</v>
      </c>
      <c r="AB21" s="12" t="str">
        <f t="shared" si="4"/>
        <v>ЗАКРЫТО</v>
      </c>
      <c r="AC21" s="22">
        <f t="shared" ref="AC21:AQ21" si="29">SUM($K21:K21)</f>
        <v>0</v>
      </c>
      <c r="AD21" s="22">
        <f t="shared" si="29"/>
        <v>0</v>
      </c>
      <c r="AE21" s="22">
        <f t="shared" si="29"/>
        <v>0</v>
      </c>
      <c r="AF21" s="22">
        <f t="shared" si="29"/>
        <v>0</v>
      </c>
      <c r="AG21" s="22">
        <f t="shared" si="29"/>
        <v>0</v>
      </c>
      <c r="AH21" s="22">
        <f t="shared" si="29"/>
        <v>0</v>
      </c>
      <c r="AI21" s="22">
        <f t="shared" si="29"/>
        <v>0</v>
      </c>
      <c r="AJ21" s="22">
        <f t="shared" si="29"/>
        <v>0</v>
      </c>
      <c r="AK21" s="22">
        <f t="shared" si="29"/>
        <v>0</v>
      </c>
      <c r="AL21" s="22">
        <f t="shared" si="29"/>
        <v>0</v>
      </c>
      <c r="AM21" s="22">
        <f t="shared" si="29"/>
        <v>0</v>
      </c>
      <c r="AN21" s="22">
        <f t="shared" si="29"/>
        <v>0</v>
      </c>
      <c r="AO21" s="22">
        <f t="shared" si="29"/>
        <v>0</v>
      </c>
      <c r="AP21" s="22">
        <f t="shared" si="29"/>
        <v>0</v>
      </c>
      <c r="AQ21" s="22">
        <f t="shared" si="29"/>
        <v>0</v>
      </c>
      <c r="AR21" s="22" t="str">
        <f t="shared" si="6"/>
        <v>ЗАКРЫТО</v>
      </c>
      <c r="AS21" s="22" t="str">
        <f t="shared" si="7"/>
        <v>ЗАКРЫТО</v>
      </c>
      <c r="AT21" s="22" t="str">
        <f t="shared" si="8"/>
        <v>ЗАКРЫТО</v>
      </c>
      <c r="AU21" s="22" t="str">
        <f t="shared" si="9"/>
        <v>ЗАКРЫТО</v>
      </c>
      <c r="AV21" s="22" t="str">
        <f t="shared" si="10"/>
        <v>ЗАКРЫТО</v>
      </c>
      <c r="AW21" s="22" t="str">
        <f t="shared" si="11"/>
        <v>ЗАКРЫТО</v>
      </c>
      <c r="AX21" s="22" t="str">
        <f t="shared" si="12"/>
        <v>ЗАКРЫТО</v>
      </c>
      <c r="AY21" s="22" t="str">
        <f t="shared" si="13"/>
        <v>ЗАКРЫТО</v>
      </c>
      <c r="AZ21" s="22" t="str">
        <f t="shared" si="14"/>
        <v>ЗАКРЫТО</v>
      </c>
      <c r="BA21" s="22" t="str">
        <f t="shared" si="15"/>
        <v>ЗАКРЫТО</v>
      </c>
      <c r="BB21" s="22" t="str">
        <f t="shared" si="16"/>
        <v>ЗАКРЫТО</v>
      </c>
      <c r="BC21" s="22" t="str">
        <f t="shared" si="17"/>
        <v>ЗАКРЫТО</v>
      </c>
      <c r="BD21" s="22" t="str">
        <f t="shared" si="18"/>
        <v>ЗАКРЫТО</v>
      </c>
      <c r="BE21" s="22" t="str">
        <f t="shared" si="19"/>
        <v>ЗАКРЫТО</v>
      </c>
      <c r="BF21" s="22" t="str">
        <f t="shared" si="20"/>
        <v>ЗАКРЫТО</v>
      </c>
    </row>
    <row r="22" ht="13.5" customHeight="1">
      <c r="A22" s="12" t="s">
        <v>263</v>
      </c>
      <c r="B22" s="12" t="s">
        <v>240</v>
      </c>
      <c r="C22" s="12" t="s">
        <v>236</v>
      </c>
      <c r="D22" s="12" t="s">
        <v>264</v>
      </c>
      <c r="E22" s="12">
        <v>155.0</v>
      </c>
      <c r="F22" s="12" t="s">
        <v>258</v>
      </c>
      <c r="G22" s="12"/>
      <c r="H22" s="12"/>
      <c r="I22" s="12" t="s">
        <v>265</v>
      </c>
      <c r="J22" s="12" t="s">
        <v>266</v>
      </c>
      <c r="K22" s="20">
        <f>SUMIF('Ход 2026'!$G$29:$G$38,$A22,'Ход 2026'!$I$29:$I$38)</f>
        <v>0</v>
      </c>
      <c r="L22" s="20">
        <f>SUMIF('Ход 2027'!$G$29:$G$38,$A22,'Ход 2027'!$I$29:$I$38)</f>
        <v>0</v>
      </c>
      <c r="M22" s="20">
        <f>SUMIF('Ход 2028'!$G$29:$G$38,$A22,'Ход 2028'!$I$29:$I$38)</f>
        <v>0</v>
      </c>
      <c r="N22" s="20">
        <f>SUMIF('Ход 2029'!$G$29:$G$38,$A22,'Ход 2029'!$I$29:$I$38)</f>
        <v>0</v>
      </c>
      <c r="O22" s="20">
        <f>SUMIF('Ход 2030'!$G$29:$G$38,$A22,'Ход 2030'!$I$29:$I$38)</f>
        <v>0</v>
      </c>
      <c r="P22" s="20">
        <f>SUMIF('Ход 2031'!$G$29:$G$38,$A22,'Ход 2031'!$I$29:$I$38)</f>
        <v>0</v>
      </c>
      <c r="Q22" s="20">
        <f>SUMIF('Ход 2032'!$G$29:$G$38,$A22,'Ход 2032'!$I$29:$I$38)</f>
        <v>0</v>
      </c>
      <c r="R22" s="20">
        <f>SUMIF('Ход 2033'!$G$29:$G$38,$A22,'Ход 2033'!$I$29:$I$38)</f>
        <v>0</v>
      </c>
      <c r="S22" s="20">
        <f>SUMIF('Ход 2034'!$G$29:$G$38,$A22,'Ход 2034'!$I$29:$I$38)</f>
        <v>0</v>
      </c>
      <c r="T22" s="20">
        <f>SUMIF('Ход 2035'!$G$29:$G$38,$A22,'Ход 2035'!$I$29:$I$38)</f>
        <v>0</v>
      </c>
      <c r="U22" s="20">
        <f>SUMIF('Ход 2036'!$G$29:$G$38,$A22,'Ход 2036'!$I$29:$I$38)</f>
        <v>0</v>
      </c>
      <c r="V22" s="20">
        <f>SUMIF('Ход 2037'!$G$29:$G$38,$A22,'Ход 2037'!$I$29:$I$38)</f>
        <v>0</v>
      </c>
      <c r="W22" s="20">
        <f>SUMIF('Ход 2038'!$G$29:$G$38,$A22,'Ход 2038'!$I$29:$I$38)</f>
        <v>0</v>
      </c>
      <c r="X22" s="20">
        <f>SUMIF('Ход 2039'!$G$29:$G$38,$A22,'Ход 2039'!$I$29:$I$38)</f>
        <v>0</v>
      </c>
      <c r="Y22" s="20">
        <f>SUMIF('Ход 2040'!$G$29:$G$38,$A22,'Ход 2040'!$I$29:$I$38)</f>
        <v>0</v>
      </c>
      <c r="Z22" s="21">
        <f t="shared" si="2"/>
        <v>0</v>
      </c>
      <c r="AA22" s="21">
        <f t="shared" si="3"/>
        <v>155</v>
      </c>
      <c r="AB22" s="12" t="str">
        <f t="shared" si="4"/>
        <v>ЗАКРЫТО</v>
      </c>
      <c r="AC22" s="22">
        <f t="shared" ref="AC22:AQ22" si="30">SUM($K22:K22)</f>
        <v>0</v>
      </c>
      <c r="AD22" s="22">
        <f t="shared" si="30"/>
        <v>0</v>
      </c>
      <c r="AE22" s="22">
        <f t="shared" si="30"/>
        <v>0</v>
      </c>
      <c r="AF22" s="22">
        <f t="shared" si="30"/>
        <v>0</v>
      </c>
      <c r="AG22" s="22">
        <f t="shared" si="30"/>
        <v>0</v>
      </c>
      <c r="AH22" s="22">
        <f t="shared" si="30"/>
        <v>0</v>
      </c>
      <c r="AI22" s="22">
        <f t="shared" si="30"/>
        <v>0</v>
      </c>
      <c r="AJ22" s="22">
        <f t="shared" si="30"/>
        <v>0</v>
      </c>
      <c r="AK22" s="22">
        <f t="shared" si="30"/>
        <v>0</v>
      </c>
      <c r="AL22" s="22">
        <f t="shared" si="30"/>
        <v>0</v>
      </c>
      <c r="AM22" s="22">
        <f t="shared" si="30"/>
        <v>0</v>
      </c>
      <c r="AN22" s="22">
        <f t="shared" si="30"/>
        <v>0</v>
      </c>
      <c r="AO22" s="22">
        <f t="shared" si="30"/>
        <v>0</v>
      </c>
      <c r="AP22" s="22">
        <f t="shared" si="30"/>
        <v>0</v>
      </c>
      <c r="AQ22" s="22">
        <f t="shared" si="30"/>
        <v>0</v>
      </c>
      <c r="AR22" s="22" t="str">
        <f t="shared" si="6"/>
        <v>ЗАКРЫТО</v>
      </c>
      <c r="AS22" s="22" t="str">
        <f t="shared" si="7"/>
        <v>ЗАКРЫТО</v>
      </c>
      <c r="AT22" s="22" t="str">
        <f t="shared" si="8"/>
        <v>ЗАКРЫТО</v>
      </c>
      <c r="AU22" s="22" t="str">
        <f t="shared" si="9"/>
        <v>ЗАКРЫТО</v>
      </c>
      <c r="AV22" s="22" t="str">
        <f t="shared" si="10"/>
        <v>ЗАКРЫТО</v>
      </c>
      <c r="AW22" s="22" t="str">
        <f t="shared" si="11"/>
        <v>ЗАКРЫТО</v>
      </c>
      <c r="AX22" s="22" t="str">
        <f t="shared" si="12"/>
        <v>ЗАКРЫТО</v>
      </c>
      <c r="AY22" s="22" t="str">
        <f t="shared" si="13"/>
        <v>ЗАКРЫТО</v>
      </c>
      <c r="AZ22" s="22" t="str">
        <f t="shared" si="14"/>
        <v>ЗАКРЫТО</v>
      </c>
      <c r="BA22" s="22" t="str">
        <f t="shared" si="15"/>
        <v>ЗАКРЫТО</v>
      </c>
      <c r="BB22" s="22" t="str">
        <f t="shared" si="16"/>
        <v>ЗАКРЫТО</v>
      </c>
      <c r="BC22" s="22" t="str">
        <f t="shared" si="17"/>
        <v>ЗАКРЫТО</v>
      </c>
      <c r="BD22" s="22" t="str">
        <f t="shared" si="18"/>
        <v>ЗАКРЫТО</v>
      </c>
      <c r="BE22" s="22" t="str">
        <f t="shared" si="19"/>
        <v>ЗАКРЫТО</v>
      </c>
      <c r="BF22" s="22" t="str">
        <f t="shared" si="20"/>
        <v>ЗАКРЫТО</v>
      </c>
    </row>
    <row r="23" ht="13.5" customHeight="1">
      <c r="A23" s="12" t="s">
        <v>267</v>
      </c>
      <c r="B23" s="12" t="s">
        <v>268</v>
      </c>
      <c r="C23" s="12" t="s">
        <v>86</v>
      </c>
      <c r="D23" s="12" t="s">
        <v>269</v>
      </c>
      <c r="E23" s="12">
        <v>20.0</v>
      </c>
      <c r="F23" s="12"/>
      <c r="G23" s="12"/>
      <c r="H23" s="12"/>
      <c r="I23" s="12" t="s">
        <v>270</v>
      </c>
      <c r="J23" s="12" t="s">
        <v>271</v>
      </c>
      <c r="K23" s="20">
        <f>SUMIF('Ход 2026'!$G$29:$G$38,$A23,'Ход 2026'!$I$29:$I$38)</f>
        <v>0</v>
      </c>
      <c r="L23" s="20">
        <f>SUMIF('Ход 2027'!$G$29:$G$38,$A23,'Ход 2027'!$I$29:$I$38)</f>
        <v>0</v>
      </c>
      <c r="M23" s="20">
        <f>SUMIF('Ход 2028'!$G$29:$G$38,$A23,'Ход 2028'!$I$29:$I$38)</f>
        <v>0</v>
      </c>
      <c r="N23" s="20">
        <f>SUMIF('Ход 2029'!$G$29:$G$38,$A23,'Ход 2029'!$I$29:$I$38)</f>
        <v>0</v>
      </c>
      <c r="O23" s="20">
        <f>SUMIF('Ход 2030'!$G$29:$G$38,$A23,'Ход 2030'!$I$29:$I$38)</f>
        <v>0</v>
      </c>
      <c r="P23" s="20">
        <f>SUMIF('Ход 2031'!$G$29:$G$38,$A23,'Ход 2031'!$I$29:$I$38)</f>
        <v>0</v>
      </c>
      <c r="Q23" s="20">
        <f>SUMIF('Ход 2032'!$G$29:$G$38,$A23,'Ход 2032'!$I$29:$I$38)</f>
        <v>0</v>
      </c>
      <c r="R23" s="20">
        <f>SUMIF('Ход 2033'!$G$29:$G$38,$A23,'Ход 2033'!$I$29:$I$38)</f>
        <v>0</v>
      </c>
      <c r="S23" s="20">
        <f>SUMIF('Ход 2034'!$G$29:$G$38,$A23,'Ход 2034'!$I$29:$I$38)</f>
        <v>0</v>
      </c>
      <c r="T23" s="20">
        <f>SUMIF('Ход 2035'!$G$29:$G$38,$A23,'Ход 2035'!$I$29:$I$38)</f>
        <v>0</v>
      </c>
      <c r="U23" s="20">
        <f>SUMIF('Ход 2036'!$G$29:$G$38,$A23,'Ход 2036'!$I$29:$I$38)</f>
        <v>0</v>
      </c>
      <c r="V23" s="20">
        <f>SUMIF('Ход 2037'!$G$29:$G$38,$A23,'Ход 2037'!$I$29:$I$38)</f>
        <v>0</v>
      </c>
      <c r="W23" s="20">
        <f>SUMIF('Ход 2038'!$G$29:$G$38,$A23,'Ход 2038'!$I$29:$I$38)</f>
        <v>0</v>
      </c>
      <c r="X23" s="20">
        <f>SUMIF('Ход 2039'!$G$29:$G$38,$A23,'Ход 2039'!$I$29:$I$38)</f>
        <v>0</v>
      </c>
      <c r="Y23" s="20">
        <f>SUMIF('Ход 2040'!$G$29:$G$38,$A23,'Ход 2040'!$I$29:$I$38)</f>
        <v>0</v>
      </c>
      <c r="Z23" s="21">
        <f t="shared" si="2"/>
        <v>0</v>
      </c>
      <c r="AA23" s="21">
        <f t="shared" si="3"/>
        <v>20</v>
      </c>
      <c r="AB23" s="12" t="str">
        <f t="shared" si="4"/>
        <v>ОТКРЫТО</v>
      </c>
      <c r="AC23" s="22">
        <f t="shared" ref="AC23:AQ23" si="31">SUM($K23:K23)</f>
        <v>0</v>
      </c>
      <c r="AD23" s="22">
        <f t="shared" si="31"/>
        <v>0</v>
      </c>
      <c r="AE23" s="22">
        <f t="shared" si="31"/>
        <v>0</v>
      </c>
      <c r="AF23" s="22">
        <f t="shared" si="31"/>
        <v>0</v>
      </c>
      <c r="AG23" s="22">
        <f t="shared" si="31"/>
        <v>0</v>
      </c>
      <c r="AH23" s="22">
        <f t="shared" si="31"/>
        <v>0</v>
      </c>
      <c r="AI23" s="22">
        <f t="shared" si="31"/>
        <v>0</v>
      </c>
      <c r="AJ23" s="22">
        <f t="shared" si="31"/>
        <v>0</v>
      </c>
      <c r="AK23" s="22">
        <f t="shared" si="31"/>
        <v>0</v>
      </c>
      <c r="AL23" s="22">
        <f t="shared" si="31"/>
        <v>0</v>
      </c>
      <c r="AM23" s="22">
        <f t="shared" si="31"/>
        <v>0</v>
      </c>
      <c r="AN23" s="22">
        <f t="shared" si="31"/>
        <v>0</v>
      </c>
      <c r="AO23" s="22">
        <f t="shared" si="31"/>
        <v>0</v>
      </c>
      <c r="AP23" s="22">
        <f t="shared" si="31"/>
        <v>0</v>
      </c>
      <c r="AQ23" s="22">
        <f t="shared" si="31"/>
        <v>0</v>
      </c>
      <c r="AR23" s="22" t="str">
        <f t="shared" si="6"/>
        <v>ОТКРЫТО</v>
      </c>
      <c r="AS23" s="22" t="str">
        <f t="shared" si="7"/>
        <v>ОТКРЫТО</v>
      </c>
      <c r="AT23" s="22" t="str">
        <f t="shared" si="8"/>
        <v>ОТКРЫТО</v>
      </c>
      <c r="AU23" s="22" t="str">
        <f t="shared" si="9"/>
        <v>ОТКРЫТО</v>
      </c>
      <c r="AV23" s="22" t="str">
        <f t="shared" si="10"/>
        <v>ОТКРЫТО</v>
      </c>
      <c r="AW23" s="22" t="str">
        <f t="shared" si="11"/>
        <v>ОТКРЫТО</v>
      </c>
      <c r="AX23" s="22" t="str">
        <f t="shared" si="12"/>
        <v>ОТКРЫТО</v>
      </c>
      <c r="AY23" s="22" t="str">
        <f t="shared" si="13"/>
        <v>ОТКРЫТО</v>
      </c>
      <c r="AZ23" s="22" t="str">
        <f t="shared" si="14"/>
        <v>ОТКРЫТО</v>
      </c>
      <c r="BA23" s="22" t="str">
        <f t="shared" si="15"/>
        <v>ОТКРЫТО</v>
      </c>
      <c r="BB23" s="22" t="str">
        <f t="shared" si="16"/>
        <v>ОТКРЫТО</v>
      </c>
      <c r="BC23" s="22" t="str">
        <f t="shared" si="17"/>
        <v>ОТКРЫТО</v>
      </c>
      <c r="BD23" s="22" t="str">
        <f t="shared" si="18"/>
        <v>ОТКРЫТО</v>
      </c>
      <c r="BE23" s="22" t="str">
        <f t="shared" si="19"/>
        <v>ОТКРЫТО</v>
      </c>
      <c r="BF23" s="22" t="str">
        <f t="shared" si="20"/>
        <v>ОТКРЫТО</v>
      </c>
    </row>
    <row r="24" ht="13.5" customHeight="1">
      <c r="A24" s="12" t="s">
        <v>272</v>
      </c>
      <c r="B24" s="12" t="s">
        <v>268</v>
      </c>
      <c r="C24" s="12" t="s">
        <v>140</v>
      </c>
      <c r="D24" s="12" t="s">
        <v>273</v>
      </c>
      <c r="E24" s="12">
        <v>35.0</v>
      </c>
      <c r="F24" s="12" t="s">
        <v>267</v>
      </c>
      <c r="G24" s="12"/>
      <c r="H24" s="12"/>
      <c r="I24" s="12" t="s">
        <v>274</v>
      </c>
      <c r="J24" s="12" t="s">
        <v>275</v>
      </c>
      <c r="K24" s="20">
        <f>SUMIF('Ход 2026'!$G$29:$G$38,$A24,'Ход 2026'!$I$29:$I$38)</f>
        <v>0</v>
      </c>
      <c r="L24" s="20">
        <f>SUMIF('Ход 2027'!$G$29:$G$38,$A24,'Ход 2027'!$I$29:$I$38)</f>
        <v>0</v>
      </c>
      <c r="M24" s="20">
        <f>SUMIF('Ход 2028'!$G$29:$G$38,$A24,'Ход 2028'!$I$29:$I$38)</f>
        <v>0</v>
      </c>
      <c r="N24" s="20">
        <f>SUMIF('Ход 2029'!$G$29:$G$38,$A24,'Ход 2029'!$I$29:$I$38)</f>
        <v>0</v>
      </c>
      <c r="O24" s="20">
        <f>SUMIF('Ход 2030'!$G$29:$G$38,$A24,'Ход 2030'!$I$29:$I$38)</f>
        <v>0</v>
      </c>
      <c r="P24" s="20">
        <f>SUMIF('Ход 2031'!$G$29:$G$38,$A24,'Ход 2031'!$I$29:$I$38)</f>
        <v>0</v>
      </c>
      <c r="Q24" s="20">
        <f>SUMIF('Ход 2032'!$G$29:$G$38,$A24,'Ход 2032'!$I$29:$I$38)</f>
        <v>0</v>
      </c>
      <c r="R24" s="20">
        <f>SUMIF('Ход 2033'!$G$29:$G$38,$A24,'Ход 2033'!$I$29:$I$38)</f>
        <v>0</v>
      </c>
      <c r="S24" s="20">
        <f>SUMIF('Ход 2034'!$G$29:$G$38,$A24,'Ход 2034'!$I$29:$I$38)</f>
        <v>0</v>
      </c>
      <c r="T24" s="20">
        <f>SUMIF('Ход 2035'!$G$29:$G$38,$A24,'Ход 2035'!$I$29:$I$38)</f>
        <v>0</v>
      </c>
      <c r="U24" s="20">
        <f>SUMIF('Ход 2036'!$G$29:$G$38,$A24,'Ход 2036'!$I$29:$I$38)</f>
        <v>0</v>
      </c>
      <c r="V24" s="20">
        <f>SUMIF('Ход 2037'!$G$29:$G$38,$A24,'Ход 2037'!$I$29:$I$38)</f>
        <v>0</v>
      </c>
      <c r="W24" s="20">
        <f>SUMIF('Ход 2038'!$G$29:$G$38,$A24,'Ход 2038'!$I$29:$I$38)</f>
        <v>0</v>
      </c>
      <c r="X24" s="20">
        <f>SUMIF('Ход 2039'!$G$29:$G$38,$A24,'Ход 2039'!$I$29:$I$38)</f>
        <v>0</v>
      </c>
      <c r="Y24" s="20">
        <f>SUMIF('Ход 2040'!$G$29:$G$38,$A24,'Ход 2040'!$I$29:$I$38)</f>
        <v>0</v>
      </c>
      <c r="Z24" s="21">
        <f t="shared" si="2"/>
        <v>0</v>
      </c>
      <c r="AA24" s="21">
        <f t="shared" si="3"/>
        <v>35</v>
      </c>
      <c r="AB24" s="12" t="str">
        <f t="shared" si="4"/>
        <v>ЗАКРЫТО</v>
      </c>
      <c r="AC24" s="22">
        <f t="shared" ref="AC24:AQ24" si="32">SUM($K24:K24)</f>
        <v>0</v>
      </c>
      <c r="AD24" s="22">
        <f t="shared" si="32"/>
        <v>0</v>
      </c>
      <c r="AE24" s="22">
        <f t="shared" si="32"/>
        <v>0</v>
      </c>
      <c r="AF24" s="22">
        <f t="shared" si="32"/>
        <v>0</v>
      </c>
      <c r="AG24" s="22">
        <f t="shared" si="32"/>
        <v>0</v>
      </c>
      <c r="AH24" s="22">
        <f t="shared" si="32"/>
        <v>0</v>
      </c>
      <c r="AI24" s="22">
        <f t="shared" si="32"/>
        <v>0</v>
      </c>
      <c r="AJ24" s="22">
        <f t="shared" si="32"/>
        <v>0</v>
      </c>
      <c r="AK24" s="22">
        <f t="shared" si="32"/>
        <v>0</v>
      </c>
      <c r="AL24" s="22">
        <f t="shared" si="32"/>
        <v>0</v>
      </c>
      <c r="AM24" s="22">
        <f t="shared" si="32"/>
        <v>0</v>
      </c>
      <c r="AN24" s="22">
        <f t="shared" si="32"/>
        <v>0</v>
      </c>
      <c r="AO24" s="22">
        <f t="shared" si="32"/>
        <v>0</v>
      </c>
      <c r="AP24" s="22">
        <f t="shared" si="32"/>
        <v>0</v>
      </c>
      <c r="AQ24" s="22">
        <f t="shared" si="32"/>
        <v>0</v>
      </c>
      <c r="AR24" s="22" t="str">
        <f t="shared" si="6"/>
        <v>ЗАКРЫТО</v>
      </c>
      <c r="AS24" s="22" t="str">
        <f t="shared" si="7"/>
        <v>ЗАКРЫТО</v>
      </c>
      <c r="AT24" s="22" t="str">
        <f t="shared" si="8"/>
        <v>ЗАКРЫТО</v>
      </c>
      <c r="AU24" s="22" t="str">
        <f t="shared" si="9"/>
        <v>ЗАКРЫТО</v>
      </c>
      <c r="AV24" s="22" t="str">
        <f t="shared" si="10"/>
        <v>ЗАКРЫТО</v>
      </c>
      <c r="AW24" s="22" t="str">
        <f t="shared" si="11"/>
        <v>ЗАКРЫТО</v>
      </c>
      <c r="AX24" s="22" t="str">
        <f t="shared" si="12"/>
        <v>ЗАКРЫТО</v>
      </c>
      <c r="AY24" s="22" t="str">
        <f t="shared" si="13"/>
        <v>ЗАКРЫТО</v>
      </c>
      <c r="AZ24" s="22" t="str">
        <f t="shared" si="14"/>
        <v>ЗАКРЫТО</v>
      </c>
      <c r="BA24" s="22" t="str">
        <f t="shared" si="15"/>
        <v>ЗАКРЫТО</v>
      </c>
      <c r="BB24" s="22" t="str">
        <f t="shared" si="16"/>
        <v>ЗАКРЫТО</v>
      </c>
      <c r="BC24" s="22" t="str">
        <f t="shared" si="17"/>
        <v>ЗАКРЫТО</v>
      </c>
      <c r="BD24" s="22" t="str">
        <f t="shared" si="18"/>
        <v>ЗАКРЫТО</v>
      </c>
      <c r="BE24" s="22" t="str">
        <f t="shared" si="19"/>
        <v>ЗАКРЫТО</v>
      </c>
      <c r="BF24" s="22" t="str">
        <f t="shared" si="20"/>
        <v>ЗАКРЫТО</v>
      </c>
    </row>
    <row r="25" ht="13.5" customHeight="1">
      <c r="A25" s="12" t="s">
        <v>277</v>
      </c>
      <c r="B25" s="12" t="s">
        <v>268</v>
      </c>
      <c r="C25" s="12" t="s">
        <v>140</v>
      </c>
      <c r="D25" s="12" t="s">
        <v>278</v>
      </c>
      <c r="E25" s="12">
        <v>40.0</v>
      </c>
      <c r="F25" s="12" t="s">
        <v>267</v>
      </c>
      <c r="G25" s="12"/>
      <c r="H25" s="12"/>
      <c r="I25" s="12" t="s">
        <v>279</v>
      </c>
      <c r="J25" s="12" t="s">
        <v>280</v>
      </c>
      <c r="K25" s="20">
        <f>SUMIF('Ход 2026'!$G$29:$G$38,$A25,'Ход 2026'!$I$29:$I$38)</f>
        <v>0</v>
      </c>
      <c r="L25" s="20">
        <f>SUMIF('Ход 2027'!$G$29:$G$38,$A25,'Ход 2027'!$I$29:$I$38)</f>
        <v>0</v>
      </c>
      <c r="M25" s="20">
        <f>SUMIF('Ход 2028'!$G$29:$G$38,$A25,'Ход 2028'!$I$29:$I$38)</f>
        <v>0</v>
      </c>
      <c r="N25" s="20">
        <f>SUMIF('Ход 2029'!$G$29:$G$38,$A25,'Ход 2029'!$I$29:$I$38)</f>
        <v>0</v>
      </c>
      <c r="O25" s="20">
        <f>SUMIF('Ход 2030'!$G$29:$G$38,$A25,'Ход 2030'!$I$29:$I$38)</f>
        <v>0</v>
      </c>
      <c r="P25" s="20">
        <f>SUMIF('Ход 2031'!$G$29:$G$38,$A25,'Ход 2031'!$I$29:$I$38)</f>
        <v>0</v>
      </c>
      <c r="Q25" s="20">
        <f>SUMIF('Ход 2032'!$G$29:$G$38,$A25,'Ход 2032'!$I$29:$I$38)</f>
        <v>0</v>
      </c>
      <c r="R25" s="20">
        <f>SUMIF('Ход 2033'!$G$29:$G$38,$A25,'Ход 2033'!$I$29:$I$38)</f>
        <v>0</v>
      </c>
      <c r="S25" s="20">
        <f>SUMIF('Ход 2034'!$G$29:$G$38,$A25,'Ход 2034'!$I$29:$I$38)</f>
        <v>0</v>
      </c>
      <c r="T25" s="20">
        <f>SUMIF('Ход 2035'!$G$29:$G$38,$A25,'Ход 2035'!$I$29:$I$38)</f>
        <v>0</v>
      </c>
      <c r="U25" s="20">
        <f>SUMIF('Ход 2036'!$G$29:$G$38,$A25,'Ход 2036'!$I$29:$I$38)</f>
        <v>0</v>
      </c>
      <c r="V25" s="20">
        <f>SUMIF('Ход 2037'!$G$29:$G$38,$A25,'Ход 2037'!$I$29:$I$38)</f>
        <v>0</v>
      </c>
      <c r="W25" s="20">
        <f>SUMIF('Ход 2038'!$G$29:$G$38,$A25,'Ход 2038'!$I$29:$I$38)</f>
        <v>0</v>
      </c>
      <c r="X25" s="20">
        <f>SUMIF('Ход 2039'!$G$29:$G$38,$A25,'Ход 2039'!$I$29:$I$38)</f>
        <v>0</v>
      </c>
      <c r="Y25" s="20">
        <f>SUMIF('Ход 2040'!$G$29:$G$38,$A25,'Ход 2040'!$I$29:$I$38)</f>
        <v>0</v>
      </c>
      <c r="Z25" s="21">
        <f t="shared" si="2"/>
        <v>0</v>
      </c>
      <c r="AA25" s="21">
        <f t="shared" si="3"/>
        <v>40</v>
      </c>
      <c r="AB25" s="12" t="str">
        <f t="shared" si="4"/>
        <v>ЗАКРЫТО</v>
      </c>
      <c r="AC25" s="22">
        <f t="shared" ref="AC25:AQ25" si="33">SUM($K25:K25)</f>
        <v>0</v>
      </c>
      <c r="AD25" s="22">
        <f t="shared" si="33"/>
        <v>0</v>
      </c>
      <c r="AE25" s="22">
        <f t="shared" si="33"/>
        <v>0</v>
      </c>
      <c r="AF25" s="22">
        <f t="shared" si="33"/>
        <v>0</v>
      </c>
      <c r="AG25" s="22">
        <f t="shared" si="33"/>
        <v>0</v>
      </c>
      <c r="AH25" s="22">
        <f t="shared" si="33"/>
        <v>0</v>
      </c>
      <c r="AI25" s="22">
        <f t="shared" si="33"/>
        <v>0</v>
      </c>
      <c r="AJ25" s="22">
        <f t="shared" si="33"/>
        <v>0</v>
      </c>
      <c r="AK25" s="22">
        <f t="shared" si="33"/>
        <v>0</v>
      </c>
      <c r="AL25" s="22">
        <f t="shared" si="33"/>
        <v>0</v>
      </c>
      <c r="AM25" s="22">
        <f t="shared" si="33"/>
        <v>0</v>
      </c>
      <c r="AN25" s="22">
        <f t="shared" si="33"/>
        <v>0</v>
      </c>
      <c r="AO25" s="22">
        <f t="shared" si="33"/>
        <v>0</v>
      </c>
      <c r="AP25" s="22">
        <f t="shared" si="33"/>
        <v>0</v>
      </c>
      <c r="AQ25" s="22">
        <f t="shared" si="33"/>
        <v>0</v>
      </c>
      <c r="AR25" s="22" t="str">
        <f t="shared" si="6"/>
        <v>ЗАКРЫТО</v>
      </c>
      <c r="AS25" s="22" t="str">
        <f t="shared" si="7"/>
        <v>ЗАКРЫТО</v>
      </c>
      <c r="AT25" s="22" t="str">
        <f t="shared" si="8"/>
        <v>ЗАКРЫТО</v>
      </c>
      <c r="AU25" s="22" t="str">
        <f t="shared" si="9"/>
        <v>ЗАКРЫТО</v>
      </c>
      <c r="AV25" s="22" t="str">
        <f t="shared" si="10"/>
        <v>ЗАКРЫТО</v>
      </c>
      <c r="AW25" s="22" t="str">
        <f t="shared" si="11"/>
        <v>ЗАКРЫТО</v>
      </c>
      <c r="AX25" s="22" t="str">
        <f t="shared" si="12"/>
        <v>ЗАКРЫТО</v>
      </c>
      <c r="AY25" s="22" t="str">
        <f t="shared" si="13"/>
        <v>ЗАКРЫТО</v>
      </c>
      <c r="AZ25" s="22" t="str">
        <f t="shared" si="14"/>
        <v>ЗАКРЫТО</v>
      </c>
      <c r="BA25" s="22" t="str">
        <f t="shared" si="15"/>
        <v>ЗАКРЫТО</v>
      </c>
      <c r="BB25" s="22" t="str">
        <f t="shared" si="16"/>
        <v>ЗАКРЫТО</v>
      </c>
      <c r="BC25" s="22" t="str">
        <f t="shared" si="17"/>
        <v>ЗАКРЫТО</v>
      </c>
      <c r="BD25" s="22" t="str">
        <f t="shared" si="18"/>
        <v>ЗАКРЫТО</v>
      </c>
      <c r="BE25" s="22" t="str">
        <f t="shared" si="19"/>
        <v>ЗАКРЫТО</v>
      </c>
      <c r="BF25" s="22" t="str">
        <f t="shared" si="20"/>
        <v>ЗАКРЫТО</v>
      </c>
    </row>
    <row r="26" ht="13.5" customHeight="1">
      <c r="A26" s="12" t="s">
        <v>281</v>
      </c>
      <c r="B26" s="12" t="s">
        <v>268</v>
      </c>
      <c r="C26" s="12" t="s">
        <v>224</v>
      </c>
      <c r="D26" s="12" t="s">
        <v>282</v>
      </c>
      <c r="E26" s="12">
        <v>60.0</v>
      </c>
      <c r="F26" s="12" t="s">
        <v>272</v>
      </c>
      <c r="G26" s="12" t="s">
        <v>277</v>
      </c>
      <c r="H26" s="12"/>
      <c r="I26" s="12" t="s">
        <v>283</v>
      </c>
      <c r="J26" s="12" t="s">
        <v>284</v>
      </c>
      <c r="K26" s="20">
        <f>SUMIF('Ход 2026'!$G$29:$G$38,$A26,'Ход 2026'!$I$29:$I$38)</f>
        <v>0</v>
      </c>
      <c r="L26" s="20">
        <f>SUMIF('Ход 2027'!$G$29:$G$38,$A26,'Ход 2027'!$I$29:$I$38)</f>
        <v>0</v>
      </c>
      <c r="M26" s="20">
        <f>SUMIF('Ход 2028'!$G$29:$G$38,$A26,'Ход 2028'!$I$29:$I$38)</f>
        <v>0</v>
      </c>
      <c r="N26" s="20">
        <f>SUMIF('Ход 2029'!$G$29:$G$38,$A26,'Ход 2029'!$I$29:$I$38)</f>
        <v>0</v>
      </c>
      <c r="O26" s="20">
        <f>SUMIF('Ход 2030'!$G$29:$G$38,$A26,'Ход 2030'!$I$29:$I$38)</f>
        <v>0</v>
      </c>
      <c r="P26" s="20">
        <f>SUMIF('Ход 2031'!$G$29:$G$38,$A26,'Ход 2031'!$I$29:$I$38)</f>
        <v>0</v>
      </c>
      <c r="Q26" s="20">
        <f>SUMIF('Ход 2032'!$G$29:$G$38,$A26,'Ход 2032'!$I$29:$I$38)</f>
        <v>0</v>
      </c>
      <c r="R26" s="20">
        <f>SUMIF('Ход 2033'!$G$29:$G$38,$A26,'Ход 2033'!$I$29:$I$38)</f>
        <v>0</v>
      </c>
      <c r="S26" s="20">
        <f>SUMIF('Ход 2034'!$G$29:$G$38,$A26,'Ход 2034'!$I$29:$I$38)</f>
        <v>0</v>
      </c>
      <c r="T26" s="20">
        <f>SUMIF('Ход 2035'!$G$29:$G$38,$A26,'Ход 2035'!$I$29:$I$38)</f>
        <v>0</v>
      </c>
      <c r="U26" s="20">
        <f>SUMIF('Ход 2036'!$G$29:$G$38,$A26,'Ход 2036'!$I$29:$I$38)</f>
        <v>0</v>
      </c>
      <c r="V26" s="20">
        <f>SUMIF('Ход 2037'!$G$29:$G$38,$A26,'Ход 2037'!$I$29:$I$38)</f>
        <v>0</v>
      </c>
      <c r="W26" s="20">
        <f>SUMIF('Ход 2038'!$G$29:$G$38,$A26,'Ход 2038'!$I$29:$I$38)</f>
        <v>0</v>
      </c>
      <c r="X26" s="20">
        <f>SUMIF('Ход 2039'!$G$29:$G$38,$A26,'Ход 2039'!$I$29:$I$38)</f>
        <v>0</v>
      </c>
      <c r="Y26" s="20">
        <f>SUMIF('Ход 2040'!$G$29:$G$38,$A26,'Ход 2040'!$I$29:$I$38)</f>
        <v>0</v>
      </c>
      <c r="Z26" s="21">
        <f t="shared" si="2"/>
        <v>0</v>
      </c>
      <c r="AA26" s="21">
        <f t="shared" si="3"/>
        <v>60</v>
      </c>
      <c r="AB26" s="12" t="str">
        <f t="shared" si="4"/>
        <v>ЗАКРЫТО</v>
      </c>
      <c r="AC26" s="22">
        <f t="shared" ref="AC26:AQ26" si="34">SUM($K26:K26)</f>
        <v>0</v>
      </c>
      <c r="AD26" s="22">
        <f t="shared" si="34"/>
        <v>0</v>
      </c>
      <c r="AE26" s="22">
        <f t="shared" si="34"/>
        <v>0</v>
      </c>
      <c r="AF26" s="22">
        <f t="shared" si="34"/>
        <v>0</v>
      </c>
      <c r="AG26" s="22">
        <f t="shared" si="34"/>
        <v>0</v>
      </c>
      <c r="AH26" s="22">
        <f t="shared" si="34"/>
        <v>0</v>
      </c>
      <c r="AI26" s="22">
        <f t="shared" si="34"/>
        <v>0</v>
      </c>
      <c r="AJ26" s="22">
        <f t="shared" si="34"/>
        <v>0</v>
      </c>
      <c r="AK26" s="22">
        <f t="shared" si="34"/>
        <v>0</v>
      </c>
      <c r="AL26" s="22">
        <f t="shared" si="34"/>
        <v>0</v>
      </c>
      <c r="AM26" s="22">
        <f t="shared" si="34"/>
        <v>0</v>
      </c>
      <c r="AN26" s="22">
        <f t="shared" si="34"/>
        <v>0</v>
      </c>
      <c r="AO26" s="22">
        <f t="shared" si="34"/>
        <v>0</v>
      </c>
      <c r="AP26" s="22">
        <f t="shared" si="34"/>
        <v>0</v>
      </c>
      <c r="AQ26" s="22">
        <f t="shared" si="34"/>
        <v>0</v>
      </c>
      <c r="AR26" s="22" t="str">
        <f t="shared" si="6"/>
        <v>ЗАКРЫТО</v>
      </c>
      <c r="AS26" s="22" t="str">
        <f t="shared" si="7"/>
        <v>ЗАКРЫТО</v>
      </c>
      <c r="AT26" s="22" t="str">
        <f t="shared" si="8"/>
        <v>ЗАКРЫТО</v>
      </c>
      <c r="AU26" s="22" t="str">
        <f t="shared" si="9"/>
        <v>ЗАКРЫТО</v>
      </c>
      <c r="AV26" s="22" t="str">
        <f t="shared" si="10"/>
        <v>ЗАКРЫТО</v>
      </c>
      <c r="AW26" s="22" t="str">
        <f t="shared" si="11"/>
        <v>ЗАКРЫТО</v>
      </c>
      <c r="AX26" s="22" t="str">
        <f t="shared" si="12"/>
        <v>ЗАКРЫТО</v>
      </c>
      <c r="AY26" s="22" t="str">
        <f t="shared" si="13"/>
        <v>ЗАКРЫТО</v>
      </c>
      <c r="AZ26" s="22" t="str">
        <f t="shared" si="14"/>
        <v>ЗАКРЫТО</v>
      </c>
      <c r="BA26" s="22" t="str">
        <f t="shared" si="15"/>
        <v>ЗАКРЫТО</v>
      </c>
      <c r="BB26" s="22" t="str">
        <f t="shared" si="16"/>
        <v>ЗАКРЫТО</v>
      </c>
      <c r="BC26" s="22" t="str">
        <f t="shared" si="17"/>
        <v>ЗАКРЫТО</v>
      </c>
      <c r="BD26" s="22" t="str">
        <f t="shared" si="18"/>
        <v>ЗАКРЫТО</v>
      </c>
      <c r="BE26" s="22" t="str">
        <f t="shared" si="19"/>
        <v>ЗАКРЫТО</v>
      </c>
      <c r="BF26" s="22" t="str">
        <f t="shared" si="20"/>
        <v>ЗАКРЫТО</v>
      </c>
    </row>
    <row r="27" ht="13.5" customHeight="1">
      <c r="A27" s="12" t="s">
        <v>286</v>
      </c>
      <c r="B27" s="12" t="s">
        <v>268</v>
      </c>
      <c r="C27" s="12" t="s">
        <v>231</v>
      </c>
      <c r="D27" s="12" t="s">
        <v>287</v>
      </c>
      <c r="E27" s="12">
        <v>95.0</v>
      </c>
      <c r="F27" s="12" t="s">
        <v>281</v>
      </c>
      <c r="G27" s="12"/>
      <c r="H27" s="12"/>
      <c r="I27" s="12" t="s">
        <v>288</v>
      </c>
      <c r="J27" s="12" t="s">
        <v>289</v>
      </c>
      <c r="K27" s="20">
        <f>SUMIF('Ход 2026'!$G$29:$G$38,$A27,'Ход 2026'!$I$29:$I$38)</f>
        <v>0</v>
      </c>
      <c r="L27" s="20">
        <f>SUMIF('Ход 2027'!$G$29:$G$38,$A27,'Ход 2027'!$I$29:$I$38)</f>
        <v>0</v>
      </c>
      <c r="M27" s="20">
        <f>SUMIF('Ход 2028'!$G$29:$G$38,$A27,'Ход 2028'!$I$29:$I$38)</f>
        <v>0</v>
      </c>
      <c r="N27" s="20">
        <f>SUMIF('Ход 2029'!$G$29:$G$38,$A27,'Ход 2029'!$I$29:$I$38)</f>
        <v>0</v>
      </c>
      <c r="O27" s="20">
        <f>SUMIF('Ход 2030'!$G$29:$G$38,$A27,'Ход 2030'!$I$29:$I$38)</f>
        <v>0</v>
      </c>
      <c r="P27" s="20">
        <f>SUMIF('Ход 2031'!$G$29:$G$38,$A27,'Ход 2031'!$I$29:$I$38)</f>
        <v>0</v>
      </c>
      <c r="Q27" s="20">
        <f>SUMIF('Ход 2032'!$G$29:$G$38,$A27,'Ход 2032'!$I$29:$I$38)</f>
        <v>0</v>
      </c>
      <c r="R27" s="20">
        <f>SUMIF('Ход 2033'!$G$29:$G$38,$A27,'Ход 2033'!$I$29:$I$38)</f>
        <v>0</v>
      </c>
      <c r="S27" s="20">
        <f>SUMIF('Ход 2034'!$G$29:$G$38,$A27,'Ход 2034'!$I$29:$I$38)</f>
        <v>0</v>
      </c>
      <c r="T27" s="20">
        <f>SUMIF('Ход 2035'!$G$29:$G$38,$A27,'Ход 2035'!$I$29:$I$38)</f>
        <v>0</v>
      </c>
      <c r="U27" s="20">
        <f>SUMIF('Ход 2036'!$G$29:$G$38,$A27,'Ход 2036'!$I$29:$I$38)</f>
        <v>0</v>
      </c>
      <c r="V27" s="20">
        <f>SUMIF('Ход 2037'!$G$29:$G$38,$A27,'Ход 2037'!$I$29:$I$38)</f>
        <v>0</v>
      </c>
      <c r="W27" s="20">
        <f>SUMIF('Ход 2038'!$G$29:$G$38,$A27,'Ход 2038'!$I$29:$I$38)</f>
        <v>0</v>
      </c>
      <c r="X27" s="20">
        <f>SUMIF('Ход 2039'!$G$29:$G$38,$A27,'Ход 2039'!$I$29:$I$38)</f>
        <v>0</v>
      </c>
      <c r="Y27" s="20">
        <f>SUMIF('Ход 2040'!$G$29:$G$38,$A27,'Ход 2040'!$I$29:$I$38)</f>
        <v>0</v>
      </c>
      <c r="Z27" s="21">
        <f t="shared" si="2"/>
        <v>0</v>
      </c>
      <c r="AA27" s="21">
        <f t="shared" si="3"/>
        <v>95</v>
      </c>
      <c r="AB27" s="12" t="str">
        <f t="shared" si="4"/>
        <v>ЗАКРЫТО</v>
      </c>
      <c r="AC27" s="22">
        <f t="shared" ref="AC27:AQ27" si="35">SUM($K27:K27)</f>
        <v>0</v>
      </c>
      <c r="AD27" s="22">
        <f t="shared" si="35"/>
        <v>0</v>
      </c>
      <c r="AE27" s="22">
        <f t="shared" si="35"/>
        <v>0</v>
      </c>
      <c r="AF27" s="22">
        <f t="shared" si="35"/>
        <v>0</v>
      </c>
      <c r="AG27" s="22">
        <f t="shared" si="35"/>
        <v>0</v>
      </c>
      <c r="AH27" s="22">
        <f t="shared" si="35"/>
        <v>0</v>
      </c>
      <c r="AI27" s="22">
        <f t="shared" si="35"/>
        <v>0</v>
      </c>
      <c r="AJ27" s="22">
        <f t="shared" si="35"/>
        <v>0</v>
      </c>
      <c r="AK27" s="22">
        <f t="shared" si="35"/>
        <v>0</v>
      </c>
      <c r="AL27" s="22">
        <f t="shared" si="35"/>
        <v>0</v>
      </c>
      <c r="AM27" s="22">
        <f t="shared" si="35"/>
        <v>0</v>
      </c>
      <c r="AN27" s="22">
        <f t="shared" si="35"/>
        <v>0</v>
      </c>
      <c r="AO27" s="22">
        <f t="shared" si="35"/>
        <v>0</v>
      </c>
      <c r="AP27" s="22">
        <f t="shared" si="35"/>
        <v>0</v>
      </c>
      <c r="AQ27" s="22">
        <f t="shared" si="35"/>
        <v>0</v>
      </c>
      <c r="AR27" s="22" t="str">
        <f t="shared" si="6"/>
        <v>ЗАКРЫТО</v>
      </c>
      <c r="AS27" s="22" t="str">
        <f t="shared" si="7"/>
        <v>ЗАКРЫТО</v>
      </c>
      <c r="AT27" s="22" t="str">
        <f t="shared" si="8"/>
        <v>ЗАКРЫТО</v>
      </c>
      <c r="AU27" s="22" t="str">
        <f t="shared" si="9"/>
        <v>ЗАКРЫТО</v>
      </c>
      <c r="AV27" s="22" t="str">
        <f t="shared" si="10"/>
        <v>ЗАКРЫТО</v>
      </c>
      <c r="AW27" s="22" t="str">
        <f t="shared" si="11"/>
        <v>ЗАКРЫТО</v>
      </c>
      <c r="AX27" s="22" t="str">
        <f t="shared" si="12"/>
        <v>ЗАКРЫТО</v>
      </c>
      <c r="AY27" s="22" t="str">
        <f t="shared" si="13"/>
        <v>ЗАКРЫТО</v>
      </c>
      <c r="AZ27" s="22" t="str">
        <f t="shared" si="14"/>
        <v>ЗАКРЫТО</v>
      </c>
      <c r="BA27" s="22" t="str">
        <f t="shared" si="15"/>
        <v>ЗАКРЫТО</v>
      </c>
      <c r="BB27" s="22" t="str">
        <f t="shared" si="16"/>
        <v>ЗАКРЫТО</v>
      </c>
      <c r="BC27" s="22" t="str">
        <f t="shared" si="17"/>
        <v>ЗАКРЫТО</v>
      </c>
      <c r="BD27" s="22" t="str">
        <f t="shared" si="18"/>
        <v>ЗАКРЫТО</v>
      </c>
      <c r="BE27" s="22" t="str">
        <f t="shared" si="19"/>
        <v>ЗАКРЫТО</v>
      </c>
      <c r="BF27" s="22" t="str">
        <f t="shared" si="20"/>
        <v>ЗАКРЫТО</v>
      </c>
    </row>
    <row r="28" ht="13.5" customHeight="1">
      <c r="A28" s="12" t="s">
        <v>290</v>
      </c>
      <c r="B28" s="12" t="s">
        <v>268</v>
      </c>
      <c r="C28" s="12" t="s">
        <v>236</v>
      </c>
      <c r="D28" s="12" t="s">
        <v>291</v>
      </c>
      <c r="E28" s="12">
        <v>140.0</v>
      </c>
      <c r="F28" s="12" t="s">
        <v>286</v>
      </c>
      <c r="G28" s="12"/>
      <c r="H28" s="12"/>
      <c r="I28" s="12" t="s">
        <v>292</v>
      </c>
      <c r="J28" s="12" t="s">
        <v>293</v>
      </c>
      <c r="K28" s="20">
        <f>SUMIF('Ход 2026'!$G$29:$G$38,$A28,'Ход 2026'!$I$29:$I$38)</f>
        <v>0</v>
      </c>
      <c r="L28" s="20">
        <f>SUMIF('Ход 2027'!$G$29:$G$38,$A28,'Ход 2027'!$I$29:$I$38)</f>
        <v>0</v>
      </c>
      <c r="M28" s="20">
        <f>SUMIF('Ход 2028'!$G$29:$G$38,$A28,'Ход 2028'!$I$29:$I$38)</f>
        <v>0</v>
      </c>
      <c r="N28" s="20">
        <f>SUMIF('Ход 2029'!$G$29:$G$38,$A28,'Ход 2029'!$I$29:$I$38)</f>
        <v>0</v>
      </c>
      <c r="O28" s="20">
        <f>SUMIF('Ход 2030'!$G$29:$G$38,$A28,'Ход 2030'!$I$29:$I$38)</f>
        <v>0</v>
      </c>
      <c r="P28" s="20">
        <f>SUMIF('Ход 2031'!$G$29:$G$38,$A28,'Ход 2031'!$I$29:$I$38)</f>
        <v>0</v>
      </c>
      <c r="Q28" s="20">
        <f>SUMIF('Ход 2032'!$G$29:$G$38,$A28,'Ход 2032'!$I$29:$I$38)</f>
        <v>0</v>
      </c>
      <c r="R28" s="20">
        <f>SUMIF('Ход 2033'!$G$29:$G$38,$A28,'Ход 2033'!$I$29:$I$38)</f>
        <v>0</v>
      </c>
      <c r="S28" s="20">
        <f>SUMIF('Ход 2034'!$G$29:$G$38,$A28,'Ход 2034'!$I$29:$I$38)</f>
        <v>0</v>
      </c>
      <c r="T28" s="20">
        <f>SUMIF('Ход 2035'!$G$29:$G$38,$A28,'Ход 2035'!$I$29:$I$38)</f>
        <v>0</v>
      </c>
      <c r="U28" s="20">
        <f>SUMIF('Ход 2036'!$G$29:$G$38,$A28,'Ход 2036'!$I$29:$I$38)</f>
        <v>0</v>
      </c>
      <c r="V28" s="20">
        <f>SUMIF('Ход 2037'!$G$29:$G$38,$A28,'Ход 2037'!$I$29:$I$38)</f>
        <v>0</v>
      </c>
      <c r="W28" s="20">
        <f>SUMIF('Ход 2038'!$G$29:$G$38,$A28,'Ход 2038'!$I$29:$I$38)</f>
        <v>0</v>
      </c>
      <c r="X28" s="20">
        <f>SUMIF('Ход 2039'!$G$29:$G$38,$A28,'Ход 2039'!$I$29:$I$38)</f>
        <v>0</v>
      </c>
      <c r="Y28" s="20">
        <f>SUMIF('Ход 2040'!$G$29:$G$38,$A28,'Ход 2040'!$I$29:$I$38)</f>
        <v>0</v>
      </c>
      <c r="Z28" s="21">
        <f t="shared" si="2"/>
        <v>0</v>
      </c>
      <c r="AA28" s="21">
        <f t="shared" si="3"/>
        <v>140</v>
      </c>
      <c r="AB28" s="12" t="str">
        <f t="shared" si="4"/>
        <v>ЗАКРЫТО</v>
      </c>
      <c r="AC28" s="22">
        <f t="shared" ref="AC28:AQ28" si="36">SUM($K28:K28)</f>
        <v>0</v>
      </c>
      <c r="AD28" s="22">
        <f t="shared" si="36"/>
        <v>0</v>
      </c>
      <c r="AE28" s="22">
        <f t="shared" si="36"/>
        <v>0</v>
      </c>
      <c r="AF28" s="22">
        <f t="shared" si="36"/>
        <v>0</v>
      </c>
      <c r="AG28" s="22">
        <f t="shared" si="36"/>
        <v>0</v>
      </c>
      <c r="AH28" s="22">
        <f t="shared" si="36"/>
        <v>0</v>
      </c>
      <c r="AI28" s="22">
        <f t="shared" si="36"/>
        <v>0</v>
      </c>
      <c r="AJ28" s="22">
        <f t="shared" si="36"/>
        <v>0</v>
      </c>
      <c r="AK28" s="22">
        <f t="shared" si="36"/>
        <v>0</v>
      </c>
      <c r="AL28" s="22">
        <f t="shared" si="36"/>
        <v>0</v>
      </c>
      <c r="AM28" s="22">
        <f t="shared" si="36"/>
        <v>0</v>
      </c>
      <c r="AN28" s="22">
        <f t="shared" si="36"/>
        <v>0</v>
      </c>
      <c r="AO28" s="22">
        <f t="shared" si="36"/>
        <v>0</v>
      </c>
      <c r="AP28" s="22">
        <f t="shared" si="36"/>
        <v>0</v>
      </c>
      <c r="AQ28" s="22">
        <f t="shared" si="36"/>
        <v>0</v>
      </c>
      <c r="AR28" s="22" t="str">
        <f t="shared" si="6"/>
        <v>ЗАКРЫТО</v>
      </c>
      <c r="AS28" s="22" t="str">
        <f t="shared" si="7"/>
        <v>ЗАКРЫТО</v>
      </c>
      <c r="AT28" s="22" t="str">
        <f t="shared" si="8"/>
        <v>ЗАКРЫТО</v>
      </c>
      <c r="AU28" s="22" t="str">
        <f t="shared" si="9"/>
        <v>ЗАКРЫТО</v>
      </c>
      <c r="AV28" s="22" t="str">
        <f t="shared" si="10"/>
        <v>ЗАКРЫТО</v>
      </c>
      <c r="AW28" s="22" t="str">
        <f t="shared" si="11"/>
        <v>ЗАКРЫТО</v>
      </c>
      <c r="AX28" s="22" t="str">
        <f t="shared" si="12"/>
        <v>ЗАКРЫТО</v>
      </c>
      <c r="AY28" s="22" t="str">
        <f t="shared" si="13"/>
        <v>ЗАКРЫТО</v>
      </c>
      <c r="AZ28" s="22" t="str">
        <f t="shared" si="14"/>
        <v>ЗАКРЫТО</v>
      </c>
      <c r="BA28" s="22" t="str">
        <f t="shared" si="15"/>
        <v>ЗАКРЫТО</v>
      </c>
      <c r="BB28" s="22" t="str">
        <f t="shared" si="16"/>
        <v>ЗАКРЫТО</v>
      </c>
      <c r="BC28" s="22" t="str">
        <f t="shared" si="17"/>
        <v>ЗАКРЫТО</v>
      </c>
      <c r="BD28" s="22" t="str">
        <f t="shared" si="18"/>
        <v>ЗАКРЫТО</v>
      </c>
      <c r="BE28" s="22" t="str">
        <f t="shared" si="19"/>
        <v>ЗАКРЫТО</v>
      </c>
      <c r="BF28" s="22" t="str">
        <f t="shared" si="20"/>
        <v>ЗАКРЫТО</v>
      </c>
    </row>
    <row r="29" ht="13.5" customHeight="1">
      <c r="A29" s="12" t="s">
        <v>222</v>
      </c>
      <c r="B29" s="12" t="s">
        <v>294</v>
      </c>
      <c r="C29" s="12" t="s">
        <v>86</v>
      </c>
      <c r="D29" s="12" t="s">
        <v>295</v>
      </c>
      <c r="E29" s="12">
        <v>20.0</v>
      </c>
      <c r="F29" s="12"/>
      <c r="G29" s="12"/>
      <c r="H29" s="12"/>
      <c r="I29" s="12" t="s">
        <v>296</v>
      </c>
      <c r="J29" s="12" t="s">
        <v>297</v>
      </c>
      <c r="K29" s="20">
        <f>SUMIF('Ход 2026'!$G$29:$G$38,$A29,'Ход 2026'!$I$29:$I$38)</f>
        <v>20</v>
      </c>
      <c r="L29" s="20">
        <f>SUMIF('Ход 2027'!$G$29:$G$38,$A29,'Ход 2027'!$I$29:$I$38)</f>
        <v>0</v>
      </c>
      <c r="M29" s="20">
        <f>SUMIF('Ход 2028'!$G$29:$G$38,$A29,'Ход 2028'!$I$29:$I$38)</f>
        <v>0</v>
      </c>
      <c r="N29" s="20">
        <f>SUMIF('Ход 2029'!$G$29:$G$38,$A29,'Ход 2029'!$I$29:$I$38)</f>
        <v>0</v>
      </c>
      <c r="O29" s="20">
        <f>SUMIF('Ход 2030'!$G$29:$G$38,$A29,'Ход 2030'!$I$29:$I$38)</f>
        <v>0</v>
      </c>
      <c r="P29" s="20">
        <f>SUMIF('Ход 2031'!$G$29:$G$38,$A29,'Ход 2031'!$I$29:$I$38)</f>
        <v>0</v>
      </c>
      <c r="Q29" s="20">
        <f>SUMIF('Ход 2032'!$G$29:$G$38,$A29,'Ход 2032'!$I$29:$I$38)</f>
        <v>0</v>
      </c>
      <c r="R29" s="20">
        <f>SUMIF('Ход 2033'!$G$29:$G$38,$A29,'Ход 2033'!$I$29:$I$38)</f>
        <v>0</v>
      </c>
      <c r="S29" s="20">
        <f>SUMIF('Ход 2034'!$G$29:$G$38,$A29,'Ход 2034'!$I$29:$I$38)</f>
        <v>0</v>
      </c>
      <c r="T29" s="20">
        <f>SUMIF('Ход 2035'!$G$29:$G$38,$A29,'Ход 2035'!$I$29:$I$38)</f>
        <v>0</v>
      </c>
      <c r="U29" s="20">
        <f>SUMIF('Ход 2036'!$G$29:$G$38,$A29,'Ход 2036'!$I$29:$I$38)</f>
        <v>0</v>
      </c>
      <c r="V29" s="20">
        <f>SUMIF('Ход 2037'!$G$29:$G$38,$A29,'Ход 2037'!$I$29:$I$38)</f>
        <v>0</v>
      </c>
      <c r="W29" s="20">
        <f>SUMIF('Ход 2038'!$G$29:$G$38,$A29,'Ход 2038'!$I$29:$I$38)</f>
        <v>0</v>
      </c>
      <c r="X29" s="20">
        <f>SUMIF('Ход 2039'!$G$29:$G$38,$A29,'Ход 2039'!$I$29:$I$38)</f>
        <v>0</v>
      </c>
      <c r="Y29" s="20">
        <f>SUMIF('Ход 2040'!$G$29:$G$38,$A29,'Ход 2040'!$I$29:$I$38)</f>
        <v>0</v>
      </c>
      <c r="Z29" s="21">
        <f t="shared" si="2"/>
        <v>20</v>
      </c>
      <c r="AA29" s="21">
        <f t="shared" si="3"/>
        <v>0</v>
      </c>
      <c r="AB29" s="12" t="str">
        <f t="shared" si="4"/>
        <v>ИЗУЧЕНО</v>
      </c>
      <c r="AC29" s="22">
        <f t="shared" ref="AC29:AQ29" si="37">SUM($K29:K29)</f>
        <v>20</v>
      </c>
      <c r="AD29" s="22">
        <f t="shared" si="37"/>
        <v>20</v>
      </c>
      <c r="AE29" s="22">
        <f t="shared" si="37"/>
        <v>20</v>
      </c>
      <c r="AF29" s="22">
        <f t="shared" si="37"/>
        <v>20</v>
      </c>
      <c r="AG29" s="22">
        <f t="shared" si="37"/>
        <v>20</v>
      </c>
      <c r="AH29" s="22">
        <f t="shared" si="37"/>
        <v>20</v>
      </c>
      <c r="AI29" s="22">
        <f t="shared" si="37"/>
        <v>20</v>
      </c>
      <c r="AJ29" s="22">
        <f t="shared" si="37"/>
        <v>20</v>
      </c>
      <c r="AK29" s="22">
        <f t="shared" si="37"/>
        <v>20</v>
      </c>
      <c r="AL29" s="22">
        <f t="shared" si="37"/>
        <v>20</v>
      </c>
      <c r="AM29" s="22">
        <f t="shared" si="37"/>
        <v>20</v>
      </c>
      <c r="AN29" s="22">
        <f t="shared" si="37"/>
        <v>20</v>
      </c>
      <c r="AO29" s="22">
        <f t="shared" si="37"/>
        <v>20</v>
      </c>
      <c r="AP29" s="22">
        <f t="shared" si="37"/>
        <v>20</v>
      </c>
      <c r="AQ29" s="22">
        <f t="shared" si="37"/>
        <v>20</v>
      </c>
      <c r="AR29" s="22" t="str">
        <f t="shared" si="6"/>
        <v>ИЗУЧЕНО</v>
      </c>
      <c r="AS29" s="22" t="str">
        <f t="shared" si="7"/>
        <v>ИЗУЧЕНО</v>
      </c>
      <c r="AT29" s="22" t="str">
        <f t="shared" si="8"/>
        <v>ИЗУЧЕНО</v>
      </c>
      <c r="AU29" s="22" t="str">
        <f t="shared" si="9"/>
        <v>ИЗУЧЕНО</v>
      </c>
      <c r="AV29" s="22" t="str">
        <f t="shared" si="10"/>
        <v>ИЗУЧЕНО</v>
      </c>
      <c r="AW29" s="22" t="str">
        <f t="shared" si="11"/>
        <v>ИЗУЧЕНО</v>
      </c>
      <c r="AX29" s="22" t="str">
        <f t="shared" si="12"/>
        <v>ИЗУЧЕНО</v>
      </c>
      <c r="AY29" s="22" t="str">
        <f t="shared" si="13"/>
        <v>ИЗУЧЕНО</v>
      </c>
      <c r="AZ29" s="22" t="str">
        <f t="shared" si="14"/>
        <v>ИЗУЧЕНО</v>
      </c>
      <c r="BA29" s="22" t="str">
        <f t="shared" si="15"/>
        <v>ИЗУЧЕНО</v>
      </c>
      <c r="BB29" s="22" t="str">
        <f t="shared" si="16"/>
        <v>ИЗУЧЕНО</v>
      </c>
      <c r="BC29" s="22" t="str">
        <f t="shared" si="17"/>
        <v>ИЗУЧЕНО</v>
      </c>
      <c r="BD29" s="22" t="str">
        <f t="shared" si="18"/>
        <v>ИЗУЧЕНО</v>
      </c>
      <c r="BE29" s="22" t="str">
        <f t="shared" si="19"/>
        <v>ИЗУЧЕНО</v>
      </c>
      <c r="BF29" s="22" t="str">
        <f t="shared" si="20"/>
        <v>ИЗУЧЕНО</v>
      </c>
    </row>
    <row r="30" ht="13.5" customHeight="1">
      <c r="A30" s="12" t="s">
        <v>299</v>
      </c>
      <c r="B30" s="12" t="s">
        <v>294</v>
      </c>
      <c r="C30" s="12" t="s">
        <v>140</v>
      </c>
      <c r="D30" s="12" t="s">
        <v>300</v>
      </c>
      <c r="E30" s="12">
        <v>35.0</v>
      </c>
      <c r="F30" s="12" t="s">
        <v>222</v>
      </c>
      <c r="G30" s="12"/>
      <c r="H30" s="12"/>
      <c r="I30" s="12" t="s">
        <v>301</v>
      </c>
      <c r="J30" s="12" t="s">
        <v>302</v>
      </c>
      <c r="K30" s="20">
        <f>SUMIF('Ход 2026'!$G$29:$G$38,$A30,'Ход 2026'!$I$29:$I$38)</f>
        <v>0</v>
      </c>
      <c r="L30" s="20">
        <f>SUMIF('Ход 2027'!$G$29:$G$38,$A30,'Ход 2027'!$I$29:$I$38)</f>
        <v>0</v>
      </c>
      <c r="M30" s="20">
        <f>SUMIF('Ход 2028'!$G$29:$G$38,$A30,'Ход 2028'!$I$29:$I$38)</f>
        <v>0</v>
      </c>
      <c r="N30" s="20">
        <f>SUMIF('Ход 2029'!$G$29:$G$38,$A30,'Ход 2029'!$I$29:$I$38)</f>
        <v>0</v>
      </c>
      <c r="O30" s="20">
        <f>SUMIF('Ход 2030'!$G$29:$G$38,$A30,'Ход 2030'!$I$29:$I$38)</f>
        <v>0</v>
      </c>
      <c r="P30" s="20">
        <f>SUMIF('Ход 2031'!$G$29:$G$38,$A30,'Ход 2031'!$I$29:$I$38)</f>
        <v>0</v>
      </c>
      <c r="Q30" s="20">
        <f>SUMIF('Ход 2032'!$G$29:$G$38,$A30,'Ход 2032'!$I$29:$I$38)</f>
        <v>0</v>
      </c>
      <c r="R30" s="20">
        <f>SUMIF('Ход 2033'!$G$29:$G$38,$A30,'Ход 2033'!$I$29:$I$38)</f>
        <v>0</v>
      </c>
      <c r="S30" s="20">
        <f>SUMIF('Ход 2034'!$G$29:$G$38,$A30,'Ход 2034'!$I$29:$I$38)</f>
        <v>0</v>
      </c>
      <c r="T30" s="20">
        <f>SUMIF('Ход 2035'!$G$29:$G$38,$A30,'Ход 2035'!$I$29:$I$38)</f>
        <v>0</v>
      </c>
      <c r="U30" s="20">
        <f>SUMIF('Ход 2036'!$G$29:$G$38,$A30,'Ход 2036'!$I$29:$I$38)</f>
        <v>0</v>
      </c>
      <c r="V30" s="20">
        <f>SUMIF('Ход 2037'!$G$29:$G$38,$A30,'Ход 2037'!$I$29:$I$38)</f>
        <v>0</v>
      </c>
      <c r="W30" s="20">
        <f>SUMIF('Ход 2038'!$G$29:$G$38,$A30,'Ход 2038'!$I$29:$I$38)</f>
        <v>0</v>
      </c>
      <c r="X30" s="20">
        <f>SUMIF('Ход 2039'!$G$29:$G$38,$A30,'Ход 2039'!$I$29:$I$38)</f>
        <v>0</v>
      </c>
      <c r="Y30" s="20">
        <f>SUMIF('Ход 2040'!$G$29:$G$38,$A30,'Ход 2040'!$I$29:$I$38)</f>
        <v>0</v>
      </c>
      <c r="Z30" s="21">
        <f t="shared" si="2"/>
        <v>0</v>
      </c>
      <c r="AA30" s="21">
        <f t="shared" si="3"/>
        <v>35</v>
      </c>
      <c r="AB30" s="12" t="str">
        <f t="shared" si="4"/>
        <v>ОТКРЫТО</v>
      </c>
      <c r="AC30" s="22">
        <f t="shared" ref="AC30:AQ30" si="38">SUM($K30:K30)</f>
        <v>0</v>
      </c>
      <c r="AD30" s="22">
        <f t="shared" si="38"/>
        <v>0</v>
      </c>
      <c r="AE30" s="22">
        <f t="shared" si="38"/>
        <v>0</v>
      </c>
      <c r="AF30" s="22">
        <f t="shared" si="38"/>
        <v>0</v>
      </c>
      <c r="AG30" s="22">
        <f t="shared" si="38"/>
        <v>0</v>
      </c>
      <c r="AH30" s="22">
        <f t="shared" si="38"/>
        <v>0</v>
      </c>
      <c r="AI30" s="22">
        <f t="shared" si="38"/>
        <v>0</v>
      </c>
      <c r="AJ30" s="22">
        <f t="shared" si="38"/>
        <v>0</v>
      </c>
      <c r="AK30" s="22">
        <f t="shared" si="38"/>
        <v>0</v>
      </c>
      <c r="AL30" s="22">
        <f t="shared" si="38"/>
        <v>0</v>
      </c>
      <c r="AM30" s="22">
        <f t="shared" si="38"/>
        <v>0</v>
      </c>
      <c r="AN30" s="22">
        <f t="shared" si="38"/>
        <v>0</v>
      </c>
      <c r="AO30" s="22">
        <f t="shared" si="38"/>
        <v>0</v>
      </c>
      <c r="AP30" s="22">
        <f t="shared" si="38"/>
        <v>0</v>
      </c>
      <c r="AQ30" s="22">
        <f t="shared" si="38"/>
        <v>0</v>
      </c>
      <c r="AR30" s="22" t="str">
        <f t="shared" si="6"/>
        <v>ОТКРЫТО</v>
      </c>
      <c r="AS30" s="22" t="str">
        <f t="shared" si="7"/>
        <v>ОТКРЫТО</v>
      </c>
      <c r="AT30" s="22" t="str">
        <f t="shared" si="8"/>
        <v>ОТКРЫТО</v>
      </c>
      <c r="AU30" s="22" t="str">
        <f t="shared" si="9"/>
        <v>ОТКРЫТО</v>
      </c>
      <c r="AV30" s="22" t="str">
        <f t="shared" si="10"/>
        <v>ОТКРЫТО</v>
      </c>
      <c r="AW30" s="22" t="str">
        <f t="shared" si="11"/>
        <v>ОТКРЫТО</v>
      </c>
      <c r="AX30" s="22" t="str">
        <f t="shared" si="12"/>
        <v>ОТКРЫТО</v>
      </c>
      <c r="AY30" s="22" t="str">
        <f t="shared" si="13"/>
        <v>ОТКРЫТО</v>
      </c>
      <c r="AZ30" s="22" t="str">
        <f t="shared" si="14"/>
        <v>ОТКРЫТО</v>
      </c>
      <c r="BA30" s="22" t="str">
        <f t="shared" si="15"/>
        <v>ОТКРЫТО</v>
      </c>
      <c r="BB30" s="22" t="str">
        <f t="shared" si="16"/>
        <v>ОТКРЫТО</v>
      </c>
      <c r="BC30" s="22" t="str">
        <f t="shared" si="17"/>
        <v>ОТКРЫТО</v>
      </c>
      <c r="BD30" s="22" t="str">
        <f t="shared" si="18"/>
        <v>ОТКРЫТО</v>
      </c>
      <c r="BE30" s="22" t="str">
        <f t="shared" si="19"/>
        <v>ОТКРЫТО</v>
      </c>
      <c r="BF30" s="22" t="str">
        <f t="shared" si="20"/>
        <v>ОТКРЫТО</v>
      </c>
    </row>
    <row r="31" ht="13.5" customHeight="1">
      <c r="A31" s="12" t="s">
        <v>303</v>
      </c>
      <c r="B31" s="12" t="s">
        <v>294</v>
      </c>
      <c r="C31" s="12" t="s">
        <v>224</v>
      </c>
      <c r="D31" s="12" t="s">
        <v>304</v>
      </c>
      <c r="E31" s="12">
        <v>55.0</v>
      </c>
      <c r="F31" s="12" t="s">
        <v>299</v>
      </c>
      <c r="G31" s="12"/>
      <c r="H31" s="12"/>
      <c r="I31" s="12" t="s">
        <v>305</v>
      </c>
      <c r="J31" s="12" t="s">
        <v>306</v>
      </c>
      <c r="K31" s="20">
        <f>SUMIF('Ход 2026'!$G$29:$G$38,$A31,'Ход 2026'!$I$29:$I$38)</f>
        <v>0</v>
      </c>
      <c r="L31" s="20">
        <f>SUMIF('Ход 2027'!$G$29:$G$38,$A31,'Ход 2027'!$I$29:$I$38)</f>
        <v>0</v>
      </c>
      <c r="M31" s="20">
        <f>SUMIF('Ход 2028'!$G$29:$G$38,$A31,'Ход 2028'!$I$29:$I$38)</f>
        <v>0</v>
      </c>
      <c r="N31" s="20">
        <f>SUMIF('Ход 2029'!$G$29:$G$38,$A31,'Ход 2029'!$I$29:$I$38)</f>
        <v>0</v>
      </c>
      <c r="O31" s="20">
        <f>SUMIF('Ход 2030'!$G$29:$G$38,$A31,'Ход 2030'!$I$29:$I$38)</f>
        <v>0</v>
      </c>
      <c r="P31" s="20">
        <f>SUMIF('Ход 2031'!$G$29:$G$38,$A31,'Ход 2031'!$I$29:$I$38)</f>
        <v>0</v>
      </c>
      <c r="Q31" s="20">
        <f>SUMIF('Ход 2032'!$G$29:$G$38,$A31,'Ход 2032'!$I$29:$I$38)</f>
        <v>0</v>
      </c>
      <c r="R31" s="20">
        <f>SUMIF('Ход 2033'!$G$29:$G$38,$A31,'Ход 2033'!$I$29:$I$38)</f>
        <v>0</v>
      </c>
      <c r="S31" s="20">
        <f>SUMIF('Ход 2034'!$G$29:$G$38,$A31,'Ход 2034'!$I$29:$I$38)</f>
        <v>0</v>
      </c>
      <c r="T31" s="20">
        <f>SUMIF('Ход 2035'!$G$29:$G$38,$A31,'Ход 2035'!$I$29:$I$38)</f>
        <v>0</v>
      </c>
      <c r="U31" s="20">
        <f>SUMIF('Ход 2036'!$G$29:$G$38,$A31,'Ход 2036'!$I$29:$I$38)</f>
        <v>0</v>
      </c>
      <c r="V31" s="20">
        <f>SUMIF('Ход 2037'!$G$29:$G$38,$A31,'Ход 2037'!$I$29:$I$38)</f>
        <v>0</v>
      </c>
      <c r="W31" s="20">
        <f>SUMIF('Ход 2038'!$G$29:$G$38,$A31,'Ход 2038'!$I$29:$I$38)</f>
        <v>0</v>
      </c>
      <c r="X31" s="20">
        <f>SUMIF('Ход 2039'!$G$29:$G$38,$A31,'Ход 2039'!$I$29:$I$38)</f>
        <v>0</v>
      </c>
      <c r="Y31" s="20">
        <f>SUMIF('Ход 2040'!$G$29:$G$38,$A31,'Ход 2040'!$I$29:$I$38)</f>
        <v>0</v>
      </c>
      <c r="Z31" s="21">
        <f t="shared" si="2"/>
        <v>0</v>
      </c>
      <c r="AA31" s="21">
        <f t="shared" si="3"/>
        <v>55</v>
      </c>
      <c r="AB31" s="12" t="str">
        <f t="shared" si="4"/>
        <v>ЗАКРЫТО</v>
      </c>
      <c r="AC31" s="22">
        <f t="shared" ref="AC31:AQ31" si="39">SUM($K31:K31)</f>
        <v>0</v>
      </c>
      <c r="AD31" s="22">
        <f t="shared" si="39"/>
        <v>0</v>
      </c>
      <c r="AE31" s="22">
        <f t="shared" si="39"/>
        <v>0</v>
      </c>
      <c r="AF31" s="22">
        <f t="shared" si="39"/>
        <v>0</v>
      </c>
      <c r="AG31" s="22">
        <f t="shared" si="39"/>
        <v>0</v>
      </c>
      <c r="AH31" s="22">
        <f t="shared" si="39"/>
        <v>0</v>
      </c>
      <c r="AI31" s="22">
        <f t="shared" si="39"/>
        <v>0</v>
      </c>
      <c r="AJ31" s="22">
        <f t="shared" si="39"/>
        <v>0</v>
      </c>
      <c r="AK31" s="22">
        <f t="shared" si="39"/>
        <v>0</v>
      </c>
      <c r="AL31" s="22">
        <f t="shared" si="39"/>
        <v>0</v>
      </c>
      <c r="AM31" s="22">
        <f t="shared" si="39"/>
        <v>0</v>
      </c>
      <c r="AN31" s="22">
        <f t="shared" si="39"/>
        <v>0</v>
      </c>
      <c r="AO31" s="22">
        <f t="shared" si="39"/>
        <v>0</v>
      </c>
      <c r="AP31" s="22">
        <f t="shared" si="39"/>
        <v>0</v>
      </c>
      <c r="AQ31" s="22">
        <f t="shared" si="39"/>
        <v>0</v>
      </c>
      <c r="AR31" s="22" t="str">
        <f t="shared" si="6"/>
        <v>ЗАКРЫТО</v>
      </c>
      <c r="AS31" s="22" t="str">
        <f t="shared" si="7"/>
        <v>ЗАКРЫТО</v>
      </c>
      <c r="AT31" s="22" t="str">
        <f t="shared" si="8"/>
        <v>ЗАКРЫТО</v>
      </c>
      <c r="AU31" s="22" t="str">
        <f t="shared" si="9"/>
        <v>ЗАКРЫТО</v>
      </c>
      <c r="AV31" s="22" t="str">
        <f t="shared" si="10"/>
        <v>ЗАКРЫТО</v>
      </c>
      <c r="AW31" s="22" t="str">
        <f t="shared" si="11"/>
        <v>ЗАКРЫТО</v>
      </c>
      <c r="AX31" s="22" t="str">
        <f t="shared" si="12"/>
        <v>ЗАКРЫТО</v>
      </c>
      <c r="AY31" s="22" t="str">
        <f t="shared" si="13"/>
        <v>ЗАКРЫТО</v>
      </c>
      <c r="AZ31" s="22" t="str">
        <f t="shared" si="14"/>
        <v>ЗАКРЫТО</v>
      </c>
      <c r="BA31" s="22" t="str">
        <f t="shared" si="15"/>
        <v>ЗАКРЫТО</v>
      </c>
      <c r="BB31" s="22" t="str">
        <f t="shared" si="16"/>
        <v>ЗАКРЫТО</v>
      </c>
      <c r="BC31" s="22" t="str">
        <f t="shared" si="17"/>
        <v>ЗАКРЫТО</v>
      </c>
      <c r="BD31" s="22" t="str">
        <f t="shared" si="18"/>
        <v>ЗАКРЫТО</v>
      </c>
      <c r="BE31" s="22" t="str">
        <f t="shared" si="19"/>
        <v>ЗАКРЫТО</v>
      </c>
      <c r="BF31" s="22" t="str">
        <f t="shared" si="20"/>
        <v>ЗАКРЫТО</v>
      </c>
    </row>
    <row r="32" ht="13.5" customHeight="1">
      <c r="A32" s="12" t="s">
        <v>307</v>
      </c>
      <c r="B32" s="12" t="s">
        <v>294</v>
      </c>
      <c r="C32" s="12" t="s">
        <v>224</v>
      </c>
      <c r="D32" s="12" t="s">
        <v>308</v>
      </c>
      <c r="E32" s="12">
        <v>70.0</v>
      </c>
      <c r="F32" s="12" t="s">
        <v>303</v>
      </c>
      <c r="G32" s="12"/>
      <c r="H32" s="12"/>
      <c r="I32" s="12" t="s">
        <v>309</v>
      </c>
      <c r="J32" s="12" t="s">
        <v>310</v>
      </c>
      <c r="K32" s="20">
        <f>SUMIF('Ход 2026'!$G$29:$G$38,$A32,'Ход 2026'!$I$29:$I$38)</f>
        <v>0</v>
      </c>
      <c r="L32" s="20">
        <f>SUMIF('Ход 2027'!$G$29:$G$38,$A32,'Ход 2027'!$I$29:$I$38)</f>
        <v>0</v>
      </c>
      <c r="M32" s="20">
        <f>SUMIF('Ход 2028'!$G$29:$G$38,$A32,'Ход 2028'!$I$29:$I$38)</f>
        <v>0</v>
      </c>
      <c r="N32" s="20">
        <f>SUMIF('Ход 2029'!$G$29:$G$38,$A32,'Ход 2029'!$I$29:$I$38)</f>
        <v>0</v>
      </c>
      <c r="O32" s="20">
        <f>SUMIF('Ход 2030'!$G$29:$G$38,$A32,'Ход 2030'!$I$29:$I$38)</f>
        <v>0</v>
      </c>
      <c r="P32" s="20">
        <f>SUMIF('Ход 2031'!$G$29:$G$38,$A32,'Ход 2031'!$I$29:$I$38)</f>
        <v>0</v>
      </c>
      <c r="Q32" s="20">
        <f>SUMIF('Ход 2032'!$G$29:$G$38,$A32,'Ход 2032'!$I$29:$I$38)</f>
        <v>0</v>
      </c>
      <c r="R32" s="20">
        <f>SUMIF('Ход 2033'!$G$29:$G$38,$A32,'Ход 2033'!$I$29:$I$38)</f>
        <v>0</v>
      </c>
      <c r="S32" s="20">
        <f>SUMIF('Ход 2034'!$G$29:$G$38,$A32,'Ход 2034'!$I$29:$I$38)</f>
        <v>0</v>
      </c>
      <c r="T32" s="20">
        <f>SUMIF('Ход 2035'!$G$29:$G$38,$A32,'Ход 2035'!$I$29:$I$38)</f>
        <v>0</v>
      </c>
      <c r="U32" s="20">
        <f>SUMIF('Ход 2036'!$G$29:$G$38,$A32,'Ход 2036'!$I$29:$I$38)</f>
        <v>0</v>
      </c>
      <c r="V32" s="20">
        <f>SUMIF('Ход 2037'!$G$29:$G$38,$A32,'Ход 2037'!$I$29:$I$38)</f>
        <v>0</v>
      </c>
      <c r="W32" s="20">
        <f>SUMIF('Ход 2038'!$G$29:$G$38,$A32,'Ход 2038'!$I$29:$I$38)</f>
        <v>0</v>
      </c>
      <c r="X32" s="20">
        <f>SUMIF('Ход 2039'!$G$29:$G$38,$A32,'Ход 2039'!$I$29:$I$38)</f>
        <v>0</v>
      </c>
      <c r="Y32" s="20">
        <f>SUMIF('Ход 2040'!$G$29:$G$38,$A32,'Ход 2040'!$I$29:$I$38)</f>
        <v>0</v>
      </c>
      <c r="Z32" s="21">
        <f t="shared" si="2"/>
        <v>0</v>
      </c>
      <c r="AA32" s="21">
        <f t="shared" si="3"/>
        <v>70</v>
      </c>
      <c r="AB32" s="12" t="str">
        <f t="shared" si="4"/>
        <v>ЗАКРЫТО</v>
      </c>
      <c r="AC32" s="22">
        <f t="shared" ref="AC32:AQ32" si="40">SUM($K32:K32)</f>
        <v>0</v>
      </c>
      <c r="AD32" s="22">
        <f t="shared" si="40"/>
        <v>0</v>
      </c>
      <c r="AE32" s="22">
        <f t="shared" si="40"/>
        <v>0</v>
      </c>
      <c r="AF32" s="22">
        <f t="shared" si="40"/>
        <v>0</v>
      </c>
      <c r="AG32" s="22">
        <f t="shared" si="40"/>
        <v>0</v>
      </c>
      <c r="AH32" s="22">
        <f t="shared" si="40"/>
        <v>0</v>
      </c>
      <c r="AI32" s="22">
        <f t="shared" si="40"/>
        <v>0</v>
      </c>
      <c r="AJ32" s="22">
        <f t="shared" si="40"/>
        <v>0</v>
      </c>
      <c r="AK32" s="22">
        <f t="shared" si="40"/>
        <v>0</v>
      </c>
      <c r="AL32" s="22">
        <f t="shared" si="40"/>
        <v>0</v>
      </c>
      <c r="AM32" s="22">
        <f t="shared" si="40"/>
        <v>0</v>
      </c>
      <c r="AN32" s="22">
        <f t="shared" si="40"/>
        <v>0</v>
      </c>
      <c r="AO32" s="22">
        <f t="shared" si="40"/>
        <v>0</v>
      </c>
      <c r="AP32" s="22">
        <f t="shared" si="40"/>
        <v>0</v>
      </c>
      <c r="AQ32" s="22">
        <f t="shared" si="40"/>
        <v>0</v>
      </c>
      <c r="AR32" s="22" t="str">
        <f t="shared" si="6"/>
        <v>ЗАКРЫТО</v>
      </c>
      <c r="AS32" s="22" t="str">
        <f t="shared" si="7"/>
        <v>ЗАКРЫТО</v>
      </c>
      <c r="AT32" s="22" t="str">
        <f t="shared" si="8"/>
        <v>ЗАКРЫТО</v>
      </c>
      <c r="AU32" s="22" t="str">
        <f t="shared" si="9"/>
        <v>ЗАКРЫТО</v>
      </c>
      <c r="AV32" s="22" t="str">
        <f t="shared" si="10"/>
        <v>ЗАКРЫТО</v>
      </c>
      <c r="AW32" s="22" t="str">
        <f t="shared" si="11"/>
        <v>ЗАКРЫТО</v>
      </c>
      <c r="AX32" s="22" t="str">
        <f t="shared" si="12"/>
        <v>ЗАКРЫТО</v>
      </c>
      <c r="AY32" s="22" t="str">
        <f t="shared" si="13"/>
        <v>ЗАКРЫТО</v>
      </c>
      <c r="AZ32" s="22" t="str">
        <f t="shared" si="14"/>
        <v>ЗАКРЫТО</v>
      </c>
      <c r="BA32" s="22" t="str">
        <f t="shared" si="15"/>
        <v>ЗАКРЫТО</v>
      </c>
      <c r="BB32" s="22" t="str">
        <f t="shared" si="16"/>
        <v>ЗАКРЫТО</v>
      </c>
      <c r="BC32" s="22" t="str">
        <f t="shared" si="17"/>
        <v>ЗАКРЫТО</v>
      </c>
      <c r="BD32" s="22" t="str">
        <f t="shared" si="18"/>
        <v>ЗАКРЫТО</v>
      </c>
      <c r="BE32" s="22" t="str">
        <f t="shared" si="19"/>
        <v>ЗАКРЫТО</v>
      </c>
      <c r="BF32" s="22" t="str">
        <f t="shared" si="20"/>
        <v>ЗАКРЫТО</v>
      </c>
    </row>
    <row r="33" ht="13.5" customHeight="1">
      <c r="A33" s="12" t="s">
        <v>311</v>
      </c>
      <c r="B33" s="12" t="s">
        <v>294</v>
      </c>
      <c r="C33" s="12" t="s">
        <v>231</v>
      </c>
      <c r="D33" s="12" t="s">
        <v>312</v>
      </c>
      <c r="E33" s="12">
        <v>105.0</v>
      </c>
      <c r="F33" s="12" t="s">
        <v>307</v>
      </c>
      <c r="G33" s="12"/>
      <c r="H33" s="12"/>
      <c r="I33" s="12" t="s">
        <v>313</v>
      </c>
      <c r="J33" s="12" t="s">
        <v>314</v>
      </c>
      <c r="K33" s="20">
        <f>SUMIF('Ход 2026'!$G$29:$G$38,$A33,'Ход 2026'!$I$29:$I$38)</f>
        <v>0</v>
      </c>
      <c r="L33" s="20">
        <f>SUMIF('Ход 2027'!$G$29:$G$38,$A33,'Ход 2027'!$I$29:$I$38)</f>
        <v>0</v>
      </c>
      <c r="M33" s="20">
        <f>SUMIF('Ход 2028'!$G$29:$G$38,$A33,'Ход 2028'!$I$29:$I$38)</f>
        <v>0</v>
      </c>
      <c r="N33" s="20">
        <f>SUMIF('Ход 2029'!$G$29:$G$38,$A33,'Ход 2029'!$I$29:$I$38)</f>
        <v>0</v>
      </c>
      <c r="O33" s="20">
        <f>SUMIF('Ход 2030'!$G$29:$G$38,$A33,'Ход 2030'!$I$29:$I$38)</f>
        <v>0</v>
      </c>
      <c r="P33" s="20">
        <f>SUMIF('Ход 2031'!$G$29:$G$38,$A33,'Ход 2031'!$I$29:$I$38)</f>
        <v>0</v>
      </c>
      <c r="Q33" s="20">
        <f>SUMIF('Ход 2032'!$G$29:$G$38,$A33,'Ход 2032'!$I$29:$I$38)</f>
        <v>0</v>
      </c>
      <c r="R33" s="20">
        <f>SUMIF('Ход 2033'!$G$29:$G$38,$A33,'Ход 2033'!$I$29:$I$38)</f>
        <v>0</v>
      </c>
      <c r="S33" s="20">
        <f>SUMIF('Ход 2034'!$G$29:$G$38,$A33,'Ход 2034'!$I$29:$I$38)</f>
        <v>0</v>
      </c>
      <c r="T33" s="20">
        <f>SUMIF('Ход 2035'!$G$29:$G$38,$A33,'Ход 2035'!$I$29:$I$38)</f>
        <v>0</v>
      </c>
      <c r="U33" s="20">
        <f>SUMIF('Ход 2036'!$G$29:$G$38,$A33,'Ход 2036'!$I$29:$I$38)</f>
        <v>0</v>
      </c>
      <c r="V33" s="20">
        <f>SUMIF('Ход 2037'!$G$29:$G$38,$A33,'Ход 2037'!$I$29:$I$38)</f>
        <v>0</v>
      </c>
      <c r="W33" s="20">
        <f>SUMIF('Ход 2038'!$G$29:$G$38,$A33,'Ход 2038'!$I$29:$I$38)</f>
        <v>0</v>
      </c>
      <c r="X33" s="20">
        <f>SUMIF('Ход 2039'!$G$29:$G$38,$A33,'Ход 2039'!$I$29:$I$38)</f>
        <v>0</v>
      </c>
      <c r="Y33" s="20">
        <f>SUMIF('Ход 2040'!$G$29:$G$38,$A33,'Ход 2040'!$I$29:$I$38)</f>
        <v>0</v>
      </c>
      <c r="Z33" s="21">
        <f t="shared" si="2"/>
        <v>0</v>
      </c>
      <c r="AA33" s="21">
        <f t="shared" si="3"/>
        <v>105</v>
      </c>
      <c r="AB33" s="12" t="str">
        <f t="shared" si="4"/>
        <v>ЗАКРЫТО</v>
      </c>
      <c r="AC33" s="22">
        <f t="shared" ref="AC33:AQ33" si="41">SUM($K33:K33)</f>
        <v>0</v>
      </c>
      <c r="AD33" s="22">
        <f t="shared" si="41"/>
        <v>0</v>
      </c>
      <c r="AE33" s="22">
        <f t="shared" si="41"/>
        <v>0</v>
      </c>
      <c r="AF33" s="22">
        <f t="shared" si="41"/>
        <v>0</v>
      </c>
      <c r="AG33" s="22">
        <f t="shared" si="41"/>
        <v>0</v>
      </c>
      <c r="AH33" s="22">
        <f t="shared" si="41"/>
        <v>0</v>
      </c>
      <c r="AI33" s="22">
        <f t="shared" si="41"/>
        <v>0</v>
      </c>
      <c r="AJ33" s="22">
        <f t="shared" si="41"/>
        <v>0</v>
      </c>
      <c r="AK33" s="22">
        <f t="shared" si="41"/>
        <v>0</v>
      </c>
      <c r="AL33" s="22">
        <f t="shared" si="41"/>
        <v>0</v>
      </c>
      <c r="AM33" s="22">
        <f t="shared" si="41"/>
        <v>0</v>
      </c>
      <c r="AN33" s="22">
        <f t="shared" si="41"/>
        <v>0</v>
      </c>
      <c r="AO33" s="22">
        <f t="shared" si="41"/>
        <v>0</v>
      </c>
      <c r="AP33" s="22">
        <f t="shared" si="41"/>
        <v>0</v>
      </c>
      <c r="AQ33" s="22">
        <f t="shared" si="41"/>
        <v>0</v>
      </c>
      <c r="AR33" s="22" t="str">
        <f t="shared" si="6"/>
        <v>ЗАКРЫТО</v>
      </c>
      <c r="AS33" s="22" t="str">
        <f t="shared" si="7"/>
        <v>ЗАКРЫТО</v>
      </c>
      <c r="AT33" s="22" t="str">
        <f t="shared" si="8"/>
        <v>ЗАКРЫТО</v>
      </c>
      <c r="AU33" s="22" t="str">
        <f t="shared" si="9"/>
        <v>ЗАКРЫТО</v>
      </c>
      <c r="AV33" s="22" t="str">
        <f t="shared" si="10"/>
        <v>ЗАКРЫТО</v>
      </c>
      <c r="AW33" s="22" t="str">
        <f t="shared" si="11"/>
        <v>ЗАКРЫТО</v>
      </c>
      <c r="AX33" s="22" t="str">
        <f t="shared" si="12"/>
        <v>ЗАКРЫТО</v>
      </c>
      <c r="AY33" s="22" t="str">
        <f t="shared" si="13"/>
        <v>ЗАКРЫТО</v>
      </c>
      <c r="AZ33" s="22" t="str">
        <f t="shared" si="14"/>
        <v>ЗАКРЫТО</v>
      </c>
      <c r="BA33" s="22" t="str">
        <f t="shared" si="15"/>
        <v>ЗАКРЫТО</v>
      </c>
      <c r="BB33" s="22" t="str">
        <f t="shared" si="16"/>
        <v>ЗАКРЫТО</v>
      </c>
      <c r="BC33" s="22" t="str">
        <f t="shared" si="17"/>
        <v>ЗАКРЫТО</v>
      </c>
      <c r="BD33" s="22" t="str">
        <f t="shared" si="18"/>
        <v>ЗАКРЫТО</v>
      </c>
      <c r="BE33" s="22" t="str">
        <f t="shared" si="19"/>
        <v>ЗАКРЫТО</v>
      </c>
      <c r="BF33" s="22" t="str">
        <f t="shared" si="20"/>
        <v>ЗАКРЫТО</v>
      </c>
    </row>
    <row r="34" ht="13.5" customHeight="1">
      <c r="A34" s="12" t="s">
        <v>315</v>
      </c>
      <c r="B34" s="12" t="s">
        <v>294</v>
      </c>
      <c r="C34" s="12" t="s">
        <v>236</v>
      </c>
      <c r="D34" s="12" t="s">
        <v>316</v>
      </c>
      <c r="E34" s="12">
        <v>155.0</v>
      </c>
      <c r="F34" s="12" t="s">
        <v>311</v>
      </c>
      <c r="G34" s="12"/>
      <c r="H34" s="12"/>
      <c r="I34" s="12" t="s">
        <v>317</v>
      </c>
      <c r="J34" s="12" t="s">
        <v>318</v>
      </c>
      <c r="K34" s="20">
        <f>SUMIF('Ход 2026'!$G$29:$G$38,$A34,'Ход 2026'!$I$29:$I$38)</f>
        <v>0</v>
      </c>
      <c r="L34" s="20">
        <f>SUMIF('Ход 2027'!$G$29:$G$38,$A34,'Ход 2027'!$I$29:$I$38)</f>
        <v>0</v>
      </c>
      <c r="M34" s="20">
        <f>SUMIF('Ход 2028'!$G$29:$G$38,$A34,'Ход 2028'!$I$29:$I$38)</f>
        <v>0</v>
      </c>
      <c r="N34" s="20">
        <f>SUMIF('Ход 2029'!$G$29:$G$38,$A34,'Ход 2029'!$I$29:$I$38)</f>
        <v>0</v>
      </c>
      <c r="O34" s="20">
        <f>SUMIF('Ход 2030'!$G$29:$G$38,$A34,'Ход 2030'!$I$29:$I$38)</f>
        <v>0</v>
      </c>
      <c r="P34" s="20">
        <f>SUMIF('Ход 2031'!$G$29:$G$38,$A34,'Ход 2031'!$I$29:$I$38)</f>
        <v>0</v>
      </c>
      <c r="Q34" s="20">
        <f>SUMIF('Ход 2032'!$G$29:$G$38,$A34,'Ход 2032'!$I$29:$I$38)</f>
        <v>0</v>
      </c>
      <c r="R34" s="20">
        <f>SUMIF('Ход 2033'!$G$29:$G$38,$A34,'Ход 2033'!$I$29:$I$38)</f>
        <v>0</v>
      </c>
      <c r="S34" s="20">
        <f>SUMIF('Ход 2034'!$G$29:$G$38,$A34,'Ход 2034'!$I$29:$I$38)</f>
        <v>0</v>
      </c>
      <c r="T34" s="20">
        <f>SUMIF('Ход 2035'!$G$29:$G$38,$A34,'Ход 2035'!$I$29:$I$38)</f>
        <v>0</v>
      </c>
      <c r="U34" s="20">
        <f>SUMIF('Ход 2036'!$G$29:$G$38,$A34,'Ход 2036'!$I$29:$I$38)</f>
        <v>0</v>
      </c>
      <c r="V34" s="20">
        <f>SUMIF('Ход 2037'!$G$29:$G$38,$A34,'Ход 2037'!$I$29:$I$38)</f>
        <v>0</v>
      </c>
      <c r="W34" s="20">
        <f>SUMIF('Ход 2038'!$G$29:$G$38,$A34,'Ход 2038'!$I$29:$I$38)</f>
        <v>0</v>
      </c>
      <c r="X34" s="20">
        <f>SUMIF('Ход 2039'!$G$29:$G$38,$A34,'Ход 2039'!$I$29:$I$38)</f>
        <v>0</v>
      </c>
      <c r="Y34" s="20">
        <f>SUMIF('Ход 2040'!$G$29:$G$38,$A34,'Ход 2040'!$I$29:$I$38)</f>
        <v>0</v>
      </c>
      <c r="Z34" s="21">
        <f t="shared" si="2"/>
        <v>0</v>
      </c>
      <c r="AA34" s="21">
        <f t="shared" si="3"/>
        <v>155</v>
      </c>
      <c r="AB34" s="12" t="str">
        <f t="shared" si="4"/>
        <v>ЗАКРЫТО</v>
      </c>
      <c r="AC34" s="22">
        <f t="shared" ref="AC34:AQ34" si="42">SUM($K34:K34)</f>
        <v>0</v>
      </c>
      <c r="AD34" s="22">
        <f t="shared" si="42"/>
        <v>0</v>
      </c>
      <c r="AE34" s="22">
        <f t="shared" si="42"/>
        <v>0</v>
      </c>
      <c r="AF34" s="22">
        <f t="shared" si="42"/>
        <v>0</v>
      </c>
      <c r="AG34" s="22">
        <f t="shared" si="42"/>
        <v>0</v>
      </c>
      <c r="AH34" s="22">
        <f t="shared" si="42"/>
        <v>0</v>
      </c>
      <c r="AI34" s="22">
        <f t="shared" si="42"/>
        <v>0</v>
      </c>
      <c r="AJ34" s="22">
        <f t="shared" si="42"/>
        <v>0</v>
      </c>
      <c r="AK34" s="22">
        <f t="shared" si="42"/>
        <v>0</v>
      </c>
      <c r="AL34" s="22">
        <f t="shared" si="42"/>
        <v>0</v>
      </c>
      <c r="AM34" s="22">
        <f t="shared" si="42"/>
        <v>0</v>
      </c>
      <c r="AN34" s="22">
        <f t="shared" si="42"/>
        <v>0</v>
      </c>
      <c r="AO34" s="22">
        <f t="shared" si="42"/>
        <v>0</v>
      </c>
      <c r="AP34" s="22">
        <f t="shared" si="42"/>
        <v>0</v>
      </c>
      <c r="AQ34" s="22">
        <f t="shared" si="42"/>
        <v>0</v>
      </c>
      <c r="AR34" s="22" t="str">
        <f t="shared" si="6"/>
        <v>ЗАКРЫТО</v>
      </c>
      <c r="AS34" s="22" t="str">
        <f t="shared" si="7"/>
        <v>ЗАКРЫТО</v>
      </c>
      <c r="AT34" s="22" t="str">
        <f t="shared" si="8"/>
        <v>ЗАКРЫТО</v>
      </c>
      <c r="AU34" s="22" t="str">
        <f t="shared" si="9"/>
        <v>ЗАКРЫТО</v>
      </c>
      <c r="AV34" s="22" t="str">
        <f t="shared" si="10"/>
        <v>ЗАКРЫТО</v>
      </c>
      <c r="AW34" s="22" t="str">
        <f t="shared" si="11"/>
        <v>ЗАКРЫТО</v>
      </c>
      <c r="AX34" s="22" t="str">
        <f t="shared" si="12"/>
        <v>ЗАКРЫТО</v>
      </c>
      <c r="AY34" s="22" t="str">
        <f t="shared" si="13"/>
        <v>ЗАКРЫТО</v>
      </c>
      <c r="AZ34" s="22" t="str">
        <f t="shared" si="14"/>
        <v>ЗАКРЫТО</v>
      </c>
      <c r="BA34" s="22" t="str">
        <f t="shared" si="15"/>
        <v>ЗАКРЫТО</v>
      </c>
      <c r="BB34" s="22" t="str">
        <f t="shared" si="16"/>
        <v>ЗАКРЫТО</v>
      </c>
      <c r="BC34" s="22" t="str">
        <f t="shared" si="17"/>
        <v>ЗАКРЫТО</v>
      </c>
      <c r="BD34" s="22" t="str">
        <f t="shared" si="18"/>
        <v>ЗАКРЫТО</v>
      </c>
      <c r="BE34" s="22" t="str">
        <f t="shared" si="19"/>
        <v>ЗАКРЫТО</v>
      </c>
      <c r="BF34" s="22" t="str">
        <f t="shared" si="20"/>
        <v>ЗАКРЫТО</v>
      </c>
    </row>
    <row r="35" ht="13.5" customHeight="1">
      <c r="A35" s="12" t="s">
        <v>319</v>
      </c>
      <c r="B35" s="12" t="s">
        <v>320</v>
      </c>
      <c r="C35" s="12" t="s">
        <v>86</v>
      </c>
      <c r="D35" s="12" t="s">
        <v>321</v>
      </c>
      <c r="E35" s="12">
        <v>20.0</v>
      </c>
      <c r="F35" s="12"/>
      <c r="G35" s="12"/>
      <c r="H35" s="12"/>
      <c r="I35" s="12" t="s">
        <v>322</v>
      </c>
      <c r="J35" s="12" t="s">
        <v>323</v>
      </c>
      <c r="K35" s="20">
        <f>SUMIF('Ход 2026'!$G$29:$G$38,$A35,'Ход 2026'!$I$29:$I$38)</f>
        <v>0</v>
      </c>
      <c r="L35" s="20">
        <f>SUMIF('Ход 2027'!$G$29:$G$38,$A35,'Ход 2027'!$I$29:$I$38)</f>
        <v>0</v>
      </c>
      <c r="M35" s="20">
        <f>SUMIF('Ход 2028'!$G$29:$G$38,$A35,'Ход 2028'!$I$29:$I$38)</f>
        <v>0</v>
      </c>
      <c r="N35" s="20">
        <f>SUMIF('Ход 2029'!$G$29:$G$38,$A35,'Ход 2029'!$I$29:$I$38)</f>
        <v>0</v>
      </c>
      <c r="O35" s="20">
        <f>SUMIF('Ход 2030'!$G$29:$G$38,$A35,'Ход 2030'!$I$29:$I$38)</f>
        <v>0</v>
      </c>
      <c r="P35" s="20">
        <f>SUMIF('Ход 2031'!$G$29:$G$38,$A35,'Ход 2031'!$I$29:$I$38)</f>
        <v>0</v>
      </c>
      <c r="Q35" s="20">
        <f>SUMIF('Ход 2032'!$G$29:$G$38,$A35,'Ход 2032'!$I$29:$I$38)</f>
        <v>0</v>
      </c>
      <c r="R35" s="20">
        <f>SUMIF('Ход 2033'!$G$29:$G$38,$A35,'Ход 2033'!$I$29:$I$38)</f>
        <v>0</v>
      </c>
      <c r="S35" s="20">
        <f>SUMIF('Ход 2034'!$G$29:$G$38,$A35,'Ход 2034'!$I$29:$I$38)</f>
        <v>0</v>
      </c>
      <c r="T35" s="20">
        <f>SUMIF('Ход 2035'!$G$29:$G$38,$A35,'Ход 2035'!$I$29:$I$38)</f>
        <v>0</v>
      </c>
      <c r="U35" s="20">
        <f>SUMIF('Ход 2036'!$G$29:$G$38,$A35,'Ход 2036'!$I$29:$I$38)</f>
        <v>0</v>
      </c>
      <c r="V35" s="20">
        <f>SUMIF('Ход 2037'!$G$29:$G$38,$A35,'Ход 2037'!$I$29:$I$38)</f>
        <v>0</v>
      </c>
      <c r="W35" s="20">
        <f>SUMIF('Ход 2038'!$G$29:$G$38,$A35,'Ход 2038'!$I$29:$I$38)</f>
        <v>0</v>
      </c>
      <c r="X35" s="20">
        <f>SUMIF('Ход 2039'!$G$29:$G$38,$A35,'Ход 2039'!$I$29:$I$38)</f>
        <v>0</v>
      </c>
      <c r="Y35" s="20">
        <f>SUMIF('Ход 2040'!$G$29:$G$38,$A35,'Ход 2040'!$I$29:$I$38)</f>
        <v>0</v>
      </c>
      <c r="Z35" s="21">
        <f t="shared" si="2"/>
        <v>0</v>
      </c>
      <c r="AA35" s="21">
        <f t="shared" si="3"/>
        <v>20</v>
      </c>
      <c r="AB35" s="12" t="str">
        <f t="shared" si="4"/>
        <v>ОТКРЫТО</v>
      </c>
      <c r="AC35" s="22">
        <f t="shared" ref="AC35:AQ35" si="43">SUM($K35:K35)</f>
        <v>0</v>
      </c>
      <c r="AD35" s="22">
        <f t="shared" si="43"/>
        <v>0</v>
      </c>
      <c r="AE35" s="22">
        <f t="shared" si="43"/>
        <v>0</v>
      </c>
      <c r="AF35" s="22">
        <f t="shared" si="43"/>
        <v>0</v>
      </c>
      <c r="AG35" s="22">
        <f t="shared" si="43"/>
        <v>0</v>
      </c>
      <c r="AH35" s="22">
        <f t="shared" si="43"/>
        <v>0</v>
      </c>
      <c r="AI35" s="22">
        <f t="shared" si="43"/>
        <v>0</v>
      </c>
      <c r="AJ35" s="22">
        <f t="shared" si="43"/>
        <v>0</v>
      </c>
      <c r="AK35" s="22">
        <f t="shared" si="43"/>
        <v>0</v>
      </c>
      <c r="AL35" s="22">
        <f t="shared" si="43"/>
        <v>0</v>
      </c>
      <c r="AM35" s="22">
        <f t="shared" si="43"/>
        <v>0</v>
      </c>
      <c r="AN35" s="22">
        <f t="shared" si="43"/>
        <v>0</v>
      </c>
      <c r="AO35" s="22">
        <f t="shared" si="43"/>
        <v>0</v>
      </c>
      <c r="AP35" s="22">
        <f t="shared" si="43"/>
        <v>0</v>
      </c>
      <c r="AQ35" s="22">
        <f t="shared" si="43"/>
        <v>0</v>
      </c>
      <c r="AR35" s="22" t="str">
        <f t="shared" si="6"/>
        <v>ОТКРЫТО</v>
      </c>
      <c r="AS35" s="22" t="str">
        <f t="shared" si="7"/>
        <v>ОТКРЫТО</v>
      </c>
      <c r="AT35" s="22" t="str">
        <f t="shared" si="8"/>
        <v>ОТКРЫТО</v>
      </c>
      <c r="AU35" s="22" t="str">
        <f t="shared" si="9"/>
        <v>ОТКРЫТО</v>
      </c>
      <c r="AV35" s="22" t="str">
        <f t="shared" si="10"/>
        <v>ОТКРЫТО</v>
      </c>
      <c r="AW35" s="22" t="str">
        <f t="shared" si="11"/>
        <v>ОТКРЫТО</v>
      </c>
      <c r="AX35" s="22" t="str">
        <f t="shared" si="12"/>
        <v>ОТКРЫТО</v>
      </c>
      <c r="AY35" s="22" t="str">
        <f t="shared" si="13"/>
        <v>ОТКРЫТО</v>
      </c>
      <c r="AZ35" s="22" t="str">
        <f t="shared" si="14"/>
        <v>ОТКРЫТО</v>
      </c>
      <c r="BA35" s="22" t="str">
        <f t="shared" si="15"/>
        <v>ОТКРЫТО</v>
      </c>
      <c r="BB35" s="22" t="str">
        <f t="shared" si="16"/>
        <v>ОТКРЫТО</v>
      </c>
      <c r="BC35" s="22" t="str">
        <f t="shared" si="17"/>
        <v>ОТКРЫТО</v>
      </c>
      <c r="BD35" s="22" t="str">
        <f t="shared" si="18"/>
        <v>ОТКРЫТО</v>
      </c>
      <c r="BE35" s="22" t="str">
        <f t="shared" si="19"/>
        <v>ОТКРЫТО</v>
      </c>
      <c r="BF35" s="22" t="str">
        <f t="shared" si="20"/>
        <v>ОТКРЫТО</v>
      </c>
    </row>
    <row r="36" ht="13.5" customHeight="1">
      <c r="A36" s="12" t="s">
        <v>325</v>
      </c>
      <c r="B36" s="12" t="s">
        <v>320</v>
      </c>
      <c r="C36" s="12" t="s">
        <v>140</v>
      </c>
      <c r="D36" s="12" t="s">
        <v>326</v>
      </c>
      <c r="E36" s="12">
        <v>40.0</v>
      </c>
      <c r="F36" s="12" t="s">
        <v>319</v>
      </c>
      <c r="G36" s="12"/>
      <c r="H36" s="12"/>
      <c r="I36" s="12" t="s">
        <v>327</v>
      </c>
      <c r="J36" s="12" t="s">
        <v>328</v>
      </c>
      <c r="K36" s="20">
        <f>SUMIF('Ход 2026'!$G$29:$G$38,$A36,'Ход 2026'!$I$29:$I$38)</f>
        <v>0</v>
      </c>
      <c r="L36" s="29">
        <v>40.0</v>
      </c>
      <c r="M36" s="20">
        <f>SUMIF('Ход 2028'!$G$29:$G$38,$A36,'Ход 2028'!$I$29:$I$38)</f>
        <v>0</v>
      </c>
      <c r="N36" s="20">
        <f>SUMIF('Ход 2029'!$G$29:$G$38,$A36,'Ход 2029'!$I$29:$I$38)</f>
        <v>0</v>
      </c>
      <c r="O36" s="20">
        <f>SUMIF('Ход 2030'!$G$29:$G$38,$A36,'Ход 2030'!$I$29:$I$38)</f>
        <v>0</v>
      </c>
      <c r="P36" s="20">
        <f>SUMIF('Ход 2031'!$G$29:$G$38,$A36,'Ход 2031'!$I$29:$I$38)</f>
        <v>0</v>
      </c>
      <c r="Q36" s="20">
        <f>SUMIF('Ход 2032'!$G$29:$G$38,$A36,'Ход 2032'!$I$29:$I$38)</f>
        <v>0</v>
      </c>
      <c r="R36" s="20">
        <f>SUMIF('Ход 2033'!$G$29:$G$38,$A36,'Ход 2033'!$I$29:$I$38)</f>
        <v>0</v>
      </c>
      <c r="S36" s="20">
        <f>SUMIF('Ход 2034'!$G$29:$G$38,$A36,'Ход 2034'!$I$29:$I$38)</f>
        <v>0</v>
      </c>
      <c r="T36" s="20">
        <f>SUMIF('Ход 2035'!$G$29:$G$38,$A36,'Ход 2035'!$I$29:$I$38)</f>
        <v>0</v>
      </c>
      <c r="U36" s="20">
        <f>SUMIF('Ход 2036'!$G$29:$G$38,$A36,'Ход 2036'!$I$29:$I$38)</f>
        <v>0</v>
      </c>
      <c r="V36" s="20">
        <f>SUMIF('Ход 2037'!$G$29:$G$38,$A36,'Ход 2037'!$I$29:$I$38)</f>
        <v>0</v>
      </c>
      <c r="W36" s="20">
        <f>SUMIF('Ход 2038'!$G$29:$G$38,$A36,'Ход 2038'!$I$29:$I$38)</f>
        <v>0</v>
      </c>
      <c r="X36" s="20">
        <f>SUMIF('Ход 2039'!$G$29:$G$38,$A36,'Ход 2039'!$I$29:$I$38)</f>
        <v>0</v>
      </c>
      <c r="Y36" s="20">
        <f>SUMIF('Ход 2040'!$G$29:$G$38,$A36,'Ход 2040'!$I$29:$I$38)</f>
        <v>0</v>
      </c>
      <c r="Z36" s="21">
        <f t="shared" si="2"/>
        <v>40</v>
      </c>
      <c r="AA36" s="21">
        <f t="shared" si="3"/>
        <v>0</v>
      </c>
      <c r="AB36" s="12" t="str">
        <f t="shared" si="4"/>
        <v>ИЗУЧЕНО</v>
      </c>
      <c r="AC36" s="22">
        <f t="shared" ref="AC36:AQ36" si="44">SUM($K36:K36)</f>
        <v>0</v>
      </c>
      <c r="AD36" s="22">
        <f t="shared" si="44"/>
        <v>40</v>
      </c>
      <c r="AE36" s="22">
        <f t="shared" si="44"/>
        <v>40</v>
      </c>
      <c r="AF36" s="22">
        <f t="shared" si="44"/>
        <v>40</v>
      </c>
      <c r="AG36" s="22">
        <f t="shared" si="44"/>
        <v>40</v>
      </c>
      <c r="AH36" s="22">
        <f t="shared" si="44"/>
        <v>40</v>
      </c>
      <c r="AI36" s="22">
        <f t="shared" si="44"/>
        <v>40</v>
      </c>
      <c r="AJ36" s="22">
        <f t="shared" si="44"/>
        <v>40</v>
      </c>
      <c r="AK36" s="22">
        <f t="shared" si="44"/>
        <v>40</v>
      </c>
      <c r="AL36" s="22">
        <f t="shared" si="44"/>
        <v>40</v>
      </c>
      <c r="AM36" s="22">
        <f t="shared" si="44"/>
        <v>40</v>
      </c>
      <c r="AN36" s="22">
        <f t="shared" si="44"/>
        <v>40</v>
      </c>
      <c r="AO36" s="22">
        <f t="shared" si="44"/>
        <v>40</v>
      </c>
      <c r="AP36" s="22">
        <f t="shared" si="44"/>
        <v>40</v>
      </c>
      <c r="AQ36" s="22">
        <f t="shared" si="44"/>
        <v>40</v>
      </c>
      <c r="AR36" s="22" t="str">
        <f t="shared" si="6"/>
        <v>ЗАКРЫТО</v>
      </c>
      <c r="AS36" s="22" t="str">
        <f t="shared" si="7"/>
        <v>ИЗУЧЕНО</v>
      </c>
      <c r="AT36" s="22" t="str">
        <f t="shared" si="8"/>
        <v>ИЗУЧЕНО</v>
      </c>
      <c r="AU36" s="22" t="str">
        <f t="shared" si="9"/>
        <v>ИЗУЧЕНО</v>
      </c>
      <c r="AV36" s="22" t="str">
        <f t="shared" si="10"/>
        <v>ИЗУЧЕНО</v>
      </c>
      <c r="AW36" s="22" t="str">
        <f t="shared" si="11"/>
        <v>ИЗУЧЕНО</v>
      </c>
      <c r="AX36" s="22" t="str">
        <f t="shared" si="12"/>
        <v>ИЗУЧЕНО</v>
      </c>
      <c r="AY36" s="22" t="str">
        <f t="shared" si="13"/>
        <v>ИЗУЧЕНО</v>
      </c>
      <c r="AZ36" s="22" t="str">
        <f t="shared" si="14"/>
        <v>ИЗУЧЕНО</v>
      </c>
      <c r="BA36" s="22" t="str">
        <f t="shared" si="15"/>
        <v>ИЗУЧЕНО</v>
      </c>
      <c r="BB36" s="22" t="str">
        <f t="shared" si="16"/>
        <v>ИЗУЧЕНО</v>
      </c>
      <c r="BC36" s="22" t="str">
        <f t="shared" si="17"/>
        <v>ИЗУЧЕНО</v>
      </c>
      <c r="BD36" s="22" t="str">
        <f t="shared" si="18"/>
        <v>ИЗУЧЕНО</v>
      </c>
      <c r="BE36" s="22" t="str">
        <f t="shared" si="19"/>
        <v>ИЗУЧЕНО</v>
      </c>
      <c r="BF36" s="22" t="str">
        <f t="shared" si="20"/>
        <v>ИЗУЧЕНО</v>
      </c>
    </row>
    <row r="37" ht="13.5" customHeight="1">
      <c r="A37" s="12" t="s">
        <v>329</v>
      </c>
      <c r="B37" s="12" t="s">
        <v>320</v>
      </c>
      <c r="C37" s="12" t="s">
        <v>140</v>
      </c>
      <c r="D37" s="12" t="s">
        <v>330</v>
      </c>
      <c r="E37" s="12">
        <v>45.0</v>
      </c>
      <c r="F37" s="12" t="s">
        <v>319</v>
      </c>
      <c r="G37" s="12"/>
      <c r="H37" s="12"/>
      <c r="I37" s="12" t="s">
        <v>331</v>
      </c>
      <c r="J37" s="12" t="s">
        <v>332</v>
      </c>
      <c r="K37" s="20">
        <f>SUMIF('Ход 2026'!$G$29:$G$38,$A37,'Ход 2026'!$I$29:$I$38)</f>
        <v>0</v>
      </c>
      <c r="L37" s="20">
        <f>SUMIF('Ход 2027'!$G$29:$G$38,$A37,'Ход 2027'!$I$29:$I$38)</f>
        <v>0</v>
      </c>
      <c r="M37" s="20">
        <f>SUMIF('Ход 2028'!$G$29:$G$38,$A37,'Ход 2028'!$I$29:$I$38)</f>
        <v>0</v>
      </c>
      <c r="N37" s="20">
        <f>SUMIF('Ход 2029'!$G$29:$G$38,$A37,'Ход 2029'!$I$29:$I$38)</f>
        <v>0</v>
      </c>
      <c r="O37" s="20">
        <f>SUMIF('Ход 2030'!$G$29:$G$38,$A37,'Ход 2030'!$I$29:$I$38)</f>
        <v>0</v>
      </c>
      <c r="P37" s="20">
        <f>SUMIF('Ход 2031'!$G$29:$G$38,$A37,'Ход 2031'!$I$29:$I$38)</f>
        <v>0</v>
      </c>
      <c r="Q37" s="20">
        <f>SUMIF('Ход 2032'!$G$29:$G$38,$A37,'Ход 2032'!$I$29:$I$38)</f>
        <v>0</v>
      </c>
      <c r="R37" s="20">
        <f>SUMIF('Ход 2033'!$G$29:$G$38,$A37,'Ход 2033'!$I$29:$I$38)</f>
        <v>0</v>
      </c>
      <c r="S37" s="20">
        <f>SUMIF('Ход 2034'!$G$29:$G$38,$A37,'Ход 2034'!$I$29:$I$38)</f>
        <v>0</v>
      </c>
      <c r="T37" s="20">
        <f>SUMIF('Ход 2035'!$G$29:$G$38,$A37,'Ход 2035'!$I$29:$I$38)</f>
        <v>0</v>
      </c>
      <c r="U37" s="20">
        <f>SUMIF('Ход 2036'!$G$29:$G$38,$A37,'Ход 2036'!$I$29:$I$38)</f>
        <v>0</v>
      </c>
      <c r="V37" s="20">
        <f>SUMIF('Ход 2037'!$G$29:$G$38,$A37,'Ход 2037'!$I$29:$I$38)</f>
        <v>0</v>
      </c>
      <c r="W37" s="20">
        <f>SUMIF('Ход 2038'!$G$29:$G$38,$A37,'Ход 2038'!$I$29:$I$38)</f>
        <v>0</v>
      </c>
      <c r="X37" s="20">
        <f>SUMIF('Ход 2039'!$G$29:$G$38,$A37,'Ход 2039'!$I$29:$I$38)</f>
        <v>0</v>
      </c>
      <c r="Y37" s="20">
        <f>SUMIF('Ход 2040'!$G$29:$G$38,$A37,'Ход 2040'!$I$29:$I$38)</f>
        <v>0</v>
      </c>
      <c r="Z37" s="21">
        <f t="shared" si="2"/>
        <v>0</v>
      </c>
      <c r="AA37" s="21">
        <f t="shared" si="3"/>
        <v>45</v>
      </c>
      <c r="AB37" s="12" t="str">
        <f t="shared" si="4"/>
        <v>ЗАКРЫТО</v>
      </c>
      <c r="AC37" s="22">
        <f t="shared" ref="AC37:AQ37" si="45">SUM($K37:K37)</f>
        <v>0</v>
      </c>
      <c r="AD37" s="22">
        <f t="shared" si="45"/>
        <v>0</v>
      </c>
      <c r="AE37" s="22">
        <f t="shared" si="45"/>
        <v>0</v>
      </c>
      <c r="AF37" s="22">
        <f t="shared" si="45"/>
        <v>0</v>
      </c>
      <c r="AG37" s="22">
        <f t="shared" si="45"/>
        <v>0</v>
      </c>
      <c r="AH37" s="22">
        <f t="shared" si="45"/>
        <v>0</v>
      </c>
      <c r="AI37" s="22">
        <f t="shared" si="45"/>
        <v>0</v>
      </c>
      <c r="AJ37" s="22">
        <f t="shared" si="45"/>
        <v>0</v>
      </c>
      <c r="AK37" s="22">
        <f t="shared" si="45"/>
        <v>0</v>
      </c>
      <c r="AL37" s="22">
        <f t="shared" si="45"/>
        <v>0</v>
      </c>
      <c r="AM37" s="22">
        <f t="shared" si="45"/>
        <v>0</v>
      </c>
      <c r="AN37" s="22">
        <f t="shared" si="45"/>
        <v>0</v>
      </c>
      <c r="AO37" s="22">
        <f t="shared" si="45"/>
        <v>0</v>
      </c>
      <c r="AP37" s="22">
        <f t="shared" si="45"/>
        <v>0</v>
      </c>
      <c r="AQ37" s="22">
        <f t="shared" si="45"/>
        <v>0</v>
      </c>
      <c r="AR37" s="22" t="str">
        <f t="shared" si="6"/>
        <v>ЗАКРЫТО</v>
      </c>
      <c r="AS37" s="22" t="str">
        <f t="shared" si="7"/>
        <v>ЗАКРЫТО</v>
      </c>
      <c r="AT37" s="22" t="str">
        <f t="shared" si="8"/>
        <v>ЗАКРЫТО</v>
      </c>
      <c r="AU37" s="22" t="str">
        <f t="shared" si="9"/>
        <v>ЗАКРЫТО</v>
      </c>
      <c r="AV37" s="22" t="str">
        <f t="shared" si="10"/>
        <v>ЗАКРЫТО</v>
      </c>
      <c r="AW37" s="22" t="str">
        <f t="shared" si="11"/>
        <v>ЗАКРЫТО</v>
      </c>
      <c r="AX37" s="22" t="str">
        <f t="shared" si="12"/>
        <v>ЗАКРЫТО</v>
      </c>
      <c r="AY37" s="22" t="str">
        <f t="shared" si="13"/>
        <v>ЗАКРЫТО</v>
      </c>
      <c r="AZ37" s="22" t="str">
        <f t="shared" si="14"/>
        <v>ЗАКРЫТО</v>
      </c>
      <c r="BA37" s="22" t="str">
        <f t="shared" si="15"/>
        <v>ЗАКРЫТО</v>
      </c>
      <c r="BB37" s="22" t="str">
        <f t="shared" si="16"/>
        <v>ЗАКРЫТО</v>
      </c>
      <c r="BC37" s="22" t="str">
        <f t="shared" si="17"/>
        <v>ЗАКРЫТО</v>
      </c>
      <c r="BD37" s="22" t="str">
        <f t="shared" si="18"/>
        <v>ЗАКРЫТО</v>
      </c>
      <c r="BE37" s="22" t="str">
        <f t="shared" si="19"/>
        <v>ЗАКРЫТО</v>
      </c>
      <c r="BF37" s="22" t="str">
        <f t="shared" si="20"/>
        <v>ЗАКРЫТО</v>
      </c>
    </row>
    <row r="38" ht="13.5" customHeight="1">
      <c r="A38" s="12" t="s">
        <v>333</v>
      </c>
      <c r="B38" s="12" t="s">
        <v>320</v>
      </c>
      <c r="C38" s="12" t="s">
        <v>224</v>
      </c>
      <c r="D38" s="12" t="s">
        <v>334</v>
      </c>
      <c r="E38" s="12">
        <v>70.0</v>
      </c>
      <c r="F38" s="12" t="s">
        <v>325</v>
      </c>
      <c r="G38" s="12" t="s">
        <v>329</v>
      </c>
      <c r="H38" s="12"/>
      <c r="I38" s="12" t="s">
        <v>335</v>
      </c>
      <c r="J38" s="12" t="s">
        <v>336</v>
      </c>
      <c r="K38" s="20">
        <f>SUMIF('Ход 2026'!$G$29:$G$38,$A38,'Ход 2026'!$I$29:$I$38)</f>
        <v>0</v>
      </c>
      <c r="L38" s="20">
        <f>SUMIF('Ход 2027'!$G$29:$G$38,$A38,'Ход 2027'!$I$29:$I$38)</f>
        <v>0</v>
      </c>
      <c r="M38" s="20">
        <f>SUMIF('Ход 2028'!$G$29:$G$38,$A38,'Ход 2028'!$I$29:$I$38)</f>
        <v>0</v>
      </c>
      <c r="N38" s="20">
        <f>SUMIF('Ход 2029'!$G$29:$G$38,$A38,'Ход 2029'!$I$29:$I$38)</f>
        <v>0</v>
      </c>
      <c r="O38" s="20">
        <f>SUMIF('Ход 2030'!$G$29:$G$38,$A38,'Ход 2030'!$I$29:$I$38)</f>
        <v>0</v>
      </c>
      <c r="P38" s="20">
        <f>SUMIF('Ход 2031'!$G$29:$G$38,$A38,'Ход 2031'!$I$29:$I$38)</f>
        <v>0</v>
      </c>
      <c r="Q38" s="20">
        <f>SUMIF('Ход 2032'!$G$29:$G$38,$A38,'Ход 2032'!$I$29:$I$38)</f>
        <v>0</v>
      </c>
      <c r="R38" s="20">
        <f>SUMIF('Ход 2033'!$G$29:$G$38,$A38,'Ход 2033'!$I$29:$I$38)</f>
        <v>0</v>
      </c>
      <c r="S38" s="20">
        <f>SUMIF('Ход 2034'!$G$29:$G$38,$A38,'Ход 2034'!$I$29:$I$38)</f>
        <v>0</v>
      </c>
      <c r="T38" s="20">
        <f>SUMIF('Ход 2035'!$G$29:$G$38,$A38,'Ход 2035'!$I$29:$I$38)</f>
        <v>0</v>
      </c>
      <c r="U38" s="20">
        <f>SUMIF('Ход 2036'!$G$29:$G$38,$A38,'Ход 2036'!$I$29:$I$38)</f>
        <v>0</v>
      </c>
      <c r="V38" s="20">
        <f>SUMIF('Ход 2037'!$G$29:$G$38,$A38,'Ход 2037'!$I$29:$I$38)</f>
        <v>0</v>
      </c>
      <c r="W38" s="20">
        <f>SUMIF('Ход 2038'!$G$29:$G$38,$A38,'Ход 2038'!$I$29:$I$38)</f>
        <v>0</v>
      </c>
      <c r="X38" s="20">
        <f>SUMIF('Ход 2039'!$G$29:$G$38,$A38,'Ход 2039'!$I$29:$I$38)</f>
        <v>0</v>
      </c>
      <c r="Y38" s="20">
        <f>SUMIF('Ход 2040'!$G$29:$G$38,$A38,'Ход 2040'!$I$29:$I$38)</f>
        <v>0</v>
      </c>
      <c r="Z38" s="21">
        <f t="shared" si="2"/>
        <v>0</v>
      </c>
      <c r="AA38" s="21">
        <f t="shared" si="3"/>
        <v>70</v>
      </c>
      <c r="AB38" s="12" t="str">
        <f t="shared" si="4"/>
        <v>ЗАКРЫТО</v>
      </c>
      <c r="AC38" s="22">
        <f t="shared" ref="AC38:AQ38" si="46">SUM($K38:K38)</f>
        <v>0</v>
      </c>
      <c r="AD38" s="22">
        <f t="shared" si="46"/>
        <v>0</v>
      </c>
      <c r="AE38" s="22">
        <f t="shared" si="46"/>
        <v>0</v>
      </c>
      <c r="AF38" s="22">
        <f t="shared" si="46"/>
        <v>0</v>
      </c>
      <c r="AG38" s="22">
        <f t="shared" si="46"/>
        <v>0</v>
      </c>
      <c r="AH38" s="22">
        <f t="shared" si="46"/>
        <v>0</v>
      </c>
      <c r="AI38" s="22">
        <f t="shared" si="46"/>
        <v>0</v>
      </c>
      <c r="AJ38" s="22">
        <f t="shared" si="46"/>
        <v>0</v>
      </c>
      <c r="AK38" s="22">
        <f t="shared" si="46"/>
        <v>0</v>
      </c>
      <c r="AL38" s="22">
        <f t="shared" si="46"/>
        <v>0</v>
      </c>
      <c r="AM38" s="22">
        <f t="shared" si="46"/>
        <v>0</v>
      </c>
      <c r="AN38" s="22">
        <f t="shared" si="46"/>
        <v>0</v>
      </c>
      <c r="AO38" s="22">
        <f t="shared" si="46"/>
        <v>0</v>
      </c>
      <c r="AP38" s="22">
        <f t="shared" si="46"/>
        <v>0</v>
      </c>
      <c r="AQ38" s="22">
        <f t="shared" si="46"/>
        <v>0</v>
      </c>
      <c r="AR38" s="22" t="str">
        <f t="shared" si="6"/>
        <v>ЗАКРЫТО</v>
      </c>
      <c r="AS38" s="22" t="str">
        <f t="shared" si="7"/>
        <v>ЗАКРЫТО</v>
      </c>
      <c r="AT38" s="22" t="str">
        <f t="shared" si="8"/>
        <v>ЗАКРЫТО</v>
      </c>
      <c r="AU38" s="22" t="str">
        <f t="shared" si="9"/>
        <v>ЗАКРЫТО</v>
      </c>
      <c r="AV38" s="22" t="str">
        <f t="shared" si="10"/>
        <v>ЗАКРЫТО</v>
      </c>
      <c r="AW38" s="22" t="str">
        <f t="shared" si="11"/>
        <v>ЗАКРЫТО</v>
      </c>
      <c r="AX38" s="22" t="str">
        <f t="shared" si="12"/>
        <v>ЗАКРЫТО</v>
      </c>
      <c r="AY38" s="22" t="str">
        <f t="shared" si="13"/>
        <v>ЗАКРЫТО</v>
      </c>
      <c r="AZ38" s="22" t="str">
        <f t="shared" si="14"/>
        <v>ЗАКРЫТО</v>
      </c>
      <c r="BA38" s="22" t="str">
        <f t="shared" si="15"/>
        <v>ЗАКРЫТО</v>
      </c>
      <c r="BB38" s="22" t="str">
        <f t="shared" si="16"/>
        <v>ЗАКРЫТО</v>
      </c>
      <c r="BC38" s="22" t="str">
        <f t="shared" si="17"/>
        <v>ЗАКРЫТО</v>
      </c>
      <c r="BD38" s="22" t="str">
        <f t="shared" si="18"/>
        <v>ЗАКРЫТО</v>
      </c>
      <c r="BE38" s="22" t="str">
        <f t="shared" si="19"/>
        <v>ЗАКРЫТО</v>
      </c>
      <c r="BF38" s="22" t="str">
        <f t="shared" si="20"/>
        <v>ЗАКРЫТО</v>
      </c>
    </row>
    <row r="39" ht="13.5" customHeight="1">
      <c r="A39" s="12" t="s">
        <v>337</v>
      </c>
      <c r="B39" s="12" t="s">
        <v>320</v>
      </c>
      <c r="C39" s="12" t="s">
        <v>231</v>
      </c>
      <c r="D39" s="12" t="s">
        <v>338</v>
      </c>
      <c r="E39" s="12">
        <v>105.0</v>
      </c>
      <c r="F39" s="12" t="s">
        <v>333</v>
      </c>
      <c r="G39" s="12"/>
      <c r="H39" s="12"/>
      <c r="I39" s="12" t="s">
        <v>339</v>
      </c>
      <c r="J39" s="12" t="s">
        <v>340</v>
      </c>
      <c r="K39" s="20">
        <f>SUMIF('Ход 2026'!$G$29:$G$38,$A39,'Ход 2026'!$I$29:$I$38)</f>
        <v>0</v>
      </c>
      <c r="L39" s="20">
        <f>SUMIF('Ход 2027'!$G$29:$G$38,$A39,'Ход 2027'!$I$29:$I$38)</f>
        <v>0</v>
      </c>
      <c r="M39" s="20">
        <f>SUMIF('Ход 2028'!$G$29:$G$38,$A39,'Ход 2028'!$I$29:$I$38)</f>
        <v>0</v>
      </c>
      <c r="N39" s="20">
        <f>SUMIF('Ход 2029'!$G$29:$G$38,$A39,'Ход 2029'!$I$29:$I$38)</f>
        <v>0</v>
      </c>
      <c r="O39" s="20">
        <f>SUMIF('Ход 2030'!$G$29:$G$38,$A39,'Ход 2030'!$I$29:$I$38)</f>
        <v>0</v>
      </c>
      <c r="P39" s="20">
        <f>SUMIF('Ход 2031'!$G$29:$G$38,$A39,'Ход 2031'!$I$29:$I$38)</f>
        <v>0</v>
      </c>
      <c r="Q39" s="20">
        <f>SUMIF('Ход 2032'!$G$29:$G$38,$A39,'Ход 2032'!$I$29:$I$38)</f>
        <v>0</v>
      </c>
      <c r="R39" s="20">
        <f>SUMIF('Ход 2033'!$G$29:$G$38,$A39,'Ход 2033'!$I$29:$I$38)</f>
        <v>0</v>
      </c>
      <c r="S39" s="20">
        <f>SUMIF('Ход 2034'!$G$29:$G$38,$A39,'Ход 2034'!$I$29:$I$38)</f>
        <v>0</v>
      </c>
      <c r="T39" s="20">
        <f>SUMIF('Ход 2035'!$G$29:$G$38,$A39,'Ход 2035'!$I$29:$I$38)</f>
        <v>0</v>
      </c>
      <c r="U39" s="20">
        <f>SUMIF('Ход 2036'!$G$29:$G$38,$A39,'Ход 2036'!$I$29:$I$38)</f>
        <v>0</v>
      </c>
      <c r="V39" s="20">
        <f>SUMIF('Ход 2037'!$G$29:$G$38,$A39,'Ход 2037'!$I$29:$I$38)</f>
        <v>0</v>
      </c>
      <c r="W39" s="20">
        <f>SUMIF('Ход 2038'!$G$29:$G$38,$A39,'Ход 2038'!$I$29:$I$38)</f>
        <v>0</v>
      </c>
      <c r="X39" s="20">
        <f>SUMIF('Ход 2039'!$G$29:$G$38,$A39,'Ход 2039'!$I$29:$I$38)</f>
        <v>0</v>
      </c>
      <c r="Y39" s="20">
        <f>SUMIF('Ход 2040'!$G$29:$G$38,$A39,'Ход 2040'!$I$29:$I$38)</f>
        <v>0</v>
      </c>
      <c r="Z39" s="21">
        <f t="shared" si="2"/>
        <v>0</v>
      </c>
      <c r="AA39" s="21">
        <f t="shared" si="3"/>
        <v>105</v>
      </c>
      <c r="AB39" s="12" t="str">
        <f t="shared" si="4"/>
        <v>ЗАКРЫТО</v>
      </c>
      <c r="AC39" s="22">
        <f t="shared" ref="AC39:AQ39" si="47">SUM($K39:K39)</f>
        <v>0</v>
      </c>
      <c r="AD39" s="22">
        <f t="shared" si="47"/>
        <v>0</v>
      </c>
      <c r="AE39" s="22">
        <f t="shared" si="47"/>
        <v>0</v>
      </c>
      <c r="AF39" s="22">
        <f t="shared" si="47"/>
        <v>0</v>
      </c>
      <c r="AG39" s="22">
        <f t="shared" si="47"/>
        <v>0</v>
      </c>
      <c r="AH39" s="22">
        <f t="shared" si="47"/>
        <v>0</v>
      </c>
      <c r="AI39" s="22">
        <f t="shared" si="47"/>
        <v>0</v>
      </c>
      <c r="AJ39" s="22">
        <f t="shared" si="47"/>
        <v>0</v>
      </c>
      <c r="AK39" s="22">
        <f t="shared" si="47"/>
        <v>0</v>
      </c>
      <c r="AL39" s="22">
        <f t="shared" si="47"/>
        <v>0</v>
      </c>
      <c r="AM39" s="22">
        <f t="shared" si="47"/>
        <v>0</v>
      </c>
      <c r="AN39" s="22">
        <f t="shared" si="47"/>
        <v>0</v>
      </c>
      <c r="AO39" s="22">
        <f t="shared" si="47"/>
        <v>0</v>
      </c>
      <c r="AP39" s="22">
        <f t="shared" si="47"/>
        <v>0</v>
      </c>
      <c r="AQ39" s="22">
        <f t="shared" si="47"/>
        <v>0</v>
      </c>
      <c r="AR39" s="22" t="str">
        <f t="shared" si="6"/>
        <v>ЗАКРЫТО</v>
      </c>
      <c r="AS39" s="22" t="str">
        <f t="shared" si="7"/>
        <v>ЗАКРЫТО</v>
      </c>
      <c r="AT39" s="22" t="str">
        <f t="shared" si="8"/>
        <v>ЗАКРЫТО</v>
      </c>
      <c r="AU39" s="22" t="str">
        <f t="shared" si="9"/>
        <v>ЗАКРЫТО</v>
      </c>
      <c r="AV39" s="22" t="str">
        <f t="shared" si="10"/>
        <v>ЗАКРЫТО</v>
      </c>
      <c r="AW39" s="22" t="str">
        <f t="shared" si="11"/>
        <v>ЗАКРЫТО</v>
      </c>
      <c r="AX39" s="22" t="str">
        <f t="shared" si="12"/>
        <v>ЗАКРЫТО</v>
      </c>
      <c r="AY39" s="22" t="str">
        <f t="shared" si="13"/>
        <v>ЗАКРЫТО</v>
      </c>
      <c r="AZ39" s="22" t="str">
        <f t="shared" si="14"/>
        <v>ЗАКРЫТО</v>
      </c>
      <c r="BA39" s="22" t="str">
        <f t="shared" si="15"/>
        <v>ЗАКРЫТО</v>
      </c>
      <c r="BB39" s="22" t="str">
        <f t="shared" si="16"/>
        <v>ЗАКРЫТО</v>
      </c>
      <c r="BC39" s="22" t="str">
        <f t="shared" si="17"/>
        <v>ЗАКРЫТО</v>
      </c>
      <c r="BD39" s="22" t="str">
        <f t="shared" si="18"/>
        <v>ЗАКРЫТО</v>
      </c>
      <c r="BE39" s="22" t="str">
        <f t="shared" si="19"/>
        <v>ЗАКРЫТО</v>
      </c>
      <c r="BF39" s="22" t="str">
        <f t="shared" si="20"/>
        <v>ЗАКРЫТО</v>
      </c>
    </row>
    <row r="40" ht="13.5" customHeight="1">
      <c r="A40" s="12" t="s">
        <v>341</v>
      </c>
      <c r="B40" s="12" t="s">
        <v>320</v>
      </c>
      <c r="C40" s="12" t="s">
        <v>236</v>
      </c>
      <c r="D40" s="12" t="s">
        <v>342</v>
      </c>
      <c r="E40" s="12">
        <v>150.0</v>
      </c>
      <c r="F40" s="12" t="s">
        <v>337</v>
      </c>
      <c r="G40" s="12"/>
      <c r="H40" s="12"/>
      <c r="I40" s="12" t="s">
        <v>343</v>
      </c>
      <c r="J40" s="12" t="s">
        <v>344</v>
      </c>
      <c r="K40" s="20">
        <f>SUMIF('Ход 2026'!$G$29:$G$38,$A40,'Ход 2026'!$I$29:$I$38)</f>
        <v>0</v>
      </c>
      <c r="L40" s="20">
        <f>SUMIF('Ход 2027'!$G$29:$G$38,$A40,'Ход 2027'!$I$29:$I$38)</f>
        <v>0</v>
      </c>
      <c r="M40" s="20">
        <f>SUMIF('Ход 2028'!$G$29:$G$38,$A40,'Ход 2028'!$I$29:$I$38)</f>
        <v>0</v>
      </c>
      <c r="N40" s="20">
        <f>SUMIF('Ход 2029'!$G$29:$G$38,$A40,'Ход 2029'!$I$29:$I$38)</f>
        <v>0</v>
      </c>
      <c r="O40" s="20">
        <f>SUMIF('Ход 2030'!$G$29:$G$38,$A40,'Ход 2030'!$I$29:$I$38)</f>
        <v>0</v>
      </c>
      <c r="P40" s="20">
        <f>SUMIF('Ход 2031'!$G$29:$G$38,$A40,'Ход 2031'!$I$29:$I$38)</f>
        <v>0</v>
      </c>
      <c r="Q40" s="20">
        <f>SUMIF('Ход 2032'!$G$29:$G$38,$A40,'Ход 2032'!$I$29:$I$38)</f>
        <v>0</v>
      </c>
      <c r="R40" s="20">
        <f>SUMIF('Ход 2033'!$G$29:$G$38,$A40,'Ход 2033'!$I$29:$I$38)</f>
        <v>0</v>
      </c>
      <c r="S40" s="20">
        <f>SUMIF('Ход 2034'!$G$29:$G$38,$A40,'Ход 2034'!$I$29:$I$38)</f>
        <v>0</v>
      </c>
      <c r="T40" s="20">
        <f>SUMIF('Ход 2035'!$G$29:$G$38,$A40,'Ход 2035'!$I$29:$I$38)</f>
        <v>0</v>
      </c>
      <c r="U40" s="20">
        <f>SUMIF('Ход 2036'!$G$29:$G$38,$A40,'Ход 2036'!$I$29:$I$38)</f>
        <v>0</v>
      </c>
      <c r="V40" s="20">
        <f>SUMIF('Ход 2037'!$G$29:$G$38,$A40,'Ход 2037'!$I$29:$I$38)</f>
        <v>0</v>
      </c>
      <c r="W40" s="20">
        <f>SUMIF('Ход 2038'!$G$29:$G$38,$A40,'Ход 2038'!$I$29:$I$38)</f>
        <v>0</v>
      </c>
      <c r="X40" s="20">
        <f>SUMIF('Ход 2039'!$G$29:$G$38,$A40,'Ход 2039'!$I$29:$I$38)</f>
        <v>0</v>
      </c>
      <c r="Y40" s="20">
        <f>SUMIF('Ход 2040'!$G$29:$G$38,$A40,'Ход 2040'!$I$29:$I$38)</f>
        <v>0</v>
      </c>
      <c r="Z40" s="21">
        <f t="shared" si="2"/>
        <v>0</v>
      </c>
      <c r="AA40" s="21">
        <f t="shared" si="3"/>
        <v>150</v>
      </c>
      <c r="AB40" s="12" t="str">
        <f t="shared" si="4"/>
        <v>ЗАКРЫТО</v>
      </c>
      <c r="AC40" s="22">
        <f t="shared" ref="AC40:AQ40" si="48">SUM($K40:K40)</f>
        <v>0</v>
      </c>
      <c r="AD40" s="22">
        <f t="shared" si="48"/>
        <v>0</v>
      </c>
      <c r="AE40" s="22">
        <f t="shared" si="48"/>
        <v>0</v>
      </c>
      <c r="AF40" s="22">
        <f t="shared" si="48"/>
        <v>0</v>
      </c>
      <c r="AG40" s="22">
        <f t="shared" si="48"/>
        <v>0</v>
      </c>
      <c r="AH40" s="22">
        <f t="shared" si="48"/>
        <v>0</v>
      </c>
      <c r="AI40" s="22">
        <f t="shared" si="48"/>
        <v>0</v>
      </c>
      <c r="AJ40" s="22">
        <f t="shared" si="48"/>
        <v>0</v>
      </c>
      <c r="AK40" s="22">
        <f t="shared" si="48"/>
        <v>0</v>
      </c>
      <c r="AL40" s="22">
        <f t="shared" si="48"/>
        <v>0</v>
      </c>
      <c r="AM40" s="22">
        <f t="shared" si="48"/>
        <v>0</v>
      </c>
      <c r="AN40" s="22">
        <f t="shared" si="48"/>
        <v>0</v>
      </c>
      <c r="AO40" s="22">
        <f t="shared" si="48"/>
        <v>0</v>
      </c>
      <c r="AP40" s="22">
        <f t="shared" si="48"/>
        <v>0</v>
      </c>
      <c r="AQ40" s="22">
        <f t="shared" si="48"/>
        <v>0</v>
      </c>
      <c r="AR40" s="22" t="str">
        <f t="shared" si="6"/>
        <v>ЗАКРЫТО</v>
      </c>
      <c r="AS40" s="22" t="str">
        <f t="shared" si="7"/>
        <v>ЗАКРЫТО</v>
      </c>
      <c r="AT40" s="22" t="str">
        <f t="shared" si="8"/>
        <v>ЗАКРЫТО</v>
      </c>
      <c r="AU40" s="22" t="str">
        <f t="shared" si="9"/>
        <v>ЗАКРЫТО</v>
      </c>
      <c r="AV40" s="22" t="str">
        <f t="shared" si="10"/>
        <v>ЗАКРЫТО</v>
      </c>
      <c r="AW40" s="22" t="str">
        <f t="shared" si="11"/>
        <v>ЗАКРЫТО</v>
      </c>
      <c r="AX40" s="22" t="str">
        <f t="shared" si="12"/>
        <v>ЗАКРЫТО</v>
      </c>
      <c r="AY40" s="22" t="str">
        <f t="shared" si="13"/>
        <v>ЗАКРЫТО</v>
      </c>
      <c r="AZ40" s="22" t="str">
        <f t="shared" si="14"/>
        <v>ЗАКРЫТО</v>
      </c>
      <c r="BA40" s="22" t="str">
        <f t="shared" si="15"/>
        <v>ЗАКРЫТО</v>
      </c>
      <c r="BB40" s="22" t="str">
        <f t="shared" si="16"/>
        <v>ЗАКРЫТО</v>
      </c>
      <c r="BC40" s="22" t="str">
        <f t="shared" si="17"/>
        <v>ЗАКРЫТО</v>
      </c>
      <c r="BD40" s="22" t="str">
        <f t="shared" si="18"/>
        <v>ЗАКРЫТО</v>
      </c>
      <c r="BE40" s="22" t="str">
        <f t="shared" si="19"/>
        <v>ЗАКРЫТО</v>
      </c>
      <c r="BF40" s="22" t="str">
        <f t="shared" si="20"/>
        <v>ЗАКРЫТО</v>
      </c>
    </row>
    <row r="41" ht="13.5" customHeight="1">
      <c r="A41" s="12" t="s">
        <v>229</v>
      </c>
      <c r="B41" s="12" t="s">
        <v>345</v>
      </c>
      <c r="C41" s="12" t="s">
        <v>86</v>
      </c>
      <c r="D41" s="12" t="s">
        <v>346</v>
      </c>
      <c r="E41" s="12">
        <v>20.0</v>
      </c>
      <c r="F41" s="12"/>
      <c r="G41" s="12"/>
      <c r="H41" s="12"/>
      <c r="I41" s="12" t="s">
        <v>347</v>
      </c>
      <c r="J41" s="12" t="s">
        <v>348</v>
      </c>
      <c r="K41" s="20">
        <f>SUMIF('Ход 2026'!$G$29:$G$38,$A41,'Ход 2026'!$I$29:$I$38)</f>
        <v>16.8</v>
      </c>
      <c r="L41" s="20">
        <f>SUMIF('Ход 2027'!$G$29:$G$38,$A41,'Ход 2027'!$I$29:$I$38)</f>
        <v>3.2</v>
      </c>
      <c r="M41" s="20">
        <f>SUMIF('Ход 2028'!$G$29:$G$38,$A41,'Ход 2028'!$I$29:$I$38)</f>
        <v>0</v>
      </c>
      <c r="N41" s="20">
        <f>SUMIF('Ход 2029'!$G$29:$G$38,$A41,'Ход 2029'!$I$29:$I$38)</f>
        <v>0</v>
      </c>
      <c r="O41" s="20">
        <f>SUMIF('Ход 2030'!$G$29:$G$38,$A41,'Ход 2030'!$I$29:$I$38)</f>
        <v>0</v>
      </c>
      <c r="P41" s="20">
        <f>SUMIF('Ход 2031'!$G$29:$G$38,$A41,'Ход 2031'!$I$29:$I$38)</f>
        <v>0</v>
      </c>
      <c r="Q41" s="20">
        <f>SUMIF('Ход 2032'!$G$29:$G$38,$A41,'Ход 2032'!$I$29:$I$38)</f>
        <v>0</v>
      </c>
      <c r="R41" s="20">
        <f>SUMIF('Ход 2033'!$G$29:$G$38,$A41,'Ход 2033'!$I$29:$I$38)</f>
        <v>0</v>
      </c>
      <c r="S41" s="20">
        <f>SUMIF('Ход 2034'!$G$29:$G$38,$A41,'Ход 2034'!$I$29:$I$38)</f>
        <v>0</v>
      </c>
      <c r="T41" s="20">
        <f>SUMIF('Ход 2035'!$G$29:$G$38,$A41,'Ход 2035'!$I$29:$I$38)</f>
        <v>0</v>
      </c>
      <c r="U41" s="20">
        <f>SUMIF('Ход 2036'!$G$29:$G$38,$A41,'Ход 2036'!$I$29:$I$38)</f>
        <v>0</v>
      </c>
      <c r="V41" s="20">
        <f>SUMIF('Ход 2037'!$G$29:$G$38,$A41,'Ход 2037'!$I$29:$I$38)</f>
        <v>0</v>
      </c>
      <c r="W41" s="20">
        <f>SUMIF('Ход 2038'!$G$29:$G$38,$A41,'Ход 2038'!$I$29:$I$38)</f>
        <v>0</v>
      </c>
      <c r="X41" s="20">
        <f>SUMIF('Ход 2039'!$G$29:$G$38,$A41,'Ход 2039'!$I$29:$I$38)</f>
        <v>0</v>
      </c>
      <c r="Y41" s="20">
        <f>SUMIF('Ход 2040'!$G$29:$G$38,$A41,'Ход 2040'!$I$29:$I$38)</f>
        <v>0</v>
      </c>
      <c r="Z41" s="21">
        <f t="shared" si="2"/>
        <v>20</v>
      </c>
      <c r="AA41" s="21">
        <f t="shared" si="3"/>
        <v>0</v>
      </c>
      <c r="AB41" s="12" t="str">
        <f t="shared" si="4"/>
        <v>ИЗУЧЕНО</v>
      </c>
      <c r="AC41" s="22">
        <f t="shared" ref="AC41:AQ41" si="49">SUM($K41:K41)</f>
        <v>16.8</v>
      </c>
      <c r="AD41" s="22">
        <f t="shared" si="49"/>
        <v>20</v>
      </c>
      <c r="AE41" s="22">
        <f t="shared" si="49"/>
        <v>20</v>
      </c>
      <c r="AF41" s="22">
        <f t="shared" si="49"/>
        <v>20</v>
      </c>
      <c r="AG41" s="22">
        <f t="shared" si="49"/>
        <v>20</v>
      </c>
      <c r="AH41" s="22">
        <f t="shared" si="49"/>
        <v>20</v>
      </c>
      <c r="AI41" s="22">
        <f t="shared" si="49"/>
        <v>20</v>
      </c>
      <c r="AJ41" s="22">
        <f t="shared" si="49"/>
        <v>20</v>
      </c>
      <c r="AK41" s="22">
        <f t="shared" si="49"/>
        <v>20</v>
      </c>
      <c r="AL41" s="22">
        <f t="shared" si="49"/>
        <v>20</v>
      </c>
      <c r="AM41" s="22">
        <f t="shared" si="49"/>
        <v>20</v>
      </c>
      <c r="AN41" s="22">
        <f t="shared" si="49"/>
        <v>20</v>
      </c>
      <c r="AO41" s="22">
        <f t="shared" si="49"/>
        <v>20</v>
      </c>
      <c r="AP41" s="22">
        <f t="shared" si="49"/>
        <v>20</v>
      </c>
      <c r="AQ41" s="22">
        <f t="shared" si="49"/>
        <v>20</v>
      </c>
      <c r="AR41" s="22" t="str">
        <f t="shared" si="6"/>
        <v>ОТКРЫТО</v>
      </c>
      <c r="AS41" s="22" t="str">
        <f t="shared" si="7"/>
        <v>ИЗУЧЕНО</v>
      </c>
      <c r="AT41" s="22" t="str">
        <f t="shared" si="8"/>
        <v>ИЗУЧЕНО</v>
      </c>
      <c r="AU41" s="22" t="str">
        <f t="shared" si="9"/>
        <v>ИЗУЧЕНО</v>
      </c>
      <c r="AV41" s="22" t="str">
        <f t="shared" si="10"/>
        <v>ИЗУЧЕНО</v>
      </c>
      <c r="AW41" s="22" t="str">
        <f t="shared" si="11"/>
        <v>ИЗУЧЕНО</v>
      </c>
      <c r="AX41" s="22" t="str">
        <f t="shared" si="12"/>
        <v>ИЗУЧЕНО</v>
      </c>
      <c r="AY41" s="22" t="str">
        <f t="shared" si="13"/>
        <v>ИЗУЧЕНО</v>
      </c>
      <c r="AZ41" s="22" t="str">
        <f t="shared" si="14"/>
        <v>ИЗУЧЕНО</v>
      </c>
      <c r="BA41" s="22" t="str">
        <f t="shared" si="15"/>
        <v>ИЗУЧЕНО</v>
      </c>
      <c r="BB41" s="22" t="str">
        <f t="shared" si="16"/>
        <v>ИЗУЧЕНО</v>
      </c>
      <c r="BC41" s="22" t="str">
        <f t="shared" si="17"/>
        <v>ИЗУЧЕНО</v>
      </c>
      <c r="BD41" s="22" t="str">
        <f t="shared" si="18"/>
        <v>ИЗУЧЕНО</v>
      </c>
      <c r="BE41" s="22" t="str">
        <f t="shared" si="19"/>
        <v>ИЗУЧЕНО</v>
      </c>
      <c r="BF41" s="22" t="str">
        <f t="shared" si="20"/>
        <v>ИЗУЧЕНО</v>
      </c>
    </row>
    <row r="42" ht="13.5" customHeight="1">
      <c r="A42" s="12" t="s">
        <v>257</v>
      </c>
      <c r="B42" s="12" t="s">
        <v>345</v>
      </c>
      <c r="C42" s="12" t="s">
        <v>140</v>
      </c>
      <c r="D42" s="12" t="s">
        <v>349</v>
      </c>
      <c r="E42" s="12">
        <v>35.0</v>
      </c>
      <c r="F42" s="12" t="s">
        <v>229</v>
      </c>
      <c r="G42" s="12"/>
      <c r="H42" s="12"/>
      <c r="I42" s="12" t="s">
        <v>350</v>
      </c>
      <c r="J42" s="12" t="s">
        <v>351</v>
      </c>
      <c r="K42" s="20">
        <f>SUMIF('Ход 2026'!$G$29:$G$38,$A42,'Ход 2026'!$I$29:$I$38)</f>
        <v>0</v>
      </c>
      <c r="L42" s="20">
        <f>SUMIF('Ход 2027'!$G$29:$G$38,$A42,'Ход 2027'!$I$29:$I$38)</f>
        <v>35</v>
      </c>
      <c r="M42" s="20">
        <f>SUMIF('Ход 2028'!$G$29:$G$38,$A42,'Ход 2028'!$I$29:$I$38)</f>
        <v>0</v>
      </c>
      <c r="N42" s="20">
        <f>SUMIF('Ход 2029'!$G$29:$G$38,$A42,'Ход 2029'!$I$29:$I$38)</f>
        <v>0</v>
      </c>
      <c r="O42" s="20">
        <f>SUMIF('Ход 2030'!$G$29:$G$38,$A42,'Ход 2030'!$I$29:$I$38)</f>
        <v>0</v>
      </c>
      <c r="P42" s="20">
        <f>SUMIF('Ход 2031'!$G$29:$G$38,$A42,'Ход 2031'!$I$29:$I$38)</f>
        <v>0</v>
      </c>
      <c r="Q42" s="20">
        <f>SUMIF('Ход 2032'!$G$29:$G$38,$A42,'Ход 2032'!$I$29:$I$38)</f>
        <v>0</v>
      </c>
      <c r="R42" s="20">
        <f>SUMIF('Ход 2033'!$G$29:$G$38,$A42,'Ход 2033'!$I$29:$I$38)</f>
        <v>0</v>
      </c>
      <c r="S42" s="20">
        <f>SUMIF('Ход 2034'!$G$29:$G$38,$A42,'Ход 2034'!$I$29:$I$38)</f>
        <v>0</v>
      </c>
      <c r="T42" s="20">
        <f>SUMIF('Ход 2035'!$G$29:$G$38,$A42,'Ход 2035'!$I$29:$I$38)</f>
        <v>0</v>
      </c>
      <c r="U42" s="20">
        <f>SUMIF('Ход 2036'!$G$29:$G$38,$A42,'Ход 2036'!$I$29:$I$38)</f>
        <v>0</v>
      </c>
      <c r="V42" s="20">
        <f>SUMIF('Ход 2037'!$G$29:$G$38,$A42,'Ход 2037'!$I$29:$I$38)</f>
        <v>0</v>
      </c>
      <c r="W42" s="20">
        <f>SUMIF('Ход 2038'!$G$29:$G$38,$A42,'Ход 2038'!$I$29:$I$38)</f>
        <v>0</v>
      </c>
      <c r="X42" s="20">
        <f>SUMIF('Ход 2039'!$G$29:$G$38,$A42,'Ход 2039'!$I$29:$I$38)</f>
        <v>0</v>
      </c>
      <c r="Y42" s="20">
        <f>SUMIF('Ход 2040'!$G$29:$G$38,$A42,'Ход 2040'!$I$29:$I$38)</f>
        <v>0</v>
      </c>
      <c r="Z42" s="21">
        <f t="shared" si="2"/>
        <v>35</v>
      </c>
      <c r="AA42" s="21">
        <f t="shared" si="3"/>
        <v>0</v>
      </c>
      <c r="AB42" s="12" t="str">
        <f t="shared" si="4"/>
        <v>ИЗУЧЕНО</v>
      </c>
      <c r="AC42" s="22">
        <f t="shared" ref="AC42:AQ42" si="50">SUM($K42:K42)</f>
        <v>0</v>
      </c>
      <c r="AD42" s="22">
        <f t="shared" si="50"/>
        <v>35</v>
      </c>
      <c r="AE42" s="22">
        <f t="shared" si="50"/>
        <v>35</v>
      </c>
      <c r="AF42" s="22">
        <f t="shared" si="50"/>
        <v>35</v>
      </c>
      <c r="AG42" s="22">
        <f t="shared" si="50"/>
        <v>35</v>
      </c>
      <c r="AH42" s="22">
        <f t="shared" si="50"/>
        <v>35</v>
      </c>
      <c r="AI42" s="22">
        <f t="shared" si="50"/>
        <v>35</v>
      </c>
      <c r="AJ42" s="22">
        <f t="shared" si="50"/>
        <v>35</v>
      </c>
      <c r="AK42" s="22">
        <f t="shared" si="50"/>
        <v>35</v>
      </c>
      <c r="AL42" s="22">
        <f t="shared" si="50"/>
        <v>35</v>
      </c>
      <c r="AM42" s="22">
        <f t="shared" si="50"/>
        <v>35</v>
      </c>
      <c r="AN42" s="22">
        <f t="shared" si="50"/>
        <v>35</v>
      </c>
      <c r="AO42" s="22">
        <f t="shared" si="50"/>
        <v>35</v>
      </c>
      <c r="AP42" s="22">
        <f t="shared" si="50"/>
        <v>35</v>
      </c>
      <c r="AQ42" s="22">
        <f t="shared" si="50"/>
        <v>35</v>
      </c>
      <c r="AR42" s="22" t="str">
        <f t="shared" si="6"/>
        <v>ЗАКРЫТО</v>
      </c>
      <c r="AS42" s="22" t="str">
        <f t="shared" si="7"/>
        <v>ИЗУЧЕНО</v>
      </c>
      <c r="AT42" s="22" t="str">
        <f t="shared" si="8"/>
        <v>ИЗУЧЕНО</v>
      </c>
      <c r="AU42" s="22" t="str">
        <f t="shared" si="9"/>
        <v>ИЗУЧЕНО</v>
      </c>
      <c r="AV42" s="22" t="str">
        <f t="shared" si="10"/>
        <v>ИЗУЧЕНО</v>
      </c>
      <c r="AW42" s="22" t="str">
        <f t="shared" si="11"/>
        <v>ИЗУЧЕНО</v>
      </c>
      <c r="AX42" s="22" t="str">
        <f t="shared" si="12"/>
        <v>ИЗУЧЕНО</v>
      </c>
      <c r="AY42" s="22" t="str">
        <f t="shared" si="13"/>
        <v>ИЗУЧЕНО</v>
      </c>
      <c r="AZ42" s="22" t="str">
        <f t="shared" si="14"/>
        <v>ИЗУЧЕНО</v>
      </c>
      <c r="BA42" s="22" t="str">
        <f t="shared" si="15"/>
        <v>ИЗУЧЕНО</v>
      </c>
      <c r="BB42" s="22" t="str">
        <f t="shared" si="16"/>
        <v>ИЗУЧЕНО</v>
      </c>
      <c r="BC42" s="22" t="str">
        <f t="shared" si="17"/>
        <v>ИЗУЧЕНО</v>
      </c>
      <c r="BD42" s="22" t="str">
        <f t="shared" si="18"/>
        <v>ИЗУЧЕНО</v>
      </c>
      <c r="BE42" s="22" t="str">
        <f t="shared" si="19"/>
        <v>ИЗУЧЕНО</v>
      </c>
      <c r="BF42" s="22" t="str">
        <f t="shared" si="20"/>
        <v>ИЗУЧЕНО</v>
      </c>
    </row>
    <row r="43" ht="13.5" customHeight="1">
      <c r="A43" s="12" t="s">
        <v>352</v>
      </c>
      <c r="B43" s="12" t="s">
        <v>345</v>
      </c>
      <c r="C43" s="12" t="s">
        <v>140</v>
      </c>
      <c r="D43" s="12" t="s">
        <v>353</v>
      </c>
      <c r="E43" s="12">
        <v>40.0</v>
      </c>
      <c r="F43" s="12" t="s">
        <v>229</v>
      </c>
      <c r="G43" s="12"/>
      <c r="H43" s="12"/>
      <c r="I43" s="12" t="s">
        <v>354</v>
      </c>
      <c r="J43" s="12" t="s">
        <v>355</v>
      </c>
      <c r="K43" s="20">
        <f>SUMIF('Ход 2026'!$G$29:$G$38,$A43,'Ход 2026'!$I$29:$I$38)</f>
        <v>0</v>
      </c>
      <c r="L43" s="20">
        <f>SUMIF('Ход 2027'!$G$29:$G$38,$A43,'Ход 2027'!$I$29:$I$38)</f>
        <v>0</v>
      </c>
      <c r="M43" s="20">
        <f>SUMIF('Ход 2028'!$G$29:$G$38,$A43,'Ход 2028'!$I$29:$I$38)</f>
        <v>0</v>
      </c>
      <c r="N43" s="20">
        <f>SUMIF('Ход 2029'!$G$29:$G$38,$A43,'Ход 2029'!$I$29:$I$38)</f>
        <v>0</v>
      </c>
      <c r="O43" s="20">
        <f>SUMIF('Ход 2030'!$G$29:$G$38,$A43,'Ход 2030'!$I$29:$I$38)</f>
        <v>0</v>
      </c>
      <c r="P43" s="20">
        <f>SUMIF('Ход 2031'!$G$29:$G$38,$A43,'Ход 2031'!$I$29:$I$38)</f>
        <v>0</v>
      </c>
      <c r="Q43" s="20">
        <f>SUMIF('Ход 2032'!$G$29:$G$38,$A43,'Ход 2032'!$I$29:$I$38)</f>
        <v>0</v>
      </c>
      <c r="R43" s="20">
        <f>SUMIF('Ход 2033'!$G$29:$G$38,$A43,'Ход 2033'!$I$29:$I$38)</f>
        <v>0</v>
      </c>
      <c r="S43" s="20">
        <f>SUMIF('Ход 2034'!$G$29:$G$38,$A43,'Ход 2034'!$I$29:$I$38)</f>
        <v>0</v>
      </c>
      <c r="T43" s="20">
        <f>SUMIF('Ход 2035'!$G$29:$G$38,$A43,'Ход 2035'!$I$29:$I$38)</f>
        <v>0</v>
      </c>
      <c r="U43" s="20">
        <f>SUMIF('Ход 2036'!$G$29:$G$38,$A43,'Ход 2036'!$I$29:$I$38)</f>
        <v>0</v>
      </c>
      <c r="V43" s="20">
        <f>SUMIF('Ход 2037'!$G$29:$G$38,$A43,'Ход 2037'!$I$29:$I$38)</f>
        <v>0</v>
      </c>
      <c r="W43" s="20">
        <f>SUMIF('Ход 2038'!$G$29:$G$38,$A43,'Ход 2038'!$I$29:$I$38)</f>
        <v>0</v>
      </c>
      <c r="X43" s="20">
        <f>SUMIF('Ход 2039'!$G$29:$G$38,$A43,'Ход 2039'!$I$29:$I$38)</f>
        <v>0</v>
      </c>
      <c r="Y43" s="20">
        <f>SUMIF('Ход 2040'!$G$29:$G$38,$A43,'Ход 2040'!$I$29:$I$38)</f>
        <v>0</v>
      </c>
      <c r="Z43" s="21">
        <f t="shared" si="2"/>
        <v>0</v>
      </c>
      <c r="AA43" s="21">
        <f t="shared" si="3"/>
        <v>40</v>
      </c>
      <c r="AB43" s="12" t="str">
        <f t="shared" si="4"/>
        <v>ОТКРЫТО</v>
      </c>
      <c r="AC43" s="22">
        <f t="shared" ref="AC43:AQ43" si="51">SUM($K43:K43)</f>
        <v>0</v>
      </c>
      <c r="AD43" s="22">
        <f t="shared" si="51"/>
        <v>0</v>
      </c>
      <c r="AE43" s="22">
        <f t="shared" si="51"/>
        <v>0</v>
      </c>
      <c r="AF43" s="22">
        <f t="shared" si="51"/>
        <v>0</v>
      </c>
      <c r="AG43" s="22">
        <f t="shared" si="51"/>
        <v>0</v>
      </c>
      <c r="AH43" s="22">
        <f t="shared" si="51"/>
        <v>0</v>
      </c>
      <c r="AI43" s="22">
        <f t="shared" si="51"/>
        <v>0</v>
      </c>
      <c r="AJ43" s="22">
        <f t="shared" si="51"/>
        <v>0</v>
      </c>
      <c r="AK43" s="22">
        <f t="shared" si="51"/>
        <v>0</v>
      </c>
      <c r="AL43" s="22">
        <f t="shared" si="51"/>
        <v>0</v>
      </c>
      <c r="AM43" s="22">
        <f t="shared" si="51"/>
        <v>0</v>
      </c>
      <c r="AN43" s="22">
        <f t="shared" si="51"/>
        <v>0</v>
      </c>
      <c r="AO43" s="22">
        <f t="shared" si="51"/>
        <v>0</v>
      </c>
      <c r="AP43" s="22">
        <f t="shared" si="51"/>
        <v>0</v>
      </c>
      <c r="AQ43" s="22">
        <f t="shared" si="51"/>
        <v>0</v>
      </c>
      <c r="AR43" s="22" t="str">
        <f t="shared" si="6"/>
        <v>ЗАКРЫТО</v>
      </c>
      <c r="AS43" s="22" t="str">
        <f t="shared" si="7"/>
        <v>ОТКРЫТО</v>
      </c>
      <c r="AT43" s="22" t="str">
        <f t="shared" si="8"/>
        <v>ОТКРЫТО</v>
      </c>
      <c r="AU43" s="22" t="str">
        <f t="shared" si="9"/>
        <v>ОТКРЫТО</v>
      </c>
      <c r="AV43" s="22" t="str">
        <f t="shared" si="10"/>
        <v>ОТКРЫТО</v>
      </c>
      <c r="AW43" s="22" t="str">
        <f t="shared" si="11"/>
        <v>ОТКРЫТО</v>
      </c>
      <c r="AX43" s="22" t="str">
        <f t="shared" si="12"/>
        <v>ОТКРЫТО</v>
      </c>
      <c r="AY43" s="22" t="str">
        <f t="shared" si="13"/>
        <v>ОТКРЫТО</v>
      </c>
      <c r="AZ43" s="22" t="str">
        <f t="shared" si="14"/>
        <v>ОТКРЫТО</v>
      </c>
      <c r="BA43" s="22" t="str">
        <f t="shared" si="15"/>
        <v>ОТКРЫТО</v>
      </c>
      <c r="BB43" s="22" t="str">
        <f t="shared" si="16"/>
        <v>ОТКРЫТО</v>
      </c>
      <c r="BC43" s="22" t="str">
        <f t="shared" si="17"/>
        <v>ОТКРЫТО</v>
      </c>
      <c r="BD43" s="22" t="str">
        <f t="shared" si="18"/>
        <v>ОТКРЫТО</v>
      </c>
      <c r="BE43" s="22" t="str">
        <f t="shared" si="19"/>
        <v>ОТКРЫТО</v>
      </c>
      <c r="BF43" s="22" t="str">
        <f t="shared" si="20"/>
        <v>ОТКРЫТО</v>
      </c>
    </row>
    <row r="44" ht="13.5" customHeight="1">
      <c r="A44" s="12" t="s">
        <v>356</v>
      </c>
      <c r="B44" s="12" t="s">
        <v>345</v>
      </c>
      <c r="C44" s="12" t="s">
        <v>224</v>
      </c>
      <c r="D44" s="12" t="s">
        <v>357</v>
      </c>
      <c r="E44" s="12">
        <v>65.0</v>
      </c>
      <c r="F44" s="12" t="s">
        <v>257</v>
      </c>
      <c r="G44" s="12" t="s">
        <v>352</v>
      </c>
      <c r="H44" s="12"/>
      <c r="I44" s="12" t="s">
        <v>358</v>
      </c>
      <c r="J44" s="12" t="s">
        <v>359</v>
      </c>
      <c r="K44" s="20">
        <f>SUMIF('Ход 2026'!$G$29:$G$38,$A44,'Ход 2026'!$I$29:$I$38)</f>
        <v>0</v>
      </c>
      <c r="L44" s="20">
        <f>SUMIF('Ход 2027'!$G$29:$G$38,$A44,'Ход 2027'!$I$29:$I$38)</f>
        <v>0</v>
      </c>
      <c r="M44" s="20">
        <f>SUMIF('Ход 2028'!$G$29:$G$38,$A44,'Ход 2028'!$I$29:$I$38)</f>
        <v>0</v>
      </c>
      <c r="N44" s="20">
        <f>SUMIF('Ход 2029'!$G$29:$G$38,$A44,'Ход 2029'!$I$29:$I$38)</f>
        <v>0</v>
      </c>
      <c r="O44" s="20">
        <f>SUMIF('Ход 2030'!$G$29:$G$38,$A44,'Ход 2030'!$I$29:$I$38)</f>
        <v>0</v>
      </c>
      <c r="P44" s="20">
        <f>SUMIF('Ход 2031'!$G$29:$G$38,$A44,'Ход 2031'!$I$29:$I$38)</f>
        <v>0</v>
      </c>
      <c r="Q44" s="20">
        <f>SUMIF('Ход 2032'!$G$29:$G$38,$A44,'Ход 2032'!$I$29:$I$38)</f>
        <v>0</v>
      </c>
      <c r="R44" s="20">
        <f>SUMIF('Ход 2033'!$G$29:$G$38,$A44,'Ход 2033'!$I$29:$I$38)</f>
        <v>0</v>
      </c>
      <c r="S44" s="20">
        <f>SUMIF('Ход 2034'!$G$29:$G$38,$A44,'Ход 2034'!$I$29:$I$38)</f>
        <v>0</v>
      </c>
      <c r="T44" s="20">
        <f>SUMIF('Ход 2035'!$G$29:$G$38,$A44,'Ход 2035'!$I$29:$I$38)</f>
        <v>0</v>
      </c>
      <c r="U44" s="20">
        <f>SUMIF('Ход 2036'!$G$29:$G$38,$A44,'Ход 2036'!$I$29:$I$38)</f>
        <v>0</v>
      </c>
      <c r="V44" s="20">
        <f>SUMIF('Ход 2037'!$G$29:$G$38,$A44,'Ход 2037'!$I$29:$I$38)</f>
        <v>0</v>
      </c>
      <c r="W44" s="20">
        <f>SUMIF('Ход 2038'!$G$29:$G$38,$A44,'Ход 2038'!$I$29:$I$38)</f>
        <v>0</v>
      </c>
      <c r="X44" s="20">
        <f>SUMIF('Ход 2039'!$G$29:$G$38,$A44,'Ход 2039'!$I$29:$I$38)</f>
        <v>0</v>
      </c>
      <c r="Y44" s="20">
        <f>SUMIF('Ход 2040'!$G$29:$G$38,$A44,'Ход 2040'!$I$29:$I$38)</f>
        <v>0</v>
      </c>
      <c r="Z44" s="21">
        <f t="shared" si="2"/>
        <v>0</v>
      </c>
      <c r="AA44" s="21">
        <f t="shared" si="3"/>
        <v>65</v>
      </c>
      <c r="AB44" s="12" t="str">
        <f t="shared" si="4"/>
        <v>ЗАКРЫТО</v>
      </c>
      <c r="AC44" s="22">
        <f t="shared" ref="AC44:AQ44" si="52">SUM($K44:K44)</f>
        <v>0</v>
      </c>
      <c r="AD44" s="22">
        <f t="shared" si="52"/>
        <v>0</v>
      </c>
      <c r="AE44" s="22">
        <f t="shared" si="52"/>
        <v>0</v>
      </c>
      <c r="AF44" s="22">
        <f t="shared" si="52"/>
        <v>0</v>
      </c>
      <c r="AG44" s="22">
        <f t="shared" si="52"/>
        <v>0</v>
      </c>
      <c r="AH44" s="22">
        <f t="shared" si="52"/>
        <v>0</v>
      </c>
      <c r="AI44" s="22">
        <f t="shared" si="52"/>
        <v>0</v>
      </c>
      <c r="AJ44" s="22">
        <f t="shared" si="52"/>
        <v>0</v>
      </c>
      <c r="AK44" s="22">
        <f t="shared" si="52"/>
        <v>0</v>
      </c>
      <c r="AL44" s="22">
        <f t="shared" si="52"/>
        <v>0</v>
      </c>
      <c r="AM44" s="22">
        <f t="shared" si="52"/>
        <v>0</v>
      </c>
      <c r="AN44" s="22">
        <f t="shared" si="52"/>
        <v>0</v>
      </c>
      <c r="AO44" s="22">
        <f t="shared" si="52"/>
        <v>0</v>
      </c>
      <c r="AP44" s="22">
        <f t="shared" si="52"/>
        <v>0</v>
      </c>
      <c r="AQ44" s="22">
        <f t="shared" si="52"/>
        <v>0</v>
      </c>
      <c r="AR44" s="22" t="str">
        <f t="shared" si="6"/>
        <v>ЗАКРЫТО</v>
      </c>
      <c r="AS44" s="22" t="str">
        <f t="shared" si="7"/>
        <v>ЗАКРЫТО</v>
      </c>
      <c r="AT44" s="22" t="str">
        <f t="shared" si="8"/>
        <v>ЗАКРЫТО</v>
      </c>
      <c r="AU44" s="22" t="str">
        <f t="shared" si="9"/>
        <v>ЗАКРЫТО</v>
      </c>
      <c r="AV44" s="22" t="str">
        <f t="shared" si="10"/>
        <v>ЗАКРЫТО</v>
      </c>
      <c r="AW44" s="22" t="str">
        <f t="shared" si="11"/>
        <v>ЗАКРЫТО</v>
      </c>
      <c r="AX44" s="22" t="str">
        <f t="shared" si="12"/>
        <v>ЗАКРЫТО</v>
      </c>
      <c r="AY44" s="22" t="str">
        <f t="shared" si="13"/>
        <v>ЗАКРЫТО</v>
      </c>
      <c r="AZ44" s="22" t="str">
        <f t="shared" si="14"/>
        <v>ЗАКРЫТО</v>
      </c>
      <c r="BA44" s="22" t="str">
        <f t="shared" si="15"/>
        <v>ЗАКРЫТО</v>
      </c>
      <c r="BB44" s="22" t="str">
        <f t="shared" si="16"/>
        <v>ЗАКРЫТО</v>
      </c>
      <c r="BC44" s="22" t="str">
        <f t="shared" si="17"/>
        <v>ЗАКРЫТО</v>
      </c>
      <c r="BD44" s="22" t="str">
        <f t="shared" si="18"/>
        <v>ЗАКРЫТО</v>
      </c>
      <c r="BE44" s="22" t="str">
        <f t="shared" si="19"/>
        <v>ЗАКРЫТО</v>
      </c>
      <c r="BF44" s="22" t="str">
        <f t="shared" si="20"/>
        <v>ЗАКРЫТО</v>
      </c>
    </row>
    <row r="45" ht="13.5" customHeight="1">
      <c r="A45" s="12" t="s">
        <v>361</v>
      </c>
      <c r="B45" s="12" t="s">
        <v>345</v>
      </c>
      <c r="C45" s="12" t="s">
        <v>231</v>
      </c>
      <c r="D45" s="12" t="s">
        <v>362</v>
      </c>
      <c r="E45" s="12">
        <v>100.0</v>
      </c>
      <c r="F45" s="12" t="s">
        <v>356</v>
      </c>
      <c r="G45" s="12"/>
      <c r="H45" s="12"/>
      <c r="I45" s="12" t="s">
        <v>363</v>
      </c>
      <c r="J45" s="12" t="s">
        <v>364</v>
      </c>
      <c r="K45" s="20">
        <f>SUMIF('Ход 2026'!$G$29:$G$38,$A45,'Ход 2026'!$I$29:$I$38)</f>
        <v>0</v>
      </c>
      <c r="L45" s="20">
        <f>SUMIF('Ход 2027'!$G$29:$G$38,$A45,'Ход 2027'!$I$29:$I$38)</f>
        <v>0</v>
      </c>
      <c r="M45" s="20">
        <f>SUMIF('Ход 2028'!$G$29:$G$38,$A45,'Ход 2028'!$I$29:$I$38)</f>
        <v>0</v>
      </c>
      <c r="N45" s="20">
        <f>SUMIF('Ход 2029'!$G$29:$G$38,$A45,'Ход 2029'!$I$29:$I$38)</f>
        <v>0</v>
      </c>
      <c r="O45" s="20">
        <f>SUMIF('Ход 2030'!$G$29:$G$38,$A45,'Ход 2030'!$I$29:$I$38)</f>
        <v>0</v>
      </c>
      <c r="P45" s="20">
        <f>SUMIF('Ход 2031'!$G$29:$G$38,$A45,'Ход 2031'!$I$29:$I$38)</f>
        <v>0</v>
      </c>
      <c r="Q45" s="20">
        <f>SUMIF('Ход 2032'!$G$29:$G$38,$A45,'Ход 2032'!$I$29:$I$38)</f>
        <v>0</v>
      </c>
      <c r="R45" s="20">
        <f>SUMIF('Ход 2033'!$G$29:$G$38,$A45,'Ход 2033'!$I$29:$I$38)</f>
        <v>0</v>
      </c>
      <c r="S45" s="20">
        <f>SUMIF('Ход 2034'!$G$29:$G$38,$A45,'Ход 2034'!$I$29:$I$38)</f>
        <v>0</v>
      </c>
      <c r="T45" s="20">
        <f>SUMIF('Ход 2035'!$G$29:$G$38,$A45,'Ход 2035'!$I$29:$I$38)</f>
        <v>0</v>
      </c>
      <c r="U45" s="20">
        <f>SUMIF('Ход 2036'!$G$29:$G$38,$A45,'Ход 2036'!$I$29:$I$38)</f>
        <v>0</v>
      </c>
      <c r="V45" s="20">
        <f>SUMIF('Ход 2037'!$G$29:$G$38,$A45,'Ход 2037'!$I$29:$I$38)</f>
        <v>0</v>
      </c>
      <c r="W45" s="20">
        <f>SUMIF('Ход 2038'!$G$29:$G$38,$A45,'Ход 2038'!$I$29:$I$38)</f>
        <v>0</v>
      </c>
      <c r="X45" s="20">
        <f>SUMIF('Ход 2039'!$G$29:$G$38,$A45,'Ход 2039'!$I$29:$I$38)</f>
        <v>0</v>
      </c>
      <c r="Y45" s="20">
        <f>SUMIF('Ход 2040'!$G$29:$G$38,$A45,'Ход 2040'!$I$29:$I$38)</f>
        <v>0</v>
      </c>
      <c r="Z45" s="21">
        <f t="shared" si="2"/>
        <v>0</v>
      </c>
      <c r="AA45" s="21">
        <f t="shared" si="3"/>
        <v>100</v>
      </c>
      <c r="AB45" s="12" t="str">
        <f t="shared" si="4"/>
        <v>ЗАКРЫТО</v>
      </c>
      <c r="AC45" s="22">
        <f t="shared" ref="AC45:AQ45" si="53">SUM($K45:K45)</f>
        <v>0</v>
      </c>
      <c r="AD45" s="22">
        <f t="shared" si="53"/>
        <v>0</v>
      </c>
      <c r="AE45" s="22">
        <f t="shared" si="53"/>
        <v>0</v>
      </c>
      <c r="AF45" s="22">
        <f t="shared" si="53"/>
        <v>0</v>
      </c>
      <c r="AG45" s="22">
        <f t="shared" si="53"/>
        <v>0</v>
      </c>
      <c r="AH45" s="22">
        <f t="shared" si="53"/>
        <v>0</v>
      </c>
      <c r="AI45" s="22">
        <f t="shared" si="53"/>
        <v>0</v>
      </c>
      <c r="AJ45" s="22">
        <f t="shared" si="53"/>
        <v>0</v>
      </c>
      <c r="AK45" s="22">
        <f t="shared" si="53"/>
        <v>0</v>
      </c>
      <c r="AL45" s="22">
        <f t="shared" si="53"/>
        <v>0</v>
      </c>
      <c r="AM45" s="22">
        <f t="shared" si="53"/>
        <v>0</v>
      </c>
      <c r="AN45" s="22">
        <f t="shared" si="53"/>
        <v>0</v>
      </c>
      <c r="AO45" s="22">
        <f t="shared" si="53"/>
        <v>0</v>
      </c>
      <c r="AP45" s="22">
        <f t="shared" si="53"/>
        <v>0</v>
      </c>
      <c r="AQ45" s="22">
        <f t="shared" si="53"/>
        <v>0</v>
      </c>
      <c r="AR45" s="22" t="str">
        <f t="shared" si="6"/>
        <v>ЗАКРЫТО</v>
      </c>
      <c r="AS45" s="22" t="str">
        <f t="shared" si="7"/>
        <v>ЗАКРЫТО</v>
      </c>
      <c r="AT45" s="22" t="str">
        <f t="shared" si="8"/>
        <v>ЗАКРЫТО</v>
      </c>
      <c r="AU45" s="22" t="str">
        <f t="shared" si="9"/>
        <v>ЗАКРЫТО</v>
      </c>
      <c r="AV45" s="22" t="str">
        <f t="shared" si="10"/>
        <v>ЗАКРЫТО</v>
      </c>
      <c r="AW45" s="22" t="str">
        <f t="shared" si="11"/>
        <v>ЗАКРЫТО</v>
      </c>
      <c r="AX45" s="22" t="str">
        <f t="shared" si="12"/>
        <v>ЗАКРЫТО</v>
      </c>
      <c r="AY45" s="22" t="str">
        <f t="shared" si="13"/>
        <v>ЗАКРЫТО</v>
      </c>
      <c r="AZ45" s="22" t="str">
        <f t="shared" si="14"/>
        <v>ЗАКРЫТО</v>
      </c>
      <c r="BA45" s="22" t="str">
        <f t="shared" si="15"/>
        <v>ЗАКРЫТО</v>
      </c>
      <c r="BB45" s="22" t="str">
        <f t="shared" si="16"/>
        <v>ЗАКРЫТО</v>
      </c>
      <c r="BC45" s="22" t="str">
        <f t="shared" si="17"/>
        <v>ЗАКРЫТО</v>
      </c>
      <c r="BD45" s="22" t="str">
        <f t="shared" si="18"/>
        <v>ЗАКРЫТО</v>
      </c>
      <c r="BE45" s="22" t="str">
        <f t="shared" si="19"/>
        <v>ЗАКРЫТО</v>
      </c>
      <c r="BF45" s="22" t="str">
        <f t="shared" si="20"/>
        <v>ЗАКРЫТО</v>
      </c>
    </row>
    <row r="46" ht="13.5" customHeight="1">
      <c r="A46" s="12" t="s">
        <v>365</v>
      </c>
      <c r="B46" s="12" t="s">
        <v>345</v>
      </c>
      <c r="C46" s="12" t="s">
        <v>236</v>
      </c>
      <c r="D46" s="12" t="s">
        <v>366</v>
      </c>
      <c r="E46" s="12">
        <v>150.0</v>
      </c>
      <c r="F46" s="12" t="s">
        <v>361</v>
      </c>
      <c r="G46" s="12"/>
      <c r="H46" s="12"/>
      <c r="I46" s="12" t="s">
        <v>367</v>
      </c>
      <c r="J46" s="12" t="s">
        <v>368</v>
      </c>
      <c r="K46" s="20">
        <f>SUMIF('Ход 2026'!$G$29:$G$38,$A46,'Ход 2026'!$I$29:$I$38)</f>
        <v>0</v>
      </c>
      <c r="L46" s="20">
        <f>SUMIF('Ход 2027'!$G$29:$G$38,$A46,'Ход 2027'!$I$29:$I$38)</f>
        <v>0</v>
      </c>
      <c r="M46" s="20">
        <f>SUMIF('Ход 2028'!$G$29:$G$38,$A46,'Ход 2028'!$I$29:$I$38)</f>
        <v>0</v>
      </c>
      <c r="N46" s="20">
        <f>SUMIF('Ход 2029'!$G$29:$G$38,$A46,'Ход 2029'!$I$29:$I$38)</f>
        <v>0</v>
      </c>
      <c r="O46" s="20">
        <f>SUMIF('Ход 2030'!$G$29:$G$38,$A46,'Ход 2030'!$I$29:$I$38)</f>
        <v>0</v>
      </c>
      <c r="P46" s="20">
        <f>SUMIF('Ход 2031'!$G$29:$G$38,$A46,'Ход 2031'!$I$29:$I$38)</f>
        <v>0</v>
      </c>
      <c r="Q46" s="20">
        <f>SUMIF('Ход 2032'!$G$29:$G$38,$A46,'Ход 2032'!$I$29:$I$38)</f>
        <v>0</v>
      </c>
      <c r="R46" s="20">
        <f>SUMIF('Ход 2033'!$G$29:$G$38,$A46,'Ход 2033'!$I$29:$I$38)</f>
        <v>0</v>
      </c>
      <c r="S46" s="20">
        <f>SUMIF('Ход 2034'!$G$29:$G$38,$A46,'Ход 2034'!$I$29:$I$38)</f>
        <v>0</v>
      </c>
      <c r="T46" s="20">
        <f>SUMIF('Ход 2035'!$G$29:$G$38,$A46,'Ход 2035'!$I$29:$I$38)</f>
        <v>0</v>
      </c>
      <c r="U46" s="20">
        <f>SUMIF('Ход 2036'!$G$29:$G$38,$A46,'Ход 2036'!$I$29:$I$38)</f>
        <v>0</v>
      </c>
      <c r="V46" s="20">
        <f>SUMIF('Ход 2037'!$G$29:$G$38,$A46,'Ход 2037'!$I$29:$I$38)</f>
        <v>0</v>
      </c>
      <c r="W46" s="20">
        <f>SUMIF('Ход 2038'!$G$29:$G$38,$A46,'Ход 2038'!$I$29:$I$38)</f>
        <v>0</v>
      </c>
      <c r="X46" s="20">
        <f>SUMIF('Ход 2039'!$G$29:$G$38,$A46,'Ход 2039'!$I$29:$I$38)</f>
        <v>0</v>
      </c>
      <c r="Y46" s="20">
        <f>SUMIF('Ход 2040'!$G$29:$G$38,$A46,'Ход 2040'!$I$29:$I$38)</f>
        <v>0</v>
      </c>
      <c r="Z46" s="21">
        <f t="shared" si="2"/>
        <v>0</v>
      </c>
      <c r="AA46" s="21">
        <f t="shared" si="3"/>
        <v>150</v>
      </c>
      <c r="AB46" s="12" t="str">
        <f t="shared" si="4"/>
        <v>ЗАКРЫТО</v>
      </c>
      <c r="AC46" s="22">
        <f t="shared" ref="AC46:AQ46" si="54">SUM($K46:K46)</f>
        <v>0</v>
      </c>
      <c r="AD46" s="22">
        <f t="shared" si="54"/>
        <v>0</v>
      </c>
      <c r="AE46" s="22">
        <f t="shared" si="54"/>
        <v>0</v>
      </c>
      <c r="AF46" s="22">
        <f t="shared" si="54"/>
        <v>0</v>
      </c>
      <c r="AG46" s="22">
        <f t="shared" si="54"/>
        <v>0</v>
      </c>
      <c r="AH46" s="22">
        <f t="shared" si="54"/>
        <v>0</v>
      </c>
      <c r="AI46" s="22">
        <f t="shared" si="54"/>
        <v>0</v>
      </c>
      <c r="AJ46" s="22">
        <f t="shared" si="54"/>
        <v>0</v>
      </c>
      <c r="AK46" s="22">
        <f t="shared" si="54"/>
        <v>0</v>
      </c>
      <c r="AL46" s="22">
        <f t="shared" si="54"/>
        <v>0</v>
      </c>
      <c r="AM46" s="22">
        <f t="shared" si="54"/>
        <v>0</v>
      </c>
      <c r="AN46" s="22">
        <f t="shared" si="54"/>
        <v>0</v>
      </c>
      <c r="AO46" s="22">
        <f t="shared" si="54"/>
        <v>0</v>
      </c>
      <c r="AP46" s="22">
        <f t="shared" si="54"/>
        <v>0</v>
      </c>
      <c r="AQ46" s="22">
        <f t="shared" si="54"/>
        <v>0</v>
      </c>
      <c r="AR46" s="22" t="str">
        <f t="shared" si="6"/>
        <v>ЗАКРЫТО</v>
      </c>
      <c r="AS46" s="22" t="str">
        <f t="shared" si="7"/>
        <v>ЗАКРЫТО</v>
      </c>
      <c r="AT46" s="22" t="str">
        <f t="shared" si="8"/>
        <v>ЗАКРЫТО</v>
      </c>
      <c r="AU46" s="22" t="str">
        <f t="shared" si="9"/>
        <v>ЗАКРЫТО</v>
      </c>
      <c r="AV46" s="22" t="str">
        <f t="shared" si="10"/>
        <v>ЗАКРЫТО</v>
      </c>
      <c r="AW46" s="22" t="str">
        <f t="shared" si="11"/>
        <v>ЗАКРЫТО</v>
      </c>
      <c r="AX46" s="22" t="str">
        <f t="shared" si="12"/>
        <v>ЗАКРЫТО</v>
      </c>
      <c r="AY46" s="22" t="str">
        <f t="shared" si="13"/>
        <v>ЗАКРЫТО</v>
      </c>
      <c r="AZ46" s="22" t="str">
        <f t="shared" si="14"/>
        <v>ЗАКРЫТО</v>
      </c>
      <c r="BA46" s="22" t="str">
        <f t="shared" si="15"/>
        <v>ЗАКРЫТО</v>
      </c>
      <c r="BB46" s="22" t="str">
        <f t="shared" si="16"/>
        <v>ЗАКРЫТО</v>
      </c>
      <c r="BC46" s="22" t="str">
        <f t="shared" si="17"/>
        <v>ЗАКРЫТО</v>
      </c>
      <c r="BD46" s="22" t="str">
        <f t="shared" si="18"/>
        <v>ЗАКРЫТО</v>
      </c>
      <c r="BE46" s="22" t="str">
        <f t="shared" si="19"/>
        <v>ЗАКРЫТО</v>
      </c>
      <c r="BF46" s="22" t="str">
        <f t="shared" si="20"/>
        <v>ЗАКРЫТО</v>
      </c>
    </row>
    <row r="47" ht="13.5" customHeight="1">
      <c r="A47" s="12" t="s">
        <v>369</v>
      </c>
      <c r="B47" s="12" t="s">
        <v>370</v>
      </c>
      <c r="C47" s="12" t="s">
        <v>231</v>
      </c>
      <c r="D47" s="12" t="s">
        <v>371</v>
      </c>
      <c r="E47" s="12">
        <v>100.0</v>
      </c>
      <c r="F47" s="12" t="s">
        <v>253</v>
      </c>
      <c r="G47" s="12" t="s">
        <v>281</v>
      </c>
      <c r="H47" s="12" t="s">
        <v>303</v>
      </c>
      <c r="I47" s="12" t="s">
        <v>372</v>
      </c>
      <c r="J47" s="12" t="s">
        <v>373</v>
      </c>
      <c r="K47" s="20">
        <f>SUMIF('Ход 2026'!$G$29:$G$38,$A47,'Ход 2026'!$I$29:$I$38)</f>
        <v>0</v>
      </c>
      <c r="L47" s="20">
        <f>SUMIF('Ход 2027'!$G$29:$G$38,$A47,'Ход 2027'!$I$29:$I$38)</f>
        <v>0</v>
      </c>
      <c r="M47" s="20">
        <f>SUMIF('Ход 2028'!$G$29:$G$38,$A47,'Ход 2028'!$I$29:$I$38)</f>
        <v>0</v>
      </c>
      <c r="N47" s="20">
        <f>SUMIF('Ход 2029'!$G$29:$G$38,$A47,'Ход 2029'!$I$29:$I$38)</f>
        <v>0</v>
      </c>
      <c r="O47" s="20">
        <f>SUMIF('Ход 2030'!$G$29:$G$38,$A47,'Ход 2030'!$I$29:$I$38)</f>
        <v>0</v>
      </c>
      <c r="P47" s="20">
        <f>SUMIF('Ход 2031'!$G$29:$G$38,$A47,'Ход 2031'!$I$29:$I$38)</f>
        <v>0</v>
      </c>
      <c r="Q47" s="20">
        <f>SUMIF('Ход 2032'!$G$29:$G$38,$A47,'Ход 2032'!$I$29:$I$38)</f>
        <v>0</v>
      </c>
      <c r="R47" s="20">
        <f>SUMIF('Ход 2033'!$G$29:$G$38,$A47,'Ход 2033'!$I$29:$I$38)</f>
        <v>0</v>
      </c>
      <c r="S47" s="20">
        <f>SUMIF('Ход 2034'!$G$29:$G$38,$A47,'Ход 2034'!$I$29:$I$38)</f>
        <v>0</v>
      </c>
      <c r="T47" s="20">
        <f>SUMIF('Ход 2035'!$G$29:$G$38,$A47,'Ход 2035'!$I$29:$I$38)</f>
        <v>0</v>
      </c>
      <c r="U47" s="20">
        <f>SUMIF('Ход 2036'!$G$29:$G$38,$A47,'Ход 2036'!$I$29:$I$38)</f>
        <v>0</v>
      </c>
      <c r="V47" s="20">
        <f>SUMIF('Ход 2037'!$G$29:$G$38,$A47,'Ход 2037'!$I$29:$I$38)</f>
        <v>0</v>
      </c>
      <c r="W47" s="20">
        <f>SUMIF('Ход 2038'!$G$29:$G$38,$A47,'Ход 2038'!$I$29:$I$38)</f>
        <v>0</v>
      </c>
      <c r="X47" s="20">
        <f>SUMIF('Ход 2039'!$G$29:$G$38,$A47,'Ход 2039'!$I$29:$I$38)</f>
        <v>0</v>
      </c>
      <c r="Y47" s="20">
        <f>SUMIF('Ход 2040'!$G$29:$G$38,$A47,'Ход 2040'!$I$29:$I$38)</f>
        <v>0</v>
      </c>
      <c r="Z47" s="21">
        <f t="shared" si="2"/>
        <v>0</v>
      </c>
      <c r="AA47" s="21">
        <f t="shared" si="3"/>
        <v>100</v>
      </c>
      <c r="AB47" s="12" t="str">
        <f t="shared" si="4"/>
        <v>ЗАКРЫТО</v>
      </c>
      <c r="AC47" s="22">
        <f t="shared" ref="AC47:AQ47" si="55">SUM($K47:K47)</f>
        <v>0</v>
      </c>
      <c r="AD47" s="22">
        <f t="shared" si="55"/>
        <v>0</v>
      </c>
      <c r="AE47" s="22">
        <f t="shared" si="55"/>
        <v>0</v>
      </c>
      <c r="AF47" s="22">
        <f t="shared" si="55"/>
        <v>0</v>
      </c>
      <c r="AG47" s="22">
        <f t="shared" si="55"/>
        <v>0</v>
      </c>
      <c r="AH47" s="22">
        <f t="shared" si="55"/>
        <v>0</v>
      </c>
      <c r="AI47" s="22">
        <f t="shared" si="55"/>
        <v>0</v>
      </c>
      <c r="AJ47" s="22">
        <f t="shared" si="55"/>
        <v>0</v>
      </c>
      <c r="AK47" s="22">
        <f t="shared" si="55"/>
        <v>0</v>
      </c>
      <c r="AL47" s="22">
        <f t="shared" si="55"/>
        <v>0</v>
      </c>
      <c r="AM47" s="22">
        <f t="shared" si="55"/>
        <v>0</v>
      </c>
      <c r="AN47" s="22">
        <f t="shared" si="55"/>
        <v>0</v>
      </c>
      <c r="AO47" s="22">
        <f t="shared" si="55"/>
        <v>0</v>
      </c>
      <c r="AP47" s="22">
        <f t="shared" si="55"/>
        <v>0</v>
      </c>
      <c r="AQ47" s="22">
        <f t="shared" si="55"/>
        <v>0</v>
      </c>
      <c r="AR47" s="22" t="str">
        <f t="shared" si="6"/>
        <v>ЗАКРЫТО</v>
      </c>
      <c r="AS47" s="22" t="str">
        <f t="shared" si="7"/>
        <v>ЗАКРЫТО</v>
      </c>
      <c r="AT47" s="22" t="str">
        <f t="shared" si="8"/>
        <v>ЗАКРЫТО</v>
      </c>
      <c r="AU47" s="22" t="str">
        <f t="shared" si="9"/>
        <v>ЗАКРЫТО</v>
      </c>
      <c r="AV47" s="22" t="str">
        <f t="shared" si="10"/>
        <v>ЗАКРЫТО</v>
      </c>
      <c r="AW47" s="22" t="str">
        <f t="shared" si="11"/>
        <v>ЗАКРЫТО</v>
      </c>
      <c r="AX47" s="22" t="str">
        <f t="shared" si="12"/>
        <v>ЗАКРЫТО</v>
      </c>
      <c r="AY47" s="22" t="str">
        <f t="shared" si="13"/>
        <v>ЗАКРЫТО</v>
      </c>
      <c r="AZ47" s="22" t="str">
        <f t="shared" si="14"/>
        <v>ЗАКРЫТО</v>
      </c>
      <c r="BA47" s="22" t="str">
        <f t="shared" si="15"/>
        <v>ЗАКРЫТО</v>
      </c>
      <c r="BB47" s="22" t="str">
        <f t="shared" si="16"/>
        <v>ЗАКРЫТО</v>
      </c>
      <c r="BC47" s="22" t="str">
        <f t="shared" si="17"/>
        <v>ЗАКРЫТО</v>
      </c>
      <c r="BD47" s="22" t="str">
        <f t="shared" si="18"/>
        <v>ЗАКРЫТО</v>
      </c>
      <c r="BE47" s="22" t="str">
        <f t="shared" si="19"/>
        <v>ЗАКРЫТО</v>
      </c>
      <c r="BF47" s="22" t="str">
        <f t="shared" si="20"/>
        <v>ЗАКРЫТО</v>
      </c>
    </row>
    <row r="48" ht="13.5" customHeight="1">
      <c r="A48" s="12" t="s">
        <v>374</v>
      </c>
      <c r="B48" s="12" t="s">
        <v>370</v>
      </c>
      <c r="C48" s="12" t="s">
        <v>231</v>
      </c>
      <c r="D48" s="12" t="s">
        <v>375</v>
      </c>
      <c r="E48" s="12">
        <v>110.0</v>
      </c>
      <c r="F48" s="12" t="s">
        <v>223</v>
      </c>
      <c r="G48" s="12" t="s">
        <v>281</v>
      </c>
      <c r="H48" s="12" t="s">
        <v>352</v>
      </c>
      <c r="I48" s="12" t="s">
        <v>376</v>
      </c>
      <c r="J48" s="12" t="s">
        <v>377</v>
      </c>
      <c r="K48" s="20">
        <f>SUMIF('Ход 2026'!$G$29:$G$38,$A48,'Ход 2026'!$I$29:$I$38)</f>
        <v>0</v>
      </c>
      <c r="L48" s="20">
        <f>SUMIF('Ход 2027'!$G$29:$G$38,$A48,'Ход 2027'!$I$29:$I$38)</f>
        <v>0</v>
      </c>
      <c r="M48" s="20">
        <f>SUMIF('Ход 2028'!$G$29:$G$38,$A48,'Ход 2028'!$I$29:$I$38)</f>
        <v>0</v>
      </c>
      <c r="N48" s="20">
        <f>SUMIF('Ход 2029'!$G$29:$G$38,$A48,'Ход 2029'!$I$29:$I$38)</f>
        <v>0</v>
      </c>
      <c r="O48" s="20">
        <f>SUMIF('Ход 2030'!$G$29:$G$38,$A48,'Ход 2030'!$I$29:$I$38)</f>
        <v>0</v>
      </c>
      <c r="P48" s="20">
        <f>SUMIF('Ход 2031'!$G$29:$G$38,$A48,'Ход 2031'!$I$29:$I$38)</f>
        <v>0</v>
      </c>
      <c r="Q48" s="20">
        <f>SUMIF('Ход 2032'!$G$29:$G$38,$A48,'Ход 2032'!$I$29:$I$38)</f>
        <v>0</v>
      </c>
      <c r="R48" s="20">
        <f>SUMIF('Ход 2033'!$G$29:$G$38,$A48,'Ход 2033'!$I$29:$I$38)</f>
        <v>0</v>
      </c>
      <c r="S48" s="20">
        <f>SUMIF('Ход 2034'!$G$29:$G$38,$A48,'Ход 2034'!$I$29:$I$38)</f>
        <v>0</v>
      </c>
      <c r="T48" s="20">
        <f>SUMIF('Ход 2035'!$G$29:$G$38,$A48,'Ход 2035'!$I$29:$I$38)</f>
        <v>0</v>
      </c>
      <c r="U48" s="20">
        <f>SUMIF('Ход 2036'!$G$29:$G$38,$A48,'Ход 2036'!$I$29:$I$38)</f>
        <v>0</v>
      </c>
      <c r="V48" s="20">
        <f>SUMIF('Ход 2037'!$G$29:$G$38,$A48,'Ход 2037'!$I$29:$I$38)</f>
        <v>0</v>
      </c>
      <c r="W48" s="20">
        <f>SUMIF('Ход 2038'!$G$29:$G$38,$A48,'Ход 2038'!$I$29:$I$38)</f>
        <v>0</v>
      </c>
      <c r="X48" s="20">
        <f>SUMIF('Ход 2039'!$G$29:$G$38,$A48,'Ход 2039'!$I$29:$I$38)</f>
        <v>0</v>
      </c>
      <c r="Y48" s="20">
        <f>SUMIF('Ход 2040'!$G$29:$G$38,$A48,'Ход 2040'!$I$29:$I$38)</f>
        <v>0</v>
      </c>
      <c r="Z48" s="21">
        <f t="shared" si="2"/>
        <v>0</v>
      </c>
      <c r="AA48" s="21">
        <f t="shared" si="3"/>
        <v>110</v>
      </c>
      <c r="AB48" s="12" t="str">
        <f t="shared" si="4"/>
        <v>ЗАКРЫТО</v>
      </c>
      <c r="AC48" s="22">
        <f t="shared" ref="AC48:AQ48" si="56">SUM($K48:K48)</f>
        <v>0</v>
      </c>
      <c r="AD48" s="22">
        <f t="shared" si="56"/>
        <v>0</v>
      </c>
      <c r="AE48" s="22">
        <f t="shared" si="56"/>
        <v>0</v>
      </c>
      <c r="AF48" s="22">
        <f t="shared" si="56"/>
        <v>0</v>
      </c>
      <c r="AG48" s="22">
        <f t="shared" si="56"/>
        <v>0</v>
      </c>
      <c r="AH48" s="22">
        <f t="shared" si="56"/>
        <v>0</v>
      </c>
      <c r="AI48" s="22">
        <f t="shared" si="56"/>
        <v>0</v>
      </c>
      <c r="AJ48" s="22">
        <f t="shared" si="56"/>
        <v>0</v>
      </c>
      <c r="AK48" s="22">
        <f t="shared" si="56"/>
        <v>0</v>
      </c>
      <c r="AL48" s="22">
        <f t="shared" si="56"/>
        <v>0</v>
      </c>
      <c r="AM48" s="22">
        <f t="shared" si="56"/>
        <v>0</v>
      </c>
      <c r="AN48" s="22">
        <f t="shared" si="56"/>
        <v>0</v>
      </c>
      <c r="AO48" s="22">
        <f t="shared" si="56"/>
        <v>0</v>
      </c>
      <c r="AP48" s="22">
        <f t="shared" si="56"/>
        <v>0</v>
      </c>
      <c r="AQ48" s="22">
        <f t="shared" si="56"/>
        <v>0</v>
      </c>
      <c r="AR48" s="22" t="str">
        <f t="shared" si="6"/>
        <v>ЗАКРЫТО</v>
      </c>
      <c r="AS48" s="22" t="str">
        <f t="shared" si="7"/>
        <v>ЗАКРЫТО</v>
      </c>
      <c r="AT48" s="22" t="str">
        <f t="shared" si="8"/>
        <v>ЗАКРЫТО</v>
      </c>
      <c r="AU48" s="22" t="str">
        <f t="shared" si="9"/>
        <v>ЗАКРЫТО</v>
      </c>
      <c r="AV48" s="22" t="str">
        <f t="shared" si="10"/>
        <v>ЗАКРЫТО</v>
      </c>
      <c r="AW48" s="22" t="str">
        <f t="shared" si="11"/>
        <v>ЗАКРЫТО</v>
      </c>
      <c r="AX48" s="22" t="str">
        <f t="shared" si="12"/>
        <v>ЗАКРЫТО</v>
      </c>
      <c r="AY48" s="22" t="str">
        <f t="shared" si="13"/>
        <v>ЗАКРЫТО</v>
      </c>
      <c r="AZ48" s="22" t="str">
        <f t="shared" si="14"/>
        <v>ЗАКРЫТО</v>
      </c>
      <c r="BA48" s="22" t="str">
        <f t="shared" si="15"/>
        <v>ЗАКРЫТО</v>
      </c>
      <c r="BB48" s="22" t="str">
        <f t="shared" si="16"/>
        <v>ЗАКРЫТО</v>
      </c>
      <c r="BC48" s="22" t="str">
        <f t="shared" si="17"/>
        <v>ЗАКРЫТО</v>
      </c>
      <c r="BD48" s="22" t="str">
        <f t="shared" si="18"/>
        <v>ЗАКРЫТО</v>
      </c>
      <c r="BE48" s="22" t="str">
        <f t="shared" si="19"/>
        <v>ЗАКРЫТО</v>
      </c>
      <c r="BF48" s="22" t="str">
        <f t="shared" si="20"/>
        <v>ЗАКРЫТО</v>
      </c>
    </row>
    <row r="49" ht="13.5" customHeight="1">
      <c r="A49" s="12" t="s">
        <v>378</v>
      </c>
      <c r="B49" s="12" t="s">
        <v>370</v>
      </c>
      <c r="C49" s="12" t="s">
        <v>236</v>
      </c>
      <c r="D49" s="12" t="s">
        <v>379</v>
      </c>
      <c r="E49" s="12">
        <v>140.0</v>
      </c>
      <c r="F49" s="12" t="s">
        <v>311</v>
      </c>
      <c r="G49" s="12" t="s">
        <v>286</v>
      </c>
      <c r="H49" s="12" t="s">
        <v>361</v>
      </c>
      <c r="I49" s="12" t="s">
        <v>380</v>
      </c>
      <c r="J49" s="12" t="s">
        <v>381</v>
      </c>
      <c r="K49" s="20">
        <f>SUMIF('Ход 2026'!$G$29:$G$38,$A49,'Ход 2026'!$I$29:$I$38)</f>
        <v>0</v>
      </c>
      <c r="L49" s="20">
        <f>SUMIF('Ход 2027'!$G$29:$G$38,$A49,'Ход 2027'!$I$29:$I$38)</f>
        <v>0</v>
      </c>
      <c r="M49" s="20">
        <f>SUMIF('Ход 2028'!$G$29:$G$38,$A49,'Ход 2028'!$I$29:$I$38)</f>
        <v>0</v>
      </c>
      <c r="N49" s="20">
        <f>SUMIF('Ход 2029'!$G$29:$G$38,$A49,'Ход 2029'!$I$29:$I$38)</f>
        <v>0</v>
      </c>
      <c r="O49" s="20">
        <f>SUMIF('Ход 2030'!$G$29:$G$38,$A49,'Ход 2030'!$I$29:$I$38)</f>
        <v>0</v>
      </c>
      <c r="P49" s="20">
        <f>SUMIF('Ход 2031'!$G$29:$G$38,$A49,'Ход 2031'!$I$29:$I$38)</f>
        <v>0</v>
      </c>
      <c r="Q49" s="20">
        <f>SUMIF('Ход 2032'!$G$29:$G$38,$A49,'Ход 2032'!$I$29:$I$38)</f>
        <v>0</v>
      </c>
      <c r="R49" s="20">
        <f>SUMIF('Ход 2033'!$G$29:$G$38,$A49,'Ход 2033'!$I$29:$I$38)</f>
        <v>0</v>
      </c>
      <c r="S49" s="20">
        <f>SUMIF('Ход 2034'!$G$29:$G$38,$A49,'Ход 2034'!$I$29:$I$38)</f>
        <v>0</v>
      </c>
      <c r="T49" s="20">
        <f>SUMIF('Ход 2035'!$G$29:$G$38,$A49,'Ход 2035'!$I$29:$I$38)</f>
        <v>0</v>
      </c>
      <c r="U49" s="20">
        <f>SUMIF('Ход 2036'!$G$29:$G$38,$A49,'Ход 2036'!$I$29:$I$38)</f>
        <v>0</v>
      </c>
      <c r="V49" s="20">
        <f>SUMIF('Ход 2037'!$G$29:$G$38,$A49,'Ход 2037'!$I$29:$I$38)</f>
        <v>0</v>
      </c>
      <c r="W49" s="20">
        <f>SUMIF('Ход 2038'!$G$29:$G$38,$A49,'Ход 2038'!$I$29:$I$38)</f>
        <v>0</v>
      </c>
      <c r="X49" s="20">
        <f>SUMIF('Ход 2039'!$G$29:$G$38,$A49,'Ход 2039'!$I$29:$I$38)</f>
        <v>0</v>
      </c>
      <c r="Y49" s="20">
        <f>SUMIF('Ход 2040'!$G$29:$G$38,$A49,'Ход 2040'!$I$29:$I$38)</f>
        <v>0</v>
      </c>
      <c r="Z49" s="21">
        <f t="shared" si="2"/>
        <v>0</v>
      </c>
      <c r="AA49" s="21">
        <f t="shared" si="3"/>
        <v>140</v>
      </c>
      <c r="AB49" s="12" t="str">
        <f t="shared" si="4"/>
        <v>ЗАКРЫТО</v>
      </c>
      <c r="AC49" s="22">
        <f t="shared" ref="AC49:AQ49" si="57">SUM($K49:K49)</f>
        <v>0</v>
      </c>
      <c r="AD49" s="22">
        <f t="shared" si="57"/>
        <v>0</v>
      </c>
      <c r="AE49" s="22">
        <f t="shared" si="57"/>
        <v>0</v>
      </c>
      <c r="AF49" s="22">
        <f t="shared" si="57"/>
        <v>0</v>
      </c>
      <c r="AG49" s="22">
        <f t="shared" si="57"/>
        <v>0</v>
      </c>
      <c r="AH49" s="22">
        <f t="shared" si="57"/>
        <v>0</v>
      </c>
      <c r="AI49" s="22">
        <f t="shared" si="57"/>
        <v>0</v>
      </c>
      <c r="AJ49" s="22">
        <f t="shared" si="57"/>
        <v>0</v>
      </c>
      <c r="AK49" s="22">
        <f t="shared" si="57"/>
        <v>0</v>
      </c>
      <c r="AL49" s="22">
        <f t="shared" si="57"/>
        <v>0</v>
      </c>
      <c r="AM49" s="22">
        <f t="shared" si="57"/>
        <v>0</v>
      </c>
      <c r="AN49" s="22">
        <f t="shared" si="57"/>
        <v>0</v>
      </c>
      <c r="AO49" s="22">
        <f t="shared" si="57"/>
        <v>0</v>
      </c>
      <c r="AP49" s="22">
        <f t="shared" si="57"/>
        <v>0</v>
      </c>
      <c r="AQ49" s="22">
        <f t="shared" si="57"/>
        <v>0</v>
      </c>
      <c r="AR49" s="22" t="str">
        <f t="shared" si="6"/>
        <v>ЗАКРЫТО</v>
      </c>
      <c r="AS49" s="22" t="str">
        <f t="shared" si="7"/>
        <v>ЗАКРЫТО</v>
      </c>
      <c r="AT49" s="22" t="str">
        <f t="shared" si="8"/>
        <v>ЗАКРЫТО</v>
      </c>
      <c r="AU49" s="22" t="str">
        <f t="shared" si="9"/>
        <v>ЗАКРЫТО</v>
      </c>
      <c r="AV49" s="22" t="str">
        <f t="shared" si="10"/>
        <v>ЗАКРЫТО</v>
      </c>
      <c r="AW49" s="22" t="str">
        <f t="shared" si="11"/>
        <v>ЗАКРЫТО</v>
      </c>
      <c r="AX49" s="22" t="str">
        <f t="shared" si="12"/>
        <v>ЗАКРЫТО</v>
      </c>
      <c r="AY49" s="22" t="str">
        <f t="shared" si="13"/>
        <v>ЗАКРЫТО</v>
      </c>
      <c r="AZ49" s="22" t="str">
        <f t="shared" si="14"/>
        <v>ЗАКРЫТО</v>
      </c>
      <c r="BA49" s="22" t="str">
        <f t="shared" si="15"/>
        <v>ЗАКРЫТО</v>
      </c>
      <c r="BB49" s="22" t="str">
        <f t="shared" si="16"/>
        <v>ЗАКРЫТО</v>
      </c>
      <c r="BC49" s="22" t="str">
        <f t="shared" si="17"/>
        <v>ЗАКРЫТО</v>
      </c>
      <c r="BD49" s="22" t="str">
        <f t="shared" si="18"/>
        <v>ЗАКРЫТО</v>
      </c>
      <c r="BE49" s="22" t="str">
        <f t="shared" si="19"/>
        <v>ЗАКРЫТО</v>
      </c>
      <c r="BF49" s="22" t="str">
        <f t="shared" si="20"/>
        <v>ЗАКРЫТО</v>
      </c>
    </row>
    <row r="50" ht="13.5" customHeight="1">
      <c r="A50" s="12" t="s">
        <v>382</v>
      </c>
      <c r="B50" s="12" t="s">
        <v>370</v>
      </c>
      <c r="C50" s="12" t="s">
        <v>383</v>
      </c>
      <c r="D50" s="12" t="s">
        <v>384</v>
      </c>
      <c r="E50" s="12">
        <v>190.0</v>
      </c>
      <c r="F50" s="12" t="s">
        <v>263</v>
      </c>
      <c r="G50" s="12" t="s">
        <v>315</v>
      </c>
      <c r="H50" s="12" t="s">
        <v>365</v>
      </c>
      <c r="I50" s="12" t="s">
        <v>385</v>
      </c>
      <c r="J50" s="12" t="s">
        <v>386</v>
      </c>
      <c r="K50" s="20">
        <f>SUMIF('Ход 2026'!$G$29:$G$38,$A50,'Ход 2026'!$I$29:$I$38)</f>
        <v>0</v>
      </c>
      <c r="L50" s="20">
        <f>SUMIF('Ход 2027'!$G$29:$G$38,$A50,'Ход 2027'!$I$29:$I$38)</f>
        <v>0</v>
      </c>
      <c r="M50" s="20">
        <f>SUMIF('Ход 2028'!$G$29:$G$38,$A50,'Ход 2028'!$I$29:$I$38)</f>
        <v>0</v>
      </c>
      <c r="N50" s="20">
        <f>SUMIF('Ход 2029'!$G$29:$G$38,$A50,'Ход 2029'!$I$29:$I$38)</f>
        <v>0</v>
      </c>
      <c r="O50" s="20">
        <f>SUMIF('Ход 2030'!$G$29:$G$38,$A50,'Ход 2030'!$I$29:$I$38)</f>
        <v>0</v>
      </c>
      <c r="P50" s="20">
        <f>SUMIF('Ход 2031'!$G$29:$G$38,$A50,'Ход 2031'!$I$29:$I$38)</f>
        <v>0</v>
      </c>
      <c r="Q50" s="20">
        <f>SUMIF('Ход 2032'!$G$29:$G$38,$A50,'Ход 2032'!$I$29:$I$38)</f>
        <v>0</v>
      </c>
      <c r="R50" s="20">
        <f>SUMIF('Ход 2033'!$G$29:$G$38,$A50,'Ход 2033'!$I$29:$I$38)</f>
        <v>0</v>
      </c>
      <c r="S50" s="20">
        <f>SUMIF('Ход 2034'!$G$29:$G$38,$A50,'Ход 2034'!$I$29:$I$38)</f>
        <v>0</v>
      </c>
      <c r="T50" s="20">
        <f>SUMIF('Ход 2035'!$G$29:$G$38,$A50,'Ход 2035'!$I$29:$I$38)</f>
        <v>0</v>
      </c>
      <c r="U50" s="20">
        <f>SUMIF('Ход 2036'!$G$29:$G$38,$A50,'Ход 2036'!$I$29:$I$38)</f>
        <v>0</v>
      </c>
      <c r="V50" s="20">
        <f>SUMIF('Ход 2037'!$G$29:$G$38,$A50,'Ход 2037'!$I$29:$I$38)</f>
        <v>0</v>
      </c>
      <c r="W50" s="20">
        <f>SUMIF('Ход 2038'!$G$29:$G$38,$A50,'Ход 2038'!$I$29:$I$38)</f>
        <v>0</v>
      </c>
      <c r="X50" s="20">
        <f>SUMIF('Ход 2039'!$G$29:$G$38,$A50,'Ход 2039'!$I$29:$I$38)</f>
        <v>0</v>
      </c>
      <c r="Y50" s="20">
        <f>SUMIF('Ход 2040'!$G$29:$G$38,$A50,'Ход 2040'!$I$29:$I$38)</f>
        <v>0</v>
      </c>
      <c r="Z50" s="21">
        <f t="shared" si="2"/>
        <v>0</v>
      </c>
      <c r="AA50" s="21">
        <f t="shared" si="3"/>
        <v>190</v>
      </c>
      <c r="AB50" s="12" t="str">
        <f t="shared" si="4"/>
        <v>ЗАКРЫТО</v>
      </c>
      <c r="AC50" s="22">
        <f t="shared" ref="AC50:AQ50" si="58">SUM($K50:K50)</f>
        <v>0</v>
      </c>
      <c r="AD50" s="22">
        <f t="shared" si="58"/>
        <v>0</v>
      </c>
      <c r="AE50" s="22">
        <f t="shared" si="58"/>
        <v>0</v>
      </c>
      <c r="AF50" s="22">
        <f t="shared" si="58"/>
        <v>0</v>
      </c>
      <c r="AG50" s="22">
        <f t="shared" si="58"/>
        <v>0</v>
      </c>
      <c r="AH50" s="22">
        <f t="shared" si="58"/>
        <v>0</v>
      </c>
      <c r="AI50" s="22">
        <f t="shared" si="58"/>
        <v>0</v>
      </c>
      <c r="AJ50" s="22">
        <f t="shared" si="58"/>
        <v>0</v>
      </c>
      <c r="AK50" s="22">
        <f t="shared" si="58"/>
        <v>0</v>
      </c>
      <c r="AL50" s="22">
        <f t="shared" si="58"/>
        <v>0</v>
      </c>
      <c r="AM50" s="22">
        <f t="shared" si="58"/>
        <v>0</v>
      </c>
      <c r="AN50" s="22">
        <f t="shared" si="58"/>
        <v>0</v>
      </c>
      <c r="AO50" s="22">
        <f t="shared" si="58"/>
        <v>0</v>
      </c>
      <c r="AP50" s="22">
        <f t="shared" si="58"/>
        <v>0</v>
      </c>
      <c r="AQ50" s="22">
        <f t="shared" si="58"/>
        <v>0</v>
      </c>
      <c r="AR50" s="22" t="str">
        <f t="shared" si="6"/>
        <v>ЗАКРЫТО</v>
      </c>
      <c r="AS50" s="22" t="str">
        <f t="shared" si="7"/>
        <v>ЗАКРЫТО</v>
      </c>
      <c r="AT50" s="22" t="str">
        <f t="shared" si="8"/>
        <v>ЗАКРЫТО</v>
      </c>
      <c r="AU50" s="22" t="str">
        <f t="shared" si="9"/>
        <v>ЗАКРЫТО</v>
      </c>
      <c r="AV50" s="22" t="str">
        <f t="shared" si="10"/>
        <v>ЗАКРЫТО</v>
      </c>
      <c r="AW50" s="22" t="str">
        <f t="shared" si="11"/>
        <v>ЗАКРЫТО</v>
      </c>
      <c r="AX50" s="22" t="str">
        <f t="shared" si="12"/>
        <v>ЗАКРЫТО</v>
      </c>
      <c r="AY50" s="22" t="str">
        <f t="shared" si="13"/>
        <v>ЗАКРЫТО</v>
      </c>
      <c r="AZ50" s="22" t="str">
        <f t="shared" si="14"/>
        <v>ЗАКРЫТО</v>
      </c>
      <c r="BA50" s="22" t="str">
        <f t="shared" si="15"/>
        <v>ЗАКРЫТО</v>
      </c>
      <c r="BB50" s="22" t="str">
        <f t="shared" si="16"/>
        <v>ЗАКРЫТО</v>
      </c>
      <c r="BC50" s="22" t="str">
        <f t="shared" si="17"/>
        <v>ЗАКРЫТО</v>
      </c>
      <c r="BD50" s="22" t="str">
        <f t="shared" si="18"/>
        <v>ЗАКРЫТО</v>
      </c>
      <c r="BE50" s="22" t="str">
        <f t="shared" si="19"/>
        <v>ЗАКРЫТО</v>
      </c>
      <c r="BF50" s="22" t="str">
        <f t="shared" si="20"/>
        <v>ЗАКРЫТО</v>
      </c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$AB$10:$AB$50"/>
  <mergeCells count="10">
    <mergeCell ref="I5:K5"/>
    <mergeCell ref="I6:K7"/>
    <mergeCell ref="A1:AB2"/>
    <mergeCell ref="A3:AB3"/>
    <mergeCell ref="A5:C5"/>
    <mergeCell ref="E5:G5"/>
    <mergeCell ref="M5:N5"/>
    <mergeCell ref="A6:C7"/>
    <mergeCell ref="E6:G7"/>
    <mergeCell ref="M6:N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61.99877611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56.7631046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58.94569223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83.126867</v>
      </c>
      <c r="V6" s="3"/>
      <c r="W6" s="5"/>
      <c r="X6" s="12"/>
    </row>
    <row r="7" ht="13.5" customHeight="1">
      <c r="A7" s="27" t="s">
        <v>109</v>
      </c>
      <c r="B7" s="27"/>
      <c r="C7" s="27"/>
      <c r="D7" s="25"/>
      <c r="E7" s="25"/>
      <c r="F7" s="25"/>
      <c r="G7" s="25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v>9.0</v>
      </c>
      <c r="C8" s="12">
        <v>0.05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v>5.0</v>
      </c>
      <c r="C9" s="12">
        <v>0.2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5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v>9.0</v>
      </c>
      <c r="C10" s="12">
        <v>0.1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9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v>9.0</v>
      </c>
      <c r="C11" s="12">
        <v>0.0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</v>
      </c>
      <c r="J11" s="12"/>
      <c r="K11" s="12" t="s">
        <v>110</v>
      </c>
      <c r="L11" s="12">
        <v>5.5</v>
      </c>
      <c r="M11" s="12">
        <v>0.35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5.5</v>
      </c>
      <c r="T11" s="12"/>
      <c r="U11" s="12" t="s">
        <v>111</v>
      </c>
      <c r="V11" s="12"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v>9.0</v>
      </c>
      <c r="C12" s="12">
        <v>0.0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v>5.5</v>
      </c>
      <c r="M12" s="12">
        <v>0.35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5.5</v>
      </c>
      <c r="T12" s="12"/>
      <c r="U12" s="12" t="s">
        <v>122</v>
      </c>
      <c r="V12" s="12"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v>3.0</v>
      </c>
      <c r="C13" s="12">
        <v>0.25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3</v>
      </c>
      <c r="J13" s="12"/>
      <c r="K13" s="12" t="s">
        <v>127</v>
      </c>
      <c r="L13" s="12">
        <v>6.5</v>
      </c>
      <c r="M13" s="12">
        <v>0.35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6.5</v>
      </c>
      <c r="T13" s="12"/>
      <c r="U13" s="12" t="s">
        <v>128</v>
      </c>
      <c r="V13" s="12"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v>3.0</v>
      </c>
      <c r="C14" s="12">
        <v>0.2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3</v>
      </c>
      <c r="J14" s="12"/>
      <c r="K14" s="12" t="s">
        <v>131</v>
      </c>
      <c r="L14" s="12">
        <v>5.5</v>
      </c>
      <c r="M14" s="12">
        <v>0.4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5.5</v>
      </c>
      <c r="T14" s="12"/>
      <c r="U14" s="12" t="s">
        <v>132</v>
      </c>
      <c r="V14" s="12">
        <v>-1.8</v>
      </c>
      <c r="W14" s="12" t="str">
        <f t="shared" si="3"/>
        <v>Конфронтация</v>
      </c>
      <c r="X14" s="12" t="s">
        <v>133</v>
      </c>
    </row>
    <row r="15" ht="13.5" customHeight="1">
      <c r="A15" s="12" t="s">
        <v>134</v>
      </c>
      <c r="B15" s="12">
        <v>6.0</v>
      </c>
      <c r="C15" s="12">
        <v>0.4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6</v>
      </c>
      <c r="J15" s="12"/>
      <c r="K15" s="12" t="s">
        <v>135</v>
      </c>
      <c r="L15" s="12">
        <v>6.0</v>
      </c>
      <c r="M15" s="12"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6</v>
      </c>
      <c r="T15" s="12"/>
      <c r="U15" s="12" t="s">
        <v>136</v>
      </c>
      <c r="V15" s="12"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v>8.0</v>
      </c>
      <c r="C16" s="12">
        <v>0.2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8</v>
      </c>
      <c r="J16" s="12"/>
      <c r="K16" s="12" t="s">
        <v>142</v>
      </c>
      <c r="L16" s="12">
        <v>6.5</v>
      </c>
      <c r="M16" s="12">
        <v>0.45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6.5</v>
      </c>
      <c r="T16" s="12"/>
      <c r="U16" s="12" t="s">
        <v>145</v>
      </c>
      <c r="V16" s="12"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v>7.0</v>
      </c>
      <c r="C17" s="12">
        <v>0.15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7</v>
      </c>
      <c r="J17" s="12"/>
      <c r="K17" s="12" t="s">
        <v>148</v>
      </c>
      <c r="L17" s="12">
        <v>6.5</v>
      </c>
      <c r="M17" s="12">
        <v>0.4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6.5</v>
      </c>
      <c r="T17" s="12"/>
      <c r="U17" s="12" t="s">
        <v>149</v>
      </c>
      <c r="V17" s="12">
        <v>-1.3</v>
      </c>
      <c r="W17" s="12" t="str">
        <f t="shared" si="3"/>
        <v>Конфронтация</v>
      </c>
      <c r="X17" s="12" t="s">
        <v>150</v>
      </c>
    </row>
    <row r="18" ht="13.5" customHeight="1">
      <c r="A18" s="27" t="s">
        <v>151</v>
      </c>
      <c r="B18" s="27"/>
      <c r="C18" s="27"/>
      <c r="D18" s="25"/>
      <c r="E18" s="25"/>
      <c r="F18" s="25"/>
      <c r="G18" s="25"/>
      <c r="H18" s="27"/>
      <c r="I18" s="27"/>
      <c r="J18" s="12"/>
      <c r="K18" s="12" t="s">
        <v>152</v>
      </c>
      <c r="L18" s="12">
        <v>6.0</v>
      </c>
      <c r="M18" s="12">
        <v>0.35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6</v>
      </c>
      <c r="T18" s="12"/>
      <c r="U18" s="12" t="s">
        <v>153</v>
      </c>
      <c r="V18" s="12"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v>7.0</v>
      </c>
      <c r="C19" s="12"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7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12"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v>8.0</v>
      </c>
      <c r="C20" s="12">
        <v>0.3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8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12"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v>7.0</v>
      </c>
      <c r="C21" s="12"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7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12"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v>9.0</v>
      </c>
      <c r="C22" s="12"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9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12"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v>8.0</v>
      </c>
      <c r="C23" s="12">
        <v>0.3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8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12"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5"/>
      <c r="E24" s="25"/>
      <c r="F24" s="25"/>
      <c r="G24" s="25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12"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v>8.0</v>
      </c>
      <c r="C25" s="12">
        <v>0.25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8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12"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v>6.0</v>
      </c>
      <c r="C26" s="12">
        <v>0.3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6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12">
        <v>0.0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v>7.0</v>
      </c>
      <c r="C27" s="12">
        <v>0.25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7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v>7.0</v>
      </c>
      <c r="C28" s="12">
        <v>0.4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7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v>6.0</v>
      </c>
      <c r="C29" s="12">
        <v>0.3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v>6.0</v>
      </c>
      <c r="C30" s="12"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v>5.0</v>
      </c>
      <c r="C31" s="12"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v>9.0</v>
      </c>
      <c r="C32" s="12"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5"/>
      <c r="E33" s="25"/>
      <c r="F33" s="25"/>
      <c r="G33" s="25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v>8.0</v>
      </c>
      <c r="C34" s="12">
        <v>0.15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8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v>9.0</v>
      </c>
      <c r="C35" s="12"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v>8.0</v>
      </c>
      <c r="C36" s="12"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8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v>6.0</v>
      </c>
      <c r="C37" s="12"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6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v>6.0</v>
      </c>
      <c r="C38" s="12"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6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v>6.0</v>
      </c>
      <c r="C39" s="12"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v>7.0</v>
      </c>
      <c r="C40" s="12"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v>7.0</v>
      </c>
      <c r="C41" s="12"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7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v>8.0</v>
      </c>
      <c r="C42" s="12"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8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5"/>
      <c r="E43" s="25"/>
      <c r="F43" s="25"/>
      <c r="G43" s="25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v>6.0</v>
      </c>
      <c r="C44" s="12">
        <v>0.2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6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v>6.0</v>
      </c>
      <c r="C45" s="12"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6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v>5.0</v>
      </c>
      <c r="C46" s="12"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v>3.0</v>
      </c>
      <c r="C47" s="12">
        <v>-0.1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v>6.0</v>
      </c>
      <c r="C48" s="12">
        <v>0.15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6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v>7.0</v>
      </c>
      <c r="C49" s="12"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7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v>9.0</v>
      </c>
      <c r="C50" s="12"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v>6.0</v>
      </c>
      <c r="C51" s="12"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6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5"/>
      <c r="E52" s="25"/>
      <c r="F52" s="25"/>
      <c r="G52" s="25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v>6.0</v>
      </c>
      <c r="C53" s="12"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6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v>6.0</v>
      </c>
      <c r="C54" s="12"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6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v>5.0</v>
      </c>
      <c r="C55" s="12"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2026'!U6</f>
        <v>83.126867</v>
      </c>
      <c r="C6" s="12"/>
      <c r="D6" s="12"/>
      <c r="E6" s="12" t="s">
        <v>54</v>
      </c>
      <c r="F6" s="19">
        <f>'Россия 2026'!K6</f>
        <v>61.99877611</v>
      </c>
      <c r="G6" s="12"/>
      <c r="H6" s="12"/>
      <c r="I6" s="12" t="s">
        <v>54</v>
      </c>
      <c r="J6" s="19">
        <f>'Россия 2026'!N6</f>
        <v>56.7631046</v>
      </c>
      <c r="K6" s="12"/>
      <c r="L6" s="12"/>
      <c r="M6" s="12" t="s">
        <v>54</v>
      </c>
      <c r="N6" s="19">
        <f>'Россия 2026'!Q6</f>
        <v>58.94569223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83.1</v>
      </c>
      <c r="C7" s="12"/>
      <c r="D7" s="12"/>
      <c r="E7" s="12" t="s">
        <v>90</v>
      </c>
      <c r="F7" s="12">
        <f>SUM(H13:H20)</f>
        <v>62</v>
      </c>
      <c r="G7" s="12"/>
      <c r="H7" s="12"/>
      <c r="I7" s="12" t="s">
        <v>90</v>
      </c>
      <c r="J7" s="12">
        <f>SUM(I29:I38)</f>
        <v>56.8</v>
      </c>
      <c r="K7" s="12"/>
      <c r="L7" s="12"/>
      <c r="M7" s="12" t="s">
        <v>90</v>
      </c>
      <c r="N7" s="12">
        <f>SUM(N13:Q28)+J24</f>
        <v>58.9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0.02686699825</v>
      </c>
      <c r="C8" s="12" t="str">
        <f>IF(B8&lt;0,"ПРЕВЫШЕНИЕ","OK")</f>
        <v>OK</v>
      </c>
      <c r="D8" s="12"/>
      <c r="E8" s="12" t="s">
        <v>91</v>
      </c>
      <c r="F8" s="19">
        <f>F6-F7</f>
        <v>-0.001223889852</v>
      </c>
      <c r="G8" s="12" t="str">
        <f>IF(F8&lt;0,"ПРЕВЫШЕНИЕ","OK")</f>
        <v>ПРЕВЫШЕНИЕ</v>
      </c>
      <c r="H8" s="12"/>
      <c r="I8" s="12" t="s">
        <v>91</v>
      </c>
      <c r="J8" s="19">
        <f>J6-J7</f>
        <v>-0.03689540276</v>
      </c>
      <c r="K8" s="12" t="str">
        <f>IF(J8&lt;0,"ПРЕВЫШЕНИЕ","OK")</f>
        <v>ПРЕВЫШЕНИЕ</v>
      </c>
      <c r="L8" s="12"/>
      <c r="M8" s="12" t="s">
        <v>91</v>
      </c>
      <c r="N8" s="19">
        <f>N6-N7</f>
        <v>0.04569223155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6">
        <v>5.0</v>
      </c>
      <c r="I13" s="12"/>
      <c r="J13" s="12"/>
      <c r="K13" s="12"/>
      <c r="L13" s="12" t="s">
        <v>111</v>
      </c>
      <c r="M13" s="12">
        <f>'Россия 2026'!V11</f>
        <v>-1.5</v>
      </c>
      <c r="N13" s="26">
        <v>4.9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0.2375761894</v>
      </c>
      <c r="S13" s="28">
        <f t="shared" ref="S13:S28" si="2">MAX(0,1-R13-T13)</f>
        <v>0.6925048772</v>
      </c>
      <c r="T13" s="28">
        <f t="shared" ref="T13:T28" si="3">IF(M13&lt;=-5,0,MAX(0,(0.1-0.08*(IF(M13=0,0,SIGN(M13)*POWER(ABS(M13)/5,1.25))))*(1-0.85*(MIN(1,LN(1+N13)/LN(41))))))</f>
        <v>0.06991893334</v>
      </c>
      <c r="U13" s="12">
        <f t="shared" ref="U13:U28" si="4">RANDBETWEEN(0,100)</f>
        <v>83</v>
      </c>
    </row>
    <row r="14" ht="13.5" customHeight="1">
      <c r="A14" s="12" t="s">
        <v>112</v>
      </c>
      <c r="B14" s="26">
        <v>0.0</v>
      </c>
      <c r="C14" s="26">
        <v>5.0</v>
      </c>
      <c r="D14" s="12"/>
      <c r="E14" s="12"/>
      <c r="F14" s="12"/>
      <c r="G14" s="12" t="s">
        <v>121</v>
      </c>
      <c r="H14" s="26">
        <v>5.0</v>
      </c>
      <c r="I14" s="12"/>
      <c r="J14" s="12"/>
      <c r="K14" s="12"/>
      <c r="L14" s="12" t="s">
        <v>122</v>
      </c>
      <c r="M14" s="12">
        <f>'Россия 2026'!V12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90</v>
      </c>
    </row>
    <row r="15" ht="13.5" customHeight="1">
      <c r="A15" s="12" t="s">
        <v>113</v>
      </c>
      <c r="B15" s="26">
        <v>0.0</v>
      </c>
      <c r="C15" s="26">
        <v>5.0</v>
      </c>
      <c r="D15" s="12"/>
      <c r="E15" s="12"/>
      <c r="F15" s="12"/>
      <c r="G15" s="12" t="s">
        <v>127</v>
      </c>
      <c r="H15" s="26">
        <v>2.0</v>
      </c>
      <c r="I15" s="12"/>
      <c r="J15" s="12"/>
      <c r="K15" s="12"/>
      <c r="L15" s="12" t="s">
        <v>128</v>
      </c>
      <c r="M15" s="12">
        <f>'Россия 2026'!V13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23</v>
      </c>
    </row>
    <row r="16" ht="13.5" customHeight="1">
      <c r="A16" s="12" t="s">
        <v>116</v>
      </c>
      <c r="B16" s="26">
        <v>0.0</v>
      </c>
      <c r="C16" s="26">
        <v>5.0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2026'!V14</f>
        <v>-1.8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0.07769161593</v>
      </c>
      <c r="S16" s="28">
        <f t="shared" si="2"/>
        <v>0.8</v>
      </c>
      <c r="T16" s="28">
        <f t="shared" si="3"/>
        <v>0.1223083841</v>
      </c>
      <c r="U16" s="12">
        <f t="shared" si="4"/>
        <v>93</v>
      </c>
    </row>
    <row r="17" ht="13.5" customHeight="1">
      <c r="A17" s="12" t="s">
        <v>120</v>
      </c>
      <c r="B17" s="26">
        <v>0.0</v>
      </c>
      <c r="C17" s="26">
        <v>5.0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2026'!V15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28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2026'!V16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75</v>
      </c>
    </row>
    <row r="19" ht="13.5" customHeight="1">
      <c r="A19" s="12" t="s">
        <v>126</v>
      </c>
      <c r="B19" s="26">
        <v>0.0</v>
      </c>
      <c r="C19" s="26">
        <v>5.0</v>
      </c>
      <c r="D19" s="12"/>
      <c r="E19" s="12"/>
      <c r="F19" s="12"/>
      <c r="G19" s="12" t="s">
        <v>148</v>
      </c>
      <c r="H19" s="26">
        <v>30.0</v>
      </c>
      <c r="I19" s="12"/>
      <c r="J19" s="12"/>
      <c r="K19" s="12"/>
      <c r="L19" s="12" t="s">
        <v>149</v>
      </c>
      <c r="M19" s="12">
        <f>'Россия 2026'!V17</f>
        <v>-1.3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0.08514725681</v>
      </c>
      <c r="S19" s="28">
        <f t="shared" si="2"/>
        <v>0.8</v>
      </c>
      <c r="T19" s="28">
        <f t="shared" si="3"/>
        <v>0.1148527432</v>
      </c>
      <c r="U19" s="12">
        <f t="shared" si="4"/>
        <v>69</v>
      </c>
    </row>
    <row r="20" ht="13.5" customHeight="1">
      <c r="A20" s="12" t="s">
        <v>130</v>
      </c>
      <c r="B20" s="26">
        <v>0.0</v>
      </c>
      <c r="C20" s="26">
        <v>10.0</v>
      </c>
      <c r="D20" s="12"/>
      <c r="E20" s="12"/>
      <c r="F20" s="12"/>
      <c r="G20" s="12" t="s">
        <v>152</v>
      </c>
      <c r="H20" s="26">
        <v>20.0</v>
      </c>
      <c r="I20" s="12"/>
      <c r="J20" s="12"/>
      <c r="K20" s="12"/>
      <c r="L20" s="12" t="s">
        <v>153</v>
      </c>
      <c r="M20" s="12">
        <f>'Россия 2026'!V18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10</v>
      </c>
    </row>
    <row r="21" ht="13.5" customHeight="1">
      <c r="A21" s="12" t="s">
        <v>134</v>
      </c>
      <c r="B21" s="26">
        <v>0.0</v>
      </c>
      <c r="C21" s="26">
        <v>10.0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2026'!V19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26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2026'!V20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69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2026'!V21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29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6">
        <v>18.0</v>
      </c>
      <c r="H24" s="26">
        <v>18.0</v>
      </c>
      <c r="I24" s="26">
        <v>18.0</v>
      </c>
      <c r="J24" s="12">
        <f>SUM(G24:I24)</f>
        <v>54</v>
      </c>
      <c r="K24" s="12"/>
      <c r="L24" s="12" t="s">
        <v>165</v>
      </c>
      <c r="M24" s="12">
        <f>'Россия 2026'!V22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93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2026'!V23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72</v>
      </c>
    </row>
    <row r="26" ht="13.5" customHeight="1">
      <c r="A26" s="12" t="s">
        <v>158</v>
      </c>
      <c r="B26" s="26">
        <v>0.0</v>
      </c>
      <c r="C26" s="26">
        <v>5.0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2026'!V24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40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2026'!V25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38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2026'!V26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53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12" t="s">
        <v>222</v>
      </c>
      <c r="H29" s="20" t="str">
        <f>IF(G29="","",VLOOKUP(G29,'Технологии'!$A$11:$D$50,4,FALSE))</f>
        <v>ИИ-копилоты с использованием инструментов</v>
      </c>
      <c r="I29" s="26">
        <v>20.0</v>
      </c>
      <c r="J29" s="25"/>
      <c r="K29" s="20" t="str">
        <f>IF(G29="","",VLOOKUP(G29,'Технологии'!$A$11:$BF$50,44,FALSE))</f>
        <v>ИЗУЧЕНО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12" t="s">
        <v>228</v>
      </c>
      <c r="H30" s="20" t="str">
        <f>IF(G30="","",VLOOKUP(G30,'Технологии'!$A$11:$D$50,4,FALSE))</f>
        <v>Эффективное обучение моделей</v>
      </c>
      <c r="I30" s="26">
        <v>20.0</v>
      </c>
      <c r="J30" s="25"/>
      <c r="K30" s="20" t="str">
        <f>IF(G30="","",VLOOKUP(G30,'Технологии'!$A$11:$BF$50,44,FALSE))</f>
        <v>ИЗУЧЕНО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12" t="s">
        <v>229</v>
      </c>
      <c r="H31" s="20" t="str">
        <f>IF(G31="","",VLOOKUP(G31,'Технологии'!$A$11:$D$50,4,FALSE))</f>
        <v>Систематическая оценка ИИ</v>
      </c>
      <c r="I31" s="26">
        <v>16.8</v>
      </c>
      <c r="J31" s="25"/>
      <c r="K31" s="20" t="str">
        <f>IF(G31="","",VLOOKUP(G31,'Технологии'!$A$11:$BF$50,44,FALSE))</f>
        <v>ОТКРЫТО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6">
        <v>0.0</v>
      </c>
      <c r="C32" s="26">
        <v>5.0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IF(G32="","",VLOOKUP(G32,'Технологии'!$A$11:$BF$50,44,FALSE))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IF(G33="","",VLOOKUP(G33,'Технологии'!$A$11:$BF$50,44,FALSE))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IF(G34="","",VLOOKUP(G34,'Технологии'!$A$11:$BF$50,44,FALSE))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IF(G35="","",VLOOKUP(G35,'Технологии'!$A$11:$BF$50,44,FALSE))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IF(G36="","",VLOOKUP(G36,'Технологии'!$A$11:$BF$50,44,FALSE))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IF(G37="","",VLOOKUP(G37,'Технологии'!$A$11:$BF$50,44,FALSE))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IF(G38="","",VLOOKUP(G38,'Технологии'!$A$11:$BF$50,44,FALSE))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6">
        <v>0.0</v>
      </c>
      <c r="C40" s="26">
        <v>5.0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6">
        <v>0.0</v>
      </c>
      <c r="C50" s="26">
        <v>5.0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6">
        <v>0.0</v>
      </c>
      <c r="C53" s="26">
        <v>13.1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6">
        <v>5.0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6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64.53160599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59.32359978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60.95482576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84.65922394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2026'!B8+'Россия 2026'!D8+('Россия 2026'!C8+'Россия 2026'!F8+'Россия 2026'!G8)+(0.35*LN(1+0.6*'Ход 2026'!B14)*POWER(MAX(0,1-'Россия 2026'!I8/10),0.7))))</f>
        <v>9.05</v>
      </c>
      <c r="C8" s="12">
        <f>MIN(1,'Россия 2026'!C8+'Россия 2026'!F8+(0.08*LN(1+0.5*'Ход 2026'!C14)*MAX(0,1-('Россия 2026'!C8+'Россия 2026'!F8))))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9.05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2026'!B9+'Россия 2026'!D9+('Россия 2026'!C9+'Россия 2026'!F9+'Россия 2026'!G9)+(0.35*LN(1+0.6*'Ход 2026'!B15)*POWER(MAX(0,1-'Россия 2026'!I9/10),0.7))))</f>
        <v>5.2</v>
      </c>
      <c r="C9" s="12">
        <f>MIN(1,'Россия 2026'!C9+'Россия 2026'!F9+(0.08*LN(1+0.5*'Ход 2026'!C15)*MAX(0,1-('Россия 2026'!C9+'Россия 2026'!F9))))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5.2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2026'!B10+'Россия 2026'!D10+('Россия 2026'!C10+'Россия 2026'!F10+'Россия 2026'!G10)+(0.35*LN(1+0.6*'Ход 2026'!B16)*POWER(MAX(0,1-'Россия 2026'!I10/10),0.7))))</f>
        <v>9.1</v>
      </c>
      <c r="C10" s="12">
        <f>MIN(1,'Россия 2026'!C10+'Россия 2026'!F10+(0.08*LN(1+0.5*'Ход 2026'!C16)*MAX(0,1-('Россия 2026'!C10+'Россия 2026'!F10))))</f>
        <v>0.1901989337</v>
      </c>
      <c r="D10" s="25">
        <v>0.0</v>
      </c>
      <c r="E10" s="26">
        <v>-0.4</v>
      </c>
      <c r="F10" s="25">
        <v>0.0</v>
      </c>
      <c r="G10" s="25">
        <v>0.0</v>
      </c>
      <c r="H10" s="12">
        <v>0.0</v>
      </c>
      <c r="I10" s="12">
        <f t="shared" si="1"/>
        <v>8.7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2026'!B11+'Россия 2026'!D11+('Россия 2026'!C11+'Россия 2026'!F11+'Россия 2026'!G11)+(0.35*LN(1+0.6*'Ход 2026'!B17)*POWER(MAX(0,1-'Россия 2026'!I11/10),0.7))))</f>
        <v>9</v>
      </c>
      <c r="C11" s="12">
        <f>MIN(1,'Россия 2026'!C11+'Россия 2026'!F11+(0.08*LN(1+0.5*'Ход 2026'!C17)*MAX(0,1-('Россия 2026'!C11+'Россия 2026'!F11))))</f>
        <v>0.1002210375</v>
      </c>
      <c r="D11" s="25">
        <v>0.0</v>
      </c>
      <c r="E11" s="26">
        <v>0.2</v>
      </c>
      <c r="F11" s="25">
        <v>0.0</v>
      </c>
      <c r="G11" s="25">
        <v>0.0</v>
      </c>
      <c r="H11" s="12">
        <v>0.0</v>
      </c>
      <c r="I11" s="12">
        <f t="shared" si="1"/>
        <v>9.2</v>
      </c>
      <c r="J11" s="12"/>
      <c r="K11" s="12" t="s">
        <v>110</v>
      </c>
      <c r="L11" s="12">
        <f>MAX(1,MIN(10,'Россия 2026'!L11+'Россия 2026'!N11+('Россия 2026'!M11+'Россия 2026'!P11+'Россия 2026'!Q11)))</f>
        <v>5.85</v>
      </c>
      <c r="M11" s="12">
        <f>MIN(1,'Россия 2026'!M11+'Россия 2026'!P11+(0.1*LN(1+0.5*'Ход 2026'!H13)*POWER(MAX(0,1-'Россия 2026'!S11/10),0.8)))</f>
        <v>0.4161361513</v>
      </c>
      <c r="N11" s="25">
        <v>0.0</v>
      </c>
      <c r="O11" s="25">
        <v>0.0</v>
      </c>
      <c r="P11" s="26">
        <v>0.02</v>
      </c>
      <c r="Q11" s="25">
        <v>0.0</v>
      </c>
      <c r="R11" s="12">
        <v>0.0</v>
      </c>
      <c r="S11" s="12">
        <f t="shared" ref="S11:S18" si="2">MAX(1,MIN(10,L11+N11+O11+R11))</f>
        <v>5.85</v>
      </c>
      <c r="T11" s="12"/>
      <c r="U11" s="12" t="s">
        <v>111</v>
      </c>
      <c r="V11" s="25">
        <f>'Россия 2026'!V11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2026'!B12+'Россия 2026'!D12+('Россия 2026'!C12+'Россия 2026'!F12+'Россия 2026'!G12)+(0.35*LN(1+0.6*'Ход 2026'!B18)*POWER(MAX(0,1-'Россия 2026'!I12/10),0.7))))</f>
        <v>9</v>
      </c>
      <c r="C12" s="12">
        <f>MIN(1,'Россия 2026'!C12+'Россия 2026'!F12+(0.08*LN(1+0.5*'Ход 2026'!C18)*MAX(0,1-('Россия 2026'!C12+'Россия 2026'!F12))))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2026'!L12+'Россия 2026'!N12+('Россия 2026'!M12+'Россия 2026'!P12+'Россия 2026'!Q12)))</f>
        <v>5.85</v>
      </c>
      <c r="M12" s="12">
        <f>MIN(1,'Россия 2026'!M12+'Россия 2026'!P12+(0.1*LN(1+0.5*'Ход 2026'!H14)*POWER(MAX(0,1-'Россия 2026'!S12/10),0.8)))</f>
        <v>0.4161361513</v>
      </c>
      <c r="N12" s="25">
        <v>0.0</v>
      </c>
      <c r="O12" s="25">
        <v>0.0</v>
      </c>
      <c r="P12" s="26">
        <v>0.05</v>
      </c>
      <c r="Q12" s="25">
        <v>0.0</v>
      </c>
      <c r="R12" s="12">
        <v>0.0</v>
      </c>
      <c r="S12" s="12">
        <f t="shared" si="2"/>
        <v>5.85</v>
      </c>
      <c r="T12" s="12"/>
      <c r="U12" s="12" t="s">
        <v>122</v>
      </c>
      <c r="V12" s="25">
        <f>'Россия 2026'!V12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2026'!B13+'Россия 2026'!D13+('Россия 2026'!C13+'Россия 2026'!F13+'Россия 2026'!G13)+(0.35*LN(1+0.6*'Ход 2026'!B19)*POWER(MAX(0,1-'Россия 2026'!I13/10),0.7))))</f>
        <v>3.25</v>
      </c>
      <c r="C13" s="12">
        <f>MIN(1,'Россия 2026'!C13+'Россия 2026'!F13+(0.08*LN(1+0.5*'Ход 2026'!C19)*MAX(0,1-('Россия 2026'!C13+'Россия 2026'!F13))))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3.25</v>
      </c>
      <c r="J13" s="12"/>
      <c r="K13" s="12" t="s">
        <v>127</v>
      </c>
      <c r="L13" s="12">
        <f>MAX(1,MIN(10,'Россия 2026'!L13+'Россия 2026'!N13+('Россия 2026'!M13+'Россия 2026'!P13+'Россия 2026'!Q13)))</f>
        <v>6.85</v>
      </c>
      <c r="M13" s="12">
        <f>MIN(1,'Россия 2026'!M13+'Россия 2026'!P13+(0.1*LN(1+0.5*'Ход 2026'!H15)*POWER(MAX(0,1-'Россия 2026'!S13/10),0.8)))</f>
        <v>0.3799281517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6.85</v>
      </c>
      <c r="T13" s="12"/>
      <c r="U13" s="12" t="s">
        <v>128</v>
      </c>
      <c r="V13" s="25">
        <f>'Россия 2026'!V13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2026'!B14+'Россия 2026'!D14+('Россия 2026'!C14+'Россия 2026'!F14+'Россия 2026'!G14)+(0.35*LN(1+0.6*'Ход 2026'!B20)*POWER(MAX(0,1-'Россия 2026'!I14/10),0.7))))</f>
        <v>3.2</v>
      </c>
      <c r="C14" s="12">
        <f>MIN(1,'Россия 2026'!C14+'Россия 2026'!F14+(0.08*LN(1+0.5*'Ход 2026'!C20)*MAX(0,1-('Россия 2026'!C14+'Россия 2026'!F14))))</f>
        <v>0.314672606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3.2</v>
      </c>
      <c r="J14" s="12"/>
      <c r="K14" s="12" t="s">
        <v>131</v>
      </c>
      <c r="L14" s="12">
        <f>MAX(1,MIN(10,'Россия 2026'!L14+'Россия 2026'!N14+('Россия 2026'!M14+'Россия 2026'!P14+'Россия 2026'!Q14)))</f>
        <v>5.9</v>
      </c>
      <c r="M14" s="12">
        <f>MIN(1,'Россия 2026'!M14+'Россия 2026'!P14+(0.1*LN(1+0.5*'Ход 2026'!H16)*POWER(MAX(0,1-'Россия 2026'!S14/10),0.8)))</f>
        <v>0.4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5.9</v>
      </c>
      <c r="T14" s="12"/>
      <c r="U14" s="12" t="s">
        <v>132</v>
      </c>
      <c r="V14" s="25">
        <f>'Россия 2026'!V14+1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2026'!B15+'Россия 2026'!D15+('Россия 2026'!C15+'Россия 2026'!F15+'Россия 2026'!G15)+(0.35*LN(1+0.6*'Ход 2026'!B21)*POWER(MAX(0,1-'Россия 2026'!I15/10),0.7))))</f>
        <v>6.4</v>
      </c>
      <c r="C15" s="12">
        <f>MIN(1,'Россия 2026'!C15+'Россия 2026'!F15+(0.08*LN(1+0.5*'Ход 2026'!C21)*MAX(0,1-('Россия 2026'!C15+'Россия 2026'!F15))))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6.4</v>
      </c>
      <c r="J15" s="12"/>
      <c r="K15" s="12" t="s">
        <v>135</v>
      </c>
      <c r="L15" s="12">
        <f>MAX(1,MIN(10,'Россия 2026'!L15+'Россия 2026'!N15+('Россия 2026'!M15+'Россия 2026'!P15+'Россия 2026'!Q15)))</f>
        <v>6.25</v>
      </c>
      <c r="M15" s="12">
        <f>MIN(1,'Россия 2026'!M15+'Россия 2026'!P15+(0.1*LN(1+0.5*'Ход 2026'!H17)*POWER(MAX(0,1-'Россия 2026'!S15/10),0.8)))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6.25</v>
      </c>
      <c r="T15" s="12"/>
      <c r="U15" s="12" t="s">
        <v>136</v>
      </c>
      <c r="V15" s="25">
        <f>'Россия 2026'!V15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2026'!B16+'Россия 2026'!D16+('Россия 2026'!C16+'Россия 2026'!F16+'Россия 2026'!G16)+(0.35*LN(1+0.6*'Ход 2026'!B22)*POWER(MAX(0,1-'Россия 2026'!I16/10),0.7))))</f>
        <v>8.2</v>
      </c>
      <c r="C16" s="12">
        <f>MIN(1,'Россия 2026'!C16+'Россия 2026'!F16+(0.08*LN(1+0.5*'Ход 2026'!C22)*MAX(0,1-('Россия 2026'!C16+'Россия 2026'!F16))))</f>
        <v>0.2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8.2</v>
      </c>
      <c r="J16" s="12"/>
      <c r="K16" s="12" t="s">
        <v>142</v>
      </c>
      <c r="L16" s="12">
        <f>MAX(1,MIN(10,'Россия 2026'!L16+'Россия 2026'!N16+('Россия 2026'!M16+'Россия 2026'!P16+'Россия 2026'!Q16)))</f>
        <v>6.95</v>
      </c>
      <c r="M16" s="12">
        <f>MIN(1,'Россия 2026'!M16+'Россия 2026'!P16+(0.1*LN(1+0.5*'Ход 2026'!H18)*POWER(MAX(0,1-'Россия 2026'!S16/10),0.8)))</f>
        <v>0.45</v>
      </c>
      <c r="N16" s="25">
        <v>0.0</v>
      </c>
      <c r="O16" s="25">
        <v>0.0</v>
      </c>
      <c r="P16" s="26">
        <v>0.05</v>
      </c>
      <c r="Q16" s="25">
        <v>0.0</v>
      </c>
      <c r="R16" s="12">
        <v>0.0</v>
      </c>
      <c r="S16" s="12">
        <f t="shared" si="2"/>
        <v>6.95</v>
      </c>
      <c r="T16" s="12"/>
      <c r="U16" s="12" t="s">
        <v>145</v>
      </c>
      <c r="V16" s="25">
        <f>'Россия 2026'!V16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2026'!B17+'Россия 2026'!D17+('Россия 2026'!C17+'Россия 2026'!F17+'Россия 2026'!G17)+(0.35*LN(1+0.6*'Ход 2026'!B23)*POWER(MAX(0,1-'Россия 2026'!I17/10),0.7))))</f>
        <v>7.15</v>
      </c>
      <c r="C17" s="12">
        <f>MIN(1,'Россия 2026'!C17+'Россия 2026'!F17+(0.08*LN(1+0.5*'Ход 2026'!C23)*MAX(0,1-('Россия 2026'!C17+'Россия 2026'!F17))))</f>
        <v>0.15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7.15</v>
      </c>
      <c r="J17" s="12"/>
      <c r="K17" s="12" t="s">
        <v>148</v>
      </c>
      <c r="L17" s="12">
        <f>MAX(1,MIN(10,'Россия 2026'!L17+'Россия 2026'!N17+('Россия 2026'!M17+'Россия 2026'!P17+'Россия 2026'!Q17)))</f>
        <v>6.9</v>
      </c>
      <c r="M17" s="12">
        <f>MIN(1,'Россия 2026'!M17+'Россия 2026'!P17+(0.1*LN(1+0.5*'Ход 2026'!H19)*POWER(MAX(0,1-'Россия 2026'!S17/10),0.8)))</f>
        <v>0.5197126068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6.9</v>
      </c>
      <c r="T17" s="12"/>
      <c r="U17" s="12" t="s">
        <v>149</v>
      </c>
      <c r="V17" s="25">
        <f>'Россия 2026'!V17+1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2026'!L18+'Россия 2026'!N18+('Россия 2026'!M18+'Россия 2026'!P18+'Россия 2026'!Q18)))</f>
        <v>6.35</v>
      </c>
      <c r="M18" s="12">
        <f>MIN(1,'Россия 2026'!M18+'Россия 2026'!P18+(0.1*LN(1+0.5*'Ход 2026'!H20)*POWER(MAX(0,1-'Россия 2026'!S18/10),0.8)))</f>
        <v>0.4652068241</v>
      </c>
      <c r="N18" s="25">
        <v>0.0</v>
      </c>
      <c r="O18" s="26">
        <v>-0.2</v>
      </c>
      <c r="P18" s="25">
        <v>0.0</v>
      </c>
      <c r="Q18" s="25">
        <v>0.0</v>
      </c>
      <c r="R18" s="12">
        <v>0.0</v>
      </c>
      <c r="S18" s="12">
        <f t="shared" si="2"/>
        <v>6.15</v>
      </c>
      <c r="T18" s="12"/>
      <c r="U18" s="12" t="s">
        <v>153</v>
      </c>
      <c r="V18" s="25">
        <f>'Россия 2026'!V18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2026'!B19+'Россия 2026'!D19+('Россия 2026'!C19+'Россия 2026'!F19+'Россия 2026'!G19)+(0.35*LN(1+0.6*'Ход 2026'!B25)*POWER(MAX(0,1-'Россия 2026'!I19/10),0.7))))</f>
        <v>7.25</v>
      </c>
      <c r="C19" s="12">
        <f>MIN(1,'Россия 2026'!C19+'Россия 2026'!F19+(0.08*LN(1+0.5*'Ход 2026'!C25)*MAX(0,1-('Россия 2026'!C19+'Россия 2026'!F19))))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7.25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2026'!V19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2026'!B20+'Россия 2026'!D20+('Россия 2026'!C20+'Россия 2026'!F20+'Россия 2026'!G20)+(0.35*LN(1+0.6*'Ход 2026'!B26)*POWER(MAX(0,1-'Россия 2026'!I20/10),0.7))))</f>
        <v>8.3</v>
      </c>
      <c r="C20" s="12">
        <f>MIN(1,'Россия 2026'!C20+'Россия 2026'!F20+(0.08*LN(1+0.5*'Ход 2026'!C26)*MAX(0,1-('Россия 2026'!C20+'Россия 2026'!F20))))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8.3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2026'!V20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2026'!B21+'Россия 2026'!D21+('Россия 2026'!C21+'Россия 2026'!F21+'Россия 2026'!G21)+(0.35*LN(1+0.6*'Ход 2026'!B27)*POWER(MAX(0,1-'Россия 2026'!I21/10),0.7))))</f>
        <v>7.35</v>
      </c>
      <c r="C21" s="12">
        <f>MIN(1,'Россия 2026'!C21+'Россия 2026'!F21+(0.08*LN(1+0.5*'Ход 2026'!C27)*MAX(0,1-('Россия 2026'!C21+'Россия 2026'!F21))))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7.35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2026'!V21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2026'!B22+'Россия 2026'!D22+('Россия 2026'!C22+'Россия 2026'!F22+'Россия 2026'!G22)+(0.35*LN(1+0.6*'Ход 2026'!B28)*POWER(MAX(0,1-'Россия 2026'!I22/10),0.7))))</f>
        <v>9.15</v>
      </c>
      <c r="C22" s="12">
        <f>MIN(1,'Россия 2026'!C22+'Россия 2026'!F22+(0.08*LN(1+0.5*'Ход 2026'!C28)*MAX(0,1-('Россия 2026'!C22+'Россия 2026'!F22))))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9.15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2026'!V22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2026'!B23+'Россия 2026'!D23+('Россия 2026'!C23+'Россия 2026'!F23+'Россия 2026'!G23)+(0.35*LN(1+0.6*'Ход 2026'!B29)*POWER(MAX(0,1-'Россия 2026'!I23/10),0.7))))</f>
        <v>8.3</v>
      </c>
      <c r="C23" s="12">
        <f>MIN(1,'Россия 2026'!C23+'Россия 2026'!F23+(0.08*LN(1+0.5*'Ход 2026'!C29)*MAX(0,1-('Россия 2026'!C23+'Россия 2026'!F23))))</f>
        <v>0.3</v>
      </c>
      <c r="D23" s="26">
        <v>0.2</v>
      </c>
      <c r="E23" s="25">
        <v>0.0</v>
      </c>
      <c r="F23" s="26">
        <v>0.05</v>
      </c>
      <c r="G23" s="25">
        <v>0.0</v>
      </c>
      <c r="H23" s="12">
        <v>0.0</v>
      </c>
      <c r="I23" s="12">
        <f t="shared" si="4"/>
        <v>8.5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2026'!V23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2026'!V24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2026'!B25+'Россия 2026'!D25+('Россия 2026'!C25+'Россия 2026'!F25+'Россия 2026'!G25)+(0.35*LN(1+0.6*'Ход 2026'!B31)*POWER(MAX(0,1-'Россия 2026'!I25/10),0.7))))</f>
        <v>8.25</v>
      </c>
      <c r="C25" s="12">
        <f>MIN(1,'Россия 2026'!C25+'Россия 2026'!F25+(0.08*LN(1+0.5*'Ход 2026'!C31)*MAX(0,1-('Россия 2026'!C25+'Россия 2026'!F25))))</f>
        <v>0.25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8.25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2026'!V25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2026'!B26+'Россия 2026'!D26+('Россия 2026'!C26+'Россия 2026'!F26+'Россия 2026'!G26)+(0.35*LN(1+0.6*'Ход 2026'!B32)*POWER(MAX(0,1-'Россия 2026'!I26/10),0.7))))</f>
        <v>6.3</v>
      </c>
      <c r="C26" s="12">
        <f>MIN(1,'Россия 2026'!C26+'Россия 2026'!F26+(0.08*LN(1+0.5*'Ход 2026'!C32)*MAX(0,1-('Россия 2026'!C26+'Россия 2026'!F26))))</f>
        <v>0.3701547262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6.3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2026'!V26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2026'!B27+'Россия 2026'!D27+('Россия 2026'!C27+'Россия 2026'!F27+'Россия 2026'!G27)+(0.35*LN(1+0.6*'Ход 2026'!B33)*POWER(MAX(0,1-'Россия 2026'!I27/10),0.7))))</f>
        <v>7.25</v>
      </c>
      <c r="C27" s="12">
        <f>MIN(1,'Россия 2026'!C27+'Россия 2026'!F27+(0.08*LN(1+0.5*'Ход 2026'!C33)*MAX(0,1-('Россия 2026'!C27+'Россия 2026'!F27))))</f>
        <v>0.25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7.25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2026'!B28+'Россия 2026'!D28+('Россия 2026'!C28+'Россия 2026'!F28+'Россия 2026'!G28)+(0.35*LN(1+0.6*'Ход 2026'!B34)*POWER(MAX(0,1-'Россия 2026'!I28/10),0.7))))</f>
        <v>7.4</v>
      </c>
      <c r="C28" s="12">
        <f>MIN(1,'Россия 2026'!C28+'Россия 2026'!F28+(0.08*LN(1+0.5*'Ход 2026'!C34)*MAX(0,1-('Россия 2026'!C28+'Россия 2026'!F28))))</f>
        <v>0.4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7.4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2026'!B29+'Россия 2026'!D29+('Россия 2026'!C29+'Россия 2026'!F29+'Россия 2026'!G29)+(0.35*LN(1+0.6*'Ход 2026'!B35)*POWER(MAX(0,1-'Россия 2026'!I29/10),0.7))))</f>
        <v>6.3</v>
      </c>
      <c r="C29" s="12">
        <f>MIN(1,'Россия 2026'!C29+'Россия 2026'!F29+(0.08*LN(1+0.5*'Ход 2026'!C35)*MAX(0,1-('Россия 2026'!C29+'Россия 2026'!F29))))</f>
        <v>0.3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6.3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2026'!B30+'Россия 2026'!D30+('Россия 2026'!C30+'Россия 2026'!F30+'Россия 2026'!G30)+(0.35*LN(1+0.6*'Ход 2026'!B36)*POWER(MAX(0,1-'Россия 2026'!I30/10),0.7))))</f>
        <v>6.2</v>
      </c>
      <c r="C30" s="12">
        <f>MIN(1,'Россия 2026'!C30+'Россия 2026'!F30+(0.08*LN(1+0.5*'Ход 2026'!C36)*MAX(0,1-('Россия 2026'!C30+'Россия 2026'!F30))))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6.2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2026'!B31+'Россия 2026'!D31+('Россия 2026'!C31+'Россия 2026'!F31+'Россия 2026'!G31)+(0.35*LN(1+0.6*'Ход 2026'!B37)*POWER(MAX(0,1-'Россия 2026'!I31/10),0.7))))</f>
        <v>5.1</v>
      </c>
      <c r="C31" s="12">
        <f>MIN(1,'Россия 2026'!C31+'Россия 2026'!F31+(0.08*LN(1+0.5*'Ход 2026'!C37)*MAX(0,1-('Россия 2026'!C31+'Россия 2026'!F31))))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2026'!B32+'Россия 2026'!D32+('Россия 2026'!C32+'Россия 2026'!F32+'Россия 2026'!G32)+(0.35*LN(1+0.6*'Ход 2026'!B38)*POWER(MAX(0,1-'Россия 2026'!I32/10),0.7))))</f>
        <v>9.1</v>
      </c>
      <c r="C32" s="12">
        <f>MIN(1,'Россия 2026'!C32+'Россия 2026'!F32+(0.08*LN(1+0.5*'Ход 2026'!C38)*MAX(0,1-('Россия 2026'!C32+'Россия 2026'!F32))))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2026'!B34+'Россия 2026'!D34+('Россия 2026'!C34+'Россия 2026'!F34+'Россия 2026'!G34)+(0.35*LN(1+0.6*'Ход 2026'!B40)*POWER(MAX(0,1-'Россия 2026'!I34/10),0.7))))</f>
        <v>8.15</v>
      </c>
      <c r="C34" s="12">
        <f>MIN(1,'Россия 2026'!C34+'Россия 2026'!F34+(0.08*LN(1+0.5*'Ход 2026'!C40)*MAX(0,1-('Россия 2026'!C34+'Россия 2026'!F34))))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8.15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2026'!B35+'Россия 2026'!D35+('Россия 2026'!C35+'Россия 2026'!F35+'Россия 2026'!G35)+(0.35*LN(1+0.6*'Ход 2026'!B41)*POWER(MAX(0,1-'Россия 2026'!I35/10),0.7))))</f>
        <v>9.05</v>
      </c>
      <c r="C35" s="12">
        <f>MIN(1,'Россия 2026'!C35+'Россия 2026'!F35+(0.08*LN(1+0.5*'Ход 2026'!C41)*MAX(0,1-('Россия 2026'!C35+'Россия 2026'!F35))))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9.05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2026'!B36+'Россия 2026'!D36+('Россия 2026'!C36+'Россия 2026'!F36+'Россия 2026'!G36)+(0.35*LN(1+0.6*'Ход 2026'!B42)*POWER(MAX(0,1-'Россия 2026'!I36/10),0.7))))</f>
        <v>8.25</v>
      </c>
      <c r="C36" s="12">
        <f>MIN(1,'Россия 2026'!C36+'Россия 2026'!F36+(0.08*LN(1+0.5*'Ход 2026'!C42)*MAX(0,1-('Россия 2026'!C36+'Россия 2026'!F36))))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8.25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2026'!B37+'Россия 2026'!D37+('Россия 2026'!C37+'Россия 2026'!F37+'Россия 2026'!G37)+(0.35*LN(1+0.6*'Ход 2026'!B43)*POWER(MAX(0,1-'Россия 2026'!I37/10),0.7))))</f>
        <v>6.3</v>
      </c>
      <c r="C37" s="12">
        <f>MIN(1,'Россия 2026'!C37+'Россия 2026'!F37+(0.08*LN(1+0.5*'Ход 2026'!C43)*MAX(0,1-('Россия 2026'!C37+'Россия 2026'!F37))))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6.3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2026'!B38+'Россия 2026'!D38+('Россия 2026'!C38+'Россия 2026'!F38+'Россия 2026'!G38)+(0.35*LN(1+0.6*'Ход 2026'!B44)*POWER(MAX(0,1-'Россия 2026'!I38/10),0.7))))</f>
        <v>6.25</v>
      </c>
      <c r="C38" s="12">
        <f>MIN(1,'Россия 2026'!C38+'Россия 2026'!F38+(0.08*LN(1+0.5*'Ход 2026'!C44)*MAX(0,1-('Россия 2026'!C38+'Россия 2026'!F38))))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6.25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2026'!B39+'Россия 2026'!D39+('Россия 2026'!C39+'Россия 2026'!F39+'Россия 2026'!G39)+(0.35*LN(1+0.6*'Ход 2026'!B45)*POWER(MAX(0,1-'Россия 2026'!I39/10),0.7))))</f>
        <v>6.2</v>
      </c>
      <c r="C39" s="12">
        <f>MIN(1,'Россия 2026'!C39+'Россия 2026'!F39+(0.08*LN(1+0.5*'Ход 2026'!C45)*MAX(0,1-('Россия 2026'!C39+'Россия 2026'!F39))))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6.2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2026'!B40+'Россия 2026'!D40+('Россия 2026'!C40+'Россия 2026'!F40+'Россия 2026'!G40)+(0.35*LN(1+0.6*'Ход 2026'!B46)*POWER(MAX(0,1-'Россия 2026'!I40/10),0.7))))</f>
        <v>7.1</v>
      </c>
      <c r="C40" s="12">
        <f>MIN(1,'Россия 2026'!C40+'Россия 2026'!F40+(0.08*LN(1+0.5*'Ход 2026'!C46)*MAX(0,1-('Россия 2026'!C40+'Россия 2026'!F40))))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2026'!B41+'Россия 2026'!D41+('Россия 2026'!C41+'Россия 2026'!F41+'Россия 2026'!G41)+(0.35*LN(1+0.6*'Ход 2026'!B47)*POWER(MAX(0,1-'Россия 2026'!I41/10),0.7))))</f>
        <v>7.25</v>
      </c>
      <c r="C41" s="12">
        <f>MIN(1,'Россия 2026'!C41+'Россия 2026'!F41+(0.08*LN(1+0.5*'Ход 2026'!C47)*MAX(0,1-('Россия 2026'!C41+'Россия 2026'!F41))))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7.25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2026'!B42+'Россия 2026'!D42+('Россия 2026'!C42+'Россия 2026'!F42+'Россия 2026'!G42)+(0.35*LN(1+0.6*'Ход 2026'!B48)*POWER(MAX(0,1-'Россия 2026'!I42/10),0.7))))</f>
        <v>8.2</v>
      </c>
      <c r="C42" s="12">
        <f>MIN(1,'Россия 2026'!C42+'Россия 2026'!F42+(0.08*LN(1+0.5*'Ход 2026'!C48)*MAX(0,1-('Россия 2026'!C42+'Россия 2026'!F42))))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8.2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2026'!B44+'Россия 2026'!D44+('Россия 2026'!C44+'Россия 2026'!F44+'Россия 2026'!G44)+(0.35*LN(1+0.6*'Ход 2026'!B50)*POWER(MAX(0,1-'Россия 2026'!I44/10),0.7))))</f>
        <v>6.2</v>
      </c>
      <c r="C44" s="12">
        <f>MIN(1,'Россия 2026'!C44+'Россия 2026'!F44+(0.08*LN(1+0.5*'Ход 2026'!C50)*MAX(0,1-('Россия 2026'!C44+'Россия 2026'!F44))))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6.2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2026'!B45+'Россия 2026'!D45+('Россия 2026'!C45+'Россия 2026'!F45+'Россия 2026'!G45)+(0.35*LN(1+0.6*'Ход 2026'!B51)*POWER(MAX(0,1-'Россия 2026'!I45/10),0.7))))</f>
        <v>6.3</v>
      </c>
      <c r="C45" s="12">
        <f>MIN(1,'Россия 2026'!C45+'Россия 2026'!F45+(0.08*LN(1+0.5*'Ход 2026'!C51)*MAX(0,1-('Россия 2026'!C45+'Россия 2026'!F45))))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6.3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2026'!B46+'Россия 2026'!D46+('Россия 2026'!C46+'Россия 2026'!F46+'Россия 2026'!G46)+(0.35*LN(1+0.6*'Ход 2026'!B52)*POWER(MAX(0,1-'Россия 2026'!I46/10),0.7))))</f>
        <v>5.1</v>
      </c>
      <c r="C46" s="12">
        <f>MIN(1,'Россия 2026'!C46+'Россия 2026'!F46+(0.08*LN(1+0.5*'Ход 2026'!C52)*MAX(0,1-('Россия 2026'!C46+'Россия 2026'!F46))))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2026'!B47+'Россия 2026'!D47+('Россия 2026'!C47+'Россия 2026'!F47+'Россия 2026'!G47)+(0.35*LN(1+0.6*'Ход 2026'!B53)*POWER(MAX(0,1-'Россия 2026'!I47/10),0.7))))</f>
        <v>2.9</v>
      </c>
      <c r="C47" s="12">
        <f>MIN(1,'Россия 2026'!C47+'Россия 2026'!F47+(0.08*LN(1+0.5*'Ход 2026'!C53)*MAX(0,1-('Россия 2026'!C47+'Россия 2026'!F47))))</f>
        <v>0.07789618557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2.9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2026'!B48+'Россия 2026'!D48+('Россия 2026'!C48+'Россия 2026'!F48+'Россия 2026'!G48)+(0.35*LN(1+0.6*'Ход 2026'!B54)*POWER(MAX(0,1-'Россия 2026'!I48/10),0.7))))</f>
        <v>6.405485052</v>
      </c>
      <c r="C48" s="12">
        <f>MIN(1,'Россия 2026'!C48+'Россия 2026'!F48+(0.08*LN(1+0.5*'Ход 2026'!C54)*MAX(0,1-('Россия 2026'!C48+'Россия 2026'!F48))))</f>
        <v>0.15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6.405485052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2026'!B49+'Россия 2026'!D49+('Россия 2026'!C49+'Россия 2026'!F49+'Россия 2026'!G49)+(0.35*LN(1+0.6*'Ход 2026'!B55)*POWER(MAX(0,1-'Россия 2026'!I49/10),0.7))))</f>
        <v>7.3</v>
      </c>
      <c r="C49" s="12">
        <f>MIN(1,'Россия 2026'!C49+'Россия 2026'!F49+(0.08*LN(1+0.5*'Ход 2026'!C55)*MAX(0,1-('Россия 2026'!C49+'Россия 2026'!F49))))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7.3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2026'!B50+'Россия 2026'!D50+('Россия 2026'!C50+'Россия 2026'!F50+'Россия 2026'!G50)+(0.35*LN(1+0.6*'Ход 2026'!B56)*POWER(MAX(0,1-'Россия 2026'!I50/10),0.7))))</f>
        <v>9.1</v>
      </c>
      <c r="C50" s="12">
        <f>MIN(1,'Россия 2026'!C50+'Россия 2026'!F50+(0.08*LN(1+0.5*'Ход 2026'!C56)*MAX(0,1-('Россия 2026'!C50+'Россия 2026'!F50))))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2026'!B51+'Россия 2026'!D51+('Россия 2026'!C51+'Россия 2026'!F51+'Россия 2026'!G51)+(0.35*LN(1+0.6*'Ход 2026'!B57)*POWER(MAX(0,1-'Россия 2026'!I51/10),0.7))))</f>
        <v>6.3</v>
      </c>
      <c r="C51" s="12">
        <f>MIN(1,'Россия 2026'!C51+'Россия 2026'!F51+(0.08*LN(1+0.5*'Ход 2026'!C57)*MAX(0,1-('Россия 2026'!C51+'Россия 2026'!F51))))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6.3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2026'!B53+'Россия 2026'!D53+('Россия 2026'!C53+'Россия 2026'!F53+'Россия 2026'!G53)+(0.35*LN(1+0.6*'Ход 2026'!B59)*POWER(MAX(0,1-'Россия 2026'!I53/10),0.7))))</f>
        <v>6.3</v>
      </c>
      <c r="C53" s="12">
        <f>MIN(1,'Россия 2026'!C53+'Россия 2026'!F53+(0.08*LN(1+0.5*'Ход 2026'!C59)*MAX(0,1-('Россия 2026'!C53+'Россия 2026'!F53))))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6.3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2026'!B54+'Россия 2026'!D54+('Россия 2026'!C54+'Россия 2026'!F54+'Россия 2026'!G54)+(0.35*LN(1+0.6*'Ход 2026'!B60)*POWER(MAX(0,1-'Россия 2026'!I54/10),0.7))))</f>
        <v>6.15</v>
      </c>
      <c r="C54" s="12">
        <f>MIN(1,'Россия 2026'!C54+'Россия 2026'!F54+(0.08*LN(1+0.5*'Ход 2026'!C60)*MAX(0,1-('Россия 2026'!C54+'Россия 2026'!F54))))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6.15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2026'!B55+'Россия 2026'!D55+('Россия 2026'!C55+'Россия 2026'!F55+'Россия 2026'!G55)+(0.35*LN(1+0.6*'Ход 2026'!B61)*POWER(MAX(0,1-'Россия 2026'!I55/10),0.7))))</f>
        <v>5.15</v>
      </c>
      <c r="C55" s="12">
        <f>MIN(1,'Россия 2026'!C55+'Россия 2026'!F55+(0.08*LN(1+0.5*'Ход 2026'!C61)*MAX(0,1-('Россия 2026'!C55+'Россия 2026'!F55))))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5.15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244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2027'!U6</f>
        <v>84.65922394</v>
      </c>
      <c r="C6" s="12"/>
      <c r="D6" s="12"/>
      <c r="E6" s="12" t="s">
        <v>54</v>
      </c>
      <c r="F6" s="19">
        <f>'Россия 2027'!K6</f>
        <v>64.53160599</v>
      </c>
      <c r="G6" s="12"/>
      <c r="H6" s="12"/>
      <c r="I6" s="12" t="s">
        <v>54</v>
      </c>
      <c r="J6" s="19">
        <f>'Россия 2027'!N6</f>
        <v>59.32359978</v>
      </c>
      <c r="K6" s="12"/>
      <c r="L6" s="12"/>
      <c r="M6" s="12" t="s">
        <v>54</v>
      </c>
      <c r="N6" s="19">
        <f>'Россия 2027'!Q6</f>
        <v>60.95482576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84.7</v>
      </c>
      <c r="C7" s="12"/>
      <c r="D7" s="12"/>
      <c r="E7" s="12" t="s">
        <v>90</v>
      </c>
      <c r="F7" s="12">
        <f>SUM(H13:H20)</f>
        <v>64.5</v>
      </c>
      <c r="G7" s="12"/>
      <c r="H7" s="12"/>
      <c r="I7" s="12" t="s">
        <v>90</v>
      </c>
      <c r="J7" s="12">
        <f>SUM(I29:I38)</f>
        <v>59.3</v>
      </c>
      <c r="K7" s="12"/>
      <c r="L7" s="12"/>
      <c r="M7" s="12" t="s">
        <v>90</v>
      </c>
      <c r="N7" s="12">
        <f>SUM(N13:Q28)+J24</f>
        <v>61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-0.04077605923</v>
      </c>
      <c r="C8" s="12" t="str">
        <f>IF(B8&lt;0,"ПРЕВЫШЕНИЕ","OK")</f>
        <v>ПРЕВЫШЕНИЕ</v>
      </c>
      <c r="D8" s="12"/>
      <c r="E8" s="12" t="s">
        <v>91</v>
      </c>
      <c r="F8" s="19">
        <f>F6-F7</f>
        <v>0.03160599248</v>
      </c>
      <c r="G8" s="12" t="str">
        <f>IF(F8&lt;0,"ПРЕВЫШЕНИЕ","OK")</f>
        <v>OK</v>
      </c>
      <c r="H8" s="12"/>
      <c r="I8" s="12" t="s">
        <v>91</v>
      </c>
      <c r="J8" s="19">
        <f>J6-J7</f>
        <v>0.02359978392</v>
      </c>
      <c r="K8" s="12" t="str">
        <f>IF(J8&lt;0,"ПРЕВЫШЕНИЕ","OK")</f>
        <v>OK</v>
      </c>
      <c r="L8" s="12"/>
      <c r="M8" s="12" t="s">
        <v>91</v>
      </c>
      <c r="N8" s="19">
        <f>N6-N7</f>
        <v>-0.04517424079</v>
      </c>
      <c r="O8" s="12" t="str">
        <f>IF(N8&lt;0,"ПРЕВЫШЕНИЕ","OK")</f>
        <v>ПРЕВЫШЕНИЕ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6">
        <v>20.0</v>
      </c>
      <c r="I13" s="12"/>
      <c r="J13" s="12"/>
      <c r="K13" s="12"/>
      <c r="L13" s="12" t="s">
        <v>111</v>
      </c>
      <c r="M13" s="12">
        <f>'Россия 2027'!V11</f>
        <v>-1.5</v>
      </c>
      <c r="N13" s="26">
        <v>10.0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0.29209417</v>
      </c>
      <c r="S13" s="28">
        <f t="shared" ref="S13:S28" si="2">MAX(0,1-R13-T13)</f>
        <v>0.6547780471</v>
      </c>
      <c r="T13" s="28">
        <f t="shared" ref="T13:T28" si="3">IF(M13&lt;=-5,0,MAX(0,(0.1-0.08*(IF(M13=0,0,SIGN(M13)*POWER(ABS(M13)/5,1.25))))*(1-0.85*(MIN(1,LN(1+N13)/LN(41))))))</f>
        <v>0.05312778297</v>
      </c>
      <c r="U13" s="12">
        <f t="shared" ref="U13:U28" si="4">RANDBETWEEN(0,100)</f>
        <v>95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6">
        <v>10.0</v>
      </c>
      <c r="I14" s="12"/>
      <c r="J14" s="12"/>
      <c r="K14" s="12"/>
      <c r="L14" s="12" t="s">
        <v>122</v>
      </c>
      <c r="M14" s="12">
        <f>'Россия 2027'!V12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44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6">
        <v>5.0</v>
      </c>
      <c r="I15" s="12"/>
      <c r="J15" s="12"/>
      <c r="K15" s="12"/>
      <c r="L15" s="12" t="s">
        <v>128</v>
      </c>
      <c r="M15" s="12">
        <f>'Россия 2027'!V13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9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6">
        <v>5.0</v>
      </c>
      <c r="I16" s="12"/>
      <c r="J16" s="12"/>
      <c r="K16" s="12"/>
      <c r="L16" s="12" t="s">
        <v>132</v>
      </c>
      <c r="M16" s="12">
        <f>'Россия 2027'!V14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21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2027'!V15</f>
        <v>-1.4</v>
      </c>
      <c r="N17" s="26">
        <v>5.0</v>
      </c>
      <c r="O17" s="25">
        <v>0.0</v>
      </c>
      <c r="P17" s="25">
        <v>0.0</v>
      </c>
      <c r="Q17" s="25">
        <v>0.0</v>
      </c>
      <c r="R17" s="28">
        <f t="shared" si="1"/>
        <v>0.2381022666</v>
      </c>
      <c r="S17" s="28">
        <f t="shared" si="2"/>
        <v>0.6932975534</v>
      </c>
      <c r="T17" s="28">
        <f t="shared" si="3"/>
        <v>0.06860017999</v>
      </c>
      <c r="U17" s="12">
        <f t="shared" si="4"/>
        <v>43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6">
        <v>10.0</v>
      </c>
      <c r="I18" s="12"/>
      <c r="J18" s="12"/>
      <c r="K18" s="12"/>
      <c r="L18" s="12" t="s">
        <v>145</v>
      </c>
      <c r="M18" s="12">
        <f>'Россия 2027'!V16</f>
        <v>-1.7</v>
      </c>
      <c r="N18" s="26">
        <v>6.0</v>
      </c>
      <c r="O18" s="25">
        <v>0.0</v>
      </c>
      <c r="P18" s="25">
        <v>0.0</v>
      </c>
      <c r="Q18" s="25">
        <v>0.0</v>
      </c>
      <c r="R18" s="28">
        <f t="shared" si="1"/>
        <v>0.2547697522</v>
      </c>
      <c r="S18" s="28">
        <f t="shared" si="2"/>
        <v>0.6782511045</v>
      </c>
      <c r="T18" s="28">
        <f t="shared" si="3"/>
        <v>0.06697914329</v>
      </c>
      <c r="U18" s="12">
        <f t="shared" si="4"/>
        <v>43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6">
        <v>7.0</v>
      </c>
      <c r="I19" s="12"/>
      <c r="J19" s="12"/>
      <c r="K19" s="12"/>
      <c r="L19" s="12" t="s">
        <v>149</v>
      </c>
      <c r="M19" s="12">
        <f>'Россия 2027'!V17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93</v>
      </c>
    </row>
    <row r="20" ht="13.5" customHeight="1">
      <c r="A20" s="12" t="s">
        <v>130</v>
      </c>
      <c r="B20" s="26">
        <v>7.0</v>
      </c>
      <c r="C20" s="26">
        <v>8.0</v>
      </c>
      <c r="D20" s="12"/>
      <c r="E20" s="12"/>
      <c r="F20" s="12"/>
      <c r="G20" s="12" t="s">
        <v>152</v>
      </c>
      <c r="H20" s="26">
        <v>7.5</v>
      </c>
      <c r="I20" s="12"/>
      <c r="J20" s="12"/>
      <c r="K20" s="12"/>
      <c r="L20" s="12" t="s">
        <v>153</v>
      </c>
      <c r="M20" s="12">
        <f>'Россия 2027'!V18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23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2027'!V19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48</v>
      </c>
    </row>
    <row r="22" ht="13.5" customHeight="1">
      <c r="A22" s="12" t="s">
        <v>138</v>
      </c>
      <c r="B22" s="26">
        <v>2.0</v>
      </c>
      <c r="C22" s="26">
        <v>5.0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2027'!V20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99</v>
      </c>
    </row>
    <row r="23" ht="13.5" customHeight="1">
      <c r="A23" s="12" t="s">
        <v>147</v>
      </c>
      <c r="B23" s="26">
        <v>3.0</v>
      </c>
      <c r="C23" s="26">
        <v>5.0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2027'!V21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53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6">
        <v>10.0</v>
      </c>
      <c r="H24" s="26">
        <v>15.0</v>
      </c>
      <c r="I24" s="26">
        <v>15.0</v>
      </c>
      <c r="J24" s="12">
        <f>SUM(G24:I24)</f>
        <v>40</v>
      </c>
      <c r="K24" s="12"/>
      <c r="L24" s="12" t="s">
        <v>165</v>
      </c>
      <c r="M24" s="12">
        <f>'Россия 2027'!V22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58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2027'!V23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92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2027'!V24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72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2027'!V25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6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2027'!V26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70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12" t="s">
        <v>229</v>
      </c>
      <c r="H29" s="20" t="str">
        <f>IF(G29="","",VLOOKUP(G29,'Технологии'!$A$11:$D$50,4,FALSE))</f>
        <v>Систематическая оценка ИИ</v>
      </c>
      <c r="I29" s="26">
        <v>3.2</v>
      </c>
      <c r="J29" s="25"/>
      <c r="K29" s="20" t="str">
        <f>IF(G29="","",VLOOKUP(G29,'Технологии'!$A$11:$BF$50,45,FALSE))</f>
        <v>ИЗУЧЕНО</v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12" t="s">
        <v>257</v>
      </c>
      <c r="H30" s="20" t="str">
        <f>IF(G30="","",VLOOKUP(G30,'Технологии'!$A$11:$D$50,4,FALSE))</f>
        <v>Интерпретируемый ИИ</v>
      </c>
      <c r="I30" s="26">
        <v>35.0</v>
      </c>
      <c r="J30" s="25"/>
      <c r="K30" s="20" t="str">
        <f>IF(G30="","",VLOOKUP(G30,'Технологии'!$A$11:$BF$50,45,FALSE))</f>
        <v>ИЗУЧЕНО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6">
        <v>3.0</v>
      </c>
      <c r="C31" s="26">
        <v>2.0</v>
      </c>
      <c r="D31" s="12"/>
      <c r="E31" s="12"/>
      <c r="F31" s="12"/>
      <c r="G31" s="12" t="s">
        <v>245</v>
      </c>
      <c r="H31" s="20" t="str">
        <f>IF(G31="","",VLOOKUP(G31,'Технологии'!$A$11:$D$50,4,FALSE))</f>
        <v>Мультимодальные фундаментальные модели</v>
      </c>
      <c r="I31" s="26">
        <v>21.1</v>
      </c>
      <c r="J31" s="25"/>
      <c r="K31" s="20" t="str">
        <f>IF(G31="","",VLOOKUP(G31,'Технологии'!$A$11:$BF$50,45,FALSE))</f>
        <v>ОТКРЫТО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6">
        <v>4.0</v>
      </c>
      <c r="C32" s="26">
        <v>2.0</v>
      </c>
      <c r="D32" s="12"/>
      <c r="E32" s="12"/>
      <c r="F32" s="12"/>
      <c r="G32" s="12"/>
      <c r="H32" s="20" t="str">
        <f>IF(G32="","",VLOOKUP(G32,'Технологии'!$A$11:$D$50,4,FALSE))</f>
        <v/>
      </c>
      <c r="I32" s="25">
        <v>0.0</v>
      </c>
      <c r="J32" s="26" t="s">
        <v>262</v>
      </c>
      <c r="K32" s="20" t="str">
        <f>IF(G32="","",VLOOKUP(G32,'Технологии'!$A$11:$BF$50,45,FALSE))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6">
        <v>3.0</v>
      </c>
      <c r="C33" s="26">
        <v>2.0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IF(G33="","",VLOOKUP(G33,'Технологии'!$A$11:$BF$50,45,FALSE))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6">
        <v>0.3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IF(G34="","",VLOOKUP(G34,'Технологии'!$A$11:$BF$50,45,FALSE))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6">
        <v>2.2</v>
      </c>
      <c r="C35" s="26">
        <v>2.0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IF(G35="","",VLOOKUP(G35,'Технологии'!$A$11:$BF$50,45,FALSE))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IF(G36="","",VLOOKUP(G36,'Технологии'!$A$11:$BF$50,45,FALSE))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IF(G37="","",VLOOKUP(G37,'Технологии'!$A$11:$BF$50,45,FALSE))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IF(G38="","",VLOOKUP(G38,'Технологии'!$A$11:$BF$50,45,FALSE))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6">
        <v>1.0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6">
        <v>0.9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6">
        <v>7.1</v>
      </c>
      <c r="C53" s="26">
        <v>15.0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6">
        <v>5.0</v>
      </c>
      <c r="C54" s="26">
        <v>5.2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276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67.71859319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48.86769128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55.56635756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80.05238848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2027'!B8+'Россия 2027'!D8+('Россия 2027'!C8+'Россия 2027'!F8+'Россия 2027'!G8)+(0.35*LN(1+0.6*'Ход 2027'!B14)*POWER(MAX(0,1-'Россия 2027'!I8/10),0.7))))</f>
        <v>9.195209986</v>
      </c>
      <c r="C8" s="12">
        <f>MIN(1,'Россия 2027'!C8+'Россия 2027'!F8+(0.08*LN(1+0.5*'Ход 2027'!C14)*MAX(0,1-('Россия 2027'!C8+'Россия 2027'!F8))))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9.195209986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2027'!B9+'Россия 2027'!D9+('Россия 2027'!C9+'Россия 2027'!F9+'Россия 2027'!G9)+(0.35*LN(1+0.6*'Ход 2027'!B15)*POWER(MAX(0,1-'Россия 2027'!I9/10),0.7))))</f>
        <v>5.48017683</v>
      </c>
      <c r="C9" s="12">
        <f>MIN(1,'Россия 2027'!C9+'Россия 2027'!F9+(0.08*LN(1+0.5*'Ход 2027'!C15)*MAX(0,1-('Россия 2027'!C9+'Россия 2027'!F9))))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5.48017683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2027'!B10+'Россия 2027'!D10+('Россия 2027'!C10+'Россия 2027'!F10+'Россия 2027'!G10)+(0.35*LN(1+0.6*'Ход 2027'!B16)*POWER(MAX(0,1-'Россия 2027'!I10/10),0.7))))</f>
        <v>9.290198934</v>
      </c>
      <c r="C10" s="12">
        <f>MIN(1,'Россия 2027'!C10+'Россия 2027'!F10+(0.08*LN(1+0.5*'Ход 2027'!C16)*MAX(0,1-('Россия 2027'!C10+'Россия 2027'!F10))))</f>
        <v>0.1901989337</v>
      </c>
      <c r="D10" s="25">
        <v>0.0</v>
      </c>
      <c r="E10" s="26">
        <v>-2.0</v>
      </c>
      <c r="F10" s="25">
        <v>0.0</v>
      </c>
      <c r="G10" s="25">
        <v>0.0</v>
      </c>
      <c r="H10" s="12">
        <v>0.0</v>
      </c>
      <c r="I10" s="12">
        <f t="shared" si="1"/>
        <v>7.290198934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2027'!B11+'Россия 2027'!D11+('Россия 2027'!C11+'Россия 2027'!F11+'Россия 2027'!G11)+(0.35*LN(1+0.6*'Ход 2027'!B17)*POWER(MAX(0,1-'Россия 2027'!I11/10),0.7))))</f>
        <v>9.100221037</v>
      </c>
      <c r="C11" s="12">
        <f>MIN(1,'Россия 2027'!C11+'Россия 2027'!F11+(0.08*LN(1+0.5*'Ход 2027'!C17)*MAX(0,1-('Россия 2027'!C11+'Россия 2027'!F11))))</f>
        <v>0.1002210375</v>
      </c>
      <c r="D11" s="25">
        <v>0.0</v>
      </c>
      <c r="E11" s="26">
        <v>-1.2</v>
      </c>
      <c r="F11" s="25">
        <v>0.0</v>
      </c>
      <c r="G11" s="25">
        <v>0.0</v>
      </c>
      <c r="H11" s="12">
        <v>0.0</v>
      </c>
      <c r="I11" s="12">
        <f t="shared" si="1"/>
        <v>7.900221037</v>
      </c>
      <c r="J11" s="12"/>
      <c r="K11" s="12" t="s">
        <v>110</v>
      </c>
      <c r="L11" s="12">
        <f>MAX(1,MIN(10,'Россия 2027'!L11+'Россия 2027'!N11+('Россия 2027'!M11+'Россия 2027'!P11+'Россия 2027'!Q11)))</f>
        <v>6.286136151</v>
      </c>
      <c r="M11" s="12">
        <f>MIN(1,'Россия 2027'!M11+'Россия 2027'!P11+(0.1*LN(1+0.5*'Ход 2027'!H13)*POWER(MAX(0,1-'Россия 2027'!S11/10),0.8)))</f>
        <v>0.5547864099</v>
      </c>
      <c r="N11" s="26">
        <v>0.08</v>
      </c>
      <c r="O11" s="26">
        <v>-1.7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4.666136151</v>
      </c>
      <c r="T11" s="12"/>
      <c r="U11" s="12" t="s">
        <v>111</v>
      </c>
      <c r="V11" s="25">
        <f>'Россия 2027'!V11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2027'!B12+'Россия 2027'!D12+('Россия 2027'!C12+'Россия 2027'!F12+'Россия 2027'!G12)+(0.35*LN(1+0.6*'Ход 2027'!B18)*POWER(MAX(0,1-'Россия 2027'!I12/10),0.7))))</f>
        <v>9</v>
      </c>
      <c r="C12" s="12">
        <f>MIN(1,'Россия 2027'!C12+'Россия 2027'!F12+(0.08*LN(1+0.5*'Ход 2027'!C18)*MAX(0,1-('Россия 2027'!C12+'Россия 2027'!F12))))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2027'!L12+'Россия 2027'!N12+('Россия 2027'!M12+'Россия 2027'!P12+'Россия 2027'!Q12)))</f>
        <v>6.316136151</v>
      </c>
      <c r="M12" s="12">
        <f>MIN(1,'Россия 2027'!M12+'Россия 2027'!P12+(0.1*LN(1+0.5*'Ход 2027'!H14)*POWER(MAX(0,1-'Россия 2027'!S12/10),0.8)))</f>
        <v>0.5547942035</v>
      </c>
      <c r="N12" s="25">
        <v>0.0</v>
      </c>
      <c r="O12" s="26">
        <v>-2.0</v>
      </c>
      <c r="P12" s="25">
        <v>0.0</v>
      </c>
      <c r="Q12" s="25">
        <v>0.0</v>
      </c>
      <c r="R12" s="12">
        <v>0.0</v>
      </c>
      <c r="S12" s="12">
        <f t="shared" si="2"/>
        <v>4.316136151</v>
      </c>
      <c r="T12" s="12"/>
      <c r="U12" s="12" t="s">
        <v>122</v>
      </c>
      <c r="V12" s="25">
        <f>'Россия 2027'!V12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2027'!B13+'Россия 2027'!D13+('Россия 2027'!C13+'Россия 2027'!F13+'Россия 2027'!G13)+(0.35*LN(1+0.6*'Ход 2027'!B19)*POWER(MAX(0,1-'Россия 2027'!I13/10),0.7))))</f>
        <v>3.575165778</v>
      </c>
      <c r="C13" s="12">
        <f>MIN(1,'Россия 2027'!C13+'Россия 2027'!F13+(0.08*LN(1+0.5*'Ход 2027'!C19)*MAX(0,1-('Россия 2027'!C13+'Россия 2027'!F13))))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3.575165778</v>
      </c>
      <c r="J13" s="12"/>
      <c r="K13" s="12" t="s">
        <v>127</v>
      </c>
      <c r="L13" s="12">
        <f>MAX(1,MIN(10,'Россия 2027'!L13+'Россия 2027'!N13+('Россия 2027'!M13+'Россия 2027'!P13+'Россия 2027'!Q13)))</f>
        <v>7.229928152</v>
      </c>
      <c r="M13" s="12">
        <f>MIN(1,'Россия 2027'!M13+'Россия 2027'!P13+(0.1*LN(1+0.5*'Ход 2027'!H15)*POWER(MAX(0,1-'Россия 2027'!S13/10),0.8)))</f>
        <v>0.4296465753</v>
      </c>
      <c r="N13" s="25">
        <v>0.0</v>
      </c>
      <c r="O13" s="26">
        <v>-2.0</v>
      </c>
      <c r="P13" s="25">
        <v>0.0</v>
      </c>
      <c r="Q13" s="25">
        <v>0.0</v>
      </c>
      <c r="R13" s="12">
        <v>0.0</v>
      </c>
      <c r="S13" s="12">
        <f t="shared" si="2"/>
        <v>5.229928152</v>
      </c>
      <c r="T13" s="12"/>
      <c r="U13" s="12" t="s">
        <v>128</v>
      </c>
      <c r="V13" s="25">
        <f>'Россия 2027'!V13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2027'!B14+'Россия 2027'!D14+('Россия 2027'!C14+'Россия 2027'!F14+'Россия 2027'!G14)+(0.35*LN(1+0.6*'Ход 2027'!B20)*POWER(MAX(0,1-'Россия 2027'!I14/10),0.7))))</f>
        <v>3.955181846</v>
      </c>
      <c r="C14" s="12">
        <f>MIN(1,'Россия 2027'!C14+'Россия 2027'!F14+(0.08*LN(1+0.5*'Ход 2027'!C20)*MAX(0,1-('Россия 2027'!C14+'Россия 2027'!F14))))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3.955181846</v>
      </c>
      <c r="J14" s="12"/>
      <c r="K14" s="12" t="s">
        <v>131</v>
      </c>
      <c r="L14" s="12">
        <f>MAX(1,MIN(10,'Россия 2027'!L14+'Россия 2027'!N14+('Россия 2027'!M14+'Россия 2027'!P14+'Россия 2027'!Q14)))</f>
        <v>6.3</v>
      </c>
      <c r="M14" s="12">
        <f>MIN(1,'Россия 2027'!M14+'Россия 2027'!P14+(0.1*LN(1+0.5*'Ход 2027'!H16)*POWER(MAX(0,1-'Россия 2027'!S14/10),0.8)))</f>
        <v>0.4613897681</v>
      </c>
      <c r="N14" s="25">
        <v>0.0</v>
      </c>
      <c r="O14" s="26">
        <v>-2.0</v>
      </c>
      <c r="P14" s="25">
        <v>0.0</v>
      </c>
      <c r="Q14" s="25">
        <v>0.0</v>
      </c>
      <c r="R14" s="12">
        <v>0.0</v>
      </c>
      <c r="S14" s="12">
        <f t="shared" si="2"/>
        <v>4.3</v>
      </c>
      <c r="T14" s="12"/>
      <c r="U14" s="12" t="s">
        <v>132</v>
      </c>
      <c r="V14" s="25">
        <f>'Россия 2027'!V14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2027'!B15+'Россия 2027'!D15+('Россия 2027'!C15+'Россия 2027'!F15+'Россия 2027'!G15)+(0.35*LN(1+0.6*'Ход 2027'!B21)*POWER(MAX(0,1-'Россия 2027'!I15/10),0.7))))</f>
        <v>6.886004455</v>
      </c>
      <c r="C15" s="12">
        <f>MIN(1,'Россия 2027'!C15+'Россия 2027'!F15+(0.08*LN(1+0.5*'Ход 2027'!C21)*MAX(0,1-('Россия 2027'!C15+'Россия 2027'!F15))))</f>
        <v>0.4860044545</v>
      </c>
      <c r="D15" s="26">
        <v>0.08</v>
      </c>
      <c r="E15" s="26">
        <v>0.3</v>
      </c>
      <c r="F15" s="25">
        <v>0.0</v>
      </c>
      <c r="G15" s="25">
        <v>0.0</v>
      </c>
      <c r="H15" s="12">
        <v>0.0</v>
      </c>
      <c r="I15" s="12">
        <f t="shared" si="1"/>
        <v>7.266004455</v>
      </c>
      <c r="J15" s="12"/>
      <c r="K15" s="12" t="s">
        <v>135</v>
      </c>
      <c r="L15" s="12">
        <f>MAX(1,MIN(10,'Россия 2027'!L15+'Россия 2027'!N15+('Россия 2027'!M15+'Россия 2027'!P15+'Россия 2027'!Q15)))</f>
        <v>6.5</v>
      </c>
      <c r="M15" s="12">
        <f>MIN(1,'Россия 2027'!M15+'Россия 2027'!P15+(0.1*LN(1+0.5*'Ход 2027'!H17)*POWER(MAX(0,1-'Россия 2027'!S15/10),0.8)))</f>
        <v>0.25</v>
      </c>
      <c r="N15" s="25">
        <v>0.0</v>
      </c>
      <c r="O15" s="26">
        <v>-2.0</v>
      </c>
      <c r="P15" s="25">
        <v>0.0</v>
      </c>
      <c r="Q15" s="25">
        <v>0.0</v>
      </c>
      <c r="R15" s="12">
        <v>0.0</v>
      </c>
      <c r="S15" s="12">
        <f t="shared" si="2"/>
        <v>4.5</v>
      </c>
      <c r="T15" s="12"/>
      <c r="U15" s="12" t="s">
        <v>136</v>
      </c>
      <c r="V15" s="25">
        <f>'Россия 2027'!V15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2027'!B16+'Россия 2027'!D16+('Россия 2027'!C16+'Россия 2027'!F16+'Россия 2027'!G16)+(0.35*LN(1+0.6*'Ход 2027'!B22)*POWER(MAX(0,1-'Россия 2027'!I16/10),0.7))))</f>
        <v>8.483087752</v>
      </c>
      <c r="C16" s="12">
        <f>MIN(1,'Россия 2027'!C16+'Россия 2027'!F16+(0.08*LN(1+0.5*'Ход 2027'!C22)*MAX(0,1-('Россия 2027'!C16+'Россия 2027'!F16))))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8.483087752</v>
      </c>
      <c r="J16" s="12"/>
      <c r="K16" s="12" t="s">
        <v>142</v>
      </c>
      <c r="L16" s="12">
        <f>MAX(1,MIN(10,'Россия 2027'!L16+'Россия 2027'!N16+('Россия 2027'!M16+'Россия 2027'!P16+'Россия 2027'!Q16)))</f>
        <v>7.45</v>
      </c>
      <c r="M16" s="12">
        <f>MIN(1,'Россия 2027'!M16+'Россия 2027'!P16+(0.1*LN(1+0.5*'Ход 2027'!H18)*POWER(MAX(0,1-'Россия 2027'!S16/10),0.8)))</f>
        <v>0.5692978212</v>
      </c>
      <c r="N16" s="25">
        <v>0.0</v>
      </c>
      <c r="O16" s="26">
        <v>-2.0</v>
      </c>
      <c r="P16" s="25">
        <v>0.0</v>
      </c>
      <c r="Q16" s="25">
        <v>0.0</v>
      </c>
      <c r="R16" s="12">
        <v>0.0</v>
      </c>
      <c r="S16" s="12">
        <f t="shared" si="2"/>
        <v>5.45</v>
      </c>
      <c r="T16" s="12"/>
      <c r="U16" s="12" t="s">
        <v>145</v>
      </c>
      <c r="V16" s="25">
        <f>'Россия 2027'!V16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2027'!B17+'Россия 2027'!D17+('Россия 2027'!C17+'Россия 2027'!F17+'Россия 2027'!G17)+(0.35*LN(1+0.6*'Ход 2027'!B23)*POWER(MAX(0,1-'Россия 2027'!I17/10),0.7))))</f>
        <v>7.449670487</v>
      </c>
      <c r="C17" s="12">
        <f>MIN(1,'Россия 2027'!C17+'Россия 2027'!F17+(0.08*LN(1+0.5*'Ход 2027'!C23)*MAX(0,1-('Россия 2027'!C17+'Россия 2027'!F17))))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7.449670487</v>
      </c>
      <c r="J17" s="12"/>
      <c r="K17" s="12" t="s">
        <v>148</v>
      </c>
      <c r="L17" s="12">
        <f>MAX(1,MIN(10,'Россия 2027'!L17+'Россия 2027'!N17+('Россия 2027'!M17+'Россия 2027'!P17+'Россия 2027'!Q17)))</f>
        <v>7.419712607</v>
      </c>
      <c r="M17" s="12">
        <f>MIN(1,'Россия 2027'!M17+'Россия 2027'!P17+(0.1*LN(1+0.5*'Ход 2027'!H19)*POWER(MAX(0,1-'Россия 2027'!S17/10),0.8)))</f>
        <v>0.5786457412</v>
      </c>
      <c r="N17" s="25">
        <v>0.0</v>
      </c>
      <c r="O17" s="26">
        <v>-2.0</v>
      </c>
      <c r="P17" s="25">
        <v>0.0</v>
      </c>
      <c r="Q17" s="25">
        <v>0.0</v>
      </c>
      <c r="R17" s="12">
        <v>0.0</v>
      </c>
      <c r="S17" s="12">
        <f t="shared" si="2"/>
        <v>5.419712607</v>
      </c>
      <c r="T17" s="12"/>
      <c r="U17" s="12" t="s">
        <v>149</v>
      </c>
      <c r="V17" s="25">
        <f>'Россия 2027'!V17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2027'!L18+'Россия 2027'!N18+('Россия 2027'!M18+'Россия 2027'!P18+'Россия 2027'!Q18)))</f>
        <v>6.815206824</v>
      </c>
      <c r="M18" s="12">
        <f>MIN(1,'Россия 2027'!M18+'Россия 2027'!P18+(0.1*LN(1+0.5*'Ход 2027'!H20)*POWER(MAX(0,1-'Россия 2027'!S18/10),0.8)))</f>
        <v>0.5378134654</v>
      </c>
      <c r="N18" s="26">
        <v>0.05</v>
      </c>
      <c r="O18" s="26">
        <v>-2.0</v>
      </c>
      <c r="P18" s="25">
        <v>0.0</v>
      </c>
      <c r="Q18" s="25">
        <v>0.0</v>
      </c>
      <c r="R18" s="12">
        <v>0.0</v>
      </c>
      <c r="S18" s="12">
        <f t="shared" si="2"/>
        <v>4.865206824</v>
      </c>
      <c r="T18" s="12"/>
      <c r="U18" s="12" t="s">
        <v>153</v>
      </c>
      <c r="V18" s="25">
        <f>'Россия 2027'!V18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2027'!B19+'Россия 2027'!D19+('Россия 2027'!C19+'Россия 2027'!F19+'Россия 2027'!G19)+(0.35*LN(1+0.6*'Ход 2027'!B25)*POWER(MAX(0,1-'Россия 2027'!I19/10),0.7))))</f>
        <v>7.5</v>
      </c>
      <c r="C19" s="12">
        <f>MIN(1,'Россия 2027'!C19+'Россия 2027'!F19+(0.08*LN(1+0.5*'Ход 2027'!C25)*MAX(0,1-('Россия 2027'!C19+'Россия 2027'!F19))))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7.5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2027'!V19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2027'!B20+'Россия 2027'!D20+('Россия 2027'!C20+'Россия 2027'!F20+'Россия 2027'!G20)+(0.35*LN(1+0.6*'Ход 2027'!B26)*POWER(MAX(0,1-'Россия 2027'!I20/10),0.7))))</f>
        <v>8.670154726</v>
      </c>
      <c r="C20" s="12">
        <f>MIN(1,'Россия 2027'!C20+'Россия 2027'!F20+(0.08*LN(1+0.5*'Ход 2027'!C26)*MAX(0,1-('Россия 2027'!C20+'Россия 2027'!F20))))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8.670154726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2027'!V20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2027'!B21+'Россия 2027'!D21+('Россия 2027'!C21+'Россия 2027'!F21+'Россия 2027'!G21)+(0.35*LN(1+0.6*'Ход 2027'!B27)*POWER(MAX(0,1-'Россия 2027'!I21/10),0.7))))</f>
        <v>7.7</v>
      </c>
      <c r="C21" s="12">
        <f>MIN(1,'Россия 2027'!C21+'Россия 2027'!F21+(0.08*LN(1+0.5*'Ход 2027'!C27)*MAX(0,1-('Россия 2027'!C21+'Россия 2027'!F21))))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7.7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2027'!V21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2027'!B22+'Россия 2027'!D22+('Россия 2027'!C22+'Россия 2027'!F22+'Россия 2027'!G22)+(0.35*LN(1+0.6*'Ход 2027'!B28)*POWER(MAX(0,1-'Россия 2027'!I22/10),0.7))))</f>
        <v>9.3</v>
      </c>
      <c r="C22" s="12">
        <f>MIN(1,'Россия 2027'!C22+'Россия 2027'!F22+(0.08*LN(1+0.5*'Ход 2027'!C28)*MAX(0,1-('Россия 2027'!C22+'Россия 2027'!F22))))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9.3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2027'!V22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2027'!B23+'Россия 2027'!D23+('Россия 2027'!C23+'Россия 2027'!F23+'Россия 2027'!G23)+(0.35*LN(1+0.6*'Ход 2027'!B29)*POWER(MAX(0,1-'Россия 2027'!I23/10),0.7))))</f>
        <v>8.85</v>
      </c>
      <c r="C23" s="12">
        <f>MIN(1,'Россия 2027'!C23+'Россия 2027'!F23+(0.08*LN(1+0.5*'Ход 2027'!C29)*MAX(0,1-('Россия 2027'!C23+'Россия 2027'!F23))))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8.85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2027'!V23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2027'!V24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2027'!B25+'Россия 2027'!D25+('Россия 2027'!C25+'Россия 2027'!F25+'Россия 2027'!G25)+(0.35*LN(1+0.6*'Ход 2027'!B31)*POWER(MAX(0,1-'Россия 2027'!I25/10),0.7))))</f>
        <v>8.606382797</v>
      </c>
      <c r="C25" s="12">
        <f>MIN(1,'Россия 2027'!C25+'Россия 2027'!F25+(0.08*LN(1+0.5*'Ход 2027'!C31)*MAX(0,1-('Россия 2027'!C25+'Россия 2027'!F25))))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8.606382797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2027'!V25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2027'!B26+'Россия 2027'!D26+('Россия 2027'!C26+'Россия 2027'!F26+'Россия 2027'!G26)+(0.35*LN(1+0.6*'Ход 2027'!B32)*POWER(MAX(0,1-'Россия 2027'!I26/10),0.7))))</f>
        <v>6.883710335</v>
      </c>
      <c r="C26" s="12">
        <f>MIN(1,'Россия 2027'!C26+'Россия 2027'!F26+(0.08*LN(1+0.5*'Ход 2027'!C32)*MAX(0,1-('Россия 2027'!C26+'Россия 2027'!F26))))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6.883710335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2027'!V26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2027'!B27+'Россия 2027'!D27+('Россия 2027'!C27+'Россия 2027'!F27+'Россия 2027'!G27)+(0.35*LN(1+0.6*'Ход 2027'!B33)*POWER(MAX(0,1-'Россия 2027'!I27/10),0.7))))</f>
        <v>7.645974721</v>
      </c>
      <c r="C27" s="12">
        <f>MIN(1,'Россия 2027'!C27+'Россия 2027'!F27+(0.08*LN(1+0.5*'Ход 2027'!C33)*MAX(0,1-('Россия 2027'!C27+'Россия 2027'!F27))))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7.645974721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2027'!B28+'Россия 2027'!D28+('Россия 2027'!C28+'Россия 2027'!F28+'Россия 2027'!G28)+(0.35*LN(1+0.6*'Ход 2027'!B34)*POWER(MAX(0,1-'Россия 2027'!I28/10),0.7))))</f>
        <v>7.8</v>
      </c>
      <c r="C28" s="12">
        <f>MIN(1,'Россия 2027'!C28+'Россия 2027'!F28+(0.08*LN(1+0.5*'Ход 2027'!C34)*MAX(0,1-('Россия 2027'!C28+'Россия 2027'!F28))))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7.8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2027'!B29+'Россия 2027'!D29+('Россия 2027'!C29+'Россия 2027'!F29+'Россия 2027'!G29)+(0.35*LN(1+0.6*'Ход 2027'!B35)*POWER(MAX(0,1-'Россия 2027'!I29/10),0.7))))</f>
        <v>6.746858147</v>
      </c>
      <c r="C29" s="12">
        <f>MIN(1,'Россия 2027'!C29+'Россия 2027'!F29+(0.08*LN(1+0.5*'Ход 2027'!C35)*MAX(0,1-('Россия 2027'!C29+'Россия 2027'!F29))))</f>
        <v>0.3388162421</v>
      </c>
      <c r="D29" s="25">
        <v>0.0</v>
      </c>
      <c r="E29" s="26">
        <v>0.3</v>
      </c>
      <c r="F29" s="25">
        <v>0.0</v>
      </c>
      <c r="G29" s="25">
        <v>0.0</v>
      </c>
      <c r="H29" s="12">
        <v>0.0</v>
      </c>
      <c r="I29" s="12">
        <f t="shared" si="5"/>
        <v>7.046858147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2027'!B30+'Россия 2027'!D30+('Россия 2027'!C30+'Россия 2027'!F30+'Россия 2027'!G30)+(0.35*LN(1+0.6*'Ход 2027'!B36)*POWER(MAX(0,1-'Россия 2027'!I30/10),0.7))))</f>
        <v>6.4</v>
      </c>
      <c r="C30" s="12">
        <f>MIN(1,'Россия 2027'!C30+'Россия 2027'!F30+(0.08*LN(1+0.5*'Ход 2027'!C36)*MAX(0,1-('Россия 2027'!C30+'Россия 2027'!F30))))</f>
        <v>0.2</v>
      </c>
      <c r="D30" s="25">
        <v>0.0</v>
      </c>
      <c r="E30" s="26">
        <v>0.2</v>
      </c>
      <c r="F30" s="25">
        <v>0.0</v>
      </c>
      <c r="G30" s="25">
        <v>0.0</v>
      </c>
      <c r="H30" s="12">
        <v>0.0</v>
      </c>
      <c r="I30" s="12">
        <f t="shared" si="5"/>
        <v>6.6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2027'!B31+'Россия 2027'!D31+('Россия 2027'!C31+'Россия 2027'!F31+'Россия 2027'!G31)+(0.35*LN(1+0.6*'Ход 2027'!B37)*POWER(MAX(0,1-'Россия 2027'!I31/10),0.7))))</f>
        <v>5.2</v>
      </c>
      <c r="C31" s="12">
        <f>MIN(1,'Россия 2027'!C31+'Россия 2027'!F31+(0.08*LN(1+0.5*'Ход 2027'!C37)*MAX(0,1-('Россия 2027'!C31+'Россия 2027'!F31))))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2027'!B32+'Россия 2027'!D32+('Россия 2027'!C32+'Россия 2027'!F32+'Россия 2027'!G32)+(0.35*LN(1+0.6*'Ход 2027'!B38)*POWER(MAX(0,1-'Россия 2027'!I32/10),0.7))))</f>
        <v>9.2</v>
      </c>
      <c r="C32" s="12">
        <f>MIN(1,'Россия 2027'!C32+'Россия 2027'!F32+(0.08*LN(1+0.5*'Ход 2027'!C38)*MAX(0,1-('Россия 2027'!C32+'Россия 2027'!F32))))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9.2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2027'!B34+'Россия 2027'!D34+('Россия 2027'!C34+'Россия 2027'!F34+'Россия 2027'!G34)+(0.35*LN(1+0.6*'Ход 2027'!B40)*POWER(MAX(0,1-'Россия 2027'!I34/10),0.7))))</f>
        <v>8.385187882</v>
      </c>
      <c r="C34" s="12">
        <f>MIN(1,'Россия 2027'!C34+'Россия 2027'!F34+(0.08*LN(1+0.5*'Ход 2027'!C40)*MAX(0,1-('Россия 2027'!C34+'Россия 2027'!F34))))</f>
        <v>0.2351878819</v>
      </c>
      <c r="D34" s="26"/>
      <c r="E34" s="26">
        <v>0.6</v>
      </c>
      <c r="F34" s="25">
        <v>0.0</v>
      </c>
      <c r="G34" s="26">
        <v>0.04</v>
      </c>
      <c r="H34" s="12">
        <v>0.0</v>
      </c>
      <c r="I34" s="12">
        <f t="shared" ref="I34:I42" si="6">MAX(1,MIN(10,B34+D34+E34+H34))</f>
        <v>8.985187882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2027'!B35+'Россия 2027'!D35+('Россия 2027'!C35+'Россия 2027'!F35+'Россия 2027'!G35)+(0.35*LN(1+0.6*'Ход 2027'!B41)*POWER(MAX(0,1-'Россия 2027'!I35/10),0.7))))</f>
        <v>9.131664729</v>
      </c>
      <c r="C35" s="12">
        <f>MIN(1,'Россия 2027'!C35+'Россия 2027'!F35+(0.08*LN(1+0.5*'Ход 2027'!C41)*MAX(0,1-('Россия 2027'!C35+'Россия 2027'!F35))))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9.131664729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2027'!B36+'Россия 2027'!D36+('Россия 2027'!C36+'Россия 2027'!F36+'Россия 2027'!G36)+(0.35*LN(1+0.6*'Ход 2027'!B42)*POWER(MAX(0,1-'Россия 2027'!I36/10),0.7))))</f>
        <v>8.5</v>
      </c>
      <c r="C36" s="12">
        <f>MIN(1,'Россия 2027'!C36+'Россия 2027'!F36+(0.08*LN(1+0.5*'Ход 2027'!C42)*MAX(0,1-('Россия 2027'!C36+'Россия 2027'!F36))))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8.5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2027'!B37+'Россия 2027'!D37+('Россия 2027'!C37+'Россия 2027'!F37+'Россия 2027'!G37)+(0.35*LN(1+0.6*'Ход 2027'!B43)*POWER(MAX(0,1-'Россия 2027'!I37/10),0.7))))</f>
        <v>6.6</v>
      </c>
      <c r="C37" s="12">
        <f>MIN(1,'Россия 2027'!C37+'Россия 2027'!F37+(0.08*LN(1+0.5*'Ход 2027'!C43)*MAX(0,1-('Россия 2027'!C37+'Россия 2027'!F37))))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6.6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2027'!B38+'Россия 2027'!D38+('Россия 2027'!C38+'Россия 2027'!F38+'Россия 2027'!G38)+(0.35*LN(1+0.6*'Ход 2027'!B44)*POWER(MAX(0,1-'Россия 2027'!I38/10),0.7))))</f>
        <v>6.5</v>
      </c>
      <c r="C38" s="12">
        <f>MIN(1,'Россия 2027'!C38+'Россия 2027'!F38+(0.08*LN(1+0.5*'Ход 2027'!C44)*MAX(0,1-('Россия 2027'!C38+'Россия 2027'!F38))))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6.5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2027'!B39+'Россия 2027'!D39+('Россия 2027'!C39+'Россия 2027'!F39+'Россия 2027'!G39)+(0.35*LN(1+0.6*'Ход 2027'!B45)*POWER(MAX(0,1-'Россия 2027'!I39/10),0.7))))</f>
        <v>6.4</v>
      </c>
      <c r="C39" s="12">
        <f>MIN(1,'Россия 2027'!C39+'Россия 2027'!F39+(0.08*LN(1+0.5*'Ход 2027'!C45)*MAX(0,1-('Россия 2027'!C39+'Россия 2027'!F39))))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6.4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2027'!B40+'Россия 2027'!D40+('Россия 2027'!C40+'Россия 2027'!F40+'Россия 2027'!G40)+(0.35*LN(1+0.6*'Ход 2027'!B46)*POWER(MAX(0,1-'Россия 2027'!I40/10),0.7))))</f>
        <v>7.2</v>
      </c>
      <c r="C40" s="12">
        <f>MIN(1,'Россия 2027'!C40+'Россия 2027'!F40+(0.08*LN(1+0.5*'Ход 2027'!C46)*MAX(0,1-('Россия 2027'!C40+'Россия 2027'!F40))))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7.2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2027'!B41+'Россия 2027'!D41+('Россия 2027'!C41+'Россия 2027'!F41+'Россия 2027'!G41)+(0.35*LN(1+0.6*'Ход 2027'!B47)*POWER(MAX(0,1-'Россия 2027'!I41/10),0.7))))</f>
        <v>7.5</v>
      </c>
      <c r="C41" s="12">
        <f>MIN(1,'Россия 2027'!C41+'Россия 2027'!F41+(0.08*LN(1+0.5*'Ход 2027'!C47)*MAX(0,1-('Россия 2027'!C41+'Россия 2027'!F41))))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7.5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2027'!B42+'Россия 2027'!D42+('Россия 2027'!C42+'Россия 2027'!F42+'Россия 2027'!G42)+(0.35*LN(1+0.6*'Ход 2027'!B48)*POWER(MAX(0,1-'Россия 2027'!I42/10),0.7))))</f>
        <v>8.4</v>
      </c>
      <c r="C42" s="12">
        <f>MIN(1,'Россия 2027'!C42+'Россия 2027'!F42+(0.08*LN(1+0.5*'Ход 2027'!C48)*MAX(0,1-('Россия 2027'!C42+'Россия 2027'!F42))))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8.4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2027'!B44+'Россия 2027'!D44+('Россия 2027'!C44+'Россия 2027'!F44+'Россия 2027'!G44)+(0.35*LN(1+0.6*'Ход 2027'!B50)*POWER(MAX(0,1-'Россия 2027'!I44/10),0.7))))</f>
        <v>6.48017683</v>
      </c>
      <c r="C44" s="12">
        <f>MIN(1,'Россия 2027'!C44+'Россия 2027'!F44+(0.08*LN(1+0.5*'Ход 2027'!C50)*MAX(0,1-('Россия 2027'!C44+'Россия 2027'!F44))))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6.48017683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2027'!B45+'Россия 2027'!D45+('Россия 2027'!C45+'Россия 2027'!F45+'Россия 2027'!G45)+(0.35*LN(1+0.6*'Ход 2027'!B51)*POWER(MAX(0,1-'Россия 2027'!I45/10),0.7))))</f>
        <v>6.6</v>
      </c>
      <c r="C45" s="12">
        <f>MIN(1,'Россия 2027'!C45+'Россия 2027'!F45+(0.08*LN(1+0.5*'Ход 2027'!C51)*MAX(0,1-('Россия 2027'!C45+'Россия 2027'!F45))))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6.6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2027'!B46+'Россия 2027'!D46+('Россия 2027'!C46+'Россия 2027'!F46+'Россия 2027'!G46)+(0.35*LN(1+0.6*'Ход 2027'!B52)*POWER(MAX(0,1-'Россия 2027'!I46/10),0.7))))</f>
        <v>5.291721311</v>
      </c>
      <c r="C46" s="12">
        <f>MIN(1,'Россия 2027'!C46+'Россия 2027'!F46+(0.08*LN(1+0.5*'Ход 2027'!C52)*MAX(0,1-('Россия 2027'!C46+'Россия 2027'!F46))))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5.291721311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2027'!B47+'Россия 2027'!D47+('Россия 2027'!C47+'Россия 2027'!F47+'Россия 2027'!G47)+(0.35*LN(1+0.6*'Ход 2027'!B53)*POWER(MAX(0,1-'Россия 2027'!I47/10),0.7))))</f>
        <v>3.43508043</v>
      </c>
      <c r="C47" s="12">
        <f>MIN(1,'Россия 2027'!C47+'Россия 2027'!F47+(0.08*LN(1+0.5*'Ход 2027'!C53)*MAX(0,1-('Россия 2027'!C47+'Россия 2027'!F47))))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3.43508043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2027'!B48+'Россия 2027'!D48+('Россия 2027'!C48+'Россия 2027'!F48+'Россия 2027'!G48)+(0.35*LN(1+0.6*'Ход 2027'!B54)*POWER(MAX(0,1-'Россия 2027'!I48/10),0.7))))</f>
        <v>6.792552381</v>
      </c>
      <c r="C48" s="12">
        <f>MIN(1,'Россия 2027'!C48+'Россия 2027'!F48+(0.08*LN(1+0.5*'Ход 2027'!C54)*MAX(0,1-('Россия 2027'!C48+'Россия 2027'!F48))))</f>
        <v>0.2371035015</v>
      </c>
      <c r="D48" s="25">
        <v>0.0</v>
      </c>
      <c r="E48" s="26">
        <v>0.2</v>
      </c>
      <c r="F48" s="25">
        <v>0.0</v>
      </c>
      <c r="G48" s="25">
        <v>0.0</v>
      </c>
      <c r="H48" s="12">
        <v>0.0</v>
      </c>
      <c r="I48" s="12">
        <f t="shared" si="7"/>
        <v>6.992552381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2027'!B49+'Россия 2027'!D49+('Россия 2027'!C49+'Россия 2027'!F49+'Россия 2027'!G49)+(0.35*LN(1+0.6*'Ход 2027'!B55)*POWER(MAX(0,1-'Россия 2027'!I49/10),0.7))))</f>
        <v>7.6</v>
      </c>
      <c r="C49" s="12">
        <f>MIN(1,'Россия 2027'!C49+'Россия 2027'!F49+(0.08*LN(1+0.5*'Ход 2027'!C55)*MAX(0,1-('Россия 2027'!C49+'Россия 2027'!F49))))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7.6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2027'!B50+'Россия 2027'!D50+('Россия 2027'!C50+'Россия 2027'!F50+'Россия 2027'!G50)+(0.35*LN(1+0.6*'Ход 2027'!B56)*POWER(MAX(0,1-'Россия 2027'!I50/10),0.7))))</f>
        <v>9.2</v>
      </c>
      <c r="C50" s="12">
        <f>MIN(1,'Россия 2027'!C50+'Россия 2027'!F50+(0.08*LN(1+0.5*'Ход 2027'!C56)*MAX(0,1-('Россия 2027'!C50+'Россия 2027'!F50))))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9.2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2027'!B51+'Россия 2027'!D51+('Россия 2027'!C51+'Россия 2027'!F51+'Россия 2027'!G51)+(0.35*LN(1+0.6*'Ход 2027'!B57)*POWER(MAX(0,1-'Россия 2027'!I51/10),0.7))))</f>
        <v>6.6</v>
      </c>
      <c r="C51" s="12">
        <f>MIN(1,'Россия 2027'!C51+'Россия 2027'!F51+(0.08*LN(1+0.5*'Ход 2027'!C57)*MAX(0,1-('Россия 2027'!C51+'Россия 2027'!F51))))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6.6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2027'!B53+'Россия 2027'!D53+('Россия 2027'!C53+'Россия 2027'!F53+'Россия 2027'!G53)+(0.35*LN(1+0.6*'Ход 2027'!B59)*POWER(MAX(0,1-'Россия 2027'!I53/10),0.7))))</f>
        <v>6.6</v>
      </c>
      <c r="C53" s="12">
        <f>MIN(1,'Россия 2027'!C53+'Россия 2027'!F53+(0.08*LN(1+0.5*'Ход 2027'!C59)*MAX(0,1-('Россия 2027'!C53+'Россия 2027'!F53))))</f>
        <v>0.3</v>
      </c>
      <c r="D53" s="26">
        <v>0.05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6.65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2027'!B54+'Россия 2027'!D54+('Россия 2027'!C54+'Россия 2027'!F54+'Россия 2027'!G54)+(0.35*LN(1+0.6*'Ход 2027'!B60)*POWER(MAX(0,1-'Россия 2027'!I54/10),0.7))))</f>
        <v>6.3</v>
      </c>
      <c r="C54" s="12">
        <f>MIN(1,'Россия 2027'!C54+'Россия 2027'!F54+(0.08*LN(1+0.5*'Ход 2027'!C60)*MAX(0,1-('Россия 2027'!C54+'Россия 2027'!F54))))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6.3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2027'!B55+'Россия 2027'!D55+('Россия 2027'!C55+'Россия 2027'!F55+'Россия 2027'!G55)+(0.35*LN(1+0.6*'Ход 2027'!B61)*POWER(MAX(0,1-'Россия 2027'!I55/10),0.7))))</f>
        <v>5.3</v>
      </c>
      <c r="C55" s="12">
        <f>MIN(1,'Россия 2027'!C55+'Россия 2027'!F55+(0.08*LN(1+0.5*'Ход 2027'!C61)*MAX(0,1-('Россия 2027'!C55+'Россия 2027'!F55))))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5.3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285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2028'!U6</f>
        <v>80.05238848</v>
      </c>
      <c r="C6" s="12"/>
      <c r="D6" s="12"/>
      <c r="E6" s="12" t="s">
        <v>54</v>
      </c>
      <c r="F6" s="19">
        <f>'Россия 2028'!K6</f>
        <v>67.71859319</v>
      </c>
      <c r="G6" s="12"/>
      <c r="H6" s="12"/>
      <c r="I6" s="12" t="s">
        <v>54</v>
      </c>
      <c r="J6" s="19">
        <f>'Россия 2028'!N6</f>
        <v>48.86769128</v>
      </c>
      <c r="K6" s="12"/>
      <c r="L6" s="12"/>
      <c r="M6" s="12" t="s">
        <v>54</v>
      </c>
      <c r="N6" s="19">
        <f>'Россия 2028'!Q6</f>
        <v>55.56635756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80.05238848</v>
      </c>
      <c r="C8" s="12" t="str">
        <f>IF(B8&lt;0,"ПРЕВЫШЕНИЕ","OK")</f>
        <v>OK</v>
      </c>
      <c r="D8" s="12"/>
      <c r="E8" s="12" t="s">
        <v>91</v>
      </c>
      <c r="F8" s="19">
        <f>F6-F7</f>
        <v>67.71859319</v>
      </c>
      <c r="G8" s="12" t="str">
        <f>IF(F8&lt;0,"ПРЕВЫШЕНИЕ","OK")</f>
        <v>OK</v>
      </c>
      <c r="H8" s="12"/>
      <c r="I8" s="12" t="s">
        <v>91</v>
      </c>
      <c r="J8" s="19">
        <f>J6-J7</f>
        <v>48.86769128</v>
      </c>
      <c r="K8" s="12" t="str">
        <f>IF(J8&lt;0,"ПРЕВЫШЕНИЕ","OK")</f>
        <v>OK</v>
      </c>
      <c r="L8" s="12"/>
      <c r="M8" s="12" t="s">
        <v>91</v>
      </c>
      <c r="N8" s="19">
        <f>N6-N7</f>
        <v>55.56635756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2028'!V11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61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2028'!V12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0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2028'!V13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20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2028'!V14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46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2028'!V15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82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2028'!V16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96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2028'!V17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32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2028'!V18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97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2028'!V19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2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2028'!V20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19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2028'!V21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51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2028'!V22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49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2028'!V23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26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2028'!V24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59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2028'!V25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50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2028'!V26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48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IF(G29="","",VLOOKUP(G29,'Технологии'!$A$11:$BF$50,46,FALSE))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IF(G30="","",VLOOKUP(G30,'Технологии'!$A$11:$BF$50,46,FALSE))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IF(G31="","",VLOOKUP(G31,'Технологии'!$A$11:$BF$50,46,FALSE))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IF(G32="","",VLOOKUP(G32,'Технологии'!$A$11:$BF$50,46,FALSE))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IF(G33="","",VLOOKUP(G33,'Технологии'!$A$11:$BF$50,46,FALSE))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IF(G34="","",VLOOKUP(G34,'Технологии'!$A$11:$BF$50,46,FALSE))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IF(G35="","",VLOOKUP(G35,'Технологии'!$A$11:$BF$50,46,FALSE))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IF(G36="","",VLOOKUP(G36,'Технологии'!$A$11:$BF$50,46,FALSE))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IF(G37="","",VLOOKUP(G37,'Технологии'!$A$11:$BF$50,46,FALSE))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IF(G38="","",VLOOKUP(G38,'Технологии'!$A$11:$BF$50,46,FALSE))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298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70.49966345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64.96082705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65.97915972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89.03182903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2028'!B8+'Россия 2028'!D8+('Россия 2028'!C8+'Россия 2028'!F8+'Россия 2028'!G8)+(0.35*LN(1+0.6*'Ход 2028'!B14)*POWER(MAX(0,1-'Россия 2028'!I8/10),0.7))))</f>
        <v>9.340419971</v>
      </c>
      <c r="C8" s="12">
        <f>MIN(1,'Россия 2028'!C8+'Россия 2028'!F8+(0.08*LN(1+0.5*'Ход 2028'!C14)*MAX(0,1-('Россия 2028'!C8+'Россия 2028'!F8))))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9.340419971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2028'!B9+'Россия 2028'!D9+('Россия 2028'!C9+'Россия 2028'!F9+'Россия 2028'!G9)+(0.35*LN(1+0.6*'Ход 2028'!B15)*POWER(MAX(0,1-'Россия 2028'!I9/10),0.7))))</f>
        <v>5.76035366</v>
      </c>
      <c r="C9" s="12">
        <f>MIN(1,'Россия 2028'!C9+'Россия 2028'!F9+(0.08*LN(1+0.5*'Ход 2028'!C15)*MAX(0,1-('Россия 2028'!C9+'Россия 2028'!F9))))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5.76035366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2028'!B10+'Россия 2028'!D10+('Россия 2028'!C10+'Россия 2028'!F10+'Россия 2028'!G10)+(0.35*LN(1+0.6*'Ход 2028'!B16)*POWER(MAX(0,1-'Россия 2028'!I10/10),0.7))))</f>
        <v>9.480397867</v>
      </c>
      <c r="C10" s="12">
        <f>MIN(1,'Россия 2028'!C10+'Россия 2028'!F10+(0.08*LN(1+0.5*'Ход 2028'!C16)*MAX(0,1-('Россия 2028'!C10+'Россия 2028'!F10))))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9.480397867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2028'!B11+'Россия 2028'!D11+('Россия 2028'!C11+'Россия 2028'!F11+'Россия 2028'!G11)+(0.35*LN(1+0.6*'Ход 2028'!B17)*POWER(MAX(0,1-'Россия 2028'!I11/10),0.7))))</f>
        <v>9.200442075</v>
      </c>
      <c r="C11" s="12">
        <f>MIN(1,'Россия 2028'!C11+'Россия 2028'!F11+(0.08*LN(1+0.5*'Ход 2028'!C17)*MAX(0,1-('Россия 2028'!C11+'Россия 2028'!F11))))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9.200442075</v>
      </c>
      <c r="J11" s="12"/>
      <c r="K11" s="12" t="s">
        <v>110</v>
      </c>
      <c r="L11" s="12">
        <f>MAX(1,MIN(10,'Россия 2028'!L11+'Россия 2028'!N11+('Россия 2028'!M11+'Россия 2028'!P11+'Россия 2028'!Q11)))</f>
        <v>6.920922561</v>
      </c>
      <c r="M11" s="12">
        <f>MIN(1,'Россия 2028'!M11+'Россия 2028'!P11+(0.1*LN(1+0.5*'Ход 2028'!H13)*POWER(MAX(0,1-'Россия 2028'!S11/10),0.8)))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6.920922561</v>
      </c>
      <c r="T11" s="12"/>
      <c r="U11" s="12" t="s">
        <v>111</v>
      </c>
      <c r="V11" s="25">
        <f>'Россия 2028'!V11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2028'!B12+'Россия 2028'!D12+('Россия 2028'!C12+'Россия 2028'!F12+'Россия 2028'!G12)+(0.35*LN(1+0.6*'Ход 2028'!B18)*POWER(MAX(0,1-'Россия 2028'!I12/10),0.7))))</f>
        <v>9</v>
      </c>
      <c r="C12" s="12">
        <f>MIN(1,'Россия 2028'!C12+'Россия 2028'!F12+(0.08*LN(1+0.5*'Ход 2028'!C18)*MAX(0,1-('Россия 2028'!C12+'Россия 2028'!F12))))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2028'!L12+'Россия 2028'!N12+('Россия 2028'!M12+'Россия 2028'!P12+'Россия 2028'!Q12)))</f>
        <v>6.870930355</v>
      </c>
      <c r="M12" s="12">
        <f>MIN(1,'Россия 2028'!M12+'Россия 2028'!P12+(0.1*LN(1+0.5*'Ход 2028'!H14)*POWER(MAX(0,1-'Россия 2028'!S12/10),0.8)))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6.870930355</v>
      </c>
      <c r="T12" s="12"/>
      <c r="U12" s="12" t="s">
        <v>122</v>
      </c>
      <c r="V12" s="25">
        <f>'Россия 2028'!V12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2028'!B13+'Россия 2028'!D13+('Россия 2028'!C13+'Россия 2028'!F13+'Россия 2028'!G13)+(0.35*LN(1+0.6*'Ход 2028'!B19)*POWER(MAX(0,1-'Россия 2028'!I13/10),0.7))))</f>
        <v>3.900331556</v>
      </c>
      <c r="C13" s="12">
        <f>MIN(1,'Россия 2028'!C13+'Россия 2028'!F13+(0.08*LN(1+0.5*'Ход 2028'!C19)*MAX(0,1-('Россия 2028'!C13+'Россия 2028'!F13))))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3.900331556</v>
      </c>
      <c r="J13" s="12"/>
      <c r="K13" s="12" t="s">
        <v>127</v>
      </c>
      <c r="L13" s="12">
        <f>MAX(1,MIN(10,'Россия 2028'!L13+'Россия 2028'!N13+('Россия 2028'!M13+'Россия 2028'!P13+'Россия 2028'!Q13)))</f>
        <v>7.659574727</v>
      </c>
      <c r="M13" s="12">
        <f>MIN(1,'Россия 2028'!M13+'Россия 2028'!P13+(0.1*LN(1+0.5*'Ход 2028'!H15)*POWER(MAX(0,1-'Россия 2028'!S13/10),0.8)))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7.659574727</v>
      </c>
      <c r="T13" s="12"/>
      <c r="U13" s="12" t="s">
        <v>128</v>
      </c>
      <c r="V13" s="25">
        <f>'Россия 2028'!V13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2028'!B14+'Россия 2028'!D14+('Россия 2028'!C14+'Россия 2028'!F14+'Россия 2028'!G14)+(0.35*LN(1+0.6*'Ход 2028'!B20)*POWER(MAX(0,1-'Россия 2028'!I14/10),0.7))))</f>
        <v>4.358093803</v>
      </c>
      <c r="C14" s="12">
        <f>MIN(1,'Россия 2028'!C14+'Россия 2028'!F14+(0.08*LN(1+0.5*'Ход 2028'!C20)*MAX(0,1-('Россия 2028'!C14+'Россия 2028'!F14))))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4.358093803</v>
      </c>
      <c r="J14" s="12"/>
      <c r="K14" s="12" t="s">
        <v>131</v>
      </c>
      <c r="L14" s="12">
        <f>MAX(1,MIN(10,'Россия 2028'!L14+'Россия 2028'!N14+('Россия 2028'!M14+'Россия 2028'!P14+'Россия 2028'!Q14)))</f>
        <v>6.761389768</v>
      </c>
      <c r="M14" s="12">
        <f>MIN(1,'Россия 2028'!M14+'Россия 2028'!P14+(0.1*LN(1+0.5*'Ход 2028'!H16)*POWER(MAX(0,1-'Россия 2028'!S14/10),0.8)))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6.761389768</v>
      </c>
      <c r="T14" s="12"/>
      <c r="U14" s="12" t="s">
        <v>132</v>
      </c>
      <c r="V14" s="25">
        <f>'Россия 2028'!V14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2028'!B15+'Россия 2028'!D15+('Россия 2028'!C15+'Россия 2028'!F15+'Россия 2028'!G15)+(0.35*LN(1+0.6*'Ход 2028'!B21)*POWER(MAX(0,1-'Россия 2028'!I15/10),0.7))))</f>
        <v>7.452008909</v>
      </c>
      <c r="C15" s="12">
        <f>MIN(1,'Россия 2028'!C15+'Россия 2028'!F15+(0.08*LN(1+0.5*'Ход 2028'!C21)*MAX(0,1-('Россия 2028'!C15+'Россия 2028'!F15))))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7.452008909</v>
      </c>
      <c r="J15" s="12"/>
      <c r="K15" s="12" t="s">
        <v>135</v>
      </c>
      <c r="L15" s="12">
        <f>MAX(1,MIN(10,'Россия 2028'!L15+'Россия 2028'!N15+('Россия 2028'!M15+'Россия 2028'!P15+'Россия 2028'!Q15)))</f>
        <v>6.75</v>
      </c>
      <c r="M15" s="12">
        <f>MIN(1,'Россия 2028'!M15+'Россия 2028'!P15+(0.1*LN(1+0.5*'Ход 2028'!H17)*POWER(MAX(0,1-'Россия 2028'!S15/10),0.8)))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6.75</v>
      </c>
      <c r="T15" s="12"/>
      <c r="U15" s="12" t="s">
        <v>136</v>
      </c>
      <c r="V15" s="25">
        <f>'Россия 2028'!V15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2028'!B16+'Россия 2028'!D16+('Россия 2028'!C16+'Россия 2028'!F16+'Россия 2028'!G16)+(0.35*LN(1+0.6*'Ход 2028'!B22)*POWER(MAX(0,1-'Россия 2028'!I16/10),0.7))))</f>
        <v>8.763264582</v>
      </c>
      <c r="C16" s="12">
        <f>MIN(1,'Россия 2028'!C16+'Россия 2028'!F16+(0.08*LN(1+0.5*'Ход 2028'!C22)*MAX(0,1-('Россия 2028'!C16+'Россия 2028'!F16))))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8.763264582</v>
      </c>
      <c r="J16" s="12"/>
      <c r="K16" s="12" t="s">
        <v>142</v>
      </c>
      <c r="L16" s="12">
        <f>MAX(1,MIN(10,'Россия 2028'!L16+'Россия 2028'!N16+('Россия 2028'!M16+'Россия 2028'!P16+'Россия 2028'!Q16)))</f>
        <v>8.019297821</v>
      </c>
      <c r="M16" s="12">
        <f>MIN(1,'Россия 2028'!M16+'Россия 2028'!P16+(0.1*LN(1+0.5*'Ход 2028'!H18)*POWER(MAX(0,1-'Россия 2028'!S16/10),0.8)))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8.019297821</v>
      </c>
      <c r="T16" s="12"/>
      <c r="U16" s="12" t="s">
        <v>145</v>
      </c>
      <c r="V16" s="25">
        <f>'Россия 2028'!V16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2028'!B17+'Россия 2028'!D17+('Россия 2028'!C17+'Россия 2028'!F17+'Россия 2028'!G17)+(0.35*LN(1+0.6*'Ход 2028'!B23)*POWER(MAX(0,1-'Россия 2028'!I17/10),0.7))))</f>
        <v>7.684858368</v>
      </c>
      <c r="C17" s="12">
        <f>MIN(1,'Россия 2028'!C17+'Россия 2028'!F17+(0.08*LN(1+0.5*'Ход 2028'!C23)*MAX(0,1-('Россия 2028'!C17+'Россия 2028'!F17))))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7.684858368</v>
      </c>
      <c r="J17" s="12"/>
      <c r="K17" s="12" t="s">
        <v>148</v>
      </c>
      <c r="L17" s="12">
        <f>MAX(1,MIN(10,'Россия 2028'!L17+'Россия 2028'!N17+('Россия 2028'!M17+'Россия 2028'!P17+'Россия 2028'!Q17)))</f>
        <v>7.998358348</v>
      </c>
      <c r="M17" s="12">
        <f>MIN(1,'Россия 2028'!M17+'Россия 2028'!P17+(0.1*LN(1+0.5*'Ход 2028'!H19)*POWER(MAX(0,1-'Россия 2028'!S17/10),0.8)))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7.998358348</v>
      </c>
      <c r="T17" s="12"/>
      <c r="U17" s="12" t="s">
        <v>149</v>
      </c>
      <c r="V17" s="25">
        <f>'Россия 2028'!V17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2028'!L18+'Россия 2028'!N18+('Россия 2028'!M18+'Россия 2028'!P18+'Россия 2028'!Q18)))</f>
        <v>7.40302029</v>
      </c>
      <c r="M18" s="12">
        <f>MIN(1,'Россия 2028'!M18+'Россия 2028'!P18+(0.1*LN(1+0.5*'Ход 2028'!H20)*POWER(MAX(0,1-'Россия 2028'!S18/10),0.8)))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7.40302029</v>
      </c>
      <c r="T18" s="12"/>
      <c r="U18" s="12" t="s">
        <v>153</v>
      </c>
      <c r="V18" s="25">
        <f>'Россия 2028'!V18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2028'!B19+'Россия 2028'!D19+('Россия 2028'!C19+'Россия 2028'!F19+'Россия 2028'!G19)+(0.35*LN(1+0.6*'Ход 2028'!B25)*POWER(MAX(0,1-'Россия 2028'!I19/10),0.7))))</f>
        <v>7.75</v>
      </c>
      <c r="C19" s="12">
        <f>MIN(1,'Россия 2028'!C19+'Россия 2028'!F19+(0.08*LN(1+0.5*'Ход 2028'!C25)*MAX(0,1-('Россия 2028'!C19+'Россия 2028'!F19))))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7.75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2028'!V19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2028'!B20+'Россия 2028'!D20+('Россия 2028'!C20+'Россия 2028'!F20+'Россия 2028'!G20)+(0.35*LN(1+0.6*'Ход 2028'!B26)*POWER(MAX(0,1-'Россия 2028'!I20/10),0.7))))</f>
        <v>9.040309452</v>
      </c>
      <c r="C20" s="12">
        <f>MIN(1,'Россия 2028'!C20+'Россия 2028'!F20+(0.08*LN(1+0.5*'Ход 2028'!C26)*MAX(0,1-('Россия 2028'!C20+'Россия 2028'!F20))))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9.040309452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2028'!V20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2028'!B21+'Россия 2028'!D21+('Россия 2028'!C21+'Россия 2028'!F21+'Россия 2028'!G21)+(0.35*LN(1+0.6*'Ход 2028'!B27)*POWER(MAX(0,1-'Россия 2028'!I21/10),0.7))))</f>
        <v>8.05</v>
      </c>
      <c r="C21" s="12">
        <f>MIN(1,'Россия 2028'!C21+'Россия 2028'!F21+(0.08*LN(1+0.5*'Ход 2028'!C27)*MAX(0,1-('Россия 2028'!C21+'Россия 2028'!F21))))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8.05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2028'!V21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2028'!B22+'Россия 2028'!D22+('Россия 2028'!C22+'Россия 2028'!F22+'Россия 2028'!G22)+(0.35*LN(1+0.6*'Ход 2028'!B28)*POWER(MAX(0,1-'Россия 2028'!I22/10),0.7))))</f>
        <v>9.45</v>
      </c>
      <c r="C22" s="12">
        <f>MIN(1,'Россия 2028'!C22+'Россия 2028'!F22+(0.08*LN(1+0.5*'Ход 2028'!C28)*MAX(0,1-('Россия 2028'!C22+'Россия 2028'!F22))))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9.45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2028'!V22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2028'!B23+'Россия 2028'!D23+('Россия 2028'!C23+'Россия 2028'!F23+'Россия 2028'!G23)+(0.35*LN(1+0.6*'Ход 2028'!B29)*POWER(MAX(0,1-'Россия 2028'!I23/10),0.7))))</f>
        <v>9.2</v>
      </c>
      <c r="C23" s="12">
        <f>MIN(1,'Россия 2028'!C23+'Россия 2028'!F23+(0.08*LN(1+0.5*'Ход 2028'!C29)*MAX(0,1-('Россия 2028'!C23+'Россия 2028'!F23))))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9.2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2028'!V23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2028'!V24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2028'!B25+'Россия 2028'!D25+('Россия 2028'!C25+'Россия 2028'!F25+'Россия 2028'!G25)+(0.35*LN(1+0.6*'Ход 2028'!B31)*POWER(MAX(0,1-'Россия 2028'!I25/10),0.7))))</f>
        <v>8.897971627</v>
      </c>
      <c r="C25" s="12">
        <f>MIN(1,'Россия 2028'!C25+'Россия 2028'!F25+(0.08*LN(1+0.5*'Ход 2028'!C31)*MAX(0,1-('Россия 2028'!C25+'Россия 2028'!F25))))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8.897971627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2028'!V25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2028'!B26+'Россия 2028'!D26+('Россия 2028'!C26+'Россия 2028'!F26+'Россия 2028'!G26)+(0.35*LN(1+0.6*'Ход 2028'!B32)*POWER(MAX(0,1-'Россия 2028'!I26/10),0.7))))</f>
        <v>7.288791099</v>
      </c>
      <c r="C26" s="12">
        <f>MIN(1,'Россия 2028'!C26+'Россия 2028'!F26+(0.08*LN(1+0.5*'Ход 2028'!C32)*MAX(0,1-('Россия 2028'!C26+'Россия 2028'!F26))))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7.288791099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2028'!V26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2028'!B27+'Россия 2028'!D27+('Россия 2028'!C27+'Россия 2028'!F27+'Россия 2028'!G27)+(0.35*LN(1+0.6*'Ход 2028'!B33)*POWER(MAX(0,1-'Россия 2028'!I27/10),0.7))))</f>
        <v>7.937563552</v>
      </c>
      <c r="C27" s="12">
        <f>MIN(1,'Россия 2028'!C27+'Россия 2028'!F27+(0.08*LN(1+0.5*'Ход 2028'!C33)*MAX(0,1-('Россия 2028'!C27+'Россия 2028'!F27))))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7.937563552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2028'!B28+'Россия 2028'!D28+('Россия 2028'!C28+'Россия 2028'!F28+'Россия 2028'!G28)+(0.35*LN(1+0.6*'Ход 2028'!B34)*POWER(MAX(0,1-'Россия 2028'!I28/10),0.7))))</f>
        <v>8.206708573</v>
      </c>
      <c r="C28" s="12">
        <f>MIN(1,'Россия 2028'!C28+'Россия 2028'!F28+(0.08*LN(1+0.5*'Ход 2028'!C34)*MAX(0,1-('Россия 2028'!C28+'Россия 2028'!F28))))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8.206708573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2028'!B29+'Россия 2028'!D29+('Россия 2028'!C29+'Россия 2028'!F29+'Россия 2028'!G29)+(0.35*LN(1+0.6*'Ход 2028'!B35)*POWER(MAX(0,1-'Россия 2028'!I29/10),0.7))))</f>
        <v>7.085674389</v>
      </c>
      <c r="C29" s="12">
        <f>MIN(1,'Россия 2028'!C29+'Россия 2028'!F29+(0.08*LN(1+0.5*'Ход 2028'!C35)*MAX(0,1-('Россия 2028'!C29+'Россия 2028'!F29))))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7.085674389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2028'!B30+'Россия 2028'!D30+('Россия 2028'!C30+'Россия 2028'!F30+'Россия 2028'!G30)+(0.35*LN(1+0.6*'Ход 2028'!B36)*POWER(MAX(0,1-'Россия 2028'!I30/10),0.7))))</f>
        <v>6.6</v>
      </c>
      <c r="C30" s="12">
        <f>MIN(1,'Россия 2028'!C30+'Россия 2028'!F30+(0.08*LN(1+0.5*'Ход 2028'!C36)*MAX(0,1-('Россия 2028'!C30+'Россия 2028'!F30))))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6.6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2028'!B31+'Россия 2028'!D31+('Россия 2028'!C31+'Россия 2028'!F31+'Россия 2028'!G31)+(0.35*LN(1+0.6*'Ход 2028'!B37)*POWER(MAX(0,1-'Россия 2028'!I31/10),0.7))))</f>
        <v>5.3</v>
      </c>
      <c r="C31" s="12">
        <f>MIN(1,'Россия 2028'!C31+'Россия 2028'!F31+(0.08*LN(1+0.5*'Ход 2028'!C37)*MAX(0,1-('Россия 2028'!C31+'Россия 2028'!F31))))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5.3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2028'!B32+'Россия 2028'!D32+('Россия 2028'!C32+'Россия 2028'!F32+'Россия 2028'!G32)+(0.35*LN(1+0.6*'Ход 2028'!B38)*POWER(MAX(0,1-'Россия 2028'!I32/10),0.7))))</f>
        <v>9.3</v>
      </c>
      <c r="C32" s="12">
        <f>MIN(1,'Россия 2028'!C32+'Россия 2028'!F32+(0.08*LN(1+0.5*'Ход 2028'!C38)*MAX(0,1-('Россия 2028'!C32+'Россия 2028'!F32))))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2028'!B34+'Россия 2028'!D34+('Россия 2028'!C34+'Россия 2028'!F34+'Россия 2028'!G34)+(0.35*LN(1+0.6*'Ход 2028'!B40)*POWER(MAX(0,1-'Россия 2028'!I34/10),0.7))))</f>
        <v>8.660375764</v>
      </c>
      <c r="C34" s="12">
        <f>MIN(1,'Россия 2028'!C34+'Россия 2028'!F34+(0.08*LN(1+0.5*'Ход 2028'!C40)*MAX(0,1-('Россия 2028'!C34+'Россия 2028'!F34))))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8.660375764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2028'!B35+'Россия 2028'!D35+('Россия 2028'!C35+'Россия 2028'!F35+'Россия 2028'!G35)+(0.35*LN(1+0.6*'Ход 2028'!B41)*POWER(MAX(0,1-'Россия 2028'!I35/10),0.7))))</f>
        <v>9.181664729</v>
      </c>
      <c r="C35" s="12">
        <f>MIN(1,'Россия 2028'!C35+'Россия 2028'!F35+(0.08*LN(1+0.5*'Ход 2028'!C41)*MAX(0,1-('Россия 2028'!C35+'Россия 2028'!F35))))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9.181664729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2028'!B36+'Россия 2028'!D36+('Россия 2028'!C36+'Россия 2028'!F36+'Россия 2028'!G36)+(0.35*LN(1+0.6*'Ход 2028'!B42)*POWER(MAX(0,1-'Россия 2028'!I36/10),0.7))))</f>
        <v>8.75</v>
      </c>
      <c r="C36" s="12">
        <f>MIN(1,'Россия 2028'!C36+'Россия 2028'!F36+(0.08*LN(1+0.5*'Ход 2028'!C42)*MAX(0,1-('Россия 2028'!C36+'Россия 2028'!F36))))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8.75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2028'!B37+'Россия 2028'!D37+('Россия 2028'!C37+'Россия 2028'!F37+'Россия 2028'!G37)+(0.35*LN(1+0.6*'Ход 2028'!B43)*POWER(MAX(0,1-'Россия 2028'!I37/10),0.7))))</f>
        <v>6.9</v>
      </c>
      <c r="C37" s="12">
        <f>MIN(1,'Россия 2028'!C37+'Россия 2028'!F37+(0.08*LN(1+0.5*'Ход 2028'!C43)*MAX(0,1-('Россия 2028'!C37+'Россия 2028'!F37))))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6.9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2028'!B38+'Россия 2028'!D38+('Россия 2028'!C38+'Россия 2028'!F38+'Россия 2028'!G38)+(0.35*LN(1+0.6*'Ход 2028'!B44)*POWER(MAX(0,1-'Россия 2028'!I38/10),0.7))))</f>
        <v>6.75</v>
      </c>
      <c r="C38" s="12">
        <f>MIN(1,'Россия 2028'!C38+'Россия 2028'!F38+(0.08*LN(1+0.5*'Ход 2028'!C44)*MAX(0,1-('Россия 2028'!C38+'Россия 2028'!F38))))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6.75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2028'!B39+'Россия 2028'!D39+('Россия 2028'!C39+'Россия 2028'!F39+'Россия 2028'!G39)+(0.35*LN(1+0.6*'Ход 2028'!B45)*POWER(MAX(0,1-'Россия 2028'!I39/10),0.7))))</f>
        <v>6.6</v>
      </c>
      <c r="C39" s="12">
        <f>MIN(1,'Россия 2028'!C39+'Россия 2028'!F39+(0.08*LN(1+0.5*'Ход 2028'!C45)*MAX(0,1-('Россия 2028'!C39+'Россия 2028'!F39))))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6.6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2028'!B40+'Россия 2028'!D40+('Россия 2028'!C40+'Россия 2028'!F40+'Россия 2028'!G40)+(0.35*LN(1+0.6*'Ход 2028'!B46)*POWER(MAX(0,1-'Россия 2028'!I40/10),0.7))))</f>
        <v>7.3</v>
      </c>
      <c r="C40" s="12">
        <f>MIN(1,'Россия 2028'!C40+'Россия 2028'!F40+(0.08*LN(1+0.5*'Ход 2028'!C46)*MAX(0,1-('Россия 2028'!C40+'Россия 2028'!F40))))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7.3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2028'!B41+'Россия 2028'!D41+('Россия 2028'!C41+'Россия 2028'!F41+'Россия 2028'!G41)+(0.35*LN(1+0.6*'Ход 2028'!B47)*POWER(MAX(0,1-'Россия 2028'!I41/10),0.7))))</f>
        <v>7.75</v>
      </c>
      <c r="C41" s="12">
        <f>MIN(1,'Россия 2028'!C41+'Россия 2028'!F41+(0.08*LN(1+0.5*'Ход 2028'!C47)*MAX(0,1-('Россия 2028'!C41+'Россия 2028'!F41))))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7.75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2028'!B42+'Россия 2028'!D42+('Россия 2028'!C42+'Россия 2028'!F42+'Россия 2028'!G42)+(0.35*LN(1+0.6*'Ход 2028'!B48)*POWER(MAX(0,1-'Россия 2028'!I42/10),0.7))))</f>
        <v>8.6</v>
      </c>
      <c r="C42" s="12">
        <f>MIN(1,'Россия 2028'!C42+'Россия 2028'!F42+(0.08*LN(1+0.5*'Ход 2028'!C48)*MAX(0,1-('Россия 2028'!C42+'Россия 2028'!F42))))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8.6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2028'!B44+'Россия 2028'!D44+('Россия 2028'!C44+'Россия 2028'!F44+'Россия 2028'!G44)+(0.35*LN(1+0.6*'Ход 2028'!B50)*POWER(MAX(0,1-'Россия 2028'!I44/10),0.7))))</f>
        <v>6.76035366</v>
      </c>
      <c r="C44" s="12">
        <f>MIN(1,'Россия 2028'!C44+'Россия 2028'!F44+(0.08*LN(1+0.5*'Ход 2028'!C50)*MAX(0,1-('Россия 2028'!C44+'Россия 2028'!F44))))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6.76035366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2028'!B45+'Россия 2028'!D45+('Россия 2028'!C45+'Россия 2028'!F45+'Россия 2028'!G45)+(0.35*LN(1+0.6*'Ход 2028'!B51)*POWER(MAX(0,1-'Россия 2028'!I45/10),0.7))))</f>
        <v>6.9</v>
      </c>
      <c r="C45" s="12">
        <f>MIN(1,'Россия 2028'!C45+'Россия 2028'!F45+(0.08*LN(1+0.5*'Ход 2028'!C51)*MAX(0,1-('Россия 2028'!C45+'Россия 2028'!F45))))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6.9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2028'!B46+'Россия 2028'!D46+('Россия 2028'!C46+'Россия 2028'!F46+'Россия 2028'!G46)+(0.35*LN(1+0.6*'Ход 2028'!B52)*POWER(MAX(0,1-'Россия 2028'!I46/10),0.7))))</f>
        <v>5.391721311</v>
      </c>
      <c r="C46" s="12">
        <f>MIN(1,'Россия 2028'!C46+'Россия 2028'!F46+(0.08*LN(1+0.5*'Ход 2028'!C52)*MAX(0,1-('Россия 2028'!C46+'Россия 2028'!F46))))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5.391721311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2028'!B47+'Россия 2028'!D47+('Россия 2028'!C47+'Россия 2028'!F47+'Россия 2028'!G47)+(0.35*LN(1+0.6*'Ход 2028'!B53)*POWER(MAX(0,1-'Россия 2028'!I47/10),0.7))))</f>
        <v>3.670845669</v>
      </c>
      <c r="C47" s="12">
        <f>MIN(1,'Россия 2028'!C47+'Россия 2028'!F47+(0.08*LN(1+0.5*'Ход 2028'!C53)*MAX(0,1-('Россия 2028'!C47+'Россия 2028'!F47))))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3.670845669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2028'!B48+'Россия 2028'!D48+('Россия 2028'!C48+'Россия 2028'!F48+'Россия 2028'!G48)+(0.35*LN(1+0.6*'Ход 2028'!B54)*POWER(MAX(0,1-'Россия 2028'!I48/10),0.7))))</f>
        <v>7.029655882</v>
      </c>
      <c r="C48" s="12">
        <f>MIN(1,'Россия 2028'!C48+'Россия 2028'!F48+(0.08*LN(1+0.5*'Ход 2028'!C54)*MAX(0,1-('Россия 2028'!C48+'Россия 2028'!F48))))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7.029655882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2028'!B49+'Россия 2028'!D49+('Россия 2028'!C49+'Россия 2028'!F49+'Россия 2028'!G49)+(0.35*LN(1+0.6*'Ход 2028'!B55)*POWER(MAX(0,1-'Россия 2028'!I49/10),0.7))))</f>
        <v>7.9</v>
      </c>
      <c r="C49" s="12">
        <f>MIN(1,'Россия 2028'!C49+'Россия 2028'!F49+(0.08*LN(1+0.5*'Ход 2028'!C55)*MAX(0,1-('Россия 2028'!C49+'Россия 2028'!F49))))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7.9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2028'!B50+'Россия 2028'!D50+('Россия 2028'!C50+'Россия 2028'!F50+'Россия 2028'!G50)+(0.35*LN(1+0.6*'Ход 2028'!B56)*POWER(MAX(0,1-'Россия 2028'!I50/10),0.7))))</f>
        <v>9.3</v>
      </c>
      <c r="C50" s="12">
        <f>MIN(1,'Россия 2028'!C50+'Россия 2028'!F50+(0.08*LN(1+0.5*'Ход 2028'!C56)*MAX(0,1-('Россия 2028'!C50+'Россия 2028'!F50))))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9.3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2028'!B51+'Россия 2028'!D51+('Россия 2028'!C51+'Россия 2028'!F51+'Россия 2028'!G51)+(0.35*LN(1+0.6*'Ход 2028'!B57)*POWER(MAX(0,1-'Россия 2028'!I51/10),0.7))))</f>
        <v>6.9</v>
      </c>
      <c r="C51" s="12">
        <f>MIN(1,'Россия 2028'!C51+'Россия 2028'!F51+(0.08*LN(1+0.5*'Ход 2028'!C57)*MAX(0,1-('Россия 2028'!C51+'Россия 2028'!F51))))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6.9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2028'!B53+'Россия 2028'!D53+('Россия 2028'!C53+'Россия 2028'!F53+'Россия 2028'!G53)+(0.35*LN(1+0.6*'Ход 2028'!B59)*POWER(MAX(0,1-'Россия 2028'!I53/10),0.7))))</f>
        <v>6.95</v>
      </c>
      <c r="C53" s="12">
        <f>MIN(1,'Россия 2028'!C53+'Россия 2028'!F53+(0.08*LN(1+0.5*'Ход 2028'!C59)*MAX(0,1-('Россия 2028'!C53+'Россия 2028'!F53))))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6.95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2028'!B54+'Россия 2028'!D54+('Россия 2028'!C54+'Россия 2028'!F54+'Россия 2028'!G54)+(0.35*LN(1+0.6*'Ход 2028'!B60)*POWER(MAX(0,1-'Россия 2028'!I54/10),0.7))))</f>
        <v>6.45</v>
      </c>
      <c r="C54" s="12">
        <f>MIN(1,'Россия 2028'!C54+'Россия 2028'!F54+(0.08*LN(1+0.5*'Ход 2028'!C60)*MAX(0,1-('Россия 2028'!C54+'Россия 2028'!F54))))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6.45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2028'!B55+'Россия 2028'!D55+('Россия 2028'!C55+'Россия 2028'!F55+'Россия 2028'!G55)+(0.35*LN(1+0.6*'Ход 2028'!B61)*POWER(MAX(0,1-'Россия 2028'!I55/10),0.7))))</f>
        <v>5.45</v>
      </c>
      <c r="C55" s="12">
        <f>MIN(1,'Россия 2028'!C55+'Россия 2028'!F55+(0.08*LN(1+0.5*'Ход 2028'!C61)*MAX(0,1-('Россия 2028'!C55+'Россия 2028'!F55))))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5.45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2029'!U6</f>
        <v>89.03182903</v>
      </c>
      <c r="C6" s="12"/>
      <c r="D6" s="12"/>
      <c r="E6" s="12" t="s">
        <v>54</v>
      </c>
      <c r="F6" s="19">
        <f>'Россия 2029'!K6</f>
        <v>70.49966345</v>
      </c>
      <c r="G6" s="12"/>
      <c r="H6" s="12"/>
      <c r="I6" s="12" t="s">
        <v>54</v>
      </c>
      <c r="J6" s="19">
        <f>'Россия 2029'!N6</f>
        <v>64.96082705</v>
      </c>
      <c r="K6" s="12"/>
      <c r="L6" s="12"/>
      <c r="M6" s="12" t="s">
        <v>54</v>
      </c>
      <c r="N6" s="19">
        <f>'Россия 2029'!Q6</f>
        <v>65.97915972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89.03182903</v>
      </c>
      <c r="C8" s="12" t="str">
        <f>IF(B8&lt;0,"ПРЕВЫШЕНИЕ","OK")</f>
        <v>OK</v>
      </c>
      <c r="D8" s="12"/>
      <c r="E8" s="12" t="s">
        <v>91</v>
      </c>
      <c r="F8" s="19">
        <f>F6-F7</f>
        <v>70.49966345</v>
      </c>
      <c r="G8" s="12" t="str">
        <f>IF(F8&lt;0,"ПРЕВЫШЕНИЕ","OK")</f>
        <v>OK</v>
      </c>
      <c r="H8" s="12"/>
      <c r="I8" s="12" t="s">
        <v>91</v>
      </c>
      <c r="J8" s="19">
        <f>J6-J7</f>
        <v>64.96082705</v>
      </c>
      <c r="K8" s="12" t="str">
        <f>IF(J8&lt;0,"ПРЕВЫШЕНИЕ","OK")</f>
        <v>OK</v>
      </c>
      <c r="L8" s="12"/>
      <c r="M8" s="12" t="s">
        <v>91</v>
      </c>
      <c r="N8" s="19">
        <f>N6-N7</f>
        <v>65.97915972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2029'!V11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60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2029'!V12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80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2029'!V13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17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2029'!V14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63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2029'!V15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20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2029'!V16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37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2029'!V17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75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2029'!V18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90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2029'!V19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90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2029'!V20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24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2029'!V21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96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2029'!V22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92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2029'!V23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64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2029'!V24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41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2029'!V25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68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2029'!V26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74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IF(G29="","",VLOOKUP(G29,'Технологии'!$A$11:$BF$50,47,FALSE))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IF(G30="","",VLOOKUP(G30,'Технологии'!$A$11:$BF$50,47,FALSE))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IF(G31="","",VLOOKUP(G31,'Технологии'!$A$11:$BF$50,47,FALSE))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IF(G32="","",VLOOKUP(G32,'Технологии'!$A$11:$BF$50,47,FALSE))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IF(G33="","",VLOOKUP(G33,'Технологии'!$A$11:$BF$50,47,FALSE))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IF(G34="","",VLOOKUP(G34,'Технологии'!$A$11:$BF$50,47,FALSE))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IF(G35="","",VLOOKUP(G35,'Технологии'!$A$11:$BF$50,47,FALSE))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IF(G36="","",VLOOKUP(G36,'Технологии'!$A$11:$BF$50,47,FALSE))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IF(G37="","",VLOOKUP(G37,'Технологии'!$A$11:$BF$50,47,FALSE))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IF(G38="","",VLOOKUP(G38,'Технологии'!$A$11:$BF$50,47,FALSE))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72.7438715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67.49265779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68.29091305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90.94099366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2029'!B8+'Россия 2029'!D8+('Россия 2029'!C8+'Россия 2029'!F8+'Россия 2029'!G8)+(0.35*LN(1+0.6*'Ход 2029'!B14)*POWER(MAX(0,1-'Россия 2029'!I8/10),0.7))))</f>
        <v>9.485629957</v>
      </c>
      <c r="C8" s="12">
        <f>MIN(1,'Россия 2029'!C8+'Россия 2029'!F8+(0.08*LN(1+0.5*'Ход 2029'!C14)*MAX(0,1-('Россия 2029'!C8+'Россия 2029'!F8))))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9.485629957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2029'!B9+'Россия 2029'!D9+('Россия 2029'!C9+'Россия 2029'!F9+'Россия 2029'!G9)+(0.35*LN(1+0.6*'Ход 2029'!B15)*POWER(MAX(0,1-'Россия 2029'!I9/10),0.7))))</f>
        <v>6.04053049</v>
      </c>
      <c r="C9" s="12">
        <f>MIN(1,'Россия 2029'!C9+'Россия 2029'!F9+(0.08*LN(1+0.5*'Ход 2029'!C15)*MAX(0,1-('Россия 2029'!C9+'Россия 2029'!F9))))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6.04053049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2029'!B10+'Россия 2029'!D10+('Россия 2029'!C10+'Россия 2029'!F10+'Россия 2029'!G10)+(0.35*LN(1+0.6*'Ход 2029'!B16)*POWER(MAX(0,1-'Россия 2029'!I10/10),0.7))))</f>
        <v>9.670596801</v>
      </c>
      <c r="C10" s="12">
        <f>MIN(1,'Россия 2029'!C10+'Россия 2029'!F10+(0.08*LN(1+0.5*'Ход 2029'!C16)*MAX(0,1-('Россия 2029'!C10+'Россия 2029'!F10))))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9.670596801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2029'!B11+'Россия 2029'!D11+('Россия 2029'!C11+'Россия 2029'!F11+'Россия 2029'!G11)+(0.35*LN(1+0.6*'Ход 2029'!B17)*POWER(MAX(0,1-'Россия 2029'!I11/10),0.7))))</f>
        <v>9.300663112</v>
      </c>
      <c r="C11" s="12">
        <f>MIN(1,'Россия 2029'!C11+'Россия 2029'!F11+(0.08*LN(1+0.5*'Ход 2029'!C17)*MAX(0,1-('Россия 2029'!C11+'Россия 2029'!F11))))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9.300663112</v>
      </c>
      <c r="J11" s="12"/>
      <c r="K11" s="12" t="s">
        <v>110</v>
      </c>
      <c r="L11" s="12">
        <f>MAX(1,MIN(10,'Россия 2029'!L11+'Россия 2029'!N11+('Россия 2029'!M11+'Россия 2029'!P11+'Россия 2029'!Q11)))</f>
        <v>7.475708971</v>
      </c>
      <c r="M11" s="12">
        <f>MIN(1,'Россия 2029'!M11+'Россия 2029'!P11+(0.1*LN(1+0.5*'Ход 2029'!H13)*POWER(MAX(0,1-'Россия 2029'!S11/10),0.8)))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7.475708971</v>
      </c>
      <c r="T11" s="12"/>
      <c r="U11" s="12" t="s">
        <v>111</v>
      </c>
      <c r="V11" s="25">
        <f>'Россия 2029'!V11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2029'!B12+'Россия 2029'!D12+('Россия 2029'!C12+'Россия 2029'!F12+'Россия 2029'!G12)+(0.35*LN(1+0.6*'Ход 2029'!B18)*POWER(MAX(0,1-'Россия 2029'!I12/10),0.7))))</f>
        <v>9</v>
      </c>
      <c r="C12" s="12">
        <f>MIN(1,'Россия 2029'!C12+'Россия 2029'!F12+(0.08*LN(1+0.5*'Ход 2029'!C18)*MAX(0,1-('Россия 2029'!C12+'Россия 2029'!F12))))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2029'!L12+'Россия 2029'!N12+('Россия 2029'!M12+'Россия 2029'!P12+'Россия 2029'!Q12)))</f>
        <v>7.425724558</v>
      </c>
      <c r="M12" s="12">
        <f>MIN(1,'Россия 2029'!M12+'Россия 2029'!P12+(0.1*LN(1+0.5*'Ход 2029'!H14)*POWER(MAX(0,1-'Россия 2029'!S12/10),0.8)))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7.425724558</v>
      </c>
      <c r="T12" s="12"/>
      <c r="U12" s="12" t="s">
        <v>122</v>
      </c>
      <c r="V12" s="25">
        <f>'Россия 2029'!V12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2029'!B13+'Россия 2029'!D13+('Россия 2029'!C13+'Россия 2029'!F13+'Россия 2029'!G13)+(0.35*LN(1+0.6*'Ход 2029'!B19)*POWER(MAX(0,1-'Россия 2029'!I13/10),0.7))))</f>
        <v>4.225497334</v>
      </c>
      <c r="C13" s="12">
        <f>MIN(1,'Россия 2029'!C13+'Россия 2029'!F13+(0.08*LN(1+0.5*'Ход 2029'!C19)*MAX(0,1-('Россия 2029'!C13+'Россия 2029'!F13))))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4.225497334</v>
      </c>
      <c r="J13" s="12"/>
      <c r="K13" s="12" t="s">
        <v>127</v>
      </c>
      <c r="L13" s="12">
        <f>MAX(1,MIN(10,'Россия 2029'!L13+'Россия 2029'!N13+('Россия 2029'!M13+'Россия 2029'!P13+'Россия 2029'!Q13)))</f>
        <v>8.089221302</v>
      </c>
      <c r="M13" s="12">
        <f>MIN(1,'Россия 2029'!M13+'Россия 2029'!P13+(0.1*LN(1+0.5*'Ход 2029'!H15)*POWER(MAX(0,1-'Россия 2029'!S13/10),0.8)))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8.089221302</v>
      </c>
      <c r="T13" s="12"/>
      <c r="U13" s="12" t="s">
        <v>128</v>
      </c>
      <c r="V13" s="25">
        <f>'Россия 2029'!V13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2029'!B14+'Россия 2029'!D14+('Россия 2029'!C14+'Россия 2029'!F14+'Россия 2029'!G14)+(0.35*LN(1+0.6*'Ход 2029'!B20)*POWER(MAX(0,1-'Россия 2029'!I14/10),0.7))))</f>
        <v>4.76100576</v>
      </c>
      <c r="C14" s="12">
        <f>MIN(1,'Россия 2029'!C14+'Россия 2029'!F14+(0.08*LN(1+0.5*'Ход 2029'!C20)*MAX(0,1-('Россия 2029'!C14+'Россия 2029'!F14))))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4.76100576</v>
      </c>
      <c r="J14" s="12"/>
      <c r="K14" s="12" t="s">
        <v>131</v>
      </c>
      <c r="L14" s="12">
        <f>MAX(1,MIN(10,'Россия 2029'!L14+'Россия 2029'!N14+('Россия 2029'!M14+'Россия 2029'!P14+'Россия 2029'!Q14)))</f>
        <v>7.222779536</v>
      </c>
      <c r="M14" s="12">
        <f>MIN(1,'Россия 2029'!M14+'Россия 2029'!P14+(0.1*LN(1+0.5*'Ход 2029'!H16)*POWER(MAX(0,1-'Россия 2029'!S14/10),0.8)))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7.222779536</v>
      </c>
      <c r="T14" s="12"/>
      <c r="U14" s="12" t="s">
        <v>132</v>
      </c>
      <c r="V14" s="25">
        <f>'Россия 2029'!V14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2029'!B15+'Россия 2029'!D15+('Россия 2029'!C15+'Россия 2029'!F15+'Россия 2029'!G15)+(0.35*LN(1+0.6*'Ход 2029'!B21)*POWER(MAX(0,1-'Россия 2029'!I15/10),0.7))))</f>
        <v>7.938013364</v>
      </c>
      <c r="C15" s="12">
        <f>MIN(1,'Россия 2029'!C15+'Россия 2029'!F15+(0.08*LN(1+0.5*'Ход 2029'!C21)*MAX(0,1-('Россия 2029'!C15+'Россия 2029'!F15))))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7.938013364</v>
      </c>
      <c r="J15" s="12"/>
      <c r="K15" s="12" t="s">
        <v>135</v>
      </c>
      <c r="L15" s="12">
        <f>MAX(1,MIN(10,'Россия 2029'!L15+'Россия 2029'!N15+('Россия 2029'!M15+'Россия 2029'!P15+'Россия 2029'!Q15)))</f>
        <v>7</v>
      </c>
      <c r="M15" s="12">
        <f>MIN(1,'Россия 2029'!M15+'Россия 2029'!P15+(0.1*LN(1+0.5*'Ход 2029'!H17)*POWER(MAX(0,1-'Россия 2029'!S15/10),0.8)))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7</v>
      </c>
      <c r="T15" s="12"/>
      <c r="U15" s="12" t="s">
        <v>136</v>
      </c>
      <c r="V15" s="25">
        <f>'Россия 2029'!V15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2029'!B16+'Россия 2029'!D16+('Россия 2029'!C16+'Россия 2029'!F16+'Россия 2029'!G16)+(0.35*LN(1+0.6*'Ход 2029'!B22)*POWER(MAX(0,1-'Россия 2029'!I16/10),0.7))))</f>
        <v>9.043441412</v>
      </c>
      <c r="C16" s="12">
        <f>MIN(1,'Россия 2029'!C16+'Россия 2029'!F16+(0.08*LN(1+0.5*'Ход 2029'!C22)*MAX(0,1-('Россия 2029'!C16+'Россия 2029'!F16))))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9.043441412</v>
      </c>
      <c r="J16" s="12"/>
      <c r="K16" s="12" t="s">
        <v>142</v>
      </c>
      <c r="L16" s="12">
        <f>MAX(1,MIN(10,'Россия 2029'!L16+'Россия 2029'!N16+('Россия 2029'!M16+'Россия 2029'!P16+'Россия 2029'!Q16)))</f>
        <v>8.588595642</v>
      </c>
      <c r="M16" s="12">
        <f>MIN(1,'Россия 2029'!M16+'Россия 2029'!P16+(0.1*LN(1+0.5*'Ход 2029'!H18)*POWER(MAX(0,1-'Россия 2029'!S16/10),0.8)))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8.588595642</v>
      </c>
      <c r="T16" s="12"/>
      <c r="U16" s="12" t="s">
        <v>145</v>
      </c>
      <c r="V16" s="25">
        <f>'Россия 2029'!V16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2029'!B17+'Россия 2029'!D17+('Россия 2029'!C17+'Россия 2029'!F17+'Россия 2029'!G17)+(0.35*LN(1+0.6*'Ход 2029'!B23)*POWER(MAX(0,1-'Россия 2029'!I17/10),0.7))))</f>
        <v>7.92004625</v>
      </c>
      <c r="C17" s="12">
        <f>MIN(1,'Россия 2029'!C17+'Россия 2029'!F17+(0.08*LN(1+0.5*'Ход 2029'!C23)*MAX(0,1-('Россия 2029'!C17+'Россия 2029'!F17))))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7.92004625</v>
      </c>
      <c r="J17" s="12"/>
      <c r="K17" s="12" t="s">
        <v>148</v>
      </c>
      <c r="L17" s="12">
        <f>MAX(1,MIN(10,'Россия 2029'!L17+'Россия 2029'!N17+('Россия 2029'!M17+'Россия 2029'!P17+'Россия 2029'!Q17)))</f>
        <v>8.577004089</v>
      </c>
      <c r="M17" s="12">
        <f>MIN(1,'Россия 2029'!M17+'Россия 2029'!P17+(0.1*LN(1+0.5*'Ход 2029'!H19)*POWER(MAX(0,1-'Россия 2029'!S17/10),0.8)))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8.577004089</v>
      </c>
      <c r="T17" s="12"/>
      <c r="U17" s="12" t="s">
        <v>149</v>
      </c>
      <c r="V17" s="25">
        <f>'Россия 2029'!V17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2029'!L18+'Россия 2029'!N18+('Россия 2029'!M18+'Россия 2029'!P18+'Россия 2029'!Q18)))</f>
        <v>7.940833755</v>
      </c>
      <c r="M18" s="12">
        <f>MIN(1,'Россия 2029'!M18+'Россия 2029'!P18+(0.1*LN(1+0.5*'Ход 2029'!H20)*POWER(MAX(0,1-'Россия 2029'!S18/10),0.8)))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7.940833755</v>
      </c>
      <c r="T18" s="12"/>
      <c r="U18" s="12" t="s">
        <v>153</v>
      </c>
      <c r="V18" s="25">
        <f>'Россия 2029'!V18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2029'!B19+'Россия 2029'!D19+('Россия 2029'!C19+'Россия 2029'!F19+'Россия 2029'!G19)+(0.35*LN(1+0.6*'Ход 2029'!B25)*POWER(MAX(0,1-'Россия 2029'!I19/10),0.7))))</f>
        <v>8</v>
      </c>
      <c r="C19" s="12">
        <f>MIN(1,'Россия 2029'!C19+'Россия 2029'!F19+(0.08*LN(1+0.5*'Ход 2029'!C25)*MAX(0,1-('Россия 2029'!C19+'Россия 2029'!F19))))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2029'!V19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2029'!B20+'Россия 2029'!D20+('Россия 2029'!C20+'Россия 2029'!F20+'Россия 2029'!G20)+(0.35*LN(1+0.6*'Ход 2029'!B26)*POWER(MAX(0,1-'Россия 2029'!I20/10),0.7))))</f>
        <v>9.410464179</v>
      </c>
      <c r="C20" s="12">
        <f>MIN(1,'Россия 2029'!C20+'Россия 2029'!F20+(0.08*LN(1+0.5*'Ход 2029'!C26)*MAX(0,1-('Россия 2029'!C20+'Россия 2029'!F20))))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9.410464179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2029'!V20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2029'!B21+'Россия 2029'!D21+('Россия 2029'!C21+'Россия 2029'!F21+'Россия 2029'!G21)+(0.35*LN(1+0.6*'Ход 2029'!B27)*POWER(MAX(0,1-'Россия 2029'!I21/10),0.7))))</f>
        <v>8.4</v>
      </c>
      <c r="C21" s="12">
        <f>MIN(1,'Россия 2029'!C21+'Россия 2029'!F21+(0.08*LN(1+0.5*'Ход 2029'!C27)*MAX(0,1-('Россия 2029'!C21+'Россия 2029'!F21))))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8.4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2029'!V21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2029'!B22+'Россия 2029'!D22+('Россия 2029'!C22+'Россия 2029'!F22+'Россия 2029'!G22)+(0.35*LN(1+0.6*'Ход 2029'!B28)*POWER(MAX(0,1-'Россия 2029'!I22/10),0.7))))</f>
        <v>9.6</v>
      </c>
      <c r="C22" s="12">
        <f>MIN(1,'Россия 2029'!C22+'Россия 2029'!F22+(0.08*LN(1+0.5*'Ход 2029'!C28)*MAX(0,1-('Россия 2029'!C22+'Россия 2029'!F22))))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9.6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2029'!V22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2029'!B23+'Россия 2029'!D23+('Россия 2029'!C23+'Россия 2029'!F23+'Россия 2029'!G23)+(0.35*LN(1+0.6*'Ход 2029'!B29)*POWER(MAX(0,1-'Россия 2029'!I23/10),0.7))))</f>
        <v>9.55</v>
      </c>
      <c r="C23" s="12">
        <f>MIN(1,'Россия 2029'!C23+'Россия 2029'!F23+(0.08*LN(1+0.5*'Ход 2029'!C29)*MAX(0,1-('Россия 2029'!C23+'Россия 2029'!F23))))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9.55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2029'!V23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2029'!V24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2029'!B25+'Россия 2029'!D25+('Россия 2029'!C25+'Россия 2029'!F25+'Россия 2029'!G25)+(0.35*LN(1+0.6*'Ход 2029'!B31)*POWER(MAX(0,1-'Россия 2029'!I25/10),0.7))))</f>
        <v>9.189560458</v>
      </c>
      <c r="C25" s="12">
        <f>MIN(1,'Россия 2029'!C25+'Россия 2029'!F25+(0.08*LN(1+0.5*'Ход 2029'!C31)*MAX(0,1-('Россия 2029'!C25+'Россия 2029'!F25))))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9.189560458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2029'!V25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2029'!B26+'Россия 2029'!D26+('Россия 2029'!C26+'Россия 2029'!F26+'Россия 2029'!G26)+(0.35*LN(1+0.6*'Ход 2029'!B32)*POWER(MAX(0,1-'Россия 2029'!I26/10),0.7))))</f>
        <v>7.693871863</v>
      </c>
      <c r="C26" s="12">
        <f>MIN(1,'Россия 2029'!C26+'Россия 2029'!F26+(0.08*LN(1+0.5*'Ход 2029'!C32)*MAX(0,1-('Россия 2029'!C26+'Россия 2029'!F26))))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7.693871863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2029'!V26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2029'!B27+'Россия 2029'!D27+('Россия 2029'!C27+'Россия 2029'!F27+'Россия 2029'!G27)+(0.35*LN(1+0.6*'Ход 2029'!B33)*POWER(MAX(0,1-'Россия 2029'!I27/10),0.7))))</f>
        <v>8.229152383</v>
      </c>
      <c r="C27" s="12">
        <f>MIN(1,'Россия 2029'!C27+'Россия 2029'!F27+(0.08*LN(1+0.5*'Ход 2029'!C33)*MAX(0,1-('Россия 2029'!C27+'Россия 2029'!F27))))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8.229152383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2029'!B28+'Россия 2029'!D28+('Россия 2029'!C28+'Россия 2029'!F28+'Россия 2029'!G28)+(0.35*LN(1+0.6*'Ход 2029'!B34)*POWER(MAX(0,1-'Россия 2029'!I28/10),0.7))))</f>
        <v>8.613417146</v>
      </c>
      <c r="C28" s="12">
        <f>MIN(1,'Россия 2029'!C28+'Россия 2029'!F28+(0.08*LN(1+0.5*'Ход 2029'!C34)*MAX(0,1-('Россия 2029'!C28+'Россия 2029'!F28))))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8.613417146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2029'!B29+'Россия 2029'!D29+('Россия 2029'!C29+'Россия 2029'!F29+'Россия 2029'!G29)+(0.35*LN(1+0.6*'Ход 2029'!B35)*POWER(MAX(0,1-'Россия 2029'!I29/10),0.7))))</f>
        <v>7.424490631</v>
      </c>
      <c r="C29" s="12">
        <f>MIN(1,'Россия 2029'!C29+'Россия 2029'!F29+(0.08*LN(1+0.5*'Ход 2029'!C35)*MAX(0,1-('Россия 2029'!C29+'Россия 2029'!F29))))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7.424490631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2029'!B30+'Россия 2029'!D30+('Россия 2029'!C30+'Россия 2029'!F30+'Россия 2029'!G30)+(0.35*LN(1+0.6*'Ход 2029'!B36)*POWER(MAX(0,1-'Россия 2029'!I30/10),0.7))))</f>
        <v>6.8</v>
      </c>
      <c r="C30" s="12">
        <f>MIN(1,'Россия 2029'!C30+'Россия 2029'!F30+(0.08*LN(1+0.5*'Ход 2029'!C36)*MAX(0,1-('Россия 2029'!C30+'Россия 2029'!F30))))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6.8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2029'!B31+'Россия 2029'!D31+('Россия 2029'!C31+'Россия 2029'!F31+'Россия 2029'!G31)+(0.35*LN(1+0.6*'Ход 2029'!B37)*POWER(MAX(0,1-'Россия 2029'!I31/10),0.7))))</f>
        <v>5.4</v>
      </c>
      <c r="C31" s="12">
        <f>MIN(1,'Россия 2029'!C31+'Россия 2029'!F31+(0.08*LN(1+0.5*'Ход 2029'!C37)*MAX(0,1-('Россия 2029'!C31+'Россия 2029'!F31))))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2029'!B32+'Россия 2029'!D32+('Россия 2029'!C32+'Россия 2029'!F32+'Россия 2029'!G32)+(0.35*LN(1+0.6*'Ход 2029'!B38)*POWER(MAX(0,1-'Россия 2029'!I32/10),0.7))))</f>
        <v>9.4</v>
      </c>
      <c r="C32" s="12">
        <f>MIN(1,'Россия 2029'!C32+'Россия 2029'!F32+(0.08*LN(1+0.5*'Ход 2029'!C38)*MAX(0,1-('Россия 2029'!C32+'Россия 2029'!F32))))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2029'!B34+'Россия 2029'!D34+('Россия 2029'!C34+'Россия 2029'!F34+'Россия 2029'!G34)+(0.35*LN(1+0.6*'Ход 2029'!B40)*POWER(MAX(0,1-'Россия 2029'!I34/10),0.7))))</f>
        <v>8.895563646</v>
      </c>
      <c r="C34" s="12">
        <f>MIN(1,'Россия 2029'!C34+'Россия 2029'!F34+(0.08*LN(1+0.5*'Ход 2029'!C40)*MAX(0,1-('Россия 2029'!C34+'Россия 2029'!F34))))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8.895563646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2029'!B35+'Россия 2029'!D35+('Россия 2029'!C35+'Россия 2029'!F35+'Россия 2029'!G35)+(0.35*LN(1+0.6*'Ход 2029'!B41)*POWER(MAX(0,1-'Россия 2029'!I35/10),0.7))))</f>
        <v>9.231664729</v>
      </c>
      <c r="C35" s="12">
        <f>MIN(1,'Россия 2029'!C35+'Россия 2029'!F35+(0.08*LN(1+0.5*'Ход 2029'!C41)*MAX(0,1-('Россия 2029'!C35+'Россия 2029'!F35))))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9.231664729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2029'!B36+'Россия 2029'!D36+('Россия 2029'!C36+'Россия 2029'!F36+'Россия 2029'!G36)+(0.35*LN(1+0.6*'Ход 2029'!B42)*POWER(MAX(0,1-'Россия 2029'!I36/10),0.7))))</f>
        <v>9</v>
      </c>
      <c r="C36" s="12">
        <f>MIN(1,'Россия 2029'!C36+'Россия 2029'!F36+(0.08*LN(1+0.5*'Ход 2029'!C42)*MAX(0,1-('Россия 2029'!C36+'Россия 2029'!F36))))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9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2029'!B37+'Россия 2029'!D37+('Россия 2029'!C37+'Россия 2029'!F37+'Россия 2029'!G37)+(0.35*LN(1+0.6*'Ход 2029'!B43)*POWER(MAX(0,1-'Россия 2029'!I37/10),0.7))))</f>
        <v>7.2</v>
      </c>
      <c r="C37" s="12">
        <f>MIN(1,'Россия 2029'!C37+'Россия 2029'!F37+(0.08*LN(1+0.5*'Ход 2029'!C43)*MAX(0,1-('Россия 2029'!C37+'Россия 2029'!F37))))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7.2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2029'!B38+'Россия 2029'!D38+('Россия 2029'!C38+'Россия 2029'!F38+'Россия 2029'!G38)+(0.35*LN(1+0.6*'Ход 2029'!B44)*POWER(MAX(0,1-'Россия 2029'!I38/10),0.7))))</f>
        <v>7</v>
      </c>
      <c r="C38" s="12">
        <f>MIN(1,'Россия 2029'!C38+'Россия 2029'!F38+(0.08*LN(1+0.5*'Ход 2029'!C44)*MAX(0,1-('Россия 2029'!C38+'Россия 2029'!F38))))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7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2029'!B39+'Россия 2029'!D39+('Россия 2029'!C39+'Россия 2029'!F39+'Россия 2029'!G39)+(0.35*LN(1+0.6*'Ход 2029'!B45)*POWER(MAX(0,1-'Россия 2029'!I39/10),0.7))))</f>
        <v>6.8</v>
      </c>
      <c r="C39" s="12">
        <f>MIN(1,'Россия 2029'!C39+'Россия 2029'!F39+(0.08*LN(1+0.5*'Ход 2029'!C45)*MAX(0,1-('Россия 2029'!C39+'Россия 2029'!F39))))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6.8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2029'!B40+'Россия 2029'!D40+('Россия 2029'!C40+'Россия 2029'!F40+'Россия 2029'!G40)+(0.35*LN(1+0.6*'Ход 2029'!B46)*POWER(MAX(0,1-'Россия 2029'!I40/10),0.7))))</f>
        <v>7.4</v>
      </c>
      <c r="C40" s="12">
        <f>MIN(1,'Россия 2029'!C40+'Россия 2029'!F40+(0.08*LN(1+0.5*'Ход 2029'!C46)*MAX(0,1-('Россия 2029'!C40+'Россия 2029'!F40))))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7.4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2029'!B41+'Россия 2029'!D41+('Россия 2029'!C41+'Россия 2029'!F41+'Россия 2029'!G41)+(0.35*LN(1+0.6*'Ход 2029'!B47)*POWER(MAX(0,1-'Россия 2029'!I41/10),0.7))))</f>
        <v>8</v>
      </c>
      <c r="C41" s="12">
        <f>MIN(1,'Россия 2029'!C41+'Россия 2029'!F41+(0.08*LN(1+0.5*'Ход 2029'!C47)*MAX(0,1-('Россия 2029'!C41+'Россия 2029'!F41))))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8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2029'!B42+'Россия 2029'!D42+('Россия 2029'!C42+'Россия 2029'!F42+'Россия 2029'!G42)+(0.35*LN(1+0.6*'Ход 2029'!B48)*POWER(MAX(0,1-'Россия 2029'!I42/10),0.7))))</f>
        <v>8.8</v>
      </c>
      <c r="C42" s="12">
        <f>MIN(1,'Россия 2029'!C42+'Россия 2029'!F42+(0.08*LN(1+0.5*'Ход 2029'!C48)*MAX(0,1-('Россия 2029'!C42+'Россия 2029'!F42))))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8.8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2029'!B44+'Россия 2029'!D44+('Россия 2029'!C44+'Россия 2029'!F44+'Россия 2029'!G44)+(0.35*LN(1+0.6*'Ход 2029'!B50)*POWER(MAX(0,1-'Россия 2029'!I44/10),0.7))))</f>
        <v>7.04053049</v>
      </c>
      <c r="C44" s="12">
        <f>MIN(1,'Россия 2029'!C44+'Россия 2029'!F44+(0.08*LN(1+0.5*'Ход 2029'!C50)*MAX(0,1-('Россия 2029'!C44+'Россия 2029'!F44))))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7.04053049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2029'!B45+'Россия 2029'!D45+('Россия 2029'!C45+'Россия 2029'!F45+'Россия 2029'!G45)+(0.35*LN(1+0.6*'Ход 2029'!B51)*POWER(MAX(0,1-'Россия 2029'!I45/10),0.7))))</f>
        <v>7.2</v>
      </c>
      <c r="C45" s="12">
        <f>MIN(1,'Россия 2029'!C45+'Россия 2029'!F45+(0.08*LN(1+0.5*'Ход 2029'!C51)*MAX(0,1-('Россия 2029'!C45+'Россия 2029'!F45))))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7.2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2029'!B46+'Россия 2029'!D46+('Россия 2029'!C46+'Россия 2029'!F46+'Россия 2029'!G46)+(0.35*LN(1+0.6*'Ход 2029'!B52)*POWER(MAX(0,1-'Россия 2029'!I46/10),0.7))))</f>
        <v>5.491721311</v>
      </c>
      <c r="C46" s="12">
        <f>MIN(1,'Россия 2029'!C46+'Россия 2029'!F46+(0.08*LN(1+0.5*'Ход 2029'!C52)*MAX(0,1-('Россия 2029'!C46+'Россия 2029'!F46))))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5.491721311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2029'!B47+'Россия 2029'!D47+('Россия 2029'!C47+'Россия 2029'!F47+'Россия 2029'!G47)+(0.35*LN(1+0.6*'Ход 2029'!B53)*POWER(MAX(0,1-'Россия 2029'!I47/10),0.7))))</f>
        <v>3.906610908</v>
      </c>
      <c r="C47" s="12">
        <f>MIN(1,'Россия 2029'!C47+'Россия 2029'!F47+(0.08*LN(1+0.5*'Ход 2029'!C53)*MAX(0,1-('Россия 2029'!C47+'Россия 2029'!F47))))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3.906610908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2029'!B48+'Россия 2029'!D48+('Россия 2029'!C48+'Россия 2029'!F48+'Россия 2029'!G48)+(0.35*LN(1+0.6*'Ход 2029'!B54)*POWER(MAX(0,1-'Россия 2029'!I48/10),0.7))))</f>
        <v>7.266759384</v>
      </c>
      <c r="C48" s="12">
        <f>MIN(1,'Россия 2029'!C48+'Россия 2029'!F48+(0.08*LN(1+0.5*'Ход 2029'!C54)*MAX(0,1-('Россия 2029'!C48+'Россия 2029'!F48))))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7.266759384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2029'!B49+'Россия 2029'!D49+('Россия 2029'!C49+'Россия 2029'!F49+'Россия 2029'!G49)+(0.35*LN(1+0.6*'Ход 2029'!B55)*POWER(MAX(0,1-'Россия 2029'!I49/10),0.7))))</f>
        <v>8.2</v>
      </c>
      <c r="C49" s="12">
        <f>MIN(1,'Россия 2029'!C49+'Россия 2029'!F49+(0.08*LN(1+0.5*'Ход 2029'!C55)*MAX(0,1-('Россия 2029'!C49+'Россия 2029'!F49))))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8.2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2029'!B50+'Россия 2029'!D50+('Россия 2029'!C50+'Россия 2029'!F50+'Россия 2029'!G50)+(0.35*LN(1+0.6*'Ход 2029'!B56)*POWER(MAX(0,1-'Россия 2029'!I50/10),0.7))))</f>
        <v>9.4</v>
      </c>
      <c r="C50" s="12">
        <f>MIN(1,'Россия 2029'!C50+'Россия 2029'!F50+(0.08*LN(1+0.5*'Ход 2029'!C56)*MAX(0,1-('Россия 2029'!C50+'Россия 2029'!F50))))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9.4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2029'!B51+'Россия 2029'!D51+('Россия 2029'!C51+'Россия 2029'!F51+'Россия 2029'!G51)+(0.35*LN(1+0.6*'Ход 2029'!B57)*POWER(MAX(0,1-'Россия 2029'!I51/10),0.7))))</f>
        <v>7.2</v>
      </c>
      <c r="C51" s="12">
        <f>MIN(1,'Россия 2029'!C51+'Россия 2029'!F51+(0.08*LN(1+0.5*'Ход 2029'!C57)*MAX(0,1-('Россия 2029'!C51+'Россия 2029'!F51))))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7.2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2029'!B53+'Россия 2029'!D53+('Россия 2029'!C53+'Россия 2029'!F53+'Россия 2029'!G53)+(0.35*LN(1+0.6*'Ход 2029'!B59)*POWER(MAX(0,1-'Россия 2029'!I53/10),0.7))))</f>
        <v>7.25</v>
      </c>
      <c r="C53" s="12">
        <f>MIN(1,'Россия 2029'!C53+'Россия 2029'!F53+(0.08*LN(1+0.5*'Ход 2029'!C59)*MAX(0,1-('Россия 2029'!C53+'Россия 2029'!F53))))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7.25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2029'!B54+'Россия 2029'!D54+('Россия 2029'!C54+'Россия 2029'!F54+'Россия 2029'!G54)+(0.35*LN(1+0.6*'Ход 2029'!B60)*POWER(MAX(0,1-'Россия 2029'!I54/10),0.7))))</f>
        <v>6.6</v>
      </c>
      <c r="C54" s="12">
        <f>MIN(1,'Россия 2029'!C54+'Россия 2029'!F54+(0.08*LN(1+0.5*'Ход 2029'!C60)*MAX(0,1-('Россия 2029'!C54+'Россия 2029'!F54))))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6.6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2029'!B55+'Россия 2029'!D55+('Россия 2029'!C55+'Россия 2029'!F55+'Россия 2029'!G55)+(0.35*LN(1+0.6*'Ход 2029'!B61)*POWER(MAX(0,1-'Россия 2029'!I55/10),0.7))))</f>
        <v>5.6</v>
      </c>
      <c r="C55" s="12">
        <f>MIN(1,'Россия 2029'!C55+'Россия 2029'!F55+(0.08*LN(1+0.5*'Ход 2029'!C61)*MAX(0,1-('Россия 2029'!C55+'Россия 2029'!F55))))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5.6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2030'!U6</f>
        <v>90.94099366</v>
      </c>
      <c r="C6" s="12"/>
      <c r="D6" s="12"/>
      <c r="E6" s="12" t="s">
        <v>54</v>
      </c>
      <c r="F6" s="19">
        <f>'Россия 2030'!K6</f>
        <v>72.7438715</v>
      </c>
      <c r="G6" s="12"/>
      <c r="H6" s="12"/>
      <c r="I6" s="12" t="s">
        <v>54</v>
      </c>
      <c r="J6" s="19">
        <f>'Россия 2030'!N6</f>
        <v>67.49265779</v>
      </c>
      <c r="K6" s="12"/>
      <c r="L6" s="12"/>
      <c r="M6" s="12" t="s">
        <v>54</v>
      </c>
      <c r="N6" s="19">
        <f>'Россия 2030'!Q6</f>
        <v>68.29091305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90.94099366</v>
      </c>
      <c r="C8" s="12" t="str">
        <f>IF(B8&lt;0,"ПРЕВЫШЕНИЕ","OK")</f>
        <v>OK</v>
      </c>
      <c r="D8" s="12"/>
      <c r="E8" s="12" t="s">
        <v>91</v>
      </c>
      <c r="F8" s="19">
        <f>F6-F7</f>
        <v>72.7438715</v>
      </c>
      <c r="G8" s="12" t="str">
        <f>IF(F8&lt;0,"ПРЕВЫШЕНИЕ","OK")</f>
        <v>OK</v>
      </c>
      <c r="H8" s="12"/>
      <c r="I8" s="12" t="s">
        <v>91</v>
      </c>
      <c r="J8" s="19">
        <f>J6-J7</f>
        <v>67.49265779</v>
      </c>
      <c r="K8" s="12" t="str">
        <f>IF(J8&lt;0,"ПРЕВЫШЕНИЕ","OK")</f>
        <v>OK</v>
      </c>
      <c r="L8" s="12"/>
      <c r="M8" s="12" t="s">
        <v>91</v>
      </c>
      <c r="N8" s="19">
        <f>N6-N7</f>
        <v>68.29091305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2030'!V11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3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2030'!V12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54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2030'!V13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82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2030'!V14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54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2030'!V15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64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2030'!V16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98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2030'!V17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69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2030'!V18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41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2030'!V19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57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2030'!V20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44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2030'!V21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58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2030'!V22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74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2030'!V23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17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2030'!V24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85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2030'!V25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31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2030'!V26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43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IF(G29="","",VLOOKUP(G29,'Технологии'!$A$11:$BF$50,48,FALSE))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IF(G30="","",VLOOKUP(G30,'Технологии'!$A$11:$BF$50,48,FALSE))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IF(G31="","",VLOOKUP(G31,'Технологии'!$A$11:$BF$50,48,FALSE))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IF(G32="","",VLOOKUP(G32,'Технологии'!$A$11:$BF$50,48,FALSE))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IF(G33="","",VLOOKUP(G33,'Технологии'!$A$11:$BF$50,48,FALSE))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IF(G34="","",VLOOKUP(G34,'Технологии'!$A$11:$BF$50,48,FALSE))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IF(G35="","",VLOOKUP(G35,'Технологии'!$A$11:$BF$50,48,FALSE))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IF(G36="","",VLOOKUP(G36,'Технологии'!$A$11:$BF$50,48,FALSE))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IF(G37="","",VLOOKUP(G37,'Технологии'!$A$11:$BF$50,48,FALSE))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IF(G38="","",VLOOKUP(G38,'Технологии'!$A$11:$BF$50,48,FALSE))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74.76806593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69.78911862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70.54506053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92.73383416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2030'!B8+'Россия 2030'!D8+('Россия 2030'!C8+'Россия 2030'!F8+'Россия 2030'!G8)+(0.35*LN(1+0.6*'Ход 2030'!B14)*POWER(MAX(0,1-'Россия 2030'!I8/10),0.7))))</f>
        <v>9.630839942</v>
      </c>
      <c r="C8" s="12">
        <f>MIN(1,'Россия 2030'!C8+'Россия 2030'!F8+(0.08*LN(1+0.5*'Ход 2030'!C14)*MAX(0,1-('Россия 2030'!C8+'Россия 2030'!F8))))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9.630839942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2030'!B9+'Россия 2030'!D9+('Россия 2030'!C9+'Россия 2030'!F9+'Россия 2030'!G9)+(0.35*LN(1+0.6*'Ход 2030'!B15)*POWER(MAX(0,1-'Россия 2030'!I9/10),0.7))))</f>
        <v>6.32070732</v>
      </c>
      <c r="C9" s="12">
        <f>MIN(1,'Россия 2030'!C9+'Россия 2030'!F9+(0.08*LN(1+0.5*'Ход 2030'!C15)*MAX(0,1-('Россия 2030'!C9+'Россия 2030'!F9))))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6.32070732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2030'!B10+'Россия 2030'!D10+('Россия 2030'!C10+'Россия 2030'!F10+'Россия 2030'!G10)+(0.35*LN(1+0.6*'Ход 2030'!B16)*POWER(MAX(0,1-'Россия 2030'!I10/10),0.7))))</f>
        <v>9.860795735</v>
      </c>
      <c r="C10" s="12">
        <f>MIN(1,'Россия 2030'!C10+'Россия 2030'!F10+(0.08*LN(1+0.5*'Ход 2030'!C16)*MAX(0,1-('Россия 2030'!C10+'Россия 2030'!F10))))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9.860795735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2030'!B11+'Россия 2030'!D11+('Россия 2030'!C11+'Россия 2030'!F11+'Россия 2030'!G11)+(0.35*LN(1+0.6*'Ход 2030'!B17)*POWER(MAX(0,1-'Россия 2030'!I11/10),0.7))))</f>
        <v>9.40088415</v>
      </c>
      <c r="C11" s="12">
        <f>MIN(1,'Россия 2030'!C11+'Россия 2030'!F11+(0.08*LN(1+0.5*'Ход 2030'!C17)*MAX(0,1-('Россия 2030'!C11+'Россия 2030'!F11))))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9.40088415</v>
      </c>
      <c r="J11" s="12"/>
      <c r="K11" s="12" t="s">
        <v>110</v>
      </c>
      <c r="L11" s="12">
        <f>MAX(1,MIN(10,'Россия 2030'!L11+'Россия 2030'!N11+('Россия 2030'!M11+'Россия 2030'!P11+'Россия 2030'!Q11)))</f>
        <v>8.030495381</v>
      </c>
      <c r="M11" s="12">
        <f>MIN(1,'Россия 2030'!M11+'Россия 2030'!P11+(0.1*LN(1+0.5*'Ход 2030'!H13)*POWER(MAX(0,1-'Россия 2030'!S11/10),0.8)))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8.030495381</v>
      </c>
      <c r="T11" s="12"/>
      <c r="U11" s="12" t="s">
        <v>111</v>
      </c>
      <c r="V11" s="25">
        <f>'Россия 2030'!V11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2030'!B12+'Россия 2030'!D12+('Россия 2030'!C12+'Россия 2030'!F12+'Россия 2030'!G12)+(0.35*LN(1+0.6*'Ход 2030'!B18)*POWER(MAX(0,1-'Россия 2030'!I12/10),0.7))))</f>
        <v>9</v>
      </c>
      <c r="C12" s="12">
        <f>MIN(1,'Россия 2030'!C12+'Россия 2030'!F12+(0.08*LN(1+0.5*'Ход 2030'!C18)*MAX(0,1-('Россия 2030'!C12+'Россия 2030'!F12))))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2030'!L12+'Россия 2030'!N12+('Россия 2030'!M12+'Россия 2030'!P12+'Россия 2030'!Q12)))</f>
        <v>7.980518762</v>
      </c>
      <c r="M12" s="12">
        <f>MIN(1,'Россия 2030'!M12+'Россия 2030'!P12+(0.1*LN(1+0.5*'Ход 2030'!H14)*POWER(MAX(0,1-'Россия 2030'!S12/10),0.8)))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7.980518762</v>
      </c>
      <c r="T12" s="12"/>
      <c r="U12" s="12" t="s">
        <v>122</v>
      </c>
      <c r="V12" s="25">
        <f>'Россия 2030'!V12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2030'!B13+'Россия 2030'!D13+('Россия 2030'!C13+'Россия 2030'!F13+'Россия 2030'!G13)+(0.35*LN(1+0.6*'Ход 2030'!B19)*POWER(MAX(0,1-'Россия 2030'!I13/10),0.7))))</f>
        <v>4.550663112</v>
      </c>
      <c r="C13" s="12">
        <f>MIN(1,'Россия 2030'!C13+'Россия 2030'!F13+(0.08*LN(1+0.5*'Ход 2030'!C19)*MAX(0,1-('Россия 2030'!C13+'Россия 2030'!F13))))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4.550663112</v>
      </c>
      <c r="J13" s="12"/>
      <c r="K13" s="12" t="s">
        <v>127</v>
      </c>
      <c r="L13" s="12">
        <f>MAX(1,MIN(10,'Россия 2030'!L13+'Россия 2030'!N13+('Россия 2030'!M13+'Россия 2030'!P13+'Россия 2030'!Q13)))</f>
        <v>8.518867878</v>
      </c>
      <c r="M13" s="12">
        <f>MIN(1,'Россия 2030'!M13+'Россия 2030'!P13+(0.1*LN(1+0.5*'Ход 2030'!H15)*POWER(MAX(0,1-'Россия 2030'!S13/10),0.8)))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8.518867878</v>
      </c>
      <c r="T13" s="12"/>
      <c r="U13" s="12" t="s">
        <v>128</v>
      </c>
      <c r="V13" s="25">
        <f>'Россия 2030'!V13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2030'!B14+'Россия 2030'!D14+('Россия 2030'!C14+'Россия 2030'!F14+'Россия 2030'!G14)+(0.35*LN(1+0.6*'Ход 2030'!B20)*POWER(MAX(0,1-'Россия 2030'!I14/10),0.7))))</f>
        <v>5.163917718</v>
      </c>
      <c r="C14" s="12">
        <f>MIN(1,'Россия 2030'!C14+'Россия 2030'!F14+(0.08*LN(1+0.5*'Ход 2030'!C20)*MAX(0,1-('Россия 2030'!C14+'Россия 2030'!F14))))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5.163917718</v>
      </c>
      <c r="J14" s="12"/>
      <c r="K14" s="12" t="s">
        <v>131</v>
      </c>
      <c r="L14" s="12">
        <f>MAX(1,MIN(10,'Россия 2030'!L14+'Россия 2030'!N14+('Россия 2030'!M14+'Россия 2030'!P14+'Россия 2030'!Q14)))</f>
        <v>7.684169304</v>
      </c>
      <c r="M14" s="12">
        <f>MIN(1,'Россия 2030'!M14+'Россия 2030'!P14+(0.1*LN(1+0.5*'Ход 2030'!H16)*POWER(MAX(0,1-'Россия 2030'!S14/10),0.8)))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7.684169304</v>
      </c>
      <c r="T14" s="12"/>
      <c r="U14" s="12" t="s">
        <v>132</v>
      </c>
      <c r="V14" s="25">
        <f>'Россия 2030'!V14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2030'!B15+'Россия 2030'!D15+('Россия 2030'!C15+'Россия 2030'!F15+'Россия 2030'!G15)+(0.35*LN(1+0.6*'Ход 2030'!B21)*POWER(MAX(0,1-'Россия 2030'!I15/10),0.7))))</f>
        <v>8.424017818</v>
      </c>
      <c r="C15" s="12">
        <f>MIN(1,'Россия 2030'!C15+'Россия 2030'!F15+(0.08*LN(1+0.5*'Ход 2030'!C21)*MAX(0,1-('Россия 2030'!C15+'Россия 2030'!F15))))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8.424017818</v>
      </c>
      <c r="J15" s="12"/>
      <c r="K15" s="12" t="s">
        <v>135</v>
      </c>
      <c r="L15" s="12">
        <f>MAX(1,MIN(10,'Россия 2030'!L15+'Россия 2030'!N15+('Россия 2030'!M15+'Россия 2030'!P15+'Россия 2030'!Q15)))</f>
        <v>7.25</v>
      </c>
      <c r="M15" s="12">
        <f>MIN(1,'Россия 2030'!M15+'Россия 2030'!P15+(0.1*LN(1+0.5*'Ход 2030'!H17)*POWER(MAX(0,1-'Россия 2030'!S15/10),0.8)))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7.25</v>
      </c>
      <c r="T15" s="12"/>
      <c r="U15" s="12" t="s">
        <v>136</v>
      </c>
      <c r="V15" s="25">
        <f>'Россия 2030'!V15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2030'!B16+'Россия 2030'!D16+('Россия 2030'!C16+'Россия 2030'!F16+'Россия 2030'!G16)+(0.35*LN(1+0.6*'Ход 2030'!B22)*POWER(MAX(0,1-'Россия 2030'!I16/10),0.7))))</f>
        <v>9.323618242</v>
      </c>
      <c r="C16" s="12">
        <f>MIN(1,'Россия 2030'!C16+'Россия 2030'!F16+(0.08*LN(1+0.5*'Ход 2030'!C22)*MAX(0,1-('Россия 2030'!C16+'Россия 2030'!F16))))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9.323618242</v>
      </c>
      <c r="J16" s="12"/>
      <c r="K16" s="12" t="s">
        <v>142</v>
      </c>
      <c r="L16" s="12">
        <f>MAX(1,MIN(10,'Россия 2030'!L16+'Россия 2030'!N16+('Россия 2030'!M16+'Россия 2030'!P16+'Россия 2030'!Q16)))</f>
        <v>9.157893463</v>
      </c>
      <c r="M16" s="12">
        <f>MIN(1,'Россия 2030'!M16+'Россия 2030'!P16+(0.1*LN(1+0.5*'Ход 2030'!H18)*POWER(MAX(0,1-'Россия 2030'!S16/10),0.8)))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9.157893463</v>
      </c>
      <c r="T16" s="12"/>
      <c r="U16" s="12" t="s">
        <v>145</v>
      </c>
      <c r="V16" s="25">
        <f>'Россия 2030'!V16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2030'!B17+'Россия 2030'!D17+('Россия 2030'!C17+'Россия 2030'!F17+'Россия 2030'!G17)+(0.35*LN(1+0.6*'Ход 2030'!B23)*POWER(MAX(0,1-'Россия 2030'!I17/10),0.7))))</f>
        <v>8.155234132</v>
      </c>
      <c r="C17" s="12">
        <f>MIN(1,'Россия 2030'!C17+'Россия 2030'!F17+(0.08*LN(1+0.5*'Ход 2030'!C23)*MAX(0,1-('Россия 2030'!C17+'Россия 2030'!F17))))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8.155234132</v>
      </c>
      <c r="J17" s="12"/>
      <c r="K17" s="12" t="s">
        <v>148</v>
      </c>
      <c r="L17" s="12">
        <f>MAX(1,MIN(10,'Россия 2030'!L17+'Россия 2030'!N17+('Россия 2030'!M17+'Россия 2030'!P17+'Россия 2030'!Q17)))</f>
        <v>9.15564983</v>
      </c>
      <c r="M17" s="12">
        <f>MIN(1,'Россия 2030'!M17+'Россия 2030'!P17+(0.1*LN(1+0.5*'Ход 2030'!H19)*POWER(MAX(0,1-'Россия 2030'!S17/10),0.8)))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9.15564983</v>
      </c>
      <c r="T17" s="12"/>
      <c r="U17" s="12" t="s">
        <v>149</v>
      </c>
      <c r="V17" s="25">
        <f>'Россия 2030'!V17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2030'!L18+'Россия 2030'!N18+('Россия 2030'!M18+'Россия 2030'!P18+'Россия 2030'!Q18)))</f>
        <v>8.47864722</v>
      </c>
      <c r="M18" s="12">
        <f>MIN(1,'Россия 2030'!M18+'Россия 2030'!P18+(0.1*LN(1+0.5*'Ход 2030'!H20)*POWER(MAX(0,1-'Россия 2030'!S18/10),0.8)))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8.47864722</v>
      </c>
      <c r="T18" s="12"/>
      <c r="U18" s="12" t="s">
        <v>153</v>
      </c>
      <c r="V18" s="25">
        <f>'Россия 2030'!V18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2030'!B19+'Россия 2030'!D19+('Россия 2030'!C19+'Россия 2030'!F19+'Россия 2030'!G19)+(0.35*LN(1+0.6*'Ход 2030'!B25)*POWER(MAX(0,1-'Россия 2030'!I19/10),0.7))))</f>
        <v>8.25</v>
      </c>
      <c r="C19" s="12">
        <f>MIN(1,'Россия 2030'!C19+'Россия 2030'!F19+(0.08*LN(1+0.5*'Ход 2030'!C25)*MAX(0,1-('Россия 2030'!C19+'Россия 2030'!F19))))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8.25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2030'!V19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2030'!B20+'Россия 2030'!D20+('Россия 2030'!C20+'Россия 2030'!F20+'Россия 2030'!G20)+(0.35*LN(1+0.6*'Ход 2030'!B26)*POWER(MAX(0,1-'Россия 2030'!I20/10),0.7))))</f>
        <v>9.780618905</v>
      </c>
      <c r="C20" s="12">
        <f>MIN(1,'Россия 2030'!C20+'Россия 2030'!F20+(0.08*LN(1+0.5*'Ход 2030'!C26)*MAX(0,1-('Россия 2030'!C20+'Россия 2030'!F20))))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9.780618905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2030'!V20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2030'!B21+'Россия 2030'!D21+('Россия 2030'!C21+'Россия 2030'!F21+'Россия 2030'!G21)+(0.35*LN(1+0.6*'Ход 2030'!B27)*POWER(MAX(0,1-'Россия 2030'!I21/10),0.7))))</f>
        <v>8.75</v>
      </c>
      <c r="C21" s="12">
        <f>MIN(1,'Россия 2030'!C21+'Россия 2030'!F21+(0.08*LN(1+0.5*'Ход 2030'!C27)*MAX(0,1-('Россия 2030'!C21+'Россия 2030'!F21))))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8.75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2030'!V21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2030'!B22+'Россия 2030'!D22+('Россия 2030'!C22+'Россия 2030'!F22+'Россия 2030'!G22)+(0.35*LN(1+0.6*'Ход 2030'!B28)*POWER(MAX(0,1-'Россия 2030'!I22/10),0.7))))</f>
        <v>9.75</v>
      </c>
      <c r="C22" s="12">
        <f>MIN(1,'Россия 2030'!C22+'Россия 2030'!F22+(0.08*LN(1+0.5*'Ход 2030'!C28)*MAX(0,1-('Россия 2030'!C22+'Россия 2030'!F22))))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9.75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2030'!V22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2030'!B23+'Россия 2030'!D23+('Россия 2030'!C23+'Россия 2030'!F23+'Россия 2030'!G23)+(0.35*LN(1+0.6*'Ход 2030'!B29)*POWER(MAX(0,1-'Россия 2030'!I23/10),0.7))))</f>
        <v>9.9</v>
      </c>
      <c r="C23" s="12">
        <f>MIN(1,'Россия 2030'!C23+'Россия 2030'!F23+(0.08*LN(1+0.5*'Ход 2030'!C29)*MAX(0,1-('Россия 2030'!C23+'Россия 2030'!F23))))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9.9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2030'!V23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2030'!V24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2030'!B25+'Россия 2030'!D25+('Россия 2030'!C25+'Россия 2030'!F25+'Россия 2030'!G25)+(0.35*LN(1+0.6*'Ход 2030'!B31)*POWER(MAX(0,1-'Россия 2030'!I25/10),0.7))))</f>
        <v>9.481149289</v>
      </c>
      <c r="C25" s="12">
        <f>MIN(1,'Россия 2030'!C25+'Россия 2030'!F25+(0.08*LN(1+0.5*'Ход 2030'!C31)*MAX(0,1-('Россия 2030'!C25+'Россия 2030'!F25))))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9.481149289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2030'!V25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2030'!B26+'Россия 2030'!D26+('Россия 2030'!C26+'Россия 2030'!F26+'Россия 2030'!G26)+(0.35*LN(1+0.6*'Ход 2030'!B32)*POWER(MAX(0,1-'Россия 2030'!I26/10),0.7))))</f>
        <v>8.098952627</v>
      </c>
      <c r="C26" s="12">
        <f>MIN(1,'Россия 2030'!C26+'Россия 2030'!F26+(0.08*LN(1+0.5*'Ход 2030'!C32)*MAX(0,1-('Россия 2030'!C26+'Россия 2030'!F26))))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8.098952627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2030'!V26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2030'!B27+'Россия 2030'!D27+('Россия 2030'!C27+'Россия 2030'!F27+'Россия 2030'!G27)+(0.35*LN(1+0.6*'Ход 2030'!B33)*POWER(MAX(0,1-'Россия 2030'!I27/10),0.7))))</f>
        <v>8.520741214</v>
      </c>
      <c r="C27" s="12">
        <f>MIN(1,'Россия 2030'!C27+'Россия 2030'!F27+(0.08*LN(1+0.5*'Ход 2030'!C33)*MAX(0,1-('Россия 2030'!C27+'Россия 2030'!F27))))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8.520741214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2030'!B28+'Россия 2030'!D28+('Россия 2030'!C28+'Россия 2030'!F28+'Россия 2030'!G28)+(0.35*LN(1+0.6*'Ход 2030'!B34)*POWER(MAX(0,1-'Россия 2030'!I28/10),0.7))))</f>
        <v>9.02012572</v>
      </c>
      <c r="C28" s="12">
        <f>MIN(1,'Россия 2030'!C28+'Россия 2030'!F28+(0.08*LN(1+0.5*'Ход 2030'!C34)*MAX(0,1-('Россия 2030'!C28+'Россия 2030'!F28))))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9.02012572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2030'!B29+'Россия 2030'!D29+('Россия 2030'!C29+'Россия 2030'!F29+'Россия 2030'!G29)+(0.35*LN(1+0.6*'Ход 2030'!B35)*POWER(MAX(0,1-'Россия 2030'!I29/10),0.7))))</f>
        <v>7.763306873</v>
      </c>
      <c r="C29" s="12">
        <f>MIN(1,'Россия 2030'!C29+'Россия 2030'!F29+(0.08*LN(1+0.5*'Ход 2030'!C35)*MAX(0,1-('Россия 2030'!C29+'Россия 2030'!F29))))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7.763306873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2030'!B30+'Россия 2030'!D30+('Россия 2030'!C30+'Россия 2030'!F30+'Россия 2030'!G30)+(0.35*LN(1+0.6*'Ход 2030'!B36)*POWER(MAX(0,1-'Россия 2030'!I30/10),0.7))))</f>
        <v>7</v>
      </c>
      <c r="C30" s="12">
        <f>MIN(1,'Россия 2030'!C30+'Россия 2030'!F30+(0.08*LN(1+0.5*'Ход 2030'!C36)*MAX(0,1-('Россия 2030'!C30+'Россия 2030'!F30))))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7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2030'!B31+'Россия 2030'!D31+('Россия 2030'!C31+'Россия 2030'!F31+'Россия 2030'!G31)+(0.35*LN(1+0.6*'Ход 2030'!B37)*POWER(MAX(0,1-'Россия 2030'!I31/10),0.7))))</f>
        <v>5.5</v>
      </c>
      <c r="C31" s="12">
        <f>MIN(1,'Россия 2030'!C31+'Россия 2030'!F31+(0.08*LN(1+0.5*'Ход 2030'!C37)*MAX(0,1-('Россия 2030'!C31+'Россия 2030'!F31))))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2030'!B32+'Россия 2030'!D32+('Россия 2030'!C32+'Россия 2030'!F32+'Россия 2030'!G32)+(0.35*LN(1+0.6*'Ход 2030'!B38)*POWER(MAX(0,1-'Россия 2030'!I32/10),0.7))))</f>
        <v>9.5</v>
      </c>
      <c r="C32" s="12">
        <f>MIN(1,'Россия 2030'!C32+'Россия 2030'!F32+(0.08*LN(1+0.5*'Ход 2030'!C38)*MAX(0,1-('Россия 2030'!C32+'Россия 2030'!F32))))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9.5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2030'!B34+'Россия 2030'!D34+('Россия 2030'!C34+'Россия 2030'!F34+'Россия 2030'!G34)+(0.35*LN(1+0.6*'Ход 2030'!B40)*POWER(MAX(0,1-'Россия 2030'!I34/10),0.7))))</f>
        <v>9.130751527</v>
      </c>
      <c r="C34" s="12">
        <f>MIN(1,'Россия 2030'!C34+'Россия 2030'!F34+(0.08*LN(1+0.5*'Ход 2030'!C40)*MAX(0,1-('Россия 2030'!C34+'Россия 2030'!F34))))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9.130751527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2030'!B35+'Россия 2030'!D35+('Россия 2030'!C35+'Россия 2030'!F35+'Россия 2030'!G35)+(0.35*LN(1+0.6*'Ход 2030'!B41)*POWER(MAX(0,1-'Россия 2030'!I35/10),0.7))))</f>
        <v>9.281664729</v>
      </c>
      <c r="C35" s="12">
        <f>MIN(1,'Россия 2030'!C35+'Россия 2030'!F35+(0.08*LN(1+0.5*'Ход 2030'!C41)*MAX(0,1-('Россия 2030'!C35+'Россия 2030'!F35))))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9.281664729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2030'!B36+'Россия 2030'!D36+('Россия 2030'!C36+'Россия 2030'!F36+'Россия 2030'!G36)+(0.35*LN(1+0.6*'Ход 2030'!B42)*POWER(MAX(0,1-'Россия 2030'!I36/10),0.7))))</f>
        <v>9.25</v>
      </c>
      <c r="C36" s="12">
        <f>MIN(1,'Россия 2030'!C36+'Россия 2030'!F36+(0.08*LN(1+0.5*'Ход 2030'!C42)*MAX(0,1-('Россия 2030'!C36+'Россия 2030'!F36))))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9.25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2030'!B37+'Россия 2030'!D37+('Россия 2030'!C37+'Россия 2030'!F37+'Россия 2030'!G37)+(0.35*LN(1+0.6*'Ход 2030'!B43)*POWER(MAX(0,1-'Россия 2030'!I37/10),0.7))))</f>
        <v>7.5</v>
      </c>
      <c r="C37" s="12">
        <f>MIN(1,'Россия 2030'!C37+'Россия 2030'!F37+(0.08*LN(1+0.5*'Ход 2030'!C43)*MAX(0,1-('Россия 2030'!C37+'Россия 2030'!F37))))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7.5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2030'!B38+'Россия 2030'!D38+('Россия 2030'!C38+'Россия 2030'!F38+'Россия 2030'!G38)+(0.35*LN(1+0.6*'Ход 2030'!B44)*POWER(MAX(0,1-'Россия 2030'!I38/10),0.7))))</f>
        <v>7.25</v>
      </c>
      <c r="C38" s="12">
        <f>MIN(1,'Россия 2030'!C38+'Россия 2030'!F38+(0.08*LN(1+0.5*'Ход 2030'!C44)*MAX(0,1-('Россия 2030'!C38+'Россия 2030'!F38))))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7.25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2030'!B39+'Россия 2030'!D39+('Россия 2030'!C39+'Россия 2030'!F39+'Россия 2030'!G39)+(0.35*LN(1+0.6*'Ход 2030'!B45)*POWER(MAX(0,1-'Россия 2030'!I39/10),0.7))))</f>
        <v>7</v>
      </c>
      <c r="C39" s="12">
        <f>MIN(1,'Россия 2030'!C39+'Россия 2030'!F39+(0.08*LN(1+0.5*'Ход 2030'!C45)*MAX(0,1-('Россия 2030'!C39+'Россия 2030'!F39))))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7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2030'!B40+'Россия 2030'!D40+('Россия 2030'!C40+'Россия 2030'!F40+'Россия 2030'!G40)+(0.35*LN(1+0.6*'Ход 2030'!B46)*POWER(MAX(0,1-'Россия 2030'!I40/10),0.7))))</f>
        <v>7.5</v>
      </c>
      <c r="C40" s="12">
        <f>MIN(1,'Россия 2030'!C40+'Россия 2030'!F40+(0.08*LN(1+0.5*'Ход 2030'!C46)*MAX(0,1-('Россия 2030'!C40+'Россия 2030'!F40))))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7.5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2030'!B41+'Россия 2030'!D41+('Россия 2030'!C41+'Россия 2030'!F41+'Россия 2030'!G41)+(0.35*LN(1+0.6*'Ход 2030'!B47)*POWER(MAX(0,1-'Россия 2030'!I41/10),0.7))))</f>
        <v>8.25</v>
      </c>
      <c r="C41" s="12">
        <f>MIN(1,'Россия 2030'!C41+'Россия 2030'!F41+(0.08*LN(1+0.5*'Ход 2030'!C47)*MAX(0,1-('Россия 2030'!C41+'Россия 2030'!F41))))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8.25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2030'!B42+'Россия 2030'!D42+('Россия 2030'!C42+'Россия 2030'!F42+'Россия 2030'!G42)+(0.35*LN(1+0.6*'Ход 2030'!B48)*POWER(MAX(0,1-'Россия 2030'!I42/10),0.7))))</f>
        <v>9</v>
      </c>
      <c r="C42" s="12">
        <f>MIN(1,'Россия 2030'!C42+'Россия 2030'!F42+(0.08*LN(1+0.5*'Ход 2030'!C48)*MAX(0,1-('Россия 2030'!C42+'Россия 2030'!F42))))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9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2030'!B44+'Россия 2030'!D44+('Россия 2030'!C44+'Россия 2030'!F44+'Россия 2030'!G44)+(0.35*LN(1+0.6*'Ход 2030'!B50)*POWER(MAX(0,1-'Россия 2030'!I44/10),0.7))))</f>
        <v>7.32070732</v>
      </c>
      <c r="C44" s="12">
        <f>MIN(1,'Россия 2030'!C44+'Россия 2030'!F44+(0.08*LN(1+0.5*'Ход 2030'!C50)*MAX(0,1-('Россия 2030'!C44+'Россия 2030'!F44))))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7.32070732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2030'!B45+'Россия 2030'!D45+('Россия 2030'!C45+'Россия 2030'!F45+'Россия 2030'!G45)+(0.35*LN(1+0.6*'Ход 2030'!B51)*POWER(MAX(0,1-'Россия 2030'!I45/10),0.7))))</f>
        <v>7.5</v>
      </c>
      <c r="C45" s="12">
        <f>MIN(1,'Россия 2030'!C45+'Россия 2030'!F45+(0.08*LN(1+0.5*'Ход 2030'!C51)*MAX(0,1-('Россия 2030'!C45+'Россия 2030'!F45))))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7.5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2030'!B46+'Россия 2030'!D46+('Россия 2030'!C46+'Россия 2030'!F46+'Россия 2030'!G46)+(0.35*LN(1+0.6*'Ход 2030'!B52)*POWER(MAX(0,1-'Россия 2030'!I46/10),0.7))))</f>
        <v>5.591721311</v>
      </c>
      <c r="C46" s="12">
        <f>MIN(1,'Россия 2030'!C46+'Россия 2030'!F46+(0.08*LN(1+0.5*'Ход 2030'!C52)*MAX(0,1-('Россия 2030'!C46+'Россия 2030'!F46))))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5.591721311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2030'!B47+'Россия 2030'!D47+('Россия 2030'!C47+'Россия 2030'!F47+'Россия 2030'!G47)+(0.35*LN(1+0.6*'Ход 2030'!B53)*POWER(MAX(0,1-'Россия 2030'!I47/10),0.7))))</f>
        <v>4.142376148</v>
      </c>
      <c r="C47" s="12">
        <f>MIN(1,'Россия 2030'!C47+'Россия 2030'!F47+(0.08*LN(1+0.5*'Ход 2030'!C53)*MAX(0,1-('Россия 2030'!C47+'Россия 2030'!F47))))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4.142376148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2030'!B48+'Россия 2030'!D48+('Россия 2030'!C48+'Россия 2030'!F48+'Россия 2030'!G48)+(0.35*LN(1+0.6*'Ход 2030'!B54)*POWER(MAX(0,1-'Россия 2030'!I48/10),0.7))))</f>
        <v>7.503862885</v>
      </c>
      <c r="C48" s="12">
        <f>MIN(1,'Россия 2030'!C48+'Россия 2030'!F48+(0.08*LN(1+0.5*'Ход 2030'!C54)*MAX(0,1-('Россия 2030'!C48+'Россия 2030'!F48))))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7.503862885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2030'!B49+'Россия 2030'!D49+('Россия 2030'!C49+'Россия 2030'!F49+'Россия 2030'!G49)+(0.35*LN(1+0.6*'Ход 2030'!B55)*POWER(MAX(0,1-'Россия 2030'!I49/10),0.7))))</f>
        <v>8.5</v>
      </c>
      <c r="C49" s="12">
        <f>MIN(1,'Россия 2030'!C49+'Россия 2030'!F49+(0.08*LN(1+0.5*'Ход 2030'!C55)*MAX(0,1-('Россия 2030'!C49+'Россия 2030'!F49))))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8.5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2030'!B50+'Россия 2030'!D50+('Россия 2030'!C50+'Россия 2030'!F50+'Россия 2030'!G50)+(0.35*LN(1+0.6*'Ход 2030'!B56)*POWER(MAX(0,1-'Россия 2030'!I50/10),0.7))))</f>
        <v>9.5</v>
      </c>
      <c r="C50" s="12">
        <f>MIN(1,'Россия 2030'!C50+'Россия 2030'!F50+(0.08*LN(1+0.5*'Ход 2030'!C56)*MAX(0,1-('Россия 2030'!C50+'Россия 2030'!F50))))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9.5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2030'!B51+'Россия 2030'!D51+('Россия 2030'!C51+'Россия 2030'!F51+'Россия 2030'!G51)+(0.35*LN(1+0.6*'Ход 2030'!B57)*POWER(MAX(0,1-'Россия 2030'!I51/10),0.7))))</f>
        <v>7.5</v>
      </c>
      <c r="C51" s="12">
        <f>MIN(1,'Россия 2030'!C51+'Россия 2030'!F51+(0.08*LN(1+0.5*'Ход 2030'!C57)*MAX(0,1-('Россия 2030'!C51+'Россия 2030'!F51))))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7.5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2030'!B53+'Россия 2030'!D53+('Россия 2030'!C53+'Россия 2030'!F53+'Россия 2030'!G53)+(0.35*LN(1+0.6*'Ход 2030'!B59)*POWER(MAX(0,1-'Россия 2030'!I53/10),0.7))))</f>
        <v>7.55</v>
      </c>
      <c r="C53" s="12">
        <f>MIN(1,'Россия 2030'!C53+'Россия 2030'!F53+(0.08*LN(1+0.5*'Ход 2030'!C59)*MAX(0,1-('Россия 2030'!C53+'Россия 2030'!F53))))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7.55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2030'!B54+'Россия 2030'!D54+('Россия 2030'!C54+'Россия 2030'!F54+'Россия 2030'!G54)+(0.35*LN(1+0.6*'Ход 2030'!B60)*POWER(MAX(0,1-'Россия 2030'!I54/10),0.7))))</f>
        <v>6.75</v>
      </c>
      <c r="C54" s="12">
        <f>MIN(1,'Россия 2030'!C54+'Россия 2030'!F54+(0.08*LN(1+0.5*'Ход 2030'!C60)*MAX(0,1-('Россия 2030'!C54+'Россия 2030'!F54))))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6.75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2030'!B55+'Россия 2030'!D55+('Россия 2030'!C55+'Россия 2030'!F55+'Россия 2030'!G55)+(0.35*LN(1+0.6*'Ход 2030'!B61)*POWER(MAX(0,1-'Россия 2030'!I55/10),0.7))))</f>
        <v>5.75</v>
      </c>
      <c r="C55" s="12">
        <f>MIN(1,'Россия 2030'!C55+'Россия 2030'!F55+(0.08*LN(1+0.5*'Ход 2030'!C61)*MAX(0,1-('Россия 2030'!C55+'Россия 2030'!F55))))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5.75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2031'!U6</f>
        <v>92.73383416</v>
      </c>
      <c r="C6" s="12"/>
      <c r="D6" s="12"/>
      <c r="E6" s="12" t="s">
        <v>54</v>
      </c>
      <c r="F6" s="19">
        <f>'Россия 2031'!K6</f>
        <v>74.76806593</v>
      </c>
      <c r="G6" s="12"/>
      <c r="H6" s="12"/>
      <c r="I6" s="12" t="s">
        <v>54</v>
      </c>
      <c r="J6" s="19">
        <f>'Россия 2031'!N6</f>
        <v>69.78911862</v>
      </c>
      <c r="K6" s="12"/>
      <c r="L6" s="12"/>
      <c r="M6" s="12" t="s">
        <v>54</v>
      </c>
      <c r="N6" s="19">
        <f>'Россия 2031'!Q6</f>
        <v>70.54506053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92.73383416</v>
      </c>
      <c r="C8" s="12" t="str">
        <f>IF(B8&lt;0,"ПРЕВЫШЕНИЕ","OK")</f>
        <v>OK</v>
      </c>
      <c r="D8" s="12"/>
      <c r="E8" s="12" t="s">
        <v>91</v>
      </c>
      <c r="F8" s="19">
        <f>F6-F7</f>
        <v>74.76806593</v>
      </c>
      <c r="G8" s="12" t="str">
        <f>IF(F8&lt;0,"ПРЕВЫШЕНИЕ","OK")</f>
        <v>OK</v>
      </c>
      <c r="H8" s="12"/>
      <c r="I8" s="12" t="s">
        <v>91</v>
      </c>
      <c r="J8" s="19">
        <f>J6-J7</f>
        <v>69.78911862</v>
      </c>
      <c r="K8" s="12" t="str">
        <f>IF(J8&lt;0,"ПРЕВЫШЕНИЕ","OK")</f>
        <v>OK</v>
      </c>
      <c r="L8" s="12"/>
      <c r="M8" s="12" t="s">
        <v>91</v>
      </c>
      <c r="N8" s="19">
        <f>N6-N7</f>
        <v>70.54506053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2031'!V11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7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2031'!V12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9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2031'!V13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40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2031'!V14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70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2031'!V15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22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2031'!V16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68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2031'!V17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63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2031'!V18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90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2031'!V19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44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2031'!V20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66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2031'!V21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9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2031'!V22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12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2031'!V23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80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2031'!V24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14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2031'!V25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89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2031'!V26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95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IF(G29="","",VLOOKUP(G29,'Технологии'!$A$11:$BF$50,49,FALSE))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IF(G30="","",VLOOKUP(G30,'Технологии'!$A$11:$BF$50,49,FALSE))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IF(G31="","",VLOOKUP(G31,'Технологии'!$A$11:$BF$50,49,FALSE))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IF(G32="","",VLOOKUP(G32,'Технологии'!$A$11:$BF$50,49,FALSE))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IF(G33="","",VLOOKUP(G33,'Технологии'!$A$11:$BF$50,49,FALSE))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IF(G34="","",VLOOKUP(G34,'Технологии'!$A$11:$BF$50,49,FALSE))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IF(G35="","",VLOOKUP(G35,'Технологии'!$A$11:$BF$50,49,FALSE))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IF(G36="","",VLOOKUP(G36,'Технологии'!$A$11:$BF$50,49,FALSE))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IF(G37="","",VLOOKUP(G37,'Технологии'!$A$11:$BF$50,49,FALSE))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IF(G38="","",VLOOKUP(G38,'Технологии'!$A$11:$BF$50,49,FALSE))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76.5088494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71.87397506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72.74733179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94.4176623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2031'!B8+'Россия 2031'!D8+('Россия 2031'!C8+'Россия 2031'!F8+'Россия 2031'!G8)+(0.35*LN(1+0.6*'Ход 2031'!B14)*POWER(MAX(0,1-'Россия 2031'!I8/10),0.7))))</f>
        <v>9.776049928</v>
      </c>
      <c r="C8" s="12">
        <f>MIN(1,'Россия 2031'!C8+'Россия 2031'!F8+(0.08*LN(1+0.5*'Ход 2031'!C14)*MAX(0,1-('Россия 2031'!C8+'Россия 2031'!F8))))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9.776049928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2031'!B9+'Россия 2031'!D9+('Россия 2031'!C9+'Россия 2031'!F9+'Россия 2031'!G9)+(0.35*LN(1+0.6*'Ход 2031'!B15)*POWER(MAX(0,1-'Россия 2031'!I9/10),0.7))))</f>
        <v>6.60088415</v>
      </c>
      <c r="C9" s="12">
        <f>MIN(1,'Россия 2031'!C9+'Россия 2031'!F9+(0.08*LN(1+0.5*'Ход 2031'!C15)*MAX(0,1-('Россия 2031'!C9+'Россия 2031'!F9))))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6.60088415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2031'!B10+'Россия 2031'!D10+('Россия 2031'!C10+'Россия 2031'!F10+'Россия 2031'!G10)+(0.35*LN(1+0.6*'Ход 2031'!B16)*POWER(MAX(0,1-'Россия 2031'!I10/10),0.7))))</f>
        <v>10</v>
      </c>
      <c r="C10" s="12">
        <f>MIN(1,'Россия 2031'!C10+'Россия 2031'!F10+(0.08*LN(1+0.5*'Ход 2031'!C16)*MAX(0,1-('Россия 2031'!C10+'Россия 2031'!F10))))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2031'!B11+'Россия 2031'!D11+('Россия 2031'!C11+'Россия 2031'!F11+'Россия 2031'!G11)+(0.35*LN(1+0.6*'Ход 2031'!B17)*POWER(MAX(0,1-'Россия 2031'!I11/10),0.7))))</f>
        <v>9.501105187</v>
      </c>
      <c r="C11" s="12">
        <f>MIN(1,'Россия 2031'!C11+'Россия 2031'!F11+(0.08*LN(1+0.5*'Ход 2031'!C17)*MAX(0,1-('Россия 2031'!C11+'Россия 2031'!F11))))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9.501105187</v>
      </c>
      <c r="J11" s="12"/>
      <c r="K11" s="12" t="s">
        <v>110</v>
      </c>
      <c r="L11" s="12">
        <f>MAX(1,MIN(10,'Россия 2031'!L11+'Россия 2031'!N11+('Россия 2031'!M11+'Россия 2031'!P11+'Россия 2031'!Q11)))</f>
        <v>8.585281791</v>
      </c>
      <c r="M11" s="12">
        <f>MIN(1,'Россия 2031'!M11+'Россия 2031'!P11+(0.1*LN(1+0.5*'Ход 2031'!H13)*POWER(MAX(0,1-'Россия 2031'!S11/10),0.8)))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8.585281791</v>
      </c>
      <c r="T11" s="12"/>
      <c r="U11" s="12" t="s">
        <v>111</v>
      </c>
      <c r="V11" s="25">
        <f>'Россия 2031'!V11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2031'!B12+'Россия 2031'!D12+('Россия 2031'!C12+'Россия 2031'!F12+'Россия 2031'!G12)+(0.35*LN(1+0.6*'Ход 2031'!B18)*POWER(MAX(0,1-'Россия 2031'!I12/10),0.7))))</f>
        <v>9</v>
      </c>
      <c r="C12" s="12">
        <f>MIN(1,'Россия 2031'!C12+'Россия 2031'!F12+(0.08*LN(1+0.5*'Ход 2031'!C18)*MAX(0,1-('Россия 2031'!C12+'Россия 2031'!F12))))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2031'!L12+'Россия 2031'!N12+('Россия 2031'!M12+'Россия 2031'!P12+'Россия 2031'!Q12)))</f>
        <v>8.535312965</v>
      </c>
      <c r="M12" s="12">
        <f>MIN(1,'Россия 2031'!M12+'Россия 2031'!P12+(0.1*LN(1+0.5*'Ход 2031'!H14)*POWER(MAX(0,1-'Россия 2031'!S12/10),0.8)))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8.535312965</v>
      </c>
      <c r="T12" s="12"/>
      <c r="U12" s="12" t="s">
        <v>122</v>
      </c>
      <c r="V12" s="25">
        <f>'Россия 2031'!V12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2031'!B13+'Россия 2031'!D13+('Россия 2031'!C13+'Россия 2031'!F13+'Россия 2031'!G13)+(0.35*LN(1+0.6*'Ход 2031'!B19)*POWER(MAX(0,1-'Россия 2031'!I13/10),0.7))))</f>
        <v>4.875828891</v>
      </c>
      <c r="C13" s="12">
        <f>MIN(1,'Россия 2031'!C13+'Россия 2031'!F13+(0.08*LN(1+0.5*'Ход 2031'!C19)*MAX(0,1-('Россия 2031'!C13+'Россия 2031'!F13))))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4.875828891</v>
      </c>
      <c r="J13" s="12"/>
      <c r="K13" s="12" t="s">
        <v>127</v>
      </c>
      <c r="L13" s="12">
        <f>MAX(1,MIN(10,'Россия 2031'!L13+'Россия 2031'!N13+('Россия 2031'!M13+'Россия 2031'!P13+'Россия 2031'!Q13)))</f>
        <v>8.948514453</v>
      </c>
      <c r="M13" s="12">
        <f>MIN(1,'Россия 2031'!M13+'Россия 2031'!P13+(0.1*LN(1+0.5*'Ход 2031'!H15)*POWER(MAX(0,1-'Россия 2031'!S13/10),0.8)))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8.948514453</v>
      </c>
      <c r="T13" s="12"/>
      <c r="U13" s="12" t="s">
        <v>128</v>
      </c>
      <c r="V13" s="25">
        <f>'Россия 2031'!V13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2031'!B14+'Россия 2031'!D14+('Россия 2031'!C14+'Россия 2031'!F14+'Россия 2031'!G14)+(0.35*LN(1+0.6*'Ход 2031'!B20)*POWER(MAX(0,1-'Россия 2031'!I14/10),0.7))))</f>
        <v>5.566829675</v>
      </c>
      <c r="C14" s="12">
        <f>MIN(1,'Россия 2031'!C14+'Россия 2031'!F14+(0.08*LN(1+0.5*'Ход 2031'!C20)*MAX(0,1-('Россия 2031'!C14+'Россия 2031'!F14))))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5.566829675</v>
      </c>
      <c r="J14" s="12"/>
      <c r="K14" s="12" t="s">
        <v>131</v>
      </c>
      <c r="L14" s="12">
        <f>MAX(1,MIN(10,'Россия 2031'!L14+'Россия 2031'!N14+('Россия 2031'!M14+'Россия 2031'!P14+'Россия 2031'!Q14)))</f>
        <v>8.145559072</v>
      </c>
      <c r="M14" s="12">
        <f>MIN(1,'Россия 2031'!M14+'Россия 2031'!P14+(0.1*LN(1+0.5*'Ход 2031'!H16)*POWER(MAX(0,1-'Россия 2031'!S14/10),0.8)))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8.145559072</v>
      </c>
      <c r="T14" s="12"/>
      <c r="U14" s="12" t="s">
        <v>132</v>
      </c>
      <c r="V14" s="25">
        <f>'Россия 2031'!V14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2031'!B15+'Россия 2031'!D15+('Россия 2031'!C15+'Россия 2031'!F15+'Россия 2031'!G15)+(0.35*LN(1+0.6*'Ход 2031'!B21)*POWER(MAX(0,1-'Россия 2031'!I15/10),0.7))))</f>
        <v>8.910022273</v>
      </c>
      <c r="C15" s="12">
        <f>MIN(1,'Россия 2031'!C15+'Россия 2031'!F15+(0.08*LN(1+0.5*'Ход 2031'!C21)*MAX(0,1-('Россия 2031'!C15+'Россия 2031'!F15))))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8.910022273</v>
      </c>
      <c r="J15" s="12"/>
      <c r="K15" s="12" t="s">
        <v>135</v>
      </c>
      <c r="L15" s="12">
        <f>MAX(1,MIN(10,'Россия 2031'!L15+'Россия 2031'!N15+('Россия 2031'!M15+'Россия 2031'!P15+'Россия 2031'!Q15)))</f>
        <v>7.5</v>
      </c>
      <c r="M15" s="12">
        <f>MIN(1,'Россия 2031'!M15+'Россия 2031'!P15+(0.1*LN(1+0.5*'Ход 2031'!H17)*POWER(MAX(0,1-'Россия 2031'!S15/10),0.8)))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7.5</v>
      </c>
      <c r="T15" s="12"/>
      <c r="U15" s="12" t="s">
        <v>136</v>
      </c>
      <c r="V15" s="25">
        <f>'Россия 2031'!V15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2031'!B16+'Россия 2031'!D16+('Россия 2031'!C16+'Россия 2031'!F16+'Россия 2031'!G16)+(0.35*LN(1+0.6*'Ход 2031'!B22)*POWER(MAX(0,1-'Россия 2031'!I16/10),0.7))))</f>
        <v>9.603795072</v>
      </c>
      <c r="C16" s="12">
        <f>MIN(1,'Россия 2031'!C16+'Россия 2031'!F16+(0.08*LN(1+0.5*'Ход 2031'!C22)*MAX(0,1-('Россия 2031'!C16+'Россия 2031'!F16))))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9.603795072</v>
      </c>
      <c r="J16" s="12"/>
      <c r="K16" s="12" t="s">
        <v>142</v>
      </c>
      <c r="L16" s="12">
        <f>MAX(1,MIN(10,'Россия 2031'!L16+'Россия 2031'!N16+('Россия 2031'!M16+'Россия 2031'!P16+'Россия 2031'!Q16)))</f>
        <v>9.727191285</v>
      </c>
      <c r="M16" s="12">
        <f>MIN(1,'Россия 2031'!M16+'Россия 2031'!P16+(0.1*LN(1+0.5*'Ход 2031'!H18)*POWER(MAX(0,1-'Россия 2031'!S16/10),0.8)))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9.727191285</v>
      </c>
      <c r="T16" s="12"/>
      <c r="U16" s="12" t="s">
        <v>145</v>
      </c>
      <c r="V16" s="25">
        <f>'Россия 2031'!V16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2031'!B17+'Россия 2031'!D17+('Россия 2031'!C17+'Россия 2031'!F17+'Россия 2031'!G17)+(0.35*LN(1+0.6*'Ход 2031'!B23)*POWER(MAX(0,1-'Россия 2031'!I17/10),0.7))))</f>
        <v>8.390422014</v>
      </c>
      <c r="C17" s="12">
        <f>MIN(1,'Россия 2031'!C17+'Россия 2031'!F17+(0.08*LN(1+0.5*'Ход 2031'!C23)*MAX(0,1-('Россия 2031'!C17+'Россия 2031'!F17))))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8.390422014</v>
      </c>
      <c r="J17" s="12"/>
      <c r="K17" s="12" t="s">
        <v>148</v>
      </c>
      <c r="L17" s="12">
        <f>MAX(1,MIN(10,'Россия 2031'!L17+'Россия 2031'!N17+('Россия 2031'!M17+'Россия 2031'!P17+'Россия 2031'!Q17)))</f>
        <v>9.734295571</v>
      </c>
      <c r="M17" s="12">
        <f>MIN(1,'Россия 2031'!M17+'Россия 2031'!P17+(0.1*LN(1+0.5*'Ход 2031'!H19)*POWER(MAX(0,1-'Россия 2031'!S17/10),0.8)))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9.734295571</v>
      </c>
      <c r="T17" s="12"/>
      <c r="U17" s="12" t="s">
        <v>149</v>
      </c>
      <c r="V17" s="25">
        <f>'Россия 2031'!V17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2031'!L18+'Россия 2031'!N18+('Россия 2031'!M18+'Россия 2031'!P18+'Россия 2031'!Q18)))</f>
        <v>9.016460686</v>
      </c>
      <c r="M18" s="12">
        <f>MIN(1,'Россия 2031'!M18+'Россия 2031'!P18+(0.1*LN(1+0.5*'Ход 2031'!H20)*POWER(MAX(0,1-'Россия 2031'!S18/10),0.8)))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9.016460686</v>
      </c>
      <c r="T18" s="12"/>
      <c r="U18" s="12" t="s">
        <v>153</v>
      </c>
      <c r="V18" s="25">
        <f>'Россия 2031'!V18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2031'!B19+'Россия 2031'!D19+('Россия 2031'!C19+'Россия 2031'!F19+'Россия 2031'!G19)+(0.35*LN(1+0.6*'Ход 2031'!B25)*POWER(MAX(0,1-'Россия 2031'!I19/10),0.7))))</f>
        <v>8.5</v>
      </c>
      <c r="C19" s="12">
        <f>MIN(1,'Россия 2031'!C19+'Россия 2031'!F19+(0.08*LN(1+0.5*'Ход 2031'!C25)*MAX(0,1-('Россия 2031'!C19+'Россия 2031'!F19))))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8.5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2031'!V19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2031'!B20+'Россия 2031'!D20+('Россия 2031'!C20+'Россия 2031'!F20+'Россия 2031'!G20)+(0.35*LN(1+0.6*'Ход 2031'!B26)*POWER(MAX(0,1-'Россия 2031'!I20/10),0.7))))</f>
        <v>10</v>
      </c>
      <c r="C20" s="12">
        <f>MIN(1,'Россия 2031'!C20+'Россия 2031'!F20+(0.08*LN(1+0.5*'Ход 2031'!C26)*MAX(0,1-('Россия 2031'!C20+'Россия 2031'!F20))))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2031'!V20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2031'!B21+'Россия 2031'!D21+('Россия 2031'!C21+'Россия 2031'!F21+'Россия 2031'!G21)+(0.35*LN(1+0.6*'Ход 2031'!B27)*POWER(MAX(0,1-'Россия 2031'!I21/10),0.7))))</f>
        <v>9.1</v>
      </c>
      <c r="C21" s="12">
        <f>MIN(1,'Россия 2031'!C21+'Россия 2031'!F21+(0.08*LN(1+0.5*'Ход 2031'!C27)*MAX(0,1-('Россия 2031'!C21+'Россия 2031'!F21))))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9.1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2031'!V21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2031'!B22+'Россия 2031'!D22+('Россия 2031'!C22+'Россия 2031'!F22+'Россия 2031'!G22)+(0.35*LN(1+0.6*'Ход 2031'!B28)*POWER(MAX(0,1-'Россия 2031'!I22/10),0.7))))</f>
        <v>9.9</v>
      </c>
      <c r="C22" s="12">
        <f>MIN(1,'Россия 2031'!C22+'Россия 2031'!F22+(0.08*LN(1+0.5*'Ход 2031'!C28)*MAX(0,1-('Россия 2031'!C22+'Россия 2031'!F22))))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9.9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2031'!V22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2031'!B23+'Россия 2031'!D23+('Россия 2031'!C23+'Россия 2031'!F23+'Россия 2031'!G23)+(0.35*LN(1+0.6*'Ход 2031'!B29)*POWER(MAX(0,1-'Россия 2031'!I23/10),0.7))))</f>
        <v>10</v>
      </c>
      <c r="C23" s="12">
        <f>MIN(1,'Россия 2031'!C23+'Россия 2031'!F23+(0.08*LN(1+0.5*'Ход 2031'!C29)*MAX(0,1-('Россия 2031'!C23+'Россия 2031'!F23))))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2031'!V23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2031'!V24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2031'!B25+'Россия 2031'!D25+('Россия 2031'!C25+'Россия 2031'!F25+'Россия 2031'!G25)+(0.35*LN(1+0.6*'Ход 2031'!B31)*POWER(MAX(0,1-'Россия 2031'!I25/10),0.7))))</f>
        <v>9.77273812</v>
      </c>
      <c r="C25" s="12">
        <f>MIN(1,'Россия 2031'!C25+'Россия 2031'!F25+(0.08*LN(1+0.5*'Ход 2031'!C31)*MAX(0,1-('Россия 2031'!C25+'Россия 2031'!F25))))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9.77273812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2031'!V25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2031'!B26+'Россия 2031'!D26+('Россия 2031'!C26+'Россия 2031'!F26+'Россия 2031'!G26)+(0.35*LN(1+0.6*'Ход 2031'!B32)*POWER(MAX(0,1-'Россия 2031'!I26/10),0.7))))</f>
        <v>8.504033392</v>
      </c>
      <c r="C26" s="12">
        <f>MIN(1,'Россия 2031'!C26+'Россия 2031'!F26+(0.08*LN(1+0.5*'Ход 2031'!C32)*MAX(0,1-('Россия 2031'!C26+'Россия 2031'!F26))))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8.504033392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2031'!V26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2031'!B27+'Россия 2031'!D27+('Россия 2031'!C27+'Россия 2031'!F27+'Россия 2031'!G27)+(0.35*LN(1+0.6*'Ход 2031'!B33)*POWER(MAX(0,1-'Россия 2031'!I27/10),0.7))))</f>
        <v>8.812330044</v>
      </c>
      <c r="C27" s="12">
        <f>MIN(1,'Россия 2031'!C27+'Россия 2031'!F27+(0.08*LN(1+0.5*'Ход 2031'!C33)*MAX(0,1-('Россия 2031'!C27+'Россия 2031'!F27))))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8.812330044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2031'!B28+'Россия 2031'!D28+('Россия 2031'!C28+'Россия 2031'!F28+'Россия 2031'!G28)+(0.35*LN(1+0.6*'Ход 2031'!B34)*POWER(MAX(0,1-'Россия 2031'!I28/10),0.7))))</f>
        <v>9.426834293</v>
      </c>
      <c r="C28" s="12">
        <f>MIN(1,'Россия 2031'!C28+'Россия 2031'!F28+(0.08*LN(1+0.5*'Ход 2031'!C34)*MAX(0,1-('Россия 2031'!C28+'Россия 2031'!F28))))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9.426834293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2031'!B29+'Россия 2031'!D29+('Россия 2031'!C29+'Россия 2031'!F29+'Россия 2031'!G29)+(0.35*LN(1+0.6*'Ход 2031'!B35)*POWER(MAX(0,1-'Россия 2031'!I29/10),0.7))))</f>
        <v>8.102123116</v>
      </c>
      <c r="C29" s="12">
        <f>MIN(1,'Россия 2031'!C29+'Россия 2031'!F29+(0.08*LN(1+0.5*'Ход 2031'!C35)*MAX(0,1-('Россия 2031'!C29+'Россия 2031'!F29))))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8.102123116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2031'!B30+'Россия 2031'!D30+('Россия 2031'!C30+'Россия 2031'!F30+'Россия 2031'!G30)+(0.35*LN(1+0.6*'Ход 2031'!B36)*POWER(MAX(0,1-'Россия 2031'!I30/10),0.7))))</f>
        <v>7.2</v>
      </c>
      <c r="C30" s="12">
        <f>MIN(1,'Россия 2031'!C30+'Россия 2031'!F30+(0.08*LN(1+0.5*'Ход 2031'!C36)*MAX(0,1-('Россия 2031'!C30+'Россия 2031'!F30))))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7.2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2031'!B31+'Россия 2031'!D31+('Россия 2031'!C31+'Россия 2031'!F31+'Россия 2031'!G31)+(0.35*LN(1+0.6*'Ход 2031'!B37)*POWER(MAX(0,1-'Россия 2031'!I31/10),0.7))))</f>
        <v>5.6</v>
      </c>
      <c r="C31" s="12">
        <f>MIN(1,'Россия 2031'!C31+'Россия 2031'!F31+(0.08*LN(1+0.5*'Ход 2031'!C37)*MAX(0,1-('Россия 2031'!C31+'Россия 2031'!F31))))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5.6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2031'!B32+'Россия 2031'!D32+('Россия 2031'!C32+'Россия 2031'!F32+'Россия 2031'!G32)+(0.35*LN(1+0.6*'Ход 2031'!B38)*POWER(MAX(0,1-'Россия 2031'!I32/10),0.7))))</f>
        <v>9.6</v>
      </c>
      <c r="C32" s="12">
        <f>MIN(1,'Россия 2031'!C32+'Россия 2031'!F32+(0.08*LN(1+0.5*'Ход 2031'!C38)*MAX(0,1-('Россия 2031'!C32+'Россия 2031'!F32))))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2031'!B34+'Россия 2031'!D34+('Россия 2031'!C34+'Россия 2031'!F34+'Россия 2031'!G34)+(0.35*LN(1+0.6*'Ход 2031'!B40)*POWER(MAX(0,1-'Россия 2031'!I34/10),0.7))))</f>
        <v>9.365939409</v>
      </c>
      <c r="C34" s="12">
        <f>MIN(1,'Россия 2031'!C34+'Россия 2031'!F34+(0.08*LN(1+0.5*'Ход 2031'!C40)*MAX(0,1-('Россия 2031'!C34+'Россия 2031'!F34))))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9.365939409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2031'!B35+'Россия 2031'!D35+('Россия 2031'!C35+'Россия 2031'!F35+'Россия 2031'!G35)+(0.35*LN(1+0.6*'Ход 2031'!B41)*POWER(MAX(0,1-'Россия 2031'!I35/10),0.7))))</f>
        <v>9.331664729</v>
      </c>
      <c r="C35" s="12">
        <f>MIN(1,'Россия 2031'!C35+'Россия 2031'!F35+(0.08*LN(1+0.5*'Ход 2031'!C41)*MAX(0,1-('Россия 2031'!C35+'Россия 2031'!F35))))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9.331664729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2031'!B36+'Россия 2031'!D36+('Россия 2031'!C36+'Россия 2031'!F36+'Россия 2031'!G36)+(0.35*LN(1+0.6*'Ход 2031'!B42)*POWER(MAX(0,1-'Россия 2031'!I36/10),0.7))))</f>
        <v>9.5</v>
      </c>
      <c r="C36" s="12">
        <f>MIN(1,'Россия 2031'!C36+'Россия 2031'!F36+(0.08*LN(1+0.5*'Ход 2031'!C42)*MAX(0,1-('Россия 2031'!C36+'Россия 2031'!F36))))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9.5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2031'!B37+'Россия 2031'!D37+('Россия 2031'!C37+'Россия 2031'!F37+'Россия 2031'!G37)+(0.35*LN(1+0.6*'Ход 2031'!B43)*POWER(MAX(0,1-'Россия 2031'!I37/10),0.7))))</f>
        <v>7.8</v>
      </c>
      <c r="C37" s="12">
        <f>MIN(1,'Россия 2031'!C37+'Россия 2031'!F37+(0.08*LN(1+0.5*'Ход 2031'!C43)*MAX(0,1-('Россия 2031'!C37+'Россия 2031'!F37))))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7.8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2031'!B38+'Россия 2031'!D38+('Россия 2031'!C38+'Россия 2031'!F38+'Россия 2031'!G38)+(0.35*LN(1+0.6*'Ход 2031'!B44)*POWER(MAX(0,1-'Россия 2031'!I38/10),0.7))))</f>
        <v>7.5</v>
      </c>
      <c r="C38" s="12">
        <f>MIN(1,'Россия 2031'!C38+'Россия 2031'!F38+(0.08*LN(1+0.5*'Ход 2031'!C44)*MAX(0,1-('Россия 2031'!C38+'Россия 2031'!F38))))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7.5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2031'!B39+'Россия 2031'!D39+('Россия 2031'!C39+'Россия 2031'!F39+'Россия 2031'!G39)+(0.35*LN(1+0.6*'Ход 2031'!B45)*POWER(MAX(0,1-'Россия 2031'!I39/10),0.7))))</f>
        <v>7.2</v>
      </c>
      <c r="C39" s="12">
        <f>MIN(1,'Россия 2031'!C39+'Россия 2031'!F39+(0.08*LN(1+0.5*'Ход 2031'!C45)*MAX(0,1-('Россия 2031'!C39+'Россия 2031'!F39))))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7.2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2031'!B40+'Россия 2031'!D40+('Россия 2031'!C40+'Россия 2031'!F40+'Россия 2031'!G40)+(0.35*LN(1+0.6*'Ход 2031'!B46)*POWER(MAX(0,1-'Россия 2031'!I40/10),0.7))))</f>
        <v>7.6</v>
      </c>
      <c r="C40" s="12">
        <f>MIN(1,'Россия 2031'!C40+'Россия 2031'!F40+(0.08*LN(1+0.5*'Ход 2031'!C46)*MAX(0,1-('Россия 2031'!C40+'Россия 2031'!F40))))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7.6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2031'!B41+'Россия 2031'!D41+('Россия 2031'!C41+'Россия 2031'!F41+'Россия 2031'!G41)+(0.35*LN(1+0.6*'Ход 2031'!B47)*POWER(MAX(0,1-'Россия 2031'!I41/10),0.7))))</f>
        <v>8.5</v>
      </c>
      <c r="C41" s="12">
        <f>MIN(1,'Россия 2031'!C41+'Россия 2031'!F41+(0.08*LN(1+0.5*'Ход 2031'!C47)*MAX(0,1-('Россия 2031'!C41+'Россия 2031'!F41))))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8.5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2031'!B42+'Россия 2031'!D42+('Россия 2031'!C42+'Россия 2031'!F42+'Россия 2031'!G42)+(0.35*LN(1+0.6*'Ход 2031'!B48)*POWER(MAX(0,1-'Россия 2031'!I42/10),0.7))))</f>
        <v>9.2</v>
      </c>
      <c r="C42" s="12">
        <f>MIN(1,'Россия 2031'!C42+'Россия 2031'!F42+(0.08*LN(1+0.5*'Ход 2031'!C48)*MAX(0,1-('Россия 2031'!C42+'Россия 2031'!F42))))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9.2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2031'!B44+'Россия 2031'!D44+('Россия 2031'!C44+'Россия 2031'!F44+'Россия 2031'!G44)+(0.35*LN(1+0.6*'Ход 2031'!B50)*POWER(MAX(0,1-'Россия 2031'!I44/10),0.7))))</f>
        <v>7.60088415</v>
      </c>
      <c r="C44" s="12">
        <f>MIN(1,'Россия 2031'!C44+'Россия 2031'!F44+(0.08*LN(1+0.5*'Ход 2031'!C50)*MAX(0,1-('Россия 2031'!C44+'Россия 2031'!F44))))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7.60088415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2031'!B45+'Россия 2031'!D45+('Россия 2031'!C45+'Россия 2031'!F45+'Россия 2031'!G45)+(0.35*LN(1+0.6*'Ход 2031'!B51)*POWER(MAX(0,1-'Россия 2031'!I45/10),0.7))))</f>
        <v>7.8</v>
      </c>
      <c r="C45" s="12">
        <f>MIN(1,'Россия 2031'!C45+'Россия 2031'!F45+(0.08*LN(1+0.5*'Ход 2031'!C51)*MAX(0,1-('Россия 2031'!C45+'Россия 2031'!F45))))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7.8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2031'!B46+'Россия 2031'!D46+('Россия 2031'!C46+'Россия 2031'!F46+'Россия 2031'!G46)+(0.35*LN(1+0.6*'Ход 2031'!B52)*POWER(MAX(0,1-'Россия 2031'!I46/10),0.7))))</f>
        <v>5.691721311</v>
      </c>
      <c r="C46" s="12">
        <f>MIN(1,'Россия 2031'!C46+'Россия 2031'!F46+(0.08*LN(1+0.5*'Ход 2031'!C52)*MAX(0,1-('Россия 2031'!C46+'Россия 2031'!F46))))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5.691721311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2031'!B47+'Россия 2031'!D47+('Россия 2031'!C47+'Россия 2031'!F47+'Россия 2031'!G47)+(0.35*LN(1+0.6*'Ход 2031'!B53)*POWER(MAX(0,1-'Россия 2031'!I47/10),0.7))))</f>
        <v>4.378141387</v>
      </c>
      <c r="C47" s="12">
        <f>MIN(1,'Россия 2031'!C47+'Россия 2031'!F47+(0.08*LN(1+0.5*'Ход 2031'!C53)*MAX(0,1-('Россия 2031'!C47+'Россия 2031'!F47))))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4.378141387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2031'!B48+'Россия 2031'!D48+('Россия 2031'!C48+'Россия 2031'!F48+'Россия 2031'!G48)+(0.35*LN(1+0.6*'Ход 2031'!B54)*POWER(MAX(0,1-'Россия 2031'!I48/10),0.7))))</f>
        <v>7.740966387</v>
      </c>
      <c r="C48" s="12">
        <f>MIN(1,'Россия 2031'!C48+'Россия 2031'!F48+(0.08*LN(1+0.5*'Ход 2031'!C54)*MAX(0,1-('Россия 2031'!C48+'Россия 2031'!F48))))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7.740966387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2031'!B49+'Россия 2031'!D49+('Россия 2031'!C49+'Россия 2031'!F49+'Россия 2031'!G49)+(0.35*LN(1+0.6*'Ход 2031'!B55)*POWER(MAX(0,1-'Россия 2031'!I49/10),0.7))))</f>
        <v>8.8</v>
      </c>
      <c r="C49" s="12">
        <f>MIN(1,'Россия 2031'!C49+'Россия 2031'!F49+(0.08*LN(1+0.5*'Ход 2031'!C55)*MAX(0,1-('Россия 2031'!C49+'Россия 2031'!F49))))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8.8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2031'!B50+'Россия 2031'!D50+('Россия 2031'!C50+'Россия 2031'!F50+'Россия 2031'!G50)+(0.35*LN(1+0.6*'Ход 2031'!B56)*POWER(MAX(0,1-'Россия 2031'!I50/10),0.7))))</f>
        <v>9.6</v>
      </c>
      <c r="C50" s="12">
        <f>MIN(1,'Россия 2031'!C50+'Россия 2031'!F50+(0.08*LN(1+0.5*'Ход 2031'!C56)*MAX(0,1-('Россия 2031'!C50+'Россия 2031'!F50))))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9.6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2031'!B51+'Россия 2031'!D51+('Россия 2031'!C51+'Россия 2031'!F51+'Россия 2031'!G51)+(0.35*LN(1+0.6*'Ход 2031'!B57)*POWER(MAX(0,1-'Россия 2031'!I51/10),0.7))))</f>
        <v>7.8</v>
      </c>
      <c r="C51" s="12">
        <f>MIN(1,'Россия 2031'!C51+'Россия 2031'!F51+(0.08*LN(1+0.5*'Ход 2031'!C57)*MAX(0,1-('Россия 2031'!C51+'Россия 2031'!F51))))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7.8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2031'!B53+'Россия 2031'!D53+('Россия 2031'!C53+'Россия 2031'!F53+'Россия 2031'!G53)+(0.35*LN(1+0.6*'Ход 2031'!B59)*POWER(MAX(0,1-'Россия 2031'!I53/10),0.7))))</f>
        <v>7.85</v>
      </c>
      <c r="C53" s="12">
        <f>MIN(1,'Россия 2031'!C53+'Россия 2031'!F53+(0.08*LN(1+0.5*'Ход 2031'!C59)*MAX(0,1-('Россия 2031'!C53+'Россия 2031'!F53))))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7.85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2031'!B54+'Россия 2031'!D54+('Россия 2031'!C54+'Россия 2031'!F54+'Россия 2031'!G54)+(0.35*LN(1+0.6*'Ход 2031'!B60)*POWER(MAX(0,1-'Россия 2031'!I54/10),0.7))))</f>
        <v>6.9</v>
      </c>
      <c r="C54" s="12">
        <f>MIN(1,'Россия 2031'!C54+'Россия 2031'!F54+(0.08*LN(1+0.5*'Ход 2031'!C60)*MAX(0,1-('Россия 2031'!C54+'Россия 2031'!F54))))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6.9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2031'!B55+'Россия 2031'!D55+('Россия 2031'!C55+'Россия 2031'!F55+'Россия 2031'!G55)+(0.35*LN(1+0.6*'Ход 2031'!B61)*POWER(MAX(0,1-'Россия 2031'!I55/10),0.7))))</f>
        <v>5.9</v>
      </c>
      <c r="C55" s="12">
        <f>MIN(1,'Россия 2031'!C55+'Россия 2031'!F55+(0.08*LN(1+0.5*'Ход 2031'!C61)*MAX(0,1-('Россия 2031'!C55+'Россия 2031'!F55))))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5.9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2032'!U6</f>
        <v>94.4176623</v>
      </c>
      <c r="C6" s="12"/>
      <c r="D6" s="12"/>
      <c r="E6" s="12" t="s">
        <v>54</v>
      </c>
      <c r="F6" s="19">
        <f>'Россия 2032'!K6</f>
        <v>76.5088494</v>
      </c>
      <c r="G6" s="12"/>
      <c r="H6" s="12"/>
      <c r="I6" s="12" t="s">
        <v>54</v>
      </c>
      <c r="J6" s="19">
        <f>'Россия 2032'!N6</f>
        <v>71.87397506</v>
      </c>
      <c r="K6" s="12"/>
      <c r="L6" s="12"/>
      <c r="M6" s="12" t="s">
        <v>54</v>
      </c>
      <c r="N6" s="19">
        <f>'Россия 2032'!Q6</f>
        <v>72.74733179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94.4176623</v>
      </c>
      <c r="C8" s="12" t="str">
        <f>IF(B8&lt;0,"ПРЕВЫШЕНИЕ","OK")</f>
        <v>OK</v>
      </c>
      <c r="D8" s="12"/>
      <c r="E8" s="12" t="s">
        <v>91</v>
      </c>
      <c r="F8" s="19">
        <f>F6-F7</f>
        <v>76.5088494</v>
      </c>
      <c r="G8" s="12" t="str">
        <f>IF(F8&lt;0,"ПРЕВЫШЕНИЕ","OK")</f>
        <v>OK</v>
      </c>
      <c r="H8" s="12"/>
      <c r="I8" s="12" t="s">
        <v>91</v>
      </c>
      <c r="J8" s="19">
        <f>J6-J7</f>
        <v>71.87397506</v>
      </c>
      <c r="K8" s="12" t="str">
        <f>IF(J8&lt;0,"ПРЕВЫШЕНИЕ","OK")</f>
        <v>OK</v>
      </c>
      <c r="L8" s="12"/>
      <c r="M8" s="12" t="s">
        <v>91</v>
      </c>
      <c r="N8" s="19">
        <f>N6-N7</f>
        <v>72.74733179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2032'!V11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12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2032'!V12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33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2032'!V13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23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2032'!V14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15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2032'!V15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49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2032'!V16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75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2032'!V17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60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2032'!V18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66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2032'!V19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62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2032'!V20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6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2032'!V21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29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2032'!V22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8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2032'!V23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76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2032'!V24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27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2032'!V25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95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2032'!V26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14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IF(G29="","",VLOOKUP(G29,'Технологии'!$A$11:$BF$50,50,FALSE))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IF(G30="","",VLOOKUP(G30,'Технологии'!$A$11:$BF$50,50,FALSE))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IF(G31="","",VLOOKUP(G31,'Технологии'!$A$11:$BF$50,50,FALSE))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IF(G32="","",VLOOKUP(G32,'Технологии'!$A$11:$BF$50,50,FALSE))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IF(G33="","",VLOOKUP(G33,'Технологии'!$A$11:$BF$50,50,FALSE))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IF(G34="","",VLOOKUP(G34,'Технологии'!$A$11:$BF$50,50,FALSE))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IF(G35="","",VLOOKUP(G35,'Технологии'!$A$11:$BF$50,50,FALSE))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IF(G36="","",VLOOKUP(G36,'Технологии'!$A$11:$BF$50,50,FALSE))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IF(G37="","",VLOOKUP(G37,'Технологии'!$A$11:$BF$50,50,FALSE))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IF(G38="","",VLOOKUP(G38,'Технологии'!$A$11:$BF$50,50,FALSE))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77.9917575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73.61729309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74.36490058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95.81086456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2032'!B8+'Россия 2032'!D8+('Россия 2032'!C8+'Россия 2032'!F8+'Россия 2032'!G8)+(0.35*LN(1+0.6*'Ход 2032'!B14)*POWER(MAX(0,1-'Россия 2032'!I8/10),0.7))))</f>
        <v>9.921259914</v>
      </c>
      <c r="C8" s="12">
        <f>MIN(1,'Россия 2032'!C8+'Россия 2032'!F8+(0.08*LN(1+0.5*'Ход 2032'!C14)*MAX(0,1-('Россия 2032'!C8+'Россия 2032'!F8))))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9.921259914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2032'!B9+'Россия 2032'!D9+('Россия 2032'!C9+'Россия 2032'!F9+'Россия 2032'!G9)+(0.35*LN(1+0.6*'Ход 2032'!B15)*POWER(MAX(0,1-'Россия 2032'!I9/10),0.7))))</f>
        <v>6.88106098</v>
      </c>
      <c r="C9" s="12">
        <f>MIN(1,'Россия 2032'!C9+'Россия 2032'!F9+(0.08*LN(1+0.5*'Ход 2032'!C15)*MAX(0,1-('Россия 2032'!C9+'Россия 2032'!F9))))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6.88106098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2032'!B10+'Россия 2032'!D10+('Россия 2032'!C10+'Россия 2032'!F10+'Россия 2032'!G10)+(0.35*LN(1+0.6*'Ход 2032'!B16)*POWER(MAX(0,1-'Россия 2032'!I10/10),0.7))))</f>
        <v>10</v>
      </c>
      <c r="C10" s="12">
        <f>MIN(1,'Россия 2032'!C10+'Россия 2032'!F10+(0.08*LN(1+0.5*'Ход 2032'!C16)*MAX(0,1-('Россия 2032'!C10+'Россия 2032'!F10))))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2032'!B11+'Россия 2032'!D11+('Россия 2032'!C11+'Россия 2032'!F11+'Россия 2032'!G11)+(0.35*LN(1+0.6*'Ход 2032'!B17)*POWER(MAX(0,1-'Россия 2032'!I11/10),0.7))))</f>
        <v>9.601326225</v>
      </c>
      <c r="C11" s="12">
        <f>MIN(1,'Россия 2032'!C11+'Россия 2032'!F11+(0.08*LN(1+0.5*'Ход 2032'!C17)*MAX(0,1-('Россия 2032'!C11+'Россия 2032'!F11))))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9.601326225</v>
      </c>
      <c r="J11" s="12"/>
      <c r="K11" s="12" t="s">
        <v>110</v>
      </c>
      <c r="L11" s="12">
        <f>MAX(1,MIN(10,'Россия 2032'!L11+'Россия 2032'!N11+('Россия 2032'!M11+'Россия 2032'!P11+'Россия 2032'!Q11)))</f>
        <v>9.140068201</v>
      </c>
      <c r="M11" s="12">
        <f>MIN(1,'Россия 2032'!M11+'Россия 2032'!P11+(0.1*LN(1+0.5*'Ход 2032'!H13)*POWER(MAX(0,1-'Россия 2032'!S11/10),0.8)))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9.140068201</v>
      </c>
      <c r="T11" s="12"/>
      <c r="U11" s="12" t="s">
        <v>111</v>
      </c>
      <c r="V11" s="25">
        <f>'Россия 2032'!V11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2032'!B12+'Россия 2032'!D12+('Россия 2032'!C12+'Россия 2032'!F12+'Россия 2032'!G12)+(0.35*LN(1+0.6*'Ход 2032'!B18)*POWER(MAX(0,1-'Россия 2032'!I12/10),0.7))))</f>
        <v>9</v>
      </c>
      <c r="C12" s="12">
        <f>MIN(1,'Россия 2032'!C12+'Россия 2032'!F12+(0.08*LN(1+0.5*'Ход 2032'!C18)*MAX(0,1-('Россия 2032'!C12+'Россия 2032'!F12))))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2032'!L12+'Россия 2032'!N12+('Россия 2032'!M12+'Россия 2032'!P12+'Россия 2032'!Q12)))</f>
        <v>9.090107169</v>
      </c>
      <c r="M12" s="12">
        <f>MIN(1,'Россия 2032'!M12+'Россия 2032'!P12+(0.1*LN(1+0.5*'Ход 2032'!H14)*POWER(MAX(0,1-'Россия 2032'!S12/10),0.8)))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9.090107169</v>
      </c>
      <c r="T12" s="12"/>
      <c r="U12" s="12" t="s">
        <v>122</v>
      </c>
      <c r="V12" s="25">
        <f>'Россия 2032'!V12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2032'!B13+'Россия 2032'!D13+('Россия 2032'!C13+'Россия 2032'!F13+'Россия 2032'!G13)+(0.35*LN(1+0.6*'Ход 2032'!B19)*POWER(MAX(0,1-'Россия 2032'!I13/10),0.7))))</f>
        <v>5.200994669</v>
      </c>
      <c r="C13" s="12">
        <f>MIN(1,'Россия 2032'!C13+'Россия 2032'!F13+(0.08*LN(1+0.5*'Ход 2032'!C19)*MAX(0,1-('Россия 2032'!C13+'Россия 2032'!F13))))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5.200994669</v>
      </c>
      <c r="J13" s="12"/>
      <c r="K13" s="12" t="s">
        <v>127</v>
      </c>
      <c r="L13" s="12">
        <f>MAX(1,MIN(10,'Россия 2032'!L13+'Россия 2032'!N13+('Россия 2032'!M13+'Россия 2032'!P13+'Россия 2032'!Q13)))</f>
        <v>9.378161028</v>
      </c>
      <c r="M13" s="12">
        <f>MIN(1,'Россия 2032'!M13+'Россия 2032'!P13+(0.1*LN(1+0.5*'Ход 2032'!H15)*POWER(MAX(0,1-'Россия 2032'!S13/10),0.8)))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9.378161028</v>
      </c>
      <c r="T13" s="12"/>
      <c r="U13" s="12" t="s">
        <v>128</v>
      </c>
      <c r="V13" s="25">
        <f>'Россия 2032'!V13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2032'!B14+'Россия 2032'!D14+('Россия 2032'!C14+'Россия 2032'!F14+'Россия 2032'!G14)+(0.35*LN(1+0.6*'Ход 2032'!B20)*POWER(MAX(0,1-'Россия 2032'!I14/10),0.7))))</f>
        <v>5.969741632</v>
      </c>
      <c r="C14" s="12">
        <f>MIN(1,'Россия 2032'!C14+'Россия 2032'!F14+(0.08*LN(1+0.5*'Ход 2032'!C20)*MAX(0,1-('Россия 2032'!C14+'Россия 2032'!F14))))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5.969741632</v>
      </c>
      <c r="J14" s="12"/>
      <c r="K14" s="12" t="s">
        <v>131</v>
      </c>
      <c r="L14" s="12">
        <f>MAX(1,MIN(10,'Россия 2032'!L14+'Россия 2032'!N14+('Россия 2032'!M14+'Россия 2032'!P14+'Россия 2032'!Q14)))</f>
        <v>8.60694884</v>
      </c>
      <c r="M14" s="12">
        <f>MIN(1,'Россия 2032'!M14+'Россия 2032'!P14+(0.1*LN(1+0.5*'Ход 2032'!H16)*POWER(MAX(0,1-'Россия 2032'!S14/10),0.8)))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8.60694884</v>
      </c>
      <c r="T14" s="12"/>
      <c r="U14" s="12" t="s">
        <v>132</v>
      </c>
      <c r="V14" s="25">
        <f>'Россия 2032'!V14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2032'!B15+'Россия 2032'!D15+('Россия 2032'!C15+'Россия 2032'!F15+'Россия 2032'!G15)+(0.35*LN(1+0.6*'Ход 2032'!B21)*POWER(MAX(0,1-'Россия 2032'!I15/10),0.7))))</f>
        <v>9.396026727</v>
      </c>
      <c r="C15" s="12">
        <f>MIN(1,'Россия 2032'!C15+'Россия 2032'!F15+(0.08*LN(1+0.5*'Ход 2032'!C21)*MAX(0,1-('Россия 2032'!C15+'Россия 2032'!F15))))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9.396026727</v>
      </c>
      <c r="J15" s="12"/>
      <c r="K15" s="12" t="s">
        <v>135</v>
      </c>
      <c r="L15" s="12">
        <f>MAX(1,MIN(10,'Россия 2032'!L15+'Россия 2032'!N15+('Россия 2032'!M15+'Россия 2032'!P15+'Россия 2032'!Q15)))</f>
        <v>7.75</v>
      </c>
      <c r="M15" s="12">
        <f>MIN(1,'Россия 2032'!M15+'Россия 2032'!P15+(0.1*LN(1+0.5*'Ход 2032'!H17)*POWER(MAX(0,1-'Россия 2032'!S15/10),0.8)))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7.75</v>
      </c>
      <c r="T15" s="12"/>
      <c r="U15" s="12" t="s">
        <v>136</v>
      </c>
      <c r="V15" s="25">
        <f>'Россия 2032'!V15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2032'!B16+'Россия 2032'!D16+('Россия 2032'!C16+'Россия 2032'!F16+'Россия 2032'!G16)+(0.35*LN(1+0.6*'Ход 2032'!B22)*POWER(MAX(0,1-'Россия 2032'!I16/10),0.7))))</f>
        <v>9.883971902</v>
      </c>
      <c r="C16" s="12">
        <f>MIN(1,'Россия 2032'!C16+'Россия 2032'!F16+(0.08*LN(1+0.5*'Ход 2032'!C22)*MAX(0,1-('Россия 2032'!C16+'Россия 2032'!F16))))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9.883971902</v>
      </c>
      <c r="J16" s="12"/>
      <c r="K16" s="12" t="s">
        <v>142</v>
      </c>
      <c r="L16" s="12">
        <f>MAX(1,MIN(10,'Россия 2032'!L16+'Россия 2032'!N16+('Россия 2032'!M16+'Россия 2032'!P16+'Россия 2032'!Q16)))</f>
        <v>10</v>
      </c>
      <c r="M16" s="12">
        <f>MIN(1,'Россия 2032'!M16+'Россия 2032'!P16+(0.1*LN(1+0.5*'Ход 2032'!H18)*POWER(MAX(0,1-'Россия 2032'!S16/10),0.8)))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2032'!V16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2032'!B17+'Россия 2032'!D17+('Россия 2032'!C17+'Россия 2032'!F17+'Россия 2032'!G17)+(0.35*LN(1+0.6*'Ход 2032'!B23)*POWER(MAX(0,1-'Россия 2032'!I17/10),0.7))))</f>
        <v>8.625609896</v>
      </c>
      <c r="C17" s="12">
        <f>MIN(1,'Россия 2032'!C17+'Россия 2032'!F17+(0.08*LN(1+0.5*'Ход 2032'!C23)*MAX(0,1-('Россия 2032'!C17+'Россия 2032'!F17))))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8.625609896</v>
      </c>
      <c r="J17" s="12"/>
      <c r="K17" s="12" t="s">
        <v>148</v>
      </c>
      <c r="L17" s="12">
        <f>MAX(1,MIN(10,'Россия 2032'!L17+'Россия 2032'!N17+('Россия 2032'!M17+'Россия 2032'!P17+'Россия 2032'!Q17)))</f>
        <v>10</v>
      </c>
      <c r="M17" s="12">
        <f>MIN(1,'Россия 2032'!M17+'Россия 2032'!P17+(0.1*LN(1+0.5*'Ход 2032'!H19)*POWER(MAX(0,1-'Россия 2032'!S17/10),0.8)))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2032'!V17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2032'!L18+'Россия 2032'!N18+('Россия 2032'!M18+'Россия 2032'!P18+'Россия 2032'!Q18)))</f>
        <v>9.554274151</v>
      </c>
      <c r="M18" s="12">
        <f>MIN(1,'Россия 2032'!M18+'Россия 2032'!P18+(0.1*LN(1+0.5*'Ход 2032'!H20)*POWER(MAX(0,1-'Россия 2032'!S18/10),0.8)))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9.554274151</v>
      </c>
      <c r="T18" s="12"/>
      <c r="U18" s="12" t="s">
        <v>153</v>
      </c>
      <c r="V18" s="25">
        <f>'Россия 2032'!V18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2032'!B19+'Россия 2032'!D19+('Россия 2032'!C19+'Россия 2032'!F19+'Россия 2032'!G19)+(0.35*LN(1+0.6*'Ход 2032'!B25)*POWER(MAX(0,1-'Россия 2032'!I19/10),0.7))))</f>
        <v>8.75</v>
      </c>
      <c r="C19" s="12">
        <f>MIN(1,'Россия 2032'!C19+'Россия 2032'!F19+(0.08*LN(1+0.5*'Ход 2032'!C25)*MAX(0,1-('Россия 2032'!C19+'Россия 2032'!F19))))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8.75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2032'!V19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2032'!B20+'Россия 2032'!D20+('Россия 2032'!C20+'Россия 2032'!F20+'Россия 2032'!G20)+(0.35*LN(1+0.6*'Ход 2032'!B26)*POWER(MAX(0,1-'Россия 2032'!I20/10),0.7))))</f>
        <v>10</v>
      </c>
      <c r="C20" s="12">
        <f>MIN(1,'Россия 2032'!C20+'Россия 2032'!F20+(0.08*LN(1+0.5*'Ход 2032'!C26)*MAX(0,1-('Россия 2032'!C20+'Россия 2032'!F20))))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2032'!V20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2032'!B21+'Россия 2032'!D21+('Россия 2032'!C21+'Россия 2032'!F21+'Россия 2032'!G21)+(0.35*LN(1+0.6*'Ход 2032'!B27)*POWER(MAX(0,1-'Россия 2032'!I21/10),0.7))))</f>
        <v>9.45</v>
      </c>
      <c r="C21" s="12">
        <f>MIN(1,'Россия 2032'!C21+'Россия 2032'!F21+(0.08*LN(1+0.5*'Ход 2032'!C27)*MAX(0,1-('Россия 2032'!C21+'Россия 2032'!F21))))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9.45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2032'!V21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2032'!B22+'Россия 2032'!D22+('Россия 2032'!C22+'Россия 2032'!F22+'Россия 2032'!G22)+(0.35*LN(1+0.6*'Ход 2032'!B28)*POWER(MAX(0,1-'Россия 2032'!I22/10),0.7))))</f>
        <v>10</v>
      </c>
      <c r="C22" s="12">
        <f>MIN(1,'Россия 2032'!C22+'Россия 2032'!F22+(0.08*LN(1+0.5*'Ход 2032'!C28)*MAX(0,1-('Россия 2032'!C22+'Россия 2032'!F22))))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2032'!V22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2032'!B23+'Россия 2032'!D23+('Россия 2032'!C23+'Россия 2032'!F23+'Россия 2032'!G23)+(0.35*LN(1+0.6*'Ход 2032'!B29)*POWER(MAX(0,1-'Россия 2032'!I23/10),0.7))))</f>
        <v>10</v>
      </c>
      <c r="C23" s="12">
        <f>MIN(1,'Россия 2032'!C23+'Россия 2032'!F23+(0.08*LN(1+0.5*'Ход 2032'!C29)*MAX(0,1-('Россия 2032'!C23+'Россия 2032'!F23))))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2032'!V23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2032'!V24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2032'!B25+'Россия 2032'!D25+('Россия 2032'!C25+'Россия 2032'!F25+'Россия 2032'!G25)+(0.35*LN(1+0.6*'Ход 2032'!B31)*POWER(MAX(0,1-'Россия 2032'!I25/10),0.7))))</f>
        <v>10</v>
      </c>
      <c r="C25" s="12">
        <f>MIN(1,'Россия 2032'!C25+'Россия 2032'!F25+(0.08*LN(1+0.5*'Ход 2032'!C31)*MAX(0,1-('Россия 2032'!C25+'Россия 2032'!F25))))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2032'!V25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2032'!B26+'Россия 2032'!D26+('Россия 2032'!C26+'Россия 2032'!F26+'Россия 2032'!G26)+(0.35*LN(1+0.6*'Ход 2032'!B32)*POWER(MAX(0,1-'Россия 2032'!I26/10),0.7))))</f>
        <v>8.909114156</v>
      </c>
      <c r="C26" s="12">
        <f>MIN(1,'Россия 2032'!C26+'Россия 2032'!F26+(0.08*LN(1+0.5*'Ход 2032'!C32)*MAX(0,1-('Россия 2032'!C26+'Россия 2032'!F26))))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8.909114156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2032'!V26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2032'!B27+'Россия 2032'!D27+('Россия 2032'!C27+'Россия 2032'!F27+'Россия 2032'!G27)+(0.35*LN(1+0.6*'Ход 2032'!B33)*POWER(MAX(0,1-'Россия 2032'!I27/10),0.7))))</f>
        <v>9.103918875</v>
      </c>
      <c r="C27" s="12">
        <f>MIN(1,'Россия 2032'!C27+'Россия 2032'!F27+(0.08*LN(1+0.5*'Ход 2032'!C33)*MAX(0,1-('Россия 2032'!C27+'Россия 2032'!F27))))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9.103918875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2032'!B28+'Россия 2032'!D28+('Россия 2032'!C28+'Россия 2032'!F28+'Россия 2032'!G28)+(0.35*LN(1+0.6*'Ход 2032'!B34)*POWER(MAX(0,1-'Россия 2032'!I28/10),0.7))))</f>
        <v>9.833542866</v>
      </c>
      <c r="C28" s="12">
        <f>MIN(1,'Россия 2032'!C28+'Россия 2032'!F28+(0.08*LN(1+0.5*'Ход 2032'!C34)*MAX(0,1-('Россия 2032'!C28+'Россия 2032'!F28))))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9.833542866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2032'!B29+'Россия 2032'!D29+('Россия 2032'!C29+'Россия 2032'!F29+'Россия 2032'!G29)+(0.35*LN(1+0.6*'Ход 2032'!B35)*POWER(MAX(0,1-'Россия 2032'!I29/10),0.7))))</f>
        <v>8.440939358</v>
      </c>
      <c r="C29" s="12">
        <f>MIN(1,'Россия 2032'!C29+'Россия 2032'!F29+(0.08*LN(1+0.5*'Ход 2032'!C35)*MAX(0,1-('Россия 2032'!C29+'Россия 2032'!F29))))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8.440939358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2032'!B30+'Россия 2032'!D30+('Россия 2032'!C30+'Россия 2032'!F30+'Россия 2032'!G30)+(0.35*LN(1+0.6*'Ход 2032'!B36)*POWER(MAX(0,1-'Россия 2032'!I30/10),0.7))))</f>
        <v>7.4</v>
      </c>
      <c r="C30" s="12">
        <f>MIN(1,'Россия 2032'!C30+'Россия 2032'!F30+(0.08*LN(1+0.5*'Ход 2032'!C36)*MAX(0,1-('Россия 2032'!C30+'Россия 2032'!F30))))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7.4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2032'!B31+'Россия 2032'!D31+('Россия 2032'!C31+'Россия 2032'!F31+'Россия 2032'!G31)+(0.35*LN(1+0.6*'Ход 2032'!B37)*POWER(MAX(0,1-'Россия 2032'!I31/10),0.7))))</f>
        <v>5.7</v>
      </c>
      <c r="C31" s="12">
        <f>MIN(1,'Россия 2032'!C31+'Россия 2032'!F31+(0.08*LN(1+0.5*'Ход 2032'!C37)*MAX(0,1-('Россия 2032'!C31+'Россия 2032'!F31))))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5.7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2032'!B32+'Россия 2032'!D32+('Россия 2032'!C32+'Россия 2032'!F32+'Россия 2032'!G32)+(0.35*LN(1+0.6*'Ход 2032'!B38)*POWER(MAX(0,1-'Россия 2032'!I32/10),0.7))))</f>
        <v>9.7</v>
      </c>
      <c r="C32" s="12">
        <f>MIN(1,'Россия 2032'!C32+'Россия 2032'!F32+(0.08*LN(1+0.5*'Ход 2032'!C38)*MAX(0,1-('Россия 2032'!C32+'Россия 2032'!F32))))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9.7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2032'!B34+'Россия 2032'!D34+('Россия 2032'!C34+'Россия 2032'!F34+'Россия 2032'!G34)+(0.35*LN(1+0.6*'Ход 2032'!B40)*POWER(MAX(0,1-'Россия 2032'!I34/10),0.7))))</f>
        <v>9.601127291</v>
      </c>
      <c r="C34" s="12">
        <f>MIN(1,'Россия 2032'!C34+'Россия 2032'!F34+(0.08*LN(1+0.5*'Ход 2032'!C40)*MAX(0,1-('Россия 2032'!C34+'Россия 2032'!F34))))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9.601127291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2032'!B35+'Россия 2032'!D35+('Россия 2032'!C35+'Россия 2032'!F35+'Россия 2032'!G35)+(0.35*LN(1+0.6*'Ход 2032'!B41)*POWER(MAX(0,1-'Россия 2032'!I35/10),0.7))))</f>
        <v>9.381664729</v>
      </c>
      <c r="C35" s="12">
        <f>MIN(1,'Россия 2032'!C35+'Россия 2032'!F35+(0.08*LN(1+0.5*'Ход 2032'!C41)*MAX(0,1-('Россия 2032'!C35+'Россия 2032'!F35))))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9.381664729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2032'!B36+'Россия 2032'!D36+('Россия 2032'!C36+'Россия 2032'!F36+'Россия 2032'!G36)+(0.35*LN(1+0.6*'Ход 2032'!B42)*POWER(MAX(0,1-'Россия 2032'!I36/10),0.7))))</f>
        <v>9.75</v>
      </c>
      <c r="C36" s="12">
        <f>MIN(1,'Россия 2032'!C36+'Россия 2032'!F36+(0.08*LN(1+0.5*'Ход 2032'!C42)*MAX(0,1-('Россия 2032'!C36+'Россия 2032'!F36))))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9.75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2032'!B37+'Россия 2032'!D37+('Россия 2032'!C37+'Россия 2032'!F37+'Россия 2032'!G37)+(0.35*LN(1+0.6*'Ход 2032'!B43)*POWER(MAX(0,1-'Россия 2032'!I37/10),0.7))))</f>
        <v>8.1</v>
      </c>
      <c r="C37" s="12">
        <f>MIN(1,'Россия 2032'!C37+'Россия 2032'!F37+(0.08*LN(1+0.5*'Ход 2032'!C43)*MAX(0,1-('Россия 2032'!C37+'Россия 2032'!F37))))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8.1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2032'!B38+'Россия 2032'!D38+('Россия 2032'!C38+'Россия 2032'!F38+'Россия 2032'!G38)+(0.35*LN(1+0.6*'Ход 2032'!B44)*POWER(MAX(0,1-'Россия 2032'!I38/10),0.7))))</f>
        <v>7.75</v>
      </c>
      <c r="C38" s="12">
        <f>MIN(1,'Россия 2032'!C38+'Россия 2032'!F38+(0.08*LN(1+0.5*'Ход 2032'!C44)*MAX(0,1-('Россия 2032'!C38+'Россия 2032'!F38))))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7.75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2032'!B39+'Россия 2032'!D39+('Россия 2032'!C39+'Россия 2032'!F39+'Россия 2032'!G39)+(0.35*LN(1+0.6*'Ход 2032'!B45)*POWER(MAX(0,1-'Россия 2032'!I39/10),0.7))))</f>
        <v>7.4</v>
      </c>
      <c r="C39" s="12">
        <f>MIN(1,'Россия 2032'!C39+'Россия 2032'!F39+(0.08*LN(1+0.5*'Ход 2032'!C45)*MAX(0,1-('Россия 2032'!C39+'Россия 2032'!F39))))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7.4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2032'!B40+'Россия 2032'!D40+('Россия 2032'!C40+'Россия 2032'!F40+'Россия 2032'!G40)+(0.35*LN(1+0.6*'Ход 2032'!B46)*POWER(MAX(0,1-'Россия 2032'!I40/10),0.7))))</f>
        <v>7.7</v>
      </c>
      <c r="C40" s="12">
        <f>MIN(1,'Россия 2032'!C40+'Россия 2032'!F40+(0.08*LN(1+0.5*'Ход 2032'!C46)*MAX(0,1-('Россия 2032'!C40+'Россия 2032'!F40))))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7.7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2032'!B41+'Россия 2032'!D41+('Россия 2032'!C41+'Россия 2032'!F41+'Россия 2032'!G41)+(0.35*LN(1+0.6*'Ход 2032'!B47)*POWER(MAX(0,1-'Россия 2032'!I41/10),0.7))))</f>
        <v>8.75</v>
      </c>
      <c r="C41" s="12">
        <f>MIN(1,'Россия 2032'!C41+'Россия 2032'!F41+(0.08*LN(1+0.5*'Ход 2032'!C47)*MAX(0,1-('Россия 2032'!C41+'Россия 2032'!F41))))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8.75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2032'!B42+'Россия 2032'!D42+('Россия 2032'!C42+'Россия 2032'!F42+'Россия 2032'!G42)+(0.35*LN(1+0.6*'Ход 2032'!B48)*POWER(MAX(0,1-'Россия 2032'!I42/10),0.7))))</f>
        <v>9.4</v>
      </c>
      <c r="C42" s="12">
        <f>MIN(1,'Россия 2032'!C42+'Россия 2032'!F42+(0.08*LN(1+0.5*'Ход 2032'!C48)*MAX(0,1-('Россия 2032'!C42+'Россия 2032'!F42))))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9.4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2032'!B44+'Россия 2032'!D44+('Россия 2032'!C44+'Россия 2032'!F44+'Россия 2032'!G44)+(0.35*LN(1+0.6*'Ход 2032'!B50)*POWER(MAX(0,1-'Россия 2032'!I44/10),0.7))))</f>
        <v>7.88106098</v>
      </c>
      <c r="C44" s="12">
        <f>MIN(1,'Россия 2032'!C44+'Россия 2032'!F44+(0.08*LN(1+0.5*'Ход 2032'!C50)*MAX(0,1-('Россия 2032'!C44+'Россия 2032'!F44))))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7.88106098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2032'!B45+'Россия 2032'!D45+('Россия 2032'!C45+'Россия 2032'!F45+'Россия 2032'!G45)+(0.35*LN(1+0.6*'Ход 2032'!B51)*POWER(MAX(0,1-'Россия 2032'!I45/10),0.7))))</f>
        <v>8.1</v>
      </c>
      <c r="C45" s="12">
        <f>MIN(1,'Россия 2032'!C45+'Россия 2032'!F45+(0.08*LN(1+0.5*'Ход 2032'!C51)*MAX(0,1-('Россия 2032'!C45+'Россия 2032'!F45))))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8.1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2032'!B46+'Россия 2032'!D46+('Россия 2032'!C46+'Россия 2032'!F46+'Россия 2032'!G46)+(0.35*LN(1+0.6*'Ход 2032'!B52)*POWER(MAX(0,1-'Россия 2032'!I46/10),0.7))))</f>
        <v>5.791721311</v>
      </c>
      <c r="C46" s="12">
        <f>MIN(1,'Россия 2032'!C46+'Россия 2032'!F46+(0.08*LN(1+0.5*'Ход 2032'!C52)*MAX(0,1-('Россия 2032'!C46+'Россия 2032'!F46))))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5.791721311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2032'!B47+'Россия 2032'!D47+('Россия 2032'!C47+'Россия 2032'!F47+'Россия 2032'!G47)+(0.35*LN(1+0.6*'Ход 2032'!B53)*POWER(MAX(0,1-'Россия 2032'!I47/10),0.7))))</f>
        <v>4.613906626</v>
      </c>
      <c r="C47" s="12">
        <f>MIN(1,'Россия 2032'!C47+'Россия 2032'!F47+(0.08*LN(1+0.5*'Ход 2032'!C53)*MAX(0,1-('Россия 2032'!C47+'Россия 2032'!F47))))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4.613906626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2032'!B48+'Россия 2032'!D48+('Россия 2032'!C48+'Россия 2032'!F48+'Россия 2032'!G48)+(0.35*LN(1+0.6*'Ход 2032'!B54)*POWER(MAX(0,1-'Россия 2032'!I48/10),0.7))))</f>
        <v>7.978069888</v>
      </c>
      <c r="C48" s="12">
        <f>MIN(1,'Россия 2032'!C48+'Россия 2032'!F48+(0.08*LN(1+0.5*'Ход 2032'!C54)*MAX(0,1-('Россия 2032'!C48+'Россия 2032'!F48))))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7.978069888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2032'!B49+'Россия 2032'!D49+('Россия 2032'!C49+'Россия 2032'!F49+'Россия 2032'!G49)+(0.35*LN(1+0.6*'Ход 2032'!B55)*POWER(MAX(0,1-'Россия 2032'!I49/10),0.7))))</f>
        <v>9.1</v>
      </c>
      <c r="C49" s="12">
        <f>MIN(1,'Россия 2032'!C49+'Россия 2032'!F49+(0.08*LN(1+0.5*'Ход 2032'!C55)*MAX(0,1-('Россия 2032'!C49+'Россия 2032'!F49))))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9.1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2032'!B50+'Россия 2032'!D50+('Россия 2032'!C50+'Россия 2032'!F50+'Россия 2032'!G50)+(0.35*LN(1+0.6*'Ход 2032'!B56)*POWER(MAX(0,1-'Россия 2032'!I50/10),0.7))))</f>
        <v>9.7</v>
      </c>
      <c r="C50" s="12">
        <f>MIN(1,'Россия 2032'!C50+'Россия 2032'!F50+(0.08*LN(1+0.5*'Ход 2032'!C56)*MAX(0,1-('Россия 2032'!C50+'Россия 2032'!F50))))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9.7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2032'!B51+'Россия 2032'!D51+('Россия 2032'!C51+'Россия 2032'!F51+'Россия 2032'!G51)+(0.35*LN(1+0.6*'Ход 2032'!B57)*POWER(MAX(0,1-'Россия 2032'!I51/10),0.7))))</f>
        <v>8.1</v>
      </c>
      <c r="C51" s="12">
        <f>MIN(1,'Россия 2032'!C51+'Россия 2032'!F51+(0.08*LN(1+0.5*'Ход 2032'!C57)*MAX(0,1-('Россия 2032'!C51+'Россия 2032'!F51))))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8.1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2032'!B53+'Россия 2032'!D53+('Россия 2032'!C53+'Россия 2032'!F53+'Россия 2032'!G53)+(0.35*LN(1+0.6*'Ход 2032'!B59)*POWER(MAX(0,1-'Россия 2032'!I53/10),0.7))))</f>
        <v>8.15</v>
      </c>
      <c r="C53" s="12">
        <f>MIN(1,'Россия 2032'!C53+'Россия 2032'!F53+(0.08*LN(1+0.5*'Ход 2032'!C59)*MAX(0,1-('Россия 2032'!C53+'Россия 2032'!F53))))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8.15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2032'!B54+'Россия 2032'!D54+('Россия 2032'!C54+'Россия 2032'!F54+'Россия 2032'!G54)+(0.35*LN(1+0.6*'Ход 2032'!B60)*POWER(MAX(0,1-'Россия 2032'!I54/10),0.7))))</f>
        <v>7.05</v>
      </c>
      <c r="C54" s="12">
        <f>MIN(1,'Россия 2032'!C54+'Россия 2032'!F54+(0.08*LN(1+0.5*'Ход 2032'!C60)*MAX(0,1-('Россия 2032'!C54+'Россия 2032'!F54))))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7.05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2032'!B55+'Россия 2032'!D55+('Россия 2032'!C55+'Россия 2032'!F55+'Россия 2032'!G55)+(0.35*LN(1+0.6*'Ход 2032'!B61)*POWER(MAX(0,1-'Россия 2032'!I55/10),0.7))))</f>
        <v>6.05</v>
      </c>
      <c r="C55" s="12">
        <f>MIN(1,'Россия 2032'!C55+'Россия 2032'!F55+(0.08*LN(1+0.5*'Ход 2032'!C61)*MAX(0,1-('Россия 2032'!C55+'Россия 2032'!F55))))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6.05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2033'!U6</f>
        <v>95.81086456</v>
      </c>
      <c r="C6" s="12"/>
      <c r="D6" s="12"/>
      <c r="E6" s="12" t="s">
        <v>54</v>
      </c>
      <c r="F6" s="19">
        <f>'Россия 2033'!K6</f>
        <v>77.9917575</v>
      </c>
      <c r="G6" s="12"/>
      <c r="H6" s="12"/>
      <c r="I6" s="12" t="s">
        <v>54</v>
      </c>
      <c r="J6" s="19">
        <f>'Россия 2033'!N6</f>
        <v>73.61729309</v>
      </c>
      <c r="K6" s="12"/>
      <c r="L6" s="12"/>
      <c r="M6" s="12" t="s">
        <v>54</v>
      </c>
      <c r="N6" s="19">
        <f>'Россия 2033'!Q6</f>
        <v>74.36490058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95.81086456</v>
      </c>
      <c r="C8" s="12" t="str">
        <f>IF(B8&lt;0,"ПРЕВЫШЕНИЕ","OK")</f>
        <v>OK</v>
      </c>
      <c r="D8" s="12"/>
      <c r="E8" s="12" t="s">
        <v>91</v>
      </c>
      <c r="F8" s="19">
        <f>F6-F7</f>
        <v>77.9917575</v>
      </c>
      <c r="G8" s="12" t="str">
        <f>IF(F8&lt;0,"ПРЕВЫШЕНИЕ","OK")</f>
        <v>OK</v>
      </c>
      <c r="H8" s="12"/>
      <c r="I8" s="12" t="s">
        <v>91</v>
      </c>
      <c r="J8" s="19">
        <f>J6-J7</f>
        <v>73.61729309</v>
      </c>
      <c r="K8" s="12" t="str">
        <f>IF(J8&lt;0,"ПРЕВЫШЕНИЕ","OK")</f>
        <v>OK</v>
      </c>
      <c r="L8" s="12"/>
      <c r="M8" s="12" t="s">
        <v>91</v>
      </c>
      <c r="N8" s="19">
        <f>N6-N7</f>
        <v>74.36490058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2033'!V11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88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2033'!V12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21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2033'!V13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56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2033'!V14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62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2033'!V15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91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2033'!V16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11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2033'!V17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0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2033'!V18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74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2033'!V19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31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2033'!V20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69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2033'!V21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66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2033'!V22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29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2033'!V23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82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2033'!V24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61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2033'!V25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24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2033'!V26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91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IF(G29="","",VLOOKUP(G29,'Технологии'!$A$11:$BF$50,51,FALSE))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IF(G30="","",VLOOKUP(G30,'Технологии'!$A$11:$BF$50,51,FALSE))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IF(G31="","",VLOOKUP(G31,'Технологии'!$A$11:$BF$50,51,FALSE))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IF(G32="","",VLOOKUP(G32,'Технологии'!$A$11:$BF$50,51,FALSE))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IF(G33="","",VLOOKUP(G33,'Технологии'!$A$11:$BF$50,51,FALSE))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IF(G34="","",VLOOKUP(G34,'Технологии'!$A$11:$BF$50,51,FALSE))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IF(G35="","",VLOOKUP(G35,'Технологии'!$A$11:$BF$50,51,FALSE))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IF(G36="","",VLOOKUP(G36,'Технологии'!$A$11:$BF$50,51,FALSE))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IF(G37="","",VLOOKUP(G37,'Технологии'!$A$11:$BF$50,51,FALSE))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IF(G38="","",VLOOKUP(G38,'Технологии'!$A$11:$BF$50,51,FALSE))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79.24275403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75.03620424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75.41849225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96.93481776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2033'!B8+'Россия 2033'!D8+('Россия 2033'!C8+'Россия 2033'!F8+'Россия 2033'!G8)+(0.35*LN(1+0.6*'Ход 2033'!B14)*POWER(MAX(0,1-'Россия 2033'!I8/10),0.7))))</f>
        <v>10</v>
      </c>
      <c r="C8" s="12">
        <f>MIN(1,'Россия 2033'!C8+'Россия 2033'!F8+(0.08*LN(1+0.5*'Ход 2033'!C14)*MAX(0,1-('Россия 2033'!C8+'Россия 2033'!F8))))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2033'!B9+'Россия 2033'!D9+('Россия 2033'!C9+'Россия 2033'!F9+'Россия 2033'!G9)+(0.35*LN(1+0.6*'Ход 2033'!B15)*POWER(MAX(0,1-'Россия 2033'!I9/10),0.7))))</f>
        <v>7.16123781</v>
      </c>
      <c r="C9" s="12">
        <f>MIN(1,'Россия 2033'!C9+'Россия 2033'!F9+(0.08*LN(1+0.5*'Ход 2033'!C15)*MAX(0,1-('Россия 2033'!C9+'Россия 2033'!F9))))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7.16123781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2033'!B10+'Россия 2033'!D10+('Россия 2033'!C10+'Россия 2033'!F10+'Россия 2033'!G10)+(0.35*LN(1+0.6*'Ход 2033'!B16)*POWER(MAX(0,1-'Россия 2033'!I10/10),0.7))))</f>
        <v>10</v>
      </c>
      <c r="C10" s="12">
        <f>MIN(1,'Россия 2033'!C10+'Россия 2033'!F10+(0.08*LN(1+0.5*'Ход 2033'!C16)*MAX(0,1-('Россия 2033'!C10+'Россия 2033'!F10))))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2033'!B11+'Россия 2033'!D11+('Россия 2033'!C11+'Россия 2033'!F11+'Россия 2033'!G11)+(0.35*LN(1+0.6*'Ход 2033'!B17)*POWER(MAX(0,1-'Россия 2033'!I11/10),0.7))))</f>
        <v>9.701547262</v>
      </c>
      <c r="C11" s="12">
        <f>MIN(1,'Россия 2033'!C11+'Россия 2033'!F11+(0.08*LN(1+0.5*'Ход 2033'!C17)*MAX(0,1-('Россия 2033'!C11+'Россия 2033'!F11))))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9.701547262</v>
      </c>
      <c r="J11" s="12"/>
      <c r="K11" s="12" t="s">
        <v>110</v>
      </c>
      <c r="L11" s="12">
        <f>MAX(1,MIN(10,'Россия 2033'!L11+'Россия 2033'!N11+('Россия 2033'!M11+'Россия 2033'!P11+'Россия 2033'!Q11)))</f>
        <v>9.69485461</v>
      </c>
      <c r="M11" s="12">
        <f>MIN(1,'Россия 2033'!M11+'Россия 2033'!P11+(0.1*LN(1+0.5*'Ход 2033'!H13)*POWER(MAX(0,1-'Россия 2033'!S11/10),0.8)))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9.69485461</v>
      </c>
      <c r="T11" s="12"/>
      <c r="U11" s="12" t="s">
        <v>111</v>
      </c>
      <c r="V11" s="25">
        <f>'Россия 2033'!V11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2033'!B12+'Россия 2033'!D12+('Россия 2033'!C12+'Россия 2033'!F12+'Россия 2033'!G12)+(0.35*LN(1+0.6*'Ход 2033'!B18)*POWER(MAX(0,1-'Россия 2033'!I12/10),0.7))))</f>
        <v>9</v>
      </c>
      <c r="C12" s="12">
        <f>MIN(1,'Россия 2033'!C12+'Россия 2033'!F12+(0.08*LN(1+0.5*'Ход 2033'!C18)*MAX(0,1-('Россия 2033'!C12+'Россия 2033'!F12))))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2033'!L12+'Россия 2033'!N12+('Россия 2033'!M12+'Россия 2033'!P12+'Россия 2033'!Q12)))</f>
        <v>9.644901372</v>
      </c>
      <c r="M12" s="12">
        <f>MIN(1,'Россия 2033'!M12+'Россия 2033'!P12+(0.1*LN(1+0.5*'Ход 2033'!H14)*POWER(MAX(0,1-'Россия 2033'!S12/10),0.8)))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9.644901372</v>
      </c>
      <c r="T12" s="12"/>
      <c r="U12" s="12" t="s">
        <v>122</v>
      </c>
      <c r="V12" s="25">
        <f>'Россия 2033'!V12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2033'!B13+'Россия 2033'!D13+('Россия 2033'!C13+'Россия 2033'!F13+'Россия 2033'!G13)+(0.35*LN(1+0.6*'Ход 2033'!B19)*POWER(MAX(0,1-'Россия 2033'!I13/10),0.7))))</f>
        <v>5.526160447</v>
      </c>
      <c r="C13" s="12">
        <f>MIN(1,'Россия 2033'!C13+'Россия 2033'!F13+(0.08*LN(1+0.5*'Ход 2033'!C19)*MAX(0,1-('Россия 2033'!C13+'Россия 2033'!F13))))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5.526160447</v>
      </c>
      <c r="J13" s="12"/>
      <c r="K13" s="12" t="s">
        <v>127</v>
      </c>
      <c r="L13" s="12">
        <f>MAX(1,MIN(10,'Россия 2033'!L13+'Россия 2033'!N13+('Россия 2033'!M13+'Россия 2033'!P13+'Россия 2033'!Q13)))</f>
        <v>9.807807604</v>
      </c>
      <c r="M13" s="12">
        <f>MIN(1,'Россия 2033'!M13+'Россия 2033'!P13+(0.1*LN(1+0.5*'Ход 2033'!H15)*POWER(MAX(0,1-'Россия 2033'!S13/10),0.8)))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9.807807604</v>
      </c>
      <c r="T13" s="12"/>
      <c r="U13" s="12" t="s">
        <v>128</v>
      </c>
      <c r="V13" s="25">
        <f>'Россия 2033'!V13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2033'!B14+'Россия 2033'!D14+('Россия 2033'!C14+'Россия 2033'!F14+'Россия 2033'!G14)+(0.35*LN(1+0.6*'Ход 2033'!B20)*POWER(MAX(0,1-'Россия 2033'!I14/10),0.7))))</f>
        <v>6.372653589</v>
      </c>
      <c r="C14" s="12">
        <f>MIN(1,'Россия 2033'!C14+'Россия 2033'!F14+(0.08*LN(1+0.5*'Ход 2033'!C20)*MAX(0,1-('Россия 2033'!C14+'Россия 2033'!F14))))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6.372653589</v>
      </c>
      <c r="J14" s="12"/>
      <c r="K14" s="12" t="s">
        <v>131</v>
      </c>
      <c r="L14" s="12">
        <f>MAX(1,MIN(10,'Россия 2033'!L14+'Россия 2033'!N14+('Россия 2033'!M14+'Россия 2033'!P14+'Россия 2033'!Q14)))</f>
        <v>9.068338608</v>
      </c>
      <c r="M14" s="12">
        <f>MIN(1,'Россия 2033'!M14+'Россия 2033'!P14+(0.1*LN(1+0.5*'Ход 2033'!H16)*POWER(MAX(0,1-'Россия 2033'!S14/10),0.8)))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9.068338608</v>
      </c>
      <c r="T14" s="12"/>
      <c r="U14" s="12" t="s">
        <v>132</v>
      </c>
      <c r="V14" s="25">
        <f>'Россия 2033'!V14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2033'!B15+'Россия 2033'!D15+('Россия 2033'!C15+'Россия 2033'!F15+'Россия 2033'!G15)+(0.35*LN(1+0.6*'Ход 2033'!B21)*POWER(MAX(0,1-'Россия 2033'!I15/10),0.7))))</f>
        <v>9.882031182</v>
      </c>
      <c r="C15" s="12">
        <f>MIN(1,'Россия 2033'!C15+'Россия 2033'!F15+(0.08*LN(1+0.5*'Ход 2033'!C21)*MAX(0,1-('Россия 2033'!C15+'Россия 2033'!F15))))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9.882031182</v>
      </c>
      <c r="J15" s="12"/>
      <c r="K15" s="12" t="s">
        <v>135</v>
      </c>
      <c r="L15" s="12">
        <f>MAX(1,MIN(10,'Россия 2033'!L15+'Россия 2033'!N15+('Россия 2033'!M15+'Россия 2033'!P15+'Россия 2033'!Q15)))</f>
        <v>8</v>
      </c>
      <c r="M15" s="12">
        <f>MIN(1,'Россия 2033'!M15+'Россия 2033'!P15+(0.1*LN(1+0.5*'Ход 2033'!H17)*POWER(MAX(0,1-'Россия 2033'!S15/10),0.8)))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8</v>
      </c>
      <c r="T15" s="12"/>
      <c r="U15" s="12" t="s">
        <v>136</v>
      </c>
      <c r="V15" s="25">
        <f>'Россия 2033'!V15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2033'!B16+'Россия 2033'!D16+('Россия 2033'!C16+'Россия 2033'!F16+'Россия 2033'!G16)+(0.35*LN(1+0.6*'Ход 2033'!B22)*POWER(MAX(0,1-'Россия 2033'!I16/10),0.7))))</f>
        <v>10</v>
      </c>
      <c r="C16" s="12">
        <f>MIN(1,'Россия 2033'!C16+'Россия 2033'!F16+(0.08*LN(1+0.5*'Ход 2033'!C22)*MAX(0,1-('Россия 2033'!C16+'Россия 2033'!F16))))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2033'!L16+'Россия 2033'!N16+('Россия 2033'!M16+'Россия 2033'!P16+'Россия 2033'!Q16)))</f>
        <v>10</v>
      </c>
      <c r="M16" s="12">
        <f>MIN(1,'Россия 2033'!M16+'Россия 2033'!P16+(0.1*LN(1+0.5*'Ход 2033'!H18)*POWER(MAX(0,1-'Россия 2033'!S16/10),0.8)))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2033'!V16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2033'!B17+'Россия 2033'!D17+('Россия 2033'!C17+'Россия 2033'!F17+'Россия 2033'!G17)+(0.35*LN(1+0.6*'Ход 2033'!B23)*POWER(MAX(0,1-'Россия 2033'!I17/10),0.7))))</f>
        <v>8.860797778</v>
      </c>
      <c r="C17" s="12">
        <f>MIN(1,'Россия 2033'!C17+'Россия 2033'!F17+(0.08*LN(1+0.5*'Ход 2033'!C23)*MAX(0,1-('Россия 2033'!C17+'Россия 2033'!F17))))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8.860797778</v>
      </c>
      <c r="J17" s="12"/>
      <c r="K17" s="12" t="s">
        <v>148</v>
      </c>
      <c r="L17" s="12">
        <f>MAX(1,MIN(10,'Россия 2033'!L17+'Россия 2033'!N17+('Россия 2033'!M17+'Россия 2033'!P17+'Россия 2033'!Q17)))</f>
        <v>10</v>
      </c>
      <c r="M17" s="12">
        <f>MIN(1,'Россия 2033'!M17+'Россия 2033'!P17+(0.1*LN(1+0.5*'Ход 2033'!H19)*POWER(MAX(0,1-'Россия 2033'!S17/10),0.8)))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2033'!V17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2033'!L18+'Россия 2033'!N18+('Россия 2033'!M18+'Россия 2033'!P18+'Россия 2033'!Q18)))</f>
        <v>10</v>
      </c>
      <c r="M18" s="12">
        <f>MIN(1,'Россия 2033'!M18+'Россия 2033'!P18+(0.1*LN(1+0.5*'Ход 2033'!H20)*POWER(MAX(0,1-'Россия 2033'!S18/10),0.8)))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2033'!V18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2033'!B19+'Россия 2033'!D19+('Россия 2033'!C19+'Россия 2033'!F19+'Россия 2033'!G19)+(0.35*LN(1+0.6*'Ход 2033'!B25)*POWER(MAX(0,1-'Россия 2033'!I19/10),0.7))))</f>
        <v>9</v>
      </c>
      <c r="C19" s="12">
        <f>MIN(1,'Россия 2033'!C19+'Россия 2033'!F19+(0.08*LN(1+0.5*'Ход 2033'!C25)*MAX(0,1-('Россия 2033'!C19+'Россия 2033'!F19))))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9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2033'!V19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2033'!B20+'Россия 2033'!D20+('Россия 2033'!C20+'Россия 2033'!F20+'Россия 2033'!G20)+(0.35*LN(1+0.6*'Ход 2033'!B26)*POWER(MAX(0,1-'Россия 2033'!I20/10),0.7))))</f>
        <v>10</v>
      </c>
      <c r="C20" s="12">
        <f>MIN(1,'Россия 2033'!C20+'Россия 2033'!F20+(0.08*LN(1+0.5*'Ход 2033'!C26)*MAX(0,1-('Россия 2033'!C20+'Россия 2033'!F20))))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2033'!V20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2033'!B21+'Россия 2033'!D21+('Россия 2033'!C21+'Россия 2033'!F21+'Россия 2033'!G21)+(0.35*LN(1+0.6*'Ход 2033'!B27)*POWER(MAX(0,1-'Россия 2033'!I21/10),0.7))))</f>
        <v>9.8</v>
      </c>
      <c r="C21" s="12">
        <f>MIN(1,'Россия 2033'!C21+'Россия 2033'!F21+(0.08*LN(1+0.5*'Ход 2033'!C27)*MAX(0,1-('Россия 2033'!C21+'Россия 2033'!F21))))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9.8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2033'!V21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2033'!B22+'Россия 2033'!D22+('Россия 2033'!C22+'Россия 2033'!F22+'Россия 2033'!G22)+(0.35*LN(1+0.6*'Ход 2033'!B28)*POWER(MAX(0,1-'Россия 2033'!I22/10),0.7))))</f>
        <v>10</v>
      </c>
      <c r="C22" s="12">
        <f>MIN(1,'Россия 2033'!C22+'Россия 2033'!F22+(0.08*LN(1+0.5*'Ход 2033'!C28)*MAX(0,1-('Россия 2033'!C22+'Россия 2033'!F22))))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2033'!V22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2033'!B23+'Россия 2033'!D23+('Россия 2033'!C23+'Россия 2033'!F23+'Россия 2033'!G23)+(0.35*LN(1+0.6*'Ход 2033'!B29)*POWER(MAX(0,1-'Россия 2033'!I23/10),0.7))))</f>
        <v>10</v>
      </c>
      <c r="C23" s="12">
        <f>MIN(1,'Россия 2033'!C23+'Россия 2033'!F23+(0.08*LN(1+0.5*'Ход 2033'!C29)*MAX(0,1-('Россия 2033'!C23+'Россия 2033'!F23))))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2033'!V23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2033'!V24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2033'!B25+'Россия 2033'!D25+('Россия 2033'!C25+'Россия 2033'!F25+'Россия 2033'!G25)+(0.35*LN(1+0.6*'Ход 2033'!B31)*POWER(MAX(0,1-'Россия 2033'!I25/10),0.7))))</f>
        <v>10</v>
      </c>
      <c r="C25" s="12">
        <f>MIN(1,'Россия 2033'!C25+'Россия 2033'!F25+(0.08*LN(1+0.5*'Ход 2033'!C31)*MAX(0,1-('Россия 2033'!C25+'Россия 2033'!F25))))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2033'!V25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2033'!B26+'Россия 2033'!D26+('Россия 2033'!C26+'Россия 2033'!F26+'Россия 2033'!G26)+(0.35*LN(1+0.6*'Ход 2033'!B32)*POWER(MAX(0,1-'Россия 2033'!I26/10),0.7))))</f>
        <v>9.31419492</v>
      </c>
      <c r="C26" s="12">
        <f>MIN(1,'Россия 2033'!C26+'Россия 2033'!F26+(0.08*LN(1+0.5*'Ход 2033'!C32)*MAX(0,1-('Россия 2033'!C26+'Россия 2033'!F26))))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9.31419492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2033'!V26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2033'!B27+'Россия 2033'!D27+('Россия 2033'!C27+'Россия 2033'!F27+'Россия 2033'!G27)+(0.35*LN(1+0.6*'Ход 2033'!B33)*POWER(MAX(0,1-'Россия 2033'!I27/10),0.7))))</f>
        <v>9.395507706</v>
      </c>
      <c r="C27" s="12">
        <f>MIN(1,'Россия 2033'!C27+'Россия 2033'!F27+(0.08*LN(1+0.5*'Ход 2033'!C33)*MAX(0,1-('Россия 2033'!C27+'Россия 2033'!F27))))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9.395507706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2033'!B28+'Россия 2033'!D28+('Россия 2033'!C28+'Россия 2033'!F28+'Россия 2033'!G28)+(0.35*LN(1+0.6*'Ход 2033'!B34)*POWER(MAX(0,1-'Россия 2033'!I28/10),0.7))))</f>
        <v>10</v>
      </c>
      <c r="C28" s="12">
        <f>MIN(1,'Россия 2033'!C28+'Россия 2033'!F28+(0.08*LN(1+0.5*'Ход 2033'!C34)*MAX(0,1-('Россия 2033'!C28+'Россия 2033'!F28))))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2033'!B29+'Россия 2033'!D29+('Россия 2033'!C29+'Россия 2033'!F29+'Россия 2033'!G29)+(0.35*LN(1+0.6*'Ход 2033'!B35)*POWER(MAX(0,1-'Россия 2033'!I29/10),0.7))))</f>
        <v>8.7797556</v>
      </c>
      <c r="C29" s="12">
        <f>MIN(1,'Россия 2033'!C29+'Россия 2033'!F29+(0.08*LN(1+0.5*'Ход 2033'!C35)*MAX(0,1-('Россия 2033'!C29+'Россия 2033'!F29))))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8.7797556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2033'!B30+'Россия 2033'!D30+('Россия 2033'!C30+'Россия 2033'!F30+'Россия 2033'!G30)+(0.35*LN(1+0.6*'Ход 2033'!B36)*POWER(MAX(0,1-'Россия 2033'!I30/10),0.7))))</f>
        <v>7.6</v>
      </c>
      <c r="C30" s="12">
        <f>MIN(1,'Россия 2033'!C30+'Россия 2033'!F30+(0.08*LN(1+0.5*'Ход 2033'!C36)*MAX(0,1-('Россия 2033'!C30+'Россия 2033'!F30))))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7.6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2033'!B31+'Россия 2033'!D31+('Россия 2033'!C31+'Россия 2033'!F31+'Россия 2033'!G31)+(0.35*LN(1+0.6*'Ход 2033'!B37)*POWER(MAX(0,1-'Россия 2033'!I31/10),0.7))))</f>
        <v>5.8</v>
      </c>
      <c r="C31" s="12">
        <f>MIN(1,'Россия 2033'!C31+'Россия 2033'!F31+(0.08*LN(1+0.5*'Ход 2033'!C37)*MAX(0,1-('Россия 2033'!C31+'Россия 2033'!F31))))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5.8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2033'!B32+'Россия 2033'!D32+('Россия 2033'!C32+'Россия 2033'!F32+'Россия 2033'!G32)+(0.35*LN(1+0.6*'Ход 2033'!B38)*POWER(MAX(0,1-'Россия 2033'!I32/10),0.7))))</f>
        <v>9.8</v>
      </c>
      <c r="C32" s="12">
        <f>MIN(1,'Россия 2033'!C32+'Россия 2033'!F32+(0.08*LN(1+0.5*'Ход 2033'!C38)*MAX(0,1-('Россия 2033'!C32+'Россия 2033'!F32))))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9.8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2033'!B34+'Россия 2033'!D34+('Россия 2033'!C34+'Россия 2033'!F34+'Россия 2033'!G34)+(0.35*LN(1+0.6*'Ход 2033'!B40)*POWER(MAX(0,1-'Россия 2033'!I34/10),0.7))))</f>
        <v>9.836315173</v>
      </c>
      <c r="C34" s="12">
        <f>MIN(1,'Россия 2033'!C34+'Россия 2033'!F34+(0.08*LN(1+0.5*'Ход 2033'!C40)*MAX(0,1-('Россия 2033'!C34+'Россия 2033'!F34))))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9.836315173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2033'!B35+'Россия 2033'!D35+('Россия 2033'!C35+'Россия 2033'!F35+'Россия 2033'!G35)+(0.35*LN(1+0.6*'Ход 2033'!B41)*POWER(MAX(0,1-'Россия 2033'!I35/10),0.7))))</f>
        <v>9.431664729</v>
      </c>
      <c r="C35" s="12">
        <f>MIN(1,'Россия 2033'!C35+'Россия 2033'!F35+(0.08*LN(1+0.5*'Ход 2033'!C41)*MAX(0,1-('Россия 2033'!C35+'Россия 2033'!F35))))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9.431664729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2033'!B36+'Россия 2033'!D36+('Россия 2033'!C36+'Россия 2033'!F36+'Россия 2033'!G36)+(0.35*LN(1+0.6*'Ход 2033'!B42)*POWER(MAX(0,1-'Россия 2033'!I36/10),0.7))))</f>
        <v>10</v>
      </c>
      <c r="C36" s="12">
        <f>MIN(1,'Россия 2033'!C36+'Россия 2033'!F36+(0.08*LN(1+0.5*'Ход 2033'!C42)*MAX(0,1-('Россия 2033'!C36+'Россия 2033'!F36))))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2033'!B37+'Россия 2033'!D37+('Россия 2033'!C37+'Россия 2033'!F37+'Россия 2033'!G37)+(0.35*LN(1+0.6*'Ход 2033'!B43)*POWER(MAX(0,1-'Россия 2033'!I37/10),0.7))))</f>
        <v>8.4</v>
      </c>
      <c r="C37" s="12">
        <f>MIN(1,'Россия 2033'!C37+'Россия 2033'!F37+(0.08*LN(1+0.5*'Ход 2033'!C43)*MAX(0,1-('Россия 2033'!C37+'Россия 2033'!F37))))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8.4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2033'!B38+'Россия 2033'!D38+('Россия 2033'!C38+'Россия 2033'!F38+'Россия 2033'!G38)+(0.35*LN(1+0.6*'Ход 2033'!B44)*POWER(MAX(0,1-'Россия 2033'!I38/10),0.7))))</f>
        <v>8</v>
      </c>
      <c r="C38" s="12">
        <f>MIN(1,'Россия 2033'!C38+'Россия 2033'!F38+(0.08*LN(1+0.5*'Ход 2033'!C44)*MAX(0,1-('Россия 2033'!C38+'Россия 2033'!F38))))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8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2033'!B39+'Россия 2033'!D39+('Россия 2033'!C39+'Россия 2033'!F39+'Россия 2033'!G39)+(0.35*LN(1+0.6*'Ход 2033'!B45)*POWER(MAX(0,1-'Россия 2033'!I39/10),0.7))))</f>
        <v>7.6</v>
      </c>
      <c r="C39" s="12">
        <f>MIN(1,'Россия 2033'!C39+'Россия 2033'!F39+(0.08*LN(1+0.5*'Ход 2033'!C45)*MAX(0,1-('Россия 2033'!C39+'Россия 2033'!F39))))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7.6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2033'!B40+'Россия 2033'!D40+('Россия 2033'!C40+'Россия 2033'!F40+'Россия 2033'!G40)+(0.35*LN(1+0.6*'Ход 2033'!B46)*POWER(MAX(0,1-'Россия 2033'!I40/10),0.7))))</f>
        <v>7.8</v>
      </c>
      <c r="C40" s="12">
        <f>MIN(1,'Россия 2033'!C40+'Россия 2033'!F40+(0.08*LN(1+0.5*'Ход 2033'!C46)*MAX(0,1-('Россия 2033'!C40+'Россия 2033'!F40))))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7.8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2033'!B41+'Россия 2033'!D41+('Россия 2033'!C41+'Россия 2033'!F41+'Россия 2033'!G41)+(0.35*LN(1+0.6*'Ход 2033'!B47)*POWER(MAX(0,1-'Россия 2033'!I41/10),0.7))))</f>
        <v>9</v>
      </c>
      <c r="C41" s="12">
        <f>MIN(1,'Россия 2033'!C41+'Россия 2033'!F41+(0.08*LN(1+0.5*'Ход 2033'!C47)*MAX(0,1-('Россия 2033'!C41+'Россия 2033'!F41))))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9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2033'!B42+'Россия 2033'!D42+('Россия 2033'!C42+'Россия 2033'!F42+'Россия 2033'!G42)+(0.35*LN(1+0.6*'Ход 2033'!B48)*POWER(MAX(0,1-'Россия 2033'!I42/10),0.7))))</f>
        <v>9.6</v>
      </c>
      <c r="C42" s="12">
        <f>MIN(1,'Россия 2033'!C42+'Россия 2033'!F42+(0.08*LN(1+0.5*'Ход 2033'!C48)*MAX(0,1-('Россия 2033'!C42+'Россия 2033'!F42))))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9.6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2033'!B44+'Россия 2033'!D44+('Россия 2033'!C44+'Россия 2033'!F44+'Россия 2033'!G44)+(0.35*LN(1+0.6*'Ход 2033'!B50)*POWER(MAX(0,1-'Россия 2033'!I44/10),0.7))))</f>
        <v>8.16123781</v>
      </c>
      <c r="C44" s="12">
        <f>MIN(1,'Россия 2033'!C44+'Россия 2033'!F44+(0.08*LN(1+0.5*'Ход 2033'!C50)*MAX(0,1-('Россия 2033'!C44+'Россия 2033'!F44))))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8.16123781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2033'!B45+'Россия 2033'!D45+('Россия 2033'!C45+'Россия 2033'!F45+'Россия 2033'!G45)+(0.35*LN(1+0.6*'Ход 2033'!B51)*POWER(MAX(0,1-'Россия 2033'!I45/10),0.7))))</f>
        <v>8.4</v>
      </c>
      <c r="C45" s="12">
        <f>MIN(1,'Россия 2033'!C45+'Россия 2033'!F45+(0.08*LN(1+0.5*'Ход 2033'!C51)*MAX(0,1-('Россия 2033'!C45+'Россия 2033'!F45))))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8.4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2033'!B46+'Россия 2033'!D46+('Россия 2033'!C46+'Россия 2033'!F46+'Россия 2033'!G46)+(0.35*LN(1+0.6*'Ход 2033'!B52)*POWER(MAX(0,1-'Россия 2033'!I46/10),0.7))))</f>
        <v>5.891721311</v>
      </c>
      <c r="C46" s="12">
        <f>MIN(1,'Россия 2033'!C46+'Россия 2033'!F46+(0.08*LN(1+0.5*'Ход 2033'!C52)*MAX(0,1-('Россия 2033'!C46+'Россия 2033'!F46))))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5.891721311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2033'!B47+'Россия 2033'!D47+('Россия 2033'!C47+'Россия 2033'!F47+'Россия 2033'!G47)+(0.35*LN(1+0.6*'Ход 2033'!B53)*POWER(MAX(0,1-'Россия 2033'!I47/10),0.7))))</f>
        <v>4.849671866</v>
      </c>
      <c r="C47" s="12">
        <f>MIN(1,'Россия 2033'!C47+'Россия 2033'!F47+(0.08*LN(1+0.5*'Ход 2033'!C53)*MAX(0,1-('Россия 2033'!C47+'Россия 2033'!F47))))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4.849671866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2033'!B48+'Россия 2033'!D48+('Россия 2033'!C48+'Россия 2033'!F48+'Россия 2033'!G48)+(0.35*LN(1+0.6*'Ход 2033'!B54)*POWER(MAX(0,1-'Россия 2033'!I48/10),0.7))))</f>
        <v>8.21517339</v>
      </c>
      <c r="C48" s="12">
        <f>MIN(1,'Россия 2033'!C48+'Россия 2033'!F48+(0.08*LN(1+0.5*'Ход 2033'!C54)*MAX(0,1-('Россия 2033'!C48+'Россия 2033'!F48))))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8.21517339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2033'!B49+'Россия 2033'!D49+('Россия 2033'!C49+'Россия 2033'!F49+'Россия 2033'!G49)+(0.35*LN(1+0.6*'Ход 2033'!B55)*POWER(MAX(0,1-'Россия 2033'!I49/10),0.7))))</f>
        <v>9.4</v>
      </c>
      <c r="C49" s="12">
        <f>MIN(1,'Россия 2033'!C49+'Россия 2033'!F49+(0.08*LN(1+0.5*'Ход 2033'!C55)*MAX(0,1-('Россия 2033'!C49+'Россия 2033'!F49))))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9.4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2033'!B50+'Россия 2033'!D50+('Россия 2033'!C50+'Россия 2033'!F50+'Россия 2033'!G50)+(0.35*LN(1+0.6*'Ход 2033'!B56)*POWER(MAX(0,1-'Россия 2033'!I50/10),0.7))))</f>
        <v>9.8</v>
      </c>
      <c r="C50" s="12">
        <f>MIN(1,'Россия 2033'!C50+'Россия 2033'!F50+(0.08*LN(1+0.5*'Ход 2033'!C56)*MAX(0,1-('Россия 2033'!C50+'Россия 2033'!F50))))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9.8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2033'!B51+'Россия 2033'!D51+('Россия 2033'!C51+'Россия 2033'!F51+'Россия 2033'!G51)+(0.35*LN(1+0.6*'Ход 2033'!B57)*POWER(MAX(0,1-'Россия 2033'!I51/10),0.7))))</f>
        <v>8.4</v>
      </c>
      <c r="C51" s="12">
        <f>MIN(1,'Россия 2033'!C51+'Россия 2033'!F51+(0.08*LN(1+0.5*'Ход 2033'!C57)*MAX(0,1-('Россия 2033'!C51+'Россия 2033'!F51))))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8.4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2033'!B53+'Россия 2033'!D53+('Россия 2033'!C53+'Россия 2033'!F53+'Россия 2033'!G53)+(0.35*LN(1+0.6*'Ход 2033'!B59)*POWER(MAX(0,1-'Россия 2033'!I53/10),0.7))))</f>
        <v>8.45</v>
      </c>
      <c r="C53" s="12">
        <f>MIN(1,'Россия 2033'!C53+'Россия 2033'!F53+(0.08*LN(1+0.5*'Ход 2033'!C59)*MAX(0,1-('Россия 2033'!C53+'Россия 2033'!F53))))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8.45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2033'!B54+'Россия 2033'!D54+('Россия 2033'!C54+'Россия 2033'!F54+'Россия 2033'!G54)+(0.35*LN(1+0.6*'Ход 2033'!B60)*POWER(MAX(0,1-'Россия 2033'!I54/10),0.7))))</f>
        <v>7.2</v>
      </c>
      <c r="C54" s="12">
        <f>MIN(1,'Россия 2033'!C54+'Россия 2033'!F54+(0.08*LN(1+0.5*'Ход 2033'!C60)*MAX(0,1-('Россия 2033'!C54+'Россия 2033'!F54))))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7.2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2033'!B55+'Россия 2033'!D55+('Россия 2033'!C55+'Россия 2033'!F55+'Россия 2033'!G55)+(0.35*LN(1+0.6*'Ход 2033'!B61)*POWER(MAX(0,1-'Россия 2033'!I55/10),0.7))))</f>
        <v>6.2</v>
      </c>
      <c r="C55" s="12">
        <f>MIN(1,'Россия 2033'!C55+'Россия 2033'!F55+(0.08*LN(1+0.5*'Ход 2033'!C61)*MAX(0,1-('Россия 2033'!C55+'Россия 2033'!F55))))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6.2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395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2034'!U6</f>
        <v>96.93481776</v>
      </c>
      <c r="C6" s="12"/>
      <c r="D6" s="12"/>
      <c r="E6" s="12" t="s">
        <v>54</v>
      </c>
      <c r="F6" s="19">
        <f>'Россия 2034'!K6</f>
        <v>79.24275403</v>
      </c>
      <c r="G6" s="12"/>
      <c r="H6" s="12"/>
      <c r="I6" s="12" t="s">
        <v>54</v>
      </c>
      <c r="J6" s="19">
        <f>'Россия 2034'!N6</f>
        <v>75.03620424</v>
      </c>
      <c r="K6" s="12"/>
      <c r="L6" s="12"/>
      <c r="M6" s="12" t="s">
        <v>54</v>
      </c>
      <c r="N6" s="19">
        <f>'Россия 2034'!Q6</f>
        <v>75.41849225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96.93481776</v>
      </c>
      <c r="C8" s="12" t="str">
        <f>IF(B8&lt;0,"ПРЕВЫШЕНИЕ","OK")</f>
        <v>OK</v>
      </c>
      <c r="D8" s="12"/>
      <c r="E8" s="12" t="s">
        <v>91</v>
      </c>
      <c r="F8" s="19">
        <f>F6-F7</f>
        <v>79.24275403</v>
      </c>
      <c r="G8" s="12" t="str">
        <f>IF(F8&lt;0,"ПРЕВЫШЕНИЕ","OK")</f>
        <v>OK</v>
      </c>
      <c r="H8" s="12"/>
      <c r="I8" s="12" t="s">
        <v>91</v>
      </c>
      <c r="J8" s="19">
        <f>J6-J7</f>
        <v>75.03620424</v>
      </c>
      <c r="K8" s="12" t="str">
        <f>IF(J8&lt;0,"ПРЕВЫШЕНИЕ","OK")</f>
        <v>OK</v>
      </c>
      <c r="L8" s="12"/>
      <c r="M8" s="12" t="s">
        <v>91</v>
      </c>
      <c r="N8" s="19">
        <f>N6-N7</f>
        <v>75.41849225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2034'!V11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95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2034'!V12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92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2034'!V13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88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2034'!V14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41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2034'!V15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48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2034'!V16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16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2034'!V17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43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2034'!V18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61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2034'!V19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91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2034'!V20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69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2034'!V21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57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2034'!V22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25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2034'!V23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32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2034'!V24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38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2034'!V25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69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2034'!V26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21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IF(G29="","",VLOOKUP(G29,'Технологии'!$A$11:$BF$50,52,FALSE))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IF(G30="","",VLOOKUP(G30,'Технологии'!$A$11:$BF$50,52,FALSE))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IF(G31="","",VLOOKUP(G31,'Технологии'!$A$11:$BF$50,52,FALSE))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IF(G32="","",VLOOKUP(G32,'Технологии'!$A$11:$BF$50,52,FALSE))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IF(G33="","",VLOOKUP(G33,'Технологии'!$A$11:$BF$50,52,FALSE))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IF(G34="","",VLOOKUP(G34,'Технологии'!$A$11:$BF$50,52,FALSE))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IF(G35="","",VLOOKUP(G35,'Технологии'!$A$11:$BF$50,52,FALSE))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IF(G36="","",VLOOKUP(G36,'Технологии'!$A$11:$BF$50,52,FALSE))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IF(G37="","",VLOOKUP(G37,'Технологии'!$A$11:$BF$50,52,FALSE))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IF(G38="","",VLOOKUP(G38,'Технологии'!$A$11:$BF$50,52,FALSE))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80.25014063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75.85233192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76.28424347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97.63119527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2034'!B8+'Россия 2034'!D8+('Россия 2034'!C8+'Россия 2034'!F8+'Россия 2034'!G8)+(0.35*LN(1+0.6*'Ход 2034'!B14)*POWER(MAX(0,1-'Россия 2034'!I8/10),0.7))))</f>
        <v>10</v>
      </c>
      <c r="C8" s="12">
        <f>MIN(1,'Россия 2034'!C8+'Россия 2034'!F8+(0.08*LN(1+0.5*'Ход 2034'!C14)*MAX(0,1-('Россия 2034'!C8+'Россия 2034'!F8))))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2034'!B9+'Россия 2034'!D9+('Россия 2034'!C9+'Россия 2034'!F9+'Россия 2034'!G9)+(0.35*LN(1+0.6*'Ход 2034'!B15)*POWER(MAX(0,1-'Россия 2034'!I9/10),0.7))))</f>
        <v>7.44141464</v>
      </c>
      <c r="C9" s="12">
        <f>MIN(1,'Россия 2034'!C9+'Россия 2034'!F9+(0.08*LN(1+0.5*'Ход 2034'!C15)*MAX(0,1-('Россия 2034'!C9+'Россия 2034'!F9))))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7.44141464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2034'!B10+'Россия 2034'!D10+('Россия 2034'!C10+'Россия 2034'!F10+'Россия 2034'!G10)+(0.35*LN(1+0.6*'Ход 2034'!B16)*POWER(MAX(0,1-'Россия 2034'!I10/10),0.7))))</f>
        <v>10</v>
      </c>
      <c r="C10" s="12">
        <f>MIN(1,'Россия 2034'!C10+'Россия 2034'!F10+(0.08*LN(1+0.5*'Ход 2034'!C16)*MAX(0,1-('Россия 2034'!C10+'Россия 2034'!F10))))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2034'!B11+'Россия 2034'!D11+('Россия 2034'!C11+'Россия 2034'!F11+'Россия 2034'!G11)+(0.35*LN(1+0.6*'Ход 2034'!B17)*POWER(MAX(0,1-'Россия 2034'!I11/10),0.7))))</f>
        <v>9.8017683</v>
      </c>
      <c r="C11" s="12">
        <f>MIN(1,'Россия 2034'!C11+'Россия 2034'!F11+(0.08*LN(1+0.5*'Ход 2034'!C17)*MAX(0,1-('Россия 2034'!C11+'Россия 2034'!F11))))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9.8017683</v>
      </c>
      <c r="J11" s="12"/>
      <c r="K11" s="12" t="s">
        <v>110</v>
      </c>
      <c r="L11" s="12">
        <f>MAX(1,MIN(10,'Россия 2034'!L11+'Россия 2034'!N11+('Россия 2034'!M11+'Россия 2034'!P11+'Россия 2034'!Q11)))</f>
        <v>10</v>
      </c>
      <c r="M11" s="12">
        <f>MIN(1,'Россия 2034'!M11+'Россия 2034'!P11+(0.1*LN(1+0.5*'Ход 2034'!H13)*POWER(MAX(0,1-'Россия 2034'!S11/10),0.8)))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10</v>
      </c>
      <c r="T11" s="12"/>
      <c r="U11" s="12" t="s">
        <v>111</v>
      </c>
      <c r="V11" s="25">
        <f>'Россия 2034'!V11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2034'!B12+'Россия 2034'!D12+('Россия 2034'!C12+'Россия 2034'!F12+'Россия 2034'!G12)+(0.35*LN(1+0.6*'Ход 2034'!B18)*POWER(MAX(0,1-'Россия 2034'!I12/10),0.7))))</f>
        <v>9</v>
      </c>
      <c r="C12" s="12">
        <f>MIN(1,'Россия 2034'!C12+'Россия 2034'!F12+(0.08*LN(1+0.5*'Ход 2034'!C18)*MAX(0,1-('Россия 2034'!C12+'Россия 2034'!F12))))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2034'!L12+'Россия 2034'!N12+('Россия 2034'!M12+'Россия 2034'!P12+'Россия 2034'!Q12)))</f>
        <v>10</v>
      </c>
      <c r="M12" s="12">
        <f>MIN(1,'Россия 2034'!M12+'Россия 2034'!P12+(0.1*LN(1+0.5*'Ход 2034'!H14)*POWER(MAX(0,1-'Россия 2034'!S12/10),0.8)))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10</v>
      </c>
      <c r="T12" s="12"/>
      <c r="U12" s="12" t="s">
        <v>122</v>
      </c>
      <c r="V12" s="25">
        <f>'Россия 2034'!V12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2034'!B13+'Россия 2034'!D13+('Россия 2034'!C13+'Россия 2034'!F13+'Россия 2034'!G13)+(0.35*LN(1+0.6*'Ход 2034'!B19)*POWER(MAX(0,1-'Россия 2034'!I13/10),0.7))))</f>
        <v>5.851326225</v>
      </c>
      <c r="C13" s="12">
        <f>MIN(1,'Россия 2034'!C13+'Россия 2034'!F13+(0.08*LN(1+0.5*'Ход 2034'!C19)*MAX(0,1-('Россия 2034'!C13+'Россия 2034'!F13))))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5.851326225</v>
      </c>
      <c r="J13" s="12"/>
      <c r="K13" s="12" t="s">
        <v>127</v>
      </c>
      <c r="L13" s="12">
        <f>MAX(1,MIN(10,'Россия 2034'!L13+'Россия 2034'!N13+('Россия 2034'!M13+'Россия 2034'!P13+'Россия 2034'!Q13)))</f>
        <v>10</v>
      </c>
      <c r="M13" s="12">
        <f>MIN(1,'Россия 2034'!M13+'Россия 2034'!P13+(0.1*LN(1+0.5*'Ход 2034'!H15)*POWER(MAX(0,1-'Россия 2034'!S13/10),0.8)))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10</v>
      </c>
      <c r="T13" s="12"/>
      <c r="U13" s="12" t="s">
        <v>128</v>
      </c>
      <c r="V13" s="25">
        <f>'Россия 2034'!V13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2034'!B14+'Россия 2034'!D14+('Россия 2034'!C14+'Россия 2034'!F14+'Россия 2034'!G14)+(0.35*LN(1+0.6*'Ход 2034'!B20)*POWER(MAX(0,1-'Россия 2034'!I14/10),0.7))))</f>
        <v>6.775565547</v>
      </c>
      <c r="C14" s="12">
        <f>MIN(1,'Россия 2034'!C14+'Россия 2034'!F14+(0.08*LN(1+0.5*'Ход 2034'!C20)*MAX(0,1-('Россия 2034'!C14+'Россия 2034'!F14))))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6.775565547</v>
      </c>
      <c r="J14" s="12"/>
      <c r="K14" s="12" t="s">
        <v>131</v>
      </c>
      <c r="L14" s="12">
        <f>MAX(1,MIN(10,'Россия 2034'!L14+'Россия 2034'!N14+('Россия 2034'!M14+'Россия 2034'!P14+'Россия 2034'!Q14)))</f>
        <v>9.529728376</v>
      </c>
      <c r="M14" s="12">
        <f>MIN(1,'Россия 2034'!M14+'Россия 2034'!P14+(0.1*LN(1+0.5*'Ход 2034'!H16)*POWER(MAX(0,1-'Россия 2034'!S14/10),0.8)))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9.529728376</v>
      </c>
      <c r="T14" s="12"/>
      <c r="U14" s="12" t="s">
        <v>132</v>
      </c>
      <c r="V14" s="25">
        <f>'Россия 2034'!V14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2034'!B15+'Россия 2034'!D15+('Россия 2034'!C15+'Россия 2034'!F15+'Россия 2034'!G15)+(0.35*LN(1+0.6*'Ход 2034'!B21)*POWER(MAX(0,1-'Россия 2034'!I15/10),0.7))))</f>
        <v>10</v>
      </c>
      <c r="C15" s="12">
        <f>MIN(1,'Россия 2034'!C15+'Россия 2034'!F15+(0.08*LN(1+0.5*'Ход 2034'!C21)*MAX(0,1-('Россия 2034'!C15+'Россия 2034'!F15))))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10</v>
      </c>
      <c r="J15" s="12"/>
      <c r="K15" s="12" t="s">
        <v>135</v>
      </c>
      <c r="L15" s="12">
        <f>MAX(1,MIN(10,'Россия 2034'!L15+'Россия 2034'!N15+('Россия 2034'!M15+'Россия 2034'!P15+'Россия 2034'!Q15)))</f>
        <v>8.25</v>
      </c>
      <c r="M15" s="12">
        <f>MIN(1,'Россия 2034'!M15+'Россия 2034'!P15+(0.1*LN(1+0.5*'Ход 2034'!H17)*POWER(MAX(0,1-'Россия 2034'!S15/10),0.8)))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8.25</v>
      </c>
      <c r="T15" s="12"/>
      <c r="U15" s="12" t="s">
        <v>136</v>
      </c>
      <c r="V15" s="25">
        <f>'Россия 2034'!V15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2034'!B16+'Россия 2034'!D16+('Россия 2034'!C16+'Россия 2034'!F16+'Россия 2034'!G16)+(0.35*LN(1+0.6*'Ход 2034'!B22)*POWER(MAX(0,1-'Россия 2034'!I16/10),0.7))))</f>
        <v>10</v>
      </c>
      <c r="C16" s="12">
        <f>MIN(1,'Россия 2034'!C16+'Россия 2034'!F16+(0.08*LN(1+0.5*'Ход 2034'!C22)*MAX(0,1-('Россия 2034'!C16+'Россия 2034'!F16))))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2034'!L16+'Россия 2034'!N16+('Россия 2034'!M16+'Россия 2034'!P16+'Россия 2034'!Q16)))</f>
        <v>10</v>
      </c>
      <c r="M16" s="12">
        <f>MIN(1,'Россия 2034'!M16+'Россия 2034'!P16+(0.1*LN(1+0.5*'Ход 2034'!H18)*POWER(MAX(0,1-'Россия 2034'!S16/10),0.8)))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2034'!V16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2034'!B17+'Россия 2034'!D17+('Россия 2034'!C17+'Россия 2034'!F17+'Россия 2034'!G17)+(0.35*LN(1+0.6*'Ход 2034'!B23)*POWER(MAX(0,1-'Россия 2034'!I17/10),0.7))))</f>
        <v>9.09598566</v>
      </c>
      <c r="C17" s="12">
        <f>MIN(1,'Россия 2034'!C17+'Россия 2034'!F17+(0.08*LN(1+0.5*'Ход 2034'!C23)*MAX(0,1-('Россия 2034'!C17+'Россия 2034'!F17))))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9.09598566</v>
      </c>
      <c r="J17" s="12"/>
      <c r="K17" s="12" t="s">
        <v>148</v>
      </c>
      <c r="L17" s="12">
        <f>MAX(1,MIN(10,'Россия 2034'!L17+'Россия 2034'!N17+('Россия 2034'!M17+'Россия 2034'!P17+'Россия 2034'!Q17)))</f>
        <v>10</v>
      </c>
      <c r="M17" s="12">
        <f>MIN(1,'Россия 2034'!M17+'Россия 2034'!P17+(0.1*LN(1+0.5*'Ход 2034'!H19)*POWER(MAX(0,1-'Россия 2034'!S17/10),0.8)))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2034'!V17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2034'!L18+'Россия 2034'!N18+('Россия 2034'!M18+'Россия 2034'!P18+'Россия 2034'!Q18)))</f>
        <v>10</v>
      </c>
      <c r="M18" s="12">
        <f>MIN(1,'Россия 2034'!M18+'Россия 2034'!P18+(0.1*LN(1+0.5*'Ход 2034'!H20)*POWER(MAX(0,1-'Россия 2034'!S18/10),0.8)))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2034'!V18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2034'!B19+'Россия 2034'!D19+('Россия 2034'!C19+'Россия 2034'!F19+'Россия 2034'!G19)+(0.35*LN(1+0.6*'Ход 2034'!B25)*POWER(MAX(0,1-'Россия 2034'!I19/10),0.7))))</f>
        <v>9.25</v>
      </c>
      <c r="C19" s="12">
        <f>MIN(1,'Россия 2034'!C19+'Россия 2034'!F19+(0.08*LN(1+0.5*'Ход 2034'!C25)*MAX(0,1-('Россия 2034'!C19+'Россия 2034'!F19))))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9.25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2034'!V19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2034'!B20+'Россия 2034'!D20+('Россия 2034'!C20+'Россия 2034'!F20+'Россия 2034'!G20)+(0.35*LN(1+0.6*'Ход 2034'!B26)*POWER(MAX(0,1-'Россия 2034'!I20/10),0.7))))</f>
        <v>10</v>
      </c>
      <c r="C20" s="12">
        <f>MIN(1,'Россия 2034'!C20+'Россия 2034'!F20+(0.08*LN(1+0.5*'Ход 2034'!C26)*MAX(0,1-('Россия 2034'!C20+'Россия 2034'!F20))))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2034'!V20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2034'!B21+'Россия 2034'!D21+('Россия 2034'!C21+'Россия 2034'!F21+'Россия 2034'!G21)+(0.35*LN(1+0.6*'Ход 2034'!B27)*POWER(MAX(0,1-'Россия 2034'!I21/10),0.7))))</f>
        <v>10</v>
      </c>
      <c r="C21" s="12">
        <f>MIN(1,'Россия 2034'!C21+'Россия 2034'!F21+(0.08*LN(1+0.5*'Ход 2034'!C27)*MAX(0,1-('Россия 2034'!C21+'Россия 2034'!F21))))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10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2034'!V21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2034'!B22+'Россия 2034'!D22+('Россия 2034'!C22+'Россия 2034'!F22+'Россия 2034'!G22)+(0.35*LN(1+0.6*'Ход 2034'!B28)*POWER(MAX(0,1-'Россия 2034'!I22/10),0.7))))</f>
        <v>10</v>
      </c>
      <c r="C22" s="12">
        <f>MIN(1,'Россия 2034'!C22+'Россия 2034'!F22+(0.08*LN(1+0.5*'Ход 2034'!C28)*MAX(0,1-('Россия 2034'!C22+'Россия 2034'!F22))))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2034'!V22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2034'!B23+'Россия 2034'!D23+('Россия 2034'!C23+'Россия 2034'!F23+'Россия 2034'!G23)+(0.35*LN(1+0.6*'Ход 2034'!B29)*POWER(MAX(0,1-'Россия 2034'!I23/10),0.7))))</f>
        <v>10</v>
      </c>
      <c r="C23" s="12">
        <f>MIN(1,'Россия 2034'!C23+'Россия 2034'!F23+(0.08*LN(1+0.5*'Ход 2034'!C29)*MAX(0,1-('Россия 2034'!C23+'Россия 2034'!F23))))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2034'!V23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2034'!V24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2034'!B25+'Россия 2034'!D25+('Россия 2034'!C25+'Россия 2034'!F25+'Россия 2034'!G25)+(0.35*LN(1+0.6*'Ход 2034'!B31)*POWER(MAX(0,1-'Россия 2034'!I25/10),0.7))))</f>
        <v>10</v>
      </c>
      <c r="C25" s="12">
        <f>MIN(1,'Россия 2034'!C25+'Россия 2034'!F25+(0.08*LN(1+0.5*'Ход 2034'!C31)*MAX(0,1-('Россия 2034'!C25+'Россия 2034'!F25))))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2034'!V25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2034'!B26+'Россия 2034'!D26+('Россия 2034'!C26+'Россия 2034'!F26+'Россия 2034'!G26)+(0.35*LN(1+0.6*'Ход 2034'!B32)*POWER(MAX(0,1-'Россия 2034'!I26/10),0.7))))</f>
        <v>9.719275685</v>
      </c>
      <c r="C26" s="12">
        <f>MIN(1,'Россия 2034'!C26+'Россия 2034'!F26+(0.08*LN(1+0.5*'Ход 2034'!C32)*MAX(0,1-('Россия 2034'!C26+'Россия 2034'!F26))))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9.719275685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2034'!V26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2034'!B27+'Россия 2034'!D27+('Россия 2034'!C27+'Россия 2034'!F27+'Россия 2034'!G27)+(0.35*LN(1+0.6*'Ход 2034'!B33)*POWER(MAX(0,1-'Россия 2034'!I27/10),0.7))))</f>
        <v>9.687096537</v>
      </c>
      <c r="C27" s="12">
        <f>MIN(1,'Россия 2034'!C27+'Россия 2034'!F27+(0.08*LN(1+0.5*'Ход 2034'!C33)*MAX(0,1-('Россия 2034'!C27+'Россия 2034'!F27))))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9.687096537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2034'!B28+'Россия 2034'!D28+('Россия 2034'!C28+'Россия 2034'!F28+'Россия 2034'!G28)+(0.35*LN(1+0.6*'Ход 2034'!B34)*POWER(MAX(0,1-'Россия 2034'!I28/10),0.7))))</f>
        <v>10</v>
      </c>
      <c r="C28" s="12">
        <f>MIN(1,'Россия 2034'!C28+'Россия 2034'!F28+(0.08*LN(1+0.5*'Ход 2034'!C34)*MAX(0,1-('Россия 2034'!C28+'Россия 2034'!F28))))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2034'!B29+'Россия 2034'!D29+('Россия 2034'!C29+'Россия 2034'!F29+'Россия 2034'!G29)+(0.35*LN(1+0.6*'Ход 2034'!B35)*POWER(MAX(0,1-'Россия 2034'!I29/10),0.7))))</f>
        <v>9.118571842</v>
      </c>
      <c r="C29" s="12">
        <f>MIN(1,'Россия 2034'!C29+'Россия 2034'!F29+(0.08*LN(1+0.5*'Ход 2034'!C35)*MAX(0,1-('Россия 2034'!C29+'Россия 2034'!F29))))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9.118571842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2034'!B30+'Россия 2034'!D30+('Россия 2034'!C30+'Россия 2034'!F30+'Россия 2034'!G30)+(0.35*LN(1+0.6*'Ход 2034'!B36)*POWER(MAX(0,1-'Россия 2034'!I30/10),0.7))))</f>
        <v>7.8</v>
      </c>
      <c r="C30" s="12">
        <f>MIN(1,'Россия 2034'!C30+'Россия 2034'!F30+(0.08*LN(1+0.5*'Ход 2034'!C36)*MAX(0,1-('Россия 2034'!C30+'Россия 2034'!F30))))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7.8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2034'!B31+'Россия 2034'!D31+('Россия 2034'!C31+'Россия 2034'!F31+'Россия 2034'!G31)+(0.35*LN(1+0.6*'Ход 2034'!B37)*POWER(MAX(0,1-'Россия 2034'!I31/10),0.7))))</f>
        <v>5.9</v>
      </c>
      <c r="C31" s="12">
        <f>MIN(1,'Россия 2034'!C31+'Россия 2034'!F31+(0.08*LN(1+0.5*'Ход 2034'!C37)*MAX(0,1-('Россия 2034'!C31+'Россия 2034'!F31))))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5.9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2034'!B32+'Россия 2034'!D32+('Россия 2034'!C32+'Россия 2034'!F32+'Россия 2034'!G32)+(0.35*LN(1+0.6*'Ход 2034'!B38)*POWER(MAX(0,1-'Россия 2034'!I32/10),0.7))))</f>
        <v>9.9</v>
      </c>
      <c r="C32" s="12">
        <f>MIN(1,'Россия 2034'!C32+'Россия 2034'!F32+(0.08*LN(1+0.5*'Ход 2034'!C38)*MAX(0,1-('Россия 2034'!C32+'Россия 2034'!F32))))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9.9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2034'!B34+'Россия 2034'!D34+('Россия 2034'!C34+'Россия 2034'!F34+'Россия 2034'!G34)+(0.35*LN(1+0.6*'Ход 2034'!B40)*POWER(MAX(0,1-'Россия 2034'!I34/10),0.7))))</f>
        <v>10</v>
      </c>
      <c r="C34" s="12">
        <f>MIN(1,'Россия 2034'!C34+'Россия 2034'!F34+(0.08*LN(1+0.5*'Ход 2034'!C40)*MAX(0,1-('Россия 2034'!C34+'Россия 2034'!F34))))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2034'!B35+'Россия 2034'!D35+('Россия 2034'!C35+'Россия 2034'!F35+'Россия 2034'!G35)+(0.35*LN(1+0.6*'Ход 2034'!B41)*POWER(MAX(0,1-'Россия 2034'!I35/10),0.7))))</f>
        <v>9.481664729</v>
      </c>
      <c r="C35" s="12">
        <f>MIN(1,'Россия 2034'!C35+'Россия 2034'!F35+(0.08*LN(1+0.5*'Ход 2034'!C41)*MAX(0,1-('Россия 2034'!C35+'Россия 2034'!F35))))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9.481664729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2034'!B36+'Россия 2034'!D36+('Россия 2034'!C36+'Россия 2034'!F36+'Россия 2034'!G36)+(0.35*LN(1+0.6*'Ход 2034'!B42)*POWER(MAX(0,1-'Россия 2034'!I36/10),0.7))))</f>
        <v>10</v>
      </c>
      <c r="C36" s="12">
        <f>MIN(1,'Россия 2034'!C36+'Россия 2034'!F36+(0.08*LN(1+0.5*'Ход 2034'!C42)*MAX(0,1-('Россия 2034'!C36+'Россия 2034'!F36))))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2034'!B37+'Россия 2034'!D37+('Россия 2034'!C37+'Россия 2034'!F37+'Россия 2034'!G37)+(0.35*LN(1+0.6*'Ход 2034'!B43)*POWER(MAX(0,1-'Россия 2034'!I37/10),0.7))))</f>
        <v>8.7</v>
      </c>
      <c r="C37" s="12">
        <f>MIN(1,'Россия 2034'!C37+'Россия 2034'!F37+(0.08*LN(1+0.5*'Ход 2034'!C43)*MAX(0,1-('Россия 2034'!C37+'Россия 2034'!F37))))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8.7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2034'!B38+'Россия 2034'!D38+('Россия 2034'!C38+'Россия 2034'!F38+'Россия 2034'!G38)+(0.35*LN(1+0.6*'Ход 2034'!B44)*POWER(MAX(0,1-'Россия 2034'!I38/10),0.7))))</f>
        <v>8.25</v>
      </c>
      <c r="C38" s="12">
        <f>MIN(1,'Россия 2034'!C38+'Россия 2034'!F38+(0.08*LN(1+0.5*'Ход 2034'!C44)*MAX(0,1-('Россия 2034'!C38+'Россия 2034'!F38))))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8.25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2034'!B39+'Россия 2034'!D39+('Россия 2034'!C39+'Россия 2034'!F39+'Россия 2034'!G39)+(0.35*LN(1+0.6*'Ход 2034'!B45)*POWER(MAX(0,1-'Россия 2034'!I39/10),0.7))))</f>
        <v>7.8</v>
      </c>
      <c r="C39" s="12">
        <f>MIN(1,'Россия 2034'!C39+'Россия 2034'!F39+(0.08*LN(1+0.5*'Ход 2034'!C45)*MAX(0,1-('Россия 2034'!C39+'Россия 2034'!F39))))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7.8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2034'!B40+'Россия 2034'!D40+('Россия 2034'!C40+'Россия 2034'!F40+'Россия 2034'!G40)+(0.35*LN(1+0.6*'Ход 2034'!B46)*POWER(MAX(0,1-'Россия 2034'!I40/10),0.7))))</f>
        <v>7.9</v>
      </c>
      <c r="C40" s="12">
        <f>MIN(1,'Россия 2034'!C40+'Россия 2034'!F40+(0.08*LN(1+0.5*'Ход 2034'!C46)*MAX(0,1-('Россия 2034'!C40+'Россия 2034'!F40))))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7.9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2034'!B41+'Россия 2034'!D41+('Россия 2034'!C41+'Россия 2034'!F41+'Россия 2034'!G41)+(0.35*LN(1+0.6*'Ход 2034'!B47)*POWER(MAX(0,1-'Россия 2034'!I41/10),0.7))))</f>
        <v>9.25</v>
      </c>
      <c r="C41" s="12">
        <f>MIN(1,'Россия 2034'!C41+'Россия 2034'!F41+(0.08*LN(1+0.5*'Ход 2034'!C47)*MAX(0,1-('Россия 2034'!C41+'Россия 2034'!F41))))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9.25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2034'!B42+'Россия 2034'!D42+('Россия 2034'!C42+'Россия 2034'!F42+'Россия 2034'!G42)+(0.35*LN(1+0.6*'Ход 2034'!B48)*POWER(MAX(0,1-'Россия 2034'!I42/10),0.7))))</f>
        <v>9.8</v>
      </c>
      <c r="C42" s="12">
        <f>MIN(1,'Россия 2034'!C42+'Россия 2034'!F42+(0.08*LN(1+0.5*'Ход 2034'!C48)*MAX(0,1-('Россия 2034'!C42+'Россия 2034'!F42))))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9.8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2034'!B44+'Россия 2034'!D44+('Россия 2034'!C44+'Россия 2034'!F44+'Россия 2034'!G44)+(0.35*LN(1+0.6*'Ход 2034'!B50)*POWER(MAX(0,1-'Россия 2034'!I44/10),0.7))))</f>
        <v>8.44141464</v>
      </c>
      <c r="C44" s="12">
        <f>MIN(1,'Россия 2034'!C44+'Россия 2034'!F44+(0.08*LN(1+0.5*'Ход 2034'!C50)*MAX(0,1-('Россия 2034'!C44+'Россия 2034'!F44))))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8.44141464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2034'!B45+'Россия 2034'!D45+('Россия 2034'!C45+'Россия 2034'!F45+'Россия 2034'!G45)+(0.35*LN(1+0.6*'Ход 2034'!B51)*POWER(MAX(0,1-'Россия 2034'!I45/10),0.7))))</f>
        <v>8.7</v>
      </c>
      <c r="C45" s="12">
        <f>MIN(1,'Россия 2034'!C45+'Россия 2034'!F45+(0.08*LN(1+0.5*'Ход 2034'!C51)*MAX(0,1-('Россия 2034'!C45+'Россия 2034'!F45))))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8.7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2034'!B46+'Россия 2034'!D46+('Россия 2034'!C46+'Россия 2034'!F46+'Россия 2034'!G46)+(0.35*LN(1+0.6*'Ход 2034'!B52)*POWER(MAX(0,1-'Россия 2034'!I46/10),0.7))))</f>
        <v>5.991721311</v>
      </c>
      <c r="C46" s="12">
        <f>MIN(1,'Россия 2034'!C46+'Россия 2034'!F46+(0.08*LN(1+0.5*'Ход 2034'!C52)*MAX(0,1-('Россия 2034'!C46+'Россия 2034'!F46))))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5.991721311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2034'!B47+'Россия 2034'!D47+('Россия 2034'!C47+'Россия 2034'!F47+'Россия 2034'!G47)+(0.35*LN(1+0.6*'Ход 2034'!B53)*POWER(MAX(0,1-'Россия 2034'!I47/10),0.7))))</f>
        <v>5.085437105</v>
      </c>
      <c r="C47" s="12">
        <f>MIN(1,'Россия 2034'!C47+'Россия 2034'!F47+(0.08*LN(1+0.5*'Ход 2034'!C53)*MAX(0,1-('Россия 2034'!C47+'Россия 2034'!F47))))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5.085437105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2034'!B48+'Россия 2034'!D48+('Россия 2034'!C48+'Россия 2034'!F48+'Россия 2034'!G48)+(0.35*LN(1+0.6*'Ход 2034'!B54)*POWER(MAX(0,1-'Россия 2034'!I48/10),0.7))))</f>
        <v>8.452276891</v>
      </c>
      <c r="C48" s="12">
        <f>MIN(1,'Россия 2034'!C48+'Россия 2034'!F48+(0.08*LN(1+0.5*'Ход 2034'!C54)*MAX(0,1-('Россия 2034'!C48+'Россия 2034'!F48))))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8.452276891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2034'!B49+'Россия 2034'!D49+('Россия 2034'!C49+'Россия 2034'!F49+'Россия 2034'!G49)+(0.35*LN(1+0.6*'Ход 2034'!B55)*POWER(MAX(0,1-'Россия 2034'!I49/10),0.7))))</f>
        <v>9.7</v>
      </c>
      <c r="C49" s="12">
        <f>MIN(1,'Россия 2034'!C49+'Россия 2034'!F49+(0.08*LN(1+0.5*'Ход 2034'!C55)*MAX(0,1-('Россия 2034'!C49+'Россия 2034'!F49))))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9.7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2034'!B50+'Россия 2034'!D50+('Россия 2034'!C50+'Россия 2034'!F50+'Россия 2034'!G50)+(0.35*LN(1+0.6*'Ход 2034'!B56)*POWER(MAX(0,1-'Россия 2034'!I50/10),0.7))))</f>
        <v>9.9</v>
      </c>
      <c r="C50" s="12">
        <f>MIN(1,'Россия 2034'!C50+'Россия 2034'!F50+(0.08*LN(1+0.5*'Ход 2034'!C56)*MAX(0,1-('Россия 2034'!C50+'Россия 2034'!F50))))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9.9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2034'!B51+'Россия 2034'!D51+('Россия 2034'!C51+'Россия 2034'!F51+'Россия 2034'!G51)+(0.35*LN(1+0.6*'Ход 2034'!B57)*POWER(MAX(0,1-'Россия 2034'!I51/10),0.7))))</f>
        <v>8.7</v>
      </c>
      <c r="C51" s="12">
        <f>MIN(1,'Россия 2034'!C51+'Россия 2034'!F51+(0.08*LN(1+0.5*'Ход 2034'!C57)*MAX(0,1-('Россия 2034'!C51+'Россия 2034'!F51))))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8.7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2034'!B53+'Россия 2034'!D53+('Россия 2034'!C53+'Россия 2034'!F53+'Россия 2034'!G53)+(0.35*LN(1+0.6*'Ход 2034'!B59)*POWER(MAX(0,1-'Россия 2034'!I53/10),0.7))))</f>
        <v>8.75</v>
      </c>
      <c r="C53" s="12">
        <f>MIN(1,'Россия 2034'!C53+'Россия 2034'!F53+(0.08*LN(1+0.5*'Ход 2034'!C59)*MAX(0,1-('Россия 2034'!C53+'Россия 2034'!F53))))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8.75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2034'!B54+'Россия 2034'!D54+('Россия 2034'!C54+'Россия 2034'!F54+'Россия 2034'!G54)+(0.35*LN(1+0.6*'Ход 2034'!B60)*POWER(MAX(0,1-'Россия 2034'!I54/10),0.7))))</f>
        <v>7.35</v>
      </c>
      <c r="C54" s="12">
        <f>MIN(1,'Россия 2034'!C54+'Россия 2034'!F54+(0.08*LN(1+0.5*'Ход 2034'!C60)*MAX(0,1-('Россия 2034'!C54+'Россия 2034'!F54))))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7.35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2034'!B55+'Россия 2034'!D55+('Россия 2034'!C55+'Россия 2034'!F55+'Россия 2034'!G55)+(0.35*LN(1+0.6*'Ход 2034'!B61)*POWER(MAX(0,1-'Россия 2034'!I55/10),0.7))))</f>
        <v>6.35</v>
      </c>
      <c r="C55" s="12">
        <f>MIN(1,'Россия 2034'!C55+'Россия 2034'!F55+(0.08*LN(1+0.5*'Ход 2034'!C61)*MAX(0,1-('Россия 2034'!C55+'Россия 2034'!F55))))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6.35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397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2035'!U6</f>
        <v>97.63119527</v>
      </c>
      <c r="C6" s="12"/>
      <c r="D6" s="12"/>
      <c r="E6" s="12" t="s">
        <v>54</v>
      </c>
      <c r="F6" s="19">
        <f>'Россия 2035'!K6</f>
        <v>80.25014063</v>
      </c>
      <c r="G6" s="12"/>
      <c r="H6" s="12"/>
      <c r="I6" s="12" t="s">
        <v>54</v>
      </c>
      <c r="J6" s="19">
        <f>'Россия 2035'!N6</f>
        <v>75.85233192</v>
      </c>
      <c r="K6" s="12"/>
      <c r="L6" s="12"/>
      <c r="M6" s="12" t="s">
        <v>54</v>
      </c>
      <c r="N6" s="19">
        <f>'Россия 2035'!Q6</f>
        <v>76.28424347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97.63119527</v>
      </c>
      <c r="C8" s="12" t="str">
        <f>IF(B8&lt;0,"ПРЕВЫШЕНИЕ","OK")</f>
        <v>OK</v>
      </c>
      <c r="D8" s="12"/>
      <c r="E8" s="12" t="s">
        <v>91</v>
      </c>
      <c r="F8" s="19">
        <f>F6-F7</f>
        <v>80.25014063</v>
      </c>
      <c r="G8" s="12" t="str">
        <f>IF(F8&lt;0,"ПРЕВЫШЕНИЕ","OK")</f>
        <v>OK</v>
      </c>
      <c r="H8" s="12"/>
      <c r="I8" s="12" t="s">
        <v>91</v>
      </c>
      <c r="J8" s="19">
        <f>J6-J7</f>
        <v>75.85233192</v>
      </c>
      <c r="K8" s="12" t="str">
        <f>IF(J8&lt;0,"ПРЕВЫШЕНИЕ","OK")</f>
        <v>OK</v>
      </c>
      <c r="L8" s="12"/>
      <c r="M8" s="12" t="s">
        <v>91</v>
      </c>
      <c r="N8" s="19">
        <f>N6-N7</f>
        <v>76.28424347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2035'!V11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6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2035'!V12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51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2035'!V13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94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2035'!V14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3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2035'!V15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89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2035'!V16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8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2035'!V17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87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2035'!V18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48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2035'!V19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14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2035'!V20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95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2035'!V21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53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2035'!V22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85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2035'!V23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25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2035'!V24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59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2035'!V25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99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2035'!V26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51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IF(G29="","",VLOOKUP(G29,'Технологии'!$A$11:$BF$50,53,FALSE))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IF(G30="","",VLOOKUP(G30,'Технологии'!$A$11:$BF$50,53,FALSE))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IF(G31="","",VLOOKUP(G31,'Технологии'!$A$11:$BF$50,53,FALSE))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IF(G32="","",VLOOKUP(G32,'Технологии'!$A$11:$BF$50,53,FALSE))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IF(G33="","",VLOOKUP(G33,'Технологии'!$A$11:$BF$50,53,FALSE))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IF(G34="","",VLOOKUP(G34,'Технологии'!$A$11:$BF$50,53,FALSE))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IF(G35="","",VLOOKUP(G35,'Технологии'!$A$11:$BF$50,53,FALSE))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IF(G36="","",VLOOKUP(G36,'Технологии'!$A$11:$BF$50,53,FALSE))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IF(G37="","",VLOOKUP(G37,'Технологии'!$A$11:$BF$50,53,FALSE))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IF(G38="","",VLOOKUP(G38,'Технологии'!$A$11:$BF$50,53,FALSE))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398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81.10243538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76.23984943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76.91690207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98.01469421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2035'!B8+'Россия 2035'!D8+('Россия 2035'!C8+'Россия 2035'!F8+'Россия 2035'!G8)+(0.35*LN(1+0.6*'Ход 2035'!B14)*POWER(MAX(0,1-'Россия 2035'!I8/10),0.7))))</f>
        <v>10</v>
      </c>
      <c r="C8" s="12">
        <f>MIN(1,'Россия 2035'!C8+'Россия 2035'!F8+(0.08*LN(1+0.5*'Ход 2035'!C14)*MAX(0,1-('Россия 2035'!C8+'Россия 2035'!F8))))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2035'!B9+'Россия 2035'!D9+('Россия 2035'!C9+'Россия 2035'!F9+'Россия 2035'!G9)+(0.35*LN(1+0.6*'Ход 2035'!B15)*POWER(MAX(0,1-'Россия 2035'!I9/10),0.7))))</f>
        <v>7.72159147</v>
      </c>
      <c r="C9" s="12">
        <f>MIN(1,'Россия 2035'!C9+'Россия 2035'!F9+(0.08*LN(1+0.5*'Ход 2035'!C15)*MAX(0,1-('Россия 2035'!C9+'Россия 2035'!F9))))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7.72159147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2035'!B10+'Россия 2035'!D10+('Россия 2035'!C10+'Россия 2035'!F10+'Россия 2035'!G10)+(0.35*LN(1+0.6*'Ход 2035'!B16)*POWER(MAX(0,1-'Россия 2035'!I10/10),0.7))))</f>
        <v>10</v>
      </c>
      <c r="C10" s="12">
        <f>MIN(1,'Россия 2035'!C10+'Россия 2035'!F10+(0.08*LN(1+0.5*'Ход 2035'!C16)*MAX(0,1-('Россия 2035'!C10+'Россия 2035'!F10))))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2035'!B11+'Россия 2035'!D11+('Россия 2035'!C11+'Россия 2035'!F11+'Россия 2035'!G11)+(0.35*LN(1+0.6*'Ход 2035'!B17)*POWER(MAX(0,1-'Россия 2035'!I11/10),0.7))))</f>
        <v>9.901989337</v>
      </c>
      <c r="C11" s="12">
        <f>MIN(1,'Россия 2035'!C11+'Россия 2035'!F11+(0.08*LN(1+0.5*'Ход 2035'!C17)*MAX(0,1-('Россия 2035'!C11+'Россия 2035'!F11))))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9.901989337</v>
      </c>
      <c r="J11" s="12"/>
      <c r="K11" s="12" t="s">
        <v>110</v>
      </c>
      <c r="L11" s="12">
        <f>MAX(1,MIN(10,'Россия 2035'!L11+'Россия 2035'!N11+('Россия 2035'!M11+'Россия 2035'!P11+'Россия 2035'!Q11)))</f>
        <v>10</v>
      </c>
      <c r="M11" s="12">
        <f>MIN(1,'Россия 2035'!M11+'Россия 2035'!P11+(0.1*LN(1+0.5*'Ход 2035'!H13)*POWER(MAX(0,1-'Россия 2035'!S11/10),0.8)))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10</v>
      </c>
      <c r="T11" s="12"/>
      <c r="U11" s="12" t="s">
        <v>111</v>
      </c>
      <c r="V11" s="25">
        <f>'Россия 2035'!V11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2035'!B12+'Россия 2035'!D12+('Россия 2035'!C12+'Россия 2035'!F12+'Россия 2035'!G12)+(0.35*LN(1+0.6*'Ход 2035'!B18)*POWER(MAX(0,1-'Россия 2035'!I12/10),0.7))))</f>
        <v>9</v>
      </c>
      <c r="C12" s="12">
        <f>MIN(1,'Россия 2035'!C12+'Россия 2035'!F12+(0.08*LN(1+0.5*'Ход 2035'!C18)*MAX(0,1-('Россия 2035'!C12+'Россия 2035'!F12))))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2035'!L12+'Россия 2035'!N12+('Россия 2035'!M12+'Россия 2035'!P12+'Россия 2035'!Q12)))</f>
        <v>10</v>
      </c>
      <c r="M12" s="12">
        <f>MIN(1,'Россия 2035'!M12+'Россия 2035'!P12+(0.1*LN(1+0.5*'Ход 2035'!H14)*POWER(MAX(0,1-'Россия 2035'!S12/10),0.8)))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10</v>
      </c>
      <c r="T12" s="12"/>
      <c r="U12" s="12" t="s">
        <v>122</v>
      </c>
      <c r="V12" s="25">
        <f>'Россия 2035'!V12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2035'!B13+'Россия 2035'!D13+('Россия 2035'!C13+'Россия 2035'!F13+'Россия 2035'!G13)+(0.35*LN(1+0.6*'Ход 2035'!B19)*POWER(MAX(0,1-'Россия 2035'!I13/10),0.7))))</f>
        <v>6.176492003</v>
      </c>
      <c r="C13" s="12">
        <f>MIN(1,'Россия 2035'!C13+'Россия 2035'!F13+(0.08*LN(1+0.5*'Ход 2035'!C19)*MAX(0,1-('Россия 2035'!C13+'Россия 2035'!F13))))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6.176492003</v>
      </c>
      <c r="J13" s="12"/>
      <c r="K13" s="12" t="s">
        <v>127</v>
      </c>
      <c r="L13" s="12">
        <f>MAX(1,MIN(10,'Россия 2035'!L13+'Россия 2035'!N13+('Россия 2035'!M13+'Россия 2035'!P13+'Россия 2035'!Q13)))</f>
        <v>10</v>
      </c>
      <c r="M13" s="12">
        <f>MIN(1,'Россия 2035'!M13+'Россия 2035'!P13+(0.1*LN(1+0.5*'Ход 2035'!H15)*POWER(MAX(0,1-'Россия 2035'!S13/10),0.8)))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10</v>
      </c>
      <c r="T13" s="12"/>
      <c r="U13" s="12" t="s">
        <v>128</v>
      </c>
      <c r="V13" s="25">
        <f>'Россия 2035'!V13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2035'!B14+'Россия 2035'!D14+('Россия 2035'!C14+'Россия 2035'!F14+'Россия 2035'!G14)+(0.35*LN(1+0.6*'Ход 2035'!B20)*POWER(MAX(0,1-'Россия 2035'!I14/10),0.7))))</f>
        <v>7.178477504</v>
      </c>
      <c r="C14" s="12">
        <f>MIN(1,'Россия 2035'!C14+'Россия 2035'!F14+(0.08*LN(1+0.5*'Ход 2035'!C20)*MAX(0,1-('Россия 2035'!C14+'Россия 2035'!F14))))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7.178477504</v>
      </c>
      <c r="J14" s="12"/>
      <c r="K14" s="12" t="s">
        <v>131</v>
      </c>
      <c r="L14" s="12">
        <f>MAX(1,MIN(10,'Россия 2035'!L14+'Россия 2035'!N14+('Россия 2035'!M14+'Россия 2035'!P14+'Россия 2035'!Q14)))</f>
        <v>9.991118145</v>
      </c>
      <c r="M14" s="12">
        <f>MIN(1,'Россия 2035'!M14+'Россия 2035'!P14+(0.1*LN(1+0.5*'Ход 2035'!H16)*POWER(MAX(0,1-'Россия 2035'!S14/10),0.8)))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9.991118145</v>
      </c>
      <c r="T14" s="12"/>
      <c r="U14" s="12" t="s">
        <v>132</v>
      </c>
      <c r="V14" s="25">
        <f>'Россия 2035'!V14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2035'!B15+'Россия 2035'!D15+('Россия 2035'!C15+'Россия 2035'!F15+'Россия 2035'!G15)+(0.35*LN(1+0.6*'Ход 2035'!B21)*POWER(MAX(0,1-'Россия 2035'!I15/10),0.7))))</f>
        <v>10</v>
      </c>
      <c r="C15" s="12">
        <f>MIN(1,'Россия 2035'!C15+'Россия 2035'!F15+(0.08*LN(1+0.5*'Ход 2035'!C21)*MAX(0,1-('Россия 2035'!C15+'Россия 2035'!F15))))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10</v>
      </c>
      <c r="J15" s="12"/>
      <c r="K15" s="12" t="s">
        <v>135</v>
      </c>
      <c r="L15" s="12">
        <f>MAX(1,MIN(10,'Россия 2035'!L15+'Россия 2035'!N15+('Россия 2035'!M15+'Россия 2035'!P15+'Россия 2035'!Q15)))</f>
        <v>8.5</v>
      </c>
      <c r="M15" s="12">
        <f>MIN(1,'Россия 2035'!M15+'Россия 2035'!P15+(0.1*LN(1+0.5*'Ход 2035'!H17)*POWER(MAX(0,1-'Россия 2035'!S15/10),0.8)))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8.5</v>
      </c>
      <c r="T15" s="12"/>
      <c r="U15" s="12" t="s">
        <v>136</v>
      </c>
      <c r="V15" s="25">
        <f>'Россия 2035'!V15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2035'!B16+'Россия 2035'!D16+('Россия 2035'!C16+'Россия 2035'!F16+'Россия 2035'!G16)+(0.35*LN(1+0.6*'Ход 2035'!B22)*POWER(MAX(0,1-'Россия 2035'!I16/10),0.7))))</f>
        <v>10</v>
      </c>
      <c r="C16" s="12">
        <f>MIN(1,'Россия 2035'!C16+'Россия 2035'!F16+(0.08*LN(1+0.5*'Ход 2035'!C22)*MAX(0,1-('Россия 2035'!C16+'Россия 2035'!F16))))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2035'!L16+'Россия 2035'!N16+('Россия 2035'!M16+'Россия 2035'!P16+'Россия 2035'!Q16)))</f>
        <v>10</v>
      </c>
      <c r="M16" s="12">
        <f>MIN(1,'Россия 2035'!M16+'Россия 2035'!P16+(0.1*LN(1+0.5*'Ход 2035'!H18)*POWER(MAX(0,1-'Россия 2035'!S16/10),0.8)))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2035'!V16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2035'!B17+'Россия 2035'!D17+('Россия 2035'!C17+'Россия 2035'!F17+'Россия 2035'!G17)+(0.35*LN(1+0.6*'Ход 2035'!B23)*POWER(MAX(0,1-'Россия 2035'!I17/10),0.7))))</f>
        <v>9.331173541</v>
      </c>
      <c r="C17" s="12">
        <f>MIN(1,'Россия 2035'!C17+'Россия 2035'!F17+(0.08*LN(1+0.5*'Ход 2035'!C23)*MAX(0,1-('Россия 2035'!C17+'Россия 2035'!F17))))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9.331173541</v>
      </c>
      <c r="J17" s="12"/>
      <c r="K17" s="12" t="s">
        <v>148</v>
      </c>
      <c r="L17" s="12">
        <f>MAX(1,MIN(10,'Россия 2035'!L17+'Россия 2035'!N17+('Россия 2035'!M17+'Россия 2035'!P17+'Россия 2035'!Q17)))</f>
        <v>10</v>
      </c>
      <c r="M17" s="12">
        <f>MIN(1,'Россия 2035'!M17+'Россия 2035'!P17+(0.1*LN(1+0.5*'Ход 2035'!H19)*POWER(MAX(0,1-'Россия 2035'!S17/10),0.8)))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2035'!V17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2035'!L18+'Россия 2035'!N18+('Россия 2035'!M18+'Россия 2035'!P18+'Россия 2035'!Q18)))</f>
        <v>10</v>
      </c>
      <c r="M18" s="12">
        <f>MIN(1,'Россия 2035'!M18+'Россия 2035'!P18+(0.1*LN(1+0.5*'Ход 2035'!H20)*POWER(MAX(0,1-'Россия 2035'!S18/10),0.8)))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2035'!V18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2035'!B19+'Россия 2035'!D19+('Россия 2035'!C19+'Россия 2035'!F19+'Россия 2035'!G19)+(0.35*LN(1+0.6*'Ход 2035'!B25)*POWER(MAX(0,1-'Россия 2035'!I19/10),0.7))))</f>
        <v>9.5</v>
      </c>
      <c r="C19" s="12">
        <f>MIN(1,'Россия 2035'!C19+'Россия 2035'!F19+(0.08*LN(1+0.5*'Ход 2035'!C25)*MAX(0,1-('Россия 2035'!C19+'Россия 2035'!F19))))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9.5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2035'!V19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2035'!B20+'Россия 2035'!D20+('Россия 2035'!C20+'Россия 2035'!F20+'Россия 2035'!G20)+(0.35*LN(1+0.6*'Ход 2035'!B26)*POWER(MAX(0,1-'Россия 2035'!I20/10),0.7))))</f>
        <v>10</v>
      </c>
      <c r="C20" s="12">
        <f>MIN(1,'Россия 2035'!C20+'Россия 2035'!F20+(0.08*LN(1+0.5*'Ход 2035'!C26)*MAX(0,1-('Россия 2035'!C20+'Россия 2035'!F20))))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2035'!V20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2035'!B21+'Россия 2035'!D21+('Россия 2035'!C21+'Россия 2035'!F21+'Россия 2035'!G21)+(0.35*LN(1+0.6*'Ход 2035'!B27)*POWER(MAX(0,1-'Россия 2035'!I21/10),0.7))))</f>
        <v>10</v>
      </c>
      <c r="C21" s="12">
        <f>MIN(1,'Россия 2035'!C21+'Россия 2035'!F21+(0.08*LN(1+0.5*'Ход 2035'!C27)*MAX(0,1-('Россия 2035'!C21+'Россия 2035'!F21))))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10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2035'!V21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2035'!B22+'Россия 2035'!D22+('Россия 2035'!C22+'Россия 2035'!F22+'Россия 2035'!G22)+(0.35*LN(1+0.6*'Ход 2035'!B28)*POWER(MAX(0,1-'Россия 2035'!I22/10),0.7))))</f>
        <v>10</v>
      </c>
      <c r="C22" s="12">
        <f>MIN(1,'Россия 2035'!C22+'Россия 2035'!F22+(0.08*LN(1+0.5*'Ход 2035'!C28)*MAX(0,1-('Россия 2035'!C22+'Россия 2035'!F22))))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2035'!V22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2035'!B23+'Россия 2035'!D23+('Россия 2035'!C23+'Россия 2035'!F23+'Россия 2035'!G23)+(0.35*LN(1+0.6*'Ход 2035'!B29)*POWER(MAX(0,1-'Россия 2035'!I23/10),0.7))))</f>
        <v>10</v>
      </c>
      <c r="C23" s="12">
        <f>MIN(1,'Россия 2035'!C23+'Россия 2035'!F23+(0.08*LN(1+0.5*'Ход 2035'!C29)*MAX(0,1-('Россия 2035'!C23+'Россия 2035'!F23))))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2035'!V23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2035'!V24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2035'!B25+'Россия 2035'!D25+('Россия 2035'!C25+'Россия 2035'!F25+'Россия 2035'!G25)+(0.35*LN(1+0.6*'Ход 2035'!B31)*POWER(MAX(0,1-'Россия 2035'!I25/10),0.7))))</f>
        <v>10</v>
      </c>
      <c r="C25" s="12">
        <f>MIN(1,'Россия 2035'!C25+'Россия 2035'!F25+(0.08*LN(1+0.5*'Ход 2035'!C31)*MAX(0,1-('Россия 2035'!C25+'Россия 2035'!F25))))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2035'!V25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2035'!B26+'Россия 2035'!D26+('Россия 2035'!C26+'Россия 2035'!F26+'Россия 2035'!G26)+(0.35*LN(1+0.6*'Ход 2035'!B32)*POWER(MAX(0,1-'Россия 2035'!I26/10),0.7))))</f>
        <v>10</v>
      </c>
      <c r="C26" s="12">
        <f>MIN(1,'Россия 2035'!C26+'Россия 2035'!F26+(0.08*LN(1+0.5*'Ход 2035'!C32)*MAX(0,1-('Россия 2035'!C26+'Россия 2035'!F26))))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10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2035'!V26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2035'!B27+'Россия 2035'!D27+('Россия 2035'!C27+'Россия 2035'!F27+'Россия 2035'!G27)+(0.35*LN(1+0.6*'Ход 2035'!B33)*POWER(MAX(0,1-'Россия 2035'!I27/10),0.7))))</f>
        <v>9.978685368</v>
      </c>
      <c r="C27" s="12">
        <f>MIN(1,'Россия 2035'!C27+'Россия 2035'!F27+(0.08*LN(1+0.5*'Ход 2035'!C33)*MAX(0,1-('Россия 2035'!C27+'Россия 2035'!F27))))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9.978685368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2035'!B28+'Россия 2035'!D28+('Россия 2035'!C28+'Россия 2035'!F28+'Россия 2035'!G28)+(0.35*LN(1+0.6*'Ход 2035'!B34)*POWER(MAX(0,1-'Россия 2035'!I28/10),0.7))))</f>
        <v>10</v>
      </c>
      <c r="C28" s="12">
        <f>MIN(1,'Россия 2035'!C28+'Россия 2035'!F28+(0.08*LN(1+0.5*'Ход 2035'!C34)*MAX(0,1-('Россия 2035'!C28+'Россия 2035'!F28))))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2035'!B29+'Россия 2035'!D29+('Россия 2035'!C29+'Россия 2035'!F29+'Россия 2035'!G29)+(0.35*LN(1+0.6*'Ход 2035'!B35)*POWER(MAX(0,1-'Россия 2035'!I29/10),0.7))))</f>
        <v>9.457388084</v>
      </c>
      <c r="C29" s="12">
        <f>MIN(1,'Россия 2035'!C29+'Россия 2035'!F29+(0.08*LN(1+0.5*'Ход 2035'!C35)*MAX(0,1-('Россия 2035'!C29+'Россия 2035'!F29))))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9.457388084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2035'!B30+'Россия 2035'!D30+('Россия 2035'!C30+'Россия 2035'!F30+'Россия 2035'!G30)+(0.35*LN(1+0.6*'Ход 2035'!B36)*POWER(MAX(0,1-'Россия 2035'!I30/10),0.7))))</f>
        <v>8</v>
      </c>
      <c r="C30" s="12">
        <f>MIN(1,'Россия 2035'!C30+'Россия 2035'!F30+(0.08*LN(1+0.5*'Ход 2035'!C36)*MAX(0,1-('Россия 2035'!C30+'Россия 2035'!F30))))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8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2035'!B31+'Россия 2035'!D31+('Россия 2035'!C31+'Россия 2035'!F31+'Россия 2035'!G31)+(0.35*LN(1+0.6*'Ход 2035'!B37)*POWER(MAX(0,1-'Россия 2035'!I31/10),0.7))))</f>
        <v>6</v>
      </c>
      <c r="C31" s="12">
        <f>MIN(1,'Россия 2035'!C31+'Россия 2035'!F31+(0.08*LN(1+0.5*'Ход 2035'!C37)*MAX(0,1-('Россия 2035'!C31+'Россия 2035'!F31))))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6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2035'!B32+'Россия 2035'!D32+('Россия 2035'!C32+'Россия 2035'!F32+'Россия 2035'!G32)+(0.35*LN(1+0.6*'Ход 2035'!B38)*POWER(MAX(0,1-'Россия 2035'!I32/10),0.7))))</f>
        <v>10</v>
      </c>
      <c r="C32" s="12">
        <f>MIN(1,'Россия 2035'!C32+'Россия 2035'!F32+(0.08*LN(1+0.5*'Ход 2035'!C38)*MAX(0,1-('Россия 2035'!C32+'Россия 2035'!F32))))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10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2035'!B34+'Россия 2035'!D34+('Россия 2035'!C34+'Россия 2035'!F34+'Россия 2035'!G34)+(0.35*LN(1+0.6*'Ход 2035'!B40)*POWER(MAX(0,1-'Россия 2035'!I34/10),0.7))))</f>
        <v>10</v>
      </c>
      <c r="C34" s="12">
        <f>MIN(1,'Россия 2035'!C34+'Россия 2035'!F34+(0.08*LN(1+0.5*'Ход 2035'!C40)*MAX(0,1-('Россия 2035'!C34+'Россия 2035'!F34))))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2035'!B35+'Россия 2035'!D35+('Россия 2035'!C35+'Россия 2035'!F35+'Россия 2035'!G35)+(0.35*LN(1+0.6*'Ход 2035'!B41)*POWER(MAX(0,1-'Россия 2035'!I35/10),0.7))))</f>
        <v>9.531664729</v>
      </c>
      <c r="C35" s="12">
        <f>MIN(1,'Россия 2035'!C35+'Россия 2035'!F35+(0.08*LN(1+0.5*'Ход 2035'!C41)*MAX(0,1-('Россия 2035'!C35+'Россия 2035'!F35))))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9.531664729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2035'!B36+'Россия 2035'!D36+('Россия 2035'!C36+'Россия 2035'!F36+'Россия 2035'!G36)+(0.35*LN(1+0.6*'Ход 2035'!B42)*POWER(MAX(0,1-'Россия 2035'!I36/10),0.7))))</f>
        <v>10</v>
      </c>
      <c r="C36" s="12">
        <f>MIN(1,'Россия 2035'!C36+'Россия 2035'!F36+(0.08*LN(1+0.5*'Ход 2035'!C42)*MAX(0,1-('Россия 2035'!C36+'Россия 2035'!F36))))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2035'!B37+'Россия 2035'!D37+('Россия 2035'!C37+'Россия 2035'!F37+'Россия 2035'!G37)+(0.35*LN(1+0.6*'Ход 2035'!B43)*POWER(MAX(0,1-'Россия 2035'!I37/10),0.7))))</f>
        <v>9</v>
      </c>
      <c r="C37" s="12">
        <f>MIN(1,'Россия 2035'!C37+'Россия 2035'!F37+(0.08*LN(1+0.5*'Ход 2035'!C43)*MAX(0,1-('Россия 2035'!C37+'Россия 2035'!F37))))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9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2035'!B38+'Россия 2035'!D38+('Россия 2035'!C38+'Россия 2035'!F38+'Россия 2035'!G38)+(0.35*LN(1+0.6*'Ход 2035'!B44)*POWER(MAX(0,1-'Россия 2035'!I38/10),0.7))))</f>
        <v>8.5</v>
      </c>
      <c r="C38" s="12">
        <f>MIN(1,'Россия 2035'!C38+'Россия 2035'!F38+(0.08*LN(1+0.5*'Ход 2035'!C44)*MAX(0,1-('Россия 2035'!C38+'Россия 2035'!F38))))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8.5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2035'!B39+'Россия 2035'!D39+('Россия 2035'!C39+'Россия 2035'!F39+'Россия 2035'!G39)+(0.35*LN(1+0.6*'Ход 2035'!B45)*POWER(MAX(0,1-'Россия 2035'!I39/10),0.7))))</f>
        <v>8</v>
      </c>
      <c r="C39" s="12">
        <f>MIN(1,'Россия 2035'!C39+'Россия 2035'!F39+(0.08*LN(1+0.5*'Ход 2035'!C45)*MAX(0,1-('Россия 2035'!C39+'Россия 2035'!F39))))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8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2035'!B40+'Россия 2035'!D40+('Россия 2035'!C40+'Россия 2035'!F40+'Россия 2035'!G40)+(0.35*LN(1+0.6*'Ход 2035'!B46)*POWER(MAX(0,1-'Россия 2035'!I40/10),0.7))))</f>
        <v>8</v>
      </c>
      <c r="C40" s="12">
        <f>MIN(1,'Россия 2035'!C40+'Россия 2035'!F40+(0.08*LN(1+0.5*'Ход 2035'!C46)*MAX(0,1-('Россия 2035'!C40+'Россия 2035'!F40))))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8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2035'!B41+'Россия 2035'!D41+('Россия 2035'!C41+'Россия 2035'!F41+'Россия 2035'!G41)+(0.35*LN(1+0.6*'Ход 2035'!B47)*POWER(MAX(0,1-'Россия 2035'!I41/10),0.7))))</f>
        <v>9.5</v>
      </c>
      <c r="C41" s="12">
        <f>MIN(1,'Россия 2035'!C41+'Россия 2035'!F41+(0.08*LN(1+0.5*'Ход 2035'!C47)*MAX(0,1-('Россия 2035'!C41+'Россия 2035'!F41))))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9.5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2035'!B42+'Россия 2035'!D42+('Россия 2035'!C42+'Россия 2035'!F42+'Россия 2035'!G42)+(0.35*LN(1+0.6*'Ход 2035'!B48)*POWER(MAX(0,1-'Россия 2035'!I42/10),0.7))))</f>
        <v>10</v>
      </c>
      <c r="C42" s="12">
        <f>MIN(1,'Россия 2035'!C42+'Россия 2035'!F42+(0.08*LN(1+0.5*'Ход 2035'!C48)*MAX(0,1-('Россия 2035'!C42+'Россия 2035'!F42))))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10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2035'!B44+'Россия 2035'!D44+('Россия 2035'!C44+'Россия 2035'!F44+'Россия 2035'!G44)+(0.35*LN(1+0.6*'Ход 2035'!B50)*POWER(MAX(0,1-'Россия 2035'!I44/10),0.7))))</f>
        <v>8.72159147</v>
      </c>
      <c r="C44" s="12">
        <f>MIN(1,'Россия 2035'!C44+'Россия 2035'!F44+(0.08*LN(1+0.5*'Ход 2035'!C50)*MAX(0,1-('Россия 2035'!C44+'Россия 2035'!F44))))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8.72159147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2035'!B45+'Россия 2035'!D45+('Россия 2035'!C45+'Россия 2035'!F45+'Россия 2035'!G45)+(0.35*LN(1+0.6*'Ход 2035'!B51)*POWER(MAX(0,1-'Россия 2035'!I45/10),0.7))))</f>
        <v>9</v>
      </c>
      <c r="C45" s="12">
        <f>MIN(1,'Россия 2035'!C45+'Россия 2035'!F45+(0.08*LN(1+0.5*'Ход 2035'!C51)*MAX(0,1-('Россия 2035'!C45+'Россия 2035'!F45))))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9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2035'!B46+'Россия 2035'!D46+('Россия 2035'!C46+'Россия 2035'!F46+'Россия 2035'!G46)+(0.35*LN(1+0.6*'Ход 2035'!B52)*POWER(MAX(0,1-'Россия 2035'!I46/10),0.7))))</f>
        <v>6.091721311</v>
      </c>
      <c r="C46" s="12">
        <f>MIN(1,'Россия 2035'!C46+'Россия 2035'!F46+(0.08*LN(1+0.5*'Ход 2035'!C52)*MAX(0,1-('Россия 2035'!C46+'Россия 2035'!F46))))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6.091721311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2035'!B47+'Россия 2035'!D47+('Россия 2035'!C47+'Россия 2035'!F47+'Россия 2035'!G47)+(0.35*LN(1+0.6*'Ход 2035'!B53)*POWER(MAX(0,1-'Россия 2035'!I47/10),0.7))))</f>
        <v>5.321202344</v>
      </c>
      <c r="C47" s="12">
        <f>MIN(1,'Россия 2035'!C47+'Россия 2035'!F47+(0.08*LN(1+0.5*'Ход 2035'!C53)*MAX(0,1-('Россия 2035'!C47+'Россия 2035'!F47))))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5.321202344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2035'!B48+'Россия 2035'!D48+('Россия 2035'!C48+'Россия 2035'!F48+'Россия 2035'!G48)+(0.35*LN(1+0.6*'Ход 2035'!B54)*POWER(MAX(0,1-'Россия 2035'!I48/10),0.7))))</f>
        <v>8.689380393</v>
      </c>
      <c r="C48" s="12">
        <f>MIN(1,'Россия 2035'!C48+'Россия 2035'!F48+(0.08*LN(1+0.5*'Ход 2035'!C54)*MAX(0,1-('Россия 2035'!C48+'Россия 2035'!F48))))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8.689380393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2035'!B49+'Россия 2035'!D49+('Россия 2035'!C49+'Россия 2035'!F49+'Россия 2035'!G49)+(0.35*LN(1+0.6*'Ход 2035'!B55)*POWER(MAX(0,1-'Россия 2035'!I49/10),0.7))))</f>
        <v>10</v>
      </c>
      <c r="C49" s="12">
        <f>MIN(1,'Россия 2035'!C49+'Россия 2035'!F49+(0.08*LN(1+0.5*'Ход 2035'!C55)*MAX(0,1-('Россия 2035'!C49+'Россия 2035'!F49))))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10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2035'!B50+'Россия 2035'!D50+('Россия 2035'!C50+'Россия 2035'!F50+'Россия 2035'!G50)+(0.35*LN(1+0.6*'Ход 2035'!B56)*POWER(MAX(0,1-'Россия 2035'!I50/10),0.7))))</f>
        <v>10</v>
      </c>
      <c r="C50" s="12">
        <f>MIN(1,'Россия 2035'!C50+'Россия 2035'!F50+(0.08*LN(1+0.5*'Ход 2035'!C56)*MAX(0,1-('Россия 2035'!C50+'Россия 2035'!F50))))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10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2035'!B51+'Россия 2035'!D51+('Россия 2035'!C51+'Россия 2035'!F51+'Россия 2035'!G51)+(0.35*LN(1+0.6*'Ход 2035'!B57)*POWER(MAX(0,1-'Россия 2035'!I51/10),0.7))))</f>
        <v>9</v>
      </c>
      <c r="C51" s="12">
        <f>MIN(1,'Россия 2035'!C51+'Россия 2035'!F51+(0.08*LN(1+0.5*'Ход 2035'!C57)*MAX(0,1-('Россия 2035'!C51+'Россия 2035'!F51))))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9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2035'!B53+'Россия 2035'!D53+('Россия 2035'!C53+'Россия 2035'!F53+'Россия 2035'!G53)+(0.35*LN(1+0.6*'Ход 2035'!B59)*POWER(MAX(0,1-'Россия 2035'!I53/10),0.7))))</f>
        <v>9.05</v>
      </c>
      <c r="C53" s="12">
        <f>MIN(1,'Россия 2035'!C53+'Россия 2035'!F53+(0.08*LN(1+0.5*'Ход 2035'!C59)*MAX(0,1-('Россия 2035'!C53+'Россия 2035'!F53))))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9.05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2035'!B54+'Россия 2035'!D54+('Россия 2035'!C54+'Россия 2035'!F54+'Россия 2035'!G54)+(0.35*LN(1+0.6*'Ход 2035'!B60)*POWER(MAX(0,1-'Россия 2035'!I54/10),0.7))))</f>
        <v>7.5</v>
      </c>
      <c r="C54" s="12">
        <f>MIN(1,'Россия 2035'!C54+'Россия 2035'!F54+(0.08*LN(1+0.5*'Ход 2035'!C60)*MAX(0,1-('Россия 2035'!C54+'Россия 2035'!F54))))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7.5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2035'!B55+'Россия 2035'!D55+('Россия 2035'!C55+'Россия 2035'!F55+'Россия 2035'!G55)+(0.35*LN(1+0.6*'Ход 2035'!B61)*POWER(MAX(0,1-'Россия 2035'!I55/10),0.7))))</f>
        <v>6.5</v>
      </c>
      <c r="C55" s="12">
        <f>MIN(1,'Россия 2035'!C55+'Россия 2035'!F55+(0.08*LN(1+0.5*'Ход 2035'!C61)*MAX(0,1-('Россия 2035'!C55+'Россия 2035'!F55))))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6.5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399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2036'!U6</f>
        <v>98.01469421</v>
      </c>
      <c r="C6" s="12"/>
      <c r="D6" s="12"/>
      <c r="E6" s="12" t="s">
        <v>54</v>
      </c>
      <c r="F6" s="19">
        <f>'Россия 2036'!K6</f>
        <v>81.10243538</v>
      </c>
      <c r="G6" s="12"/>
      <c r="H6" s="12"/>
      <c r="I6" s="12" t="s">
        <v>54</v>
      </c>
      <c r="J6" s="19">
        <f>'Россия 2036'!N6</f>
        <v>76.23984943</v>
      </c>
      <c r="K6" s="12"/>
      <c r="L6" s="12"/>
      <c r="M6" s="12" t="s">
        <v>54</v>
      </c>
      <c r="N6" s="19">
        <f>'Россия 2036'!Q6</f>
        <v>76.91690207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98.01469421</v>
      </c>
      <c r="C8" s="12" t="str">
        <f>IF(B8&lt;0,"ПРЕВЫШЕНИЕ","OK")</f>
        <v>OK</v>
      </c>
      <c r="D8" s="12"/>
      <c r="E8" s="12" t="s">
        <v>91</v>
      </c>
      <c r="F8" s="19">
        <f>F6-F7</f>
        <v>81.10243538</v>
      </c>
      <c r="G8" s="12" t="str">
        <f>IF(F8&lt;0,"ПРЕВЫШЕНИЕ","OK")</f>
        <v>OK</v>
      </c>
      <c r="H8" s="12"/>
      <c r="I8" s="12" t="s">
        <v>91</v>
      </c>
      <c r="J8" s="19">
        <f>J6-J7</f>
        <v>76.23984943</v>
      </c>
      <c r="K8" s="12" t="str">
        <f>IF(J8&lt;0,"ПРЕВЫШЕНИЕ","OK")</f>
        <v>OK</v>
      </c>
      <c r="L8" s="12"/>
      <c r="M8" s="12" t="s">
        <v>91</v>
      </c>
      <c r="N8" s="19">
        <f>N6-N7</f>
        <v>76.91690207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2036'!V11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47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2036'!V12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71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2036'!V13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53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2036'!V14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27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2036'!V15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59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2036'!V16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4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2036'!V17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37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2036'!V18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4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2036'!V19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17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2036'!V20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60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2036'!V21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75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2036'!V22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72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2036'!V23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90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2036'!V24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83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2036'!V25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78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2036'!V26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35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IF(G29="","",VLOOKUP(G29,'Технологии'!$A$11:$BF$50,54,FALSE))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IF(G30="","",VLOOKUP(G30,'Технологии'!$A$11:$BF$50,54,FALSE))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IF(G31="","",VLOOKUP(G31,'Технологии'!$A$11:$BF$50,54,FALSE))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IF(G32="","",VLOOKUP(G32,'Технологии'!$A$11:$BF$50,54,FALSE))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IF(G33="","",VLOOKUP(G33,'Технологии'!$A$11:$BF$50,54,FALSE))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IF(G34="","",VLOOKUP(G34,'Технологии'!$A$11:$BF$50,54,FALSE))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IF(G35="","",VLOOKUP(G35,'Технологии'!$A$11:$BF$50,54,FALSE))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IF(G36="","",VLOOKUP(G36,'Технологии'!$A$11:$BF$50,54,FALSE))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IF(G37="","",VLOOKUP(G37,'Технологии'!$A$11:$BF$50,54,FALSE))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IF(G38="","",VLOOKUP(G38,'Технологии'!$A$11:$BF$50,54,FALSE))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400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81.7849738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76.26880005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77.50115216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98.29111639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2036'!B8+'Россия 2036'!D8+('Россия 2036'!C8+'Россия 2036'!F8+'Россия 2036'!G8)+(0.35*LN(1+0.6*'Ход 2036'!B14)*POWER(MAX(0,1-'Россия 2036'!I8/10),0.7))))</f>
        <v>10</v>
      </c>
      <c r="C8" s="12">
        <f>MIN(1,'Россия 2036'!C8+'Россия 2036'!F8+(0.08*LN(1+0.5*'Ход 2036'!C14)*MAX(0,1-('Россия 2036'!C8+'Россия 2036'!F8))))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2036'!B9+'Россия 2036'!D9+('Россия 2036'!C9+'Россия 2036'!F9+'Россия 2036'!G9)+(0.35*LN(1+0.6*'Ход 2036'!B15)*POWER(MAX(0,1-'Россия 2036'!I9/10),0.7))))</f>
        <v>8.0017683</v>
      </c>
      <c r="C9" s="12">
        <f>MIN(1,'Россия 2036'!C9+'Россия 2036'!F9+(0.08*LN(1+0.5*'Ход 2036'!C15)*MAX(0,1-('Россия 2036'!C9+'Россия 2036'!F9))))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8.0017683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2036'!B10+'Россия 2036'!D10+('Россия 2036'!C10+'Россия 2036'!F10+'Россия 2036'!G10)+(0.35*LN(1+0.6*'Ход 2036'!B16)*POWER(MAX(0,1-'Россия 2036'!I10/10),0.7))))</f>
        <v>10</v>
      </c>
      <c r="C10" s="12">
        <f>MIN(1,'Россия 2036'!C10+'Россия 2036'!F10+(0.08*LN(1+0.5*'Ход 2036'!C16)*MAX(0,1-('Россия 2036'!C10+'Россия 2036'!F10))))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2036'!B11+'Россия 2036'!D11+('Россия 2036'!C11+'Россия 2036'!F11+'Россия 2036'!G11)+(0.35*LN(1+0.6*'Ход 2036'!B17)*POWER(MAX(0,1-'Россия 2036'!I11/10),0.7))))</f>
        <v>10</v>
      </c>
      <c r="C11" s="12">
        <f>MIN(1,'Россия 2036'!C11+'Россия 2036'!F11+(0.08*LN(1+0.5*'Ход 2036'!C17)*MAX(0,1-('Россия 2036'!C11+'Россия 2036'!F11))))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10</v>
      </c>
      <c r="J11" s="12"/>
      <c r="K11" s="12" t="s">
        <v>110</v>
      </c>
      <c r="L11" s="12">
        <f>MAX(1,MIN(10,'Россия 2036'!L11+'Россия 2036'!N11+('Россия 2036'!M11+'Россия 2036'!P11+'Россия 2036'!Q11)))</f>
        <v>10</v>
      </c>
      <c r="M11" s="12">
        <f>MIN(1,'Россия 2036'!M11+'Россия 2036'!P11+(0.1*LN(1+0.5*'Ход 2036'!H13)*POWER(MAX(0,1-'Россия 2036'!S11/10),0.8)))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10</v>
      </c>
      <c r="T11" s="12"/>
      <c r="U11" s="12" t="s">
        <v>111</v>
      </c>
      <c r="V11" s="25">
        <f>'Россия 2036'!V11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2036'!B12+'Россия 2036'!D12+('Россия 2036'!C12+'Россия 2036'!F12+'Россия 2036'!G12)+(0.35*LN(1+0.6*'Ход 2036'!B18)*POWER(MAX(0,1-'Россия 2036'!I12/10),0.7))))</f>
        <v>9</v>
      </c>
      <c r="C12" s="12">
        <f>MIN(1,'Россия 2036'!C12+'Россия 2036'!F12+(0.08*LN(1+0.5*'Ход 2036'!C18)*MAX(0,1-('Россия 2036'!C12+'Россия 2036'!F12))))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2036'!L12+'Россия 2036'!N12+('Россия 2036'!M12+'Россия 2036'!P12+'Россия 2036'!Q12)))</f>
        <v>10</v>
      </c>
      <c r="M12" s="12">
        <f>MIN(1,'Россия 2036'!M12+'Россия 2036'!P12+(0.1*LN(1+0.5*'Ход 2036'!H14)*POWER(MAX(0,1-'Россия 2036'!S12/10),0.8)))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10</v>
      </c>
      <c r="T12" s="12"/>
      <c r="U12" s="12" t="s">
        <v>122</v>
      </c>
      <c r="V12" s="25">
        <f>'Россия 2036'!V12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2036'!B13+'Россия 2036'!D13+('Россия 2036'!C13+'Россия 2036'!F13+'Россия 2036'!G13)+(0.35*LN(1+0.6*'Ход 2036'!B19)*POWER(MAX(0,1-'Россия 2036'!I13/10),0.7))))</f>
        <v>6.501657781</v>
      </c>
      <c r="C13" s="12">
        <f>MIN(1,'Россия 2036'!C13+'Россия 2036'!F13+(0.08*LN(1+0.5*'Ход 2036'!C19)*MAX(0,1-('Россия 2036'!C13+'Россия 2036'!F13))))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6.501657781</v>
      </c>
      <c r="J13" s="12"/>
      <c r="K13" s="12" t="s">
        <v>127</v>
      </c>
      <c r="L13" s="12">
        <f>MAX(1,MIN(10,'Россия 2036'!L13+'Россия 2036'!N13+('Россия 2036'!M13+'Россия 2036'!P13+'Россия 2036'!Q13)))</f>
        <v>10</v>
      </c>
      <c r="M13" s="12">
        <f>MIN(1,'Россия 2036'!M13+'Россия 2036'!P13+(0.1*LN(1+0.5*'Ход 2036'!H15)*POWER(MAX(0,1-'Россия 2036'!S13/10),0.8)))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10</v>
      </c>
      <c r="T13" s="12"/>
      <c r="U13" s="12" t="s">
        <v>128</v>
      </c>
      <c r="V13" s="25">
        <f>'Россия 2036'!V13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2036'!B14+'Россия 2036'!D14+('Россия 2036'!C14+'Россия 2036'!F14+'Россия 2036'!G14)+(0.35*LN(1+0.6*'Ход 2036'!B20)*POWER(MAX(0,1-'Россия 2036'!I14/10),0.7))))</f>
        <v>7.581389461</v>
      </c>
      <c r="C14" s="12">
        <f>MIN(1,'Россия 2036'!C14+'Россия 2036'!F14+(0.08*LN(1+0.5*'Ход 2036'!C20)*MAX(0,1-('Россия 2036'!C14+'Россия 2036'!F14))))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7.581389461</v>
      </c>
      <c r="J14" s="12"/>
      <c r="K14" s="12" t="s">
        <v>131</v>
      </c>
      <c r="L14" s="12">
        <f>MAX(1,MIN(10,'Россия 2036'!L14+'Россия 2036'!N14+('Россия 2036'!M14+'Россия 2036'!P14+'Россия 2036'!Q14)))</f>
        <v>10</v>
      </c>
      <c r="M14" s="12">
        <f>MIN(1,'Россия 2036'!M14+'Россия 2036'!P14+(0.1*LN(1+0.5*'Ход 2036'!H16)*POWER(MAX(0,1-'Россия 2036'!S14/10),0.8)))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10</v>
      </c>
      <c r="T14" s="12"/>
      <c r="U14" s="12" t="s">
        <v>132</v>
      </c>
      <c r="V14" s="25">
        <f>'Россия 2036'!V14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2036'!B15+'Россия 2036'!D15+('Россия 2036'!C15+'Россия 2036'!F15+'Россия 2036'!G15)+(0.35*LN(1+0.6*'Ход 2036'!B21)*POWER(MAX(0,1-'Россия 2036'!I15/10),0.7))))</f>
        <v>10</v>
      </c>
      <c r="C15" s="12">
        <f>MIN(1,'Россия 2036'!C15+'Россия 2036'!F15+(0.08*LN(1+0.5*'Ход 2036'!C21)*MAX(0,1-('Россия 2036'!C15+'Россия 2036'!F15))))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10</v>
      </c>
      <c r="J15" s="12"/>
      <c r="K15" s="12" t="s">
        <v>135</v>
      </c>
      <c r="L15" s="12">
        <f>MAX(1,MIN(10,'Россия 2036'!L15+'Россия 2036'!N15+('Россия 2036'!M15+'Россия 2036'!P15+'Россия 2036'!Q15)))</f>
        <v>8.75</v>
      </c>
      <c r="M15" s="12">
        <f>MIN(1,'Россия 2036'!M15+'Россия 2036'!P15+(0.1*LN(1+0.5*'Ход 2036'!H17)*POWER(MAX(0,1-'Россия 2036'!S15/10),0.8)))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8.75</v>
      </c>
      <c r="T15" s="12"/>
      <c r="U15" s="12" t="s">
        <v>136</v>
      </c>
      <c r="V15" s="25">
        <f>'Россия 2036'!V15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2036'!B16+'Россия 2036'!D16+('Россия 2036'!C16+'Россия 2036'!F16+'Россия 2036'!G16)+(0.35*LN(1+0.6*'Ход 2036'!B22)*POWER(MAX(0,1-'Россия 2036'!I16/10),0.7))))</f>
        <v>10</v>
      </c>
      <c r="C16" s="12">
        <f>MIN(1,'Россия 2036'!C16+'Россия 2036'!F16+(0.08*LN(1+0.5*'Ход 2036'!C22)*MAX(0,1-('Россия 2036'!C16+'Россия 2036'!F16))))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2036'!L16+'Россия 2036'!N16+('Россия 2036'!M16+'Россия 2036'!P16+'Россия 2036'!Q16)))</f>
        <v>10</v>
      </c>
      <c r="M16" s="12">
        <f>MIN(1,'Россия 2036'!M16+'Россия 2036'!P16+(0.1*LN(1+0.5*'Ход 2036'!H18)*POWER(MAX(0,1-'Россия 2036'!S16/10),0.8)))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2036'!V16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2036'!B17+'Россия 2036'!D17+('Россия 2036'!C17+'Россия 2036'!F17+'Россия 2036'!G17)+(0.35*LN(1+0.6*'Ход 2036'!B23)*POWER(MAX(0,1-'Россия 2036'!I17/10),0.7))))</f>
        <v>9.566361423</v>
      </c>
      <c r="C17" s="12">
        <f>MIN(1,'Россия 2036'!C17+'Россия 2036'!F17+(0.08*LN(1+0.5*'Ход 2036'!C23)*MAX(0,1-('Россия 2036'!C17+'Россия 2036'!F17))))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9.566361423</v>
      </c>
      <c r="J17" s="12"/>
      <c r="K17" s="12" t="s">
        <v>148</v>
      </c>
      <c r="L17" s="12">
        <f>MAX(1,MIN(10,'Россия 2036'!L17+'Россия 2036'!N17+('Россия 2036'!M17+'Россия 2036'!P17+'Россия 2036'!Q17)))</f>
        <v>10</v>
      </c>
      <c r="M17" s="12">
        <f>MIN(1,'Россия 2036'!M17+'Россия 2036'!P17+(0.1*LN(1+0.5*'Ход 2036'!H19)*POWER(MAX(0,1-'Россия 2036'!S17/10),0.8)))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2036'!V17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2036'!L18+'Россия 2036'!N18+('Россия 2036'!M18+'Россия 2036'!P18+'Россия 2036'!Q18)))</f>
        <v>10</v>
      </c>
      <c r="M18" s="12">
        <f>MIN(1,'Россия 2036'!M18+'Россия 2036'!P18+(0.1*LN(1+0.5*'Ход 2036'!H20)*POWER(MAX(0,1-'Россия 2036'!S18/10),0.8)))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2036'!V18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2036'!B19+'Россия 2036'!D19+('Россия 2036'!C19+'Россия 2036'!F19+'Россия 2036'!G19)+(0.35*LN(1+0.6*'Ход 2036'!B25)*POWER(MAX(0,1-'Россия 2036'!I19/10),0.7))))</f>
        <v>9.75</v>
      </c>
      <c r="C19" s="12">
        <f>MIN(1,'Россия 2036'!C19+'Россия 2036'!F19+(0.08*LN(1+0.5*'Ход 2036'!C25)*MAX(0,1-('Россия 2036'!C19+'Россия 2036'!F19))))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9.75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2036'!V19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2036'!B20+'Россия 2036'!D20+('Россия 2036'!C20+'Россия 2036'!F20+'Россия 2036'!G20)+(0.35*LN(1+0.6*'Ход 2036'!B26)*POWER(MAX(0,1-'Россия 2036'!I20/10),0.7))))</f>
        <v>10</v>
      </c>
      <c r="C20" s="12">
        <f>MIN(1,'Россия 2036'!C20+'Россия 2036'!F20+(0.08*LN(1+0.5*'Ход 2036'!C26)*MAX(0,1-('Россия 2036'!C20+'Россия 2036'!F20))))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2036'!V20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2036'!B21+'Россия 2036'!D21+('Россия 2036'!C21+'Россия 2036'!F21+'Россия 2036'!G21)+(0.35*LN(1+0.6*'Ход 2036'!B27)*POWER(MAX(0,1-'Россия 2036'!I21/10),0.7))))</f>
        <v>10</v>
      </c>
      <c r="C21" s="12">
        <f>MIN(1,'Россия 2036'!C21+'Россия 2036'!F21+(0.08*LN(1+0.5*'Ход 2036'!C27)*MAX(0,1-('Россия 2036'!C21+'Россия 2036'!F21))))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10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2036'!V21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2036'!B22+'Россия 2036'!D22+('Россия 2036'!C22+'Россия 2036'!F22+'Россия 2036'!G22)+(0.35*LN(1+0.6*'Ход 2036'!B28)*POWER(MAX(0,1-'Россия 2036'!I22/10),0.7))))</f>
        <v>10</v>
      </c>
      <c r="C22" s="12">
        <f>MIN(1,'Россия 2036'!C22+'Россия 2036'!F22+(0.08*LN(1+0.5*'Ход 2036'!C28)*MAX(0,1-('Россия 2036'!C22+'Россия 2036'!F22))))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2036'!V22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2036'!B23+'Россия 2036'!D23+('Россия 2036'!C23+'Россия 2036'!F23+'Россия 2036'!G23)+(0.35*LN(1+0.6*'Ход 2036'!B29)*POWER(MAX(0,1-'Россия 2036'!I23/10),0.7))))</f>
        <v>10</v>
      </c>
      <c r="C23" s="12">
        <f>MIN(1,'Россия 2036'!C23+'Россия 2036'!F23+(0.08*LN(1+0.5*'Ход 2036'!C29)*MAX(0,1-('Россия 2036'!C23+'Россия 2036'!F23))))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2036'!V23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2036'!V24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2036'!B25+'Россия 2036'!D25+('Россия 2036'!C25+'Россия 2036'!F25+'Россия 2036'!G25)+(0.35*LN(1+0.6*'Ход 2036'!B31)*POWER(MAX(0,1-'Россия 2036'!I25/10),0.7))))</f>
        <v>10</v>
      </c>
      <c r="C25" s="12">
        <f>MIN(1,'Россия 2036'!C25+'Россия 2036'!F25+(0.08*LN(1+0.5*'Ход 2036'!C31)*MAX(0,1-('Россия 2036'!C25+'Россия 2036'!F25))))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2036'!V25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2036'!B26+'Россия 2036'!D26+('Россия 2036'!C26+'Россия 2036'!F26+'Россия 2036'!G26)+(0.35*LN(1+0.6*'Ход 2036'!B32)*POWER(MAX(0,1-'Россия 2036'!I26/10),0.7))))</f>
        <v>10</v>
      </c>
      <c r="C26" s="12">
        <f>MIN(1,'Россия 2036'!C26+'Россия 2036'!F26+(0.08*LN(1+0.5*'Ход 2036'!C32)*MAX(0,1-('Россия 2036'!C26+'Россия 2036'!F26))))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10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2036'!V26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2036'!B27+'Россия 2036'!D27+('Россия 2036'!C27+'Россия 2036'!F27+'Россия 2036'!G27)+(0.35*LN(1+0.6*'Ход 2036'!B33)*POWER(MAX(0,1-'Россия 2036'!I27/10),0.7))))</f>
        <v>10</v>
      </c>
      <c r="C27" s="12">
        <f>MIN(1,'Россия 2036'!C27+'Россия 2036'!F27+(0.08*LN(1+0.5*'Ход 2036'!C33)*MAX(0,1-('Россия 2036'!C27+'Россия 2036'!F27))))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10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2036'!B28+'Россия 2036'!D28+('Россия 2036'!C28+'Россия 2036'!F28+'Россия 2036'!G28)+(0.35*LN(1+0.6*'Ход 2036'!B34)*POWER(MAX(0,1-'Россия 2036'!I28/10),0.7))))</f>
        <v>10</v>
      </c>
      <c r="C28" s="12">
        <f>MIN(1,'Россия 2036'!C28+'Россия 2036'!F28+(0.08*LN(1+0.5*'Ход 2036'!C34)*MAX(0,1-('Россия 2036'!C28+'Россия 2036'!F28))))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2036'!B29+'Россия 2036'!D29+('Россия 2036'!C29+'Россия 2036'!F29+'Россия 2036'!G29)+(0.35*LN(1+0.6*'Ход 2036'!B35)*POWER(MAX(0,1-'Россия 2036'!I29/10),0.7))))</f>
        <v>9.796204326</v>
      </c>
      <c r="C29" s="12">
        <f>MIN(1,'Россия 2036'!C29+'Россия 2036'!F29+(0.08*LN(1+0.5*'Ход 2036'!C35)*MAX(0,1-('Россия 2036'!C29+'Россия 2036'!F29))))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9.796204326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2036'!B30+'Россия 2036'!D30+('Россия 2036'!C30+'Россия 2036'!F30+'Россия 2036'!G30)+(0.35*LN(1+0.6*'Ход 2036'!B36)*POWER(MAX(0,1-'Россия 2036'!I30/10),0.7))))</f>
        <v>8.2</v>
      </c>
      <c r="C30" s="12">
        <f>MIN(1,'Россия 2036'!C30+'Россия 2036'!F30+(0.08*LN(1+0.5*'Ход 2036'!C36)*MAX(0,1-('Россия 2036'!C30+'Россия 2036'!F30))))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8.2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2036'!B31+'Россия 2036'!D31+('Россия 2036'!C31+'Россия 2036'!F31+'Россия 2036'!G31)+(0.35*LN(1+0.6*'Ход 2036'!B37)*POWER(MAX(0,1-'Россия 2036'!I31/10),0.7))))</f>
        <v>6.1</v>
      </c>
      <c r="C31" s="12">
        <f>MIN(1,'Россия 2036'!C31+'Россия 2036'!F31+(0.08*LN(1+0.5*'Ход 2036'!C37)*MAX(0,1-('Россия 2036'!C31+'Россия 2036'!F31))))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6.1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2036'!B32+'Россия 2036'!D32+('Россия 2036'!C32+'Россия 2036'!F32+'Россия 2036'!G32)+(0.35*LN(1+0.6*'Ход 2036'!B38)*POWER(MAX(0,1-'Россия 2036'!I32/10),0.7))))</f>
        <v>10</v>
      </c>
      <c r="C32" s="12">
        <f>MIN(1,'Россия 2036'!C32+'Россия 2036'!F32+(0.08*LN(1+0.5*'Ход 2036'!C38)*MAX(0,1-('Россия 2036'!C32+'Россия 2036'!F32))))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10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2036'!B34+'Россия 2036'!D34+('Россия 2036'!C34+'Россия 2036'!F34+'Россия 2036'!G34)+(0.35*LN(1+0.6*'Ход 2036'!B40)*POWER(MAX(0,1-'Россия 2036'!I34/10),0.7))))</f>
        <v>10</v>
      </c>
      <c r="C34" s="12">
        <f>MIN(1,'Россия 2036'!C34+'Россия 2036'!F34+(0.08*LN(1+0.5*'Ход 2036'!C40)*MAX(0,1-('Россия 2036'!C34+'Россия 2036'!F34))))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2036'!B35+'Россия 2036'!D35+('Россия 2036'!C35+'Россия 2036'!F35+'Россия 2036'!G35)+(0.35*LN(1+0.6*'Ход 2036'!B41)*POWER(MAX(0,1-'Россия 2036'!I35/10),0.7))))</f>
        <v>9.581664729</v>
      </c>
      <c r="C35" s="12">
        <f>MIN(1,'Россия 2036'!C35+'Россия 2036'!F35+(0.08*LN(1+0.5*'Ход 2036'!C41)*MAX(0,1-('Россия 2036'!C35+'Россия 2036'!F35))))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9.581664729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2036'!B36+'Россия 2036'!D36+('Россия 2036'!C36+'Россия 2036'!F36+'Россия 2036'!G36)+(0.35*LN(1+0.6*'Ход 2036'!B42)*POWER(MAX(0,1-'Россия 2036'!I36/10),0.7))))</f>
        <v>10</v>
      </c>
      <c r="C36" s="12">
        <f>MIN(1,'Россия 2036'!C36+'Россия 2036'!F36+(0.08*LN(1+0.5*'Ход 2036'!C42)*MAX(0,1-('Россия 2036'!C36+'Россия 2036'!F36))))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2036'!B37+'Россия 2036'!D37+('Россия 2036'!C37+'Россия 2036'!F37+'Россия 2036'!G37)+(0.35*LN(1+0.6*'Ход 2036'!B43)*POWER(MAX(0,1-'Россия 2036'!I37/10),0.7))))</f>
        <v>9.3</v>
      </c>
      <c r="C37" s="12">
        <f>MIN(1,'Россия 2036'!C37+'Россия 2036'!F37+(0.08*LN(1+0.5*'Ход 2036'!C43)*MAX(0,1-('Россия 2036'!C37+'Россия 2036'!F37))))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9.3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2036'!B38+'Россия 2036'!D38+('Россия 2036'!C38+'Россия 2036'!F38+'Россия 2036'!G38)+(0.35*LN(1+0.6*'Ход 2036'!B44)*POWER(MAX(0,1-'Россия 2036'!I38/10),0.7))))</f>
        <v>8.75</v>
      </c>
      <c r="C38" s="12">
        <f>MIN(1,'Россия 2036'!C38+'Россия 2036'!F38+(0.08*LN(1+0.5*'Ход 2036'!C44)*MAX(0,1-('Россия 2036'!C38+'Россия 2036'!F38))))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8.75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2036'!B39+'Россия 2036'!D39+('Россия 2036'!C39+'Россия 2036'!F39+'Россия 2036'!G39)+(0.35*LN(1+0.6*'Ход 2036'!B45)*POWER(MAX(0,1-'Россия 2036'!I39/10),0.7))))</f>
        <v>8.2</v>
      </c>
      <c r="C39" s="12">
        <f>MIN(1,'Россия 2036'!C39+'Россия 2036'!F39+(0.08*LN(1+0.5*'Ход 2036'!C45)*MAX(0,1-('Россия 2036'!C39+'Россия 2036'!F39))))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8.2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2036'!B40+'Россия 2036'!D40+('Россия 2036'!C40+'Россия 2036'!F40+'Россия 2036'!G40)+(0.35*LN(1+0.6*'Ход 2036'!B46)*POWER(MAX(0,1-'Россия 2036'!I40/10),0.7))))</f>
        <v>8.1</v>
      </c>
      <c r="C40" s="12">
        <f>MIN(1,'Россия 2036'!C40+'Россия 2036'!F40+(0.08*LN(1+0.5*'Ход 2036'!C46)*MAX(0,1-('Россия 2036'!C40+'Россия 2036'!F40))))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8.1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2036'!B41+'Россия 2036'!D41+('Россия 2036'!C41+'Россия 2036'!F41+'Россия 2036'!G41)+(0.35*LN(1+0.6*'Ход 2036'!B47)*POWER(MAX(0,1-'Россия 2036'!I41/10),0.7))))</f>
        <v>9.75</v>
      </c>
      <c r="C41" s="12">
        <f>MIN(1,'Россия 2036'!C41+'Россия 2036'!F41+(0.08*LN(1+0.5*'Ход 2036'!C47)*MAX(0,1-('Россия 2036'!C41+'Россия 2036'!F41))))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9.75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2036'!B42+'Россия 2036'!D42+('Россия 2036'!C42+'Россия 2036'!F42+'Россия 2036'!G42)+(0.35*LN(1+0.6*'Ход 2036'!B48)*POWER(MAX(0,1-'Россия 2036'!I42/10),0.7))))</f>
        <v>10</v>
      </c>
      <c r="C42" s="12">
        <f>MIN(1,'Россия 2036'!C42+'Россия 2036'!F42+(0.08*LN(1+0.5*'Ход 2036'!C48)*MAX(0,1-('Россия 2036'!C42+'Россия 2036'!F42))))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10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2036'!B44+'Россия 2036'!D44+('Россия 2036'!C44+'Россия 2036'!F44+'Россия 2036'!G44)+(0.35*LN(1+0.6*'Ход 2036'!B50)*POWER(MAX(0,1-'Россия 2036'!I44/10),0.7))))</f>
        <v>9.0017683</v>
      </c>
      <c r="C44" s="12">
        <f>MIN(1,'Россия 2036'!C44+'Россия 2036'!F44+(0.08*LN(1+0.5*'Ход 2036'!C50)*MAX(0,1-('Россия 2036'!C44+'Россия 2036'!F44))))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9.0017683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2036'!B45+'Россия 2036'!D45+('Россия 2036'!C45+'Россия 2036'!F45+'Россия 2036'!G45)+(0.35*LN(1+0.6*'Ход 2036'!B51)*POWER(MAX(0,1-'Россия 2036'!I45/10),0.7))))</f>
        <v>9.3</v>
      </c>
      <c r="C45" s="12">
        <f>MIN(1,'Россия 2036'!C45+'Россия 2036'!F45+(0.08*LN(1+0.5*'Ход 2036'!C51)*MAX(0,1-('Россия 2036'!C45+'Россия 2036'!F45))))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9.3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2036'!B46+'Россия 2036'!D46+('Россия 2036'!C46+'Россия 2036'!F46+'Россия 2036'!G46)+(0.35*LN(1+0.6*'Ход 2036'!B52)*POWER(MAX(0,1-'Россия 2036'!I46/10),0.7))))</f>
        <v>6.191721311</v>
      </c>
      <c r="C46" s="12">
        <f>MIN(1,'Россия 2036'!C46+'Россия 2036'!F46+(0.08*LN(1+0.5*'Ход 2036'!C52)*MAX(0,1-('Россия 2036'!C46+'Россия 2036'!F46))))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6.191721311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2036'!B47+'Россия 2036'!D47+('Россия 2036'!C47+'Россия 2036'!F47+'Россия 2036'!G47)+(0.35*LN(1+0.6*'Ход 2036'!B53)*POWER(MAX(0,1-'Россия 2036'!I47/10),0.7))))</f>
        <v>5.556967584</v>
      </c>
      <c r="C47" s="12">
        <f>MIN(1,'Россия 2036'!C47+'Россия 2036'!F47+(0.08*LN(1+0.5*'Ход 2036'!C53)*MAX(0,1-('Россия 2036'!C47+'Россия 2036'!F47))))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5.556967584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2036'!B48+'Россия 2036'!D48+('Россия 2036'!C48+'Россия 2036'!F48+'Россия 2036'!G48)+(0.35*LN(1+0.6*'Ход 2036'!B54)*POWER(MAX(0,1-'Россия 2036'!I48/10),0.7))))</f>
        <v>8.926483894</v>
      </c>
      <c r="C48" s="12">
        <f>MIN(1,'Россия 2036'!C48+'Россия 2036'!F48+(0.08*LN(1+0.5*'Ход 2036'!C54)*MAX(0,1-('Россия 2036'!C48+'Россия 2036'!F48))))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8.926483894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2036'!B49+'Россия 2036'!D49+('Россия 2036'!C49+'Россия 2036'!F49+'Россия 2036'!G49)+(0.35*LN(1+0.6*'Ход 2036'!B55)*POWER(MAX(0,1-'Россия 2036'!I49/10),0.7))))</f>
        <v>10</v>
      </c>
      <c r="C49" s="12">
        <f>MIN(1,'Россия 2036'!C49+'Россия 2036'!F49+(0.08*LN(1+0.5*'Ход 2036'!C55)*MAX(0,1-('Россия 2036'!C49+'Россия 2036'!F49))))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10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2036'!B50+'Россия 2036'!D50+('Россия 2036'!C50+'Россия 2036'!F50+'Россия 2036'!G50)+(0.35*LN(1+0.6*'Ход 2036'!B56)*POWER(MAX(0,1-'Россия 2036'!I50/10),0.7))))</f>
        <v>10</v>
      </c>
      <c r="C50" s="12">
        <f>MIN(1,'Россия 2036'!C50+'Россия 2036'!F50+(0.08*LN(1+0.5*'Ход 2036'!C56)*MAX(0,1-('Россия 2036'!C50+'Россия 2036'!F50))))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10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2036'!B51+'Россия 2036'!D51+('Россия 2036'!C51+'Россия 2036'!F51+'Россия 2036'!G51)+(0.35*LN(1+0.6*'Ход 2036'!B57)*POWER(MAX(0,1-'Россия 2036'!I51/10),0.7))))</f>
        <v>9.3</v>
      </c>
      <c r="C51" s="12">
        <f>MIN(1,'Россия 2036'!C51+'Россия 2036'!F51+(0.08*LN(1+0.5*'Ход 2036'!C57)*MAX(0,1-('Россия 2036'!C51+'Россия 2036'!F51))))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9.3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2036'!B53+'Россия 2036'!D53+('Россия 2036'!C53+'Россия 2036'!F53+'Россия 2036'!G53)+(0.35*LN(1+0.6*'Ход 2036'!B59)*POWER(MAX(0,1-'Россия 2036'!I53/10),0.7))))</f>
        <v>9.35</v>
      </c>
      <c r="C53" s="12">
        <f>MIN(1,'Россия 2036'!C53+'Россия 2036'!F53+(0.08*LN(1+0.5*'Ход 2036'!C59)*MAX(0,1-('Россия 2036'!C53+'Россия 2036'!F53))))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9.35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2036'!B54+'Россия 2036'!D54+('Россия 2036'!C54+'Россия 2036'!F54+'Россия 2036'!G54)+(0.35*LN(1+0.6*'Ход 2036'!B60)*POWER(MAX(0,1-'Россия 2036'!I54/10),0.7))))</f>
        <v>7.65</v>
      </c>
      <c r="C54" s="12">
        <f>MIN(1,'Россия 2036'!C54+'Россия 2036'!F54+(0.08*LN(1+0.5*'Ход 2036'!C60)*MAX(0,1-('Россия 2036'!C54+'Россия 2036'!F54))))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7.65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2036'!B55+'Россия 2036'!D55+('Россия 2036'!C55+'Россия 2036'!F55+'Россия 2036'!G55)+(0.35*LN(1+0.6*'Ход 2036'!B61)*POWER(MAX(0,1-'Россия 2036'!I55/10),0.7))))</f>
        <v>6.65</v>
      </c>
      <c r="C55" s="12">
        <f>MIN(1,'Россия 2036'!C55+'Россия 2036'!F55+(0.08*LN(1+0.5*'Ход 2036'!C61)*MAX(0,1-('Россия 2036'!C55+'Россия 2036'!F55))))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6.65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401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2037'!U6</f>
        <v>98.29111639</v>
      </c>
      <c r="C6" s="12"/>
      <c r="D6" s="12"/>
      <c r="E6" s="12" t="s">
        <v>54</v>
      </c>
      <c r="F6" s="19">
        <f>'Россия 2037'!K6</f>
        <v>81.7849738</v>
      </c>
      <c r="G6" s="12"/>
      <c r="H6" s="12"/>
      <c r="I6" s="12" t="s">
        <v>54</v>
      </c>
      <c r="J6" s="19">
        <f>'Россия 2037'!N6</f>
        <v>76.26880005</v>
      </c>
      <c r="K6" s="12"/>
      <c r="L6" s="12"/>
      <c r="M6" s="12" t="s">
        <v>54</v>
      </c>
      <c r="N6" s="19">
        <f>'Россия 2037'!Q6</f>
        <v>77.50115216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98.29111639</v>
      </c>
      <c r="C8" s="12" t="str">
        <f>IF(B8&lt;0,"ПРЕВЫШЕНИЕ","OK")</f>
        <v>OK</v>
      </c>
      <c r="D8" s="12"/>
      <c r="E8" s="12" t="s">
        <v>91</v>
      </c>
      <c r="F8" s="19">
        <f>F6-F7</f>
        <v>81.7849738</v>
      </c>
      <c r="G8" s="12" t="str">
        <f>IF(F8&lt;0,"ПРЕВЫШЕНИЕ","OK")</f>
        <v>OK</v>
      </c>
      <c r="H8" s="12"/>
      <c r="I8" s="12" t="s">
        <v>91</v>
      </c>
      <c r="J8" s="19">
        <f>J6-J7</f>
        <v>76.26880005</v>
      </c>
      <c r="K8" s="12" t="str">
        <f>IF(J8&lt;0,"ПРЕВЫШЕНИЕ","OK")</f>
        <v>OK</v>
      </c>
      <c r="L8" s="12"/>
      <c r="M8" s="12" t="s">
        <v>91</v>
      </c>
      <c r="N8" s="19">
        <f>N6-N7</f>
        <v>77.50115216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2037'!V11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19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2037'!V12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46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2037'!V13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57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2037'!V14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68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2037'!V15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54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2037'!V16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34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2037'!V17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60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2037'!V18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26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2037'!V19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49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2037'!V20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6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2037'!V21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52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2037'!V22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21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2037'!V23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81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2037'!V24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96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2037'!V25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53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2037'!V26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80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IF(G29="","",VLOOKUP(G29,'Технологии'!$A$11:$BF$50,55,FALSE))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IF(G30="","",VLOOKUP(G30,'Технологии'!$A$11:$BF$50,55,FALSE))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IF(G31="","",VLOOKUP(G31,'Технологии'!$A$11:$BF$50,55,FALSE))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IF(G32="","",VLOOKUP(G32,'Технологии'!$A$11:$BF$50,55,FALSE))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IF(G33="","",VLOOKUP(G33,'Технологии'!$A$11:$BF$50,55,FALSE))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IF(G34="","",VLOOKUP(G34,'Технологии'!$A$11:$BF$50,55,FALSE))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IF(G35="","",VLOOKUP(G35,'Технологии'!$A$11:$BF$50,55,FALSE))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IF(G36="","",VLOOKUP(G36,'Технологии'!$A$11:$BF$50,55,FALSE))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IF(G37="","",VLOOKUP(G37,'Технологии'!$A$11:$BF$50,55,FALSE))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IF(G38="","",VLOOKUP(G38,'Технологии'!$A$11:$BF$50,55,FALSE))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402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82.39155749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76.28944946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78.07235671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98.54862868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2037'!B8+'Россия 2037'!D8+('Россия 2037'!C8+'Россия 2037'!F8+'Россия 2037'!G8)+(0.35*LN(1+0.6*'Ход 2037'!B14)*POWER(MAX(0,1-'Россия 2037'!I8/10),0.7))))</f>
        <v>10</v>
      </c>
      <c r="C8" s="12">
        <f>MIN(1,'Россия 2037'!C8+'Россия 2037'!F8+(0.08*LN(1+0.5*'Ход 2037'!C14)*MAX(0,1-('Россия 2037'!C8+'Россия 2037'!F8))))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2037'!B9+'Россия 2037'!D9+('Россия 2037'!C9+'Россия 2037'!F9+'Россия 2037'!G9)+(0.35*LN(1+0.6*'Ход 2037'!B15)*POWER(MAX(0,1-'Россия 2037'!I9/10),0.7))))</f>
        <v>8.28194513</v>
      </c>
      <c r="C9" s="12">
        <f>MIN(1,'Россия 2037'!C9+'Россия 2037'!F9+(0.08*LN(1+0.5*'Ход 2037'!C15)*MAX(0,1-('Россия 2037'!C9+'Россия 2037'!F9))))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8.28194513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2037'!B10+'Россия 2037'!D10+('Россия 2037'!C10+'Россия 2037'!F10+'Россия 2037'!G10)+(0.35*LN(1+0.6*'Ход 2037'!B16)*POWER(MAX(0,1-'Россия 2037'!I10/10),0.7))))</f>
        <v>10</v>
      </c>
      <c r="C10" s="12">
        <f>MIN(1,'Россия 2037'!C10+'Россия 2037'!F10+(0.08*LN(1+0.5*'Ход 2037'!C16)*MAX(0,1-('Россия 2037'!C10+'Россия 2037'!F10))))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2037'!B11+'Россия 2037'!D11+('Россия 2037'!C11+'Россия 2037'!F11+'Россия 2037'!G11)+(0.35*LN(1+0.6*'Ход 2037'!B17)*POWER(MAX(0,1-'Россия 2037'!I11/10),0.7))))</f>
        <v>10</v>
      </c>
      <c r="C11" s="12">
        <f>MIN(1,'Россия 2037'!C11+'Россия 2037'!F11+(0.08*LN(1+0.5*'Ход 2037'!C17)*MAX(0,1-('Россия 2037'!C11+'Россия 2037'!F11))))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10</v>
      </c>
      <c r="J11" s="12"/>
      <c r="K11" s="12" t="s">
        <v>110</v>
      </c>
      <c r="L11" s="12">
        <f>MAX(1,MIN(10,'Россия 2037'!L11+'Россия 2037'!N11+('Россия 2037'!M11+'Россия 2037'!P11+'Россия 2037'!Q11)))</f>
        <v>10</v>
      </c>
      <c r="M11" s="12">
        <f>MIN(1,'Россия 2037'!M11+'Россия 2037'!P11+(0.1*LN(1+0.5*'Ход 2037'!H13)*POWER(MAX(0,1-'Россия 2037'!S11/10),0.8)))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10</v>
      </c>
      <c r="T11" s="12"/>
      <c r="U11" s="12" t="s">
        <v>111</v>
      </c>
      <c r="V11" s="25">
        <f>'Россия 2037'!V11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2037'!B12+'Россия 2037'!D12+('Россия 2037'!C12+'Россия 2037'!F12+'Россия 2037'!G12)+(0.35*LN(1+0.6*'Ход 2037'!B18)*POWER(MAX(0,1-'Россия 2037'!I12/10),0.7))))</f>
        <v>9</v>
      </c>
      <c r="C12" s="12">
        <f>MIN(1,'Россия 2037'!C12+'Россия 2037'!F12+(0.08*LN(1+0.5*'Ход 2037'!C18)*MAX(0,1-('Россия 2037'!C12+'Россия 2037'!F12))))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2037'!L12+'Россия 2037'!N12+('Россия 2037'!M12+'Россия 2037'!P12+'Россия 2037'!Q12)))</f>
        <v>10</v>
      </c>
      <c r="M12" s="12">
        <f>MIN(1,'Россия 2037'!M12+'Россия 2037'!P12+(0.1*LN(1+0.5*'Ход 2037'!H14)*POWER(MAX(0,1-'Россия 2037'!S12/10),0.8)))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10</v>
      </c>
      <c r="T12" s="12"/>
      <c r="U12" s="12" t="s">
        <v>122</v>
      </c>
      <c r="V12" s="25">
        <f>'Россия 2037'!V12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2037'!B13+'Россия 2037'!D13+('Россия 2037'!C13+'Россия 2037'!F13+'Россия 2037'!G13)+(0.35*LN(1+0.6*'Ход 2037'!B19)*POWER(MAX(0,1-'Россия 2037'!I13/10),0.7))))</f>
        <v>6.826823559</v>
      </c>
      <c r="C13" s="12">
        <f>MIN(1,'Россия 2037'!C13+'Россия 2037'!F13+(0.08*LN(1+0.5*'Ход 2037'!C19)*MAX(0,1-('Россия 2037'!C13+'Россия 2037'!F13))))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6.826823559</v>
      </c>
      <c r="J13" s="12"/>
      <c r="K13" s="12" t="s">
        <v>127</v>
      </c>
      <c r="L13" s="12">
        <f>MAX(1,MIN(10,'Россия 2037'!L13+'Россия 2037'!N13+('Россия 2037'!M13+'Россия 2037'!P13+'Россия 2037'!Q13)))</f>
        <v>10</v>
      </c>
      <c r="M13" s="12">
        <f>MIN(1,'Россия 2037'!M13+'Россия 2037'!P13+(0.1*LN(1+0.5*'Ход 2037'!H15)*POWER(MAX(0,1-'Россия 2037'!S13/10),0.8)))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10</v>
      </c>
      <c r="T13" s="12"/>
      <c r="U13" s="12" t="s">
        <v>128</v>
      </c>
      <c r="V13" s="25">
        <f>'Россия 2037'!V13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2037'!B14+'Россия 2037'!D14+('Россия 2037'!C14+'Россия 2037'!F14+'Россия 2037'!G14)+(0.35*LN(1+0.6*'Ход 2037'!B20)*POWER(MAX(0,1-'Россия 2037'!I14/10),0.7))))</f>
        <v>7.984301418</v>
      </c>
      <c r="C14" s="12">
        <f>MIN(1,'Россия 2037'!C14+'Россия 2037'!F14+(0.08*LN(1+0.5*'Ход 2037'!C20)*MAX(0,1-('Россия 2037'!C14+'Россия 2037'!F14))))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7.984301418</v>
      </c>
      <c r="J14" s="12"/>
      <c r="K14" s="12" t="s">
        <v>131</v>
      </c>
      <c r="L14" s="12">
        <f>MAX(1,MIN(10,'Россия 2037'!L14+'Россия 2037'!N14+('Россия 2037'!M14+'Россия 2037'!P14+'Россия 2037'!Q14)))</f>
        <v>10</v>
      </c>
      <c r="M14" s="12">
        <f>MIN(1,'Россия 2037'!M14+'Россия 2037'!P14+(0.1*LN(1+0.5*'Ход 2037'!H16)*POWER(MAX(0,1-'Россия 2037'!S14/10),0.8)))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10</v>
      </c>
      <c r="T14" s="12"/>
      <c r="U14" s="12" t="s">
        <v>132</v>
      </c>
      <c r="V14" s="25">
        <f>'Россия 2037'!V14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2037'!B15+'Россия 2037'!D15+('Россия 2037'!C15+'Россия 2037'!F15+'Россия 2037'!G15)+(0.35*LN(1+0.6*'Ход 2037'!B21)*POWER(MAX(0,1-'Россия 2037'!I15/10),0.7))))</f>
        <v>10</v>
      </c>
      <c r="C15" s="12">
        <f>MIN(1,'Россия 2037'!C15+'Россия 2037'!F15+(0.08*LN(1+0.5*'Ход 2037'!C21)*MAX(0,1-('Россия 2037'!C15+'Россия 2037'!F15))))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10</v>
      </c>
      <c r="J15" s="12"/>
      <c r="K15" s="12" t="s">
        <v>135</v>
      </c>
      <c r="L15" s="12">
        <f>MAX(1,MIN(10,'Россия 2037'!L15+'Россия 2037'!N15+('Россия 2037'!M15+'Россия 2037'!P15+'Россия 2037'!Q15)))</f>
        <v>9</v>
      </c>
      <c r="M15" s="12">
        <f>MIN(1,'Россия 2037'!M15+'Россия 2037'!P15+(0.1*LN(1+0.5*'Ход 2037'!H17)*POWER(MAX(0,1-'Россия 2037'!S15/10),0.8)))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9</v>
      </c>
      <c r="T15" s="12"/>
      <c r="U15" s="12" t="s">
        <v>136</v>
      </c>
      <c r="V15" s="25">
        <f>'Россия 2037'!V15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2037'!B16+'Россия 2037'!D16+('Россия 2037'!C16+'Россия 2037'!F16+'Россия 2037'!G16)+(0.35*LN(1+0.6*'Ход 2037'!B22)*POWER(MAX(0,1-'Россия 2037'!I16/10),0.7))))</f>
        <v>10</v>
      </c>
      <c r="C16" s="12">
        <f>MIN(1,'Россия 2037'!C16+'Россия 2037'!F16+(0.08*LN(1+0.5*'Ход 2037'!C22)*MAX(0,1-('Россия 2037'!C16+'Россия 2037'!F16))))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2037'!L16+'Россия 2037'!N16+('Россия 2037'!M16+'Россия 2037'!P16+'Россия 2037'!Q16)))</f>
        <v>10</v>
      </c>
      <c r="M16" s="12">
        <f>MIN(1,'Россия 2037'!M16+'Россия 2037'!P16+(0.1*LN(1+0.5*'Ход 2037'!H18)*POWER(MAX(0,1-'Россия 2037'!S16/10),0.8)))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2037'!V16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2037'!B17+'Россия 2037'!D17+('Россия 2037'!C17+'Россия 2037'!F17+'Россия 2037'!G17)+(0.35*LN(1+0.6*'Ход 2037'!B23)*POWER(MAX(0,1-'Россия 2037'!I17/10),0.7))))</f>
        <v>9.801549305</v>
      </c>
      <c r="C17" s="12">
        <f>MIN(1,'Россия 2037'!C17+'Россия 2037'!F17+(0.08*LN(1+0.5*'Ход 2037'!C23)*MAX(0,1-('Россия 2037'!C17+'Россия 2037'!F17))))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9.801549305</v>
      </c>
      <c r="J17" s="12"/>
      <c r="K17" s="12" t="s">
        <v>148</v>
      </c>
      <c r="L17" s="12">
        <f>MAX(1,MIN(10,'Россия 2037'!L17+'Россия 2037'!N17+('Россия 2037'!M17+'Россия 2037'!P17+'Россия 2037'!Q17)))</f>
        <v>10</v>
      </c>
      <c r="M17" s="12">
        <f>MIN(1,'Россия 2037'!M17+'Россия 2037'!P17+(0.1*LN(1+0.5*'Ход 2037'!H19)*POWER(MAX(0,1-'Россия 2037'!S17/10),0.8)))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2037'!V17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2037'!L18+'Россия 2037'!N18+('Россия 2037'!M18+'Россия 2037'!P18+'Россия 2037'!Q18)))</f>
        <v>10</v>
      </c>
      <c r="M18" s="12">
        <f>MIN(1,'Россия 2037'!M18+'Россия 2037'!P18+(0.1*LN(1+0.5*'Ход 2037'!H20)*POWER(MAX(0,1-'Россия 2037'!S18/10),0.8)))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2037'!V18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2037'!B19+'Россия 2037'!D19+('Россия 2037'!C19+'Россия 2037'!F19+'Россия 2037'!G19)+(0.35*LN(1+0.6*'Ход 2037'!B25)*POWER(MAX(0,1-'Россия 2037'!I19/10),0.7))))</f>
        <v>10</v>
      </c>
      <c r="C19" s="12">
        <f>MIN(1,'Россия 2037'!C19+'Россия 2037'!F19+(0.08*LN(1+0.5*'Ход 2037'!C25)*MAX(0,1-('Россия 2037'!C19+'Россия 2037'!F19))))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10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2037'!V19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2037'!B20+'Россия 2037'!D20+('Россия 2037'!C20+'Россия 2037'!F20+'Россия 2037'!G20)+(0.35*LN(1+0.6*'Ход 2037'!B26)*POWER(MAX(0,1-'Россия 2037'!I20/10),0.7))))</f>
        <v>10</v>
      </c>
      <c r="C20" s="12">
        <f>MIN(1,'Россия 2037'!C20+'Россия 2037'!F20+(0.08*LN(1+0.5*'Ход 2037'!C26)*MAX(0,1-('Россия 2037'!C20+'Россия 2037'!F20))))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2037'!V20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2037'!B21+'Россия 2037'!D21+('Россия 2037'!C21+'Россия 2037'!F21+'Россия 2037'!G21)+(0.35*LN(1+0.6*'Ход 2037'!B27)*POWER(MAX(0,1-'Россия 2037'!I21/10),0.7))))</f>
        <v>10</v>
      </c>
      <c r="C21" s="12">
        <f>MIN(1,'Россия 2037'!C21+'Россия 2037'!F21+(0.08*LN(1+0.5*'Ход 2037'!C27)*MAX(0,1-('Россия 2037'!C21+'Россия 2037'!F21))))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10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2037'!V21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2037'!B22+'Россия 2037'!D22+('Россия 2037'!C22+'Россия 2037'!F22+'Россия 2037'!G22)+(0.35*LN(1+0.6*'Ход 2037'!B28)*POWER(MAX(0,1-'Россия 2037'!I22/10),0.7))))</f>
        <v>10</v>
      </c>
      <c r="C22" s="12">
        <f>MIN(1,'Россия 2037'!C22+'Россия 2037'!F22+(0.08*LN(1+0.5*'Ход 2037'!C28)*MAX(0,1-('Россия 2037'!C22+'Россия 2037'!F22))))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2037'!V22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2037'!B23+'Россия 2037'!D23+('Россия 2037'!C23+'Россия 2037'!F23+'Россия 2037'!G23)+(0.35*LN(1+0.6*'Ход 2037'!B29)*POWER(MAX(0,1-'Россия 2037'!I23/10),0.7))))</f>
        <v>10</v>
      </c>
      <c r="C23" s="12">
        <f>MIN(1,'Россия 2037'!C23+'Россия 2037'!F23+(0.08*LN(1+0.5*'Ход 2037'!C29)*MAX(0,1-('Россия 2037'!C23+'Россия 2037'!F23))))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2037'!V23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2037'!V24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2037'!B25+'Россия 2037'!D25+('Россия 2037'!C25+'Россия 2037'!F25+'Россия 2037'!G25)+(0.35*LN(1+0.6*'Ход 2037'!B31)*POWER(MAX(0,1-'Россия 2037'!I25/10),0.7))))</f>
        <v>10</v>
      </c>
      <c r="C25" s="12">
        <f>MIN(1,'Россия 2037'!C25+'Россия 2037'!F25+(0.08*LN(1+0.5*'Ход 2037'!C31)*MAX(0,1-('Россия 2037'!C25+'Россия 2037'!F25))))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2037'!V25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2037'!B26+'Россия 2037'!D26+('Россия 2037'!C26+'Россия 2037'!F26+'Россия 2037'!G26)+(0.35*LN(1+0.6*'Ход 2037'!B32)*POWER(MAX(0,1-'Россия 2037'!I26/10),0.7))))</f>
        <v>10</v>
      </c>
      <c r="C26" s="12">
        <f>MIN(1,'Россия 2037'!C26+'Россия 2037'!F26+(0.08*LN(1+0.5*'Ход 2037'!C32)*MAX(0,1-('Россия 2037'!C26+'Россия 2037'!F26))))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10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2037'!V26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2037'!B27+'Россия 2037'!D27+('Россия 2037'!C27+'Россия 2037'!F27+'Россия 2037'!G27)+(0.35*LN(1+0.6*'Ход 2037'!B33)*POWER(MAX(0,1-'Россия 2037'!I27/10),0.7))))</f>
        <v>10</v>
      </c>
      <c r="C27" s="12">
        <f>MIN(1,'Россия 2037'!C27+'Россия 2037'!F27+(0.08*LN(1+0.5*'Ход 2037'!C33)*MAX(0,1-('Россия 2037'!C27+'Россия 2037'!F27))))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10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2037'!B28+'Россия 2037'!D28+('Россия 2037'!C28+'Россия 2037'!F28+'Россия 2037'!G28)+(0.35*LN(1+0.6*'Ход 2037'!B34)*POWER(MAX(0,1-'Россия 2037'!I28/10),0.7))))</f>
        <v>10</v>
      </c>
      <c r="C28" s="12">
        <f>MIN(1,'Россия 2037'!C28+'Россия 2037'!F28+(0.08*LN(1+0.5*'Ход 2037'!C34)*MAX(0,1-('Россия 2037'!C28+'Россия 2037'!F28))))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2037'!B29+'Россия 2037'!D29+('Россия 2037'!C29+'Россия 2037'!F29+'Россия 2037'!G29)+(0.35*LN(1+0.6*'Ход 2037'!B35)*POWER(MAX(0,1-'Россия 2037'!I29/10),0.7))))</f>
        <v>10</v>
      </c>
      <c r="C29" s="12">
        <f>MIN(1,'Россия 2037'!C29+'Россия 2037'!F29+(0.08*LN(1+0.5*'Ход 2037'!C35)*MAX(0,1-('Россия 2037'!C29+'Россия 2037'!F29))))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10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2037'!B30+'Россия 2037'!D30+('Россия 2037'!C30+'Россия 2037'!F30+'Россия 2037'!G30)+(0.35*LN(1+0.6*'Ход 2037'!B36)*POWER(MAX(0,1-'Россия 2037'!I30/10),0.7))))</f>
        <v>8.4</v>
      </c>
      <c r="C30" s="12">
        <f>MIN(1,'Россия 2037'!C30+'Россия 2037'!F30+(0.08*LN(1+0.5*'Ход 2037'!C36)*MAX(0,1-('Россия 2037'!C30+'Россия 2037'!F30))))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8.4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2037'!B31+'Россия 2037'!D31+('Россия 2037'!C31+'Россия 2037'!F31+'Россия 2037'!G31)+(0.35*LN(1+0.6*'Ход 2037'!B37)*POWER(MAX(0,1-'Россия 2037'!I31/10),0.7))))</f>
        <v>6.2</v>
      </c>
      <c r="C31" s="12">
        <f>MIN(1,'Россия 2037'!C31+'Россия 2037'!F31+(0.08*LN(1+0.5*'Ход 2037'!C37)*MAX(0,1-('Россия 2037'!C31+'Россия 2037'!F31))))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6.2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2037'!B32+'Россия 2037'!D32+('Россия 2037'!C32+'Россия 2037'!F32+'Россия 2037'!G32)+(0.35*LN(1+0.6*'Ход 2037'!B38)*POWER(MAX(0,1-'Россия 2037'!I32/10),0.7))))</f>
        <v>10</v>
      </c>
      <c r="C32" s="12">
        <f>MIN(1,'Россия 2037'!C32+'Россия 2037'!F32+(0.08*LN(1+0.5*'Ход 2037'!C38)*MAX(0,1-('Россия 2037'!C32+'Россия 2037'!F32))))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10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2037'!B34+'Россия 2037'!D34+('Россия 2037'!C34+'Россия 2037'!F34+'Россия 2037'!G34)+(0.35*LN(1+0.6*'Ход 2037'!B40)*POWER(MAX(0,1-'Россия 2037'!I34/10),0.7))))</f>
        <v>10</v>
      </c>
      <c r="C34" s="12">
        <f>MIN(1,'Россия 2037'!C34+'Россия 2037'!F34+(0.08*LN(1+0.5*'Ход 2037'!C40)*MAX(0,1-('Россия 2037'!C34+'Россия 2037'!F34))))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2037'!B35+'Россия 2037'!D35+('Россия 2037'!C35+'Россия 2037'!F35+'Россия 2037'!G35)+(0.35*LN(1+0.6*'Ход 2037'!B41)*POWER(MAX(0,1-'Россия 2037'!I35/10),0.7))))</f>
        <v>9.631664729</v>
      </c>
      <c r="C35" s="12">
        <f>MIN(1,'Россия 2037'!C35+'Россия 2037'!F35+(0.08*LN(1+0.5*'Ход 2037'!C41)*MAX(0,1-('Россия 2037'!C35+'Россия 2037'!F35))))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9.631664729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2037'!B36+'Россия 2037'!D36+('Россия 2037'!C36+'Россия 2037'!F36+'Россия 2037'!G36)+(0.35*LN(1+0.6*'Ход 2037'!B42)*POWER(MAX(0,1-'Россия 2037'!I36/10),0.7))))</f>
        <v>10</v>
      </c>
      <c r="C36" s="12">
        <f>MIN(1,'Россия 2037'!C36+'Россия 2037'!F36+(0.08*LN(1+0.5*'Ход 2037'!C42)*MAX(0,1-('Россия 2037'!C36+'Россия 2037'!F36))))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2037'!B37+'Россия 2037'!D37+('Россия 2037'!C37+'Россия 2037'!F37+'Россия 2037'!G37)+(0.35*LN(1+0.6*'Ход 2037'!B43)*POWER(MAX(0,1-'Россия 2037'!I37/10),0.7))))</f>
        <v>9.6</v>
      </c>
      <c r="C37" s="12">
        <f>MIN(1,'Россия 2037'!C37+'Россия 2037'!F37+(0.08*LN(1+0.5*'Ход 2037'!C43)*MAX(0,1-('Россия 2037'!C37+'Россия 2037'!F37))))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9.6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2037'!B38+'Россия 2037'!D38+('Россия 2037'!C38+'Россия 2037'!F38+'Россия 2037'!G38)+(0.35*LN(1+0.6*'Ход 2037'!B44)*POWER(MAX(0,1-'Россия 2037'!I38/10),0.7))))</f>
        <v>9</v>
      </c>
      <c r="C38" s="12">
        <f>MIN(1,'Россия 2037'!C38+'Россия 2037'!F38+(0.08*LN(1+0.5*'Ход 2037'!C44)*MAX(0,1-('Россия 2037'!C38+'Россия 2037'!F38))))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9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2037'!B39+'Россия 2037'!D39+('Россия 2037'!C39+'Россия 2037'!F39+'Россия 2037'!G39)+(0.35*LN(1+0.6*'Ход 2037'!B45)*POWER(MAX(0,1-'Россия 2037'!I39/10),0.7))))</f>
        <v>8.4</v>
      </c>
      <c r="C39" s="12">
        <f>MIN(1,'Россия 2037'!C39+'Россия 2037'!F39+(0.08*LN(1+0.5*'Ход 2037'!C45)*MAX(0,1-('Россия 2037'!C39+'Россия 2037'!F39))))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8.4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2037'!B40+'Россия 2037'!D40+('Россия 2037'!C40+'Россия 2037'!F40+'Россия 2037'!G40)+(0.35*LN(1+0.6*'Ход 2037'!B46)*POWER(MAX(0,1-'Россия 2037'!I40/10),0.7))))</f>
        <v>8.2</v>
      </c>
      <c r="C40" s="12">
        <f>MIN(1,'Россия 2037'!C40+'Россия 2037'!F40+(0.08*LN(1+0.5*'Ход 2037'!C46)*MAX(0,1-('Россия 2037'!C40+'Россия 2037'!F40))))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8.2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2037'!B41+'Россия 2037'!D41+('Россия 2037'!C41+'Россия 2037'!F41+'Россия 2037'!G41)+(0.35*LN(1+0.6*'Ход 2037'!B47)*POWER(MAX(0,1-'Россия 2037'!I41/10),0.7))))</f>
        <v>10</v>
      </c>
      <c r="C41" s="12">
        <f>MIN(1,'Россия 2037'!C41+'Россия 2037'!F41+(0.08*LN(1+0.5*'Ход 2037'!C47)*MAX(0,1-('Россия 2037'!C41+'Россия 2037'!F41))))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10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2037'!B42+'Россия 2037'!D42+('Россия 2037'!C42+'Россия 2037'!F42+'Россия 2037'!G42)+(0.35*LN(1+0.6*'Ход 2037'!B48)*POWER(MAX(0,1-'Россия 2037'!I42/10),0.7))))</f>
        <v>10</v>
      </c>
      <c r="C42" s="12">
        <f>MIN(1,'Россия 2037'!C42+'Россия 2037'!F42+(0.08*LN(1+0.5*'Ход 2037'!C48)*MAX(0,1-('Россия 2037'!C42+'Россия 2037'!F42))))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10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2037'!B44+'Россия 2037'!D44+('Россия 2037'!C44+'Россия 2037'!F44+'Россия 2037'!G44)+(0.35*LN(1+0.6*'Ход 2037'!B50)*POWER(MAX(0,1-'Россия 2037'!I44/10),0.7))))</f>
        <v>9.28194513</v>
      </c>
      <c r="C44" s="12">
        <f>MIN(1,'Россия 2037'!C44+'Россия 2037'!F44+(0.08*LN(1+0.5*'Ход 2037'!C50)*MAX(0,1-('Россия 2037'!C44+'Россия 2037'!F44))))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9.28194513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2037'!B45+'Россия 2037'!D45+('Россия 2037'!C45+'Россия 2037'!F45+'Россия 2037'!G45)+(0.35*LN(1+0.6*'Ход 2037'!B51)*POWER(MAX(0,1-'Россия 2037'!I45/10),0.7))))</f>
        <v>9.6</v>
      </c>
      <c r="C45" s="12">
        <f>MIN(1,'Россия 2037'!C45+'Россия 2037'!F45+(0.08*LN(1+0.5*'Ход 2037'!C51)*MAX(0,1-('Россия 2037'!C45+'Россия 2037'!F45))))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9.6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2037'!B46+'Россия 2037'!D46+('Россия 2037'!C46+'Россия 2037'!F46+'Россия 2037'!G46)+(0.35*LN(1+0.6*'Ход 2037'!B52)*POWER(MAX(0,1-'Россия 2037'!I46/10),0.7))))</f>
        <v>6.291721311</v>
      </c>
      <c r="C46" s="12">
        <f>MIN(1,'Россия 2037'!C46+'Россия 2037'!F46+(0.08*LN(1+0.5*'Ход 2037'!C52)*MAX(0,1-('Россия 2037'!C46+'Россия 2037'!F46))))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6.291721311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2037'!B47+'Россия 2037'!D47+('Россия 2037'!C47+'Россия 2037'!F47+'Россия 2037'!G47)+(0.35*LN(1+0.6*'Ход 2037'!B53)*POWER(MAX(0,1-'Россия 2037'!I47/10),0.7))))</f>
        <v>5.792732823</v>
      </c>
      <c r="C47" s="12">
        <f>MIN(1,'Россия 2037'!C47+'Россия 2037'!F47+(0.08*LN(1+0.5*'Ход 2037'!C53)*MAX(0,1-('Россия 2037'!C47+'Россия 2037'!F47))))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5.792732823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2037'!B48+'Россия 2037'!D48+('Россия 2037'!C48+'Россия 2037'!F48+'Россия 2037'!G48)+(0.35*LN(1+0.6*'Ход 2037'!B54)*POWER(MAX(0,1-'Россия 2037'!I48/10),0.7))))</f>
        <v>9.163587396</v>
      </c>
      <c r="C48" s="12">
        <f>MIN(1,'Россия 2037'!C48+'Россия 2037'!F48+(0.08*LN(1+0.5*'Ход 2037'!C54)*MAX(0,1-('Россия 2037'!C48+'Россия 2037'!F48))))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9.163587396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2037'!B49+'Россия 2037'!D49+('Россия 2037'!C49+'Россия 2037'!F49+'Россия 2037'!G49)+(0.35*LN(1+0.6*'Ход 2037'!B55)*POWER(MAX(0,1-'Россия 2037'!I49/10),0.7))))</f>
        <v>10</v>
      </c>
      <c r="C49" s="12">
        <f>MIN(1,'Россия 2037'!C49+'Россия 2037'!F49+(0.08*LN(1+0.5*'Ход 2037'!C55)*MAX(0,1-('Россия 2037'!C49+'Россия 2037'!F49))))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10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2037'!B50+'Россия 2037'!D50+('Россия 2037'!C50+'Россия 2037'!F50+'Россия 2037'!G50)+(0.35*LN(1+0.6*'Ход 2037'!B56)*POWER(MAX(0,1-'Россия 2037'!I50/10),0.7))))</f>
        <v>10</v>
      </c>
      <c r="C50" s="12">
        <f>MIN(1,'Россия 2037'!C50+'Россия 2037'!F50+(0.08*LN(1+0.5*'Ход 2037'!C56)*MAX(0,1-('Россия 2037'!C50+'Россия 2037'!F50))))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10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2037'!B51+'Россия 2037'!D51+('Россия 2037'!C51+'Россия 2037'!F51+'Россия 2037'!G51)+(0.35*LN(1+0.6*'Ход 2037'!B57)*POWER(MAX(0,1-'Россия 2037'!I51/10),0.7))))</f>
        <v>9.6</v>
      </c>
      <c r="C51" s="12">
        <f>MIN(1,'Россия 2037'!C51+'Россия 2037'!F51+(0.08*LN(1+0.5*'Ход 2037'!C57)*MAX(0,1-('Россия 2037'!C51+'Россия 2037'!F51))))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9.6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2037'!B53+'Россия 2037'!D53+('Россия 2037'!C53+'Россия 2037'!F53+'Россия 2037'!G53)+(0.35*LN(1+0.6*'Ход 2037'!B59)*POWER(MAX(0,1-'Россия 2037'!I53/10),0.7))))</f>
        <v>9.65</v>
      </c>
      <c r="C53" s="12">
        <f>MIN(1,'Россия 2037'!C53+'Россия 2037'!F53+(0.08*LN(1+0.5*'Ход 2037'!C59)*MAX(0,1-('Россия 2037'!C53+'Россия 2037'!F53))))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9.65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2037'!B54+'Россия 2037'!D54+('Россия 2037'!C54+'Россия 2037'!F54+'Россия 2037'!G54)+(0.35*LN(1+0.6*'Ход 2037'!B60)*POWER(MAX(0,1-'Россия 2037'!I54/10),0.7))))</f>
        <v>7.8</v>
      </c>
      <c r="C54" s="12">
        <f>MIN(1,'Россия 2037'!C54+'Россия 2037'!F54+(0.08*LN(1+0.5*'Ход 2037'!C60)*MAX(0,1-('Россия 2037'!C54+'Россия 2037'!F54))))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7.8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2037'!B55+'Россия 2037'!D55+('Россия 2037'!C55+'Россия 2037'!F55+'Россия 2037'!G55)+(0.35*LN(1+0.6*'Ход 2037'!B61)*POWER(MAX(0,1-'Россия 2037'!I55/10),0.7))))</f>
        <v>6.8</v>
      </c>
      <c r="C55" s="12">
        <f>MIN(1,'Россия 2037'!C55+'Россия 2037'!F55+(0.08*LN(1+0.5*'Ход 2037'!C61)*MAX(0,1-('Россия 2037'!C55+'Россия 2037'!F55))))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6.8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403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2038'!U6</f>
        <v>98.54862868</v>
      </c>
      <c r="C6" s="12"/>
      <c r="D6" s="12"/>
      <c r="E6" s="12" t="s">
        <v>54</v>
      </c>
      <c r="F6" s="19">
        <f>'Россия 2038'!K6</f>
        <v>82.39155749</v>
      </c>
      <c r="G6" s="12"/>
      <c r="H6" s="12"/>
      <c r="I6" s="12" t="s">
        <v>54</v>
      </c>
      <c r="J6" s="19">
        <f>'Россия 2038'!N6</f>
        <v>76.28944946</v>
      </c>
      <c r="K6" s="12"/>
      <c r="L6" s="12"/>
      <c r="M6" s="12" t="s">
        <v>54</v>
      </c>
      <c r="N6" s="19">
        <f>'Россия 2038'!Q6</f>
        <v>78.07235671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98.54862868</v>
      </c>
      <c r="C8" s="12" t="str">
        <f>IF(B8&lt;0,"ПРЕВЫШЕНИЕ","OK")</f>
        <v>OK</v>
      </c>
      <c r="D8" s="12"/>
      <c r="E8" s="12" t="s">
        <v>91</v>
      </c>
      <c r="F8" s="19">
        <f>F6-F7</f>
        <v>82.39155749</v>
      </c>
      <c r="G8" s="12" t="str">
        <f>IF(F8&lt;0,"ПРЕВЫШЕНИЕ","OK")</f>
        <v>OK</v>
      </c>
      <c r="H8" s="12"/>
      <c r="I8" s="12" t="s">
        <v>91</v>
      </c>
      <c r="J8" s="19">
        <f>J6-J7</f>
        <v>76.28944946</v>
      </c>
      <c r="K8" s="12" t="str">
        <f>IF(J8&lt;0,"ПРЕВЫШЕНИЕ","OK")</f>
        <v>OK</v>
      </c>
      <c r="L8" s="12"/>
      <c r="M8" s="12" t="s">
        <v>91</v>
      </c>
      <c r="N8" s="19">
        <f>N6-N7</f>
        <v>78.07235671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2038'!V11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51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2038'!V12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54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2038'!V13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16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2038'!V14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78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2038'!V15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45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2038'!V16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76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2038'!V17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54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2038'!V18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42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2038'!V19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70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2038'!V20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91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2038'!V21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18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2038'!V22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20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2038'!V23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59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2038'!V24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85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2038'!V25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17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2038'!V26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60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IF(G29="","",VLOOKUP(G29,'Технологии'!$A$11:$BF$50,56,FALSE))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IF(G30="","",VLOOKUP(G30,'Технологии'!$A$11:$BF$50,56,FALSE))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IF(G31="","",VLOOKUP(G31,'Технологии'!$A$11:$BF$50,56,FALSE))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IF(G32="","",VLOOKUP(G32,'Технологии'!$A$11:$BF$50,56,FALSE))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IF(G33="","",VLOOKUP(G33,'Технологии'!$A$11:$BF$50,56,FALSE))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IF(G34="","",VLOOKUP(G34,'Технологии'!$A$11:$BF$50,56,FALSE))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IF(G35="","",VLOOKUP(G35,'Технологии'!$A$11:$BF$50,56,FALSE))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IF(G36="","",VLOOKUP(G36,'Технологии'!$A$11:$BF$50,56,FALSE))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IF(G37="","",VLOOKUP(G37,'Технологии'!$A$11:$BF$50,56,FALSE))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IF(G38="","",VLOOKUP(G38,'Технологии'!$A$11:$BF$50,56,FALSE))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404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82.8732912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76.30979078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78.54396028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98.79303078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2038'!B8+'Россия 2038'!D8+('Россия 2038'!C8+'Россия 2038'!F8+'Россия 2038'!G8)+(0.35*LN(1+0.6*'Ход 2038'!B14)*POWER(MAX(0,1-'Россия 2038'!I8/10),0.7))))</f>
        <v>10</v>
      </c>
      <c r="C8" s="12">
        <f>MIN(1,'Россия 2038'!C8+'Россия 2038'!F8+(0.08*LN(1+0.5*'Ход 2038'!C14)*MAX(0,1-('Россия 2038'!C8+'Россия 2038'!F8))))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2038'!B9+'Россия 2038'!D9+('Россия 2038'!C9+'Россия 2038'!F9+'Россия 2038'!G9)+(0.35*LN(1+0.6*'Ход 2038'!B15)*POWER(MAX(0,1-'Россия 2038'!I9/10),0.7))))</f>
        <v>8.56212196</v>
      </c>
      <c r="C9" s="12">
        <f>MIN(1,'Россия 2038'!C9+'Россия 2038'!F9+(0.08*LN(1+0.5*'Ход 2038'!C15)*MAX(0,1-('Россия 2038'!C9+'Россия 2038'!F9))))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8.56212196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2038'!B10+'Россия 2038'!D10+('Россия 2038'!C10+'Россия 2038'!F10+'Россия 2038'!G10)+(0.35*LN(1+0.6*'Ход 2038'!B16)*POWER(MAX(0,1-'Россия 2038'!I10/10),0.7))))</f>
        <v>10</v>
      </c>
      <c r="C10" s="12">
        <f>MIN(1,'Россия 2038'!C10+'Россия 2038'!F10+(0.08*LN(1+0.5*'Ход 2038'!C16)*MAX(0,1-('Россия 2038'!C10+'Россия 2038'!F10))))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2038'!B11+'Россия 2038'!D11+('Россия 2038'!C11+'Россия 2038'!F11+'Россия 2038'!G11)+(0.35*LN(1+0.6*'Ход 2038'!B17)*POWER(MAX(0,1-'Россия 2038'!I11/10),0.7))))</f>
        <v>10</v>
      </c>
      <c r="C11" s="12">
        <f>MIN(1,'Россия 2038'!C11+'Россия 2038'!F11+(0.08*LN(1+0.5*'Ход 2038'!C17)*MAX(0,1-('Россия 2038'!C11+'Россия 2038'!F11))))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10</v>
      </c>
      <c r="J11" s="12"/>
      <c r="K11" s="12" t="s">
        <v>110</v>
      </c>
      <c r="L11" s="12">
        <f>MAX(1,MIN(10,'Россия 2038'!L11+'Россия 2038'!N11+('Россия 2038'!M11+'Россия 2038'!P11+'Россия 2038'!Q11)))</f>
        <v>10</v>
      </c>
      <c r="M11" s="12">
        <f>MIN(1,'Россия 2038'!M11+'Россия 2038'!P11+(0.1*LN(1+0.5*'Ход 2038'!H13)*POWER(MAX(0,1-'Россия 2038'!S11/10),0.8)))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10</v>
      </c>
      <c r="T11" s="12"/>
      <c r="U11" s="12" t="s">
        <v>111</v>
      </c>
      <c r="V11" s="25">
        <f>'Россия 2038'!V11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2038'!B12+'Россия 2038'!D12+('Россия 2038'!C12+'Россия 2038'!F12+'Россия 2038'!G12)+(0.35*LN(1+0.6*'Ход 2038'!B18)*POWER(MAX(0,1-'Россия 2038'!I12/10),0.7))))</f>
        <v>9</v>
      </c>
      <c r="C12" s="12">
        <f>MIN(1,'Россия 2038'!C12+'Россия 2038'!F12+(0.08*LN(1+0.5*'Ход 2038'!C18)*MAX(0,1-('Россия 2038'!C12+'Россия 2038'!F12))))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2038'!L12+'Россия 2038'!N12+('Россия 2038'!M12+'Россия 2038'!P12+'Россия 2038'!Q12)))</f>
        <v>10</v>
      </c>
      <c r="M12" s="12">
        <f>MIN(1,'Россия 2038'!M12+'Россия 2038'!P12+(0.1*LN(1+0.5*'Ход 2038'!H14)*POWER(MAX(0,1-'Россия 2038'!S12/10),0.8)))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10</v>
      </c>
      <c r="T12" s="12"/>
      <c r="U12" s="12" t="s">
        <v>122</v>
      </c>
      <c r="V12" s="25">
        <f>'Россия 2038'!V12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2038'!B13+'Россия 2038'!D13+('Россия 2038'!C13+'Россия 2038'!F13+'Россия 2038'!G13)+(0.35*LN(1+0.6*'Ход 2038'!B19)*POWER(MAX(0,1-'Россия 2038'!I13/10),0.7))))</f>
        <v>7.151989337</v>
      </c>
      <c r="C13" s="12">
        <f>MIN(1,'Россия 2038'!C13+'Россия 2038'!F13+(0.08*LN(1+0.5*'Ход 2038'!C19)*MAX(0,1-('Россия 2038'!C13+'Россия 2038'!F13))))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7.151989337</v>
      </c>
      <c r="J13" s="12"/>
      <c r="K13" s="12" t="s">
        <v>127</v>
      </c>
      <c r="L13" s="12">
        <f>MAX(1,MIN(10,'Россия 2038'!L13+'Россия 2038'!N13+('Россия 2038'!M13+'Россия 2038'!P13+'Россия 2038'!Q13)))</f>
        <v>10</v>
      </c>
      <c r="M13" s="12">
        <f>MIN(1,'Россия 2038'!M13+'Россия 2038'!P13+(0.1*LN(1+0.5*'Ход 2038'!H15)*POWER(MAX(0,1-'Россия 2038'!S13/10),0.8)))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10</v>
      </c>
      <c r="T13" s="12"/>
      <c r="U13" s="12" t="s">
        <v>128</v>
      </c>
      <c r="V13" s="25">
        <f>'Россия 2038'!V13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2038'!B14+'Россия 2038'!D14+('Россия 2038'!C14+'Россия 2038'!F14+'Россия 2038'!G14)+(0.35*LN(1+0.6*'Ход 2038'!B20)*POWER(MAX(0,1-'Россия 2038'!I14/10),0.7))))</f>
        <v>8.387213376</v>
      </c>
      <c r="C14" s="12">
        <f>MIN(1,'Россия 2038'!C14+'Россия 2038'!F14+(0.08*LN(1+0.5*'Ход 2038'!C20)*MAX(0,1-('Россия 2038'!C14+'Россия 2038'!F14))))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8.387213376</v>
      </c>
      <c r="J14" s="12"/>
      <c r="K14" s="12" t="s">
        <v>131</v>
      </c>
      <c r="L14" s="12">
        <f>MAX(1,MIN(10,'Россия 2038'!L14+'Россия 2038'!N14+('Россия 2038'!M14+'Россия 2038'!P14+'Россия 2038'!Q14)))</f>
        <v>10</v>
      </c>
      <c r="M14" s="12">
        <f>MIN(1,'Россия 2038'!M14+'Россия 2038'!P14+(0.1*LN(1+0.5*'Ход 2038'!H16)*POWER(MAX(0,1-'Россия 2038'!S14/10),0.8)))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10</v>
      </c>
      <c r="T14" s="12"/>
      <c r="U14" s="12" t="s">
        <v>132</v>
      </c>
      <c r="V14" s="25">
        <f>'Россия 2038'!V14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2038'!B15+'Россия 2038'!D15+('Россия 2038'!C15+'Россия 2038'!F15+'Россия 2038'!G15)+(0.35*LN(1+0.6*'Ход 2038'!B21)*POWER(MAX(0,1-'Россия 2038'!I15/10),0.7))))</f>
        <v>10</v>
      </c>
      <c r="C15" s="12">
        <f>MIN(1,'Россия 2038'!C15+'Россия 2038'!F15+(0.08*LN(1+0.5*'Ход 2038'!C21)*MAX(0,1-('Россия 2038'!C15+'Россия 2038'!F15))))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10</v>
      </c>
      <c r="J15" s="12"/>
      <c r="K15" s="12" t="s">
        <v>135</v>
      </c>
      <c r="L15" s="12">
        <f>MAX(1,MIN(10,'Россия 2038'!L15+'Россия 2038'!N15+('Россия 2038'!M15+'Россия 2038'!P15+'Россия 2038'!Q15)))</f>
        <v>9.25</v>
      </c>
      <c r="M15" s="12">
        <f>MIN(1,'Россия 2038'!M15+'Россия 2038'!P15+(0.1*LN(1+0.5*'Ход 2038'!H17)*POWER(MAX(0,1-'Россия 2038'!S15/10),0.8)))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9.25</v>
      </c>
      <c r="T15" s="12"/>
      <c r="U15" s="12" t="s">
        <v>136</v>
      </c>
      <c r="V15" s="25">
        <f>'Россия 2038'!V15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2038'!B16+'Россия 2038'!D16+('Россия 2038'!C16+'Россия 2038'!F16+'Россия 2038'!G16)+(0.35*LN(1+0.6*'Ход 2038'!B22)*POWER(MAX(0,1-'Россия 2038'!I16/10),0.7))))</f>
        <v>10</v>
      </c>
      <c r="C16" s="12">
        <f>MIN(1,'Россия 2038'!C16+'Россия 2038'!F16+(0.08*LN(1+0.5*'Ход 2038'!C22)*MAX(0,1-('Россия 2038'!C16+'Россия 2038'!F16))))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2038'!L16+'Россия 2038'!N16+('Россия 2038'!M16+'Россия 2038'!P16+'Россия 2038'!Q16)))</f>
        <v>10</v>
      </c>
      <c r="M16" s="12">
        <f>MIN(1,'Россия 2038'!M16+'Россия 2038'!P16+(0.1*LN(1+0.5*'Ход 2038'!H18)*POWER(MAX(0,1-'Россия 2038'!S16/10),0.8)))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2038'!V16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2038'!B17+'Россия 2038'!D17+('Россия 2038'!C17+'Россия 2038'!F17+'Россия 2038'!G17)+(0.35*LN(1+0.6*'Ход 2038'!B23)*POWER(MAX(0,1-'Россия 2038'!I17/10),0.7))))</f>
        <v>10</v>
      </c>
      <c r="C17" s="12">
        <f>MIN(1,'Россия 2038'!C17+'Россия 2038'!F17+(0.08*LN(1+0.5*'Ход 2038'!C23)*MAX(0,1-('Россия 2038'!C17+'Россия 2038'!F17))))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10</v>
      </c>
      <c r="J17" s="12"/>
      <c r="K17" s="12" t="s">
        <v>148</v>
      </c>
      <c r="L17" s="12">
        <f>MAX(1,MIN(10,'Россия 2038'!L17+'Россия 2038'!N17+('Россия 2038'!M17+'Россия 2038'!P17+'Россия 2038'!Q17)))</f>
        <v>10</v>
      </c>
      <c r="M17" s="12">
        <f>MIN(1,'Россия 2038'!M17+'Россия 2038'!P17+(0.1*LN(1+0.5*'Ход 2038'!H19)*POWER(MAX(0,1-'Россия 2038'!S17/10),0.8)))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2038'!V17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2038'!L18+'Россия 2038'!N18+('Россия 2038'!M18+'Россия 2038'!P18+'Россия 2038'!Q18)))</f>
        <v>10</v>
      </c>
      <c r="M18" s="12">
        <f>MIN(1,'Россия 2038'!M18+'Россия 2038'!P18+(0.1*LN(1+0.5*'Ход 2038'!H20)*POWER(MAX(0,1-'Россия 2038'!S18/10),0.8)))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2038'!V18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2038'!B19+'Россия 2038'!D19+('Россия 2038'!C19+'Россия 2038'!F19+'Россия 2038'!G19)+(0.35*LN(1+0.6*'Ход 2038'!B25)*POWER(MAX(0,1-'Россия 2038'!I19/10),0.7))))</f>
        <v>10</v>
      </c>
      <c r="C19" s="12">
        <f>MIN(1,'Россия 2038'!C19+'Россия 2038'!F19+(0.08*LN(1+0.5*'Ход 2038'!C25)*MAX(0,1-('Россия 2038'!C19+'Россия 2038'!F19))))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10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2038'!V19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2038'!B20+'Россия 2038'!D20+('Россия 2038'!C20+'Россия 2038'!F20+'Россия 2038'!G20)+(0.35*LN(1+0.6*'Ход 2038'!B26)*POWER(MAX(0,1-'Россия 2038'!I20/10),0.7))))</f>
        <v>10</v>
      </c>
      <c r="C20" s="12">
        <f>MIN(1,'Россия 2038'!C20+'Россия 2038'!F20+(0.08*LN(1+0.5*'Ход 2038'!C26)*MAX(0,1-('Россия 2038'!C20+'Россия 2038'!F20))))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2038'!V20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2038'!B21+'Россия 2038'!D21+('Россия 2038'!C21+'Россия 2038'!F21+'Россия 2038'!G21)+(0.35*LN(1+0.6*'Ход 2038'!B27)*POWER(MAX(0,1-'Россия 2038'!I21/10),0.7))))</f>
        <v>10</v>
      </c>
      <c r="C21" s="12">
        <f>MIN(1,'Россия 2038'!C21+'Россия 2038'!F21+(0.08*LN(1+0.5*'Ход 2038'!C27)*MAX(0,1-('Россия 2038'!C21+'Россия 2038'!F21))))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10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2038'!V21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2038'!B22+'Россия 2038'!D22+('Россия 2038'!C22+'Россия 2038'!F22+'Россия 2038'!G22)+(0.35*LN(1+0.6*'Ход 2038'!B28)*POWER(MAX(0,1-'Россия 2038'!I22/10),0.7))))</f>
        <v>10</v>
      </c>
      <c r="C22" s="12">
        <f>MIN(1,'Россия 2038'!C22+'Россия 2038'!F22+(0.08*LN(1+0.5*'Ход 2038'!C28)*MAX(0,1-('Россия 2038'!C22+'Россия 2038'!F22))))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2038'!V22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2038'!B23+'Россия 2038'!D23+('Россия 2038'!C23+'Россия 2038'!F23+'Россия 2038'!G23)+(0.35*LN(1+0.6*'Ход 2038'!B29)*POWER(MAX(0,1-'Россия 2038'!I23/10),0.7))))</f>
        <v>10</v>
      </c>
      <c r="C23" s="12">
        <f>MIN(1,'Россия 2038'!C23+'Россия 2038'!F23+(0.08*LN(1+0.5*'Ход 2038'!C29)*MAX(0,1-('Россия 2038'!C23+'Россия 2038'!F23))))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2038'!V23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2038'!V24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2038'!B25+'Россия 2038'!D25+('Россия 2038'!C25+'Россия 2038'!F25+'Россия 2038'!G25)+(0.35*LN(1+0.6*'Ход 2038'!B31)*POWER(MAX(0,1-'Россия 2038'!I25/10),0.7))))</f>
        <v>10</v>
      </c>
      <c r="C25" s="12">
        <f>MIN(1,'Россия 2038'!C25+'Россия 2038'!F25+(0.08*LN(1+0.5*'Ход 2038'!C31)*MAX(0,1-('Россия 2038'!C25+'Россия 2038'!F25))))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2038'!V25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2038'!B26+'Россия 2038'!D26+('Россия 2038'!C26+'Россия 2038'!F26+'Россия 2038'!G26)+(0.35*LN(1+0.6*'Ход 2038'!B32)*POWER(MAX(0,1-'Россия 2038'!I26/10),0.7))))</f>
        <v>10</v>
      </c>
      <c r="C26" s="12">
        <f>MIN(1,'Россия 2038'!C26+'Россия 2038'!F26+(0.08*LN(1+0.5*'Ход 2038'!C32)*MAX(0,1-('Россия 2038'!C26+'Россия 2038'!F26))))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10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2038'!V26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2038'!B27+'Россия 2038'!D27+('Россия 2038'!C27+'Россия 2038'!F27+'Россия 2038'!G27)+(0.35*LN(1+0.6*'Ход 2038'!B33)*POWER(MAX(0,1-'Россия 2038'!I27/10),0.7))))</f>
        <v>10</v>
      </c>
      <c r="C27" s="12">
        <f>MIN(1,'Россия 2038'!C27+'Россия 2038'!F27+(0.08*LN(1+0.5*'Ход 2038'!C33)*MAX(0,1-('Россия 2038'!C27+'Россия 2038'!F27))))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10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2038'!B28+'Россия 2038'!D28+('Россия 2038'!C28+'Россия 2038'!F28+'Россия 2038'!G28)+(0.35*LN(1+0.6*'Ход 2038'!B34)*POWER(MAX(0,1-'Россия 2038'!I28/10),0.7))))</f>
        <v>10</v>
      </c>
      <c r="C28" s="12">
        <f>MIN(1,'Россия 2038'!C28+'Россия 2038'!F28+(0.08*LN(1+0.5*'Ход 2038'!C34)*MAX(0,1-('Россия 2038'!C28+'Россия 2038'!F28))))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2038'!B29+'Россия 2038'!D29+('Россия 2038'!C29+'Россия 2038'!F29+'Россия 2038'!G29)+(0.35*LN(1+0.6*'Ход 2038'!B35)*POWER(MAX(0,1-'Россия 2038'!I29/10),0.7))))</f>
        <v>10</v>
      </c>
      <c r="C29" s="12">
        <f>MIN(1,'Россия 2038'!C29+'Россия 2038'!F29+(0.08*LN(1+0.5*'Ход 2038'!C35)*MAX(0,1-('Россия 2038'!C29+'Россия 2038'!F29))))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10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2038'!B30+'Россия 2038'!D30+('Россия 2038'!C30+'Россия 2038'!F30+'Россия 2038'!G30)+(0.35*LN(1+0.6*'Ход 2038'!B36)*POWER(MAX(0,1-'Россия 2038'!I30/10),0.7))))</f>
        <v>8.6</v>
      </c>
      <c r="C30" s="12">
        <f>MIN(1,'Россия 2038'!C30+'Россия 2038'!F30+(0.08*LN(1+0.5*'Ход 2038'!C36)*MAX(0,1-('Россия 2038'!C30+'Россия 2038'!F30))))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8.6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2038'!B31+'Россия 2038'!D31+('Россия 2038'!C31+'Россия 2038'!F31+'Россия 2038'!G31)+(0.35*LN(1+0.6*'Ход 2038'!B37)*POWER(MAX(0,1-'Россия 2038'!I31/10),0.7))))</f>
        <v>6.3</v>
      </c>
      <c r="C31" s="12">
        <f>MIN(1,'Россия 2038'!C31+'Россия 2038'!F31+(0.08*LN(1+0.5*'Ход 2038'!C37)*MAX(0,1-('Россия 2038'!C31+'Россия 2038'!F31))))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6.3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2038'!B32+'Россия 2038'!D32+('Россия 2038'!C32+'Россия 2038'!F32+'Россия 2038'!G32)+(0.35*LN(1+0.6*'Ход 2038'!B38)*POWER(MAX(0,1-'Россия 2038'!I32/10),0.7))))</f>
        <v>10</v>
      </c>
      <c r="C32" s="12">
        <f>MIN(1,'Россия 2038'!C32+'Россия 2038'!F32+(0.08*LN(1+0.5*'Ход 2038'!C38)*MAX(0,1-('Россия 2038'!C32+'Россия 2038'!F32))))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10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2038'!B34+'Россия 2038'!D34+('Россия 2038'!C34+'Россия 2038'!F34+'Россия 2038'!G34)+(0.35*LN(1+0.6*'Ход 2038'!B40)*POWER(MAX(0,1-'Россия 2038'!I34/10),0.7))))</f>
        <v>10</v>
      </c>
      <c r="C34" s="12">
        <f>MIN(1,'Россия 2038'!C34+'Россия 2038'!F34+(0.08*LN(1+0.5*'Ход 2038'!C40)*MAX(0,1-('Россия 2038'!C34+'Россия 2038'!F34))))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2038'!B35+'Россия 2038'!D35+('Россия 2038'!C35+'Россия 2038'!F35+'Россия 2038'!G35)+(0.35*LN(1+0.6*'Ход 2038'!B41)*POWER(MAX(0,1-'Россия 2038'!I35/10),0.7))))</f>
        <v>9.681664729</v>
      </c>
      <c r="C35" s="12">
        <f>MIN(1,'Россия 2038'!C35+'Россия 2038'!F35+(0.08*LN(1+0.5*'Ход 2038'!C41)*MAX(0,1-('Россия 2038'!C35+'Россия 2038'!F35))))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9.681664729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2038'!B36+'Россия 2038'!D36+('Россия 2038'!C36+'Россия 2038'!F36+'Россия 2038'!G36)+(0.35*LN(1+0.6*'Ход 2038'!B42)*POWER(MAX(0,1-'Россия 2038'!I36/10),0.7))))</f>
        <v>10</v>
      </c>
      <c r="C36" s="12">
        <f>MIN(1,'Россия 2038'!C36+'Россия 2038'!F36+(0.08*LN(1+0.5*'Ход 2038'!C42)*MAX(0,1-('Россия 2038'!C36+'Россия 2038'!F36))))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2038'!B37+'Россия 2038'!D37+('Россия 2038'!C37+'Россия 2038'!F37+'Россия 2038'!G37)+(0.35*LN(1+0.6*'Ход 2038'!B43)*POWER(MAX(0,1-'Россия 2038'!I37/10),0.7))))</f>
        <v>9.9</v>
      </c>
      <c r="C37" s="12">
        <f>MIN(1,'Россия 2038'!C37+'Россия 2038'!F37+(0.08*LN(1+0.5*'Ход 2038'!C43)*MAX(0,1-('Россия 2038'!C37+'Россия 2038'!F37))))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9.9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2038'!B38+'Россия 2038'!D38+('Россия 2038'!C38+'Россия 2038'!F38+'Россия 2038'!G38)+(0.35*LN(1+0.6*'Ход 2038'!B44)*POWER(MAX(0,1-'Россия 2038'!I38/10),0.7))))</f>
        <v>9.25</v>
      </c>
      <c r="C38" s="12">
        <f>MIN(1,'Россия 2038'!C38+'Россия 2038'!F38+(0.08*LN(1+0.5*'Ход 2038'!C44)*MAX(0,1-('Россия 2038'!C38+'Россия 2038'!F38))))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9.25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2038'!B39+'Россия 2038'!D39+('Россия 2038'!C39+'Россия 2038'!F39+'Россия 2038'!G39)+(0.35*LN(1+0.6*'Ход 2038'!B45)*POWER(MAX(0,1-'Россия 2038'!I39/10),0.7))))</f>
        <v>8.6</v>
      </c>
      <c r="C39" s="12">
        <f>MIN(1,'Россия 2038'!C39+'Россия 2038'!F39+(0.08*LN(1+0.5*'Ход 2038'!C45)*MAX(0,1-('Россия 2038'!C39+'Россия 2038'!F39))))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8.6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2038'!B40+'Россия 2038'!D40+('Россия 2038'!C40+'Россия 2038'!F40+'Россия 2038'!G40)+(0.35*LN(1+0.6*'Ход 2038'!B46)*POWER(MAX(0,1-'Россия 2038'!I40/10),0.7))))</f>
        <v>8.3</v>
      </c>
      <c r="C40" s="12">
        <f>MIN(1,'Россия 2038'!C40+'Россия 2038'!F40+(0.08*LN(1+0.5*'Ход 2038'!C46)*MAX(0,1-('Россия 2038'!C40+'Россия 2038'!F40))))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8.3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2038'!B41+'Россия 2038'!D41+('Россия 2038'!C41+'Россия 2038'!F41+'Россия 2038'!G41)+(0.35*LN(1+0.6*'Ход 2038'!B47)*POWER(MAX(0,1-'Россия 2038'!I41/10),0.7))))</f>
        <v>10</v>
      </c>
      <c r="C41" s="12">
        <f>MIN(1,'Россия 2038'!C41+'Россия 2038'!F41+(0.08*LN(1+0.5*'Ход 2038'!C47)*MAX(0,1-('Россия 2038'!C41+'Россия 2038'!F41))))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10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2038'!B42+'Россия 2038'!D42+('Россия 2038'!C42+'Россия 2038'!F42+'Россия 2038'!G42)+(0.35*LN(1+0.6*'Ход 2038'!B48)*POWER(MAX(0,1-'Россия 2038'!I42/10),0.7))))</f>
        <v>10</v>
      </c>
      <c r="C42" s="12">
        <f>MIN(1,'Россия 2038'!C42+'Россия 2038'!F42+(0.08*LN(1+0.5*'Ход 2038'!C48)*MAX(0,1-('Россия 2038'!C42+'Россия 2038'!F42))))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10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2038'!B44+'Россия 2038'!D44+('Россия 2038'!C44+'Россия 2038'!F44+'Россия 2038'!G44)+(0.35*LN(1+0.6*'Ход 2038'!B50)*POWER(MAX(0,1-'Россия 2038'!I44/10),0.7))))</f>
        <v>9.56212196</v>
      </c>
      <c r="C44" s="12">
        <f>MIN(1,'Россия 2038'!C44+'Россия 2038'!F44+(0.08*LN(1+0.5*'Ход 2038'!C50)*MAX(0,1-('Россия 2038'!C44+'Россия 2038'!F44))))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9.56212196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2038'!B45+'Россия 2038'!D45+('Россия 2038'!C45+'Россия 2038'!F45+'Россия 2038'!G45)+(0.35*LN(1+0.6*'Ход 2038'!B51)*POWER(MAX(0,1-'Россия 2038'!I45/10),0.7))))</f>
        <v>9.9</v>
      </c>
      <c r="C45" s="12">
        <f>MIN(1,'Россия 2038'!C45+'Россия 2038'!F45+(0.08*LN(1+0.5*'Ход 2038'!C51)*MAX(0,1-('Россия 2038'!C45+'Россия 2038'!F45))))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9.9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2038'!B46+'Россия 2038'!D46+('Россия 2038'!C46+'Россия 2038'!F46+'Россия 2038'!G46)+(0.35*LN(1+0.6*'Ход 2038'!B52)*POWER(MAX(0,1-'Россия 2038'!I46/10),0.7))))</f>
        <v>6.391721311</v>
      </c>
      <c r="C46" s="12">
        <f>MIN(1,'Россия 2038'!C46+'Россия 2038'!F46+(0.08*LN(1+0.5*'Ход 2038'!C52)*MAX(0,1-('Россия 2038'!C46+'Россия 2038'!F46))))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6.391721311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2038'!B47+'Россия 2038'!D47+('Россия 2038'!C47+'Россия 2038'!F47+'Россия 2038'!G47)+(0.35*LN(1+0.6*'Ход 2038'!B53)*POWER(MAX(0,1-'Россия 2038'!I47/10),0.7))))</f>
        <v>6.028498063</v>
      </c>
      <c r="C47" s="12">
        <f>MIN(1,'Россия 2038'!C47+'Россия 2038'!F47+(0.08*LN(1+0.5*'Ход 2038'!C53)*MAX(0,1-('Россия 2038'!C47+'Россия 2038'!F47))))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6.028498063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2038'!B48+'Россия 2038'!D48+('Россия 2038'!C48+'Россия 2038'!F48+'Россия 2038'!G48)+(0.35*LN(1+0.6*'Ход 2038'!B54)*POWER(MAX(0,1-'Россия 2038'!I48/10),0.7))))</f>
        <v>9.400690897</v>
      </c>
      <c r="C48" s="12">
        <f>MIN(1,'Россия 2038'!C48+'Россия 2038'!F48+(0.08*LN(1+0.5*'Ход 2038'!C54)*MAX(0,1-('Россия 2038'!C48+'Россия 2038'!F48))))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9.400690897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2038'!B49+'Россия 2038'!D49+('Россия 2038'!C49+'Россия 2038'!F49+'Россия 2038'!G49)+(0.35*LN(1+0.6*'Ход 2038'!B55)*POWER(MAX(0,1-'Россия 2038'!I49/10),0.7))))</f>
        <v>10</v>
      </c>
      <c r="C49" s="12">
        <f>MIN(1,'Россия 2038'!C49+'Россия 2038'!F49+(0.08*LN(1+0.5*'Ход 2038'!C55)*MAX(0,1-('Россия 2038'!C49+'Россия 2038'!F49))))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10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2038'!B50+'Россия 2038'!D50+('Россия 2038'!C50+'Россия 2038'!F50+'Россия 2038'!G50)+(0.35*LN(1+0.6*'Ход 2038'!B56)*POWER(MAX(0,1-'Россия 2038'!I50/10),0.7))))</f>
        <v>10</v>
      </c>
      <c r="C50" s="12">
        <f>MIN(1,'Россия 2038'!C50+'Россия 2038'!F50+(0.08*LN(1+0.5*'Ход 2038'!C56)*MAX(0,1-('Россия 2038'!C50+'Россия 2038'!F50))))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10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2038'!B51+'Россия 2038'!D51+('Россия 2038'!C51+'Россия 2038'!F51+'Россия 2038'!G51)+(0.35*LN(1+0.6*'Ход 2038'!B57)*POWER(MAX(0,1-'Россия 2038'!I51/10),0.7))))</f>
        <v>9.9</v>
      </c>
      <c r="C51" s="12">
        <f>MIN(1,'Россия 2038'!C51+'Россия 2038'!F51+(0.08*LN(1+0.5*'Ход 2038'!C57)*MAX(0,1-('Россия 2038'!C51+'Россия 2038'!F51))))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9.9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2038'!B53+'Россия 2038'!D53+('Россия 2038'!C53+'Россия 2038'!F53+'Россия 2038'!G53)+(0.35*LN(1+0.6*'Ход 2038'!B59)*POWER(MAX(0,1-'Россия 2038'!I53/10),0.7))))</f>
        <v>9.95</v>
      </c>
      <c r="C53" s="12">
        <f>MIN(1,'Россия 2038'!C53+'Россия 2038'!F53+(0.08*LN(1+0.5*'Ход 2038'!C59)*MAX(0,1-('Россия 2038'!C53+'Россия 2038'!F53))))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9.95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2038'!B54+'Россия 2038'!D54+('Россия 2038'!C54+'Россия 2038'!F54+'Россия 2038'!G54)+(0.35*LN(1+0.6*'Ход 2038'!B60)*POWER(MAX(0,1-'Россия 2038'!I54/10),0.7))))</f>
        <v>7.95</v>
      </c>
      <c r="C54" s="12">
        <f>MIN(1,'Россия 2038'!C54+'Россия 2038'!F54+(0.08*LN(1+0.5*'Ход 2038'!C60)*MAX(0,1-('Россия 2038'!C54+'Россия 2038'!F54))))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7.95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2038'!B55+'Россия 2038'!D55+('Россия 2038'!C55+'Россия 2038'!F55+'Россия 2038'!G55)+(0.35*LN(1+0.6*'Ход 2038'!B61)*POWER(MAX(0,1-'Россия 2038'!I55/10),0.7))))</f>
        <v>6.95</v>
      </c>
      <c r="C55" s="12">
        <f>MIN(1,'Россия 2038'!C55+'Россия 2038'!F55+(0.08*LN(1+0.5*'Ход 2038'!C61)*MAX(0,1-('Россия 2038'!C55+'Россия 2038'!F55))))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6.95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405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2039'!U6</f>
        <v>98.79303078</v>
      </c>
      <c r="C6" s="12"/>
      <c r="D6" s="12"/>
      <c r="E6" s="12" t="s">
        <v>54</v>
      </c>
      <c r="F6" s="19">
        <f>'Россия 2039'!K6</f>
        <v>82.8732912</v>
      </c>
      <c r="G6" s="12"/>
      <c r="H6" s="12"/>
      <c r="I6" s="12" t="s">
        <v>54</v>
      </c>
      <c r="J6" s="19">
        <f>'Россия 2039'!N6</f>
        <v>76.30979078</v>
      </c>
      <c r="K6" s="12"/>
      <c r="L6" s="12"/>
      <c r="M6" s="12" t="s">
        <v>54</v>
      </c>
      <c r="N6" s="19">
        <f>'Россия 2039'!Q6</f>
        <v>78.54396028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98.79303078</v>
      </c>
      <c r="C8" s="12" t="str">
        <f>IF(B8&lt;0,"ПРЕВЫШЕНИЕ","OK")</f>
        <v>OK</v>
      </c>
      <c r="D8" s="12"/>
      <c r="E8" s="12" t="s">
        <v>91</v>
      </c>
      <c r="F8" s="19">
        <f>F6-F7</f>
        <v>82.8732912</v>
      </c>
      <c r="G8" s="12" t="str">
        <f>IF(F8&lt;0,"ПРЕВЫШЕНИЕ","OK")</f>
        <v>OK</v>
      </c>
      <c r="H8" s="12"/>
      <c r="I8" s="12" t="s">
        <v>91</v>
      </c>
      <c r="J8" s="19">
        <f>J6-J7</f>
        <v>76.30979078</v>
      </c>
      <c r="K8" s="12" t="str">
        <f>IF(J8&lt;0,"ПРЕВЫШЕНИЕ","OK")</f>
        <v>OK</v>
      </c>
      <c r="L8" s="12"/>
      <c r="M8" s="12" t="s">
        <v>91</v>
      </c>
      <c r="N8" s="19">
        <f>N6-N7</f>
        <v>78.54396028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2039'!V11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83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2039'!V12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14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2039'!V13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82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2039'!V14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75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2039'!V15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38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2039'!V16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12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2039'!V17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100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2039'!V18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65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2039'!V19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59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2039'!V20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30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2039'!V21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11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2039'!V22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48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2039'!V23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4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2039'!V24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100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2039'!V25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17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2039'!V26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27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IF(G29="","",VLOOKUP(G29,'Технологии'!$A$11:$BF$50,57,FALSE))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IF(G30="","",VLOOKUP(G30,'Технологии'!$A$11:$BF$50,57,FALSE))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IF(G31="","",VLOOKUP(G31,'Технологии'!$A$11:$BF$50,57,FALSE))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IF(G32="","",VLOOKUP(G32,'Технологии'!$A$11:$BF$50,57,FALSE))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IF(G33="","",VLOOKUP(G33,'Технологии'!$A$11:$BF$50,57,FALSE))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IF(G34="","",VLOOKUP(G34,'Технологии'!$A$11:$BF$50,57,FALSE))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IF(G35="","",VLOOKUP(G35,'Технологии'!$A$11:$BF$50,57,FALSE))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IF(G36="","",VLOOKUP(G36,'Технологии'!$A$11:$BF$50,57,FALSE))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IF(G37="","",VLOOKUP(G37,'Технологии'!$A$11:$BF$50,57,FALSE))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IF(G38="","",VLOOKUP(G38,'Технологии'!$A$11:$BF$50,57,FALSE))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406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83.24951462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76.32983305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79.0049788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99.01483237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2039'!B8+'Россия 2039'!D8+('Россия 2039'!C8+'Россия 2039'!F8+'Россия 2039'!G8)+(0.35*LN(1+0.6*'Ход 2039'!B14)*POWER(MAX(0,1-'Россия 2039'!I8/10),0.7))))</f>
        <v>10</v>
      </c>
      <c r="C8" s="12">
        <f>MIN(1,'Россия 2039'!C8+'Россия 2039'!F8+(0.08*LN(1+0.5*'Ход 2039'!C14)*MAX(0,1-('Россия 2039'!C8+'Россия 2039'!F8))))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2039'!B9+'Россия 2039'!D9+('Россия 2039'!C9+'Россия 2039'!F9+'Россия 2039'!G9)+(0.35*LN(1+0.6*'Ход 2039'!B15)*POWER(MAX(0,1-'Россия 2039'!I9/10),0.7))))</f>
        <v>8.84229879</v>
      </c>
      <c r="C9" s="12">
        <f>MIN(1,'Россия 2039'!C9+'Россия 2039'!F9+(0.08*LN(1+0.5*'Ход 2039'!C15)*MAX(0,1-('Россия 2039'!C9+'Россия 2039'!F9))))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8.84229879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2039'!B10+'Россия 2039'!D10+('Россия 2039'!C10+'Россия 2039'!F10+'Россия 2039'!G10)+(0.35*LN(1+0.6*'Ход 2039'!B16)*POWER(MAX(0,1-'Россия 2039'!I10/10),0.7))))</f>
        <v>10</v>
      </c>
      <c r="C10" s="12">
        <f>MIN(1,'Россия 2039'!C10+'Россия 2039'!F10+(0.08*LN(1+0.5*'Ход 2039'!C16)*MAX(0,1-('Россия 2039'!C10+'Россия 2039'!F10))))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2039'!B11+'Россия 2039'!D11+('Россия 2039'!C11+'Россия 2039'!F11+'Россия 2039'!G11)+(0.35*LN(1+0.6*'Ход 2039'!B17)*POWER(MAX(0,1-'Россия 2039'!I11/10),0.7))))</f>
        <v>10</v>
      </c>
      <c r="C11" s="12">
        <f>MIN(1,'Россия 2039'!C11+'Россия 2039'!F11+(0.08*LN(1+0.5*'Ход 2039'!C17)*MAX(0,1-('Россия 2039'!C11+'Россия 2039'!F11))))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10</v>
      </c>
      <c r="J11" s="12"/>
      <c r="K11" s="12" t="s">
        <v>110</v>
      </c>
      <c r="L11" s="12">
        <f>MAX(1,MIN(10,'Россия 2039'!L11+'Россия 2039'!N11+('Россия 2039'!M11+'Россия 2039'!P11+'Россия 2039'!Q11)))</f>
        <v>10</v>
      </c>
      <c r="M11" s="12">
        <f>MIN(1,'Россия 2039'!M11+'Россия 2039'!P11+(0.1*LN(1+0.5*'Ход 2039'!H13)*POWER(MAX(0,1-'Россия 2039'!S11/10),0.8)))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10</v>
      </c>
      <c r="T11" s="12"/>
      <c r="U11" s="12" t="s">
        <v>111</v>
      </c>
      <c r="V11" s="25">
        <f>'Россия 2039'!V11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2039'!B12+'Россия 2039'!D12+('Россия 2039'!C12+'Россия 2039'!F12+'Россия 2039'!G12)+(0.35*LN(1+0.6*'Ход 2039'!B18)*POWER(MAX(0,1-'Россия 2039'!I12/10),0.7))))</f>
        <v>9</v>
      </c>
      <c r="C12" s="12">
        <f>MIN(1,'Россия 2039'!C12+'Россия 2039'!F12+(0.08*LN(1+0.5*'Ход 2039'!C18)*MAX(0,1-('Россия 2039'!C12+'Россия 2039'!F12))))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2039'!L12+'Россия 2039'!N12+('Россия 2039'!M12+'Россия 2039'!P12+'Россия 2039'!Q12)))</f>
        <v>10</v>
      </c>
      <c r="M12" s="12">
        <f>MIN(1,'Россия 2039'!M12+'Россия 2039'!P12+(0.1*LN(1+0.5*'Ход 2039'!H14)*POWER(MAX(0,1-'Россия 2039'!S12/10),0.8)))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10</v>
      </c>
      <c r="T12" s="12"/>
      <c r="U12" s="12" t="s">
        <v>122</v>
      </c>
      <c r="V12" s="25">
        <f>'Россия 2039'!V12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2039'!B13+'Россия 2039'!D13+('Россия 2039'!C13+'Россия 2039'!F13+'Россия 2039'!G13)+(0.35*LN(1+0.6*'Ход 2039'!B19)*POWER(MAX(0,1-'Россия 2039'!I13/10),0.7))))</f>
        <v>7.477155115</v>
      </c>
      <c r="C13" s="12">
        <f>MIN(1,'Россия 2039'!C13+'Россия 2039'!F13+(0.08*LN(1+0.5*'Ход 2039'!C19)*MAX(0,1-('Россия 2039'!C13+'Россия 2039'!F13))))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7.477155115</v>
      </c>
      <c r="J13" s="12"/>
      <c r="K13" s="12" t="s">
        <v>127</v>
      </c>
      <c r="L13" s="12">
        <f>MAX(1,MIN(10,'Россия 2039'!L13+'Россия 2039'!N13+('Россия 2039'!M13+'Россия 2039'!P13+'Россия 2039'!Q13)))</f>
        <v>10</v>
      </c>
      <c r="M13" s="12">
        <f>MIN(1,'Россия 2039'!M13+'Россия 2039'!P13+(0.1*LN(1+0.5*'Ход 2039'!H15)*POWER(MAX(0,1-'Россия 2039'!S13/10),0.8)))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10</v>
      </c>
      <c r="T13" s="12"/>
      <c r="U13" s="12" t="s">
        <v>128</v>
      </c>
      <c r="V13" s="25">
        <f>'Россия 2039'!V13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2039'!B14+'Россия 2039'!D14+('Россия 2039'!C14+'Россия 2039'!F14+'Россия 2039'!G14)+(0.35*LN(1+0.6*'Ход 2039'!B20)*POWER(MAX(0,1-'Россия 2039'!I14/10),0.7))))</f>
        <v>8.790125333</v>
      </c>
      <c r="C14" s="12">
        <f>MIN(1,'Россия 2039'!C14+'Россия 2039'!F14+(0.08*LN(1+0.5*'Ход 2039'!C20)*MAX(0,1-('Россия 2039'!C14+'Россия 2039'!F14))))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8.790125333</v>
      </c>
      <c r="J14" s="12"/>
      <c r="K14" s="12" t="s">
        <v>131</v>
      </c>
      <c r="L14" s="12">
        <f>MAX(1,MIN(10,'Россия 2039'!L14+'Россия 2039'!N14+('Россия 2039'!M14+'Россия 2039'!P14+'Россия 2039'!Q14)))</f>
        <v>10</v>
      </c>
      <c r="M14" s="12">
        <f>MIN(1,'Россия 2039'!M14+'Россия 2039'!P14+(0.1*LN(1+0.5*'Ход 2039'!H16)*POWER(MAX(0,1-'Россия 2039'!S14/10),0.8)))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10</v>
      </c>
      <c r="T14" s="12"/>
      <c r="U14" s="12" t="s">
        <v>132</v>
      </c>
      <c r="V14" s="25">
        <f>'Россия 2039'!V14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2039'!B15+'Россия 2039'!D15+('Россия 2039'!C15+'Россия 2039'!F15+'Россия 2039'!G15)+(0.35*LN(1+0.6*'Ход 2039'!B21)*POWER(MAX(0,1-'Россия 2039'!I15/10),0.7))))</f>
        <v>10</v>
      </c>
      <c r="C15" s="12">
        <f>MIN(1,'Россия 2039'!C15+'Россия 2039'!F15+(0.08*LN(1+0.5*'Ход 2039'!C21)*MAX(0,1-('Россия 2039'!C15+'Россия 2039'!F15))))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10</v>
      </c>
      <c r="J15" s="12"/>
      <c r="K15" s="12" t="s">
        <v>135</v>
      </c>
      <c r="L15" s="12">
        <f>MAX(1,MIN(10,'Россия 2039'!L15+'Россия 2039'!N15+('Россия 2039'!M15+'Россия 2039'!P15+'Россия 2039'!Q15)))</f>
        <v>9.5</v>
      </c>
      <c r="M15" s="12">
        <f>MIN(1,'Россия 2039'!M15+'Россия 2039'!P15+(0.1*LN(1+0.5*'Ход 2039'!H17)*POWER(MAX(0,1-'Россия 2039'!S15/10),0.8)))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9.5</v>
      </c>
      <c r="T15" s="12"/>
      <c r="U15" s="12" t="s">
        <v>136</v>
      </c>
      <c r="V15" s="25">
        <f>'Россия 2039'!V15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2039'!B16+'Россия 2039'!D16+('Россия 2039'!C16+'Россия 2039'!F16+'Россия 2039'!G16)+(0.35*LN(1+0.6*'Ход 2039'!B22)*POWER(MAX(0,1-'Россия 2039'!I16/10),0.7))))</f>
        <v>10</v>
      </c>
      <c r="C16" s="12">
        <f>MIN(1,'Россия 2039'!C16+'Россия 2039'!F16+(0.08*LN(1+0.5*'Ход 2039'!C22)*MAX(0,1-('Россия 2039'!C16+'Россия 2039'!F16))))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2039'!L16+'Россия 2039'!N16+('Россия 2039'!M16+'Россия 2039'!P16+'Россия 2039'!Q16)))</f>
        <v>10</v>
      </c>
      <c r="M16" s="12">
        <f>MIN(1,'Россия 2039'!M16+'Россия 2039'!P16+(0.1*LN(1+0.5*'Ход 2039'!H18)*POWER(MAX(0,1-'Россия 2039'!S16/10),0.8)))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2039'!V16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2039'!B17+'Россия 2039'!D17+('Россия 2039'!C17+'Россия 2039'!F17+'Россия 2039'!G17)+(0.35*LN(1+0.6*'Ход 2039'!B23)*POWER(MAX(0,1-'Россия 2039'!I17/10),0.7))))</f>
        <v>10</v>
      </c>
      <c r="C17" s="12">
        <f>MIN(1,'Россия 2039'!C17+'Россия 2039'!F17+(0.08*LN(1+0.5*'Ход 2039'!C23)*MAX(0,1-('Россия 2039'!C17+'Россия 2039'!F17))))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10</v>
      </c>
      <c r="J17" s="12"/>
      <c r="K17" s="12" t="s">
        <v>148</v>
      </c>
      <c r="L17" s="12">
        <f>MAX(1,MIN(10,'Россия 2039'!L17+'Россия 2039'!N17+('Россия 2039'!M17+'Россия 2039'!P17+'Россия 2039'!Q17)))</f>
        <v>10</v>
      </c>
      <c r="M17" s="12">
        <f>MIN(1,'Россия 2039'!M17+'Россия 2039'!P17+(0.1*LN(1+0.5*'Ход 2039'!H19)*POWER(MAX(0,1-'Россия 2039'!S17/10),0.8)))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2039'!V17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2039'!L18+'Россия 2039'!N18+('Россия 2039'!M18+'Россия 2039'!P18+'Россия 2039'!Q18)))</f>
        <v>10</v>
      </c>
      <c r="M18" s="12">
        <f>MIN(1,'Россия 2039'!M18+'Россия 2039'!P18+(0.1*LN(1+0.5*'Ход 2039'!H20)*POWER(MAX(0,1-'Россия 2039'!S18/10),0.8)))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2039'!V18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2039'!B19+'Россия 2039'!D19+('Россия 2039'!C19+'Россия 2039'!F19+'Россия 2039'!G19)+(0.35*LN(1+0.6*'Ход 2039'!B25)*POWER(MAX(0,1-'Россия 2039'!I19/10),0.7))))</f>
        <v>10</v>
      </c>
      <c r="C19" s="12">
        <f>MIN(1,'Россия 2039'!C19+'Россия 2039'!F19+(0.08*LN(1+0.5*'Ход 2039'!C25)*MAX(0,1-('Россия 2039'!C19+'Россия 2039'!F19))))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10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2039'!V19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2039'!B20+'Россия 2039'!D20+('Россия 2039'!C20+'Россия 2039'!F20+'Россия 2039'!G20)+(0.35*LN(1+0.6*'Ход 2039'!B26)*POWER(MAX(0,1-'Россия 2039'!I20/10),0.7))))</f>
        <v>10</v>
      </c>
      <c r="C20" s="12">
        <f>MIN(1,'Россия 2039'!C20+'Россия 2039'!F20+(0.08*LN(1+0.5*'Ход 2039'!C26)*MAX(0,1-('Россия 2039'!C20+'Россия 2039'!F20))))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2039'!V20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2039'!B21+'Россия 2039'!D21+('Россия 2039'!C21+'Россия 2039'!F21+'Россия 2039'!G21)+(0.35*LN(1+0.6*'Ход 2039'!B27)*POWER(MAX(0,1-'Россия 2039'!I21/10),0.7))))</f>
        <v>10</v>
      </c>
      <c r="C21" s="12">
        <f>MIN(1,'Россия 2039'!C21+'Россия 2039'!F21+(0.08*LN(1+0.5*'Ход 2039'!C27)*MAX(0,1-('Россия 2039'!C21+'Россия 2039'!F21))))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10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2039'!V21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2039'!B22+'Россия 2039'!D22+('Россия 2039'!C22+'Россия 2039'!F22+'Россия 2039'!G22)+(0.35*LN(1+0.6*'Ход 2039'!B28)*POWER(MAX(0,1-'Россия 2039'!I22/10),0.7))))</f>
        <v>10</v>
      </c>
      <c r="C22" s="12">
        <f>MIN(1,'Россия 2039'!C22+'Россия 2039'!F22+(0.08*LN(1+0.5*'Ход 2039'!C28)*MAX(0,1-('Россия 2039'!C22+'Россия 2039'!F22))))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2039'!V22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2039'!B23+'Россия 2039'!D23+('Россия 2039'!C23+'Россия 2039'!F23+'Россия 2039'!G23)+(0.35*LN(1+0.6*'Ход 2039'!B29)*POWER(MAX(0,1-'Россия 2039'!I23/10),0.7))))</f>
        <v>10</v>
      </c>
      <c r="C23" s="12">
        <f>MIN(1,'Россия 2039'!C23+'Россия 2039'!F23+(0.08*LN(1+0.5*'Ход 2039'!C29)*MAX(0,1-('Россия 2039'!C23+'Россия 2039'!F23))))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2039'!V23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2039'!V24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2039'!B25+'Россия 2039'!D25+('Россия 2039'!C25+'Россия 2039'!F25+'Россия 2039'!G25)+(0.35*LN(1+0.6*'Ход 2039'!B31)*POWER(MAX(0,1-'Россия 2039'!I25/10),0.7))))</f>
        <v>10</v>
      </c>
      <c r="C25" s="12">
        <f>MIN(1,'Россия 2039'!C25+'Россия 2039'!F25+(0.08*LN(1+0.5*'Ход 2039'!C31)*MAX(0,1-('Россия 2039'!C25+'Россия 2039'!F25))))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2039'!V25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2039'!B26+'Россия 2039'!D26+('Россия 2039'!C26+'Россия 2039'!F26+'Россия 2039'!G26)+(0.35*LN(1+0.6*'Ход 2039'!B32)*POWER(MAX(0,1-'Россия 2039'!I26/10),0.7))))</f>
        <v>10</v>
      </c>
      <c r="C26" s="12">
        <f>MIN(1,'Россия 2039'!C26+'Россия 2039'!F26+(0.08*LN(1+0.5*'Ход 2039'!C32)*MAX(0,1-('Россия 2039'!C26+'Россия 2039'!F26))))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10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2039'!V26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2039'!B27+'Россия 2039'!D27+('Россия 2039'!C27+'Россия 2039'!F27+'Россия 2039'!G27)+(0.35*LN(1+0.6*'Ход 2039'!B33)*POWER(MAX(0,1-'Россия 2039'!I27/10),0.7))))</f>
        <v>10</v>
      </c>
      <c r="C27" s="12">
        <f>MIN(1,'Россия 2039'!C27+'Россия 2039'!F27+(0.08*LN(1+0.5*'Ход 2039'!C33)*MAX(0,1-('Россия 2039'!C27+'Россия 2039'!F27))))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10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2039'!B28+'Россия 2039'!D28+('Россия 2039'!C28+'Россия 2039'!F28+'Россия 2039'!G28)+(0.35*LN(1+0.6*'Ход 2039'!B34)*POWER(MAX(0,1-'Россия 2039'!I28/10),0.7))))</f>
        <v>10</v>
      </c>
      <c r="C28" s="12">
        <f>MIN(1,'Россия 2039'!C28+'Россия 2039'!F28+(0.08*LN(1+0.5*'Ход 2039'!C34)*MAX(0,1-('Россия 2039'!C28+'Россия 2039'!F28))))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2039'!B29+'Россия 2039'!D29+('Россия 2039'!C29+'Россия 2039'!F29+'Россия 2039'!G29)+(0.35*LN(1+0.6*'Ход 2039'!B35)*POWER(MAX(0,1-'Россия 2039'!I29/10),0.7))))</f>
        <v>10</v>
      </c>
      <c r="C29" s="12">
        <f>MIN(1,'Россия 2039'!C29+'Россия 2039'!F29+(0.08*LN(1+0.5*'Ход 2039'!C35)*MAX(0,1-('Россия 2039'!C29+'Россия 2039'!F29))))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10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2039'!B30+'Россия 2039'!D30+('Россия 2039'!C30+'Россия 2039'!F30+'Россия 2039'!G30)+(0.35*LN(1+0.6*'Ход 2039'!B36)*POWER(MAX(0,1-'Россия 2039'!I30/10),0.7))))</f>
        <v>8.8</v>
      </c>
      <c r="C30" s="12">
        <f>MIN(1,'Россия 2039'!C30+'Россия 2039'!F30+(0.08*LN(1+0.5*'Ход 2039'!C36)*MAX(0,1-('Россия 2039'!C30+'Россия 2039'!F30))))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8.8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2039'!B31+'Россия 2039'!D31+('Россия 2039'!C31+'Россия 2039'!F31+'Россия 2039'!G31)+(0.35*LN(1+0.6*'Ход 2039'!B37)*POWER(MAX(0,1-'Россия 2039'!I31/10),0.7))))</f>
        <v>6.4</v>
      </c>
      <c r="C31" s="12">
        <f>MIN(1,'Россия 2039'!C31+'Россия 2039'!F31+(0.08*LN(1+0.5*'Ход 2039'!C37)*MAX(0,1-('Россия 2039'!C31+'Россия 2039'!F31))))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6.4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2039'!B32+'Россия 2039'!D32+('Россия 2039'!C32+'Россия 2039'!F32+'Россия 2039'!G32)+(0.35*LN(1+0.6*'Ход 2039'!B38)*POWER(MAX(0,1-'Россия 2039'!I32/10),0.7))))</f>
        <v>10</v>
      </c>
      <c r="C32" s="12">
        <f>MIN(1,'Россия 2039'!C32+'Россия 2039'!F32+(0.08*LN(1+0.5*'Ход 2039'!C38)*MAX(0,1-('Россия 2039'!C32+'Россия 2039'!F32))))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10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2039'!B34+'Россия 2039'!D34+('Россия 2039'!C34+'Россия 2039'!F34+'Россия 2039'!G34)+(0.35*LN(1+0.6*'Ход 2039'!B40)*POWER(MAX(0,1-'Россия 2039'!I34/10),0.7))))</f>
        <v>10</v>
      </c>
      <c r="C34" s="12">
        <f>MIN(1,'Россия 2039'!C34+'Россия 2039'!F34+(0.08*LN(1+0.5*'Ход 2039'!C40)*MAX(0,1-('Россия 2039'!C34+'Россия 2039'!F34))))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2039'!B35+'Россия 2039'!D35+('Россия 2039'!C35+'Россия 2039'!F35+'Россия 2039'!G35)+(0.35*LN(1+0.6*'Ход 2039'!B41)*POWER(MAX(0,1-'Россия 2039'!I35/10),0.7))))</f>
        <v>9.731664729</v>
      </c>
      <c r="C35" s="12">
        <f>MIN(1,'Россия 2039'!C35+'Россия 2039'!F35+(0.08*LN(1+0.5*'Ход 2039'!C41)*MAX(0,1-('Россия 2039'!C35+'Россия 2039'!F35))))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9.731664729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2039'!B36+'Россия 2039'!D36+('Россия 2039'!C36+'Россия 2039'!F36+'Россия 2039'!G36)+(0.35*LN(1+0.6*'Ход 2039'!B42)*POWER(MAX(0,1-'Россия 2039'!I36/10),0.7))))</f>
        <v>10</v>
      </c>
      <c r="C36" s="12">
        <f>MIN(1,'Россия 2039'!C36+'Россия 2039'!F36+(0.08*LN(1+0.5*'Ход 2039'!C42)*MAX(0,1-('Россия 2039'!C36+'Россия 2039'!F36))))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2039'!B37+'Россия 2039'!D37+('Россия 2039'!C37+'Россия 2039'!F37+'Россия 2039'!G37)+(0.35*LN(1+0.6*'Ход 2039'!B43)*POWER(MAX(0,1-'Россия 2039'!I37/10),0.7))))</f>
        <v>10</v>
      </c>
      <c r="C37" s="12">
        <f>MIN(1,'Россия 2039'!C37+'Россия 2039'!F37+(0.08*LN(1+0.5*'Ход 2039'!C43)*MAX(0,1-('Россия 2039'!C37+'Россия 2039'!F37))))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10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2039'!B38+'Россия 2039'!D38+('Россия 2039'!C38+'Россия 2039'!F38+'Россия 2039'!G38)+(0.35*LN(1+0.6*'Ход 2039'!B44)*POWER(MAX(0,1-'Россия 2039'!I38/10),0.7))))</f>
        <v>9.5</v>
      </c>
      <c r="C38" s="12">
        <f>MIN(1,'Россия 2039'!C38+'Россия 2039'!F38+(0.08*LN(1+0.5*'Ход 2039'!C44)*MAX(0,1-('Россия 2039'!C38+'Россия 2039'!F38))))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9.5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2039'!B39+'Россия 2039'!D39+('Россия 2039'!C39+'Россия 2039'!F39+'Россия 2039'!G39)+(0.35*LN(1+0.6*'Ход 2039'!B45)*POWER(MAX(0,1-'Россия 2039'!I39/10),0.7))))</f>
        <v>8.8</v>
      </c>
      <c r="C39" s="12">
        <f>MIN(1,'Россия 2039'!C39+'Россия 2039'!F39+(0.08*LN(1+0.5*'Ход 2039'!C45)*MAX(0,1-('Россия 2039'!C39+'Россия 2039'!F39))))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8.8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2039'!B40+'Россия 2039'!D40+('Россия 2039'!C40+'Россия 2039'!F40+'Россия 2039'!G40)+(0.35*LN(1+0.6*'Ход 2039'!B46)*POWER(MAX(0,1-'Россия 2039'!I40/10),0.7))))</f>
        <v>8.4</v>
      </c>
      <c r="C40" s="12">
        <f>MIN(1,'Россия 2039'!C40+'Россия 2039'!F40+(0.08*LN(1+0.5*'Ход 2039'!C46)*MAX(0,1-('Россия 2039'!C40+'Россия 2039'!F40))))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8.4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2039'!B41+'Россия 2039'!D41+('Россия 2039'!C41+'Россия 2039'!F41+'Россия 2039'!G41)+(0.35*LN(1+0.6*'Ход 2039'!B47)*POWER(MAX(0,1-'Россия 2039'!I41/10),0.7))))</f>
        <v>10</v>
      </c>
      <c r="C41" s="12">
        <f>MIN(1,'Россия 2039'!C41+'Россия 2039'!F41+(0.08*LN(1+0.5*'Ход 2039'!C47)*MAX(0,1-('Россия 2039'!C41+'Россия 2039'!F41))))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10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2039'!B42+'Россия 2039'!D42+('Россия 2039'!C42+'Россия 2039'!F42+'Россия 2039'!G42)+(0.35*LN(1+0.6*'Ход 2039'!B48)*POWER(MAX(0,1-'Россия 2039'!I42/10),0.7))))</f>
        <v>10</v>
      </c>
      <c r="C42" s="12">
        <f>MIN(1,'Россия 2039'!C42+'Россия 2039'!F42+(0.08*LN(1+0.5*'Ход 2039'!C48)*MAX(0,1-('Россия 2039'!C42+'Россия 2039'!F42))))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10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2039'!B44+'Россия 2039'!D44+('Россия 2039'!C44+'Россия 2039'!F44+'Россия 2039'!G44)+(0.35*LN(1+0.6*'Ход 2039'!B50)*POWER(MAX(0,1-'Россия 2039'!I44/10),0.7))))</f>
        <v>9.84229879</v>
      </c>
      <c r="C44" s="12">
        <f>MIN(1,'Россия 2039'!C44+'Россия 2039'!F44+(0.08*LN(1+0.5*'Ход 2039'!C50)*MAX(0,1-('Россия 2039'!C44+'Россия 2039'!F44))))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9.84229879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2039'!B45+'Россия 2039'!D45+('Россия 2039'!C45+'Россия 2039'!F45+'Россия 2039'!G45)+(0.35*LN(1+0.6*'Ход 2039'!B51)*POWER(MAX(0,1-'Россия 2039'!I45/10),0.7))))</f>
        <v>10</v>
      </c>
      <c r="C45" s="12">
        <f>MIN(1,'Россия 2039'!C45+'Россия 2039'!F45+(0.08*LN(1+0.5*'Ход 2039'!C51)*MAX(0,1-('Россия 2039'!C45+'Россия 2039'!F45))))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10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2039'!B46+'Россия 2039'!D46+('Россия 2039'!C46+'Россия 2039'!F46+'Россия 2039'!G46)+(0.35*LN(1+0.6*'Ход 2039'!B52)*POWER(MAX(0,1-'Россия 2039'!I46/10),0.7))))</f>
        <v>6.491721311</v>
      </c>
      <c r="C46" s="12">
        <f>MIN(1,'Россия 2039'!C46+'Россия 2039'!F46+(0.08*LN(1+0.5*'Ход 2039'!C52)*MAX(0,1-('Россия 2039'!C46+'Россия 2039'!F46))))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6.491721311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2039'!B47+'Россия 2039'!D47+('Россия 2039'!C47+'Россия 2039'!F47+'Россия 2039'!G47)+(0.35*LN(1+0.6*'Ход 2039'!B53)*POWER(MAX(0,1-'Россия 2039'!I47/10),0.7))))</f>
        <v>6.264263302</v>
      </c>
      <c r="C47" s="12">
        <f>MIN(1,'Россия 2039'!C47+'Россия 2039'!F47+(0.08*LN(1+0.5*'Ход 2039'!C53)*MAX(0,1-('Россия 2039'!C47+'Россия 2039'!F47))))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6.264263302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2039'!B48+'Россия 2039'!D48+('Россия 2039'!C48+'Россия 2039'!F48+'Россия 2039'!G48)+(0.35*LN(1+0.6*'Ход 2039'!B54)*POWER(MAX(0,1-'Россия 2039'!I48/10),0.7))))</f>
        <v>9.637794399</v>
      </c>
      <c r="C48" s="12">
        <f>MIN(1,'Россия 2039'!C48+'Россия 2039'!F48+(0.08*LN(1+0.5*'Ход 2039'!C54)*MAX(0,1-('Россия 2039'!C48+'Россия 2039'!F48))))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9.637794399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2039'!B49+'Россия 2039'!D49+('Россия 2039'!C49+'Россия 2039'!F49+'Россия 2039'!G49)+(0.35*LN(1+0.6*'Ход 2039'!B55)*POWER(MAX(0,1-'Россия 2039'!I49/10),0.7))))</f>
        <v>10</v>
      </c>
      <c r="C49" s="12">
        <f>MIN(1,'Россия 2039'!C49+'Россия 2039'!F49+(0.08*LN(1+0.5*'Ход 2039'!C55)*MAX(0,1-('Россия 2039'!C49+'Россия 2039'!F49))))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10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2039'!B50+'Россия 2039'!D50+('Россия 2039'!C50+'Россия 2039'!F50+'Россия 2039'!G50)+(0.35*LN(1+0.6*'Ход 2039'!B56)*POWER(MAX(0,1-'Россия 2039'!I50/10),0.7))))</f>
        <v>10</v>
      </c>
      <c r="C50" s="12">
        <f>MIN(1,'Россия 2039'!C50+'Россия 2039'!F50+(0.08*LN(1+0.5*'Ход 2039'!C56)*MAX(0,1-('Россия 2039'!C50+'Россия 2039'!F50))))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10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2039'!B51+'Россия 2039'!D51+('Россия 2039'!C51+'Россия 2039'!F51+'Россия 2039'!G51)+(0.35*LN(1+0.6*'Ход 2039'!B57)*POWER(MAX(0,1-'Россия 2039'!I51/10),0.7))))</f>
        <v>10</v>
      </c>
      <c r="C51" s="12">
        <f>MIN(1,'Россия 2039'!C51+'Россия 2039'!F51+(0.08*LN(1+0.5*'Ход 2039'!C57)*MAX(0,1-('Россия 2039'!C51+'Россия 2039'!F51))))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10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2039'!B53+'Россия 2039'!D53+('Россия 2039'!C53+'Россия 2039'!F53+'Россия 2039'!G53)+(0.35*LN(1+0.6*'Ход 2039'!B59)*POWER(MAX(0,1-'Россия 2039'!I53/10),0.7))))</f>
        <v>10</v>
      </c>
      <c r="C53" s="12">
        <f>MIN(1,'Россия 2039'!C53+'Россия 2039'!F53+(0.08*LN(1+0.5*'Ход 2039'!C59)*MAX(0,1-('Россия 2039'!C53+'Россия 2039'!F53))))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10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2039'!B54+'Россия 2039'!D54+('Россия 2039'!C54+'Россия 2039'!F54+'Россия 2039'!G54)+(0.35*LN(1+0.6*'Ход 2039'!B60)*POWER(MAX(0,1-'Россия 2039'!I54/10),0.7))))</f>
        <v>8.1</v>
      </c>
      <c r="C54" s="12">
        <f>MIN(1,'Россия 2039'!C54+'Россия 2039'!F54+(0.08*LN(1+0.5*'Ход 2039'!C60)*MAX(0,1-('Россия 2039'!C54+'Россия 2039'!F54))))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8.1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2039'!B55+'Россия 2039'!D55+('Россия 2039'!C55+'Россия 2039'!F55+'Россия 2039'!G55)+(0.35*LN(1+0.6*'Ход 2039'!B61)*POWER(MAX(0,1-'Россия 2039'!I55/10),0.7))))</f>
        <v>7.1</v>
      </c>
      <c r="C55" s="12">
        <f>MIN(1,'Россия 2039'!C55+'Россия 2039'!F55+(0.08*LN(1+0.5*'Ход 2039'!C61)*MAX(0,1-('Россия 2039'!C55+'Россия 2039'!F55))))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7.1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3" width="13.0"/>
    <col customWidth="1" min="4" max="6" width="8.63"/>
    <col customWidth="1" min="7" max="7" width="25.0"/>
    <col customWidth="1" min="8" max="8" width="32.0"/>
    <col customWidth="1" min="9" max="9" width="13.0"/>
    <col customWidth="1" min="10" max="10" width="18.0"/>
    <col customWidth="1" min="11" max="11" width="16.0"/>
    <col customWidth="1" min="12" max="12" width="17.0"/>
    <col customWidth="1" min="13" max="13" width="13.0"/>
    <col customWidth="1" min="14" max="14" width="16.0"/>
    <col customWidth="1" min="15" max="17" width="18.0"/>
    <col customWidth="1" min="18" max="18" width="15.0"/>
    <col customWidth="1" min="19" max="19" width="17.0"/>
    <col customWidth="1" min="20" max="20" width="15.0"/>
    <col customWidth="1" min="21" max="21" width="14.0"/>
    <col customWidth="1" min="22" max="26" width="8.63"/>
  </cols>
  <sheetData>
    <row r="1" ht="13.5" customHeight="1">
      <c r="A1" s="4" t="s">
        <v>407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ht="13.5" customHeight="1">
      <c r="A3" s="9" t="s">
        <v>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13.5" customHeight="1">
      <c r="A5" s="16" t="s">
        <v>13</v>
      </c>
      <c r="B5" s="10"/>
      <c r="C5" s="11"/>
      <c r="D5" s="12"/>
      <c r="E5" s="16" t="s">
        <v>12</v>
      </c>
      <c r="F5" s="10"/>
      <c r="G5" s="11"/>
      <c r="H5" s="12"/>
      <c r="I5" s="16" t="s">
        <v>14</v>
      </c>
      <c r="J5" s="10"/>
      <c r="K5" s="11"/>
      <c r="L5" s="12"/>
      <c r="M5" s="16" t="s">
        <v>15</v>
      </c>
      <c r="N5" s="10"/>
      <c r="O5" s="11"/>
      <c r="P5" s="12"/>
      <c r="Q5" s="12"/>
      <c r="R5" s="12"/>
      <c r="S5" s="12"/>
      <c r="T5" s="12"/>
      <c r="U5" s="12"/>
    </row>
    <row r="6" ht="13.5" customHeight="1">
      <c r="A6" s="12" t="s">
        <v>54</v>
      </c>
      <c r="B6" s="19">
        <f>'Россия 2040'!U6</f>
        <v>99.01483237</v>
      </c>
      <c r="C6" s="12"/>
      <c r="D6" s="12"/>
      <c r="E6" s="12" t="s">
        <v>54</v>
      </c>
      <c r="F6" s="19">
        <f>'Россия 2040'!K6</f>
        <v>83.24951462</v>
      </c>
      <c r="G6" s="12"/>
      <c r="H6" s="12"/>
      <c r="I6" s="12" t="s">
        <v>54</v>
      </c>
      <c r="J6" s="19">
        <f>'Россия 2040'!N6</f>
        <v>76.32983305</v>
      </c>
      <c r="K6" s="12"/>
      <c r="L6" s="12"/>
      <c r="M6" s="12" t="s">
        <v>54</v>
      </c>
      <c r="N6" s="19">
        <f>'Россия 2040'!Q6</f>
        <v>79.0049788</v>
      </c>
      <c r="O6" s="12"/>
      <c r="P6" s="12"/>
      <c r="Q6" s="12"/>
      <c r="R6" s="12"/>
      <c r="S6" s="12"/>
      <c r="T6" s="12"/>
      <c r="U6" s="12"/>
    </row>
    <row r="7" ht="13.5" customHeight="1">
      <c r="A7" s="12" t="s">
        <v>90</v>
      </c>
      <c r="B7" s="12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12"/>
      <c r="D7" s="12"/>
      <c r="E7" s="12" t="s">
        <v>90</v>
      </c>
      <c r="F7" s="12">
        <f>SUM(H13:H20)</f>
        <v>0</v>
      </c>
      <c r="G7" s="12"/>
      <c r="H7" s="12"/>
      <c r="I7" s="12" t="s">
        <v>90</v>
      </c>
      <c r="J7" s="12">
        <f>SUM(I29:I38)</f>
        <v>0</v>
      </c>
      <c r="K7" s="12"/>
      <c r="L7" s="12"/>
      <c r="M7" s="12" t="s">
        <v>90</v>
      </c>
      <c r="N7" s="12">
        <f>SUM(N13:Q28)+J24</f>
        <v>0</v>
      </c>
      <c r="O7" s="12"/>
      <c r="P7" s="12"/>
      <c r="Q7" s="12"/>
      <c r="R7" s="12"/>
      <c r="S7" s="12"/>
      <c r="T7" s="12"/>
      <c r="U7" s="12"/>
    </row>
    <row r="8" ht="13.5" customHeight="1">
      <c r="A8" s="12" t="s">
        <v>91</v>
      </c>
      <c r="B8" s="19">
        <f>B6-B7</f>
        <v>99.01483237</v>
      </c>
      <c r="C8" s="12" t="str">
        <f>IF(B8&lt;0,"ПРЕВЫШЕНИЕ","OK")</f>
        <v>OK</v>
      </c>
      <c r="D8" s="12"/>
      <c r="E8" s="12" t="s">
        <v>91</v>
      </c>
      <c r="F8" s="19">
        <f>F6-F7</f>
        <v>83.24951462</v>
      </c>
      <c r="G8" s="12" t="str">
        <f>IF(F8&lt;0,"ПРЕВЫШЕНИЕ","OK")</f>
        <v>OK</v>
      </c>
      <c r="H8" s="12"/>
      <c r="I8" s="12" t="s">
        <v>91</v>
      </c>
      <c r="J8" s="19">
        <f>J6-J7</f>
        <v>76.32983305</v>
      </c>
      <c r="K8" s="12" t="str">
        <f>IF(J8&lt;0,"ПРЕВЫШЕНИЕ","OK")</f>
        <v>OK</v>
      </c>
      <c r="L8" s="12"/>
      <c r="M8" s="12" t="s">
        <v>91</v>
      </c>
      <c r="N8" s="19">
        <f>N6-N7</f>
        <v>79.0049788</v>
      </c>
      <c r="O8" s="12" t="str">
        <f>IF(N8&lt;0,"ПРЕВЫШЕНИЕ","OK")</f>
        <v>OK</v>
      </c>
      <c r="P8" s="12"/>
      <c r="Q8" s="12"/>
      <c r="R8" s="12"/>
      <c r="S8" s="12"/>
      <c r="T8" s="12"/>
      <c r="U8" s="12"/>
    </row>
    <row r="9" ht="13.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ht="13.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ht="13.5" customHeight="1">
      <c r="A11" s="24" t="s">
        <v>92</v>
      </c>
      <c r="B11" s="10"/>
      <c r="C11" s="11"/>
      <c r="D11" s="12"/>
      <c r="E11" s="12"/>
      <c r="F11" s="12"/>
      <c r="G11" s="24" t="s">
        <v>93</v>
      </c>
      <c r="H11" s="11"/>
      <c r="I11" s="12"/>
      <c r="J11" s="12"/>
      <c r="K11" s="12"/>
      <c r="L11" s="12" t="s">
        <v>94</v>
      </c>
    </row>
    <row r="12" ht="13.5" customHeight="1">
      <c r="A12" s="12" t="s">
        <v>16</v>
      </c>
      <c r="B12" s="12" t="s">
        <v>95</v>
      </c>
      <c r="C12" s="12" t="s">
        <v>96</v>
      </c>
      <c r="D12" s="12"/>
      <c r="E12" s="12"/>
      <c r="F12" s="12"/>
      <c r="G12" s="12" t="s">
        <v>97</v>
      </c>
      <c r="H12" s="12" t="s">
        <v>98</v>
      </c>
      <c r="I12" s="12"/>
      <c r="J12" s="12"/>
      <c r="K12" s="12"/>
      <c r="L12" s="12" t="s">
        <v>99</v>
      </c>
      <c r="M12" s="12" t="s">
        <v>100</v>
      </c>
      <c r="N12" s="12" t="s">
        <v>101</v>
      </c>
      <c r="O12" s="12" t="s">
        <v>102</v>
      </c>
      <c r="P12" s="12" t="s">
        <v>103</v>
      </c>
      <c r="Q12" s="12" t="s">
        <v>104</v>
      </c>
      <c r="R12" s="12" t="s">
        <v>105</v>
      </c>
      <c r="S12" s="12" t="s">
        <v>106</v>
      </c>
      <c r="T12" s="12" t="s">
        <v>107</v>
      </c>
      <c r="U12" s="12" t="s">
        <v>108</v>
      </c>
    </row>
    <row r="13" ht="13.5" customHeight="1">
      <c r="A13" s="12" t="s">
        <v>109</v>
      </c>
      <c r="B13" s="25"/>
      <c r="C13" s="25"/>
      <c r="D13" s="12"/>
      <c r="E13" s="12"/>
      <c r="F13" s="12"/>
      <c r="G13" s="12" t="s">
        <v>110</v>
      </c>
      <c r="H13" s="25">
        <v>0.0</v>
      </c>
      <c r="I13" s="12"/>
      <c r="J13" s="12"/>
      <c r="K13" s="12"/>
      <c r="L13" s="12" t="s">
        <v>111</v>
      </c>
      <c r="M13" s="12">
        <f>'Россия 2040'!V11</f>
        <v>-1.5</v>
      </c>
      <c r="N13" s="25">
        <v>0.0</v>
      </c>
      <c r="O13" s="25">
        <v>0.0</v>
      </c>
      <c r="P13" s="25">
        <v>0.0</v>
      </c>
      <c r="Q13" s="25">
        <v>0.0</v>
      </c>
      <c r="R13" s="28">
        <f t="shared" ref="R13:R28" si="1">IF(M13&gt;=5,0,MIN(0.75,(0.1+0.08*(IF(M13=0,0,SIGN(M13)*POWER(ABS(M13)/5,1.25))))+0.5*(MIN(1,LN(1+N13)/LN(41)))*((5-M13)/10)))</f>
        <v>0.08223801269</v>
      </c>
      <c r="S13" s="28">
        <f t="shared" ref="S13:S28" si="2">MAX(0,1-R13-T13)</f>
        <v>0.8</v>
      </c>
      <c r="T13" s="28">
        <f t="shared" ref="T13:T28" si="3">IF(M13&lt;=-5,0,MAX(0,(0.1-0.08*(IF(M13=0,0,SIGN(M13)*POWER(ABS(M13)/5,1.25))))*(1-0.85*(MIN(1,LN(1+N13)/LN(41))))))</f>
        <v>0.1177619873</v>
      </c>
      <c r="U13" s="12">
        <f t="shared" ref="U13:U28" si="4">RANDBETWEEN(0,100)</f>
        <v>64</v>
      </c>
    </row>
    <row r="14" ht="13.5" customHeight="1">
      <c r="A14" s="12" t="s">
        <v>112</v>
      </c>
      <c r="B14" s="25">
        <v>0.0</v>
      </c>
      <c r="C14" s="25">
        <v>0.0</v>
      </c>
      <c r="D14" s="12"/>
      <c r="E14" s="12"/>
      <c r="F14" s="12"/>
      <c r="G14" s="12" t="s">
        <v>121</v>
      </c>
      <c r="H14" s="25">
        <v>0.0</v>
      </c>
      <c r="I14" s="12"/>
      <c r="J14" s="12"/>
      <c r="K14" s="12"/>
      <c r="L14" s="12" t="s">
        <v>122</v>
      </c>
      <c r="M14" s="12">
        <f>'Россия 2040'!V12</f>
        <v>2.9</v>
      </c>
      <c r="N14" s="25">
        <v>0.0</v>
      </c>
      <c r="O14" s="25">
        <v>0.0</v>
      </c>
      <c r="P14" s="25">
        <v>0.0</v>
      </c>
      <c r="Q14" s="25">
        <v>0.0</v>
      </c>
      <c r="R14" s="28">
        <f t="shared" si="1"/>
        <v>0.1404925362</v>
      </c>
      <c r="S14" s="28">
        <f t="shared" si="2"/>
        <v>0.8</v>
      </c>
      <c r="T14" s="28">
        <f t="shared" si="3"/>
        <v>0.05950746382</v>
      </c>
      <c r="U14" s="12">
        <f t="shared" si="4"/>
        <v>24</v>
      </c>
    </row>
    <row r="15" ht="13.5" customHeight="1">
      <c r="A15" s="12" t="s">
        <v>113</v>
      </c>
      <c r="B15" s="25">
        <v>0.0</v>
      </c>
      <c r="C15" s="25">
        <v>0.0</v>
      </c>
      <c r="D15" s="12"/>
      <c r="E15" s="12"/>
      <c r="F15" s="12"/>
      <c r="G15" s="12" t="s">
        <v>127</v>
      </c>
      <c r="H15" s="25">
        <v>0.0</v>
      </c>
      <c r="I15" s="12"/>
      <c r="J15" s="12"/>
      <c r="K15" s="12"/>
      <c r="L15" s="12" t="s">
        <v>128</v>
      </c>
      <c r="M15" s="12">
        <f>'Россия 2040'!V13</f>
        <v>2.8</v>
      </c>
      <c r="N15" s="25">
        <v>0.0</v>
      </c>
      <c r="O15" s="25">
        <v>0.0</v>
      </c>
      <c r="P15" s="25">
        <v>0.0</v>
      </c>
      <c r="Q15" s="25">
        <v>0.0</v>
      </c>
      <c r="R15" s="28">
        <f t="shared" si="1"/>
        <v>0.1387547572</v>
      </c>
      <c r="S15" s="28">
        <f t="shared" si="2"/>
        <v>0.8</v>
      </c>
      <c r="T15" s="28">
        <f t="shared" si="3"/>
        <v>0.06124524277</v>
      </c>
      <c r="U15" s="12">
        <f t="shared" si="4"/>
        <v>61</v>
      </c>
    </row>
    <row r="16" ht="13.5" customHeight="1">
      <c r="A16" s="12" t="s">
        <v>116</v>
      </c>
      <c r="B16" s="25">
        <v>0.0</v>
      </c>
      <c r="C16" s="25">
        <v>0.0</v>
      </c>
      <c r="D16" s="12"/>
      <c r="E16" s="12"/>
      <c r="F16" s="12"/>
      <c r="G16" s="12" t="s">
        <v>131</v>
      </c>
      <c r="H16" s="25">
        <v>0.0</v>
      </c>
      <c r="I16" s="12"/>
      <c r="J16" s="12"/>
      <c r="K16" s="12"/>
      <c r="L16" s="12" t="s">
        <v>132</v>
      </c>
      <c r="M16" s="12">
        <f>'Россия 2040'!V14</f>
        <v>-0.8</v>
      </c>
      <c r="N16" s="25">
        <v>0.0</v>
      </c>
      <c r="O16" s="25">
        <v>0.0</v>
      </c>
      <c r="P16" s="25">
        <v>0.0</v>
      </c>
      <c r="Q16" s="25">
        <v>0.0</v>
      </c>
      <c r="R16" s="28">
        <f t="shared" si="1"/>
        <v>0.09190456919</v>
      </c>
      <c r="S16" s="28">
        <f t="shared" si="2"/>
        <v>0.8</v>
      </c>
      <c r="T16" s="28">
        <f t="shared" si="3"/>
        <v>0.1080954308</v>
      </c>
      <c r="U16" s="12">
        <f t="shared" si="4"/>
        <v>76</v>
      </c>
    </row>
    <row r="17" ht="13.5" customHeight="1">
      <c r="A17" s="12" t="s">
        <v>120</v>
      </c>
      <c r="B17" s="25">
        <v>0.0</v>
      </c>
      <c r="C17" s="25">
        <v>0.0</v>
      </c>
      <c r="D17" s="12"/>
      <c r="E17" s="12"/>
      <c r="F17" s="12"/>
      <c r="G17" s="12" t="s">
        <v>135</v>
      </c>
      <c r="H17" s="25">
        <v>0.0</v>
      </c>
      <c r="I17" s="12"/>
      <c r="J17" s="12"/>
      <c r="K17" s="12"/>
      <c r="L17" s="12" t="s">
        <v>136</v>
      </c>
      <c r="M17" s="12">
        <f>'Россия 2040'!V15</f>
        <v>-1.4</v>
      </c>
      <c r="N17" s="25">
        <v>0.0</v>
      </c>
      <c r="O17" s="25">
        <v>0.0</v>
      </c>
      <c r="P17" s="25">
        <v>0.0</v>
      </c>
      <c r="Q17" s="25">
        <v>0.0</v>
      </c>
      <c r="R17" s="28">
        <f t="shared" si="1"/>
        <v>0.08370563178</v>
      </c>
      <c r="S17" s="28">
        <f t="shared" si="2"/>
        <v>0.8</v>
      </c>
      <c r="T17" s="28">
        <f t="shared" si="3"/>
        <v>0.1162943682</v>
      </c>
      <c r="U17" s="12">
        <f t="shared" si="4"/>
        <v>41</v>
      </c>
    </row>
    <row r="18" ht="13.5" customHeight="1">
      <c r="A18" s="12" t="s">
        <v>124</v>
      </c>
      <c r="B18" s="25">
        <v>0.0</v>
      </c>
      <c r="C18" s="25">
        <v>0.0</v>
      </c>
      <c r="D18" s="12"/>
      <c r="E18" s="12"/>
      <c r="F18" s="12"/>
      <c r="G18" s="12" t="s">
        <v>142</v>
      </c>
      <c r="H18" s="25">
        <v>0.0</v>
      </c>
      <c r="I18" s="12"/>
      <c r="J18" s="12"/>
      <c r="K18" s="12"/>
      <c r="L18" s="12" t="s">
        <v>145</v>
      </c>
      <c r="M18" s="12">
        <f>'Россия 2040'!V16</f>
        <v>-1.7</v>
      </c>
      <c r="N18" s="25">
        <v>0.0</v>
      </c>
      <c r="O18" s="25">
        <v>0.0</v>
      </c>
      <c r="P18" s="25">
        <v>0.0</v>
      </c>
      <c r="Q18" s="25">
        <v>0.0</v>
      </c>
      <c r="R18" s="28">
        <f t="shared" si="1"/>
        <v>0.07922989781</v>
      </c>
      <c r="S18" s="28">
        <f t="shared" si="2"/>
        <v>0.8</v>
      </c>
      <c r="T18" s="28">
        <f t="shared" si="3"/>
        <v>0.1207701022</v>
      </c>
      <c r="U18" s="12">
        <f t="shared" si="4"/>
        <v>25</v>
      </c>
    </row>
    <row r="19" ht="13.5" customHeight="1">
      <c r="A19" s="12" t="s">
        <v>126</v>
      </c>
      <c r="B19" s="25">
        <v>0.0</v>
      </c>
      <c r="C19" s="25">
        <v>0.0</v>
      </c>
      <c r="D19" s="12"/>
      <c r="E19" s="12"/>
      <c r="F19" s="12"/>
      <c r="G19" s="12" t="s">
        <v>148</v>
      </c>
      <c r="H19" s="25">
        <v>0.0</v>
      </c>
      <c r="I19" s="12"/>
      <c r="J19" s="12"/>
      <c r="K19" s="12"/>
      <c r="L19" s="12" t="s">
        <v>149</v>
      </c>
      <c r="M19" s="12">
        <f>'Россия 2040'!V17</f>
        <v>-0.3</v>
      </c>
      <c r="N19" s="25">
        <v>0.0</v>
      </c>
      <c r="O19" s="25">
        <v>0.0</v>
      </c>
      <c r="P19" s="25">
        <v>0.0</v>
      </c>
      <c r="Q19" s="25">
        <v>0.0</v>
      </c>
      <c r="R19" s="28">
        <f t="shared" si="1"/>
        <v>0.09762436864</v>
      </c>
      <c r="S19" s="28">
        <f t="shared" si="2"/>
        <v>0.8</v>
      </c>
      <c r="T19" s="28">
        <f t="shared" si="3"/>
        <v>0.1023756314</v>
      </c>
      <c r="U19" s="12">
        <f t="shared" si="4"/>
        <v>0</v>
      </c>
    </row>
    <row r="20" ht="13.5" customHeight="1">
      <c r="A20" s="12" t="s">
        <v>130</v>
      </c>
      <c r="B20" s="25">
        <v>0.0</v>
      </c>
      <c r="C20" s="25">
        <v>0.0</v>
      </c>
      <c r="D20" s="12"/>
      <c r="E20" s="12"/>
      <c r="F20" s="12"/>
      <c r="G20" s="12" t="s">
        <v>152</v>
      </c>
      <c r="H20" s="25">
        <v>0.0</v>
      </c>
      <c r="I20" s="12"/>
      <c r="J20" s="12"/>
      <c r="K20" s="12"/>
      <c r="L20" s="12" t="s">
        <v>153</v>
      </c>
      <c r="M20" s="12">
        <f>'Россия 2040'!V18</f>
        <v>-1.2</v>
      </c>
      <c r="N20" s="25">
        <v>0.0</v>
      </c>
      <c r="O20" s="25">
        <v>0.0</v>
      </c>
      <c r="P20" s="25">
        <v>0.0</v>
      </c>
      <c r="Q20" s="25">
        <v>0.0</v>
      </c>
      <c r="R20" s="28">
        <f t="shared" si="1"/>
        <v>0.08656139964</v>
      </c>
      <c r="S20" s="28">
        <f t="shared" si="2"/>
        <v>0.8</v>
      </c>
      <c r="T20" s="28">
        <f t="shared" si="3"/>
        <v>0.1134386004</v>
      </c>
      <c r="U20" s="12">
        <f t="shared" si="4"/>
        <v>58</v>
      </c>
    </row>
    <row r="21" ht="13.5" customHeight="1">
      <c r="A21" s="12" t="s">
        <v>134</v>
      </c>
      <c r="B21" s="25">
        <v>0.0</v>
      </c>
      <c r="C21" s="25">
        <v>0.0</v>
      </c>
      <c r="D21" s="12"/>
      <c r="E21" s="12"/>
      <c r="F21" s="12"/>
      <c r="G21" s="12"/>
      <c r="H21" s="12"/>
      <c r="I21" s="12"/>
      <c r="J21" s="12"/>
      <c r="K21" s="12"/>
      <c r="L21" s="12" t="s">
        <v>156</v>
      </c>
      <c r="M21" s="12">
        <f>'Россия 2040'!V19</f>
        <v>1.3</v>
      </c>
      <c r="N21" s="25">
        <v>0.0</v>
      </c>
      <c r="O21" s="25">
        <v>0.0</v>
      </c>
      <c r="P21" s="25">
        <v>0.0</v>
      </c>
      <c r="Q21" s="25">
        <v>0.0</v>
      </c>
      <c r="R21" s="28">
        <f t="shared" si="1"/>
        <v>0.1148527432</v>
      </c>
      <c r="S21" s="28">
        <f t="shared" si="2"/>
        <v>0.8</v>
      </c>
      <c r="T21" s="28">
        <f t="shared" si="3"/>
        <v>0.08514725681</v>
      </c>
      <c r="U21" s="12">
        <f t="shared" si="4"/>
        <v>34</v>
      </c>
    </row>
    <row r="22" ht="13.5" customHeight="1">
      <c r="A22" s="12" t="s">
        <v>138</v>
      </c>
      <c r="B22" s="25">
        <v>0.0</v>
      </c>
      <c r="C22" s="25">
        <v>0.0</v>
      </c>
      <c r="D22" s="12"/>
      <c r="E22" s="12"/>
      <c r="F22" s="12"/>
      <c r="G22" s="12" t="s">
        <v>185</v>
      </c>
      <c r="K22" s="12"/>
      <c r="L22" s="12" t="s">
        <v>159</v>
      </c>
      <c r="M22" s="12">
        <f>'Россия 2040'!V20</f>
        <v>1.2</v>
      </c>
      <c r="N22" s="25">
        <v>0.0</v>
      </c>
      <c r="O22" s="25">
        <v>0.0</v>
      </c>
      <c r="P22" s="25">
        <v>0.0</v>
      </c>
      <c r="Q22" s="25">
        <v>0.0</v>
      </c>
      <c r="R22" s="28">
        <f t="shared" si="1"/>
        <v>0.1134386004</v>
      </c>
      <c r="S22" s="28">
        <f t="shared" si="2"/>
        <v>0.8</v>
      </c>
      <c r="T22" s="28">
        <f t="shared" si="3"/>
        <v>0.08656139964</v>
      </c>
      <c r="U22" s="12">
        <f t="shared" si="4"/>
        <v>12</v>
      </c>
    </row>
    <row r="23" ht="13.5" customHeight="1">
      <c r="A23" s="12" t="s">
        <v>147</v>
      </c>
      <c r="B23" s="25">
        <v>0.0</v>
      </c>
      <c r="C23" s="25">
        <v>0.0</v>
      </c>
      <c r="D23" s="12"/>
      <c r="E23" s="12"/>
      <c r="F23" s="12"/>
      <c r="G23" s="12" t="s">
        <v>188</v>
      </c>
      <c r="H23" s="12" t="s">
        <v>189</v>
      </c>
      <c r="I23" s="12" t="s">
        <v>190</v>
      </c>
      <c r="J23" s="12" t="s">
        <v>191</v>
      </c>
      <c r="K23" s="12"/>
      <c r="L23" s="12" t="s">
        <v>162</v>
      </c>
      <c r="M23" s="12">
        <f>'Россия 2040'!V21</f>
        <v>2.7</v>
      </c>
      <c r="N23" s="25">
        <v>0.0</v>
      </c>
      <c r="O23" s="25">
        <v>0.0</v>
      </c>
      <c r="P23" s="25">
        <v>0.0</v>
      </c>
      <c r="Q23" s="25">
        <v>0.0</v>
      </c>
      <c r="R23" s="28">
        <f t="shared" si="1"/>
        <v>0.137032428</v>
      </c>
      <c r="S23" s="28">
        <f t="shared" si="2"/>
        <v>0.8</v>
      </c>
      <c r="T23" s="28">
        <f t="shared" si="3"/>
        <v>0.06296757203</v>
      </c>
      <c r="U23" s="12">
        <f t="shared" si="4"/>
        <v>7</v>
      </c>
    </row>
    <row r="24" ht="13.5" customHeight="1">
      <c r="A24" s="12" t="s">
        <v>151</v>
      </c>
      <c r="B24" s="25"/>
      <c r="C24" s="25"/>
      <c r="D24" s="12"/>
      <c r="E24" s="12"/>
      <c r="F24" s="12"/>
      <c r="G24" s="25">
        <v>0.0</v>
      </c>
      <c r="H24" s="25">
        <v>0.0</v>
      </c>
      <c r="I24" s="25">
        <v>0.0</v>
      </c>
      <c r="J24" s="12">
        <f>SUM(G24:I24)</f>
        <v>0</v>
      </c>
      <c r="K24" s="12"/>
      <c r="L24" s="12" t="s">
        <v>165</v>
      </c>
      <c r="M24" s="12">
        <f>'Россия 2040'!V22</f>
        <v>-0.2</v>
      </c>
      <c r="N24" s="25">
        <v>0.0</v>
      </c>
      <c r="O24" s="25">
        <v>0.0</v>
      </c>
      <c r="P24" s="25">
        <v>0.0</v>
      </c>
      <c r="Q24" s="25">
        <v>0.0</v>
      </c>
      <c r="R24" s="28">
        <f t="shared" si="1"/>
        <v>0.09856891649</v>
      </c>
      <c r="S24" s="28">
        <f t="shared" si="2"/>
        <v>0.8</v>
      </c>
      <c r="T24" s="28">
        <f t="shared" si="3"/>
        <v>0.1014310835</v>
      </c>
      <c r="U24" s="12">
        <f t="shared" si="4"/>
        <v>99</v>
      </c>
    </row>
    <row r="25" ht="13.5" customHeight="1">
      <c r="A25" s="12" t="s">
        <v>155</v>
      </c>
      <c r="B25" s="25">
        <v>0.0</v>
      </c>
      <c r="C25" s="25">
        <v>0.0</v>
      </c>
      <c r="D25" s="12"/>
      <c r="E25" s="12"/>
      <c r="F25" s="12"/>
      <c r="G25" s="12"/>
      <c r="H25" s="12"/>
      <c r="I25" s="12"/>
      <c r="J25" s="12"/>
      <c r="K25" s="12"/>
      <c r="L25" s="12" t="s">
        <v>168</v>
      </c>
      <c r="M25" s="12">
        <f>'Россия 2040'!V23</f>
        <v>1.7</v>
      </c>
      <c r="N25" s="25">
        <v>0.0</v>
      </c>
      <c r="O25" s="25">
        <v>0.0</v>
      </c>
      <c r="P25" s="25">
        <v>0.0</v>
      </c>
      <c r="Q25" s="25">
        <v>0.0</v>
      </c>
      <c r="R25" s="28">
        <f t="shared" si="1"/>
        <v>0.1207701022</v>
      </c>
      <c r="S25" s="28">
        <f t="shared" si="2"/>
        <v>0.8</v>
      </c>
      <c r="T25" s="28">
        <f t="shared" si="3"/>
        <v>0.07922989781</v>
      </c>
      <c r="U25" s="12">
        <f t="shared" si="4"/>
        <v>14</v>
      </c>
    </row>
    <row r="26" ht="13.5" customHeight="1">
      <c r="A26" s="12" t="s">
        <v>158</v>
      </c>
      <c r="B26" s="25">
        <v>0.0</v>
      </c>
      <c r="C26" s="25">
        <v>0.0</v>
      </c>
      <c r="D26" s="12"/>
      <c r="E26" s="12"/>
      <c r="F26" s="12"/>
      <c r="G26" s="12"/>
      <c r="H26" s="12"/>
      <c r="I26" s="12"/>
      <c r="J26" s="12"/>
      <c r="K26" s="12"/>
      <c r="L26" s="12" t="s">
        <v>171</v>
      </c>
      <c r="M26" s="12">
        <f>'Россия 2040'!V24</f>
        <v>1.8</v>
      </c>
      <c r="N26" s="25">
        <v>0.0</v>
      </c>
      <c r="O26" s="25">
        <v>0.0</v>
      </c>
      <c r="P26" s="25">
        <v>0.0</v>
      </c>
      <c r="Q26" s="25">
        <v>0.0</v>
      </c>
      <c r="R26" s="28">
        <f t="shared" si="1"/>
        <v>0.1223083841</v>
      </c>
      <c r="S26" s="28">
        <f t="shared" si="2"/>
        <v>0.8</v>
      </c>
      <c r="T26" s="28">
        <f t="shared" si="3"/>
        <v>0.07769161593</v>
      </c>
      <c r="U26" s="12">
        <f t="shared" si="4"/>
        <v>86</v>
      </c>
    </row>
    <row r="27" ht="13.5" customHeight="1">
      <c r="A27" s="12" t="s">
        <v>161</v>
      </c>
      <c r="B27" s="25">
        <v>0.0</v>
      </c>
      <c r="C27" s="25">
        <v>0.0</v>
      </c>
      <c r="D27" s="12"/>
      <c r="E27" s="12"/>
      <c r="F27" s="12"/>
      <c r="G27" s="12" t="s">
        <v>209</v>
      </c>
      <c r="L27" s="12" t="s">
        <v>174</v>
      </c>
      <c r="M27" s="12">
        <f>'Россия 2040'!V25</f>
        <v>1.8</v>
      </c>
      <c r="N27" s="25">
        <v>0.0</v>
      </c>
      <c r="O27" s="25">
        <v>0.0</v>
      </c>
      <c r="P27" s="25">
        <v>0.0</v>
      </c>
      <c r="Q27" s="25">
        <v>0.0</v>
      </c>
      <c r="R27" s="28">
        <f t="shared" si="1"/>
        <v>0.1223083841</v>
      </c>
      <c r="S27" s="28">
        <f t="shared" si="2"/>
        <v>0.8</v>
      </c>
      <c r="T27" s="28">
        <f t="shared" si="3"/>
        <v>0.07769161593</v>
      </c>
      <c r="U27" s="12">
        <f t="shared" si="4"/>
        <v>46</v>
      </c>
    </row>
    <row r="28" ht="13.5" customHeight="1">
      <c r="A28" s="12" t="s">
        <v>164</v>
      </c>
      <c r="B28" s="25">
        <v>0.0</v>
      </c>
      <c r="C28" s="25">
        <v>0.0</v>
      </c>
      <c r="D28" s="12"/>
      <c r="E28" s="12"/>
      <c r="F28" s="12"/>
      <c r="G28" s="12" t="s">
        <v>216</v>
      </c>
      <c r="H28" s="12" t="s">
        <v>28</v>
      </c>
      <c r="I28" s="12" t="s">
        <v>217</v>
      </c>
      <c r="J28" s="12" t="s">
        <v>218</v>
      </c>
      <c r="K28" s="12" t="s">
        <v>219</v>
      </c>
      <c r="L28" s="12" t="s">
        <v>177</v>
      </c>
      <c r="M28" s="12">
        <f>'Россия 2040'!V26</f>
        <v>0</v>
      </c>
      <c r="N28" s="25">
        <v>0.0</v>
      </c>
      <c r="O28" s="25">
        <v>0.0</v>
      </c>
      <c r="P28" s="25">
        <v>0.0</v>
      </c>
      <c r="Q28" s="25">
        <v>0.0</v>
      </c>
      <c r="R28" s="28">
        <f t="shared" si="1"/>
        <v>0.1</v>
      </c>
      <c r="S28" s="28">
        <f t="shared" si="2"/>
        <v>0.8</v>
      </c>
      <c r="T28" s="28">
        <f t="shared" si="3"/>
        <v>0.1</v>
      </c>
      <c r="U28" s="12">
        <f t="shared" si="4"/>
        <v>61</v>
      </c>
    </row>
    <row r="29" ht="13.5" customHeight="1">
      <c r="A29" s="12" t="s">
        <v>167</v>
      </c>
      <c r="B29" s="25">
        <v>0.0</v>
      </c>
      <c r="C29" s="25">
        <v>0.0</v>
      </c>
      <c r="D29" s="12"/>
      <c r="E29" s="12"/>
      <c r="F29" s="12"/>
      <c r="G29" s="25"/>
      <c r="H29" s="20" t="str">
        <f>IF(G29="","",VLOOKUP(G29,'Технологии'!$A$11:$D$50,4,FALSE))</f>
        <v/>
      </c>
      <c r="I29" s="25">
        <v>0.0</v>
      </c>
      <c r="J29" s="25"/>
      <c r="K29" s="20" t="str">
        <f>IF(G29="","",VLOOKUP(G29,'Технологии'!$A$11:$BF$50,58,FALSE))</f>
        <v/>
      </c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ht="13.5" customHeight="1">
      <c r="A30" s="12" t="s">
        <v>170</v>
      </c>
      <c r="B30" s="25"/>
      <c r="C30" s="25"/>
      <c r="D30" s="12"/>
      <c r="E30" s="12"/>
      <c r="F30" s="12"/>
      <c r="G30" s="25"/>
      <c r="H30" s="20" t="str">
        <f>IF(G30="","",VLOOKUP(G30,'Технологии'!$A$11:$D$50,4,FALSE))</f>
        <v/>
      </c>
      <c r="I30" s="25">
        <v>0.0</v>
      </c>
      <c r="J30" s="25"/>
      <c r="K30" s="20" t="str">
        <f>IF(G30="","",VLOOKUP(G30,'Технологии'!$A$11:$BF$50,58,FALSE))</f>
        <v/>
      </c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ht="13.5" customHeight="1">
      <c r="A31" s="12" t="s">
        <v>173</v>
      </c>
      <c r="B31" s="25">
        <v>0.0</v>
      </c>
      <c r="C31" s="25">
        <v>0.0</v>
      </c>
      <c r="D31" s="12"/>
      <c r="E31" s="12"/>
      <c r="F31" s="12"/>
      <c r="G31" s="25"/>
      <c r="H31" s="20" t="str">
        <f>IF(G31="","",VLOOKUP(G31,'Технологии'!$A$11:$D$50,4,FALSE))</f>
        <v/>
      </c>
      <c r="I31" s="25">
        <v>0.0</v>
      </c>
      <c r="J31" s="25"/>
      <c r="K31" s="20" t="str">
        <f>IF(G31="","",VLOOKUP(G31,'Технологии'!$A$11:$BF$50,58,FALSE))</f>
        <v/>
      </c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ht="13.5" customHeight="1">
      <c r="A32" s="12" t="s">
        <v>176</v>
      </c>
      <c r="B32" s="25">
        <v>0.0</v>
      </c>
      <c r="C32" s="25">
        <v>0.0</v>
      </c>
      <c r="D32" s="12"/>
      <c r="E32" s="12"/>
      <c r="F32" s="12"/>
      <c r="G32" s="25"/>
      <c r="H32" s="20" t="str">
        <f>IF(G32="","",VLOOKUP(G32,'Технологии'!$A$11:$D$50,4,FALSE))</f>
        <v/>
      </c>
      <c r="I32" s="25">
        <v>0.0</v>
      </c>
      <c r="J32" s="25"/>
      <c r="K32" s="20" t="str">
        <f>IF(G32="","",VLOOKUP(G32,'Технологии'!$A$11:$BF$50,58,FALSE))</f>
        <v/>
      </c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ht="13.5" customHeight="1">
      <c r="A33" s="12" t="s">
        <v>179</v>
      </c>
      <c r="B33" s="25">
        <v>0.0</v>
      </c>
      <c r="C33" s="25">
        <v>0.0</v>
      </c>
      <c r="D33" s="12"/>
      <c r="E33" s="12"/>
      <c r="F33" s="12"/>
      <c r="G33" s="25"/>
      <c r="H33" s="20" t="str">
        <f>IF(G33="","",VLOOKUP(G33,'Технологии'!$A$11:$D$50,4,FALSE))</f>
        <v/>
      </c>
      <c r="I33" s="25">
        <v>0.0</v>
      </c>
      <c r="J33" s="25"/>
      <c r="K33" s="20" t="str">
        <f>IF(G33="","",VLOOKUP(G33,'Технологии'!$A$11:$BF$50,58,FALSE))</f>
        <v/>
      </c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ht="13.5" customHeight="1">
      <c r="A34" s="12" t="s">
        <v>180</v>
      </c>
      <c r="B34" s="25">
        <v>0.0</v>
      </c>
      <c r="C34" s="25">
        <v>0.0</v>
      </c>
      <c r="D34" s="12"/>
      <c r="E34" s="12"/>
      <c r="F34" s="12"/>
      <c r="G34" s="25"/>
      <c r="H34" s="20" t="str">
        <f>IF(G34="","",VLOOKUP(G34,'Технологии'!$A$11:$D$50,4,FALSE))</f>
        <v/>
      </c>
      <c r="I34" s="25">
        <v>0.0</v>
      </c>
      <c r="J34" s="25"/>
      <c r="K34" s="20" t="str">
        <f>IF(G34="","",VLOOKUP(G34,'Технологии'!$A$11:$BF$50,58,FALSE))</f>
        <v/>
      </c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ht="13.5" customHeight="1">
      <c r="A35" s="12" t="s">
        <v>181</v>
      </c>
      <c r="B35" s="25">
        <v>0.0</v>
      </c>
      <c r="C35" s="25">
        <v>0.0</v>
      </c>
      <c r="D35" s="12"/>
      <c r="E35" s="12"/>
      <c r="F35" s="12"/>
      <c r="G35" s="25"/>
      <c r="H35" s="20" t="str">
        <f>IF(G35="","",VLOOKUP(G35,'Технологии'!$A$11:$D$50,4,FALSE))</f>
        <v/>
      </c>
      <c r="I35" s="25">
        <v>0.0</v>
      </c>
      <c r="J35" s="25"/>
      <c r="K35" s="20" t="str">
        <f>IF(G35="","",VLOOKUP(G35,'Технологии'!$A$11:$BF$50,58,FALSE))</f>
        <v/>
      </c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ht="13.5" customHeight="1">
      <c r="A36" s="12" t="s">
        <v>182</v>
      </c>
      <c r="B36" s="25">
        <v>0.0</v>
      </c>
      <c r="C36" s="25">
        <v>0.0</v>
      </c>
      <c r="D36" s="12"/>
      <c r="E36" s="12"/>
      <c r="F36" s="12"/>
      <c r="G36" s="25"/>
      <c r="H36" s="20" t="str">
        <f>IF(G36="","",VLOOKUP(G36,'Технологии'!$A$11:$D$50,4,FALSE))</f>
        <v/>
      </c>
      <c r="I36" s="25">
        <v>0.0</v>
      </c>
      <c r="J36" s="25"/>
      <c r="K36" s="20" t="str">
        <f>IF(G36="","",VLOOKUP(G36,'Технологии'!$A$11:$BF$50,58,FALSE))</f>
        <v/>
      </c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ht="13.5" customHeight="1">
      <c r="A37" s="12" t="s">
        <v>183</v>
      </c>
      <c r="B37" s="25">
        <v>0.0</v>
      </c>
      <c r="C37" s="25">
        <v>0.0</v>
      </c>
      <c r="D37" s="12"/>
      <c r="E37" s="12"/>
      <c r="F37" s="12"/>
      <c r="G37" s="25"/>
      <c r="H37" s="20" t="str">
        <f>IF(G37="","",VLOOKUP(G37,'Технологии'!$A$11:$D$50,4,FALSE))</f>
        <v/>
      </c>
      <c r="I37" s="25">
        <v>0.0</v>
      </c>
      <c r="J37" s="25"/>
      <c r="K37" s="20" t="str">
        <f>IF(G37="","",VLOOKUP(G37,'Технологии'!$A$11:$BF$50,58,FALSE))</f>
        <v/>
      </c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3.5" customHeight="1">
      <c r="A38" s="12" t="s">
        <v>184</v>
      </c>
      <c r="B38" s="25">
        <v>0.0</v>
      </c>
      <c r="C38" s="25">
        <v>0.0</v>
      </c>
      <c r="D38" s="12"/>
      <c r="E38" s="12"/>
      <c r="F38" s="12"/>
      <c r="G38" s="25"/>
      <c r="H38" s="20" t="str">
        <f>IF(G38="","",VLOOKUP(G38,'Технологии'!$A$11:$D$50,4,FALSE))</f>
        <v/>
      </c>
      <c r="I38" s="25">
        <v>0.0</v>
      </c>
      <c r="J38" s="25"/>
      <c r="K38" s="20" t="str">
        <f>IF(G38="","",VLOOKUP(G38,'Технологии'!$A$11:$BF$50,58,FALSE))</f>
        <v/>
      </c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3.5" customHeight="1">
      <c r="A39" s="12" t="s">
        <v>186</v>
      </c>
      <c r="B39" s="25"/>
      <c r="C39" s="2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3.5" customHeight="1">
      <c r="A40" s="12" t="s">
        <v>187</v>
      </c>
      <c r="B40" s="25">
        <v>0.0</v>
      </c>
      <c r="C40" s="25">
        <v>0.0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3.5" customHeight="1">
      <c r="A41" s="12" t="s">
        <v>192</v>
      </c>
      <c r="B41" s="25">
        <v>0.0</v>
      </c>
      <c r="C41" s="25">
        <v>0.0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3.5" customHeight="1">
      <c r="A42" s="12" t="s">
        <v>193</v>
      </c>
      <c r="B42" s="25">
        <v>0.0</v>
      </c>
      <c r="C42" s="25">
        <v>0.0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3.5" customHeight="1">
      <c r="A43" s="12" t="s">
        <v>198</v>
      </c>
      <c r="B43" s="25">
        <v>0.0</v>
      </c>
      <c r="C43" s="25">
        <v>0.0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3.5" customHeight="1">
      <c r="A44" s="12" t="s">
        <v>199</v>
      </c>
      <c r="B44" s="25">
        <v>0.0</v>
      </c>
      <c r="C44" s="25">
        <v>0.0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3.5" customHeight="1">
      <c r="A45" s="12" t="s">
        <v>200</v>
      </c>
      <c r="B45" s="25">
        <v>0.0</v>
      </c>
      <c r="C45" s="25">
        <v>0.0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3.5" customHeight="1">
      <c r="A46" s="12" t="s">
        <v>201</v>
      </c>
      <c r="B46" s="25">
        <v>0.0</v>
      </c>
      <c r="C46" s="25">
        <v>0.0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3.5" customHeight="1">
      <c r="A47" s="12" t="s">
        <v>202</v>
      </c>
      <c r="B47" s="25">
        <v>0.0</v>
      </c>
      <c r="C47" s="25">
        <v>0.0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3.5" customHeight="1">
      <c r="A48" s="12" t="s">
        <v>203</v>
      </c>
      <c r="B48" s="25">
        <v>0.0</v>
      </c>
      <c r="C48" s="25">
        <v>0.0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3.5" customHeight="1">
      <c r="A49" s="12" t="s">
        <v>204</v>
      </c>
      <c r="B49" s="25"/>
      <c r="C49" s="2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3.5" customHeight="1">
      <c r="A50" s="12" t="s">
        <v>205</v>
      </c>
      <c r="B50" s="25">
        <v>0.0</v>
      </c>
      <c r="C50" s="25">
        <v>0.0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3.5" customHeight="1">
      <c r="A51" s="12" t="s">
        <v>206</v>
      </c>
      <c r="B51" s="25">
        <v>0.0</v>
      </c>
      <c r="C51" s="25">
        <v>0.0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3.5" customHeight="1">
      <c r="A52" s="12" t="s">
        <v>207</v>
      </c>
      <c r="B52" s="25">
        <v>0.0</v>
      </c>
      <c r="C52" s="25">
        <v>0.0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3.5" customHeight="1">
      <c r="A53" s="12" t="s">
        <v>208</v>
      </c>
      <c r="B53" s="25">
        <v>0.0</v>
      </c>
      <c r="C53" s="25">
        <v>0.0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3.5" customHeight="1">
      <c r="A54" s="12" t="s">
        <v>210</v>
      </c>
      <c r="B54" s="25">
        <v>0.0</v>
      </c>
      <c r="C54" s="25">
        <v>0.0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3.5" customHeight="1">
      <c r="A55" s="12" t="s">
        <v>211</v>
      </c>
      <c r="B55" s="25">
        <v>0.0</v>
      </c>
      <c r="C55" s="25">
        <v>0.0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3.5" customHeight="1">
      <c r="A56" s="12" t="s">
        <v>212</v>
      </c>
      <c r="B56" s="25">
        <v>0.0</v>
      </c>
      <c r="C56" s="25">
        <v>0.0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3.5" customHeight="1">
      <c r="A57" s="12" t="s">
        <v>213</v>
      </c>
      <c r="B57" s="25">
        <v>0.0</v>
      </c>
      <c r="C57" s="25">
        <v>0.0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3.5" customHeight="1">
      <c r="A58" s="12" t="s">
        <v>214</v>
      </c>
      <c r="B58" s="25"/>
      <c r="C58" s="2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3.5" customHeight="1">
      <c r="A59" s="12" t="s">
        <v>215</v>
      </c>
      <c r="B59" s="25">
        <v>0.0</v>
      </c>
      <c r="C59" s="25">
        <v>0.0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3.5" customHeight="1">
      <c r="A60" s="12" t="s">
        <v>220</v>
      </c>
      <c r="B60" s="25">
        <v>0.0</v>
      </c>
      <c r="C60" s="25">
        <v>0.0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3.5" customHeight="1">
      <c r="A61" s="12" t="s">
        <v>221</v>
      </c>
      <c r="B61" s="25">
        <v>0.0</v>
      </c>
      <c r="C61" s="25">
        <v>0.0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1">
    <mergeCell ref="G11:H11"/>
    <mergeCell ref="L11:U11"/>
    <mergeCell ref="G22:J22"/>
    <mergeCell ref="G27:K27"/>
    <mergeCell ref="A1:U2"/>
    <mergeCell ref="A3:U3"/>
    <mergeCell ref="A5:C5"/>
    <mergeCell ref="E5:G5"/>
    <mergeCell ref="I5:K5"/>
    <mergeCell ref="M5:O5"/>
    <mergeCell ref="A11:C11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7" width="13.0"/>
    <col customWidth="1" min="8" max="8" width="11.0"/>
    <col customWidth="1" min="9" max="9" width="12.0"/>
    <col customWidth="1" min="10" max="10" width="3.0"/>
    <col customWidth="1" min="11" max="11" width="24.0"/>
    <col customWidth="1" min="12" max="12" width="11.0"/>
    <col customWidth="1" min="13" max="17" width="13.0"/>
    <col customWidth="1" min="18" max="18" width="11.0"/>
    <col customWidth="1" min="19" max="19" width="12.0"/>
    <col customWidth="1" min="20" max="20" width="3.0"/>
    <col customWidth="1" min="21" max="21" width="17.0"/>
    <col customWidth="1" min="22" max="22" width="10.0"/>
    <col customWidth="1" min="23" max="23" width="24.0"/>
    <col customWidth="1" min="24" max="24" width="43.0"/>
    <col customWidth="1" min="25" max="26" width="8.63"/>
  </cols>
  <sheetData>
    <row r="1" ht="13.5" customHeight="1">
      <c r="A1" s="2" t="s">
        <v>408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5"/>
    </row>
    <row r="2" ht="13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ht="13.5" customHeight="1">
      <c r="A3" s="9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</row>
    <row r="4" ht="13.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3.5" customHeight="1">
      <c r="A5" s="14" t="s">
        <v>10</v>
      </c>
      <c r="B5" s="10"/>
      <c r="C5" s="10"/>
      <c r="D5" s="10"/>
      <c r="E5" s="10"/>
      <c r="F5" s="10"/>
      <c r="G5" s="10"/>
      <c r="H5" s="10"/>
      <c r="I5" s="11"/>
      <c r="J5" s="12"/>
      <c r="K5" s="16" t="s">
        <v>12</v>
      </c>
      <c r="L5" s="10"/>
      <c r="M5" s="11"/>
      <c r="N5" s="16" t="s">
        <v>14</v>
      </c>
      <c r="O5" s="10"/>
      <c r="P5" s="11"/>
      <c r="Q5" s="16" t="s">
        <v>15</v>
      </c>
      <c r="R5" s="10"/>
      <c r="S5" s="11"/>
      <c r="T5" s="12"/>
      <c r="U5" s="16" t="s">
        <v>13</v>
      </c>
      <c r="V5" s="10"/>
      <c r="W5" s="11"/>
      <c r="X5" s="12"/>
    </row>
    <row r="6" ht="13.5" customHeight="1">
      <c r="A6" s="17" t="s">
        <v>16</v>
      </c>
      <c r="B6" s="17" t="s">
        <v>17</v>
      </c>
      <c r="C6" s="17" t="s">
        <v>18</v>
      </c>
      <c r="D6" s="17" t="s">
        <v>19</v>
      </c>
      <c r="E6" s="17" t="s">
        <v>20</v>
      </c>
      <c r="F6" s="17" t="s">
        <v>21</v>
      </c>
      <c r="G6" s="17" t="s">
        <v>23</v>
      </c>
      <c r="H6" s="17" t="s">
        <v>24</v>
      </c>
      <c r="I6" s="17" t="s">
        <v>26</v>
      </c>
      <c r="J6" s="12"/>
      <c r="K6" s="23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83.57597879</v>
      </c>
      <c r="L6" s="3"/>
      <c r="M6" s="5"/>
      <c r="N6" s="23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76.34958489</v>
      </c>
      <c r="O6" s="3"/>
      <c r="P6" s="5"/>
      <c r="Q6" s="23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79.45601673</v>
      </c>
      <c r="R6" s="3"/>
      <c r="S6" s="5"/>
      <c r="T6" s="12"/>
      <c r="U6" s="23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99.22794009</v>
      </c>
      <c r="V6" s="3"/>
      <c r="W6" s="5"/>
      <c r="X6" s="12"/>
    </row>
    <row r="7" ht="13.5" customHeight="1">
      <c r="A7" s="27" t="s">
        <v>109</v>
      </c>
      <c r="B7" s="27"/>
      <c r="C7" s="27"/>
      <c r="D7" s="27"/>
      <c r="E7" s="27"/>
      <c r="F7" s="27"/>
      <c r="G7" s="27"/>
      <c r="H7" s="27"/>
      <c r="I7" s="27"/>
      <c r="J7" s="12"/>
      <c r="K7" s="6"/>
      <c r="L7" s="7"/>
      <c r="M7" s="8"/>
      <c r="N7" s="6"/>
      <c r="O7" s="7"/>
      <c r="P7" s="8"/>
      <c r="Q7" s="6"/>
      <c r="R7" s="7"/>
      <c r="S7" s="8"/>
      <c r="T7" s="12"/>
      <c r="U7" s="6"/>
      <c r="V7" s="7"/>
      <c r="W7" s="8"/>
      <c r="X7" s="12"/>
    </row>
    <row r="8" ht="13.5" customHeight="1">
      <c r="A8" s="12" t="s">
        <v>112</v>
      </c>
      <c r="B8" s="12">
        <f>MAX(1,MIN(10,'Россия 2040'!B8+'Россия 2040'!D8+('Россия 2040'!C8+'Россия 2040'!F8+'Россия 2040'!G8)+(0.35*LN(1+0.6*'Ход 2040'!B14)*POWER(MAX(0,1-'Россия 2040'!I8/10),0.7))))</f>
        <v>10</v>
      </c>
      <c r="C8" s="12">
        <f>MIN(1,'Россия 2040'!C8+'Россия 2040'!F8+(0.08*LN(1+0.5*'Ход 2040'!C14)*MAX(0,1-('Россия 2040'!C8+'Россия 2040'!F8))))</f>
        <v>0.1452099856</v>
      </c>
      <c r="D8" s="25">
        <v>0.0</v>
      </c>
      <c r="E8" s="25">
        <v>0.0</v>
      </c>
      <c r="F8" s="25">
        <v>0.0</v>
      </c>
      <c r="G8" s="25">
        <v>0.0</v>
      </c>
      <c r="H8" s="12">
        <v>0.0</v>
      </c>
      <c r="I8" s="12">
        <f t="shared" ref="I8:I17" si="1">MAX(1,MIN(10,B8+D8+E8+H8))</f>
        <v>10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3.5" customHeight="1">
      <c r="A9" s="12" t="s">
        <v>113</v>
      </c>
      <c r="B9" s="12">
        <f>MAX(1,MIN(10,'Россия 2040'!B9+'Россия 2040'!D9+('Россия 2040'!C9+'Россия 2040'!F9+'Россия 2040'!G9)+(0.35*LN(1+0.6*'Ход 2040'!B15)*POWER(MAX(0,1-'Россия 2040'!I9/10),0.7))))</f>
        <v>9.12247562</v>
      </c>
      <c r="C9" s="12">
        <f>MIN(1,'Россия 2040'!C9+'Россия 2040'!F9+(0.08*LN(1+0.5*'Ход 2040'!C15)*MAX(0,1-('Россия 2040'!C9+'Россия 2040'!F9))))</f>
        <v>0.28017683</v>
      </c>
      <c r="D9" s="25">
        <v>0.0</v>
      </c>
      <c r="E9" s="25">
        <v>0.0</v>
      </c>
      <c r="F9" s="25">
        <v>0.0</v>
      </c>
      <c r="G9" s="25">
        <v>0.0</v>
      </c>
      <c r="H9" s="12">
        <v>0.0</v>
      </c>
      <c r="I9" s="12">
        <f t="shared" si="1"/>
        <v>9.12247562</v>
      </c>
      <c r="J9" s="12"/>
      <c r="K9" s="14" t="s">
        <v>114</v>
      </c>
      <c r="L9" s="10"/>
      <c r="M9" s="10"/>
      <c r="N9" s="10"/>
      <c r="O9" s="10"/>
      <c r="P9" s="10"/>
      <c r="Q9" s="10"/>
      <c r="R9" s="10"/>
      <c r="S9" s="11"/>
      <c r="T9" s="12"/>
      <c r="U9" s="14" t="s">
        <v>115</v>
      </c>
      <c r="V9" s="10"/>
      <c r="W9" s="10"/>
      <c r="X9" s="11"/>
    </row>
    <row r="10" ht="13.5" customHeight="1">
      <c r="A10" s="12" t="s">
        <v>116</v>
      </c>
      <c r="B10" s="12">
        <f>MAX(1,MIN(10,'Россия 2040'!B10+'Россия 2040'!D10+('Россия 2040'!C10+'Россия 2040'!F10+'Россия 2040'!G10)+(0.35*LN(1+0.6*'Ход 2040'!B16)*POWER(MAX(0,1-'Россия 2040'!I10/10),0.7))))</f>
        <v>10</v>
      </c>
      <c r="C10" s="12">
        <f>MIN(1,'Россия 2040'!C10+'Россия 2040'!F10+(0.08*LN(1+0.5*'Ход 2040'!C16)*MAX(0,1-('Россия 2040'!C10+'Россия 2040'!F10))))</f>
        <v>0.1901989337</v>
      </c>
      <c r="D10" s="25">
        <v>0.0</v>
      </c>
      <c r="E10" s="25">
        <v>0.0</v>
      </c>
      <c r="F10" s="25">
        <v>0.0</v>
      </c>
      <c r="G10" s="25">
        <v>0.0</v>
      </c>
      <c r="H10" s="12">
        <v>0.0</v>
      </c>
      <c r="I10" s="12">
        <f t="shared" si="1"/>
        <v>10</v>
      </c>
      <c r="J10" s="12"/>
      <c r="K10" s="17" t="s">
        <v>97</v>
      </c>
      <c r="L10" s="17" t="s">
        <v>17</v>
      </c>
      <c r="M10" s="17" t="s">
        <v>18</v>
      </c>
      <c r="N10" s="17" t="s">
        <v>19</v>
      </c>
      <c r="O10" s="17" t="s">
        <v>20</v>
      </c>
      <c r="P10" s="17" t="s">
        <v>21</v>
      </c>
      <c r="Q10" s="17" t="s">
        <v>23</v>
      </c>
      <c r="R10" s="17" t="s">
        <v>24</v>
      </c>
      <c r="S10" s="17" t="s">
        <v>26</v>
      </c>
      <c r="T10" s="12"/>
      <c r="U10" s="17" t="s">
        <v>99</v>
      </c>
      <c r="V10" s="17" t="s">
        <v>117</v>
      </c>
      <c r="W10" s="17" t="s">
        <v>118</v>
      </c>
      <c r="X10" s="17" t="s">
        <v>119</v>
      </c>
    </row>
    <row r="11" ht="13.5" customHeight="1">
      <c r="A11" s="12" t="s">
        <v>120</v>
      </c>
      <c r="B11" s="12">
        <f>MAX(1,MIN(10,'Россия 2040'!B11+'Россия 2040'!D11+('Россия 2040'!C11+'Россия 2040'!F11+'Россия 2040'!G11)+(0.35*LN(1+0.6*'Ход 2040'!B17)*POWER(MAX(0,1-'Россия 2040'!I11/10),0.7))))</f>
        <v>10</v>
      </c>
      <c r="C11" s="12">
        <f>MIN(1,'Россия 2040'!C11+'Россия 2040'!F11+(0.08*LN(1+0.5*'Ход 2040'!C17)*MAX(0,1-('Россия 2040'!C11+'Россия 2040'!F11))))</f>
        <v>0.1002210375</v>
      </c>
      <c r="D11" s="25">
        <v>0.0</v>
      </c>
      <c r="E11" s="25">
        <v>0.0</v>
      </c>
      <c r="F11" s="25">
        <v>0.0</v>
      </c>
      <c r="G11" s="25">
        <v>0.0</v>
      </c>
      <c r="H11" s="12">
        <v>0.0</v>
      </c>
      <c r="I11" s="12">
        <f t="shared" si="1"/>
        <v>10</v>
      </c>
      <c r="J11" s="12"/>
      <c r="K11" s="12" t="s">
        <v>110</v>
      </c>
      <c r="L11" s="12">
        <f>MAX(1,MIN(10,'Россия 2040'!L11+'Россия 2040'!N11+('Россия 2040'!M11+'Россия 2040'!P11+'Россия 2040'!Q11)))</f>
        <v>10</v>
      </c>
      <c r="M11" s="12">
        <f>MIN(1,'Россия 2040'!M11+'Россия 2040'!P11+(0.1*LN(1+0.5*'Ход 2040'!H13)*POWER(MAX(0,1-'Россия 2040'!S11/10),0.8)))</f>
        <v>0.5547864099</v>
      </c>
      <c r="N11" s="25">
        <v>0.0</v>
      </c>
      <c r="O11" s="25">
        <v>0.0</v>
      </c>
      <c r="P11" s="25">
        <v>0.0</v>
      </c>
      <c r="Q11" s="25">
        <v>0.0</v>
      </c>
      <c r="R11" s="12">
        <v>0.0</v>
      </c>
      <c r="S11" s="12">
        <f t="shared" ref="S11:S18" si="2">MAX(1,MIN(10,L11+N11+O11+R11))</f>
        <v>10</v>
      </c>
      <c r="T11" s="12"/>
      <c r="U11" s="12" t="s">
        <v>111</v>
      </c>
      <c r="V11" s="25">
        <f>'Россия 2040'!V11</f>
        <v>-1.5</v>
      </c>
      <c r="W11" s="12" t="str">
        <f t="shared" ref="W11:W26" si="3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12" t="s">
        <v>123</v>
      </c>
    </row>
    <row r="12" ht="13.5" customHeight="1">
      <c r="A12" s="12" t="s">
        <v>124</v>
      </c>
      <c r="B12" s="12">
        <f>MAX(1,MIN(10,'Россия 2040'!B12+'Россия 2040'!D12+('Россия 2040'!C12+'Россия 2040'!F12+'Россия 2040'!G12)+(0.35*LN(1+0.6*'Ход 2040'!B18)*POWER(MAX(0,1-'Россия 2040'!I12/10),0.7))))</f>
        <v>9</v>
      </c>
      <c r="C12" s="12">
        <f>MIN(1,'Россия 2040'!C12+'Россия 2040'!F12+(0.08*LN(1+0.5*'Ход 2040'!C18)*MAX(0,1-('Россия 2040'!C12+'Россия 2040'!F12))))</f>
        <v>0</v>
      </c>
      <c r="D12" s="25">
        <v>0.0</v>
      </c>
      <c r="E12" s="25">
        <v>0.0</v>
      </c>
      <c r="F12" s="25">
        <v>0.0</v>
      </c>
      <c r="G12" s="25">
        <v>0.0</v>
      </c>
      <c r="H12" s="12">
        <v>0.0</v>
      </c>
      <c r="I12" s="12">
        <f t="shared" si="1"/>
        <v>9</v>
      </c>
      <c r="J12" s="12"/>
      <c r="K12" s="12" t="s">
        <v>121</v>
      </c>
      <c r="L12" s="12">
        <f>MAX(1,MIN(10,'Россия 2040'!L12+'Россия 2040'!N12+('Россия 2040'!M12+'Россия 2040'!P12+'Россия 2040'!Q12)))</f>
        <v>10</v>
      </c>
      <c r="M12" s="12">
        <f>MIN(1,'Россия 2040'!M12+'Россия 2040'!P12+(0.1*LN(1+0.5*'Ход 2040'!H14)*POWER(MAX(0,1-'Россия 2040'!S12/10),0.8)))</f>
        <v>0.5547942035</v>
      </c>
      <c r="N12" s="25">
        <v>0.0</v>
      </c>
      <c r="O12" s="25">
        <v>0.0</v>
      </c>
      <c r="P12" s="25">
        <v>0.0</v>
      </c>
      <c r="Q12" s="25">
        <v>0.0</v>
      </c>
      <c r="R12" s="12">
        <v>0.0</v>
      </c>
      <c r="S12" s="12">
        <f t="shared" si="2"/>
        <v>10</v>
      </c>
      <c r="T12" s="12"/>
      <c r="U12" s="12" t="s">
        <v>122</v>
      </c>
      <c r="V12" s="25">
        <f>'Россия 2040'!V12</f>
        <v>2.9</v>
      </c>
      <c r="W12" s="12" t="str">
        <f t="shared" si="3"/>
        <v>Стратегическое партнёрство</v>
      </c>
      <c r="X12" s="12" t="s">
        <v>125</v>
      </c>
    </row>
    <row r="13" ht="13.5" customHeight="1">
      <c r="A13" s="12" t="s">
        <v>126</v>
      </c>
      <c r="B13" s="12">
        <f>MAX(1,MIN(10,'Россия 2040'!B13+'Россия 2040'!D13+('Россия 2040'!C13+'Россия 2040'!F13+'Россия 2040'!G13)+(0.35*LN(1+0.6*'Ход 2040'!B19)*POWER(MAX(0,1-'Россия 2040'!I13/10),0.7))))</f>
        <v>7.802320894</v>
      </c>
      <c r="C13" s="12">
        <f>MIN(1,'Россия 2040'!C13+'Россия 2040'!F13+(0.08*LN(1+0.5*'Ход 2040'!C19)*MAX(0,1-('Россия 2040'!C13+'Россия 2040'!F13))))</f>
        <v>0.3251657781</v>
      </c>
      <c r="D13" s="25">
        <v>0.0</v>
      </c>
      <c r="E13" s="25">
        <v>0.0</v>
      </c>
      <c r="F13" s="25">
        <v>0.0</v>
      </c>
      <c r="G13" s="25">
        <v>0.0</v>
      </c>
      <c r="H13" s="12">
        <v>0.0</v>
      </c>
      <c r="I13" s="12">
        <f t="shared" si="1"/>
        <v>7.802320894</v>
      </c>
      <c r="J13" s="12"/>
      <c r="K13" s="12" t="s">
        <v>127</v>
      </c>
      <c r="L13" s="12">
        <f>MAX(1,MIN(10,'Россия 2040'!L13+'Россия 2040'!N13+('Россия 2040'!M13+'Россия 2040'!P13+'Россия 2040'!Q13)))</f>
        <v>10</v>
      </c>
      <c r="M13" s="12">
        <f>MIN(1,'Россия 2040'!M13+'Россия 2040'!P13+(0.1*LN(1+0.5*'Ход 2040'!H15)*POWER(MAX(0,1-'Россия 2040'!S13/10),0.8)))</f>
        <v>0.4296465753</v>
      </c>
      <c r="N13" s="25">
        <v>0.0</v>
      </c>
      <c r="O13" s="25">
        <v>0.0</v>
      </c>
      <c r="P13" s="25">
        <v>0.0</v>
      </c>
      <c r="Q13" s="25">
        <v>0.0</v>
      </c>
      <c r="R13" s="12">
        <v>0.0</v>
      </c>
      <c r="S13" s="12">
        <f t="shared" si="2"/>
        <v>10</v>
      </c>
      <c r="T13" s="12"/>
      <c r="U13" s="12" t="s">
        <v>128</v>
      </c>
      <c r="V13" s="25">
        <f>'Россия 2040'!V13</f>
        <v>2.8</v>
      </c>
      <c r="W13" s="12" t="str">
        <f t="shared" si="3"/>
        <v>Стратегическое партнёрство</v>
      </c>
      <c r="X13" s="12" t="s">
        <v>129</v>
      </c>
    </row>
    <row r="14" ht="13.5" customHeight="1">
      <c r="A14" s="12" t="s">
        <v>130</v>
      </c>
      <c r="B14" s="12">
        <f>MAX(1,MIN(10,'Россия 2040'!B14+'Россия 2040'!D14+('Россия 2040'!C14+'Россия 2040'!F14+'Россия 2040'!G14)+(0.35*LN(1+0.6*'Ход 2040'!B20)*POWER(MAX(0,1-'Россия 2040'!I14/10),0.7))))</f>
        <v>9.19303729</v>
      </c>
      <c r="C14" s="12">
        <f>MIN(1,'Россия 2040'!C14+'Россия 2040'!F14+(0.08*LN(1+0.5*'Ход 2040'!C20)*MAX(0,1-('Россия 2040'!C14+'Россия 2040'!F14))))</f>
        <v>0.4029119573</v>
      </c>
      <c r="D14" s="25">
        <v>0.0</v>
      </c>
      <c r="E14" s="25">
        <v>0.0</v>
      </c>
      <c r="F14" s="25">
        <v>0.0</v>
      </c>
      <c r="G14" s="25">
        <v>0.0</v>
      </c>
      <c r="H14" s="12">
        <v>0.0</v>
      </c>
      <c r="I14" s="12">
        <f t="shared" si="1"/>
        <v>9.19303729</v>
      </c>
      <c r="J14" s="12"/>
      <c r="K14" s="12" t="s">
        <v>131</v>
      </c>
      <c r="L14" s="12">
        <f>MAX(1,MIN(10,'Россия 2040'!L14+'Россия 2040'!N14+('Россия 2040'!M14+'Россия 2040'!P14+'Россия 2040'!Q14)))</f>
        <v>10</v>
      </c>
      <c r="M14" s="12">
        <f>MIN(1,'Россия 2040'!M14+'Россия 2040'!P14+(0.1*LN(1+0.5*'Ход 2040'!H16)*POWER(MAX(0,1-'Россия 2040'!S14/10),0.8)))</f>
        <v>0.4613897681</v>
      </c>
      <c r="N14" s="25">
        <v>0.0</v>
      </c>
      <c r="O14" s="25">
        <v>0.0</v>
      </c>
      <c r="P14" s="25">
        <v>0.0</v>
      </c>
      <c r="Q14" s="25">
        <v>0.0</v>
      </c>
      <c r="R14" s="12">
        <v>0.0</v>
      </c>
      <c r="S14" s="12">
        <f t="shared" si="2"/>
        <v>10</v>
      </c>
      <c r="T14" s="12"/>
      <c r="U14" s="12" t="s">
        <v>132</v>
      </c>
      <c r="V14" s="25">
        <f>'Россия 2040'!V14</f>
        <v>-0.8</v>
      </c>
      <c r="W14" s="12" t="str">
        <f t="shared" si="3"/>
        <v>Напряжённые отношения</v>
      </c>
      <c r="X14" s="12" t="s">
        <v>133</v>
      </c>
    </row>
    <row r="15" ht="13.5" customHeight="1">
      <c r="A15" s="12" t="s">
        <v>134</v>
      </c>
      <c r="B15" s="12">
        <f>MAX(1,MIN(10,'Россия 2040'!B15+'Россия 2040'!D15+('Россия 2040'!C15+'Россия 2040'!F15+'Россия 2040'!G15)+(0.35*LN(1+0.6*'Ход 2040'!B21)*POWER(MAX(0,1-'Россия 2040'!I15/10),0.7))))</f>
        <v>10</v>
      </c>
      <c r="C15" s="12">
        <f>MIN(1,'Россия 2040'!C15+'Россия 2040'!F15+(0.08*LN(1+0.5*'Ход 2040'!C21)*MAX(0,1-('Россия 2040'!C15+'Россия 2040'!F15))))</f>
        <v>0.4860044545</v>
      </c>
      <c r="D15" s="25">
        <v>0.0</v>
      </c>
      <c r="E15" s="25">
        <v>0.0</v>
      </c>
      <c r="F15" s="25">
        <v>0.0</v>
      </c>
      <c r="G15" s="25">
        <v>0.0</v>
      </c>
      <c r="H15" s="12">
        <v>0.0</v>
      </c>
      <c r="I15" s="12">
        <f t="shared" si="1"/>
        <v>10</v>
      </c>
      <c r="J15" s="12"/>
      <c r="K15" s="12" t="s">
        <v>135</v>
      </c>
      <c r="L15" s="12">
        <f>MAX(1,MIN(10,'Россия 2040'!L15+'Россия 2040'!N15+('Россия 2040'!M15+'Россия 2040'!P15+'Россия 2040'!Q15)))</f>
        <v>9.75</v>
      </c>
      <c r="M15" s="12">
        <f>MIN(1,'Россия 2040'!M15+'Россия 2040'!P15+(0.1*LN(1+0.5*'Ход 2040'!H17)*POWER(MAX(0,1-'Россия 2040'!S15/10),0.8)))</f>
        <v>0.25</v>
      </c>
      <c r="N15" s="25">
        <v>0.0</v>
      </c>
      <c r="O15" s="25">
        <v>0.0</v>
      </c>
      <c r="P15" s="25">
        <v>0.0</v>
      </c>
      <c r="Q15" s="25">
        <v>0.0</v>
      </c>
      <c r="R15" s="12">
        <v>0.0</v>
      </c>
      <c r="S15" s="12">
        <f t="shared" si="2"/>
        <v>9.75</v>
      </c>
      <c r="T15" s="12"/>
      <c r="U15" s="12" t="s">
        <v>136</v>
      </c>
      <c r="V15" s="25">
        <f>'Россия 2040'!V15</f>
        <v>-1.4</v>
      </c>
      <c r="W15" s="12" t="str">
        <f t="shared" si="3"/>
        <v>Конфронтация</v>
      </c>
      <c r="X15" s="12" t="s">
        <v>137</v>
      </c>
    </row>
    <row r="16" ht="13.5" customHeight="1">
      <c r="A16" s="12" t="s">
        <v>138</v>
      </c>
      <c r="B16" s="12">
        <f>MAX(1,MIN(10,'Россия 2040'!B16+'Россия 2040'!D16+('Россия 2040'!C16+'Россия 2040'!F16+'Россия 2040'!G16)+(0.35*LN(1+0.6*'Ход 2040'!B22)*POWER(MAX(0,1-'Россия 2040'!I16/10),0.7))))</f>
        <v>10</v>
      </c>
      <c r="C16" s="12">
        <f>MIN(1,'Россия 2040'!C16+'Россия 2040'!F16+(0.08*LN(1+0.5*'Ход 2040'!C22)*MAX(0,1-('Россия 2040'!C16+'Россия 2040'!F16))))</f>
        <v>0.28017683</v>
      </c>
      <c r="D16" s="25">
        <v>0.0</v>
      </c>
      <c r="E16" s="25">
        <v>0.0</v>
      </c>
      <c r="F16" s="25">
        <v>0.0</v>
      </c>
      <c r="G16" s="25">
        <v>0.0</v>
      </c>
      <c r="H16" s="12">
        <v>0.0</v>
      </c>
      <c r="I16" s="12">
        <f t="shared" si="1"/>
        <v>10</v>
      </c>
      <c r="J16" s="12"/>
      <c r="K16" s="12" t="s">
        <v>142</v>
      </c>
      <c r="L16" s="12">
        <f>MAX(1,MIN(10,'Россия 2040'!L16+'Россия 2040'!N16+('Россия 2040'!M16+'Россия 2040'!P16+'Россия 2040'!Q16)))</f>
        <v>10</v>
      </c>
      <c r="M16" s="12">
        <f>MIN(1,'Россия 2040'!M16+'Россия 2040'!P16+(0.1*LN(1+0.5*'Ход 2040'!H18)*POWER(MAX(0,1-'Россия 2040'!S16/10),0.8)))</f>
        <v>0.5692978212</v>
      </c>
      <c r="N16" s="25">
        <v>0.0</v>
      </c>
      <c r="O16" s="25">
        <v>0.0</v>
      </c>
      <c r="P16" s="25">
        <v>0.0</v>
      </c>
      <c r="Q16" s="25">
        <v>0.0</v>
      </c>
      <c r="R16" s="12">
        <v>0.0</v>
      </c>
      <c r="S16" s="12">
        <f t="shared" si="2"/>
        <v>10</v>
      </c>
      <c r="T16" s="12"/>
      <c r="U16" s="12" t="s">
        <v>145</v>
      </c>
      <c r="V16" s="25">
        <f>'Россия 2040'!V16</f>
        <v>-1.7</v>
      </c>
      <c r="W16" s="12" t="str">
        <f t="shared" si="3"/>
        <v>Конфронтация</v>
      </c>
      <c r="X16" s="12" t="s">
        <v>146</v>
      </c>
    </row>
    <row r="17" ht="13.5" customHeight="1">
      <c r="A17" s="12" t="s">
        <v>147</v>
      </c>
      <c r="B17" s="12">
        <f>MAX(1,MIN(10,'Россия 2040'!B17+'Россия 2040'!D17+('Россия 2040'!C17+'Россия 2040'!F17+'Россия 2040'!G17)+(0.35*LN(1+0.6*'Ход 2040'!B23)*POWER(MAX(0,1-'Россия 2040'!I17/10),0.7))))</f>
        <v>10</v>
      </c>
      <c r="C17" s="12">
        <f>MIN(1,'Россия 2040'!C17+'Россия 2040'!F17+(0.08*LN(1+0.5*'Ход 2040'!C23)*MAX(0,1-('Россия 2040'!C17+'Россия 2040'!F17))))</f>
        <v>0.2351878819</v>
      </c>
      <c r="D17" s="25">
        <v>0.0</v>
      </c>
      <c r="E17" s="25">
        <v>0.0</v>
      </c>
      <c r="F17" s="25">
        <v>0.0</v>
      </c>
      <c r="G17" s="25">
        <v>0.0</v>
      </c>
      <c r="H17" s="12">
        <v>0.0</v>
      </c>
      <c r="I17" s="12">
        <f t="shared" si="1"/>
        <v>10</v>
      </c>
      <c r="J17" s="12"/>
      <c r="K17" s="12" t="s">
        <v>148</v>
      </c>
      <c r="L17" s="12">
        <f>MAX(1,MIN(10,'Россия 2040'!L17+'Россия 2040'!N17+('Россия 2040'!M17+'Россия 2040'!P17+'Россия 2040'!Q17)))</f>
        <v>10</v>
      </c>
      <c r="M17" s="12">
        <f>MIN(1,'Россия 2040'!M17+'Россия 2040'!P17+(0.1*LN(1+0.5*'Ход 2040'!H19)*POWER(MAX(0,1-'Россия 2040'!S17/10),0.8)))</f>
        <v>0.5786457412</v>
      </c>
      <c r="N17" s="25">
        <v>0.0</v>
      </c>
      <c r="O17" s="25">
        <v>0.0</v>
      </c>
      <c r="P17" s="25">
        <v>0.0</v>
      </c>
      <c r="Q17" s="25">
        <v>0.0</v>
      </c>
      <c r="R17" s="12">
        <v>0.0</v>
      </c>
      <c r="S17" s="12">
        <f t="shared" si="2"/>
        <v>10</v>
      </c>
      <c r="T17" s="12"/>
      <c r="U17" s="12" t="s">
        <v>149</v>
      </c>
      <c r="V17" s="25">
        <f>'Россия 2040'!V17</f>
        <v>-0.3</v>
      </c>
      <c r="W17" s="12" t="str">
        <f t="shared" si="3"/>
        <v>Напряжённые отношения</v>
      </c>
      <c r="X17" s="12" t="s">
        <v>150</v>
      </c>
    </row>
    <row r="18" ht="13.5" customHeight="1">
      <c r="A18" s="27" t="s">
        <v>151</v>
      </c>
      <c r="B18" s="27"/>
      <c r="C18" s="27"/>
      <c r="D18" s="27"/>
      <c r="E18" s="27"/>
      <c r="F18" s="27"/>
      <c r="G18" s="27"/>
      <c r="H18" s="27"/>
      <c r="I18" s="27"/>
      <c r="J18" s="12"/>
      <c r="K18" s="12" t="s">
        <v>152</v>
      </c>
      <c r="L18" s="12">
        <f>MAX(1,MIN(10,'Россия 2040'!L18+'Россия 2040'!N18+('Россия 2040'!M18+'Россия 2040'!P18+'Россия 2040'!Q18)))</f>
        <v>10</v>
      </c>
      <c r="M18" s="12">
        <f>MIN(1,'Россия 2040'!M18+'Россия 2040'!P18+(0.1*LN(1+0.5*'Ход 2040'!H20)*POWER(MAX(0,1-'Россия 2040'!S18/10),0.8)))</f>
        <v>0.5378134654</v>
      </c>
      <c r="N18" s="25">
        <v>0.0</v>
      </c>
      <c r="O18" s="25">
        <v>0.0</v>
      </c>
      <c r="P18" s="25">
        <v>0.0</v>
      </c>
      <c r="Q18" s="25">
        <v>0.0</v>
      </c>
      <c r="R18" s="12">
        <v>0.0</v>
      </c>
      <c r="S18" s="12">
        <f t="shared" si="2"/>
        <v>10</v>
      </c>
      <c r="T18" s="12"/>
      <c r="U18" s="12" t="s">
        <v>153</v>
      </c>
      <c r="V18" s="25">
        <f>'Россия 2040'!V18</f>
        <v>-1.2</v>
      </c>
      <c r="W18" s="12" t="str">
        <f t="shared" si="3"/>
        <v>Конфронтация</v>
      </c>
      <c r="X18" s="12" t="s">
        <v>154</v>
      </c>
    </row>
    <row r="19" ht="13.5" customHeight="1">
      <c r="A19" s="12" t="s">
        <v>155</v>
      </c>
      <c r="B19" s="12">
        <f>MAX(1,MIN(10,'Россия 2040'!B19+'Россия 2040'!D19+('Россия 2040'!C19+'Россия 2040'!F19+'Россия 2040'!G19)+(0.35*LN(1+0.6*'Ход 2040'!B25)*POWER(MAX(0,1-'Россия 2040'!I19/10),0.7))))</f>
        <v>10</v>
      </c>
      <c r="C19" s="12">
        <f>MIN(1,'Россия 2040'!C19+'Россия 2040'!F19+(0.08*LN(1+0.5*'Ход 2040'!C25)*MAX(0,1-('Россия 2040'!C19+'Россия 2040'!F19))))</f>
        <v>0.25</v>
      </c>
      <c r="D19" s="25">
        <v>0.0</v>
      </c>
      <c r="E19" s="25">
        <v>0.0</v>
      </c>
      <c r="F19" s="25">
        <v>0.0</v>
      </c>
      <c r="G19" s="25">
        <v>0.0</v>
      </c>
      <c r="H19" s="12">
        <v>0.0</v>
      </c>
      <c r="I19" s="12">
        <f t="shared" ref="I19:I23" si="4">MAX(1,MIN(10,B19+D19+E19+H19))</f>
        <v>10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156</v>
      </c>
      <c r="V19" s="25">
        <f>'Россия 2040'!V19</f>
        <v>1.3</v>
      </c>
      <c r="W19" s="12" t="str">
        <f t="shared" si="3"/>
        <v>Партнёрство</v>
      </c>
      <c r="X19" s="12" t="s">
        <v>157</v>
      </c>
    </row>
    <row r="20" ht="13.5" customHeight="1">
      <c r="A20" s="12" t="s">
        <v>158</v>
      </c>
      <c r="B20" s="12">
        <f>MAX(1,MIN(10,'Россия 2040'!B20+'Россия 2040'!D20+('Россия 2040'!C20+'Россия 2040'!F20+'Россия 2040'!G20)+(0.35*LN(1+0.6*'Ход 2040'!B26)*POWER(MAX(0,1-'Россия 2040'!I20/10),0.7))))</f>
        <v>10</v>
      </c>
      <c r="C20" s="12">
        <f>MIN(1,'Россия 2040'!C20+'Россия 2040'!F20+(0.08*LN(1+0.5*'Ход 2040'!C26)*MAX(0,1-('Россия 2040'!C20+'Россия 2040'!F20))))</f>
        <v>0.3701547262</v>
      </c>
      <c r="D20" s="25">
        <v>0.0</v>
      </c>
      <c r="E20" s="25">
        <v>0.0</v>
      </c>
      <c r="F20" s="25">
        <v>0.0</v>
      </c>
      <c r="G20" s="25">
        <v>0.0</v>
      </c>
      <c r="H20" s="12">
        <v>0.0</v>
      </c>
      <c r="I20" s="12">
        <f t="shared" si="4"/>
        <v>10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159</v>
      </c>
      <c r="V20" s="25">
        <f>'Россия 2040'!V20</f>
        <v>1.2</v>
      </c>
      <c r="W20" s="12" t="str">
        <f t="shared" si="3"/>
        <v>Партнёрство</v>
      </c>
      <c r="X20" s="12" t="s">
        <v>160</v>
      </c>
    </row>
    <row r="21" ht="13.5" customHeight="1">
      <c r="A21" s="12" t="s">
        <v>161</v>
      </c>
      <c r="B21" s="12">
        <f>MAX(1,MIN(10,'Россия 2040'!B21+'Россия 2040'!D21+('Россия 2040'!C21+'Россия 2040'!F21+'Россия 2040'!G21)+(0.35*LN(1+0.6*'Ход 2040'!B27)*POWER(MAX(0,1-'Россия 2040'!I21/10),0.7))))</f>
        <v>10</v>
      </c>
      <c r="C21" s="12">
        <f>MIN(1,'Россия 2040'!C21+'Россия 2040'!F21+(0.08*LN(1+0.5*'Ход 2040'!C27)*MAX(0,1-('Россия 2040'!C21+'Россия 2040'!F21))))</f>
        <v>0.35</v>
      </c>
      <c r="D21" s="25">
        <v>0.0</v>
      </c>
      <c r="E21" s="25">
        <v>0.0</v>
      </c>
      <c r="F21" s="25">
        <v>0.0</v>
      </c>
      <c r="G21" s="25">
        <v>0.0</v>
      </c>
      <c r="H21" s="12">
        <v>0.0</v>
      </c>
      <c r="I21" s="12">
        <f t="shared" si="4"/>
        <v>10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162</v>
      </c>
      <c r="V21" s="25">
        <f>'Россия 2040'!V21</f>
        <v>2.7</v>
      </c>
      <c r="W21" s="12" t="str">
        <f t="shared" si="3"/>
        <v>Стратегическое партнёрство</v>
      </c>
      <c r="X21" s="12" t="s">
        <v>163</v>
      </c>
    </row>
    <row r="22" ht="13.5" customHeight="1">
      <c r="A22" s="12" t="s">
        <v>164</v>
      </c>
      <c r="B22" s="12">
        <f>MAX(1,MIN(10,'Россия 2040'!B22+'Россия 2040'!D22+('Россия 2040'!C22+'Россия 2040'!F22+'Россия 2040'!G22)+(0.35*LN(1+0.6*'Ход 2040'!B28)*POWER(MAX(0,1-'Россия 2040'!I22/10),0.7))))</f>
        <v>10</v>
      </c>
      <c r="C22" s="12">
        <f>MIN(1,'Россия 2040'!C22+'Россия 2040'!F22+(0.08*LN(1+0.5*'Ход 2040'!C28)*MAX(0,1-('Россия 2040'!C22+'Россия 2040'!F22))))</f>
        <v>0.15</v>
      </c>
      <c r="D22" s="25">
        <v>0.0</v>
      </c>
      <c r="E22" s="25">
        <v>0.0</v>
      </c>
      <c r="F22" s="25">
        <v>0.0</v>
      </c>
      <c r="G22" s="25">
        <v>0.0</v>
      </c>
      <c r="H22" s="12">
        <v>0.0</v>
      </c>
      <c r="I22" s="12">
        <f t="shared" si="4"/>
        <v>10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165</v>
      </c>
      <c r="V22" s="25">
        <f>'Россия 2040'!V22</f>
        <v>-0.2</v>
      </c>
      <c r="W22" s="12" t="str">
        <f t="shared" si="3"/>
        <v>Напряжённые отношения</v>
      </c>
      <c r="X22" s="12" t="s">
        <v>166</v>
      </c>
    </row>
    <row r="23" ht="13.5" customHeight="1">
      <c r="A23" s="12" t="s">
        <v>167</v>
      </c>
      <c r="B23" s="12">
        <f>MAX(1,MIN(10,'Россия 2040'!B23+'Россия 2040'!D23+('Россия 2040'!C23+'Россия 2040'!F23+'Россия 2040'!G23)+(0.35*LN(1+0.6*'Ход 2040'!B29)*POWER(MAX(0,1-'Россия 2040'!I23/10),0.7))))</f>
        <v>10</v>
      </c>
      <c r="C23" s="12">
        <f>MIN(1,'Россия 2040'!C23+'Россия 2040'!F23+(0.08*LN(1+0.5*'Ход 2040'!C29)*MAX(0,1-('Россия 2040'!C23+'Россия 2040'!F23))))</f>
        <v>0.35</v>
      </c>
      <c r="D23" s="25">
        <v>0.0</v>
      </c>
      <c r="E23" s="25">
        <v>0.0</v>
      </c>
      <c r="F23" s="25">
        <v>0.0</v>
      </c>
      <c r="G23" s="25">
        <v>0.0</v>
      </c>
      <c r="H23" s="12">
        <v>0.0</v>
      </c>
      <c r="I23" s="12">
        <f t="shared" si="4"/>
        <v>10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168</v>
      </c>
      <c r="V23" s="25">
        <f>'Россия 2040'!V23</f>
        <v>1.7</v>
      </c>
      <c r="W23" s="12" t="str">
        <f t="shared" si="3"/>
        <v>Партнёрство</v>
      </c>
      <c r="X23" s="12" t="s">
        <v>169</v>
      </c>
    </row>
    <row r="24" ht="13.5" customHeight="1">
      <c r="A24" s="27" t="s">
        <v>170</v>
      </c>
      <c r="B24" s="27"/>
      <c r="C24" s="27"/>
      <c r="D24" s="27"/>
      <c r="E24" s="27"/>
      <c r="F24" s="27"/>
      <c r="G24" s="27"/>
      <c r="H24" s="27"/>
      <c r="I24" s="27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171</v>
      </c>
      <c r="V24" s="25">
        <f>'Россия 2040'!V24</f>
        <v>1.8</v>
      </c>
      <c r="W24" s="12" t="str">
        <f t="shared" si="3"/>
        <v>Партнёрство</v>
      </c>
      <c r="X24" s="12" t="s">
        <v>172</v>
      </c>
    </row>
    <row r="25" ht="13.5" customHeight="1">
      <c r="A25" s="12" t="s">
        <v>173</v>
      </c>
      <c r="B25" s="12">
        <f>MAX(1,MIN(10,'Россия 2040'!B25+'Россия 2040'!D25+('Россия 2040'!C25+'Россия 2040'!F25+'Россия 2040'!G25)+(0.35*LN(1+0.6*'Ход 2040'!B31)*POWER(MAX(0,1-'Россия 2040'!I25/10),0.7))))</f>
        <v>10</v>
      </c>
      <c r="C25" s="12">
        <f>MIN(1,'Россия 2040'!C25+'Россия 2040'!F25+(0.08*LN(1+0.5*'Ход 2040'!C31)*MAX(0,1-('Россия 2040'!C25+'Россия 2040'!F25))))</f>
        <v>0.2915888308</v>
      </c>
      <c r="D25" s="25">
        <v>0.0</v>
      </c>
      <c r="E25" s="25">
        <v>0.0</v>
      </c>
      <c r="F25" s="25">
        <v>0.0</v>
      </c>
      <c r="G25" s="25">
        <v>0.0</v>
      </c>
      <c r="H25" s="12">
        <v>0.0</v>
      </c>
      <c r="I25" s="12">
        <f t="shared" ref="I25:I32" si="5">MAX(1,MIN(10,B25+D25+E25+H25))</f>
        <v>10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174</v>
      </c>
      <c r="V25" s="25">
        <f>'Россия 2040'!V25</f>
        <v>1.8</v>
      </c>
      <c r="W25" s="12" t="str">
        <f t="shared" si="3"/>
        <v>Партнёрство</v>
      </c>
      <c r="X25" s="12" t="s">
        <v>175</v>
      </c>
    </row>
    <row r="26" ht="13.5" customHeight="1">
      <c r="A26" s="12" t="s">
        <v>176</v>
      </c>
      <c r="B26" s="12">
        <f>MAX(1,MIN(10,'Россия 2040'!B26+'Россия 2040'!D26+('Россия 2040'!C26+'Россия 2040'!F26+'Россия 2040'!G26)+(0.35*LN(1+0.6*'Ход 2040'!B32)*POWER(MAX(0,1-'Россия 2040'!I26/10),0.7))))</f>
        <v>10</v>
      </c>
      <c r="C26" s="12">
        <f>MIN(1,'Россия 2040'!C26+'Россия 2040'!F26+(0.08*LN(1+0.5*'Ход 2040'!C32)*MAX(0,1-('Россия 2040'!C26+'Россия 2040'!F26))))</f>
        <v>0.4050807643</v>
      </c>
      <c r="D26" s="25">
        <v>0.0</v>
      </c>
      <c r="E26" s="25">
        <v>0.0</v>
      </c>
      <c r="F26" s="25">
        <v>0.0</v>
      </c>
      <c r="G26" s="25">
        <v>0.0</v>
      </c>
      <c r="H26" s="12">
        <v>0.0</v>
      </c>
      <c r="I26" s="12">
        <f t="shared" si="5"/>
        <v>10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177</v>
      </c>
      <c r="V26" s="25">
        <f>'Россия 2040'!V26</f>
        <v>0</v>
      </c>
      <c r="W26" s="12" t="str">
        <f t="shared" si="3"/>
        <v>Нейтралитет</v>
      </c>
      <c r="X26" s="12" t="s">
        <v>178</v>
      </c>
    </row>
    <row r="27" ht="13.5" customHeight="1">
      <c r="A27" s="12" t="s">
        <v>179</v>
      </c>
      <c r="B27" s="12">
        <f>MAX(1,MIN(10,'Россия 2040'!B27+'Россия 2040'!D27+('Россия 2040'!C27+'Россия 2040'!F27+'Россия 2040'!G27)+(0.35*LN(1+0.6*'Ход 2040'!B33)*POWER(MAX(0,1-'Россия 2040'!I27/10),0.7))))</f>
        <v>10</v>
      </c>
      <c r="C27" s="12">
        <f>MIN(1,'Россия 2040'!C27+'Россия 2040'!F27+(0.08*LN(1+0.5*'Ход 2040'!C33)*MAX(0,1-('Россия 2040'!C27+'Россия 2040'!F27))))</f>
        <v>0.2915888308</v>
      </c>
      <c r="D27" s="25">
        <v>0.0</v>
      </c>
      <c r="E27" s="25">
        <v>0.0</v>
      </c>
      <c r="F27" s="25">
        <v>0.0</v>
      </c>
      <c r="G27" s="25">
        <v>0.0</v>
      </c>
      <c r="H27" s="12">
        <v>0.0</v>
      </c>
      <c r="I27" s="12">
        <f t="shared" si="5"/>
        <v>10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5" customHeight="1">
      <c r="A28" s="12" t="s">
        <v>180</v>
      </c>
      <c r="B28" s="12">
        <f>MAX(1,MIN(10,'Россия 2040'!B28+'Россия 2040'!D28+('Россия 2040'!C28+'Россия 2040'!F28+'Россия 2040'!G28)+(0.35*LN(1+0.6*'Ход 2040'!B34)*POWER(MAX(0,1-'Россия 2040'!I28/10),0.7))))</f>
        <v>10</v>
      </c>
      <c r="C28" s="12">
        <f>MIN(1,'Россия 2040'!C28+'Россия 2040'!F28+(0.08*LN(1+0.5*'Ход 2040'!C34)*MAX(0,1-('Россия 2040'!C28+'Россия 2040'!F28))))</f>
        <v>0.4067085732</v>
      </c>
      <c r="D28" s="25">
        <v>0.0</v>
      </c>
      <c r="E28" s="25">
        <v>0.0</v>
      </c>
      <c r="F28" s="25">
        <v>0.0</v>
      </c>
      <c r="G28" s="25">
        <v>0.0</v>
      </c>
      <c r="H28" s="12">
        <v>0.0</v>
      </c>
      <c r="I28" s="12">
        <f t="shared" si="5"/>
        <v>10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3.5" customHeight="1">
      <c r="A29" s="12" t="s">
        <v>181</v>
      </c>
      <c r="B29" s="12">
        <f>MAX(1,MIN(10,'Россия 2040'!B29+'Россия 2040'!D29+('Россия 2040'!C29+'Россия 2040'!F29+'Россия 2040'!G29)+(0.35*LN(1+0.6*'Ход 2040'!B35)*POWER(MAX(0,1-'Россия 2040'!I29/10),0.7))))</f>
        <v>10</v>
      </c>
      <c r="C29" s="12">
        <f>MIN(1,'Россия 2040'!C29+'Россия 2040'!F29+(0.08*LN(1+0.5*'Ход 2040'!C35)*MAX(0,1-('Россия 2040'!C29+'Россия 2040'!F29))))</f>
        <v>0.3388162421</v>
      </c>
      <c r="D29" s="25">
        <v>0.0</v>
      </c>
      <c r="E29" s="25">
        <v>0.0</v>
      </c>
      <c r="F29" s="25">
        <v>0.0</v>
      </c>
      <c r="G29" s="25">
        <v>0.0</v>
      </c>
      <c r="H29" s="12">
        <v>0.0</v>
      </c>
      <c r="I29" s="12">
        <f t="shared" si="5"/>
        <v>10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3.5" customHeight="1">
      <c r="A30" s="12" t="s">
        <v>182</v>
      </c>
      <c r="B30" s="12">
        <f>MAX(1,MIN(10,'Россия 2040'!B30+'Россия 2040'!D30+('Россия 2040'!C30+'Россия 2040'!F30+'Россия 2040'!G30)+(0.35*LN(1+0.6*'Ход 2040'!B36)*POWER(MAX(0,1-'Россия 2040'!I30/10),0.7))))</f>
        <v>9</v>
      </c>
      <c r="C30" s="12">
        <f>MIN(1,'Россия 2040'!C30+'Россия 2040'!F30+(0.08*LN(1+0.5*'Ход 2040'!C36)*MAX(0,1-('Россия 2040'!C30+'Россия 2040'!F30))))</f>
        <v>0.2</v>
      </c>
      <c r="D30" s="25">
        <v>0.0</v>
      </c>
      <c r="E30" s="25">
        <v>0.0</v>
      </c>
      <c r="F30" s="25">
        <v>0.0</v>
      </c>
      <c r="G30" s="25">
        <v>0.0</v>
      </c>
      <c r="H30" s="12">
        <v>0.0</v>
      </c>
      <c r="I30" s="12">
        <f t="shared" si="5"/>
        <v>9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3.5" customHeight="1">
      <c r="A31" s="12" t="s">
        <v>183</v>
      </c>
      <c r="B31" s="12">
        <f>MAX(1,MIN(10,'Россия 2040'!B31+'Россия 2040'!D31+('Россия 2040'!C31+'Россия 2040'!F31+'Россия 2040'!G31)+(0.35*LN(1+0.6*'Ход 2040'!B37)*POWER(MAX(0,1-'Россия 2040'!I31/10),0.7))))</f>
        <v>6.5</v>
      </c>
      <c r="C31" s="12">
        <f>MIN(1,'Россия 2040'!C31+'Россия 2040'!F31+(0.08*LN(1+0.5*'Ход 2040'!C37)*MAX(0,1-('Россия 2040'!C31+'Россия 2040'!F31))))</f>
        <v>0.1</v>
      </c>
      <c r="D31" s="25">
        <v>0.0</v>
      </c>
      <c r="E31" s="25">
        <v>0.0</v>
      </c>
      <c r="F31" s="25">
        <v>0.0</v>
      </c>
      <c r="G31" s="25">
        <v>0.0</v>
      </c>
      <c r="H31" s="12">
        <v>0.0</v>
      </c>
      <c r="I31" s="12">
        <f t="shared" si="5"/>
        <v>6.5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3.5" customHeight="1">
      <c r="A32" s="12" t="s">
        <v>184</v>
      </c>
      <c r="B32" s="12">
        <f>MAX(1,MIN(10,'Россия 2040'!B32+'Россия 2040'!D32+('Россия 2040'!C32+'Россия 2040'!F32+'Россия 2040'!G32)+(0.35*LN(1+0.6*'Ход 2040'!B38)*POWER(MAX(0,1-'Россия 2040'!I32/10),0.7))))</f>
        <v>10</v>
      </c>
      <c r="C32" s="12">
        <f>MIN(1,'Россия 2040'!C32+'Россия 2040'!F32+(0.08*LN(1+0.5*'Ход 2040'!C38)*MAX(0,1-('Россия 2040'!C32+'Россия 2040'!F32))))</f>
        <v>0.1</v>
      </c>
      <c r="D32" s="25">
        <v>0.0</v>
      </c>
      <c r="E32" s="25">
        <v>0.0</v>
      </c>
      <c r="F32" s="25">
        <v>0.0</v>
      </c>
      <c r="G32" s="25">
        <v>0.0</v>
      </c>
      <c r="H32" s="12">
        <v>0.0</v>
      </c>
      <c r="I32" s="12">
        <f t="shared" si="5"/>
        <v>10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3.5" customHeight="1">
      <c r="A33" s="27" t="s">
        <v>186</v>
      </c>
      <c r="B33" s="27"/>
      <c r="C33" s="27"/>
      <c r="D33" s="27"/>
      <c r="E33" s="27"/>
      <c r="F33" s="27"/>
      <c r="G33" s="27"/>
      <c r="H33" s="27"/>
      <c r="I33" s="27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3.5" customHeight="1">
      <c r="A34" s="12" t="s">
        <v>187</v>
      </c>
      <c r="B34" s="12">
        <f>MAX(1,MIN(10,'Россия 2040'!B34+'Россия 2040'!D34+('Россия 2040'!C34+'Россия 2040'!F34+'Россия 2040'!G34)+(0.35*LN(1+0.6*'Ход 2040'!B40)*POWER(MAX(0,1-'Россия 2040'!I34/10),0.7))))</f>
        <v>10</v>
      </c>
      <c r="C34" s="12">
        <f>MIN(1,'Россия 2040'!C34+'Россия 2040'!F34+(0.08*LN(1+0.5*'Ход 2040'!C40)*MAX(0,1-('Россия 2040'!C34+'Россия 2040'!F34))))</f>
        <v>0.2351878819</v>
      </c>
      <c r="D34" s="25">
        <v>0.0</v>
      </c>
      <c r="E34" s="25">
        <v>0.0</v>
      </c>
      <c r="F34" s="25">
        <v>0.0</v>
      </c>
      <c r="G34" s="25">
        <v>0.0</v>
      </c>
      <c r="H34" s="12">
        <v>0.0</v>
      </c>
      <c r="I34" s="12">
        <f t="shared" ref="I34:I42" si="6">MAX(1,MIN(10,B34+D34+E34+H34))</f>
        <v>10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3.5" customHeight="1">
      <c r="A35" s="12" t="s">
        <v>192</v>
      </c>
      <c r="B35" s="12">
        <f>MAX(1,MIN(10,'Россия 2040'!B35+'Россия 2040'!D35+('Россия 2040'!C35+'Россия 2040'!F35+'Россия 2040'!G35)+(0.35*LN(1+0.6*'Ход 2040'!B41)*POWER(MAX(0,1-'Россия 2040'!I35/10),0.7))))</f>
        <v>9.781664729</v>
      </c>
      <c r="C35" s="12">
        <f>MIN(1,'Россия 2040'!C35+'Россия 2040'!F35+(0.08*LN(1+0.5*'Ход 2040'!C41)*MAX(0,1-('Россия 2040'!C35+'Россия 2040'!F35))))</f>
        <v>0.05</v>
      </c>
      <c r="D35" s="25">
        <v>0.0</v>
      </c>
      <c r="E35" s="25">
        <v>0.0</v>
      </c>
      <c r="F35" s="25">
        <v>0.0</v>
      </c>
      <c r="G35" s="25">
        <v>0.0</v>
      </c>
      <c r="H35" s="12">
        <v>0.0</v>
      </c>
      <c r="I35" s="12">
        <f t="shared" si="6"/>
        <v>9.781664729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5" customHeight="1">
      <c r="A36" s="12" t="s">
        <v>193</v>
      </c>
      <c r="B36" s="12">
        <f>MAX(1,MIN(10,'Россия 2040'!B36+'Россия 2040'!D36+('Россия 2040'!C36+'Россия 2040'!F36+'Россия 2040'!G36)+(0.35*LN(1+0.6*'Ход 2040'!B42)*POWER(MAX(0,1-'Россия 2040'!I36/10),0.7))))</f>
        <v>10</v>
      </c>
      <c r="C36" s="12">
        <f>MIN(1,'Россия 2040'!C36+'Россия 2040'!F36+(0.08*LN(1+0.5*'Ход 2040'!C42)*MAX(0,1-('Россия 2040'!C36+'Россия 2040'!F36))))</f>
        <v>0.25</v>
      </c>
      <c r="D36" s="25">
        <v>0.0</v>
      </c>
      <c r="E36" s="25">
        <v>0.0</v>
      </c>
      <c r="F36" s="25">
        <v>0.0</v>
      </c>
      <c r="G36" s="25">
        <v>0.0</v>
      </c>
      <c r="H36" s="12">
        <v>0.0</v>
      </c>
      <c r="I36" s="12">
        <f t="shared" si="6"/>
        <v>10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3.5" customHeight="1">
      <c r="A37" s="12" t="s">
        <v>198</v>
      </c>
      <c r="B37" s="12">
        <f>MAX(1,MIN(10,'Россия 2040'!B37+'Россия 2040'!D37+('Россия 2040'!C37+'Россия 2040'!F37+'Россия 2040'!G37)+(0.35*LN(1+0.6*'Ход 2040'!B43)*POWER(MAX(0,1-'Россия 2040'!I37/10),0.7))))</f>
        <v>10</v>
      </c>
      <c r="C37" s="12">
        <f>MIN(1,'Россия 2040'!C37+'Россия 2040'!F37+(0.08*LN(1+0.5*'Ход 2040'!C43)*MAX(0,1-('Россия 2040'!C37+'Россия 2040'!F37))))</f>
        <v>0.3</v>
      </c>
      <c r="D37" s="25">
        <v>0.0</v>
      </c>
      <c r="E37" s="25">
        <v>0.0</v>
      </c>
      <c r="F37" s="25">
        <v>0.0</v>
      </c>
      <c r="G37" s="25">
        <v>0.0</v>
      </c>
      <c r="H37" s="12">
        <v>0.0</v>
      </c>
      <c r="I37" s="12">
        <f t="shared" si="6"/>
        <v>10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3.5" customHeight="1">
      <c r="A38" s="12" t="s">
        <v>199</v>
      </c>
      <c r="B38" s="12">
        <f>MAX(1,MIN(10,'Россия 2040'!B38+'Россия 2040'!D38+('Россия 2040'!C38+'Россия 2040'!F38+'Россия 2040'!G38)+(0.35*LN(1+0.6*'Ход 2040'!B44)*POWER(MAX(0,1-'Россия 2040'!I38/10),0.7))))</f>
        <v>9.75</v>
      </c>
      <c r="C38" s="12">
        <f>MIN(1,'Россия 2040'!C38+'Россия 2040'!F38+(0.08*LN(1+0.5*'Ход 2040'!C44)*MAX(0,1-('Россия 2040'!C38+'Россия 2040'!F38))))</f>
        <v>0.25</v>
      </c>
      <c r="D38" s="25">
        <v>0.0</v>
      </c>
      <c r="E38" s="25">
        <v>0.0</v>
      </c>
      <c r="F38" s="25">
        <v>0.0</v>
      </c>
      <c r="G38" s="25">
        <v>0.0</v>
      </c>
      <c r="H38" s="12">
        <v>0.0</v>
      </c>
      <c r="I38" s="12">
        <f t="shared" si="6"/>
        <v>9.75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3.5" customHeight="1">
      <c r="A39" s="12" t="s">
        <v>200</v>
      </c>
      <c r="B39" s="12">
        <f>MAX(1,MIN(10,'Россия 2040'!B39+'Россия 2040'!D39+('Россия 2040'!C39+'Россия 2040'!F39+'Россия 2040'!G39)+(0.35*LN(1+0.6*'Ход 2040'!B45)*POWER(MAX(0,1-'Россия 2040'!I39/10),0.7))))</f>
        <v>9</v>
      </c>
      <c r="C39" s="12">
        <f>MIN(1,'Россия 2040'!C39+'Россия 2040'!F39+(0.08*LN(1+0.5*'Ход 2040'!C45)*MAX(0,1-('Россия 2040'!C39+'Россия 2040'!F39))))</f>
        <v>0.2</v>
      </c>
      <c r="D39" s="25">
        <v>0.0</v>
      </c>
      <c r="E39" s="25">
        <v>0.0</v>
      </c>
      <c r="F39" s="25">
        <v>0.0</v>
      </c>
      <c r="G39" s="25">
        <v>0.0</v>
      </c>
      <c r="H39" s="12">
        <v>0.0</v>
      </c>
      <c r="I39" s="12">
        <f t="shared" si="6"/>
        <v>9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3.5" customHeight="1">
      <c r="A40" s="12" t="s">
        <v>201</v>
      </c>
      <c r="B40" s="12">
        <f>MAX(1,MIN(10,'Россия 2040'!B40+'Россия 2040'!D40+('Россия 2040'!C40+'Россия 2040'!F40+'Россия 2040'!G40)+(0.35*LN(1+0.6*'Ход 2040'!B46)*POWER(MAX(0,1-'Россия 2040'!I40/10),0.7))))</f>
        <v>8.5</v>
      </c>
      <c r="C40" s="12">
        <f>MIN(1,'Россия 2040'!C40+'Россия 2040'!F40+(0.08*LN(1+0.5*'Ход 2040'!C46)*MAX(0,1-('Россия 2040'!C40+'Россия 2040'!F40))))</f>
        <v>0.1</v>
      </c>
      <c r="D40" s="25">
        <v>0.0</v>
      </c>
      <c r="E40" s="25">
        <v>0.0</v>
      </c>
      <c r="F40" s="25">
        <v>0.0</v>
      </c>
      <c r="G40" s="25">
        <v>0.0</v>
      </c>
      <c r="H40" s="12">
        <v>0.0</v>
      </c>
      <c r="I40" s="12">
        <f t="shared" si="6"/>
        <v>8.5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3.5" customHeight="1">
      <c r="A41" s="12" t="s">
        <v>202</v>
      </c>
      <c r="B41" s="12">
        <f>MAX(1,MIN(10,'Россия 2040'!B41+'Россия 2040'!D41+('Россия 2040'!C41+'Россия 2040'!F41+'Россия 2040'!G41)+(0.35*LN(1+0.6*'Ход 2040'!B47)*POWER(MAX(0,1-'Россия 2040'!I41/10),0.7))))</f>
        <v>10</v>
      </c>
      <c r="C41" s="12">
        <f>MIN(1,'Россия 2040'!C41+'Россия 2040'!F41+(0.08*LN(1+0.5*'Ход 2040'!C47)*MAX(0,1-('Россия 2040'!C41+'Россия 2040'!F41))))</f>
        <v>0.25</v>
      </c>
      <c r="D41" s="25">
        <v>0.0</v>
      </c>
      <c r="E41" s="25">
        <v>0.0</v>
      </c>
      <c r="F41" s="25">
        <v>0.0</v>
      </c>
      <c r="G41" s="25">
        <v>0.0</v>
      </c>
      <c r="H41" s="12">
        <v>0.0</v>
      </c>
      <c r="I41" s="12">
        <f t="shared" si="6"/>
        <v>10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3.5" customHeight="1">
      <c r="A42" s="12" t="s">
        <v>203</v>
      </c>
      <c r="B42" s="12">
        <f>MAX(1,MIN(10,'Россия 2040'!B42+'Россия 2040'!D42+('Россия 2040'!C42+'Россия 2040'!F42+'Россия 2040'!G42)+(0.35*LN(1+0.6*'Ход 2040'!B48)*POWER(MAX(0,1-'Россия 2040'!I42/10),0.7))))</f>
        <v>10</v>
      </c>
      <c r="C42" s="12">
        <f>MIN(1,'Россия 2040'!C42+'Россия 2040'!F42+(0.08*LN(1+0.5*'Ход 2040'!C48)*MAX(0,1-('Россия 2040'!C42+'Россия 2040'!F42))))</f>
        <v>0.2</v>
      </c>
      <c r="D42" s="25">
        <v>0.0</v>
      </c>
      <c r="E42" s="25">
        <v>0.0</v>
      </c>
      <c r="F42" s="25">
        <v>0.0</v>
      </c>
      <c r="G42" s="25">
        <v>0.0</v>
      </c>
      <c r="H42" s="12">
        <v>0.0</v>
      </c>
      <c r="I42" s="12">
        <f t="shared" si="6"/>
        <v>10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3.5" customHeight="1">
      <c r="A43" s="27" t="s">
        <v>204</v>
      </c>
      <c r="B43" s="27"/>
      <c r="C43" s="27"/>
      <c r="D43" s="27"/>
      <c r="E43" s="27"/>
      <c r="F43" s="27"/>
      <c r="G43" s="27"/>
      <c r="H43" s="27"/>
      <c r="I43" s="27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3.5" customHeight="1">
      <c r="A44" s="12" t="s">
        <v>205</v>
      </c>
      <c r="B44" s="12">
        <f>MAX(1,MIN(10,'Россия 2040'!B44+'Россия 2040'!D44+('Россия 2040'!C44+'Россия 2040'!F44+'Россия 2040'!G44)+(0.35*LN(1+0.6*'Ход 2040'!B50)*POWER(MAX(0,1-'Россия 2040'!I44/10),0.7))))</f>
        <v>10</v>
      </c>
      <c r="C44" s="12">
        <f>MIN(1,'Россия 2040'!C44+'Россия 2040'!F44+(0.08*LN(1+0.5*'Ход 2040'!C50)*MAX(0,1-('Россия 2040'!C44+'Россия 2040'!F44))))</f>
        <v>0.28017683</v>
      </c>
      <c r="D44" s="25">
        <v>0.0</v>
      </c>
      <c r="E44" s="25">
        <v>0.0</v>
      </c>
      <c r="F44" s="25">
        <v>0.0</v>
      </c>
      <c r="G44" s="25">
        <v>0.0</v>
      </c>
      <c r="H44" s="12">
        <v>0.0</v>
      </c>
      <c r="I44" s="12">
        <f t="shared" ref="I44:I51" si="7">MAX(1,MIN(10,B44+D44+E44+H44))</f>
        <v>10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3.5" customHeight="1">
      <c r="A45" s="12" t="s">
        <v>206</v>
      </c>
      <c r="B45" s="12">
        <f>MAX(1,MIN(10,'Россия 2040'!B45+'Россия 2040'!D45+('Россия 2040'!C45+'Россия 2040'!F45+'Россия 2040'!G45)+(0.35*LN(1+0.6*'Ход 2040'!B51)*POWER(MAX(0,1-'Россия 2040'!I45/10),0.7))))</f>
        <v>10</v>
      </c>
      <c r="C45" s="12">
        <f>MIN(1,'Россия 2040'!C45+'Россия 2040'!F45+(0.08*LN(1+0.5*'Ход 2040'!C51)*MAX(0,1-('Россия 2040'!C45+'Россия 2040'!F45))))</f>
        <v>0.3</v>
      </c>
      <c r="D45" s="25">
        <v>0.0</v>
      </c>
      <c r="E45" s="25">
        <v>0.0</v>
      </c>
      <c r="F45" s="25">
        <v>0.0</v>
      </c>
      <c r="G45" s="25">
        <v>0.0</v>
      </c>
      <c r="H45" s="12">
        <v>0.0</v>
      </c>
      <c r="I45" s="12">
        <f t="shared" si="7"/>
        <v>10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3.5" customHeight="1">
      <c r="A46" s="12" t="s">
        <v>207</v>
      </c>
      <c r="B46" s="12">
        <f>MAX(1,MIN(10,'Россия 2040'!B46+'Россия 2040'!D46+('Россия 2040'!C46+'Россия 2040'!F46+'Россия 2040'!G46)+(0.35*LN(1+0.6*'Ход 2040'!B52)*POWER(MAX(0,1-'Россия 2040'!I46/10),0.7))))</f>
        <v>6.591721311</v>
      </c>
      <c r="C46" s="12">
        <f>MIN(1,'Россия 2040'!C46+'Россия 2040'!F46+(0.08*LN(1+0.5*'Ход 2040'!C52)*MAX(0,1-('Россия 2040'!C46+'Россия 2040'!F46))))</f>
        <v>0.1</v>
      </c>
      <c r="D46" s="25">
        <v>0.0</v>
      </c>
      <c r="E46" s="25">
        <v>0.0</v>
      </c>
      <c r="F46" s="25">
        <v>0.0</v>
      </c>
      <c r="G46" s="25">
        <v>0.0</v>
      </c>
      <c r="H46" s="12">
        <v>0.0</v>
      </c>
      <c r="I46" s="12">
        <f t="shared" si="7"/>
        <v>6.591721311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3.5" customHeight="1">
      <c r="A47" s="12" t="s">
        <v>208</v>
      </c>
      <c r="B47" s="12">
        <f>MAX(1,MIN(10,'Россия 2040'!B47+'Россия 2040'!D47+('Россия 2040'!C47+'Россия 2040'!F47+'Россия 2040'!G47)+(0.35*LN(1+0.6*'Ход 2040'!B53)*POWER(MAX(0,1-'Россия 2040'!I47/10),0.7))))</f>
        <v>6.500028541</v>
      </c>
      <c r="C47" s="12">
        <f>MIN(1,'Россия 2040'!C47+'Россия 2040'!F47+(0.08*LN(1+0.5*'Ход 2040'!C53)*MAX(0,1-('Россия 2040'!C47+'Россия 2040'!F47))))</f>
        <v>0.2357652394</v>
      </c>
      <c r="D47" s="25">
        <v>0.0</v>
      </c>
      <c r="E47" s="25">
        <v>0.0</v>
      </c>
      <c r="F47" s="25">
        <v>0.0</v>
      </c>
      <c r="G47" s="25">
        <v>0.0</v>
      </c>
      <c r="H47" s="12">
        <v>0.0</v>
      </c>
      <c r="I47" s="12">
        <f t="shared" si="7"/>
        <v>6.500028541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3.5" customHeight="1">
      <c r="A48" s="12" t="s">
        <v>210</v>
      </c>
      <c r="B48" s="12">
        <f>MAX(1,MIN(10,'Россия 2040'!B48+'Россия 2040'!D48+('Россия 2040'!C48+'Россия 2040'!F48+'Россия 2040'!G48)+(0.35*LN(1+0.6*'Ход 2040'!B54)*POWER(MAX(0,1-'Россия 2040'!I48/10),0.7))))</f>
        <v>9.8748979</v>
      </c>
      <c r="C48" s="12">
        <f>MIN(1,'Россия 2040'!C48+'Россия 2040'!F48+(0.08*LN(1+0.5*'Ход 2040'!C54)*MAX(0,1-('Россия 2040'!C48+'Россия 2040'!F48))))</f>
        <v>0.2371035015</v>
      </c>
      <c r="D48" s="25">
        <v>0.0</v>
      </c>
      <c r="E48" s="25">
        <v>0.0</v>
      </c>
      <c r="F48" s="25">
        <v>0.0</v>
      </c>
      <c r="G48" s="25">
        <v>0.0</v>
      </c>
      <c r="H48" s="12">
        <v>0.0</v>
      </c>
      <c r="I48" s="12">
        <f t="shared" si="7"/>
        <v>9.8748979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3.5" customHeight="1">
      <c r="A49" s="12" t="s">
        <v>211</v>
      </c>
      <c r="B49" s="12">
        <f>MAX(1,MIN(10,'Россия 2040'!B49+'Россия 2040'!D49+('Россия 2040'!C49+'Россия 2040'!F49+'Россия 2040'!G49)+(0.35*LN(1+0.6*'Ход 2040'!B55)*POWER(MAX(0,1-'Россия 2040'!I49/10),0.7))))</f>
        <v>10</v>
      </c>
      <c r="C49" s="12">
        <f>MIN(1,'Россия 2040'!C49+'Россия 2040'!F49+(0.08*LN(1+0.5*'Ход 2040'!C55)*MAX(0,1-('Россия 2040'!C49+'Россия 2040'!F49))))</f>
        <v>0.3</v>
      </c>
      <c r="D49" s="25">
        <v>0.0</v>
      </c>
      <c r="E49" s="25">
        <v>0.0</v>
      </c>
      <c r="F49" s="25">
        <v>0.0</v>
      </c>
      <c r="G49" s="25">
        <v>0.0</v>
      </c>
      <c r="H49" s="12">
        <v>0.0</v>
      </c>
      <c r="I49" s="12">
        <f t="shared" si="7"/>
        <v>10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3.5" customHeight="1">
      <c r="A50" s="12" t="s">
        <v>212</v>
      </c>
      <c r="B50" s="12">
        <f>MAX(1,MIN(10,'Россия 2040'!B50+'Россия 2040'!D50+('Россия 2040'!C50+'Россия 2040'!F50+'Россия 2040'!G50)+(0.35*LN(1+0.6*'Ход 2040'!B56)*POWER(MAX(0,1-'Россия 2040'!I50/10),0.7))))</f>
        <v>10</v>
      </c>
      <c r="C50" s="12">
        <f>MIN(1,'Россия 2040'!C50+'Россия 2040'!F50+(0.08*LN(1+0.5*'Ход 2040'!C56)*MAX(0,1-('Россия 2040'!C50+'Россия 2040'!F50))))</f>
        <v>0.1</v>
      </c>
      <c r="D50" s="25">
        <v>0.0</v>
      </c>
      <c r="E50" s="25">
        <v>0.0</v>
      </c>
      <c r="F50" s="25">
        <v>0.0</v>
      </c>
      <c r="G50" s="25">
        <v>0.0</v>
      </c>
      <c r="H50" s="12">
        <v>0.0</v>
      </c>
      <c r="I50" s="12">
        <f t="shared" si="7"/>
        <v>10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3.5" customHeight="1">
      <c r="A51" s="12" t="s">
        <v>213</v>
      </c>
      <c r="B51" s="12">
        <f>MAX(1,MIN(10,'Россия 2040'!B51+'Россия 2040'!D51+('Россия 2040'!C51+'Россия 2040'!F51+'Россия 2040'!G51)+(0.35*LN(1+0.6*'Ход 2040'!B57)*POWER(MAX(0,1-'Россия 2040'!I51/10),0.7))))</f>
        <v>10</v>
      </c>
      <c r="C51" s="12">
        <f>MIN(1,'Россия 2040'!C51+'Россия 2040'!F51+(0.08*LN(1+0.5*'Ход 2040'!C57)*MAX(0,1-('Россия 2040'!C51+'Россия 2040'!F51))))</f>
        <v>0.3</v>
      </c>
      <c r="D51" s="25">
        <v>0.0</v>
      </c>
      <c r="E51" s="25">
        <v>0.0</v>
      </c>
      <c r="F51" s="25">
        <v>0.0</v>
      </c>
      <c r="G51" s="25">
        <v>0.0</v>
      </c>
      <c r="H51" s="12">
        <v>0.0</v>
      </c>
      <c r="I51" s="12">
        <f t="shared" si="7"/>
        <v>10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3.5" customHeight="1">
      <c r="A52" s="27" t="s">
        <v>214</v>
      </c>
      <c r="B52" s="27"/>
      <c r="C52" s="27"/>
      <c r="D52" s="27"/>
      <c r="E52" s="27"/>
      <c r="F52" s="27"/>
      <c r="G52" s="27"/>
      <c r="H52" s="27"/>
      <c r="I52" s="27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3.5" customHeight="1">
      <c r="A53" s="12" t="s">
        <v>215</v>
      </c>
      <c r="B53" s="12">
        <f>MAX(1,MIN(10,'Россия 2040'!B53+'Россия 2040'!D53+('Россия 2040'!C53+'Россия 2040'!F53+'Россия 2040'!G53)+(0.35*LN(1+0.6*'Ход 2040'!B59)*POWER(MAX(0,1-'Россия 2040'!I53/10),0.7))))</f>
        <v>10</v>
      </c>
      <c r="C53" s="12">
        <f>MIN(1,'Россия 2040'!C53+'Россия 2040'!F53+(0.08*LN(1+0.5*'Ход 2040'!C59)*MAX(0,1-('Россия 2040'!C53+'Россия 2040'!F53))))</f>
        <v>0.3</v>
      </c>
      <c r="D53" s="25">
        <v>0.0</v>
      </c>
      <c r="E53" s="25">
        <v>0.0</v>
      </c>
      <c r="F53" s="25">
        <v>0.0</v>
      </c>
      <c r="G53" s="25">
        <v>0.0</v>
      </c>
      <c r="H53" s="12">
        <v>0.0</v>
      </c>
      <c r="I53" s="12">
        <f t="shared" ref="I53:I55" si="8">MAX(1,MIN(10,B53+D53+E53+H53))</f>
        <v>10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3.5" customHeight="1">
      <c r="A54" s="12" t="s">
        <v>220</v>
      </c>
      <c r="B54" s="12">
        <f>MAX(1,MIN(10,'Россия 2040'!B54+'Россия 2040'!D54+('Россия 2040'!C54+'Россия 2040'!F54+'Россия 2040'!G54)+(0.35*LN(1+0.6*'Ход 2040'!B60)*POWER(MAX(0,1-'Россия 2040'!I54/10),0.7))))</f>
        <v>8.25</v>
      </c>
      <c r="C54" s="12">
        <f>MIN(1,'Россия 2040'!C54+'Россия 2040'!F54+(0.08*LN(1+0.5*'Ход 2040'!C60)*MAX(0,1-('Россия 2040'!C54+'Россия 2040'!F54))))</f>
        <v>0.15</v>
      </c>
      <c r="D54" s="25">
        <v>0.0</v>
      </c>
      <c r="E54" s="25">
        <v>0.0</v>
      </c>
      <c r="F54" s="25">
        <v>0.0</v>
      </c>
      <c r="G54" s="25">
        <v>0.0</v>
      </c>
      <c r="H54" s="12">
        <v>0.0</v>
      </c>
      <c r="I54" s="12">
        <f t="shared" si="8"/>
        <v>8.25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3.5" customHeight="1">
      <c r="A55" s="12" t="s">
        <v>221</v>
      </c>
      <c r="B55" s="12">
        <f>MAX(1,MIN(10,'Россия 2040'!B55+'Россия 2040'!D55+('Россия 2040'!C55+'Россия 2040'!F55+'Россия 2040'!G55)+(0.35*LN(1+0.6*'Ход 2040'!B61)*POWER(MAX(0,1-'Россия 2040'!I55/10),0.7))))</f>
        <v>7.25</v>
      </c>
      <c r="C55" s="12">
        <f>MIN(1,'Россия 2040'!C55+'Россия 2040'!F55+(0.08*LN(1+0.5*'Ход 2040'!C61)*MAX(0,1-('Россия 2040'!C55+'Россия 2040'!F55))))</f>
        <v>0.15</v>
      </c>
      <c r="D55" s="25">
        <v>0.0</v>
      </c>
      <c r="E55" s="25">
        <v>0.0</v>
      </c>
      <c r="F55" s="25">
        <v>0.0</v>
      </c>
      <c r="G55" s="25">
        <v>0.0</v>
      </c>
      <c r="H55" s="12">
        <v>0.0</v>
      </c>
      <c r="I55" s="12">
        <f t="shared" si="8"/>
        <v>7.25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K6:M7"/>
    <mergeCell ref="N6:P7"/>
    <mergeCell ref="Q6:S7"/>
    <mergeCell ref="U6:W7"/>
    <mergeCell ref="K9:S9"/>
    <mergeCell ref="U9:X9"/>
    <mergeCell ref="A1:X2"/>
    <mergeCell ref="A3:X3"/>
    <mergeCell ref="A5:I5"/>
    <mergeCell ref="K5:M5"/>
    <mergeCell ref="N5:P5"/>
    <mergeCell ref="Q5:S5"/>
    <mergeCell ref="U5:W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