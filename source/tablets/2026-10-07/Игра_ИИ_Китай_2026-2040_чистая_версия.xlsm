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Китай 2026" sheetId="1" r:id="rId4"/>
    <sheet state="hidden" name="Ход 2026" sheetId="2" r:id="rId5"/>
    <sheet state="visible" name="Технологии" sheetId="3" r:id="rId6"/>
    <sheet state="visible" name="Китай 2027" sheetId="4" r:id="rId7"/>
    <sheet state="visible" name="Ход 2027" sheetId="5" r:id="rId8"/>
    <sheet state="visible" name="Китай 2028" sheetId="6" r:id="rId9"/>
    <sheet state="visible" name="Ход 2028" sheetId="7" r:id="rId10"/>
    <sheet state="visible" name="Китай 2029" sheetId="8" r:id="rId11"/>
    <sheet state="visible" name="Ход 2029" sheetId="9" r:id="rId12"/>
    <sheet state="visible" name="Китай 2030" sheetId="10" r:id="rId13"/>
    <sheet state="visible" name="Ход 2030" sheetId="11" r:id="rId14"/>
    <sheet state="visible" name="Китай 2031" sheetId="12" r:id="rId15"/>
    <sheet state="visible" name="Ход 2031" sheetId="13" r:id="rId16"/>
    <sheet state="visible" name="Китай 2032" sheetId="14" r:id="rId17"/>
    <sheet state="visible" name="Ход 2032" sheetId="15" r:id="rId18"/>
    <sheet state="visible" name="Китай 2033" sheetId="16" r:id="rId19"/>
    <sheet state="visible" name="Ход 2033" sheetId="17" r:id="rId20"/>
    <sheet state="visible" name="Китай 2034" sheetId="18" r:id="rId21"/>
    <sheet state="visible" name="Ход 2034" sheetId="19" r:id="rId22"/>
    <sheet state="visible" name="Китай 2035" sheetId="20" r:id="rId23"/>
    <sheet state="visible" name="Ход 2035" sheetId="21" r:id="rId24"/>
    <sheet state="visible" name="Китай 2036" sheetId="22" r:id="rId25"/>
    <sheet state="visible" name="Ход 2036" sheetId="23" r:id="rId26"/>
    <sheet state="visible" name="Китай 2037" sheetId="24" r:id="rId27"/>
    <sheet state="visible" name="Ход 2037" sheetId="25" r:id="rId28"/>
    <sheet state="visible" name="Китай 2038" sheetId="26" r:id="rId29"/>
    <sheet state="visible" name="Ход 2038" sheetId="27" r:id="rId30"/>
    <sheet state="visible" name="Китай 2039" sheetId="28" r:id="rId31"/>
    <sheet state="visible" name="Ход 2039" sheetId="29" r:id="rId32"/>
    <sheet state="visible" name="Китай 2040" sheetId="30" r:id="rId33"/>
    <sheet state="visible" name="Ход 2040" sheetId="31" r:id="rId34"/>
    <sheet state="visible" name="Китай конец 2040" sheetId="32" r:id="rId35"/>
    <sheet state="visible" name="Методика Китая 2026" sheetId="33" r:id="rId36"/>
  </sheets>
  <definedNames/>
  <calcPr/>
  <extLst>
    <ext uri="GoogleSheetsCustomDataVersion2">
      <go:sheetsCustomData xmlns:go="http://customooxmlschemas.google.com/" r:id="rId37" roundtripDataChecksum="ZK/CQ8YzM2HnNfB8HKwSOVjVTxzHc7Cxmhbq7p2ibcw="/>
    </ext>
  </extLst>
</workbook>
</file>

<file path=xl/sharedStrings.xml><?xml version="1.0" encoding="utf-8"?>
<sst xmlns="http://schemas.openxmlformats.org/spreadsheetml/2006/main" count="4258" uniqueCount="473">
  <si>
    <t>КИТАЙ — СОСТОЯНИЕ НА НАЧАЛО 2026 ГОДА</t>
  </si>
  <si>
    <t>ХОД 2026 — РАСПРЕДЕЛЕНИЕ ОЧКОВ</t>
  </si>
  <si>
    <t>ДЕРЕВО ТЕХНОЛОГИЙ — 15 ХОДОВ</t>
  </si>
  <si>
    <t>КИТАЙ — СОСТОЯНИЕ НА НАЧАЛО 2027 ГОДА</t>
  </si>
  <si>
    <t>Жёлтые поля заполняются вручную. Четыре колонки эффектов всегда создаются с нулём и не содержат формул.</t>
  </si>
  <si>
    <t>Жёлтые ячейки — ввод игрока.</t>
  </si>
  <si>
    <t>1. РЕСУРСНАЯ БАЗА ИИ</t>
  </si>
  <si>
    <t>ОЧКИ ТРАНСФОРМАЦИИ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</si>
  <si>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</si>
  <si>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ОЧКИ ИИ</t>
  </si>
  <si>
    <t>ОЧКИ НАУКИ</t>
  </si>
  <si>
    <t>ВНЕШНЕПОЛИТИЧЕСКИЕ ОЧКИ</t>
  </si>
  <si>
    <t>Ресурс</t>
  </si>
  <si>
    <t>Доступно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</si>
  <si>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</si>
  <si>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</si>
  <si>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</si>
  <si>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</si>
  <si>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ВСЕГО ТЕХНОЛОГИЙ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</si>
  <si>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</si>
  <si>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</si>
  <si>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</si>
  <si>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</si>
  <si>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ОСНОВНЫХ ВЕТВЕЙ</t>
  </si>
  <si>
    <t>МЕЖВЕТВЕВЫХ</t>
  </si>
  <si>
    <t>СТАРТОВО ОТКРЫТО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</si>
  <si>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</si>
  <si>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</si>
  <si>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</si>
  <si>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</si>
  <si>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</si>
  <si>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</si>
  <si>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</si>
  <si>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</si>
  <si>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</si>
  <si>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</si>
  <si>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</si>
  <si>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</si>
  <si>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</si>
  <si>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</si>
  <si>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</si>
  <si>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</si>
  <si>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Распределено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</si>
  <si>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</si>
  <si>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</si>
  <si>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</si>
  <si>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</si>
  <si>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</si>
  <si>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</si>
  <si>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</si>
  <si>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</si>
  <si>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</si>
  <si>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</si>
  <si>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</si>
  <si>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</si>
  <si>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</si>
  <si>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</si>
  <si>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</si>
  <si>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</si>
  <si>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</si>
  <si>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</si>
  <si>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</si>
  <si>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</si>
  <si>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</si>
  <si>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</si>
  <si>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</si>
  <si>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</si>
  <si>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</si>
  <si>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</si>
  <si>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</si>
  <si>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</si>
  <si>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</si>
  <si>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</si>
  <si>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</si>
  <si>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</si>
  <si>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</si>
  <si>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</si>
  <si>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</si>
  <si>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</si>
  <si>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</si>
  <si>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</si>
  <si>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</si>
  <si>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</si>
  <si>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</si>
  <si>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</si>
  <si>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C1</t>
  </si>
  <si>
    <t>Вычисления и аппаратная база</t>
  </si>
  <si>
    <t>I</t>
  </si>
  <si>
    <t>Энергоэффективные ИИ-ускорители</t>
  </si>
  <si>
    <t>Специализированные ускорители с лучшим отношением вычислений к энергопотреблению.</t>
  </si>
  <si>
    <t>Вычислительные компоненты +0,2; прирост ЦОД +0,05/год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</si>
  <si>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</si>
  <si>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</si>
  <si>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</si>
  <si>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</si>
  <si>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</si>
  <si>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</si>
  <si>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</si>
  <si>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</si>
  <si>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</si>
  <si>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</si>
  <si>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</si>
  <si>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</si>
  <si>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</si>
  <si>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</si>
  <si>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Шанс улучшения</t>
  </si>
  <si>
    <t>Шанс без изменений</t>
  </si>
  <si>
    <t>Шанс ухудшения</t>
  </si>
  <si>
    <t>Бросок 0–100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</si>
  <si>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</si>
  <si>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</si>
  <si>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</si>
  <si>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</si>
  <si>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</si>
  <si>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</si>
  <si>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</si>
  <si>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</si>
  <si>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Индия</t>
  </si>
  <si>
    <t>Энергетические ресурсы</t>
  </si>
  <si>
    <t>Обучение</t>
  </si>
  <si>
    <t>Великобритания</t>
  </si>
  <si>
    <t>Вода и ресурс отвода тепла</t>
  </si>
  <si>
    <t>Война</t>
  </si>
  <si>
    <t>Франция</t>
  </si>
  <si>
    <t>Пространственные и природно-географические ресурсы</t>
  </si>
  <si>
    <t>Экономика</t>
  </si>
  <si>
    <t>Германия</t>
  </si>
  <si>
    <t>Мощности производства полупроводников</t>
  </si>
  <si>
    <t>Государственное управление</t>
  </si>
  <si>
    <t>Япония</t>
  </si>
  <si>
    <t>Вычислительные компоненты</t>
  </si>
  <si>
    <t>Принятие ИИ</t>
  </si>
  <si>
    <t>Южная Корея</t>
  </si>
  <si>
    <t>ЦОД и вычислительная инфраструктура</t>
  </si>
  <si>
    <t>Турция</t>
  </si>
  <si>
    <t>Сетевые ресурсы</t>
  </si>
  <si>
    <t>ОБОРОНА — ВНЕШНЕПОЛИТИЧЕСКИЕ ОЧКИ</t>
  </si>
  <si>
    <t>Саудовская Аравия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</si>
  <si>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</si>
  <si>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</si>
  <si>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</si>
  <si>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</si>
  <si>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</si>
  <si>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</si>
  <si>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</si>
  <si>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</si>
  <si>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</si>
  <si>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Бразилия</t>
  </si>
  <si>
    <t>Стек разработки ИИ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</si>
  <si>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</si>
  <si>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</si>
  <si>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</si>
  <si>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</si>
  <si>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</si>
  <si>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</si>
  <si>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</si>
  <si>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</si>
  <si>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</si>
  <si>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</si>
  <si>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</si>
  <si>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D1</t>
  </si>
  <si>
    <t>III. Данные, модели и информационная безопасность</t>
  </si>
  <si>
    <t>R1</t>
  </si>
  <si>
    <t>Исходные данные</t>
  </si>
  <si>
    <t>2. СФЕРЫ ВНЕДРЕНИЯ ИИ</t>
  </si>
  <si>
    <t>3. МЕЖДУНАРОДНЫЕ ОТНОШЕНИЯ</t>
  </si>
  <si>
    <t>Производные данные</t>
  </si>
  <si>
    <t>Код −5…+5</t>
  </si>
  <si>
    <t>Статус</t>
  </si>
  <si>
    <t>Краткое положение</t>
  </si>
  <si>
    <t>M1</t>
  </si>
  <si>
    <t>Стратегическое партнёрство</t>
  </si>
  <si>
    <t>Всестороннее стратегическое партнёрство и глубокая координация; тесные энергетические, торговые и политические связи. Очень близкие отношения, но формально не военный союз.</t>
  </si>
  <si>
    <t>Контекстные информационные ресурсы</t>
  </si>
  <si>
    <t>Конфронтация</t>
  </si>
  <si>
    <t>Системная стратегическая, технологическая и торговая конкуренция; экспортные ограничения и противоречия по Тайваню и безопасности при сохранении крупной торговли и каналов диалога.</t>
  </si>
  <si>
    <t>Напряжённые отношения</t>
  </si>
  <si>
    <t>Пограничные и геополитические противоречия сохраняются, однако после разрядки 2024–2025 гг. возобновились диалог и постепенная нормализация.</t>
  </si>
  <si>
    <t>Модельные ресурсы</t>
  </si>
  <si>
    <t>Сотрудничество</t>
  </si>
  <si>
    <t>Экономические связи и дипломатический диалог сохраняются, но отношения ограничены разногласиями по безопасности, технологиям, Гонконгу и внешней политике.</t>
  </si>
  <si>
    <t>Партнёрство</t>
  </si>
  <si>
    <t>Развитое стратегическое взаимодействие и высокий уровень политического диалога; крупные экономические связи при наличии общеевропейских торговых и технологических трений.</t>
  </si>
  <si>
    <t>Очень крупные торгово-промышленные связи и регулярный диалог, но de-risking, торговые споры и вопросы технологической зависимости ограничивают сближение.</t>
  </si>
  <si>
    <t>Большая взаимная торговля сочетается с территориальными, историческими и военно-политическими противоречиями, включая Восточно-Китайское море и Тайвань.</t>
  </si>
  <si>
    <t>Ресурсы оценки</t>
  </si>
  <si>
    <t>Крупная торговля и стратегическое кооперационное партнёрство; отношения улучшаются, но ограничены союзом Сеула с США и вопросами региональной безопасности.</t>
  </si>
  <si>
    <t>Стратегические кооперационные отношения, заметные торговые и инфраструктурные проекты и сопряжение инициатив; сохраняются отдельные политические разногласия.</t>
  </si>
  <si>
    <t>Документационные ресурсы</t>
  </si>
  <si>
    <t>Всеобъемлющее стратегическое партнёрство; тесные энергетические, инвестиционные и торговые связи и высокий уровень политического взаимодействия.</t>
  </si>
  <si>
    <t>Всеобъемлющее стратегическое партнёрство, тесная координация в БРИКС/ШОС и экономико-энергетические связи; это не формальный военный союз.</t>
  </si>
  <si>
    <t>Сохраняются значимые торговые и технологические связи, но политические отношения осложнены позицией Китая по Газе и тесными связями Пекина с Ираном.</t>
  </si>
  <si>
    <t>Всеобъемлющее стратегическое партнёрство, БРИКС и исключительно глубокая торговля; лидеры развивают концепцию сообщества единой судьбы.</t>
  </si>
  <si>
    <t>Права доступа к информационным ресурсам</t>
  </si>
  <si>
    <t>Всеобъемлющее стратегическое партнёрство; тесные связи в энергетике, логистике, инвестициях, технологиях и инфраструктуре.</t>
  </si>
  <si>
    <t>Всеобъемлющее стратегическое партнёрство, крупные инфраструктурные проекты и торговля; отдельные трения в Южно-Китайском море не отменяют общего сближения.</t>
  </si>
  <si>
    <t>Нейтралитет</t>
  </si>
  <si>
    <t>Усреднённый нейтральный уровень для государств, не выделенных в отдельные строки.</t>
  </si>
  <si>
    <t>Кибербезопасностные ресурсы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</si>
  <si>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</si>
  <si>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</si>
  <si>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</si>
  <si>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</si>
  <si>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</si>
  <si>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</si>
  <si>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</si>
  <si>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</si>
  <si>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C2</t>
  </si>
  <si>
    <t>Поставщики и рынок технологических услуг</t>
  </si>
  <si>
    <t>II</t>
  </si>
  <si>
    <t>Проектирование специализированных ускорителей</t>
  </si>
  <si>
    <t>Собственные архитектуры ускорителей и средств их проектирования.</t>
  </si>
  <si>
    <t>Вычислительные компоненты +0,3; их прирост +0,08/год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</si>
  <si>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</si>
  <si>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</si>
  <si>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</si>
  <si>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</si>
  <si>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</si>
  <si>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</si>
  <si>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</si>
  <si>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</si>
  <si>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</si>
  <si>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</si>
  <si>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</si>
  <si>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</si>
  <si>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</si>
  <si>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</si>
  <si>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C3</t>
  </si>
  <si>
    <t>Передовая микроэлектроника для ИИ</t>
  </si>
  <si>
    <t>Технологическая база для специализированных чипов, памяти и упаковки.</t>
  </si>
  <si>
    <t>Полупроводниковое производство +0,4; его прирост +0,08/год</t>
  </si>
  <si>
    <t>C4</t>
  </si>
  <si>
    <t>III</t>
  </si>
  <si>
    <t>Гетерогенные вычислительные кластеры</t>
  </si>
  <si>
    <t>Совместное использование CPU, GPU, специализированных ускорителей и распределённой памяти.</t>
  </si>
  <si>
    <t>ЦОД +0,4; Стек эксплуатации ИИ +0,2; прирост ЦОД +0,05/год</t>
  </si>
  <si>
    <t>C5</t>
  </si>
  <si>
    <t>IV</t>
  </si>
  <si>
    <t>Суверенная распределённая вычислительная сеть</t>
  </si>
  <si>
    <t>Национальная сеть взаимозаменяемых ЦОД и вычислительных узлов.</t>
  </si>
  <si>
    <t>Сетевые ресурсы +0,4; прирост ЦОД +0,10/год; защита Афины +15%</t>
  </si>
  <si>
    <t>ХОД 2027 — РАСПРЕДЕЛЕНИЕ ОЧКОВ</t>
  </si>
  <si>
    <t>C6</t>
  </si>
  <si>
    <t>V</t>
  </si>
  <si>
    <t>Новые вычислительные архитектуры</t>
  </si>
  <si>
    <t>Нейроморфные, вычислительно-памятные и иные постфоннеймановские архитектуры.</t>
  </si>
  <si>
    <t>Вычислительные компоненты +0,5; Математико-алгоритмические ресурсы +0,3; исследования ветви Модели +10%</t>
  </si>
  <si>
    <t>КИТАЙ — СОСТОЯНИЕ НА НАЧАЛО 2028 ГОДА</t>
  </si>
  <si>
    <t>Модели и алгоритмы</t>
  </si>
  <si>
    <t>Эффективное обучение моделей</t>
  </si>
  <si>
    <t>Улучшенные методы оптимизации, сжатия и обучения моделей.</t>
  </si>
  <si>
    <t>Методы построения моделей +0,2; их прирост +0,05/год</t>
  </si>
  <si>
    <t>M2</t>
  </si>
  <si>
    <t>Мультимодальные фундаментальные модели</t>
  </si>
  <si>
    <t>Совместная работа с текстом, изображениями, звуком, видео и другими модальностями.</t>
  </si>
  <si>
    <t>Модельные ресурсы +0,3; прирост Принятия ИИ +0,05/год; атака Аполлона +10%</t>
  </si>
  <si>
    <t>D3</t>
  </si>
  <si>
    <t>S1</t>
  </si>
  <si>
    <t>D2</t>
  </si>
  <si>
    <t>M3</t>
  </si>
  <si>
    <t>Модели рассуждения и планирования</t>
  </si>
  <si>
    <t>Многошаговое решение задач, планирование и проверка промежуточных результатов.</t>
  </si>
  <si>
    <t>Методы построения моделей +0,3; прирост Познания +0,08/год</t>
  </si>
  <si>
    <t>M4</t>
  </si>
  <si>
    <t>Адаптивные модели непрерывного обучения</t>
  </si>
  <si>
    <t>Модели, способные обновляться при изменении среды и данных.</t>
  </si>
  <si>
    <t>Модельные ресурсы +0,4; их прирост +0,08/год; прирост Управления +0,05/год</t>
  </si>
  <si>
    <t>M5</t>
  </si>
  <si>
    <t>Модели мира и причинного прогнозирования</t>
  </si>
  <si>
    <t>Моделирование среды, сценариев и последствий решений.</t>
  </si>
  <si>
    <t>Познание +0,3; прирост Познания +0,10/год; атака Афины +10%</t>
  </si>
  <si>
    <t>M6</t>
  </si>
  <si>
    <t>Самосовершенствующиеся фронтирные модели</t>
  </si>
  <si>
    <t>Системы, автоматизирующие существенную часть собственного улучшения.</t>
  </si>
  <si>
    <t>Прирост Методов построения моделей +0,15/год; Модельных ресурсов +0,10/год; эффективность науки для M/A/X +15%</t>
  </si>
  <si>
    <t>Данные и знания</t>
  </si>
  <si>
    <t>Интероперабельные пространства данных</t>
  </si>
  <si>
    <t>Стандартизованный обмен данными между организациями и системами.</t>
  </si>
  <si>
    <t>Исходные данные +0,2; Интеграционные ресурсы +0,2; их прирост +0,05/год</t>
  </si>
  <si>
    <t>ХОД 2028 — РАСПРЕДЕЛЕНИЕ ОЧКОВ</t>
  </si>
  <si>
    <t>Промышленное производство синтетических данных</t>
  </si>
  <si>
    <t>Генерация обучающих и тестовых данных при дефиците реальных наблюдений.</t>
  </si>
  <si>
    <t>Производные данные +0,3; их прирост +0,10/год</t>
  </si>
  <si>
    <t>КИТАЙ — СОСТОЯНИЕ НА НАЧАЛО 2029 ГОДА</t>
  </si>
  <si>
    <t>Графы знаний и семантические модели</t>
  </si>
  <si>
    <t>Машиночитаемые связи между объектами, понятиями и фактами.</t>
  </si>
  <si>
    <t>Контекстные информационные ресурсы +0,3; прирост Познания +0,05/год</t>
  </si>
  <si>
    <t>D4</t>
  </si>
  <si>
    <t>Проверяемые системы поиска и извлечения знаний</t>
  </si>
  <si>
    <t>Доступ моделей к документированным и проверяемым источникам.</t>
  </si>
  <si>
    <t>Документационные ресурсы +0,3; Права доступа +0,2; прирост Госуправления +0,05/год</t>
  </si>
  <si>
    <t>D5</t>
  </si>
  <si>
    <t>Национальная машиночитаемая инфраструктура знаний</t>
  </si>
  <si>
    <t>Связанная система государственных, научных и отраслевых знаний.</t>
  </si>
  <si>
    <t>Контекстные ресурсы +0,5; их прирост +0,10/год; защита Аполлона +15%</t>
  </si>
  <si>
    <t>D6</t>
  </si>
  <si>
    <t>Автономные экосистемы данных</t>
  </si>
  <si>
    <t>Автоматическое получение, очистка, разметка, проверка и обновление данных.</t>
  </si>
  <si>
    <t>Прирост Исходных данных +0,10/год; Производных +0,15/год; Ресурсов оценки +0,10/год</t>
  </si>
  <si>
    <t>A1</t>
  </si>
  <si>
    <t>Агенты и автономные системы</t>
  </si>
  <si>
    <t>ИИ-копилоты с использованием инструментов</t>
  </si>
  <si>
    <t>ИИ работает с программами, поиском и информационными системами.</t>
  </si>
  <si>
    <t>Прирост Управления +0,05/год; прирост Экономики +0,05/год</t>
  </si>
  <si>
    <t>A2</t>
  </si>
  <si>
    <t>Агенты рабочих процессов</t>
  </si>
  <si>
    <t>Выполнение многошаговых процессов внутри организаций.</t>
  </si>
  <si>
    <t>Организационная архитектура внедрения +0,3; её прирост +0,08/год</t>
  </si>
  <si>
    <t>A3</t>
  </si>
  <si>
    <t>Многоагентная оркестрация</t>
  </si>
  <si>
    <t>Координация множества специализированных агентов.</t>
  </si>
  <si>
    <t>Прирост Управления +0,08/год; атака Афины +10%</t>
  </si>
  <si>
    <t>ХОД 2029 — РАСПРЕДЕЛЕНИЕ ОЧКОВ</t>
  </si>
  <si>
    <t>A4</t>
  </si>
  <si>
    <t>Автономные организационные процессы</t>
  </si>
  <si>
    <t>Автоматическое ведение существенной части типовых процессов организаций.</t>
  </si>
  <si>
    <t>Организационная способность к изменению +0,4; прирост Экономики +0,08/год</t>
  </si>
  <si>
    <t>A5</t>
  </si>
  <si>
    <t>Государственные ИИ-агенты</t>
  </si>
  <si>
    <t>Агентные системы в масштабах государственного управления.</t>
  </si>
  <si>
    <t>Прирост Госуправления +0,12/год; Управления +0,08/год; улучшение отношений +10%</t>
  </si>
  <si>
    <t>A6</t>
  </si>
  <si>
    <t>Стратегические автономные агентные системы</t>
  </si>
  <si>
    <t>Агентные контуры, самостоятельно планирующие длинные цепочки действий.</t>
  </si>
  <si>
    <t>Управление +0,4; атака Афины +15%; атака Аполлона +15%</t>
  </si>
  <si>
    <t>Физический ИИ и робототехника</t>
  </si>
  <si>
    <t>Машинное зрение и интеллектуальное управление</t>
  </si>
  <si>
    <t>Распознавание физической среды и управление оборудованием.</t>
  </si>
  <si>
    <t>Оцифрованность деятельности +0,2; прирост Производства +0,05/год</t>
  </si>
  <si>
    <t>R2</t>
  </si>
  <si>
    <t>Интеллектуальная промышленная робототехника</t>
  </si>
  <si>
    <t>Роботы, способные адаптироваться к производственным операциям.</t>
  </si>
  <si>
    <t>Производство +0,3; его прирост +0,08/год</t>
  </si>
  <si>
    <t>R3</t>
  </si>
  <si>
    <t>Автономная логистика</t>
  </si>
  <si>
    <t>Автоматизированные транспортные, складские и распределительные системы.</t>
  </si>
  <si>
    <t>Прирост Экономики +0,08/год; защита Афины +10%</t>
  </si>
  <si>
    <t>R4</t>
  </si>
  <si>
    <t>Автономные мобильные системы</t>
  </si>
  <si>
    <t>Воздушные, наземные и морские автономные платформы.</t>
  </si>
  <si>
    <t>Прирост Войны +0,08/год; атака Ареса +15%</t>
  </si>
  <si>
    <t>КИТАЙ — СОСТОЯНИЕ НА НАЧАЛО 2030 ГОДА</t>
  </si>
  <si>
    <t>R5</t>
  </si>
  <si>
    <t>Универсальный воплощённый ИИ</t>
  </si>
  <si>
    <t>Роботизированные системы, способные осваивать новые физические задачи.</t>
  </si>
  <si>
    <t>Прирост Производства +0,12/год; Готовность работников +0,2; прирост Принятия ИИ +0,05/год</t>
  </si>
  <si>
    <t>R6</t>
  </si>
  <si>
    <t>Автономные производственные комплексы</t>
  </si>
  <si>
    <t>Производство с минимальным постоянным человеческим оперативным управлением.</t>
  </si>
  <si>
    <t>Производство +0,5; его прирост +0,15/год; очки трансформации в ресурсы группы I эффективнее на 15%</t>
  </si>
  <si>
    <t>ХОД 2030 — РАСПРЕДЕЛЕНИЕ ОЧКОВ</t>
  </si>
  <si>
    <t>Надёжность, безопасность и контроль</t>
  </si>
  <si>
    <t>Систематическая оценка ИИ</t>
  </si>
  <si>
    <t>Бенчмарки, тестирование и контроль деградации моделей.</t>
  </si>
  <si>
    <t>Ресурсы оценки +0,3; прирост Поствнедренческого мониторинга +0,05/год</t>
  </si>
  <si>
    <t>S2</t>
  </si>
  <si>
    <t>Интерпретируемый ИИ</t>
  </si>
  <si>
    <t>Средства объяснения поведения и результатов модели.</t>
  </si>
  <si>
    <t>Документационные ресурсы +0,2; Социальное доверие +0,2; прирост Принятия ИИ +0,05/год</t>
  </si>
  <si>
    <t>S3</t>
  </si>
  <si>
    <t>Защищённый MLOps и инфраструктура ИИ</t>
  </si>
  <si>
    <t>Контроль доступа, моделей, обновлений и цепочек поставки.</t>
  </si>
  <si>
    <t>Кибербезопасностные ресурсы +0,3; прирост Стека эксплуатации ИИ +0,05/год; защита Афины +10%</t>
  </si>
  <si>
    <t>S4</t>
  </si>
  <si>
    <t>Автоматизированный red teaming</t>
  </si>
  <si>
    <t>Постоянный поиск уязвимостей и опасных режимов поведения.</t>
  </si>
  <si>
    <t>Ресурсы оценки +0,4; прирост Кибербезопасности +0,08/год; защита Аполлона +10%</t>
  </si>
  <si>
    <t>КИТАЙ — СОСТОЯНИЕ НА НАЧАЛО 2031 ГОДА</t>
  </si>
  <si>
    <t>S5</t>
  </si>
  <si>
    <t>Контроль автономных агентов</t>
  </si>
  <si>
    <t>Ограничения действий, права, аудит и остановка автономных систем.</t>
  </si>
  <si>
    <t>Система управления ИИ +0,4; прирост Принятия ИИ +0,08/год; защита Афины и Аполлона +10%</t>
  </si>
  <si>
    <t>S6</t>
  </si>
  <si>
    <t>Проверяемый и самоинтерпретируемый ИИ</t>
  </si>
  <si>
    <t>Системы, способные обосновывать и проверять собственное выполнение требований.</t>
  </si>
  <si>
    <t>Система управления ИИ +0,5; Регуляторная среда +0,3; прирост Социального доверия +0,10/год; вся оборона +10%</t>
  </si>
  <si>
    <t>X1</t>
  </si>
  <si>
    <t>Межветвевые</t>
  </si>
  <si>
    <t>Автономное научное исследование</t>
  </si>
  <si>
    <t>ИИ формулирует гипотезы, планирует исследования, анализирует результаты и предлагает новые эксперименты.</t>
  </si>
  <si>
    <t>Прирост Познания +0,10/год; эффективность вложенных очков науки +15%</t>
  </si>
  <si>
    <t>X2</t>
  </si>
  <si>
    <t>Национальная ИИ-платформа</t>
  </si>
  <si>
    <t>Унифицированная инфраструктура вычислений, данных, моделей и развёртывания.</t>
  </si>
  <si>
    <t>Прирост Принятия ИИ +0,10/год; Госуправления +0,08/год; очки ИИ в сферы эффективнее на 10%</t>
  </si>
  <si>
    <t>ХОД 2031 — РАСПРЕДЕЛЕНИЕ ОЧКОВ</t>
  </si>
  <si>
    <t>X3</t>
  </si>
  <si>
    <t>Автономный цифровой контур государства</t>
  </si>
  <si>
    <t>Связанная система данных, агентов и государственного управления.</t>
  </si>
  <si>
    <t>Госуправление +0,5; его прирост +0,12/год; улучшение отношений +15%; защита Аполлона +10%</t>
  </si>
  <si>
    <t>X4</t>
  </si>
  <si>
    <t>V+</t>
  </si>
  <si>
    <t>Самоускоряющийся контур исследований ИИ</t>
  </si>
  <si>
    <t>ИИ автоматизирует значительную часть цикла создания следующего поколения ИИ.</t>
  </si>
  <si>
    <t>Эффективность очков науки +25%; прирост Методов моделей +0,10/год; Модельных ресурсов +0,10/год; открывает карты прорывов/рисков</t>
  </si>
  <si>
    <t>КИТАЙ — СОСТОЯНИЕ НА НАЧАЛО 2032 ГОДА</t>
  </si>
  <si>
    <t>ХОД 2032 — РАСПРЕДЕЛЕНИЕ ОЧКОВ</t>
  </si>
  <si>
    <t>КИТАЙ — СОСТОЯНИЕ НА НАЧАЛО 2033 ГОДА</t>
  </si>
  <si>
    <t>ХОД 2033 — РАСПРЕДЕЛЕНИЕ ОЧКОВ</t>
  </si>
  <si>
    <t>КИТАЙ — СОСТОЯНИЕ НА НАЧАЛО 2034 ГОДА</t>
  </si>
  <si>
    <t>ХОД 2034 — РАСПРЕДЕЛЕНИЕ ОЧКОВ</t>
  </si>
  <si>
    <t>КИТАЙ — СОСТОЯНИЕ НА НАЧАЛО 2035 ГОДА</t>
  </si>
  <si>
    <t>ХОД 2035 — РАСПРЕДЕЛЕНИЕ ОЧКОВ</t>
  </si>
  <si>
    <t>КИТАЙ — СОСТОЯНИЕ НА НАЧАЛО 2036 ГОДА</t>
  </si>
  <si>
    <t>ХОД 2036 — РАСПРЕДЕЛЕНИЕ ОЧКОВ</t>
  </si>
  <si>
    <t>КИТАЙ — СОСТОЯНИЕ НА НАЧАЛО 2037 ГОДА</t>
  </si>
  <si>
    <t>ХОД 2037 — РАСПРЕДЕЛЕНИЕ ОЧКОВ</t>
  </si>
  <si>
    <t>КИТАЙ — СОСТОЯНИЕ НА НАЧАЛО 2038 ГОДА</t>
  </si>
  <si>
    <t>ХОД 2038 — РАСПРЕДЕЛЕНИЕ ОЧКОВ</t>
  </si>
  <si>
    <t>КИТАЙ — СОСТОЯНИЕ НА НАЧАЛО 2039 ГОДА</t>
  </si>
  <si>
    <t>ХОД 2039 — РАСПРЕДЕЛЕНИЕ ОЧКОВ</t>
  </si>
  <si>
    <t>КИТАЙ — СОСТОЯНИЕ НА НАЧАЛО 2040 ГОДА</t>
  </si>
  <si>
    <t>ХОД 2040 — РАСПРЕДЕЛЕНИЕ ОЧКОВ</t>
  </si>
  <si>
    <t>КИТАЙ — СОСТОЯНИЕ НА КОНЕЦ 2040 ГОДА</t>
  </si>
  <si>
    <t>КИТАЙ 2026 — МЕТОДИКА СТАРТОВОЙ КАЛИБРОВКИ</t>
  </si>
  <si>
    <t>Стартовые оценки — игровая экспертная калибровка на начало 2026 года. Шкала 1–10: 10 — мировой фронтир/максимальная доступность ресурса, 1 — крайне слабый уровень. Значения Китая определены самостоятельно по данным о Китае и НЕ получены прибавлением или вычитанием значений России либо США. Дипломатические коды — игровая калибровка интенсивности отношений, а не официальный рейтинг.</t>
  </si>
  <si>
    <t>Блок</t>
  </si>
  <si>
    <t>Что использовано при калибровке</t>
  </si>
  <si>
    <t>Источник</t>
  </si>
  <si>
    <t>URL</t>
  </si>
  <si>
    <t>ИИ: модели и исследования</t>
  </si>
  <si>
    <t>Разрыв качества лучших моделей США и Китая практически закрылся; Китай лидирует по объёму публикаций, цитированиям и AI-патентам, но США всё ещё выпускают больше наиболее заметных frontier-моделей.</t>
  </si>
  <si>
    <t>Stanford HAI — AI Index 2026</t>
  </si>
  <si>
    <t>https://hai.stanford.edu/ai-index/2026-ai-index-report</t>
  </si>
  <si>
    <t>ИИ: инвестиции</t>
  </si>
  <si>
    <t>Частные инвестиции в ИИ в Китае в 2025 г. — около $12,41 млрд; они существенно ниже США, хотя государственные фонды дают дополнительный капитал.</t>
  </si>
  <si>
    <t>Stanford HAI — Economy 2026</t>
  </si>
  <si>
    <t>https://hai.stanford.edu/ai-index/2026-ai-index-report/economy</t>
  </si>
  <si>
    <t>Полупроводники</t>
  </si>
  <si>
    <t>Очень большие и растущие фабричные мощности, особенно зрелых техпроцессов; ограничения сохраняются в наиболее передовых литографии и AI-компонентах.</t>
  </si>
  <si>
    <t>SEMI</t>
  </si>
  <si>
    <t>https://www.semi.org/en/news-media-press-releases/semi-press-releases/global-semiconductor-capacity-projected-to-reach-record-high-33.7-million-wafers-per-month-in-2025</t>
  </si>
  <si>
    <t>Сети и ЦОД</t>
  </si>
  <si>
    <t>К концу 2025 г. — 4,838 млн базовых станций 5G и 938 тыс. стоек ЦОД, предоставляющих внешние сервисы.</t>
  </si>
  <si>
    <t>MIIT, 2026</t>
  </si>
  <si>
    <t>https://www.miit.gov.cn/jgsj/yxj/xxfb/art/2026/art_bea806f4dd20457cb0158795cc210aa7.html</t>
  </si>
  <si>
    <t>Цифровой рынок</t>
  </si>
  <si>
    <t>Более 1,1 млрд интернет-пользователей; сотни миллионов пользователей генеративного ИИ и крупные вычислительные кластеры.</t>
  </si>
  <si>
    <t>State Council / CNNIC, 2026</t>
  </si>
  <si>
    <t>https://english.www.gov.cn/archive/statistics/202602/05/content_WS698442cac6d00ca5f9a08edc.html</t>
  </si>
  <si>
    <t>Критические материалы</t>
  </si>
  <si>
    <t>В 2024 г. Китай: около 60% добычи магнитных РЗЭ, 91% переработки и 94% производства постоянных магнитов.</t>
  </si>
  <si>
    <t>IEA — Rare Earth Elements</t>
  </si>
  <si>
    <t>https://www.iea.org/reports/rare-earth-elements/executive-summary</t>
  </si>
  <si>
    <t>Промышленная автоматизация</t>
  </si>
  <si>
    <t>Китай — крупнейший рынок промышленных роботов и крупнейший ежегодный установщик, что повышает готовность производства к ИИ.</t>
  </si>
  <si>
    <t>International Federation of Robotics</t>
  </si>
  <si>
    <t>https://ifr.org/ifr-press-releases/news/global-robot-demand-in-factories-doubles-over-10-years</t>
  </si>
  <si>
    <t>Государственная политика AI+</t>
  </si>
  <si>
    <t>Национальная политика нацелена на быстрое внедрение ИИ в промышленность, услуги, образование, управление и общественную сферу.</t>
  </si>
  <si>
    <t>State Council / CAC, 2025</t>
  </si>
  <si>
    <t>https://www.cac.gov.cn/2025-08/27/c_1758018277755538.htm</t>
  </si>
  <si>
    <t>Регулирование GenAI</t>
  </si>
  <si>
    <t>К началу 2026 г. действует развитая система регистрации и контроля генеративных сервисов и моделей.</t>
  </si>
  <si>
    <t>CAC, 2026</t>
  </si>
  <si>
    <t>https://www.cac.gov.cn/2026-01/09/c_1769688009588554.htm</t>
  </si>
  <si>
    <t>Маркировка AI-контента</t>
  </si>
  <si>
    <t>Действует обязательная система явной и скрытой маркировки синтетического контента.</t>
  </si>
  <si>
    <t>CAC, 2025</t>
  </si>
  <si>
    <t>https://www.cac.gov.cn/2025-03/14/c_1743654685899683.htm</t>
  </si>
  <si>
    <t>Общественное восприятие</t>
  </si>
  <si>
    <t>Китай относится к странам с очень высоким оптимизмом по отношению к ИИ.</t>
  </si>
  <si>
    <t>Stanford HAI — Public Opinion</t>
  </si>
  <si>
    <t>https://hai.stanford.edu/ai-index/2026-ai-index-report/public-opinion</t>
  </si>
  <si>
    <t>Цифровое государство</t>
  </si>
  <si>
    <t>Высокий уровень цифровых госуслуг, хотя по сводному EGDI Китай не занимает первое место в мире.</t>
  </si>
  <si>
    <t>UN E-Government Survey 2024</t>
  </si>
  <si>
    <t>https://desapublications.un.org/sites/default/files/publications/2024-09/%28Web%20version%29%20E-Government%20Survey%202024%201392024.pdf</t>
  </si>
  <si>
    <t>Стартовая оценка</t>
  </si>
  <si>
    <t>Базовый годовой прирост</t>
  </si>
  <si>
    <t>Сфера внедрения ИИ</t>
  </si>
  <si>
    <t>Код отношений</t>
  </si>
  <si>
    <t>Логика стартовой оценки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</si>
</sst>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%"/>
  </numFmts>
  <fonts count="11">
    <font>
      <sz val="11.0"/>
      <color rgb="FF000000"/>
      <name val="Carlito"/>
      <scheme val="minor"/>
    </font>
    <font>
      <b/>
      <sz val="18.0"/>
      <color rgb="FFFFFFFF"/>
      <name val="Carlito"/>
    </font>
    <font>
      <i/>
      <sz val="11.0"/>
      <color rgb="FF244062"/>
      <name val="Carlito"/>
    </font>
    <font>
      <sz val="11.0"/>
      <color theme="1"/>
      <name val="Carlito"/>
    </font>
    <font>
      <b/>
      <sz val="12.0"/>
      <color rgb="FFFFFFFF"/>
      <name val="Carlito"/>
    </font>
    <font>
      <b/>
      <sz val="11.0"/>
      <color rgb="FFFFFFFF"/>
      <name val="Carlito"/>
    </font>
    <font>
      <b/>
      <sz val="18.0"/>
      <color theme="1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</fonts>
  <fills count="13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5B9BD5"/>
        <bgColor rgb="FF5B9BD5"/>
      </patternFill>
    </fill>
    <fill>
      <patternFill patternType="solid">
        <fgColor rgb="FFE2F0D9"/>
        <bgColor rgb="FFE2F0D9"/>
      </patternFill>
    </fill>
    <fill>
      <patternFill patternType="solid">
        <fgColor rgb="FFF2F2F2"/>
        <bgColor rgb="FFF2F2F2"/>
      </patternFill>
    </fill>
    <fill>
      <patternFill patternType="solid">
        <fgColor rgb="FF00FF00"/>
        <bgColor rgb="FF00FF00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rgb="FFFFFF00"/>
      </patternFill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2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2" fontId="1" numFmtId="0" xfId="0" applyAlignment="1" applyFill="1" applyFont="1">
      <alignment horizontal="center" shrinkToFit="0" wrapText="1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shrinkToFit="0" wrapText="1"/>
    </xf>
    <xf borderId="0" fillId="0" fontId="3" numFmtId="0" xfId="0" applyAlignment="1" applyFont="1">
      <alignment shrinkToFit="0" wrapText="1"/>
    </xf>
    <xf borderId="0" fillId="4" fontId="4" numFmtId="0" xfId="0" applyAlignment="1" applyFill="1" applyFont="1">
      <alignment shrinkToFit="0" wrapText="1"/>
    </xf>
    <xf borderId="0" fillId="4" fontId="5" numFmtId="0" xfId="0" applyAlignment="1" applyFill="1" applyFont="1">
      <alignment horizontal="center" shrinkToFit="0" wrapText="1"/>
    </xf>
    <xf borderId="0" fillId="5" fontId="5" numFmtId="0" xfId="0" applyAlignment="1" applyFill="1" applyFont="1">
      <alignment shrinkToFit="0" wrapText="1"/>
    </xf>
    <xf borderId="0" fillId="4" fontId="5" numFmtId="0" xfId="0" applyAlignment="1" applyFill="1" applyFont="1">
      <alignment horizontal="center"/>
    </xf>
    <xf borderId="0" fillId="6" fontId="6" numFmtId="0" xfId="0" applyAlignment="1" applyFill="1" applyFont="1">
      <alignment horizontal="center"/>
    </xf>
    <xf borderId="0" fillId="0" fontId="3" numFmtId="164" xfId="0" applyAlignment="1" applyFont="1" applyNumberFormat="1">
      <alignment shrinkToFit="0" wrapText="1"/>
    </xf>
    <xf borderId="0" fillId="7" fontId="7" numFmtId="0" xfId="0" applyAlignment="1" applyFill="1" applyFont="1">
      <alignment shrinkToFit="0" wrapText="1"/>
    </xf>
    <xf borderId="0" fillId="8" fontId="3" numFmtId="0" xfId="0" applyAlignment="1" applyFill="1" applyFont="1">
      <alignment shrinkToFit="0" wrapText="1"/>
    </xf>
    <xf borderId="0" fillId="7" fontId="3" numFmtId="0" xfId="0" applyAlignment="1" applyFill="1" applyFont="1">
      <alignment shrinkToFit="0" wrapText="1"/>
    </xf>
    <xf borderId="0" fillId="4" fontId="5" numFmtId="0" xfId="0" applyAlignment="1" applyFill="1" applyFont="1">
      <alignment shrinkToFit="0" wrapText="1"/>
    </xf>
    <xf borderId="0" fillId="9" fontId="3" numFmtId="0" xfId="0" applyAlignment="1" applyFill="1" applyFont="1">
      <alignment shrinkToFit="0" wrapText="1"/>
    </xf>
    <xf borderId="0" fillId="9" fontId="3" numFmtId="0" xfId="0" applyAlignment="1" applyFill="1" applyFont="1">
      <alignment readingOrder="0" shrinkToFit="0" wrapText="1"/>
    </xf>
    <xf borderId="0" fillId="0" fontId="3" numFmtId="165" xfId="0" applyAlignment="1" applyFont="1" applyNumberFormat="1">
      <alignment shrinkToFit="0" wrapText="1"/>
    </xf>
    <xf borderId="0" fillId="6" fontId="3" numFmtId="0" xfId="0" applyAlignment="1" applyFill="1" applyFont="1">
      <alignment shrinkToFit="0" wrapText="1"/>
    </xf>
    <xf borderId="0" fillId="6" fontId="6" numFmtId="164" xfId="0" applyAlignment="1" applyFill="1" applyFont="1" applyNumberFormat="1">
      <alignment horizontal="center" shrinkToFit="0" wrapText="1"/>
    </xf>
    <xf borderId="0" fillId="0" fontId="8" numFmtId="0" xfId="0" applyFont="1"/>
    <xf borderId="0" fillId="10" fontId="3" numFmtId="0" xfId="0" applyAlignment="1" applyFill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11" fontId="3" numFmtId="0" xfId="0" applyAlignment="1" applyFill="1" applyFont="1">
      <alignment shrinkToFit="0" wrapText="1"/>
    </xf>
    <xf borderId="0" fillId="0" fontId="8" numFmtId="164" xfId="0" applyFont="1" applyNumberFormat="1"/>
    <xf borderId="0" fillId="12" fontId="9" numFmtId="0" xfId="0" applyAlignment="1" applyFill="1" applyFont="1">
      <alignment horizontal="center" shrinkToFit="0" vertical="center" wrapText="1"/>
    </xf>
    <xf borderId="0" fillId="3" fontId="10" numFmtId="0" xfId="0" applyAlignment="1" applyFill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0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80.81303234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72.78733268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79.08580964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96.00886324</v>
      </c>
      <c r="X6" s="11">
        <f>SUM(K6:W7)</f>
        <v>328.6950379</v>
      </c>
    </row>
    <row r="7">
      <c r="A7" s="22" t="s">
        <v>109</v>
      </c>
      <c r="B7" s="22"/>
      <c r="C7" s="22"/>
      <c r="D7" s="16"/>
      <c r="E7" s="16"/>
      <c r="F7" s="16"/>
      <c r="G7" s="16"/>
      <c r="H7" s="22"/>
      <c r="I7" s="22"/>
      <c r="J7" s="5"/>
      <c r="T7" s="5"/>
      <c r="X7" s="5"/>
    </row>
    <row r="8">
      <c r="A8" s="5" t="s">
        <v>112</v>
      </c>
      <c r="B8" s="5">
        <v>9.5</v>
      </c>
      <c r="C8" s="5"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9.5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v>9.5</v>
      </c>
      <c r="C9" s="5"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9.5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v>9.0</v>
      </c>
      <c r="C10" s="5"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9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v>6.5</v>
      </c>
      <c r="C11" s="5">
        <v>0.15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6.5</v>
      </c>
      <c r="J11" s="5"/>
      <c r="K11" s="5" t="s">
        <v>110</v>
      </c>
      <c r="L11" s="5">
        <v>9.5</v>
      </c>
      <c r="M11" s="5">
        <v>0.25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9.5</v>
      </c>
      <c r="T11" s="5"/>
      <c r="U11" s="5" t="s">
        <v>111</v>
      </c>
      <c r="V11" s="5">
        <v>3.0</v>
      </c>
      <c r="W11" s="5" t="s">
        <v>171</v>
      </c>
      <c r="X11" s="5" t="s">
        <v>172</v>
      </c>
    </row>
    <row r="12">
      <c r="A12" s="5" t="s">
        <v>124</v>
      </c>
      <c r="B12" s="5">
        <v>9.0</v>
      </c>
      <c r="C12" s="5"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</v>
      </c>
      <c r="J12" s="5"/>
      <c r="K12" s="5" t="s">
        <v>113</v>
      </c>
      <c r="L12" s="5">
        <v>8.5</v>
      </c>
      <c r="M12" s="5"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8.5</v>
      </c>
      <c r="T12" s="5"/>
      <c r="U12" s="5" t="s">
        <v>114</v>
      </c>
      <c r="V12" s="5">
        <v>-1.1</v>
      </c>
      <c r="W12" s="5" t="s">
        <v>174</v>
      </c>
      <c r="X12" s="5" t="s">
        <v>175</v>
      </c>
    </row>
    <row r="13">
      <c r="A13" s="5" t="s">
        <v>127</v>
      </c>
      <c r="B13" s="5">
        <v>8.5</v>
      </c>
      <c r="C13" s="5"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8.5</v>
      </c>
      <c r="J13" s="5"/>
      <c r="K13" s="5" t="s">
        <v>116</v>
      </c>
      <c r="L13" s="5">
        <v>9.5</v>
      </c>
      <c r="M13" s="5">
        <v>0.15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9.5</v>
      </c>
      <c r="T13" s="5"/>
      <c r="U13" s="5" t="s">
        <v>117</v>
      </c>
      <c r="V13" s="5">
        <v>-0.4</v>
      </c>
      <c r="W13" s="5" t="s">
        <v>176</v>
      </c>
      <c r="X13" s="5" t="s">
        <v>177</v>
      </c>
    </row>
    <row r="14">
      <c r="A14" s="5" t="s">
        <v>130</v>
      </c>
      <c r="B14" s="5">
        <v>7.5</v>
      </c>
      <c r="C14" s="5"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7.5</v>
      </c>
      <c r="J14" s="5"/>
      <c r="K14" s="5" t="s">
        <v>119</v>
      </c>
      <c r="L14" s="5">
        <v>8.5</v>
      </c>
      <c r="M14" s="5">
        <v>0.3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8.5</v>
      </c>
      <c r="T14" s="5"/>
      <c r="U14" s="5" t="s">
        <v>120</v>
      </c>
      <c r="V14" s="5">
        <v>0.5</v>
      </c>
      <c r="W14" s="5" t="s">
        <v>179</v>
      </c>
      <c r="X14" s="5" t="s">
        <v>180</v>
      </c>
    </row>
    <row r="15">
      <c r="A15" s="5" t="s">
        <v>133</v>
      </c>
      <c r="B15" s="5">
        <v>8.5</v>
      </c>
      <c r="C15" s="5">
        <v>0.35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8.5</v>
      </c>
      <c r="J15" s="5"/>
      <c r="K15" s="5" t="s">
        <v>122</v>
      </c>
      <c r="L15" s="5">
        <v>8.5</v>
      </c>
      <c r="M15" s="5"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8.5</v>
      </c>
      <c r="T15" s="5"/>
      <c r="U15" s="5" t="s">
        <v>123</v>
      </c>
      <c r="V15" s="5">
        <v>1.8</v>
      </c>
      <c r="W15" s="5" t="s">
        <v>181</v>
      </c>
      <c r="X15" s="5" t="s">
        <v>182</v>
      </c>
    </row>
    <row r="16">
      <c r="A16" s="5" t="s">
        <v>135</v>
      </c>
      <c r="B16" s="5">
        <v>10.0</v>
      </c>
      <c r="C16" s="5"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v>9.0</v>
      </c>
      <c r="M16" s="5"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9</v>
      </c>
      <c r="T16" s="5"/>
      <c r="U16" s="5" t="s">
        <v>126</v>
      </c>
      <c r="V16" s="5">
        <v>1.4</v>
      </c>
      <c r="W16" s="5" t="s">
        <v>181</v>
      </c>
      <c r="X16" s="5" t="s">
        <v>183</v>
      </c>
    </row>
    <row r="17">
      <c r="A17" s="5" t="s">
        <v>138</v>
      </c>
      <c r="B17" s="5">
        <v>10.0</v>
      </c>
      <c r="C17" s="5">
        <v>0.05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v>8.5</v>
      </c>
      <c r="M17" s="5">
        <v>0.35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8.5</v>
      </c>
      <c r="T17" s="5"/>
      <c r="U17" s="5" t="s">
        <v>129</v>
      </c>
      <c r="V17" s="5">
        <v>-0.8</v>
      </c>
      <c r="W17" s="5" t="s">
        <v>176</v>
      </c>
      <c r="X17" s="5" t="s">
        <v>184</v>
      </c>
    </row>
    <row r="18">
      <c r="A18" s="22" t="s">
        <v>144</v>
      </c>
      <c r="B18" s="22"/>
      <c r="C18" s="22"/>
      <c r="D18" s="16"/>
      <c r="E18" s="16"/>
      <c r="F18" s="16"/>
      <c r="G18" s="16"/>
      <c r="H18" s="22"/>
      <c r="I18" s="22"/>
      <c r="J18" s="5"/>
      <c r="K18" s="5" t="s">
        <v>131</v>
      </c>
      <c r="L18" s="5">
        <v>8.5</v>
      </c>
      <c r="M18" s="5">
        <v>0.3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8.5</v>
      </c>
      <c r="T18" s="5"/>
      <c r="U18" s="5" t="s">
        <v>132</v>
      </c>
      <c r="V18" s="5">
        <v>0.8</v>
      </c>
      <c r="W18" s="5" t="s">
        <v>179</v>
      </c>
      <c r="X18" s="5" t="s">
        <v>186</v>
      </c>
    </row>
    <row r="19">
      <c r="A19" s="5" t="s">
        <v>146</v>
      </c>
      <c r="B19" s="5">
        <v>8.0</v>
      </c>
      <c r="C19" s="5"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3">MAX(1,MIN(10,B19+D19+E19+H19))</f>
        <v>8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5">
        <v>2.1</v>
      </c>
      <c r="W19" s="5" t="s">
        <v>171</v>
      </c>
      <c r="X19" s="5" t="s">
        <v>187</v>
      </c>
    </row>
    <row r="20">
      <c r="A20" s="5" t="s">
        <v>148</v>
      </c>
      <c r="B20" s="5">
        <v>8.5</v>
      </c>
      <c r="C20" s="5"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3"/>
        <v>8.5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5">
        <v>2.8</v>
      </c>
      <c r="W20" s="5" t="s">
        <v>171</v>
      </c>
      <c r="X20" s="5" t="s">
        <v>189</v>
      </c>
    </row>
    <row r="21" ht="15.75" customHeight="1">
      <c r="A21" s="5" t="s">
        <v>150</v>
      </c>
      <c r="B21" s="5">
        <v>9.0</v>
      </c>
      <c r="C21" s="5"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3"/>
        <v>9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5">
        <v>3.0</v>
      </c>
      <c r="W21" s="5" t="s">
        <v>171</v>
      </c>
      <c r="X21" s="5" t="s">
        <v>190</v>
      </c>
    </row>
    <row r="22" ht="15.75" customHeight="1">
      <c r="A22" s="5" t="s">
        <v>153</v>
      </c>
      <c r="B22" s="5">
        <v>10.0</v>
      </c>
      <c r="C22" s="5"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3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5">
        <v>0.3</v>
      </c>
      <c r="W22" s="5" t="s">
        <v>179</v>
      </c>
      <c r="X22" s="5" t="s">
        <v>191</v>
      </c>
    </row>
    <row r="23" ht="15.75" customHeight="1">
      <c r="A23" s="5" t="s">
        <v>159</v>
      </c>
      <c r="B23" s="5">
        <v>9.5</v>
      </c>
      <c r="C23" s="5"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3"/>
        <v>9.5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5">
        <v>3.0</v>
      </c>
      <c r="W23" s="5" t="s">
        <v>171</v>
      </c>
      <c r="X23" s="5" t="s">
        <v>192</v>
      </c>
    </row>
    <row r="24" ht="15.75" customHeight="1">
      <c r="A24" s="22" t="s">
        <v>161</v>
      </c>
      <c r="B24" s="22"/>
      <c r="C24" s="22"/>
      <c r="D24" s="16"/>
      <c r="E24" s="16"/>
      <c r="F24" s="16"/>
      <c r="G24" s="16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5">
        <v>3.0</v>
      </c>
      <c r="W24" s="5" t="s">
        <v>171</v>
      </c>
      <c r="X24" s="5" t="s">
        <v>194</v>
      </c>
    </row>
    <row r="25" ht="15.75" customHeight="1">
      <c r="A25" s="5" t="s">
        <v>163</v>
      </c>
      <c r="B25" s="5">
        <v>10.0</v>
      </c>
      <c r="C25" s="5">
        <v>0.05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4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5">
        <v>2.8</v>
      </c>
      <c r="W25" s="5" t="s">
        <v>171</v>
      </c>
      <c r="X25" s="5" t="s">
        <v>195</v>
      </c>
    </row>
    <row r="26" ht="15.75" customHeight="1">
      <c r="A26" s="5" t="s">
        <v>166</v>
      </c>
      <c r="B26" s="5">
        <v>9.5</v>
      </c>
      <c r="C26" s="5"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4"/>
        <v>9.5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5">
        <v>0.0</v>
      </c>
      <c r="W26" s="5" t="s">
        <v>196</v>
      </c>
      <c r="X26" s="5" t="s">
        <v>197</v>
      </c>
    </row>
    <row r="27" ht="15.75" customHeight="1">
      <c r="A27" s="5" t="s">
        <v>173</v>
      </c>
      <c r="B27" s="5">
        <v>9.5</v>
      </c>
      <c r="C27" s="5"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4"/>
        <v>9.5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v>9.5</v>
      </c>
      <c r="C28" s="5">
        <v>0.15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4"/>
        <v>9.5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v>8.5</v>
      </c>
      <c r="C29" s="5"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4"/>
        <v>8.5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v>7.5</v>
      </c>
      <c r="C30" s="5"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4"/>
        <v>7.5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v>7.0</v>
      </c>
      <c r="C31" s="5"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4"/>
        <v>7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v>9.0</v>
      </c>
      <c r="C32" s="5"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4"/>
        <v>9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16"/>
      <c r="E33" s="16"/>
      <c r="F33" s="16"/>
      <c r="G33" s="16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v>9.5</v>
      </c>
      <c r="C34" s="5"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5">MAX(1,MIN(10,B34+D34+E34+H34))</f>
        <v>9.5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v>10.0</v>
      </c>
      <c r="C35" s="5"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5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v>9.5</v>
      </c>
      <c r="C36" s="5"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5"/>
        <v>9.5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23">
        <v>9.7</v>
      </c>
      <c r="C37" s="5">
        <v>0.15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5"/>
        <v>9.7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v>9.5</v>
      </c>
      <c r="C38" s="5"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5"/>
        <v>9.5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v>9.0</v>
      </c>
      <c r="C39" s="5"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5"/>
        <v>9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v>9.0</v>
      </c>
      <c r="C40" s="5"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5"/>
        <v>9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v>9.5</v>
      </c>
      <c r="C41" s="5"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5"/>
        <v>9.5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v>10.0</v>
      </c>
      <c r="C42" s="5"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5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16"/>
      <c r="E43" s="16"/>
      <c r="F43" s="16"/>
      <c r="G43" s="16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v>7.5</v>
      </c>
      <c r="C44" s="5"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6">MAX(1,MIN(10,B44+D44+E44+H44))</f>
        <v>7.5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v>9.5</v>
      </c>
      <c r="C45" s="5"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6"/>
        <v>9.5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v>9.5</v>
      </c>
      <c r="C46" s="5"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6"/>
        <v>9.5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v>6.0</v>
      </c>
      <c r="C47" s="5">
        <v>-0.1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6"/>
        <v>6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v>8.5</v>
      </c>
      <c r="C48" s="5"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6"/>
        <v>8.5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v>9.0</v>
      </c>
      <c r="C49" s="5"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6"/>
        <v>9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v>10.0</v>
      </c>
      <c r="C50" s="5">
        <v>0.05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6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v>9.5</v>
      </c>
      <c r="C51" s="5"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6"/>
        <v>9.5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16"/>
      <c r="E52" s="16"/>
      <c r="F52" s="16"/>
      <c r="G52" s="16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v>9.5</v>
      </c>
      <c r="C53" s="5"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7">MAX(1,MIN(10,B53+D53+E53+H53))</f>
        <v>9.5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v>9.5</v>
      </c>
      <c r="C54" s="5"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7"/>
        <v>9.5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v>9.0</v>
      </c>
      <c r="C55" s="5"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7"/>
        <v>9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1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2026'!U6</f>
        <v>96.00886324</v>
      </c>
      <c r="C6" s="5"/>
      <c r="D6" s="5"/>
      <c r="E6" s="5" t="s">
        <v>13</v>
      </c>
      <c r="F6" s="11">
        <f>'Китай 2026'!K6</f>
        <v>80.81303234</v>
      </c>
      <c r="G6" s="5"/>
      <c r="H6" s="5"/>
      <c r="I6" s="5" t="s">
        <v>13</v>
      </c>
      <c r="J6" s="11">
        <f>'Китай 2026'!N6</f>
        <v>72.78733268</v>
      </c>
      <c r="K6" s="5"/>
      <c r="L6" s="5"/>
      <c r="M6" s="5" t="s">
        <v>13</v>
      </c>
      <c r="N6" s="11">
        <f>'Китай 2026'!Q6</f>
        <v>79.08580964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96</v>
      </c>
      <c r="C7" s="5"/>
      <c r="D7" s="5"/>
      <c r="E7" s="5" t="s">
        <v>42</v>
      </c>
      <c r="F7" s="5">
        <f>SUM(H13:H20)</f>
        <v>80.79</v>
      </c>
      <c r="G7" s="5"/>
      <c r="H7" s="5"/>
      <c r="I7" s="5" t="s">
        <v>42</v>
      </c>
      <c r="J7" s="5">
        <f>SUM(I29:I38)</f>
        <v>72.69</v>
      </c>
      <c r="K7" s="5"/>
      <c r="L7" s="5"/>
      <c r="M7" s="5" t="s">
        <v>42</v>
      </c>
      <c r="N7" s="5">
        <f>SUM(N13:Q28)+J24</f>
        <v>79.0849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0.008863240387</v>
      </c>
      <c r="C8" s="5" t="str">
        <f>IF(B8&lt;0,"ПРЕВЫШЕНИЕ","OK")</f>
        <v>OK</v>
      </c>
      <c r="D8" s="5"/>
      <c r="E8" s="5" t="s">
        <v>91</v>
      </c>
      <c r="F8" s="11">
        <f>F6-F7</f>
        <v>0.02303234172</v>
      </c>
      <c r="G8" s="5" t="str">
        <f>IF(F8&lt;0,"ПРЕВЫШЕНИЕ","OK")</f>
        <v>OK</v>
      </c>
      <c r="H8" s="5"/>
      <c r="I8" s="5" t="s">
        <v>91</v>
      </c>
      <c r="J8" s="11">
        <f>J6-J7</f>
        <v>0.09733268432</v>
      </c>
      <c r="K8" s="5" t="str">
        <f>IF(J8&lt;0,"ПРЕВЫШЕНИЕ","OK")</f>
        <v>OK</v>
      </c>
      <c r="L8" s="5"/>
      <c r="M8" s="5" t="s">
        <v>91</v>
      </c>
      <c r="N8" s="11">
        <f>N6-N7</f>
        <v>0.0009096431946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7">
        <v>20.0</v>
      </c>
      <c r="I13" s="5"/>
      <c r="J13" s="5"/>
      <c r="K13" s="5"/>
      <c r="L13" s="5" t="s">
        <v>111</v>
      </c>
      <c r="M13" s="5">
        <f>'Китай 2026'!V11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31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2026'!V12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88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7">
        <v>40.0</v>
      </c>
      <c r="I15" s="5"/>
      <c r="J15" s="5"/>
      <c r="K15" s="5"/>
      <c r="L15" s="5" t="s">
        <v>117</v>
      </c>
      <c r="M15" s="5">
        <f>'Китай 2026'!V13</f>
        <v>-0.4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0.09659629063</v>
      </c>
      <c r="S15" s="18">
        <f t="shared" si="2"/>
        <v>0.8</v>
      </c>
      <c r="T15" s="18">
        <f t="shared" si="3"/>
        <v>0.1034037094</v>
      </c>
      <c r="U15" s="5">
        <f t="shared" si="4"/>
        <v>76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7">
        <v>20.0</v>
      </c>
      <c r="I16" s="5"/>
      <c r="J16" s="5"/>
      <c r="K16" s="5"/>
      <c r="L16" s="5" t="s">
        <v>120</v>
      </c>
      <c r="M16" s="5">
        <f>'Китай 2026'!V14</f>
        <v>0.5</v>
      </c>
      <c r="N16" s="16">
        <v>0.0</v>
      </c>
      <c r="O16" s="16">
        <v>0.0</v>
      </c>
      <c r="P16" s="16">
        <v>0.0</v>
      </c>
      <c r="Q16" s="17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18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2026'!V15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40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2026'!V16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11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2026'!V17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100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7">
        <v>0.79</v>
      </c>
      <c r="I20" s="5"/>
      <c r="J20" s="5"/>
      <c r="K20" s="5"/>
      <c r="L20" s="5" t="s">
        <v>132</v>
      </c>
      <c r="M20" s="5">
        <f>'Китай 2026'!V18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22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2026'!V19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35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2026'!V20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58</v>
      </c>
    </row>
    <row r="23" ht="15.75" customHeight="1">
      <c r="A23" s="5" t="s">
        <v>138</v>
      </c>
      <c r="B23" s="16">
        <v>0.0</v>
      </c>
      <c r="C23" s="17">
        <v>20.0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2026'!V21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45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7">
        <v>24.0849</v>
      </c>
      <c r="H24" s="17">
        <v>25.0</v>
      </c>
      <c r="I24" s="17">
        <v>30.0</v>
      </c>
      <c r="J24" s="5">
        <f>SUM(G24:I24)</f>
        <v>79.0849</v>
      </c>
      <c r="K24" s="5"/>
      <c r="L24" s="5" t="s">
        <v>145</v>
      </c>
      <c r="M24" s="5">
        <f>'Китай 2026'!V22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15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2026'!V23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18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2026'!V24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30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2026'!V25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75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2026'!V26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4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5" t="s">
        <v>160</v>
      </c>
      <c r="H29" s="14" t="str">
        <f>IF(G29="","",VLOOKUP(G29,'Технологии'!$A$11:$D$50,4,FALSE))</f>
        <v>Интероперабельные пространства данных</v>
      </c>
      <c r="I29" s="17">
        <v>20.0</v>
      </c>
      <c r="J29" s="16"/>
      <c r="K29" s="14" t="str">
        <f>IF(G29="","",VLOOKUP(G29,'Технологии'!$A$11:$BF$50,44,FALSE))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5" t="s">
        <v>162</v>
      </c>
      <c r="H30" s="14" t="str">
        <f>IF(G30="","",VLOOKUP(G30,'Технологии'!$A$11:$D$50,4,FALSE))</f>
        <v>Машинное зрение и интеллектуальное управление</v>
      </c>
      <c r="I30" s="17">
        <v>20.0</v>
      </c>
      <c r="J30" s="16"/>
      <c r="K30" s="14" t="str">
        <f>IF(G30="","",VLOOKUP(G30,'Технологии'!$A$11:$BF$50,44,FALSE))</f>
        <v>ИЗУЧЕНО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7">
        <v>20.0</v>
      </c>
      <c r="D31" s="5"/>
      <c r="E31" s="5"/>
      <c r="F31" s="5"/>
      <c r="G31" s="5" t="s">
        <v>85</v>
      </c>
      <c r="H31" s="14" t="str">
        <f>IF(G31="","",VLOOKUP(G31,'Технологии'!$A$11:$D$50,4,FALSE))</f>
        <v>Энергоэффективные ИИ-ускорители</v>
      </c>
      <c r="I31" s="17">
        <v>20.0</v>
      </c>
      <c r="J31" s="16"/>
      <c r="K31" s="14" t="str">
        <f>IF(G31="","",VLOOKUP(G31,'Технологии'!$A$11:$BF$50,44,FALSE))</f>
        <v>ИЗУЧЕНО</v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5" t="s">
        <v>170</v>
      </c>
      <c r="H32" s="14" t="str">
        <f>IF(G32="","",VLOOKUP(G32,'Технологии'!$A$11:$D$50,4,FALSE))</f>
        <v>Эффективное обучение моделей</v>
      </c>
      <c r="I32" s="17">
        <v>12.69</v>
      </c>
      <c r="J32" s="16"/>
      <c r="K32" s="14" t="str">
        <f>IF(G32="","",VLOOKUP(G32,'Технологии'!$A$11:$BF$50,44,FALSE))</f>
        <v>ОТКРЫТО</v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IF(G33="","",VLOOKUP(G33,'Технологии'!$A$11:$BF$50,44,FALSE))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7">
        <v>16.0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IF(G34="","",VLOOKUP(G34,'Технологии'!$A$11:$BF$50,44,FALSE))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IF(G35="","",VLOOKUP(G35,'Технологии'!$A$11:$BF$50,44,FALSE))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IF(G36="","",VLOOKUP(G36,'Технологии'!$A$11:$BF$50,44,FALSE))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IF(G37="","",VLOOKUP(G37,'Технологии'!$A$11:$BF$50,44,FALSE))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IF(G38="","",VLOOKUP(G38,'Технологии'!$A$11:$BF$50,44,FALSE))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7">
        <v>20.0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7">
        <v>20.0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</cols>
  <sheetData>
    <row r="1">
      <c r="A1" s="3" t="s">
        <v>2</v>
      </c>
    </row>
    <row r="3">
      <c r="A3" s="4" t="s">
        <v>8</v>
      </c>
    </row>
    <row r="5">
      <c r="A5" s="9" t="s">
        <v>18</v>
      </c>
      <c r="E5" s="9" t="s">
        <v>23</v>
      </c>
      <c r="I5" s="9" t="s">
        <v>24</v>
      </c>
      <c r="M5" s="9" t="s">
        <v>25</v>
      </c>
    </row>
    <row r="6">
      <c r="A6" s="10">
        <v>40.0</v>
      </c>
      <c r="E6" s="10">
        <v>6.0</v>
      </c>
      <c r="I6" s="10">
        <v>4.0</v>
      </c>
      <c r="M6" s="10">
        <v>6.0</v>
      </c>
    </row>
    <row r="10">
      <c r="A10" s="8" t="s">
        <v>26</v>
      </c>
      <c r="B10" s="8" t="s">
        <v>27</v>
      </c>
      <c r="C10" s="8" t="s">
        <v>28</v>
      </c>
      <c r="D10" s="8" t="s">
        <v>29</v>
      </c>
      <c r="E10" s="8" t="s">
        <v>30</v>
      </c>
      <c r="F10" s="8" t="s">
        <v>31</v>
      </c>
      <c r="G10" s="8" t="s">
        <v>32</v>
      </c>
      <c r="H10" s="8" t="s">
        <v>33</v>
      </c>
      <c r="I10" s="8" t="s">
        <v>34</v>
      </c>
      <c r="J10" s="8" t="s">
        <v>35</v>
      </c>
      <c r="K10" s="8" t="s">
        <v>36</v>
      </c>
      <c r="L10" s="8" t="s">
        <v>37</v>
      </c>
      <c r="M10" s="8" t="s">
        <v>38</v>
      </c>
      <c r="N10" s="8" t="s">
        <v>39</v>
      </c>
      <c r="O10" s="8" t="s">
        <v>40</v>
      </c>
      <c r="P10" s="8" t="s">
        <v>41</v>
      </c>
      <c r="Q10" s="8" t="s">
        <v>43</v>
      </c>
      <c r="R10" s="8" t="s">
        <v>44</v>
      </c>
      <c r="S10" s="8" t="s">
        <v>45</v>
      </c>
      <c r="T10" s="8" t="s">
        <v>46</v>
      </c>
      <c r="U10" s="8" t="s">
        <v>47</v>
      </c>
      <c r="V10" s="8" t="s">
        <v>48</v>
      </c>
      <c r="W10" s="8" t="s">
        <v>49</v>
      </c>
      <c r="X10" s="8" t="s">
        <v>50</v>
      </c>
      <c r="Y10" s="8" t="s">
        <v>51</v>
      </c>
      <c r="Z10" s="8" t="s">
        <v>52</v>
      </c>
      <c r="AA10" s="8" t="s">
        <v>53</v>
      </c>
      <c r="AB10" s="8" t="s">
        <v>54</v>
      </c>
      <c r="AC10" s="12" t="s">
        <v>55</v>
      </c>
      <c r="AD10" s="12" t="s">
        <v>56</v>
      </c>
      <c r="AE10" s="12" t="s">
        <v>57</v>
      </c>
      <c r="AF10" s="12" t="s">
        <v>58</v>
      </c>
      <c r="AG10" s="12" t="s">
        <v>59</v>
      </c>
      <c r="AH10" s="12" t="s">
        <v>60</v>
      </c>
      <c r="AI10" s="12" t="s">
        <v>61</v>
      </c>
      <c r="AJ10" s="12" t="s">
        <v>62</v>
      </c>
      <c r="AK10" s="12" t="s">
        <v>63</v>
      </c>
      <c r="AL10" s="12" t="s">
        <v>64</v>
      </c>
      <c r="AM10" s="12" t="s">
        <v>65</v>
      </c>
      <c r="AN10" s="12" t="s">
        <v>66</v>
      </c>
      <c r="AO10" s="12" t="s">
        <v>67</v>
      </c>
      <c r="AP10" s="12" t="s">
        <v>68</v>
      </c>
      <c r="AQ10" s="12" t="s">
        <v>69</v>
      </c>
      <c r="AR10" s="12" t="s">
        <v>70</v>
      </c>
      <c r="AS10" s="12" t="s">
        <v>71</v>
      </c>
      <c r="AT10" s="12" t="s">
        <v>72</v>
      </c>
      <c r="AU10" s="12" t="s">
        <v>73</v>
      </c>
      <c r="AV10" s="12" t="s">
        <v>74</v>
      </c>
      <c r="AW10" s="12" t="s">
        <v>75</v>
      </c>
      <c r="AX10" s="12" t="s">
        <v>76</v>
      </c>
      <c r="AY10" s="12" t="s">
        <v>77</v>
      </c>
      <c r="AZ10" s="12" t="s">
        <v>78</v>
      </c>
      <c r="BA10" s="12" t="s">
        <v>79</v>
      </c>
      <c r="BB10" s="12" t="s">
        <v>80</v>
      </c>
      <c r="BC10" s="12" t="s">
        <v>81</v>
      </c>
      <c r="BD10" s="12" t="s">
        <v>82</v>
      </c>
      <c r="BE10" s="12" t="s">
        <v>83</v>
      </c>
      <c r="BF10" s="12" t="s">
        <v>84</v>
      </c>
    </row>
    <row r="11">
      <c r="A11" s="13" t="s">
        <v>85</v>
      </c>
      <c r="B11" s="5" t="s">
        <v>86</v>
      </c>
      <c r="C11" s="5" t="s">
        <v>87</v>
      </c>
      <c r="D11" s="5" t="s">
        <v>88</v>
      </c>
      <c r="E11" s="5">
        <v>20.0</v>
      </c>
      <c r="F11" s="5"/>
      <c r="G11" s="5"/>
      <c r="H11" s="5"/>
      <c r="I11" s="5" t="s">
        <v>89</v>
      </c>
      <c r="J11" s="5" t="s">
        <v>90</v>
      </c>
      <c r="K11" s="14">
        <f>SUMIF('Ход 2026'!$G$29:$G$38,$A11,'Ход 2026'!$I$29:$I$38)</f>
        <v>20</v>
      </c>
      <c r="L11" s="14">
        <f>SUMIF('Ход 2027'!$G$29:$G$38,$A11,'Ход 2027'!$I$29:$I$38)</f>
        <v>0</v>
      </c>
      <c r="M11" s="14">
        <f>SUMIF('Ход 2028'!$G$29:$G$38,$A11,'Ход 2028'!$I$29:$I$38)</f>
        <v>0</v>
      </c>
      <c r="N11" s="14">
        <f>SUMIF('Ход 2029'!$G$29:$G$38,$A11,'Ход 2029'!$I$29:$I$38)</f>
        <v>0</v>
      </c>
      <c r="O11" s="14">
        <f>SUMIF('Ход 2030'!$G$29:$G$38,$A11,'Ход 2030'!$I$29:$I$38)</f>
        <v>0</v>
      </c>
      <c r="P11" s="14">
        <f>SUMIF('Ход 2031'!$G$29:$G$38,$A11,'Ход 2031'!$I$29:$I$38)</f>
        <v>0</v>
      </c>
      <c r="Q11" s="14">
        <f>SUMIF('Ход 2032'!$G$29:$G$38,$A11,'Ход 2032'!$I$29:$I$38)</f>
        <v>0</v>
      </c>
      <c r="R11" s="14">
        <f>SUMIF('Ход 2033'!$G$29:$G$38,$A11,'Ход 2033'!$I$29:$I$38)</f>
        <v>0</v>
      </c>
      <c r="S11" s="14">
        <f>SUMIF('Ход 2034'!$G$29:$G$38,$A11,'Ход 2034'!$I$29:$I$38)</f>
        <v>0</v>
      </c>
      <c r="T11" s="14">
        <f>SUMIF('Ход 2035'!$G$29:$G$38,$A11,'Ход 2035'!$I$29:$I$38)</f>
        <v>0</v>
      </c>
      <c r="U11" s="14">
        <f>SUMIF('Ход 2036'!$G$29:$G$38,$A11,'Ход 2036'!$I$29:$I$38)</f>
        <v>0</v>
      </c>
      <c r="V11" s="14">
        <f>SUMIF('Ход 2037'!$G$29:$G$38,$A11,'Ход 2037'!$I$29:$I$38)</f>
        <v>0</v>
      </c>
      <c r="W11" s="14">
        <f>SUMIF('Ход 2038'!$G$29:$G$38,$A11,'Ход 2038'!$I$29:$I$38)</f>
        <v>0</v>
      </c>
      <c r="X11" s="14">
        <f>SUMIF('Ход 2039'!$G$29:$G$38,$A11,'Ход 2039'!$I$29:$I$38)</f>
        <v>0</v>
      </c>
      <c r="Y11" s="14">
        <f>SUMIF('Ход 2040'!$G$29:$G$38,$A11,'Ход 2040'!$I$29:$I$38)</f>
        <v>0</v>
      </c>
      <c r="Z11" s="19">
        <f t="shared" ref="Z11:Z50" si="2">SUM(K11:Y11)</f>
        <v>20</v>
      </c>
      <c r="AA11" s="19">
        <f t="shared" ref="AA11:AA50" si="3">MAX(0,E11-Z11)</f>
        <v>0</v>
      </c>
      <c r="AB11" s="5" t="str">
        <f t="shared" ref="AB11:AB50" si="4">BF11</f>
        <v>ИЗУЧЕНО</v>
      </c>
      <c r="AC11" s="21">
        <f t="shared" ref="AC11:AQ11" si="1">SUM($K11:K11)</f>
        <v>20</v>
      </c>
      <c r="AD11" s="21">
        <f t="shared" si="1"/>
        <v>20</v>
      </c>
      <c r="AE11" s="21">
        <f t="shared" si="1"/>
        <v>20</v>
      </c>
      <c r="AF11" s="21">
        <f t="shared" si="1"/>
        <v>20</v>
      </c>
      <c r="AG11" s="21">
        <f t="shared" si="1"/>
        <v>20</v>
      </c>
      <c r="AH11" s="21">
        <f t="shared" si="1"/>
        <v>20</v>
      </c>
      <c r="AI11" s="21">
        <f t="shared" si="1"/>
        <v>20</v>
      </c>
      <c r="AJ11" s="21">
        <f t="shared" si="1"/>
        <v>20</v>
      </c>
      <c r="AK11" s="21">
        <f t="shared" si="1"/>
        <v>20</v>
      </c>
      <c r="AL11" s="21">
        <f t="shared" si="1"/>
        <v>20</v>
      </c>
      <c r="AM11" s="21">
        <f t="shared" si="1"/>
        <v>20</v>
      </c>
      <c r="AN11" s="21">
        <f t="shared" si="1"/>
        <v>20</v>
      </c>
      <c r="AO11" s="21">
        <f t="shared" si="1"/>
        <v>20</v>
      </c>
      <c r="AP11" s="21">
        <f t="shared" si="1"/>
        <v>20</v>
      </c>
      <c r="AQ11" s="21">
        <f t="shared" si="1"/>
        <v>20</v>
      </c>
      <c r="AR11" s="21" t="str">
        <f t="shared" ref="AR11:AR50" si="6">IF(AC11&gt;=E11,"ИЗУЧЕНО",IF(AND(OR(F11="",SUMIF($A$11:$A$50,F11,AC$11:AC$50)&gt;=SUMIF($A$11:$A$50,F11,$E$11:$E$50)),OR(G11="",SUMIF($A$11:$A$50,G11,AC$11:AC$50)&gt;=SUMIF($A$11:$A$50,G11,$E$11:$E$50)),OR(H11="",SUMIF($A$11:$A$50,H11,AC$11:AC$50)&gt;=SUMIF($A$11:$A$50,H11,$E$11:$E$50))),"ОТКРЫТО","ЗАКРЫТО"))</f>
        <v>ИЗУЧЕНО</v>
      </c>
      <c r="AS11" s="21" t="str">
        <f t="shared" ref="AS11:AS50" si="7">IF(AD11&gt;=E11,"ИЗУЧЕНО",IF(AND(OR(F11="",SUMIF($A$11:$A$50,F11,AD$11:AD$50)&gt;=SUMIF($A$11:$A$50,F11,$E$11:$E$50)),OR(G11="",SUMIF($A$11:$A$50,G11,AD$11:AD$50)&gt;=SUMIF($A$11:$A$50,G11,$E$11:$E$50)),OR(H11="",SUMIF($A$11:$A$50,H11,AD$11:AD$50)&gt;=SUMIF($A$11:$A$50,H11,$E$11:$E$50))),"ОТКРЫТО","ЗАКРЫТО"))</f>
        <v>ИЗУЧЕНО</v>
      </c>
      <c r="AT11" s="21" t="str">
        <f t="shared" ref="AT11:AT50" si="8">IF(AE11&gt;=E11,"ИЗУЧЕНО",IF(AND(OR(F11="",SUMIF($A$11:$A$50,F11,AE$11:AE$50)&gt;=SUMIF($A$11:$A$50,F11,$E$11:$E$50)),OR(G11="",SUMIF($A$11:$A$50,G11,AE$11:AE$50)&gt;=SUMIF($A$11:$A$50,G11,$E$11:$E$50)),OR(H11="",SUMIF($A$11:$A$50,H11,AE$11:AE$50)&gt;=SUMIF($A$11:$A$50,H11,$E$11:$E$50))),"ОТКРЫТО","ЗАКРЫТО"))</f>
        <v>ИЗУЧЕНО</v>
      </c>
      <c r="AU11" s="21" t="str">
        <f t="shared" ref="AU11:AU50" si="9">IF(AF11&gt;=E11,"ИЗУЧЕНО",IF(AND(OR(F11="",SUMIF($A$11:$A$50,F11,AF$11:AF$50)&gt;=SUMIF($A$11:$A$50,F11,$E$11:$E$50)),OR(G11="",SUMIF($A$11:$A$50,G11,AF$11:AF$50)&gt;=SUMIF($A$11:$A$50,G11,$E$11:$E$50)),OR(H11="",SUMIF($A$11:$A$50,H11,AF$11:AF$50)&gt;=SUMIF($A$11:$A$50,H11,$E$11:$E$50))),"ОТКРЫТО","ЗАКРЫТО"))</f>
        <v>ИЗУЧЕНО</v>
      </c>
      <c r="AV11" s="21" t="str">
        <f t="shared" ref="AV11:AV50" si="10">IF(AG11&gt;=E11,"ИЗУЧЕНО",IF(AND(OR(F11="",SUMIF($A$11:$A$50,F11,AG$11:AG$50)&gt;=SUMIF($A$11:$A$50,F11,$E$11:$E$50)),OR(G11="",SUMIF($A$11:$A$50,G11,AG$11:AG$50)&gt;=SUMIF($A$11:$A$50,G11,$E$11:$E$50)),OR(H11="",SUMIF($A$11:$A$50,H11,AG$11:AG$50)&gt;=SUMIF($A$11:$A$50,H11,$E$11:$E$50))),"ОТКРЫТО","ЗАКРЫТО"))</f>
        <v>ИЗУЧЕНО</v>
      </c>
      <c r="AW11" s="21" t="str">
        <f t="shared" ref="AW11:AW50" si="11">IF(AH11&gt;=E11,"ИЗУЧЕНО",IF(AND(OR(F11="",SUMIF($A$11:$A$50,F11,AH$11:AH$50)&gt;=SUMIF($A$11:$A$50,F11,$E$11:$E$50)),OR(G11="",SUMIF($A$11:$A$50,G11,AH$11:AH$50)&gt;=SUMIF($A$11:$A$50,G11,$E$11:$E$50)),OR(H11="",SUMIF($A$11:$A$50,H11,AH$11:AH$50)&gt;=SUMIF($A$11:$A$50,H11,$E$11:$E$50))),"ОТКРЫТО","ЗАКРЫТО"))</f>
        <v>ИЗУЧЕНО</v>
      </c>
      <c r="AX11" s="21" t="str">
        <f t="shared" ref="AX11:AX50" si="12">IF(AI11&gt;=E11,"ИЗУЧЕНО",IF(AND(OR(F11="",SUMIF($A$11:$A$50,F11,AI$11:AI$50)&gt;=SUMIF($A$11:$A$50,F11,$E$11:$E$50)),OR(G11="",SUMIF($A$11:$A$50,G11,AI$11:AI$50)&gt;=SUMIF($A$11:$A$50,G11,$E$11:$E$50)),OR(H11="",SUMIF($A$11:$A$50,H11,AI$11:AI$50)&gt;=SUMIF($A$11:$A$50,H11,$E$11:$E$50))),"ОТКРЫТО","ЗАКРЫТО"))</f>
        <v>ИЗУЧЕНО</v>
      </c>
      <c r="AY11" s="21" t="str">
        <f t="shared" ref="AY11:AY50" si="13">IF(AJ11&gt;=E11,"ИЗУЧЕНО",IF(AND(OR(F11="",SUMIF($A$11:$A$50,F11,AJ$11:AJ$50)&gt;=SUMIF($A$11:$A$50,F11,$E$11:$E$50)),OR(G11="",SUMIF($A$11:$A$50,G11,AJ$11:AJ$50)&gt;=SUMIF($A$11:$A$50,G11,$E$11:$E$50)),OR(H11="",SUMIF($A$11:$A$50,H11,AJ$11:AJ$50)&gt;=SUMIF($A$11:$A$50,H11,$E$11:$E$50))),"ОТКРЫТО","ЗАКРЫТО"))</f>
        <v>ИЗУЧЕНО</v>
      </c>
      <c r="AZ11" s="21" t="str">
        <f t="shared" ref="AZ11:AZ50" si="14">IF(AK11&gt;=E11,"ИЗУЧЕНО",IF(AND(OR(F11="",SUMIF($A$11:$A$50,F11,AK$11:AK$50)&gt;=SUMIF($A$11:$A$50,F11,$E$11:$E$50)),OR(G11="",SUMIF($A$11:$A$50,G11,AK$11:AK$50)&gt;=SUMIF($A$11:$A$50,G11,$E$11:$E$50)),OR(H11="",SUMIF($A$11:$A$50,H11,AK$11:AK$50)&gt;=SUMIF($A$11:$A$50,H11,$E$11:$E$50))),"ОТКРЫТО","ЗАКРЫТО"))</f>
        <v>ИЗУЧЕНО</v>
      </c>
      <c r="BA11" s="21" t="str">
        <f t="shared" ref="BA11:BA50" si="15">IF(AL11&gt;=E11,"ИЗУЧЕНО",IF(AND(OR(F11="",SUMIF($A$11:$A$50,F11,AL$11:AL$50)&gt;=SUMIF($A$11:$A$50,F11,$E$11:$E$50)),OR(G11="",SUMIF($A$11:$A$50,G11,AL$11:AL$50)&gt;=SUMIF($A$11:$A$50,G11,$E$11:$E$50)),OR(H11="",SUMIF($A$11:$A$50,H11,AL$11:AL$50)&gt;=SUMIF($A$11:$A$50,H11,$E$11:$E$50))),"ОТКРЫТО","ЗАКРЫТО"))</f>
        <v>ИЗУЧЕНО</v>
      </c>
      <c r="BB11" s="21" t="str">
        <f t="shared" ref="BB11:BB50" si="16">IF(AM11&gt;=E11,"ИЗУЧЕНО",IF(AND(OR(F11="",SUMIF($A$11:$A$50,F11,AM$11:AM$50)&gt;=SUMIF($A$11:$A$50,F11,$E$11:$E$50)),OR(G11="",SUMIF($A$11:$A$50,G11,AM$11:AM$50)&gt;=SUMIF($A$11:$A$50,G11,$E$11:$E$50)),OR(H11="",SUMIF($A$11:$A$50,H11,AM$11:AM$50)&gt;=SUMIF($A$11:$A$50,H11,$E$11:$E$50))),"ОТКРЫТО","ЗАКРЫТО"))</f>
        <v>ИЗУЧЕНО</v>
      </c>
      <c r="BC11" s="21" t="str">
        <f t="shared" ref="BC11:BC50" si="17">IF(AN11&gt;=E11,"ИЗУЧЕНО",IF(AND(OR(F11="",SUMIF($A$11:$A$50,F11,AN$11:AN$50)&gt;=SUMIF($A$11:$A$50,F11,$E$11:$E$50)),OR(G11="",SUMIF($A$11:$A$50,G11,AN$11:AN$50)&gt;=SUMIF($A$11:$A$50,G11,$E$11:$E$50)),OR(H11="",SUMIF($A$11:$A$50,H11,AN$11:AN$50)&gt;=SUMIF($A$11:$A$50,H11,$E$11:$E$50))),"ОТКРЫТО","ЗАКРЫТО"))</f>
        <v>ИЗУЧЕНО</v>
      </c>
      <c r="BD11" s="21" t="str">
        <f t="shared" ref="BD11:BD50" si="18">IF(AO11&gt;=E11,"ИЗУЧЕНО",IF(AND(OR(F11="",SUMIF($A$11:$A$50,F11,AO$11:AO$50)&gt;=SUMIF($A$11:$A$50,F11,$E$11:$E$50)),OR(G11="",SUMIF($A$11:$A$50,G11,AO$11:AO$50)&gt;=SUMIF($A$11:$A$50,G11,$E$11:$E$50)),OR(H11="",SUMIF($A$11:$A$50,H11,AO$11:AO$50)&gt;=SUMIF($A$11:$A$50,H11,$E$11:$E$50))),"ОТКРЫТО","ЗАКРЫТО"))</f>
        <v>ИЗУЧЕНО</v>
      </c>
      <c r="BE11" s="21" t="str">
        <f t="shared" ref="BE11:BE50" si="19">IF(AP11&gt;=E11,"ИЗУЧЕНО",IF(AND(OR(F11="",SUMIF($A$11:$A$50,F11,AP$11:AP$50)&gt;=SUMIF($A$11:$A$50,F11,$E$11:$E$50)),OR(G11="",SUMIF($A$11:$A$50,G11,AP$11:AP$50)&gt;=SUMIF($A$11:$A$50,G11,$E$11:$E$50)),OR(H11="",SUMIF($A$11:$A$50,H11,AP$11:AP$50)&gt;=SUMIF($A$11:$A$50,H11,$E$11:$E$50))),"ОТКРЫТО","ЗАКРЫТО"))</f>
        <v>ИЗУЧЕНО</v>
      </c>
      <c r="BF11" s="21" t="str">
        <f t="shared" ref="BF11:BF50" si="20">IF(AQ11&gt;=E11,"ИЗУЧЕНО",IF(AND(OR(F11="",SUMIF($A$11:$A$50,F11,AQ$11:AQ$50)&gt;=SUMIF($A$11:$A$50,F11,$E$11:$E$50)),OR(G11="",SUMIF($A$11:$A$50,G11,AQ$11:AQ$50)&gt;=SUMIF($A$11:$A$50,G11,$E$11:$E$50)),OR(H11="",SUMIF($A$11:$A$50,H11,AQ$11:AQ$50)&gt;=SUMIF($A$11:$A$50,H11,$E$11:$E$50))),"ОТКРЫТО","ЗАКРЫТО"))</f>
        <v>ИЗУЧЕНО</v>
      </c>
    </row>
    <row r="12">
      <c r="A12" s="5" t="s">
        <v>207</v>
      </c>
      <c r="B12" s="5" t="s">
        <v>86</v>
      </c>
      <c r="C12" s="5" t="s">
        <v>209</v>
      </c>
      <c r="D12" s="5" t="s">
        <v>210</v>
      </c>
      <c r="E12" s="5">
        <v>40.0</v>
      </c>
      <c r="F12" s="5" t="s">
        <v>85</v>
      </c>
      <c r="G12" s="5"/>
      <c r="H12" s="5"/>
      <c r="I12" s="5" t="s">
        <v>211</v>
      </c>
      <c r="J12" s="5" t="s">
        <v>212</v>
      </c>
      <c r="K12" s="14">
        <f>SUMIF('Ход 2026'!$G$29:$G$38,$A12,'Ход 2026'!$I$29:$I$38)</f>
        <v>0</v>
      </c>
      <c r="L12" s="14">
        <f>SUMIF('Ход 2027'!$G$29:$G$38,$A12,'Ход 2027'!$I$29:$I$38)</f>
        <v>0</v>
      </c>
      <c r="M12" s="14">
        <f>SUMIF('Ход 2028'!$G$29:$G$38,$A12,'Ход 2028'!$I$29:$I$38)</f>
        <v>0</v>
      </c>
      <c r="N12" s="14">
        <f>SUMIF('Ход 2029'!$G$29:$G$38,$A12,'Ход 2029'!$I$29:$I$38)</f>
        <v>0</v>
      </c>
      <c r="O12" s="14">
        <f>SUMIF('Ход 2030'!$G$29:$G$38,$A12,'Ход 2030'!$I$29:$I$38)</f>
        <v>0</v>
      </c>
      <c r="P12" s="14">
        <f>SUMIF('Ход 2031'!$G$29:$G$38,$A12,'Ход 2031'!$I$29:$I$38)</f>
        <v>0</v>
      </c>
      <c r="Q12" s="14">
        <f>SUMIF('Ход 2032'!$G$29:$G$38,$A12,'Ход 2032'!$I$29:$I$38)</f>
        <v>0</v>
      </c>
      <c r="R12" s="14">
        <f>SUMIF('Ход 2033'!$G$29:$G$38,$A12,'Ход 2033'!$I$29:$I$38)</f>
        <v>0</v>
      </c>
      <c r="S12" s="14">
        <f>SUMIF('Ход 2034'!$G$29:$G$38,$A12,'Ход 2034'!$I$29:$I$38)</f>
        <v>0</v>
      </c>
      <c r="T12" s="14">
        <f>SUMIF('Ход 2035'!$G$29:$G$38,$A12,'Ход 2035'!$I$29:$I$38)</f>
        <v>0</v>
      </c>
      <c r="U12" s="14">
        <f>SUMIF('Ход 2036'!$G$29:$G$38,$A12,'Ход 2036'!$I$29:$I$38)</f>
        <v>0</v>
      </c>
      <c r="V12" s="14">
        <f>SUMIF('Ход 2037'!$G$29:$G$38,$A12,'Ход 2037'!$I$29:$I$38)</f>
        <v>0</v>
      </c>
      <c r="W12" s="14">
        <f>SUMIF('Ход 2038'!$G$29:$G$38,$A12,'Ход 2038'!$I$29:$I$38)</f>
        <v>0</v>
      </c>
      <c r="X12" s="14">
        <f>SUMIF('Ход 2039'!$G$29:$G$38,$A12,'Ход 2039'!$I$29:$I$38)</f>
        <v>0</v>
      </c>
      <c r="Y12" s="14">
        <f>SUMIF('Ход 2040'!$G$29:$G$38,$A12,'Ход 2040'!$I$29:$I$38)</f>
        <v>0</v>
      </c>
      <c r="Z12" s="19">
        <f t="shared" si="2"/>
        <v>0</v>
      </c>
      <c r="AA12" s="19">
        <f t="shared" si="3"/>
        <v>40</v>
      </c>
      <c r="AB12" s="5" t="str">
        <f t="shared" si="4"/>
        <v>ОТКРЫТО</v>
      </c>
      <c r="AC12" s="21">
        <f t="shared" ref="AC12:AQ12" si="5">SUM($K12:K12)</f>
        <v>0</v>
      </c>
      <c r="AD12" s="21">
        <f t="shared" si="5"/>
        <v>0</v>
      </c>
      <c r="AE12" s="21">
        <f t="shared" si="5"/>
        <v>0</v>
      </c>
      <c r="AF12" s="21">
        <f t="shared" si="5"/>
        <v>0</v>
      </c>
      <c r="AG12" s="21">
        <f t="shared" si="5"/>
        <v>0</v>
      </c>
      <c r="AH12" s="21">
        <f t="shared" si="5"/>
        <v>0</v>
      </c>
      <c r="AI12" s="21">
        <f t="shared" si="5"/>
        <v>0</v>
      </c>
      <c r="AJ12" s="21">
        <f t="shared" si="5"/>
        <v>0</v>
      </c>
      <c r="AK12" s="21">
        <f t="shared" si="5"/>
        <v>0</v>
      </c>
      <c r="AL12" s="21">
        <f t="shared" si="5"/>
        <v>0</v>
      </c>
      <c r="AM12" s="21">
        <f t="shared" si="5"/>
        <v>0</v>
      </c>
      <c r="AN12" s="21">
        <f t="shared" si="5"/>
        <v>0</v>
      </c>
      <c r="AO12" s="21">
        <f t="shared" si="5"/>
        <v>0</v>
      </c>
      <c r="AP12" s="21">
        <f t="shared" si="5"/>
        <v>0</v>
      </c>
      <c r="AQ12" s="21">
        <f t="shared" si="5"/>
        <v>0</v>
      </c>
      <c r="AR12" s="21" t="str">
        <f t="shared" si="6"/>
        <v>ОТКРЫТО</v>
      </c>
      <c r="AS12" s="21" t="str">
        <f t="shared" si="7"/>
        <v>ОТКРЫТО</v>
      </c>
      <c r="AT12" s="21" t="str">
        <f t="shared" si="8"/>
        <v>ОТКРЫТО</v>
      </c>
      <c r="AU12" s="21" t="str">
        <f t="shared" si="9"/>
        <v>ОТКРЫТО</v>
      </c>
      <c r="AV12" s="21" t="str">
        <f t="shared" si="10"/>
        <v>ОТКРЫТО</v>
      </c>
      <c r="AW12" s="21" t="str">
        <f t="shared" si="11"/>
        <v>ОТКРЫТО</v>
      </c>
      <c r="AX12" s="21" t="str">
        <f t="shared" si="12"/>
        <v>ОТКРЫТО</v>
      </c>
      <c r="AY12" s="21" t="str">
        <f t="shared" si="13"/>
        <v>ОТКРЫТО</v>
      </c>
      <c r="AZ12" s="21" t="str">
        <f t="shared" si="14"/>
        <v>ОТКРЫТО</v>
      </c>
      <c r="BA12" s="21" t="str">
        <f t="shared" si="15"/>
        <v>ОТКРЫТО</v>
      </c>
      <c r="BB12" s="21" t="str">
        <f t="shared" si="16"/>
        <v>ОТКРЫТО</v>
      </c>
      <c r="BC12" s="21" t="str">
        <f t="shared" si="17"/>
        <v>ОТКРЫТО</v>
      </c>
      <c r="BD12" s="21" t="str">
        <f t="shared" si="18"/>
        <v>ОТКРЫТО</v>
      </c>
      <c r="BE12" s="21" t="str">
        <f t="shared" si="19"/>
        <v>ОТКРЫТО</v>
      </c>
      <c r="BF12" s="21" t="str">
        <f t="shared" si="20"/>
        <v>ОТКРЫТО</v>
      </c>
    </row>
    <row r="13">
      <c r="A13" s="5" t="s">
        <v>227</v>
      </c>
      <c r="B13" s="5" t="s">
        <v>86</v>
      </c>
      <c r="C13" s="5" t="s">
        <v>209</v>
      </c>
      <c r="D13" s="5" t="s">
        <v>228</v>
      </c>
      <c r="E13" s="5">
        <v>45.0</v>
      </c>
      <c r="F13" s="5" t="s">
        <v>85</v>
      </c>
      <c r="G13" s="5"/>
      <c r="H13" s="5"/>
      <c r="I13" s="5" t="s">
        <v>229</v>
      </c>
      <c r="J13" s="5" t="s">
        <v>230</v>
      </c>
      <c r="K13" s="14">
        <f>SUMIF('Ход 2026'!$G$29:$G$38,$A13,'Ход 2026'!$I$29:$I$38)</f>
        <v>0</v>
      </c>
      <c r="L13" s="14">
        <f>SUMIF('Ход 2027'!$G$29:$G$38,$A13,'Ход 2027'!$I$29:$I$38)</f>
        <v>0</v>
      </c>
      <c r="M13" s="14">
        <f>SUMIF('Ход 2028'!$G$29:$G$38,$A13,'Ход 2028'!$I$29:$I$38)</f>
        <v>0</v>
      </c>
      <c r="N13" s="14">
        <f>SUMIF('Ход 2029'!$G$29:$G$38,$A13,'Ход 2029'!$I$29:$I$38)</f>
        <v>0</v>
      </c>
      <c r="O13" s="14">
        <f>SUMIF('Ход 2030'!$G$29:$G$38,$A13,'Ход 2030'!$I$29:$I$38)</f>
        <v>0</v>
      </c>
      <c r="P13" s="14">
        <f>SUMIF('Ход 2031'!$G$29:$G$38,$A13,'Ход 2031'!$I$29:$I$38)</f>
        <v>0</v>
      </c>
      <c r="Q13" s="14">
        <f>SUMIF('Ход 2032'!$G$29:$G$38,$A13,'Ход 2032'!$I$29:$I$38)</f>
        <v>0</v>
      </c>
      <c r="R13" s="14">
        <f>SUMIF('Ход 2033'!$G$29:$G$38,$A13,'Ход 2033'!$I$29:$I$38)</f>
        <v>0</v>
      </c>
      <c r="S13" s="14">
        <f>SUMIF('Ход 2034'!$G$29:$G$38,$A13,'Ход 2034'!$I$29:$I$38)</f>
        <v>0</v>
      </c>
      <c r="T13" s="14">
        <f>SUMIF('Ход 2035'!$G$29:$G$38,$A13,'Ход 2035'!$I$29:$I$38)</f>
        <v>0</v>
      </c>
      <c r="U13" s="14">
        <f>SUMIF('Ход 2036'!$G$29:$G$38,$A13,'Ход 2036'!$I$29:$I$38)</f>
        <v>0</v>
      </c>
      <c r="V13" s="14">
        <f>SUMIF('Ход 2037'!$G$29:$G$38,$A13,'Ход 2037'!$I$29:$I$38)</f>
        <v>0</v>
      </c>
      <c r="W13" s="14">
        <f>SUMIF('Ход 2038'!$G$29:$G$38,$A13,'Ход 2038'!$I$29:$I$38)</f>
        <v>0</v>
      </c>
      <c r="X13" s="14">
        <f>SUMIF('Ход 2039'!$G$29:$G$38,$A13,'Ход 2039'!$I$29:$I$38)</f>
        <v>0</v>
      </c>
      <c r="Y13" s="14">
        <f>SUMIF('Ход 2040'!$G$29:$G$38,$A13,'Ход 2040'!$I$29:$I$38)</f>
        <v>0</v>
      </c>
      <c r="Z13" s="19">
        <f t="shared" si="2"/>
        <v>0</v>
      </c>
      <c r="AA13" s="19">
        <f t="shared" si="3"/>
        <v>45</v>
      </c>
      <c r="AB13" s="5" t="str">
        <f t="shared" si="4"/>
        <v>ОТКРЫТО</v>
      </c>
      <c r="AC13" s="21">
        <f t="shared" ref="AC13:AQ13" si="21">SUM($K13:K13)</f>
        <v>0</v>
      </c>
      <c r="AD13" s="21">
        <f t="shared" si="21"/>
        <v>0</v>
      </c>
      <c r="AE13" s="21">
        <f t="shared" si="21"/>
        <v>0</v>
      </c>
      <c r="AF13" s="21">
        <f t="shared" si="21"/>
        <v>0</v>
      </c>
      <c r="AG13" s="21">
        <f t="shared" si="21"/>
        <v>0</v>
      </c>
      <c r="AH13" s="21">
        <f t="shared" si="21"/>
        <v>0</v>
      </c>
      <c r="AI13" s="21">
        <f t="shared" si="21"/>
        <v>0</v>
      </c>
      <c r="AJ13" s="21">
        <f t="shared" si="21"/>
        <v>0</v>
      </c>
      <c r="AK13" s="21">
        <f t="shared" si="21"/>
        <v>0</v>
      </c>
      <c r="AL13" s="21">
        <f t="shared" si="21"/>
        <v>0</v>
      </c>
      <c r="AM13" s="21">
        <f t="shared" si="21"/>
        <v>0</v>
      </c>
      <c r="AN13" s="21">
        <f t="shared" si="21"/>
        <v>0</v>
      </c>
      <c r="AO13" s="21">
        <f t="shared" si="21"/>
        <v>0</v>
      </c>
      <c r="AP13" s="21">
        <f t="shared" si="21"/>
        <v>0</v>
      </c>
      <c r="AQ13" s="21">
        <f t="shared" si="21"/>
        <v>0</v>
      </c>
      <c r="AR13" s="21" t="str">
        <f t="shared" si="6"/>
        <v>ОТКРЫТО</v>
      </c>
      <c r="AS13" s="21" t="str">
        <f t="shared" si="7"/>
        <v>ОТКРЫТО</v>
      </c>
      <c r="AT13" s="21" t="str">
        <f t="shared" si="8"/>
        <v>ОТКРЫТО</v>
      </c>
      <c r="AU13" s="21" t="str">
        <f t="shared" si="9"/>
        <v>ОТКРЫТО</v>
      </c>
      <c r="AV13" s="21" t="str">
        <f t="shared" si="10"/>
        <v>ОТКРЫТО</v>
      </c>
      <c r="AW13" s="21" t="str">
        <f t="shared" si="11"/>
        <v>ОТКРЫТО</v>
      </c>
      <c r="AX13" s="21" t="str">
        <f t="shared" si="12"/>
        <v>ОТКРЫТО</v>
      </c>
      <c r="AY13" s="21" t="str">
        <f t="shared" si="13"/>
        <v>ОТКРЫТО</v>
      </c>
      <c r="AZ13" s="21" t="str">
        <f t="shared" si="14"/>
        <v>ОТКРЫТО</v>
      </c>
      <c r="BA13" s="21" t="str">
        <f t="shared" si="15"/>
        <v>ОТКРЫТО</v>
      </c>
      <c r="BB13" s="21" t="str">
        <f t="shared" si="16"/>
        <v>ОТКРЫТО</v>
      </c>
      <c r="BC13" s="21" t="str">
        <f t="shared" si="17"/>
        <v>ОТКРЫТО</v>
      </c>
      <c r="BD13" s="21" t="str">
        <f t="shared" si="18"/>
        <v>ОТКРЫТО</v>
      </c>
      <c r="BE13" s="21" t="str">
        <f t="shared" si="19"/>
        <v>ОТКРЫТО</v>
      </c>
      <c r="BF13" s="21" t="str">
        <f t="shared" si="20"/>
        <v>ОТКРЫТО</v>
      </c>
    </row>
    <row r="14">
      <c r="A14" s="5" t="s">
        <v>231</v>
      </c>
      <c r="B14" s="5" t="s">
        <v>86</v>
      </c>
      <c r="C14" s="5" t="s">
        <v>232</v>
      </c>
      <c r="D14" s="5" t="s">
        <v>233</v>
      </c>
      <c r="E14" s="5">
        <v>65.0</v>
      </c>
      <c r="F14" s="5" t="s">
        <v>207</v>
      </c>
      <c r="G14" s="5" t="s">
        <v>227</v>
      </c>
      <c r="H14" s="5"/>
      <c r="I14" s="5" t="s">
        <v>234</v>
      </c>
      <c r="J14" s="5" t="s">
        <v>235</v>
      </c>
      <c r="K14" s="14">
        <f>SUMIF('Ход 2026'!$G$29:$G$38,$A14,'Ход 2026'!$I$29:$I$38)</f>
        <v>0</v>
      </c>
      <c r="L14" s="14">
        <f>SUMIF('Ход 2027'!$G$29:$G$38,$A14,'Ход 2027'!$I$29:$I$38)</f>
        <v>0</v>
      </c>
      <c r="M14" s="14">
        <f>SUMIF('Ход 2028'!$G$29:$G$38,$A14,'Ход 2028'!$I$29:$I$38)</f>
        <v>0</v>
      </c>
      <c r="N14" s="14">
        <f>SUMIF('Ход 2029'!$G$29:$G$38,$A14,'Ход 2029'!$I$29:$I$38)</f>
        <v>0</v>
      </c>
      <c r="O14" s="14">
        <f>SUMIF('Ход 2030'!$G$29:$G$38,$A14,'Ход 2030'!$I$29:$I$38)</f>
        <v>0</v>
      </c>
      <c r="P14" s="14">
        <f>SUMIF('Ход 2031'!$G$29:$G$38,$A14,'Ход 2031'!$I$29:$I$38)</f>
        <v>0</v>
      </c>
      <c r="Q14" s="14">
        <f>SUMIF('Ход 2032'!$G$29:$G$38,$A14,'Ход 2032'!$I$29:$I$38)</f>
        <v>0</v>
      </c>
      <c r="R14" s="14">
        <f>SUMIF('Ход 2033'!$G$29:$G$38,$A14,'Ход 2033'!$I$29:$I$38)</f>
        <v>0</v>
      </c>
      <c r="S14" s="14">
        <f>SUMIF('Ход 2034'!$G$29:$G$38,$A14,'Ход 2034'!$I$29:$I$38)</f>
        <v>0</v>
      </c>
      <c r="T14" s="14">
        <f>SUMIF('Ход 2035'!$G$29:$G$38,$A14,'Ход 2035'!$I$29:$I$38)</f>
        <v>0</v>
      </c>
      <c r="U14" s="14">
        <f>SUMIF('Ход 2036'!$G$29:$G$38,$A14,'Ход 2036'!$I$29:$I$38)</f>
        <v>0</v>
      </c>
      <c r="V14" s="14">
        <f>SUMIF('Ход 2037'!$G$29:$G$38,$A14,'Ход 2037'!$I$29:$I$38)</f>
        <v>0</v>
      </c>
      <c r="W14" s="14">
        <f>SUMIF('Ход 2038'!$G$29:$G$38,$A14,'Ход 2038'!$I$29:$I$38)</f>
        <v>0</v>
      </c>
      <c r="X14" s="14">
        <f>SUMIF('Ход 2039'!$G$29:$G$38,$A14,'Ход 2039'!$I$29:$I$38)</f>
        <v>0</v>
      </c>
      <c r="Y14" s="14">
        <f>SUMIF('Ход 2040'!$G$29:$G$38,$A14,'Ход 2040'!$I$29:$I$38)</f>
        <v>0</v>
      </c>
      <c r="Z14" s="19">
        <f t="shared" si="2"/>
        <v>0</v>
      </c>
      <c r="AA14" s="19">
        <f t="shared" si="3"/>
        <v>65</v>
      </c>
      <c r="AB14" s="5" t="str">
        <f t="shared" si="4"/>
        <v>ЗАКРЫТО</v>
      </c>
      <c r="AC14" s="21">
        <f t="shared" ref="AC14:AQ14" si="22">SUM($K14:K14)</f>
        <v>0</v>
      </c>
      <c r="AD14" s="21">
        <f t="shared" si="22"/>
        <v>0</v>
      </c>
      <c r="AE14" s="21">
        <f t="shared" si="22"/>
        <v>0</v>
      </c>
      <c r="AF14" s="21">
        <f t="shared" si="22"/>
        <v>0</v>
      </c>
      <c r="AG14" s="21">
        <f t="shared" si="22"/>
        <v>0</v>
      </c>
      <c r="AH14" s="21">
        <f t="shared" si="22"/>
        <v>0</v>
      </c>
      <c r="AI14" s="21">
        <f t="shared" si="22"/>
        <v>0</v>
      </c>
      <c r="AJ14" s="21">
        <f t="shared" si="22"/>
        <v>0</v>
      </c>
      <c r="AK14" s="21">
        <f t="shared" si="22"/>
        <v>0</v>
      </c>
      <c r="AL14" s="21">
        <f t="shared" si="22"/>
        <v>0</v>
      </c>
      <c r="AM14" s="21">
        <f t="shared" si="22"/>
        <v>0</v>
      </c>
      <c r="AN14" s="21">
        <f t="shared" si="22"/>
        <v>0</v>
      </c>
      <c r="AO14" s="21">
        <f t="shared" si="22"/>
        <v>0</v>
      </c>
      <c r="AP14" s="21">
        <f t="shared" si="22"/>
        <v>0</v>
      </c>
      <c r="AQ14" s="21">
        <f t="shared" si="22"/>
        <v>0</v>
      </c>
      <c r="AR14" s="21" t="str">
        <f t="shared" si="6"/>
        <v>ЗАКРЫТО</v>
      </c>
      <c r="AS14" s="21" t="str">
        <f t="shared" si="7"/>
        <v>ЗАКРЫТО</v>
      </c>
      <c r="AT14" s="21" t="str">
        <f t="shared" si="8"/>
        <v>ЗАКРЫТО</v>
      </c>
      <c r="AU14" s="21" t="str">
        <f t="shared" si="9"/>
        <v>ЗАКРЫТО</v>
      </c>
      <c r="AV14" s="21" t="str">
        <f t="shared" si="10"/>
        <v>ЗАКРЫТО</v>
      </c>
      <c r="AW14" s="21" t="str">
        <f t="shared" si="11"/>
        <v>ЗАКРЫТО</v>
      </c>
      <c r="AX14" s="21" t="str">
        <f t="shared" si="12"/>
        <v>ЗАКРЫТО</v>
      </c>
      <c r="AY14" s="21" t="str">
        <f t="shared" si="13"/>
        <v>ЗАКРЫТО</v>
      </c>
      <c r="AZ14" s="21" t="str">
        <f t="shared" si="14"/>
        <v>ЗАКРЫТО</v>
      </c>
      <c r="BA14" s="21" t="str">
        <f t="shared" si="15"/>
        <v>ЗАКРЫТО</v>
      </c>
      <c r="BB14" s="21" t="str">
        <f t="shared" si="16"/>
        <v>ЗАКРЫТО</v>
      </c>
      <c r="BC14" s="21" t="str">
        <f t="shared" si="17"/>
        <v>ЗАКРЫТО</v>
      </c>
      <c r="BD14" s="21" t="str">
        <f t="shared" si="18"/>
        <v>ЗАКРЫТО</v>
      </c>
      <c r="BE14" s="21" t="str">
        <f t="shared" si="19"/>
        <v>ЗАКРЫТО</v>
      </c>
      <c r="BF14" s="21" t="str">
        <f t="shared" si="20"/>
        <v>ЗАКРЫТО</v>
      </c>
    </row>
    <row r="15">
      <c r="A15" s="5" t="s">
        <v>236</v>
      </c>
      <c r="B15" s="5" t="s">
        <v>86</v>
      </c>
      <c r="C15" s="5" t="s">
        <v>237</v>
      </c>
      <c r="D15" s="5" t="s">
        <v>238</v>
      </c>
      <c r="E15" s="5">
        <v>100.0</v>
      </c>
      <c r="F15" s="5" t="s">
        <v>231</v>
      </c>
      <c r="G15" s="5"/>
      <c r="H15" s="5"/>
      <c r="I15" s="5" t="s">
        <v>239</v>
      </c>
      <c r="J15" s="5" t="s">
        <v>240</v>
      </c>
      <c r="K15" s="14">
        <f>SUMIF('Ход 2026'!$G$29:$G$38,$A15,'Ход 2026'!$I$29:$I$38)</f>
        <v>0</v>
      </c>
      <c r="L15" s="14">
        <f>SUMIF('Ход 2027'!$G$29:$G$38,$A15,'Ход 2027'!$I$29:$I$38)</f>
        <v>0</v>
      </c>
      <c r="M15" s="14">
        <f>SUMIF('Ход 2028'!$G$29:$G$38,$A15,'Ход 2028'!$I$29:$I$38)</f>
        <v>0</v>
      </c>
      <c r="N15" s="14">
        <f>SUMIF('Ход 2029'!$G$29:$G$38,$A15,'Ход 2029'!$I$29:$I$38)</f>
        <v>0</v>
      </c>
      <c r="O15" s="14">
        <f>SUMIF('Ход 2030'!$G$29:$G$38,$A15,'Ход 2030'!$I$29:$I$38)</f>
        <v>0</v>
      </c>
      <c r="P15" s="14">
        <f>SUMIF('Ход 2031'!$G$29:$G$38,$A15,'Ход 2031'!$I$29:$I$38)</f>
        <v>0</v>
      </c>
      <c r="Q15" s="14">
        <f>SUMIF('Ход 2032'!$G$29:$G$38,$A15,'Ход 2032'!$I$29:$I$38)</f>
        <v>0</v>
      </c>
      <c r="R15" s="14">
        <f>SUMIF('Ход 2033'!$G$29:$G$38,$A15,'Ход 2033'!$I$29:$I$38)</f>
        <v>0</v>
      </c>
      <c r="S15" s="14">
        <f>SUMIF('Ход 2034'!$G$29:$G$38,$A15,'Ход 2034'!$I$29:$I$38)</f>
        <v>0</v>
      </c>
      <c r="T15" s="14">
        <f>SUMIF('Ход 2035'!$G$29:$G$38,$A15,'Ход 2035'!$I$29:$I$38)</f>
        <v>0</v>
      </c>
      <c r="U15" s="14">
        <f>SUMIF('Ход 2036'!$G$29:$G$38,$A15,'Ход 2036'!$I$29:$I$38)</f>
        <v>0</v>
      </c>
      <c r="V15" s="14">
        <f>SUMIF('Ход 2037'!$G$29:$G$38,$A15,'Ход 2037'!$I$29:$I$38)</f>
        <v>0</v>
      </c>
      <c r="W15" s="14">
        <f>SUMIF('Ход 2038'!$G$29:$G$38,$A15,'Ход 2038'!$I$29:$I$38)</f>
        <v>0</v>
      </c>
      <c r="X15" s="14">
        <f>SUMIF('Ход 2039'!$G$29:$G$38,$A15,'Ход 2039'!$I$29:$I$38)</f>
        <v>0</v>
      </c>
      <c r="Y15" s="14">
        <f>SUMIF('Ход 2040'!$G$29:$G$38,$A15,'Ход 2040'!$I$29:$I$38)</f>
        <v>0</v>
      </c>
      <c r="Z15" s="19">
        <f t="shared" si="2"/>
        <v>0</v>
      </c>
      <c r="AA15" s="19">
        <f t="shared" si="3"/>
        <v>100</v>
      </c>
      <c r="AB15" s="5" t="str">
        <f t="shared" si="4"/>
        <v>ЗАКРЫТО</v>
      </c>
      <c r="AC15" s="21">
        <f t="shared" ref="AC15:AQ15" si="23">SUM($K15:K15)</f>
        <v>0</v>
      </c>
      <c r="AD15" s="21">
        <f t="shared" si="23"/>
        <v>0</v>
      </c>
      <c r="AE15" s="21">
        <f t="shared" si="23"/>
        <v>0</v>
      </c>
      <c r="AF15" s="21">
        <f t="shared" si="23"/>
        <v>0</v>
      </c>
      <c r="AG15" s="21">
        <f t="shared" si="23"/>
        <v>0</v>
      </c>
      <c r="AH15" s="21">
        <f t="shared" si="23"/>
        <v>0</v>
      </c>
      <c r="AI15" s="21">
        <f t="shared" si="23"/>
        <v>0</v>
      </c>
      <c r="AJ15" s="21">
        <f t="shared" si="23"/>
        <v>0</v>
      </c>
      <c r="AK15" s="21">
        <f t="shared" si="23"/>
        <v>0</v>
      </c>
      <c r="AL15" s="21">
        <f t="shared" si="23"/>
        <v>0</v>
      </c>
      <c r="AM15" s="21">
        <f t="shared" si="23"/>
        <v>0</v>
      </c>
      <c r="AN15" s="21">
        <f t="shared" si="23"/>
        <v>0</v>
      </c>
      <c r="AO15" s="21">
        <f t="shared" si="23"/>
        <v>0</v>
      </c>
      <c r="AP15" s="21">
        <f t="shared" si="23"/>
        <v>0</v>
      </c>
      <c r="AQ15" s="21">
        <f t="shared" si="23"/>
        <v>0</v>
      </c>
      <c r="AR15" s="21" t="str">
        <f t="shared" si="6"/>
        <v>ЗАКРЫТО</v>
      </c>
      <c r="AS15" s="21" t="str">
        <f t="shared" si="7"/>
        <v>ЗАКРЫТО</v>
      </c>
      <c r="AT15" s="21" t="str">
        <f t="shared" si="8"/>
        <v>ЗАКРЫТО</v>
      </c>
      <c r="AU15" s="21" t="str">
        <f t="shared" si="9"/>
        <v>ЗАКРЫТО</v>
      </c>
      <c r="AV15" s="21" t="str">
        <f t="shared" si="10"/>
        <v>ЗАКРЫТО</v>
      </c>
      <c r="AW15" s="21" t="str">
        <f t="shared" si="11"/>
        <v>ЗАКРЫТО</v>
      </c>
      <c r="AX15" s="21" t="str">
        <f t="shared" si="12"/>
        <v>ЗАКРЫТО</v>
      </c>
      <c r="AY15" s="21" t="str">
        <f t="shared" si="13"/>
        <v>ЗАКРЫТО</v>
      </c>
      <c r="AZ15" s="21" t="str">
        <f t="shared" si="14"/>
        <v>ЗАКРЫТО</v>
      </c>
      <c r="BA15" s="21" t="str">
        <f t="shared" si="15"/>
        <v>ЗАКРЫТО</v>
      </c>
      <c r="BB15" s="21" t="str">
        <f t="shared" si="16"/>
        <v>ЗАКРЫТО</v>
      </c>
      <c r="BC15" s="21" t="str">
        <f t="shared" si="17"/>
        <v>ЗАКРЫТО</v>
      </c>
      <c r="BD15" s="21" t="str">
        <f t="shared" si="18"/>
        <v>ЗАКРЫТО</v>
      </c>
      <c r="BE15" s="21" t="str">
        <f t="shared" si="19"/>
        <v>ЗАКРЫТО</v>
      </c>
      <c r="BF15" s="21" t="str">
        <f t="shared" si="20"/>
        <v>ЗАКРЫТО</v>
      </c>
    </row>
    <row r="16">
      <c r="A16" s="5" t="s">
        <v>242</v>
      </c>
      <c r="B16" s="5" t="s">
        <v>86</v>
      </c>
      <c r="C16" s="5" t="s">
        <v>243</v>
      </c>
      <c r="D16" s="5" t="s">
        <v>244</v>
      </c>
      <c r="E16" s="5">
        <v>150.0</v>
      </c>
      <c r="F16" s="5" t="s">
        <v>236</v>
      </c>
      <c r="G16" s="5"/>
      <c r="H16" s="5"/>
      <c r="I16" s="5" t="s">
        <v>245</v>
      </c>
      <c r="J16" s="5" t="s">
        <v>246</v>
      </c>
      <c r="K16" s="14">
        <f>SUMIF('Ход 2026'!$G$29:$G$38,$A16,'Ход 2026'!$I$29:$I$38)</f>
        <v>0</v>
      </c>
      <c r="L16" s="14">
        <f>SUMIF('Ход 2027'!$G$29:$G$38,$A16,'Ход 2027'!$I$29:$I$38)</f>
        <v>0</v>
      </c>
      <c r="M16" s="14">
        <f>SUMIF('Ход 2028'!$G$29:$G$38,$A16,'Ход 2028'!$I$29:$I$38)</f>
        <v>0</v>
      </c>
      <c r="N16" s="14">
        <f>SUMIF('Ход 2029'!$G$29:$G$38,$A16,'Ход 2029'!$I$29:$I$38)</f>
        <v>0</v>
      </c>
      <c r="O16" s="14">
        <f>SUMIF('Ход 2030'!$G$29:$G$38,$A16,'Ход 2030'!$I$29:$I$38)</f>
        <v>0</v>
      </c>
      <c r="P16" s="14">
        <f>SUMIF('Ход 2031'!$G$29:$G$38,$A16,'Ход 2031'!$I$29:$I$38)</f>
        <v>0</v>
      </c>
      <c r="Q16" s="14">
        <f>SUMIF('Ход 2032'!$G$29:$G$38,$A16,'Ход 2032'!$I$29:$I$38)</f>
        <v>0</v>
      </c>
      <c r="R16" s="14">
        <f>SUMIF('Ход 2033'!$G$29:$G$38,$A16,'Ход 2033'!$I$29:$I$38)</f>
        <v>0</v>
      </c>
      <c r="S16" s="14">
        <f>SUMIF('Ход 2034'!$G$29:$G$38,$A16,'Ход 2034'!$I$29:$I$38)</f>
        <v>0</v>
      </c>
      <c r="T16" s="14">
        <f>SUMIF('Ход 2035'!$G$29:$G$38,$A16,'Ход 2035'!$I$29:$I$38)</f>
        <v>0</v>
      </c>
      <c r="U16" s="14">
        <f>SUMIF('Ход 2036'!$G$29:$G$38,$A16,'Ход 2036'!$I$29:$I$38)</f>
        <v>0</v>
      </c>
      <c r="V16" s="14">
        <f>SUMIF('Ход 2037'!$G$29:$G$38,$A16,'Ход 2037'!$I$29:$I$38)</f>
        <v>0</v>
      </c>
      <c r="W16" s="14">
        <f>SUMIF('Ход 2038'!$G$29:$G$38,$A16,'Ход 2038'!$I$29:$I$38)</f>
        <v>0</v>
      </c>
      <c r="X16" s="14">
        <f>SUMIF('Ход 2039'!$G$29:$G$38,$A16,'Ход 2039'!$I$29:$I$38)</f>
        <v>0</v>
      </c>
      <c r="Y16" s="14">
        <f>SUMIF('Ход 2040'!$G$29:$G$38,$A16,'Ход 2040'!$I$29:$I$38)</f>
        <v>0</v>
      </c>
      <c r="Z16" s="19">
        <f t="shared" si="2"/>
        <v>0</v>
      </c>
      <c r="AA16" s="19">
        <f t="shared" si="3"/>
        <v>150</v>
      </c>
      <c r="AB16" s="5" t="str">
        <f t="shared" si="4"/>
        <v>ЗАКРЫТО</v>
      </c>
      <c r="AC16" s="21">
        <f t="shared" ref="AC16:AQ16" si="24">SUM($K16:K16)</f>
        <v>0</v>
      </c>
      <c r="AD16" s="21">
        <f t="shared" si="24"/>
        <v>0</v>
      </c>
      <c r="AE16" s="21">
        <f t="shared" si="24"/>
        <v>0</v>
      </c>
      <c r="AF16" s="21">
        <f t="shared" si="24"/>
        <v>0</v>
      </c>
      <c r="AG16" s="21">
        <f t="shared" si="24"/>
        <v>0</v>
      </c>
      <c r="AH16" s="21">
        <f t="shared" si="24"/>
        <v>0</v>
      </c>
      <c r="AI16" s="21">
        <f t="shared" si="24"/>
        <v>0</v>
      </c>
      <c r="AJ16" s="21">
        <f t="shared" si="24"/>
        <v>0</v>
      </c>
      <c r="AK16" s="21">
        <f t="shared" si="24"/>
        <v>0</v>
      </c>
      <c r="AL16" s="21">
        <f t="shared" si="24"/>
        <v>0</v>
      </c>
      <c r="AM16" s="21">
        <f t="shared" si="24"/>
        <v>0</v>
      </c>
      <c r="AN16" s="21">
        <f t="shared" si="24"/>
        <v>0</v>
      </c>
      <c r="AO16" s="21">
        <f t="shared" si="24"/>
        <v>0</v>
      </c>
      <c r="AP16" s="21">
        <f t="shared" si="24"/>
        <v>0</v>
      </c>
      <c r="AQ16" s="21">
        <f t="shared" si="24"/>
        <v>0</v>
      </c>
      <c r="AR16" s="21" t="str">
        <f t="shared" si="6"/>
        <v>ЗАКРЫТО</v>
      </c>
      <c r="AS16" s="21" t="str">
        <f t="shared" si="7"/>
        <v>ЗАКРЫТО</v>
      </c>
      <c r="AT16" s="21" t="str">
        <f t="shared" si="8"/>
        <v>ЗАКРЫТО</v>
      </c>
      <c r="AU16" s="21" t="str">
        <f t="shared" si="9"/>
        <v>ЗАКРЫТО</v>
      </c>
      <c r="AV16" s="21" t="str">
        <f t="shared" si="10"/>
        <v>ЗАКРЫТО</v>
      </c>
      <c r="AW16" s="21" t="str">
        <f t="shared" si="11"/>
        <v>ЗАКРЫТО</v>
      </c>
      <c r="AX16" s="21" t="str">
        <f t="shared" si="12"/>
        <v>ЗАКРЫТО</v>
      </c>
      <c r="AY16" s="21" t="str">
        <f t="shared" si="13"/>
        <v>ЗАКРЫТО</v>
      </c>
      <c r="AZ16" s="21" t="str">
        <f t="shared" si="14"/>
        <v>ЗАКРЫТО</v>
      </c>
      <c r="BA16" s="21" t="str">
        <f t="shared" si="15"/>
        <v>ЗАКРЫТО</v>
      </c>
      <c r="BB16" s="21" t="str">
        <f t="shared" si="16"/>
        <v>ЗАКРЫТО</v>
      </c>
      <c r="BC16" s="21" t="str">
        <f t="shared" si="17"/>
        <v>ЗАКРЫТО</v>
      </c>
      <c r="BD16" s="21" t="str">
        <f t="shared" si="18"/>
        <v>ЗАКРЫТО</v>
      </c>
      <c r="BE16" s="21" t="str">
        <f t="shared" si="19"/>
        <v>ЗАКРЫТО</v>
      </c>
      <c r="BF16" s="21" t="str">
        <f t="shared" si="20"/>
        <v>ЗАКРЫТО</v>
      </c>
    </row>
    <row r="17">
      <c r="A17" s="13" t="s">
        <v>170</v>
      </c>
      <c r="B17" s="5" t="s">
        <v>248</v>
      </c>
      <c r="C17" s="5" t="s">
        <v>87</v>
      </c>
      <c r="D17" s="5" t="s">
        <v>249</v>
      </c>
      <c r="E17" s="5">
        <v>20.0</v>
      </c>
      <c r="F17" s="5"/>
      <c r="G17" s="5"/>
      <c r="H17" s="5"/>
      <c r="I17" s="5" t="s">
        <v>250</v>
      </c>
      <c r="J17" s="5" t="s">
        <v>251</v>
      </c>
      <c r="K17" s="14">
        <f>SUMIF('Ход 2026'!$G$29:$G$38,$A17,'Ход 2026'!$I$29:$I$38)</f>
        <v>12.69</v>
      </c>
      <c r="L17" s="14">
        <f>SUMIF('Ход 2027'!$G$29:$G$38,$A17,'Ход 2027'!$I$29:$I$38)</f>
        <v>7.31</v>
      </c>
      <c r="M17" s="14">
        <f>SUMIF('Ход 2028'!$G$29:$G$38,$A17,'Ход 2028'!$I$29:$I$38)</f>
        <v>0</v>
      </c>
      <c r="N17" s="14">
        <f>SUMIF('Ход 2029'!$G$29:$G$38,$A17,'Ход 2029'!$I$29:$I$38)</f>
        <v>0</v>
      </c>
      <c r="O17" s="14">
        <f>SUMIF('Ход 2030'!$G$29:$G$38,$A17,'Ход 2030'!$I$29:$I$38)</f>
        <v>0</v>
      </c>
      <c r="P17" s="14">
        <f>SUMIF('Ход 2031'!$G$29:$G$38,$A17,'Ход 2031'!$I$29:$I$38)</f>
        <v>0</v>
      </c>
      <c r="Q17" s="14">
        <f>SUMIF('Ход 2032'!$G$29:$G$38,$A17,'Ход 2032'!$I$29:$I$38)</f>
        <v>0</v>
      </c>
      <c r="R17" s="14">
        <f>SUMIF('Ход 2033'!$G$29:$G$38,$A17,'Ход 2033'!$I$29:$I$38)</f>
        <v>0</v>
      </c>
      <c r="S17" s="14">
        <f>SUMIF('Ход 2034'!$G$29:$G$38,$A17,'Ход 2034'!$I$29:$I$38)</f>
        <v>0</v>
      </c>
      <c r="T17" s="14">
        <f>SUMIF('Ход 2035'!$G$29:$G$38,$A17,'Ход 2035'!$I$29:$I$38)</f>
        <v>0</v>
      </c>
      <c r="U17" s="14">
        <f>SUMIF('Ход 2036'!$G$29:$G$38,$A17,'Ход 2036'!$I$29:$I$38)</f>
        <v>0</v>
      </c>
      <c r="V17" s="14">
        <f>SUMIF('Ход 2037'!$G$29:$G$38,$A17,'Ход 2037'!$I$29:$I$38)</f>
        <v>0</v>
      </c>
      <c r="W17" s="14">
        <f>SUMIF('Ход 2038'!$G$29:$G$38,$A17,'Ход 2038'!$I$29:$I$38)</f>
        <v>0</v>
      </c>
      <c r="X17" s="14">
        <f>SUMIF('Ход 2039'!$G$29:$G$38,$A17,'Ход 2039'!$I$29:$I$38)</f>
        <v>0</v>
      </c>
      <c r="Y17" s="14">
        <f>SUMIF('Ход 2040'!$G$29:$G$38,$A17,'Ход 2040'!$I$29:$I$38)</f>
        <v>0</v>
      </c>
      <c r="Z17" s="19">
        <f t="shared" si="2"/>
        <v>20</v>
      </c>
      <c r="AA17" s="19">
        <f t="shared" si="3"/>
        <v>0</v>
      </c>
      <c r="AB17" s="5" t="str">
        <f t="shared" si="4"/>
        <v>ИЗУЧЕНО</v>
      </c>
      <c r="AC17" s="21">
        <f t="shared" ref="AC17:AQ17" si="25">SUM($K17:K17)</f>
        <v>12.69</v>
      </c>
      <c r="AD17" s="21">
        <f t="shared" si="25"/>
        <v>20</v>
      </c>
      <c r="AE17" s="21">
        <f t="shared" si="25"/>
        <v>20</v>
      </c>
      <c r="AF17" s="21">
        <f t="shared" si="25"/>
        <v>20</v>
      </c>
      <c r="AG17" s="21">
        <f t="shared" si="25"/>
        <v>20</v>
      </c>
      <c r="AH17" s="21">
        <f t="shared" si="25"/>
        <v>20</v>
      </c>
      <c r="AI17" s="21">
        <f t="shared" si="25"/>
        <v>20</v>
      </c>
      <c r="AJ17" s="21">
        <f t="shared" si="25"/>
        <v>20</v>
      </c>
      <c r="AK17" s="21">
        <f t="shared" si="25"/>
        <v>20</v>
      </c>
      <c r="AL17" s="21">
        <f t="shared" si="25"/>
        <v>20</v>
      </c>
      <c r="AM17" s="21">
        <f t="shared" si="25"/>
        <v>20</v>
      </c>
      <c r="AN17" s="21">
        <f t="shared" si="25"/>
        <v>20</v>
      </c>
      <c r="AO17" s="21">
        <f t="shared" si="25"/>
        <v>20</v>
      </c>
      <c r="AP17" s="21">
        <f t="shared" si="25"/>
        <v>20</v>
      </c>
      <c r="AQ17" s="21">
        <f t="shared" si="25"/>
        <v>20</v>
      </c>
      <c r="AR17" s="21" t="str">
        <f t="shared" si="6"/>
        <v>ОТКРЫТО</v>
      </c>
      <c r="AS17" s="21" t="str">
        <f t="shared" si="7"/>
        <v>ИЗУЧЕНО</v>
      </c>
      <c r="AT17" s="21" t="str">
        <f t="shared" si="8"/>
        <v>ИЗУЧЕНО</v>
      </c>
      <c r="AU17" s="21" t="str">
        <f t="shared" si="9"/>
        <v>ИЗУЧЕНО</v>
      </c>
      <c r="AV17" s="21" t="str">
        <f t="shared" si="10"/>
        <v>ИЗУЧЕНО</v>
      </c>
      <c r="AW17" s="21" t="str">
        <f t="shared" si="11"/>
        <v>ИЗУЧЕНО</v>
      </c>
      <c r="AX17" s="21" t="str">
        <f t="shared" si="12"/>
        <v>ИЗУЧЕНО</v>
      </c>
      <c r="AY17" s="21" t="str">
        <f t="shared" si="13"/>
        <v>ИЗУЧЕНО</v>
      </c>
      <c r="AZ17" s="21" t="str">
        <f t="shared" si="14"/>
        <v>ИЗУЧЕНО</v>
      </c>
      <c r="BA17" s="21" t="str">
        <f t="shared" si="15"/>
        <v>ИЗУЧЕНО</v>
      </c>
      <c r="BB17" s="21" t="str">
        <f t="shared" si="16"/>
        <v>ИЗУЧЕНО</v>
      </c>
      <c r="BC17" s="21" t="str">
        <f t="shared" si="17"/>
        <v>ИЗУЧЕНО</v>
      </c>
      <c r="BD17" s="21" t="str">
        <f t="shared" si="18"/>
        <v>ИЗУЧЕНО</v>
      </c>
      <c r="BE17" s="21" t="str">
        <f t="shared" si="19"/>
        <v>ИЗУЧЕНО</v>
      </c>
      <c r="BF17" s="21" t="str">
        <f t="shared" si="20"/>
        <v>ИЗУЧЕНО</v>
      </c>
    </row>
    <row r="18">
      <c r="A18" s="5" t="s">
        <v>252</v>
      </c>
      <c r="B18" s="5" t="s">
        <v>248</v>
      </c>
      <c r="C18" s="5" t="s">
        <v>209</v>
      </c>
      <c r="D18" s="5" t="s">
        <v>253</v>
      </c>
      <c r="E18" s="5">
        <v>40.0</v>
      </c>
      <c r="F18" s="5" t="s">
        <v>170</v>
      </c>
      <c r="G18" s="5"/>
      <c r="H18" s="5"/>
      <c r="I18" s="5" t="s">
        <v>254</v>
      </c>
      <c r="J18" s="5" t="s">
        <v>255</v>
      </c>
      <c r="K18" s="14">
        <f>SUMIF('Ход 2026'!$G$29:$G$38,$A18,'Ход 2026'!$I$29:$I$38)</f>
        <v>0</v>
      </c>
      <c r="L18" s="14">
        <f>SUMIF('Ход 2027'!$G$29:$G$38,$A18,'Ход 2027'!$I$29:$I$38)</f>
        <v>0</v>
      </c>
      <c r="M18" s="14">
        <f>SUMIF('Ход 2028'!$G$29:$G$38,$A18,'Ход 2028'!$I$29:$I$38)</f>
        <v>0</v>
      </c>
      <c r="N18" s="14">
        <f>SUMIF('Ход 2029'!$G$29:$G$38,$A18,'Ход 2029'!$I$29:$I$38)</f>
        <v>0</v>
      </c>
      <c r="O18" s="14">
        <f>SUMIF('Ход 2030'!$G$29:$G$38,$A18,'Ход 2030'!$I$29:$I$38)</f>
        <v>0</v>
      </c>
      <c r="P18" s="14">
        <f>SUMIF('Ход 2031'!$G$29:$G$38,$A18,'Ход 2031'!$I$29:$I$38)</f>
        <v>0</v>
      </c>
      <c r="Q18" s="14">
        <f>SUMIF('Ход 2032'!$G$29:$G$38,$A18,'Ход 2032'!$I$29:$I$38)</f>
        <v>0</v>
      </c>
      <c r="R18" s="14">
        <f>SUMIF('Ход 2033'!$G$29:$G$38,$A18,'Ход 2033'!$I$29:$I$38)</f>
        <v>0</v>
      </c>
      <c r="S18" s="14">
        <f>SUMIF('Ход 2034'!$G$29:$G$38,$A18,'Ход 2034'!$I$29:$I$38)</f>
        <v>0</v>
      </c>
      <c r="T18" s="14">
        <f>SUMIF('Ход 2035'!$G$29:$G$38,$A18,'Ход 2035'!$I$29:$I$38)</f>
        <v>0</v>
      </c>
      <c r="U18" s="14">
        <f>SUMIF('Ход 2036'!$G$29:$G$38,$A18,'Ход 2036'!$I$29:$I$38)</f>
        <v>0</v>
      </c>
      <c r="V18" s="14">
        <f>SUMIF('Ход 2037'!$G$29:$G$38,$A18,'Ход 2037'!$I$29:$I$38)</f>
        <v>0</v>
      </c>
      <c r="W18" s="14">
        <f>SUMIF('Ход 2038'!$G$29:$G$38,$A18,'Ход 2038'!$I$29:$I$38)</f>
        <v>0</v>
      </c>
      <c r="X18" s="14">
        <f>SUMIF('Ход 2039'!$G$29:$G$38,$A18,'Ход 2039'!$I$29:$I$38)</f>
        <v>0</v>
      </c>
      <c r="Y18" s="14">
        <f>SUMIF('Ход 2040'!$G$29:$G$38,$A18,'Ход 2040'!$I$29:$I$38)</f>
        <v>0</v>
      </c>
      <c r="Z18" s="19">
        <f t="shared" si="2"/>
        <v>0</v>
      </c>
      <c r="AA18" s="19">
        <f t="shared" si="3"/>
        <v>40</v>
      </c>
      <c r="AB18" s="5" t="str">
        <f t="shared" si="4"/>
        <v>ОТКРЫТО</v>
      </c>
      <c r="AC18" s="21">
        <f t="shared" ref="AC18:AQ18" si="26">SUM($K18:K18)</f>
        <v>0</v>
      </c>
      <c r="AD18" s="21">
        <f t="shared" si="26"/>
        <v>0</v>
      </c>
      <c r="AE18" s="21">
        <f t="shared" si="26"/>
        <v>0</v>
      </c>
      <c r="AF18" s="21">
        <f t="shared" si="26"/>
        <v>0</v>
      </c>
      <c r="AG18" s="21">
        <f t="shared" si="26"/>
        <v>0</v>
      </c>
      <c r="AH18" s="21">
        <f t="shared" si="26"/>
        <v>0</v>
      </c>
      <c r="AI18" s="21">
        <f t="shared" si="26"/>
        <v>0</v>
      </c>
      <c r="AJ18" s="21">
        <f t="shared" si="26"/>
        <v>0</v>
      </c>
      <c r="AK18" s="21">
        <f t="shared" si="26"/>
        <v>0</v>
      </c>
      <c r="AL18" s="21">
        <f t="shared" si="26"/>
        <v>0</v>
      </c>
      <c r="AM18" s="21">
        <f t="shared" si="26"/>
        <v>0</v>
      </c>
      <c r="AN18" s="21">
        <f t="shared" si="26"/>
        <v>0</v>
      </c>
      <c r="AO18" s="21">
        <f t="shared" si="26"/>
        <v>0</v>
      </c>
      <c r="AP18" s="21">
        <f t="shared" si="26"/>
        <v>0</v>
      </c>
      <c r="AQ18" s="21">
        <f t="shared" si="26"/>
        <v>0</v>
      </c>
      <c r="AR18" s="21" t="str">
        <f t="shared" si="6"/>
        <v>ЗАКРЫТО</v>
      </c>
      <c r="AS18" s="21" t="str">
        <f t="shared" si="7"/>
        <v>ОТКРЫТО</v>
      </c>
      <c r="AT18" s="21" t="str">
        <f t="shared" si="8"/>
        <v>ОТКРЫТО</v>
      </c>
      <c r="AU18" s="21" t="str">
        <f t="shared" si="9"/>
        <v>ОТКРЫТО</v>
      </c>
      <c r="AV18" s="21" t="str">
        <f t="shared" si="10"/>
        <v>ОТКРЫТО</v>
      </c>
      <c r="AW18" s="21" t="str">
        <f t="shared" si="11"/>
        <v>ОТКРЫТО</v>
      </c>
      <c r="AX18" s="21" t="str">
        <f t="shared" si="12"/>
        <v>ОТКРЫТО</v>
      </c>
      <c r="AY18" s="21" t="str">
        <f t="shared" si="13"/>
        <v>ОТКРЫТО</v>
      </c>
      <c r="AZ18" s="21" t="str">
        <f t="shared" si="14"/>
        <v>ОТКРЫТО</v>
      </c>
      <c r="BA18" s="21" t="str">
        <f t="shared" si="15"/>
        <v>ОТКРЫТО</v>
      </c>
      <c r="BB18" s="21" t="str">
        <f t="shared" si="16"/>
        <v>ОТКРЫТО</v>
      </c>
      <c r="BC18" s="21" t="str">
        <f t="shared" si="17"/>
        <v>ОТКРЫТО</v>
      </c>
      <c r="BD18" s="21" t="str">
        <f t="shared" si="18"/>
        <v>ОТКРЫТО</v>
      </c>
      <c r="BE18" s="21" t="str">
        <f t="shared" si="19"/>
        <v>ОТКРЫТО</v>
      </c>
      <c r="BF18" s="21" t="str">
        <f t="shared" si="20"/>
        <v>ОТКРЫТО</v>
      </c>
    </row>
    <row r="19">
      <c r="A19" s="5" t="s">
        <v>259</v>
      </c>
      <c r="B19" s="5" t="s">
        <v>248</v>
      </c>
      <c r="C19" s="5" t="s">
        <v>209</v>
      </c>
      <c r="D19" s="5" t="s">
        <v>260</v>
      </c>
      <c r="E19" s="5">
        <v>45.0</v>
      </c>
      <c r="F19" s="5" t="s">
        <v>170</v>
      </c>
      <c r="G19" s="5"/>
      <c r="H19" s="5"/>
      <c r="I19" s="5" t="s">
        <v>261</v>
      </c>
      <c r="J19" s="5" t="s">
        <v>262</v>
      </c>
      <c r="K19" s="14">
        <f>SUMIF('Ход 2026'!$G$29:$G$38,$A19,'Ход 2026'!$I$29:$I$38)</f>
        <v>0</v>
      </c>
      <c r="L19" s="14">
        <f>SUMIF('Ход 2027'!$G$29:$G$38,$A19,'Ход 2027'!$I$29:$I$38)</f>
        <v>0</v>
      </c>
      <c r="M19" s="14">
        <f>SUMIF('Ход 2028'!$G$29:$G$38,$A19,'Ход 2028'!$I$29:$I$38)</f>
        <v>0</v>
      </c>
      <c r="N19" s="14">
        <f>SUMIF('Ход 2029'!$G$29:$G$38,$A19,'Ход 2029'!$I$29:$I$38)</f>
        <v>0</v>
      </c>
      <c r="O19" s="14">
        <f>SUMIF('Ход 2030'!$G$29:$G$38,$A19,'Ход 2030'!$I$29:$I$38)</f>
        <v>0</v>
      </c>
      <c r="P19" s="14">
        <f>SUMIF('Ход 2031'!$G$29:$G$38,$A19,'Ход 2031'!$I$29:$I$38)</f>
        <v>0</v>
      </c>
      <c r="Q19" s="14">
        <f>SUMIF('Ход 2032'!$G$29:$G$38,$A19,'Ход 2032'!$I$29:$I$38)</f>
        <v>0</v>
      </c>
      <c r="R19" s="14">
        <f>SUMIF('Ход 2033'!$G$29:$G$38,$A19,'Ход 2033'!$I$29:$I$38)</f>
        <v>0</v>
      </c>
      <c r="S19" s="14">
        <f>SUMIF('Ход 2034'!$G$29:$G$38,$A19,'Ход 2034'!$I$29:$I$38)</f>
        <v>0</v>
      </c>
      <c r="T19" s="14">
        <f>SUMIF('Ход 2035'!$G$29:$G$38,$A19,'Ход 2035'!$I$29:$I$38)</f>
        <v>0</v>
      </c>
      <c r="U19" s="14">
        <f>SUMIF('Ход 2036'!$G$29:$G$38,$A19,'Ход 2036'!$I$29:$I$38)</f>
        <v>0</v>
      </c>
      <c r="V19" s="14">
        <f>SUMIF('Ход 2037'!$G$29:$G$38,$A19,'Ход 2037'!$I$29:$I$38)</f>
        <v>0</v>
      </c>
      <c r="W19" s="14">
        <f>SUMIF('Ход 2038'!$G$29:$G$38,$A19,'Ход 2038'!$I$29:$I$38)</f>
        <v>0</v>
      </c>
      <c r="X19" s="14">
        <f>SUMIF('Ход 2039'!$G$29:$G$38,$A19,'Ход 2039'!$I$29:$I$38)</f>
        <v>0</v>
      </c>
      <c r="Y19" s="14">
        <f>SUMIF('Ход 2040'!$G$29:$G$38,$A19,'Ход 2040'!$I$29:$I$38)</f>
        <v>0</v>
      </c>
      <c r="Z19" s="19">
        <f t="shared" si="2"/>
        <v>0</v>
      </c>
      <c r="AA19" s="19">
        <f t="shared" si="3"/>
        <v>45</v>
      </c>
      <c r="AB19" s="5" t="str">
        <f t="shared" si="4"/>
        <v>ОТКРЫТО</v>
      </c>
      <c r="AC19" s="21">
        <f t="shared" ref="AC19:AQ19" si="27">SUM($K19:K19)</f>
        <v>0</v>
      </c>
      <c r="AD19" s="21">
        <f t="shared" si="27"/>
        <v>0</v>
      </c>
      <c r="AE19" s="21">
        <f t="shared" si="27"/>
        <v>0</v>
      </c>
      <c r="AF19" s="21">
        <f t="shared" si="27"/>
        <v>0</v>
      </c>
      <c r="AG19" s="21">
        <f t="shared" si="27"/>
        <v>0</v>
      </c>
      <c r="AH19" s="21">
        <f t="shared" si="27"/>
        <v>0</v>
      </c>
      <c r="AI19" s="21">
        <f t="shared" si="27"/>
        <v>0</v>
      </c>
      <c r="AJ19" s="21">
        <f t="shared" si="27"/>
        <v>0</v>
      </c>
      <c r="AK19" s="21">
        <f t="shared" si="27"/>
        <v>0</v>
      </c>
      <c r="AL19" s="21">
        <f t="shared" si="27"/>
        <v>0</v>
      </c>
      <c r="AM19" s="21">
        <f t="shared" si="27"/>
        <v>0</v>
      </c>
      <c r="AN19" s="21">
        <f t="shared" si="27"/>
        <v>0</v>
      </c>
      <c r="AO19" s="21">
        <f t="shared" si="27"/>
        <v>0</v>
      </c>
      <c r="AP19" s="21">
        <f t="shared" si="27"/>
        <v>0</v>
      </c>
      <c r="AQ19" s="21">
        <f t="shared" si="27"/>
        <v>0</v>
      </c>
      <c r="AR19" s="21" t="str">
        <f t="shared" si="6"/>
        <v>ЗАКРЫТО</v>
      </c>
      <c r="AS19" s="21" t="str">
        <f t="shared" si="7"/>
        <v>ОТКРЫТО</v>
      </c>
      <c r="AT19" s="21" t="str">
        <f t="shared" si="8"/>
        <v>ОТКРЫТО</v>
      </c>
      <c r="AU19" s="21" t="str">
        <f t="shared" si="9"/>
        <v>ОТКРЫТО</v>
      </c>
      <c r="AV19" s="21" t="str">
        <f t="shared" si="10"/>
        <v>ОТКРЫТО</v>
      </c>
      <c r="AW19" s="21" t="str">
        <f t="shared" si="11"/>
        <v>ОТКРЫТО</v>
      </c>
      <c r="AX19" s="21" t="str">
        <f t="shared" si="12"/>
        <v>ОТКРЫТО</v>
      </c>
      <c r="AY19" s="21" t="str">
        <f t="shared" si="13"/>
        <v>ОТКРЫТО</v>
      </c>
      <c r="AZ19" s="21" t="str">
        <f t="shared" si="14"/>
        <v>ОТКРЫТО</v>
      </c>
      <c r="BA19" s="21" t="str">
        <f t="shared" si="15"/>
        <v>ОТКРЫТО</v>
      </c>
      <c r="BB19" s="21" t="str">
        <f t="shared" si="16"/>
        <v>ОТКРЫТО</v>
      </c>
      <c r="BC19" s="21" t="str">
        <f t="shared" si="17"/>
        <v>ОТКРЫТО</v>
      </c>
      <c r="BD19" s="21" t="str">
        <f t="shared" si="18"/>
        <v>ОТКРЫТО</v>
      </c>
      <c r="BE19" s="21" t="str">
        <f t="shared" si="19"/>
        <v>ОТКРЫТО</v>
      </c>
      <c r="BF19" s="21" t="str">
        <f t="shared" si="20"/>
        <v>ОТКРЫТО</v>
      </c>
    </row>
    <row r="20">
      <c r="A20" s="5" t="s">
        <v>263</v>
      </c>
      <c r="B20" s="5" t="s">
        <v>248</v>
      </c>
      <c r="C20" s="5" t="s">
        <v>232</v>
      </c>
      <c r="D20" s="5" t="s">
        <v>264</v>
      </c>
      <c r="E20" s="5">
        <v>65.0</v>
      </c>
      <c r="F20" s="5" t="s">
        <v>252</v>
      </c>
      <c r="G20" s="5" t="s">
        <v>259</v>
      </c>
      <c r="H20" s="5"/>
      <c r="I20" s="5" t="s">
        <v>265</v>
      </c>
      <c r="J20" s="5" t="s">
        <v>266</v>
      </c>
      <c r="K20" s="14">
        <f>SUMIF('Ход 2026'!$G$29:$G$38,$A20,'Ход 2026'!$I$29:$I$38)</f>
        <v>0</v>
      </c>
      <c r="L20" s="14">
        <f>SUMIF('Ход 2027'!$G$29:$G$38,$A20,'Ход 2027'!$I$29:$I$38)</f>
        <v>0</v>
      </c>
      <c r="M20" s="14">
        <f>SUMIF('Ход 2028'!$G$29:$G$38,$A20,'Ход 2028'!$I$29:$I$38)</f>
        <v>0</v>
      </c>
      <c r="N20" s="14">
        <f>SUMIF('Ход 2029'!$G$29:$G$38,$A20,'Ход 2029'!$I$29:$I$38)</f>
        <v>0</v>
      </c>
      <c r="O20" s="14">
        <f>SUMIF('Ход 2030'!$G$29:$G$38,$A20,'Ход 2030'!$I$29:$I$38)</f>
        <v>0</v>
      </c>
      <c r="P20" s="14">
        <f>SUMIF('Ход 2031'!$G$29:$G$38,$A20,'Ход 2031'!$I$29:$I$38)</f>
        <v>0</v>
      </c>
      <c r="Q20" s="14">
        <f>SUMIF('Ход 2032'!$G$29:$G$38,$A20,'Ход 2032'!$I$29:$I$38)</f>
        <v>0</v>
      </c>
      <c r="R20" s="14">
        <f>SUMIF('Ход 2033'!$G$29:$G$38,$A20,'Ход 2033'!$I$29:$I$38)</f>
        <v>0</v>
      </c>
      <c r="S20" s="14">
        <f>SUMIF('Ход 2034'!$G$29:$G$38,$A20,'Ход 2034'!$I$29:$I$38)</f>
        <v>0</v>
      </c>
      <c r="T20" s="14">
        <f>SUMIF('Ход 2035'!$G$29:$G$38,$A20,'Ход 2035'!$I$29:$I$38)</f>
        <v>0</v>
      </c>
      <c r="U20" s="14">
        <f>SUMIF('Ход 2036'!$G$29:$G$38,$A20,'Ход 2036'!$I$29:$I$38)</f>
        <v>0</v>
      </c>
      <c r="V20" s="14">
        <f>SUMIF('Ход 2037'!$G$29:$G$38,$A20,'Ход 2037'!$I$29:$I$38)</f>
        <v>0</v>
      </c>
      <c r="W20" s="14">
        <f>SUMIF('Ход 2038'!$G$29:$G$38,$A20,'Ход 2038'!$I$29:$I$38)</f>
        <v>0</v>
      </c>
      <c r="X20" s="14">
        <f>SUMIF('Ход 2039'!$G$29:$G$38,$A20,'Ход 2039'!$I$29:$I$38)</f>
        <v>0</v>
      </c>
      <c r="Y20" s="14">
        <f>SUMIF('Ход 2040'!$G$29:$G$38,$A20,'Ход 2040'!$I$29:$I$38)</f>
        <v>0</v>
      </c>
      <c r="Z20" s="19">
        <f t="shared" si="2"/>
        <v>0</v>
      </c>
      <c r="AA20" s="19">
        <f t="shared" si="3"/>
        <v>65</v>
      </c>
      <c r="AB20" s="5" t="str">
        <f t="shared" si="4"/>
        <v>ЗАКРЫТО</v>
      </c>
      <c r="AC20" s="21">
        <f t="shared" ref="AC20:AQ20" si="28">SUM($K20:K20)</f>
        <v>0</v>
      </c>
      <c r="AD20" s="21">
        <f t="shared" si="28"/>
        <v>0</v>
      </c>
      <c r="AE20" s="21">
        <f t="shared" si="28"/>
        <v>0</v>
      </c>
      <c r="AF20" s="21">
        <f t="shared" si="28"/>
        <v>0</v>
      </c>
      <c r="AG20" s="21">
        <f t="shared" si="28"/>
        <v>0</v>
      </c>
      <c r="AH20" s="21">
        <f t="shared" si="28"/>
        <v>0</v>
      </c>
      <c r="AI20" s="21">
        <f t="shared" si="28"/>
        <v>0</v>
      </c>
      <c r="AJ20" s="21">
        <f t="shared" si="28"/>
        <v>0</v>
      </c>
      <c r="AK20" s="21">
        <f t="shared" si="28"/>
        <v>0</v>
      </c>
      <c r="AL20" s="21">
        <f t="shared" si="28"/>
        <v>0</v>
      </c>
      <c r="AM20" s="21">
        <f t="shared" si="28"/>
        <v>0</v>
      </c>
      <c r="AN20" s="21">
        <f t="shared" si="28"/>
        <v>0</v>
      </c>
      <c r="AO20" s="21">
        <f t="shared" si="28"/>
        <v>0</v>
      </c>
      <c r="AP20" s="21">
        <f t="shared" si="28"/>
        <v>0</v>
      </c>
      <c r="AQ20" s="21">
        <f t="shared" si="28"/>
        <v>0</v>
      </c>
      <c r="AR20" s="21" t="str">
        <f t="shared" si="6"/>
        <v>ЗАКРЫТО</v>
      </c>
      <c r="AS20" s="21" t="str">
        <f t="shared" si="7"/>
        <v>ЗАКРЫТО</v>
      </c>
      <c r="AT20" s="21" t="str">
        <f t="shared" si="8"/>
        <v>ЗАКРЫТО</v>
      </c>
      <c r="AU20" s="21" t="str">
        <f t="shared" si="9"/>
        <v>ЗАКРЫТО</v>
      </c>
      <c r="AV20" s="21" t="str">
        <f t="shared" si="10"/>
        <v>ЗАКРЫТО</v>
      </c>
      <c r="AW20" s="21" t="str">
        <f t="shared" si="11"/>
        <v>ЗАКРЫТО</v>
      </c>
      <c r="AX20" s="21" t="str">
        <f t="shared" si="12"/>
        <v>ЗАКРЫТО</v>
      </c>
      <c r="AY20" s="21" t="str">
        <f t="shared" si="13"/>
        <v>ЗАКРЫТО</v>
      </c>
      <c r="AZ20" s="21" t="str">
        <f t="shared" si="14"/>
        <v>ЗАКРЫТО</v>
      </c>
      <c r="BA20" s="21" t="str">
        <f t="shared" si="15"/>
        <v>ЗАКРЫТО</v>
      </c>
      <c r="BB20" s="21" t="str">
        <f t="shared" si="16"/>
        <v>ЗАКРЫТО</v>
      </c>
      <c r="BC20" s="21" t="str">
        <f t="shared" si="17"/>
        <v>ЗАКРЫТО</v>
      </c>
      <c r="BD20" s="21" t="str">
        <f t="shared" si="18"/>
        <v>ЗАКРЫТО</v>
      </c>
      <c r="BE20" s="21" t="str">
        <f t="shared" si="19"/>
        <v>ЗАКРЫТО</v>
      </c>
      <c r="BF20" s="21" t="str">
        <f t="shared" si="20"/>
        <v>ЗАКРЫТО</v>
      </c>
    </row>
    <row r="21" ht="15.75" customHeight="1">
      <c r="A21" s="5" t="s">
        <v>267</v>
      </c>
      <c r="B21" s="5" t="s">
        <v>248</v>
      </c>
      <c r="C21" s="5" t="s">
        <v>237</v>
      </c>
      <c r="D21" s="5" t="s">
        <v>268</v>
      </c>
      <c r="E21" s="5">
        <v>100.0</v>
      </c>
      <c r="F21" s="5" t="s">
        <v>263</v>
      </c>
      <c r="G21" s="5"/>
      <c r="H21" s="5"/>
      <c r="I21" s="5" t="s">
        <v>269</v>
      </c>
      <c r="J21" s="5" t="s">
        <v>270</v>
      </c>
      <c r="K21" s="14">
        <f>SUMIF('Ход 2026'!$G$29:$G$38,$A21,'Ход 2026'!$I$29:$I$38)</f>
        <v>0</v>
      </c>
      <c r="L21" s="14">
        <f>SUMIF('Ход 2027'!$G$29:$G$38,$A21,'Ход 2027'!$I$29:$I$38)</f>
        <v>0</v>
      </c>
      <c r="M21" s="14">
        <f>SUMIF('Ход 2028'!$G$29:$G$38,$A21,'Ход 2028'!$I$29:$I$38)</f>
        <v>0</v>
      </c>
      <c r="N21" s="14">
        <f>SUMIF('Ход 2029'!$G$29:$G$38,$A21,'Ход 2029'!$I$29:$I$38)</f>
        <v>0</v>
      </c>
      <c r="O21" s="14">
        <f>SUMIF('Ход 2030'!$G$29:$G$38,$A21,'Ход 2030'!$I$29:$I$38)</f>
        <v>0</v>
      </c>
      <c r="P21" s="14">
        <f>SUMIF('Ход 2031'!$G$29:$G$38,$A21,'Ход 2031'!$I$29:$I$38)</f>
        <v>0</v>
      </c>
      <c r="Q21" s="14">
        <f>SUMIF('Ход 2032'!$G$29:$G$38,$A21,'Ход 2032'!$I$29:$I$38)</f>
        <v>0</v>
      </c>
      <c r="R21" s="14">
        <f>SUMIF('Ход 2033'!$G$29:$G$38,$A21,'Ход 2033'!$I$29:$I$38)</f>
        <v>0</v>
      </c>
      <c r="S21" s="14">
        <f>SUMIF('Ход 2034'!$G$29:$G$38,$A21,'Ход 2034'!$I$29:$I$38)</f>
        <v>0</v>
      </c>
      <c r="T21" s="14">
        <f>SUMIF('Ход 2035'!$G$29:$G$38,$A21,'Ход 2035'!$I$29:$I$38)</f>
        <v>0</v>
      </c>
      <c r="U21" s="14">
        <f>SUMIF('Ход 2036'!$G$29:$G$38,$A21,'Ход 2036'!$I$29:$I$38)</f>
        <v>0</v>
      </c>
      <c r="V21" s="14">
        <f>SUMIF('Ход 2037'!$G$29:$G$38,$A21,'Ход 2037'!$I$29:$I$38)</f>
        <v>0</v>
      </c>
      <c r="W21" s="14">
        <f>SUMIF('Ход 2038'!$G$29:$G$38,$A21,'Ход 2038'!$I$29:$I$38)</f>
        <v>0</v>
      </c>
      <c r="X21" s="14">
        <f>SUMIF('Ход 2039'!$G$29:$G$38,$A21,'Ход 2039'!$I$29:$I$38)</f>
        <v>0</v>
      </c>
      <c r="Y21" s="14">
        <f>SUMIF('Ход 2040'!$G$29:$G$38,$A21,'Ход 2040'!$I$29:$I$38)</f>
        <v>0</v>
      </c>
      <c r="Z21" s="19">
        <f t="shared" si="2"/>
        <v>0</v>
      </c>
      <c r="AA21" s="19">
        <f t="shared" si="3"/>
        <v>100</v>
      </c>
      <c r="AB21" s="5" t="str">
        <f t="shared" si="4"/>
        <v>ЗАКРЫТО</v>
      </c>
      <c r="AC21" s="21">
        <f t="shared" ref="AC21:AQ21" si="29">SUM($K21:K21)</f>
        <v>0</v>
      </c>
      <c r="AD21" s="21">
        <f t="shared" si="29"/>
        <v>0</v>
      </c>
      <c r="AE21" s="21">
        <f t="shared" si="29"/>
        <v>0</v>
      </c>
      <c r="AF21" s="21">
        <f t="shared" si="29"/>
        <v>0</v>
      </c>
      <c r="AG21" s="21">
        <f t="shared" si="29"/>
        <v>0</v>
      </c>
      <c r="AH21" s="21">
        <f t="shared" si="29"/>
        <v>0</v>
      </c>
      <c r="AI21" s="21">
        <f t="shared" si="29"/>
        <v>0</v>
      </c>
      <c r="AJ21" s="21">
        <f t="shared" si="29"/>
        <v>0</v>
      </c>
      <c r="AK21" s="21">
        <f t="shared" si="29"/>
        <v>0</v>
      </c>
      <c r="AL21" s="21">
        <f t="shared" si="29"/>
        <v>0</v>
      </c>
      <c r="AM21" s="21">
        <f t="shared" si="29"/>
        <v>0</v>
      </c>
      <c r="AN21" s="21">
        <f t="shared" si="29"/>
        <v>0</v>
      </c>
      <c r="AO21" s="21">
        <f t="shared" si="29"/>
        <v>0</v>
      </c>
      <c r="AP21" s="21">
        <f t="shared" si="29"/>
        <v>0</v>
      </c>
      <c r="AQ21" s="21">
        <f t="shared" si="29"/>
        <v>0</v>
      </c>
      <c r="AR21" s="21" t="str">
        <f t="shared" si="6"/>
        <v>ЗАКРЫТО</v>
      </c>
      <c r="AS21" s="21" t="str">
        <f t="shared" si="7"/>
        <v>ЗАКРЫТО</v>
      </c>
      <c r="AT21" s="21" t="str">
        <f t="shared" si="8"/>
        <v>ЗАКРЫТО</v>
      </c>
      <c r="AU21" s="21" t="str">
        <f t="shared" si="9"/>
        <v>ЗАКРЫТО</v>
      </c>
      <c r="AV21" s="21" t="str">
        <f t="shared" si="10"/>
        <v>ЗАКРЫТО</v>
      </c>
      <c r="AW21" s="21" t="str">
        <f t="shared" si="11"/>
        <v>ЗАКРЫТО</v>
      </c>
      <c r="AX21" s="21" t="str">
        <f t="shared" si="12"/>
        <v>ЗАКРЫТО</v>
      </c>
      <c r="AY21" s="21" t="str">
        <f t="shared" si="13"/>
        <v>ЗАКРЫТО</v>
      </c>
      <c r="AZ21" s="21" t="str">
        <f t="shared" si="14"/>
        <v>ЗАКРЫТО</v>
      </c>
      <c r="BA21" s="21" t="str">
        <f t="shared" si="15"/>
        <v>ЗАКРЫТО</v>
      </c>
      <c r="BB21" s="21" t="str">
        <f t="shared" si="16"/>
        <v>ЗАКРЫТО</v>
      </c>
      <c r="BC21" s="21" t="str">
        <f t="shared" si="17"/>
        <v>ЗАКРЫТО</v>
      </c>
      <c r="BD21" s="21" t="str">
        <f t="shared" si="18"/>
        <v>ЗАКРЫТО</v>
      </c>
      <c r="BE21" s="21" t="str">
        <f t="shared" si="19"/>
        <v>ЗАКРЫТО</v>
      </c>
      <c r="BF21" s="21" t="str">
        <f t="shared" si="20"/>
        <v>ЗАКРЫТО</v>
      </c>
    </row>
    <row r="22" ht="15.75" customHeight="1">
      <c r="A22" s="5" t="s">
        <v>271</v>
      </c>
      <c r="B22" s="5" t="s">
        <v>248</v>
      </c>
      <c r="C22" s="5" t="s">
        <v>243</v>
      </c>
      <c r="D22" s="5" t="s">
        <v>272</v>
      </c>
      <c r="E22" s="5">
        <v>155.0</v>
      </c>
      <c r="F22" s="5" t="s">
        <v>267</v>
      </c>
      <c r="G22" s="5"/>
      <c r="H22" s="5"/>
      <c r="I22" s="5" t="s">
        <v>273</v>
      </c>
      <c r="J22" s="5" t="s">
        <v>274</v>
      </c>
      <c r="K22" s="14">
        <f>SUMIF('Ход 2026'!$G$29:$G$38,$A22,'Ход 2026'!$I$29:$I$38)</f>
        <v>0</v>
      </c>
      <c r="L22" s="14">
        <f>SUMIF('Ход 2027'!$G$29:$G$38,$A22,'Ход 2027'!$I$29:$I$38)</f>
        <v>0</v>
      </c>
      <c r="M22" s="14">
        <f>SUMIF('Ход 2028'!$G$29:$G$38,$A22,'Ход 2028'!$I$29:$I$38)</f>
        <v>0</v>
      </c>
      <c r="N22" s="14">
        <f>SUMIF('Ход 2029'!$G$29:$G$38,$A22,'Ход 2029'!$I$29:$I$38)</f>
        <v>0</v>
      </c>
      <c r="O22" s="14">
        <f>SUMIF('Ход 2030'!$G$29:$G$38,$A22,'Ход 2030'!$I$29:$I$38)</f>
        <v>0</v>
      </c>
      <c r="P22" s="14">
        <f>SUMIF('Ход 2031'!$G$29:$G$38,$A22,'Ход 2031'!$I$29:$I$38)</f>
        <v>0</v>
      </c>
      <c r="Q22" s="14">
        <f>SUMIF('Ход 2032'!$G$29:$G$38,$A22,'Ход 2032'!$I$29:$I$38)</f>
        <v>0</v>
      </c>
      <c r="R22" s="14">
        <f>SUMIF('Ход 2033'!$G$29:$G$38,$A22,'Ход 2033'!$I$29:$I$38)</f>
        <v>0</v>
      </c>
      <c r="S22" s="14">
        <f>SUMIF('Ход 2034'!$G$29:$G$38,$A22,'Ход 2034'!$I$29:$I$38)</f>
        <v>0</v>
      </c>
      <c r="T22" s="14">
        <f>SUMIF('Ход 2035'!$G$29:$G$38,$A22,'Ход 2035'!$I$29:$I$38)</f>
        <v>0</v>
      </c>
      <c r="U22" s="14">
        <f>SUMIF('Ход 2036'!$G$29:$G$38,$A22,'Ход 2036'!$I$29:$I$38)</f>
        <v>0</v>
      </c>
      <c r="V22" s="14">
        <f>SUMIF('Ход 2037'!$G$29:$G$38,$A22,'Ход 2037'!$I$29:$I$38)</f>
        <v>0</v>
      </c>
      <c r="W22" s="14">
        <f>SUMIF('Ход 2038'!$G$29:$G$38,$A22,'Ход 2038'!$I$29:$I$38)</f>
        <v>0</v>
      </c>
      <c r="X22" s="14">
        <f>SUMIF('Ход 2039'!$G$29:$G$38,$A22,'Ход 2039'!$I$29:$I$38)</f>
        <v>0</v>
      </c>
      <c r="Y22" s="14">
        <f>SUMIF('Ход 2040'!$G$29:$G$38,$A22,'Ход 2040'!$I$29:$I$38)</f>
        <v>0</v>
      </c>
      <c r="Z22" s="19">
        <f t="shared" si="2"/>
        <v>0</v>
      </c>
      <c r="AA22" s="19">
        <f t="shared" si="3"/>
        <v>155</v>
      </c>
      <c r="AB22" s="5" t="str">
        <f t="shared" si="4"/>
        <v>ЗАКРЫТО</v>
      </c>
      <c r="AC22" s="21">
        <f t="shared" ref="AC22:AQ22" si="30">SUM($K22:K22)</f>
        <v>0</v>
      </c>
      <c r="AD22" s="21">
        <f t="shared" si="30"/>
        <v>0</v>
      </c>
      <c r="AE22" s="21">
        <f t="shared" si="30"/>
        <v>0</v>
      </c>
      <c r="AF22" s="21">
        <f t="shared" si="30"/>
        <v>0</v>
      </c>
      <c r="AG22" s="21">
        <f t="shared" si="30"/>
        <v>0</v>
      </c>
      <c r="AH22" s="21">
        <f t="shared" si="30"/>
        <v>0</v>
      </c>
      <c r="AI22" s="21">
        <f t="shared" si="30"/>
        <v>0</v>
      </c>
      <c r="AJ22" s="21">
        <f t="shared" si="30"/>
        <v>0</v>
      </c>
      <c r="AK22" s="21">
        <f t="shared" si="30"/>
        <v>0</v>
      </c>
      <c r="AL22" s="21">
        <f t="shared" si="30"/>
        <v>0</v>
      </c>
      <c r="AM22" s="21">
        <f t="shared" si="30"/>
        <v>0</v>
      </c>
      <c r="AN22" s="21">
        <f t="shared" si="30"/>
        <v>0</v>
      </c>
      <c r="AO22" s="21">
        <f t="shared" si="30"/>
        <v>0</v>
      </c>
      <c r="AP22" s="21">
        <f t="shared" si="30"/>
        <v>0</v>
      </c>
      <c r="AQ22" s="21">
        <f t="shared" si="30"/>
        <v>0</v>
      </c>
      <c r="AR22" s="21" t="str">
        <f t="shared" si="6"/>
        <v>ЗАКРЫТО</v>
      </c>
      <c r="AS22" s="21" t="str">
        <f t="shared" si="7"/>
        <v>ЗАКРЫТО</v>
      </c>
      <c r="AT22" s="21" t="str">
        <f t="shared" si="8"/>
        <v>ЗАКРЫТО</v>
      </c>
      <c r="AU22" s="21" t="str">
        <f t="shared" si="9"/>
        <v>ЗАКРЫТО</v>
      </c>
      <c r="AV22" s="21" t="str">
        <f t="shared" si="10"/>
        <v>ЗАКРЫТО</v>
      </c>
      <c r="AW22" s="21" t="str">
        <f t="shared" si="11"/>
        <v>ЗАКРЫТО</v>
      </c>
      <c r="AX22" s="21" t="str">
        <f t="shared" si="12"/>
        <v>ЗАКРЫТО</v>
      </c>
      <c r="AY22" s="21" t="str">
        <f t="shared" si="13"/>
        <v>ЗАКРЫТО</v>
      </c>
      <c r="AZ22" s="21" t="str">
        <f t="shared" si="14"/>
        <v>ЗАКРЫТО</v>
      </c>
      <c r="BA22" s="21" t="str">
        <f t="shared" si="15"/>
        <v>ЗАКРЫТО</v>
      </c>
      <c r="BB22" s="21" t="str">
        <f t="shared" si="16"/>
        <v>ЗАКРЫТО</v>
      </c>
      <c r="BC22" s="21" t="str">
        <f t="shared" si="17"/>
        <v>ЗАКРЫТО</v>
      </c>
      <c r="BD22" s="21" t="str">
        <f t="shared" si="18"/>
        <v>ЗАКРЫТО</v>
      </c>
      <c r="BE22" s="21" t="str">
        <f t="shared" si="19"/>
        <v>ЗАКРЫТО</v>
      </c>
      <c r="BF22" s="21" t="str">
        <f t="shared" si="20"/>
        <v>ЗАКРЫТО</v>
      </c>
    </row>
    <row r="23" ht="15.75" customHeight="1">
      <c r="A23" s="13" t="s">
        <v>160</v>
      </c>
      <c r="B23" s="5" t="s">
        <v>275</v>
      </c>
      <c r="C23" s="5" t="s">
        <v>87</v>
      </c>
      <c r="D23" s="5" t="s">
        <v>276</v>
      </c>
      <c r="E23" s="5">
        <v>20.0</v>
      </c>
      <c r="F23" s="5"/>
      <c r="G23" s="5"/>
      <c r="H23" s="5"/>
      <c r="I23" s="5" t="s">
        <v>277</v>
      </c>
      <c r="J23" s="5" t="s">
        <v>278</v>
      </c>
      <c r="K23" s="14">
        <f>SUMIF('Ход 2026'!$G$29:$G$38,$A23,'Ход 2026'!$I$29:$I$38)</f>
        <v>20</v>
      </c>
      <c r="L23" s="14">
        <f>SUMIF('Ход 2027'!$G$29:$G$38,$A23,'Ход 2027'!$I$29:$I$38)</f>
        <v>0</v>
      </c>
      <c r="M23" s="14">
        <f>SUMIF('Ход 2028'!$G$29:$G$38,$A23,'Ход 2028'!$I$29:$I$38)</f>
        <v>0</v>
      </c>
      <c r="N23" s="14">
        <f>SUMIF('Ход 2029'!$G$29:$G$38,$A23,'Ход 2029'!$I$29:$I$38)</f>
        <v>0</v>
      </c>
      <c r="O23" s="14">
        <f>SUMIF('Ход 2030'!$G$29:$G$38,$A23,'Ход 2030'!$I$29:$I$38)</f>
        <v>0</v>
      </c>
      <c r="P23" s="14">
        <f>SUMIF('Ход 2031'!$G$29:$G$38,$A23,'Ход 2031'!$I$29:$I$38)</f>
        <v>0</v>
      </c>
      <c r="Q23" s="14">
        <f>SUMIF('Ход 2032'!$G$29:$G$38,$A23,'Ход 2032'!$I$29:$I$38)</f>
        <v>0</v>
      </c>
      <c r="R23" s="14">
        <f>SUMIF('Ход 2033'!$G$29:$G$38,$A23,'Ход 2033'!$I$29:$I$38)</f>
        <v>0</v>
      </c>
      <c r="S23" s="14">
        <f>SUMIF('Ход 2034'!$G$29:$G$38,$A23,'Ход 2034'!$I$29:$I$38)</f>
        <v>0</v>
      </c>
      <c r="T23" s="14">
        <f>SUMIF('Ход 2035'!$G$29:$G$38,$A23,'Ход 2035'!$I$29:$I$38)</f>
        <v>0</v>
      </c>
      <c r="U23" s="14">
        <f>SUMIF('Ход 2036'!$G$29:$G$38,$A23,'Ход 2036'!$I$29:$I$38)</f>
        <v>0</v>
      </c>
      <c r="V23" s="14">
        <f>SUMIF('Ход 2037'!$G$29:$G$38,$A23,'Ход 2037'!$I$29:$I$38)</f>
        <v>0</v>
      </c>
      <c r="W23" s="14">
        <f>SUMIF('Ход 2038'!$G$29:$G$38,$A23,'Ход 2038'!$I$29:$I$38)</f>
        <v>0</v>
      </c>
      <c r="X23" s="14">
        <f>SUMIF('Ход 2039'!$G$29:$G$38,$A23,'Ход 2039'!$I$29:$I$38)</f>
        <v>0</v>
      </c>
      <c r="Y23" s="14">
        <f>SUMIF('Ход 2040'!$G$29:$G$38,$A23,'Ход 2040'!$I$29:$I$38)</f>
        <v>0</v>
      </c>
      <c r="Z23" s="19">
        <f t="shared" si="2"/>
        <v>20</v>
      </c>
      <c r="AA23" s="19">
        <f t="shared" si="3"/>
        <v>0</v>
      </c>
      <c r="AB23" s="5" t="str">
        <f t="shared" si="4"/>
        <v>ИЗУЧЕНО</v>
      </c>
      <c r="AC23" s="21">
        <f t="shared" ref="AC23:AQ23" si="31">SUM($K23:K23)</f>
        <v>20</v>
      </c>
      <c r="AD23" s="21">
        <f t="shared" si="31"/>
        <v>20</v>
      </c>
      <c r="AE23" s="21">
        <f t="shared" si="31"/>
        <v>20</v>
      </c>
      <c r="AF23" s="21">
        <f t="shared" si="31"/>
        <v>20</v>
      </c>
      <c r="AG23" s="21">
        <f t="shared" si="31"/>
        <v>20</v>
      </c>
      <c r="AH23" s="21">
        <f t="shared" si="31"/>
        <v>20</v>
      </c>
      <c r="AI23" s="21">
        <f t="shared" si="31"/>
        <v>20</v>
      </c>
      <c r="AJ23" s="21">
        <f t="shared" si="31"/>
        <v>20</v>
      </c>
      <c r="AK23" s="21">
        <f t="shared" si="31"/>
        <v>20</v>
      </c>
      <c r="AL23" s="21">
        <f t="shared" si="31"/>
        <v>20</v>
      </c>
      <c r="AM23" s="21">
        <f t="shared" si="31"/>
        <v>20</v>
      </c>
      <c r="AN23" s="21">
        <f t="shared" si="31"/>
        <v>20</v>
      </c>
      <c r="AO23" s="21">
        <f t="shared" si="31"/>
        <v>20</v>
      </c>
      <c r="AP23" s="21">
        <f t="shared" si="31"/>
        <v>20</v>
      </c>
      <c r="AQ23" s="21">
        <f t="shared" si="31"/>
        <v>20</v>
      </c>
      <c r="AR23" s="21" t="str">
        <f t="shared" si="6"/>
        <v>ИЗУЧЕНО</v>
      </c>
      <c r="AS23" s="21" t="str">
        <f t="shared" si="7"/>
        <v>ИЗУЧЕНО</v>
      </c>
      <c r="AT23" s="21" t="str">
        <f t="shared" si="8"/>
        <v>ИЗУЧЕНО</v>
      </c>
      <c r="AU23" s="21" t="str">
        <f t="shared" si="9"/>
        <v>ИЗУЧЕНО</v>
      </c>
      <c r="AV23" s="21" t="str">
        <f t="shared" si="10"/>
        <v>ИЗУЧЕНО</v>
      </c>
      <c r="AW23" s="21" t="str">
        <f t="shared" si="11"/>
        <v>ИЗУЧЕНО</v>
      </c>
      <c r="AX23" s="21" t="str">
        <f t="shared" si="12"/>
        <v>ИЗУЧЕНО</v>
      </c>
      <c r="AY23" s="21" t="str">
        <f t="shared" si="13"/>
        <v>ИЗУЧЕНО</v>
      </c>
      <c r="AZ23" s="21" t="str">
        <f t="shared" si="14"/>
        <v>ИЗУЧЕНО</v>
      </c>
      <c r="BA23" s="21" t="str">
        <f t="shared" si="15"/>
        <v>ИЗУЧЕНО</v>
      </c>
      <c r="BB23" s="21" t="str">
        <f t="shared" si="16"/>
        <v>ИЗУЧЕНО</v>
      </c>
      <c r="BC23" s="21" t="str">
        <f t="shared" si="17"/>
        <v>ИЗУЧЕНО</v>
      </c>
      <c r="BD23" s="21" t="str">
        <f t="shared" si="18"/>
        <v>ИЗУЧЕНО</v>
      </c>
      <c r="BE23" s="21" t="str">
        <f t="shared" si="19"/>
        <v>ИЗУЧЕНО</v>
      </c>
      <c r="BF23" s="21" t="str">
        <f t="shared" si="20"/>
        <v>ИЗУЧЕНО</v>
      </c>
    </row>
    <row r="24" ht="15.75" customHeight="1">
      <c r="A24" s="24" t="s">
        <v>258</v>
      </c>
      <c r="B24" s="5" t="s">
        <v>275</v>
      </c>
      <c r="C24" s="5" t="s">
        <v>209</v>
      </c>
      <c r="D24" s="5" t="s">
        <v>280</v>
      </c>
      <c r="E24" s="5">
        <v>35.0</v>
      </c>
      <c r="F24" s="5" t="s">
        <v>160</v>
      </c>
      <c r="G24" s="5"/>
      <c r="H24" s="5"/>
      <c r="I24" s="5" t="s">
        <v>281</v>
      </c>
      <c r="J24" s="5" t="s">
        <v>282</v>
      </c>
      <c r="K24" s="14">
        <f>SUMIF('Ход 2026'!$G$29:$G$38,$A24,'Ход 2026'!$I$29:$I$38)</f>
        <v>0</v>
      </c>
      <c r="L24" s="14">
        <f>SUMIF('Ход 2027'!$G$29:$G$38,$A24,'Ход 2027'!$I$29:$I$38)</f>
        <v>5.7</v>
      </c>
      <c r="M24" s="14">
        <f>SUMIF('Ход 2028'!$G$29:$G$38,$A24,'Ход 2028'!$I$29:$I$38)</f>
        <v>0</v>
      </c>
      <c r="N24" s="14">
        <f>SUMIF('Ход 2029'!$G$29:$G$38,$A24,'Ход 2029'!$I$29:$I$38)</f>
        <v>0</v>
      </c>
      <c r="O24" s="14">
        <f>SUMIF('Ход 2030'!$G$29:$G$38,$A24,'Ход 2030'!$I$29:$I$38)</f>
        <v>0</v>
      </c>
      <c r="P24" s="14">
        <f>SUMIF('Ход 2031'!$G$29:$G$38,$A24,'Ход 2031'!$I$29:$I$38)</f>
        <v>0</v>
      </c>
      <c r="Q24" s="14">
        <f>SUMIF('Ход 2032'!$G$29:$G$38,$A24,'Ход 2032'!$I$29:$I$38)</f>
        <v>0</v>
      </c>
      <c r="R24" s="14">
        <f>SUMIF('Ход 2033'!$G$29:$G$38,$A24,'Ход 2033'!$I$29:$I$38)</f>
        <v>0</v>
      </c>
      <c r="S24" s="14">
        <f>SUMIF('Ход 2034'!$G$29:$G$38,$A24,'Ход 2034'!$I$29:$I$38)</f>
        <v>0</v>
      </c>
      <c r="T24" s="14">
        <f>SUMIF('Ход 2035'!$G$29:$G$38,$A24,'Ход 2035'!$I$29:$I$38)</f>
        <v>0</v>
      </c>
      <c r="U24" s="14">
        <f>SUMIF('Ход 2036'!$G$29:$G$38,$A24,'Ход 2036'!$I$29:$I$38)</f>
        <v>0</v>
      </c>
      <c r="V24" s="14">
        <f>SUMIF('Ход 2037'!$G$29:$G$38,$A24,'Ход 2037'!$I$29:$I$38)</f>
        <v>0</v>
      </c>
      <c r="W24" s="14">
        <f>SUMIF('Ход 2038'!$G$29:$G$38,$A24,'Ход 2038'!$I$29:$I$38)</f>
        <v>0</v>
      </c>
      <c r="X24" s="14">
        <f>SUMIF('Ход 2039'!$G$29:$G$38,$A24,'Ход 2039'!$I$29:$I$38)</f>
        <v>0</v>
      </c>
      <c r="Y24" s="14">
        <f>SUMIF('Ход 2040'!$G$29:$G$38,$A24,'Ход 2040'!$I$29:$I$38)</f>
        <v>0</v>
      </c>
      <c r="Z24" s="19">
        <f t="shared" si="2"/>
        <v>5.7</v>
      </c>
      <c r="AA24" s="19">
        <f t="shared" si="3"/>
        <v>29.3</v>
      </c>
      <c r="AB24" s="5" t="str">
        <f t="shared" si="4"/>
        <v>ОТКРЫТО</v>
      </c>
      <c r="AC24" s="21">
        <f t="shared" ref="AC24:AQ24" si="32">SUM($K24:K24)</f>
        <v>0</v>
      </c>
      <c r="AD24" s="21">
        <f t="shared" si="32"/>
        <v>5.7</v>
      </c>
      <c r="AE24" s="21">
        <f t="shared" si="32"/>
        <v>5.7</v>
      </c>
      <c r="AF24" s="21">
        <f t="shared" si="32"/>
        <v>5.7</v>
      </c>
      <c r="AG24" s="21">
        <f t="shared" si="32"/>
        <v>5.7</v>
      </c>
      <c r="AH24" s="21">
        <f t="shared" si="32"/>
        <v>5.7</v>
      </c>
      <c r="AI24" s="21">
        <f t="shared" si="32"/>
        <v>5.7</v>
      </c>
      <c r="AJ24" s="21">
        <f t="shared" si="32"/>
        <v>5.7</v>
      </c>
      <c r="AK24" s="21">
        <f t="shared" si="32"/>
        <v>5.7</v>
      </c>
      <c r="AL24" s="21">
        <f t="shared" si="32"/>
        <v>5.7</v>
      </c>
      <c r="AM24" s="21">
        <f t="shared" si="32"/>
        <v>5.7</v>
      </c>
      <c r="AN24" s="21">
        <f t="shared" si="32"/>
        <v>5.7</v>
      </c>
      <c r="AO24" s="21">
        <f t="shared" si="32"/>
        <v>5.7</v>
      </c>
      <c r="AP24" s="21">
        <f t="shared" si="32"/>
        <v>5.7</v>
      </c>
      <c r="AQ24" s="21">
        <f t="shared" si="32"/>
        <v>5.7</v>
      </c>
      <c r="AR24" s="21" t="str">
        <f t="shared" si="6"/>
        <v>ОТКРЫТО</v>
      </c>
      <c r="AS24" s="21" t="str">
        <f t="shared" si="7"/>
        <v>ОТКРЫТО</v>
      </c>
      <c r="AT24" s="21" t="str">
        <f t="shared" si="8"/>
        <v>ОТКРЫТО</v>
      </c>
      <c r="AU24" s="21" t="str">
        <f t="shared" si="9"/>
        <v>ОТКРЫТО</v>
      </c>
      <c r="AV24" s="21" t="str">
        <f t="shared" si="10"/>
        <v>ОТКРЫТО</v>
      </c>
      <c r="AW24" s="21" t="str">
        <f t="shared" si="11"/>
        <v>ОТКРЫТО</v>
      </c>
      <c r="AX24" s="21" t="str">
        <f t="shared" si="12"/>
        <v>ОТКРЫТО</v>
      </c>
      <c r="AY24" s="21" t="str">
        <f t="shared" si="13"/>
        <v>ОТКРЫТО</v>
      </c>
      <c r="AZ24" s="21" t="str">
        <f t="shared" si="14"/>
        <v>ОТКРЫТО</v>
      </c>
      <c r="BA24" s="21" t="str">
        <f t="shared" si="15"/>
        <v>ОТКРЫТО</v>
      </c>
      <c r="BB24" s="21" t="str">
        <f t="shared" si="16"/>
        <v>ОТКРЫТО</v>
      </c>
      <c r="BC24" s="21" t="str">
        <f t="shared" si="17"/>
        <v>ОТКРЫТО</v>
      </c>
      <c r="BD24" s="21" t="str">
        <f t="shared" si="18"/>
        <v>ОТКРЫТО</v>
      </c>
      <c r="BE24" s="21" t="str">
        <f t="shared" si="19"/>
        <v>ОТКРЫТО</v>
      </c>
      <c r="BF24" s="21" t="str">
        <f t="shared" si="20"/>
        <v>ОТКРЫТО</v>
      </c>
    </row>
    <row r="25" ht="15.75" customHeight="1">
      <c r="A25" s="13" t="s">
        <v>256</v>
      </c>
      <c r="B25" s="5" t="s">
        <v>275</v>
      </c>
      <c r="C25" s="5" t="s">
        <v>209</v>
      </c>
      <c r="D25" s="5" t="s">
        <v>284</v>
      </c>
      <c r="E25" s="5">
        <v>40.0</v>
      </c>
      <c r="F25" s="5" t="s">
        <v>160</v>
      </c>
      <c r="G25" s="5"/>
      <c r="H25" s="5"/>
      <c r="I25" s="5" t="s">
        <v>285</v>
      </c>
      <c r="J25" s="5" t="s">
        <v>286</v>
      </c>
      <c r="K25" s="14">
        <f>SUMIF('Ход 2026'!$G$29:$G$38,$A25,'Ход 2026'!$I$29:$I$38)</f>
        <v>0</v>
      </c>
      <c r="L25" s="14">
        <f>SUMIF('Ход 2027'!$G$29:$G$38,$A25,'Ход 2027'!$I$29:$I$38)</f>
        <v>40</v>
      </c>
      <c r="M25" s="14">
        <f>SUMIF('Ход 2028'!$G$29:$G$38,$A25,'Ход 2028'!$I$29:$I$38)</f>
        <v>0</v>
      </c>
      <c r="N25" s="14">
        <f>SUMIF('Ход 2029'!$G$29:$G$38,$A25,'Ход 2029'!$I$29:$I$38)</f>
        <v>0</v>
      </c>
      <c r="O25" s="14">
        <f>SUMIF('Ход 2030'!$G$29:$G$38,$A25,'Ход 2030'!$I$29:$I$38)</f>
        <v>0</v>
      </c>
      <c r="P25" s="14">
        <f>SUMIF('Ход 2031'!$G$29:$G$38,$A25,'Ход 2031'!$I$29:$I$38)</f>
        <v>0</v>
      </c>
      <c r="Q25" s="14">
        <f>SUMIF('Ход 2032'!$G$29:$G$38,$A25,'Ход 2032'!$I$29:$I$38)</f>
        <v>0</v>
      </c>
      <c r="R25" s="14">
        <f>SUMIF('Ход 2033'!$G$29:$G$38,$A25,'Ход 2033'!$I$29:$I$38)</f>
        <v>0</v>
      </c>
      <c r="S25" s="14">
        <f>SUMIF('Ход 2034'!$G$29:$G$38,$A25,'Ход 2034'!$I$29:$I$38)</f>
        <v>0</v>
      </c>
      <c r="T25" s="14">
        <f>SUMIF('Ход 2035'!$G$29:$G$38,$A25,'Ход 2035'!$I$29:$I$38)</f>
        <v>0</v>
      </c>
      <c r="U25" s="14">
        <f>SUMIF('Ход 2036'!$G$29:$G$38,$A25,'Ход 2036'!$I$29:$I$38)</f>
        <v>0</v>
      </c>
      <c r="V25" s="14">
        <f>SUMIF('Ход 2037'!$G$29:$G$38,$A25,'Ход 2037'!$I$29:$I$38)</f>
        <v>0</v>
      </c>
      <c r="W25" s="14">
        <f>SUMIF('Ход 2038'!$G$29:$G$38,$A25,'Ход 2038'!$I$29:$I$38)</f>
        <v>0</v>
      </c>
      <c r="X25" s="14">
        <f>SUMIF('Ход 2039'!$G$29:$G$38,$A25,'Ход 2039'!$I$29:$I$38)</f>
        <v>0</v>
      </c>
      <c r="Y25" s="14">
        <f>SUMIF('Ход 2040'!$G$29:$G$38,$A25,'Ход 2040'!$I$29:$I$38)</f>
        <v>0</v>
      </c>
      <c r="Z25" s="19">
        <f t="shared" si="2"/>
        <v>40</v>
      </c>
      <c r="AA25" s="19">
        <f t="shared" si="3"/>
        <v>0</v>
      </c>
      <c r="AB25" s="5" t="str">
        <f t="shared" si="4"/>
        <v>ИЗУЧЕНО</v>
      </c>
      <c r="AC25" s="21">
        <f t="shared" ref="AC25:AQ25" si="33">SUM($K25:K25)</f>
        <v>0</v>
      </c>
      <c r="AD25" s="21">
        <f t="shared" si="33"/>
        <v>40</v>
      </c>
      <c r="AE25" s="21">
        <f t="shared" si="33"/>
        <v>40</v>
      </c>
      <c r="AF25" s="21">
        <f t="shared" si="33"/>
        <v>40</v>
      </c>
      <c r="AG25" s="21">
        <f t="shared" si="33"/>
        <v>40</v>
      </c>
      <c r="AH25" s="21">
        <f t="shared" si="33"/>
        <v>40</v>
      </c>
      <c r="AI25" s="21">
        <f t="shared" si="33"/>
        <v>40</v>
      </c>
      <c r="AJ25" s="21">
        <f t="shared" si="33"/>
        <v>40</v>
      </c>
      <c r="AK25" s="21">
        <f t="shared" si="33"/>
        <v>40</v>
      </c>
      <c r="AL25" s="21">
        <f t="shared" si="33"/>
        <v>40</v>
      </c>
      <c r="AM25" s="21">
        <f t="shared" si="33"/>
        <v>40</v>
      </c>
      <c r="AN25" s="21">
        <f t="shared" si="33"/>
        <v>40</v>
      </c>
      <c r="AO25" s="21">
        <f t="shared" si="33"/>
        <v>40</v>
      </c>
      <c r="AP25" s="21">
        <f t="shared" si="33"/>
        <v>40</v>
      </c>
      <c r="AQ25" s="21">
        <f t="shared" si="33"/>
        <v>40</v>
      </c>
      <c r="AR25" s="21" t="str">
        <f t="shared" si="6"/>
        <v>ОТКРЫТО</v>
      </c>
      <c r="AS25" s="21" t="str">
        <f t="shared" si="7"/>
        <v>ИЗУЧЕНО</v>
      </c>
      <c r="AT25" s="21" t="str">
        <f t="shared" si="8"/>
        <v>ИЗУЧЕНО</v>
      </c>
      <c r="AU25" s="21" t="str">
        <f t="shared" si="9"/>
        <v>ИЗУЧЕНО</v>
      </c>
      <c r="AV25" s="21" t="str">
        <f t="shared" si="10"/>
        <v>ИЗУЧЕНО</v>
      </c>
      <c r="AW25" s="21" t="str">
        <f t="shared" si="11"/>
        <v>ИЗУЧЕНО</v>
      </c>
      <c r="AX25" s="21" t="str">
        <f t="shared" si="12"/>
        <v>ИЗУЧЕНО</v>
      </c>
      <c r="AY25" s="21" t="str">
        <f t="shared" si="13"/>
        <v>ИЗУЧЕНО</v>
      </c>
      <c r="AZ25" s="21" t="str">
        <f t="shared" si="14"/>
        <v>ИЗУЧЕНО</v>
      </c>
      <c r="BA25" s="21" t="str">
        <f t="shared" si="15"/>
        <v>ИЗУЧЕНО</v>
      </c>
      <c r="BB25" s="21" t="str">
        <f t="shared" si="16"/>
        <v>ИЗУЧЕНО</v>
      </c>
      <c r="BC25" s="21" t="str">
        <f t="shared" si="17"/>
        <v>ИЗУЧЕНО</v>
      </c>
      <c r="BD25" s="21" t="str">
        <f t="shared" si="18"/>
        <v>ИЗУЧЕНО</v>
      </c>
      <c r="BE25" s="21" t="str">
        <f t="shared" si="19"/>
        <v>ИЗУЧЕНО</v>
      </c>
      <c r="BF25" s="21" t="str">
        <f t="shared" si="20"/>
        <v>ИЗУЧЕНО</v>
      </c>
    </row>
    <row r="26" ht="15.75" customHeight="1">
      <c r="A26" s="5" t="s">
        <v>287</v>
      </c>
      <c r="B26" s="5" t="s">
        <v>275</v>
      </c>
      <c r="C26" s="5" t="s">
        <v>232</v>
      </c>
      <c r="D26" s="5" t="s">
        <v>288</v>
      </c>
      <c r="E26" s="5">
        <v>60.0</v>
      </c>
      <c r="F26" s="5" t="s">
        <v>258</v>
      </c>
      <c r="G26" s="5" t="s">
        <v>256</v>
      </c>
      <c r="H26" s="5"/>
      <c r="I26" s="5" t="s">
        <v>289</v>
      </c>
      <c r="J26" s="5" t="s">
        <v>290</v>
      </c>
      <c r="K26" s="14">
        <f>SUMIF('Ход 2026'!$G$29:$G$38,$A26,'Ход 2026'!$I$29:$I$38)</f>
        <v>0</v>
      </c>
      <c r="L26" s="14">
        <f>SUMIF('Ход 2027'!$G$29:$G$38,$A26,'Ход 2027'!$I$29:$I$38)</f>
        <v>0</v>
      </c>
      <c r="M26" s="14">
        <f>SUMIF('Ход 2028'!$G$29:$G$38,$A26,'Ход 2028'!$I$29:$I$38)</f>
        <v>0</v>
      </c>
      <c r="N26" s="14">
        <f>SUMIF('Ход 2029'!$G$29:$G$38,$A26,'Ход 2029'!$I$29:$I$38)</f>
        <v>0</v>
      </c>
      <c r="O26" s="14">
        <f>SUMIF('Ход 2030'!$G$29:$G$38,$A26,'Ход 2030'!$I$29:$I$38)</f>
        <v>0</v>
      </c>
      <c r="P26" s="14">
        <f>SUMIF('Ход 2031'!$G$29:$G$38,$A26,'Ход 2031'!$I$29:$I$38)</f>
        <v>0</v>
      </c>
      <c r="Q26" s="14">
        <f>SUMIF('Ход 2032'!$G$29:$G$38,$A26,'Ход 2032'!$I$29:$I$38)</f>
        <v>0</v>
      </c>
      <c r="R26" s="14">
        <f>SUMIF('Ход 2033'!$G$29:$G$38,$A26,'Ход 2033'!$I$29:$I$38)</f>
        <v>0</v>
      </c>
      <c r="S26" s="14">
        <f>SUMIF('Ход 2034'!$G$29:$G$38,$A26,'Ход 2034'!$I$29:$I$38)</f>
        <v>0</v>
      </c>
      <c r="T26" s="14">
        <f>SUMIF('Ход 2035'!$G$29:$G$38,$A26,'Ход 2035'!$I$29:$I$38)</f>
        <v>0</v>
      </c>
      <c r="U26" s="14">
        <f>SUMIF('Ход 2036'!$G$29:$G$38,$A26,'Ход 2036'!$I$29:$I$38)</f>
        <v>0</v>
      </c>
      <c r="V26" s="14">
        <f>SUMIF('Ход 2037'!$G$29:$G$38,$A26,'Ход 2037'!$I$29:$I$38)</f>
        <v>0</v>
      </c>
      <c r="W26" s="14">
        <f>SUMIF('Ход 2038'!$G$29:$G$38,$A26,'Ход 2038'!$I$29:$I$38)</f>
        <v>0</v>
      </c>
      <c r="X26" s="14">
        <f>SUMIF('Ход 2039'!$G$29:$G$38,$A26,'Ход 2039'!$I$29:$I$38)</f>
        <v>0</v>
      </c>
      <c r="Y26" s="14">
        <f>SUMIF('Ход 2040'!$G$29:$G$38,$A26,'Ход 2040'!$I$29:$I$38)</f>
        <v>0</v>
      </c>
      <c r="Z26" s="19">
        <f t="shared" si="2"/>
        <v>0</v>
      </c>
      <c r="AA26" s="19">
        <f t="shared" si="3"/>
        <v>60</v>
      </c>
      <c r="AB26" s="5" t="str">
        <f t="shared" si="4"/>
        <v>ЗАКРЫТО</v>
      </c>
      <c r="AC26" s="21">
        <f t="shared" ref="AC26:AQ26" si="34">SUM($K26:K26)</f>
        <v>0</v>
      </c>
      <c r="AD26" s="21">
        <f t="shared" si="34"/>
        <v>0</v>
      </c>
      <c r="AE26" s="21">
        <f t="shared" si="34"/>
        <v>0</v>
      </c>
      <c r="AF26" s="21">
        <f t="shared" si="34"/>
        <v>0</v>
      </c>
      <c r="AG26" s="21">
        <f t="shared" si="34"/>
        <v>0</v>
      </c>
      <c r="AH26" s="21">
        <f t="shared" si="34"/>
        <v>0</v>
      </c>
      <c r="AI26" s="21">
        <f t="shared" si="34"/>
        <v>0</v>
      </c>
      <c r="AJ26" s="21">
        <f t="shared" si="34"/>
        <v>0</v>
      </c>
      <c r="AK26" s="21">
        <f t="shared" si="34"/>
        <v>0</v>
      </c>
      <c r="AL26" s="21">
        <f t="shared" si="34"/>
        <v>0</v>
      </c>
      <c r="AM26" s="21">
        <f t="shared" si="34"/>
        <v>0</v>
      </c>
      <c r="AN26" s="21">
        <f t="shared" si="34"/>
        <v>0</v>
      </c>
      <c r="AO26" s="21">
        <f t="shared" si="34"/>
        <v>0</v>
      </c>
      <c r="AP26" s="21">
        <f t="shared" si="34"/>
        <v>0</v>
      </c>
      <c r="AQ26" s="21">
        <f t="shared" si="34"/>
        <v>0</v>
      </c>
      <c r="AR26" s="21" t="str">
        <f t="shared" si="6"/>
        <v>ЗАКРЫТО</v>
      </c>
      <c r="AS26" s="21" t="str">
        <f t="shared" si="7"/>
        <v>ЗАКРЫТО</v>
      </c>
      <c r="AT26" s="21" t="str">
        <f t="shared" si="8"/>
        <v>ЗАКРЫТО</v>
      </c>
      <c r="AU26" s="21" t="str">
        <f t="shared" si="9"/>
        <v>ЗАКРЫТО</v>
      </c>
      <c r="AV26" s="21" t="str">
        <f t="shared" si="10"/>
        <v>ЗАКРЫТО</v>
      </c>
      <c r="AW26" s="21" t="str">
        <f t="shared" si="11"/>
        <v>ЗАКРЫТО</v>
      </c>
      <c r="AX26" s="21" t="str">
        <f t="shared" si="12"/>
        <v>ЗАКРЫТО</v>
      </c>
      <c r="AY26" s="21" t="str">
        <f t="shared" si="13"/>
        <v>ЗАКРЫТО</v>
      </c>
      <c r="AZ26" s="21" t="str">
        <f t="shared" si="14"/>
        <v>ЗАКРЫТО</v>
      </c>
      <c r="BA26" s="21" t="str">
        <f t="shared" si="15"/>
        <v>ЗАКРЫТО</v>
      </c>
      <c r="BB26" s="21" t="str">
        <f t="shared" si="16"/>
        <v>ЗАКРЫТО</v>
      </c>
      <c r="BC26" s="21" t="str">
        <f t="shared" si="17"/>
        <v>ЗАКРЫТО</v>
      </c>
      <c r="BD26" s="21" t="str">
        <f t="shared" si="18"/>
        <v>ЗАКРЫТО</v>
      </c>
      <c r="BE26" s="21" t="str">
        <f t="shared" si="19"/>
        <v>ЗАКРЫТО</v>
      </c>
      <c r="BF26" s="21" t="str">
        <f t="shared" si="20"/>
        <v>ЗАКРЫТО</v>
      </c>
    </row>
    <row r="27" ht="15.75" customHeight="1">
      <c r="A27" s="5" t="s">
        <v>291</v>
      </c>
      <c r="B27" s="5" t="s">
        <v>275</v>
      </c>
      <c r="C27" s="5" t="s">
        <v>237</v>
      </c>
      <c r="D27" s="5" t="s">
        <v>292</v>
      </c>
      <c r="E27" s="5">
        <v>95.0</v>
      </c>
      <c r="F27" s="5" t="s">
        <v>287</v>
      </c>
      <c r="G27" s="5"/>
      <c r="H27" s="5"/>
      <c r="I27" s="5" t="s">
        <v>293</v>
      </c>
      <c r="J27" s="5" t="s">
        <v>294</v>
      </c>
      <c r="K27" s="14">
        <f>SUMIF('Ход 2026'!$G$29:$G$38,$A27,'Ход 2026'!$I$29:$I$38)</f>
        <v>0</v>
      </c>
      <c r="L27" s="14">
        <f>SUMIF('Ход 2027'!$G$29:$G$38,$A27,'Ход 2027'!$I$29:$I$38)</f>
        <v>0</v>
      </c>
      <c r="M27" s="14">
        <f>SUMIF('Ход 2028'!$G$29:$G$38,$A27,'Ход 2028'!$I$29:$I$38)</f>
        <v>0</v>
      </c>
      <c r="N27" s="14">
        <f>SUMIF('Ход 2029'!$G$29:$G$38,$A27,'Ход 2029'!$I$29:$I$38)</f>
        <v>0</v>
      </c>
      <c r="O27" s="14">
        <f>SUMIF('Ход 2030'!$G$29:$G$38,$A27,'Ход 2030'!$I$29:$I$38)</f>
        <v>0</v>
      </c>
      <c r="P27" s="14">
        <f>SUMIF('Ход 2031'!$G$29:$G$38,$A27,'Ход 2031'!$I$29:$I$38)</f>
        <v>0</v>
      </c>
      <c r="Q27" s="14">
        <f>SUMIF('Ход 2032'!$G$29:$G$38,$A27,'Ход 2032'!$I$29:$I$38)</f>
        <v>0</v>
      </c>
      <c r="R27" s="14">
        <f>SUMIF('Ход 2033'!$G$29:$G$38,$A27,'Ход 2033'!$I$29:$I$38)</f>
        <v>0</v>
      </c>
      <c r="S27" s="14">
        <f>SUMIF('Ход 2034'!$G$29:$G$38,$A27,'Ход 2034'!$I$29:$I$38)</f>
        <v>0</v>
      </c>
      <c r="T27" s="14">
        <f>SUMIF('Ход 2035'!$G$29:$G$38,$A27,'Ход 2035'!$I$29:$I$38)</f>
        <v>0</v>
      </c>
      <c r="U27" s="14">
        <f>SUMIF('Ход 2036'!$G$29:$G$38,$A27,'Ход 2036'!$I$29:$I$38)</f>
        <v>0</v>
      </c>
      <c r="V27" s="14">
        <f>SUMIF('Ход 2037'!$G$29:$G$38,$A27,'Ход 2037'!$I$29:$I$38)</f>
        <v>0</v>
      </c>
      <c r="W27" s="14">
        <f>SUMIF('Ход 2038'!$G$29:$G$38,$A27,'Ход 2038'!$I$29:$I$38)</f>
        <v>0</v>
      </c>
      <c r="X27" s="14">
        <f>SUMIF('Ход 2039'!$G$29:$G$38,$A27,'Ход 2039'!$I$29:$I$38)</f>
        <v>0</v>
      </c>
      <c r="Y27" s="14">
        <f>SUMIF('Ход 2040'!$G$29:$G$38,$A27,'Ход 2040'!$I$29:$I$38)</f>
        <v>0</v>
      </c>
      <c r="Z27" s="19">
        <f t="shared" si="2"/>
        <v>0</v>
      </c>
      <c r="AA27" s="19">
        <f t="shared" si="3"/>
        <v>95</v>
      </c>
      <c r="AB27" s="5" t="str">
        <f t="shared" si="4"/>
        <v>ЗАКРЫТО</v>
      </c>
      <c r="AC27" s="21">
        <f t="shared" ref="AC27:AQ27" si="35">SUM($K27:K27)</f>
        <v>0</v>
      </c>
      <c r="AD27" s="21">
        <f t="shared" si="35"/>
        <v>0</v>
      </c>
      <c r="AE27" s="21">
        <f t="shared" si="35"/>
        <v>0</v>
      </c>
      <c r="AF27" s="21">
        <f t="shared" si="35"/>
        <v>0</v>
      </c>
      <c r="AG27" s="21">
        <f t="shared" si="35"/>
        <v>0</v>
      </c>
      <c r="AH27" s="21">
        <f t="shared" si="35"/>
        <v>0</v>
      </c>
      <c r="AI27" s="21">
        <f t="shared" si="35"/>
        <v>0</v>
      </c>
      <c r="AJ27" s="21">
        <f t="shared" si="35"/>
        <v>0</v>
      </c>
      <c r="AK27" s="21">
        <f t="shared" si="35"/>
        <v>0</v>
      </c>
      <c r="AL27" s="21">
        <f t="shared" si="35"/>
        <v>0</v>
      </c>
      <c r="AM27" s="21">
        <f t="shared" si="35"/>
        <v>0</v>
      </c>
      <c r="AN27" s="21">
        <f t="shared" si="35"/>
        <v>0</v>
      </c>
      <c r="AO27" s="21">
        <f t="shared" si="35"/>
        <v>0</v>
      </c>
      <c r="AP27" s="21">
        <f t="shared" si="35"/>
        <v>0</v>
      </c>
      <c r="AQ27" s="21">
        <f t="shared" si="35"/>
        <v>0</v>
      </c>
      <c r="AR27" s="21" t="str">
        <f t="shared" si="6"/>
        <v>ЗАКРЫТО</v>
      </c>
      <c r="AS27" s="21" t="str">
        <f t="shared" si="7"/>
        <v>ЗАКРЫТО</v>
      </c>
      <c r="AT27" s="21" t="str">
        <f t="shared" si="8"/>
        <v>ЗАКРЫТО</v>
      </c>
      <c r="AU27" s="21" t="str">
        <f t="shared" si="9"/>
        <v>ЗАКРЫТО</v>
      </c>
      <c r="AV27" s="21" t="str">
        <f t="shared" si="10"/>
        <v>ЗАКРЫТО</v>
      </c>
      <c r="AW27" s="21" t="str">
        <f t="shared" si="11"/>
        <v>ЗАКРЫТО</v>
      </c>
      <c r="AX27" s="21" t="str">
        <f t="shared" si="12"/>
        <v>ЗАКРЫТО</v>
      </c>
      <c r="AY27" s="21" t="str">
        <f t="shared" si="13"/>
        <v>ЗАКРЫТО</v>
      </c>
      <c r="AZ27" s="21" t="str">
        <f t="shared" si="14"/>
        <v>ЗАКРЫТО</v>
      </c>
      <c r="BA27" s="21" t="str">
        <f t="shared" si="15"/>
        <v>ЗАКРЫТО</v>
      </c>
      <c r="BB27" s="21" t="str">
        <f t="shared" si="16"/>
        <v>ЗАКРЫТО</v>
      </c>
      <c r="BC27" s="21" t="str">
        <f t="shared" si="17"/>
        <v>ЗАКРЫТО</v>
      </c>
      <c r="BD27" s="21" t="str">
        <f t="shared" si="18"/>
        <v>ЗАКРЫТО</v>
      </c>
      <c r="BE27" s="21" t="str">
        <f t="shared" si="19"/>
        <v>ЗАКРЫТО</v>
      </c>
      <c r="BF27" s="21" t="str">
        <f t="shared" si="20"/>
        <v>ЗАКРЫТО</v>
      </c>
    </row>
    <row r="28" ht="15.75" customHeight="1">
      <c r="A28" s="5" t="s">
        <v>295</v>
      </c>
      <c r="B28" s="5" t="s">
        <v>275</v>
      </c>
      <c r="C28" s="5" t="s">
        <v>243</v>
      </c>
      <c r="D28" s="5" t="s">
        <v>296</v>
      </c>
      <c r="E28" s="5">
        <v>140.0</v>
      </c>
      <c r="F28" s="5" t="s">
        <v>291</v>
      </c>
      <c r="G28" s="5"/>
      <c r="H28" s="5"/>
      <c r="I28" s="5" t="s">
        <v>297</v>
      </c>
      <c r="J28" s="5" t="s">
        <v>298</v>
      </c>
      <c r="K28" s="14">
        <f>SUMIF('Ход 2026'!$G$29:$G$38,$A28,'Ход 2026'!$I$29:$I$38)</f>
        <v>0</v>
      </c>
      <c r="L28" s="14">
        <f>SUMIF('Ход 2027'!$G$29:$G$38,$A28,'Ход 2027'!$I$29:$I$38)</f>
        <v>0</v>
      </c>
      <c r="M28" s="14">
        <f>SUMIF('Ход 2028'!$G$29:$G$38,$A28,'Ход 2028'!$I$29:$I$38)</f>
        <v>0</v>
      </c>
      <c r="N28" s="14">
        <f>SUMIF('Ход 2029'!$G$29:$G$38,$A28,'Ход 2029'!$I$29:$I$38)</f>
        <v>0</v>
      </c>
      <c r="O28" s="14">
        <f>SUMIF('Ход 2030'!$G$29:$G$38,$A28,'Ход 2030'!$I$29:$I$38)</f>
        <v>0</v>
      </c>
      <c r="P28" s="14">
        <f>SUMIF('Ход 2031'!$G$29:$G$38,$A28,'Ход 2031'!$I$29:$I$38)</f>
        <v>0</v>
      </c>
      <c r="Q28" s="14">
        <f>SUMIF('Ход 2032'!$G$29:$G$38,$A28,'Ход 2032'!$I$29:$I$38)</f>
        <v>0</v>
      </c>
      <c r="R28" s="14">
        <f>SUMIF('Ход 2033'!$G$29:$G$38,$A28,'Ход 2033'!$I$29:$I$38)</f>
        <v>0</v>
      </c>
      <c r="S28" s="14">
        <f>SUMIF('Ход 2034'!$G$29:$G$38,$A28,'Ход 2034'!$I$29:$I$38)</f>
        <v>0</v>
      </c>
      <c r="T28" s="14">
        <f>SUMIF('Ход 2035'!$G$29:$G$38,$A28,'Ход 2035'!$I$29:$I$38)</f>
        <v>0</v>
      </c>
      <c r="U28" s="14">
        <f>SUMIF('Ход 2036'!$G$29:$G$38,$A28,'Ход 2036'!$I$29:$I$38)</f>
        <v>0</v>
      </c>
      <c r="V28" s="14">
        <f>SUMIF('Ход 2037'!$G$29:$G$38,$A28,'Ход 2037'!$I$29:$I$38)</f>
        <v>0</v>
      </c>
      <c r="W28" s="14">
        <f>SUMIF('Ход 2038'!$G$29:$G$38,$A28,'Ход 2038'!$I$29:$I$38)</f>
        <v>0</v>
      </c>
      <c r="X28" s="14">
        <f>SUMIF('Ход 2039'!$G$29:$G$38,$A28,'Ход 2039'!$I$29:$I$38)</f>
        <v>0</v>
      </c>
      <c r="Y28" s="14">
        <f>SUMIF('Ход 2040'!$G$29:$G$38,$A28,'Ход 2040'!$I$29:$I$38)</f>
        <v>0</v>
      </c>
      <c r="Z28" s="19">
        <f t="shared" si="2"/>
        <v>0</v>
      </c>
      <c r="AA28" s="19">
        <f t="shared" si="3"/>
        <v>140</v>
      </c>
      <c r="AB28" s="5" t="str">
        <f t="shared" si="4"/>
        <v>ЗАКРЫТО</v>
      </c>
      <c r="AC28" s="21">
        <f t="shared" ref="AC28:AQ28" si="36">SUM($K28:K28)</f>
        <v>0</v>
      </c>
      <c r="AD28" s="21">
        <f t="shared" si="36"/>
        <v>0</v>
      </c>
      <c r="AE28" s="21">
        <f t="shared" si="36"/>
        <v>0</v>
      </c>
      <c r="AF28" s="21">
        <f t="shared" si="36"/>
        <v>0</v>
      </c>
      <c r="AG28" s="21">
        <f t="shared" si="36"/>
        <v>0</v>
      </c>
      <c r="AH28" s="21">
        <f t="shared" si="36"/>
        <v>0</v>
      </c>
      <c r="AI28" s="21">
        <f t="shared" si="36"/>
        <v>0</v>
      </c>
      <c r="AJ28" s="21">
        <f t="shared" si="36"/>
        <v>0</v>
      </c>
      <c r="AK28" s="21">
        <f t="shared" si="36"/>
        <v>0</v>
      </c>
      <c r="AL28" s="21">
        <f t="shared" si="36"/>
        <v>0</v>
      </c>
      <c r="AM28" s="21">
        <f t="shared" si="36"/>
        <v>0</v>
      </c>
      <c r="AN28" s="21">
        <f t="shared" si="36"/>
        <v>0</v>
      </c>
      <c r="AO28" s="21">
        <f t="shared" si="36"/>
        <v>0</v>
      </c>
      <c r="AP28" s="21">
        <f t="shared" si="36"/>
        <v>0</v>
      </c>
      <c r="AQ28" s="21">
        <f t="shared" si="36"/>
        <v>0</v>
      </c>
      <c r="AR28" s="21" t="str">
        <f t="shared" si="6"/>
        <v>ЗАКРЫТО</v>
      </c>
      <c r="AS28" s="21" t="str">
        <f t="shared" si="7"/>
        <v>ЗАКРЫТО</v>
      </c>
      <c r="AT28" s="21" t="str">
        <f t="shared" si="8"/>
        <v>ЗАКРЫТО</v>
      </c>
      <c r="AU28" s="21" t="str">
        <f t="shared" si="9"/>
        <v>ЗАКРЫТО</v>
      </c>
      <c r="AV28" s="21" t="str">
        <f t="shared" si="10"/>
        <v>ЗАКРЫТО</v>
      </c>
      <c r="AW28" s="21" t="str">
        <f t="shared" si="11"/>
        <v>ЗАКРЫТО</v>
      </c>
      <c r="AX28" s="21" t="str">
        <f t="shared" si="12"/>
        <v>ЗАКРЫТО</v>
      </c>
      <c r="AY28" s="21" t="str">
        <f t="shared" si="13"/>
        <v>ЗАКРЫТО</v>
      </c>
      <c r="AZ28" s="21" t="str">
        <f t="shared" si="14"/>
        <v>ЗАКРЫТО</v>
      </c>
      <c r="BA28" s="21" t="str">
        <f t="shared" si="15"/>
        <v>ЗАКРЫТО</v>
      </c>
      <c r="BB28" s="21" t="str">
        <f t="shared" si="16"/>
        <v>ЗАКРЫТО</v>
      </c>
      <c r="BC28" s="21" t="str">
        <f t="shared" si="17"/>
        <v>ЗАКРЫТО</v>
      </c>
      <c r="BD28" s="21" t="str">
        <f t="shared" si="18"/>
        <v>ЗАКРЫТО</v>
      </c>
      <c r="BE28" s="21" t="str">
        <f t="shared" si="19"/>
        <v>ЗАКРЫТО</v>
      </c>
      <c r="BF28" s="21" t="str">
        <f t="shared" si="20"/>
        <v>ЗАКРЫТО</v>
      </c>
    </row>
    <row r="29" ht="15.75" customHeight="1">
      <c r="A29" s="5" t="s">
        <v>299</v>
      </c>
      <c r="B29" s="5" t="s">
        <v>300</v>
      </c>
      <c r="C29" s="5" t="s">
        <v>87</v>
      </c>
      <c r="D29" s="5" t="s">
        <v>301</v>
      </c>
      <c r="E29" s="5">
        <v>20.0</v>
      </c>
      <c r="F29" s="5"/>
      <c r="G29" s="5"/>
      <c r="H29" s="5"/>
      <c r="I29" s="5" t="s">
        <v>302</v>
      </c>
      <c r="J29" s="5" t="s">
        <v>303</v>
      </c>
      <c r="K29" s="14">
        <f>SUMIF('Ход 2026'!$G$29:$G$38,$A29,'Ход 2026'!$I$29:$I$38)</f>
        <v>0</v>
      </c>
      <c r="L29" s="14">
        <f>SUMIF('Ход 2027'!$G$29:$G$38,$A29,'Ход 2027'!$I$29:$I$38)</f>
        <v>0</v>
      </c>
      <c r="M29" s="14">
        <f>SUMIF('Ход 2028'!$G$29:$G$38,$A29,'Ход 2028'!$I$29:$I$38)</f>
        <v>0</v>
      </c>
      <c r="N29" s="14">
        <f>SUMIF('Ход 2029'!$G$29:$G$38,$A29,'Ход 2029'!$I$29:$I$38)</f>
        <v>0</v>
      </c>
      <c r="O29" s="14">
        <f>SUMIF('Ход 2030'!$G$29:$G$38,$A29,'Ход 2030'!$I$29:$I$38)</f>
        <v>0</v>
      </c>
      <c r="P29" s="14">
        <f>SUMIF('Ход 2031'!$G$29:$G$38,$A29,'Ход 2031'!$I$29:$I$38)</f>
        <v>0</v>
      </c>
      <c r="Q29" s="14">
        <f>SUMIF('Ход 2032'!$G$29:$G$38,$A29,'Ход 2032'!$I$29:$I$38)</f>
        <v>0</v>
      </c>
      <c r="R29" s="14">
        <f>SUMIF('Ход 2033'!$G$29:$G$38,$A29,'Ход 2033'!$I$29:$I$38)</f>
        <v>0</v>
      </c>
      <c r="S29" s="14">
        <f>SUMIF('Ход 2034'!$G$29:$G$38,$A29,'Ход 2034'!$I$29:$I$38)</f>
        <v>0</v>
      </c>
      <c r="T29" s="14">
        <f>SUMIF('Ход 2035'!$G$29:$G$38,$A29,'Ход 2035'!$I$29:$I$38)</f>
        <v>0</v>
      </c>
      <c r="U29" s="14">
        <f>SUMIF('Ход 2036'!$G$29:$G$38,$A29,'Ход 2036'!$I$29:$I$38)</f>
        <v>0</v>
      </c>
      <c r="V29" s="14">
        <f>SUMIF('Ход 2037'!$G$29:$G$38,$A29,'Ход 2037'!$I$29:$I$38)</f>
        <v>0</v>
      </c>
      <c r="W29" s="14">
        <f>SUMIF('Ход 2038'!$G$29:$G$38,$A29,'Ход 2038'!$I$29:$I$38)</f>
        <v>0</v>
      </c>
      <c r="X29" s="14">
        <f>SUMIF('Ход 2039'!$G$29:$G$38,$A29,'Ход 2039'!$I$29:$I$38)</f>
        <v>0</v>
      </c>
      <c r="Y29" s="14">
        <f>SUMIF('Ход 2040'!$G$29:$G$38,$A29,'Ход 2040'!$I$29:$I$38)</f>
        <v>0</v>
      </c>
      <c r="Z29" s="19">
        <f t="shared" si="2"/>
        <v>0</v>
      </c>
      <c r="AA29" s="19">
        <f t="shared" si="3"/>
        <v>20</v>
      </c>
      <c r="AB29" s="5" t="str">
        <f t="shared" si="4"/>
        <v>ОТКРЫТО</v>
      </c>
      <c r="AC29" s="21">
        <f t="shared" ref="AC29:AQ29" si="37">SUM($K29:K29)</f>
        <v>0</v>
      </c>
      <c r="AD29" s="21">
        <f t="shared" si="37"/>
        <v>0</v>
      </c>
      <c r="AE29" s="21">
        <f t="shared" si="37"/>
        <v>0</v>
      </c>
      <c r="AF29" s="21">
        <f t="shared" si="37"/>
        <v>0</v>
      </c>
      <c r="AG29" s="21">
        <f t="shared" si="37"/>
        <v>0</v>
      </c>
      <c r="AH29" s="21">
        <f t="shared" si="37"/>
        <v>0</v>
      </c>
      <c r="AI29" s="21">
        <f t="shared" si="37"/>
        <v>0</v>
      </c>
      <c r="AJ29" s="21">
        <f t="shared" si="37"/>
        <v>0</v>
      </c>
      <c r="AK29" s="21">
        <f t="shared" si="37"/>
        <v>0</v>
      </c>
      <c r="AL29" s="21">
        <f t="shared" si="37"/>
        <v>0</v>
      </c>
      <c r="AM29" s="21">
        <f t="shared" si="37"/>
        <v>0</v>
      </c>
      <c r="AN29" s="21">
        <f t="shared" si="37"/>
        <v>0</v>
      </c>
      <c r="AO29" s="21">
        <f t="shared" si="37"/>
        <v>0</v>
      </c>
      <c r="AP29" s="21">
        <f t="shared" si="37"/>
        <v>0</v>
      </c>
      <c r="AQ29" s="21">
        <f t="shared" si="37"/>
        <v>0</v>
      </c>
      <c r="AR29" s="21" t="str">
        <f t="shared" si="6"/>
        <v>ОТКРЫТО</v>
      </c>
      <c r="AS29" s="21" t="str">
        <f t="shared" si="7"/>
        <v>ОТКРЫТО</v>
      </c>
      <c r="AT29" s="21" t="str">
        <f t="shared" si="8"/>
        <v>ОТКРЫТО</v>
      </c>
      <c r="AU29" s="21" t="str">
        <f t="shared" si="9"/>
        <v>ОТКРЫТО</v>
      </c>
      <c r="AV29" s="21" t="str">
        <f t="shared" si="10"/>
        <v>ОТКРЫТО</v>
      </c>
      <c r="AW29" s="21" t="str">
        <f t="shared" si="11"/>
        <v>ОТКРЫТО</v>
      </c>
      <c r="AX29" s="21" t="str">
        <f t="shared" si="12"/>
        <v>ОТКРЫТО</v>
      </c>
      <c r="AY29" s="21" t="str">
        <f t="shared" si="13"/>
        <v>ОТКРЫТО</v>
      </c>
      <c r="AZ29" s="21" t="str">
        <f t="shared" si="14"/>
        <v>ОТКРЫТО</v>
      </c>
      <c r="BA29" s="21" t="str">
        <f t="shared" si="15"/>
        <v>ОТКРЫТО</v>
      </c>
      <c r="BB29" s="21" t="str">
        <f t="shared" si="16"/>
        <v>ОТКРЫТО</v>
      </c>
      <c r="BC29" s="21" t="str">
        <f t="shared" si="17"/>
        <v>ОТКРЫТО</v>
      </c>
      <c r="BD29" s="21" t="str">
        <f t="shared" si="18"/>
        <v>ОТКРЫТО</v>
      </c>
      <c r="BE29" s="21" t="str">
        <f t="shared" si="19"/>
        <v>ОТКРЫТО</v>
      </c>
      <c r="BF29" s="21" t="str">
        <f t="shared" si="20"/>
        <v>ОТКРЫТО</v>
      </c>
    </row>
    <row r="30" ht="15.75" customHeight="1">
      <c r="A30" s="5" t="s">
        <v>304</v>
      </c>
      <c r="B30" s="5" t="s">
        <v>300</v>
      </c>
      <c r="C30" s="5" t="s">
        <v>209</v>
      </c>
      <c r="D30" s="5" t="s">
        <v>305</v>
      </c>
      <c r="E30" s="5">
        <v>35.0</v>
      </c>
      <c r="F30" s="5" t="s">
        <v>299</v>
      </c>
      <c r="G30" s="5"/>
      <c r="H30" s="5"/>
      <c r="I30" s="5" t="s">
        <v>306</v>
      </c>
      <c r="J30" s="5" t="s">
        <v>307</v>
      </c>
      <c r="K30" s="14">
        <f>SUMIF('Ход 2026'!$G$29:$G$38,$A30,'Ход 2026'!$I$29:$I$38)</f>
        <v>0</v>
      </c>
      <c r="L30" s="14">
        <f>SUMIF('Ход 2027'!$G$29:$G$38,$A30,'Ход 2027'!$I$29:$I$38)</f>
        <v>0</v>
      </c>
      <c r="M30" s="14">
        <f>SUMIF('Ход 2028'!$G$29:$G$38,$A30,'Ход 2028'!$I$29:$I$38)</f>
        <v>0</v>
      </c>
      <c r="N30" s="14">
        <f>SUMIF('Ход 2029'!$G$29:$G$38,$A30,'Ход 2029'!$I$29:$I$38)</f>
        <v>0</v>
      </c>
      <c r="O30" s="14">
        <f>SUMIF('Ход 2030'!$G$29:$G$38,$A30,'Ход 2030'!$I$29:$I$38)</f>
        <v>0</v>
      </c>
      <c r="P30" s="14">
        <f>SUMIF('Ход 2031'!$G$29:$G$38,$A30,'Ход 2031'!$I$29:$I$38)</f>
        <v>0</v>
      </c>
      <c r="Q30" s="14">
        <f>SUMIF('Ход 2032'!$G$29:$G$38,$A30,'Ход 2032'!$I$29:$I$38)</f>
        <v>0</v>
      </c>
      <c r="R30" s="14">
        <f>SUMIF('Ход 2033'!$G$29:$G$38,$A30,'Ход 2033'!$I$29:$I$38)</f>
        <v>0</v>
      </c>
      <c r="S30" s="14">
        <f>SUMIF('Ход 2034'!$G$29:$G$38,$A30,'Ход 2034'!$I$29:$I$38)</f>
        <v>0</v>
      </c>
      <c r="T30" s="14">
        <f>SUMIF('Ход 2035'!$G$29:$G$38,$A30,'Ход 2035'!$I$29:$I$38)</f>
        <v>0</v>
      </c>
      <c r="U30" s="14">
        <f>SUMIF('Ход 2036'!$G$29:$G$38,$A30,'Ход 2036'!$I$29:$I$38)</f>
        <v>0</v>
      </c>
      <c r="V30" s="14">
        <f>SUMIF('Ход 2037'!$G$29:$G$38,$A30,'Ход 2037'!$I$29:$I$38)</f>
        <v>0</v>
      </c>
      <c r="W30" s="14">
        <f>SUMIF('Ход 2038'!$G$29:$G$38,$A30,'Ход 2038'!$I$29:$I$38)</f>
        <v>0</v>
      </c>
      <c r="X30" s="14">
        <f>SUMIF('Ход 2039'!$G$29:$G$38,$A30,'Ход 2039'!$I$29:$I$38)</f>
        <v>0</v>
      </c>
      <c r="Y30" s="14">
        <f>SUMIF('Ход 2040'!$G$29:$G$38,$A30,'Ход 2040'!$I$29:$I$38)</f>
        <v>0</v>
      </c>
      <c r="Z30" s="19">
        <f t="shared" si="2"/>
        <v>0</v>
      </c>
      <c r="AA30" s="19">
        <f t="shared" si="3"/>
        <v>35</v>
      </c>
      <c r="AB30" s="5" t="str">
        <f t="shared" si="4"/>
        <v>ЗАКРЫТО</v>
      </c>
      <c r="AC30" s="21">
        <f t="shared" ref="AC30:AQ30" si="38">SUM($K30:K30)</f>
        <v>0</v>
      </c>
      <c r="AD30" s="21">
        <f t="shared" si="38"/>
        <v>0</v>
      </c>
      <c r="AE30" s="21">
        <f t="shared" si="38"/>
        <v>0</v>
      </c>
      <c r="AF30" s="21">
        <f t="shared" si="38"/>
        <v>0</v>
      </c>
      <c r="AG30" s="21">
        <f t="shared" si="38"/>
        <v>0</v>
      </c>
      <c r="AH30" s="21">
        <f t="shared" si="38"/>
        <v>0</v>
      </c>
      <c r="AI30" s="21">
        <f t="shared" si="38"/>
        <v>0</v>
      </c>
      <c r="AJ30" s="21">
        <f t="shared" si="38"/>
        <v>0</v>
      </c>
      <c r="AK30" s="21">
        <f t="shared" si="38"/>
        <v>0</v>
      </c>
      <c r="AL30" s="21">
        <f t="shared" si="38"/>
        <v>0</v>
      </c>
      <c r="AM30" s="21">
        <f t="shared" si="38"/>
        <v>0</v>
      </c>
      <c r="AN30" s="21">
        <f t="shared" si="38"/>
        <v>0</v>
      </c>
      <c r="AO30" s="21">
        <f t="shared" si="38"/>
        <v>0</v>
      </c>
      <c r="AP30" s="21">
        <f t="shared" si="38"/>
        <v>0</v>
      </c>
      <c r="AQ30" s="21">
        <f t="shared" si="38"/>
        <v>0</v>
      </c>
      <c r="AR30" s="21" t="str">
        <f t="shared" si="6"/>
        <v>ЗАКРЫТО</v>
      </c>
      <c r="AS30" s="21" t="str">
        <f t="shared" si="7"/>
        <v>ЗАКРЫТО</v>
      </c>
      <c r="AT30" s="21" t="str">
        <f t="shared" si="8"/>
        <v>ЗАКРЫТО</v>
      </c>
      <c r="AU30" s="21" t="str">
        <f t="shared" si="9"/>
        <v>ЗАКРЫТО</v>
      </c>
      <c r="AV30" s="21" t="str">
        <f t="shared" si="10"/>
        <v>ЗАКРЫТО</v>
      </c>
      <c r="AW30" s="21" t="str">
        <f t="shared" si="11"/>
        <v>ЗАКРЫТО</v>
      </c>
      <c r="AX30" s="21" t="str">
        <f t="shared" si="12"/>
        <v>ЗАКРЫТО</v>
      </c>
      <c r="AY30" s="21" t="str">
        <f t="shared" si="13"/>
        <v>ЗАКРЫТО</v>
      </c>
      <c r="AZ30" s="21" t="str">
        <f t="shared" si="14"/>
        <v>ЗАКРЫТО</v>
      </c>
      <c r="BA30" s="21" t="str">
        <f t="shared" si="15"/>
        <v>ЗАКРЫТО</v>
      </c>
      <c r="BB30" s="21" t="str">
        <f t="shared" si="16"/>
        <v>ЗАКРЫТО</v>
      </c>
      <c r="BC30" s="21" t="str">
        <f t="shared" si="17"/>
        <v>ЗАКРЫТО</v>
      </c>
      <c r="BD30" s="21" t="str">
        <f t="shared" si="18"/>
        <v>ЗАКРЫТО</v>
      </c>
      <c r="BE30" s="21" t="str">
        <f t="shared" si="19"/>
        <v>ЗАКРЫТО</v>
      </c>
      <c r="BF30" s="21" t="str">
        <f t="shared" si="20"/>
        <v>ЗАКРЫТО</v>
      </c>
    </row>
    <row r="31" ht="15.75" customHeight="1">
      <c r="A31" s="5" t="s">
        <v>308</v>
      </c>
      <c r="B31" s="5" t="s">
        <v>300</v>
      </c>
      <c r="C31" s="5" t="s">
        <v>232</v>
      </c>
      <c r="D31" s="5" t="s">
        <v>309</v>
      </c>
      <c r="E31" s="5">
        <v>55.0</v>
      </c>
      <c r="F31" s="5" t="s">
        <v>304</v>
      </c>
      <c r="G31" s="5"/>
      <c r="H31" s="5"/>
      <c r="I31" s="5" t="s">
        <v>310</v>
      </c>
      <c r="J31" s="5" t="s">
        <v>311</v>
      </c>
      <c r="K31" s="14">
        <f>SUMIF('Ход 2026'!$G$29:$G$38,$A31,'Ход 2026'!$I$29:$I$38)</f>
        <v>0</v>
      </c>
      <c r="L31" s="14">
        <f>SUMIF('Ход 2027'!$G$29:$G$38,$A31,'Ход 2027'!$I$29:$I$38)</f>
        <v>0</v>
      </c>
      <c r="M31" s="14">
        <f>SUMIF('Ход 2028'!$G$29:$G$38,$A31,'Ход 2028'!$I$29:$I$38)</f>
        <v>0</v>
      </c>
      <c r="N31" s="14">
        <f>SUMIF('Ход 2029'!$G$29:$G$38,$A31,'Ход 2029'!$I$29:$I$38)</f>
        <v>0</v>
      </c>
      <c r="O31" s="14">
        <f>SUMIF('Ход 2030'!$G$29:$G$38,$A31,'Ход 2030'!$I$29:$I$38)</f>
        <v>0</v>
      </c>
      <c r="P31" s="14">
        <f>SUMIF('Ход 2031'!$G$29:$G$38,$A31,'Ход 2031'!$I$29:$I$38)</f>
        <v>0</v>
      </c>
      <c r="Q31" s="14">
        <f>SUMIF('Ход 2032'!$G$29:$G$38,$A31,'Ход 2032'!$I$29:$I$38)</f>
        <v>0</v>
      </c>
      <c r="R31" s="14">
        <f>SUMIF('Ход 2033'!$G$29:$G$38,$A31,'Ход 2033'!$I$29:$I$38)</f>
        <v>0</v>
      </c>
      <c r="S31" s="14">
        <f>SUMIF('Ход 2034'!$G$29:$G$38,$A31,'Ход 2034'!$I$29:$I$38)</f>
        <v>0</v>
      </c>
      <c r="T31" s="14">
        <f>SUMIF('Ход 2035'!$G$29:$G$38,$A31,'Ход 2035'!$I$29:$I$38)</f>
        <v>0</v>
      </c>
      <c r="U31" s="14">
        <f>SUMIF('Ход 2036'!$G$29:$G$38,$A31,'Ход 2036'!$I$29:$I$38)</f>
        <v>0</v>
      </c>
      <c r="V31" s="14">
        <f>SUMIF('Ход 2037'!$G$29:$G$38,$A31,'Ход 2037'!$I$29:$I$38)</f>
        <v>0</v>
      </c>
      <c r="W31" s="14">
        <f>SUMIF('Ход 2038'!$G$29:$G$38,$A31,'Ход 2038'!$I$29:$I$38)</f>
        <v>0</v>
      </c>
      <c r="X31" s="14">
        <f>SUMIF('Ход 2039'!$G$29:$G$38,$A31,'Ход 2039'!$I$29:$I$38)</f>
        <v>0</v>
      </c>
      <c r="Y31" s="14">
        <f>SUMIF('Ход 2040'!$G$29:$G$38,$A31,'Ход 2040'!$I$29:$I$38)</f>
        <v>0</v>
      </c>
      <c r="Z31" s="19">
        <f t="shared" si="2"/>
        <v>0</v>
      </c>
      <c r="AA31" s="19">
        <f t="shared" si="3"/>
        <v>55</v>
      </c>
      <c r="AB31" s="5" t="str">
        <f t="shared" si="4"/>
        <v>ЗАКРЫТО</v>
      </c>
      <c r="AC31" s="21">
        <f t="shared" ref="AC31:AQ31" si="39">SUM($K31:K31)</f>
        <v>0</v>
      </c>
      <c r="AD31" s="21">
        <f t="shared" si="39"/>
        <v>0</v>
      </c>
      <c r="AE31" s="21">
        <f t="shared" si="39"/>
        <v>0</v>
      </c>
      <c r="AF31" s="21">
        <f t="shared" si="39"/>
        <v>0</v>
      </c>
      <c r="AG31" s="21">
        <f t="shared" si="39"/>
        <v>0</v>
      </c>
      <c r="AH31" s="21">
        <f t="shared" si="39"/>
        <v>0</v>
      </c>
      <c r="AI31" s="21">
        <f t="shared" si="39"/>
        <v>0</v>
      </c>
      <c r="AJ31" s="21">
        <f t="shared" si="39"/>
        <v>0</v>
      </c>
      <c r="AK31" s="21">
        <f t="shared" si="39"/>
        <v>0</v>
      </c>
      <c r="AL31" s="21">
        <f t="shared" si="39"/>
        <v>0</v>
      </c>
      <c r="AM31" s="21">
        <f t="shared" si="39"/>
        <v>0</v>
      </c>
      <c r="AN31" s="21">
        <f t="shared" si="39"/>
        <v>0</v>
      </c>
      <c r="AO31" s="21">
        <f t="shared" si="39"/>
        <v>0</v>
      </c>
      <c r="AP31" s="21">
        <f t="shared" si="39"/>
        <v>0</v>
      </c>
      <c r="AQ31" s="21">
        <f t="shared" si="39"/>
        <v>0</v>
      </c>
      <c r="AR31" s="21" t="str">
        <f t="shared" si="6"/>
        <v>ЗАКРЫТО</v>
      </c>
      <c r="AS31" s="21" t="str">
        <f t="shared" si="7"/>
        <v>ЗАКРЫТО</v>
      </c>
      <c r="AT31" s="21" t="str">
        <f t="shared" si="8"/>
        <v>ЗАКРЫТО</v>
      </c>
      <c r="AU31" s="21" t="str">
        <f t="shared" si="9"/>
        <v>ЗАКРЫТО</v>
      </c>
      <c r="AV31" s="21" t="str">
        <f t="shared" si="10"/>
        <v>ЗАКРЫТО</v>
      </c>
      <c r="AW31" s="21" t="str">
        <f t="shared" si="11"/>
        <v>ЗАКРЫТО</v>
      </c>
      <c r="AX31" s="21" t="str">
        <f t="shared" si="12"/>
        <v>ЗАКРЫТО</v>
      </c>
      <c r="AY31" s="21" t="str">
        <f t="shared" si="13"/>
        <v>ЗАКРЫТО</v>
      </c>
      <c r="AZ31" s="21" t="str">
        <f t="shared" si="14"/>
        <v>ЗАКРЫТО</v>
      </c>
      <c r="BA31" s="21" t="str">
        <f t="shared" si="15"/>
        <v>ЗАКРЫТО</v>
      </c>
      <c r="BB31" s="21" t="str">
        <f t="shared" si="16"/>
        <v>ЗАКРЫТО</v>
      </c>
      <c r="BC31" s="21" t="str">
        <f t="shared" si="17"/>
        <v>ЗАКРЫТО</v>
      </c>
      <c r="BD31" s="21" t="str">
        <f t="shared" si="18"/>
        <v>ЗАКРЫТО</v>
      </c>
      <c r="BE31" s="21" t="str">
        <f t="shared" si="19"/>
        <v>ЗАКРЫТО</v>
      </c>
      <c r="BF31" s="21" t="str">
        <f t="shared" si="20"/>
        <v>ЗАКРЫТО</v>
      </c>
    </row>
    <row r="32" ht="15.75" customHeight="1">
      <c r="A32" s="5" t="s">
        <v>313</v>
      </c>
      <c r="B32" s="5" t="s">
        <v>300</v>
      </c>
      <c r="C32" s="5" t="s">
        <v>232</v>
      </c>
      <c r="D32" s="5" t="s">
        <v>314</v>
      </c>
      <c r="E32" s="5">
        <v>70.0</v>
      </c>
      <c r="F32" s="5" t="s">
        <v>308</v>
      </c>
      <c r="G32" s="5"/>
      <c r="H32" s="5"/>
      <c r="I32" s="5" t="s">
        <v>315</v>
      </c>
      <c r="J32" s="5" t="s">
        <v>316</v>
      </c>
      <c r="K32" s="14">
        <f>SUMIF('Ход 2026'!$G$29:$G$38,$A32,'Ход 2026'!$I$29:$I$38)</f>
        <v>0</v>
      </c>
      <c r="L32" s="14">
        <f>SUMIF('Ход 2027'!$G$29:$G$38,$A32,'Ход 2027'!$I$29:$I$38)</f>
        <v>0</v>
      </c>
      <c r="M32" s="14">
        <f>SUMIF('Ход 2028'!$G$29:$G$38,$A32,'Ход 2028'!$I$29:$I$38)</f>
        <v>0</v>
      </c>
      <c r="N32" s="14">
        <f>SUMIF('Ход 2029'!$G$29:$G$38,$A32,'Ход 2029'!$I$29:$I$38)</f>
        <v>0</v>
      </c>
      <c r="O32" s="14">
        <f>SUMIF('Ход 2030'!$G$29:$G$38,$A32,'Ход 2030'!$I$29:$I$38)</f>
        <v>0</v>
      </c>
      <c r="P32" s="14">
        <f>SUMIF('Ход 2031'!$G$29:$G$38,$A32,'Ход 2031'!$I$29:$I$38)</f>
        <v>0</v>
      </c>
      <c r="Q32" s="14">
        <f>SUMIF('Ход 2032'!$G$29:$G$38,$A32,'Ход 2032'!$I$29:$I$38)</f>
        <v>0</v>
      </c>
      <c r="R32" s="14">
        <f>SUMIF('Ход 2033'!$G$29:$G$38,$A32,'Ход 2033'!$I$29:$I$38)</f>
        <v>0</v>
      </c>
      <c r="S32" s="14">
        <f>SUMIF('Ход 2034'!$G$29:$G$38,$A32,'Ход 2034'!$I$29:$I$38)</f>
        <v>0</v>
      </c>
      <c r="T32" s="14">
        <f>SUMIF('Ход 2035'!$G$29:$G$38,$A32,'Ход 2035'!$I$29:$I$38)</f>
        <v>0</v>
      </c>
      <c r="U32" s="14">
        <f>SUMIF('Ход 2036'!$G$29:$G$38,$A32,'Ход 2036'!$I$29:$I$38)</f>
        <v>0</v>
      </c>
      <c r="V32" s="14">
        <f>SUMIF('Ход 2037'!$G$29:$G$38,$A32,'Ход 2037'!$I$29:$I$38)</f>
        <v>0</v>
      </c>
      <c r="W32" s="14">
        <f>SUMIF('Ход 2038'!$G$29:$G$38,$A32,'Ход 2038'!$I$29:$I$38)</f>
        <v>0</v>
      </c>
      <c r="X32" s="14">
        <f>SUMIF('Ход 2039'!$G$29:$G$38,$A32,'Ход 2039'!$I$29:$I$38)</f>
        <v>0</v>
      </c>
      <c r="Y32" s="14">
        <f>SUMIF('Ход 2040'!$G$29:$G$38,$A32,'Ход 2040'!$I$29:$I$38)</f>
        <v>0</v>
      </c>
      <c r="Z32" s="19">
        <f t="shared" si="2"/>
        <v>0</v>
      </c>
      <c r="AA32" s="19">
        <f t="shared" si="3"/>
        <v>70</v>
      </c>
      <c r="AB32" s="5" t="str">
        <f t="shared" si="4"/>
        <v>ЗАКРЫТО</v>
      </c>
      <c r="AC32" s="21">
        <f t="shared" ref="AC32:AQ32" si="40">SUM($K32:K32)</f>
        <v>0</v>
      </c>
      <c r="AD32" s="21">
        <f t="shared" si="40"/>
        <v>0</v>
      </c>
      <c r="AE32" s="21">
        <f t="shared" si="40"/>
        <v>0</v>
      </c>
      <c r="AF32" s="21">
        <f t="shared" si="40"/>
        <v>0</v>
      </c>
      <c r="AG32" s="21">
        <f t="shared" si="40"/>
        <v>0</v>
      </c>
      <c r="AH32" s="21">
        <f t="shared" si="40"/>
        <v>0</v>
      </c>
      <c r="AI32" s="21">
        <f t="shared" si="40"/>
        <v>0</v>
      </c>
      <c r="AJ32" s="21">
        <f t="shared" si="40"/>
        <v>0</v>
      </c>
      <c r="AK32" s="21">
        <f t="shared" si="40"/>
        <v>0</v>
      </c>
      <c r="AL32" s="21">
        <f t="shared" si="40"/>
        <v>0</v>
      </c>
      <c r="AM32" s="21">
        <f t="shared" si="40"/>
        <v>0</v>
      </c>
      <c r="AN32" s="21">
        <f t="shared" si="40"/>
        <v>0</v>
      </c>
      <c r="AO32" s="21">
        <f t="shared" si="40"/>
        <v>0</v>
      </c>
      <c r="AP32" s="21">
        <f t="shared" si="40"/>
        <v>0</v>
      </c>
      <c r="AQ32" s="21">
        <f t="shared" si="40"/>
        <v>0</v>
      </c>
      <c r="AR32" s="21" t="str">
        <f t="shared" si="6"/>
        <v>ЗАКРЫТО</v>
      </c>
      <c r="AS32" s="21" t="str">
        <f t="shared" si="7"/>
        <v>ЗАКРЫТО</v>
      </c>
      <c r="AT32" s="21" t="str">
        <f t="shared" si="8"/>
        <v>ЗАКРЫТО</v>
      </c>
      <c r="AU32" s="21" t="str">
        <f t="shared" si="9"/>
        <v>ЗАКРЫТО</v>
      </c>
      <c r="AV32" s="21" t="str">
        <f t="shared" si="10"/>
        <v>ЗАКРЫТО</v>
      </c>
      <c r="AW32" s="21" t="str">
        <f t="shared" si="11"/>
        <v>ЗАКРЫТО</v>
      </c>
      <c r="AX32" s="21" t="str">
        <f t="shared" si="12"/>
        <v>ЗАКРЫТО</v>
      </c>
      <c r="AY32" s="21" t="str">
        <f t="shared" si="13"/>
        <v>ЗАКРЫТО</v>
      </c>
      <c r="AZ32" s="21" t="str">
        <f t="shared" si="14"/>
        <v>ЗАКРЫТО</v>
      </c>
      <c r="BA32" s="21" t="str">
        <f t="shared" si="15"/>
        <v>ЗАКРЫТО</v>
      </c>
      <c r="BB32" s="21" t="str">
        <f t="shared" si="16"/>
        <v>ЗАКРЫТО</v>
      </c>
      <c r="BC32" s="21" t="str">
        <f t="shared" si="17"/>
        <v>ЗАКРЫТО</v>
      </c>
      <c r="BD32" s="21" t="str">
        <f t="shared" si="18"/>
        <v>ЗАКРЫТО</v>
      </c>
      <c r="BE32" s="21" t="str">
        <f t="shared" si="19"/>
        <v>ЗАКРЫТО</v>
      </c>
      <c r="BF32" s="21" t="str">
        <f t="shared" si="20"/>
        <v>ЗАКРЫТО</v>
      </c>
    </row>
    <row r="33" ht="15.75" customHeight="1">
      <c r="A33" s="5" t="s">
        <v>317</v>
      </c>
      <c r="B33" s="5" t="s">
        <v>300</v>
      </c>
      <c r="C33" s="5" t="s">
        <v>237</v>
      </c>
      <c r="D33" s="5" t="s">
        <v>318</v>
      </c>
      <c r="E33" s="5">
        <v>105.0</v>
      </c>
      <c r="F33" s="5" t="s">
        <v>313</v>
      </c>
      <c r="G33" s="5"/>
      <c r="H33" s="5"/>
      <c r="I33" s="5" t="s">
        <v>319</v>
      </c>
      <c r="J33" s="5" t="s">
        <v>320</v>
      </c>
      <c r="K33" s="14">
        <f>SUMIF('Ход 2026'!$G$29:$G$38,$A33,'Ход 2026'!$I$29:$I$38)</f>
        <v>0</v>
      </c>
      <c r="L33" s="14">
        <f>SUMIF('Ход 2027'!$G$29:$G$38,$A33,'Ход 2027'!$I$29:$I$38)</f>
        <v>0</v>
      </c>
      <c r="M33" s="14">
        <f>SUMIF('Ход 2028'!$G$29:$G$38,$A33,'Ход 2028'!$I$29:$I$38)</f>
        <v>0</v>
      </c>
      <c r="N33" s="14">
        <f>SUMIF('Ход 2029'!$G$29:$G$38,$A33,'Ход 2029'!$I$29:$I$38)</f>
        <v>0</v>
      </c>
      <c r="O33" s="14">
        <f>SUMIF('Ход 2030'!$G$29:$G$38,$A33,'Ход 2030'!$I$29:$I$38)</f>
        <v>0</v>
      </c>
      <c r="P33" s="14">
        <f>SUMIF('Ход 2031'!$G$29:$G$38,$A33,'Ход 2031'!$I$29:$I$38)</f>
        <v>0</v>
      </c>
      <c r="Q33" s="14">
        <f>SUMIF('Ход 2032'!$G$29:$G$38,$A33,'Ход 2032'!$I$29:$I$38)</f>
        <v>0</v>
      </c>
      <c r="R33" s="14">
        <f>SUMIF('Ход 2033'!$G$29:$G$38,$A33,'Ход 2033'!$I$29:$I$38)</f>
        <v>0</v>
      </c>
      <c r="S33" s="14">
        <f>SUMIF('Ход 2034'!$G$29:$G$38,$A33,'Ход 2034'!$I$29:$I$38)</f>
        <v>0</v>
      </c>
      <c r="T33" s="14">
        <f>SUMIF('Ход 2035'!$G$29:$G$38,$A33,'Ход 2035'!$I$29:$I$38)</f>
        <v>0</v>
      </c>
      <c r="U33" s="14">
        <f>SUMIF('Ход 2036'!$G$29:$G$38,$A33,'Ход 2036'!$I$29:$I$38)</f>
        <v>0</v>
      </c>
      <c r="V33" s="14">
        <f>SUMIF('Ход 2037'!$G$29:$G$38,$A33,'Ход 2037'!$I$29:$I$38)</f>
        <v>0</v>
      </c>
      <c r="W33" s="14">
        <f>SUMIF('Ход 2038'!$G$29:$G$38,$A33,'Ход 2038'!$I$29:$I$38)</f>
        <v>0</v>
      </c>
      <c r="X33" s="14">
        <f>SUMIF('Ход 2039'!$G$29:$G$38,$A33,'Ход 2039'!$I$29:$I$38)</f>
        <v>0</v>
      </c>
      <c r="Y33" s="14">
        <f>SUMIF('Ход 2040'!$G$29:$G$38,$A33,'Ход 2040'!$I$29:$I$38)</f>
        <v>0</v>
      </c>
      <c r="Z33" s="19">
        <f t="shared" si="2"/>
        <v>0</v>
      </c>
      <c r="AA33" s="19">
        <f t="shared" si="3"/>
        <v>105</v>
      </c>
      <c r="AB33" s="5" t="str">
        <f t="shared" si="4"/>
        <v>ЗАКРЫТО</v>
      </c>
      <c r="AC33" s="21">
        <f t="shared" ref="AC33:AQ33" si="41">SUM($K33:K33)</f>
        <v>0</v>
      </c>
      <c r="AD33" s="21">
        <f t="shared" si="41"/>
        <v>0</v>
      </c>
      <c r="AE33" s="21">
        <f t="shared" si="41"/>
        <v>0</v>
      </c>
      <c r="AF33" s="21">
        <f t="shared" si="41"/>
        <v>0</v>
      </c>
      <c r="AG33" s="21">
        <f t="shared" si="41"/>
        <v>0</v>
      </c>
      <c r="AH33" s="21">
        <f t="shared" si="41"/>
        <v>0</v>
      </c>
      <c r="AI33" s="21">
        <f t="shared" si="41"/>
        <v>0</v>
      </c>
      <c r="AJ33" s="21">
        <f t="shared" si="41"/>
        <v>0</v>
      </c>
      <c r="AK33" s="21">
        <f t="shared" si="41"/>
        <v>0</v>
      </c>
      <c r="AL33" s="21">
        <f t="shared" si="41"/>
        <v>0</v>
      </c>
      <c r="AM33" s="21">
        <f t="shared" si="41"/>
        <v>0</v>
      </c>
      <c r="AN33" s="21">
        <f t="shared" si="41"/>
        <v>0</v>
      </c>
      <c r="AO33" s="21">
        <f t="shared" si="41"/>
        <v>0</v>
      </c>
      <c r="AP33" s="21">
        <f t="shared" si="41"/>
        <v>0</v>
      </c>
      <c r="AQ33" s="21">
        <f t="shared" si="41"/>
        <v>0</v>
      </c>
      <c r="AR33" s="21" t="str">
        <f t="shared" si="6"/>
        <v>ЗАКРЫТО</v>
      </c>
      <c r="AS33" s="21" t="str">
        <f t="shared" si="7"/>
        <v>ЗАКРЫТО</v>
      </c>
      <c r="AT33" s="21" t="str">
        <f t="shared" si="8"/>
        <v>ЗАКРЫТО</v>
      </c>
      <c r="AU33" s="21" t="str">
        <f t="shared" si="9"/>
        <v>ЗАКРЫТО</v>
      </c>
      <c r="AV33" s="21" t="str">
        <f t="shared" si="10"/>
        <v>ЗАКРЫТО</v>
      </c>
      <c r="AW33" s="21" t="str">
        <f t="shared" si="11"/>
        <v>ЗАКРЫТО</v>
      </c>
      <c r="AX33" s="21" t="str">
        <f t="shared" si="12"/>
        <v>ЗАКРЫТО</v>
      </c>
      <c r="AY33" s="21" t="str">
        <f t="shared" si="13"/>
        <v>ЗАКРЫТО</v>
      </c>
      <c r="AZ33" s="21" t="str">
        <f t="shared" si="14"/>
        <v>ЗАКРЫТО</v>
      </c>
      <c r="BA33" s="21" t="str">
        <f t="shared" si="15"/>
        <v>ЗАКРЫТО</v>
      </c>
      <c r="BB33" s="21" t="str">
        <f t="shared" si="16"/>
        <v>ЗАКРЫТО</v>
      </c>
      <c r="BC33" s="21" t="str">
        <f t="shared" si="17"/>
        <v>ЗАКРЫТО</v>
      </c>
      <c r="BD33" s="21" t="str">
        <f t="shared" si="18"/>
        <v>ЗАКРЫТО</v>
      </c>
      <c r="BE33" s="21" t="str">
        <f t="shared" si="19"/>
        <v>ЗАКРЫТО</v>
      </c>
      <c r="BF33" s="21" t="str">
        <f t="shared" si="20"/>
        <v>ЗАКРЫТО</v>
      </c>
    </row>
    <row r="34" ht="15.75" customHeight="1">
      <c r="A34" s="5" t="s">
        <v>321</v>
      </c>
      <c r="B34" s="5" t="s">
        <v>300</v>
      </c>
      <c r="C34" s="5" t="s">
        <v>243</v>
      </c>
      <c r="D34" s="5" t="s">
        <v>322</v>
      </c>
      <c r="E34" s="5">
        <v>155.0</v>
      </c>
      <c r="F34" s="5" t="s">
        <v>317</v>
      </c>
      <c r="G34" s="5"/>
      <c r="H34" s="5"/>
      <c r="I34" s="5" t="s">
        <v>323</v>
      </c>
      <c r="J34" s="5" t="s">
        <v>324</v>
      </c>
      <c r="K34" s="14">
        <f>SUMIF('Ход 2026'!$G$29:$G$38,$A34,'Ход 2026'!$I$29:$I$38)</f>
        <v>0</v>
      </c>
      <c r="L34" s="14">
        <f>SUMIF('Ход 2027'!$G$29:$G$38,$A34,'Ход 2027'!$I$29:$I$38)</f>
        <v>0</v>
      </c>
      <c r="M34" s="14">
        <f>SUMIF('Ход 2028'!$G$29:$G$38,$A34,'Ход 2028'!$I$29:$I$38)</f>
        <v>0</v>
      </c>
      <c r="N34" s="14">
        <f>SUMIF('Ход 2029'!$G$29:$G$38,$A34,'Ход 2029'!$I$29:$I$38)</f>
        <v>0</v>
      </c>
      <c r="O34" s="14">
        <f>SUMIF('Ход 2030'!$G$29:$G$38,$A34,'Ход 2030'!$I$29:$I$38)</f>
        <v>0</v>
      </c>
      <c r="P34" s="14">
        <f>SUMIF('Ход 2031'!$G$29:$G$38,$A34,'Ход 2031'!$I$29:$I$38)</f>
        <v>0</v>
      </c>
      <c r="Q34" s="14">
        <f>SUMIF('Ход 2032'!$G$29:$G$38,$A34,'Ход 2032'!$I$29:$I$38)</f>
        <v>0</v>
      </c>
      <c r="R34" s="14">
        <f>SUMIF('Ход 2033'!$G$29:$G$38,$A34,'Ход 2033'!$I$29:$I$38)</f>
        <v>0</v>
      </c>
      <c r="S34" s="14">
        <f>SUMIF('Ход 2034'!$G$29:$G$38,$A34,'Ход 2034'!$I$29:$I$38)</f>
        <v>0</v>
      </c>
      <c r="T34" s="14">
        <f>SUMIF('Ход 2035'!$G$29:$G$38,$A34,'Ход 2035'!$I$29:$I$38)</f>
        <v>0</v>
      </c>
      <c r="U34" s="14">
        <f>SUMIF('Ход 2036'!$G$29:$G$38,$A34,'Ход 2036'!$I$29:$I$38)</f>
        <v>0</v>
      </c>
      <c r="V34" s="14">
        <f>SUMIF('Ход 2037'!$G$29:$G$38,$A34,'Ход 2037'!$I$29:$I$38)</f>
        <v>0</v>
      </c>
      <c r="W34" s="14">
        <f>SUMIF('Ход 2038'!$G$29:$G$38,$A34,'Ход 2038'!$I$29:$I$38)</f>
        <v>0</v>
      </c>
      <c r="X34" s="14">
        <f>SUMIF('Ход 2039'!$G$29:$G$38,$A34,'Ход 2039'!$I$29:$I$38)</f>
        <v>0</v>
      </c>
      <c r="Y34" s="14">
        <f>SUMIF('Ход 2040'!$G$29:$G$38,$A34,'Ход 2040'!$I$29:$I$38)</f>
        <v>0</v>
      </c>
      <c r="Z34" s="19">
        <f t="shared" si="2"/>
        <v>0</v>
      </c>
      <c r="AA34" s="19">
        <f t="shared" si="3"/>
        <v>155</v>
      </c>
      <c r="AB34" s="5" t="str">
        <f t="shared" si="4"/>
        <v>ЗАКРЫТО</v>
      </c>
      <c r="AC34" s="21">
        <f t="shared" ref="AC34:AQ34" si="42">SUM($K34:K34)</f>
        <v>0</v>
      </c>
      <c r="AD34" s="21">
        <f t="shared" si="42"/>
        <v>0</v>
      </c>
      <c r="AE34" s="21">
        <f t="shared" si="42"/>
        <v>0</v>
      </c>
      <c r="AF34" s="21">
        <f t="shared" si="42"/>
        <v>0</v>
      </c>
      <c r="AG34" s="21">
        <f t="shared" si="42"/>
        <v>0</v>
      </c>
      <c r="AH34" s="21">
        <f t="shared" si="42"/>
        <v>0</v>
      </c>
      <c r="AI34" s="21">
        <f t="shared" si="42"/>
        <v>0</v>
      </c>
      <c r="AJ34" s="21">
        <f t="shared" si="42"/>
        <v>0</v>
      </c>
      <c r="AK34" s="21">
        <f t="shared" si="42"/>
        <v>0</v>
      </c>
      <c r="AL34" s="21">
        <f t="shared" si="42"/>
        <v>0</v>
      </c>
      <c r="AM34" s="21">
        <f t="shared" si="42"/>
        <v>0</v>
      </c>
      <c r="AN34" s="21">
        <f t="shared" si="42"/>
        <v>0</v>
      </c>
      <c r="AO34" s="21">
        <f t="shared" si="42"/>
        <v>0</v>
      </c>
      <c r="AP34" s="21">
        <f t="shared" si="42"/>
        <v>0</v>
      </c>
      <c r="AQ34" s="21">
        <f t="shared" si="42"/>
        <v>0</v>
      </c>
      <c r="AR34" s="21" t="str">
        <f t="shared" si="6"/>
        <v>ЗАКРЫТО</v>
      </c>
      <c r="AS34" s="21" t="str">
        <f t="shared" si="7"/>
        <v>ЗАКРЫТО</v>
      </c>
      <c r="AT34" s="21" t="str">
        <f t="shared" si="8"/>
        <v>ЗАКРЫТО</v>
      </c>
      <c r="AU34" s="21" t="str">
        <f t="shared" si="9"/>
        <v>ЗАКРЫТО</v>
      </c>
      <c r="AV34" s="21" t="str">
        <f t="shared" si="10"/>
        <v>ЗАКРЫТО</v>
      </c>
      <c r="AW34" s="21" t="str">
        <f t="shared" si="11"/>
        <v>ЗАКРЫТО</v>
      </c>
      <c r="AX34" s="21" t="str">
        <f t="shared" si="12"/>
        <v>ЗАКРЫТО</v>
      </c>
      <c r="AY34" s="21" t="str">
        <f t="shared" si="13"/>
        <v>ЗАКРЫТО</v>
      </c>
      <c r="AZ34" s="21" t="str">
        <f t="shared" si="14"/>
        <v>ЗАКРЫТО</v>
      </c>
      <c r="BA34" s="21" t="str">
        <f t="shared" si="15"/>
        <v>ЗАКРЫТО</v>
      </c>
      <c r="BB34" s="21" t="str">
        <f t="shared" si="16"/>
        <v>ЗАКРЫТО</v>
      </c>
      <c r="BC34" s="21" t="str">
        <f t="shared" si="17"/>
        <v>ЗАКРЫТО</v>
      </c>
      <c r="BD34" s="21" t="str">
        <f t="shared" si="18"/>
        <v>ЗАКРЫТО</v>
      </c>
      <c r="BE34" s="21" t="str">
        <f t="shared" si="19"/>
        <v>ЗАКРЫТО</v>
      </c>
      <c r="BF34" s="21" t="str">
        <f t="shared" si="20"/>
        <v>ЗАКРЫТО</v>
      </c>
    </row>
    <row r="35" ht="15.75" customHeight="1">
      <c r="A35" s="13" t="s">
        <v>162</v>
      </c>
      <c r="B35" s="5" t="s">
        <v>325</v>
      </c>
      <c r="C35" s="5" t="s">
        <v>87</v>
      </c>
      <c r="D35" s="5" t="s">
        <v>326</v>
      </c>
      <c r="E35" s="5">
        <v>20.0</v>
      </c>
      <c r="F35" s="5"/>
      <c r="G35" s="5"/>
      <c r="H35" s="5"/>
      <c r="I35" s="5" t="s">
        <v>327</v>
      </c>
      <c r="J35" s="5" t="s">
        <v>328</v>
      </c>
      <c r="K35" s="14">
        <f>SUMIF('Ход 2026'!$G$29:$G$38,$A35,'Ход 2026'!$I$29:$I$38)</f>
        <v>20</v>
      </c>
      <c r="L35" s="14">
        <f>SUMIF('Ход 2027'!$G$29:$G$38,$A35,'Ход 2027'!$I$29:$I$38)</f>
        <v>0</v>
      </c>
      <c r="M35" s="14">
        <f>SUMIF('Ход 2028'!$G$29:$G$38,$A35,'Ход 2028'!$I$29:$I$38)</f>
        <v>0</v>
      </c>
      <c r="N35" s="14">
        <f>SUMIF('Ход 2029'!$G$29:$G$38,$A35,'Ход 2029'!$I$29:$I$38)</f>
        <v>0</v>
      </c>
      <c r="O35" s="14">
        <f>SUMIF('Ход 2030'!$G$29:$G$38,$A35,'Ход 2030'!$I$29:$I$38)</f>
        <v>0</v>
      </c>
      <c r="P35" s="14">
        <f>SUMIF('Ход 2031'!$G$29:$G$38,$A35,'Ход 2031'!$I$29:$I$38)</f>
        <v>0</v>
      </c>
      <c r="Q35" s="14">
        <f>SUMIF('Ход 2032'!$G$29:$G$38,$A35,'Ход 2032'!$I$29:$I$38)</f>
        <v>0</v>
      </c>
      <c r="R35" s="14">
        <f>SUMIF('Ход 2033'!$G$29:$G$38,$A35,'Ход 2033'!$I$29:$I$38)</f>
        <v>0</v>
      </c>
      <c r="S35" s="14">
        <f>SUMIF('Ход 2034'!$G$29:$G$38,$A35,'Ход 2034'!$I$29:$I$38)</f>
        <v>0</v>
      </c>
      <c r="T35" s="14">
        <f>SUMIF('Ход 2035'!$G$29:$G$38,$A35,'Ход 2035'!$I$29:$I$38)</f>
        <v>0</v>
      </c>
      <c r="U35" s="14">
        <f>SUMIF('Ход 2036'!$G$29:$G$38,$A35,'Ход 2036'!$I$29:$I$38)</f>
        <v>0</v>
      </c>
      <c r="V35" s="14">
        <f>SUMIF('Ход 2037'!$G$29:$G$38,$A35,'Ход 2037'!$I$29:$I$38)</f>
        <v>0</v>
      </c>
      <c r="W35" s="14">
        <f>SUMIF('Ход 2038'!$G$29:$G$38,$A35,'Ход 2038'!$I$29:$I$38)</f>
        <v>0</v>
      </c>
      <c r="X35" s="14">
        <f>SUMIF('Ход 2039'!$G$29:$G$38,$A35,'Ход 2039'!$I$29:$I$38)</f>
        <v>0</v>
      </c>
      <c r="Y35" s="14">
        <f>SUMIF('Ход 2040'!$G$29:$G$38,$A35,'Ход 2040'!$I$29:$I$38)</f>
        <v>0</v>
      </c>
      <c r="Z35" s="19">
        <f t="shared" si="2"/>
        <v>20</v>
      </c>
      <c r="AA35" s="19">
        <f t="shared" si="3"/>
        <v>0</v>
      </c>
      <c r="AB35" s="5" t="str">
        <f t="shared" si="4"/>
        <v>ИЗУЧЕНО</v>
      </c>
      <c r="AC35" s="21">
        <f t="shared" ref="AC35:AQ35" si="43">SUM($K35:K35)</f>
        <v>20</v>
      </c>
      <c r="AD35" s="21">
        <f t="shared" si="43"/>
        <v>20</v>
      </c>
      <c r="AE35" s="21">
        <f t="shared" si="43"/>
        <v>20</v>
      </c>
      <c r="AF35" s="21">
        <f t="shared" si="43"/>
        <v>20</v>
      </c>
      <c r="AG35" s="21">
        <f t="shared" si="43"/>
        <v>20</v>
      </c>
      <c r="AH35" s="21">
        <f t="shared" si="43"/>
        <v>20</v>
      </c>
      <c r="AI35" s="21">
        <f t="shared" si="43"/>
        <v>20</v>
      </c>
      <c r="AJ35" s="21">
        <f t="shared" si="43"/>
        <v>20</v>
      </c>
      <c r="AK35" s="21">
        <f t="shared" si="43"/>
        <v>20</v>
      </c>
      <c r="AL35" s="21">
        <f t="shared" si="43"/>
        <v>20</v>
      </c>
      <c r="AM35" s="21">
        <f t="shared" si="43"/>
        <v>20</v>
      </c>
      <c r="AN35" s="21">
        <f t="shared" si="43"/>
        <v>20</v>
      </c>
      <c r="AO35" s="21">
        <f t="shared" si="43"/>
        <v>20</v>
      </c>
      <c r="AP35" s="21">
        <f t="shared" si="43"/>
        <v>20</v>
      </c>
      <c r="AQ35" s="21">
        <f t="shared" si="43"/>
        <v>20</v>
      </c>
      <c r="AR35" s="21" t="str">
        <f t="shared" si="6"/>
        <v>ИЗУЧЕНО</v>
      </c>
      <c r="AS35" s="21" t="str">
        <f t="shared" si="7"/>
        <v>ИЗУЧЕНО</v>
      </c>
      <c r="AT35" s="21" t="str">
        <f t="shared" si="8"/>
        <v>ИЗУЧЕНО</v>
      </c>
      <c r="AU35" s="21" t="str">
        <f t="shared" si="9"/>
        <v>ИЗУЧЕНО</v>
      </c>
      <c r="AV35" s="21" t="str">
        <f t="shared" si="10"/>
        <v>ИЗУЧЕНО</v>
      </c>
      <c r="AW35" s="21" t="str">
        <f t="shared" si="11"/>
        <v>ИЗУЧЕНО</v>
      </c>
      <c r="AX35" s="21" t="str">
        <f t="shared" si="12"/>
        <v>ИЗУЧЕНО</v>
      </c>
      <c r="AY35" s="21" t="str">
        <f t="shared" si="13"/>
        <v>ИЗУЧЕНО</v>
      </c>
      <c r="AZ35" s="21" t="str">
        <f t="shared" si="14"/>
        <v>ИЗУЧЕНО</v>
      </c>
      <c r="BA35" s="21" t="str">
        <f t="shared" si="15"/>
        <v>ИЗУЧЕНО</v>
      </c>
      <c r="BB35" s="21" t="str">
        <f t="shared" si="16"/>
        <v>ИЗУЧЕНО</v>
      </c>
      <c r="BC35" s="21" t="str">
        <f t="shared" si="17"/>
        <v>ИЗУЧЕНО</v>
      </c>
      <c r="BD35" s="21" t="str">
        <f t="shared" si="18"/>
        <v>ИЗУЧЕНО</v>
      </c>
      <c r="BE35" s="21" t="str">
        <f t="shared" si="19"/>
        <v>ИЗУЧЕНО</v>
      </c>
      <c r="BF35" s="21" t="str">
        <f t="shared" si="20"/>
        <v>ИЗУЧЕНО</v>
      </c>
    </row>
    <row r="36" ht="15.75" customHeight="1">
      <c r="A36" s="5" t="s">
        <v>329</v>
      </c>
      <c r="B36" s="5" t="s">
        <v>325</v>
      </c>
      <c r="C36" s="5" t="s">
        <v>209</v>
      </c>
      <c r="D36" s="5" t="s">
        <v>330</v>
      </c>
      <c r="E36" s="5">
        <v>40.0</v>
      </c>
      <c r="F36" s="5" t="s">
        <v>162</v>
      </c>
      <c r="G36" s="5"/>
      <c r="H36" s="5"/>
      <c r="I36" s="5" t="s">
        <v>331</v>
      </c>
      <c r="J36" s="5" t="s">
        <v>332</v>
      </c>
      <c r="K36" s="14">
        <f>SUMIF('Ход 2026'!$G$29:$G$38,$A36,'Ход 2026'!$I$29:$I$38)</f>
        <v>0</v>
      </c>
      <c r="L36" s="14">
        <f>SUMIF('Ход 2027'!$G$29:$G$38,$A36,'Ход 2027'!$I$29:$I$38)</f>
        <v>0</v>
      </c>
      <c r="M36" s="14">
        <f>SUMIF('Ход 2028'!$G$29:$G$38,$A36,'Ход 2028'!$I$29:$I$38)</f>
        <v>0</v>
      </c>
      <c r="N36" s="14">
        <f>SUMIF('Ход 2029'!$G$29:$G$38,$A36,'Ход 2029'!$I$29:$I$38)</f>
        <v>0</v>
      </c>
      <c r="O36" s="14">
        <f>SUMIF('Ход 2030'!$G$29:$G$38,$A36,'Ход 2030'!$I$29:$I$38)</f>
        <v>0</v>
      </c>
      <c r="P36" s="14">
        <f>SUMIF('Ход 2031'!$G$29:$G$38,$A36,'Ход 2031'!$I$29:$I$38)</f>
        <v>0</v>
      </c>
      <c r="Q36" s="14">
        <f>SUMIF('Ход 2032'!$G$29:$G$38,$A36,'Ход 2032'!$I$29:$I$38)</f>
        <v>0</v>
      </c>
      <c r="R36" s="14">
        <f>SUMIF('Ход 2033'!$G$29:$G$38,$A36,'Ход 2033'!$I$29:$I$38)</f>
        <v>0</v>
      </c>
      <c r="S36" s="14">
        <f>SUMIF('Ход 2034'!$G$29:$G$38,$A36,'Ход 2034'!$I$29:$I$38)</f>
        <v>0</v>
      </c>
      <c r="T36" s="14">
        <f>SUMIF('Ход 2035'!$G$29:$G$38,$A36,'Ход 2035'!$I$29:$I$38)</f>
        <v>0</v>
      </c>
      <c r="U36" s="14">
        <f>SUMIF('Ход 2036'!$G$29:$G$38,$A36,'Ход 2036'!$I$29:$I$38)</f>
        <v>0</v>
      </c>
      <c r="V36" s="14">
        <f>SUMIF('Ход 2037'!$G$29:$G$38,$A36,'Ход 2037'!$I$29:$I$38)</f>
        <v>0</v>
      </c>
      <c r="W36" s="14">
        <f>SUMIF('Ход 2038'!$G$29:$G$38,$A36,'Ход 2038'!$I$29:$I$38)</f>
        <v>0</v>
      </c>
      <c r="X36" s="14">
        <f>SUMIF('Ход 2039'!$G$29:$G$38,$A36,'Ход 2039'!$I$29:$I$38)</f>
        <v>0</v>
      </c>
      <c r="Y36" s="14">
        <f>SUMIF('Ход 2040'!$G$29:$G$38,$A36,'Ход 2040'!$I$29:$I$38)</f>
        <v>0</v>
      </c>
      <c r="Z36" s="19">
        <f t="shared" si="2"/>
        <v>0</v>
      </c>
      <c r="AA36" s="19">
        <f t="shared" si="3"/>
        <v>40</v>
      </c>
      <c r="AB36" s="5" t="str">
        <f t="shared" si="4"/>
        <v>ОТКРЫТО</v>
      </c>
      <c r="AC36" s="21">
        <f t="shared" ref="AC36:AQ36" si="44">SUM($K36:K36)</f>
        <v>0</v>
      </c>
      <c r="AD36" s="21">
        <f t="shared" si="44"/>
        <v>0</v>
      </c>
      <c r="AE36" s="21">
        <f t="shared" si="44"/>
        <v>0</v>
      </c>
      <c r="AF36" s="21">
        <f t="shared" si="44"/>
        <v>0</v>
      </c>
      <c r="AG36" s="21">
        <f t="shared" si="44"/>
        <v>0</v>
      </c>
      <c r="AH36" s="21">
        <f t="shared" si="44"/>
        <v>0</v>
      </c>
      <c r="AI36" s="21">
        <f t="shared" si="44"/>
        <v>0</v>
      </c>
      <c r="AJ36" s="21">
        <f t="shared" si="44"/>
        <v>0</v>
      </c>
      <c r="AK36" s="21">
        <f t="shared" si="44"/>
        <v>0</v>
      </c>
      <c r="AL36" s="21">
        <f t="shared" si="44"/>
        <v>0</v>
      </c>
      <c r="AM36" s="21">
        <f t="shared" si="44"/>
        <v>0</v>
      </c>
      <c r="AN36" s="21">
        <f t="shared" si="44"/>
        <v>0</v>
      </c>
      <c r="AO36" s="21">
        <f t="shared" si="44"/>
        <v>0</v>
      </c>
      <c r="AP36" s="21">
        <f t="shared" si="44"/>
        <v>0</v>
      </c>
      <c r="AQ36" s="21">
        <f t="shared" si="44"/>
        <v>0</v>
      </c>
      <c r="AR36" s="21" t="str">
        <f t="shared" si="6"/>
        <v>ОТКРЫТО</v>
      </c>
      <c r="AS36" s="21" t="str">
        <f t="shared" si="7"/>
        <v>ОТКРЫТО</v>
      </c>
      <c r="AT36" s="21" t="str">
        <f t="shared" si="8"/>
        <v>ОТКРЫТО</v>
      </c>
      <c r="AU36" s="21" t="str">
        <f t="shared" si="9"/>
        <v>ОТКРЫТО</v>
      </c>
      <c r="AV36" s="21" t="str">
        <f t="shared" si="10"/>
        <v>ОТКРЫТО</v>
      </c>
      <c r="AW36" s="21" t="str">
        <f t="shared" si="11"/>
        <v>ОТКРЫТО</v>
      </c>
      <c r="AX36" s="21" t="str">
        <f t="shared" si="12"/>
        <v>ОТКРЫТО</v>
      </c>
      <c r="AY36" s="21" t="str">
        <f t="shared" si="13"/>
        <v>ОТКРЫТО</v>
      </c>
      <c r="AZ36" s="21" t="str">
        <f t="shared" si="14"/>
        <v>ОТКРЫТО</v>
      </c>
      <c r="BA36" s="21" t="str">
        <f t="shared" si="15"/>
        <v>ОТКРЫТО</v>
      </c>
      <c r="BB36" s="21" t="str">
        <f t="shared" si="16"/>
        <v>ОТКРЫТО</v>
      </c>
      <c r="BC36" s="21" t="str">
        <f t="shared" si="17"/>
        <v>ОТКРЫТО</v>
      </c>
      <c r="BD36" s="21" t="str">
        <f t="shared" si="18"/>
        <v>ОТКРЫТО</v>
      </c>
      <c r="BE36" s="21" t="str">
        <f t="shared" si="19"/>
        <v>ОТКРЫТО</v>
      </c>
      <c r="BF36" s="21" t="str">
        <f t="shared" si="20"/>
        <v>ОТКРЫТО</v>
      </c>
    </row>
    <row r="37" ht="15.75" customHeight="1">
      <c r="A37" s="5" t="s">
        <v>333</v>
      </c>
      <c r="B37" s="5" t="s">
        <v>325</v>
      </c>
      <c r="C37" s="5" t="s">
        <v>209</v>
      </c>
      <c r="D37" s="5" t="s">
        <v>334</v>
      </c>
      <c r="E37" s="5">
        <v>45.0</v>
      </c>
      <c r="F37" s="5" t="s">
        <v>162</v>
      </c>
      <c r="G37" s="5"/>
      <c r="H37" s="5"/>
      <c r="I37" s="5" t="s">
        <v>335</v>
      </c>
      <c r="J37" s="5" t="s">
        <v>336</v>
      </c>
      <c r="K37" s="14">
        <f>SUMIF('Ход 2026'!$G$29:$G$38,$A37,'Ход 2026'!$I$29:$I$38)</f>
        <v>0</v>
      </c>
      <c r="L37" s="14">
        <f>SUMIF('Ход 2027'!$G$29:$G$38,$A37,'Ход 2027'!$I$29:$I$38)</f>
        <v>0</v>
      </c>
      <c r="M37" s="14">
        <f>SUMIF('Ход 2028'!$G$29:$G$38,$A37,'Ход 2028'!$I$29:$I$38)</f>
        <v>0</v>
      </c>
      <c r="N37" s="14">
        <f>SUMIF('Ход 2029'!$G$29:$G$38,$A37,'Ход 2029'!$I$29:$I$38)</f>
        <v>0</v>
      </c>
      <c r="O37" s="14">
        <f>SUMIF('Ход 2030'!$G$29:$G$38,$A37,'Ход 2030'!$I$29:$I$38)</f>
        <v>0</v>
      </c>
      <c r="P37" s="14">
        <f>SUMIF('Ход 2031'!$G$29:$G$38,$A37,'Ход 2031'!$I$29:$I$38)</f>
        <v>0</v>
      </c>
      <c r="Q37" s="14">
        <f>SUMIF('Ход 2032'!$G$29:$G$38,$A37,'Ход 2032'!$I$29:$I$38)</f>
        <v>0</v>
      </c>
      <c r="R37" s="14">
        <f>SUMIF('Ход 2033'!$G$29:$G$38,$A37,'Ход 2033'!$I$29:$I$38)</f>
        <v>0</v>
      </c>
      <c r="S37" s="14">
        <f>SUMIF('Ход 2034'!$G$29:$G$38,$A37,'Ход 2034'!$I$29:$I$38)</f>
        <v>0</v>
      </c>
      <c r="T37" s="14">
        <f>SUMIF('Ход 2035'!$G$29:$G$38,$A37,'Ход 2035'!$I$29:$I$38)</f>
        <v>0</v>
      </c>
      <c r="U37" s="14">
        <f>SUMIF('Ход 2036'!$G$29:$G$38,$A37,'Ход 2036'!$I$29:$I$38)</f>
        <v>0</v>
      </c>
      <c r="V37" s="14">
        <f>SUMIF('Ход 2037'!$G$29:$G$38,$A37,'Ход 2037'!$I$29:$I$38)</f>
        <v>0</v>
      </c>
      <c r="W37" s="14">
        <f>SUMIF('Ход 2038'!$G$29:$G$38,$A37,'Ход 2038'!$I$29:$I$38)</f>
        <v>0</v>
      </c>
      <c r="X37" s="14">
        <f>SUMIF('Ход 2039'!$G$29:$G$38,$A37,'Ход 2039'!$I$29:$I$38)</f>
        <v>0</v>
      </c>
      <c r="Y37" s="14">
        <f>SUMIF('Ход 2040'!$G$29:$G$38,$A37,'Ход 2040'!$I$29:$I$38)</f>
        <v>0</v>
      </c>
      <c r="Z37" s="19">
        <f t="shared" si="2"/>
        <v>0</v>
      </c>
      <c r="AA37" s="19">
        <f t="shared" si="3"/>
        <v>45</v>
      </c>
      <c r="AB37" s="5" t="str">
        <f t="shared" si="4"/>
        <v>ОТКРЫТО</v>
      </c>
      <c r="AC37" s="21">
        <f t="shared" ref="AC37:AQ37" si="45">SUM($K37:K37)</f>
        <v>0</v>
      </c>
      <c r="AD37" s="21">
        <f t="shared" si="45"/>
        <v>0</v>
      </c>
      <c r="AE37" s="21">
        <f t="shared" si="45"/>
        <v>0</v>
      </c>
      <c r="AF37" s="21">
        <f t="shared" si="45"/>
        <v>0</v>
      </c>
      <c r="AG37" s="21">
        <f t="shared" si="45"/>
        <v>0</v>
      </c>
      <c r="AH37" s="21">
        <f t="shared" si="45"/>
        <v>0</v>
      </c>
      <c r="AI37" s="21">
        <f t="shared" si="45"/>
        <v>0</v>
      </c>
      <c r="AJ37" s="21">
        <f t="shared" si="45"/>
        <v>0</v>
      </c>
      <c r="AK37" s="21">
        <f t="shared" si="45"/>
        <v>0</v>
      </c>
      <c r="AL37" s="21">
        <f t="shared" si="45"/>
        <v>0</v>
      </c>
      <c r="AM37" s="21">
        <f t="shared" si="45"/>
        <v>0</v>
      </c>
      <c r="AN37" s="21">
        <f t="shared" si="45"/>
        <v>0</v>
      </c>
      <c r="AO37" s="21">
        <f t="shared" si="45"/>
        <v>0</v>
      </c>
      <c r="AP37" s="21">
        <f t="shared" si="45"/>
        <v>0</v>
      </c>
      <c r="AQ37" s="21">
        <f t="shared" si="45"/>
        <v>0</v>
      </c>
      <c r="AR37" s="21" t="str">
        <f t="shared" si="6"/>
        <v>ОТКРЫТО</v>
      </c>
      <c r="AS37" s="21" t="str">
        <f t="shared" si="7"/>
        <v>ОТКРЫТО</v>
      </c>
      <c r="AT37" s="21" t="str">
        <f t="shared" si="8"/>
        <v>ОТКРЫТО</v>
      </c>
      <c r="AU37" s="21" t="str">
        <f t="shared" si="9"/>
        <v>ОТКРЫТО</v>
      </c>
      <c r="AV37" s="21" t="str">
        <f t="shared" si="10"/>
        <v>ОТКРЫТО</v>
      </c>
      <c r="AW37" s="21" t="str">
        <f t="shared" si="11"/>
        <v>ОТКРЫТО</v>
      </c>
      <c r="AX37" s="21" t="str">
        <f t="shared" si="12"/>
        <v>ОТКРЫТО</v>
      </c>
      <c r="AY37" s="21" t="str">
        <f t="shared" si="13"/>
        <v>ОТКРЫТО</v>
      </c>
      <c r="AZ37" s="21" t="str">
        <f t="shared" si="14"/>
        <v>ОТКРЫТО</v>
      </c>
      <c r="BA37" s="21" t="str">
        <f t="shared" si="15"/>
        <v>ОТКРЫТО</v>
      </c>
      <c r="BB37" s="21" t="str">
        <f t="shared" si="16"/>
        <v>ОТКРЫТО</v>
      </c>
      <c r="BC37" s="21" t="str">
        <f t="shared" si="17"/>
        <v>ОТКРЫТО</v>
      </c>
      <c r="BD37" s="21" t="str">
        <f t="shared" si="18"/>
        <v>ОТКРЫТО</v>
      </c>
      <c r="BE37" s="21" t="str">
        <f t="shared" si="19"/>
        <v>ОТКРЫТО</v>
      </c>
      <c r="BF37" s="21" t="str">
        <f t="shared" si="20"/>
        <v>ОТКРЫТО</v>
      </c>
    </row>
    <row r="38" ht="15.75" customHeight="1">
      <c r="A38" s="5" t="s">
        <v>337</v>
      </c>
      <c r="B38" s="5" t="s">
        <v>325</v>
      </c>
      <c r="C38" s="5" t="s">
        <v>232</v>
      </c>
      <c r="D38" s="5" t="s">
        <v>338</v>
      </c>
      <c r="E38" s="5">
        <v>70.0</v>
      </c>
      <c r="F38" s="5" t="s">
        <v>329</v>
      </c>
      <c r="G38" s="5" t="s">
        <v>333</v>
      </c>
      <c r="H38" s="5"/>
      <c r="I38" s="5" t="s">
        <v>339</v>
      </c>
      <c r="J38" s="5" t="s">
        <v>340</v>
      </c>
      <c r="K38" s="14">
        <f>SUMIF('Ход 2026'!$G$29:$G$38,$A38,'Ход 2026'!$I$29:$I$38)</f>
        <v>0</v>
      </c>
      <c r="L38" s="14">
        <f>SUMIF('Ход 2027'!$G$29:$G$38,$A38,'Ход 2027'!$I$29:$I$38)</f>
        <v>0</v>
      </c>
      <c r="M38" s="14">
        <f>SUMIF('Ход 2028'!$G$29:$G$38,$A38,'Ход 2028'!$I$29:$I$38)</f>
        <v>0</v>
      </c>
      <c r="N38" s="14">
        <f>SUMIF('Ход 2029'!$G$29:$G$38,$A38,'Ход 2029'!$I$29:$I$38)</f>
        <v>0</v>
      </c>
      <c r="O38" s="14">
        <f>SUMIF('Ход 2030'!$G$29:$G$38,$A38,'Ход 2030'!$I$29:$I$38)</f>
        <v>0</v>
      </c>
      <c r="P38" s="14">
        <f>SUMIF('Ход 2031'!$G$29:$G$38,$A38,'Ход 2031'!$I$29:$I$38)</f>
        <v>0</v>
      </c>
      <c r="Q38" s="14">
        <f>SUMIF('Ход 2032'!$G$29:$G$38,$A38,'Ход 2032'!$I$29:$I$38)</f>
        <v>0</v>
      </c>
      <c r="R38" s="14">
        <f>SUMIF('Ход 2033'!$G$29:$G$38,$A38,'Ход 2033'!$I$29:$I$38)</f>
        <v>0</v>
      </c>
      <c r="S38" s="14">
        <f>SUMIF('Ход 2034'!$G$29:$G$38,$A38,'Ход 2034'!$I$29:$I$38)</f>
        <v>0</v>
      </c>
      <c r="T38" s="14">
        <f>SUMIF('Ход 2035'!$G$29:$G$38,$A38,'Ход 2035'!$I$29:$I$38)</f>
        <v>0</v>
      </c>
      <c r="U38" s="14">
        <f>SUMIF('Ход 2036'!$G$29:$G$38,$A38,'Ход 2036'!$I$29:$I$38)</f>
        <v>0</v>
      </c>
      <c r="V38" s="14">
        <f>SUMIF('Ход 2037'!$G$29:$G$38,$A38,'Ход 2037'!$I$29:$I$38)</f>
        <v>0</v>
      </c>
      <c r="W38" s="14">
        <f>SUMIF('Ход 2038'!$G$29:$G$38,$A38,'Ход 2038'!$I$29:$I$38)</f>
        <v>0</v>
      </c>
      <c r="X38" s="14">
        <f>SUMIF('Ход 2039'!$G$29:$G$38,$A38,'Ход 2039'!$I$29:$I$38)</f>
        <v>0</v>
      </c>
      <c r="Y38" s="14">
        <f>SUMIF('Ход 2040'!$G$29:$G$38,$A38,'Ход 2040'!$I$29:$I$38)</f>
        <v>0</v>
      </c>
      <c r="Z38" s="19">
        <f t="shared" si="2"/>
        <v>0</v>
      </c>
      <c r="AA38" s="19">
        <f t="shared" si="3"/>
        <v>70</v>
      </c>
      <c r="AB38" s="5" t="str">
        <f t="shared" si="4"/>
        <v>ЗАКРЫТО</v>
      </c>
      <c r="AC38" s="21">
        <f t="shared" ref="AC38:AQ38" si="46">SUM($K38:K38)</f>
        <v>0</v>
      </c>
      <c r="AD38" s="21">
        <f t="shared" si="46"/>
        <v>0</v>
      </c>
      <c r="AE38" s="21">
        <f t="shared" si="46"/>
        <v>0</v>
      </c>
      <c r="AF38" s="21">
        <f t="shared" si="46"/>
        <v>0</v>
      </c>
      <c r="AG38" s="21">
        <f t="shared" si="46"/>
        <v>0</v>
      </c>
      <c r="AH38" s="21">
        <f t="shared" si="46"/>
        <v>0</v>
      </c>
      <c r="AI38" s="21">
        <f t="shared" si="46"/>
        <v>0</v>
      </c>
      <c r="AJ38" s="21">
        <f t="shared" si="46"/>
        <v>0</v>
      </c>
      <c r="AK38" s="21">
        <f t="shared" si="46"/>
        <v>0</v>
      </c>
      <c r="AL38" s="21">
        <f t="shared" si="46"/>
        <v>0</v>
      </c>
      <c r="AM38" s="21">
        <f t="shared" si="46"/>
        <v>0</v>
      </c>
      <c r="AN38" s="21">
        <f t="shared" si="46"/>
        <v>0</v>
      </c>
      <c r="AO38" s="21">
        <f t="shared" si="46"/>
        <v>0</v>
      </c>
      <c r="AP38" s="21">
        <f t="shared" si="46"/>
        <v>0</v>
      </c>
      <c r="AQ38" s="21">
        <f t="shared" si="46"/>
        <v>0</v>
      </c>
      <c r="AR38" s="21" t="str">
        <f t="shared" si="6"/>
        <v>ЗАКРЫТО</v>
      </c>
      <c r="AS38" s="21" t="str">
        <f t="shared" si="7"/>
        <v>ЗАКРЫТО</v>
      </c>
      <c r="AT38" s="21" t="str">
        <f t="shared" si="8"/>
        <v>ЗАКРЫТО</v>
      </c>
      <c r="AU38" s="21" t="str">
        <f t="shared" si="9"/>
        <v>ЗАКРЫТО</v>
      </c>
      <c r="AV38" s="21" t="str">
        <f t="shared" si="10"/>
        <v>ЗАКРЫТО</v>
      </c>
      <c r="AW38" s="21" t="str">
        <f t="shared" si="11"/>
        <v>ЗАКРЫТО</v>
      </c>
      <c r="AX38" s="21" t="str">
        <f t="shared" si="12"/>
        <v>ЗАКРЫТО</v>
      </c>
      <c r="AY38" s="21" t="str">
        <f t="shared" si="13"/>
        <v>ЗАКРЫТО</v>
      </c>
      <c r="AZ38" s="21" t="str">
        <f t="shared" si="14"/>
        <v>ЗАКРЫТО</v>
      </c>
      <c r="BA38" s="21" t="str">
        <f t="shared" si="15"/>
        <v>ЗАКРЫТО</v>
      </c>
      <c r="BB38" s="21" t="str">
        <f t="shared" si="16"/>
        <v>ЗАКРЫТО</v>
      </c>
      <c r="BC38" s="21" t="str">
        <f t="shared" si="17"/>
        <v>ЗАКРЫТО</v>
      </c>
      <c r="BD38" s="21" t="str">
        <f t="shared" si="18"/>
        <v>ЗАКРЫТО</v>
      </c>
      <c r="BE38" s="21" t="str">
        <f t="shared" si="19"/>
        <v>ЗАКРЫТО</v>
      </c>
      <c r="BF38" s="21" t="str">
        <f t="shared" si="20"/>
        <v>ЗАКРЫТО</v>
      </c>
    </row>
    <row r="39" ht="15.75" customHeight="1">
      <c r="A39" s="5" t="s">
        <v>342</v>
      </c>
      <c r="B39" s="5" t="s">
        <v>325</v>
      </c>
      <c r="C39" s="5" t="s">
        <v>237</v>
      </c>
      <c r="D39" s="5" t="s">
        <v>343</v>
      </c>
      <c r="E39" s="5">
        <v>105.0</v>
      </c>
      <c r="F39" s="5" t="s">
        <v>337</v>
      </c>
      <c r="G39" s="5"/>
      <c r="H39" s="5"/>
      <c r="I39" s="5" t="s">
        <v>344</v>
      </c>
      <c r="J39" s="5" t="s">
        <v>345</v>
      </c>
      <c r="K39" s="14">
        <f>SUMIF('Ход 2026'!$G$29:$G$38,$A39,'Ход 2026'!$I$29:$I$38)</f>
        <v>0</v>
      </c>
      <c r="L39" s="14">
        <f>SUMIF('Ход 2027'!$G$29:$G$38,$A39,'Ход 2027'!$I$29:$I$38)</f>
        <v>0</v>
      </c>
      <c r="M39" s="14">
        <f>SUMIF('Ход 2028'!$G$29:$G$38,$A39,'Ход 2028'!$I$29:$I$38)</f>
        <v>0</v>
      </c>
      <c r="N39" s="14">
        <f>SUMIF('Ход 2029'!$G$29:$G$38,$A39,'Ход 2029'!$I$29:$I$38)</f>
        <v>0</v>
      </c>
      <c r="O39" s="14">
        <f>SUMIF('Ход 2030'!$G$29:$G$38,$A39,'Ход 2030'!$I$29:$I$38)</f>
        <v>0</v>
      </c>
      <c r="P39" s="14">
        <f>SUMIF('Ход 2031'!$G$29:$G$38,$A39,'Ход 2031'!$I$29:$I$38)</f>
        <v>0</v>
      </c>
      <c r="Q39" s="14">
        <f>SUMIF('Ход 2032'!$G$29:$G$38,$A39,'Ход 2032'!$I$29:$I$38)</f>
        <v>0</v>
      </c>
      <c r="R39" s="14">
        <f>SUMIF('Ход 2033'!$G$29:$G$38,$A39,'Ход 2033'!$I$29:$I$38)</f>
        <v>0</v>
      </c>
      <c r="S39" s="14">
        <f>SUMIF('Ход 2034'!$G$29:$G$38,$A39,'Ход 2034'!$I$29:$I$38)</f>
        <v>0</v>
      </c>
      <c r="T39" s="14">
        <f>SUMIF('Ход 2035'!$G$29:$G$38,$A39,'Ход 2035'!$I$29:$I$38)</f>
        <v>0</v>
      </c>
      <c r="U39" s="14">
        <f>SUMIF('Ход 2036'!$G$29:$G$38,$A39,'Ход 2036'!$I$29:$I$38)</f>
        <v>0</v>
      </c>
      <c r="V39" s="14">
        <f>SUMIF('Ход 2037'!$G$29:$G$38,$A39,'Ход 2037'!$I$29:$I$38)</f>
        <v>0</v>
      </c>
      <c r="W39" s="14">
        <f>SUMIF('Ход 2038'!$G$29:$G$38,$A39,'Ход 2038'!$I$29:$I$38)</f>
        <v>0</v>
      </c>
      <c r="X39" s="14">
        <f>SUMIF('Ход 2039'!$G$29:$G$38,$A39,'Ход 2039'!$I$29:$I$38)</f>
        <v>0</v>
      </c>
      <c r="Y39" s="14">
        <f>SUMIF('Ход 2040'!$G$29:$G$38,$A39,'Ход 2040'!$I$29:$I$38)</f>
        <v>0</v>
      </c>
      <c r="Z39" s="19">
        <f t="shared" si="2"/>
        <v>0</v>
      </c>
      <c r="AA39" s="19">
        <f t="shared" si="3"/>
        <v>105</v>
      </c>
      <c r="AB39" s="5" t="str">
        <f t="shared" si="4"/>
        <v>ЗАКРЫТО</v>
      </c>
      <c r="AC39" s="21">
        <f t="shared" ref="AC39:AQ39" si="47">SUM($K39:K39)</f>
        <v>0</v>
      </c>
      <c r="AD39" s="21">
        <f t="shared" si="47"/>
        <v>0</v>
      </c>
      <c r="AE39" s="21">
        <f t="shared" si="47"/>
        <v>0</v>
      </c>
      <c r="AF39" s="21">
        <f t="shared" si="47"/>
        <v>0</v>
      </c>
      <c r="AG39" s="21">
        <f t="shared" si="47"/>
        <v>0</v>
      </c>
      <c r="AH39" s="21">
        <f t="shared" si="47"/>
        <v>0</v>
      </c>
      <c r="AI39" s="21">
        <f t="shared" si="47"/>
        <v>0</v>
      </c>
      <c r="AJ39" s="21">
        <f t="shared" si="47"/>
        <v>0</v>
      </c>
      <c r="AK39" s="21">
        <f t="shared" si="47"/>
        <v>0</v>
      </c>
      <c r="AL39" s="21">
        <f t="shared" si="47"/>
        <v>0</v>
      </c>
      <c r="AM39" s="21">
        <f t="shared" si="47"/>
        <v>0</v>
      </c>
      <c r="AN39" s="21">
        <f t="shared" si="47"/>
        <v>0</v>
      </c>
      <c r="AO39" s="21">
        <f t="shared" si="47"/>
        <v>0</v>
      </c>
      <c r="AP39" s="21">
        <f t="shared" si="47"/>
        <v>0</v>
      </c>
      <c r="AQ39" s="21">
        <f t="shared" si="47"/>
        <v>0</v>
      </c>
      <c r="AR39" s="21" t="str">
        <f t="shared" si="6"/>
        <v>ЗАКРЫТО</v>
      </c>
      <c r="AS39" s="21" t="str">
        <f t="shared" si="7"/>
        <v>ЗАКРЫТО</v>
      </c>
      <c r="AT39" s="21" t="str">
        <f t="shared" si="8"/>
        <v>ЗАКРЫТО</v>
      </c>
      <c r="AU39" s="21" t="str">
        <f t="shared" si="9"/>
        <v>ЗАКРЫТО</v>
      </c>
      <c r="AV39" s="21" t="str">
        <f t="shared" si="10"/>
        <v>ЗАКРЫТО</v>
      </c>
      <c r="AW39" s="21" t="str">
        <f t="shared" si="11"/>
        <v>ЗАКРЫТО</v>
      </c>
      <c r="AX39" s="21" t="str">
        <f t="shared" si="12"/>
        <v>ЗАКРЫТО</v>
      </c>
      <c r="AY39" s="21" t="str">
        <f t="shared" si="13"/>
        <v>ЗАКРЫТО</v>
      </c>
      <c r="AZ39" s="21" t="str">
        <f t="shared" si="14"/>
        <v>ЗАКРЫТО</v>
      </c>
      <c r="BA39" s="21" t="str">
        <f t="shared" si="15"/>
        <v>ЗАКРЫТО</v>
      </c>
      <c r="BB39" s="21" t="str">
        <f t="shared" si="16"/>
        <v>ЗАКРЫТО</v>
      </c>
      <c r="BC39" s="21" t="str">
        <f t="shared" si="17"/>
        <v>ЗАКРЫТО</v>
      </c>
      <c r="BD39" s="21" t="str">
        <f t="shared" si="18"/>
        <v>ЗАКРЫТО</v>
      </c>
      <c r="BE39" s="21" t="str">
        <f t="shared" si="19"/>
        <v>ЗАКРЫТО</v>
      </c>
      <c r="BF39" s="21" t="str">
        <f t="shared" si="20"/>
        <v>ЗАКРЫТО</v>
      </c>
    </row>
    <row r="40" ht="15.75" customHeight="1">
      <c r="A40" s="5" t="s">
        <v>346</v>
      </c>
      <c r="B40" s="5" t="s">
        <v>325</v>
      </c>
      <c r="C40" s="5" t="s">
        <v>243</v>
      </c>
      <c r="D40" s="5" t="s">
        <v>347</v>
      </c>
      <c r="E40" s="5">
        <v>150.0</v>
      </c>
      <c r="F40" s="5" t="s">
        <v>342</v>
      </c>
      <c r="G40" s="5"/>
      <c r="H40" s="5"/>
      <c r="I40" s="5" t="s">
        <v>348</v>
      </c>
      <c r="J40" s="5" t="s">
        <v>349</v>
      </c>
      <c r="K40" s="14">
        <f>SUMIF('Ход 2026'!$G$29:$G$38,$A40,'Ход 2026'!$I$29:$I$38)</f>
        <v>0</v>
      </c>
      <c r="L40" s="14">
        <f>SUMIF('Ход 2027'!$G$29:$G$38,$A40,'Ход 2027'!$I$29:$I$38)</f>
        <v>0</v>
      </c>
      <c r="M40" s="14">
        <f>SUMIF('Ход 2028'!$G$29:$G$38,$A40,'Ход 2028'!$I$29:$I$38)</f>
        <v>0</v>
      </c>
      <c r="N40" s="14">
        <f>SUMIF('Ход 2029'!$G$29:$G$38,$A40,'Ход 2029'!$I$29:$I$38)</f>
        <v>0</v>
      </c>
      <c r="O40" s="14">
        <f>SUMIF('Ход 2030'!$G$29:$G$38,$A40,'Ход 2030'!$I$29:$I$38)</f>
        <v>0</v>
      </c>
      <c r="P40" s="14">
        <f>SUMIF('Ход 2031'!$G$29:$G$38,$A40,'Ход 2031'!$I$29:$I$38)</f>
        <v>0</v>
      </c>
      <c r="Q40" s="14">
        <f>SUMIF('Ход 2032'!$G$29:$G$38,$A40,'Ход 2032'!$I$29:$I$38)</f>
        <v>0</v>
      </c>
      <c r="R40" s="14">
        <f>SUMIF('Ход 2033'!$G$29:$G$38,$A40,'Ход 2033'!$I$29:$I$38)</f>
        <v>0</v>
      </c>
      <c r="S40" s="14">
        <f>SUMIF('Ход 2034'!$G$29:$G$38,$A40,'Ход 2034'!$I$29:$I$38)</f>
        <v>0</v>
      </c>
      <c r="T40" s="14">
        <f>SUMIF('Ход 2035'!$G$29:$G$38,$A40,'Ход 2035'!$I$29:$I$38)</f>
        <v>0</v>
      </c>
      <c r="U40" s="14">
        <f>SUMIF('Ход 2036'!$G$29:$G$38,$A40,'Ход 2036'!$I$29:$I$38)</f>
        <v>0</v>
      </c>
      <c r="V40" s="14">
        <f>SUMIF('Ход 2037'!$G$29:$G$38,$A40,'Ход 2037'!$I$29:$I$38)</f>
        <v>0</v>
      </c>
      <c r="W40" s="14">
        <f>SUMIF('Ход 2038'!$G$29:$G$38,$A40,'Ход 2038'!$I$29:$I$38)</f>
        <v>0</v>
      </c>
      <c r="X40" s="14">
        <f>SUMIF('Ход 2039'!$G$29:$G$38,$A40,'Ход 2039'!$I$29:$I$38)</f>
        <v>0</v>
      </c>
      <c r="Y40" s="14">
        <f>SUMIF('Ход 2040'!$G$29:$G$38,$A40,'Ход 2040'!$I$29:$I$38)</f>
        <v>0</v>
      </c>
      <c r="Z40" s="19">
        <f t="shared" si="2"/>
        <v>0</v>
      </c>
      <c r="AA40" s="19">
        <f t="shared" si="3"/>
        <v>150</v>
      </c>
      <c r="AB40" s="5" t="str">
        <f t="shared" si="4"/>
        <v>ЗАКРЫТО</v>
      </c>
      <c r="AC40" s="21">
        <f t="shared" ref="AC40:AQ40" si="48">SUM($K40:K40)</f>
        <v>0</v>
      </c>
      <c r="AD40" s="21">
        <f t="shared" si="48"/>
        <v>0</v>
      </c>
      <c r="AE40" s="21">
        <f t="shared" si="48"/>
        <v>0</v>
      </c>
      <c r="AF40" s="21">
        <f t="shared" si="48"/>
        <v>0</v>
      </c>
      <c r="AG40" s="21">
        <f t="shared" si="48"/>
        <v>0</v>
      </c>
      <c r="AH40" s="21">
        <f t="shared" si="48"/>
        <v>0</v>
      </c>
      <c r="AI40" s="21">
        <f t="shared" si="48"/>
        <v>0</v>
      </c>
      <c r="AJ40" s="21">
        <f t="shared" si="48"/>
        <v>0</v>
      </c>
      <c r="AK40" s="21">
        <f t="shared" si="48"/>
        <v>0</v>
      </c>
      <c r="AL40" s="21">
        <f t="shared" si="48"/>
        <v>0</v>
      </c>
      <c r="AM40" s="21">
        <f t="shared" si="48"/>
        <v>0</v>
      </c>
      <c r="AN40" s="21">
        <f t="shared" si="48"/>
        <v>0</v>
      </c>
      <c r="AO40" s="21">
        <f t="shared" si="48"/>
        <v>0</v>
      </c>
      <c r="AP40" s="21">
        <f t="shared" si="48"/>
        <v>0</v>
      </c>
      <c r="AQ40" s="21">
        <f t="shared" si="48"/>
        <v>0</v>
      </c>
      <c r="AR40" s="21" t="str">
        <f t="shared" si="6"/>
        <v>ЗАКРЫТО</v>
      </c>
      <c r="AS40" s="21" t="str">
        <f t="shared" si="7"/>
        <v>ЗАКРЫТО</v>
      </c>
      <c r="AT40" s="21" t="str">
        <f t="shared" si="8"/>
        <v>ЗАКРЫТО</v>
      </c>
      <c r="AU40" s="21" t="str">
        <f t="shared" si="9"/>
        <v>ЗАКРЫТО</v>
      </c>
      <c r="AV40" s="21" t="str">
        <f t="shared" si="10"/>
        <v>ЗАКРЫТО</v>
      </c>
      <c r="AW40" s="21" t="str">
        <f t="shared" si="11"/>
        <v>ЗАКРЫТО</v>
      </c>
      <c r="AX40" s="21" t="str">
        <f t="shared" si="12"/>
        <v>ЗАКРЫТО</v>
      </c>
      <c r="AY40" s="21" t="str">
        <f t="shared" si="13"/>
        <v>ЗАКРЫТО</v>
      </c>
      <c r="AZ40" s="21" t="str">
        <f t="shared" si="14"/>
        <v>ЗАКРЫТО</v>
      </c>
      <c r="BA40" s="21" t="str">
        <f t="shared" si="15"/>
        <v>ЗАКРЫТО</v>
      </c>
      <c r="BB40" s="21" t="str">
        <f t="shared" si="16"/>
        <v>ЗАКРЫТО</v>
      </c>
      <c r="BC40" s="21" t="str">
        <f t="shared" si="17"/>
        <v>ЗАКРЫТО</v>
      </c>
      <c r="BD40" s="21" t="str">
        <f t="shared" si="18"/>
        <v>ЗАКРЫТО</v>
      </c>
      <c r="BE40" s="21" t="str">
        <f t="shared" si="19"/>
        <v>ЗАКРЫТО</v>
      </c>
      <c r="BF40" s="21" t="str">
        <f t="shared" si="20"/>
        <v>ЗАКРЫТО</v>
      </c>
    </row>
    <row r="41" ht="15.75" customHeight="1">
      <c r="A41" s="13" t="s">
        <v>257</v>
      </c>
      <c r="B41" s="5" t="s">
        <v>351</v>
      </c>
      <c r="C41" s="5" t="s">
        <v>87</v>
      </c>
      <c r="D41" s="5" t="s">
        <v>352</v>
      </c>
      <c r="E41" s="5">
        <v>20.0</v>
      </c>
      <c r="F41" s="5"/>
      <c r="G41" s="5"/>
      <c r="H41" s="5"/>
      <c r="I41" s="5" t="s">
        <v>353</v>
      </c>
      <c r="J41" s="5" t="s">
        <v>354</v>
      </c>
      <c r="K41" s="14">
        <f>SUMIF('Ход 2026'!$G$29:$G$38,$A41,'Ход 2026'!$I$29:$I$38)</f>
        <v>0</v>
      </c>
      <c r="L41" s="14">
        <f>SUMIF('Ход 2027'!$G$29:$G$38,$A41,'Ход 2027'!$I$29:$I$38)</f>
        <v>20</v>
      </c>
      <c r="M41" s="14">
        <f>SUMIF('Ход 2028'!$G$29:$G$38,$A41,'Ход 2028'!$I$29:$I$38)</f>
        <v>0</v>
      </c>
      <c r="N41" s="14">
        <f>SUMIF('Ход 2029'!$G$29:$G$38,$A41,'Ход 2029'!$I$29:$I$38)</f>
        <v>0</v>
      </c>
      <c r="O41" s="14">
        <f>SUMIF('Ход 2030'!$G$29:$G$38,$A41,'Ход 2030'!$I$29:$I$38)</f>
        <v>0</v>
      </c>
      <c r="P41" s="14">
        <f>SUMIF('Ход 2031'!$G$29:$G$38,$A41,'Ход 2031'!$I$29:$I$38)</f>
        <v>0</v>
      </c>
      <c r="Q41" s="14">
        <f>SUMIF('Ход 2032'!$G$29:$G$38,$A41,'Ход 2032'!$I$29:$I$38)</f>
        <v>0</v>
      </c>
      <c r="R41" s="14">
        <f>SUMIF('Ход 2033'!$G$29:$G$38,$A41,'Ход 2033'!$I$29:$I$38)</f>
        <v>0</v>
      </c>
      <c r="S41" s="14">
        <f>SUMIF('Ход 2034'!$G$29:$G$38,$A41,'Ход 2034'!$I$29:$I$38)</f>
        <v>0</v>
      </c>
      <c r="T41" s="14">
        <f>SUMIF('Ход 2035'!$G$29:$G$38,$A41,'Ход 2035'!$I$29:$I$38)</f>
        <v>0</v>
      </c>
      <c r="U41" s="14">
        <f>SUMIF('Ход 2036'!$G$29:$G$38,$A41,'Ход 2036'!$I$29:$I$38)</f>
        <v>0</v>
      </c>
      <c r="V41" s="14">
        <f>SUMIF('Ход 2037'!$G$29:$G$38,$A41,'Ход 2037'!$I$29:$I$38)</f>
        <v>0</v>
      </c>
      <c r="W41" s="14">
        <f>SUMIF('Ход 2038'!$G$29:$G$38,$A41,'Ход 2038'!$I$29:$I$38)</f>
        <v>0</v>
      </c>
      <c r="X41" s="14">
        <f>SUMIF('Ход 2039'!$G$29:$G$38,$A41,'Ход 2039'!$I$29:$I$38)</f>
        <v>0</v>
      </c>
      <c r="Y41" s="14">
        <f>SUMIF('Ход 2040'!$G$29:$G$38,$A41,'Ход 2040'!$I$29:$I$38)</f>
        <v>0</v>
      </c>
      <c r="Z41" s="19">
        <f t="shared" si="2"/>
        <v>20</v>
      </c>
      <c r="AA41" s="19">
        <f t="shared" si="3"/>
        <v>0</v>
      </c>
      <c r="AB41" s="5" t="str">
        <f t="shared" si="4"/>
        <v>ИЗУЧЕНО</v>
      </c>
      <c r="AC41" s="21">
        <f t="shared" ref="AC41:AQ41" si="49">SUM($K41:K41)</f>
        <v>0</v>
      </c>
      <c r="AD41" s="21">
        <f t="shared" si="49"/>
        <v>20</v>
      </c>
      <c r="AE41" s="21">
        <f t="shared" si="49"/>
        <v>20</v>
      </c>
      <c r="AF41" s="21">
        <f t="shared" si="49"/>
        <v>20</v>
      </c>
      <c r="AG41" s="21">
        <f t="shared" si="49"/>
        <v>20</v>
      </c>
      <c r="AH41" s="21">
        <f t="shared" si="49"/>
        <v>20</v>
      </c>
      <c r="AI41" s="21">
        <f t="shared" si="49"/>
        <v>20</v>
      </c>
      <c r="AJ41" s="21">
        <f t="shared" si="49"/>
        <v>20</v>
      </c>
      <c r="AK41" s="21">
        <f t="shared" si="49"/>
        <v>20</v>
      </c>
      <c r="AL41" s="21">
        <f t="shared" si="49"/>
        <v>20</v>
      </c>
      <c r="AM41" s="21">
        <f t="shared" si="49"/>
        <v>20</v>
      </c>
      <c r="AN41" s="21">
        <f t="shared" si="49"/>
        <v>20</v>
      </c>
      <c r="AO41" s="21">
        <f t="shared" si="49"/>
        <v>20</v>
      </c>
      <c r="AP41" s="21">
        <f t="shared" si="49"/>
        <v>20</v>
      </c>
      <c r="AQ41" s="21">
        <f t="shared" si="49"/>
        <v>20</v>
      </c>
      <c r="AR41" s="21" t="str">
        <f t="shared" si="6"/>
        <v>ОТКРЫТО</v>
      </c>
      <c r="AS41" s="21" t="str">
        <f t="shared" si="7"/>
        <v>ИЗУЧЕНО</v>
      </c>
      <c r="AT41" s="21" t="str">
        <f t="shared" si="8"/>
        <v>ИЗУЧЕНО</v>
      </c>
      <c r="AU41" s="21" t="str">
        <f t="shared" si="9"/>
        <v>ИЗУЧЕНО</v>
      </c>
      <c r="AV41" s="21" t="str">
        <f t="shared" si="10"/>
        <v>ИЗУЧЕНО</v>
      </c>
      <c r="AW41" s="21" t="str">
        <f t="shared" si="11"/>
        <v>ИЗУЧЕНО</v>
      </c>
      <c r="AX41" s="21" t="str">
        <f t="shared" si="12"/>
        <v>ИЗУЧЕНО</v>
      </c>
      <c r="AY41" s="21" t="str">
        <f t="shared" si="13"/>
        <v>ИЗУЧЕНО</v>
      </c>
      <c r="AZ41" s="21" t="str">
        <f t="shared" si="14"/>
        <v>ИЗУЧЕНО</v>
      </c>
      <c r="BA41" s="21" t="str">
        <f t="shared" si="15"/>
        <v>ИЗУЧЕНО</v>
      </c>
      <c r="BB41" s="21" t="str">
        <f t="shared" si="16"/>
        <v>ИЗУЧЕНО</v>
      </c>
      <c r="BC41" s="21" t="str">
        <f t="shared" si="17"/>
        <v>ИЗУЧЕНО</v>
      </c>
      <c r="BD41" s="21" t="str">
        <f t="shared" si="18"/>
        <v>ИЗУЧЕНО</v>
      </c>
      <c r="BE41" s="21" t="str">
        <f t="shared" si="19"/>
        <v>ИЗУЧЕНО</v>
      </c>
      <c r="BF41" s="21" t="str">
        <f t="shared" si="20"/>
        <v>ИЗУЧЕНО</v>
      </c>
    </row>
    <row r="42" ht="15.75" customHeight="1">
      <c r="A42" s="5" t="s">
        <v>355</v>
      </c>
      <c r="B42" s="5" t="s">
        <v>351</v>
      </c>
      <c r="C42" s="5" t="s">
        <v>209</v>
      </c>
      <c r="D42" s="5" t="s">
        <v>356</v>
      </c>
      <c r="E42" s="5">
        <v>35.0</v>
      </c>
      <c r="F42" s="5" t="s">
        <v>257</v>
      </c>
      <c r="G42" s="5"/>
      <c r="H42" s="5"/>
      <c r="I42" s="5" t="s">
        <v>357</v>
      </c>
      <c r="J42" s="5" t="s">
        <v>358</v>
      </c>
      <c r="K42" s="14">
        <f>SUMIF('Ход 2026'!$G$29:$G$38,$A42,'Ход 2026'!$I$29:$I$38)</f>
        <v>0</v>
      </c>
      <c r="L42" s="14">
        <f>SUMIF('Ход 2027'!$G$29:$G$38,$A42,'Ход 2027'!$I$29:$I$38)</f>
        <v>0</v>
      </c>
      <c r="M42" s="14">
        <f>SUMIF('Ход 2028'!$G$29:$G$38,$A42,'Ход 2028'!$I$29:$I$38)</f>
        <v>0</v>
      </c>
      <c r="N42" s="14">
        <f>SUMIF('Ход 2029'!$G$29:$G$38,$A42,'Ход 2029'!$I$29:$I$38)</f>
        <v>0</v>
      </c>
      <c r="O42" s="14">
        <f>SUMIF('Ход 2030'!$G$29:$G$38,$A42,'Ход 2030'!$I$29:$I$38)</f>
        <v>0</v>
      </c>
      <c r="P42" s="14">
        <f>SUMIF('Ход 2031'!$G$29:$G$38,$A42,'Ход 2031'!$I$29:$I$38)</f>
        <v>0</v>
      </c>
      <c r="Q42" s="14">
        <f>SUMIF('Ход 2032'!$G$29:$G$38,$A42,'Ход 2032'!$I$29:$I$38)</f>
        <v>0</v>
      </c>
      <c r="R42" s="14">
        <f>SUMIF('Ход 2033'!$G$29:$G$38,$A42,'Ход 2033'!$I$29:$I$38)</f>
        <v>0</v>
      </c>
      <c r="S42" s="14">
        <f>SUMIF('Ход 2034'!$G$29:$G$38,$A42,'Ход 2034'!$I$29:$I$38)</f>
        <v>0</v>
      </c>
      <c r="T42" s="14">
        <f>SUMIF('Ход 2035'!$G$29:$G$38,$A42,'Ход 2035'!$I$29:$I$38)</f>
        <v>0</v>
      </c>
      <c r="U42" s="14">
        <f>SUMIF('Ход 2036'!$G$29:$G$38,$A42,'Ход 2036'!$I$29:$I$38)</f>
        <v>0</v>
      </c>
      <c r="V42" s="14">
        <f>SUMIF('Ход 2037'!$G$29:$G$38,$A42,'Ход 2037'!$I$29:$I$38)</f>
        <v>0</v>
      </c>
      <c r="W42" s="14">
        <f>SUMIF('Ход 2038'!$G$29:$G$38,$A42,'Ход 2038'!$I$29:$I$38)</f>
        <v>0</v>
      </c>
      <c r="X42" s="14">
        <f>SUMIF('Ход 2039'!$G$29:$G$38,$A42,'Ход 2039'!$I$29:$I$38)</f>
        <v>0</v>
      </c>
      <c r="Y42" s="14">
        <f>SUMIF('Ход 2040'!$G$29:$G$38,$A42,'Ход 2040'!$I$29:$I$38)</f>
        <v>0</v>
      </c>
      <c r="Z42" s="19">
        <f t="shared" si="2"/>
        <v>0</v>
      </c>
      <c r="AA42" s="19">
        <f t="shared" si="3"/>
        <v>35</v>
      </c>
      <c r="AB42" s="5" t="str">
        <f t="shared" si="4"/>
        <v>ОТКРЫТО</v>
      </c>
      <c r="AC42" s="21">
        <f t="shared" ref="AC42:AQ42" si="50">SUM($K42:K42)</f>
        <v>0</v>
      </c>
      <c r="AD42" s="21">
        <f t="shared" si="50"/>
        <v>0</v>
      </c>
      <c r="AE42" s="21">
        <f t="shared" si="50"/>
        <v>0</v>
      </c>
      <c r="AF42" s="21">
        <f t="shared" si="50"/>
        <v>0</v>
      </c>
      <c r="AG42" s="21">
        <f t="shared" si="50"/>
        <v>0</v>
      </c>
      <c r="AH42" s="21">
        <f t="shared" si="50"/>
        <v>0</v>
      </c>
      <c r="AI42" s="21">
        <f t="shared" si="50"/>
        <v>0</v>
      </c>
      <c r="AJ42" s="21">
        <f t="shared" si="50"/>
        <v>0</v>
      </c>
      <c r="AK42" s="21">
        <f t="shared" si="50"/>
        <v>0</v>
      </c>
      <c r="AL42" s="21">
        <f t="shared" si="50"/>
        <v>0</v>
      </c>
      <c r="AM42" s="21">
        <f t="shared" si="50"/>
        <v>0</v>
      </c>
      <c r="AN42" s="21">
        <f t="shared" si="50"/>
        <v>0</v>
      </c>
      <c r="AO42" s="21">
        <f t="shared" si="50"/>
        <v>0</v>
      </c>
      <c r="AP42" s="21">
        <f t="shared" si="50"/>
        <v>0</v>
      </c>
      <c r="AQ42" s="21">
        <f t="shared" si="50"/>
        <v>0</v>
      </c>
      <c r="AR42" s="21" t="str">
        <f t="shared" si="6"/>
        <v>ЗАКРЫТО</v>
      </c>
      <c r="AS42" s="21" t="str">
        <f t="shared" si="7"/>
        <v>ОТКРЫТО</v>
      </c>
      <c r="AT42" s="21" t="str">
        <f t="shared" si="8"/>
        <v>ОТКРЫТО</v>
      </c>
      <c r="AU42" s="21" t="str">
        <f t="shared" si="9"/>
        <v>ОТКРЫТО</v>
      </c>
      <c r="AV42" s="21" t="str">
        <f t="shared" si="10"/>
        <v>ОТКРЫТО</v>
      </c>
      <c r="AW42" s="21" t="str">
        <f t="shared" si="11"/>
        <v>ОТКРЫТО</v>
      </c>
      <c r="AX42" s="21" t="str">
        <f t="shared" si="12"/>
        <v>ОТКРЫТО</v>
      </c>
      <c r="AY42" s="21" t="str">
        <f t="shared" si="13"/>
        <v>ОТКРЫТО</v>
      </c>
      <c r="AZ42" s="21" t="str">
        <f t="shared" si="14"/>
        <v>ОТКРЫТО</v>
      </c>
      <c r="BA42" s="21" t="str">
        <f t="shared" si="15"/>
        <v>ОТКРЫТО</v>
      </c>
      <c r="BB42" s="21" t="str">
        <f t="shared" si="16"/>
        <v>ОТКРЫТО</v>
      </c>
      <c r="BC42" s="21" t="str">
        <f t="shared" si="17"/>
        <v>ОТКРЫТО</v>
      </c>
      <c r="BD42" s="21" t="str">
        <f t="shared" si="18"/>
        <v>ОТКРЫТО</v>
      </c>
      <c r="BE42" s="21" t="str">
        <f t="shared" si="19"/>
        <v>ОТКРЫТО</v>
      </c>
      <c r="BF42" s="21" t="str">
        <f t="shared" si="20"/>
        <v>ОТКРЫТО</v>
      </c>
    </row>
    <row r="43" ht="15.75" customHeight="1">
      <c r="A43" s="5" t="s">
        <v>359</v>
      </c>
      <c r="B43" s="5" t="s">
        <v>351</v>
      </c>
      <c r="C43" s="5" t="s">
        <v>209</v>
      </c>
      <c r="D43" s="5" t="s">
        <v>360</v>
      </c>
      <c r="E43" s="5">
        <v>40.0</v>
      </c>
      <c r="F43" s="5" t="s">
        <v>257</v>
      </c>
      <c r="G43" s="5"/>
      <c r="H43" s="5"/>
      <c r="I43" s="5" t="s">
        <v>361</v>
      </c>
      <c r="J43" s="5" t="s">
        <v>362</v>
      </c>
      <c r="K43" s="14">
        <f>SUMIF('Ход 2026'!$G$29:$G$38,$A43,'Ход 2026'!$I$29:$I$38)</f>
        <v>0</v>
      </c>
      <c r="L43" s="14">
        <f>SUMIF('Ход 2027'!$G$29:$G$38,$A43,'Ход 2027'!$I$29:$I$38)</f>
        <v>0</v>
      </c>
      <c r="M43" s="14">
        <f>SUMIF('Ход 2028'!$G$29:$G$38,$A43,'Ход 2028'!$I$29:$I$38)</f>
        <v>0</v>
      </c>
      <c r="N43" s="14">
        <f>SUMIF('Ход 2029'!$G$29:$G$38,$A43,'Ход 2029'!$I$29:$I$38)</f>
        <v>0</v>
      </c>
      <c r="O43" s="14">
        <f>SUMIF('Ход 2030'!$G$29:$G$38,$A43,'Ход 2030'!$I$29:$I$38)</f>
        <v>0</v>
      </c>
      <c r="P43" s="14">
        <f>SUMIF('Ход 2031'!$G$29:$G$38,$A43,'Ход 2031'!$I$29:$I$38)</f>
        <v>0</v>
      </c>
      <c r="Q43" s="14">
        <f>SUMIF('Ход 2032'!$G$29:$G$38,$A43,'Ход 2032'!$I$29:$I$38)</f>
        <v>0</v>
      </c>
      <c r="R43" s="14">
        <f>SUMIF('Ход 2033'!$G$29:$G$38,$A43,'Ход 2033'!$I$29:$I$38)</f>
        <v>0</v>
      </c>
      <c r="S43" s="14">
        <f>SUMIF('Ход 2034'!$G$29:$G$38,$A43,'Ход 2034'!$I$29:$I$38)</f>
        <v>0</v>
      </c>
      <c r="T43" s="14">
        <f>SUMIF('Ход 2035'!$G$29:$G$38,$A43,'Ход 2035'!$I$29:$I$38)</f>
        <v>0</v>
      </c>
      <c r="U43" s="14">
        <f>SUMIF('Ход 2036'!$G$29:$G$38,$A43,'Ход 2036'!$I$29:$I$38)</f>
        <v>0</v>
      </c>
      <c r="V43" s="14">
        <f>SUMIF('Ход 2037'!$G$29:$G$38,$A43,'Ход 2037'!$I$29:$I$38)</f>
        <v>0</v>
      </c>
      <c r="W43" s="14">
        <f>SUMIF('Ход 2038'!$G$29:$G$38,$A43,'Ход 2038'!$I$29:$I$38)</f>
        <v>0</v>
      </c>
      <c r="X43" s="14">
        <f>SUMIF('Ход 2039'!$G$29:$G$38,$A43,'Ход 2039'!$I$29:$I$38)</f>
        <v>0</v>
      </c>
      <c r="Y43" s="14">
        <f>SUMIF('Ход 2040'!$G$29:$G$38,$A43,'Ход 2040'!$I$29:$I$38)</f>
        <v>0</v>
      </c>
      <c r="Z43" s="19">
        <f t="shared" si="2"/>
        <v>0</v>
      </c>
      <c r="AA43" s="19">
        <f t="shared" si="3"/>
        <v>40</v>
      </c>
      <c r="AB43" s="5" t="str">
        <f t="shared" si="4"/>
        <v>ОТКРЫТО</v>
      </c>
      <c r="AC43" s="21">
        <f t="shared" ref="AC43:AQ43" si="51">SUM($K43:K43)</f>
        <v>0</v>
      </c>
      <c r="AD43" s="21">
        <f t="shared" si="51"/>
        <v>0</v>
      </c>
      <c r="AE43" s="21">
        <f t="shared" si="51"/>
        <v>0</v>
      </c>
      <c r="AF43" s="21">
        <f t="shared" si="51"/>
        <v>0</v>
      </c>
      <c r="AG43" s="21">
        <f t="shared" si="51"/>
        <v>0</v>
      </c>
      <c r="AH43" s="21">
        <f t="shared" si="51"/>
        <v>0</v>
      </c>
      <c r="AI43" s="21">
        <f t="shared" si="51"/>
        <v>0</v>
      </c>
      <c r="AJ43" s="21">
        <f t="shared" si="51"/>
        <v>0</v>
      </c>
      <c r="AK43" s="21">
        <f t="shared" si="51"/>
        <v>0</v>
      </c>
      <c r="AL43" s="21">
        <f t="shared" si="51"/>
        <v>0</v>
      </c>
      <c r="AM43" s="21">
        <f t="shared" si="51"/>
        <v>0</v>
      </c>
      <c r="AN43" s="21">
        <f t="shared" si="51"/>
        <v>0</v>
      </c>
      <c r="AO43" s="21">
        <f t="shared" si="51"/>
        <v>0</v>
      </c>
      <c r="AP43" s="21">
        <f t="shared" si="51"/>
        <v>0</v>
      </c>
      <c r="AQ43" s="21">
        <f t="shared" si="51"/>
        <v>0</v>
      </c>
      <c r="AR43" s="21" t="str">
        <f t="shared" si="6"/>
        <v>ЗАКРЫТО</v>
      </c>
      <c r="AS43" s="21" t="str">
        <f t="shared" si="7"/>
        <v>ОТКРЫТО</v>
      </c>
      <c r="AT43" s="21" t="str">
        <f t="shared" si="8"/>
        <v>ОТКРЫТО</v>
      </c>
      <c r="AU43" s="21" t="str">
        <f t="shared" si="9"/>
        <v>ОТКРЫТО</v>
      </c>
      <c r="AV43" s="21" t="str">
        <f t="shared" si="10"/>
        <v>ОТКРЫТО</v>
      </c>
      <c r="AW43" s="21" t="str">
        <f t="shared" si="11"/>
        <v>ОТКРЫТО</v>
      </c>
      <c r="AX43" s="21" t="str">
        <f t="shared" si="12"/>
        <v>ОТКРЫТО</v>
      </c>
      <c r="AY43" s="21" t="str">
        <f t="shared" si="13"/>
        <v>ОТКРЫТО</v>
      </c>
      <c r="AZ43" s="21" t="str">
        <f t="shared" si="14"/>
        <v>ОТКРЫТО</v>
      </c>
      <c r="BA43" s="21" t="str">
        <f t="shared" si="15"/>
        <v>ОТКРЫТО</v>
      </c>
      <c r="BB43" s="21" t="str">
        <f t="shared" si="16"/>
        <v>ОТКРЫТО</v>
      </c>
      <c r="BC43" s="21" t="str">
        <f t="shared" si="17"/>
        <v>ОТКРЫТО</v>
      </c>
      <c r="BD43" s="21" t="str">
        <f t="shared" si="18"/>
        <v>ОТКРЫТО</v>
      </c>
      <c r="BE43" s="21" t="str">
        <f t="shared" si="19"/>
        <v>ОТКРЫТО</v>
      </c>
      <c r="BF43" s="21" t="str">
        <f t="shared" si="20"/>
        <v>ОТКРЫТО</v>
      </c>
    </row>
    <row r="44" ht="15.75" customHeight="1">
      <c r="A44" s="5" t="s">
        <v>363</v>
      </c>
      <c r="B44" s="5" t="s">
        <v>351</v>
      </c>
      <c r="C44" s="5" t="s">
        <v>232</v>
      </c>
      <c r="D44" s="5" t="s">
        <v>364</v>
      </c>
      <c r="E44" s="5">
        <v>65.0</v>
      </c>
      <c r="F44" s="5" t="s">
        <v>355</v>
      </c>
      <c r="G44" s="5" t="s">
        <v>359</v>
      </c>
      <c r="H44" s="5"/>
      <c r="I44" s="5" t="s">
        <v>365</v>
      </c>
      <c r="J44" s="5" t="s">
        <v>366</v>
      </c>
      <c r="K44" s="14">
        <f>SUMIF('Ход 2026'!$G$29:$G$38,$A44,'Ход 2026'!$I$29:$I$38)</f>
        <v>0</v>
      </c>
      <c r="L44" s="14">
        <f>SUMIF('Ход 2027'!$G$29:$G$38,$A44,'Ход 2027'!$I$29:$I$38)</f>
        <v>0</v>
      </c>
      <c r="M44" s="14">
        <f>SUMIF('Ход 2028'!$G$29:$G$38,$A44,'Ход 2028'!$I$29:$I$38)</f>
        <v>0</v>
      </c>
      <c r="N44" s="14">
        <f>SUMIF('Ход 2029'!$G$29:$G$38,$A44,'Ход 2029'!$I$29:$I$38)</f>
        <v>0</v>
      </c>
      <c r="O44" s="14">
        <f>SUMIF('Ход 2030'!$G$29:$G$38,$A44,'Ход 2030'!$I$29:$I$38)</f>
        <v>0</v>
      </c>
      <c r="P44" s="14">
        <f>SUMIF('Ход 2031'!$G$29:$G$38,$A44,'Ход 2031'!$I$29:$I$38)</f>
        <v>0</v>
      </c>
      <c r="Q44" s="14">
        <f>SUMIF('Ход 2032'!$G$29:$G$38,$A44,'Ход 2032'!$I$29:$I$38)</f>
        <v>0</v>
      </c>
      <c r="R44" s="14">
        <f>SUMIF('Ход 2033'!$G$29:$G$38,$A44,'Ход 2033'!$I$29:$I$38)</f>
        <v>0</v>
      </c>
      <c r="S44" s="14">
        <f>SUMIF('Ход 2034'!$G$29:$G$38,$A44,'Ход 2034'!$I$29:$I$38)</f>
        <v>0</v>
      </c>
      <c r="T44" s="14">
        <f>SUMIF('Ход 2035'!$G$29:$G$38,$A44,'Ход 2035'!$I$29:$I$38)</f>
        <v>0</v>
      </c>
      <c r="U44" s="14">
        <f>SUMIF('Ход 2036'!$G$29:$G$38,$A44,'Ход 2036'!$I$29:$I$38)</f>
        <v>0</v>
      </c>
      <c r="V44" s="14">
        <f>SUMIF('Ход 2037'!$G$29:$G$38,$A44,'Ход 2037'!$I$29:$I$38)</f>
        <v>0</v>
      </c>
      <c r="W44" s="14">
        <f>SUMIF('Ход 2038'!$G$29:$G$38,$A44,'Ход 2038'!$I$29:$I$38)</f>
        <v>0</v>
      </c>
      <c r="X44" s="14">
        <f>SUMIF('Ход 2039'!$G$29:$G$38,$A44,'Ход 2039'!$I$29:$I$38)</f>
        <v>0</v>
      </c>
      <c r="Y44" s="14">
        <f>SUMIF('Ход 2040'!$G$29:$G$38,$A44,'Ход 2040'!$I$29:$I$38)</f>
        <v>0</v>
      </c>
      <c r="Z44" s="19">
        <f t="shared" si="2"/>
        <v>0</v>
      </c>
      <c r="AA44" s="19">
        <f t="shared" si="3"/>
        <v>65</v>
      </c>
      <c r="AB44" s="5" t="str">
        <f t="shared" si="4"/>
        <v>ЗАКРЫТО</v>
      </c>
      <c r="AC44" s="21">
        <f t="shared" ref="AC44:AQ44" si="52">SUM($K44:K44)</f>
        <v>0</v>
      </c>
      <c r="AD44" s="21">
        <f t="shared" si="52"/>
        <v>0</v>
      </c>
      <c r="AE44" s="21">
        <f t="shared" si="52"/>
        <v>0</v>
      </c>
      <c r="AF44" s="21">
        <f t="shared" si="52"/>
        <v>0</v>
      </c>
      <c r="AG44" s="21">
        <f t="shared" si="52"/>
        <v>0</v>
      </c>
      <c r="AH44" s="21">
        <f t="shared" si="52"/>
        <v>0</v>
      </c>
      <c r="AI44" s="21">
        <f t="shared" si="52"/>
        <v>0</v>
      </c>
      <c r="AJ44" s="21">
        <f t="shared" si="52"/>
        <v>0</v>
      </c>
      <c r="AK44" s="21">
        <f t="shared" si="52"/>
        <v>0</v>
      </c>
      <c r="AL44" s="21">
        <f t="shared" si="52"/>
        <v>0</v>
      </c>
      <c r="AM44" s="21">
        <f t="shared" si="52"/>
        <v>0</v>
      </c>
      <c r="AN44" s="21">
        <f t="shared" si="52"/>
        <v>0</v>
      </c>
      <c r="AO44" s="21">
        <f t="shared" si="52"/>
        <v>0</v>
      </c>
      <c r="AP44" s="21">
        <f t="shared" si="52"/>
        <v>0</v>
      </c>
      <c r="AQ44" s="21">
        <f t="shared" si="52"/>
        <v>0</v>
      </c>
      <c r="AR44" s="21" t="str">
        <f t="shared" si="6"/>
        <v>ЗАКРЫТО</v>
      </c>
      <c r="AS44" s="21" t="str">
        <f t="shared" si="7"/>
        <v>ЗАКРЫТО</v>
      </c>
      <c r="AT44" s="21" t="str">
        <f t="shared" si="8"/>
        <v>ЗАКРЫТО</v>
      </c>
      <c r="AU44" s="21" t="str">
        <f t="shared" si="9"/>
        <v>ЗАКРЫТО</v>
      </c>
      <c r="AV44" s="21" t="str">
        <f t="shared" si="10"/>
        <v>ЗАКРЫТО</v>
      </c>
      <c r="AW44" s="21" t="str">
        <f t="shared" si="11"/>
        <v>ЗАКРЫТО</v>
      </c>
      <c r="AX44" s="21" t="str">
        <f t="shared" si="12"/>
        <v>ЗАКРЫТО</v>
      </c>
      <c r="AY44" s="21" t="str">
        <f t="shared" si="13"/>
        <v>ЗАКРЫТО</v>
      </c>
      <c r="AZ44" s="21" t="str">
        <f t="shared" si="14"/>
        <v>ЗАКРЫТО</v>
      </c>
      <c r="BA44" s="21" t="str">
        <f t="shared" si="15"/>
        <v>ЗАКРЫТО</v>
      </c>
      <c r="BB44" s="21" t="str">
        <f t="shared" si="16"/>
        <v>ЗАКРЫТО</v>
      </c>
      <c r="BC44" s="21" t="str">
        <f t="shared" si="17"/>
        <v>ЗАКРЫТО</v>
      </c>
      <c r="BD44" s="21" t="str">
        <f t="shared" si="18"/>
        <v>ЗАКРЫТО</v>
      </c>
      <c r="BE44" s="21" t="str">
        <f t="shared" si="19"/>
        <v>ЗАКРЫТО</v>
      </c>
      <c r="BF44" s="21" t="str">
        <f t="shared" si="20"/>
        <v>ЗАКРЫТО</v>
      </c>
    </row>
    <row r="45" ht="15.75" customHeight="1">
      <c r="A45" s="5" t="s">
        <v>368</v>
      </c>
      <c r="B45" s="5" t="s">
        <v>351</v>
      </c>
      <c r="C45" s="5" t="s">
        <v>237</v>
      </c>
      <c r="D45" s="5" t="s">
        <v>369</v>
      </c>
      <c r="E45" s="5">
        <v>100.0</v>
      </c>
      <c r="F45" s="5" t="s">
        <v>363</v>
      </c>
      <c r="G45" s="5"/>
      <c r="H45" s="5"/>
      <c r="I45" s="5" t="s">
        <v>370</v>
      </c>
      <c r="J45" s="5" t="s">
        <v>371</v>
      </c>
      <c r="K45" s="14">
        <f>SUMIF('Ход 2026'!$G$29:$G$38,$A45,'Ход 2026'!$I$29:$I$38)</f>
        <v>0</v>
      </c>
      <c r="L45" s="14">
        <f>SUMIF('Ход 2027'!$G$29:$G$38,$A45,'Ход 2027'!$I$29:$I$38)</f>
        <v>0</v>
      </c>
      <c r="M45" s="14">
        <f>SUMIF('Ход 2028'!$G$29:$G$38,$A45,'Ход 2028'!$I$29:$I$38)</f>
        <v>0</v>
      </c>
      <c r="N45" s="14">
        <f>SUMIF('Ход 2029'!$G$29:$G$38,$A45,'Ход 2029'!$I$29:$I$38)</f>
        <v>0</v>
      </c>
      <c r="O45" s="14">
        <f>SUMIF('Ход 2030'!$G$29:$G$38,$A45,'Ход 2030'!$I$29:$I$38)</f>
        <v>0</v>
      </c>
      <c r="P45" s="14">
        <f>SUMIF('Ход 2031'!$G$29:$G$38,$A45,'Ход 2031'!$I$29:$I$38)</f>
        <v>0</v>
      </c>
      <c r="Q45" s="14">
        <f>SUMIF('Ход 2032'!$G$29:$G$38,$A45,'Ход 2032'!$I$29:$I$38)</f>
        <v>0</v>
      </c>
      <c r="R45" s="14">
        <f>SUMIF('Ход 2033'!$G$29:$G$38,$A45,'Ход 2033'!$I$29:$I$38)</f>
        <v>0</v>
      </c>
      <c r="S45" s="14">
        <f>SUMIF('Ход 2034'!$G$29:$G$38,$A45,'Ход 2034'!$I$29:$I$38)</f>
        <v>0</v>
      </c>
      <c r="T45" s="14">
        <f>SUMIF('Ход 2035'!$G$29:$G$38,$A45,'Ход 2035'!$I$29:$I$38)</f>
        <v>0</v>
      </c>
      <c r="U45" s="14">
        <f>SUMIF('Ход 2036'!$G$29:$G$38,$A45,'Ход 2036'!$I$29:$I$38)</f>
        <v>0</v>
      </c>
      <c r="V45" s="14">
        <f>SUMIF('Ход 2037'!$G$29:$G$38,$A45,'Ход 2037'!$I$29:$I$38)</f>
        <v>0</v>
      </c>
      <c r="W45" s="14">
        <f>SUMIF('Ход 2038'!$G$29:$G$38,$A45,'Ход 2038'!$I$29:$I$38)</f>
        <v>0</v>
      </c>
      <c r="X45" s="14">
        <f>SUMIF('Ход 2039'!$G$29:$G$38,$A45,'Ход 2039'!$I$29:$I$38)</f>
        <v>0</v>
      </c>
      <c r="Y45" s="14">
        <f>SUMIF('Ход 2040'!$G$29:$G$38,$A45,'Ход 2040'!$I$29:$I$38)</f>
        <v>0</v>
      </c>
      <c r="Z45" s="19">
        <f t="shared" si="2"/>
        <v>0</v>
      </c>
      <c r="AA45" s="19">
        <f t="shared" si="3"/>
        <v>100</v>
      </c>
      <c r="AB45" s="5" t="str">
        <f t="shared" si="4"/>
        <v>ЗАКРЫТО</v>
      </c>
      <c r="AC45" s="21">
        <f t="shared" ref="AC45:AQ45" si="53">SUM($K45:K45)</f>
        <v>0</v>
      </c>
      <c r="AD45" s="21">
        <f t="shared" si="53"/>
        <v>0</v>
      </c>
      <c r="AE45" s="21">
        <f t="shared" si="53"/>
        <v>0</v>
      </c>
      <c r="AF45" s="21">
        <f t="shared" si="53"/>
        <v>0</v>
      </c>
      <c r="AG45" s="21">
        <f t="shared" si="53"/>
        <v>0</v>
      </c>
      <c r="AH45" s="21">
        <f t="shared" si="53"/>
        <v>0</v>
      </c>
      <c r="AI45" s="21">
        <f t="shared" si="53"/>
        <v>0</v>
      </c>
      <c r="AJ45" s="21">
        <f t="shared" si="53"/>
        <v>0</v>
      </c>
      <c r="AK45" s="21">
        <f t="shared" si="53"/>
        <v>0</v>
      </c>
      <c r="AL45" s="21">
        <f t="shared" si="53"/>
        <v>0</v>
      </c>
      <c r="AM45" s="21">
        <f t="shared" si="53"/>
        <v>0</v>
      </c>
      <c r="AN45" s="21">
        <f t="shared" si="53"/>
        <v>0</v>
      </c>
      <c r="AO45" s="21">
        <f t="shared" si="53"/>
        <v>0</v>
      </c>
      <c r="AP45" s="21">
        <f t="shared" si="53"/>
        <v>0</v>
      </c>
      <c r="AQ45" s="21">
        <f t="shared" si="53"/>
        <v>0</v>
      </c>
      <c r="AR45" s="21" t="str">
        <f t="shared" si="6"/>
        <v>ЗАКРЫТО</v>
      </c>
      <c r="AS45" s="21" t="str">
        <f t="shared" si="7"/>
        <v>ЗАКРЫТО</v>
      </c>
      <c r="AT45" s="21" t="str">
        <f t="shared" si="8"/>
        <v>ЗАКРЫТО</v>
      </c>
      <c r="AU45" s="21" t="str">
        <f t="shared" si="9"/>
        <v>ЗАКРЫТО</v>
      </c>
      <c r="AV45" s="21" t="str">
        <f t="shared" si="10"/>
        <v>ЗАКРЫТО</v>
      </c>
      <c r="AW45" s="21" t="str">
        <f t="shared" si="11"/>
        <v>ЗАКРЫТО</v>
      </c>
      <c r="AX45" s="21" t="str">
        <f t="shared" si="12"/>
        <v>ЗАКРЫТО</v>
      </c>
      <c r="AY45" s="21" t="str">
        <f t="shared" si="13"/>
        <v>ЗАКРЫТО</v>
      </c>
      <c r="AZ45" s="21" t="str">
        <f t="shared" si="14"/>
        <v>ЗАКРЫТО</v>
      </c>
      <c r="BA45" s="21" t="str">
        <f t="shared" si="15"/>
        <v>ЗАКРЫТО</v>
      </c>
      <c r="BB45" s="21" t="str">
        <f t="shared" si="16"/>
        <v>ЗАКРЫТО</v>
      </c>
      <c r="BC45" s="21" t="str">
        <f t="shared" si="17"/>
        <v>ЗАКРЫТО</v>
      </c>
      <c r="BD45" s="21" t="str">
        <f t="shared" si="18"/>
        <v>ЗАКРЫТО</v>
      </c>
      <c r="BE45" s="21" t="str">
        <f t="shared" si="19"/>
        <v>ЗАКРЫТО</v>
      </c>
      <c r="BF45" s="21" t="str">
        <f t="shared" si="20"/>
        <v>ЗАКРЫТО</v>
      </c>
    </row>
    <row r="46" ht="15.75" customHeight="1">
      <c r="A46" s="5" t="s">
        <v>372</v>
      </c>
      <c r="B46" s="5" t="s">
        <v>351</v>
      </c>
      <c r="C46" s="5" t="s">
        <v>243</v>
      </c>
      <c r="D46" s="5" t="s">
        <v>373</v>
      </c>
      <c r="E46" s="5">
        <v>150.0</v>
      </c>
      <c r="F46" s="5" t="s">
        <v>368</v>
      </c>
      <c r="G46" s="5"/>
      <c r="H46" s="5"/>
      <c r="I46" s="5" t="s">
        <v>374</v>
      </c>
      <c r="J46" s="5" t="s">
        <v>375</v>
      </c>
      <c r="K46" s="14">
        <f>SUMIF('Ход 2026'!$G$29:$G$38,$A46,'Ход 2026'!$I$29:$I$38)</f>
        <v>0</v>
      </c>
      <c r="L46" s="14">
        <f>SUMIF('Ход 2027'!$G$29:$G$38,$A46,'Ход 2027'!$I$29:$I$38)</f>
        <v>0</v>
      </c>
      <c r="M46" s="14">
        <f>SUMIF('Ход 2028'!$G$29:$G$38,$A46,'Ход 2028'!$I$29:$I$38)</f>
        <v>0</v>
      </c>
      <c r="N46" s="14">
        <f>SUMIF('Ход 2029'!$G$29:$G$38,$A46,'Ход 2029'!$I$29:$I$38)</f>
        <v>0</v>
      </c>
      <c r="O46" s="14">
        <f>SUMIF('Ход 2030'!$G$29:$G$38,$A46,'Ход 2030'!$I$29:$I$38)</f>
        <v>0</v>
      </c>
      <c r="P46" s="14">
        <f>SUMIF('Ход 2031'!$G$29:$G$38,$A46,'Ход 2031'!$I$29:$I$38)</f>
        <v>0</v>
      </c>
      <c r="Q46" s="14">
        <f>SUMIF('Ход 2032'!$G$29:$G$38,$A46,'Ход 2032'!$I$29:$I$38)</f>
        <v>0</v>
      </c>
      <c r="R46" s="14">
        <f>SUMIF('Ход 2033'!$G$29:$G$38,$A46,'Ход 2033'!$I$29:$I$38)</f>
        <v>0</v>
      </c>
      <c r="S46" s="14">
        <f>SUMIF('Ход 2034'!$G$29:$G$38,$A46,'Ход 2034'!$I$29:$I$38)</f>
        <v>0</v>
      </c>
      <c r="T46" s="14">
        <f>SUMIF('Ход 2035'!$G$29:$G$38,$A46,'Ход 2035'!$I$29:$I$38)</f>
        <v>0</v>
      </c>
      <c r="U46" s="14">
        <f>SUMIF('Ход 2036'!$G$29:$G$38,$A46,'Ход 2036'!$I$29:$I$38)</f>
        <v>0</v>
      </c>
      <c r="V46" s="14">
        <f>SUMIF('Ход 2037'!$G$29:$G$38,$A46,'Ход 2037'!$I$29:$I$38)</f>
        <v>0</v>
      </c>
      <c r="W46" s="14">
        <f>SUMIF('Ход 2038'!$G$29:$G$38,$A46,'Ход 2038'!$I$29:$I$38)</f>
        <v>0</v>
      </c>
      <c r="X46" s="14">
        <f>SUMIF('Ход 2039'!$G$29:$G$38,$A46,'Ход 2039'!$I$29:$I$38)</f>
        <v>0</v>
      </c>
      <c r="Y46" s="14">
        <f>SUMIF('Ход 2040'!$G$29:$G$38,$A46,'Ход 2040'!$I$29:$I$38)</f>
        <v>0</v>
      </c>
      <c r="Z46" s="19">
        <f t="shared" si="2"/>
        <v>0</v>
      </c>
      <c r="AA46" s="19">
        <f t="shared" si="3"/>
        <v>150</v>
      </c>
      <c r="AB46" s="5" t="str">
        <f t="shared" si="4"/>
        <v>ЗАКРЫТО</v>
      </c>
      <c r="AC46" s="21">
        <f t="shared" ref="AC46:AQ46" si="54">SUM($K46:K46)</f>
        <v>0</v>
      </c>
      <c r="AD46" s="21">
        <f t="shared" si="54"/>
        <v>0</v>
      </c>
      <c r="AE46" s="21">
        <f t="shared" si="54"/>
        <v>0</v>
      </c>
      <c r="AF46" s="21">
        <f t="shared" si="54"/>
        <v>0</v>
      </c>
      <c r="AG46" s="21">
        <f t="shared" si="54"/>
        <v>0</v>
      </c>
      <c r="AH46" s="21">
        <f t="shared" si="54"/>
        <v>0</v>
      </c>
      <c r="AI46" s="21">
        <f t="shared" si="54"/>
        <v>0</v>
      </c>
      <c r="AJ46" s="21">
        <f t="shared" si="54"/>
        <v>0</v>
      </c>
      <c r="AK46" s="21">
        <f t="shared" si="54"/>
        <v>0</v>
      </c>
      <c r="AL46" s="21">
        <f t="shared" si="54"/>
        <v>0</v>
      </c>
      <c r="AM46" s="21">
        <f t="shared" si="54"/>
        <v>0</v>
      </c>
      <c r="AN46" s="21">
        <f t="shared" si="54"/>
        <v>0</v>
      </c>
      <c r="AO46" s="21">
        <f t="shared" si="54"/>
        <v>0</v>
      </c>
      <c r="AP46" s="21">
        <f t="shared" si="54"/>
        <v>0</v>
      </c>
      <c r="AQ46" s="21">
        <f t="shared" si="54"/>
        <v>0</v>
      </c>
      <c r="AR46" s="21" t="str">
        <f t="shared" si="6"/>
        <v>ЗАКРЫТО</v>
      </c>
      <c r="AS46" s="21" t="str">
        <f t="shared" si="7"/>
        <v>ЗАКРЫТО</v>
      </c>
      <c r="AT46" s="21" t="str">
        <f t="shared" si="8"/>
        <v>ЗАКРЫТО</v>
      </c>
      <c r="AU46" s="21" t="str">
        <f t="shared" si="9"/>
        <v>ЗАКРЫТО</v>
      </c>
      <c r="AV46" s="21" t="str">
        <f t="shared" si="10"/>
        <v>ЗАКРЫТО</v>
      </c>
      <c r="AW46" s="21" t="str">
        <f t="shared" si="11"/>
        <v>ЗАКРЫТО</v>
      </c>
      <c r="AX46" s="21" t="str">
        <f t="shared" si="12"/>
        <v>ЗАКРЫТО</v>
      </c>
      <c r="AY46" s="21" t="str">
        <f t="shared" si="13"/>
        <v>ЗАКРЫТО</v>
      </c>
      <c r="AZ46" s="21" t="str">
        <f t="shared" si="14"/>
        <v>ЗАКРЫТО</v>
      </c>
      <c r="BA46" s="21" t="str">
        <f t="shared" si="15"/>
        <v>ЗАКРЫТО</v>
      </c>
      <c r="BB46" s="21" t="str">
        <f t="shared" si="16"/>
        <v>ЗАКРЫТО</v>
      </c>
      <c r="BC46" s="21" t="str">
        <f t="shared" si="17"/>
        <v>ЗАКРЫТО</v>
      </c>
      <c r="BD46" s="21" t="str">
        <f t="shared" si="18"/>
        <v>ЗАКРЫТО</v>
      </c>
      <c r="BE46" s="21" t="str">
        <f t="shared" si="19"/>
        <v>ЗАКРЫТО</v>
      </c>
      <c r="BF46" s="21" t="str">
        <f t="shared" si="20"/>
        <v>ЗАКРЫТО</v>
      </c>
    </row>
    <row r="47" ht="15.75" customHeight="1">
      <c r="A47" s="5" t="s">
        <v>376</v>
      </c>
      <c r="B47" s="5" t="s">
        <v>377</v>
      </c>
      <c r="C47" s="5" t="s">
        <v>237</v>
      </c>
      <c r="D47" s="5" t="s">
        <v>378</v>
      </c>
      <c r="E47" s="5">
        <v>100.0</v>
      </c>
      <c r="F47" s="5" t="s">
        <v>263</v>
      </c>
      <c r="G47" s="5" t="s">
        <v>287</v>
      </c>
      <c r="H47" s="5" t="s">
        <v>308</v>
      </c>
      <c r="I47" s="5" t="s">
        <v>379</v>
      </c>
      <c r="J47" s="5" t="s">
        <v>380</v>
      </c>
      <c r="K47" s="14">
        <f>SUMIF('Ход 2026'!$G$29:$G$38,$A47,'Ход 2026'!$I$29:$I$38)</f>
        <v>0</v>
      </c>
      <c r="L47" s="14">
        <f>SUMIF('Ход 2027'!$G$29:$G$38,$A47,'Ход 2027'!$I$29:$I$38)</f>
        <v>0</v>
      </c>
      <c r="M47" s="14">
        <f>SUMIF('Ход 2028'!$G$29:$G$38,$A47,'Ход 2028'!$I$29:$I$38)</f>
        <v>0</v>
      </c>
      <c r="N47" s="14">
        <f>SUMIF('Ход 2029'!$G$29:$G$38,$A47,'Ход 2029'!$I$29:$I$38)</f>
        <v>0</v>
      </c>
      <c r="O47" s="14">
        <f>SUMIF('Ход 2030'!$G$29:$G$38,$A47,'Ход 2030'!$I$29:$I$38)</f>
        <v>0</v>
      </c>
      <c r="P47" s="14">
        <f>SUMIF('Ход 2031'!$G$29:$G$38,$A47,'Ход 2031'!$I$29:$I$38)</f>
        <v>0</v>
      </c>
      <c r="Q47" s="14">
        <f>SUMIF('Ход 2032'!$G$29:$G$38,$A47,'Ход 2032'!$I$29:$I$38)</f>
        <v>0</v>
      </c>
      <c r="R47" s="14">
        <f>SUMIF('Ход 2033'!$G$29:$G$38,$A47,'Ход 2033'!$I$29:$I$38)</f>
        <v>0</v>
      </c>
      <c r="S47" s="14">
        <f>SUMIF('Ход 2034'!$G$29:$G$38,$A47,'Ход 2034'!$I$29:$I$38)</f>
        <v>0</v>
      </c>
      <c r="T47" s="14">
        <f>SUMIF('Ход 2035'!$G$29:$G$38,$A47,'Ход 2035'!$I$29:$I$38)</f>
        <v>0</v>
      </c>
      <c r="U47" s="14">
        <f>SUMIF('Ход 2036'!$G$29:$G$38,$A47,'Ход 2036'!$I$29:$I$38)</f>
        <v>0</v>
      </c>
      <c r="V47" s="14">
        <f>SUMIF('Ход 2037'!$G$29:$G$38,$A47,'Ход 2037'!$I$29:$I$38)</f>
        <v>0</v>
      </c>
      <c r="W47" s="14">
        <f>SUMIF('Ход 2038'!$G$29:$G$38,$A47,'Ход 2038'!$I$29:$I$38)</f>
        <v>0</v>
      </c>
      <c r="X47" s="14">
        <f>SUMIF('Ход 2039'!$G$29:$G$38,$A47,'Ход 2039'!$I$29:$I$38)</f>
        <v>0</v>
      </c>
      <c r="Y47" s="14">
        <f>SUMIF('Ход 2040'!$G$29:$G$38,$A47,'Ход 2040'!$I$29:$I$38)</f>
        <v>0</v>
      </c>
      <c r="Z47" s="19">
        <f t="shared" si="2"/>
        <v>0</v>
      </c>
      <c r="AA47" s="19">
        <f t="shared" si="3"/>
        <v>100</v>
      </c>
      <c r="AB47" s="5" t="str">
        <f t="shared" si="4"/>
        <v>ЗАКРЫТО</v>
      </c>
      <c r="AC47" s="21">
        <f t="shared" ref="AC47:AQ47" si="55">SUM($K47:K47)</f>
        <v>0</v>
      </c>
      <c r="AD47" s="21">
        <f t="shared" si="55"/>
        <v>0</v>
      </c>
      <c r="AE47" s="21">
        <f t="shared" si="55"/>
        <v>0</v>
      </c>
      <c r="AF47" s="21">
        <f t="shared" si="55"/>
        <v>0</v>
      </c>
      <c r="AG47" s="21">
        <f t="shared" si="55"/>
        <v>0</v>
      </c>
      <c r="AH47" s="21">
        <f t="shared" si="55"/>
        <v>0</v>
      </c>
      <c r="AI47" s="21">
        <f t="shared" si="55"/>
        <v>0</v>
      </c>
      <c r="AJ47" s="21">
        <f t="shared" si="55"/>
        <v>0</v>
      </c>
      <c r="AK47" s="21">
        <f t="shared" si="55"/>
        <v>0</v>
      </c>
      <c r="AL47" s="21">
        <f t="shared" si="55"/>
        <v>0</v>
      </c>
      <c r="AM47" s="21">
        <f t="shared" si="55"/>
        <v>0</v>
      </c>
      <c r="AN47" s="21">
        <f t="shared" si="55"/>
        <v>0</v>
      </c>
      <c r="AO47" s="21">
        <f t="shared" si="55"/>
        <v>0</v>
      </c>
      <c r="AP47" s="21">
        <f t="shared" si="55"/>
        <v>0</v>
      </c>
      <c r="AQ47" s="21">
        <f t="shared" si="55"/>
        <v>0</v>
      </c>
      <c r="AR47" s="21" t="str">
        <f t="shared" si="6"/>
        <v>ЗАКРЫТО</v>
      </c>
      <c r="AS47" s="21" t="str">
        <f t="shared" si="7"/>
        <v>ЗАКРЫТО</v>
      </c>
      <c r="AT47" s="21" t="str">
        <f t="shared" si="8"/>
        <v>ЗАКРЫТО</v>
      </c>
      <c r="AU47" s="21" t="str">
        <f t="shared" si="9"/>
        <v>ЗАКРЫТО</v>
      </c>
      <c r="AV47" s="21" t="str">
        <f t="shared" si="10"/>
        <v>ЗАКРЫТО</v>
      </c>
      <c r="AW47" s="21" t="str">
        <f t="shared" si="11"/>
        <v>ЗАКРЫТО</v>
      </c>
      <c r="AX47" s="21" t="str">
        <f t="shared" si="12"/>
        <v>ЗАКРЫТО</v>
      </c>
      <c r="AY47" s="21" t="str">
        <f t="shared" si="13"/>
        <v>ЗАКРЫТО</v>
      </c>
      <c r="AZ47" s="21" t="str">
        <f t="shared" si="14"/>
        <v>ЗАКРЫТО</v>
      </c>
      <c r="BA47" s="21" t="str">
        <f t="shared" si="15"/>
        <v>ЗАКРЫТО</v>
      </c>
      <c r="BB47" s="21" t="str">
        <f t="shared" si="16"/>
        <v>ЗАКРЫТО</v>
      </c>
      <c r="BC47" s="21" t="str">
        <f t="shared" si="17"/>
        <v>ЗАКРЫТО</v>
      </c>
      <c r="BD47" s="21" t="str">
        <f t="shared" si="18"/>
        <v>ЗАКРЫТО</v>
      </c>
      <c r="BE47" s="21" t="str">
        <f t="shared" si="19"/>
        <v>ЗАКРЫТО</v>
      </c>
      <c r="BF47" s="21" t="str">
        <f t="shared" si="20"/>
        <v>ЗАКРЫТО</v>
      </c>
    </row>
    <row r="48" ht="15.75" customHeight="1">
      <c r="A48" s="5" t="s">
        <v>381</v>
      </c>
      <c r="B48" s="5" t="s">
        <v>377</v>
      </c>
      <c r="C48" s="5" t="s">
        <v>237</v>
      </c>
      <c r="D48" s="5" t="s">
        <v>382</v>
      </c>
      <c r="E48" s="5">
        <v>110.0</v>
      </c>
      <c r="F48" s="5" t="s">
        <v>231</v>
      </c>
      <c r="G48" s="5" t="s">
        <v>287</v>
      </c>
      <c r="H48" s="5" t="s">
        <v>359</v>
      </c>
      <c r="I48" s="5" t="s">
        <v>383</v>
      </c>
      <c r="J48" s="5" t="s">
        <v>384</v>
      </c>
      <c r="K48" s="14">
        <f>SUMIF('Ход 2026'!$G$29:$G$38,$A48,'Ход 2026'!$I$29:$I$38)</f>
        <v>0</v>
      </c>
      <c r="L48" s="14">
        <f>SUMIF('Ход 2027'!$G$29:$G$38,$A48,'Ход 2027'!$I$29:$I$38)</f>
        <v>0</v>
      </c>
      <c r="M48" s="14">
        <f>SUMIF('Ход 2028'!$G$29:$G$38,$A48,'Ход 2028'!$I$29:$I$38)</f>
        <v>0</v>
      </c>
      <c r="N48" s="14">
        <f>SUMIF('Ход 2029'!$G$29:$G$38,$A48,'Ход 2029'!$I$29:$I$38)</f>
        <v>0</v>
      </c>
      <c r="O48" s="14">
        <f>SUMIF('Ход 2030'!$G$29:$G$38,$A48,'Ход 2030'!$I$29:$I$38)</f>
        <v>0</v>
      </c>
      <c r="P48" s="14">
        <f>SUMIF('Ход 2031'!$G$29:$G$38,$A48,'Ход 2031'!$I$29:$I$38)</f>
        <v>0</v>
      </c>
      <c r="Q48" s="14">
        <f>SUMIF('Ход 2032'!$G$29:$G$38,$A48,'Ход 2032'!$I$29:$I$38)</f>
        <v>0</v>
      </c>
      <c r="R48" s="14">
        <f>SUMIF('Ход 2033'!$G$29:$G$38,$A48,'Ход 2033'!$I$29:$I$38)</f>
        <v>0</v>
      </c>
      <c r="S48" s="14">
        <f>SUMIF('Ход 2034'!$G$29:$G$38,$A48,'Ход 2034'!$I$29:$I$38)</f>
        <v>0</v>
      </c>
      <c r="T48" s="14">
        <f>SUMIF('Ход 2035'!$G$29:$G$38,$A48,'Ход 2035'!$I$29:$I$38)</f>
        <v>0</v>
      </c>
      <c r="U48" s="14">
        <f>SUMIF('Ход 2036'!$G$29:$G$38,$A48,'Ход 2036'!$I$29:$I$38)</f>
        <v>0</v>
      </c>
      <c r="V48" s="14">
        <f>SUMIF('Ход 2037'!$G$29:$G$38,$A48,'Ход 2037'!$I$29:$I$38)</f>
        <v>0</v>
      </c>
      <c r="W48" s="14">
        <f>SUMIF('Ход 2038'!$G$29:$G$38,$A48,'Ход 2038'!$I$29:$I$38)</f>
        <v>0</v>
      </c>
      <c r="X48" s="14">
        <f>SUMIF('Ход 2039'!$G$29:$G$38,$A48,'Ход 2039'!$I$29:$I$38)</f>
        <v>0</v>
      </c>
      <c r="Y48" s="14">
        <f>SUMIF('Ход 2040'!$G$29:$G$38,$A48,'Ход 2040'!$I$29:$I$38)</f>
        <v>0</v>
      </c>
      <c r="Z48" s="19">
        <f t="shared" si="2"/>
        <v>0</v>
      </c>
      <c r="AA48" s="19">
        <f t="shared" si="3"/>
        <v>110</v>
      </c>
      <c r="AB48" s="5" t="str">
        <f t="shared" si="4"/>
        <v>ЗАКРЫТО</v>
      </c>
      <c r="AC48" s="21">
        <f t="shared" ref="AC48:AQ48" si="56">SUM($K48:K48)</f>
        <v>0</v>
      </c>
      <c r="AD48" s="21">
        <f t="shared" si="56"/>
        <v>0</v>
      </c>
      <c r="AE48" s="21">
        <f t="shared" si="56"/>
        <v>0</v>
      </c>
      <c r="AF48" s="21">
        <f t="shared" si="56"/>
        <v>0</v>
      </c>
      <c r="AG48" s="21">
        <f t="shared" si="56"/>
        <v>0</v>
      </c>
      <c r="AH48" s="21">
        <f t="shared" si="56"/>
        <v>0</v>
      </c>
      <c r="AI48" s="21">
        <f t="shared" si="56"/>
        <v>0</v>
      </c>
      <c r="AJ48" s="21">
        <f t="shared" si="56"/>
        <v>0</v>
      </c>
      <c r="AK48" s="21">
        <f t="shared" si="56"/>
        <v>0</v>
      </c>
      <c r="AL48" s="21">
        <f t="shared" si="56"/>
        <v>0</v>
      </c>
      <c r="AM48" s="21">
        <f t="shared" si="56"/>
        <v>0</v>
      </c>
      <c r="AN48" s="21">
        <f t="shared" si="56"/>
        <v>0</v>
      </c>
      <c r="AO48" s="21">
        <f t="shared" si="56"/>
        <v>0</v>
      </c>
      <c r="AP48" s="21">
        <f t="shared" si="56"/>
        <v>0</v>
      </c>
      <c r="AQ48" s="21">
        <f t="shared" si="56"/>
        <v>0</v>
      </c>
      <c r="AR48" s="21" t="str">
        <f t="shared" si="6"/>
        <v>ЗАКРЫТО</v>
      </c>
      <c r="AS48" s="21" t="str">
        <f t="shared" si="7"/>
        <v>ЗАКРЫТО</v>
      </c>
      <c r="AT48" s="21" t="str">
        <f t="shared" si="8"/>
        <v>ЗАКРЫТО</v>
      </c>
      <c r="AU48" s="21" t="str">
        <f t="shared" si="9"/>
        <v>ЗАКРЫТО</v>
      </c>
      <c r="AV48" s="21" t="str">
        <f t="shared" si="10"/>
        <v>ЗАКРЫТО</v>
      </c>
      <c r="AW48" s="21" t="str">
        <f t="shared" si="11"/>
        <v>ЗАКРЫТО</v>
      </c>
      <c r="AX48" s="21" t="str">
        <f t="shared" si="12"/>
        <v>ЗАКРЫТО</v>
      </c>
      <c r="AY48" s="21" t="str">
        <f t="shared" si="13"/>
        <v>ЗАКРЫТО</v>
      </c>
      <c r="AZ48" s="21" t="str">
        <f t="shared" si="14"/>
        <v>ЗАКРЫТО</v>
      </c>
      <c r="BA48" s="21" t="str">
        <f t="shared" si="15"/>
        <v>ЗАКРЫТО</v>
      </c>
      <c r="BB48" s="21" t="str">
        <f t="shared" si="16"/>
        <v>ЗАКРЫТО</v>
      </c>
      <c r="BC48" s="21" t="str">
        <f t="shared" si="17"/>
        <v>ЗАКРЫТО</v>
      </c>
      <c r="BD48" s="21" t="str">
        <f t="shared" si="18"/>
        <v>ЗАКРЫТО</v>
      </c>
      <c r="BE48" s="21" t="str">
        <f t="shared" si="19"/>
        <v>ЗАКРЫТО</v>
      </c>
      <c r="BF48" s="21" t="str">
        <f t="shared" si="20"/>
        <v>ЗАКРЫТО</v>
      </c>
    </row>
    <row r="49" ht="15.75" customHeight="1">
      <c r="A49" s="5" t="s">
        <v>386</v>
      </c>
      <c r="B49" s="5" t="s">
        <v>377</v>
      </c>
      <c r="C49" s="5" t="s">
        <v>243</v>
      </c>
      <c r="D49" s="5" t="s">
        <v>387</v>
      </c>
      <c r="E49" s="5">
        <v>140.0</v>
      </c>
      <c r="F49" s="5" t="s">
        <v>317</v>
      </c>
      <c r="G49" s="5" t="s">
        <v>291</v>
      </c>
      <c r="H49" s="5" t="s">
        <v>368</v>
      </c>
      <c r="I49" s="5" t="s">
        <v>388</v>
      </c>
      <c r="J49" s="5" t="s">
        <v>389</v>
      </c>
      <c r="K49" s="14">
        <f>SUMIF('Ход 2026'!$G$29:$G$38,$A49,'Ход 2026'!$I$29:$I$38)</f>
        <v>0</v>
      </c>
      <c r="L49" s="14">
        <f>SUMIF('Ход 2027'!$G$29:$G$38,$A49,'Ход 2027'!$I$29:$I$38)</f>
        <v>0</v>
      </c>
      <c r="M49" s="14">
        <f>SUMIF('Ход 2028'!$G$29:$G$38,$A49,'Ход 2028'!$I$29:$I$38)</f>
        <v>0</v>
      </c>
      <c r="N49" s="14">
        <f>SUMIF('Ход 2029'!$G$29:$G$38,$A49,'Ход 2029'!$I$29:$I$38)</f>
        <v>0</v>
      </c>
      <c r="O49" s="14">
        <f>SUMIF('Ход 2030'!$G$29:$G$38,$A49,'Ход 2030'!$I$29:$I$38)</f>
        <v>0</v>
      </c>
      <c r="P49" s="14">
        <f>SUMIF('Ход 2031'!$G$29:$G$38,$A49,'Ход 2031'!$I$29:$I$38)</f>
        <v>0</v>
      </c>
      <c r="Q49" s="14">
        <f>SUMIF('Ход 2032'!$G$29:$G$38,$A49,'Ход 2032'!$I$29:$I$38)</f>
        <v>0</v>
      </c>
      <c r="R49" s="14">
        <f>SUMIF('Ход 2033'!$G$29:$G$38,$A49,'Ход 2033'!$I$29:$I$38)</f>
        <v>0</v>
      </c>
      <c r="S49" s="14">
        <f>SUMIF('Ход 2034'!$G$29:$G$38,$A49,'Ход 2034'!$I$29:$I$38)</f>
        <v>0</v>
      </c>
      <c r="T49" s="14">
        <f>SUMIF('Ход 2035'!$G$29:$G$38,$A49,'Ход 2035'!$I$29:$I$38)</f>
        <v>0</v>
      </c>
      <c r="U49" s="14">
        <f>SUMIF('Ход 2036'!$G$29:$G$38,$A49,'Ход 2036'!$I$29:$I$38)</f>
        <v>0</v>
      </c>
      <c r="V49" s="14">
        <f>SUMIF('Ход 2037'!$G$29:$G$38,$A49,'Ход 2037'!$I$29:$I$38)</f>
        <v>0</v>
      </c>
      <c r="W49" s="14">
        <f>SUMIF('Ход 2038'!$G$29:$G$38,$A49,'Ход 2038'!$I$29:$I$38)</f>
        <v>0</v>
      </c>
      <c r="X49" s="14">
        <f>SUMIF('Ход 2039'!$G$29:$G$38,$A49,'Ход 2039'!$I$29:$I$38)</f>
        <v>0</v>
      </c>
      <c r="Y49" s="14">
        <f>SUMIF('Ход 2040'!$G$29:$G$38,$A49,'Ход 2040'!$I$29:$I$38)</f>
        <v>0</v>
      </c>
      <c r="Z49" s="19">
        <f t="shared" si="2"/>
        <v>0</v>
      </c>
      <c r="AA49" s="19">
        <f t="shared" si="3"/>
        <v>140</v>
      </c>
      <c r="AB49" s="5" t="str">
        <f t="shared" si="4"/>
        <v>ЗАКРЫТО</v>
      </c>
      <c r="AC49" s="21">
        <f t="shared" ref="AC49:AQ49" si="57">SUM($K49:K49)</f>
        <v>0</v>
      </c>
      <c r="AD49" s="21">
        <f t="shared" si="57"/>
        <v>0</v>
      </c>
      <c r="AE49" s="21">
        <f t="shared" si="57"/>
        <v>0</v>
      </c>
      <c r="AF49" s="21">
        <f t="shared" si="57"/>
        <v>0</v>
      </c>
      <c r="AG49" s="21">
        <f t="shared" si="57"/>
        <v>0</v>
      </c>
      <c r="AH49" s="21">
        <f t="shared" si="57"/>
        <v>0</v>
      </c>
      <c r="AI49" s="21">
        <f t="shared" si="57"/>
        <v>0</v>
      </c>
      <c r="AJ49" s="21">
        <f t="shared" si="57"/>
        <v>0</v>
      </c>
      <c r="AK49" s="21">
        <f t="shared" si="57"/>
        <v>0</v>
      </c>
      <c r="AL49" s="21">
        <f t="shared" si="57"/>
        <v>0</v>
      </c>
      <c r="AM49" s="21">
        <f t="shared" si="57"/>
        <v>0</v>
      </c>
      <c r="AN49" s="21">
        <f t="shared" si="57"/>
        <v>0</v>
      </c>
      <c r="AO49" s="21">
        <f t="shared" si="57"/>
        <v>0</v>
      </c>
      <c r="AP49" s="21">
        <f t="shared" si="57"/>
        <v>0</v>
      </c>
      <c r="AQ49" s="21">
        <f t="shared" si="57"/>
        <v>0</v>
      </c>
      <c r="AR49" s="21" t="str">
        <f t="shared" si="6"/>
        <v>ЗАКРЫТО</v>
      </c>
      <c r="AS49" s="21" t="str">
        <f t="shared" si="7"/>
        <v>ЗАКРЫТО</v>
      </c>
      <c r="AT49" s="21" t="str">
        <f t="shared" si="8"/>
        <v>ЗАКРЫТО</v>
      </c>
      <c r="AU49" s="21" t="str">
        <f t="shared" si="9"/>
        <v>ЗАКРЫТО</v>
      </c>
      <c r="AV49" s="21" t="str">
        <f t="shared" si="10"/>
        <v>ЗАКРЫТО</v>
      </c>
      <c r="AW49" s="21" t="str">
        <f t="shared" si="11"/>
        <v>ЗАКРЫТО</v>
      </c>
      <c r="AX49" s="21" t="str">
        <f t="shared" si="12"/>
        <v>ЗАКРЫТО</v>
      </c>
      <c r="AY49" s="21" t="str">
        <f t="shared" si="13"/>
        <v>ЗАКРЫТО</v>
      </c>
      <c r="AZ49" s="21" t="str">
        <f t="shared" si="14"/>
        <v>ЗАКРЫТО</v>
      </c>
      <c r="BA49" s="21" t="str">
        <f t="shared" si="15"/>
        <v>ЗАКРЫТО</v>
      </c>
      <c r="BB49" s="21" t="str">
        <f t="shared" si="16"/>
        <v>ЗАКРЫТО</v>
      </c>
      <c r="BC49" s="21" t="str">
        <f t="shared" si="17"/>
        <v>ЗАКРЫТО</v>
      </c>
      <c r="BD49" s="21" t="str">
        <f t="shared" si="18"/>
        <v>ЗАКРЫТО</v>
      </c>
      <c r="BE49" s="21" t="str">
        <f t="shared" si="19"/>
        <v>ЗАКРЫТО</v>
      </c>
      <c r="BF49" s="21" t="str">
        <f t="shared" si="20"/>
        <v>ЗАКРЫТО</v>
      </c>
    </row>
    <row r="50" ht="15.75" customHeight="1">
      <c r="A50" s="5" t="s">
        <v>390</v>
      </c>
      <c r="B50" s="5" t="s">
        <v>377</v>
      </c>
      <c r="C50" s="5" t="s">
        <v>391</v>
      </c>
      <c r="D50" s="5" t="s">
        <v>392</v>
      </c>
      <c r="E50" s="5">
        <v>190.0</v>
      </c>
      <c r="F50" s="5" t="s">
        <v>271</v>
      </c>
      <c r="G50" s="5" t="s">
        <v>321</v>
      </c>
      <c r="H50" s="5" t="s">
        <v>372</v>
      </c>
      <c r="I50" s="5" t="s">
        <v>393</v>
      </c>
      <c r="J50" s="5" t="s">
        <v>394</v>
      </c>
      <c r="K50" s="14">
        <f>SUMIF('Ход 2026'!$G$29:$G$38,$A50,'Ход 2026'!$I$29:$I$38)</f>
        <v>0</v>
      </c>
      <c r="L50" s="14">
        <f>SUMIF('Ход 2027'!$G$29:$G$38,$A50,'Ход 2027'!$I$29:$I$38)</f>
        <v>0</v>
      </c>
      <c r="M50" s="14">
        <f>SUMIF('Ход 2028'!$G$29:$G$38,$A50,'Ход 2028'!$I$29:$I$38)</f>
        <v>0</v>
      </c>
      <c r="N50" s="14">
        <f>SUMIF('Ход 2029'!$G$29:$G$38,$A50,'Ход 2029'!$I$29:$I$38)</f>
        <v>0</v>
      </c>
      <c r="O50" s="14">
        <f>SUMIF('Ход 2030'!$G$29:$G$38,$A50,'Ход 2030'!$I$29:$I$38)</f>
        <v>0</v>
      </c>
      <c r="P50" s="14">
        <f>SUMIF('Ход 2031'!$G$29:$G$38,$A50,'Ход 2031'!$I$29:$I$38)</f>
        <v>0</v>
      </c>
      <c r="Q50" s="14">
        <f>SUMIF('Ход 2032'!$G$29:$G$38,$A50,'Ход 2032'!$I$29:$I$38)</f>
        <v>0</v>
      </c>
      <c r="R50" s="14">
        <f>SUMIF('Ход 2033'!$G$29:$G$38,$A50,'Ход 2033'!$I$29:$I$38)</f>
        <v>0</v>
      </c>
      <c r="S50" s="14">
        <f>SUMIF('Ход 2034'!$G$29:$G$38,$A50,'Ход 2034'!$I$29:$I$38)</f>
        <v>0</v>
      </c>
      <c r="T50" s="14">
        <f>SUMIF('Ход 2035'!$G$29:$G$38,$A50,'Ход 2035'!$I$29:$I$38)</f>
        <v>0</v>
      </c>
      <c r="U50" s="14">
        <f>SUMIF('Ход 2036'!$G$29:$G$38,$A50,'Ход 2036'!$I$29:$I$38)</f>
        <v>0</v>
      </c>
      <c r="V50" s="14">
        <f>SUMIF('Ход 2037'!$G$29:$G$38,$A50,'Ход 2037'!$I$29:$I$38)</f>
        <v>0</v>
      </c>
      <c r="W50" s="14">
        <f>SUMIF('Ход 2038'!$G$29:$G$38,$A50,'Ход 2038'!$I$29:$I$38)</f>
        <v>0</v>
      </c>
      <c r="X50" s="14">
        <f>SUMIF('Ход 2039'!$G$29:$G$38,$A50,'Ход 2039'!$I$29:$I$38)</f>
        <v>0</v>
      </c>
      <c r="Y50" s="14">
        <f>SUMIF('Ход 2040'!$G$29:$G$38,$A50,'Ход 2040'!$I$29:$I$38)</f>
        <v>0</v>
      </c>
      <c r="Z50" s="19">
        <f t="shared" si="2"/>
        <v>0</v>
      </c>
      <c r="AA50" s="19">
        <f t="shared" si="3"/>
        <v>190</v>
      </c>
      <c r="AB50" s="5" t="str">
        <f t="shared" si="4"/>
        <v>ЗАКРЫТО</v>
      </c>
      <c r="AC50" s="21">
        <f t="shared" ref="AC50:AQ50" si="58">SUM($K50:K50)</f>
        <v>0</v>
      </c>
      <c r="AD50" s="21">
        <f t="shared" si="58"/>
        <v>0</v>
      </c>
      <c r="AE50" s="21">
        <f t="shared" si="58"/>
        <v>0</v>
      </c>
      <c r="AF50" s="21">
        <f t="shared" si="58"/>
        <v>0</v>
      </c>
      <c r="AG50" s="21">
        <f t="shared" si="58"/>
        <v>0</v>
      </c>
      <c r="AH50" s="21">
        <f t="shared" si="58"/>
        <v>0</v>
      </c>
      <c r="AI50" s="21">
        <f t="shared" si="58"/>
        <v>0</v>
      </c>
      <c r="AJ50" s="21">
        <f t="shared" si="58"/>
        <v>0</v>
      </c>
      <c r="AK50" s="21">
        <f t="shared" si="58"/>
        <v>0</v>
      </c>
      <c r="AL50" s="21">
        <f t="shared" si="58"/>
        <v>0</v>
      </c>
      <c r="AM50" s="21">
        <f t="shared" si="58"/>
        <v>0</v>
      </c>
      <c r="AN50" s="21">
        <f t="shared" si="58"/>
        <v>0</v>
      </c>
      <c r="AO50" s="21">
        <f t="shared" si="58"/>
        <v>0</v>
      </c>
      <c r="AP50" s="21">
        <f t="shared" si="58"/>
        <v>0</v>
      </c>
      <c r="AQ50" s="21">
        <f t="shared" si="58"/>
        <v>0</v>
      </c>
      <c r="AR50" s="21" t="str">
        <f t="shared" si="6"/>
        <v>ЗАКРЫТО</v>
      </c>
      <c r="AS50" s="21" t="str">
        <f t="shared" si="7"/>
        <v>ЗАКРЫТО</v>
      </c>
      <c r="AT50" s="21" t="str">
        <f t="shared" si="8"/>
        <v>ЗАКРЫТО</v>
      </c>
      <c r="AU50" s="21" t="str">
        <f t="shared" si="9"/>
        <v>ЗАКРЫТО</v>
      </c>
      <c r="AV50" s="21" t="str">
        <f t="shared" si="10"/>
        <v>ЗАКРЫТО</v>
      </c>
      <c r="AW50" s="21" t="str">
        <f t="shared" si="11"/>
        <v>ЗАКРЫТО</v>
      </c>
      <c r="AX50" s="21" t="str">
        <f t="shared" si="12"/>
        <v>ЗАКРЫТО</v>
      </c>
      <c r="AY50" s="21" t="str">
        <f t="shared" si="13"/>
        <v>ЗАКРЫТО</v>
      </c>
      <c r="AZ50" s="21" t="str">
        <f t="shared" si="14"/>
        <v>ЗАКРЫТО</v>
      </c>
      <c r="BA50" s="21" t="str">
        <f t="shared" si="15"/>
        <v>ЗАКРЫТО</v>
      </c>
      <c r="BB50" s="21" t="str">
        <f t="shared" si="16"/>
        <v>ЗАКРЫТО</v>
      </c>
      <c r="BC50" s="21" t="str">
        <f t="shared" si="17"/>
        <v>ЗАКРЫТО</v>
      </c>
      <c r="BD50" s="21" t="str">
        <f t="shared" si="18"/>
        <v>ЗАКРЫТО</v>
      </c>
      <c r="BE50" s="21" t="str">
        <f t="shared" si="19"/>
        <v>ЗАКРЫТО</v>
      </c>
      <c r="BF50" s="21" t="str">
        <f t="shared" si="20"/>
        <v>ЗАКРЫТО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3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81.49767372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73.05462617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79.87257072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96.47473454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2026'!B8+'Китай 2026'!D8+('Китай 2026'!C8+'Китай 2026'!F8+'Китай 2026'!G8)+(0.35*LN(1+0.6*'Ход 2026'!B14)*POWER(MAX(0,1-'Китай 2026'!I8/10),0.7))))</f>
        <v>9.55</v>
      </c>
      <c r="C8" s="5">
        <f>MIN(1,'Китай 2026'!C8+'Китай 2026'!F8+(0.08*LN(1+0.5*'Ход 2026'!C14)*MAX(0,1-('Китай 2026'!C8+'Китай 2026'!F8))))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9.55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2026'!B9+'Китай 2026'!D9+('Китай 2026'!C9+'Китай 2026'!F9+'Китай 2026'!G9)+(0.35*LN(1+0.6*'Ход 2026'!B15)*POWER(MAX(0,1-'Китай 2026'!I9/10),0.7))))</f>
        <v>9.6</v>
      </c>
      <c r="C9" s="5">
        <f>MIN(1,'Китай 2026'!C9+'Китай 2026'!F9+(0.08*LN(1+0.5*'Ход 2026'!C15)*MAX(0,1-('Китай 2026'!C9+'Китай 2026'!F9))))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9.6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2026'!B10+'Китай 2026'!D10+('Китай 2026'!C10+'Китай 2026'!F10+'Китай 2026'!G10)+(0.35*LN(1+0.6*'Ход 2026'!B16)*POWER(MAX(0,1-'Китай 2026'!I10/10),0.7))))</f>
        <v>9.2</v>
      </c>
      <c r="C10" s="5">
        <f>MIN(1,'Китай 2026'!C10+'Китай 2026'!F10+(0.08*LN(1+0.5*'Ход 2026'!C16)*MAX(0,1-('Китай 2026'!C10+'Китай 2026'!F10))))</f>
        <v>0.2</v>
      </c>
      <c r="D10" s="16">
        <v>0.0</v>
      </c>
      <c r="E10" s="17">
        <v>-0.4</v>
      </c>
      <c r="F10" s="16">
        <v>0.0</v>
      </c>
      <c r="G10" s="16">
        <v>0.0</v>
      </c>
      <c r="H10" s="5">
        <v>0.0</v>
      </c>
      <c r="I10" s="5">
        <f t="shared" si="1"/>
        <v>8.8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2026'!B11+'Китай 2026'!D11+('Китай 2026'!C11+'Китай 2026'!F11+'Китай 2026'!G11)+(0.35*LN(1+0.6*'Ход 2026'!B17)*POWER(MAX(0,1-'Китай 2026'!I11/10),0.7))))</f>
        <v>6.65</v>
      </c>
      <c r="C11" s="5">
        <f>MIN(1,'Китай 2026'!C11+'Китай 2026'!F11+(0.08*LN(1+0.5*'Ход 2026'!C17)*MAX(0,1-('Китай 2026'!C11+'Китай 2026'!F11))))</f>
        <v>0.15</v>
      </c>
      <c r="D11" s="16">
        <v>0.0</v>
      </c>
      <c r="E11" s="17">
        <v>-0.4</v>
      </c>
      <c r="F11" s="16">
        <v>0.0</v>
      </c>
      <c r="G11" s="16">
        <v>0.0</v>
      </c>
      <c r="H11" s="5">
        <v>0.0</v>
      </c>
      <c r="I11" s="5">
        <f t="shared" si="1"/>
        <v>6.25</v>
      </c>
      <c r="J11" s="5"/>
      <c r="K11" s="5" t="s">
        <v>110</v>
      </c>
      <c r="L11" s="5">
        <f>MAX(1,MIN(10,'Китай 2026'!L11+'Китай 2026'!N11+('Китай 2026'!M11+'Китай 2026'!P11+'Китай 2026'!Q11)))</f>
        <v>9.75</v>
      </c>
      <c r="M11" s="5">
        <f>MIN(1,'Китай 2026'!M11+'Китай 2026'!P11+(0.1*LN(1+0.5*'Ход 2026'!H13)*POWER(MAX(0,1-'Китай 2026'!S11/10),0.8)))</f>
        <v>0.2718276115</v>
      </c>
      <c r="N11" s="16">
        <v>0.0</v>
      </c>
      <c r="O11" s="17">
        <v>-0.2</v>
      </c>
      <c r="P11" s="17">
        <v>0.05</v>
      </c>
      <c r="Q11" s="16">
        <v>0.0</v>
      </c>
      <c r="R11" s="5">
        <v>0.0</v>
      </c>
      <c r="S11" s="5">
        <f t="shared" ref="S11:S18" si="2">MAX(1,MIN(10,L11+N11+O11+R11))</f>
        <v>9.55</v>
      </c>
      <c r="T11" s="5"/>
      <c r="U11" s="5" t="s">
        <v>111</v>
      </c>
      <c r="V11" s="16">
        <f>'Китай 2026'!V11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2026'!B12+'Китай 2026'!D12+('Китай 2026'!C12+'Китай 2026'!F12+'Китай 2026'!G12)+(0.35*LN(1+0.6*'Ход 2026'!B18)*POWER(MAX(0,1-'Китай 2026'!I12/10),0.7))))</f>
        <v>9.05</v>
      </c>
      <c r="C12" s="5">
        <f>MIN(1,'Китай 2026'!C12+'Китай 2026'!F12+(0.08*LN(1+0.5*'Ход 2026'!C18)*MAX(0,1-('Китай 2026'!C12+'Китай 2026'!F12))))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9.05</v>
      </c>
      <c r="J12" s="5"/>
      <c r="K12" s="5" t="s">
        <v>113</v>
      </c>
      <c r="L12" s="5">
        <f>MAX(1,MIN(10,'Китай 2026'!L12+'Китай 2026'!N12+('Китай 2026'!M12+'Китай 2026'!P12+'Китай 2026'!Q12)))</f>
        <v>8.8</v>
      </c>
      <c r="M12" s="5">
        <f>MIN(1,'Китай 2026'!M12+'Китай 2026'!P12+(0.1*LN(1+0.5*'Ход 2026'!H14)*POWER(MAX(0,1-'Китай 2026'!S12/10),0.8)))</f>
        <v>0.3</v>
      </c>
      <c r="N12" s="16">
        <v>0.0</v>
      </c>
      <c r="O12" s="17">
        <v>-0.2</v>
      </c>
      <c r="P12" s="16">
        <v>0.0</v>
      </c>
      <c r="Q12" s="16">
        <v>0.0</v>
      </c>
      <c r="R12" s="5">
        <v>0.0</v>
      </c>
      <c r="S12" s="5">
        <f t="shared" si="2"/>
        <v>8.6</v>
      </c>
      <c r="T12" s="5"/>
      <c r="U12" s="5" t="s">
        <v>114</v>
      </c>
      <c r="V12" s="16">
        <f>'Китай 2026'!V12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2026'!B13+'Китай 2026'!D13+('Китай 2026'!C13+'Китай 2026'!F13+'Китай 2026'!G13)+(0.35*LN(1+0.6*'Ход 2026'!B19)*POWER(MAX(0,1-'Китай 2026'!I13/10),0.7))))</f>
        <v>8.95</v>
      </c>
      <c r="C13" s="5">
        <f>MIN(1,'Китай 2026'!C13+'Китай 2026'!F13+(0.08*LN(1+0.5*'Ход 2026'!C19)*MAX(0,1-('Китай 2026'!C13+'Китай 2026'!F13))))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8.95</v>
      </c>
      <c r="J13" s="5"/>
      <c r="K13" s="5" t="s">
        <v>116</v>
      </c>
      <c r="L13" s="5">
        <f>MAX(1,MIN(10,'Китай 2026'!L13+'Китай 2026'!N13+('Китай 2026'!M13+'Китай 2026'!P13+'Китай 2026'!Q13)))</f>
        <v>9.65</v>
      </c>
      <c r="M13" s="5">
        <f>MIN(1,'Китай 2026'!M13+'Китай 2026'!P13+(0.1*LN(1+0.5*'Ход 2026'!H15)*POWER(MAX(0,1-'Китай 2026'!S13/10),0.8)))</f>
        <v>0.1777137428</v>
      </c>
      <c r="N13" s="16">
        <v>0.0</v>
      </c>
      <c r="O13" s="17">
        <v>-0.2</v>
      </c>
      <c r="P13" s="16">
        <v>0.0</v>
      </c>
      <c r="Q13" s="16">
        <v>0.0</v>
      </c>
      <c r="R13" s="5">
        <v>0.0</v>
      </c>
      <c r="S13" s="5">
        <f t="shared" si="2"/>
        <v>9.45</v>
      </c>
      <c r="T13" s="5"/>
      <c r="U13" s="5" t="s">
        <v>117</v>
      </c>
      <c r="V13" s="16">
        <f>'Китай 2026'!V13+1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2026'!B14+'Китай 2026'!D14+('Китай 2026'!C14+'Китай 2026'!F14+'Китай 2026'!G14)+(0.35*LN(1+0.6*'Ход 2026'!B20)*POWER(MAX(0,1-'Китай 2026'!I14/10),0.7))))</f>
        <v>7.95</v>
      </c>
      <c r="C14" s="5">
        <f>MIN(1,'Китай 2026'!C14+'Китай 2026'!F14+(0.08*LN(1+0.5*'Ход 2026'!C20)*MAX(0,1-('Китай 2026'!C14+'Китай 2026'!F14))))</f>
        <v>0.45</v>
      </c>
      <c r="D14" s="16">
        <f>0.2</f>
        <v>0.2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8.15</v>
      </c>
      <c r="J14" s="5"/>
      <c r="K14" s="5" t="s">
        <v>119</v>
      </c>
      <c r="L14" s="5">
        <f>MAX(1,MIN(10,'Китай 2026'!L14+'Китай 2026'!N14+('Китай 2026'!M14+'Китай 2026'!P14+'Китай 2026'!Q14)))</f>
        <v>8.8</v>
      </c>
      <c r="M14" s="5">
        <f>MIN(1,'Китай 2026'!M14+'Китай 2026'!P14+(0.1*LN(1+0.5*'Ход 2026'!H16)*POWER(MAX(0,1-'Китай 2026'!S14/10),0.8)))</f>
        <v>0.3525657928</v>
      </c>
      <c r="N14" s="16">
        <v>0.0</v>
      </c>
      <c r="O14" s="17">
        <v>-0.2</v>
      </c>
      <c r="P14" s="16">
        <v>0.0</v>
      </c>
      <c r="Q14" s="16">
        <v>0.0</v>
      </c>
      <c r="R14" s="5">
        <v>0.0</v>
      </c>
      <c r="S14" s="5">
        <f t="shared" si="2"/>
        <v>8.6</v>
      </c>
      <c r="T14" s="5"/>
      <c r="U14" s="5" t="s">
        <v>120</v>
      </c>
      <c r="V14" s="16">
        <f>'Китай 2026'!V14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2026'!B15+'Китай 2026'!D15+('Китай 2026'!C15+'Китай 2026'!F15+'Китай 2026'!G15)+(0.35*LN(1+0.6*'Ход 2026'!B21)*POWER(MAX(0,1-'Китай 2026'!I15/10),0.7))))</f>
        <v>8.85</v>
      </c>
      <c r="C15" s="5">
        <f>MIN(1,'Китай 2026'!C15+'Китай 2026'!F15+(0.08*LN(1+0.5*'Ход 2026'!C21)*MAX(0,1-('Китай 2026'!C15+'Китай 2026'!F15))))</f>
        <v>0.35</v>
      </c>
      <c r="D15" s="17">
        <v>0.0</v>
      </c>
      <c r="E15" s="17">
        <v>0.0</v>
      </c>
      <c r="F15" s="17">
        <v>0.05</v>
      </c>
      <c r="G15" s="16">
        <v>0.0</v>
      </c>
      <c r="H15" s="5">
        <v>0.0</v>
      </c>
      <c r="I15" s="5">
        <f t="shared" si="1"/>
        <v>8.85</v>
      </c>
      <c r="J15" s="5"/>
      <c r="K15" s="5" t="s">
        <v>122</v>
      </c>
      <c r="L15" s="5">
        <f>MAX(1,MIN(10,'Китай 2026'!L15+'Китай 2026'!N15+('Китай 2026'!M15+'Китай 2026'!P15+'Китай 2026'!Q15)))</f>
        <v>8.75</v>
      </c>
      <c r="M15" s="5">
        <f>MIN(1,'Китай 2026'!M15+'Китай 2026'!P15+(0.1*LN(1+0.5*'Ход 2026'!H17)*POWER(MAX(0,1-'Китай 2026'!S15/10),0.8)))</f>
        <v>0.25</v>
      </c>
      <c r="N15" s="16">
        <v>0.0</v>
      </c>
      <c r="O15" s="17">
        <v>-0.2</v>
      </c>
      <c r="P15" s="16">
        <v>0.0</v>
      </c>
      <c r="Q15" s="16">
        <v>0.0</v>
      </c>
      <c r="R15" s="5">
        <v>0.0</v>
      </c>
      <c r="S15" s="5">
        <f t="shared" si="2"/>
        <v>8.55</v>
      </c>
      <c r="T15" s="5"/>
      <c r="U15" s="5" t="s">
        <v>123</v>
      </c>
      <c r="V15" s="16">
        <f>'Китай 2026'!V15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2026'!B16+'Китай 2026'!D16+('Китай 2026'!C16+'Китай 2026'!F16+'Китай 2026'!G16)+(0.35*LN(1+0.6*'Ход 2026'!B22)*POWER(MAX(0,1-'Китай 2026'!I16/10),0.7))))</f>
        <v>10</v>
      </c>
      <c r="C16" s="5">
        <f>MIN(1,'Китай 2026'!C16+'Китай 2026'!F16+(0.08*LN(1+0.5*'Ход 2026'!C22)*MAX(0,1-('Китай 2026'!C16+'Китай 2026'!F16))))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2026'!L16+'Китай 2026'!N16+('Китай 2026'!M16+'Китай 2026'!P16+'Китай 2026'!Q16)))</f>
        <v>9.35</v>
      </c>
      <c r="M16" s="5">
        <f>MIN(1,'Китай 2026'!M16+'Китай 2026'!P16+(0.1*LN(1+0.5*'Ход 2026'!H18)*POWER(MAX(0,1-'Китай 2026'!S16/10),0.8)))</f>
        <v>0.35</v>
      </c>
      <c r="N16" s="16">
        <v>0.0</v>
      </c>
      <c r="O16" s="17">
        <v>-0.2</v>
      </c>
      <c r="P16" s="16">
        <v>0.0</v>
      </c>
      <c r="Q16" s="16">
        <v>0.0</v>
      </c>
      <c r="R16" s="5">
        <v>0.0</v>
      </c>
      <c r="S16" s="5">
        <f t="shared" si="2"/>
        <v>9.15</v>
      </c>
      <c r="T16" s="5"/>
      <c r="U16" s="5" t="s">
        <v>126</v>
      </c>
      <c r="V16" s="16">
        <f>'Китай 2026'!V16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2026'!B17+'Китай 2026'!D17+('Китай 2026'!C17+'Китай 2026'!F17+'Китай 2026'!G17)+(0.35*LN(1+0.6*'Ход 2026'!B23)*POWER(MAX(0,1-'Китай 2026'!I17/10),0.7))))</f>
        <v>10</v>
      </c>
      <c r="C17" s="5">
        <f>MIN(1,'Китай 2026'!C17+'Китай 2026'!F17+(0.08*LN(1+0.5*'Ход 2026'!C23)*MAX(0,1-('Китай 2026'!C17+'Китай 2026'!F17))))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2026'!L17+'Китай 2026'!N17+('Китай 2026'!M17+'Китай 2026'!P17+'Китай 2026'!Q17)))</f>
        <v>8.85</v>
      </c>
      <c r="M17" s="5">
        <f>MIN(1,'Китай 2026'!M17+'Китай 2026'!P17+(0.1*LN(1+0.5*'Ход 2026'!H19)*POWER(MAX(0,1-'Китай 2026'!S17/10),0.8)))</f>
        <v>0.35</v>
      </c>
      <c r="N17" s="16">
        <v>0.0</v>
      </c>
      <c r="O17" s="17">
        <v>-0.2</v>
      </c>
      <c r="P17" s="16">
        <v>0.0</v>
      </c>
      <c r="Q17" s="16">
        <v>0.0</v>
      </c>
      <c r="R17" s="5">
        <v>0.0</v>
      </c>
      <c r="S17" s="5">
        <f t="shared" si="2"/>
        <v>8.65</v>
      </c>
      <c r="T17" s="5"/>
      <c r="U17" s="5" t="s">
        <v>129</v>
      </c>
      <c r="V17" s="16">
        <f>'Китай 2026'!V17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2026'!L18+'Китай 2026'!N18+('Китай 2026'!M18+'Китай 2026'!P18+'Китай 2026'!Q18)))</f>
        <v>8.8</v>
      </c>
      <c r="M18" s="5">
        <f>MIN(1,'Китай 2026'!M18+'Китай 2026'!P18+(0.1*LN(1+0.5*'Ход 2026'!H20)*POWER(MAX(0,1-'Китай 2026'!S18/10),0.8)))</f>
        <v>0.307297591</v>
      </c>
      <c r="N18" s="16">
        <v>0.0</v>
      </c>
      <c r="O18" s="17">
        <v>-0.2</v>
      </c>
      <c r="P18" s="16">
        <v>0.0</v>
      </c>
      <c r="Q18" s="16">
        <v>0.0</v>
      </c>
      <c r="R18" s="5">
        <v>0.0</v>
      </c>
      <c r="S18" s="5">
        <f t="shared" si="2"/>
        <v>8.6</v>
      </c>
      <c r="T18" s="5"/>
      <c r="U18" s="5" t="s">
        <v>132</v>
      </c>
      <c r="V18" s="16">
        <f>'Китай 2026'!V18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2026'!B19+'Китай 2026'!D19+('Китай 2026'!C19+'Китай 2026'!F19+'Китай 2026'!G19)+(0.35*LN(1+0.6*'Ход 2026'!B25)*POWER(MAX(0,1-'Китай 2026'!I19/10),0.7))))</f>
        <v>8.25</v>
      </c>
      <c r="C19" s="5">
        <f>MIN(1,'Китай 2026'!C19+'Китай 2026'!F19+(0.08*LN(1+0.5*'Ход 2026'!C25)*MAX(0,1-('Китай 2026'!C19+'Китай 2026'!F19))))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8.25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2026'!V19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2026'!B20+'Китай 2026'!D20+('Китай 2026'!C20+'Китай 2026'!F20+'Китай 2026'!G20)+(0.35*LN(1+0.6*'Ход 2026'!B26)*POWER(MAX(0,1-'Китай 2026'!I20/10),0.7))))</f>
        <v>8.75</v>
      </c>
      <c r="C20" s="5">
        <f>MIN(1,'Китай 2026'!C20+'Китай 2026'!F20+(0.08*LN(1+0.5*'Ход 2026'!C26)*MAX(0,1-('Китай 2026'!C20+'Китай 2026'!F20))))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8.75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2026'!V20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2026'!B21+'Китай 2026'!D21+('Китай 2026'!C21+'Китай 2026'!F21+'Китай 2026'!G21)+(0.35*LN(1+0.6*'Ход 2026'!B27)*POWER(MAX(0,1-'Китай 2026'!I21/10),0.7))))</f>
        <v>9.2</v>
      </c>
      <c r="C21" s="5">
        <f>MIN(1,'Китай 2026'!C21+'Китай 2026'!F21+(0.08*LN(1+0.5*'Ход 2026'!C27)*MAX(0,1-('Китай 2026'!C21+'Китай 2026'!F21))))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9.2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2026'!V21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2026'!B22+'Китай 2026'!D22+('Китай 2026'!C22+'Китай 2026'!F22+'Китай 2026'!G22)+(0.35*LN(1+0.6*'Ход 2026'!B28)*POWER(MAX(0,1-'Китай 2026'!I22/10),0.7))))</f>
        <v>10</v>
      </c>
      <c r="C22" s="5">
        <f>MIN(1,'Китай 2026'!C22+'Китай 2026'!F22+(0.08*LN(1+0.5*'Ход 2026'!C28)*MAX(0,1-('Китай 2026'!C22+'Китай 2026'!F22))))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2026'!V22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2026'!B23+'Китай 2026'!D23+('Китай 2026'!C23+'Китай 2026'!F23+'Китай 2026'!G23)+(0.35*LN(1+0.6*'Ход 2026'!B29)*POWER(MAX(0,1-'Китай 2026'!I23/10),0.7))))</f>
        <v>9.65</v>
      </c>
      <c r="C23" s="5">
        <f>MIN(1,'Китай 2026'!C23+'Китай 2026'!F23+(0.08*LN(1+0.5*'Ход 2026'!C29)*MAX(0,1-('Китай 2026'!C23+'Китай 2026'!F23))))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9.65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2026'!V23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2026'!V24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23">
        <v>10.2</v>
      </c>
      <c r="C25" s="5">
        <f>MIN(1,'Китай 2026'!C25+'Китай 2026'!F25+(0.08*LN(1+0.5*'Ход 2026'!C31)*MAX(0,1-('Китай 2026'!C25+'Китай 2026'!F25))))</f>
        <v>0.2322400407</v>
      </c>
      <c r="D25" s="17">
        <v>0.2</v>
      </c>
      <c r="E25" s="16">
        <v>0.0</v>
      </c>
      <c r="F25" s="17">
        <v>0.05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2026'!V25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2026'!B26+'Китай 2026'!D26+('Китай 2026'!C26+'Китай 2026'!F26+'Китай 2026'!G26)+(0.35*LN(1+0.6*'Ход 2026'!B32)*POWER(MAX(0,1-'Китай 2026'!I26/10),0.7))))</f>
        <v>9.65</v>
      </c>
      <c r="C26" s="5">
        <f>MIN(1,'Китай 2026'!C26+'Китай 2026'!F26+(0.08*LN(1+0.5*'Ход 2026'!C32)*MAX(0,1-('Китай 2026'!C26+'Китай 2026'!F26))))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9.65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2026'!V26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2026'!B27+'Китай 2026'!D27+('Китай 2026'!C27+'Китай 2026'!F27+'Китай 2026'!G27)+(0.35*LN(1+0.6*'Ход 2026'!B33)*POWER(MAX(0,1-'Китай 2026'!I27/10),0.7))))</f>
        <v>9.6</v>
      </c>
      <c r="C27" s="5">
        <f>MIN(1,'Китай 2026'!C27+'Китай 2026'!F27+(0.08*LN(1+0.5*'Ход 2026'!C33)*MAX(0,1-('Китай 2026'!C27+'Китай 2026'!F27))))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9.6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2026'!B28+'Китай 2026'!D28+('Китай 2026'!C28+'Китай 2026'!F28+'Китай 2026'!G28)+(0.35*LN(1+0.6*'Ход 2026'!B34)*POWER(MAX(0,1-'Китай 2026'!I28/10),0.7))))</f>
        <v>9.65</v>
      </c>
      <c r="C28" s="5">
        <f>MIN(1,'Китай 2026'!C28+'Китай 2026'!F28+(0.08*LN(1+0.5*'Ход 2026'!C34)*MAX(0,1-('Китай 2026'!C28+'Китай 2026'!F28))))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9.65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2026'!B29+'Китай 2026'!D29+('Китай 2026'!C29+'Китай 2026'!F29+'Китай 2026'!G29)+(0.35*LN(1+0.6*'Ход 2026'!B35)*POWER(MAX(0,1-'Китай 2026'!I29/10),0.7))))</f>
        <v>8.75</v>
      </c>
      <c r="C29" s="5">
        <f>MIN(1,'Китай 2026'!C29+'Китай 2026'!F29+(0.08*LN(1+0.5*'Ход 2026'!C35)*MAX(0,1-('Китай 2026'!C29+'Китай 2026'!F29))))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8.75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2026'!B30+'Китай 2026'!D30+('Китай 2026'!C30+'Китай 2026'!F30+'Китай 2026'!G30)+(0.35*LN(1+0.6*'Ход 2026'!B36)*POWER(MAX(0,1-'Китай 2026'!I30/10),0.7))))</f>
        <v>7.7</v>
      </c>
      <c r="C30" s="5">
        <f>MIN(1,'Китай 2026'!C30+'Китай 2026'!F30+(0.08*LN(1+0.5*'Ход 2026'!C36)*MAX(0,1-('Китай 2026'!C30+'Китай 2026'!F30))))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7.7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2026'!B31+'Китай 2026'!D31+('Китай 2026'!C31+'Китай 2026'!F31+'Китай 2026'!G31)+(0.35*LN(1+0.6*'Ход 2026'!B37)*POWER(MAX(0,1-'Китай 2026'!I31/10),0.7))))</f>
        <v>7.1</v>
      </c>
      <c r="C31" s="5">
        <f>MIN(1,'Китай 2026'!C31+'Китай 2026'!F31+(0.08*LN(1+0.5*'Ход 2026'!C37)*MAX(0,1-('Китай 2026'!C31+'Китай 2026'!F31))))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2026'!B32+'Китай 2026'!D32+('Китай 2026'!C32+'Китай 2026'!F32+'Китай 2026'!G32)+(0.35*LN(1+0.6*'Ход 2026'!B38)*POWER(MAX(0,1-'Китай 2026'!I32/10),0.7))))</f>
        <v>9.15</v>
      </c>
      <c r="C32" s="5">
        <f>MIN(1,'Китай 2026'!C32+'Китай 2026'!F32+(0.08*LN(1+0.5*'Ход 2026'!C38)*MAX(0,1-('Китай 2026'!C32+'Китай 2026'!F32))))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9.15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2026'!B34+'Китай 2026'!D34+('Китай 2026'!C34+'Китай 2026'!F34+'Китай 2026'!G34)+(0.35*LN(1+0.6*'Ход 2026'!B40)*POWER(MAX(0,1-'Китай 2026'!I34/10),0.7))))</f>
        <v>9.65</v>
      </c>
      <c r="C34" s="5">
        <f>MIN(1,'Китай 2026'!C34+'Китай 2026'!F34+(0.08*LN(1+0.5*'Ход 2026'!C40)*MAX(0,1-('Китай 2026'!C34+'Китай 2026'!F34))))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9.65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2026'!B35+'Китай 2026'!D35+('Китай 2026'!C35+'Китай 2026'!F35+'Китай 2026'!G35)+(0.35*LN(1+0.6*'Ход 2026'!B41)*POWER(MAX(0,1-'Китай 2026'!I35/10),0.7))))</f>
        <v>10</v>
      </c>
      <c r="C35" s="5">
        <f>MIN(1,'Китай 2026'!C35+'Китай 2026'!F35+(0.08*LN(1+0.5*'Ход 2026'!C41)*MAX(0,1-('Китай 2026'!C35+'Китай 2026'!F35))))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2026'!B36+'Китай 2026'!D36+('Китай 2026'!C36+'Китай 2026'!F36+'Китай 2026'!G36)+(0.35*LN(1+0.6*'Ход 2026'!B42)*POWER(MAX(0,1-'Китай 2026'!I36/10),0.7))))</f>
        <v>9.65</v>
      </c>
      <c r="C36" s="5">
        <f>MIN(1,'Китай 2026'!C36+'Китай 2026'!F36+(0.08*LN(1+0.5*'Ход 2026'!C42)*MAX(0,1-('Китай 2026'!C36+'Китай 2026'!F36))))</f>
        <v>0.15</v>
      </c>
      <c r="D36" s="17">
        <v>0.2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9.85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2026'!B37+'Китай 2026'!D37+('Китай 2026'!C37+'Китай 2026'!F37+'Китай 2026'!G37)+(0.35*LN(1+0.6*'Ход 2026'!B43)*POWER(MAX(0,1-'Китай 2026'!I37/10),0.7))))</f>
        <v>9.85</v>
      </c>
      <c r="C37" s="5">
        <f>MIN(1,'Китай 2026'!C37+'Китай 2026'!F37+(0.08*LN(1+0.5*'Ход 2026'!C43)*MAX(0,1-('Китай 2026'!C37+'Китай 2026'!F37))))</f>
        <v>0.15</v>
      </c>
      <c r="D37" s="17">
        <v>0.2</v>
      </c>
      <c r="E37" s="16">
        <v>0.0</v>
      </c>
      <c r="F37" s="17">
        <v>0.05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2026'!B38+'Китай 2026'!D38+('Китай 2026'!C38+'Китай 2026'!F38+'Китай 2026'!G38)+(0.35*LN(1+0.6*'Ход 2026'!B44)*POWER(MAX(0,1-'Китай 2026'!I38/10),0.7))))</f>
        <v>9.6</v>
      </c>
      <c r="C38" s="5">
        <f>MIN(1,'Китай 2026'!C38+'Китай 2026'!F38+(0.08*LN(1+0.5*'Ход 2026'!C44)*MAX(0,1-('Китай 2026'!C38+'Китай 2026'!F38))))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9.6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2026'!B39+'Китай 2026'!D39+('Китай 2026'!C39+'Китай 2026'!F39+'Китай 2026'!G39)+(0.35*LN(1+0.6*'Ход 2026'!B45)*POWER(MAX(0,1-'Китай 2026'!I39/10),0.7))))</f>
        <v>9.15</v>
      </c>
      <c r="C39" s="5">
        <f>MIN(1,'Китай 2026'!C39+'Китай 2026'!F39+(0.08*LN(1+0.5*'Ход 2026'!C45)*MAX(0,1-('Китай 2026'!C39+'Китай 2026'!F39))))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9.15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2026'!B40+'Китай 2026'!D40+('Китай 2026'!C40+'Китай 2026'!F40+'Китай 2026'!G40)+(0.35*LN(1+0.6*'Ход 2026'!B46)*POWER(MAX(0,1-'Китай 2026'!I40/10),0.7))))</f>
        <v>9.1</v>
      </c>
      <c r="C40" s="5">
        <f>MIN(1,'Китай 2026'!C40+'Китай 2026'!F40+(0.08*LN(1+0.5*'Ход 2026'!C46)*MAX(0,1-('Китай 2026'!C40+'Китай 2026'!F40))))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2026'!B41+'Китай 2026'!D41+('Китай 2026'!C41+'Китай 2026'!F41+'Китай 2026'!G41)+(0.35*LN(1+0.6*'Ход 2026'!B47)*POWER(MAX(0,1-'Китай 2026'!I41/10),0.7))))</f>
        <v>9.6</v>
      </c>
      <c r="C41" s="5">
        <f>MIN(1,'Китай 2026'!C41+'Китай 2026'!F41+(0.08*LN(1+0.5*'Ход 2026'!C47)*MAX(0,1-('Китай 2026'!C41+'Китай 2026'!F41))))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9.6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2026'!B42+'Китай 2026'!D42+('Китай 2026'!C42+'Китай 2026'!F42+'Китай 2026'!G42)+(0.35*LN(1+0.6*'Ход 2026'!B48)*POWER(MAX(0,1-'Китай 2026'!I42/10),0.7))))</f>
        <v>10</v>
      </c>
      <c r="C42" s="5">
        <f>MIN(1,'Китай 2026'!C42+'Китай 2026'!F42+(0.08*LN(1+0.5*'Ход 2026'!C48)*MAX(0,1-('Китай 2026'!C42+'Китай 2026'!F42))))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2026'!B44+'Китай 2026'!D44+('Китай 2026'!C44+'Китай 2026'!F44+'Китай 2026'!G44)+(0.35*LN(1+0.6*'Ход 2026'!B50)*POWER(MAX(0,1-'Китай 2026'!I44/10),0.7))))</f>
        <v>7.7</v>
      </c>
      <c r="C44" s="5">
        <f>MIN(1,'Китай 2026'!C44+'Китай 2026'!F44+(0.08*LN(1+0.5*'Ход 2026'!C50)*MAX(0,1-('Китай 2026'!C44+'Китай 2026'!F44))))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7.7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2026'!B45+'Китай 2026'!D45+('Китай 2026'!C45+'Китай 2026'!F45+'Китай 2026'!G45)+(0.35*LN(1+0.6*'Ход 2026'!B51)*POWER(MAX(0,1-'Китай 2026'!I45/10),0.7))))</f>
        <v>9.6</v>
      </c>
      <c r="C45" s="5">
        <f>MIN(1,'Китай 2026'!C45+'Китай 2026'!F45+(0.08*LN(1+0.5*'Ход 2026'!C51)*MAX(0,1-('Китай 2026'!C45+'Китай 2026'!F45))))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9.6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2026'!B46+'Китай 2026'!D46+('Китай 2026'!C46+'Китай 2026'!F46+'Китай 2026'!G46)+(0.35*LN(1+0.6*'Ход 2026'!B52)*POWER(MAX(0,1-'Китай 2026'!I46/10),0.7))))</f>
        <v>9.6</v>
      </c>
      <c r="C46" s="5">
        <f>MIN(1,'Китай 2026'!C46+'Китай 2026'!F46+(0.08*LN(1+0.5*'Ход 2026'!C52)*MAX(0,1-('Китай 2026'!C46+'Китай 2026'!F46))))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9.6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2026'!B47+'Китай 2026'!D47+('Китай 2026'!C47+'Китай 2026'!F47+'Китай 2026'!G47)+(0.35*LN(1+0.6*'Ход 2026'!B53)*POWER(MAX(0,1-'Китай 2026'!I47/10),0.7))))</f>
        <v>5.9</v>
      </c>
      <c r="C47" s="5">
        <f>MIN(1,'Китай 2026'!C47+'Китай 2026'!F47+(0.08*LN(1+0.5*'Ход 2026'!C53)*MAX(0,1-('Китай 2026'!C47+'Китай 2026'!F47))))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5.9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2026'!B48+'Китай 2026'!D48+('Китай 2026'!C48+'Китай 2026'!F48+'Китай 2026'!G48)+(0.35*LN(1+0.6*'Ход 2026'!B54)*POWER(MAX(0,1-'Китай 2026'!I48/10),0.7))))</f>
        <v>8.55</v>
      </c>
      <c r="C48" s="5">
        <f>MIN(1,'Китай 2026'!C48+'Китай 2026'!F48+(0.08*LN(1+0.5*'Ход 2026'!C54)*MAX(0,1-('Китай 2026'!C48+'Китай 2026'!F48))))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8.55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2026'!B49+'Китай 2026'!D49+('Китай 2026'!C49+'Китай 2026'!F49+'Китай 2026'!G49)+(0.35*LN(1+0.6*'Ход 2026'!B55)*POWER(MAX(0,1-'Китай 2026'!I49/10),0.7))))</f>
        <v>9.25</v>
      </c>
      <c r="C49" s="5">
        <f>MIN(1,'Китай 2026'!C49+'Китай 2026'!F49+(0.08*LN(1+0.5*'Ход 2026'!C55)*MAX(0,1-('Китай 2026'!C49+'Китай 2026'!F49))))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9.25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2026'!B50+'Китай 2026'!D50+('Китай 2026'!C50+'Китай 2026'!F50+'Китай 2026'!G50)+(0.35*LN(1+0.6*'Ход 2026'!B56)*POWER(MAX(0,1-'Китай 2026'!I50/10),0.7))))</f>
        <v>10</v>
      </c>
      <c r="C50" s="5">
        <f>MIN(1,'Китай 2026'!C50+'Китай 2026'!F50+(0.08*LN(1+0.5*'Ход 2026'!C56)*MAX(0,1-('Китай 2026'!C50+'Китай 2026'!F50))))</f>
        <v>0.2322400407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2026'!B51+'Китай 2026'!D51+('Китай 2026'!C51+'Китай 2026'!F51+'Китай 2026'!G51)+(0.35*LN(1+0.6*'Ход 2026'!B57)*POWER(MAX(0,1-'Китай 2026'!I51/10),0.7))))</f>
        <v>9.6</v>
      </c>
      <c r="C51" s="5">
        <f>MIN(1,'Китай 2026'!C51+'Китай 2026'!F51+(0.08*LN(1+0.5*'Ход 2026'!C57)*MAX(0,1-('Китай 2026'!C51+'Китай 2026'!F51))))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9.6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2026'!B53+'Китай 2026'!D53+('Китай 2026'!C53+'Китай 2026'!F53+'Китай 2026'!G53)+(0.35*LN(1+0.6*'Ход 2026'!B59)*POWER(MAX(0,1-'Китай 2026'!I53/10),0.7))))</f>
        <v>9.65</v>
      </c>
      <c r="C53" s="5">
        <f>MIN(1,'Китай 2026'!C53+'Китай 2026'!F53+(0.08*LN(1+0.5*'Ход 2026'!C59)*MAX(0,1-('Китай 2026'!C53+'Китай 2026'!F53))))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9.65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2026'!B54+'Китай 2026'!D54+('Китай 2026'!C54+'Китай 2026'!F54+'Китай 2026'!G54)+(0.35*LN(1+0.6*'Ход 2026'!B60)*POWER(MAX(0,1-'Китай 2026'!I54/10),0.7))))</f>
        <v>9.6</v>
      </c>
      <c r="C54" s="5">
        <f>MIN(1,'Китай 2026'!C54+'Китай 2026'!F54+(0.08*LN(1+0.5*'Ход 2026'!C60)*MAX(0,1-('Китай 2026'!C54+'Китай 2026'!F54))))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9.6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2026'!B55+'Китай 2026'!D55+('Китай 2026'!C55+'Китай 2026'!F55+'Китай 2026'!G55)+(0.35*LN(1+0.6*'Ход 2026'!B61)*POWER(MAX(0,1-'Китай 2026'!I55/10),0.7))))</f>
        <v>9.15</v>
      </c>
      <c r="C55" s="5">
        <f>MIN(1,'Китай 2026'!C55+'Китай 2026'!F55+(0.08*LN(1+0.5*'Ход 2026'!C61)*MAX(0,1-('Китай 2026'!C55+'Китай 2026'!F55))))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9.15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241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2027'!U6</f>
        <v>96.47473454</v>
      </c>
      <c r="C6" s="5"/>
      <c r="D6" s="5"/>
      <c r="E6" s="5" t="s">
        <v>13</v>
      </c>
      <c r="F6" s="11">
        <f>'Китай 2027'!K6</f>
        <v>81.49767372</v>
      </c>
      <c r="G6" s="5"/>
      <c r="H6" s="5"/>
      <c r="I6" s="5" t="s">
        <v>13</v>
      </c>
      <c r="J6" s="11">
        <f>'Китай 2027'!N6</f>
        <v>73.05462617</v>
      </c>
      <c r="K6" s="5"/>
      <c r="L6" s="5"/>
      <c r="M6" s="5" t="s">
        <v>13</v>
      </c>
      <c r="N6" s="11">
        <f>'Китай 2027'!Q6</f>
        <v>79.87257072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91.65</v>
      </c>
      <c r="C7" s="5"/>
      <c r="D7" s="5"/>
      <c r="E7" s="5" t="s">
        <v>42</v>
      </c>
      <c r="F7" s="5">
        <f>SUM(H13:H20)</f>
        <v>81.49</v>
      </c>
      <c r="G7" s="5"/>
      <c r="H7" s="5"/>
      <c r="I7" s="5" t="s">
        <v>42</v>
      </c>
      <c r="J7" s="5">
        <f>SUM(I29:I38)</f>
        <v>73.01</v>
      </c>
      <c r="K7" s="5"/>
      <c r="L7" s="5"/>
      <c r="M7" s="5" t="s">
        <v>42</v>
      </c>
      <c r="N7" s="5">
        <f>SUM(N13:Q28)+J24</f>
        <v>79.8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4.824734542</v>
      </c>
      <c r="C8" s="5" t="str">
        <f>IF(B8&lt;0,"ПРЕВЫШЕНИЕ","OK")</f>
        <v>OK</v>
      </c>
      <c r="D8" s="5"/>
      <c r="E8" s="5" t="s">
        <v>91</v>
      </c>
      <c r="F8" s="11">
        <f>F6-F7</f>
        <v>0.007673715562</v>
      </c>
      <c r="G8" s="5" t="str">
        <f>IF(F8&lt;0,"ПРЕВЫШЕНИЕ","OK")</f>
        <v>OK</v>
      </c>
      <c r="H8" s="5"/>
      <c r="I8" s="5" t="s">
        <v>91</v>
      </c>
      <c r="J8" s="11">
        <f>J6-J7</f>
        <v>0.04462616627</v>
      </c>
      <c r="K8" s="5" t="str">
        <f>IF(J8&lt;0,"ПРЕВЫШЕНИЕ","OK")</f>
        <v>OK</v>
      </c>
      <c r="L8" s="5"/>
      <c r="M8" s="5" t="s">
        <v>91</v>
      </c>
      <c r="N8" s="11">
        <f>N6-N7</f>
        <v>0.07257071706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>
        <v>1.0</v>
      </c>
      <c r="C13" s="17">
        <v>4.79</v>
      </c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2027'!V11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23</v>
      </c>
    </row>
    <row r="14">
      <c r="A14" s="5" t="s">
        <v>112</v>
      </c>
      <c r="B14" s="17">
        <f>MAX(0,10-'Китай 2027'!B8)</f>
        <v>0.45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2027'!V12</f>
        <v>-1.1</v>
      </c>
      <c r="N14" s="17">
        <v>79.8</v>
      </c>
      <c r="O14" s="16">
        <v>0.0</v>
      </c>
      <c r="P14" s="16">
        <v>0.0</v>
      </c>
      <c r="Q14" s="16">
        <v>0.0</v>
      </c>
      <c r="R14" s="18">
        <f t="shared" si="1"/>
        <v>0.3929463566</v>
      </c>
      <c r="S14" s="18">
        <f t="shared" si="2"/>
        <v>0.5902455969</v>
      </c>
      <c r="T14" s="18">
        <f t="shared" si="3"/>
        <v>0.01680804651</v>
      </c>
      <c r="U14" s="5">
        <f t="shared" si="4"/>
        <v>54</v>
      </c>
    </row>
    <row r="15">
      <c r="A15" s="5" t="s">
        <v>115</v>
      </c>
      <c r="B15" s="17">
        <f>MAX(0,10-'Китай 2027'!B9)</f>
        <v>0.4</v>
      </c>
      <c r="C15" s="16">
        <v>0.0</v>
      </c>
      <c r="D15" s="5"/>
      <c r="E15" s="5"/>
      <c r="F15" s="5"/>
      <c r="G15" s="5" t="s">
        <v>116</v>
      </c>
      <c r="H15" s="17">
        <v>40.0</v>
      </c>
      <c r="I15" s="5"/>
      <c r="J15" s="5"/>
      <c r="K15" s="5"/>
      <c r="L15" s="5" t="s">
        <v>117</v>
      </c>
      <c r="M15" s="5">
        <f>'Китай 2027'!V13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59</v>
      </c>
    </row>
    <row r="16">
      <c r="A16" s="5" t="s">
        <v>118</v>
      </c>
      <c r="B16" s="17">
        <f>MAX(0,10-'Китай 2027'!B10)</f>
        <v>0.8</v>
      </c>
      <c r="C16" s="16">
        <v>0.0</v>
      </c>
      <c r="D16" s="5"/>
      <c r="E16" s="5"/>
      <c r="F16" s="5"/>
      <c r="G16" s="5" t="s">
        <v>119</v>
      </c>
      <c r="H16" s="17">
        <v>40.0</v>
      </c>
      <c r="I16" s="5"/>
      <c r="J16" s="5"/>
      <c r="K16" s="5"/>
      <c r="L16" s="5" t="s">
        <v>120</v>
      </c>
      <c r="M16" s="5">
        <f>'Китай 2027'!V14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78</v>
      </c>
    </row>
    <row r="17">
      <c r="A17" s="5" t="s">
        <v>121</v>
      </c>
      <c r="B17" s="17">
        <f>MAX(0,10-'Китай 2027'!B11)</f>
        <v>3.35</v>
      </c>
      <c r="C17" s="17">
        <v>50.0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2027'!V15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26</v>
      </c>
    </row>
    <row r="18">
      <c r="A18" s="5" t="s">
        <v>124</v>
      </c>
      <c r="B18" s="17">
        <f>MAX(0,10-'Китай 2027'!B12)</f>
        <v>0.95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2027'!V16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97</v>
      </c>
    </row>
    <row r="19">
      <c r="A19" s="5" t="s">
        <v>127</v>
      </c>
      <c r="B19" s="17">
        <f>MAX(0,10-'Китай 2027'!B13)</f>
        <v>1.05</v>
      </c>
      <c r="C19" s="16">
        <v>0.0</v>
      </c>
      <c r="D19" s="5"/>
      <c r="E19" s="5"/>
      <c r="F19" s="5"/>
      <c r="G19" s="5" t="s">
        <v>128</v>
      </c>
      <c r="H19" s="17">
        <v>1.49</v>
      </c>
      <c r="I19" s="5"/>
      <c r="J19" s="5"/>
      <c r="K19" s="5"/>
      <c r="L19" s="5" t="s">
        <v>129</v>
      </c>
      <c r="M19" s="5">
        <f>'Китай 2027'!V17+1</f>
        <v>0.2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0.1014310835</v>
      </c>
      <c r="S19" s="18">
        <f t="shared" si="2"/>
        <v>0.8</v>
      </c>
      <c r="T19" s="18">
        <f t="shared" si="3"/>
        <v>0.09856891649</v>
      </c>
      <c r="U19" s="5">
        <f t="shared" si="4"/>
        <v>68</v>
      </c>
    </row>
    <row r="20">
      <c r="A20" s="5" t="s">
        <v>130</v>
      </c>
      <c r="B20" s="17">
        <f>MAX(0,10-'Китай 2027'!B14)</f>
        <v>2.05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2027'!V18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52</v>
      </c>
    </row>
    <row r="21" ht="15.75" customHeight="1">
      <c r="A21" s="5" t="s">
        <v>133</v>
      </c>
      <c r="B21" s="17">
        <f>MAX(0,10-'Китай 2027'!B15)</f>
        <v>1.15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2027'!V19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60</v>
      </c>
    </row>
    <row r="22" ht="15.75" customHeight="1">
      <c r="A22" s="5" t="s">
        <v>135</v>
      </c>
      <c r="B22" s="17">
        <f>MAX(0,10-'Китай 2027'!B16)</f>
        <v>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2027'!V20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74</v>
      </c>
    </row>
    <row r="23" ht="15.75" customHeight="1">
      <c r="A23" s="5" t="s">
        <v>138</v>
      </c>
      <c r="B23" s="17">
        <f>MAX(0,10-'Китай 2027'!B17)</f>
        <v>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2027'!V21+1</f>
        <v>4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0.160527463</v>
      </c>
      <c r="S23" s="18">
        <f t="shared" si="2"/>
        <v>0.8</v>
      </c>
      <c r="T23" s="18">
        <f t="shared" si="3"/>
        <v>0.03947253702</v>
      </c>
      <c r="U23" s="5">
        <f t="shared" si="4"/>
        <v>52</v>
      </c>
    </row>
    <row r="24" ht="15.75" customHeight="1">
      <c r="A24" s="5" t="s">
        <v>144</v>
      </c>
      <c r="B24" s="17"/>
      <c r="C24" s="16"/>
      <c r="D24" s="5"/>
      <c r="E24" s="5"/>
      <c r="F24" s="5"/>
      <c r="G24" s="16">
        <v>0.0</v>
      </c>
      <c r="H24" s="16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'Китай 2027'!V22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96</v>
      </c>
    </row>
    <row r="25" ht="15.75" customHeight="1">
      <c r="A25" s="5" t="s">
        <v>146</v>
      </c>
      <c r="B25" s="17">
        <f>MAX(0,10-'Китай 2027'!B19)</f>
        <v>1.75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2027'!V23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91</v>
      </c>
    </row>
    <row r="26" ht="15.75" customHeight="1">
      <c r="A26" s="5" t="s">
        <v>148</v>
      </c>
      <c r="B26" s="17">
        <f>MAX(0,10-'Китай 2027'!B20)</f>
        <v>1.25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2027'!V24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93</v>
      </c>
    </row>
    <row r="27" ht="15.75" customHeight="1">
      <c r="A27" s="5" t="s">
        <v>150</v>
      </c>
      <c r="B27" s="17">
        <f>MAX(0,10-'Китай 2027'!B21)</f>
        <v>0.8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2027'!V25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60</v>
      </c>
    </row>
    <row r="28" ht="15.75" customHeight="1">
      <c r="A28" s="5" t="s">
        <v>153</v>
      </c>
      <c r="B28" s="17">
        <f>MAX(0,10-'Китай 2027'!B22)</f>
        <v>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2027'!V26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28</v>
      </c>
    </row>
    <row r="29" ht="15.75" customHeight="1">
      <c r="A29" s="5" t="s">
        <v>159</v>
      </c>
      <c r="B29" s="17">
        <f>MAX(0,10-'Китай 2027'!B23)</f>
        <v>0.35</v>
      </c>
      <c r="C29" s="16">
        <v>0.0</v>
      </c>
      <c r="D29" s="5"/>
      <c r="E29" s="5"/>
      <c r="F29" s="5"/>
      <c r="G29" s="24" t="s">
        <v>170</v>
      </c>
      <c r="H29" s="14" t="str">
        <f>IF(G29="","",VLOOKUP(G29,'Технологии'!$A$11:$D$50,4,FALSE))</f>
        <v>Эффективное обучение моделей</v>
      </c>
      <c r="I29" s="16">
        <f>20-12.69</f>
        <v>7.31</v>
      </c>
      <c r="J29" s="16"/>
      <c r="K29" s="14" t="str">
        <f>IF(G29="","",VLOOKUP(G29,'Технологии'!$A$11:$BF$50,45,FALSE))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7"/>
      <c r="C30" s="16"/>
      <c r="D30" s="5"/>
      <c r="E30" s="5"/>
      <c r="F30" s="5"/>
      <c r="G30" s="5" t="s">
        <v>256</v>
      </c>
      <c r="H30" s="14" t="str">
        <f>IF(G30="","",VLOOKUP(G30,'Технологии'!$A$11:$D$50,4,FALSE))</f>
        <v>Графы знаний и семантические модели</v>
      </c>
      <c r="I30" s="17">
        <v>40.0</v>
      </c>
      <c r="J30" s="16"/>
      <c r="K30" s="14" t="str">
        <f>IF(G30="","",VLOOKUP(G30,'Технологии'!$A$11:$BF$50,45,FALSE))</f>
        <v>ИЗУЧЕНО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f>MAX(0,10-'Китай 2027'!B25)</f>
        <v>0</v>
      </c>
      <c r="C31" s="16">
        <v>0.0</v>
      </c>
      <c r="D31" s="5"/>
      <c r="E31" s="5"/>
      <c r="F31" s="5"/>
      <c r="G31" s="5" t="s">
        <v>257</v>
      </c>
      <c r="H31" s="14" t="str">
        <f>IF(G31="","",VLOOKUP(G31,'Технологии'!$A$11:$D$50,4,FALSE))</f>
        <v>Систематическая оценка ИИ</v>
      </c>
      <c r="I31" s="17">
        <v>20.0</v>
      </c>
      <c r="J31" s="16"/>
      <c r="K31" s="14" t="str">
        <f>IF(G31="","",VLOOKUP(G31,'Технологии'!$A$11:$BF$50,45,FALSE))</f>
        <v>ИЗУЧЕНО</v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f>MAX(0,10-'Китай 2027'!B26)</f>
        <v>0.35</v>
      </c>
      <c r="C32" s="16">
        <v>0.0</v>
      </c>
      <c r="D32" s="5"/>
      <c r="E32" s="5"/>
      <c r="F32" s="5"/>
      <c r="G32" s="5" t="s">
        <v>258</v>
      </c>
      <c r="H32" s="14" t="str">
        <f>IF(G32="","",VLOOKUP(G32,'Технологии'!$A$11:$D$50,4,FALSE))</f>
        <v>Промышленное производство синтетических данных</v>
      </c>
      <c r="I32" s="17">
        <v>5.7</v>
      </c>
      <c r="J32" s="16"/>
      <c r="K32" s="14" t="str">
        <f>IF(G32="","",VLOOKUP(G32,'Технологии'!$A$11:$BF$50,45,FALSE))</f>
        <v>ОТКРЫТО</v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7">
        <f>MAX(0,10-'Китай 2027'!B27)</f>
        <v>0.4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IF(G33="","",VLOOKUP(G33,'Технологии'!$A$11:$BF$50,45,FALSE))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7">
        <f>MAX(0,10-'Китай 2027'!B28)</f>
        <v>0.35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IF(G34="","",VLOOKUP(G34,'Технологии'!$A$11:$BF$50,45,FALSE))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7">
        <f>MAX(0,10-'Китай 2027'!B29)</f>
        <v>1.25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IF(G35="","",VLOOKUP(G35,'Технологии'!$A$11:$BF$50,45,FALSE))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7">
        <f>MAX(0,10-'Китай 2027'!B30)</f>
        <v>2.3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IF(G36="","",VLOOKUP(G36,'Технологии'!$A$11:$BF$50,45,FALSE))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7">
        <f>MAX(0,10-'Китай 2027'!B31)</f>
        <v>2.9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IF(G37="","",VLOOKUP(G37,'Технологии'!$A$11:$BF$50,45,FALSE))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7">
        <f>MAX(0,10-'Китай 2027'!B32)</f>
        <v>0.85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IF(G38="","",VLOOKUP(G38,'Технологии'!$A$11:$BF$50,45,FALSE))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7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7">
        <f>MAX(0,10-'Китай 2027'!B34)</f>
        <v>0.35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7">
        <f>MAX(0,10-'Китай 2027'!B35)</f>
        <v>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7">
        <f>MAX(0,10-'Китай 2027'!B36)</f>
        <v>0.35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7">
        <f>MAX(0,10-'Китай 2027'!B37)</f>
        <v>0.15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7">
        <f>MAX(0,10-'Китай 2027'!B38)</f>
        <v>0.4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7">
        <f>MAX(0,10-'Китай 2027'!B39)</f>
        <v>0.85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7">
        <f>MAX(0,10-'Китай 2027'!B40)</f>
        <v>0.9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7">
        <f>MAX(0,10-'Китай 2027'!B41)</f>
        <v>0.4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7">
        <f>MAX(0,10-'Китай 2027'!B42)</f>
        <v>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7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7">
        <f>MAX(0,10-'Китай 2027'!B44)</f>
        <v>2.3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7">
        <f>MAX(0,10-'Китай 2027'!B45)</f>
        <v>0.4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7">
        <f>MAX(0,10-'Китай 2027'!B46)</f>
        <v>0.4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7">
        <f>MAX(0,10-'Китай 2027'!B47)</f>
        <v>4.1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7">
        <f>MAX(0,10-'Китай 2027'!B48)</f>
        <v>1.45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7">
        <f>MAX(0,10-'Китай 2027'!B49)</f>
        <v>0.75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7">
        <f>MAX(0,10-'Китай 2027'!B50)</f>
        <v>0</v>
      </c>
      <c r="C56" s="17">
        <v>4.1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7">
        <f>MAX(0,10-'Китай 2027'!B51)</f>
        <v>0.4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7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7">
        <f>MAX(0,10-'Китай 2027'!B53)</f>
        <v>0.35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7">
        <f>MAX(0,10-'Китай 2027'!B54)</f>
        <v>0.4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7">
        <f>MAX(0,10-'Китай 2027'!B55)</f>
        <v>0.85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247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81.97795463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67.00447003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74.62486749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92.80763835</v>
      </c>
      <c r="X6" s="11">
        <f>SUM(K6:W7)</f>
        <v>316.4149305</v>
      </c>
      <c r="Y6" s="25">
        <f>'Китай 2026'!X6-X6</f>
        <v>12.28010741</v>
      </c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2027'!B8+'Китай 2027'!D8+('Китай 2027'!C8+'Китай 2027'!F8+'Китай 2027'!G8)+(0.35*LN(1+0.6*'Ход 2027'!B14)*POWER(MAX(0,1-'Китай 2027'!I8/10),0.7))))</f>
        <v>9.609544329</v>
      </c>
      <c r="C8" s="5">
        <f>MIN(1,'Китай 2027'!C8+'Китай 2027'!F8+(0.08*LN(1+0.5*'Ход 2027'!C14)*MAX(0,1-('Китай 2027'!C8+'Китай 2027'!F8))))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9.609544329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2027'!B9+'Китай 2027'!D9+('Китай 2027'!C9+'Китай 2027'!F9+'Китай 2027'!G9)+(0.35*LN(1+0.6*'Ход 2027'!B15)*POWER(MAX(0,1-'Китай 2027'!I9/10),0.7))))</f>
        <v>9.707909944</v>
      </c>
      <c r="C9" s="5">
        <f>MIN(1,'Китай 2027'!C9+'Китай 2027'!F9+(0.08*LN(1+0.5*'Ход 2027'!C15)*MAX(0,1-('Китай 2027'!C9+'Китай 2027'!F9))))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9.707909944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2027'!B10+'Китай 2027'!D10+('Китай 2027'!C10+'Китай 2027'!F10+'Китай 2027'!G10)+(0.35*LN(1+0.6*'Ход 2027'!B16)*POWER(MAX(0,1-'Китай 2027'!I10/10),0.7))))</f>
        <v>9.431104814</v>
      </c>
      <c r="C10" s="5">
        <f>MIN(1,'Китай 2027'!C10+'Китай 2027'!F10+(0.08*LN(1+0.5*'Ход 2027'!C16)*MAX(0,1-('Китай 2027'!C10+'Китай 2027'!F10))))</f>
        <v>0.2</v>
      </c>
      <c r="D10" s="16">
        <v>0.0</v>
      </c>
      <c r="E10" s="17">
        <v>-2.0</v>
      </c>
      <c r="F10" s="16">
        <v>0.0</v>
      </c>
      <c r="G10" s="16">
        <v>0.0</v>
      </c>
      <c r="H10" s="5">
        <v>0.0</v>
      </c>
      <c r="I10" s="5">
        <f t="shared" si="1"/>
        <v>7.431104814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2027'!B11+'Китай 2027'!D11+('Китай 2027'!C11+'Китай 2027'!F11+'Китай 2027'!G11)+(0.35*LN(1+0.6*'Ход 2027'!B17)*POWER(MAX(0,1-'Китай 2027'!I11/10),0.7))))</f>
        <v>6.994110001</v>
      </c>
      <c r="C11" s="5">
        <f>MIN(1,'Китай 2027'!C11+'Китай 2027'!F11+(0.08*LN(1+0.5*'Ход 2027'!C17)*MAX(0,1-('Китай 2027'!C11+'Китай 2027'!F11))))</f>
        <v>0.3715505646</v>
      </c>
      <c r="D11" s="16">
        <v>0.0</v>
      </c>
      <c r="E11" s="17">
        <v>-1.2</v>
      </c>
      <c r="F11" s="16">
        <v>0.0</v>
      </c>
      <c r="G11" s="16">
        <v>0.0</v>
      </c>
      <c r="H11" s="5">
        <v>0.0</v>
      </c>
      <c r="I11" s="5">
        <f t="shared" si="1"/>
        <v>5.794110001</v>
      </c>
      <c r="J11" s="5"/>
      <c r="K11" s="5" t="s">
        <v>110</v>
      </c>
      <c r="L11" s="5">
        <f>MAX(1,MIN(10,'Китай 2027'!L11+'Китай 2027'!N11+('Китай 2027'!M11+'Китай 2027'!P11+'Китай 2027'!Q11)))</f>
        <v>10</v>
      </c>
      <c r="M11" s="5">
        <f>MIN(1,'Китай 2027'!M11+'Китай 2027'!P11+(0.1*LN(1+0.5*'Ход 2027'!H13)*POWER(MAX(0,1-'Китай 2027'!S11/10),0.8)))</f>
        <v>0.3218276115</v>
      </c>
      <c r="N11" s="16">
        <v>0.0</v>
      </c>
      <c r="O11" s="17">
        <v>-2.0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8</v>
      </c>
      <c r="T11" s="5"/>
      <c r="U11" s="5" t="s">
        <v>111</v>
      </c>
      <c r="V11" s="16">
        <f>'Китай 2027'!V11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2027'!B12+'Китай 2027'!D12+('Китай 2027'!C12+'Китай 2027'!F12+'Китай 2027'!G12)+(0.35*LN(1+0.6*'Ход 2027'!B18)*POWER(MAX(0,1-'Китай 2027'!I12/10),0.7))))</f>
        <v>9.130389526</v>
      </c>
      <c r="C12" s="5">
        <f>MIN(1,'Китай 2027'!C12+'Китай 2027'!F12+(0.08*LN(1+0.5*'Ход 2027'!C18)*MAX(0,1-('Китай 2027'!C12+'Китай 2027'!F12))))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9.130389526</v>
      </c>
      <c r="J12" s="5"/>
      <c r="K12" s="5" t="s">
        <v>113</v>
      </c>
      <c r="L12" s="5">
        <f>MAX(1,MIN(10,'Китай 2027'!L12+'Китай 2027'!N12+('Китай 2027'!M12+'Китай 2027'!P12+'Китай 2027'!Q12)))</f>
        <v>9.1</v>
      </c>
      <c r="M12" s="5">
        <f>MIN(1,'Китай 2027'!M12+'Китай 2027'!P12+(0.1*LN(1+0.5*'Ход 2027'!H14)*POWER(MAX(0,1-'Китай 2027'!S12/10),0.8)))</f>
        <v>0.3</v>
      </c>
      <c r="N12" s="16">
        <v>0.0</v>
      </c>
      <c r="O12" s="17">
        <v>-2.0</v>
      </c>
      <c r="P12" s="16">
        <v>0.0</v>
      </c>
      <c r="Q12" s="16">
        <v>0.0</v>
      </c>
      <c r="R12" s="5">
        <v>0.0</v>
      </c>
      <c r="S12" s="5">
        <f t="shared" si="2"/>
        <v>7.1</v>
      </c>
      <c r="T12" s="5"/>
      <c r="U12" s="5" t="s">
        <v>114</v>
      </c>
      <c r="V12" s="16">
        <f>'Китай 2027'!V12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2027'!B13+'Китай 2027'!D13+('Китай 2027'!C13+'Китай 2027'!F13+'Китай 2027'!G13)+(0.35*LN(1+0.6*'Ход 2027'!B19)*POWER(MAX(0,1-'Китай 2027'!I13/10),0.7))))</f>
        <v>9.435305003</v>
      </c>
      <c r="C13" s="5">
        <f>MIN(1,'Китай 2027'!C13+'Китай 2027'!F13+(0.08*LN(1+0.5*'Ход 2027'!C19)*MAX(0,1-('Китай 2027'!C13+'Китай 2027'!F13))))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9.435305003</v>
      </c>
      <c r="J13" s="5"/>
      <c r="K13" s="5" t="s">
        <v>116</v>
      </c>
      <c r="L13" s="5">
        <f>MAX(1,MIN(10,'Китай 2027'!L13+'Китай 2027'!N13+('Китай 2027'!M13+'Китай 2027'!P13+'Китай 2027'!Q13)))</f>
        <v>9.827713743</v>
      </c>
      <c r="M13" s="5">
        <f>MIN(1,'Китай 2027'!M13+'Китай 2027'!P13+(0.1*LN(1+0.5*'Ход 2027'!H15)*POWER(MAX(0,1-'Китай 2027'!S13/10),0.8)))</f>
        <v>0.2076232551</v>
      </c>
      <c r="N13" s="16">
        <v>0.0</v>
      </c>
      <c r="O13" s="17">
        <v>-2.0</v>
      </c>
      <c r="P13" s="16">
        <v>0.0</v>
      </c>
      <c r="Q13" s="16">
        <v>0.0</v>
      </c>
      <c r="R13" s="5">
        <v>0.0</v>
      </c>
      <c r="S13" s="5">
        <f t="shared" si="2"/>
        <v>7.827713743</v>
      </c>
      <c r="T13" s="5"/>
      <c r="U13" s="5" t="s">
        <v>117</v>
      </c>
      <c r="V13" s="16">
        <f>'Китай 2027'!V13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2027'!B14+'Китай 2027'!D14+('Китай 2027'!C14+'Китай 2027'!F14+'Китай 2027'!G14)+(0.35*LN(1+0.6*'Ход 2027'!B20)*POWER(MAX(0,1-'Китай 2027'!I14/10),0.7))))</f>
        <v>8.686151626</v>
      </c>
      <c r="C14" s="5">
        <f>MIN(1,'Китай 2027'!C14+'Китай 2027'!F14+(0.08*LN(1+0.5*'Ход 2027'!C20)*MAX(0,1-('Китай 2027'!C14+'Китай 2027'!F14))))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8.686151626</v>
      </c>
      <c r="J14" s="5"/>
      <c r="K14" s="5" t="s">
        <v>119</v>
      </c>
      <c r="L14" s="5">
        <f>MAX(1,MIN(10,'Китай 2027'!L14+'Китай 2027'!N14+('Китай 2027'!M14+'Китай 2027'!P14+'Китай 2027'!Q14)))</f>
        <v>9.152565793</v>
      </c>
      <c r="M14" s="5">
        <f>MIN(1,'Китай 2027'!M14+'Китай 2027'!P14+(0.1*LN(1+0.5*'Ход 2027'!H16)*POWER(MAX(0,1-'Китай 2027'!S14/10),0.8)))</f>
        <v>0.4157228095</v>
      </c>
      <c r="N14" s="16">
        <v>0.0</v>
      </c>
      <c r="O14" s="17">
        <v>-2.0</v>
      </c>
      <c r="P14" s="16">
        <v>0.0</v>
      </c>
      <c r="Q14" s="16">
        <v>0.0</v>
      </c>
      <c r="R14" s="5">
        <v>0.0</v>
      </c>
      <c r="S14" s="5">
        <f t="shared" si="2"/>
        <v>7.152565793</v>
      </c>
      <c r="T14" s="5"/>
      <c r="U14" s="5" t="s">
        <v>120</v>
      </c>
      <c r="V14" s="16">
        <f>'Китай 2027'!V14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2027'!B15+'Китай 2027'!D15+('Китай 2027'!C15+'Китай 2027'!F15+'Китай 2027'!G15)+(0.35*LN(1+0.6*'Ход 2027'!B21)*POWER(MAX(0,1-'Китай 2027'!I15/10),0.7))))</f>
        <v>9.29041022</v>
      </c>
      <c r="C15" s="5">
        <f>MIN(1,'Китай 2027'!C15+'Китай 2027'!F15+(0.08*LN(1+0.5*'Ход 2027'!C21)*MAX(0,1-('Китай 2027'!C15+'Китай 2027'!F15))))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9.29041022</v>
      </c>
      <c r="J15" s="5"/>
      <c r="K15" s="5" t="s">
        <v>122</v>
      </c>
      <c r="L15" s="5">
        <f>MAX(1,MIN(10,'Китай 2027'!L15+'Китай 2027'!N15+('Китай 2027'!M15+'Китай 2027'!P15+'Китай 2027'!Q15)))</f>
        <v>9</v>
      </c>
      <c r="M15" s="5">
        <f>MIN(1,'Китай 2027'!M15+'Китай 2027'!P15+(0.1*LN(1+0.5*'Ход 2027'!H17)*POWER(MAX(0,1-'Китай 2027'!S15/10),0.8)))</f>
        <v>0.25</v>
      </c>
      <c r="N15" s="16">
        <v>0.0</v>
      </c>
      <c r="O15" s="17">
        <v>-2.0</v>
      </c>
      <c r="P15" s="16">
        <v>0.0</v>
      </c>
      <c r="Q15" s="16">
        <v>0.0</v>
      </c>
      <c r="R15" s="5">
        <v>0.0</v>
      </c>
      <c r="S15" s="5">
        <f t="shared" si="2"/>
        <v>7</v>
      </c>
      <c r="T15" s="5"/>
      <c r="U15" s="5" t="s">
        <v>123</v>
      </c>
      <c r="V15" s="16">
        <f>'Китай 2027'!V15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2027'!B16+'Китай 2027'!D16+('Китай 2027'!C16+'Китай 2027'!F16+'Китай 2027'!G16)+(0.35*LN(1+0.6*'Ход 2027'!B22)*POWER(MAX(0,1-'Китай 2027'!I16/10),0.7))))</f>
        <v>10</v>
      </c>
      <c r="C16" s="5">
        <f>MIN(1,'Китай 2027'!C16+'Китай 2027'!F16+(0.08*LN(1+0.5*'Ход 2027'!C22)*MAX(0,1-('Китай 2027'!C16+'Китай 2027'!F16))))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2027'!L16+'Китай 2027'!N16+('Китай 2027'!M16+'Китай 2027'!P16+'Китай 2027'!Q16)))</f>
        <v>9.7</v>
      </c>
      <c r="M16" s="5">
        <f>MIN(1,'Китай 2027'!M16+'Китай 2027'!P16+(0.1*LN(1+0.5*'Ход 2027'!H18)*POWER(MAX(0,1-'Китай 2027'!S16/10),0.8)))</f>
        <v>0.35</v>
      </c>
      <c r="N16" s="16">
        <v>0.0</v>
      </c>
      <c r="O16" s="17">
        <v>-2.0</v>
      </c>
      <c r="P16" s="16">
        <v>0.0</v>
      </c>
      <c r="Q16" s="16">
        <v>0.0</v>
      </c>
      <c r="R16" s="5">
        <v>0.0</v>
      </c>
      <c r="S16" s="5">
        <f t="shared" si="2"/>
        <v>7.7</v>
      </c>
      <c r="T16" s="5"/>
      <c r="U16" s="5" t="s">
        <v>126</v>
      </c>
      <c r="V16" s="16">
        <f>'Китай 2027'!V16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2027'!B17+'Китай 2027'!D17+('Китай 2027'!C17+'Китай 2027'!F17+'Китай 2027'!G17)+(0.35*LN(1+0.6*'Ход 2027'!B23)*POWER(MAX(0,1-'Китай 2027'!I17/10),0.7))))</f>
        <v>10</v>
      </c>
      <c r="C17" s="5">
        <f>MIN(1,'Китай 2027'!C17+'Китай 2027'!F17+(0.08*LN(1+0.5*'Ход 2027'!C23)*MAX(0,1-('Китай 2027'!C17+'Китай 2027'!F17))))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2027'!L17+'Китай 2027'!N17+('Китай 2027'!M17+'Китай 2027'!P17+'Китай 2027'!Q17)))</f>
        <v>9.2</v>
      </c>
      <c r="M17" s="5">
        <f>MIN(1,'Китай 2027'!M17+'Китай 2027'!P17+(0.1*LN(1+0.5*'Ход 2027'!H19)*POWER(MAX(0,1-'Китай 2027'!S17/10),0.8)))</f>
        <v>0.3612183967</v>
      </c>
      <c r="N17" s="16">
        <v>0.0</v>
      </c>
      <c r="O17" s="17">
        <v>-2.0</v>
      </c>
      <c r="P17" s="16">
        <v>0.0</v>
      </c>
      <c r="Q17" s="16">
        <v>0.0</v>
      </c>
      <c r="R17" s="5">
        <v>0.0</v>
      </c>
      <c r="S17" s="5">
        <f t="shared" si="2"/>
        <v>7.2</v>
      </c>
      <c r="T17" s="5"/>
      <c r="U17" s="5" t="s">
        <v>129</v>
      </c>
      <c r="V17" s="16">
        <f>'Китай 2027'!V17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2027'!L18+'Китай 2027'!N18+('Китай 2027'!M18+'Китай 2027'!P18+'Китай 2027'!Q18)))</f>
        <v>9.107297591</v>
      </c>
      <c r="M18" s="5">
        <f>MIN(1,'Китай 2027'!M18+'Китай 2027'!P18+(0.1*LN(1+0.5*'Ход 2027'!H20)*POWER(MAX(0,1-'Китай 2027'!S18/10),0.8)))</f>
        <v>0.307297591</v>
      </c>
      <c r="N18" s="16">
        <v>0.0</v>
      </c>
      <c r="O18" s="17">
        <v>-2.0</v>
      </c>
      <c r="P18" s="16">
        <v>0.0</v>
      </c>
      <c r="Q18" s="16">
        <v>0.0</v>
      </c>
      <c r="R18" s="5">
        <v>0.0</v>
      </c>
      <c r="S18" s="5">
        <f t="shared" si="2"/>
        <v>7.107297591</v>
      </c>
      <c r="T18" s="5"/>
      <c r="U18" s="5" t="s">
        <v>132</v>
      </c>
      <c r="V18" s="16">
        <f>'Китай 2027'!V18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2027'!B19+'Китай 2027'!D19+('Китай 2027'!C19+'Китай 2027'!F19+'Китай 2027'!G19)+(0.35*LN(1+0.6*'Ход 2027'!B25)*POWER(MAX(0,1-'Китай 2027'!I19/10),0.7))))</f>
        <v>8.574168963</v>
      </c>
      <c r="C19" s="5">
        <f>MIN(1,'Китай 2027'!C19+'Китай 2027'!F19+(0.08*LN(1+0.5*'Ход 2027'!C25)*MAX(0,1-('Китай 2027'!C19+'Китай 2027'!F19))))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8.574168963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2027'!V19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2027'!B20+'Китай 2027'!D20+('Китай 2027'!C20+'Китай 2027'!F20+'Китай 2027'!G20)+(0.35*LN(1+0.6*'Ход 2027'!B26)*POWER(MAX(0,1-'Китай 2027'!I20/10),0.7))))</f>
        <v>9.045687249</v>
      </c>
      <c r="C20" s="5">
        <f>MIN(1,'Китай 2027'!C20+'Китай 2027'!F20+(0.08*LN(1+0.5*'Ход 2027'!C26)*MAX(0,1-('Китай 2027'!C20+'Китай 2027'!F20))))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9.045687249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2027'!V20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2027'!B21+'Китай 2027'!D21+('Китай 2027'!C21+'Китай 2027'!F21+'Китай 2027'!G21)+(0.35*LN(1+0.6*'Ход 2027'!B27)*POWER(MAX(0,1-'Китай 2027'!I21/10),0.7))))</f>
        <v>9.423418751</v>
      </c>
      <c r="C21" s="5">
        <f>MIN(1,'Китай 2027'!C21+'Китай 2027'!F21+(0.08*LN(1+0.5*'Ход 2027'!C27)*MAX(0,1-('Китай 2027'!C21+'Китай 2027'!F21))))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9.423418751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2027'!V21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2027'!B22+'Китай 2027'!D22+('Китай 2027'!C22+'Китай 2027'!F22+'Китай 2027'!G22)+(0.35*LN(1+0.6*'Ход 2027'!B28)*POWER(MAX(0,1-'Китай 2027'!I22/10),0.7))))</f>
        <v>10</v>
      </c>
      <c r="C22" s="5">
        <f>MIN(1,'Китай 2027'!C22+'Китай 2027'!F22+(0.08*LN(1+0.5*'Ход 2027'!C28)*MAX(0,1-('Китай 2027'!C22+'Китай 2027'!F22))))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2027'!V22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2027'!B23+'Китай 2027'!D23+('Китай 2027'!C23+'Китай 2027'!F23+'Китай 2027'!G23)+(0.35*LN(1+0.6*'Ход 2027'!B29)*POWER(MAX(0,1-'Китай 2027'!I23/10),0.7))))</f>
        <v>9.806383884</v>
      </c>
      <c r="C23" s="5">
        <f>MIN(1,'Китай 2027'!C23+'Китай 2027'!F23+(0.08*LN(1+0.5*'Ход 2027'!C29)*MAX(0,1-('Китай 2027'!C23+'Китай 2027'!F23))))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9.806383884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2027'!V23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2027'!V24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2027'!B25+'Китай 2027'!D25+('Китай 2027'!C25+'Китай 2027'!F25+'Китай 2027'!G25)+(0.35*LN(1+0.6*'Ход 2027'!B31)*POWER(MAX(0,1-'Китай 2027'!I25/10),0.7))))</f>
        <v>10</v>
      </c>
      <c r="C25" s="5">
        <f>MIN(1,'Китай 2027'!C25+'Китай 2027'!F25+(0.08*LN(1+0.5*'Ход 2027'!C31)*MAX(0,1-('Китай 2027'!C25+'Китай 2027'!F25))))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2027'!V25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2027'!B26+'Китай 2027'!D26+('Китай 2027'!C26+'Китай 2027'!F26+'Китай 2027'!G26)+(0.35*LN(1+0.6*'Ход 2027'!B32)*POWER(MAX(0,1-'Китай 2027'!I26/10),0.7))))</f>
        <v>9.806383884</v>
      </c>
      <c r="C26" s="5">
        <f>MIN(1,'Китай 2027'!C26+'Китай 2027'!F26+(0.08*LN(1+0.5*'Ход 2027'!C32)*MAX(0,1-('Китай 2027'!C26+'Китай 2027'!F26))))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9.806383884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2027'!V26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2027'!B27+'Китай 2027'!D27+('Китай 2027'!C27+'Китай 2027'!F27+'Китай 2027'!G27)+(0.35*LN(1+0.6*'Ход 2027'!B33)*POWER(MAX(0,1-'Китай 2027'!I27/10),0.7))))</f>
        <v>9.707909944</v>
      </c>
      <c r="C27" s="5">
        <f>MIN(1,'Китай 2027'!C27+'Китай 2027'!F27+(0.08*LN(1+0.5*'Ход 2027'!C33)*MAX(0,1-('Китай 2027'!C27+'Китай 2027'!F27))))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9.707909944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2027'!B28+'Китай 2027'!D28+('Китай 2027'!C28+'Китай 2027'!F28+'Китай 2027'!G28)+(0.35*LN(1+0.6*'Ход 2027'!B34)*POWER(MAX(0,1-'Китай 2027'!I28/10),0.7))))</f>
        <v>9.955795155</v>
      </c>
      <c r="C28" s="5">
        <f>MIN(1,'Китай 2027'!C28+'Китай 2027'!F28+(0.08*LN(1+0.5*'Ход 2027'!C34)*MAX(0,1-('Китай 2027'!C28+'Китай 2027'!F28))))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9.955795155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2027'!B29+'Китай 2027'!D29+('Китай 2027'!C29+'Китай 2027'!F29+'Китай 2027'!G29)+(0.35*LN(1+0.6*'Ход 2027'!B35)*POWER(MAX(0,1-'Китай 2027'!I29/10),0.7))))</f>
        <v>9.045687249</v>
      </c>
      <c r="C29" s="5">
        <f>MIN(1,'Китай 2027'!C29+'Китай 2027'!F29+(0.08*LN(1+0.5*'Ход 2027'!C35)*MAX(0,1-('Китай 2027'!C29+'Китай 2027'!F29))))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9.045687249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2027'!B30+'Китай 2027'!D30+('Китай 2027'!C30+'Китай 2027'!F30+'Китай 2027'!G30)+(0.35*LN(1+0.6*'Ход 2027'!B36)*POWER(MAX(0,1-'Китай 2027'!I30/10),0.7))))</f>
        <v>8.008479321</v>
      </c>
      <c r="C30" s="5">
        <f>MIN(1,'Китай 2027'!C30+'Китай 2027'!F30+(0.08*LN(1+0.5*'Ход 2027'!C36)*MAX(0,1-('Китай 2027'!C30+'Китай 2027'!F30))))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8.008479321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2027'!B31+'Китай 2027'!D31+('Китай 2027'!C31+'Китай 2027'!F31+'Китай 2027'!G31)+(0.35*LN(1+0.6*'Ход 2027'!B37)*POWER(MAX(0,1-'Китай 2027'!I31/10),0.7))))</f>
        <v>7.348316355</v>
      </c>
      <c r="C31" s="5">
        <f>MIN(1,'Китай 2027'!C31+'Китай 2027'!F31+(0.08*LN(1+0.5*'Ход 2027'!C37)*MAX(0,1-('Китай 2027'!C31+'Китай 2027'!F31))))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7.348316355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2027'!B32+'Китай 2027'!D32+('Китай 2027'!C32+'Китай 2027'!F32+'Китай 2027'!G32)+(0.35*LN(1+0.6*'Ход 2027'!B38)*POWER(MAX(0,1-'Китай 2027'!I32/10),0.7))))</f>
        <v>9.325684675</v>
      </c>
      <c r="C32" s="5">
        <f>MIN(1,'Китай 2027'!C32+'Китай 2027'!F32+(0.08*LN(1+0.5*'Ход 2027'!C38)*MAX(0,1-('Китай 2027'!C32+'Китай 2027'!F32))))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9.325684675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2027'!B34+'Китай 2027'!D34+('Китай 2027'!C34+'Китай 2027'!F34+'Китай 2027'!G34)+(0.35*LN(1+0.6*'Ход 2027'!B40)*POWER(MAX(0,1-'Китай 2027'!I34/10),0.7))))</f>
        <v>9.806383884</v>
      </c>
      <c r="C34" s="5">
        <f>MIN(1,'Китай 2027'!C34+'Китай 2027'!F34+(0.08*LN(1+0.5*'Ход 2027'!C40)*MAX(0,1-('Китай 2027'!C34+'Китай 2027'!F34))))</f>
        <v>0.15</v>
      </c>
      <c r="D34" s="16">
        <v>0.0</v>
      </c>
      <c r="E34" s="16">
        <f>0.4</f>
        <v>0.4</v>
      </c>
      <c r="F34" s="16">
        <v>0.0</v>
      </c>
      <c r="G34" s="16">
        <f>0.03</f>
        <v>0.03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2027'!B35+'Китай 2027'!D35+('Китай 2027'!C35+'Китай 2027'!F35+'Китай 2027'!G35)+(0.35*LN(1+0.6*'Ход 2027'!B41)*POWER(MAX(0,1-'Китай 2027'!I35/10),0.7))))</f>
        <v>10</v>
      </c>
      <c r="C35" s="5">
        <f>MIN(1,'Китай 2027'!C35+'Китай 2027'!F35+(0.08*LN(1+0.5*'Ход 2027'!C41)*MAX(0,1-('Китай 2027'!C35+'Китай 2027'!F35))))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2027'!B36+'Китай 2027'!D36+('Китай 2027'!C36+'Китай 2027'!F36+'Китай 2027'!G36)+(0.35*LN(1+0.6*'Ход 2027'!B42)*POWER(MAX(0,1-'Китай 2027'!I36/10),0.7))))</f>
        <v>10</v>
      </c>
      <c r="C36" s="5">
        <f>MIN(1,'Китай 2027'!C36+'Китай 2027'!F36+(0.08*LN(1+0.5*'Ход 2027'!C42)*MAX(0,1-('Китай 2027'!C36+'Китай 2027'!F36))))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2027'!B37+'Китай 2027'!D37+('Китай 2027'!C37+'Китай 2027'!F37+'Китай 2027'!G37)+(0.35*LN(1+0.6*'Ход 2027'!B43)*POWER(MAX(0,1-'Китай 2027'!I37/10),0.7))))</f>
        <v>10</v>
      </c>
      <c r="C37" s="5">
        <f>MIN(1,'Китай 2027'!C37+'Китай 2027'!F37+(0.08*LN(1+0.5*'Ход 2027'!C43)*MAX(0,1-('Китай 2027'!C37+'Китай 2027'!F37))))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2027'!B38+'Китай 2027'!D38+('Китай 2027'!C38+'Китай 2027'!F38+'Китай 2027'!G38)+(0.35*LN(1+0.6*'Ход 2027'!B44)*POWER(MAX(0,1-'Китай 2027'!I38/10),0.7))))</f>
        <v>9.707909944</v>
      </c>
      <c r="C38" s="5">
        <f>MIN(1,'Китай 2027'!C38+'Китай 2027'!F38+(0.08*LN(1+0.5*'Ход 2027'!C44)*MAX(0,1-('Китай 2027'!C38+'Китай 2027'!F38))))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9.707909944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2027'!B39+'Китай 2027'!D39+('Китай 2027'!C39+'Китай 2027'!F39+'Китай 2027'!G39)+(0.35*LN(1+0.6*'Ход 2027'!B45)*POWER(MAX(0,1-'Китай 2027'!I39/10),0.7))))</f>
        <v>9.325684675</v>
      </c>
      <c r="C39" s="5">
        <f>MIN(1,'Китай 2027'!C39+'Китай 2027'!F39+(0.08*LN(1+0.5*'Ход 2027'!C45)*MAX(0,1-('Китай 2027'!C39+'Китай 2027'!F39))))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9.325684675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2027'!B40+'Китай 2027'!D40+('Китай 2027'!C40+'Китай 2027'!F40+'Китай 2027'!G40)+(0.35*LN(1+0.6*'Ход 2027'!B46)*POWER(MAX(0,1-'Китай 2027'!I40/10),0.7))))</f>
        <v>9.228009332</v>
      </c>
      <c r="C40" s="5">
        <f>MIN(1,'Китай 2027'!C40+'Китай 2027'!F40+(0.08*LN(1+0.5*'Ход 2027'!C46)*MAX(0,1-('Китай 2027'!C40+'Китай 2027'!F40))))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9.228009332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2027'!B41+'Китай 2027'!D41+('Китай 2027'!C41+'Китай 2027'!F41+'Китай 2027'!G41)+(0.35*LN(1+0.6*'Ход 2027'!B47)*POWER(MAX(0,1-'Китай 2027'!I41/10),0.7))))</f>
        <v>9.707909944</v>
      </c>
      <c r="C41" s="5">
        <f>MIN(1,'Китай 2027'!C41+'Китай 2027'!F41+(0.08*LN(1+0.5*'Ход 2027'!C47)*MAX(0,1-('Китай 2027'!C41+'Китай 2027'!F41))))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9.707909944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2027'!B42+'Китай 2027'!D42+('Китай 2027'!C42+'Китай 2027'!F42+'Китай 2027'!G42)+(0.35*LN(1+0.6*'Ход 2027'!B48)*POWER(MAX(0,1-'Китай 2027'!I42/10),0.7))))</f>
        <v>10</v>
      </c>
      <c r="C42" s="5">
        <f>MIN(1,'Китай 2027'!C42+'Китай 2027'!F42+(0.08*LN(1+0.5*'Ход 2027'!C48)*MAX(0,1-('Китай 2027'!C42+'Китай 2027'!F42))))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2027'!B44+'Китай 2027'!D44+('Китай 2027'!C44+'Китай 2027'!F44+'Китай 2027'!G44)+(0.35*LN(1+0.6*'Ход 2027'!B50)*POWER(MAX(0,1-'Китай 2027'!I44/10),0.7))))</f>
        <v>8.008479321</v>
      </c>
      <c r="C44" s="5">
        <f>MIN(1,'Китай 2027'!C44+'Китай 2027'!F44+(0.08*LN(1+0.5*'Ход 2027'!C50)*MAX(0,1-('Китай 2027'!C44+'Китай 2027'!F44))))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8.008479321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2027'!B45+'Китай 2027'!D45+('Китай 2027'!C45+'Китай 2027'!F45+'Китай 2027'!G45)+(0.35*LN(1+0.6*'Ход 2027'!B51)*POWER(MAX(0,1-'Китай 2027'!I45/10),0.7))))</f>
        <v>9.707909944</v>
      </c>
      <c r="C45" s="5">
        <f>MIN(1,'Китай 2027'!C45+'Китай 2027'!F45+(0.08*LN(1+0.5*'Ход 2027'!C51)*MAX(0,1-('Китай 2027'!C45+'Китай 2027'!F45))))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9.707909944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2027'!B46+'Китай 2027'!D46+('Китай 2027'!C46+'Китай 2027'!F46+'Китай 2027'!G46)+(0.35*LN(1+0.6*'Ход 2027'!B52)*POWER(MAX(0,1-'Китай 2027'!I46/10),0.7))))</f>
        <v>9.707909944</v>
      </c>
      <c r="C46" s="5">
        <f>MIN(1,'Китай 2027'!C46+'Китай 2027'!F46+(0.08*LN(1+0.5*'Ход 2027'!C52)*MAX(0,1-('Китай 2027'!C46+'Китай 2027'!F46))))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9.707909944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2027'!B47+'Китай 2027'!D47+('Китай 2027'!C47+'Китай 2027'!F47+'Китай 2027'!G47)+(0.35*LN(1+0.6*'Ход 2027'!B53)*POWER(MAX(0,1-'Китай 2027'!I47/10),0.7))))</f>
        <v>6.243760936</v>
      </c>
      <c r="C47" s="5">
        <f>MIN(1,'Китай 2027'!C47+'Китай 2027'!F47+(0.08*LN(1+0.5*'Ход 2027'!C53)*MAX(0,1-('Китай 2027'!C47+'Китай 2027'!F47))))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6.243760936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2027'!B48+'Китай 2027'!D48+('Китай 2027'!C48+'Китай 2027'!F48+'Китай 2027'!G48)+(0.35*LN(1+0.6*'Ход 2027'!B54)*POWER(MAX(0,1-'Китай 2027'!I48/10),0.7))))</f>
        <v>8.656696632</v>
      </c>
      <c r="C48" s="5">
        <f>MIN(1,'Китай 2027'!C48+'Китай 2027'!F48+(0.08*LN(1+0.5*'Ход 2027'!C54)*MAX(0,1-('Китай 2027'!C48+'Китай 2027'!F48))))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8.656696632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2027'!B49+'Китай 2027'!D49+('Китай 2027'!C49+'Китай 2027'!F49+'Китай 2027'!G49)+(0.35*LN(1+0.6*'Ход 2027'!B55)*POWER(MAX(0,1-'Китай 2027'!I49/10),0.7))))</f>
        <v>9.521215049</v>
      </c>
      <c r="C49" s="5">
        <f>MIN(1,'Китай 2027'!C49+'Китай 2027'!F49+(0.08*LN(1+0.5*'Ход 2027'!C55)*MAX(0,1-('Китай 2027'!C49+'Китай 2027'!F49))))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9.521215049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2027'!B50+'Китай 2027'!D50+('Китай 2027'!C50+'Китай 2027'!F50+'Китай 2027'!G50)+(0.35*LN(1+0.6*'Ход 2027'!B56)*POWER(MAX(0,1-'Китай 2027'!I50/10),0.7))))</f>
        <v>10</v>
      </c>
      <c r="C50" s="5">
        <f>MIN(1,'Китай 2027'!C50+'Китай 2027'!F50+(0.08*LN(1+0.5*'Ход 2027'!C56)*MAX(0,1-('Китай 2027'!C50+'Китай 2027'!F50))))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2027'!B51+'Китай 2027'!D51+('Китай 2027'!C51+'Китай 2027'!F51+'Китай 2027'!G51)+(0.35*LN(1+0.6*'Ход 2027'!B57)*POWER(MAX(0,1-'Китай 2027'!I51/10),0.7))))</f>
        <v>9.707909944</v>
      </c>
      <c r="C51" s="5">
        <f>MIN(1,'Китай 2027'!C51+'Китай 2027'!F51+(0.08*LN(1+0.5*'Ход 2027'!C57)*MAX(0,1-('Китай 2027'!C51+'Китай 2027'!F51))))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9.707909944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2027'!B53+'Китай 2027'!D53+('Китай 2027'!C53+'Китай 2027'!F53+'Китай 2027'!G53)+(0.35*LN(1+0.6*'Ход 2027'!B59)*POWER(MAX(0,1-'Китай 2027'!I53/10),0.7))))</f>
        <v>9.806383884</v>
      </c>
      <c r="C53" s="5">
        <f>MIN(1,'Китай 2027'!C53+'Китай 2027'!F53+(0.08*LN(1+0.5*'Ход 2027'!C59)*MAX(0,1-('Китай 2027'!C53+'Китай 2027'!F53))))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9.806383884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2027'!B54+'Китай 2027'!D54+('Китай 2027'!C54+'Китай 2027'!F54+'Китай 2027'!G54)+(0.35*LN(1+0.6*'Ход 2027'!B60)*POWER(MAX(0,1-'Китай 2027'!I54/10),0.7))))</f>
        <v>9.707909944</v>
      </c>
      <c r="C54" s="5">
        <f>MIN(1,'Китай 2027'!C54+'Китай 2027'!F54+(0.08*LN(1+0.5*'Ход 2027'!C60)*MAX(0,1-('Китай 2027'!C54+'Китай 2027'!F54))))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9.707909944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2027'!B55+'Китай 2027'!D55+('Китай 2027'!C55+'Китай 2027'!F55+'Китай 2027'!G55)+(0.35*LN(1+0.6*'Ход 2027'!B61)*POWER(MAX(0,1-'Китай 2027'!I55/10),0.7))))</f>
        <v>9.325684675</v>
      </c>
      <c r="C55" s="5">
        <f>MIN(1,'Китай 2027'!C55+'Китай 2027'!F55+(0.08*LN(1+0.5*'Ход 2027'!C61)*MAX(0,1-('Китай 2027'!C55+'Китай 2027'!F55))))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9.325684675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279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2028'!U6</f>
        <v>92.80763835</v>
      </c>
      <c r="C6" s="5"/>
      <c r="D6" s="5"/>
      <c r="E6" s="5" t="s">
        <v>13</v>
      </c>
      <c r="F6" s="11">
        <f>'Китай 2028'!K6</f>
        <v>81.97795463</v>
      </c>
      <c r="G6" s="5"/>
      <c r="H6" s="5"/>
      <c r="I6" s="5" t="s">
        <v>13</v>
      </c>
      <c r="J6" s="11">
        <f>'Китай 2028'!N6</f>
        <v>67.00447003</v>
      </c>
      <c r="K6" s="5"/>
      <c r="L6" s="5"/>
      <c r="M6" s="5" t="s">
        <v>13</v>
      </c>
      <c r="N6" s="11">
        <f>'Китай 2028'!Q6</f>
        <v>74.62486749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92.80763835</v>
      </c>
      <c r="C8" s="5" t="str">
        <f>IF(B8&lt;0,"ПРЕВЫШЕНИЕ","OK")</f>
        <v>OK</v>
      </c>
      <c r="D8" s="5"/>
      <c r="E8" s="5" t="s">
        <v>91</v>
      </c>
      <c r="F8" s="11">
        <f>F6-F7</f>
        <v>81.97795463</v>
      </c>
      <c r="G8" s="5" t="str">
        <f>IF(F8&lt;0,"ПРЕВЫШЕНИЕ","OK")</f>
        <v>OK</v>
      </c>
      <c r="H8" s="5"/>
      <c r="I8" s="5" t="s">
        <v>91</v>
      </c>
      <c r="J8" s="11">
        <f>J6-J7</f>
        <v>67.00447003</v>
      </c>
      <c r="K8" s="5" t="str">
        <f>IF(J8&lt;0,"ПРЕВЫШЕНИЕ","OK")</f>
        <v>OK</v>
      </c>
      <c r="L8" s="5"/>
      <c r="M8" s="5" t="s">
        <v>91</v>
      </c>
      <c r="N8" s="11">
        <f>N6-N7</f>
        <v>74.62486749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2028'!V11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33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2028'!V12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52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2028'!V13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42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2028'!V14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78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2028'!V15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44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2028'!V16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34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2028'!V17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22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2028'!V18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78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2028'!V19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42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2028'!V20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66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2028'!V21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47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2028'!V22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62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2028'!V23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79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2028'!V24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72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2028'!V25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22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2028'!V26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5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IF(G29="","",VLOOKUP(G29,'Технологии'!$A$11:$BF$50,46,FALSE))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IF(G30="","",VLOOKUP(G30,'Технологии'!$A$11:$BF$50,46,FALSE))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IF(G31="","",VLOOKUP(G31,'Технологии'!$A$11:$BF$50,46,FALSE))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IF(G32="","",VLOOKUP(G32,'Технологии'!$A$11:$BF$50,46,FALSE))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IF(G33="","",VLOOKUP(G33,'Технологии'!$A$11:$BF$50,46,FALSE))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IF(G34="","",VLOOKUP(G34,'Технологии'!$A$11:$BF$50,46,FALSE))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IF(G35="","",VLOOKUP(G35,'Технологии'!$A$11:$BF$50,46,FALSE))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IF(G36="","",VLOOKUP(G36,'Технологии'!$A$11:$BF$50,46,FALSE))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IF(G37="","",VLOOKUP(G37,'Технологии'!$A$11:$BF$50,46,FALSE))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IF(G38="","",VLOOKUP(G38,'Технологии'!$A$11:$BF$50,46,FALSE))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283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83.36172214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75.74552776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83.59338955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98.86407617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2028'!B8+'Китай 2028'!D8+('Китай 2028'!C8+'Китай 2028'!F8+'Китай 2028'!G8)+(0.35*LN(1+0.6*'Ход 2028'!B14)*POWER(MAX(0,1-'Китай 2028'!I8/10),0.7))))</f>
        <v>9.659544329</v>
      </c>
      <c r="C8" s="5">
        <f>MIN(1,'Китай 2028'!C8+'Китай 2028'!F8+(0.08*LN(1+0.5*'Ход 2028'!C14)*MAX(0,1-('Китай 2028'!C8+'Китай 2028'!F8))))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9.659544329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2028'!B9+'Китай 2028'!D9+('Китай 2028'!C9+'Китай 2028'!F9+'Китай 2028'!G9)+(0.35*LN(1+0.6*'Ход 2028'!B15)*POWER(MAX(0,1-'Китай 2028'!I9/10),0.7))))</f>
        <v>9.807909944</v>
      </c>
      <c r="C9" s="5">
        <f>MIN(1,'Китай 2028'!C9+'Китай 2028'!F9+(0.08*LN(1+0.5*'Ход 2028'!C15)*MAX(0,1-('Китай 2028'!C9+'Китай 2028'!F9))))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9.807909944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2028'!B10+'Китай 2028'!D10+('Китай 2028'!C10+'Китай 2028'!F10+'Китай 2028'!G10)+(0.35*LN(1+0.6*'Ход 2028'!B16)*POWER(MAX(0,1-'Китай 2028'!I10/10),0.7))))</f>
        <v>9.631104814</v>
      </c>
      <c r="C10" s="5">
        <f>MIN(1,'Китай 2028'!C10+'Китай 2028'!F10+(0.08*LN(1+0.5*'Ход 2028'!C16)*MAX(0,1-('Китай 2028'!C10+'Китай 2028'!F10))))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9.631104814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2028'!B11+'Китай 2028'!D11+('Китай 2028'!C11+'Китай 2028'!F11+'Китай 2028'!G11)+(0.35*LN(1+0.6*'Ход 2028'!B17)*POWER(MAX(0,1-'Китай 2028'!I11/10),0.7))))</f>
        <v>7.365660565</v>
      </c>
      <c r="C11" s="5">
        <f>MIN(1,'Китай 2028'!C11+'Китай 2028'!F11+(0.08*LN(1+0.5*'Ход 2028'!C17)*MAX(0,1-('Китай 2028'!C11+'Китай 2028'!F11))))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7.365660565</v>
      </c>
      <c r="J11" s="5"/>
      <c r="K11" s="5" t="s">
        <v>110</v>
      </c>
      <c r="L11" s="5">
        <f>MAX(1,MIN(10,'Китай 2028'!L11+'Китай 2028'!N11+('Китай 2028'!M11+'Китай 2028'!P11+'Китай 2028'!Q11)))</f>
        <v>10</v>
      </c>
      <c r="M11" s="5">
        <f>MIN(1,'Китай 2028'!M11+'Китай 2028'!P11+(0.1*LN(1+0.5*'Ход 2028'!H13)*POWER(MAX(0,1-'Китай 2028'!S11/10),0.8)))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2028'!V11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2028'!B12+'Китай 2028'!D12+('Китай 2028'!C12+'Китай 2028'!F12+'Китай 2028'!G12)+(0.35*LN(1+0.6*'Ход 2028'!B18)*POWER(MAX(0,1-'Китай 2028'!I12/10),0.7))))</f>
        <v>9.180389526</v>
      </c>
      <c r="C12" s="5">
        <f>MIN(1,'Китай 2028'!C12+'Китай 2028'!F12+(0.08*LN(1+0.5*'Ход 2028'!C18)*MAX(0,1-('Китай 2028'!C12+'Китай 2028'!F12))))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9.180389526</v>
      </c>
      <c r="J12" s="5"/>
      <c r="K12" s="5" t="s">
        <v>113</v>
      </c>
      <c r="L12" s="5">
        <f>MAX(1,MIN(10,'Китай 2028'!L12+'Китай 2028'!N12+('Китай 2028'!M12+'Китай 2028'!P12+'Китай 2028'!Q12)))</f>
        <v>9.4</v>
      </c>
      <c r="M12" s="5">
        <f>MIN(1,'Китай 2028'!M12+'Китай 2028'!P12+(0.1*LN(1+0.5*'Ход 2028'!H14)*POWER(MAX(0,1-'Китай 2028'!S12/10),0.8)))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9.4</v>
      </c>
      <c r="T12" s="5"/>
      <c r="U12" s="5" t="s">
        <v>114</v>
      </c>
      <c r="V12" s="16">
        <f>'Китай 2028'!V12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2028'!B13+'Китай 2028'!D13+('Китай 2028'!C13+'Китай 2028'!F13+'Китай 2028'!G13)+(0.35*LN(1+0.6*'Ход 2028'!B19)*POWER(MAX(0,1-'Китай 2028'!I13/10),0.7))))</f>
        <v>9.885305003</v>
      </c>
      <c r="C13" s="5">
        <f>MIN(1,'Китай 2028'!C13+'Китай 2028'!F13+(0.08*LN(1+0.5*'Ход 2028'!C19)*MAX(0,1-('Китай 2028'!C13+'Китай 2028'!F13))))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9.885305003</v>
      </c>
      <c r="J13" s="5"/>
      <c r="K13" s="5" t="s">
        <v>116</v>
      </c>
      <c r="L13" s="5">
        <f>MAX(1,MIN(10,'Китай 2028'!L13+'Китай 2028'!N13+('Китай 2028'!M13+'Китай 2028'!P13+'Китай 2028'!Q13)))</f>
        <v>10</v>
      </c>
      <c r="M13" s="5">
        <f>MIN(1,'Китай 2028'!M13+'Китай 2028'!P13+(0.1*LN(1+0.5*'Ход 2028'!H15)*POWER(MAX(0,1-'Китай 2028'!S13/10),0.8)))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2028'!V13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2028'!B14+'Китай 2028'!D14+('Китай 2028'!C14+'Китай 2028'!F14+'Китай 2028'!G14)+(0.35*LN(1+0.6*'Ход 2028'!B20)*POWER(MAX(0,1-'Китай 2028'!I14/10),0.7))))</f>
        <v>9.136151626</v>
      </c>
      <c r="C14" s="5">
        <f>MIN(1,'Китай 2028'!C14+'Китай 2028'!F14+(0.08*LN(1+0.5*'Ход 2028'!C20)*MAX(0,1-('Китай 2028'!C14+'Китай 2028'!F14))))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9.136151626</v>
      </c>
      <c r="J14" s="5"/>
      <c r="K14" s="5" t="s">
        <v>119</v>
      </c>
      <c r="L14" s="5">
        <f>MAX(1,MIN(10,'Китай 2028'!L14+'Китай 2028'!N14+('Китай 2028'!M14+'Китай 2028'!P14+'Китай 2028'!Q14)))</f>
        <v>9.568288602</v>
      </c>
      <c r="M14" s="5">
        <f>MIN(1,'Китай 2028'!M14+'Китай 2028'!P14+(0.1*LN(1+0.5*'Ход 2028'!H16)*POWER(MAX(0,1-'Китай 2028'!S14/10),0.8)))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9.568288602</v>
      </c>
      <c r="T14" s="5"/>
      <c r="U14" s="5" t="s">
        <v>120</v>
      </c>
      <c r="V14" s="16">
        <f>'Китай 2028'!V14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2028'!B15+'Китай 2028'!D15+('Китай 2028'!C15+'Китай 2028'!F15+'Китай 2028'!G15)+(0.35*LN(1+0.6*'Ход 2028'!B21)*POWER(MAX(0,1-'Китай 2028'!I15/10),0.7))))</f>
        <v>9.69041022</v>
      </c>
      <c r="C15" s="5">
        <f>MIN(1,'Китай 2028'!C15+'Китай 2028'!F15+(0.08*LN(1+0.5*'Ход 2028'!C21)*MAX(0,1-('Китай 2028'!C15+'Китай 2028'!F15))))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9.69041022</v>
      </c>
      <c r="J15" s="5"/>
      <c r="K15" s="5" t="s">
        <v>122</v>
      </c>
      <c r="L15" s="5">
        <f>MAX(1,MIN(10,'Китай 2028'!L15+'Китай 2028'!N15+('Китай 2028'!M15+'Китай 2028'!P15+'Китай 2028'!Q15)))</f>
        <v>9.25</v>
      </c>
      <c r="M15" s="5">
        <f>MIN(1,'Китай 2028'!M15+'Китай 2028'!P15+(0.1*LN(1+0.5*'Ход 2028'!H17)*POWER(MAX(0,1-'Китай 2028'!S15/10),0.8)))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9.25</v>
      </c>
      <c r="T15" s="5"/>
      <c r="U15" s="5" t="s">
        <v>123</v>
      </c>
      <c r="V15" s="16">
        <f>'Китай 2028'!V15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2028'!B16+'Китай 2028'!D16+('Китай 2028'!C16+'Китай 2028'!F16+'Китай 2028'!G16)+(0.35*LN(1+0.6*'Ход 2028'!B22)*POWER(MAX(0,1-'Китай 2028'!I16/10),0.7))))</f>
        <v>10</v>
      </c>
      <c r="C16" s="5">
        <f>MIN(1,'Китай 2028'!C16+'Китай 2028'!F16+(0.08*LN(1+0.5*'Ход 2028'!C22)*MAX(0,1-('Китай 2028'!C16+'Китай 2028'!F16))))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2028'!L16+'Китай 2028'!N16+('Китай 2028'!M16+'Китай 2028'!P16+'Китай 2028'!Q16)))</f>
        <v>10</v>
      </c>
      <c r="M16" s="5">
        <f>MIN(1,'Китай 2028'!M16+'Китай 2028'!P16+(0.1*LN(1+0.5*'Ход 2028'!H18)*POWER(MAX(0,1-'Китай 2028'!S16/10),0.8)))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2028'!V16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2028'!B17+'Китай 2028'!D17+('Китай 2028'!C17+'Китай 2028'!F17+'Китай 2028'!G17)+(0.35*LN(1+0.6*'Ход 2028'!B23)*POWER(MAX(0,1-'Китай 2028'!I17/10),0.7))))</f>
        <v>10</v>
      </c>
      <c r="C17" s="5">
        <f>MIN(1,'Китай 2028'!C17+'Китай 2028'!F17+(0.08*LN(1+0.5*'Ход 2028'!C23)*MAX(0,1-('Китай 2028'!C17+'Китай 2028'!F17))))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2028'!L17+'Китай 2028'!N17+('Китай 2028'!M17+'Китай 2028'!P17+'Китай 2028'!Q17)))</f>
        <v>9.561218397</v>
      </c>
      <c r="M17" s="5">
        <f>MIN(1,'Китай 2028'!M17+'Китай 2028'!P17+(0.1*LN(1+0.5*'Ход 2028'!H19)*POWER(MAX(0,1-'Китай 2028'!S17/10),0.8)))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9.561218397</v>
      </c>
      <c r="T17" s="5"/>
      <c r="U17" s="5" t="s">
        <v>129</v>
      </c>
      <c r="V17" s="16">
        <f>'Китай 2028'!V17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2028'!L18+'Китай 2028'!N18+('Китай 2028'!M18+'Китай 2028'!P18+'Китай 2028'!Q18)))</f>
        <v>9.414595182</v>
      </c>
      <c r="M18" s="5">
        <f>MIN(1,'Китай 2028'!M18+'Китай 2028'!P18+(0.1*LN(1+0.5*'Ход 2028'!H20)*POWER(MAX(0,1-'Китай 2028'!S18/10),0.8)))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9.414595182</v>
      </c>
      <c r="T18" s="5"/>
      <c r="U18" s="5" t="s">
        <v>132</v>
      </c>
      <c r="V18" s="16">
        <f>'Китай 2028'!V18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2028'!B19+'Китай 2028'!D19+('Китай 2028'!C19+'Китай 2028'!F19+'Китай 2028'!G19)+(0.35*LN(1+0.6*'Ход 2028'!B25)*POWER(MAX(0,1-'Китай 2028'!I19/10),0.7))))</f>
        <v>8.824168963</v>
      </c>
      <c r="C19" s="5">
        <f>MIN(1,'Китай 2028'!C19+'Китай 2028'!F19+(0.08*LN(1+0.5*'Ход 2028'!C25)*MAX(0,1-('Китай 2028'!C19+'Китай 2028'!F19))))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8.824168963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2028'!V19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2028'!B20+'Китай 2028'!D20+('Китай 2028'!C20+'Китай 2028'!F20+'Китай 2028'!G20)+(0.35*LN(1+0.6*'Ход 2028'!B26)*POWER(MAX(0,1-'Китай 2028'!I20/10),0.7))))</f>
        <v>9.295687249</v>
      </c>
      <c r="C20" s="5">
        <f>MIN(1,'Китай 2028'!C20+'Китай 2028'!F20+(0.08*LN(1+0.5*'Ход 2028'!C26)*MAX(0,1-('Китай 2028'!C20+'Китай 2028'!F20))))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9.295687249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2028'!V20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2028'!B21+'Китай 2028'!D21+('Китай 2028'!C21+'Китай 2028'!F21+'Китай 2028'!G21)+(0.35*LN(1+0.6*'Ход 2028'!B27)*POWER(MAX(0,1-'Китай 2028'!I21/10),0.7))))</f>
        <v>9.623418751</v>
      </c>
      <c r="C21" s="5">
        <f>MIN(1,'Китай 2028'!C21+'Китай 2028'!F21+(0.08*LN(1+0.5*'Ход 2028'!C27)*MAX(0,1-('Китай 2028'!C21+'Китай 2028'!F21))))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9.623418751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2028'!V21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2028'!B22+'Китай 2028'!D22+('Китай 2028'!C22+'Китай 2028'!F22+'Китай 2028'!G22)+(0.35*LN(1+0.6*'Ход 2028'!B28)*POWER(MAX(0,1-'Китай 2028'!I22/10),0.7))))</f>
        <v>10</v>
      </c>
      <c r="C22" s="5">
        <f>MIN(1,'Китай 2028'!C22+'Китай 2028'!F22+(0.08*LN(1+0.5*'Ход 2028'!C28)*MAX(0,1-('Китай 2028'!C22+'Китай 2028'!F22))))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2028'!V22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2028'!B23+'Китай 2028'!D23+('Китай 2028'!C23+'Китай 2028'!F23+'Китай 2028'!G23)+(0.35*LN(1+0.6*'Ход 2028'!B29)*POWER(MAX(0,1-'Китай 2028'!I23/10),0.7))))</f>
        <v>9.956383884</v>
      </c>
      <c r="C23" s="5">
        <f>MIN(1,'Китай 2028'!C23+'Китай 2028'!F23+(0.08*LN(1+0.5*'Ход 2028'!C29)*MAX(0,1-('Китай 2028'!C23+'Китай 2028'!F23))))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9.956383884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2028'!V23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2028'!V24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2028'!B25+'Китай 2028'!D25+('Китай 2028'!C25+'Китай 2028'!F25+'Китай 2028'!G25)+(0.35*LN(1+0.6*'Ход 2028'!B31)*POWER(MAX(0,1-'Китай 2028'!I25/10),0.7))))</f>
        <v>10</v>
      </c>
      <c r="C25" s="5">
        <f>MIN(1,'Китай 2028'!C25+'Китай 2028'!F25+(0.08*LN(1+0.5*'Ход 2028'!C31)*MAX(0,1-('Китай 2028'!C25+'Китай 2028'!F25))))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2028'!V25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2028'!B26+'Китай 2028'!D26+('Китай 2028'!C26+'Китай 2028'!F26+'Китай 2028'!G26)+(0.35*LN(1+0.6*'Ход 2028'!B32)*POWER(MAX(0,1-'Китай 2028'!I26/10),0.7))))</f>
        <v>9.956383884</v>
      </c>
      <c r="C26" s="5">
        <f>MIN(1,'Китай 2028'!C26+'Китай 2028'!F26+(0.08*LN(1+0.5*'Ход 2028'!C32)*MAX(0,1-('Китай 2028'!C26+'Китай 2028'!F26))))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9.956383884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2028'!V26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2028'!B27+'Китай 2028'!D27+('Китай 2028'!C27+'Китай 2028'!F27+'Китай 2028'!G27)+(0.35*LN(1+0.6*'Ход 2028'!B33)*POWER(MAX(0,1-'Китай 2028'!I27/10),0.7))))</f>
        <v>9.807909944</v>
      </c>
      <c r="C27" s="5">
        <f>MIN(1,'Китай 2028'!C27+'Китай 2028'!F27+(0.08*LN(1+0.5*'Ход 2028'!C33)*MAX(0,1-('Китай 2028'!C27+'Китай 2028'!F27))))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9.807909944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2028'!B28+'Китай 2028'!D28+('Китай 2028'!C28+'Китай 2028'!F28+'Китай 2028'!G28)+(0.35*LN(1+0.6*'Ход 2028'!B34)*POWER(MAX(0,1-'Китай 2028'!I28/10),0.7))))</f>
        <v>10</v>
      </c>
      <c r="C28" s="5">
        <f>MIN(1,'Китай 2028'!C28+'Китай 2028'!F28+(0.08*LN(1+0.5*'Ход 2028'!C34)*MAX(0,1-('Китай 2028'!C28+'Китай 2028'!F28))))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2028'!B29+'Китай 2028'!D29+('Китай 2028'!C29+'Китай 2028'!F29+'Китай 2028'!G29)+(0.35*LN(1+0.6*'Ход 2028'!B35)*POWER(MAX(0,1-'Китай 2028'!I29/10),0.7))))</f>
        <v>9.295687249</v>
      </c>
      <c r="C29" s="5">
        <f>MIN(1,'Китай 2028'!C29+'Китай 2028'!F29+(0.08*LN(1+0.5*'Ход 2028'!C35)*MAX(0,1-('Китай 2028'!C29+'Китай 2028'!F29))))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9.295687249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2028'!B30+'Китай 2028'!D30+('Китай 2028'!C30+'Китай 2028'!F30+'Китай 2028'!G30)+(0.35*LN(1+0.6*'Ход 2028'!B36)*POWER(MAX(0,1-'Китай 2028'!I30/10),0.7))))</f>
        <v>8.208479321</v>
      </c>
      <c r="C30" s="5">
        <f>MIN(1,'Китай 2028'!C30+'Китай 2028'!F30+(0.08*LN(1+0.5*'Ход 2028'!C36)*MAX(0,1-('Китай 2028'!C30+'Китай 2028'!F30))))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8.208479321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2028'!B31+'Китай 2028'!D31+('Китай 2028'!C31+'Китай 2028'!F31+'Китай 2028'!G31)+(0.35*LN(1+0.6*'Ход 2028'!B37)*POWER(MAX(0,1-'Китай 2028'!I31/10),0.7))))</f>
        <v>7.448316355</v>
      </c>
      <c r="C31" s="5">
        <f>MIN(1,'Китай 2028'!C31+'Китай 2028'!F31+(0.08*LN(1+0.5*'Ход 2028'!C37)*MAX(0,1-('Китай 2028'!C31+'Китай 2028'!F31))))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7.448316355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2028'!B32+'Китай 2028'!D32+('Китай 2028'!C32+'Китай 2028'!F32+'Китай 2028'!G32)+(0.35*LN(1+0.6*'Ход 2028'!B38)*POWER(MAX(0,1-'Китай 2028'!I32/10),0.7))))</f>
        <v>9.475684675</v>
      </c>
      <c r="C32" s="5">
        <f>MIN(1,'Китай 2028'!C32+'Китай 2028'!F32+(0.08*LN(1+0.5*'Ход 2028'!C38)*MAX(0,1-('Китай 2028'!C32+'Китай 2028'!F32))))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9.475684675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2028'!B34+'Китай 2028'!D34+('Китай 2028'!C34+'Китай 2028'!F34+'Китай 2028'!G34)+(0.35*LN(1+0.6*'Ход 2028'!B40)*POWER(MAX(0,1-'Китай 2028'!I34/10),0.7))))</f>
        <v>9.986383884</v>
      </c>
      <c r="C34" s="5">
        <f>MIN(1,'Китай 2028'!C34+'Китай 2028'!F34+(0.08*LN(1+0.5*'Ход 2028'!C40)*MAX(0,1-('Китай 2028'!C34+'Китай 2028'!F34))))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9.986383884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2028'!B35+'Китай 2028'!D35+('Китай 2028'!C35+'Китай 2028'!F35+'Китай 2028'!G35)+(0.35*LN(1+0.6*'Ход 2028'!B41)*POWER(MAX(0,1-'Китай 2028'!I35/10),0.7))))</f>
        <v>10</v>
      </c>
      <c r="C35" s="5">
        <f>MIN(1,'Китай 2028'!C35+'Китай 2028'!F35+(0.08*LN(1+0.5*'Ход 2028'!C41)*MAX(0,1-('Китай 2028'!C35+'Китай 2028'!F35))))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2028'!B36+'Китай 2028'!D36+('Китай 2028'!C36+'Китай 2028'!F36+'Китай 2028'!G36)+(0.35*LN(1+0.6*'Ход 2028'!B42)*POWER(MAX(0,1-'Китай 2028'!I36/10),0.7))))</f>
        <v>10</v>
      </c>
      <c r="C36" s="5">
        <f>MIN(1,'Китай 2028'!C36+'Китай 2028'!F36+(0.08*LN(1+0.5*'Ход 2028'!C42)*MAX(0,1-('Китай 2028'!C36+'Китай 2028'!F36))))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2028'!B37+'Китай 2028'!D37+('Китай 2028'!C37+'Китай 2028'!F37+'Китай 2028'!G37)+(0.35*LN(1+0.6*'Ход 2028'!B43)*POWER(MAX(0,1-'Китай 2028'!I37/10),0.7))))</f>
        <v>10</v>
      </c>
      <c r="C37" s="5">
        <f>MIN(1,'Китай 2028'!C37+'Китай 2028'!F37+(0.08*LN(1+0.5*'Ход 2028'!C43)*MAX(0,1-('Китай 2028'!C37+'Китай 2028'!F37))))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2028'!B38+'Китай 2028'!D38+('Китай 2028'!C38+'Китай 2028'!F38+'Китай 2028'!G38)+(0.35*LN(1+0.6*'Ход 2028'!B44)*POWER(MAX(0,1-'Китай 2028'!I38/10),0.7))))</f>
        <v>9.807909944</v>
      </c>
      <c r="C38" s="5">
        <f>MIN(1,'Китай 2028'!C38+'Китай 2028'!F38+(0.08*LN(1+0.5*'Ход 2028'!C44)*MAX(0,1-('Китай 2028'!C38+'Китай 2028'!F38))))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9.807909944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2028'!B39+'Китай 2028'!D39+('Китай 2028'!C39+'Китай 2028'!F39+'Китай 2028'!G39)+(0.35*LN(1+0.6*'Ход 2028'!B45)*POWER(MAX(0,1-'Китай 2028'!I39/10),0.7))))</f>
        <v>9.475684675</v>
      </c>
      <c r="C39" s="5">
        <f>MIN(1,'Китай 2028'!C39+'Китай 2028'!F39+(0.08*LN(1+0.5*'Ход 2028'!C45)*MAX(0,1-('Китай 2028'!C39+'Китай 2028'!F39))))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9.475684675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2028'!B40+'Китай 2028'!D40+('Китай 2028'!C40+'Китай 2028'!F40+'Китай 2028'!G40)+(0.35*LN(1+0.6*'Ход 2028'!B46)*POWER(MAX(0,1-'Китай 2028'!I40/10),0.7))))</f>
        <v>9.328009332</v>
      </c>
      <c r="C40" s="5">
        <f>MIN(1,'Китай 2028'!C40+'Китай 2028'!F40+(0.08*LN(1+0.5*'Ход 2028'!C46)*MAX(0,1-('Китай 2028'!C40+'Китай 2028'!F40))))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9.328009332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2028'!B41+'Китай 2028'!D41+('Китай 2028'!C41+'Китай 2028'!F41+'Китай 2028'!G41)+(0.35*LN(1+0.6*'Ход 2028'!B47)*POWER(MAX(0,1-'Китай 2028'!I41/10),0.7))))</f>
        <v>9.807909944</v>
      </c>
      <c r="C41" s="5">
        <f>MIN(1,'Китай 2028'!C41+'Китай 2028'!F41+(0.08*LN(1+0.5*'Ход 2028'!C47)*MAX(0,1-('Китай 2028'!C41+'Китай 2028'!F41))))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9.807909944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2028'!B42+'Китай 2028'!D42+('Китай 2028'!C42+'Китай 2028'!F42+'Китай 2028'!G42)+(0.35*LN(1+0.6*'Ход 2028'!B48)*POWER(MAX(0,1-'Китай 2028'!I42/10),0.7))))</f>
        <v>10</v>
      </c>
      <c r="C42" s="5">
        <f>MIN(1,'Китай 2028'!C42+'Китай 2028'!F42+(0.08*LN(1+0.5*'Ход 2028'!C48)*MAX(0,1-('Китай 2028'!C42+'Китай 2028'!F42))))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2028'!B44+'Китай 2028'!D44+('Китай 2028'!C44+'Китай 2028'!F44+'Китай 2028'!G44)+(0.35*LN(1+0.6*'Ход 2028'!B50)*POWER(MAX(0,1-'Китай 2028'!I44/10),0.7))))</f>
        <v>8.208479321</v>
      </c>
      <c r="C44" s="5">
        <f>MIN(1,'Китай 2028'!C44+'Китай 2028'!F44+(0.08*LN(1+0.5*'Ход 2028'!C50)*MAX(0,1-('Китай 2028'!C44+'Китай 2028'!F44))))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8.208479321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2028'!B45+'Китай 2028'!D45+('Китай 2028'!C45+'Китай 2028'!F45+'Китай 2028'!G45)+(0.35*LN(1+0.6*'Ход 2028'!B51)*POWER(MAX(0,1-'Китай 2028'!I45/10),0.7))))</f>
        <v>9.807909944</v>
      </c>
      <c r="C45" s="5">
        <f>MIN(1,'Китай 2028'!C45+'Китай 2028'!F45+(0.08*LN(1+0.5*'Ход 2028'!C51)*MAX(0,1-('Китай 2028'!C45+'Китай 2028'!F45))))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9.807909944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2028'!B46+'Китай 2028'!D46+('Китай 2028'!C46+'Китай 2028'!F46+'Китай 2028'!G46)+(0.35*LN(1+0.6*'Ход 2028'!B52)*POWER(MAX(0,1-'Китай 2028'!I46/10),0.7))))</f>
        <v>9.807909944</v>
      </c>
      <c r="C46" s="5">
        <f>MIN(1,'Китай 2028'!C46+'Китай 2028'!F46+(0.08*LN(1+0.5*'Ход 2028'!C52)*MAX(0,1-('Китай 2028'!C46+'Китай 2028'!F46))))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9.807909944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2028'!B47+'Китай 2028'!D47+('Китай 2028'!C47+'Китай 2028'!F47+'Китай 2028'!G47)+(0.35*LN(1+0.6*'Ход 2028'!B53)*POWER(MAX(0,1-'Китай 2028'!I47/10),0.7))))</f>
        <v>6.35477572</v>
      </c>
      <c r="C47" s="5">
        <f>MIN(1,'Китай 2028'!C47+'Китай 2028'!F47+(0.08*LN(1+0.5*'Ход 2028'!C53)*MAX(0,1-('Китай 2028'!C47+'Китай 2028'!F47))))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6.35477572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2028'!B48+'Китай 2028'!D48+('Китай 2028'!C48+'Китай 2028'!F48+'Китай 2028'!G48)+(0.35*LN(1+0.6*'Ход 2028'!B54)*POWER(MAX(0,1-'Китай 2028'!I48/10),0.7))))</f>
        <v>8.706696632</v>
      </c>
      <c r="C48" s="5">
        <f>MIN(1,'Китай 2028'!C48+'Китай 2028'!F48+(0.08*LN(1+0.5*'Ход 2028'!C54)*MAX(0,1-('Китай 2028'!C48+'Китай 2028'!F48))))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8.706696632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2028'!B49+'Китай 2028'!D49+('Китай 2028'!C49+'Китай 2028'!F49+'Китай 2028'!G49)+(0.35*LN(1+0.6*'Ход 2028'!B55)*POWER(MAX(0,1-'Китай 2028'!I49/10),0.7))))</f>
        <v>9.771215049</v>
      </c>
      <c r="C49" s="5">
        <f>MIN(1,'Китай 2028'!C49+'Китай 2028'!F49+(0.08*LN(1+0.5*'Ход 2028'!C55)*MAX(0,1-('Китай 2028'!C49+'Китай 2028'!F49))))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9.771215049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2028'!B50+'Китай 2028'!D50+('Китай 2028'!C50+'Китай 2028'!F50+'Китай 2028'!G50)+(0.35*LN(1+0.6*'Ход 2028'!B56)*POWER(MAX(0,1-'Китай 2028'!I50/10),0.7))))</f>
        <v>10</v>
      </c>
      <c r="C50" s="5">
        <f>MIN(1,'Китай 2028'!C50+'Китай 2028'!F50+(0.08*LN(1+0.5*'Ход 2028'!C56)*MAX(0,1-('Китай 2028'!C50+'Китай 2028'!F50))))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2028'!B51+'Китай 2028'!D51+('Китай 2028'!C51+'Китай 2028'!F51+'Китай 2028'!G51)+(0.35*LN(1+0.6*'Ход 2028'!B57)*POWER(MAX(0,1-'Китай 2028'!I51/10),0.7))))</f>
        <v>9.807909944</v>
      </c>
      <c r="C51" s="5">
        <f>MIN(1,'Китай 2028'!C51+'Китай 2028'!F51+(0.08*LN(1+0.5*'Ход 2028'!C57)*MAX(0,1-('Китай 2028'!C51+'Китай 2028'!F51))))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9.807909944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2028'!B53+'Китай 2028'!D53+('Китай 2028'!C53+'Китай 2028'!F53+'Китай 2028'!G53)+(0.35*LN(1+0.6*'Ход 2028'!B59)*POWER(MAX(0,1-'Китай 2028'!I53/10),0.7))))</f>
        <v>9.956383884</v>
      </c>
      <c r="C53" s="5">
        <f>MIN(1,'Китай 2028'!C53+'Китай 2028'!F53+(0.08*LN(1+0.5*'Ход 2028'!C59)*MAX(0,1-('Китай 2028'!C53+'Китай 2028'!F53))))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9.956383884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2028'!B54+'Китай 2028'!D54+('Китай 2028'!C54+'Китай 2028'!F54+'Китай 2028'!G54)+(0.35*LN(1+0.6*'Ход 2028'!B60)*POWER(MAX(0,1-'Китай 2028'!I54/10),0.7))))</f>
        <v>9.807909944</v>
      </c>
      <c r="C54" s="5">
        <f>MIN(1,'Китай 2028'!C54+'Китай 2028'!F54+(0.08*LN(1+0.5*'Ход 2028'!C60)*MAX(0,1-('Китай 2028'!C54+'Китай 2028'!F54))))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9.807909944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2028'!B55+'Китай 2028'!D55+('Китай 2028'!C55+'Китай 2028'!F55+'Китай 2028'!G55)+(0.35*LN(1+0.6*'Ход 2028'!B61)*POWER(MAX(0,1-'Китай 2028'!I55/10),0.7))))</f>
        <v>9.475684675</v>
      </c>
      <c r="C55" s="5">
        <f>MIN(1,'Китай 2028'!C55+'Китай 2028'!F55+(0.08*LN(1+0.5*'Ход 2028'!C61)*MAX(0,1-('Китай 2028'!C55+'Китай 2028'!F55))))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9.475684675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312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2029'!U6</f>
        <v>98.86407617</v>
      </c>
      <c r="C6" s="5"/>
      <c r="D6" s="5"/>
      <c r="E6" s="5" t="s">
        <v>13</v>
      </c>
      <c r="F6" s="11">
        <f>'Китай 2029'!K6</f>
        <v>83.36172214</v>
      </c>
      <c r="G6" s="5"/>
      <c r="H6" s="5"/>
      <c r="I6" s="5" t="s">
        <v>13</v>
      </c>
      <c r="J6" s="11">
        <f>'Китай 2029'!N6</f>
        <v>75.74552776</v>
      </c>
      <c r="K6" s="5"/>
      <c r="L6" s="5"/>
      <c r="M6" s="5" t="s">
        <v>13</v>
      </c>
      <c r="N6" s="11">
        <f>'Китай 2029'!Q6</f>
        <v>83.59338955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98.86407617</v>
      </c>
      <c r="C8" s="5" t="str">
        <f>IF(B8&lt;0,"ПРЕВЫШЕНИЕ","OK")</f>
        <v>OK</v>
      </c>
      <c r="D8" s="5"/>
      <c r="E8" s="5" t="s">
        <v>91</v>
      </c>
      <c r="F8" s="11">
        <f>F6-F7</f>
        <v>83.36172214</v>
      </c>
      <c r="G8" s="5" t="str">
        <f>IF(F8&lt;0,"ПРЕВЫШЕНИЕ","OK")</f>
        <v>OK</v>
      </c>
      <c r="H8" s="5"/>
      <c r="I8" s="5" t="s">
        <v>91</v>
      </c>
      <c r="J8" s="11">
        <f>J6-J7</f>
        <v>75.74552776</v>
      </c>
      <c r="K8" s="5" t="str">
        <f>IF(J8&lt;0,"ПРЕВЫШЕНИЕ","OK")</f>
        <v>OK</v>
      </c>
      <c r="L8" s="5"/>
      <c r="M8" s="5" t="s">
        <v>91</v>
      </c>
      <c r="N8" s="11">
        <f>N6-N7</f>
        <v>83.59338955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2029'!V11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24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2029'!V12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19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2029'!V13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60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2029'!V14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40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2029'!V15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24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2029'!V16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51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2029'!V17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11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2029'!V18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43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2029'!V19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100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2029'!V20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76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2029'!V21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87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2029'!V22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14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2029'!V23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29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2029'!V24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25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2029'!V25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90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2029'!V26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37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IF(G29="","",VLOOKUP(G29,'Технологии'!$A$11:$BF$50,47,FALSE))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IF(G30="","",VLOOKUP(G30,'Технологии'!$A$11:$BF$50,47,FALSE))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IF(G31="","",VLOOKUP(G31,'Технологии'!$A$11:$BF$50,47,FALSE))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IF(G32="","",VLOOKUP(G32,'Технологии'!$A$11:$BF$50,47,FALSE))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IF(G33="","",VLOOKUP(G33,'Технологии'!$A$11:$BF$50,47,FALSE))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IF(G34="","",VLOOKUP(G34,'Технологии'!$A$11:$BF$50,47,FALSE))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IF(G35="","",VLOOKUP(G35,'Технологии'!$A$11:$BF$50,47,FALSE))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IF(G36="","",VLOOKUP(G36,'Технологии'!$A$11:$BF$50,47,FALSE))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IF(G37="","",VLOOKUP(G37,'Технологии'!$A$11:$BF$50,47,FALSE))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IF(G38="","",VLOOKUP(G38,'Технологии'!$A$11:$BF$50,47,FALSE))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341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83.93321179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76.36294123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84.63601417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99.47401582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2029'!B8+'Китай 2029'!D8+('Китай 2029'!C8+'Китай 2029'!F8+'Китай 2029'!G8)+(0.35*LN(1+0.6*'Ход 2029'!B14)*POWER(MAX(0,1-'Китай 2029'!I8/10),0.7))))</f>
        <v>9.709544329</v>
      </c>
      <c r="C8" s="5">
        <f>MIN(1,'Китай 2029'!C8+'Китай 2029'!F8+(0.08*LN(1+0.5*'Ход 2029'!C14)*MAX(0,1-('Китай 2029'!C8+'Китай 2029'!F8))))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9.709544329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2029'!B9+'Китай 2029'!D9+('Китай 2029'!C9+'Китай 2029'!F9+'Китай 2029'!G9)+(0.35*LN(1+0.6*'Ход 2029'!B15)*POWER(MAX(0,1-'Китай 2029'!I9/10),0.7))))</f>
        <v>9.907909944</v>
      </c>
      <c r="C9" s="5">
        <f>MIN(1,'Китай 2029'!C9+'Китай 2029'!F9+(0.08*LN(1+0.5*'Ход 2029'!C15)*MAX(0,1-('Китай 2029'!C9+'Китай 2029'!F9))))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9.907909944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2029'!B10+'Китай 2029'!D10+('Китай 2029'!C10+'Китай 2029'!F10+'Китай 2029'!G10)+(0.35*LN(1+0.6*'Ход 2029'!B16)*POWER(MAX(0,1-'Китай 2029'!I10/10),0.7))))</f>
        <v>9.831104814</v>
      </c>
      <c r="C10" s="5">
        <f>MIN(1,'Китай 2029'!C10+'Китай 2029'!F10+(0.08*LN(1+0.5*'Ход 2029'!C16)*MAX(0,1-('Китай 2029'!C10+'Китай 2029'!F10))))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9.831104814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2029'!B11+'Китай 2029'!D11+('Китай 2029'!C11+'Китай 2029'!F11+'Китай 2029'!G11)+(0.35*LN(1+0.6*'Ход 2029'!B17)*POWER(MAX(0,1-'Китай 2029'!I11/10),0.7))))</f>
        <v>7.73721113</v>
      </c>
      <c r="C11" s="5">
        <f>MIN(1,'Китай 2029'!C11+'Китай 2029'!F11+(0.08*LN(1+0.5*'Ход 2029'!C17)*MAX(0,1-('Китай 2029'!C11+'Китай 2029'!F11))))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7.73721113</v>
      </c>
      <c r="J11" s="5"/>
      <c r="K11" s="5" t="s">
        <v>110</v>
      </c>
      <c r="L11" s="5">
        <f>MAX(1,MIN(10,'Китай 2029'!L11+'Китай 2029'!N11+('Китай 2029'!M11+'Китай 2029'!P11+'Китай 2029'!Q11)))</f>
        <v>10</v>
      </c>
      <c r="M11" s="5">
        <f>MIN(1,'Китай 2029'!M11+'Китай 2029'!P11+(0.1*LN(1+0.5*'Ход 2029'!H13)*POWER(MAX(0,1-'Китай 2029'!S11/10),0.8)))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2029'!V11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2029'!B12+'Китай 2029'!D12+('Китай 2029'!C12+'Китай 2029'!F12+'Китай 2029'!G12)+(0.35*LN(1+0.6*'Ход 2029'!B18)*POWER(MAX(0,1-'Китай 2029'!I12/10),0.7))))</f>
        <v>9.230389526</v>
      </c>
      <c r="C12" s="5">
        <f>MIN(1,'Китай 2029'!C12+'Китай 2029'!F12+(0.08*LN(1+0.5*'Ход 2029'!C18)*MAX(0,1-('Китай 2029'!C12+'Китай 2029'!F12))))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9.230389526</v>
      </c>
      <c r="J12" s="5"/>
      <c r="K12" s="5" t="s">
        <v>113</v>
      </c>
      <c r="L12" s="5">
        <f>MAX(1,MIN(10,'Китай 2029'!L12+'Китай 2029'!N12+('Китай 2029'!M12+'Китай 2029'!P12+'Китай 2029'!Q12)))</f>
        <v>9.7</v>
      </c>
      <c r="M12" s="5">
        <f>MIN(1,'Китай 2029'!M12+'Китай 2029'!P12+(0.1*LN(1+0.5*'Ход 2029'!H14)*POWER(MAX(0,1-'Китай 2029'!S12/10),0.8)))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9.7</v>
      </c>
      <c r="T12" s="5"/>
      <c r="U12" s="5" t="s">
        <v>114</v>
      </c>
      <c r="V12" s="16">
        <f>'Китай 2029'!V12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2029'!B13+'Китай 2029'!D13+('Китай 2029'!C13+'Китай 2029'!F13+'Китай 2029'!G13)+(0.35*LN(1+0.6*'Ход 2029'!B19)*POWER(MAX(0,1-'Китай 2029'!I13/10),0.7))))</f>
        <v>10</v>
      </c>
      <c r="C13" s="5">
        <f>MIN(1,'Китай 2029'!C13+'Китай 2029'!F13+(0.08*LN(1+0.5*'Ход 2029'!C19)*MAX(0,1-('Китай 2029'!C13+'Китай 2029'!F13))))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2029'!L13+'Китай 2029'!N13+('Китай 2029'!M13+'Китай 2029'!P13+'Китай 2029'!Q13)))</f>
        <v>10</v>
      </c>
      <c r="M13" s="5">
        <f>MIN(1,'Китай 2029'!M13+'Китай 2029'!P13+(0.1*LN(1+0.5*'Ход 2029'!H15)*POWER(MAX(0,1-'Китай 2029'!S13/10),0.8)))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2029'!V13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2029'!B14+'Китай 2029'!D14+('Китай 2029'!C14+'Китай 2029'!F14+'Китай 2029'!G14)+(0.35*LN(1+0.6*'Ход 2029'!B20)*POWER(MAX(0,1-'Китай 2029'!I14/10),0.7))))</f>
        <v>9.586151626</v>
      </c>
      <c r="C14" s="5">
        <f>MIN(1,'Китай 2029'!C14+'Китай 2029'!F14+(0.08*LN(1+0.5*'Ход 2029'!C20)*MAX(0,1-('Китай 2029'!C14+'Китай 2029'!F14))))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9.586151626</v>
      </c>
      <c r="J14" s="5"/>
      <c r="K14" s="5" t="s">
        <v>119</v>
      </c>
      <c r="L14" s="5">
        <f>MAX(1,MIN(10,'Китай 2029'!L14+'Китай 2029'!N14+('Китай 2029'!M14+'Китай 2029'!P14+'Китай 2029'!Q14)))</f>
        <v>9.984011412</v>
      </c>
      <c r="M14" s="5">
        <f>MIN(1,'Китай 2029'!M14+'Китай 2029'!P14+(0.1*LN(1+0.5*'Ход 2029'!H16)*POWER(MAX(0,1-'Китай 2029'!S14/10),0.8)))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9.984011412</v>
      </c>
      <c r="T14" s="5"/>
      <c r="U14" s="5" t="s">
        <v>120</v>
      </c>
      <c r="V14" s="16">
        <f>'Китай 2029'!V14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2029'!B15+'Китай 2029'!D15+('Китай 2029'!C15+'Китай 2029'!F15+'Китай 2029'!G15)+(0.35*LN(1+0.6*'Ход 2029'!B21)*POWER(MAX(0,1-'Китай 2029'!I15/10),0.7))))</f>
        <v>10</v>
      </c>
      <c r="C15" s="5">
        <f>MIN(1,'Китай 2029'!C15+'Китай 2029'!F15+(0.08*LN(1+0.5*'Ход 2029'!C21)*MAX(0,1-('Китай 2029'!C15+'Китай 2029'!F15))))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2029'!L15+'Китай 2029'!N15+('Китай 2029'!M15+'Китай 2029'!P15+'Китай 2029'!Q15)))</f>
        <v>9.5</v>
      </c>
      <c r="M15" s="5">
        <f>MIN(1,'Китай 2029'!M15+'Китай 2029'!P15+(0.1*LN(1+0.5*'Ход 2029'!H17)*POWER(MAX(0,1-'Китай 2029'!S15/10),0.8)))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9.5</v>
      </c>
      <c r="T15" s="5"/>
      <c r="U15" s="5" t="s">
        <v>123</v>
      </c>
      <c r="V15" s="16">
        <f>'Китай 2029'!V15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2029'!B16+'Китай 2029'!D16+('Китай 2029'!C16+'Китай 2029'!F16+'Китай 2029'!G16)+(0.35*LN(1+0.6*'Ход 2029'!B22)*POWER(MAX(0,1-'Китай 2029'!I16/10),0.7))))</f>
        <v>10</v>
      </c>
      <c r="C16" s="5">
        <f>MIN(1,'Китай 2029'!C16+'Китай 2029'!F16+(0.08*LN(1+0.5*'Ход 2029'!C22)*MAX(0,1-('Китай 2029'!C16+'Китай 2029'!F16))))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2029'!L16+'Китай 2029'!N16+('Китай 2029'!M16+'Китай 2029'!P16+'Китай 2029'!Q16)))</f>
        <v>10</v>
      </c>
      <c r="M16" s="5">
        <f>MIN(1,'Китай 2029'!M16+'Китай 2029'!P16+(0.1*LN(1+0.5*'Ход 2029'!H18)*POWER(MAX(0,1-'Китай 2029'!S16/10),0.8)))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2029'!V16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2029'!B17+'Китай 2029'!D17+('Китай 2029'!C17+'Китай 2029'!F17+'Китай 2029'!G17)+(0.35*LN(1+0.6*'Ход 2029'!B23)*POWER(MAX(0,1-'Китай 2029'!I17/10),0.7))))</f>
        <v>10</v>
      </c>
      <c r="C17" s="5">
        <f>MIN(1,'Китай 2029'!C17+'Китай 2029'!F17+(0.08*LN(1+0.5*'Ход 2029'!C23)*MAX(0,1-('Китай 2029'!C17+'Китай 2029'!F17))))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2029'!L17+'Китай 2029'!N17+('Китай 2029'!M17+'Китай 2029'!P17+'Китай 2029'!Q17)))</f>
        <v>9.922436793</v>
      </c>
      <c r="M17" s="5">
        <f>MIN(1,'Китай 2029'!M17+'Китай 2029'!P17+(0.1*LN(1+0.5*'Ход 2029'!H19)*POWER(MAX(0,1-'Китай 2029'!S17/10),0.8)))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9.922436793</v>
      </c>
      <c r="T17" s="5"/>
      <c r="U17" s="5" t="s">
        <v>129</v>
      </c>
      <c r="V17" s="16">
        <f>'Китай 2029'!V17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2029'!L18+'Китай 2029'!N18+('Китай 2029'!M18+'Китай 2029'!P18+'Китай 2029'!Q18)))</f>
        <v>9.721892773</v>
      </c>
      <c r="M18" s="5">
        <f>MIN(1,'Китай 2029'!M18+'Китай 2029'!P18+(0.1*LN(1+0.5*'Ход 2029'!H20)*POWER(MAX(0,1-'Китай 2029'!S18/10),0.8)))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9.721892773</v>
      </c>
      <c r="T18" s="5"/>
      <c r="U18" s="5" t="s">
        <v>132</v>
      </c>
      <c r="V18" s="16">
        <f>'Китай 2029'!V18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2029'!B19+'Китай 2029'!D19+('Китай 2029'!C19+'Китай 2029'!F19+'Китай 2029'!G19)+(0.35*LN(1+0.6*'Ход 2029'!B25)*POWER(MAX(0,1-'Китай 2029'!I19/10),0.7))))</f>
        <v>9.074168963</v>
      </c>
      <c r="C19" s="5">
        <f>MIN(1,'Китай 2029'!C19+'Китай 2029'!F19+(0.08*LN(1+0.5*'Ход 2029'!C25)*MAX(0,1-('Китай 2029'!C19+'Китай 2029'!F19))))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9.074168963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2029'!V19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2029'!B20+'Китай 2029'!D20+('Китай 2029'!C20+'Китай 2029'!F20+'Китай 2029'!G20)+(0.35*LN(1+0.6*'Ход 2029'!B26)*POWER(MAX(0,1-'Китай 2029'!I20/10),0.7))))</f>
        <v>9.545687249</v>
      </c>
      <c r="C20" s="5">
        <f>MIN(1,'Китай 2029'!C20+'Китай 2029'!F20+(0.08*LN(1+0.5*'Ход 2029'!C26)*MAX(0,1-('Китай 2029'!C20+'Китай 2029'!F20))))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9.545687249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2029'!V20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2029'!B21+'Китай 2029'!D21+('Китай 2029'!C21+'Китай 2029'!F21+'Китай 2029'!G21)+(0.35*LN(1+0.6*'Ход 2029'!B27)*POWER(MAX(0,1-'Китай 2029'!I21/10),0.7))))</f>
        <v>9.823418751</v>
      </c>
      <c r="C21" s="5">
        <f>MIN(1,'Китай 2029'!C21+'Китай 2029'!F21+(0.08*LN(1+0.5*'Ход 2029'!C27)*MAX(0,1-('Китай 2029'!C21+'Китай 2029'!F21))))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9.823418751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2029'!V21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2029'!B22+'Китай 2029'!D22+('Китай 2029'!C22+'Китай 2029'!F22+'Китай 2029'!G22)+(0.35*LN(1+0.6*'Ход 2029'!B28)*POWER(MAX(0,1-'Китай 2029'!I22/10),0.7))))</f>
        <v>10</v>
      </c>
      <c r="C22" s="5">
        <f>MIN(1,'Китай 2029'!C22+'Китай 2029'!F22+(0.08*LN(1+0.5*'Ход 2029'!C28)*MAX(0,1-('Китай 2029'!C22+'Китай 2029'!F22))))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2029'!V22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2029'!B23+'Китай 2029'!D23+('Китай 2029'!C23+'Китай 2029'!F23+'Китай 2029'!G23)+(0.35*LN(1+0.6*'Ход 2029'!B29)*POWER(MAX(0,1-'Китай 2029'!I23/10),0.7))))</f>
        <v>10</v>
      </c>
      <c r="C23" s="5">
        <f>MIN(1,'Китай 2029'!C23+'Китай 2029'!F23+(0.08*LN(1+0.5*'Ход 2029'!C29)*MAX(0,1-('Китай 2029'!C23+'Китай 2029'!F23))))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2029'!V23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2029'!V24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2029'!B25+'Китай 2029'!D25+('Китай 2029'!C25+'Китай 2029'!F25+'Китай 2029'!G25)+(0.35*LN(1+0.6*'Ход 2029'!B31)*POWER(MAX(0,1-'Китай 2029'!I25/10),0.7))))</f>
        <v>10</v>
      </c>
      <c r="C25" s="5">
        <f>MIN(1,'Китай 2029'!C25+'Китай 2029'!F25+(0.08*LN(1+0.5*'Ход 2029'!C31)*MAX(0,1-('Китай 2029'!C25+'Китай 2029'!F25))))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2029'!V25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2029'!B26+'Китай 2029'!D26+('Китай 2029'!C26+'Китай 2029'!F26+'Китай 2029'!G26)+(0.35*LN(1+0.6*'Ход 2029'!B32)*POWER(MAX(0,1-'Китай 2029'!I26/10),0.7))))</f>
        <v>10</v>
      </c>
      <c r="C26" s="5">
        <f>MIN(1,'Китай 2029'!C26+'Китай 2029'!F26+(0.08*LN(1+0.5*'Ход 2029'!C32)*MAX(0,1-('Китай 2029'!C26+'Китай 2029'!F26))))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2029'!V26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2029'!B27+'Китай 2029'!D27+('Китай 2029'!C27+'Китай 2029'!F27+'Китай 2029'!G27)+(0.35*LN(1+0.6*'Ход 2029'!B33)*POWER(MAX(0,1-'Китай 2029'!I27/10),0.7))))</f>
        <v>9.907909944</v>
      </c>
      <c r="C27" s="5">
        <f>MIN(1,'Китай 2029'!C27+'Китай 2029'!F27+(0.08*LN(1+0.5*'Ход 2029'!C33)*MAX(0,1-('Китай 2029'!C27+'Китай 2029'!F27))))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9.907909944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2029'!B28+'Китай 2029'!D28+('Китай 2029'!C28+'Китай 2029'!F28+'Китай 2029'!G28)+(0.35*LN(1+0.6*'Ход 2029'!B34)*POWER(MAX(0,1-'Китай 2029'!I28/10),0.7))))</f>
        <v>10</v>
      </c>
      <c r="C28" s="5">
        <f>MIN(1,'Китай 2029'!C28+'Китай 2029'!F28+(0.08*LN(1+0.5*'Ход 2029'!C34)*MAX(0,1-('Китай 2029'!C28+'Китай 2029'!F28))))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2029'!B29+'Китай 2029'!D29+('Китай 2029'!C29+'Китай 2029'!F29+'Китай 2029'!G29)+(0.35*LN(1+0.6*'Ход 2029'!B35)*POWER(MAX(0,1-'Китай 2029'!I29/10),0.7))))</f>
        <v>9.545687249</v>
      </c>
      <c r="C29" s="5">
        <f>MIN(1,'Китай 2029'!C29+'Китай 2029'!F29+(0.08*LN(1+0.5*'Ход 2029'!C35)*MAX(0,1-('Китай 2029'!C29+'Китай 2029'!F29))))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9.545687249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2029'!B30+'Китай 2029'!D30+('Китай 2029'!C30+'Китай 2029'!F30+'Китай 2029'!G30)+(0.35*LN(1+0.6*'Ход 2029'!B36)*POWER(MAX(0,1-'Китай 2029'!I30/10),0.7))))</f>
        <v>8.408479321</v>
      </c>
      <c r="C30" s="5">
        <f>MIN(1,'Китай 2029'!C30+'Китай 2029'!F30+(0.08*LN(1+0.5*'Ход 2029'!C36)*MAX(0,1-('Китай 2029'!C30+'Китай 2029'!F30))))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8.408479321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2029'!B31+'Китай 2029'!D31+('Китай 2029'!C31+'Китай 2029'!F31+'Китай 2029'!G31)+(0.35*LN(1+0.6*'Ход 2029'!B37)*POWER(MAX(0,1-'Китай 2029'!I31/10),0.7))))</f>
        <v>7.548316355</v>
      </c>
      <c r="C31" s="5">
        <f>MIN(1,'Китай 2029'!C31+'Китай 2029'!F31+(0.08*LN(1+0.5*'Ход 2029'!C37)*MAX(0,1-('Китай 2029'!C31+'Китай 2029'!F31))))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7.548316355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2029'!B32+'Китай 2029'!D32+('Китай 2029'!C32+'Китай 2029'!F32+'Китай 2029'!G32)+(0.35*LN(1+0.6*'Ход 2029'!B38)*POWER(MAX(0,1-'Китай 2029'!I32/10),0.7))))</f>
        <v>9.625684675</v>
      </c>
      <c r="C32" s="5">
        <f>MIN(1,'Китай 2029'!C32+'Китай 2029'!F32+(0.08*LN(1+0.5*'Ход 2029'!C38)*MAX(0,1-('Китай 2029'!C32+'Китай 2029'!F32))))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9.625684675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2029'!B34+'Китай 2029'!D34+('Китай 2029'!C34+'Китай 2029'!F34+'Китай 2029'!G34)+(0.35*LN(1+0.6*'Ход 2029'!B40)*POWER(MAX(0,1-'Китай 2029'!I34/10),0.7))))</f>
        <v>10</v>
      </c>
      <c r="C34" s="5">
        <f>MIN(1,'Китай 2029'!C34+'Китай 2029'!F34+(0.08*LN(1+0.5*'Ход 2029'!C40)*MAX(0,1-('Китай 2029'!C34+'Китай 2029'!F34))))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2029'!B35+'Китай 2029'!D35+('Китай 2029'!C35+'Китай 2029'!F35+'Китай 2029'!G35)+(0.35*LN(1+0.6*'Ход 2029'!B41)*POWER(MAX(0,1-'Китай 2029'!I35/10),0.7))))</f>
        <v>10</v>
      </c>
      <c r="C35" s="5">
        <f>MIN(1,'Китай 2029'!C35+'Китай 2029'!F35+(0.08*LN(1+0.5*'Ход 2029'!C41)*MAX(0,1-('Китай 2029'!C35+'Китай 2029'!F35))))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2029'!B36+'Китай 2029'!D36+('Китай 2029'!C36+'Китай 2029'!F36+'Китай 2029'!G36)+(0.35*LN(1+0.6*'Ход 2029'!B42)*POWER(MAX(0,1-'Китай 2029'!I36/10),0.7))))</f>
        <v>10</v>
      </c>
      <c r="C36" s="5">
        <f>MIN(1,'Китай 2029'!C36+'Китай 2029'!F36+(0.08*LN(1+0.5*'Ход 2029'!C42)*MAX(0,1-('Китай 2029'!C36+'Китай 2029'!F36))))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2029'!B37+'Китай 2029'!D37+('Китай 2029'!C37+'Китай 2029'!F37+'Китай 2029'!G37)+(0.35*LN(1+0.6*'Ход 2029'!B43)*POWER(MAX(0,1-'Китай 2029'!I37/10),0.7))))</f>
        <v>10</v>
      </c>
      <c r="C37" s="5">
        <f>MIN(1,'Китай 2029'!C37+'Китай 2029'!F37+(0.08*LN(1+0.5*'Ход 2029'!C43)*MAX(0,1-('Китай 2029'!C37+'Китай 2029'!F37))))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2029'!B38+'Китай 2029'!D38+('Китай 2029'!C38+'Китай 2029'!F38+'Китай 2029'!G38)+(0.35*LN(1+0.6*'Ход 2029'!B44)*POWER(MAX(0,1-'Китай 2029'!I38/10),0.7))))</f>
        <v>9.907909944</v>
      </c>
      <c r="C38" s="5">
        <f>MIN(1,'Китай 2029'!C38+'Китай 2029'!F38+(0.08*LN(1+0.5*'Ход 2029'!C44)*MAX(0,1-('Китай 2029'!C38+'Китай 2029'!F38))))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9.907909944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2029'!B39+'Китай 2029'!D39+('Китай 2029'!C39+'Китай 2029'!F39+'Китай 2029'!G39)+(0.35*LN(1+0.6*'Ход 2029'!B45)*POWER(MAX(0,1-'Китай 2029'!I39/10),0.7))))</f>
        <v>9.625684675</v>
      </c>
      <c r="C39" s="5">
        <f>MIN(1,'Китай 2029'!C39+'Китай 2029'!F39+(0.08*LN(1+0.5*'Ход 2029'!C45)*MAX(0,1-('Китай 2029'!C39+'Китай 2029'!F39))))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9.625684675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2029'!B40+'Китай 2029'!D40+('Китай 2029'!C40+'Китай 2029'!F40+'Китай 2029'!G40)+(0.35*LN(1+0.6*'Ход 2029'!B46)*POWER(MAX(0,1-'Китай 2029'!I40/10),0.7))))</f>
        <v>9.428009332</v>
      </c>
      <c r="C40" s="5">
        <f>MIN(1,'Китай 2029'!C40+'Китай 2029'!F40+(0.08*LN(1+0.5*'Ход 2029'!C46)*MAX(0,1-('Китай 2029'!C40+'Китай 2029'!F40))))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9.428009332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2029'!B41+'Китай 2029'!D41+('Китай 2029'!C41+'Китай 2029'!F41+'Китай 2029'!G41)+(0.35*LN(1+0.6*'Ход 2029'!B47)*POWER(MAX(0,1-'Китай 2029'!I41/10),0.7))))</f>
        <v>9.907909944</v>
      </c>
      <c r="C41" s="5">
        <f>MIN(1,'Китай 2029'!C41+'Китай 2029'!F41+(0.08*LN(1+0.5*'Ход 2029'!C47)*MAX(0,1-('Китай 2029'!C41+'Китай 2029'!F41))))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9.907909944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2029'!B42+'Китай 2029'!D42+('Китай 2029'!C42+'Китай 2029'!F42+'Китай 2029'!G42)+(0.35*LN(1+0.6*'Ход 2029'!B48)*POWER(MAX(0,1-'Китай 2029'!I42/10),0.7))))</f>
        <v>10</v>
      </c>
      <c r="C42" s="5">
        <f>MIN(1,'Китай 2029'!C42+'Китай 2029'!F42+(0.08*LN(1+0.5*'Ход 2029'!C48)*MAX(0,1-('Китай 2029'!C42+'Китай 2029'!F42))))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2029'!B44+'Китай 2029'!D44+('Китай 2029'!C44+'Китай 2029'!F44+'Китай 2029'!G44)+(0.35*LN(1+0.6*'Ход 2029'!B50)*POWER(MAX(0,1-'Китай 2029'!I44/10),0.7))))</f>
        <v>8.408479321</v>
      </c>
      <c r="C44" s="5">
        <f>MIN(1,'Китай 2029'!C44+'Китай 2029'!F44+(0.08*LN(1+0.5*'Ход 2029'!C50)*MAX(0,1-('Китай 2029'!C44+'Китай 2029'!F44))))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8.408479321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2029'!B45+'Китай 2029'!D45+('Китай 2029'!C45+'Китай 2029'!F45+'Китай 2029'!G45)+(0.35*LN(1+0.6*'Ход 2029'!B51)*POWER(MAX(0,1-'Китай 2029'!I45/10),0.7))))</f>
        <v>9.907909944</v>
      </c>
      <c r="C45" s="5">
        <f>MIN(1,'Китай 2029'!C45+'Китай 2029'!F45+(0.08*LN(1+0.5*'Ход 2029'!C51)*MAX(0,1-('Китай 2029'!C45+'Китай 2029'!F45))))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9.907909944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2029'!B46+'Китай 2029'!D46+('Китай 2029'!C46+'Китай 2029'!F46+'Китай 2029'!G46)+(0.35*LN(1+0.6*'Ход 2029'!B52)*POWER(MAX(0,1-'Китай 2029'!I46/10),0.7))))</f>
        <v>9.907909944</v>
      </c>
      <c r="C46" s="5">
        <f>MIN(1,'Китай 2029'!C46+'Китай 2029'!F46+(0.08*LN(1+0.5*'Ход 2029'!C52)*MAX(0,1-('Китай 2029'!C46+'Китай 2029'!F46))))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9.907909944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2029'!B47+'Китай 2029'!D47+('Китай 2029'!C47+'Китай 2029'!F47+'Китай 2029'!G47)+(0.35*LN(1+0.6*'Ход 2029'!B53)*POWER(MAX(0,1-'Китай 2029'!I47/10),0.7))))</f>
        <v>6.465790504</v>
      </c>
      <c r="C47" s="5">
        <f>MIN(1,'Китай 2029'!C47+'Китай 2029'!F47+(0.08*LN(1+0.5*'Ход 2029'!C53)*MAX(0,1-('Китай 2029'!C47+'Китай 2029'!F47))))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6.465790504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2029'!B48+'Китай 2029'!D48+('Китай 2029'!C48+'Китай 2029'!F48+'Китай 2029'!G48)+(0.35*LN(1+0.6*'Ход 2029'!B54)*POWER(MAX(0,1-'Китай 2029'!I48/10),0.7))))</f>
        <v>8.756696632</v>
      </c>
      <c r="C48" s="5">
        <f>MIN(1,'Китай 2029'!C48+'Китай 2029'!F48+(0.08*LN(1+0.5*'Ход 2029'!C54)*MAX(0,1-('Китай 2029'!C48+'Китай 2029'!F48))))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8.756696632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2029'!B49+'Китай 2029'!D49+('Китай 2029'!C49+'Китай 2029'!F49+'Китай 2029'!G49)+(0.35*LN(1+0.6*'Ход 2029'!B55)*POWER(MAX(0,1-'Китай 2029'!I49/10),0.7))))</f>
        <v>10</v>
      </c>
      <c r="C49" s="5">
        <f>MIN(1,'Китай 2029'!C49+'Китай 2029'!F49+(0.08*LN(1+0.5*'Ход 2029'!C55)*MAX(0,1-('Китай 2029'!C49+'Китай 2029'!F49))))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2029'!B50+'Китай 2029'!D50+('Китай 2029'!C50+'Китай 2029'!F50+'Китай 2029'!G50)+(0.35*LN(1+0.6*'Ход 2029'!B56)*POWER(MAX(0,1-'Китай 2029'!I50/10),0.7))))</f>
        <v>10</v>
      </c>
      <c r="C50" s="5">
        <f>MIN(1,'Китай 2029'!C50+'Китай 2029'!F50+(0.08*LN(1+0.5*'Ход 2029'!C56)*MAX(0,1-('Китай 2029'!C50+'Китай 2029'!F50))))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2029'!B51+'Китай 2029'!D51+('Китай 2029'!C51+'Китай 2029'!F51+'Китай 2029'!G51)+(0.35*LN(1+0.6*'Ход 2029'!B57)*POWER(MAX(0,1-'Китай 2029'!I51/10),0.7))))</f>
        <v>9.907909944</v>
      </c>
      <c r="C51" s="5">
        <f>MIN(1,'Китай 2029'!C51+'Китай 2029'!F51+(0.08*LN(1+0.5*'Ход 2029'!C57)*MAX(0,1-('Китай 2029'!C51+'Китай 2029'!F51))))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9.907909944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2029'!B53+'Китай 2029'!D53+('Китай 2029'!C53+'Китай 2029'!F53+'Китай 2029'!G53)+(0.35*LN(1+0.6*'Ход 2029'!B59)*POWER(MAX(0,1-'Китай 2029'!I53/10),0.7))))</f>
        <v>10</v>
      </c>
      <c r="C53" s="5">
        <f>MIN(1,'Китай 2029'!C53+'Китай 2029'!F53+(0.08*LN(1+0.5*'Ход 2029'!C59)*MAX(0,1-('Китай 2029'!C53+'Китай 2029'!F53))))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2029'!B54+'Китай 2029'!D54+('Китай 2029'!C54+'Китай 2029'!F54+'Китай 2029'!G54)+(0.35*LN(1+0.6*'Ход 2029'!B60)*POWER(MAX(0,1-'Китай 2029'!I54/10),0.7))))</f>
        <v>9.907909944</v>
      </c>
      <c r="C54" s="5">
        <f>MIN(1,'Китай 2029'!C54+'Китай 2029'!F54+(0.08*LN(1+0.5*'Ход 2029'!C60)*MAX(0,1-('Китай 2029'!C54+'Китай 2029'!F54))))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9.907909944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2029'!B55+'Китай 2029'!D55+('Китай 2029'!C55+'Китай 2029'!F55+'Китай 2029'!G55)+(0.35*LN(1+0.6*'Ход 2029'!B61)*POWER(MAX(0,1-'Китай 2029'!I55/10),0.7))))</f>
        <v>9.625684675</v>
      </c>
      <c r="C55" s="5">
        <f>MIN(1,'Китай 2029'!C55+'Китай 2029'!F55+(0.08*LN(1+0.5*'Ход 2029'!C61)*MAX(0,1-('Китай 2029'!C55+'Китай 2029'!F55))))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9.625684675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350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2030'!U6</f>
        <v>99.47401582</v>
      </c>
      <c r="C6" s="5"/>
      <c r="D6" s="5"/>
      <c r="E6" s="5" t="s">
        <v>13</v>
      </c>
      <c r="F6" s="11">
        <f>'Китай 2030'!K6</f>
        <v>83.93321179</v>
      </c>
      <c r="G6" s="5"/>
      <c r="H6" s="5"/>
      <c r="I6" s="5" t="s">
        <v>13</v>
      </c>
      <c r="J6" s="11">
        <f>'Китай 2030'!N6</f>
        <v>76.36294123</v>
      </c>
      <c r="K6" s="5"/>
      <c r="L6" s="5"/>
      <c r="M6" s="5" t="s">
        <v>13</v>
      </c>
      <c r="N6" s="11">
        <f>'Китай 2030'!Q6</f>
        <v>84.63601417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99.47401582</v>
      </c>
      <c r="C8" s="5" t="str">
        <f>IF(B8&lt;0,"ПРЕВЫШЕНИЕ","OK")</f>
        <v>OK</v>
      </c>
      <c r="D8" s="5"/>
      <c r="E8" s="5" t="s">
        <v>91</v>
      </c>
      <c r="F8" s="11">
        <f>F6-F7</f>
        <v>83.93321179</v>
      </c>
      <c r="G8" s="5" t="str">
        <f>IF(F8&lt;0,"ПРЕВЫШЕНИЕ","OK")</f>
        <v>OK</v>
      </c>
      <c r="H8" s="5"/>
      <c r="I8" s="5" t="s">
        <v>91</v>
      </c>
      <c r="J8" s="11">
        <f>J6-J7</f>
        <v>76.36294123</v>
      </c>
      <c r="K8" s="5" t="str">
        <f>IF(J8&lt;0,"ПРЕВЫШЕНИЕ","OK")</f>
        <v>OK</v>
      </c>
      <c r="L8" s="5"/>
      <c r="M8" s="5" t="s">
        <v>91</v>
      </c>
      <c r="N8" s="11">
        <f>N6-N7</f>
        <v>84.63601417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2030'!V11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58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2030'!V12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61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2030'!V13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41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2030'!V14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0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2030'!V15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42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2030'!V16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9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2030'!V17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22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2030'!V18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39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2030'!V19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64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2030'!V20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22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2030'!V21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81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2030'!V22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28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2030'!V23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31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2030'!V24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7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2030'!V25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50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2030'!V26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38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IF(G29="","",VLOOKUP(G29,'Технологии'!$A$11:$BF$50,48,FALSE))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IF(G30="","",VLOOKUP(G30,'Технологии'!$A$11:$BF$50,48,FALSE))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IF(G31="","",VLOOKUP(G31,'Технологии'!$A$11:$BF$50,48,FALSE))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IF(G32="","",VLOOKUP(G32,'Технологии'!$A$11:$BF$50,48,FALSE))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IF(G33="","",VLOOKUP(G33,'Технологии'!$A$11:$BF$50,48,FALSE))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IF(G34="","",VLOOKUP(G34,'Технологии'!$A$11:$BF$50,48,FALSE))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IF(G35="","",VLOOKUP(G35,'Технологии'!$A$11:$BF$50,48,FALSE))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IF(G36="","",VLOOKUP(G36,'Технологии'!$A$11:$BF$50,48,FALSE))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IF(G37="","",VLOOKUP(G37,'Технологии'!$A$11:$BF$50,48,FALSE))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IF(G38="","",VLOOKUP(G38,'Технологии'!$A$11:$BF$50,48,FALSE))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367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84.38069398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76.54896638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85.36976593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99.81082892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2030'!B8+'Китай 2030'!D8+('Китай 2030'!C8+'Китай 2030'!F8+'Китай 2030'!G8)+(0.35*LN(1+0.6*'Ход 2030'!B14)*POWER(MAX(0,1-'Китай 2030'!I8/10),0.7))))</f>
        <v>9.759544329</v>
      </c>
      <c r="C8" s="5">
        <f>MIN(1,'Китай 2030'!C8+'Китай 2030'!F8+(0.08*LN(1+0.5*'Ход 2030'!C14)*MAX(0,1-('Китай 2030'!C8+'Китай 2030'!F8))))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9.759544329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2030'!B9+'Китай 2030'!D9+('Китай 2030'!C9+'Китай 2030'!F9+'Китай 2030'!G9)+(0.35*LN(1+0.6*'Ход 2030'!B15)*POWER(MAX(0,1-'Китай 2030'!I9/10),0.7))))</f>
        <v>10</v>
      </c>
      <c r="C9" s="5">
        <f>MIN(1,'Китай 2030'!C9+'Китай 2030'!F9+(0.08*LN(1+0.5*'Ход 2030'!C15)*MAX(0,1-('Китай 2030'!C9+'Китай 2030'!F9))))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2030'!B10+'Китай 2030'!D10+('Китай 2030'!C10+'Китай 2030'!F10+'Китай 2030'!G10)+(0.35*LN(1+0.6*'Ход 2030'!B16)*POWER(MAX(0,1-'Китай 2030'!I10/10),0.7))))</f>
        <v>10</v>
      </c>
      <c r="C10" s="5">
        <f>MIN(1,'Китай 2030'!C10+'Китай 2030'!F10+(0.08*LN(1+0.5*'Ход 2030'!C16)*MAX(0,1-('Китай 2030'!C10+'Китай 2030'!F10))))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2030'!B11+'Китай 2030'!D11+('Китай 2030'!C11+'Китай 2030'!F11+'Китай 2030'!G11)+(0.35*LN(1+0.6*'Ход 2030'!B17)*POWER(MAX(0,1-'Китай 2030'!I11/10),0.7))))</f>
        <v>8.108761694</v>
      </c>
      <c r="C11" s="5">
        <f>MIN(1,'Китай 2030'!C11+'Китай 2030'!F11+(0.08*LN(1+0.5*'Ход 2030'!C17)*MAX(0,1-('Китай 2030'!C11+'Китай 2030'!F11))))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8.108761694</v>
      </c>
      <c r="J11" s="5"/>
      <c r="K11" s="5" t="s">
        <v>110</v>
      </c>
      <c r="L11" s="5">
        <f>MAX(1,MIN(10,'Китай 2030'!L11+'Китай 2030'!N11+('Китай 2030'!M11+'Китай 2030'!P11+'Китай 2030'!Q11)))</f>
        <v>10</v>
      </c>
      <c r="M11" s="5">
        <f>MIN(1,'Китай 2030'!M11+'Китай 2030'!P11+(0.1*LN(1+0.5*'Ход 2030'!H13)*POWER(MAX(0,1-'Китай 2030'!S11/10),0.8)))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2030'!V11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2030'!B12+'Китай 2030'!D12+('Китай 2030'!C12+'Китай 2030'!F12+'Китай 2030'!G12)+(0.35*LN(1+0.6*'Ход 2030'!B18)*POWER(MAX(0,1-'Китай 2030'!I12/10),0.7))))</f>
        <v>9.280389526</v>
      </c>
      <c r="C12" s="5">
        <f>MIN(1,'Китай 2030'!C12+'Китай 2030'!F12+(0.08*LN(1+0.5*'Ход 2030'!C18)*MAX(0,1-('Китай 2030'!C12+'Китай 2030'!F12))))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9.280389526</v>
      </c>
      <c r="J12" s="5"/>
      <c r="K12" s="5" t="s">
        <v>113</v>
      </c>
      <c r="L12" s="5">
        <f>MAX(1,MIN(10,'Китай 2030'!L12+'Китай 2030'!N12+('Китай 2030'!M12+'Китай 2030'!P12+'Китай 2030'!Q12)))</f>
        <v>10</v>
      </c>
      <c r="M12" s="5">
        <f>MIN(1,'Китай 2030'!M12+'Китай 2030'!P12+(0.1*LN(1+0.5*'Ход 2030'!H14)*POWER(MAX(0,1-'Китай 2030'!S12/10),0.8)))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2030'!V12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2030'!B13+'Китай 2030'!D13+('Китай 2030'!C13+'Китай 2030'!F13+'Китай 2030'!G13)+(0.35*LN(1+0.6*'Ход 2030'!B19)*POWER(MAX(0,1-'Китай 2030'!I13/10),0.7))))</f>
        <v>10</v>
      </c>
      <c r="C13" s="5">
        <f>MIN(1,'Китай 2030'!C13+'Китай 2030'!F13+(0.08*LN(1+0.5*'Ход 2030'!C19)*MAX(0,1-('Китай 2030'!C13+'Китай 2030'!F13))))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2030'!L13+'Китай 2030'!N13+('Китай 2030'!M13+'Китай 2030'!P13+'Китай 2030'!Q13)))</f>
        <v>10</v>
      </c>
      <c r="M13" s="5">
        <f>MIN(1,'Китай 2030'!M13+'Китай 2030'!P13+(0.1*LN(1+0.5*'Ход 2030'!H15)*POWER(MAX(0,1-'Китай 2030'!S13/10),0.8)))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2030'!V13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2030'!B14+'Китай 2030'!D14+('Китай 2030'!C14+'Китай 2030'!F14+'Китай 2030'!G14)+(0.35*LN(1+0.6*'Ход 2030'!B20)*POWER(MAX(0,1-'Китай 2030'!I14/10),0.7))))</f>
        <v>10</v>
      </c>
      <c r="C14" s="5">
        <f>MIN(1,'Китай 2030'!C14+'Китай 2030'!F14+(0.08*LN(1+0.5*'Ход 2030'!C20)*MAX(0,1-('Китай 2030'!C14+'Китай 2030'!F14))))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2030'!L14+'Китай 2030'!N14+('Китай 2030'!M14+'Китай 2030'!P14+'Китай 2030'!Q14)))</f>
        <v>10</v>
      </c>
      <c r="M14" s="5">
        <f>MIN(1,'Китай 2030'!M14+'Китай 2030'!P14+(0.1*LN(1+0.5*'Ход 2030'!H16)*POWER(MAX(0,1-'Китай 2030'!S14/10),0.8)))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2030'!V14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2030'!B15+'Китай 2030'!D15+('Китай 2030'!C15+'Китай 2030'!F15+'Китай 2030'!G15)+(0.35*LN(1+0.6*'Ход 2030'!B21)*POWER(MAX(0,1-'Китай 2030'!I15/10),0.7))))</f>
        <v>10</v>
      </c>
      <c r="C15" s="5">
        <f>MIN(1,'Китай 2030'!C15+'Китай 2030'!F15+(0.08*LN(1+0.5*'Ход 2030'!C21)*MAX(0,1-('Китай 2030'!C15+'Китай 2030'!F15))))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2030'!L15+'Китай 2030'!N15+('Китай 2030'!M15+'Китай 2030'!P15+'Китай 2030'!Q15)))</f>
        <v>9.75</v>
      </c>
      <c r="M15" s="5">
        <f>MIN(1,'Китай 2030'!M15+'Китай 2030'!P15+(0.1*LN(1+0.5*'Ход 2030'!H17)*POWER(MAX(0,1-'Китай 2030'!S15/10),0.8)))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9.75</v>
      </c>
      <c r="T15" s="5"/>
      <c r="U15" s="5" t="s">
        <v>123</v>
      </c>
      <c r="V15" s="16">
        <f>'Китай 2030'!V15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2030'!B16+'Китай 2030'!D16+('Китай 2030'!C16+'Китай 2030'!F16+'Китай 2030'!G16)+(0.35*LN(1+0.6*'Ход 2030'!B22)*POWER(MAX(0,1-'Китай 2030'!I16/10),0.7))))</f>
        <v>10</v>
      </c>
      <c r="C16" s="5">
        <f>MIN(1,'Китай 2030'!C16+'Китай 2030'!F16+(0.08*LN(1+0.5*'Ход 2030'!C22)*MAX(0,1-('Китай 2030'!C16+'Китай 2030'!F16))))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2030'!L16+'Китай 2030'!N16+('Китай 2030'!M16+'Китай 2030'!P16+'Китай 2030'!Q16)))</f>
        <v>10</v>
      </c>
      <c r="M16" s="5">
        <f>MIN(1,'Китай 2030'!M16+'Китай 2030'!P16+(0.1*LN(1+0.5*'Ход 2030'!H18)*POWER(MAX(0,1-'Китай 2030'!S16/10),0.8)))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2030'!V16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2030'!B17+'Китай 2030'!D17+('Китай 2030'!C17+'Китай 2030'!F17+'Китай 2030'!G17)+(0.35*LN(1+0.6*'Ход 2030'!B23)*POWER(MAX(0,1-'Китай 2030'!I17/10),0.7))))</f>
        <v>10</v>
      </c>
      <c r="C17" s="5">
        <f>MIN(1,'Китай 2030'!C17+'Китай 2030'!F17+(0.08*LN(1+0.5*'Ход 2030'!C23)*MAX(0,1-('Китай 2030'!C17+'Китай 2030'!F17))))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2030'!L17+'Китай 2030'!N17+('Китай 2030'!M17+'Китай 2030'!P17+'Китай 2030'!Q17)))</f>
        <v>10</v>
      </c>
      <c r="M17" s="5">
        <f>MIN(1,'Китай 2030'!M17+'Китай 2030'!P17+(0.1*LN(1+0.5*'Ход 2030'!H19)*POWER(MAX(0,1-'Китай 2030'!S17/10),0.8)))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2030'!V17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2030'!L18+'Китай 2030'!N18+('Китай 2030'!M18+'Китай 2030'!P18+'Китай 2030'!Q18)))</f>
        <v>10</v>
      </c>
      <c r="M18" s="5">
        <f>MIN(1,'Китай 2030'!M18+'Китай 2030'!P18+(0.1*LN(1+0.5*'Ход 2030'!H20)*POWER(MAX(0,1-'Китай 2030'!S18/10),0.8)))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2030'!V18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2030'!B19+'Китай 2030'!D19+('Китай 2030'!C19+'Китай 2030'!F19+'Китай 2030'!G19)+(0.35*LN(1+0.6*'Ход 2030'!B25)*POWER(MAX(0,1-'Китай 2030'!I19/10),0.7))))</f>
        <v>9.324168963</v>
      </c>
      <c r="C19" s="5">
        <f>MIN(1,'Китай 2030'!C19+'Китай 2030'!F19+(0.08*LN(1+0.5*'Ход 2030'!C25)*MAX(0,1-('Китай 2030'!C19+'Китай 2030'!F19))))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9.324168963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2030'!V19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2030'!B20+'Китай 2030'!D20+('Китай 2030'!C20+'Китай 2030'!F20+'Китай 2030'!G20)+(0.35*LN(1+0.6*'Ход 2030'!B26)*POWER(MAX(0,1-'Китай 2030'!I20/10),0.7))))</f>
        <v>9.795687249</v>
      </c>
      <c r="C20" s="5">
        <f>MIN(1,'Китай 2030'!C20+'Китай 2030'!F20+(0.08*LN(1+0.5*'Ход 2030'!C26)*MAX(0,1-('Китай 2030'!C20+'Китай 2030'!F20))))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9.795687249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2030'!V20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2030'!B21+'Китай 2030'!D21+('Китай 2030'!C21+'Китай 2030'!F21+'Китай 2030'!G21)+(0.35*LN(1+0.6*'Ход 2030'!B27)*POWER(MAX(0,1-'Китай 2030'!I21/10),0.7))))</f>
        <v>10</v>
      </c>
      <c r="C21" s="5">
        <f>MIN(1,'Китай 2030'!C21+'Китай 2030'!F21+(0.08*LN(1+0.5*'Ход 2030'!C27)*MAX(0,1-('Китай 2030'!C21+'Китай 2030'!F21))))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2030'!V21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2030'!B22+'Китай 2030'!D22+('Китай 2030'!C22+'Китай 2030'!F22+'Китай 2030'!G22)+(0.35*LN(1+0.6*'Ход 2030'!B28)*POWER(MAX(0,1-'Китай 2030'!I22/10),0.7))))</f>
        <v>10</v>
      </c>
      <c r="C22" s="5">
        <f>MIN(1,'Китай 2030'!C22+'Китай 2030'!F22+(0.08*LN(1+0.5*'Ход 2030'!C28)*MAX(0,1-('Китай 2030'!C22+'Китай 2030'!F22))))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2030'!V22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2030'!B23+'Китай 2030'!D23+('Китай 2030'!C23+'Китай 2030'!F23+'Китай 2030'!G23)+(0.35*LN(1+0.6*'Ход 2030'!B29)*POWER(MAX(0,1-'Китай 2030'!I23/10),0.7))))</f>
        <v>10</v>
      </c>
      <c r="C23" s="5">
        <f>MIN(1,'Китай 2030'!C23+'Китай 2030'!F23+(0.08*LN(1+0.5*'Ход 2030'!C29)*MAX(0,1-('Китай 2030'!C23+'Китай 2030'!F23))))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2030'!V23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2030'!V24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2030'!B25+'Китай 2030'!D25+('Китай 2030'!C25+'Китай 2030'!F25+'Китай 2030'!G25)+(0.35*LN(1+0.6*'Ход 2030'!B31)*POWER(MAX(0,1-'Китай 2030'!I25/10),0.7))))</f>
        <v>10</v>
      </c>
      <c r="C25" s="5">
        <f>MIN(1,'Китай 2030'!C25+'Китай 2030'!F25+(0.08*LN(1+0.5*'Ход 2030'!C31)*MAX(0,1-('Китай 2030'!C25+'Китай 2030'!F25))))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2030'!V25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2030'!B26+'Китай 2030'!D26+('Китай 2030'!C26+'Китай 2030'!F26+'Китай 2030'!G26)+(0.35*LN(1+0.6*'Ход 2030'!B32)*POWER(MAX(0,1-'Китай 2030'!I26/10),0.7))))</f>
        <v>10</v>
      </c>
      <c r="C26" s="5">
        <f>MIN(1,'Китай 2030'!C26+'Китай 2030'!F26+(0.08*LN(1+0.5*'Ход 2030'!C32)*MAX(0,1-('Китай 2030'!C26+'Китай 2030'!F26))))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2030'!V26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2030'!B27+'Китай 2030'!D27+('Китай 2030'!C27+'Китай 2030'!F27+'Китай 2030'!G27)+(0.35*LN(1+0.6*'Ход 2030'!B33)*POWER(MAX(0,1-'Китай 2030'!I27/10),0.7))))</f>
        <v>10</v>
      </c>
      <c r="C27" s="5">
        <f>MIN(1,'Китай 2030'!C27+'Китай 2030'!F27+(0.08*LN(1+0.5*'Ход 2030'!C33)*MAX(0,1-('Китай 2030'!C27+'Китай 2030'!F27))))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2030'!B28+'Китай 2030'!D28+('Китай 2030'!C28+'Китай 2030'!F28+'Китай 2030'!G28)+(0.35*LN(1+0.6*'Ход 2030'!B34)*POWER(MAX(0,1-'Китай 2030'!I28/10),0.7))))</f>
        <v>10</v>
      </c>
      <c r="C28" s="5">
        <f>MIN(1,'Китай 2030'!C28+'Китай 2030'!F28+(0.08*LN(1+0.5*'Ход 2030'!C34)*MAX(0,1-('Китай 2030'!C28+'Китай 2030'!F28))))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2030'!B29+'Китай 2030'!D29+('Китай 2030'!C29+'Китай 2030'!F29+'Китай 2030'!G29)+(0.35*LN(1+0.6*'Ход 2030'!B35)*POWER(MAX(0,1-'Китай 2030'!I29/10),0.7))))</f>
        <v>9.795687249</v>
      </c>
      <c r="C29" s="5">
        <f>MIN(1,'Китай 2030'!C29+'Китай 2030'!F29+(0.08*LN(1+0.5*'Ход 2030'!C35)*MAX(0,1-('Китай 2030'!C29+'Китай 2030'!F29))))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9.795687249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2030'!B30+'Китай 2030'!D30+('Китай 2030'!C30+'Китай 2030'!F30+'Китай 2030'!G30)+(0.35*LN(1+0.6*'Ход 2030'!B36)*POWER(MAX(0,1-'Китай 2030'!I30/10),0.7))))</f>
        <v>8.608479321</v>
      </c>
      <c r="C30" s="5">
        <f>MIN(1,'Китай 2030'!C30+'Китай 2030'!F30+(0.08*LN(1+0.5*'Ход 2030'!C36)*MAX(0,1-('Китай 2030'!C30+'Китай 2030'!F30))))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8.608479321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2030'!B31+'Китай 2030'!D31+('Китай 2030'!C31+'Китай 2030'!F31+'Китай 2030'!G31)+(0.35*LN(1+0.6*'Ход 2030'!B37)*POWER(MAX(0,1-'Китай 2030'!I31/10),0.7))))</f>
        <v>7.648316355</v>
      </c>
      <c r="C31" s="5">
        <f>MIN(1,'Китай 2030'!C31+'Китай 2030'!F31+(0.08*LN(1+0.5*'Ход 2030'!C37)*MAX(0,1-('Китай 2030'!C31+'Китай 2030'!F31))))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7.648316355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2030'!B32+'Китай 2030'!D32+('Китай 2030'!C32+'Китай 2030'!F32+'Китай 2030'!G32)+(0.35*LN(1+0.6*'Ход 2030'!B38)*POWER(MAX(0,1-'Китай 2030'!I32/10),0.7))))</f>
        <v>9.775684675</v>
      </c>
      <c r="C32" s="5">
        <f>MIN(1,'Китай 2030'!C32+'Китай 2030'!F32+(0.08*LN(1+0.5*'Ход 2030'!C38)*MAX(0,1-('Китай 2030'!C32+'Китай 2030'!F32))))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9.775684675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2030'!B34+'Китай 2030'!D34+('Китай 2030'!C34+'Китай 2030'!F34+'Китай 2030'!G34)+(0.35*LN(1+0.6*'Ход 2030'!B40)*POWER(MAX(0,1-'Китай 2030'!I34/10),0.7))))</f>
        <v>10</v>
      </c>
      <c r="C34" s="5">
        <f>MIN(1,'Китай 2030'!C34+'Китай 2030'!F34+(0.08*LN(1+0.5*'Ход 2030'!C40)*MAX(0,1-('Китай 2030'!C34+'Китай 2030'!F34))))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2030'!B35+'Китай 2030'!D35+('Китай 2030'!C35+'Китай 2030'!F35+'Китай 2030'!G35)+(0.35*LN(1+0.6*'Ход 2030'!B41)*POWER(MAX(0,1-'Китай 2030'!I35/10),0.7))))</f>
        <v>10</v>
      </c>
      <c r="C35" s="5">
        <f>MIN(1,'Китай 2030'!C35+'Китай 2030'!F35+(0.08*LN(1+0.5*'Ход 2030'!C41)*MAX(0,1-('Китай 2030'!C35+'Китай 2030'!F35))))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2030'!B36+'Китай 2030'!D36+('Китай 2030'!C36+'Китай 2030'!F36+'Китай 2030'!G36)+(0.35*LN(1+0.6*'Ход 2030'!B42)*POWER(MAX(0,1-'Китай 2030'!I36/10),0.7))))</f>
        <v>10</v>
      </c>
      <c r="C36" s="5">
        <f>MIN(1,'Китай 2030'!C36+'Китай 2030'!F36+(0.08*LN(1+0.5*'Ход 2030'!C42)*MAX(0,1-('Китай 2030'!C36+'Китай 2030'!F36))))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2030'!B37+'Китай 2030'!D37+('Китай 2030'!C37+'Китай 2030'!F37+'Китай 2030'!G37)+(0.35*LN(1+0.6*'Ход 2030'!B43)*POWER(MAX(0,1-'Китай 2030'!I37/10),0.7))))</f>
        <v>10</v>
      </c>
      <c r="C37" s="5">
        <f>MIN(1,'Китай 2030'!C37+'Китай 2030'!F37+(0.08*LN(1+0.5*'Ход 2030'!C43)*MAX(0,1-('Китай 2030'!C37+'Китай 2030'!F37))))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2030'!B38+'Китай 2030'!D38+('Китай 2030'!C38+'Китай 2030'!F38+'Китай 2030'!G38)+(0.35*LN(1+0.6*'Ход 2030'!B44)*POWER(MAX(0,1-'Китай 2030'!I38/10),0.7))))</f>
        <v>10</v>
      </c>
      <c r="C38" s="5">
        <f>MIN(1,'Китай 2030'!C38+'Китай 2030'!F38+(0.08*LN(1+0.5*'Ход 2030'!C44)*MAX(0,1-('Китай 2030'!C38+'Китай 2030'!F38))))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2030'!B39+'Китай 2030'!D39+('Китай 2030'!C39+'Китай 2030'!F39+'Китай 2030'!G39)+(0.35*LN(1+0.6*'Ход 2030'!B45)*POWER(MAX(0,1-'Китай 2030'!I39/10),0.7))))</f>
        <v>9.775684675</v>
      </c>
      <c r="C39" s="5">
        <f>MIN(1,'Китай 2030'!C39+'Китай 2030'!F39+(0.08*LN(1+0.5*'Ход 2030'!C45)*MAX(0,1-('Китай 2030'!C39+'Китай 2030'!F39))))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9.775684675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2030'!B40+'Китай 2030'!D40+('Китай 2030'!C40+'Китай 2030'!F40+'Китай 2030'!G40)+(0.35*LN(1+0.6*'Ход 2030'!B46)*POWER(MAX(0,1-'Китай 2030'!I40/10),0.7))))</f>
        <v>9.528009332</v>
      </c>
      <c r="C40" s="5">
        <f>MIN(1,'Китай 2030'!C40+'Китай 2030'!F40+(0.08*LN(1+0.5*'Ход 2030'!C46)*MAX(0,1-('Китай 2030'!C40+'Китай 2030'!F40))))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9.528009332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2030'!B41+'Китай 2030'!D41+('Китай 2030'!C41+'Китай 2030'!F41+'Китай 2030'!G41)+(0.35*LN(1+0.6*'Ход 2030'!B47)*POWER(MAX(0,1-'Китай 2030'!I41/10),0.7))))</f>
        <v>10</v>
      </c>
      <c r="C41" s="5">
        <f>MIN(1,'Китай 2030'!C41+'Китай 2030'!F41+(0.08*LN(1+0.5*'Ход 2030'!C47)*MAX(0,1-('Китай 2030'!C41+'Китай 2030'!F41))))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2030'!B42+'Китай 2030'!D42+('Китай 2030'!C42+'Китай 2030'!F42+'Китай 2030'!G42)+(0.35*LN(1+0.6*'Ход 2030'!B48)*POWER(MAX(0,1-'Китай 2030'!I42/10),0.7))))</f>
        <v>10</v>
      </c>
      <c r="C42" s="5">
        <f>MIN(1,'Китай 2030'!C42+'Китай 2030'!F42+(0.08*LN(1+0.5*'Ход 2030'!C48)*MAX(0,1-('Китай 2030'!C42+'Китай 2030'!F42))))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2030'!B44+'Китай 2030'!D44+('Китай 2030'!C44+'Китай 2030'!F44+'Китай 2030'!G44)+(0.35*LN(1+0.6*'Ход 2030'!B50)*POWER(MAX(0,1-'Китай 2030'!I44/10),0.7))))</f>
        <v>8.608479321</v>
      </c>
      <c r="C44" s="5">
        <f>MIN(1,'Китай 2030'!C44+'Китай 2030'!F44+(0.08*LN(1+0.5*'Ход 2030'!C50)*MAX(0,1-('Китай 2030'!C44+'Китай 2030'!F44))))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8.608479321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2030'!B45+'Китай 2030'!D45+('Китай 2030'!C45+'Китай 2030'!F45+'Китай 2030'!G45)+(0.35*LN(1+0.6*'Ход 2030'!B51)*POWER(MAX(0,1-'Китай 2030'!I45/10),0.7))))</f>
        <v>10</v>
      </c>
      <c r="C45" s="5">
        <f>MIN(1,'Китай 2030'!C45+'Китай 2030'!F45+(0.08*LN(1+0.5*'Ход 2030'!C51)*MAX(0,1-('Китай 2030'!C45+'Китай 2030'!F45))))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2030'!B46+'Китай 2030'!D46+('Китай 2030'!C46+'Китай 2030'!F46+'Китай 2030'!G46)+(0.35*LN(1+0.6*'Ход 2030'!B52)*POWER(MAX(0,1-'Китай 2030'!I46/10),0.7))))</f>
        <v>10</v>
      </c>
      <c r="C46" s="5">
        <f>MIN(1,'Китай 2030'!C46+'Китай 2030'!F46+(0.08*LN(1+0.5*'Ход 2030'!C52)*MAX(0,1-('Китай 2030'!C46+'Китай 2030'!F46))))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2030'!B47+'Китай 2030'!D47+('Китай 2030'!C47+'Китай 2030'!F47+'Китай 2030'!G47)+(0.35*LN(1+0.6*'Ход 2030'!B53)*POWER(MAX(0,1-'Китай 2030'!I47/10),0.7))))</f>
        <v>6.576805288</v>
      </c>
      <c r="C47" s="5">
        <f>MIN(1,'Китай 2030'!C47+'Китай 2030'!F47+(0.08*LN(1+0.5*'Ход 2030'!C53)*MAX(0,1-('Китай 2030'!C47+'Китай 2030'!F47))))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6.576805288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2030'!B48+'Китай 2030'!D48+('Китай 2030'!C48+'Китай 2030'!F48+'Китай 2030'!G48)+(0.35*LN(1+0.6*'Ход 2030'!B54)*POWER(MAX(0,1-'Китай 2030'!I48/10),0.7))))</f>
        <v>8.806696632</v>
      </c>
      <c r="C48" s="5">
        <f>MIN(1,'Китай 2030'!C48+'Китай 2030'!F48+(0.08*LN(1+0.5*'Ход 2030'!C54)*MAX(0,1-('Китай 2030'!C48+'Китай 2030'!F48))))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8.806696632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2030'!B49+'Китай 2030'!D49+('Китай 2030'!C49+'Китай 2030'!F49+'Китай 2030'!G49)+(0.35*LN(1+0.6*'Ход 2030'!B55)*POWER(MAX(0,1-'Китай 2030'!I49/10),0.7))))</f>
        <v>10</v>
      </c>
      <c r="C49" s="5">
        <f>MIN(1,'Китай 2030'!C49+'Китай 2030'!F49+(0.08*LN(1+0.5*'Ход 2030'!C55)*MAX(0,1-('Китай 2030'!C49+'Китай 2030'!F49))))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2030'!B50+'Китай 2030'!D50+('Китай 2030'!C50+'Китай 2030'!F50+'Китай 2030'!G50)+(0.35*LN(1+0.6*'Ход 2030'!B56)*POWER(MAX(0,1-'Китай 2030'!I50/10),0.7))))</f>
        <v>10</v>
      </c>
      <c r="C50" s="5">
        <f>MIN(1,'Китай 2030'!C50+'Китай 2030'!F50+(0.08*LN(1+0.5*'Ход 2030'!C56)*MAX(0,1-('Китай 2030'!C50+'Китай 2030'!F50))))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2030'!B51+'Китай 2030'!D51+('Китай 2030'!C51+'Китай 2030'!F51+'Китай 2030'!G51)+(0.35*LN(1+0.6*'Ход 2030'!B57)*POWER(MAX(0,1-'Китай 2030'!I51/10),0.7))))</f>
        <v>10</v>
      </c>
      <c r="C51" s="5">
        <f>MIN(1,'Китай 2030'!C51+'Китай 2030'!F51+(0.08*LN(1+0.5*'Ход 2030'!C57)*MAX(0,1-('Китай 2030'!C51+'Китай 2030'!F51))))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2030'!B53+'Китай 2030'!D53+('Китай 2030'!C53+'Китай 2030'!F53+'Китай 2030'!G53)+(0.35*LN(1+0.6*'Ход 2030'!B59)*POWER(MAX(0,1-'Китай 2030'!I53/10),0.7))))</f>
        <v>10</v>
      </c>
      <c r="C53" s="5">
        <f>MIN(1,'Китай 2030'!C53+'Китай 2030'!F53+(0.08*LN(1+0.5*'Ход 2030'!C59)*MAX(0,1-('Китай 2030'!C53+'Китай 2030'!F53))))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2030'!B54+'Китай 2030'!D54+('Китай 2030'!C54+'Китай 2030'!F54+'Китай 2030'!G54)+(0.35*LN(1+0.6*'Ход 2030'!B60)*POWER(MAX(0,1-'Китай 2030'!I54/10),0.7))))</f>
        <v>10</v>
      </c>
      <c r="C54" s="5">
        <f>MIN(1,'Китай 2030'!C54+'Китай 2030'!F54+(0.08*LN(1+0.5*'Ход 2030'!C60)*MAX(0,1-('Китай 2030'!C54+'Китай 2030'!F54))))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2030'!B55+'Китай 2030'!D55+('Китай 2030'!C55+'Китай 2030'!F55+'Китай 2030'!G55)+(0.35*LN(1+0.6*'Ход 2030'!B61)*POWER(MAX(0,1-'Китай 2030'!I55/10),0.7))))</f>
        <v>9.775684675</v>
      </c>
      <c r="C55" s="5">
        <f>MIN(1,'Китай 2030'!C55+'Китай 2030'!F55+(0.08*LN(1+0.5*'Ход 2030'!C61)*MAX(0,1-('Китай 2030'!C55+'Китай 2030'!F55))))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9.775684675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385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2031'!U6</f>
        <v>99.81082892</v>
      </c>
      <c r="C6" s="5"/>
      <c r="D6" s="5"/>
      <c r="E6" s="5" t="s">
        <v>13</v>
      </c>
      <c r="F6" s="11">
        <f>'Китай 2031'!K6</f>
        <v>84.38069398</v>
      </c>
      <c r="G6" s="5"/>
      <c r="H6" s="5"/>
      <c r="I6" s="5" t="s">
        <v>13</v>
      </c>
      <c r="J6" s="11">
        <f>'Китай 2031'!N6</f>
        <v>76.54896638</v>
      </c>
      <c r="K6" s="5"/>
      <c r="L6" s="5"/>
      <c r="M6" s="5" t="s">
        <v>13</v>
      </c>
      <c r="N6" s="11">
        <f>'Китай 2031'!Q6</f>
        <v>85.36976593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99.81082892</v>
      </c>
      <c r="C8" s="5" t="str">
        <f>IF(B8&lt;0,"ПРЕВЫШЕНИЕ","OK")</f>
        <v>OK</v>
      </c>
      <c r="D8" s="5"/>
      <c r="E8" s="5" t="s">
        <v>91</v>
      </c>
      <c r="F8" s="11">
        <f>F6-F7</f>
        <v>84.38069398</v>
      </c>
      <c r="G8" s="5" t="str">
        <f>IF(F8&lt;0,"ПРЕВЫШЕНИЕ","OK")</f>
        <v>OK</v>
      </c>
      <c r="H8" s="5"/>
      <c r="I8" s="5" t="s">
        <v>91</v>
      </c>
      <c r="J8" s="11">
        <f>J6-J7</f>
        <v>76.54896638</v>
      </c>
      <c r="K8" s="5" t="str">
        <f>IF(J8&lt;0,"ПРЕВЫШЕНИЕ","OK")</f>
        <v>OK</v>
      </c>
      <c r="L8" s="5"/>
      <c r="M8" s="5" t="s">
        <v>91</v>
      </c>
      <c r="N8" s="11">
        <f>N6-N7</f>
        <v>85.36976593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2031'!V11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87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2031'!V12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44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2031'!V13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47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2031'!V14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52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2031'!V15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35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2031'!V16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81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2031'!V17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43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2031'!V18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100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2031'!V19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13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2031'!V20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62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2031'!V21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49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2031'!V22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94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2031'!V23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1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2031'!V24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24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2031'!V25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70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2031'!V26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34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IF(G29="","",VLOOKUP(G29,'Технологии'!$A$11:$BF$50,49,FALSE))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IF(G30="","",VLOOKUP(G30,'Технологии'!$A$11:$BF$50,49,FALSE))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IF(G31="","",VLOOKUP(G31,'Технологии'!$A$11:$BF$50,49,FALSE))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IF(G32="","",VLOOKUP(G32,'Технологии'!$A$11:$BF$50,49,FALSE))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IF(G33="","",VLOOKUP(G33,'Технологии'!$A$11:$BF$50,49,FALSE))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IF(G34="","",VLOOKUP(G34,'Технологии'!$A$11:$BF$50,49,FALSE))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IF(G35="","",VLOOKUP(G35,'Технологии'!$A$11:$BF$50,49,FALSE))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IF(G36="","",VLOOKUP(G36,'Технологии'!$A$11:$BF$50,49,FALSE))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IF(G37="","",VLOOKUP(G37,'Технологии'!$A$11:$BF$50,49,FALSE))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IF(G38="","",VLOOKUP(G38,'Технологии'!$A$11:$BF$50,49,FALSE))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395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84.65022163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76.56578688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85.74119951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99.86679088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2031'!B8+'Китай 2031'!D8+('Китай 2031'!C8+'Китай 2031'!F8+'Китай 2031'!G8)+(0.35*LN(1+0.6*'Ход 2031'!B14)*POWER(MAX(0,1-'Китай 2031'!I8/10),0.7))))</f>
        <v>9.809544329</v>
      </c>
      <c r="C8" s="5">
        <f>MIN(1,'Китай 2031'!C8+'Китай 2031'!F8+(0.08*LN(1+0.5*'Ход 2031'!C14)*MAX(0,1-('Китай 2031'!C8+'Китай 2031'!F8))))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9.809544329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2031'!B9+'Китай 2031'!D9+('Китай 2031'!C9+'Китай 2031'!F9+'Китай 2031'!G9)+(0.35*LN(1+0.6*'Ход 2031'!B15)*POWER(MAX(0,1-'Китай 2031'!I9/10),0.7))))</f>
        <v>10</v>
      </c>
      <c r="C9" s="5">
        <f>MIN(1,'Китай 2031'!C9+'Китай 2031'!F9+(0.08*LN(1+0.5*'Ход 2031'!C15)*MAX(0,1-('Китай 2031'!C9+'Китай 2031'!F9))))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2031'!B10+'Китай 2031'!D10+('Китай 2031'!C10+'Китай 2031'!F10+'Китай 2031'!G10)+(0.35*LN(1+0.6*'Ход 2031'!B16)*POWER(MAX(0,1-'Китай 2031'!I10/10),0.7))))</f>
        <v>10</v>
      </c>
      <c r="C10" s="5">
        <f>MIN(1,'Китай 2031'!C10+'Китай 2031'!F10+(0.08*LN(1+0.5*'Ход 2031'!C16)*MAX(0,1-('Китай 2031'!C10+'Китай 2031'!F10))))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2031'!B11+'Китай 2031'!D11+('Китай 2031'!C11+'Китай 2031'!F11+'Китай 2031'!G11)+(0.35*LN(1+0.6*'Ход 2031'!B17)*POWER(MAX(0,1-'Китай 2031'!I11/10),0.7))))</f>
        <v>8.480312259</v>
      </c>
      <c r="C11" s="5">
        <f>MIN(1,'Китай 2031'!C11+'Китай 2031'!F11+(0.08*LN(1+0.5*'Ход 2031'!C17)*MAX(0,1-('Китай 2031'!C11+'Китай 2031'!F11))))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8.480312259</v>
      </c>
      <c r="J11" s="5"/>
      <c r="K11" s="5" t="s">
        <v>110</v>
      </c>
      <c r="L11" s="5">
        <f>MAX(1,MIN(10,'Китай 2031'!L11+'Китай 2031'!N11+('Китай 2031'!M11+'Китай 2031'!P11+'Китай 2031'!Q11)))</f>
        <v>10</v>
      </c>
      <c r="M11" s="5">
        <f>MIN(1,'Китай 2031'!M11+'Китай 2031'!P11+(0.1*LN(1+0.5*'Ход 2031'!H13)*POWER(MAX(0,1-'Китай 2031'!S11/10),0.8)))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2031'!V11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2031'!B12+'Китай 2031'!D12+('Китай 2031'!C12+'Китай 2031'!F12+'Китай 2031'!G12)+(0.35*LN(1+0.6*'Ход 2031'!B18)*POWER(MAX(0,1-'Китай 2031'!I12/10),0.7))))</f>
        <v>9.330389526</v>
      </c>
      <c r="C12" s="5">
        <f>MIN(1,'Китай 2031'!C12+'Китай 2031'!F12+(0.08*LN(1+0.5*'Ход 2031'!C18)*MAX(0,1-('Китай 2031'!C12+'Китай 2031'!F12))))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9.330389526</v>
      </c>
      <c r="J12" s="5"/>
      <c r="K12" s="5" t="s">
        <v>113</v>
      </c>
      <c r="L12" s="5">
        <f>MAX(1,MIN(10,'Китай 2031'!L12+'Китай 2031'!N12+('Китай 2031'!M12+'Китай 2031'!P12+'Китай 2031'!Q12)))</f>
        <v>10</v>
      </c>
      <c r="M12" s="5">
        <f>MIN(1,'Китай 2031'!M12+'Китай 2031'!P12+(0.1*LN(1+0.5*'Ход 2031'!H14)*POWER(MAX(0,1-'Китай 2031'!S12/10),0.8)))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2031'!V12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2031'!B13+'Китай 2031'!D13+('Китай 2031'!C13+'Китай 2031'!F13+'Китай 2031'!G13)+(0.35*LN(1+0.6*'Ход 2031'!B19)*POWER(MAX(0,1-'Китай 2031'!I13/10),0.7))))</f>
        <v>10</v>
      </c>
      <c r="C13" s="5">
        <f>MIN(1,'Китай 2031'!C13+'Китай 2031'!F13+(0.08*LN(1+0.5*'Ход 2031'!C19)*MAX(0,1-('Китай 2031'!C13+'Китай 2031'!F13))))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2031'!L13+'Китай 2031'!N13+('Китай 2031'!M13+'Китай 2031'!P13+'Китай 2031'!Q13)))</f>
        <v>10</v>
      </c>
      <c r="M13" s="5">
        <f>MIN(1,'Китай 2031'!M13+'Китай 2031'!P13+(0.1*LN(1+0.5*'Ход 2031'!H15)*POWER(MAX(0,1-'Китай 2031'!S13/10),0.8)))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2031'!V13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2031'!B14+'Китай 2031'!D14+('Китай 2031'!C14+'Китай 2031'!F14+'Китай 2031'!G14)+(0.35*LN(1+0.6*'Ход 2031'!B20)*POWER(MAX(0,1-'Китай 2031'!I14/10),0.7))))</f>
        <v>10</v>
      </c>
      <c r="C14" s="5">
        <f>MIN(1,'Китай 2031'!C14+'Китай 2031'!F14+(0.08*LN(1+0.5*'Ход 2031'!C20)*MAX(0,1-('Китай 2031'!C14+'Китай 2031'!F14))))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2031'!L14+'Китай 2031'!N14+('Китай 2031'!M14+'Китай 2031'!P14+'Китай 2031'!Q14)))</f>
        <v>10</v>
      </c>
      <c r="M14" s="5">
        <f>MIN(1,'Китай 2031'!M14+'Китай 2031'!P14+(0.1*LN(1+0.5*'Ход 2031'!H16)*POWER(MAX(0,1-'Китай 2031'!S14/10),0.8)))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2031'!V14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2031'!B15+'Китай 2031'!D15+('Китай 2031'!C15+'Китай 2031'!F15+'Китай 2031'!G15)+(0.35*LN(1+0.6*'Ход 2031'!B21)*POWER(MAX(0,1-'Китай 2031'!I15/10),0.7))))</f>
        <v>10</v>
      </c>
      <c r="C15" s="5">
        <f>MIN(1,'Китай 2031'!C15+'Китай 2031'!F15+(0.08*LN(1+0.5*'Ход 2031'!C21)*MAX(0,1-('Китай 2031'!C15+'Китай 2031'!F15))))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2031'!L15+'Китай 2031'!N15+('Китай 2031'!M15+'Китай 2031'!P15+'Китай 2031'!Q15)))</f>
        <v>10</v>
      </c>
      <c r="M15" s="5">
        <f>MIN(1,'Китай 2031'!M15+'Китай 2031'!P15+(0.1*LN(1+0.5*'Ход 2031'!H17)*POWER(MAX(0,1-'Китай 2031'!S15/10),0.8)))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2031'!V15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2031'!B16+'Китай 2031'!D16+('Китай 2031'!C16+'Китай 2031'!F16+'Китай 2031'!G16)+(0.35*LN(1+0.6*'Ход 2031'!B22)*POWER(MAX(0,1-'Китай 2031'!I16/10),0.7))))</f>
        <v>10</v>
      </c>
      <c r="C16" s="5">
        <f>MIN(1,'Китай 2031'!C16+'Китай 2031'!F16+(0.08*LN(1+0.5*'Ход 2031'!C22)*MAX(0,1-('Китай 2031'!C16+'Китай 2031'!F16))))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2031'!L16+'Китай 2031'!N16+('Китай 2031'!M16+'Китай 2031'!P16+'Китай 2031'!Q16)))</f>
        <v>10</v>
      </c>
      <c r="M16" s="5">
        <f>MIN(1,'Китай 2031'!M16+'Китай 2031'!P16+(0.1*LN(1+0.5*'Ход 2031'!H18)*POWER(MAX(0,1-'Китай 2031'!S16/10),0.8)))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2031'!V16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2031'!B17+'Китай 2031'!D17+('Китай 2031'!C17+'Китай 2031'!F17+'Китай 2031'!G17)+(0.35*LN(1+0.6*'Ход 2031'!B23)*POWER(MAX(0,1-'Китай 2031'!I17/10),0.7))))</f>
        <v>10</v>
      </c>
      <c r="C17" s="5">
        <f>MIN(1,'Китай 2031'!C17+'Китай 2031'!F17+(0.08*LN(1+0.5*'Ход 2031'!C23)*MAX(0,1-('Китай 2031'!C17+'Китай 2031'!F17))))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2031'!L17+'Китай 2031'!N17+('Китай 2031'!M17+'Китай 2031'!P17+'Китай 2031'!Q17)))</f>
        <v>10</v>
      </c>
      <c r="M17" s="5">
        <f>MIN(1,'Китай 2031'!M17+'Китай 2031'!P17+(0.1*LN(1+0.5*'Ход 2031'!H19)*POWER(MAX(0,1-'Китай 2031'!S17/10),0.8)))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2031'!V17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2031'!L18+'Китай 2031'!N18+('Китай 2031'!M18+'Китай 2031'!P18+'Китай 2031'!Q18)))</f>
        <v>10</v>
      </c>
      <c r="M18" s="5">
        <f>MIN(1,'Китай 2031'!M18+'Китай 2031'!P18+(0.1*LN(1+0.5*'Ход 2031'!H20)*POWER(MAX(0,1-'Китай 2031'!S18/10),0.8)))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2031'!V18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2031'!B19+'Китай 2031'!D19+('Китай 2031'!C19+'Китай 2031'!F19+'Китай 2031'!G19)+(0.35*LN(1+0.6*'Ход 2031'!B25)*POWER(MAX(0,1-'Китай 2031'!I19/10),0.7))))</f>
        <v>9.574168963</v>
      </c>
      <c r="C19" s="5">
        <f>MIN(1,'Китай 2031'!C19+'Китай 2031'!F19+(0.08*LN(1+0.5*'Ход 2031'!C25)*MAX(0,1-('Китай 2031'!C19+'Китай 2031'!F19))))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9.574168963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2031'!V19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2031'!B20+'Китай 2031'!D20+('Китай 2031'!C20+'Китай 2031'!F20+'Китай 2031'!G20)+(0.35*LN(1+0.6*'Ход 2031'!B26)*POWER(MAX(0,1-'Китай 2031'!I20/10),0.7))))</f>
        <v>10</v>
      </c>
      <c r="C20" s="5">
        <f>MIN(1,'Китай 2031'!C20+'Китай 2031'!F20+(0.08*LN(1+0.5*'Ход 2031'!C26)*MAX(0,1-('Китай 2031'!C20+'Китай 2031'!F20))))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2031'!V20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2031'!B21+'Китай 2031'!D21+('Китай 2031'!C21+'Китай 2031'!F21+'Китай 2031'!G21)+(0.35*LN(1+0.6*'Ход 2031'!B27)*POWER(MAX(0,1-'Китай 2031'!I21/10),0.7))))</f>
        <v>10</v>
      </c>
      <c r="C21" s="5">
        <f>MIN(1,'Китай 2031'!C21+'Китай 2031'!F21+(0.08*LN(1+0.5*'Ход 2031'!C27)*MAX(0,1-('Китай 2031'!C21+'Китай 2031'!F21))))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2031'!V21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2031'!B22+'Китай 2031'!D22+('Китай 2031'!C22+'Китай 2031'!F22+'Китай 2031'!G22)+(0.35*LN(1+0.6*'Ход 2031'!B28)*POWER(MAX(0,1-'Китай 2031'!I22/10),0.7))))</f>
        <v>10</v>
      </c>
      <c r="C22" s="5">
        <f>MIN(1,'Китай 2031'!C22+'Китай 2031'!F22+(0.08*LN(1+0.5*'Ход 2031'!C28)*MAX(0,1-('Китай 2031'!C22+'Китай 2031'!F22))))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2031'!V22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2031'!B23+'Китай 2031'!D23+('Китай 2031'!C23+'Китай 2031'!F23+'Китай 2031'!G23)+(0.35*LN(1+0.6*'Ход 2031'!B29)*POWER(MAX(0,1-'Китай 2031'!I23/10),0.7))))</f>
        <v>10</v>
      </c>
      <c r="C23" s="5">
        <f>MIN(1,'Китай 2031'!C23+'Китай 2031'!F23+(0.08*LN(1+0.5*'Ход 2031'!C29)*MAX(0,1-('Китай 2031'!C23+'Китай 2031'!F23))))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2031'!V23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2031'!V24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2031'!B25+'Китай 2031'!D25+('Китай 2031'!C25+'Китай 2031'!F25+'Китай 2031'!G25)+(0.35*LN(1+0.6*'Ход 2031'!B31)*POWER(MAX(0,1-'Китай 2031'!I25/10),0.7))))</f>
        <v>10</v>
      </c>
      <c r="C25" s="5">
        <f>MIN(1,'Китай 2031'!C25+'Китай 2031'!F25+(0.08*LN(1+0.5*'Ход 2031'!C31)*MAX(0,1-('Китай 2031'!C25+'Китай 2031'!F25))))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2031'!V25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2031'!B26+'Китай 2031'!D26+('Китай 2031'!C26+'Китай 2031'!F26+'Китай 2031'!G26)+(0.35*LN(1+0.6*'Ход 2031'!B32)*POWER(MAX(0,1-'Китай 2031'!I26/10),0.7))))</f>
        <v>10</v>
      </c>
      <c r="C26" s="5">
        <f>MIN(1,'Китай 2031'!C26+'Китай 2031'!F26+(0.08*LN(1+0.5*'Ход 2031'!C32)*MAX(0,1-('Китай 2031'!C26+'Китай 2031'!F26))))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2031'!V26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2031'!B27+'Китай 2031'!D27+('Китай 2031'!C27+'Китай 2031'!F27+'Китай 2031'!G27)+(0.35*LN(1+0.6*'Ход 2031'!B33)*POWER(MAX(0,1-'Китай 2031'!I27/10),0.7))))</f>
        <v>10</v>
      </c>
      <c r="C27" s="5">
        <f>MIN(1,'Китай 2031'!C27+'Китай 2031'!F27+(0.08*LN(1+0.5*'Ход 2031'!C33)*MAX(0,1-('Китай 2031'!C27+'Китай 2031'!F27))))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2031'!B28+'Китай 2031'!D28+('Китай 2031'!C28+'Китай 2031'!F28+'Китай 2031'!G28)+(0.35*LN(1+0.6*'Ход 2031'!B34)*POWER(MAX(0,1-'Китай 2031'!I28/10),0.7))))</f>
        <v>10</v>
      </c>
      <c r="C28" s="5">
        <f>MIN(1,'Китай 2031'!C28+'Китай 2031'!F28+(0.08*LN(1+0.5*'Ход 2031'!C34)*MAX(0,1-('Китай 2031'!C28+'Китай 2031'!F28))))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2031'!B29+'Китай 2031'!D29+('Китай 2031'!C29+'Китай 2031'!F29+'Китай 2031'!G29)+(0.35*LN(1+0.6*'Ход 2031'!B35)*POWER(MAX(0,1-'Китай 2031'!I29/10),0.7))))</f>
        <v>10</v>
      </c>
      <c r="C29" s="5">
        <f>MIN(1,'Китай 2031'!C29+'Китай 2031'!F29+(0.08*LN(1+0.5*'Ход 2031'!C35)*MAX(0,1-('Китай 2031'!C29+'Китай 2031'!F29))))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2031'!B30+'Китай 2031'!D30+('Китай 2031'!C30+'Китай 2031'!F30+'Китай 2031'!G30)+(0.35*LN(1+0.6*'Ход 2031'!B36)*POWER(MAX(0,1-'Китай 2031'!I30/10),0.7))))</f>
        <v>8.808479321</v>
      </c>
      <c r="C30" s="5">
        <f>MIN(1,'Китай 2031'!C30+'Китай 2031'!F30+(0.08*LN(1+0.5*'Ход 2031'!C36)*MAX(0,1-('Китай 2031'!C30+'Китай 2031'!F30))))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8.808479321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2031'!B31+'Китай 2031'!D31+('Китай 2031'!C31+'Китай 2031'!F31+'Китай 2031'!G31)+(0.35*LN(1+0.6*'Ход 2031'!B37)*POWER(MAX(0,1-'Китай 2031'!I31/10),0.7))))</f>
        <v>7.748316355</v>
      </c>
      <c r="C31" s="5">
        <f>MIN(1,'Китай 2031'!C31+'Китай 2031'!F31+(0.08*LN(1+0.5*'Ход 2031'!C37)*MAX(0,1-('Китай 2031'!C31+'Китай 2031'!F31))))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7.748316355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2031'!B32+'Китай 2031'!D32+('Китай 2031'!C32+'Китай 2031'!F32+'Китай 2031'!G32)+(0.35*LN(1+0.6*'Ход 2031'!B38)*POWER(MAX(0,1-'Китай 2031'!I32/10),0.7))))</f>
        <v>9.925684675</v>
      </c>
      <c r="C32" s="5">
        <f>MIN(1,'Китай 2031'!C32+'Китай 2031'!F32+(0.08*LN(1+0.5*'Ход 2031'!C38)*MAX(0,1-('Китай 2031'!C32+'Китай 2031'!F32))))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9.925684675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2031'!B34+'Китай 2031'!D34+('Китай 2031'!C34+'Китай 2031'!F34+'Китай 2031'!G34)+(0.35*LN(1+0.6*'Ход 2031'!B40)*POWER(MAX(0,1-'Китай 2031'!I34/10),0.7))))</f>
        <v>10</v>
      </c>
      <c r="C34" s="5">
        <f>MIN(1,'Китай 2031'!C34+'Китай 2031'!F34+(0.08*LN(1+0.5*'Ход 2031'!C40)*MAX(0,1-('Китай 2031'!C34+'Китай 2031'!F34))))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2031'!B35+'Китай 2031'!D35+('Китай 2031'!C35+'Китай 2031'!F35+'Китай 2031'!G35)+(0.35*LN(1+0.6*'Ход 2031'!B41)*POWER(MAX(0,1-'Китай 2031'!I35/10),0.7))))</f>
        <v>10</v>
      </c>
      <c r="C35" s="5">
        <f>MIN(1,'Китай 2031'!C35+'Китай 2031'!F35+(0.08*LN(1+0.5*'Ход 2031'!C41)*MAX(0,1-('Китай 2031'!C35+'Китай 2031'!F35))))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2031'!B36+'Китай 2031'!D36+('Китай 2031'!C36+'Китай 2031'!F36+'Китай 2031'!G36)+(0.35*LN(1+0.6*'Ход 2031'!B42)*POWER(MAX(0,1-'Китай 2031'!I36/10),0.7))))</f>
        <v>10</v>
      </c>
      <c r="C36" s="5">
        <f>MIN(1,'Китай 2031'!C36+'Китай 2031'!F36+(0.08*LN(1+0.5*'Ход 2031'!C42)*MAX(0,1-('Китай 2031'!C36+'Китай 2031'!F36))))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2031'!B37+'Китай 2031'!D37+('Китай 2031'!C37+'Китай 2031'!F37+'Китай 2031'!G37)+(0.35*LN(1+0.6*'Ход 2031'!B43)*POWER(MAX(0,1-'Китай 2031'!I37/10),0.7))))</f>
        <v>10</v>
      </c>
      <c r="C37" s="5">
        <f>MIN(1,'Китай 2031'!C37+'Китай 2031'!F37+(0.08*LN(1+0.5*'Ход 2031'!C43)*MAX(0,1-('Китай 2031'!C37+'Китай 2031'!F37))))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2031'!B38+'Китай 2031'!D38+('Китай 2031'!C38+'Китай 2031'!F38+'Китай 2031'!G38)+(0.35*LN(1+0.6*'Ход 2031'!B44)*POWER(MAX(0,1-'Китай 2031'!I38/10),0.7))))</f>
        <v>10</v>
      </c>
      <c r="C38" s="5">
        <f>MIN(1,'Китай 2031'!C38+'Китай 2031'!F38+(0.08*LN(1+0.5*'Ход 2031'!C44)*MAX(0,1-('Китай 2031'!C38+'Китай 2031'!F38))))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2031'!B39+'Китай 2031'!D39+('Китай 2031'!C39+'Китай 2031'!F39+'Китай 2031'!G39)+(0.35*LN(1+0.6*'Ход 2031'!B45)*POWER(MAX(0,1-'Китай 2031'!I39/10),0.7))))</f>
        <v>9.925684675</v>
      </c>
      <c r="C39" s="5">
        <f>MIN(1,'Китай 2031'!C39+'Китай 2031'!F39+(0.08*LN(1+0.5*'Ход 2031'!C45)*MAX(0,1-('Китай 2031'!C39+'Китай 2031'!F39))))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9.925684675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2031'!B40+'Китай 2031'!D40+('Китай 2031'!C40+'Китай 2031'!F40+'Китай 2031'!G40)+(0.35*LN(1+0.6*'Ход 2031'!B46)*POWER(MAX(0,1-'Китай 2031'!I40/10),0.7))))</f>
        <v>9.628009332</v>
      </c>
      <c r="C40" s="5">
        <f>MIN(1,'Китай 2031'!C40+'Китай 2031'!F40+(0.08*LN(1+0.5*'Ход 2031'!C46)*MAX(0,1-('Китай 2031'!C40+'Китай 2031'!F40))))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9.628009332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2031'!B41+'Китай 2031'!D41+('Китай 2031'!C41+'Китай 2031'!F41+'Китай 2031'!G41)+(0.35*LN(1+0.6*'Ход 2031'!B47)*POWER(MAX(0,1-'Китай 2031'!I41/10),0.7))))</f>
        <v>10</v>
      </c>
      <c r="C41" s="5">
        <f>MIN(1,'Китай 2031'!C41+'Китай 2031'!F41+(0.08*LN(1+0.5*'Ход 2031'!C47)*MAX(0,1-('Китай 2031'!C41+'Китай 2031'!F41))))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2031'!B42+'Китай 2031'!D42+('Китай 2031'!C42+'Китай 2031'!F42+'Китай 2031'!G42)+(0.35*LN(1+0.6*'Ход 2031'!B48)*POWER(MAX(0,1-'Китай 2031'!I42/10),0.7))))</f>
        <v>10</v>
      </c>
      <c r="C42" s="5">
        <f>MIN(1,'Китай 2031'!C42+'Китай 2031'!F42+(0.08*LN(1+0.5*'Ход 2031'!C48)*MAX(0,1-('Китай 2031'!C42+'Китай 2031'!F42))))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2031'!B44+'Китай 2031'!D44+('Китай 2031'!C44+'Китай 2031'!F44+'Китай 2031'!G44)+(0.35*LN(1+0.6*'Ход 2031'!B50)*POWER(MAX(0,1-'Китай 2031'!I44/10),0.7))))</f>
        <v>8.808479321</v>
      </c>
      <c r="C44" s="5">
        <f>MIN(1,'Китай 2031'!C44+'Китай 2031'!F44+(0.08*LN(1+0.5*'Ход 2031'!C50)*MAX(0,1-('Китай 2031'!C44+'Китай 2031'!F44))))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8.808479321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2031'!B45+'Китай 2031'!D45+('Китай 2031'!C45+'Китай 2031'!F45+'Китай 2031'!G45)+(0.35*LN(1+0.6*'Ход 2031'!B51)*POWER(MAX(0,1-'Китай 2031'!I45/10),0.7))))</f>
        <v>10</v>
      </c>
      <c r="C45" s="5">
        <f>MIN(1,'Китай 2031'!C45+'Китай 2031'!F45+(0.08*LN(1+0.5*'Ход 2031'!C51)*MAX(0,1-('Китай 2031'!C45+'Китай 2031'!F45))))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2031'!B46+'Китай 2031'!D46+('Китай 2031'!C46+'Китай 2031'!F46+'Китай 2031'!G46)+(0.35*LN(1+0.6*'Ход 2031'!B52)*POWER(MAX(0,1-'Китай 2031'!I46/10),0.7))))</f>
        <v>10</v>
      </c>
      <c r="C46" s="5">
        <f>MIN(1,'Китай 2031'!C46+'Китай 2031'!F46+(0.08*LN(1+0.5*'Ход 2031'!C52)*MAX(0,1-('Китай 2031'!C46+'Китай 2031'!F46))))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2031'!B47+'Китай 2031'!D47+('Китай 2031'!C47+'Китай 2031'!F47+'Китай 2031'!G47)+(0.35*LN(1+0.6*'Ход 2031'!B53)*POWER(MAX(0,1-'Китай 2031'!I47/10),0.7))))</f>
        <v>6.687820072</v>
      </c>
      <c r="C47" s="5">
        <f>MIN(1,'Китай 2031'!C47+'Китай 2031'!F47+(0.08*LN(1+0.5*'Ход 2031'!C53)*MAX(0,1-('Китай 2031'!C47+'Китай 2031'!F47))))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6.687820072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2031'!B48+'Китай 2031'!D48+('Китай 2031'!C48+'Китай 2031'!F48+'Китай 2031'!G48)+(0.35*LN(1+0.6*'Ход 2031'!B54)*POWER(MAX(0,1-'Китай 2031'!I48/10),0.7))))</f>
        <v>8.856696632</v>
      </c>
      <c r="C48" s="5">
        <f>MIN(1,'Китай 2031'!C48+'Китай 2031'!F48+(0.08*LN(1+0.5*'Ход 2031'!C54)*MAX(0,1-('Китай 2031'!C48+'Китай 2031'!F48))))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8.856696632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2031'!B49+'Китай 2031'!D49+('Китай 2031'!C49+'Китай 2031'!F49+'Китай 2031'!G49)+(0.35*LN(1+0.6*'Ход 2031'!B55)*POWER(MAX(0,1-'Китай 2031'!I49/10),0.7))))</f>
        <v>10</v>
      </c>
      <c r="C49" s="5">
        <f>MIN(1,'Китай 2031'!C49+'Китай 2031'!F49+(0.08*LN(1+0.5*'Ход 2031'!C55)*MAX(0,1-('Китай 2031'!C49+'Китай 2031'!F49))))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2031'!B50+'Китай 2031'!D50+('Китай 2031'!C50+'Китай 2031'!F50+'Китай 2031'!G50)+(0.35*LN(1+0.6*'Ход 2031'!B56)*POWER(MAX(0,1-'Китай 2031'!I50/10),0.7))))</f>
        <v>10</v>
      </c>
      <c r="C50" s="5">
        <f>MIN(1,'Китай 2031'!C50+'Китай 2031'!F50+(0.08*LN(1+0.5*'Ход 2031'!C56)*MAX(0,1-('Китай 2031'!C50+'Китай 2031'!F50))))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2031'!B51+'Китай 2031'!D51+('Китай 2031'!C51+'Китай 2031'!F51+'Китай 2031'!G51)+(0.35*LN(1+0.6*'Ход 2031'!B57)*POWER(MAX(0,1-'Китай 2031'!I51/10),0.7))))</f>
        <v>10</v>
      </c>
      <c r="C51" s="5">
        <f>MIN(1,'Китай 2031'!C51+'Китай 2031'!F51+(0.08*LN(1+0.5*'Ход 2031'!C57)*MAX(0,1-('Китай 2031'!C51+'Китай 2031'!F51))))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2031'!B53+'Китай 2031'!D53+('Китай 2031'!C53+'Китай 2031'!F53+'Китай 2031'!G53)+(0.35*LN(1+0.6*'Ход 2031'!B59)*POWER(MAX(0,1-'Китай 2031'!I53/10),0.7))))</f>
        <v>10</v>
      </c>
      <c r="C53" s="5">
        <f>MIN(1,'Китай 2031'!C53+'Китай 2031'!F53+(0.08*LN(1+0.5*'Ход 2031'!C59)*MAX(0,1-('Китай 2031'!C53+'Китай 2031'!F53))))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2031'!B54+'Китай 2031'!D54+('Китай 2031'!C54+'Китай 2031'!F54+'Китай 2031'!G54)+(0.35*LN(1+0.6*'Ход 2031'!B60)*POWER(MAX(0,1-'Китай 2031'!I54/10),0.7))))</f>
        <v>10</v>
      </c>
      <c r="C54" s="5">
        <f>MIN(1,'Китай 2031'!C54+'Китай 2031'!F54+(0.08*LN(1+0.5*'Ход 2031'!C60)*MAX(0,1-('Китай 2031'!C54+'Китай 2031'!F54))))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2031'!B55+'Китай 2031'!D55+('Китай 2031'!C55+'Китай 2031'!F55+'Китай 2031'!G55)+(0.35*LN(1+0.6*'Ход 2031'!B61)*POWER(MAX(0,1-'Китай 2031'!I55/10),0.7))))</f>
        <v>9.925684675</v>
      </c>
      <c r="C55" s="5">
        <f>MIN(1,'Китай 2031'!C55+'Китай 2031'!F55+(0.08*LN(1+0.5*'Ход 2031'!C61)*MAX(0,1-('Китай 2031'!C55+'Китай 2031'!F55))))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9.925684675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396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2032'!U6</f>
        <v>99.86679088</v>
      </c>
      <c r="C6" s="5"/>
      <c r="D6" s="5"/>
      <c r="E6" s="5" t="s">
        <v>13</v>
      </c>
      <c r="F6" s="11">
        <f>'Китай 2032'!K6</f>
        <v>84.65022163</v>
      </c>
      <c r="G6" s="5"/>
      <c r="H6" s="5"/>
      <c r="I6" s="5" t="s">
        <v>13</v>
      </c>
      <c r="J6" s="11">
        <f>'Китай 2032'!N6</f>
        <v>76.56578688</v>
      </c>
      <c r="K6" s="5"/>
      <c r="L6" s="5"/>
      <c r="M6" s="5" t="s">
        <v>13</v>
      </c>
      <c r="N6" s="11">
        <f>'Китай 2032'!Q6</f>
        <v>85.74119951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99.86679088</v>
      </c>
      <c r="C8" s="5" t="str">
        <f>IF(B8&lt;0,"ПРЕВЫШЕНИЕ","OK")</f>
        <v>OK</v>
      </c>
      <c r="D8" s="5"/>
      <c r="E8" s="5" t="s">
        <v>91</v>
      </c>
      <c r="F8" s="11">
        <f>F6-F7</f>
        <v>84.65022163</v>
      </c>
      <c r="G8" s="5" t="str">
        <f>IF(F8&lt;0,"ПРЕВЫШЕНИЕ","OK")</f>
        <v>OK</v>
      </c>
      <c r="H8" s="5"/>
      <c r="I8" s="5" t="s">
        <v>91</v>
      </c>
      <c r="J8" s="11">
        <f>J6-J7</f>
        <v>76.56578688</v>
      </c>
      <c r="K8" s="5" t="str">
        <f>IF(J8&lt;0,"ПРЕВЫШЕНИЕ","OK")</f>
        <v>OK</v>
      </c>
      <c r="L8" s="5"/>
      <c r="M8" s="5" t="s">
        <v>91</v>
      </c>
      <c r="N8" s="11">
        <f>N6-N7</f>
        <v>85.74119951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2032'!V11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48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2032'!V12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62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2032'!V13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2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2032'!V14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50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2032'!V15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98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2032'!V16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15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2032'!V17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34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2032'!V18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15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2032'!V19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89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2032'!V20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54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2032'!V21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21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2032'!V22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73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2032'!V23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30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2032'!V24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71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2032'!V25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18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2032'!V26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52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IF(G29="","",VLOOKUP(G29,'Технологии'!$A$11:$BF$50,50,FALSE))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IF(G30="","",VLOOKUP(G30,'Технологии'!$A$11:$BF$50,50,FALSE))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IF(G31="","",VLOOKUP(G31,'Технологии'!$A$11:$BF$50,50,FALSE))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IF(G32="","",VLOOKUP(G32,'Технологии'!$A$11:$BF$50,50,FALSE))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IF(G33="","",VLOOKUP(G33,'Технологии'!$A$11:$BF$50,50,FALSE))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IF(G34="","",VLOOKUP(G34,'Технологии'!$A$11:$BF$50,50,FALSE))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IF(G35="","",VLOOKUP(G35,'Технологии'!$A$11:$BF$50,50,FALSE))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IF(G36="","",VLOOKUP(G36,'Технологии'!$A$11:$BF$50,50,FALSE))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IF(G37="","",VLOOKUP(G37,'Технологии'!$A$11:$BF$50,50,FALSE))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IF(G38="","",VLOOKUP(G38,'Технологии'!$A$11:$BF$50,50,FALSE))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397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84.83986479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76.58240211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85.90799375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99.89594027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2032'!B8+'Китай 2032'!D8+('Китай 2032'!C8+'Китай 2032'!F8+'Китай 2032'!G8)+(0.35*LN(1+0.6*'Ход 2032'!B14)*POWER(MAX(0,1-'Китай 2032'!I8/10),0.7))))</f>
        <v>9.859544329</v>
      </c>
      <c r="C8" s="5">
        <f>MIN(1,'Китай 2032'!C8+'Китай 2032'!F8+(0.08*LN(1+0.5*'Ход 2032'!C14)*MAX(0,1-('Китай 2032'!C8+'Китай 2032'!F8))))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9.859544329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2032'!B9+'Китай 2032'!D9+('Китай 2032'!C9+'Китай 2032'!F9+'Китай 2032'!G9)+(0.35*LN(1+0.6*'Ход 2032'!B15)*POWER(MAX(0,1-'Китай 2032'!I9/10),0.7))))</f>
        <v>10</v>
      </c>
      <c r="C9" s="5">
        <f>MIN(1,'Китай 2032'!C9+'Китай 2032'!F9+(0.08*LN(1+0.5*'Ход 2032'!C15)*MAX(0,1-('Китай 2032'!C9+'Китай 2032'!F9))))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2032'!B10+'Китай 2032'!D10+('Китай 2032'!C10+'Китай 2032'!F10+'Китай 2032'!G10)+(0.35*LN(1+0.6*'Ход 2032'!B16)*POWER(MAX(0,1-'Китай 2032'!I10/10),0.7))))</f>
        <v>10</v>
      </c>
      <c r="C10" s="5">
        <f>MIN(1,'Китай 2032'!C10+'Китай 2032'!F10+(0.08*LN(1+0.5*'Ход 2032'!C16)*MAX(0,1-('Китай 2032'!C10+'Китай 2032'!F10))))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2032'!B11+'Китай 2032'!D11+('Китай 2032'!C11+'Китай 2032'!F11+'Китай 2032'!G11)+(0.35*LN(1+0.6*'Ход 2032'!B17)*POWER(MAX(0,1-'Китай 2032'!I11/10),0.7))))</f>
        <v>8.851862824</v>
      </c>
      <c r="C11" s="5">
        <f>MIN(1,'Китай 2032'!C11+'Китай 2032'!F11+(0.08*LN(1+0.5*'Ход 2032'!C17)*MAX(0,1-('Китай 2032'!C11+'Китай 2032'!F11))))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8.851862824</v>
      </c>
      <c r="J11" s="5"/>
      <c r="K11" s="5" t="s">
        <v>110</v>
      </c>
      <c r="L11" s="5">
        <f>MAX(1,MIN(10,'Китай 2032'!L11+'Китай 2032'!N11+('Китай 2032'!M11+'Китай 2032'!P11+'Китай 2032'!Q11)))</f>
        <v>10</v>
      </c>
      <c r="M11" s="5">
        <f>MIN(1,'Китай 2032'!M11+'Китай 2032'!P11+(0.1*LN(1+0.5*'Ход 2032'!H13)*POWER(MAX(0,1-'Китай 2032'!S11/10),0.8)))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2032'!V11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2032'!B12+'Китай 2032'!D12+('Китай 2032'!C12+'Китай 2032'!F12+'Китай 2032'!G12)+(0.35*LN(1+0.6*'Ход 2032'!B18)*POWER(MAX(0,1-'Китай 2032'!I12/10),0.7))))</f>
        <v>9.380389526</v>
      </c>
      <c r="C12" s="5">
        <f>MIN(1,'Китай 2032'!C12+'Китай 2032'!F12+(0.08*LN(1+0.5*'Ход 2032'!C18)*MAX(0,1-('Китай 2032'!C12+'Китай 2032'!F12))))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9.380389526</v>
      </c>
      <c r="J12" s="5"/>
      <c r="K12" s="5" t="s">
        <v>113</v>
      </c>
      <c r="L12" s="5">
        <f>MAX(1,MIN(10,'Китай 2032'!L12+'Китай 2032'!N12+('Китай 2032'!M12+'Китай 2032'!P12+'Китай 2032'!Q12)))</f>
        <v>10</v>
      </c>
      <c r="M12" s="5">
        <f>MIN(1,'Китай 2032'!M12+'Китай 2032'!P12+(0.1*LN(1+0.5*'Ход 2032'!H14)*POWER(MAX(0,1-'Китай 2032'!S12/10),0.8)))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2032'!V12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2032'!B13+'Китай 2032'!D13+('Китай 2032'!C13+'Китай 2032'!F13+'Китай 2032'!G13)+(0.35*LN(1+0.6*'Ход 2032'!B19)*POWER(MAX(0,1-'Китай 2032'!I13/10),0.7))))</f>
        <v>10</v>
      </c>
      <c r="C13" s="5">
        <f>MIN(1,'Китай 2032'!C13+'Китай 2032'!F13+(0.08*LN(1+0.5*'Ход 2032'!C19)*MAX(0,1-('Китай 2032'!C13+'Китай 2032'!F13))))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2032'!L13+'Китай 2032'!N13+('Китай 2032'!M13+'Китай 2032'!P13+'Китай 2032'!Q13)))</f>
        <v>10</v>
      </c>
      <c r="M13" s="5">
        <f>MIN(1,'Китай 2032'!M13+'Китай 2032'!P13+(0.1*LN(1+0.5*'Ход 2032'!H15)*POWER(MAX(0,1-'Китай 2032'!S13/10),0.8)))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2032'!V13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2032'!B14+'Китай 2032'!D14+('Китай 2032'!C14+'Китай 2032'!F14+'Китай 2032'!G14)+(0.35*LN(1+0.6*'Ход 2032'!B20)*POWER(MAX(0,1-'Китай 2032'!I14/10),0.7))))</f>
        <v>10</v>
      </c>
      <c r="C14" s="5">
        <f>MIN(1,'Китай 2032'!C14+'Китай 2032'!F14+(0.08*LN(1+0.5*'Ход 2032'!C20)*MAX(0,1-('Китай 2032'!C14+'Китай 2032'!F14))))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2032'!L14+'Китай 2032'!N14+('Китай 2032'!M14+'Китай 2032'!P14+'Китай 2032'!Q14)))</f>
        <v>10</v>
      </c>
      <c r="M14" s="5">
        <f>MIN(1,'Китай 2032'!M14+'Китай 2032'!P14+(0.1*LN(1+0.5*'Ход 2032'!H16)*POWER(MAX(0,1-'Китай 2032'!S14/10),0.8)))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2032'!V14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2032'!B15+'Китай 2032'!D15+('Китай 2032'!C15+'Китай 2032'!F15+'Китай 2032'!G15)+(0.35*LN(1+0.6*'Ход 2032'!B21)*POWER(MAX(0,1-'Китай 2032'!I15/10),0.7))))</f>
        <v>10</v>
      </c>
      <c r="C15" s="5">
        <f>MIN(1,'Китай 2032'!C15+'Китай 2032'!F15+(0.08*LN(1+0.5*'Ход 2032'!C21)*MAX(0,1-('Китай 2032'!C15+'Китай 2032'!F15))))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2032'!L15+'Китай 2032'!N15+('Китай 2032'!M15+'Китай 2032'!P15+'Китай 2032'!Q15)))</f>
        <v>10</v>
      </c>
      <c r="M15" s="5">
        <f>MIN(1,'Китай 2032'!M15+'Китай 2032'!P15+(0.1*LN(1+0.5*'Ход 2032'!H17)*POWER(MAX(0,1-'Китай 2032'!S15/10),0.8)))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2032'!V15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2032'!B16+'Китай 2032'!D16+('Китай 2032'!C16+'Китай 2032'!F16+'Китай 2032'!G16)+(0.35*LN(1+0.6*'Ход 2032'!B22)*POWER(MAX(0,1-'Китай 2032'!I16/10),0.7))))</f>
        <v>10</v>
      </c>
      <c r="C16" s="5">
        <f>MIN(1,'Китай 2032'!C16+'Китай 2032'!F16+(0.08*LN(1+0.5*'Ход 2032'!C22)*MAX(0,1-('Китай 2032'!C16+'Китай 2032'!F16))))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2032'!L16+'Китай 2032'!N16+('Китай 2032'!M16+'Китай 2032'!P16+'Китай 2032'!Q16)))</f>
        <v>10</v>
      </c>
      <c r="M16" s="5">
        <f>MIN(1,'Китай 2032'!M16+'Китай 2032'!P16+(0.1*LN(1+0.5*'Ход 2032'!H18)*POWER(MAX(0,1-'Китай 2032'!S16/10),0.8)))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2032'!V16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2032'!B17+'Китай 2032'!D17+('Китай 2032'!C17+'Китай 2032'!F17+'Китай 2032'!G17)+(0.35*LN(1+0.6*'Ход 2032'!B23)*POWER(MAX(0,1-'Китай 2032'!I17/10),0.7))))</f>
        <v>10</v>
      </c>
      <c r="C17" s="5">
        <f>MIN(1,'Китай 2032'!C17+'Китай 2032'!F17+(0.08*LN(1+0.5*'Ход 2032'!C23)*MAX(0,1-('Китай 2032'!C17+'Китай 2032'!F17))))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2032'!L17+'Китай 2032'!N17+('Китай 2032'!M17+'Китай 2032'!P17+'Китай 2032'!Q17)))</f>
        <v>10</v>
      </c>
      <c r="M17" s="5">
        <f>MIN(1,'Китай 2032'!M17+'Китай 2032'!P17+(0.1*LN(1+0.5*'Ход 2032'!H19)*POWER(MAX(0,1-'Китай 2032'!S17/10),0.8)))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2032'!V17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2032'!L18+'Китай 2032'!N18+('Китай 2032'!M18+'Китай 2032'!P18+'Китай 2032'!Q18)))</f>
        <v>10</v>
      </c>
      <c r="M18" s="5">
        <f>MIN(1,'Китай 2032'!M18+'Китай 2032'!P18+(0.1*LN(1+0.5*'Ход 2032'!H20)*POWER(MAX(0,1-'Китай 2032'!S18/10),0.8)))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2032'!V18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2032'!B19+'Китай 2032'!D19+('Китай 2032'!C19+'Китай 2032'!F19+'Китай 2032'!G19)+(0.35*LN(1+0.6*'Ход 2032'!B25)*POWER(MAX(0,1-'Китай 2032'!I19/10),0.7))))</f>
        <v>9.824168963</v>
      </c>
      <c r="C19" s="5">
        <f>MIN(1,'Китай 2032'!C19+'Китай 2032'!F19+(0.08*LN(1+0.5*'Ход 2032'!C25)*MAX(0,1-('Китай 2032'!C19+'Китай 2032'!F19))))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9.824168963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2032'!V19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2032'!B20+'Китай 2032'!D20+('Китай 2032'!C20+'Китай 2032'!F20+'Китай 2032'!G20)+(0.35*LN(1+0.6*'Ход 2032'!B26)*POWER(MAX(0,1-'Китай 2032'!I20/10),0.7))))</f>
        <v>10</v>
      </c>
      <c r="C20" s="5">
        <f>MIN(1,'Китай 2032'!C20+'Китай 2032'!F20+(0.08*LN(1+0.5*'Ход 2032'!C26)*MAX(0,1-('Китай 2032'!C20+'Китай 2032'!F20))))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2032'!V20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2032'!B21+'Китай 2032'!D21+('Китай 2032'!C21+'Китай 2032'!F21+'Китай 2032'!G21)+(0.35*LN(1+0.6*'Ход 2032'!B27)*POWER(MAX(0,1-'Китай 2032'!I21/10),0.7))))</f>
        <v>10</v>
      </c>
      <c r="C21" s="5">
        <f>MIN(1,'Китай 2032'!C21+'Китай 2032'!F21+(0.08*LN(1+0.5*'Ход 2032'!C27)*MAX(0,1-('Китай 2032'!C21+'Китай 2032'!F21))))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2032'!V21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2032'!B22+'Китай 2032'!D22+('Китай 2032'!C22+'Китай 2032'!F22+'Китай 2032'!G22)+(0.35*LN(1+0.6*'Ход 2032'!B28)*POWER(MAX(0,1-'Китай 2032'!I22/10),0.7))))</f>
        <v>10</v>
      </c>
      <c r="C22" s="5">
        <f>MIN(1,'Китай 2032'!C22+'Китай 2032'!F22+(0.08*LN(1+0.5*'Ход 2032'!C28)*MAX(0,1-('Китай 2032'!C22+'Китай 2032'!F22))))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2032'!V22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2032'!B23+'Китай 2032'!D23+('Китай 2032'!C23+'Китай 2032'!F23+'Китай 2032'!G23)+(0.35*LN(1+0.6*'Ход 2032'!B29)*POWER(MAX(0,1-'Китай 2032'!I23/10),0.7))))</f>
        <v>10</v>
      </c>
      <c r="C23" s="5">
        <f>MIN(1,'Китай 2032'!C23+'Китай 2032'!F23+(0.08*LN(1+0.5*'Ход 2032'!C29)*MAX(0,1-('Китай 2032'!C23+'Китай 2032'!F23))))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2032'!V23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2032'!V24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2032'!B25+'Китай 2032'!D25+('Китай 2032'!C25+'Китай 2032'!F25+'Китай 2032'!G25)+(0.35*LN(1+0.6*'Ход 2032'!B31)*POWER(MAX(0,1-'Китай 2032'!I25/10),0.7))))</f>
        <v>10</v>
      </c>
      <c r="C25" s="5">
        <f>MIN(1,'Китай 2032'!C25+'Китай 2032'!F25+(0.08*LN(1+0.5*'Ход 2032'!C31)*MAX(0,1-('Китай 2032'!C25+'Китай 2032'!F25))))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2032'!V25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2032'!B26+'Китай 2032'!D26+('Китай 2032'!C26+'Китай 2032'!F26+'Китай 2032'!G26)+(0.35*LN(1+0.6*'Ход 2032'!B32)*POWER(MAX(0,1-'Китай 2032'!I26/10),0.7))))</f>
        <v>10</v>
      </c>
      <c r="C26" s="5">
        <f>MIN(1,'Китай 2032'!C26+'Китай 2032'!F26+(0.08*LN(1+0.5*'Ход 2032'!C32)*MAX(0,1-('Китай 2032'!C26+'Китай 2032'!F26))))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2032'!V26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2032'!B27+'Китай 2032'!D27+('Китай 2032'!C27+'Китай 2032'!F27+'Китай 2032'!G27)+(0.35*LN(1+0.6*'Ход 2032'!B33)*POWER(MAX(0,1-'Китай 2032'!I27/10),0.7))))</f>
        <v>10</v>
      </c>
      <c r="C27" s="5">
        <f>MIN(1,'Китай 2032'!C27+'Китай 2032'!F27+(0.08*LN(1+0.5*'Ход 2032'!C33)*MAX(0,1-('Китай 2032'!C27+'Китай 2032'!F27))))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2032'!B28+'Китай 2032'!D28+('Китай 2032'!C28+'Китай 2032'!F28+'Китай 2032'!G28)+(0.35*LN(1+0.6*'Ход 2032'!B34)*POWER(MAX(0,1-'Китай 2032'!I28/10),0.7))))</f>
        <v>10</v>
      </c>
      <c r="C28" s="5">
        <f>MIN(1,'Китай 2032'!C28+'Китай 2032'!F28+(0.08*LN(1+0.5*'Ход 2032'!C34)*MAX(0,1-('Китай 2032'!C28+'Китай 2032'!F28))))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2032'!B29+'Китай 2032'!D29+('Китай 2032'!C29+'Китай 2032'!F29+'Китай 2032'!G29)+(0.35*LN(1+0.6*'Ход 2032'!B35)*POWER(MAX(0,1-'Китай 2032'!I29/10),0.7))))</f>
        <v>10</v>
      </c>
      <c r="C29" s="5">
        <f>MIN(1,'Китай 2032'!C29+'Китай 2032'!F29+(0.08*LN(1+0.5*'Ход 2032'!C35)*MAX(0,1-('Китай 2032'!C29+'Китай 2032'!F29))))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2032'!B30+'Китай 2032'!D30+('Китай 2032'!C30+'Китай 2032'!F30+'Китай 2032'!G30)+(0.35*LN(1+0.6*'Ход 2032'!B36)*POWER(MAX(0,1-'Китай 2032'!I30/10),0.7))))</f>
        <v>9.008479321</v>
      </c>
      <c r="C30" s="5">
        <f>MIN(1,'Китай 2032'!C30+'Китай 2032'!F30+(0.08*LN(1+0.5*'Ход 2032'!C36)*MAX(0,1-('Китай 2032'!C30+'Китай 2032'!F30))))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9.008479321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2032'!B31+'Китай 2032'!D31+('Китай 2032'!C31+'Китай 2032'!F31+'Китай 2032'!G31)+(0.35*LN(1+0.6*'Ход 2032'!B37)*POWER(MAX(0,1-'Китай 2032'!I31/10),0.7))))</f>
        <v>7.848316355</v>
      </c>
      <c r="C31" s="5">
        <f>MIN(1,'Китай 2032'!C31+'Китай 2032'!F31+(0.08*LN(1+0.5*'Ход 2032'!C37)*MAX(0,1-('Китай 2032'!C31+'Китай 2032'!F31))))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7.848316355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2032'!B32+'Китай 2032'!D32+('Китай 2032'!C32+'Китай 2032'!F32+'Китай 2032'!G32)+(0.35*LN(1+0.6*'Ход 2032'!B38)*POWER(MAX(0,1-'Китай 2032'!I32/10),0.7))))</f>
        <v>10</v>
      </c>
      <c r="C32" s="5">
        <f>MIN(1,'Китай 2032'!C32+'Китай 2032'!F32+(0.08*LN(1+0.5*'Ход 2032'!C38)*MAX(0,1-('Китай 2032'!C32+'Китай 2032'!F32))))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2032'!B34+'Китай 2032'!D34+('Китай 2032'!C34+'Китай 2032'!F34+'Китай 2032'!G34)+(0.35*LN(1+0.6*'Ход 2032'!B40)*POWER(MAX(0,1-'Китай 2032'!I34/10),0.7))))</f>
        <v>10</v>
      </c>
      <c r="C34" s="5">
        <f>MIN(1,'Китай 2032'!C34+'Китай 2032'!F34+(0.08*LN(1+0.5*'Ход 2032'!C40)*MAX(0,1-('Китай 2032'!C34+'Китай 2032'!F34))))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2032'!B35+'Китай 2032'!D35+('Китай 2032'!C35+'Китай 2032'!F35+'Китай 2032'!G35)+(0.35*LN(1+0.6*'Ход 2032'!B41)*POWER(MAX(0,1-'Китай 2032'!I35/10),0.7))))</f>
        <v>10</v>
      </c>
      <c r="C35" s="5">
        <f>MIN(1,'Китай 2032'!C35+'Китай 2032'!F35+(0.08*LN(1+0.5*'Ход 2032'!C41)*MAX(0,1-('Китай 2032'!C35+'Китай 2032'!F35))))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2032'!B36+'Китай 2032'!D36+('Китай 2032'!C36+'Китай 2032'!F36+'Китай 2032'!G36)+(0.35*LN(1+0.6*'Ход 2032'!B42)*POWER(MAX(0,1-'Китай 2032'!I36/10),0.7))))</f>
        <v>10</v>
      </c>
      <c r="C36" s="5">
        <f>MIN(1,'Китай 2032'!C36+'Китай 2032'!F36+(0.08*LN(1+0.5*'Ход 2032'!C42)*MAX(0,1-('Китай 2032'!C36+'Китай 2032'!F36))))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2032'!B37+'Китай 2032'!D37+('Китай 2032'!C37+'Китай 2032'!F37+'Китай 2032'!G37)+(0.35*LN(1+0.6*'Ход 2032'!B43)*POWER(MAX(0,1-'Китай 2032'!I37/10),0.7))))</f>
        <v>10</v>
      </c>
      <c r="C37" s="5">
        <f>MIN(1,'Китай 2032'!C37+'Китай 2032'!F37+(0.08*LN(1+0.5*'Ход 2032'!C43)*MAX(0,1-('Китай 2032'!C37+'Китай 2032'!F37))))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2032'!B38+'Китай 2032'!D38+('Китай 2032'!C38+'Китай 2032'!F38+'Китай 2032'!G38)+(0.35*LN(1+0.6*'Ход 2032'!B44)*POWER(MAX(0,1-'Китай 2032'!I38/10),0.7))))</f>
        <v>10</v>
      </c>
      <c r="C38" s="5">
        <f>MIN(1,'Китай 2032'!C38+'Китай 2032'!F38+(0.08*LN(1+0.5*'Ход 2032'!C44)*MAX(0,1-('Китай 2032'!C38+'Китай 2032'!F38))))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2032'!B39+'Китай 2032'!D39+('Китай 2032'!C39+'Китай 2032'!F39+'Китай 2032'!G39)+(0.35*LN(1+0.6*'Ход 2032'!B45)*POWER(MAX(0,1-'Китай 2032'!I39/10),0.7))))</f>
        <v>10</v>
      </c>
      <c r="C39" s="5">
        <f>MIN(1,'Китай 2032'!C39+'Китай 2032'!F39+(0.08*LN(1+0.5*'Ход 2032'!C45)*MAX(0,1-('Китай 2032'!C39+'Китай 2032'!F39))))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2032'!B40+'Китай 2032'!D40+('Китай 2032'!C40+'Китай 2032'!F40+'Китай 2032'!G40)+(0.35*LN(1+0.6*'Ход 2032'!B46)*POWER(MAX(0,1-'Китай 2032'!I40/10),0.7))))</f>
        <v>9.728009332</v>
      </c>
      <c r="C40" s="5">
        <f>MIN(1,'Китай 2032'!C40+'Китай 2032'!F40+(0.08*LN(1+0.5*'Ход 2032'!C46)*MAX(0,1-('Китай 2032'!C40+'Китай 2032'!F40))))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9.728009332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2032'!B41+'Китай 2032'!D41+('Китай 2032'!C41+'Китай 2032'!F41+'Китай 2032'!G41)+(0.35*LN(1+0.6*'Ход 2032'!B47)*POWER(MAX(0,1-'Китай 2032'!I41/10),0.7))))</f>
        <v>10</v>
      </c>
      <c r="C41" s="5">
        <f>MIN(1,'Китай 2032'!C41+'Китай 2032'!F41+(0.08*LN(1+0.5*'Ход 2032'!C47)*MAX(0,1-('Китай 2032'!C41+'Китай 2032'!F41))))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2032'!B42+'Китай 2032'!D42+('Китай 2032'!C42+'Китай 2032'!F42+'Китай 2032'!G42)+(0.35*LN(1+0.6*'Ход 2032'!B48)*POWER(MAX(0,1-'Китай 2032'!I42/10),0.7))))</f>
        <v>10</v>
      </c>
      <c r="C42" s="5">
        <f>MIN(1,'Китай 2032'!C42+'Китай 2032'!F42+(0.08*LN(1+0.5*'Ход 2032'!C48)*MAX(0,1-('Китай 2032'!C42+'Китай 2032'!F42))))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2032'!B44+'Китай 2032'!D44+('Китай 2032'!C44+'Китай 2032'!F44+'Китай 2032'!G44)+(0.35*LN(1+0.6*'Ход 2032'!B50)*POWER(MAX(0,1-'Китай 2032'!I44/10),0.7))))</f>
        <v>9.008479321</v>
      </c>
      <c r="C44" s="5">
        <f>MIN(1,'Китай 2032'!C44+'Китай 2032'!F44+(0.08*LN(1+0.5*'Ход 2032'!C50)*MAX(0,1-('Китай 2032'!C44+'Китай 2032'!F44))))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9.008479321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2032'!B45+'Китай 2032'!D45+('Китай 2032'!C45+'Китай 2032'!F45+'Китай 2032'!G45)+(0.35*LN(1+0.6*'Ход 2032'!B51)*POWER(MAX(0,1-'Китай 2032'!I45/10),0.7))))</f>
        <v>10</v>
      </c>
      <c r="C45" s="5">
        <f>MIN(1,'Китай 2032'!C45+'Китай 2032'!F45+(0.08*LN(1+0.5*'Ход 2032'!C51)*MAX(0,1-('Китай 2032'!C45+'Китай 2032'!F45))))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2032'!B46+'Китай 2032'!D46+('Китай 2032'!C46+'Китай 2032'!F46+'Китай 2032'!G46)+(0.35*LN(1+0.6*'Ход 2032'!B52)*POWER(MAX(0,1-'Китай 2032'!I46/10),0.7))))</f>
        <v>10</v>
      </c>
      <c r="C46" s="5">
        <f>MIN(1,'Китай 2032'!C46+'Китай 2032'!F46+(0.08*LN(1+0.5*'Ход 2032'!C52)*MAX(0,1-('Китай 2032'!C46+'Китай 2032'!F46))))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2032'!B47+'Китай 2032'!D47+('Китай 2032'!C47+'Китай 2032'!F47+'Китай 2032'!G47)+(0.35*LN(1+0.6*'Ход 2032'!B53)*POWER(MAX(0,1-'Китай 2032'!I47/10),0.7))))</f>
        <v>6.798834856</v>
      </c>
      <c r="C47" s="5">
        <f>MIN(1,'Китай 2032'!C47+'Китай 2032'!F47+(0.08*LN(1+0.5*'Ход 2032'!C53)*MAX(0,1-('Китай 2032'!C47+'Китай 2032'!F47))))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6.798834856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2032'!B48+'Китай 2032'!D48+('Китай 2032'!C48+'Китай 2032'!F48+'Китай 2032'!G48)+(0.35*LN(1+0.6*'Ход 2032'!B54)*POWER(MAX(0,1-'Китай 2032'!I48/10),0.7))))</f>
        <v>8.906696632</v>
      </c>
      <c r="C48" s="5">
        <f>MIN(1,'Китай 2032'!C48+'Китай 2032'!F48+(0.08*LN(1+0.5*'Ход 2032'!C54)*MAX(0,1-('Китай 2032'!C48+'Китай 2032'!F48))))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8.906696632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2032'!B49+'Китай 2032'!D49+('Китай 2032'!C49+'Китай 2032'!F49+'Китай 2032'!G49)+(0.35*LN(1+0.6*'Ход 2032'!B55)*POWER(MAX(0,1-'Китай 2032'!I49/10),0.7))))</f>
        <v>10</v>
      </c>
      <c r="C49" s="5">
        <f>MIN(1,'Китай 2032'!C49+'Китай 2032'!F49+(0.08*LN(1+0.5*'Ход 2032'!C55)*MAX(0,1-('Китай 2032'!C49+'Китай 2032'!F49))))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2032'!B50+'Китай 2032'!D50+('Китай 2032'!C50+'Китай 2032'!F50+'Китай 2032'!G50)+(0.35*LN(1+0.6*'Ход 2032'!B56)*POWER(MAX(0,1-'Китай 2032'!I50/10),0.7))))</f>
        <v>10</v>
      </c>
      <c r="C50" s="5">
        <f>MIN(1,'Китай 2032'!C50+'Китай 2032'!F50+(0.08*LN(1+0.5*'Ход 2032'!C56)*MAX(0,1-('Китай 2032'!C50+'Китай 2032'!F50))))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2032'!B51+'Китай 2032'!D51+('Китай 2032'!C51+'Китай 2032'!F51+'Китай 2032'!G51)+(0.35*LN(1+0.6*'Ход 2032'!B57)*POWER(MAX(0,1-'Китай 2032'!I51/10),0.7))))</f>
        <v>10</v>
      </c>
      <c r="C51" s="5">
        <f>MIN(1,'Китай 2032'!C51+'Китай 2032'!F51+(0.08*LN(1+0.5*'Ход 2032'!C57)*MAX(0,1-('Китай 2032'!C51+'Китай 2032'!F51))))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2032'!B53+'Китай 2032'!D53+('Китай 2032'!C53+'Китай 2032'!F53+'Китай 2032'!G53)+(0.35*LN(1+0.6*'Ход 2032'!B59)*POWER(MAX(0,1-'Китай 2032'!I53/10),0.7))))</f>
        <v>10</v>
      </c>
      <c r="C53" s="5">
        <f>MIN(1,'Китай 2032'!C53+'Китай 2032'!F53+(0.08*LN(1+0.5*'Ход 2032'!C59)*MAX(0,1-('Китай 2032'!C53+'Китай 2032'!F53))))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2032'!B54+'Китай 2032'!D54+('Китай 2032'!C54+'Китай 2032'!F54+'Китай 2032'!G54)+(0.35*LN(1+0.6*'Ход 2032'!B60)*POWER(MAX(0,1-'Китай 2032'!I54/10),0.7))))</f>
        <v>10</v>
      </c>
      <c r="C54" s="5">
        <f>MIN(1,'Китай 2032'!C54+'Китай 2032'!F54+(0.08*LN(1+0.5*'Ход 2032'!C60)*MAX(0,1-('Китай 2032'!C54+'Китай 2032'!F54))))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2032'!B55+'Китай 2032'!D55+('Китай 2032'!C55+'Китай 2032'!F55+'Китай 2032'!G55)+(0.35*LN(1+0.6*'Ход 2032'!B61)*POWER(MAX(0,1-'Китай 2032'!I55/10),0.7))))</f>
        <v>10</v>
      </c>
      <c r="C55" s="5">
        <f>MIN(1,'Китай 2032'!C55+'Китай 2032'!F55+(0.08*LN(1+0.5*'Ход 2032'!C61)*MAX(0,1-('Китай 2032'!C55+'Китай 2032'!F55))))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398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2033'!U6</f>
        <v>99.89594027</v>
      </c>
      <c r="C6" s="5"/>
      <c r="D6" s="5"/>
      <c r="E6" s="5" t="s">
        <v>13</v>
      </c>
      <c r="F6" s="11">
        <f>'Китай 2033'!K6</f>
        <v>84.83986479</v>
      </c>
      <c r="G6" s="5"/>
      <c r="H6" s="5"/>
      <c r="I6" s="5" t="s">
        <v>13</v>
      </c>
      <c r="J6" s="11">
        <f>'Китай 2033'!N6</f>
        <v>76.58240211</v>
      </c>
      <c r="K6" s="5"/>
      <c r="L6" s="5"/>
      <c r="M6" s="5" t="s">
        <v>13</v>
      </c>
      <c r="N6" s="11">
        <f>'Китай 2033'!Q6</f>
        <v>85.90799375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99.89594027</v>
      </c>
      <c r="C8" s="5" t="str">
        <f>IF(B8&lt;0,"ПРЕВЫШЕНИЕ","OK")</f>
        <v>OK</v>
      </c>
      <c r="D8" s="5"/>
      <c r="E8" s="5" t="s">
        <v>91</v>
      </c>
      <c r="F8" s="11">
        <f>F6-F7</f>
        <v>84.83986479</v>
      </c>
      <c r="G8" s="5" t="str">
        <f>IF(F8&lt;0,"ПРЕВЫШЕНИЕ","OK")</f>
        <v>OK</v>
      </c>
      <c r="H8" s="5"/>
      <c r="I8" s="5" t="s">
        <v>91</v>
      </c>
      <c r="J8" s="11">
        <f>J6-J7</f>
        <v>76.58240211</v>
      </c>
      <c r="K8" s="5" t="str">
        <f>IF(J8&lt;0,"ПРЕВЫШЕНИЕ","OK")</f>
        <v>OK</v>
      </c>
      <c r="L8" s="5"/>
      <c r="M8" s="5" t="s">
        <v>91</v>
      </c>
      <c r="N8" s="11">
        <f>N6-N7</f>
        <v>85.90799375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2033'!V11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21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2033'!V12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55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2033'!V13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0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2033'!V14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75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2033'!V15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32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2033'!V16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26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2033'!V17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60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2033'!V18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35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2033'!V19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40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2033'!V20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68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2033'!V21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44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2033'!V22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20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2033'!V23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9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2033'!V24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11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2033'!V25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74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2033'!V26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66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IF(G29="","",VLOOKUP(G29,'Технологии'!$A$11:$BF$50,51,FALSE))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IF(G30="","",VLOOKUP(G30,'Технологии'!$A$11:$BF$50,51,FALSE))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IF(G31="","",VLOOKUP(G31,'Технологии'!$A$11:$BF$50,51,FALSE))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IF(G32="","",VLOOKUP(G32,'Технологии'!$A$11:$BF$50,51,FALSE))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IF(G33="","",VLOOKUP(G33,'Технологии'!$A$11:$BF$50,51,FALSE))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IF(G34="","",VLOOKUP(G34,'Технологии'!$A$11:$BF$50,51,FALSE))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IF(G35="","",VLOOKUP(G35,'Технологии'!$A$11:$BF$50,51,FALSE))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IF(G36="","",VLOOKUP(G36,'Технологии'!$A$11:$BF$50,51,FALSE))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IF(G37="","",VLOOKUP(G37,'Технологии'!$A$11:$BF$50,51,FALSE))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IF(G38="","",VLOOKUP(G38,'Технологии'!$A$11:$BF$50,51,FALSE))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399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84.99291133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76.59881699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86.04430243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99.92409641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2033'!B8+'Китай 2033'!D8+('Китай 2033'!C8+'Китай 2033'!F8+'Китай 2033'!G8)+(0.35*LN(1+0.6*'Ход 2033'!B14)*POWER(MAX(0,1-'Китай 2033'!I8/10),0.7))))</f>
        <v>9.909544329</v>
      </c>
      <c r="C8" s="5">
        <f>MIN(1,'Китай 2033'!C8+'Китай 2033'!F8+(0.08*LN(1+0.5*'Ход 2033'!C14)*MAX(0,1-('Китай 2033'!C8+'Китай 2033'!F8))))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9.909544329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2033'!B9+'Китай 2033'!D9+('Китай 2033'!C9+'Китай 2033'!F9+'Китай 2033'!G9)+(0.35*LN(1+0.6*'Ход 2033'!B15)*POWER(MAX(0,1-'Китай 2033'!I9/10),0.7))))</f>
        <v>10</v>
      </c>
      <c r="C9" s="5">
        <f>MIN(1,'Китай 2033'!C9+'Китай 2033'!F9+(0.08*LN(1+0.5*'Ход 2033'!C15)*MAX(0,1-('Китай 2033'!C9+'Китай 2033'!F9))))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2033'!B10+'Китай 2033'!D10+('Китай 2033'!C10+'Китай 2033'!F10+'Китай 2033'!G10)+(0.35*LN(1+0.6*'Ход 2033'!B16)*POWER(MAX(0,1-'Китай 2033'!I10/10),0.7))))</f>
        <v>10</v>
      </c>
      <c r="C10" s="5">
        <f>MIN(1,'Китай 2033'!C10+'Китай 2033'!F10+(0.08*LN(1+0.5*'Ход 2033'!C16)*MAX(0,1-('Китай 2033'!C10+'Китай 2033'!F10))))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2033'!B11+'Китай 2033'!D11+('Китай 2033'!C11+'Китай 2033'!F11+'Китай 2033'!G11)+(0.35*LN(1+0.6*'Ход 2033'!B17)*POWER(MAX(0,1-'Китай 2033'!I11/10),0.7))))</f>
        <v>9.223413388</v>
      </c>
      <c r="C11" s="5">
        <f>MIN(1,'Китай 2033'!C11+'Китай 2033'!F11+(0.08*LN(1+0.5*'Ход 2033'!C17)*MAX(0,1-('Китай 2033'!C11+'Китай 2033'!F11))))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9.223413388</v>
      </c>
      <c r="J11" s="5"/>
      <c r="K11" s="5" t="s">
        <v>110</v>
      </c>
      <c r="L11" s="5">
        <f>MAX(1,MIN(10,'Китай 2033'!L11+'Китай 2033'!N11+('Китай 2033'!M11+'Китай 2033'!P11+'Китай 2033'!Q11)))</f>
        <v>10</v>
      </c>
      <c r="M11" s="5">
        <f>MIN(1,'Китай 2033'!M11+'Китай 2033'!P11+(0.1*LN(1+0.5*'Ход 2033'!H13)*POWER(MAX(0,1-'Китай 2033'!S11/10),0.8)))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2033'!V11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2033'!B12+'Китай 2033'!D12+('Китай 2033'!C12+'Китай 2033'!F12+'Китай 2033'!G12)+(0.35*LN(1+0.6*'Ход 2033'!B18)*POWER(MAX(0,1-'Китай 2033'!I12/10),0.7))))</f>
        <v>9.430389526</v>
      </c>
      <c r="C12" s="5">
        <f>MIN(1,'Китай 2033'!C12+'Китай 2033'!F12+(0.08*LN(1+0.5*'Ход 2033'!C18)*MAX(0,1-('Китай 2033'!C12+'Китай 2033'!F12))))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9.430389526</v>
      </c>
      <c r="J12" s="5"/>
      <c r="K12" s="5" t="s">
        <v>113</v>
      </c>
      <c r="L12" s="5">
        <f>MAX(1,MIN(10,'Китай 2033'!L12+'Китай 2033'!N12+('Китай 2033'!M12+'Китай 2033'!P12+'Китай 2033'!Q12)))</f>
        <v>10</v>
      </c>
      <c r="M12" s="5">
        <f>MIN(1,'Китай 2033'!M12+'Китай 2033'!P12+(0.1*LN(1+0.5*'Ход 2033'!H14)*POWER(MAX(0,1-'Китай 2033'!S12/10),0.8)))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2033'!V12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2033'!B13+'Китай 2033'!D13+('Китай 2033'!C13+'Китай 2033'!F13+'Китай 2033'!G13)+(0.35*LN(1+0.6*'Ход 2033'!B19)*POWER(MAX(0,1-'Китай 2033'!I13/10),0.7))))</f>
        <v>10</v>
      </c>
      <c r="C13" s="5">
        <f>MIN(1,'Китай 2033'!C13+'Китай 2033'!F13+(0.08*LN(1+0.5*'Ход 2033'!C19)*MAX(0,1-('Китай 2033'!C13+'Китай 2033'!F13))))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2033'!L13+'Китай 2033'!N13+('Китай 2033'!M13+'Китай 2033'!P13+'Китай 2033'!Q13)))</f>
        <v>10</v>
      </c>
      <c r="M13" s="5">
        <f>MIN(1,'Китай 2033'!M13+'Китай 2033'!P13+(0.1*LN(1+0.5*'Ход 2033'!H15)*POWER(MAX(0,1-'Китай 2033'!S13/10),0.8)))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2033'!V13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2033'!B14+'Китай 2033'!D14+('Китай 2033'!C14+'Китай 2033'!F14+'Китай 2033'!G14)+(0.35*LN(1+0.6*'Ход 2033'!B20)*POWER(MAX(0,1-'Китай 2033'!I14/10),0.7))))</f>
        <v>10</v>
      </c>
      <c r="C14" s="5">
        <f>MIN(1,'Китай 2033'!C14+'Китай 2033'!F14+(0.08*LN(1+0.5*'Ход 2033'!C20)*MAX(0,1-('Китай 2033'!C14+'Китай 2033'!F14))))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2033'!L14+'Китай 2033'!N14+('Китай 2033'!M14+'Китай 2033'!P14+'Китай 2033'!Q14)))</f>
        <v>10</v>
      </c>
      <c r="M14" s="5">
        <f>MIN(1,'Китай 2033'!M14+'Китай 2033'!P14+(0.1*LN(1+0.5*'Ход 2033'!H16)*POWER(MAX(0,1-'Китай 2033'!S14/10),0.8)))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2033'!V14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2033'!B15+'Китай 2033'!D15+('Китай 2033'!C15+'Китай 2033'!F15+'Китай 2033'!G15)+(0.35*LN(1+0.6*'Ход 2033'!B21)*POWER(MAX(0,1-'Китай 2033'!I15/10),0.7))))</f>
        <v>10</v>
      </c>
      <c r="C15" s="5">
        <f>MIN(1,'Китай 2033'!C15+'Китай 2033'!F15+(0.08*LN(1+0.5*'Ход 2033'!C21)*MAX(0,1-('Китай 2033'!C15+'Китай 2033'!F15))))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2033'!L15+'Китай 2033'!N15+('Китай 2033'!M15+'Китай 2033'!P15+'Китай 2033'!Q15)))</f>
        <v>10</v>
      </c>
      <c r="M15" s="5">
        <f>MIN(1,'Китай 2033'!M15+'Китай 2033'!P15+(0.1*LN(1+0.5*'Ход 2033'!H17)*POWER(MAX(0,1-'Китай 2033'!S15/10),0.8)))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2033'!V15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2033'!B16+'Китай 2033'!D16+('Китай 2033'!C16+'Китай 2033'!F16+'Китай 2033'!G16)+(0.35*LN(1+0.6*'Ход 2033'!B22)*POWER(MAX(0,1-'Китай 2033'!I16/10),0.7))))</f>
        <v>10</v>
      </c>
      <c r="C16" s="5">
        <f>MIN(1,'Китай 2033'!C16+'Китай 2033'!F16+(0.08*LN(1+0.5*'Ход 2033'!C22)*MAX(0,1-('Китай 2033'!C16+'Китай 2033'!F16))))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2033'!L16+'Китай 2033'!N16+('Китай 2033'!M16+'Китай 2033'!P16+'Китай 2033'!Q16)))</f>
        <v>10</v>
      </c>
      <c r="M16" s="5">
        <f>MIN(1,'Китай 2033'!M16+'Китай 2033'!P16+(0.1*LN(1+0.5*'Ход 2033'!H18)*POWER(MAX(0,1-'Китай 2033'!S16/10),0.8)))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2033'!V16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2033'!B17+'Китай 2033'!D17+('Китай 2033'!C17+'Китай 2033'!F17+'Китай 2033'!G17)+(0.35*LN(1+0.6*'Ход 2033'!B23)*POWER(MAX(0,1-'Китай 2033'!I17/10),0.7))))</f>
        <v>10</v>
      </c>
      <c r="C17" s="5">
        <f>MIN(1,'Китай 2033'!C17+'Китай 2033'!F17+(0.08*LN(1+0.5*'Ход 2033'!C23)*MAX(0,1-('Китай 2033'!C17+'Китай 2033'!F17))))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2033'!L17+'Китай 2033'!N17+('Китай 2033'!M17+'Китай 2033'!P17+'Китай 2033'!Q17)))</f>
        <v>10</v>
      </c>
      <c r="M17" s="5">
        <f>MIN(1,'Китай 2033'!M17+'Китай 2033'!P17+(0.1*LN(1+0.5*'Ход 2033'!H19)*POWER(MAX(0,1-'Китай 2033'!S17/10),0.8)))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2033'!V17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2033'!L18+'Китай 2033'!N18+('Китай 2033'!M18+'Китай 2033'!P18+'Китай 2033'!Q18)))</f>
        <v>10</v>
      </c>
      <c r="M18" s="5">
        <f>MIN(1,'Китай 2033'!M18+'Китай 2033'!P18+(0.1*LN(1+0.5*'Ход 2033'!H20)*POWER(MAX(0,1-'Китай 2033'!S18/10),0.8)))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2033'!V18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2033'!B19+'Китай 2033'!D19+('Китай 2033'!C19+'Китай 2033'!F19+'Китай 2033'!G19)+(0.35*LN(1+0.6*'Ход 2033'!B25)*POWER(MAX(0,1-'Китай 2033'!I19/10),0.7))))</f>
        <v>10</v>
      </c>
      <c r="C19" s="5">
        <f>MIN(1,'Китай 2033'!C19+'Китай 2033'!F19+(0.08*LN(1+0.5*'Ход 2033'!C25)*MAX(0,1-('Китай 2033'!C19+'Китай 2033'!F19))))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2033'!V19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2033'!B20+'Китай 2033'!D20+('Китай 2033'!C20+'Китай 2033'!F20+'Китай 2033'!G20)+(0.35*LN(1+0.6*'Ход 2033'!B26)*POWER(MAX(0,1-'Китай 2033'!I20/10),0.7))))</f>
        <v>10</v>
      </c>
      <c r="C20" s="5">
        <f>MIN(1,'Китай 2033'!C20+'Китай 2033'!F20+(0.08*LN(1+0.5*'Ход 2033'!C26)*MAX(0,1-('Китай 2033'!C20+'Китай 2033'!F20))))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2033'!V20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2033'!B21+'Китай 2033'!D21+('Китай 2033'!C21+'Китай 2033'!F21+'Китай 2033'!G21)+(0.35*LN(1+0.6*'Ход 2033'!B27)*POWER(MAX(0,1-'Китай 2033'!I21/10),0.7))))</f>
        <v>10</v>
      </c>
      <c r="C21" s="5">
        <f>MIN(1,'Китай 2033'!C21+'Китай 2033'!F21+(0.08*LN(1+0.5*'Ход 2033'!C27)*MAX(0,1-('Китай 2033'!C21+'Китай 2033'!F21))))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2033'!V21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2033'!B22+'Китай 2033'!D22+('Китай 2033'!C22+'Китай 2033'!F22+'Китай 2033'!G22)+(0.35*LN(1+0.6*'Ход 2033'!B28)*POWER(MAX(0,1-'Китай 2033'!I22/10),0.7))))</f>
        <v>10</v>
      </c>
      <c r="C22" s="5">
        <f>MIN(1,'Китай 2033'!C22+'Китай 2033'!F22+(0.08*LN(1+0.5*'Ход 2033'!C28)*MAX(0,1-('Китай 2033'!C22+'Китай 2033'!F22))))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2033'!V22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2033'!B23+'Китай 2033'!D23+('Китай 2033'!C23+'Китай 2033'!F23+'Китай 2033'!G23)+(0.35*LN(1+0.6*'Ход 2033'!B29)*POWER(MAX(0,1-'Китай 2033'!I23/10),0.7))))</f>
        <v>10</v>
      </c>
      <c r="C23" s="5">
        <f>MIN(1,'Китай 2033'!C23+'Китай 2033'!F23+(0.08*LN(1+0.5*'Ход 2033'!C29)*MAX(0,1-('Китай 2033'!C23+'Китай 2033'!F23))))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2033'!V23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2033'!V24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2033'!B25+'Китай 2033'!D25+('Китай 2033'!C25+'Китай 2033'!F25+'Китай 2033'!G25)+(0.35*LN(1+0.6*'Ход 2033'!B31)*POWER(MAX(0,1-'Китай 2033'!I25/10),0.7))))</f>
        <v>10</v>
      </c>
      <c r="C25" s="5">
        <f>MIN(1,'Китай 2033'!C25+'Китай 2033'!F25+(0.08*LN(1+0.5*'Ход 2033'!C31)*MAX(0,1-('Китай 2033'!C25+'Китай 2033'!F25))))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2033'!V25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2033'!B26+'Китай 2033'!D26+('Китай 2033'!C26+'Китай 2033'!F26+'Китай 2033'!G26)+(0.35*LN(1+0.6*'Ход 2033'!B32)*POWER(MAX(0,1-'Китай 2033'!I26/10),0.7))))</f>
        <v>10</v>
      </c>
      <c r="C26" s="5">
        <f>MIN(1,'Китай 2033'!C26+'Китай 2033'!F26+(0.08*LN(1+0.5*'Ход 2033'!C32)*MAX(0,1-('Китай 2033'!C26+'Китай 2033'!F26))))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2033'!V26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2033'!B27+'Китай 2033'!D27+('Китай 2033'!C27+'Китай 2033'!F27+'Китай 2033'!G27)+(0.35*LN(1+0.6*'Ход 2033'!B33)*POWER(MAX(0,1-'Китай 2033'!I27/10),0.7))))</f>
        <v>10</v>
      </c>
      <c r="C27" s="5">
        <f>MIN(1,'Китай 2033'!C27+'Китай 2033'!F27+(0.08*LN(1+0.5*'Ход 2033'!C33)*MAX(0,1-('Китай 2033'!C27+'Китай 2033'!F27))))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2033'!B28+'Китай 2033'!D28+('Китай 2033'!C28+'Китай 2033'!F28+'Китай 2033'!G28)+(0.35*LN(1+0.6*'Ход 2033'!B34)*POWER(MAX(0,1-'Китай 2033'!I28/10),0.7))))</f>
        <v>10</v>
      </c>
      <c r="C28" s="5">
        <f>MIN(1,'Китай 2033'!C28+'Китай 2033'!F28+(0.08*LN(1+0.5*'Ход 2033'!C34)*MAX(0,1-('Китай 2033'!C28+'Китай 2033'!F28))))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2033'!B29+'Китай 2033'!D29+('Китай 2033'!C29+'Китай 2033'!F29+'Китай 2033'!G29)+(0.35*LN(1+0.6*'Ход 2033'!B35)*POWER(MAX(0,1-'Китай 2033'!I29/10),0.7))))</f>
        <v>10</v>
      </c>
      <c r="C29" s="5">
        <f>MIN(1,'Китай 2033'!C29+'Китай 2033'!F29+(0.08*LN(1+0.5*'Ход 2033'!C35)*MAX(0,1-('Китай 2033'!C29+'Китай 2033'!F29))))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2033'!B30+'Китай 2033'!D30+('Китай 2033'!C30+'Китай 2033'!F30+'Китай 2033'!G30)+(0.35*LN(1+0.6*'Ход 2033'!B36)*POWER(MAX(0,1-'Китай 2033'!I30/10),0.7))))</f>
        <v>9.208479321</v>
      </c>
      <c r="C30" s="5">
        <f>MIN(1,'Китай 2033'!C30+'Китай 2033'!F30+(0.08*LN(1+0.5*'Ход 2033'!C36)*MAX(0,1-('Китай 2033'!C30+'Китай 2033'!F30))))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9.208479321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2033'!B31+'Китай 2033'!D31+('Китай 2033'!C31+'Китай 2033'!F31+'Китай 2033'!G31)+(0.35*LN(1+0.6*'Ход 2033'!B37)*POWER(MAX(0,1-'Китай 2033'!I31/10),0.7))))</f>
        <v>7.948316355</v>
      </c>
      <c r="C31" s="5">
        <f>MIN(1,'Китай 2033'!C31+'Китай 2033'!F31+(0.08*LN(1+0.5*'Ход 2033'!C37)*MAX(0,1-('Китай 2033'!C31+'Китай 2033'!F31))))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7.948316355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2033'!B32+'Китай 2033'!D32+('Китай 2033'!C32+'Китай 2033'!F32+'Китай 2033'!G32)+(0.35*LN(1+0.6*'Ход 2033'!B38)*POWER(MAX(0,1-'Китай 2033'!I32/10),0.7))))</f>
        <v>10</v>
      </c>
      <c r="C32" s="5">
        <f>MIN(1,'Китай 2033'!C32+'Китай 2033'!F32+(0.08*LN(1+0.5*'Ход 2033'!C38)*MAX(0,1-('Китай 2033'!C32+'Китай 2033'!F32))))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2033'!B34+'Китай 2033'!D34+('Китай 2033'!C34+'Китай 2033'!F34+'Китай 2033'!G34)+(0.35*LN(1+0.6*'Ход 2033'!B40)*POWER(MAX(0,1-'Китай 2033'!I34/10),0.7))))</f>
        <v>10</v>
      </c>
      <c r="C34" s="5">
        <f>MIN(1,'Китай 2033'!C34+'Китай 2033'!F34+(0.08*LN(1+0.5*'Ход 2033'!C40)*MAX(0,1-('Китай 2033'!C34+'Китай 2033'!F34))))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2033'!B35+'Китай 2033'!D35+('Китай 2033'!C35+'Китай 2033'!F35+'Китай 2033'!G35)+(0.35*LN(1+0.6*'Ход 2033'!B41)*POWER(MAX(0,1-'Китай 2033'!I35/10),0.7))))</f>
        <v>10</v>
      </c>
      <c r="C35" s="5">
        <f>MIN(1,'Китай 2033'!C35+'Китай 2033'!F35+(0.08*LN(1+0.5*'Ход 2033'!C41)*MAX(0,1-('Китай 2033'!C35+'Китай 2033'!F35))))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2033'!B36+'Китай 2033'!D36+('Китай 2033'!C36+'Китай 2033'!F36+'Китай 2033'!G36)+(0.35*LN(1+0.6*'Ход 2033'!B42)*POWER(MAX(0,1-'Китай 2033'!I36/10),0.7))))</f>
        <v>10</v>
      </c>
      <c r="C36" s="5">
        <f>MIN(1,'Китай 2033'!C36+'Китай 2033'!F36+(0.08*LN(1+0.5*'Ход 2033'!C42)*MAX(0,1-('Китай 2033'!C36+'Китай 2033'!F36))))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2033'!B37+'Китай 2033'!D37+('Китай 2033'!C37+'Китай 2033'!F37+'Китай 2033'!G37)+(0.35*LN(1+0.6*'Ход 2033'!B43)*POWER(MAX(0,1-'Китай 2033'!I37/10),0.7))))</f>
        <v>10</v>
      </c>
      <c r="C37" s="5">
        <f>MIN(1,'Китай 2033'!C37+'Китай 2033'!F37+(0.08*LN(1+0.5*'Ход 2033'!C43)*MAX(0,1-('Китай 2033'!C37+'Китай 2033'!F37))))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2033'!B38+'Китай 2033'!D38+('Китай 2033'!C38+'Китай 2033'!F38+'Китай 2033'!G38)+(0.35*LN(1+0.6*'Ход 2033'!B44)*POWER(MAX(0,1-'Китай 2033'!I38/10),0.7))))</f>
        <v>10</v>
      </c>
      <c r="C38" s="5">
        <f>MIN(1,'Китай 2033'!C38+'Китай 2033'!F38+(0.08*LN(1+0.5*'Ход 2033'!C44)*MAX(0,1-('Китай 2033'!C38+'Китай 2033'!F38))))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2033'!B39+'Китай 2033'!D39+('Китай 2033'!C39+'Китай 2033'!F39+'Китай 2033'!G39)+(0.35*LN(1+0.6*'Ход 2033'!B45)*POWER(MAX(0,1-'Китай 2033'!I39/10),0.7))))</f>
        <v>10</v>
      </c>
      <c r="C39" s="5">
        <f>MIN(1,'Китай 2033'!C39+'Китай 2033'!F39+(0.08*LN(1+0.5*'Ход 2033'!C45)*MAX(0,1-('Китай 2033'!C39+'Китай 2033'!F39))))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2033'!B40+'Китай 2033'!D40+('Китай 2033'!C40+'Китай 2033'!F40+'Китай 2033'!G40)+(0.35*LN(1+0.6*'Ход 2033'!B46)*POWER(MAX(0,1-'Китай 2033'!I40/10),0.7))))</f>
        <v>9.828009332</v>
      </c>
      <c r="C40" s="5">
        <f>MIN(1,'Китай 2033'!C40+'Китай 2033'!F40+(0.08*LN(1+0.5*'Ход 2033'!C46)*MAX(0,1-('Китай 2033'!C40+'Китай 2033'!F40))))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9.828009332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2033'!B41+'Китай 2033'!D41+('Китай 2033'!C41+'Китай 2033'!F41+'Китай 2033'!G41)+(0.35*LN(1+0.6*'Ход 2033'!B47)*POWER(MAX(0,1-'Китай 2033'!I41/10),0.7))))</f>
        <v>10</v>
      </c>
      <c r="C41" s="5">
        <f>MIN(1,'Китай 2033'!C41+'Китай 2033'!F41+(0.08*LN(1+0.5*'Ход 2033'!C47)*MAX(0,1-('Китай 2033'!C41+'Китай 2033'!F41))))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2033'!B42+'Китай 2033'!D42+('Китай 2033'!C42+'Китай 2033'!F42+'Китай 2033'!G42)+(0.35*LN(1+0.6*'Ход 2033'!B48)*POWER(MAX(0,1-'Китай 2033'!I42/10),0.7))))</f>
        <v>10</v>
      </c>
      <c r="C42" s="5">
        <f>MIN(1,'Китай 2033'!C42+'Китай 2033'!F42+(0.08*LN(1+0.5*'Ход 2033'!C48)*MAX(0,1-('Китай 2033'!C42+'Китай 2033'!F42))))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2033'!B44+'Китай 2033'!D44+('Китай 2033'!C44+'Китай 2033'!F44+'Китай 2033'!G44)+(0.35*LN(1+0.6*'Ход 2033'!B50)*POWER(MAX(0,1-'Китай 2033'!I44/10),0.7))))</f>
        <v>9.208479321</v>
      </c>
      <c r="C44" s="5">
        <f>MIN(1,'Китай 2033'!C44+'Китай 2033'!F44+(0.08*LN(1+0.5*'Ход 2033'!C50)*MAX(0,1-('Китай 2033'!C44+'Китай 2033'!F44))))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9.208479321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2033'!B45+'Китай 2033'!D45+('Китай 2033'!C45+'Китай 2033'!F45+'Китай 2033'!G45)+(0.35*LN(1+0.6*'Ход 2033'!B51)*POWER(MAX(0,1-'Китай 2033'!I45/10),0.7))))</f>
        <v>10</v>
      </c>
      <c r="C45" s="5">
        <f>MIN(1,'Китай 2033'!C45+'Китай 2033'!F45+(0.08*LN(1+0.5*'Ход 2033'!C51)*MAX(0,1-('Китай 2033'!C45+'Китай 2033'!F45))))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2033'!B46+'Китай 2033'!D46+('Китай 2033'!C46+'Китай 2033'!F46+'Китай 2033'!G46)+(0.35*LN(1+0.6*'Ход 2033'!B52)*POWER(MAX(0,1-'Китай 2033'!I46/10),0.7))))</f>
        <v>10</v>
      </c>
      <c r="C46" s="5">
        <f>MIN(1,'Китай 2033'!C46+'Китай 2033'!F46+(0.08*LN(1+0.5*'Ход 2033'!C52)*MAX(0,1-('Китай 2033'!C46+'Китай 2033'!F46))))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2033'!B47+'Китай 2033'!D47+('Китай 2033'!C47+'Китай 2033'!F47+'Китай 2033'!G47)+(0.35*LN(1+0.6*'Ход 2033'!B53)*POWER(MAX(0,1-'Китай 2033'!I47/10),0.7))))</f>
        <v>6.90984964</v>
      </c>
      <c r="C47" s="5">
        <f>MIN(1,'Китай 2033'!C47+'Китай 2033'!F47+(0.08*LN(1+0.5*'Ход 2033'!C53)*MAX(0,1-('Китай 2033'!C47+'Китай 2033'!F47))))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6.90984964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2033'!B48+'Китай 2033'!D48+('Китай 2033'!C48+'Китай 2033'!F48+'Китай 2033'!G48)+(0.35*LN(1+0.6*'Ход 2033'!B54)*POWER(MAX(0,1-'Китай 2033'!I48/10),0.7))))</f>
        <v>8.956696632</v>
      </c>
      <c r="C48" s="5">
        <f>MIN(1,'Китай 2033'!C48+'Китай 2033'!F48+(0.08*LN(1+0.5*'Ход 2033'!C54)*MAX(0,1-('Китай 2033'!C48+'Китай 2033'!F48))))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8.956696632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2033'!B49+'Китай 2033'!D49+('Китай 2033'!C49+'Китай 2033'!F49+'Китай 2033'!G49)+(0.35*LN(1+0.6*'Ход 2033'!B55)*POWER(MAX(0,1-'Китай 2033'!I49/10),0.7))))</f>
        <v>10</v>
      </c>
      <c r="C49" s="5">
        <f>MIN(1,'Китай 2033'!C49+'Китай 2033'!F49+(0.08*LN(1+0.5*'Ход 2033'!C55)*MAX(0,1-('Китай 2033'!C49+'Китай 2033'!F49))))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2033'!B50+'Китай 2033'!D50+('Китай 2033'!C50+'Китай 2033'!F50+'Китай 2033'!G50)+(0.35*LN(1+0.6*'Ход 2033'!B56)*POWER(MAX(0,1-'Китай 2033'!I50/10),0.7))))</f>
        <v>10</v>
      </c>
      <c r="C50" s="5">
        <f>MIN(1,'Китай 2033'!C50+'Китай 2033'!F50+(0.08*LN(1+0.5*'Ход 2033'!C56)*MAX(0,1-('Китай 2033'!C50+'Китай 2033'!F50))))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2033'!B51+'Китай 2033'!D51+('Китай 2033'!C51+'Китай 2033'!F51+'Китай 2033'!G51)+(0.35*LN(1+0.6*'Ход 2033'!B57)*POWER(MAX(0,1-'Китай 2033'!I51/10),0.7))))</f>
        <v>10</v>
      </c>
      <c r="C51" s="5">
        <f>MIN(1,'Китай 2033'!C51+'Китай 2033'!F51+(0.08*LN(1+0.5*'Ход 2033'!C57)*MAX(0,1-('Китай 2033'!C51+'Китай 2033'!F51))))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2033'!B53+'Китай 2033'!D53+('Китай 2033'!C53+'Китай 2033'!F53+'Китай 2033'!G53)+(0.35*LN(1+0.6*'Ход 2033'!B59)*POWER(MAX(0,1-'Китай 2033'!I53/10),0.7))))</f>
        <v>10</v>
      </c>
      <c r="C53" s="5">
        <f>MIN(1,'Китай 2033'!C53+'Китай 2033'!F53+(0.08*LN(1+0.5*'Ход 2033'!C59)*MAX(0,1-('Китай 2033'!C53+'Китай 2033'!F53))))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2033'!B54+'Китай 2033'!D54+('Китай 2033'!C54+'Китай 2033'!F54+'Китай 2033'!G54)+(0.35*LN(1+0.6*'Ход 2033'!B60)*POWER(MAX(0,1-'Китай 2033'!I54/10),0.7))))</f>
        <v>10</v>
      </c>
      <c r="C54" s="5">
        <f>MIN(1,'Китай 2033'!C54+'Китай 2033'!F54+(0.08*LN(1+0.5*'Ход 2033'!C60)*MAX(0,1-('Китай 2033'!C54+'Китай 2033'!F54))))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2033'!B55+'Китай 2033'!D55+('Китай 2033'!C55+'Китай 2033'!F55+'Китай 2033'!G55)+(0.35*LN(1+0.6*'Ход 2033'!B61)*POWER(MAX(0,1-'Китай 2033'!I55/10),0.7))))</f>
        <v>10</v>
      </c>
      <c r="C55" s="5">
        <f>MIN(1,'Китай 2033'!C55+'Китай 2033'!F55+(0.08*LN(1+0.5*'Ход 2033'!C61)*MAX(0,1-('Китай 2033'!C55+'Китай 2033'!F55))))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400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2034'!U6</f>
        <v>99.92409641</v>
      </c>
      <c r="C6" s="5"/>
      <c r="D6" s="5"/>
      <c r="E6" s="5" t="s">
        <v>13</v>
      </c>
      <c r="F6" s="11">
        <f>'Китай 2034'!K6</f>
        <v>84.99291133</v>
      </c>
      <c r="G6" s="5"/>
      <c r="H6" s="5"/>
      <c r="I6" s="5" t="s">
        <v>13</v>
      </c>
      <c r="J6" s="11">
        <f>'Китай 2034'!N6</f>
        <v>76.59881699</v>
      </c>
      <c r="K6" s="5"/>
      <c r="L6" s="5"/>
      <c r="M6" s="5" t="s">
        <v>13</v>
      </c>
      <c r="N6" s="11">
        <f>'Китай 2034'!Q6</f>
        <v>86.04430243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99.92409641</v>
      </c>
      <c r="C8" s="5" t="str">
        <f>IF(B8&lt;0,"ПРЕВЫШЕНИЕ","OK")</f>
        <v>OK</v>
      </c>
      <c r="D8" s="5"/>
      <c r="E8" s="5" t="s">
        <v>91</v>
      </c>
      <c r="F8" s="11">
        <f>F6-F7</f>
        <v>84.99291133</v>
      </c>
      <c r="G8" s="5" t="str">
        <f>IF(F8&lt;0,"ПРЕВЫШЕНИЕ","OK")</f>
        <v>OK</v>
      </c>
      <c r="H8" s="5"/>
      <c r="I8" s="5" t="s">
        <v>91</v>
      </c>
      <c r="J8" s="11">
        <f>J6-J7</f>
        <v>76.59881699</v>
      </c>
      <c r="K8" s="5" t="str">
        <f>IF(J8&lt;0,"ПРЕВЫШЕНИЕ","OK")</f>
        <v>OK</v>
      </c>
      <c r="L8" s="5"/>
      <c r="M8" s="5" t="s">
        <v>91</v>
      </c>
      <c r="N8" s="11">
        <f>N6-N7</f>
        <v>86.04430243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2034'!V11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81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2034'!V12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19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2034'!V13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44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2034'!V14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35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2034'!V15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9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2034'!V16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75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2034'!V17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39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2034'!V18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48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2034'!V19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58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2034'!V20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56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2034'!V21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63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2034'!V22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3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2034'!V23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53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2034'!V24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53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2034'!V25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59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2034'!V26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73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IF(G29="","",VLOOKUP(G29,'Технологии'!$A$11:$BF$50,52,FALSE))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IF(G30="","",VLOOKUP(G30,'Технологии'!$A$11:$BF$50,52,FALSE))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IF(G31="","",VLOOKUP(G31,'Технологии'!$A$11:$BF$50,52,FALSE))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IF(G32="","",VLOOKUP(G32,'Технологии'!$A$11:$BF$50,52,FALSE))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IF(G33="","",VLOOKUP(G33,'Технологии'!$A$11:$BF$50,52,FALSE))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IF(G34="","",VLOOKUP(G34,'Технологии'!$A$11:$BF$50,52,FALSE))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IF(G35="","",VLOOKUP(G35,'Технологии'!$A$11:$BF$50,52,FALSE))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IF(G36="","",VLOOKUP(G36,'Технологии'!$A$11:$BF$50,52,FALSE))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IF(G37="","",VLOOKUP(G37,'Технологии'!$A$11:$BF$50,52,FALSE))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IF(G38="","",VLOOKUP(G38,'Технологии'!$A$11:$BF$50,52,FALSE))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401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85.11265929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76.61503622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86.17895716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99.95133572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2034'!B8+'Китай 2034'!D8+('Китай 2034'!C8+'Китай 2034'!F8+'Китай 2034'!G8)+(0.35*LN(1+0.6*'Ход 2034'!B14)*POWER(MAX(0,1-'Китай 2034'!I8/10),0.7))))</f>
        <v>9.959544329</v>
      </c>
      <c r="C8" s="5">
        <f>MIN(1,'Китай 2034'!C8+'Китай 2034'!F8+(0.08*LN(1+0.5*'Ход 2034'!C14)*MAX(0,1-('Китай 2034'!C8+'Китай 2034'!F8))))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9.959544329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2034'!B9+'Китай 2034'!D9+('Китай 2034'!C9+'Китай 2034'!F9+'Китай 2034'!G9)+(0.35*LN(1+0.6*'Ход 2034'!B15)*POWER(MAX(0,1-'Китай 2034'!I9/10),0.7))))</f>
        <v>10</v>
      </c>
      <c r="C9" s="5">
        <f>MIN(1,'Китай 2034'!C9+'Китай 2034'!F9+(0.08*LN(1+0.5*'Ход 2034'!C15)*MAX(0,1-('Китай 2034'!C9+'Китай 2034'!F9))))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2034'!B10+'Китай 2034'!D10+('Китай 2034'!C10+'Китай 2034'!F10+'Китай 2034'!G10)+(0.35*LN(1+0.6*'Ход 2034'!B16)*POWER(MAX(0,1-'Китай 2034'!I10/10),0.7))))</f>
        <v>10</v>
      </c>
      <c r="C10" s="5">
        <f>MIN(1,'Китай 2034'!C10+'Китай 2034'!F10+(0.08*LN(1+0.5*'Ход 2034'!C16)*MAX(0,1-('Китай 2034'!C10+'Китай 2034'!F10))))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2034'!B11+'Китай 2034'!D11+('Китай 2034'!C11+'Китай 2034'!F11+'Китай 2034'!G11)+(0.35*LN(1+0.6*'Ход 2034'!B17)*POWER(MAX(0,1-'Китай 2034'!I11/10),0.7))))</f>
        <v>9.594963953</v>
      </c>
      <c r="C11" s="5">
        <f>MIN(1,'Китай 2034'!C11+'Китай 2034'!F11+(0.08*LN(1+0.5*'Ход 2034'!C17)*MAX(0,1-('Китай 2034'!C11+'Китай 2034'!F11))))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9.594963953</v>
      </c>
      <c r="J11" s="5"/>
      <c r="K11" s="5" t="s">
        <v>110</v>
      </c>
      <c r="L11" s="5">
        <f>MAX(1,MIN(10,'Китай 2034'!L11+'Китай 2034'!N11+('Китай 2034'!M11+'Китай 2034'!P11+'Китай 2034'!Q11)))</f>
        <v>10</v>
      </c>
      <c r="M11" s="5">
        <f>MIN(1,'Китай 2034'!M11+'Китай 2034'!P11+(0.1*LN(1+0.5*'Ход 2034'!H13)*POWER(MAX(0,1-'Китай 2034'!S11/10),0.8)))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2034'!V11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2034'!B12+'Китай 2034'!D12+('Китай 2034'!C12+'Китай 2034'!F12+'Китай 2034'!G12)+(0.35*LN(1+0.6*'Ход 2034'!B18)*POWER(MAX(0,1-'Китай 2034'!I12/10),0.7))))</f>
        <v>9.480389526</v>
      </c>
      <c r="C12" s="5">
        <f>MIN(1,'Китай 2034'!C12+'Китай 2034'!F12+(0.08*LN(1+0.5*'Ход 2034'!C18)*MAX(0,1-('Китай 2034'!C12+'Китай 2034'!F12))))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9.480389526</v>
      </c>
      <c r="J12" s="5"/>
      <c r="K12" s="5" t="s">
        <v>113</v>
      </c>
      <c r="L12" s="5">
        <f>MAX(1,MIN(10,'Китай 2034'!L12+'Китай 2034'!N12+('Китай 2034'!M12+'Китай 2034'!P12+'Китай 2034'!Q12)))</f>
        <v>10</v>
      </c>
      <c r="M12" s="5">
        <f>MIN(1,'Китай 2034'!M12+'Китай 2034'!P12+(0.1*LN(1+0.5*'Ход 2034'!H14)*POWER(MAX(0,1-'Китай 2034'!S12/10),0.8)))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2034'!V12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2034'!B13+'Китай 2034'!D13+('Китай 2034'!C13+'Китай 2034'!F13+'Китай 2034'!G13)+(0.35*LN(1+0.6*'Ход 2034'!B19)*POWER(MAX(0,1-'Китай 2034'!I13/10),0.7))))</f>
        <v>10</v>
      </c>
      <c r="C13" s="5">
        <f>MIN(1,'Китай 2034'!C13+'Китай 2034'!F13+(0.08*LN(1+0.5*'Ход 2034'!C19)*MAX(0,1-('Китай 2034'!C13+'Китай 2034'!F13))))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2034'!L13+'Китай 2034'!N13+('Китай 2034'!M13+'Китай 2034'!P13+'Китай 2034'!Q13)))</f>
        <v>10</v>
      </c>
      <c r="M13" s="5">
        <f>MIN(1,'Китай 2034'!M13+'Китай 2034'!P13+(0.1*LN(1+0.5*'Ход 2034'!H15)*POWER(MAX(0,1-'Китай 2034'!S13/10),0.8)))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2034'!V13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2034'!B14+'Китай 2034'!D14+('Китай 2034'!C14+'Китай 2034'!F14+'Китай 2034'!G14)+(0.35*LN(1+0.6*'Ход 2034'!B20)*POWER(MAX(0,1-'Китай 2034'!I14/10),0.7))))</f>
        <v>10</v>
      </c>
      <c r="C14" s="5">
        <f>MIN(1,'Китай 2034'!C14+'Китай 2034'!F14+(0.08*LN(1+0.5*'Ход 2034'!C20)*MAX(0,1-('Китай 2034'!C14+'Китай 2034'!F14))))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2034'!L14+'Китай 2034'!N14+('Китай 2034'!M14+'Китай 2034'!P14+'Китай 2034'!Q14)))</f>
        <v>10</v>
      </c>
      <c r="M14" s="5">
        <f>MIN(1,'Китай 2034'!M14+'Китай 2034'!P14+(0.1*LN(1+0.5*'Ход 2034'!H16)*POWER(MAX(0,1-'Китай 2034'!S14/10),0.8)))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2034'!V14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2034'!B15+'Китай 2034'!D15+('Китай 2034'!C15+'Китай 2034'!F15+'Китай 2034'!G15)+(0.35*LN(1+0.6*'Ход 2034'!B21)*POWER(MAX(0,1-'Китай 2034'!I15/10),0.7))))</f>
        <v>10</v>
      </c>
      <c r="C15" s="5">
        <f>MIN(1,'Китай 2034'!C15+'Китай 2034'!F15+(0.08*LN(1+0.5*'Ход 2034'!C21)*MAX(0,1-('Китай 2034'!C15+'Китай 2034'!F15))))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2034'!L15+'Китай 2034'!N15+('Китай 2034'!M15+'Китай 2034'!P15+'Китай 2034'!Q15)))</f>
        <v>10</v>
      </c>
      <c r="M15" s="5">
        <f>MIN(1,'Китай 2034'!M15+'Китай 2034'!P15+(0.1*LN(1+0.5*'Ход 2034'!H17)*POWER(MAX(0,1-'Китай 2034'!S15/10),0.8)))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2034'!V15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2034'!B16+'Китай 2034'!D16+('Китай 2034'!C16+'Китай 2034'!F16+'Китай 2034'!G16)+(0.35*LN(1+0.6*'Ход 2034'!B22)*POWER(MAX(0,1-'Китай 2034'!I16/10),0.7))))</f>
        <v>10</v>
      </c>
      <c r="C16" s="5">
        <f>MIN(1,'Китай 2034'!C16+'Китай 2034'!F16+(0.08*LN(1+0.5*'Ход 2034'!C22)*MAX(0,1-('Китай 2034'!C16+'Китай 2034'!F16))))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2034'!L16+'Китай 2034'!N16+('Китай 2034'!M16+'Китай 2034'!P16+'Китай 2034'!Q16)))</f>
        <v>10</v>
      </c>
      <c r="M16" s="5">
        <f>MIN(1,'Китай 2034'!M16+'Китай 2034'!P16+(0.1*LN(1+0.5*'Ход 2034'!H18)*POWER(MAX(0,1-'Китай 2034'!S16/10),0.8)))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2034'!V16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2034'!B17+'Китай 2034'!D17+('Китай 2034'!C17+'Китай 2034'!F17+'Китай 2034'!G17)+(0.35*LN(1+0.6*'Ход 2034'!B23)*POWER(MAX(0,1-'Китай 2034'!I17/10),0.7))))</f>
        <v>10</v>
      </c>
      <c r="C17" s="5">
        <f>MIN(1,'Китай 2034'!C17+'Китай 2034'!F17+(0.08*LN(1+0.5*'Ход 2034'!C23)*MAX(0,1-('Китай 2034'!C17+'Китай 2034'!F17))))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2034'!L17+'Китай 2034'!N17+('Китай 2034'!M17+'Китай 2034'!P17+'Китай 2034'!Q17)))</f>
        <v>10</v>
      </c>
      <c r="M17" s="5">
        <f>MIN(1,'Китай 2034'!M17+'Китай 2034'!P17+(0.1*LN(1+0.5*'Ход 2034'!H19)*POWER(MAX(0,1-'Китай 2034'!S17/10),0.8)))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2034'!V17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2034'!L18+'Китай 2034'!N18+('Китай 2034'!M18+'Китай 2034'!P18+'Китай 2034'!Q18)))</f>
        <v>10</v>
      </c>
      <c r="M18" s="5">
        <f>MIN(1,'Китай 2034'!M18+'Китай 2034'!P18+(0.1*LN(1+0.5*'Ход 2034'!H20)*POWER(MAX(0,1-'Китай 2034'!S18/10),0.8)))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2034'!V18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2034'!B19+'Китай 2034'!D19+('Китай 2034'!C19+'Китай 2034'!F19+'Китай 2034'!G19)+(0.35*LN(1+0.6*'Ход 2034'!B25)*POWER(MAX(0,1-'Китай 2034'!I19/10),0.7))))</f>
        <v>10</v>
      </c>
      <c r="C19" s="5">
        <f>MIN(1,'Китай 2034'!C19+'Китай 2034'!F19+(0.08*LN(1+0.5*'Ход 2034'!C25)*MAX(0,1-('Китай 2034'!C19+'Китай 2034'!F19))))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2034'!V19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2034'!B20+'Китай 2034'!D20+('Китай 2034'!C20+'Китай 2034'!F20+'Китай 2034'!G20)+(0.35*LN(1+0.6*'Ход 2034'!B26)*POWER(MAX(0,1-'Китай 2034'!I20/10),0.7))))</f>
        <v>10</v>
      </c>
      <c r="C20" s="5">
        <f>MIN(1,'Китай 2034'!C20+'Китай 2034'!F20+(0.08*LN(1+0.5*'Ход 2034'!C26)*MAX(0,1-('Китай 2034'!C20+'Китай 2034'!F20))))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2034'!V20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2034'!B21+'Китай 2034'!D21+('Китай 2034'!C21+'Китай 2034'!F21+'Китай 2034'!G21)+(0.35*LN(1+0.6*'Ход 2034'!B27)*POWER(MAX(0,1-'Китай 2034'!I21/10),0.7))))</f>
        <v>10</v>
      </c>
      <c r="C21" s="5">
        <f>MIN(1,'Китай 2034'!C21+'Китай 2034'!F21+(0.08*LN(1+0.5*'Ход 2034'!C27)*MAX(0,1-('Китай 2034'!C21+'Китай 2034'!F21))))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2034'!V21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2034'!B22+'Китай 2034'!D22+('Китай 2034'!C22+'Китай 2034'!F22+'Китай 2034'!G22)+(0.35*LN(1+0.6*'Ход 2034'!B28)*POWER(MAX(0,1-'Китай 2034'!I22/10),0.7))))</f>
        <v>10</v>
      </c>
      <c r="C22" s="5">
        <f>MIN(1,'Китай 2034'!C22+'Китай 2034'!F22+(0.08*LN(1+0.5*'Ход 2034'!C28)*MAX(0,1-('Китай 2034'!C22+'Китай 2034'!F22))))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2034'!V22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2034'!B23+'Китай 2034'!D23+('Китай 2034'!C23+'Китай 2034'!F23+'Китай 2034'!G23)+(0.35*LN(1+0.6*'Ход 2034'!B29)*POWER(MAX(0,1-'Китай 2034'!I23/10),0.7))))</f>
        <v>10</v>
      </c>
      <c r="C23" s="5">
        <f>MIN(1,'Китай 2034'!C23+'Китай 2034'!F23+(0.08*LN(1+0.5*'Ход 2034'!C29)*MAX(0,1-('Китай 2034'!C23+'Китай 2034'!F23))))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2034'!V23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2034'!V24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2034'!B25+'Китай 2034'!D25+('Китай 2034'!C25+'Китай 2034'!F25+'Китай 2034'!G25)+(0.35*LN(1+0.6*'Ход 2034'!B31)*POWER(MAX(0,1-'Китай 2034'!I25/10),0.7))))</f>
        <v>10</v>
      </c>
      <c r="C25" s="5">
        <f>MIN(1,'Китай 2034'!C25+'Китай 2034'!F25+(0.08*LN(1+0.5*'Ход 2034'!C31)*MAX(0,1-('Китай 2034'!C25+'Китай 2034'!F25))))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2034'!V25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2034'!B26+'Китай 2034'!D26+('Китай 2034'!C26+'Китай 2034'!F26+'Китай 2034'!G26)+(0.35*LN(1+0.6*'Ход 2034'!B32)*POWER(MAX(0,1-'Китай 2034'!I26/10),0.7))))</f>
        <v>10</v>
      </c>
      <c r="C26" s="5">
        <f>MIN(1,'Китай 2034'!C26+'Китай 2034'!F26+(0.08*LN(1+0.5*'Ход 2034'!C32)*MAX(0,1-('Китай 2034'!C26+'Китай 2034'!F26))))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2034'!V26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2034'!B27+'Китай 2034'!D27+('Китай 2034'!C27+'Китай 2034'!F27+'Китай 2034'!G27)+(0.35*LN(1+0.6*'Ход 2034'!B33)*POWER(MAX(0,1-'Китай 2034'!I27/10),0.7))))</f>
        <v>10</v>
      </c>
      <c r="C27" s="5">
        <f>MIN(1,'Китай 2034'!C27+'Китай 2034'!F27+(0.08*LN(1+0.5*'Ход 2034'!C33)*MAX(0,1-('Китай 2034'!C27+'Китай 2034'!F27))))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2034'!B28+'Китай 2034'!D28+('Китай 2034'!C28+'Китай 2034'!F28+'Китай 2034'!G28)+(0.35*LN(1+0.6*'Ход 2034'!B34)*POWER(MAX(0,1-'Китай 2034'!I28/10),0.7))))</f>
        <v>10</v>
      </c>
      <c r="C28" s="5">
        <f>MIN(1,'Китай 2034'!C28+'Китай 2034'!F28+(0.08*LN(1+0.5*'Ход 2034'!C34)*MAX(0,1-('Китай 2034'!C28+'Китай 2034'!F28))))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2034'!B29+'Китай 2034'!D29+('Китай 2034'!C29+'Китай 2034'!F29+'Китай 2034'!G29)+(0.35*LN(1+0.6*'Ход 2034'!B35)*POWER(MAX(0,1-'Китай 2034'!I29/10),0.7))))</f>
        <v>10</v>
      </c>
      <c r="C29" s="5">
        <f>MIN(1,'Китай 2034'!C29+'Китай 2034'!F29+(0.08*LN(1+0.5*'Ход 2034'!C35)*MAX(0,1-('Китай 2034'!C29+'Китай 2034'!F29))))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2034'!B30+'Китай 2034'!D30+('Китай 2034'!C30+'Китай 2034'!F30+'Китай 2034'!G30)+(0.35*LN(1+0.6*'Ход 2034'!B36)*POWER(MAX(0,1-'Китай 2034'!I30/10),0.7))))</f>
        <v>9.408479321</v>
      </c>
      <c r="C30" s="5">
        <f>MIN(1,'Китай 2034'!C30+'Китай 2034'!F30+(0.08*LN(1+0.5*'Ход 2034'!C36)*MAX(0,1-('Китай 2034'!C30+'Китай 2034'!F30))))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9.408479321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2034'!B31+'Китай 2034'!D31+('Китай 2034'!C31+'Китай 2034'!F31+'Китай 2034'!G31)+(0.35*LN(1+0.6*'Ход 2034'!B37)*POWER(MAX(0,1-'Китай 2034'!I31/10),0.7))))</f>
        <v>8.048316355</v>
      </c>
      <c r="C31" s="5">
        <f>MIN(1,'Китай 2034'!C31+'Китай 2034'!F31+(0.08*LN(1+0.5*'Ход 2034'!C37)*MAX(0,1-('Китай 2034'!C31+'Китай 2034'!F31))))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8.048316355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2034'!B32+'Китай 2034'!D32+('Китай 2034'!C32+'Китай 2034'!F32+'Китай 2034'!G32)+(0.35*LN(1+0.6*'Ход 2034'!B38)*POWER(MAX(0,1-'Китай 2034'!I32/10),0.7))))</f>
        <v>10</v>
      </c>
      <c r="C32" s="5">
        <f>MIN(1,'Китай 2034'!C32+'Китай 2034'!F32+(0.08*LN(1+0.5*'Ход 2034'!C38)*MAX(0,1-('Китай 2034'!C32+'Китай 2034'!F32))))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2034'!B34+'Китай 2034'!D34+('Китай 2034'!C34+'Китай 2034'!F34+'Китай 2034'!G34)+(0.35*LN(1+0.6*'Ход 2034'!B40)*POWER(MAX(0,1-'Китай 2034'!I34/10),0.7))))</f>
        <v>10</v>
      </c>
      <c r="C34" s="5">
        <f>MIN(1,'Китай 2034'!C34+'Китай 2034'!F34+(0.08*LN(1+0.5*'Ход 2034'!C40)*MAX(0,1-('Китай 2034'!C34+'Китай 2034'!F34))))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2034'!B35+'Китай 2034'!D35+('Китай 2034'!C35+'Китай 2034'!F35+'Китай 2034'!G35)+(0.35*LN(1+0.6*'Ход 2034'!B41)*POWER(MAX(0,1-'Китай 2034'!I35/10),0.7))))</f>
        <v>10</v>
      </c>
      <c r="C35" s="5">
        <f>MIN(1,'Китай 2034'!C35+'Китай 2034'!F35+(0.08*LN(1+0.5*'Ход 2034'!C41)*MAX(0,1-('Китай 2034'!C35+'Китай 2034'!F35))))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2034'!B36+'Китай 2034'!D36+('Китай 2034'!C36+'Китай 2034'!F36+'Китай 2034'!G36)+(0.35*LN(1+0.6*'Ход 2034'!B42)*POWER(MAX(0,1-'Китай 2034'!I36/10),0.7))))</f>
        <v>10</v>
      </c>
      <c r="C36" s="5">
        <f>MIN(1,'Китай 2034'!C36+'Китай 2034'!F36+(0.08*LN(1+0.5*'Ход 2034'!C42)*MAX(0,1-('Китай 2034'!C36+'Китай 2034'!F36))))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2034'!B37+'Китай 2034'!D37+('Китай 2034'!C37+'Китай 2034'!F37+'Китай 2034'!G37)+(0.35*LN(1+0.6*'Ход 2034'!B43)*POWER(MAX(0,1-'Китай 2034'!I37/10),0.7))))</f>
        <v>10</v>
      </c>
      <c r="C37" s="5">
        <f>MIN(1,'Китай 2034'!C37+'Китай 2034'!F37+(0.08*LN(1+0.5*'Ход 2034'!C43)*MAX(0,1-('Китай 2034'!C37+'Китай 2034'!F37))))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2034'!B38+'Китай 2034'!D38+('Китай 2034'!C38+'Китай 2034'!F38+'Китай 2034'!G38)+(0.35*LN(1+0.6*'Ход 2034'!B44)*POWER(MAX(0,1-'Китай 2034'!I38/10),0.7))))</f>
        <v>10</v>
      </c>
      <c r="C38" s="5">
        <f>MIN(1,'Китай 2034'!C38+'Китай 2034'!F38+(0.08*LN(1+0.5*'Ход 2034'!C44)*MAX(0,1-('Китай 2034'!C38+'Китай 2034'!F38))))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2034'!B39+'Китай 2034'!D39+('Китай 2034'!C39+'Китай 2034'!F39+'Китай 2034'!G39)+(0.35*LN(1+0.6*'Ход 2034'!B45)*POWER(MAX(0,1-'Китай 2034'!I39/10),0.7))))</f>
        <v>10</v>
      </c>
      <c r="C39" s="5">
        <f>MIN(1,'Китай 2034'!C39+'Китай 2034'!F39+(0.08*LN(1+0.5*'Ход 2034'!C45)*MAX(0,1-('Китай 2034'!C39+'Китай 2034'!F39))))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2034'!B40+'Китай 2034'!D40+('Китай 2034'!C40+'Китай 2034'!F40+'Китай 2034'!G40)+(0.35*LN(1+0.6*'Ход 2034'!B46)*POWER(MAX(0,1-'Китай 2034'!I40/10),0.7))))</f>
        <v>9.928009332</v>
      </c>
      <c r="C40" s="5">
        <f>MIN(1,'Китай 2034'!C40+'Китай 2034'!F40+(0.08*LN(1+0.5*'Ход 2034'!C46)*MAX(0,1-('Китай 2034'!C40+'Китай 2034'!F40))))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9.928009332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2034'!B41+'Китай 2034'!D41+('Китай 2034'!C41+'Китай 2034'!F41+'Китай 2034'!G41)+(0.35*LN(1+0.6*'Ход 2034'!B47)*POWER(MAX(0,1-'Китай 2034'!I41/10),0.7))))</f>
        <v>10</v>
      </c>
      <c r="C41" s="5">
        <f>MIN(1,'Китай 2034'!C41+'Китай 2034'!F41+(0.08*LN(1+0.5*'Ход 2034'!C47)*MAX(0,1-('Китай 2034'!C41+'Китай 2034'!F41))))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2034'!B42+'Китай 2034'!D42+('Китай 2034'!C42+'Китай 2034'!F42+'Китай 2034'!G42)+(0.35*LN(1+0.6*'Ход 2034'!B48)*POWER(MAX(0,1-'Китай 2034'!I42/10),0.7))))</f>
        <v>10</v>
      </c>
      <c r="C42" s="5">
        <f>MIN(1,'Китай 2034'!C42+'Китай 2034'!F42+(0.08*LN(1+0.5*'Ход 2034'!C48)*MAX(0,1-('Китай 2034'!C42+'Китай 2034'!F42))))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2034'!B44+'Китай 2034'!D44+('Китай 2034'!C44+'Китай 2034'!F44+'Китай 2034'!G44)+(0.35*LN(1+0.6*'Ход 2034'!B50)*POWER(MAX(0,1-'Китай 2034'!I44/10),0.7))))</f>
        <v>9.408479321</v>
      </c>
      <c r="C44" s="5">
        <f>MIN(1,'Китай 2034'!C44+'Китай 2034'!F44+(0.08*LN(1+0.5*'Ход 2034'!C50)*MAX(0,1-('Китай 2034'!C44+'Китай 2034'!F44))))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9.408479321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2034'!B45+'Китай 2034'!D45+('Китай 2034'!C45+'Китай 2034'!F45+'Китай 2034'!G45)+(0.35*LN(1+0.6*'Ход 2034'!B51)*POWER(MAX(0,1-'Китай 2034'!I45/10),0.7))))</f>
        <v>10</v>
      </c>
      <c r="C45" s="5">
        <f>MIN(1,'Китай 2034'!C45+'Китай 2034'!F45+(0.08*LN(1+0.5*'Ход 2034'!C51)*MAX(0,1-('Китай 2034'!C45+'Китай 2034'!F45))))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2034'!B46+'Китай 2034'!D46+('Китай 2034'!C46+'Китай 2034'!F46+'Китай 2034'!G46)+(0.35*LN(1+0.6*'Ход 2034'!B52)*POWER(MAX(0,1-'Китай 2034'!I46/10),0.7))))</f>
        <v>10</v>
      </c>
      <c r="C46" s="5">
        <f>MIN(1,'Китай 2034'!C46+'Китай 2034'!F46+(0.08*LN(1+0.5*'Ход 2034'!C52)*MAX(0,1-('Китай 2034'!C46+'Китай 2034'!F46))))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2034'!B47+'Китай 2034'!D47+('Китай 2034'!C47+'Китай 2034'!F47+'Китай 2034'!G47)+(0.35*LN(1+0.6*'Ход 2034'!B53)*POWER(MAX(0,1-'Китай 2034'!I47/10),0.7))))</f>
        <v>7.020864424</v>
      </c>
      <c r="C47" s="5">
        <f>MIN(1,'Китай 2034'!C47+'Китай 2034'!F47+(0.08*LN(1+0.5*'Ход 2034'!C53)*MAX(0,1-('Китай 2034'!C47+'Китай 2034'!F47))))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7.020864424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2034'!B48+'Китай 2034'!D48+('Китай 2034'!C48+'Китай 2034'!F48+'Китай 2034'!G48)+(0.35*LN(1+0.6*'Ход 2034'!B54)*POWER(MAX(0,1-'Китай 2034'!I48/10),0.7))))</f>
        <v>9.006696632</v>
      </c>
      <c r="C48" s="5">
        <f>MIN(1,'Китай 2034'!C48+'Китай 2034'!F48+(0.08*LN(1+0.5*'Ход 2034'!C54)*MAX(0,1-('Китай 2034'!C48+'Китай 2034'!F48))))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9.006696632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2034'!B49+'Китай 2034'!D49+('Китай 2034'!C49+'Китай 2034'!F49+'Китай 2034'!G49)+(0.35*LN(1+0.6*'Ход 2034'!B55)*POWER(MAX(0,1-'Китай 2034'!I49/10),0.7))))</f>
        <v>10</v>
      </c>
      <c r="C49" s="5">
        <f>MIN(1,'Китай 2034'!C49+'Китай 2034'!F49+(0.08*LN(1+0.5*'Ход 2034'!C55)*MAX(0,1-('Китай 2034'!C49+'Китай 2034'!F49))))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2034'!B50+'Китай 2034'!D50+('Китай 2034'!C50+'Китай 2034'!F50+'Китай 2034'!G50)+(0.35*LN(1+0.6*'Ход 2034'!B56)*POWER(MAX(0,1-'Китай 2034'!I50/10),0.7))))</f>
        <v>10</v>
      </c>
      <c r="C50" s="5">
        <f>MIN(1,'Китай 2034'!C50+'Китай 2034'!F50+(0.08*LN(1+0.5*'Ход 2034'!C56)*MAX(0,1-('Китай 2034'!C50+'Китай 2034'!F50))))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2034'!B51+'Китай 2034'!D51+('Китай 2034'!C51+'Китай 2034'!F51+'Китай 2034'!G51)+(0.35*LN(1+0.6*'Ход 2034'!B57)*POWER(MAX(0,1-'Китай 2034'!I51/10),0.7))))</f>
        <v>10</v>
      </c>
      <c r="C51" s="5">
        <f>MIN(1,'Китай 2034'!C51+'Китай 2034'!F51+(0.08*LN(1+0.5*'Ход 2034'!C57)*MAX(0,1-('Китай 2034'!C51+'Китай 2034'!F51))))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2034'!B53+'Китай 2034'!D53+('Китай 2034'!C53+'Китай 2034'!F53+'Китай 2034'!G53)+(0.35*LN(1+0.6*'Ход 2034'!B59)*POWER(MAX(0,1-'Китай 2034'!I53/10),0.7))))</f>
        <v>10</v>
      </c>
      <c r="C53" s="5">
        <f>MIN(1,'Китай 2034'!C53+'Китай 2034'!F53+(0.08*LN(1+0.5*'Ход 2034'!C59)*MAX(0,1-('Китай 2034'!C53+'Китай 2034'!F53))))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2034'!B54+'Китай 2034'!D54+('Китай 2034'!C54+'Китай 2034'!F54+'Китай 2034'!G54)+(0.35*LN(1+0.6*'Ход 2034'!B60)*POWER(MAX(0,1-'Китай 2034'!I54/10),0.7))))</f>
        <v>10</v>
      </c>
      <c r="C54" s="5">
        <f>MIN(1,'Китай 2034'!C54+'Китай 2034'!F54+(0.08*LN(1+0.5*'Ход 2034'!C60)*MAX(0,1-('Китай 2034'!C54+'Китай 2034'!F54))))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2034'!B55+'Китай 2034'!D55+('Китай 2034'!C55+'Китай 2034'!F55+'Китай 2034'!G55)+(0.35*LN(1+0.6*'Ход 2034'!B61)*POWER(MAX(0,1-'Китай 2034'!I55/10),0.7))))</f>
        <v>10</v>
      </c>
      <c r="C55" s="5">
        <f>MIN(1,'Китай 2034'!C55+'Китай 2034'!F55+(0.08*LN(1+0.5*'Ход 2034'!C61)*MAX(0,1-('Китай 2034'!C55+'Китай 2034'!F55))))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402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2035'!U6</f>
        <v>99.95133572</v>
      </c>
      <c r="C6" s="5"/>
      <c r="D6" s="5"/>
      <c r="E6" s="5" t="s">
        <v>13</v>
      </c>
      <c r="F6" s="11">
        <f>'Китай 2035'!K6</f>
        <v>85.11265929</v>
      </c>
      <c r="G6" s="5"/>
      <c r="H6" s="5"/>
      <c r="I6" s="5" t="s">
        <v>13</v>
      </c>
      <c r="J6" s="11">
        <f>'Китай 2035'!N6</f>
        <v>76.61503622</v>
      </c>
      <c r="K6" s="5"/>
      <c r="L6" s="5"/>
      <c r="M6" s="5" t="s">
        <v>13</v>
      </c>
      <c r="N6" s="11">
        <f>'Китай 2035'!Q6</f>
        <v>86.17895716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99.95133572</v>
      </c>
      <c r="C8" s="5" t="str">
        <f>IF(B8&lt;0,"ПРЕВЫШЕНИЕ","OK")</f>
        <v>OK</v>
      </c>
      <c r="D8" s="5"/>
      <c r="E8" s="5" t="s">
        <v>91</v>
      </c>
      <c r="F8" s="11">
        <f>F6-F7</f>
        <v>85.11265929</v>
      </c>
      <c r="G8" s="5" t="str">
        <f>IF(F8&lt;0,"ПРЕВЫШЕНИЕ","OK")</f>
        <v>OK</v>
      </c>
      <c r="H8" s="5"/>
      <c r="I8" s="5" t="s">
        <v>91</v>
      </c>
      <c r="J8" s="11">
        <f>J6-J7</f>
        <v>76.61503622</v>
      </c>
      <c r="K8" s="5" t="str">
        <f>IF(J8&lt;0,"ПРЕВЫШЕНИЕ","OK")</f>
        <v>OK</v>
      </c>
      <c r="L8" s="5"/>
      <c r="M8" s="5" t="s">
        <v>91</v>
      </c>
      <c r="N8" s="11">
        <f>N6-N7</f>
        <v>86.17895716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2035'!V11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26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2035'!V12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88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2035'!V13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52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2035'!V14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87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2035'!V15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47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2035'!V16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17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2035'!V17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63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2035'!V18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43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2035'!V19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25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2035'!V20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34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2035'!V21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88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2035'!V22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55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2035'!V23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37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2035'!V24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92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2035'!V25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50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2035'!V26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16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IF(G29="","",VLOOKUP(G29,'Технологии'!$A$11:$BF$50,53,FALSE))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IF(G30="","",VLOOKUP(G30,'Технологии'!$A$11:$BF$50,53,FALSE))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IF(G31="","",VLOOKUP(G31,'Технологии'!$A$11:$BF$50,53,FALSE))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IF(G32="","",VLOOKUP(G32,'Технологии'!$A$11:$BF$50,53,FALSE))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IF(G33="","",VLOOKUP(G33,'Технологии'!$A$11:$BF$50,53,FALSE))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IF(G34="","",VLOOKUP(G34,'Технологии'!$A$11:$BF$50,53,FALSE))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IF(G35="","",VLOOKUP(G35,'Технологии'!$A$11:$BF$50,53,FALSE))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IF(G36="","",VLOOKUP(G36,'Технологии'!$A$11:$BF$50,53,FALSE))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IF(G37="","",VLOOKUP(G37,'Технологии'!$A$11:$BF$50,53,FALSE))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IF(G38="","",VLOOKUP(G38,'Технологии'!$A$11:$BF$50,53,FALSE))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403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85.22426642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76.62906077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86.29751844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99.97709929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2035'!B8+'Китай 2035'!D8+('Китай 2035'!C8+'Китай 2035'!F8+'Китай 2035'!G8)+(0.35*LN(1+0.6*'Ход 2035'!B14)*POWER(MAX(0,1-'Китай 2035'!I8/10),0.7))))</f>
        <v>10</v>
      </c>
      <c r="C8" s="5">
        <f>MIN(1,'Китай 2035'!C8+'Китай 2035'!F8+(0.08*LN(1+0.5*'Ход 2035'!C14)*MAX(0,1-('Китай 2035'!C8+'Китай 2035'!F8))))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2035'!B9+'Китай 2035'!D9+('Китай 2035'!C9+'Китай 2035'!F9+'Китай 2035'!G9)+(0.35*LN(1+0.6*'Ход 2035'!B15)*POWER(MAX(0,1-'Китай 2035'!I9/10),0.7))))</f>
        <v>10</v>
      </c>
      <c r="C9" s="5">
        <f>MIN(1,'Китай 2035'!C9+'Китай 2035'!F9+(0.08*LN(1+0.5*'Ход 2035'!C15)*MAX(0,1-('Китай 2035'!C9+'Китай 2035'!F9))))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2035'!B10+'Китай 2035'!D10+('Китай 2035'!C10+'Китай 2035'!F10+'Китай 2035'!G10)+(0.35*LN(1+0.6*'Ход 2035'!B16)*POWER(MAX(0,1-'Китай 2035'!I10/10),0.7))))</f>
        <v>10</v>
      </c>
      <c r="C10" s="5">
        <f>MIN(1,'Китай 2035'!C10+'Китай 2035'!F10+(0.08*LN(1+0.5*'Ход 2035'!C16)*MAX(0,1-('Китай 2035'!C10+'Китай 2035'!F10))))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2035'!B11+'Китай 2035'!D11+('Китай 2035'!C11+'Китай 2035'!F11+'Китай 2035'!G11)+(0.35*LN(1+0.6*'Ход 2035'!B17)*POWER(MAX(0,1-'Китай 2035'!I11/10),0.7))))</f>
        <v>9.966514517</v>
      </c>
      <c r="C11" s="5">
        <f>MIN(1,'Китай 2035'!C11+'Китай 2035'!F11+(0.08*LN(1+0.5*'Ход 2035'!C17)*MAX(0,1-('Китай 2035'!C11+'Китай 2035'!F11))))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9.966514517</v>
      </c>
      <c r="J11" s="5"/>
      <c r="K11" s="5" t="s">
        <v>110</v>
      </c>
      <c r="L11" s="5">
        <f>MAX(1,MIN(10,'Китай 2035'!L11+'Китай 2035'!N11+('Китай 2035'!M11+'Китай 2035'!P11+'Китай 2035'!Q11)))</f>
        <v>10</v>
      </c>
      <c r="M11" s="5">
        <f>MIN(1,'Китай 2035'!M11+'Китай 2035'!P11+(0.1*LN(1+0.5*'Ход 2035'!H13)*POWER(MAX(0,1-'Китай 2035'!S11/10),0.8)))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2035'!V11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2035'!B12+'Китай 2035'!D12+('Китай 2035'!C12+'Китай 2035'!F12+'Китай 2035'!G12)+(0.35*LN(1+0.6*'Ход 2035'!B18)*POWER(MAX(0,1-'Китай 2035'!I12/10),0.7))))</f>
        <v>9.530389526</v>
      </c>
      <c r="C12" s="5">
        <f>MIN(1,'Китай 2035'!C12+'Китай 2035'!F12+(0.08*LN(1+0.5*'Ход 2035'!C18)*MAX(0,1-('Китай 2035'!C12+'Китай 2035'!F12))))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9.530389526</v>
      </c>
      <c r="J12" s="5"/>
      <c r="K12" s="5" t="s">
        <v>113</v>
      </c>
      <c r="L12" s="5">
        <f>MAX(1,MIN(10,'Китай 2035'!L12+'Китай 2035'!N12+('Китай 2035'!M12+'Китай 2035'!P12+'Китай 2035'!Q12)))</f>
        <v>10</v>
      </c>
      <c r="M12" s="5">
        <f>MIN(1,'Китай 2035'!M12+'Китай 2035'!P12+(0.1*LN(1+0.5*'Ход 2035'!H14)*POWER(MAX(0,1-'Китай 2035'!S12/10),0.8)))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2035'!V12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2035'!B13+'Китай 2035'!D13+('Китай 2035'!C13+'Китай 2035'!F13+'Китай 2035'!G13)+(0.35*LN(1+0.6*'Ход 2035'!B19)*POWER(MAX(0,1-'Китай 2035'!I13/10),0.7))))</f>
        <v>10</v>
      </c>
      <c r="C13" s="5">
        <f>MIN(1,'Китай 2035'!C13+'Китай 2035'!F13+(0.08*LN(1+0.5*'Ход 2035'!C19)*MAX(0,1-('Китай 2035'!C13+'Китай 2035'!F13))))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2035'!L13+'Китай 2035'!N13+('Китай 2035'!M13+'Китай 2035'!P13+'Китай 2035'!Q13)))</f>
        <v>10</v>
      </c>
      <c r="M13" s="5">
        <f>MIN(1,'Китай 2035'!M13+'Китай 2035'!P13+(0.1*LN(1+0.5*'Ход 2035'!H15)*POWER(MAX(0,1-'Китай 2035'!S13/10),0.8)))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2035'!V13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2035'!B14+'Китай 2035'!D14+('Китай 2035'!C14+'Китай 2035'!F14+'Китай 2035'!G14)+(0.35*LN(1+0.6*'Ход 2035'!B20)*POWER(MAX(0,1-'Китай 2035'!I14/10),0.7))))</f>
        <v>10</v>
      </c>
      <c r="C14" s="5">
        <f>MIN(1,'Китай 2035'!C14+'Китай 2035'!F14+(0.08*LN(1+0.5*'Ход 2035'!C20)*MAX(0,1-('Китай 2035'!C14+'Китай 2035'!F14))))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2035'!L14+'Китай 2035'!N14+('Китай 2035'!M14+'Китай 2035'!P14+'Китай 2035'!Q14)))</f>
        <v>10</v>
      </c>
      <c r="M14" s="5">
        <f>MIN(1,'Китай 2035'!M14+'Китай 2035'!P14+(0.1*LN(1+0.5*'Ход 2035'!H16)*POWER(MAX(0,1-'Китай 2035'!S14/10),0.8)))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2035'!V14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2035'!B15+'Китай 2035'!D15+('Китай 2035'!C15+'Китай 2035'!F15+'Китай 2035'!G15)+(0.35*LN(1+0.6*'Ход 2035'!B21)*POWER(MAX(0,1-'Китай 2035'!I15/10),0.7))))</f>
        <v>10</v>
      </c>
      <c r="C15" s="5">
        <f>MIN(1,'Китай 2035'!C15+'Китай 2035'!F15+(0.08*LN(1+0.5*'Ход 2035'!C21)*MAX(0,1-('Китай 2035'!C15+'Китай 2035'!F15))))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2035'!L15+'Китай 2035'!N15+('Китай 2035'!M15+'Китай 2035'!P15+'Китай 2035'!Q15)))</f>
        <v>10</v>
      </c>
      <c r="M15" s="5">
        <f>MIN(1,'Китай 2035'!M15+'Китай 2035'!P15+(0.1*LN(1+0.5*'Ход 2035'!H17)*POWER(MAX(0,1-'Китай 2035'!S15/10),0.8)))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2035'!V15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2035'!B16+'Китай 2035'!D16+('Китай 2035'!C16+'Китай 2035'!F16+'Китай 2035'!G16)+(0.35*LN(1+0.6*'Ход 2035'!B22)*POWER(MAX(0,1-'Китай 2035'!I16/10),0.7))))</f>
        <v>10</v>
      </c>
      <c r="C16" s="5">
        <f>MIN(1,'Китай 2035'!C16+'Китай 2035'!F16+(0.08*LN(1+0.5*'Ход 2035'!C22)*MAX(0,1-('Китай 2035'!C16+'Китай 2035'!F16))))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2035'!L16+'Китай 2035'!N16+('Китай 2035'!M16+'Китай 2035'!P16+'Китай 2035'!Q16)))</f>
        <v>10</v>
      </c>
      <c r="M16" s="5">
        <f>MIN(1,'Китай 2035'!M16+'Китай 2035'!P16+(0.1*LN(1+0.5*'Ход 2035'!H18)*POWER(MAX(0,1-'Китай 2035'!S16/10),0.8)))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2035'!V16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2035'!B17+'Китай 2035'!D17+('Китай 2035'!C17+'Китай 2035'!F17+'Китай 2035'!G17)+(0.35*LN(1+0.6*'Ход 2035'!B23)*POWER(MAX(0,1-'Китай 2035'!I17/10),0.7))))</f>
        <v>10</v>
      </c>
      <c r="C17" s="5">
        <f>MIN(1,'Китай 2035'!C17+'Китай 2035'!F17+(0.08*LN(1+0.5*'Ход 2035'!C23)*MAX(0,1-('Китай 2035'!C17+'Китай 2035'!F17))))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2035'!L17+'Китай 2035'!N17+('Китай 2035'!M17+'Китай 2035'!P17+'Китай 2035'!Q17)))</f>
        <v>10</v>
      </c>
      <c r="M17" s="5">
        <f>MIN(1,'Китай 2035'!M17+'Китай 2035'!P17+(0.1*LN(1+0.5*'Ход 2035'!H19)*POWER(MAX(0,1-'Китай 2035'!S17/10),0.8)))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2035'!V17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2035'!L18+'Китай 2035'!N18+('Китай 2035'!M18+'Китай 2035'!P18+'Китай 2035'!Q18)))</f>
        <v>10</v>
      </c>
      <c r="M18" s="5">
        <f>MIN(1,'Китай 2035'!M18+'Китай 2035'!P18+(0.1*LN(1+0.5*'Ход 2035'!H20)*POWER(MAX(0,1-'Китай 2035'!S18/10),0.8)))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2035'!V18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2035'!B19+'Китай 2035'!D19+('Китай 2035'!C19+'Китай 2035'!F19+'Китай 2035'!G19)+(0.35*LN(1+0.6*'Ход 2035'!B25)*POWER(MAX(0,1-'Китай 2035'!I19/10),0.7))))</f>
        <v>10</v>
      </c>
      <c r="C19" s="5">
        <f>MIN(1,'Китай 2035'!C19+'Китай 2035'!F19+(0.08*LN(1+0.5*'Ход 2035'!C25)*MAX(0,1-('Китай 2035'!C19+'Китай 2035'!F19))))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2035'!V19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2035'!B20+'Китай 2035'!D20+('Китай 2035'!C20+'Китай 2035'!F20+'Китай 2035'!G20)+(0.35*LN(1+0.6*'Ход 2035'!B26)*POWER(MAX(0,1-'Китай 2035'!I20/10),0.7))))</f>
        <v>10</v>
      </c>
      <c r="C20" s="5">
        <f>MIN(1,'Китай 2035'!C20+'Китай 2035'!F20+(0.08*LN(1+0.5*'Ход 2035'!C26)*MAX(0,1-('Китай 2035'!C20+'Китай 2035'!F20))))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2035'!V20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2035'!B21+'Китай 2035'!D21+('Китай 2035'!C21+'Китай 2035'!F21+'Китай 2035'!G21)+(0.35*LN(1+0.6*'Ход 2035'!B27)*POWER(MAX(0,1-'Китай 2035'!I21/10),0.7))))</f>
        <v>10</v>
      </c>
      <c r="C21" s="5">
        <f>MIN(1,'Китай 2035'!C21+'Китай 2035'!F21+(0.08*LN(1+0.5*'Ход 2035'!C27)*MAX(0,1-('Китай 2035'!C21+'Китай 2035'!F21))))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2035'!V21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2035'!B22+'Китай 2035'!D22+('Китай 2035'!C22+'Китай 2035'!F22+'Китай 2035'!G22)+(0.35*LN(1+0.6*'Ход 2035'!B28)*POWER(MAX(0,1-'Китай 2035'!I22/10),0.7))))</f>
        <v>10</v>
      </c>
      <c r="C22" s="5">
        <f>MIN(1,'Китай 2035'!C22+'Китай 2035'!F22+(0.08*LN(1+0.5*'Ход 2035'!C28)*MAX(0,1-('Китай 2035'!C22+'Китай 2035'!F22))))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2035'!V22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2035'!B23+'Китай 2035'!D23+('Китай 2035'!C23+'Китай 2035'!F23+'Китай 2035'!G23)+(0.35*LN(1+0.6*'Ход 2035'!B29)*POWER(MAX(0,1-'Китай 2035'!I23/10),0.7))))</f>
        <v>10</v>
      </c>
      <c r="C23" s="5">
        <f>MIN(1,'Китай 2035'!C23+'Китай 2035'!F23+(0.08*LN(1+0.5*'Ход 2035'!C29)*MAX(0,1-('Китай 2035'!C23+'Китай 2035'!F23))))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2035'!V23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2035'!V24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2035'!B25+'Китай 2035'!D25+('Китай 2035'!C25+'Китай 2035'!F25+'Китай 2035'!G25)+(0.35*LN(1+0.6*'Ход 2035'!B31)*POWER(MAX(0,1-'Китай 2035'!I25/10),0.7))))</f>
        <v>10</v>
      </c>
      <c r="C25" s="5">
        <f>MIN(1,'Китай 2035'!C25+'Китай 2035'!F25+(0.08*LN(1+0.5*'Ход 2035'!C31)*MAX(0,1-('Китай 2035'!C25+'Китай 2035'!F25))))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2035'!V25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2035'!B26+'Китай 2035'!D26+('Китай 2035'!C26+'Китай 2035'!F26+'Китай 2035'!G26)+(0.35*LN(1+0.6*'Ход 2035'!B32)*POWER(MAX(0,1-'Китай 2035'!I26/10),0.7))))</f>
        <v>10</v>
      </c>
      <c r="C26" s="5">
        <f>MIN(1,'Китай 2035'!C26+'Китай 2035'!F26+(0.08*LN(1+0.5*'Ход 2035'!C32)*MAX(0,1-('Китай 2035'!C26+'Китай 2035'!F26))))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2035'!V26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2035'!B27+'Китай 2035'!D27+('Китай 2035'!C27+'Китай 2035'!F27+'Китай 2035'!G27)+(0.35*LN(1+0.6*'Ход 2035'!B33)*POWER(MAX(0,1-'Китай 2035'!I27/10),0.7))))</f>
        <v>10</v>
      </c>
      <c r="C27" s="5">
        <f>MIN(1,'Китай 2035'!C27+'Китай 2035'!F27+(0.08*LN(1+0.5*'Ход 2035'!C33)*MAX(0,1-('Китай 2035'!C27+'Китай 2035'!F27))))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2035'!B28+'Китай 2035'!D28+('Китай 2035'!C28+'Китай 2035'!F28+'Китай 2035'!G28)+(0.35*LN(1+0.6*'Ход 2035'!B34)*POWER(MAX(0,1-'Китай 2035'!I28/10),0.7))))</f>
        <v>10</v>
      </c>
      <c r="C28" s="5">
        <f>MIN(1,'Китай 2035'!C28+'Китай 2035'!F28+(0.08*LN(1+0.5*'Ход 2035'!C34)*MAX(0,1-('Китай 2035'!C28+'Китай 2035'!F28))))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2035'!B29+'Китай 2035'!D29+('Китай 2035'!C29+'Китай 2035'!F29+'Китай 2035'!G29)+(0.35*LN(1+0.6*'Ход 2035'!B35)*POWER(MAX(0,1-'Китай 2035'!I29/10),0.7))))</f>
        <v>10</v>
      </c>
      <c r="C29" s="5">
        <f>MIN(1,'Китай 2035'!C29+'Китай 2035'!F29+(0.08*LN(1+0.5*'Ход 2035'!C35)*MAX(0,1-('Китай 2035'!C29+'Китай 2035'!F29))))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2035'!B30+'Китай 2035'!D30+('Китай 2035'!C30+'Китай 2035'!F30+'Китай 2035'!G30)+(0.35*LN(1+0.6*'Ход 2035'!B36)*POWER(MAX(0,1-'Китай 2035'!I30/10),0.7))))</f>
        <v>9.608479321</v>
      </c>
      <c r="C30" s="5">
        <f>MIN(1,'Китай 2035'!C30+'Китай 2035'!F30+(0.08*LN(1+0.5*'Ход 2035'!C36)*MAX(0,1-('Китай 2035'!C30+'Китай 2035'!F30))))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9.608479321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2035'!B31+'Китай 2035'!D31+('Китай 2035'!C31+'Китай 2035'!F31+'Китай 2035'!G31)+(0.35*LN(1+0.6*'Ход 2035'!B37)*POWER(MAX(0,1-'Китай 2035'!I31/10),0.7))))</f>
        <v>8.148316355</v>
      </c>
      <c r="C31" s="5">
        <f>MIN(1,'Китай 2035'!C31+'Китай 2035'!F31+(0.08*LN(1+0.5*'Ход 2035'!C37)*MAX(0,1-('Китай 2035'!C31+'Китай 2035'!F31))))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8.148316355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2035'!B32+'Китай 2035'!D32+('Китай 2035'!C32+'Китай 2035'!F32+'Китай 2035'!G32)+(0.35*LN(1+0.6*'Ход 2035'!B38)*POWER(MAX(0,1-'Китай 2035'!I32/10),0.7))))</f>
        <v>10</v>
      </c>
      <c r="C32" s="5">
        <f>MIN(1,'Китай 2035'!C32+'Китай 2035'!F32+(0.08*LN(1+0.5*'Ход 2035'!C38)*MAX(0,1-('Китай 2035'!C32+'Китай 2035'!F32))))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2035'!B34+'Китай 2035'!D34+('Китай 2035'!C34+'Китай 2035'!F34+'Китай 2035'!G34)+(0.35*LN(1+0.6*'Ход 2035'!B40)*POWER(MAX(0,1-'Китай 2035'!I34/10),0.7))))</f>
        <v>10</v>
      </c>
      <c r="C34" s="5">
        <f>MIN(1,'Китай 2035'!C34+'Китай 2035'!F34+(0.08*LN(1+0.5*'Ход 2035'!C40)*MAX(0,1-('Китай 2035'!C34+'Китай 2035'!F34))))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2035'!B35+'Китай 2035'!D35+('Китай 2035'!C35+'Китай 2035'!F35+'Китай 2035'!G35)+(0.35*LN(1+0.6*'Ход 2035'!B41)*POWER(MAX(0,1-'Китай 2035'!I35/10),0.7))))</f>
        <v>10</v>
      </c>
      <c r="C35" s="5">
        <f>MIN(1,'Китай 2035'!C35+'Китай 2035'!F35+(0.08*LN(1+0.5*'Ход 2035'!C41)*MAX(0,1-('Китай 2035'!C35+'Китай 2035'!F35))))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2035'!B36+'Китай 2035'!D36+('Китай 2035'!C36+'Китай 2035'!F36+'Китай 2035'!G36)+(0.35*LN(1+0.6*'Ход 2035'!B42)*POWER(MAX(0,1-'Китай 2035'!I36/10),0.7))))</f>
        <v>10</v>
      </c>
      <c r="C36" s="5">
        <f>MIN(1,'Китай 2035'!C36+'Китай 2035'!F36+(0.08*LN(1+0.5*'Ход 2035'!C42)*MAX(0,1-('Китай 2035'!C36+'Китай 2035'!F36))))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2035'!B37+'Китай 2035'!D37+('Китай 2035'!C37+'Китай 2035'!F37+'Китай 2035'!G37)+(0.35*LN(1+0.6*'Ход 2035'!B43)*POWER(MAX(0,1-'Китай 2035'!I37/10),0.7))))</f>
        <v>10</v>
      </c>
      <c r="C37" s="5">
        <f>MIN(1,'Китай 2035'!C37+'Китай 2035'!F37+(0.08*LN(1+0.5*'Ход 2035'!C43)*MAX(0,1-('Китай 2035'!C37+'Китай 2035'!F37))))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2035'!B38+'Китай 2035'!D38+('Китай 2035'!C38+'Китай 2035'!F38+'Китай 2035'!G38)+(0.35*LN(1+0.6*'Ход 2035'!B44)*POWER(MAX(0,1-'Китай 2035'!I38/10),0.7))))</f>
        <v>10</v>
      </c>
      <c r="C38" s="5">
        <f>MIN(1,'Китай 2035'!C38+'Китай 2035'!F38+(0.08*LN(1+0.5*'Ход 2035'!C44)*MAX(0,1-('Китай 2035'!C38+'Китай 2035'!F38))))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2035'!B39+'Китай 2035'!D39+('Китай 2035'!C39+'Китай 2035'!F39+'Китай 2035'!G39)+(0.35*LN(1+0.6*'Ход 2035'!B45)*POWER(MAX(0,1-'Китай 2035'!I39/10),0.7))))</f>
        <v>10</v>
      </c>
      <c r="C39" s="5">
        <f>MIN(1,'Китай 2035'!C39+'Китай 2035'!F39+(0.08*LN(1+0.5*'Ход 2035'!C45)*MAX(0,1-('Китай 2035'!C39+'Китай 2035'!F39))))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2035'!B40+'Китай 2035'!D40+('Китай 2035'!C40+'Китай 2035'!F40+'Китай 2035'!G40)+(0.35*LN(1+0.6*'Ход 2035'!B46)*POWER(MAX(0,1-'Китай 2035'!I40/10),0.7))))</f>
        <v>10</v>
      </c>
      <c r="C40" s="5">
        <f>MIN(1,'Китай 2035'!C40+'Китай 2035'!F40+(0.08*LN(1+0.5*'Ход 2035'!C46)*MAX(0,1-('Китай 2035'!C40+'Китай 2035'!F40))))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2035'!B41+'Китай 2035'!D41+('Китай 2035'!C41+'Китай 2035'!F41+'Китай 2035'!G41)+(0.35*LN(1+0.6*'Ход 2035'!B47)*POWER(MAX(0,1-'Китай 2035'!I41/10),0.7))))</f>
        <v>10</v>
      </c>
      <c r="C41" s="5">
        <f>MIN(1,'Китай 2035'!C41+'Китай 2035'!F41+(0.08*LN(1+0.5*'Ход 2035'!C47)*MAX(0,1-('Китай 2035'!C41+'Китай 2035'!F41))))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2035'!B42+'Китай 2035'!D42+('Китай 2035'!C42+'Китай 2035'!F42+'Китай 2035'!G42)+(0.35*LN(1+0.6*'Ход 2035'!B48)*POWER(MAX(0,1-'Китай 2035'!I42/10),0.7))))</f>
        <v>10</v>
      </c>
      <c r="C42" s="5">
        <f>MIN(1,'Китай 2035'!C42+'Китай 2035'!F42+(0.08*LN(1+0.5*'Ход 2035'!C48)*MAX(0,1-('Китай 2035'!C42+'Китай 2035'!F42))))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2035'!B44+'Китай 2035'!D44+('Китай 2035'!C44+'Китай 2035'!F44+'Китай 2035'!G44)+(0.35*LN(1+0.6*'Ход 2035'!B50)*POWER(MAX(0,1-'Китай 2035'!I44/10),0.7))))</f>
        <v>9.608479321</v>
      </c>
      <c r="C44" s="5">
        <f>MIN(1,'Китай 2035'!C44+'Китай 2035'!F44+(0.08*LN(1+0.5*'Ход 2035'!C50)*MAX(0,1-('Китай 2035'!C44+'Китай 2035'!F44))))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9.608479321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2035'!B45+'Китай 2035'!D45+('Китай 2035'!C45+'Китай 2035'!F45+'Китай 2035'!G45)+(0.35*LN(1+0.6*'Ход 2035'!B51)*POWER(MAX(0,1-'Китай 2035'!I45/10),0.7))))</f>
        <v>10</v>
      </c>
      <c r="C45" s="5">
        <f>MIN(1,'Китай 2035'!C45+'Китай 2035'!F45+(0.08*LN(1+0.5*'Ход 2035'!C51)*MAX(0,1-('Китай 2035'!C45+'Китай 2035'!F45))))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2035'!B46+'Китай 2035'!D46+('Китай 2035'!C46+'Китай 2035'!F46+'Китай 2035'!G46)+(0.35*LN(1+0.6*'Ход 2035'!B52)*POWER(MAX(0,1-'Китай 2035'!I46/10),0.7))))</f>
        <v>10</v>
      </c>
      <c r="C46" s="5">
        <f>MIN(1,'Китай 2035'!C46+'Китай 2035'!F46+(0.08*LN(1+0.5*'Ход 2035'!C52)*MAX(0,1-('Китай 2035'!C46+'Китай 2035'!F46))))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2035'!B47+'Китай 2035'!D47+('Китай 2035'!C47+'Китай 2035'!F47+'Китай 2035'!G47)+(0.35*LN(1+0.6*'Ход 2035'!B53)*POWER(MAX(0,1-'Китай 2035'!I47/10),0.7))))</f>
        <v>7.131879208</v>
      </c>
      <c r="C47" s="5">
        <f>MIN(1,'Китай 2035'!C47+'Китай 2035'!F47+(0.08*LN(1+0.5*'Ход 2035'!C53)*MAX(0,1-('Китай 2035'!C47+'Китай 2035'!F47))))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7.131879208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2035'!B48+'Китай 2035'!D48+('Китай 2035'!C48+'Китай 2035'!F48+'Китай 2035'!G48)+(0.35*LN(1+0.6*'Ход 2035'!B54)*POWER(MAX(0,1-'Китай 2035'!I48/10),0.7))))</f>
        <v>9.056696632</v>
      </c>
      <c r="C48" s="5">
        <f>MIN(1,'Китай 2035'!C48+'Китай 2035'!F48+(0.08*LN(1+0.5*'Ход 2035'!C54)*MAX(0,1-('Китай 2035'!C48+'Китай 2035'!F48))))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9.056696632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2035'!B49+'Китай 2035'!D49+('Китай 2035'!C49+'Китай 2035'!F49+'Китай 2035'!G49)+(0.35*LN(1+0.6*'Ход 2035'!B55)*POWER(MAX(0,1-'Китай 2035'!I49/10),0.7))))</f>
        <v>10</v>
      </c>
      <c r="C49" s="5">
        <f>MIN(1,'Китай 2035'!C49+'Китай 2035'!F49+(0.08*LN(1+0.5*'Ход 2035'!C55)*MAX(0,1-('Китай 2035'!C49+'Китай 2035'!F49))))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2035'!B50+'Китай 2035'!D50+('Китай 2035'!C50+'Китай 2035'!F50+'Китай 2035'!G50)+(0.35*LN(1+0.6*'Ход 2035'!B56)*POWER(MAX(0,1-'Китай 2035'!I50/10),0.7))))</f>
        <v>10</v>
      </c>
      <c r="C50" s="5">
        <f>MIN(1,'Китай 2035'!C50+'Китай 2035'!F50+(0.08*LN(1+0.5*'Ход 2035'!C56)*MAX(0,1-('Китай 2035'!C50+'Китай 2035'!F50))))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2035'!B51+'Китай 2035'!D51+('Китай 2035'!C51+'Китай 2035'!F51+'Китай 2035'!G51)+(0.35*LN(1+0.6*'Ход 2035'!B57)*POWER(MAX(0,1-'Китай 2035'!I51/10),0.7))))</f>
        <v>10</v>
      </c>
      <c r="C51" s="5">
        <f>MIN(1,'Китай 2035'!C51+'Китай 2035'!F51+(0.08*LN(1+0.5*'Ход 2035'!C57)*MAX(0,1-('Китай 2035'!C51+'Китай 2035'!F51))))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2035'!B53+'Китай 2035'!D53+('Китай 2035'!C53+'Китай 2035'!F53+'Китай 2035'!G53)+(0.35*LN(1+0.6*'Ход 2035'!B59)*POWER(MAX(0,1-'Китай 2035'!I53/10),0.7))))</f>
        <v>10</v>
      </c>
      <c r="C53" s="5">
        <f>MIN(1,'Китай 2035'!C53+'Китай 2035'!F53+(0.08*LN(1+0.5*'Ход 2035'!C59)*MAX(0,1-('Китай 2035'!C53+'Китай 2035'!F53))))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2035'!B54+'Китай 2035'!D54+('Китай 2035'!C54+'Китай 2035'!F54+'Китай 2035'!G54)+(0.35*LN(1+0.6*'Ход 2035'!B60)*POWER(MAX(0,1-'Китай 2035'!I54/10),0.7))))</f>
        <v>10</v>
      </c>
      <c r="C54" s="5">
        <f>MIN(1,'Китай 2035'!C54+'Китай 2035'!F54+(0.08*LN(1+0.5*'Ход 2035'!C60)*MAX(0,1-('Китай 2035'!C54+'Китай 2035'!F54))))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2035'!B55+'Китай 2035'!D55+('Китай 2035'!C55+'Китай 2035'!F55+'Китай 2035'!G55)+(0.35*LN(1+0.6*'Ход 2035'!B61)*POWER(MAX(0,1-'Китай 2035'!I55/10),0.7))))</f>
        <v>10</v>
      </c>
      <c r="C55" s="5">
        <f>MIN(1,'Китай 2035'!C55+'Китай 2035'!F55+(0.08*LN(1+0.5*'Ход 2035'!C61)*MAX(0,1-('Китай 2035'!C55+'Китай 2035'!F55))))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404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2036'!U6</f>
        <v>99.97709929</v>
      </c>
      <c r="C6" s="5"/>
      <c r="D6" s="5"/>
      <c r="E6" s="5" t="s">
        <v>13</v>
      </c>
      <c r="F6" s="11">
        <f>'Китай 2036'!K6</f>
        <v>85.22426642</v>
      </c>
      <c r="G6" s="5"/>
      <c r="H6" s="5"/>
      <c r="I6" s="5" t="s">
        <v>13</v>
      </c>
      <c r="J6" s="11">
        <f>'Китай 2036'!N6</f>
        <v>76.62906077</v>
      </c>
      <c r="K6" s="5"/>
      <c r="L6" s="5"/>
      <c r="M6" s="5" t="s">
        <v>13</v>
      </c>
      <c r="N6" s="11">
        <f>'Китай 2036'!Q6</f>
        <v>86.29751844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99.97709929</v>
      </c>
      <c r="C8" s="5" t="str">
        <f>IF(B8&lt;0,"ПРЕВЫШЕНИЕ","OK")</f>
        <v>OK</v>
      </c>
      <c r="D8" s="5"/>
      <c r="E8" s="5" t="s">
        <v>91</v>
      </c>
      <c r="F8" s="11">
        <f>F6-F7</f>
        <v>85.22426642</v>
      </c>
      <c r="G8" s="5" t="str">
        <f>IF(F8&lt;0,"ПРЕВЫШЕНИЕ","OK")</f>
        <v>OK</v>
      </c>
      <c r="H8" s="5"/>
      <c r="I8" s="5" t="s">
        <v>91</v>
      </c>
      <c r="J8" s="11">
        <f>J6-J7</f>
        <v>76.62906077</v>
      </c>
      <c r="K8" s="5" t="str">
        <f>IF(J8&lt;0,"ПРЕВЫШЕНИЕ","OK")</f>
        <v>OK</v>
      </c>
      <c r="L8" s="5"/>
      <c r="M8" s="5" t="s">
        <v>91</v>
      </c>
      <c r="N8" s="11">
        <f>N6-N7</f>
        <v>86.29751844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2036'!V11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95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2036'!V12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88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2036'!V13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54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2036'!V14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57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2036'!V15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47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2036'!V16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29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2036'!V17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21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2036'!V18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68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2036'!V19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77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2036'!V20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10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2036'!V21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29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2036'!V22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28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2036'!V23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59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2036'!V24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83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2036'!V25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21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2036'!V26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54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IF(G29="","",VLOOKUP(G29,'Технологии'!$A$11:$BF$50,54,FALSE))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IF(G30="","",VLOOKUP(G30,'Технологии'!$A$11:$BF$50,54,FALSE))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IF(G31="","",VLOOKUP(G31,'Технологии'!$A$11:$BF$50,54,FALSE))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IF(G32="","",VLOOKUP(G32,'Технологии'!$A$11:$BF$50,54,FALSE))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405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85.28529592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76.6377976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86.37753304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99.98122695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2036'!B8+'Китай 2036'!D8+('Китай 2036'!C8+'Китай 2036'!F8+'Китай 2036'!G8)+(0.35*LN(1+0.6*'Ход 2036'!B14)*POWER(MAX(0,1-'Китай 2036'!I8/10),0.7))))</f>
        <v>10</v>
      </c>
      <c r="C8" s="5">
        <f>MIN(1,'Китай 2036'!C8+'Китай 2036'!F8+(0.08*LN(1+0.5*'Ход 2036'!C14)*MAX(0,1-('Китай 2036'!C8+'Китай 2036'!F8))))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2036'!B9+'Китай 2036'!D9+('Китай 2036'!C9+'Китай 2036'!F9+'Китай 2036'!G9)+(0.35*LN(1+0.6*'Ход 2036'!B15)*POWER(MAX(0,1-'Китай 2036'!I9/10),0.7))))</f>
        <v>10</v>
      </c>
      <c r="C9" s="5">
        <f>MIN(1,'Китай 2036'!C9+'Китай 2036'!F9+(0.08*LN(1+0.5*'Ход 2036'!C15)*MAX(0,1-('Китай 2036'!C9+'Китай 2036'!F9))))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2036'!B10+'Китай 2036'!D10+('Китай 2036'!C10+'Китай 2036'!F10+'Китай 2036'!G10)+(0.35*LN(1+0.6*'Ход 2036'!B16)*POWER(MAX(0,1-'Китай 2036'!I10/10),0.7))))</f>
        <v>10</v>
      </c>
      <c r="C10" s="5">
        <f>MIN(1,'Китай 2036'!C10+'Китай 2036'!F10+(0.08*LN(1+0.5*'Ход 2036'!C16)*MAX(0,1-('Китай 2036'!C10+'Китай 2036'!F10))))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2036'!B11+'Китай 2036'!D11+('Китай 2036'!C11+'Китай 2036'!F11+'Китай 2036'!G11)+(0.35*LN(1+0.6*'Ход 2036'!B17)*POWER(MAX(0,1-'Китай 2036'!I11/10),0.7))))</f>
        <v>10</v>
      </c>
      <c r="C11" s="5">
        <f>MIN(1,'Китай 2036'!C11+'Китай 2036'!F11+(0.08*LN(1+0.5*'Ход 2036'!C17)*MAX(0,1-('Китай 2036'!C11+'Китай 2036'!F11))))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10</v>
      </c>
      <c r="J11" s="5"/>
      <c r="K11" s="5" t="s">
        <v>110</v>
      </c>
      <c r="L11" s="5">
        <f>MAX(1,MIN(10,'Китай 2036'!L11+'Китай 2036'!N11+('Китай 2036'!M11+'Китай 2036'!P11+'Китай 2036'!Q11)))</f>
        <v>10</v>
      </c>
      <c r="M11" s="5">
        <f>MIN(1,'Китай 2036'!M11+'Китай 2036'!P11+(0.1*LN(1+0.5*'Ход 2036'!H13)*POWER(MAX(0,1-'Китай 2036'!S11/10),0.8)))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2036'!V11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2036'!B12+'Китай 2036'!D12+('Китай 2036'!C12+'Китай 2036'!F12+'Китай 2036'!G12)+(0.35*LN(1+0.6*'Ход 2036'!B18)*POWER(MAX(0,1-'Китай 2036'!I12/10),0.7))))</f>
        <v>9.580389526</v>
      </c>
      <c r="C12" s="5">
        <f>MIN(1,'Китай 2036'!C12+'Китай 2036'!F12+(0.08*LN(1+0.5*'Ход 2036'!C18)*MAX(0,1-('Китай 2036'!C12+'Китай 2036'!F12))))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9.580389526</v>
      </c>
      <c r="J12" s="5"/>
      <c r="K12" s="5" t="s">
        <v>113</v>
      </c>
      <c r="L12" s="5">
        <f>MAX(1,MIN(10,'Китай 2036'!L12+'Китай 2036'!N12+('Китай 2036'!M12+'Китай 2036'!P12+'Китай 2036'!Q12)))</f>
        <v>10</v>
      </c>
      <c r="M12" s="5">
        <f>MIN(1,'Китай 2036'!M12+'Китай 2036'!P12+(0.1*LN(1+0.5*'Ход 2036'!H14)*POWER(MAX(0,1-'Китай 2036'!S12/10),0.8)))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2036'!V12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2036'!B13+'Китай 2036'!D13+('Китай 2036'!C13+'Китай 2036'!F13+'Китай 2036'!G13)+(0.35*LN(1+0.6*'Ход 2036'!B19)*POWER(MAX(0,1-'Китай 2036'!I13/10),0.7))))</f>
        <v>10</v>
      </c>
      <c r="C13" s="5">
        <f>MIN(1,'Китай 2036'!C13+'Китай 2036'!F13+(0.08*LN(1+0.5*'Ход 2036'!C19)*MAX(0,1-('Китай 2036'!C13+'Китай 2036'!F13))))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2036'!L13+'Китай 2036'!N13+('Китай 2036'!M13+'Китай 2036'!P13+'Китай 2036'!Q13)))</f>
        <v>10</v>
      </c>
      <c r="M13" s="5">
        <f>MIN(1,'Китай 2036'!M13+'Китай 2036'!P13+(0.1*LN(1+0.5*'Ход 2036'!H15)*POWER(MAX(0,1-'Китай 2036'!S13/10),0.8)))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2036'!V13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2036'!B14+'Китай 2036'!D14+('Китай 2036'!C14+'Китай 2036'!F14+'Китай 2036'!G14)+(0.35*LN(1+0.6*'Ход 2036'!B20)*POWER(MAX(0,1-'Китай 2036'!I14/10),0.7))))</f>
        <v>10</v>
      </c>
      <c r="C14" s="5">
        <f>MIN(1,'Китай 2036'!C14+'Китай 2036'!F14+(0.08*LN(1+0.5*'Ход 2036'!C20)*MAX(0,1-('Китай 2036'!C14+'Китай 2036'!F14))))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2036'!L14+'Китай 2036'!N14+('Китай 2036'!M14+'Китай 2036'!P14+'Китай 2036'!Q14)))</f>
        <v>10</v>
      </c>
      <c r="M14" s="5">
        <f>MIN(1,'Китай 2036'!M14+'Китай 2036'!P14+(0.1*LN(1+0.5*'Ход 2036'!H16)*POWER(MAX(0,1-'Китай 2036'!S14/10),0.8)))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2036'!V14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2036'!B15+'Китай 2036'!D15+('Китай 2036'!C15+'Китай 2036'!F15+'Китай 2036'!G15)+(0.35*LN(1+0.6*'Ход 2036'!B21)*POWER(MAX(0,1-'Китай 2036'!I15/10),0.7))))</f>
        <v>10</v>
      </c>
      <c r="C15" s="5">
        <f>MIN(1,'Китай 2036'!C15+'Китай 2036'!F15+(0.08*LN(1+0.5*'Ход 2036'!C21)*MAX(0,1-('Китай 2036'!C15+'Китай 2036'!F15))))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2036'!L15+'Китай 2036'!N15+('Китай 2036'!M15+'Китай 2036'!P15+'Китай 2036'!Q15)))</f>
        <v>10</v>
      </c>
      <c r="M15" s="5">
        <f>MIN(1,'Китай 2036'!M15+'Китай 2036'!P15+(0.1*LN(1+0.5*'Ход 2036'!H17)*POWER(MAX(0,1-'Китай 2036'!S15/10),0.8)))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2036'!V15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2036'!B16+'Китай 2036'!D16+('Китай 2036'!C16+'Китай 2036'!F16+'Китай 2036'!G16)+(0.35*LN(1+0.6*'Ход 2036'!B22)*POWER(MAX(0,1-'Китай 2036'!I16/10),0.7))))</f>
        <v>10</v>
      </c>
      <c r="C16" s="5">
        <f>MIN(1,'Китай 2036'!C16+'Китай 2036'!F16+(0.08*LN(1+0.5*'Ход 2036'!C22)*MAX(0,1-('Китай 2036'!C16+'Китай 2036'!F16))))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2036'!L16+'Китай 2036'!N16+('Китай 2036'!M16+'Китай 2036'!P16+'Китай 2036'!Q16)))</f>
        <v>10</v>
      </c>
      <c r="M16" s="5">
        <f>MIN(1,'Китай 2036'!M16+'Китай 2036'!P16+(0.1*LN(1+0.5*'Ход 2036'!H18)*POWER(MAX(0,1-'Китай 2036'!S16/10),0.8)))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2036'!V16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2036'!B17+'Китай 2036'!D17+('Китай 2036'!C17+'Китай 2036'!F17+'Китай 2036'!G17)+(0.35*LN(1+0.6*'Ход 2036'!B23)*POWER(MAX(0,1-'Китай 2036'!I17/10),0.7))))</f>
        <v>10</v>
      </c>
      <c r="C17" s="5">
        <f>MIN(1,'Китай 2036'!C17+'Китай 2036'!F17+(0.08*LN(1+0.5*'Ход 2036'!C23)*MAX(0,1-('Китай 2036'!C17+'Китай 2036'!F17))))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2036'!L17+'Китай 2036'!N17+('Китай 2036'!M17+'Китай 2036'!P17+'Китай 2036'!Q17)))</f>
        <v>10</v>
      </c>
      <c r="M17" s="5">
        <f>MIN(1,'Китай 2036'!M17+'Китай 2036'!P17+(0.1*LN(1+0.5*'Ход 2036'!H19)*POWER(MAX(0,1-'Китай 2036'!S17/10),0.8)))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2036'!V17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2036'!L18+'Китай 2036'!N18+('Китай 2036'!M18+'Китай 2036'!P18+'Китай 2036'!Q18)))</f>
        <v>10</v>
      </c>
      <c r="M18" s="5">
        <f>MIN(1,'Китай 2036'!M18+'Китай 2036'!P18+(0.1*LN(1+0.5*'Ход 2036'!H20)*POWER(MAX(0,1-'Китай 2036'!S18/10),0.8)))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2036'!V18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2036'!B19+'Китай 2036'!D19+('Китай 2036'!C19+'Китай 2036'!F19+'Китай 2036'!G19)+(0.35*LN(1+0.6*'Ход 2036'!B25)*POWER(MAX(0,1-'Китай 2036'!I19/10),0.7))))</f>
        <v>10</v>
      </c>
      <c r="C19" s="5">
        <f>MIN(1,'Китай 2036'!C19+'Китай 2036'!F19+(0.08*LN(1+0.5*'Ход 2036'!C25)*MAX(0,1-('Китай 2036'!C19+'Китай 2036'!F19))))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2036'!V19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2036'!B20+'Китай 2036'!D20+('Китай 2036'!C20+'Китай 2036'!F20+'Китай 2036'!G20)+(0.35*LN(1+0.6*'Ход 2036'!B26)*POWER(MAX(0,1-'Китай 2036'!I20/10),0.7))))</f>
        <v>10</v>
      </c>
      <c r="C20" s="5">
        <f>MIN(1,'Китай 2036'!C20+'Китай 2036'!F20+(0.08*LN(1+0.5*'Ход 2036'!C26)*MAX(0,1-('Китай 2036'!C20+'Китай 2036'!F20))))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2036'!V20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2036'!B21+'Китай 2036'!D21+('Китай 2036'!C21+'Китай 2036'!F21+'Китай 2036'!G21)+(0.35*LN(1+0.6*'Ход 2036'!B27)*POWER(MAX(0,1-'Китай 2036'!I21/10),0.7))))</f>
        <v>10</v>
      </c>
      <c r="C21" s="5">
        <f>MIN(1,'Китай 2036'!C21+'Китай 2036'!F21+(0.08*LN(1+0.5*'Ход 2036'!C27)*MAX(0,1-('Китай 2036'!C21+'Китай 2036'!F21))))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2036'!V21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2036'!B22+'Китай 2036'!D22+('Китай 2036'!C22+'Китай 2036'!F22+'Китай 2036'!G22)+(0.35*LN(1+0.6*'Ход 2036'!B28)*POWER(MAX(0,1-'Китай 2036'!I22/10),0.7))))</f>
        <v>10</v>
      </c>
      <c r="C22" s="5">
        <f>MIN(1,'Китай 2036'!C22+'Китай 2036'!F22+(0.08*LN(1+0.5*'Ход 2036'!C28)*MAX(0,1-('Китай 2036'!C22+'Китай 2036'!F22))))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2036'!V22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2036'!B23+'Китай 2036'!D23+('Китай 2036'!C23+'Китай 2036'!F23+'Китай 2036'!G23)+(0.35*LN(1+0.6*'Ход 2036'!B29)*POWER(MAX(0,1-'Китай 2036'!I23/10),0.7))))</f>
        <v>10</v>
      </c>
      <c r="C23" s="5">
        <f>MIN(1,'Китай 2036'!C23+'Китай 2036'!F23+(0.08*LN(1+0.5*'Ход 2036'!C29)*MAX(0,1-('Китай 2036'!C23+'Китай 2036'!F23))))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2036'!V23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2036'!V24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2036'!B25+'Китай 2036'!D25+('Китай 2036'!C25+'Китай 2036'!F25+'Китай 2036'!G25)+(0.35*LN(1+0.6*'Ход 2036'!B31)*POWER(MAX(0,1-'Китай 2036'!I25/10),0.7))))</f>
        <v>10</v>
      </c>
      <c r="C25" s="5">
        <f>MIN(1,'Китай 2036'!C25+'Китай 2036'!F25+(0.08*LN(1+0.5*'Ход 2036'!C31)*MAX(0,1-('Китай 2036'!C25+'Китай 2036'!F25))))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2036'!V25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2036'!B26+'Китай 2036'!D26+('Китай 2036'!C26+'Китай 2036'!F26+'Китай 2036'!G26)+(0.35*LN(1+0.6*'Ход 2036'!B32)*POWER(MAX(0,1-'Китай 2036'!I26/10),0.7))))</f>
        <v>10</v>
      </c>
      <c r="C26" s="5">
        <f>MIN(1,'Китай 2036'!C26+'Китай 2036'!F26+(0.08*LN(1+0.5*'Ход 2036'!C32)*MAX(0,1-('Китай 2036'!C26+'Китай 2036'!F26))))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2036'!V26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2036'!B27+'Китай 2036'!D27+('Китай 2036'!C27+'Китай 2036'!F27+'Китай 2036'!G27)+(0.35*LN(1+0.6*'Ход 2036'!B33)*POWER(MAX(0,1-'Китай 2036'!I27/10),0.7))))</f>
        <v>10</v>
      </c>
      <c r="C27" s="5">
        <f>MIN(1,'Китай 2036'!C27+'Китай 2036'!F27+(0.08*LN(1+0.5*'Ход 2036'!C33)*MAX(0,1-('Китай 2036'!C27+'Китай 2036'!F27))))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2036'!B28+'Китай 2036'!D28+('Китай 2036'!C28+'Китай 2036'!F28+'Китай 2036'!G28)+(0.35*LN(1+0.6*'Ход 2036'!B34)*POWER(MAX(0,1-'Китай 2036'!I28/10),0.7))))</f>
        <v>10</v>
      </c>
      <c r="C28" s="5">
        <f>MIN(1,'Китай 2036'!C28+'Китай 2036'!F28+(0.08*LN(1+0.5*'Ход 2036'!C34)*MAX(0,1-('Китай 2036'!C28+'Китай 2036'!F28))))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2036'!B29+'Китай 2036'!D29+('Китай 2036'!C29+'Китай 2036'!F29+'Китай 2036'!G29)+(0.35*LN(1+0.6*'Ход 2036'!B35)*POWER(MAX(0,1-'Китай 2036'!I29/10),0.7))))</f>
        <v>10</v>
      </c>
      <c r="C29" s="5">
        <f>MIN(1,'Китай 2036'!C29+'Китай 2036'!F29+(0.08*LN(1+0.5*'Ход 2036'!C35)*MAX(0,1-('Китай 2036'!C29+'Китай 2036'!F29))))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2036'!B30+'Китай 2036'!D30+('Китай 2036'!C30+'Китай 2036'!F30+'Китай 2036'!G30)+(0.35*LN(1+0.6*'Ход 2036'!B36)*POWER(MAX(0,1-'Китай 2036'!I30/10),0.7))))</f>
        <v>9.808479321</v>
      </c>
      <c r="C30" s="5">
        <f>MIN(1,'Китай 2036'!C30+'Китай 2036'!F30+(0.08*LN(1+0.5*'Ход 2036'!C36)*MAX(0,1-('Китай 2036'!C30+'Китай 2036'!F30))))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9.808479321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2036'!B31+'Китай 2036'!D31+('Китай 2036'!C31+'Китай 2036'!F31+'Китай 2036'!G31)+(0.35*LN(1+0.6*'Ход 2036'!B37)*POWER(MAX(0,1-'Китай 2036'!I31/10),0.7))))</f>
        <v>8.248316355</v>
      </c>
      <c r="C31" s="5">
        <f>MIN(1,'Китай 2036'!C31+'Китай 2036'!F31+(0.08*LN(1+0.5*'Ход 2036'!C37)*MAX(0,1-('Китай 2036'!C31+'Китай 2036'!F31))))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8.248316355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2036'!B32+'Китай 2036'!D32+('Китай 2036'!C32+'Китай 2036'!F32+'Китай 2036'!G32)+(0.35*LN(1+0.6*'Ход 2036'!B38)*POWER(MAX(0,1-'Китай 2036'!I32/10),0.7))))</f>
        <v>10</v>
      </c>
      <c r="C32" s="5">
        <f>MIN(1,'Китай 2036'!C32+'Китай 2036'!F32+(0.08*LN(1+0.5*'Ход 2036'!C38)*MAX(0,1-('Китай 2036'!C32+'Китай 2036'!F32))))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2036'!B34+'Китай 2036'!D34+('Китай 2036'!C34+'Китай 2036'!F34+'Китай 2036'!G34)+(0.35*LN(1+0.6*'Ход 2036'!B40)*POWER(MAX(0,1-'Китай 2036'!I34/10),0.7))))</f>
        <v>10</v>
      </c>
      <c r="C34" s="5">
        <f>MIN(1,'Китай 2036'!C34+'Китай 2036'!F34+(0.08*LN(1+0.5*'Ход 2036'!C40)*MAX(0,1-('Китай 2036'!C34+'Китай 2036'!F34))))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2036'!B35+'Китай 2036'!D35+('Китай 2036'!C35+'Китай 2036'!F35+'Китай 2036'!G35)+(0.35*LN(1+0.6*'Ход 2036'!B41)*POWER(MAX(0,1-'Китай 2036'!I35/10),0.7))))</f>
        <v>10</v>
      </c>
      <c r="C35" s="5">
        <f>MIN(1,'Китай 2036'!C35+'Китай 2036'!F35+(0.08*LN(1+0.5*'Ход 2036'!C41)*MAX(0,1-('Китай 2036'!C35+'Китай 2036'!F35))))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2036'!B36+'Китай 2036'!D36+('Китай 2036'!C36+'Китай 2036'!F36+'Китай 2036'!G36)+(0.35*LN(1+0.6*'Ход 2036'!B42)*POWER(MAX(0,1-'Китай 2036'!I36/10),0.7))))</f>
        <v>10</v>
      </c>
      <c r="C36" s="5">
        <f>MIN(1,'Китай 2036'!C36+'Китай 2036'!F36+(0.08*LN(1+0.5*'Ход 2036'!C42)*MAX(0,1-('Китай 2036'!C36+'Китай 2036'!F36))))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2036'!B37+'Китай 2036'!D37+('Китай 2036'!C37+'Китай 2036'!F37+'Китай 2036'!G37)+(0.35*LN(1+0.6*'Ход 2036'!B43)*POWER(MAX(0,1-'Китай 2036'!I37/10),0.7))))</f>
        <v>10</v>
      </c>
      <c r="C37" s="5">
        <f>MIN(1,'Китай 2036'!C37+'Китай 2036'!F37+(0.08*LN(1+0.5*'Ход 2036'!C43)*MAX(0,1-('Китай 2036'!C37+'Китай 2036'!F37))))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2036'!B38+'Китай 2036'!D38+('Китай 2036'!C38+'Китай 2036'!F38+'Китай 2036'!G38)+(0.35*LN(1+0.6*'Ход 2036'!B44)*POWER(MAX(0,1-'Китай 2036'!I38/10),0.7))))</f>
        <v>10</v>
      </c>
      <c r="C38" s="5">
        <f>MIN(1,'Китай 2036'!C38+'Китай 2036'!F38+(0.08*LN(1+0.5*'Ход 2036'!C44)*MAX(0,1-('Китай 2036'!C38+'Китай 2036'!F38))))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2036'!B39+'Китай 2036'!D39+('Китай 2036'!C39+'Китай 2036'!F39+'Китай 2036'!G39)+(0.35*LN(1+0.6*'Ход 2036'!B45)*POWER(MAX(0,1-'Китай 2036'!I39/10),0.7))))</f>
        <v>10</v>
      </c>
      <c r="C39" s="5">
        <f>MIN(1,'Китай 2036'!C39+'Китай 2036'!F39+(0.08*LN(1+0.5*'Ход 2036'!C45)*MAX(0,1-('Китай 2036'!C39+'Китай 2036'!F39))))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2036'!B40+'Китай 2036'!D40+('Китай 2036'!C40+'Китай 2036'!F40+'Китай 2036'!G40)+(0.35*LN(1+0.6*'Ход 2036'!B46)*POWER(MAX(0,1-'Китай 2036'!I40/10),0.7))))</f>
        <v>10</v>
      </c>
      <c r="C40" s="5">
        <f>MIN(1,'Китай 2036'!C40+'Китай 2036'!F40+(0.08*LN(1+0.5*'Ход 2036'!C46)*MAX(0,1-('Китай 2036'!C40+'Китай 2036'!F40))))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2036'!B41+'Китай 2036'!D41+('Китай 2036'!C41+'Китай 2036'!F41+'Китай 2036'!G41)+(0.35*LN(1+0.6*'Ход 2036'!B47)*POWER(MAX(0,1-'Китай 2036'!I41/10),0.7))))</f>
        <v>10</v>
      </c>
      <c r="C41" s="5">
        <f>MIN(1,'Китай 2036'!C41+'Китай 2036'!F41+(0.08*LN(1+0.5*'Ход 2036'!C47)*MAX(0,1-('Китай 2036'!C41+'Китай 2036'!F41))))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2036'!B42+'Китай 2036'!D42+('Китай 2036'!C42+'Китай 2036'!F42+'Китай 2036'!G42)+(0.35*LN(1+0.6*'Ход 2036'!B48)*POWER(MAX(0,1-'Китай 2036'!I42/10),0.7))))</f>
        <v>10</v>
      </c>
      <c r="C42" s="5">
        <f>MIN(1,'Китай 2036'!C42+'Китай 2036'!F42+(0.08*LN(1+0.5*'Ход 2036'!C48)*MAX(0,1-('Китай 2036'!C42+'Китай 2036'!F42))))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2036'!B44+'Китай 2036'!D44+('Китай 2036'!C44+'Китай 2036'!F44+'Китай 2036'!G44)+(0.35*LN(1+0.6*'Ход 2036'!B50)*POWER(MAX(0,1-'Китай 2036'!I44/10),0.7))))</f>
        <v>9.808479321</v>
      </c>
      <c r="C44" s="5">
        <f>MIN(1,'Китай 2036'!C44+'Китай 2036'!F44+(0.08*LN(1+0.5*'Ход 2036'!C50)*MAX(0,1-('Китай 2036'!C44+'Китай 2036'!F44))))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9.808479321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2036'!B45+'Китай 2036'!D45+('Китай 2036'!C45+'Китай 2036'!F45+'Китай 2036'!G45)+(0.35*LN(1+0.6*'Ход 2036'!B51)*POWER(MAX(0,1-'Китай 2036'!I45/10),0.7))))</f>
        <v>10</v>
      </c>
      <c r="C45" s="5">
        <f>MIN(1,'Китай 2036'!C45+'Китай 2036'!F45+(0.08*LN(1+0.5*'Ход 2036'!C51)*MAX(0,1-('Китай 2036'!C45+'Китай 2036'!F45))))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2036'!B46+'Китай 2036'!D46+('Китай 2036'!C46+'Китай 2036'!F46+'Китай 2036'!G46)+(0.35*LN(1+0.6*'Ход 2036'!B52)*POWER(MAX(0,1-'Китай 2036'!I46/10),0.7))))</f>
        <v>10</v>
      </c>
      <c r="C46" s="5">
        <f>MIN(1,'Китай 2036'!C46+'Китай 2036'!F46+(0.08*LN(1+0.5*'Ход 2036'!C52)*MAX(0,1-('Китай 2036'!C46+'Китай 2036'!F46))))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2036'!B47+'Китай 2036'!D47+('Китай 2036'!C47+'Китай 2036'!F47+'Китай 2036'!G47)+(0.35*LN(1+0.6*'Ход 2036'!B53)*POWER(MAX(0,1-'Китай 2036'!I47/10),0.7))))</f>
        <v>7.242893992</v>
      </c>
      <c r="C47" s="5">
        <f>MIN(1,'Китай 2036'!C47+'Китай 2036'!F47+(0.08*LN(1+0.5*'Ход 2036'!C53)*MAX(0,1-('Китай 2036'!C47+'Китай 2036'!F47))))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7.242893992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2036'!B48+'Китай 2036'!D48+('Китай 2036'!C48+'Китай 2036'!F48+'Китай 2036'!G48)+(0.35*LN(1+0.6*'Ход 2036'!B54)*POWER(MAX(0,1-'Китай 2036'!I48/10),0.7))))</f>
        <v>9.106696632</v>
      </c>
      <c r="C48" s="5">
        <f>MIN(1,'Китай 2036'!C48+'Китай 2036'!F48+(0.08*LN(1+0.5*'Ход 2036'!C54)*MAX(0,1-('Китай 2036'!C48+'Китай 2036'!F48))))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9.106696632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2036'!B49+'Китай 2036'!D49+('Китай 2036'!C49+'Китай 2036'!F49+'Китай 2036'!G49)+(0.35*LN(1+0.6*'Ход 2036'!B55)*POWER(MAX(0,1-'Китай 2036'!I49/10),0.7))))</f>
        <v>10</v>
      </c>
      <c r="C49" s="5">
        <f>MIN(1,'Китай 2036'!C49+'Китай 2036'!F49+(0.08*LN(1+0.5*'Ход 2036'!C55)*MAX(0,1-('Китай 2036'!C49+'Китай 2036'!F49))))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2036'!B50+'Китай 2036'!D50+('Китай 2036'!C50+'Китай 2036'!F50+'Китай 2036'!G50)+(0.35*LN(1+0.6*'Ход 2036'!B56)*POWER(MAX(0,1-'Китай 2036'!I50/10),0.7))))</f>
        <v>10</v>
      </c>
      <c r="C50" s="5">
        <f>MIN(1,'Китай 2036'!C50+'Китай 2036'!F50+(0.08*LN(1+0.5*'Ход 2036'!C56)*MAX(0,1-('Китай 2036'!C50+'Китай 2036'!F50))))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2036'!B51+'Китай 2036'!D51+('Китай 2036'!C51+'Китай 2036'!F51+'Китай 2036'!G51)+(0.35*LN(1+0.6*'Ход 2036'!B57)*POWER(MAX(0,1-'Китай 2036'!I51/10),0.7))))</f>
        <v>10</v>
      </c>
      <c r="C51" s="5">
        <f>MIN(1,'Китай 2036'!C51+'Китай 2036'!F51+(0.08*LN(1+0.5*'Ход 2036'!C57)*MAX(0,1-('Китай 2036'!C51+'Китай 2036'!F51))))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2036'!B53+'Китай 2036'!D53+('Китай 2036'!C53+'Китай 2036'!F53+'Китай 2036'!G53)+(0.35*LN(1+0.6*'Ход 2036'!B59)*POWER(MAX(0,1-'Китай 2036'!I53/10),0.7))))</f>
        <v>10</v>
      </c>
      <c r="C53" s="5">
        <f>MIN(1,'Китай 2036'!C53+'Китай 2036'!F53+(0.08*LN(1+0.5*'Ход 2036'!C59)*MAX(0,1-('Китай 2036'!C53+'Китай 2036'!F53))))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2036'!B54+'Китай 2036'!D54+('Китай 2036'!C54+'Китай 2036'!F54+'Китай 2036'!G54)+(0.35*LN(1+0.6*'Ход 2036'!B60)*POWER(MAX(0,1-'Китай 2036'!I54/10),0.7))))</f>
        <v>10</v>
      </c>
      <c r="C54" s="5">
        <f>MIN(1,'Китай 2036'!C54+'Китай 2036'!F54+(0.08*LN(1+0.5*'Ход 2036'!C60)*MAX(0,1-('Китай 2036'!C54+'Китай 2036'!F54))))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2036'!B55+'Китай 2036'!D55+('Китай 2036'!C55+'Китай 2036'!F55+'Китай 2036'!G55)+(0.35*LN(1+0.6*'Ход 2036'!B61)*POWER(MAX(0,1-'Китай 2036'!I55/10),0.7))))</f>
        <v>10</v>
      </c>
      <c r="C55" s="5">
        <f>MIN(1,'Китай 2036'!C55+'Китай 2036'!F55+(0.08*LN(1+0.5*'Ход 2036'!C61)*MAX(0,1-('Китай 2036'!C55+'Китай 2036'!F55))))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406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2037'!U6</f>
        <v>99.98122695</v>
      </c>
      <c r="C6" s="5"/>
      <c r="D6" s="5"/>
      <c r="E6" s="5" t="s">
        <v>13</v>
      </c>
      <c r="F6" s="11">
        <f>'Китай 2037'!K6</f>
        <v>85.28529592</v>
      </c>
      <c r="G6" s="5"/>
      <c r="H6" s="5"/>
      <c r="I6" s="5" t="s">
        <v>13</v>
      </c>
      <c r="J6" s="11">
        <f>'Китай 2037'!N6</f>
        <v>76.6377976</v>
      </c>
      <c r="K6" s="5"/>
      <c r="L6" s="5"/>
      <c r="M6" s="5" t="s">
        <v>13</v>
      </c>
      <c r="N6" s="11">
        <f>'Китай 2037'!Q6</f>
        <v>86.37753304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99.98122695</v>
      </c>
      <c r="C8" s="5" t="str">
        <f>IF(B8&lt;0,"ПРЕВЫШЕНИЕ","OK")</f>
        <v>OK</v>
      </c>
      <c r="D8" s="5"/>
      <c r="E8" s="5" t="s">
        <v>91</v>
      </c>
      <c r="F8" s="11">
        <f>F6-F7</f>
        <v>85.28529592</v>
      </c>
      <c r="G8" s="5" t="str">
        <f>IF(F8&lt;0,"ПРЕВЫШЕНИЕ","OK")</f>
        <v>OK</v>
      </c>
      <c r="H8" s="5"/>
      <c r="I8" s="5" t="s">
        <v>91</v>
      </c>
      <c r="J8" s="11">
        <f>J6-J7</f>
        <v>76.6377976</v>
      </c>
      <c r="K8" s="5" t="str">
        <f>IF(J8&lt;0,"ПРЕВЫШЕНИЕ","OK")</f>
        <v>OK</v>
      </c>
      <c r="L8" s="5"/>
      <c r="M8" s="5" t="s">
        <v>91</v>
      </c>
      <c r="N8" s="11">
        <f>N6-N7</f>
        <v>86.37753304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2037'!V11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2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2037'!V12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33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2037'!V13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90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2037'!V14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4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2037'!V15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20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2037'!V16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74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2037'!V17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62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2037'!V18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48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2037'!V19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89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2037'!V20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37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2037'!V21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73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2037'!V22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14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2037'!V23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13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2037'!V24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99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2037'!V25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8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2037'!V26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13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IF(G29="","",VLOOKUP(G29,'Технологии'!$A$11:$BF$50,55,FALSE))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IF(G30="","",VLOOKUP(G30,'Технологии'!$A$11:$BF$50,55,FALSE))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IF(G31="","",VLOOKUP(G31,'Технологии'!$A$11:$BF$50,55,FALSE))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IF(G32="","",VLOOKUP(G32,'Технологии'!$A$11:$BF$50,55,FALSE))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407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85.34010396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76.64642691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86.45640301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99.98350658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2037'!B8+'Китай 2037'!D8+('Китай 2037'!C8+'Китай 2037'!F8+'Китай 2037'!G8)+(0.35*LN(1+0.6*'Ход 2037'!B14)*POWER(MAX(0,1-'Китай 2037'!I8/10),0.7))))</f>
        <v>10</v>
      </c>
      <c r="C8" s="5">
        <f>MIN(1,'Китай 2037'!C8+'Китай 2037'!F8+(0.08*LN(1+0.5*'Ход 2037'!C14)*MAX(0,1-('Китай 2037'!C8+'Китай 2037'!F8))))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2037'!B9+'Китай 2037'!D9+('Китай 2037'!C9+'Китай 2037'!F9+'Китай 2037'!G9)+(0.35*LN(1+0.6*'Ход 2037'!B15)*POWER(MAX(0,1-'Китай 2037'!I9/10),0.7))))</f>
        <v>10</v>
      </c>
      <c r="C9" s="5">
        <f>MIN(1,'Китай 2037'!C9+'Китай 2037'!F9+(0.08*LN(1+0.5*'Ход 2037'!C15)*MAX(0,1-('Китай 2037'!C9+'Китай 2037'!F9))))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2037'!B10+'Китай 2037'!D10+('Китай 2037'!C10+'Китай 2037'!F10+'Китай 2037'!G10)+(0.35*LN(1+0.6*'Ход 2037'!B16)*POWER(MAX(0,1-'Китай 2037'!I10/10),0.7))))</f>
        <v>10</v>
      </c>
      <c r="C10" s="5">
        <f>MIN(1,'Китай 2037'!C10+'Китай 2037'!F10+(0.08*LN(1+0.5*'Ход 2037'!C16)*MAX(0,1-('Китай 2037'!C10+'Китай 2037'!F10))))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2037'!B11+'Китай 2037'!D11+('Китай 2037'!C11+'Китай 2037'!F11+'Китай 2037'!G11)+(0.35*LN(1+0.6*'Ход 2037'!B17)*POWER(MAX(0,1-'Китай 2037'!I11/10),0.7))))</f>
        <v>10</v>
      </c>
      <c r="C11" s="5">
        <f>MIN(1,'Китай 2037'!C11+'Китай 2037'!F11+(0.08*LN(1+0.5*'Ход 2037'!C17)*MAX(0,1-('Китай 2037'!C11+'Китай 2037'!F11))))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10</v>
      </c>
      <c r="J11" s="5"/>
      <c r="K11" s="5" t="s">
        <v>110</v>
      </c>
      <c r="L11" s="5">
        <f>MAX(1,MIN(10,'Китай 2037'!L11+'Китай 2037'!N11+('Китай 2037'!M11+'Китай 2037'!P11+'Китай 2037'!Q11)))</f>
        <v>10</v>
      </c>
      <c r="M11" s="5">
        <f>MIN(1,'Китай 2037'!M11+'Китай 2037'!P11+(0.1*LN(1+0.5*'Ход 2037'!H13)*POWER(MAX(0,1-'Китай 2037'!S11/10),0.8)))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2037'!V11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2037'!B12+'Китай 2037'!D12+('Китай 2037'!C12+'Китай 2037'!F12+'Китай 2037'!G12)+(0.35*LN(1+0.6*'Ход 2037'!B18)*POWER(MAX(0,1-'Китай 2037'!I12/10),0.7))))</f>
        <v>9.630389526</v>
      </c>
      <c r="C12" s="5">
        <f>MIN(1,'Китай 2037'!C12+'Китай 2037'!F12+(0.08*LN(1+0.5*'Ход 2037'!C18)*MAX(0,1-('Китай 2037'!C12+'Китай 2037'!F12))))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9.630389526</v>
      </c>
      <c r="J12" s="5"/>
      <c r="K12" s="5" t="s">
        <v>113</v>
      </c>
      <c r="L12" s="5">
        <f>MAX(1,MIN(10,'Китай 2037'!L12+'Китай 2037'!N12+('Китай 2037'!M12+'Китай 2037'!P12+'Китай 2037'!Q12)))</f>
        <v>10</v>
      </c>
      <c r="M12" s="5">
        <f>MIN(1,'Китай 2037'!M12+'Китай 2037'!P12+(0.1*LN(1+0.5*'Ход 2037'!H14)*POWER(MAX(0,1-'Китай 2037'!S12/10),0.8)))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2037'!V12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2037'!B13+'Китай 2037'!D13+('Китай 2037'!C13+'Китай 2037'!F13+'Китай 2037'!G13)+(0.35*LN(1+0.6*'Ход 2037'!B19)*POWER(MAX(0,1-'Китай 2037'!I13/10),0.7))))</f>
        <v>10</v>
      </c>
      <c r="C13" s="5">
        <f>MIN(1,'Китай 2037'!C13+'Китай 2037'!F13+(0.08*LN(1+0.5*'Ход 2037'!C19)*MAX(0,1-('Китай 2037'!C13+'Китай 2037'!F13))))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2037'!L13+'Китай 2037'!N13+('Китай 2037'!M13+'Китай 2037'!P13+'Китай 2037'!Q13)))</f>
        <v>10</v>
      </c>
      <c r="M13" s="5">
        <f>MIN(1,'Китай 2037'!M13+'Китай 2037'!P13+(0.1*LN(1+0.5*'Ход 2037'!H15)*POWER(MAX(0,1-'Китай 2037'!S13/10),0.8)))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2037'!V13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2037'!B14+'Китай 2037'!D14+('Китай 2037'!C14+'Китай 2037'!F14+'Китай 2037'!G14)+(0.35*LN(1+0.6*'Ход 2037'!B20)*POWER(MAX(0,1-'Китай 2037'!I14/10),0.7))))</f>
        <v>10</v>
      </c>
      <c r="C14" s="5">
        <f>MIN(1,'Китай 2037'!C14+'Китай 2037'!F14+(0.08*LN(1+0.5*'Ход 2037'!C20)*MAX(0,1-('Китай 2037'!C14+'Китай 2037'!F14))))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2037'!L14+'Китай 2037'!N14+('Китай 2037'!M14+'Китай 2037'!P14+'Китай 2037'!Q14)))</f>
        <v>10</v>
      </c>
      <c r="M14" s="5">
        <f>MIN(1,'Китай 2037'!M14+'Китай 2037'!P14+(0.1*LN(1+0.5*'Ход 2037'!H16)*POWER(MAX(0,1-'Китай 2037'!S14/10),0.8)))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2037'!V14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2037'!B15+'Китай 2037'!D15+('Китай 2037'!C15+'Китай 2037'!F15+'Китай 2037'!G15)+(0.35*LN(1+0.6*'Ход 2037'!B21)*POWER(MAX(0,1-'Китай 2037'!I15/10),0.7))))</f>
        <v>10</v>
      </c>
      <c r="C15" s="5">
        <f>MIN(1,'Китай 2037'!C15+'Китай 2037'!F15+(0.08*LN(1+0.5*'Ход 2037'!C21)*MAX(0,1-('Китай 2037'!C15+'Китай 2037'!F15))))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2037'!L15+'Китай 2037'!N15+('Китай 2037'!M15+'Китай 2037'!P15+'Китай 2037'!Q15)))</f>
        <v>10</v>
      </c>
      <c r="M15" s="5">
        <f>MIN(1,'Китай 2037'!M15+'Китай 2037'!P15+(0.1*LN(1+0.5*'Ход 2037'!H17)*POWER(MAX(0,1-'Китай 2037'!S15/10),0.8)))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2037'!V15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2037'!B16+'Китай 2037'!D16+('Китай 2037'!C16+'Китай 2037'!F16+'Китай 2037'!G16)+(0.35*LN(1+0.6*'Ход 2037'!B22)*POWER(MAX(0,1-'Китай 2037'!I16/10),0.7))))</f>
        <v>10</v>
      </c>
      <c r="C16" s="5">
        <f>MIN(1,'Китай 2037'!C16+'Китай 2037'!F16+(0.08*LN(1+0.5*'Ход 2037'!C22)*MAX(0,1-('Китай 2037'!C16+'Китай 2037'!F16))))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2037'!L16+'Китай 2037'!N16+('Китай 2037'!M16+'Китай 2037'!P16+'Китай 2037'!Q16)))</f>
        <v>10</v>
      </c>
      <c r="M16" s="5">
        <f>MIN(1,'Китай 2037'!M16+'Китай 2037'!P16+(0.1*LN(1+0.5*'Ход 2037'!H18)*POWER(MAX(0,1-'Китай 2037'!S16/10),0.8)))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2037'!V16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2037'!B17+'Китай 2037'!D17+('Китай 2037'!C17+'Китай 2037'!F17+'Китай 2037'!G17)+(0.35*LN(1+0.6*'Ход 2037'!B23)*POWER(MAX(0,1-'Китай 2037'!I17/10),0.7))))</f>
        <v>10</v>
      </c>
      <c r="C17" s="5">
        <f>MIN(1,'Китай 2037'!C17+'Китай 2037'!F17+(0.08*LN(1+0.5*'Ход 2037'!C23)*MAX(0,1-('Китай 2037'!C17+'Китай 2037'!F17))))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2037'!L17+'Китай 2037'!N17+('Китай 2037'!M17+'Китай 2037'!P17+'Китай 2037'!Q17)))</f>
        <v>10</v>
      </c>
      <c r="M17" s="5">
        <f>MIN(1,'Китай 2037'!M17+'Китай 2037'!P17+(0.1*LN(1+0.5*'Ход 2037'!H19)*POWER(MAX(0,1-'Китай 2037'!S17/10),0.8)))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2037'!V17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2037'!L18+'Китай 2037'!N18+('Китай 2037'!M18+'Китай 2037'!P18+'Китай 2037'!Q18)))</f>
        <v>10</v>
      </c>
      <c r="M18" s="5">
        <f>MIN(1,'Китай 2037'!M18+'Китай 2037'!P18+(0.1*LN(1+0.5*'Ход 2037'!H20)*POWER(MAX(0,1-'Китай 2037'!S18/10),0.8)))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2037'!V18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2037'!B19+'Китай 2037'!D19+('Китай 2037'!C19+'Китай 2037'!F19+'Китай 2037'!G19)+(0.35*LN(1+0.6*'Ход 2037'!B25)*POWER(MAX(0,1-'Китай 2037'!I19/10),0.7))))</f>
        <v>10</v>
      </c>
      <c r="C19" s="5">
        <f>MIN(1,'Китай 2037'!C19+'Китай 2037'!F19+(0.08*LN(1+0.5*'Ход 2037'!C25)*MAX(0,1-('Китай 2037'!C19+'Китай 2037'!F19))))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2037'!V19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2037'!B20+'Китай 2037'!D20+('Китай 2037'!C20+'Китай 2037'!F20+'Китай 2037'!G20)+(0.35*LN(1+0.6*'Ход 2037'!B26)*POWER(MAX(0,1-'Китай 2037'!I20/10),0.7))))</f>
        <v>10</v>
      </c>
      <c r="C20" s="5">
        <f>MIN(1,'Китай 2037'!C20+'Китай 2037'!F20+(0.08*LN(1+0.5*'Ход 2037'!C26)*MAX(0,1-('Китай 2037'!C20+'Китай 2037'!F20))))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2037'!V20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2037'!B21+'Китай 2037'!D21+('Китай 2037'!C21+'Китай 2037'!F21+'Китай 2037'!G21)+(0.35*LN(1+0.6*'Ход 2037'!B27)*POWER(MAX(0,1-'Китай 2037'!I21/10),0.7))))</f>
        <v>10</v>
      </c>
      <c r="C21" s="5">
        <f>MIN(1,'Китай 2037'!C21+'Китай 2037'!F21+(0.08*LN(1+0.5*'Ход 2037'!C27)*MAX(0,1-('Китай 2037'!C21+'Китай 2037'!F21))))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2037'!V21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2037'!B22+'Китай 2037'!D22+('Китай 2037'!C22+'Китай 2037'!F22+'Китай 2037'!G22)+(0.35*LN(1+0.6*'Ход 2037'!B28)*POWER(MAX(0,1-'Китай 2037'!I22/10),0.7))))</f>
        <v>10</v>
      </c>
      <c r="C22" s="5">
        <f>MIN(1,'Китай 2037'!C22+'Китай 2037'!F22+(0.08*LN(1+0.5*'Ход 2037'!C28)*MAX(0,1-('Китай 2037'!C22+'Китай 2037'!F22))))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2037'!V22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2037'!B23+'Китай 2037'!D23+('Китай 2037'!C23+'Китай 2037'!F23+'Китай 2037'!G23)+(0.35*LN(1+0.6*'Ход 2037'!B29)*POWER(MAX(0,1-'Китай 2037'!I23/10),0.7))))</f>
        <v>10</v>
      </c>
      <c r="C23" s="5">
        <f>MIN(1,'Китай 2037'!C23+'Китай 2037'!F23+(0.08*LN(1+0.5*'Ход 2037'!C29)*MAX(0,1-('Китай 2037'!C23+'Китай 2037'!F23))))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2037'!V23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2037'!V24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2037'!B25+'Китай 2037'!D25+('Китай 2037'!C25+'Китай 2037'!F25+'Китай 2037'!G25)+(0.35*LN(1+0.6*'Ход 2037'!B31)*POWER(MAX(0,1-'Китай 2037'!I25/10),0.7))))</f>
        <v>10</v>
      </c>
      <c r="C25" s="5">
        <f>MIN(1,'Китай 2037'!C25+'Китай 2037'!F25+(0.08*LN(1+0.5*'Ход 2037'!C31)*MAX(0,1-('Китай 2037'!C25+'Китай 2037'!F25))))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2037'!V25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2037'!B26+'Китай 2037'!D26+('Китай 2037'!C26+'Китай 2037'!F26+'Китай 2037'!G26)+(0.35*LN(1+0.6*'Ход 2037'!B32)*POWER(MAX(0,1-'Китай 2037'!I26/10),0.7))))</f>
        <v>10</v>
      </c>
      <c r="C26" s="5">
        <f>MIN(1,'Китай 2037'!C26+'Китай 2037'!F26+(0.08*LN(1+0.5*'Ход 2037'!C32)*MAX(0,1-('Китай 2037'!C26+'Китай 2037'!F26))))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2037'!V26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2037'!B27+'Китай 2037'!D27+('Китай 2037'!C27+'Китай 2037'!F27+'Китай 2037'!G27)+(0.35*LN(1+0.6*'Ход 2037'!B33)*POWER(MAX(0,1-'Китай 2037'!I27/10),0.7))))</f>
        <v>10</v>
      </c>
      <c r="C27" s="5">
        <f>MIN(1,'Китай 2037'!C27+'Китай 2037'!F27+(0.08*LN(1+0.5*'Ход 2037'!C33)*MAX(0,1-('Китай 2037'!C27+'Китай 2037'!F27))))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2037'!B28+'Китай 2037'!D28+('Китай 2037'!C28+'Китай 2037'!F28+'Китай 2037'!G28)+(0.35*LN(1+0.6*'Ход 2037'!B34)*POWER(MAX(0,1-'Китай 2037'!I28/10),0.7))))</f>
        <v>10</v>
      </c>
      <c r="C28" s="5">
        <f>MIN(1,'Китай 2037'!C28+'Китай 2037'!F28+(0.08*LN(1+0.5*'Ход 2037'!C34)*MAX(0,1-('Китай 2037'!C28+'Китай 2037'!F28))))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2037'!B29+'Китай 2037'!D29+('Китай 2037'!C29+'Китай 2037'!F29+'Китай 2037'!G29)+(0.35*LN(1+0.6*'Ход 2037'!B35)*POWER(MAX(0,1-'Китай 2037'!I29/10),0.7))))</f>
        <v>10</v>
      </c>
      <c r="C29" s="5">
        <f>MIN(1,'Китай 2037'!C29+'Китай 2037'!F29+(0.08*LN(1+0.5*'Ход 2037'!C35)*MAX(0,1-('Китай 2037'!C29+'Китай 2037'!F29))))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2037'!B30+'Китай 2037'!D30+('Китай 2037'!C30+'Китай 2037'!F30+'Китай 2037'!G30)+(0.35*LN(1+0.6*'Ход 2037'!B36)*POWER(MAX(0,1-'Китай 2037'!I30/10),0.7))))</f>
        <v>10</v>
      </c>
      <c r="C30" s="5">
        <f>MIN(1,'Китай 2037'!C30+'Китай 2037'!F30+(0.08*LN(1+0.5*'Ход 2037'!C36)*MAX(0,1-('Китай 2037'!C30+'Китай 2037'!F30))))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2037'!B31+'Китай 2037'!D31+('Китай 2037'!C31+'Китай 2037'!F31+'Китай 2037'!G31)+(0.35*LN(1+0.6*'Ход 2037'!B37)*POWER(MAX(0,1-'Китай 2037'!I31/10),0.7))))</f>
        <v>8.348316355</v>
      </c>
      <c r="C31" s="5">
        <f>MIN(1,'Китай 2037'!C31+'Китай 2037'!F31+(0.08*LN(1+0.5*'Ход 2037'!C37)*MAX(0,1-('Китай 2037'!C31+'Китай 2037'!F31))))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8.348316355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2037'!B32+'Китай 2037'!D32+('Китай 2037'!C32+'Китай 2037'!F32+'Китай 2037'!G32)+(0.35*LN(1+0.6*'Ход 2037'!B38)*POWER(MAX(0,1-'Китай 2037'!I32/10),0.7))))</f>
        <v>10</v>
      </c>
      <c r="C32" s="5">
        <f>MIN(1,'Китай 2037'!C32+'Китай 2037'!F32+(0.08*LN(1+0.5*'Ход 2037'!C38)*MAX(0,1-('Китай 2037'!C32+'Китай 2037'!F32))))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2037'!B34+'Китай 2037'!D34+('Китай 2037'!C34+'Китай 2037'!F34+'Китай 2037'!G34)+(0.35*LN(1+0.6*'Ход 2037'!B40)*POWER(MAX(0,1-'Китай 2037'!I34/10),0.7))))</f>
        <v>10</v>
      </c>
      <c r="C34" s="5">
        <f>MIN(1,'Китай 2037'!C34+'Китай 2037'!F34+(0.08*LN(1+0.5*'Ход 2037'!C40)*MAX(0,1-('Китай 2037'!C34+'Китай 2037'!F34))))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2037'!B35+'Китай 2037'!D35+('Китай 2037'!C35+'Китай 2037'!F35+'Китай 2037'!G35)+(0.35*LN(1+0.6*'Ход 2037'!B41)*POWER(MAX(0,1-'Китай 2037'!I35/10),0.7))))</f>
        <v>10</v>
      </c>
      <c r="C35" s="5">
        <f>MIN(1,'Китай 2037'!C35+'Китай 2037'!F35+(0.08*LN(1+0.5*'Ход 2037'!C41)*MAX(0,1-('Китай 2037'!C35+'Китай 2037'!F35))))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2037'!B36+'Китай 2037'!D36+('Китай 2037'!C36+'Китай 2037'!F36+'Китай 2037'!G36)+(0.35*LN(1+0.6*'Ход 2037'!B42)*POWER(MAX(0,1-'Китай 2037'!I36/10),0.7))))</f>
        <v>10</v>
      </c>
      <c r="C36" s="5">
        <f>MIN(1,'Китай 2037'!C36+'Китай 2037'!F36+(0.08*LN(1+0.5*'Ход 2037'!C42)*MAX(0,1-('Китай 2037'!C36+'Китай 2037'!F36))))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2037'!B37+'Китай 2037'!D37+('Китай 2037'!C37+'Китай 2037'!F37+'Китай 2037'!G37)+(0.35*LN(1+0.6*'Ход 2037'!B43)*POWER(MAX(0,1-'Китай 2037'!I37/10),0.7))))</f>
        <v>10</v>
      </c>
      <c r="C37" s="5">
        <f>MIN(1,'Китай 2037'!C37+'Китай 2037'!F37+(0.08*LN(1+0.5*'Ход 2037'!C43)*MAX(0,1-('Китай 2037'!C37+'Китай 2037'!F37))))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2037'!B38+'Китай 2037'!D38+('Китай 2037'!C38+'Китай 2037'!F38+'Китай 2037'!G38)+(0.35*LN(1+0.6*'Ход 2037'!B44)*POWER(MAX(0,1-'Китай 2037'!I38/10),0.7))))</f>
        <v>10</v>
      </c>
      <c r="C38" s="5">
        <f>MIN(1,'Китай 2037'!C38+'Китай 2037'!F38+(0.08*LN(1+0.5*'Ход 2037'!C44)*MAX(0,1-('Китай 2037'!C38+'Китай 2037'!F38))))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2037'!B39+'Китай 2037'!D39+('Китай 2037'!C39+'Китай 2037'!F39+'Китай 2037'!G39)+(0.35*LN(1+0.6*'Ход 2037'!B45)*POWER(MAX(0,1-'Китай 2037'!I39/10),0.7))))</f>
        <v>10</v>
      </c>
      <c r="C39" s="5">
        <f>MIN(1,'Китай 2037'!C39+'Китай 2037'!F39+(0.08*LN(1+0.5*'Ход 2037'!C45)*MAX(0,1-('Китай 2037'!C39+'Китай 2037'!F39))))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2037'!B40+'Китай 2037'!D40+('Китай 2037'!C40+'Китай 2037'!F40+'Китай 2037'!G40)+(0.35*LN(1+0.6*'Ход 2037'!B46)*POWER(MAX(0,1-'Китай 2037'!I40/10),0.7))))</f>
        <v>10</v>
      </c>
      <c r="C40" s="5">
        <f>MIN(1,'Китай 2037'!C40+'Китай 2037'!F40+(0.08*LN(1+0.5*'Ход 2037'!C46)*MAX(0,1-('Китай 2037'!C40+'Китай 2037'!F40))))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2037'!B41+'Китай 2037'!D41+('Китай 2037'!C41+'Китай 2037'!F41+'Китай 2037'!G41)+(0.35*LN(1+0.6*'Ход 2037'!B47)*POWER(MAX(0,1-'Китай 2037'!I41/10),0.7))))</f>
        <v>10</v>
      </c>
      <c r="C41" s="5">
        <f>MIN(1,'Китай 2037'!C41+'Китай 2037'!F41+(0.08*LN(1+0.5*'Ход 2037'!C47)*MAX(0,1-('Китай 2037'!C41+'Китай 2037'!F41))))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2037'!B42+'Китай 2037'!D42+('Китай 2037'!C42+'Китай 2037'!F42+'Китай 2037'!G42)+(0.35*LN(1+0.6*'Ход 2037'!B48)*POWER(MAX(0,1-'Китай 2037'!I42/10),0.7))))</f>
        <v>10</v>
      </c>
      <c r="C42" s="5">
        <f>MIN(1,'Китай 2037'!C42+'Китай 2037'!F42+(0.08*LN(1+0.5*'Ход 2037'!C48)*MAX(0,1-('Китай 2037'!C42+'Китай 2037'!F42))))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2037'!B44+'Китай 2037'!D44+('Китай 2037'!C44+'Китай 2037'!F44+'Китай 2037'!G44)+(0.35*LN(1+0.6*'Ход 2037'!B50)*POWER(MAX(0,1-'Китай 2037'!I44/10),0.7))))</f>
        <v>10</v>
      </c>
      <c r="C44" s="5">
        <f>MIN(1,'Китай 2037'!C44+'Китай 2037'!F44+(0.08*LN(1+0.5*'Ход 2037'!C50)*MAX(0,1-('Китай 2037'!C44+'Китай 2037'!F44))))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2037'!B45+'Китай 2037'!D45+('Китай 2037'!C45+'Китай 2037'!F45+'Китай 2037'!G45)+(0.35*LN(1+0.6*'Ход 2037'!B51)*POWER(MAX(0,1-'Китай 2037'!I45/10),0.7))))</f>
        <v>10</v>
      </c>
      <c r="C45" s="5">
        <f>MIN(1,'Китай 2037'!C45+'Китай 2037'!F45+(0.08*LN(1+0.5*'Ход 2037'!C51)*MAX(0,1-('Китай 2037'!C45+'Китай 2037'!F45))))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2037'!B46+'Китай 2037'!D46+('Китай 2037'!C46+'Китай 2037'!F46+'Китай 2037'!G46)+(0.35*LN(1+0.6*'Ход 2037'!B52)*POWER(MAX(0,1-'Китай 2037'!I46/10),0.7))))</f>
        <v>10</v>
      </c>
      <c r="C46" s="5">
        <f>MIN(1,'Китай 2037'!C46+'Китай 2037'!F46+(0.08*LN(1+0.5*'Ход 2037'!C52)*MAX(0,1-('Китай 2037'!C46+'Китай 2037'!F46))))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2037'!B47+'Китай 2037'!D47+('Китай 2037'!C47+'Китай 2037'!F47+'Китай 2037'!G47)+(0.35*LN(1+0.6*'Ход 2037'!B53)*POWER(MAX(0,1-'Китай 2037'!I47/10),0.7))))</f>
        <v>7.353908776</v>
      </c>
      <c r="C47" s="5">
        <f>MIN(1,'Китай 2037'!C47+'Китай 2037'!F47+(0.08*LN(1+0.5*'Ход 2037'!C53)*MAX(0,1-('Китай 2037'!C47+'Китай 2037'!F47))))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7.353908776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2037'!B48+'Китай 2037'!D48+('Китай 2037'!C48+'Китай 2037'!F48+'Китай 2037'!G48)+(0.35*LN(1+0.6*'Ход 2037'!B54)*POWER(MAX(0,1-'Китай 2037'!I48/10),0.7))))</f>
        <v>9.156696632</v>
      </c>
      <c r="C48" s="5">
        <f>MIN(1,'Китай 2037'!C48+'Китай 2037'!F48+(0.08*LN(1+0.5*'Ход 2037'!C54)*MAX(0,1-('Китай 2037'!C48+'Китай 2037'!F48))))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9.156696632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2037'!B49+'Китай 2037'!D49+('Китай 2037'!C49+'Китай 2037'!F49+'Китай 2037'!G49)+(0.35*LN(1+0.6*'Ход 2037'!B55)*POWER(MAX(0,1-'Китай 2037'!I49/10),0.7))))</f>
        <v>10</v>
      </c>
      <c r="C49" s="5">
        <f>MIN(1,'Китай 2037'!C49+'Китай 2037'!F49+(0.08*LN(1+0.5*'Ход 2037'!C55)*MAX(0,1-('Китай 2037'!C49+'Китай 2037'!F49))))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2037'!B50+'Китай 2037'!D50+('Китай 2037'!C50+'Китай 2037'!F50+'Китай 2037'!G50)+(0.35*LN(1+0.6*'Ход 2037'!B56)*POWER(MAX(0,1-'Китай 2037'!I50/10),0.7))))</f>
        <v>10</v>
      </c>
      <c r="C50" s="5">
        <f>MIN(1,'Китай 2037'!C50+'Китай 2037'!F50+(0.08*LN(1+0.5*'Ход 2037'!C56)*MAX(0,1-('Китай 2037'!C50+'Китай 2037'!F50))))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2037'!B51+'Китай 2037'!D51+('Китай 2037'!C51+'Китай 2037'!F51+'Китай 2037'!G51)+(0.35*LN(1+0.6*'Ход 2037'!B57)*POWER(MAX(0,1-'Китай 2037'!I51/10),0.7))))</f>
        <v>10</v>
      </c>
      <c r="C51" s="5">
        <f>MIN(1,'Китай 2037'!C51+'Китай 2037'!F51+(0.08*LN(1+0.5*'Ход 2037'!C57)*MAX(0,1-('Китай 2037'!C51+'Китай 2037'!F51))))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2037'!B53+'Китай 2037'!D53+('Китай 2037'!C53+'Китай 2037'!F53+'Китай 2037'!G53)+(0.35*LN(1+0.6*'Ход 2037'!B59)*POWER(MAX(0,1-'Китай 2037'!I53/10),0.7))))</f>
        <v>10</v>
      </c>
      <c r="C53" s="5">
        <f>MIN(1,'Китай 2037'!C53+'Китай 2037'!F53+(0.08*LN(1+0.5*'Ход 2037'!C59)*MAX(0,1-('Китай 2037'!C53+'Китай 2037'!F53))))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2037'!B54+'Китай 2037'!D54+('Китай 2037'!C54+'Китай 2037'!F54+'Китай 2037'!G54)+(0.35*LN(1+0.6*'Ход 2037'!B60)*POWER(MAX(0,1-'Китай 2037'!I54/10),0.7))))</f>
        <v>10</v>
      </c>
      <c r="C54" s="5">
        <f>MIN(1,'Китай 2037'!C54+'Китай 2037'!F54+(0.08*LN(1+0.5*'Ход 2037'!C60)*MAX(0,1-('Китай 2037'!C54+'Китай 2037'!F54))))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2037'!B55+'Китай 2037'!D55+('Китай 2037'!C55+'Китай 2037'!F55+'Китай 2037'!G55)+(0.35*LN(1+0.6*'Ход 2037'!B61)*POWER(MAX(0,1-'Китай 2037'!I55/10),0.7))))</f>
        <v>10</v>
      </c>
      <c r="C55" s="5">
        <f>MIN(1,'Китай 2037'!C55+'Китай 2037'!F55+(0.08*LN(1+0.5*'Ход 2037'!C61)*MAX(0,1-('Китай 2037'!C55+'Китай 2037'!F55))))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408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2038'!U6</f>
        <v>99.98350658</v>
      </c>
      <c r="C6" s="5"/>
      <c r="D6" s="5"/>
      <c r="E6" s="5" t="s">
        <v>13</v>
      </c>
      <c r="F6" s="11">
        <f>'Китай 2038'!K6</f>
        <v>85.34010396</v>
      </c>
      <c r="G6" s="5"/>
      <c r="H6" s="5"/>
      <c r="I6" s="5" t="s">
        <v>13</v>
      </c>
      <c r="J6" s="11">
        <f>'Китай 2038'!N6</f>
        <v>76.64642691</v>
      </c>
      <c r="K6" s="5"/>
      <c r="L6" s="5"/>
      <c r="M6" s="5" t="s">
        <v>13</v>
      </c>
      <c r="N6" s="11">
        <f>'Китай 2038'!Q6</f>
        <v>86.45640301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99.98350658</v>
      </c>
      <c r="C8" s="5" t="str">
        <f>IF(B8&lt;0,"ПРЕВЫШЕНИЕ","OK")</f>
        <v>OK</v>
      </c>
      <c r="D8" s="5"/>
      <c r="E8" s="5" t="s">
        <v>91</v>
      </c>
      <c r="F8" s="11">
        <f>F6-F7</f>
        <v>85.34010396</v>
      </c>
      <c r="G8" s="5" t="str">
        <f>IF(F8&lt;0,"ПРЕВЫШЕНИЕ","OK")</f>
        <v>OK</v>
      </c>
      <c r="H8" s="5"/>
      <c r="I8" s="5" t="s">
        <v>91</v>
      </c>
      <c r="J8" s="11">
        <f>J6-J7</f>
        <v>76.64642691</v>
      </c>
      <c r="K8" s="5" t="str">
        <f>IF(J8&lt;0,"ПРЕВЫШЕНИЕ","OK")</f>
        <v>OK</v>
      </c>
      <c r="L8" s="5"/>
      <c r="M8" s="5" t="s">
        <v>91</v>
      </c>
      <c r="N8" s="11">
        <f>N6-N7</f>
        <v>86.45640301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2038'!V11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7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2038'!V12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97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2038'!V13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59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2038'!V14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82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2038'!V15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1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2038'!V16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83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2038'!V17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46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2038'!V18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26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2038'!V19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96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2038'!V20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88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2038'!V21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39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2038'!V22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100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2038'!V23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55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2038'!V24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18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2038'!V25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38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2038'!V26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95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409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85.36728398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76.6549513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86.53416164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99.98577441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2038'!B8+'Китай 2038'!D8+('Китай 2038'!C8+'Китай 2038'!F8+'Китай 2038'!G8)+(0.35*LN(1+0.6*'Ход 2038'!B14)*POWER(MAX(0,1-'Китай 2038'!I8/10),0.7))))</f>
        <v>10</v>
      </c>
      <c r="C8" s="5">
        <f>MIN(1,'Китай 2038'!C8+'Китай 2038'!F8+(0.08*LN(1+0.5*'Ход 2038'!C14)*MAX(0,1-('Китай 2038'!C8+'Китай 2038'!F8))))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2038'!B9+'Китай 2038'!D9+('Китай 2038'!C9+'Китай 2038'!F9+'Китай 2038'!G9)+(0.35*LN(1+0.6*'Ход 2038'!B15)*POWER(MAX(0,1-'Китай 2038'!I9/10),0.7))))</f>
        <v>10</v>
      </c>
      <c r="C9" s="5">
        <f>MIN(1,'Китай 2038'!C9+'Китай 2038'!F9+(0.08*LN(1+0.5*'Ход 2038'!C15)*MAX(0,1-('Китай 2038'!C9+'Китай 2038'!F9))))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2038'!B10+'Китай 2038'!D10+('Китай 2038'!C10+'Китай 2038'!F10+'Китай 2038'!G10)+(0.35*LN(1+0.6*'Ход 2038'!B16)*POWER(MAX(0,1-'Китай 2038'!I10/10),0.7))))</f>
        <v>10</v>
      </c>
      <c r="C10" s="5">
        <f>MIN(1,'Китай 2038'!C10+'Китай 2038'!F10+(0.08*LN(1+0.5*'Ход 2038'!C16)*MAX(0,1-('Китай 2038'!C10+'Китай 2038'!F10))))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2038'!B11+'Китай 2038'!D11+('Китай 2038'!C11+'Китай 2038'!F11+'Китай 2038'!G11)+(0.35*LN(1+0.6*'Ход 2038'!B17)*POWER(MAX(0,1-'Китай 2038'!I11/10),0.7))))</f>
        <v>10</v>
      </c>
      <c r="C11" s="5">
        <f>MIN(1,'Китай 2038'!C11+'Китай 2038'!F11+(0.08*LN(1+0.5*'Ход 2038'!C17)*MAX(0,1-('Китай 2038'!C11+'Китай 2038'!F11))))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10</v>
      </c>
      <c r="J11" s="5"/>
      <c r="K11" s="5" t="s">
        <v>110</v>
      </c>
      <c r="L11" s="5">
        <f>MAX(1,MIN(10,'Китай 2038'!L11+'Китай 2038'!N11+('Китай 2038'!M11+'Китай 2038'!P11+'Китай 2038'!Q11)))</f>
        <v>10</v>
      </c>
      <c r="M11" s="5">
        <f>MIN(1,'Китай 2038'!M11+'Китай 2038'!P11+(0.1*LN(1+0.5*'Ход 2038'!H13)*POWER(MAX(0,1-'Китай 2038'!S11/10),0.8)))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2038'!V11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2038'!B12+'Китай 2038'!D12+('Китай 2038'!C12+'Китай 2038'!F12+'Китай 2038'!G12)+(0.35*LN(1+0.6*'Ход 2038'!B18)*POWER(MAX(0,1-'Китай 2038'!I12/10),0.7))))</f>
        <v>9.680389526</v>
      </c>
      <c r="C12" s="5">
        <f>MIN(1,'Китай 2038'!C12+'Китай 2038'!F12+(0.08*LN(1+0.5*'Ход 2038'!C18)*MAX(0,1-('Китай 2038'!C12+'Китай 2038'!F12))))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9.680389526</v>
      </c>
      <c r="J12" s="5"/>
      <c r="K12" s="5" t="s">
        <v>113</v>
      </c>
      <c r="L12" s="5">
        <f>MAX(1,MIN(10,'Китай 2038'!L12+'Китай 2038'!N12+('Китай 2038'!M12+'Китай 2038'!P12+'Китай 2038'!Q12)))</f>
        <v>10</v>
      </c>
      <c r="M12" s="5">
        <f>MIN(1,'Китай 2038'!M12+'Китай 2038'!P12+(0.1*LN(1+0.5*'Ход 2038'!H14)*POWER(MAX(0,1-'Китай 2038'!S12/10),0.8)))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2038'!V12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2038'!B13+'Китай 2038'!D13+('Китай 2038'!C13+'Китай 2038'!F13+'Китай 2038'!G13)+(0.35*LN(1+0.6*'Ход 2038'!B19)*POWER(MAX(0,1-'Китай 2038'!I13/10),0.7))))</f>
        <v>10</v>
      </c>
      <c r="C13" s="5">
        <f>MIN(1,'Китай 2038'!C13+'Китай 2038'!F13+(0.08*LN(1+0.5*'Ход 2038'!C19)*MAX(0,1-('Китай 2038'!C13+'Китай 2038'!F13))))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2038'!L13+'Китай 2038'!N13+('Китай 2038'!M13+'Китай 2038'!P13+'Китай 2038'!Q13)))</f>
        <v>10</v>
      </c>
      <c r="M13" s="5">
        <f>MIN(1,'Китай 2038'!M13+'Китай 2038'!P13+(0.1*LN(1+0.5*'Ход 2038'!H15)*POWER(MAX(0,1-'Китай 2038'!S13/10),0.8)))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2038'!V13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2038'!B14+'Китай 2038'!D14+('Китай 2038'!C14+'Китай 2038'!F14+'Китай 2038'!G14)+(0.35*LN(1+0.6*'Ход 2038'!B20)*POWER(MAX(0,1-'Китай 2038'!I14/10),0.7))))</f>
        <v>10</v>
      </c>
      <c r="C14" s="5">
        <f>MIN(1,'Китай 2038'!C14+'Китай 2038'!F14+(0.08*LN(1+0.5*'Ход 2038'!C20)*MAX(0,1-('Китай 2038'!C14+'Китай 2038'!F14))))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2038'!L14+'Китай 2038'!N14+('Китай 2038'!M14+'Китай 2038'!P14+'Китай 2038'!Q14)))</f>
        <v>10</v>
      </c>
      <c r="M14" s="5">
        <f>MIN(1,'Китай 2038'!M14+'Китай 2038'!P14+(0.1*LN(1+0.5*'Ход 2038'!H16)*POWER(MAX(0,1-'Китай 2038'!S14/10),0.8)))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2038'!V14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2038'!B15+'Китай 2038'!D15+('Китай 2038'!C15+'Китай 2038'!F15+'Китай 2038'!G15)+(0.35*LN(1+0.6*'Ход 2038'!B21)*POWER(MAX(0,1-'Китай 2038'!I15/10),0.7))))</f>
        <v>10</v>
      </c>
      <c r="C15" s="5">
        <f>MIN(1,'Китай 2038'!C15+'Китай 2038'!F15+(0.08*LN(1+0.5*'Ход 2038'!C21)*MAX(0,1-('Китай 2038'!C15+'Китай 2038'!F15))))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2038'!L15+'Китай 2038'!N15+('Китай 2038'!M15+'Китай 2038'!P15+'Китай 2038'!Q15)))</f>
        <v>10</v>
      </c>
      <c r="M15" s="5">
        <f>MIN(1,'Китай 2038'!M15+'Китай 2038'!P15+(0.1*LN(1+0.5*'Ход 2038'!H17)*POWER(MAX(0,1-'Китай 2038'!S15/10),0.8)))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2038'!V15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2038'!B16+'Китай 2038'!D16+('Китай 2038'!C16+'Китай 2038'!F16+'Китай 2038'!G16)+(0.35*LN(1+0.6*'Ход 2038'!B22)*POWER(MAX(0,1-'Китай 2038'!I16/10),0.7))))</f>
        <v>10</v>
      </c>
      <c r="C16" s="5">
        <f>MIN(1,'Китай 2038'!C16+'Китай 2038'!F16+(0.08*LN(1+0.5*'Ход 2038'!C22)*MAX(0,1-('Китай 2038'!C16+'Китай 2038'!F16))))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2038'!L16+'Китай 2038'!N16+('Китай 2038'!M16+'Китай 2038'!P16+'Китай 2038'!Q16)))</f>
        <v>10</v>
      </c>
      <c r="M16" s="5">
        <f>MIN(1,'Китай 2038'!M16+'Китай 2038'!P16+(0.1*LN(1+0.5*'Ход 2038'!H18)*POWER(MAX(0,1-'Китай 2038'!S16/10),0.8)))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2038'!V16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2038'!B17+'Китай 2038'!D17+('Китай 2038'!C17+'Китай 2038'!F17+'Китай 2038'!G17)+(0.35*LN(1+0.6*'Ход 2038'!B23)*POWER(MAX(0,1-'Китай 2038'!I17/10),0.7))))</f>
        <v>10</v>
      </c>
      <c r="C17" s="5">
        <f>MIN(1,'Китай 2038'!C17+'Китай 2038'!F17+(0.08*LN(1+0.5*'Ход 2038'!C23)*MAX(0,1-('Китай 2038'!C17+'Китай 2038'!F17))))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2038'!L17+'Китай 2038'!N17+('Китай 2038'!M17+'Китай 2038'!P17+'Китай 2038'!Q17)))</f>
        <v>10</v>
      </c>
      <c r="M17" s="5">
        <f>MIN(1,'Китай 2038'!M17+'Китай 2038'!P17+(0.1*LN(1+0.5*'Ход 2038'!H19)*POWER(MAX(0,1-'Китай 2038'!S17/10),0.8)))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2038'!V17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2038'!L18+'Китай 2038'!N18+('Китай 2038'!M18+'Китай 2038'!P18+'Китай 2038'!Q18)))</f>
        <v>10</v>
      </c>
      <c r="M18" s="5">
        <f>MIN(1,'Китай 2038'!M18+'Китай 2038'!P18+(0.1*LN(1+0.5*'Ход 2038'!H20)*POWER(MAX(0,1-'Китай 2038'!S18/10),0.8)))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2038'!V18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2038'!B19+'Китай 2038'!D19+('Китай 2038'!C19+'Китай 2038'!F19+'Китай 2038'!G19)+(0.35*LN(1+0.6*'Ход 2038'!B25)*POWER(MAX(0,1-'Китай 2038'!I19/10),0.7))))</f>
        <v>10</v>
      </c>
      <c r="C19" s="5">
        <f>MIN(1,'Китай 2038'!C19+'Китай 2038'!F19+(0.08*LN(1+0.5*'Ход 2038'!C25)*MAX(0,1-('Китай 2038'!C19+'Китай 2038'!F19))))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2038'!V19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2038'!B20+'Китай 2038'!D20+('Китай 2038'!C20+'Китай 2038'!F20+'Китай 2038'!G20)+(0.35*LN(1+0.6*'Ход 2038'!B26)*POWER(MAX(0,1-'Китай 2038'!I20/10),0.7))))</f>
        <v>10</v>
      </c>
      <c r="C20" s="5">
        <f>MIN(1,'Китай 2038'!C20+'Китай 2038'!F20+(0.08*LN(1+0.5*'Ход 2038'!C26)*MAX(0,1-('Китай 2038'!C20+'Китай 2038'!F20))))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2038'!V20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2038'!B21+'Китай 2038'!D21+('Китай 2038'!C21+'Китай 2038'!F21+'Китай 2038'!G21)+(0.35*LN(1+0.6*'Ход 2038'!B27)*POWER(MAX(0,1-'Китай 2038'!I21/10),0.7))))</f>
        <v>10</v>
      </c>
      <c r="C21" s="5">
        <f>MIN(1,'Китай 2038'!C21+'Китай 2038'!F21+(0.08*LN(1+0.5*'Ход 2038'!C27)*MAX(0,1-('Китай 2038'!C21+'Китай 2038'!F21))))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2038'!V21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2038'!B22+'Китай 2038'!D22+('Китай 2038'!C22+'Китай 2038'!F22+'Китай 2038'!G22)+(0.35*LN(1+0.6*'Ход 2038'!B28)*POWER(MAX(0,1-'Китай 2038'!I22/10),0.7))))</f>
        <v>10</v>
      </c>
      <c r="C22" s="5">
        <f>MIN(1,'Китай 2038'!C22+'Китай 2038'!F22+(0.08*LN(1+0.5*'Ход 2038'!C28)*MAX(0,1-('Китай 2038'!C22+'Китай 2038'!F22))))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2038'!V22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2038'!B23+'Китай 2038'!D23+('Китай 2038'!C23+'Китай 2038'!F23+'Китай 2038'!G23)+(0.35*LN(1+0.6*'Ход 2038'!B29)*POWER(MAX(0,1-'Китай 2038'!I23/10),0.7))))</f>
        <v>10</v>
      </c>
      <c r="C23" s="5">
        <f>MIN(1,'Китай 2038'!C23+'Китай 2038'!F23+(0.08*LN(1+0.5*'Ход 2038'!C29)*MAX(0,1-('Китай 2038'!C23+'Китай 2038'!F23))))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2038'!V23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2038'!V24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2038'!B25+'Китай 2038'!D25+('Китай 2038'!C25+'Китай 2038'!F25+'Китай 2038'!G25)+(0.35*LN(1+0.6*'Ход 2038'!B31)*POWER(MAX(0,1-'Китай 2038'!I25/10),0.7))))</f>
        <v>10</v>
      </c>
      <c r="C25" s="5">
        <f>MIN(1,'Китай 2038'!C25+'Китай 2038'!F25+(0.08*LN(1+0.5*'Ход 2038'!C31)*MAX(0,1-('Китай 2038'!C25+'Китай 2038'!F25))))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2038'!V25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2038'!B26+'Китай 2038'!D26+('Китай 2038'!C26+'Китай 2038'!F26+'Китай 2038'!G26)+(0.35*LN(1+0.6*'Ход 2038'!B32)*POWER(MAX(0,1-'Китай 2038'!I26/10),0.7))))</f>
        <v>10</v>
      </c>
      <c r="C26" s="5">
        <f>MIN(1,'Китай 2038'!C26+'Китай 2038'!F26+(0.08*LN(1+0.5*'Ход 2038'!C32)*MAX(0,1-('Китай 2038'!C26+'Китай 2038'!F26))))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2038'!V26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2038'!B27+'Китай 2038'!D27+('Китай 2038'!C27+'Китай 2038'!F27+'Китай 2038'!G27)+(0.35*LN(1+0.6*'Ход 2038'!B33)*POWER(MAX(0,1-'Китай 2038'!I27/10),0.7))))</f>
        <v>10</v>
      </c>
      <c r="C27" s="5">
        <f>MIN(1,'Китай 2038'!C27+'Китай 2038'!F27+(0.08*LN(1+0.5*'Ход 2038'!C33)*MAX(0,1-('Китай 2038'!C27+'Китай 2038'!F27))))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2038'!B28+'Китай 2038'!D28+('Китай 2038'!C28+'Китай 2038'!F28+'Китай 2038'!G28)+(0.35*LN(1+0.6*'Ход 2038'!B34)*POWER(MAX(0,1-'Китай 2038'!I28/10),0.7))))</f>
        <v>10</v>
      </c>
      <c r="C28" s="5">
        <f>MIN(1,'Китай 2038'!C28+'Китай 2038'!F28+(0.08*LN(1+0.5*'Ход 2038'!C34)*MAX(0,1-('Китай 2038'!C28+'Китай 2038'!F28))))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2038'!B29+'Китай 2038'!D29+('Китай 2038'!C29+'Китай 2038'!F29+'Китай 2038'!G29)+(0.35*LN(1+0.6*'Ход 2038'!B35)*POWER(MAX(0,1-'Китай 2038'!I29/10),0.7))))</f>
        <v>10</v>
      </c>
      <c r="C29" s="5">
        <f>MIN(1,'Китай 2038'!C29+'Китай 2038'!F29+(0.08*LN(1+0.5*'Ход 2038'!C35)*MAX(0,1-('Китай 2038'!C29+'Китай 2038'!F29))))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2038'!B30+'Китай 2038'!D30+('Китай 2038'!C30+'Китай 2038'!F30+'Китай 2038'!G30)+(0.35*LN(1+0.6*'Ход 2038'!B36)*POWER(MAX(0,1-'Китай 2038'!I30/10),0.7))))</f>
        <v>10</v>
      </c>
      <c r="C30" s="5">
        <f>MIN(1,'Китай 2038'!C30+'Китай 2038'!F30+(0.08*LN(1+0.5*'Ход 2038'!C36)*MAX(0,1-('Китай 2038'!C30+'Китай 2038'!F30))))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2038'!B31+'Китай 2038'!D31+('Китай 2038'!C31+'Китай 2038'!F31+'Китай 2038'!G31)+(0.35*LN(1+0.6*'Ход 2038'!B37)*POWER(MAX(0,1-'Китай 2038'!I31/10),0.7))))</f>
        <v>8.448316355</v>
      </c>
      <c r="C31" s="5">
        <f>MIN(1,'Китай 2038'!C31+'Китай 2038'!F31+(0.08*LN(1+0.5*'Ход 2038'!C37)*MAX(0,1-('Китай 2038'!C31+'Китай 2038'!F31))))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8.448316355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2038'!B32+'Китай 2038'!D32+('Китай 2038'!C32+'Китай 2038'!F32+'Китай 2038'!G32)+(0.35*LN(1+0.6*'Ход 2038'!B38)*POWER(MAX(0,1-'Китай 2038'!I32/10),0.7))))</f>
        <v>10</v>
      </c>
      <c r="C32" s="5">
        <f>MIN(1,'Китай 2038'!C32+'Китай 2038'!F32+(0.08*LN(1+0.5*'Ход 2038'!C38)*MAX(0,1-('Китай 2038'!C32+'Китай 2038'!F32))))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2038'!B34+'Китай 2038'!D34+('Китай 2038'!C34+'Китай 2038'!F34+'Китай 2038'!G34)+(0.35*LN(1+0.6*'Ход 2038'!B40)*POWER(MAX(0,1-'Китай 2038'!I34/10),0.7))))</f>
        <v>10</v>
      </c>
      <c r="C34" s="5">
        <f>MIN(1,'Китай 2038'!C34+'Китай 2038'!F34+(0.08*LN(1+0.5*'Ход 2038'!C40)*MAX(0,1-('Китай 2038'!C34+'Китай 2038'!F34))))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2038'!B35+'Китай 2038'!D35+('Китай 2038'!C35+'Китай 2038'!F35+'Китай 2038'!G35)+(0.35*LN(1+0.6*'Ход 2038'!B41)*POWER(MAX(0,1-'Китай 2038'!I35/10),0.7))))</f>
        <v>10</v>
      </c>
      <c r="C35" s="5">
        <f>MIN(1,'Китай 2038'!C35+'Китай 2038'!F35+(0.08*LN(1+0.5*'Ход 2038'!C41)*MAX(0,1-('Китай 2038'!C35+'Китай 2038'!F35))))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2038'!B36+'Китай 2038'!D36+('Китай 2038'!C36+'Китай 2038'!F36+'Китай 2038'!G36)+(0.35*LN(1+0.6*'Ход 2038'!B42)*POWER(MAX(0,1-'Китай 2038'!I36/10),0.7))))</f>
        <v>10</v>
      </c>
      <c r="C36" s="5">
        <f>MIN(1,'Китай 2038'!C36+'Китай 2038'!F36+(0.08*LN(1+0.5*'Ход 2038'!C42)*MAX(0,1-('Китай 2038'!C36+'Китай 2038'!F36))))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2038'!B37+'Китай 2038'!D37+('Китай 2038'!C37+'Китай 2038'!F37+'Китай 2038'!G37)+(0.35*LN(1+0.6*'Ход 2038'!B43)*POWER(MAX(0,1-'Китай 2038'!I37/10),0.7))))</f>
        <v>10</v>
      </c>
      <c r="C37" s="5">
        <f>MIN(1,'Китай 2038'!C37+'Китай 2038'!F37+(0.08*LN(1+0.5*'Ход 2038'!C43)*MAX(0,1-('Китай 2038'!C37+'Китай 2038'!F37))))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2038'!B38+'Китай 2038'!D38+('Китай 2038'!C38+'Китай 2038'!F38+'Китай 2038'!G38)+(0.35*LN(1+0.6*'Ход 2038'!B44)*POWER(MAX(0,1-'Китай 2038'!I38/10),0.7))))</f>
        <v>10</v>
      </c>
      <c r="C38" s="5">
        <f>MIN(1,'Китай 2038'!C38+'Китай 2038'!F38+(0.08*LN(1+0.5*'Ход 2038'!C44)*MAX(0,1-('Китай 2038'!C38+'Китай 2038'!F38))))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2038'!B39+'Китай 2038'!D39+('Китай 2038'!C39+'Китай 2038'!F39+'Китай 2038'!G39)+(0.35*LN(1+0.6*'Ход 2038'!B45)*POWER(MAX(0,1-'Китай 2038'!I39/10),0.7))))</f>
        <v>10</v>
      </c>
      <c r="C39" s="5">
        <f>MIN(1,'Китай 2038'!C39+'Китай 2038'!F39+(0.08*LN(1+0.5*'Ход 2038'!C45)*MAX(0,1-('Китай 2038'!C39+'Китай 2038'!F39))))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2038'!B40+'Китай 2038'!D40+('Китай 2038'!C40+'Китай 2038'!F40+'Китай 2038'!G40)+(0.35*LN(1+0.6*'Ход 2038'!B46)*POWER(MAX(0,1-'Китай 2038'!I40/10),0.7))))</f>
        <v>10</v>
      </c>
      <c r="C40" s="5">
        <f>MIN(1,'Китай 2038'!C40+'Китай 2038'!F40+(0.08*LN(1+0.5*'Ход 2038'!C46)*MAX(0,1-('Китай 2038'!C40+'Китай 2038'!F40))))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2038'!B41+'Китай 2038'!D41+('Китай 2038'!C41+'Китай 2038'!F41+'Китай 2038'!G41)+(0.35*LN(1+0.6*'Ход 2038'!B47)*POWER(MAX(0,1-'Китай 2038'!I41/10),0.7))))</f>
        <v>10</v>
      </c>
      <c r="C41" s="5">
        <f>MIN(1,'Китай 2038'!C41+'Китай 2038'!F41+(0.08*LN(1+0.5*'Ход 2038'!C47)*MAX(0,1-('Китай 2038'!C41+'Китай 2038'!F41))))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2038'!B42+'Китай 2038'!D42+('Китай 2038'!C42+'Китай 2038'!F42+'Китай 2038'!G42)+(0.35*LN(1+0.6*'Ход 2038'!B48)*POWER(MAX(0,1-'Китай 2038'!I42/10),0.7))))</f>
        <v>10</v>
      </c>
      <c r="C42" s="5">
        <f>MIN(1,'Китай 2038'!C42+'Китай 2038'!F42+(0.08*LN(1+0.5*'Ход 2038'!C48)*MAX(0,1-('Китай 2038'!C42+'Китай 2038'!F42))))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2038'!B44+'Китай 2038'!D44+('Китай 2038'!C44+'Китай 2038'!F44+'Китай 2038'!G44)+(0.35*LN(1+0.6*'Ход 2038'!B50)*POWER(MAX(0,1-'Китай 2038'!I44/10),0.7))))</f>
        <v>10</v>
      </c>
      <c r="C44" s="5">
        <f>MIN(1,'Китай 2038'!C44+'Китай 2038'!F44+(0.08*LN(1+0.5*'Ход 2038'!C50)*MAX(0,1-('Китай 2038'!C44+'Китай 2038'!F44))))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2038'!B45+'Китай 2038'!D45+('Китай 2038'!C45+'Китай 2038'!F45+'Китай 2038'!G45)+(0.35*LN(1+0.6*'Ход 2038'!B51)*POWER(MAX(0,1-'Китай 2038'!I45/10),0.7))))</f>
        <v>10</v>
      </c>
      <c r="C45" s="5">
        <f>MIN(1,'Китай 2038'!C45+'Китай 2038'!F45+(0.08*LN(1+0.5*'Ход 2038'!C51)*MAX(0,1-('Китай 2038'!C45+'Китай 2038'!F45))))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2038'!B46+'Китай 2038'!D46+('Китай 2038'!C46+'Китай 2038'!F46+'Китай 2038'!G46)+(0.35*LN(1+0.6*'Ход 2038'!B52)*POWER(MAX(0,1-'Китай 2038'!I46/10),0.7))))</f>
        <v>10</v>
      </c>
      <c r="C46" s="5">
        <f>MIN(1,'Китай 2038'!C46+'Китай 2038'!F46+(0.08*LN(1+0.5*'Ход 2038'!C52)*MAX(0,1-('Китай 2038'!C46+'Китай 2038'!F46))))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2038'!B47+'Китай 2038'!D47+('Китай 2038'!C47+'Китай 2038'!F47+'Китай 2038'!G47)+(0.35*LN(1+0.6*'Ход 2038'!B53)*POWER(MAX(0,1-'Китай 2038'!I47/10),0.7))))</f>
        <v>7.46492356</v>
      </c>
      <c r="C47" s="5">
        <f>MIN(1,'Китай 2038'!C47+'Китай 2038'!F47+(0.08*LN(1+0.5*'Ход 2038'!C53)*MAX(0,1-('Китай 2038'!C47+'Китай 2038'!F47))))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7.46492356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2038'!B48+'Китай 2038'!D48+('Китай 2038'!C48+'Китай 2038'!F48+'Китай 2038'!G48)+(0.35*LN(1+0.6*'Ход 2038'!B54)*POWER(MAX(0,1-'Китай 2038'!I48/10),0.7))))</f>
        <v>9.206696632</v>
      </c>
      <c r="C48" s="5">
        <f>MIN(1,'Китай 2038'!C48+'Китай 2038'!F48+(0.08*LN(1+0.5*'Ход 2038'!C54)*MAX(0,1-('Китай 2038'!C48+'Китай 2038'!F48))))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9.206696632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2038'!B49+'Китай 2038'!D49+('Китай 2038'!C49+'Китай 2038'!F49+'Китай 2038'!G49)+(0.35*LN(1+0.6*'Ход 2038'!B55)*POWER(MAX(0,1-'Китай 2038'!I49/10),0.7))))</f>
        <v>10</v>
      </c>
      <c r="C49" s="5">
        <f>MIN(1,'Китай 2038'!C49+'Китай 2038'!F49+(0.08*LN(1+0.5*'Ход 2038'!C55)*MAX(0,1-('Китай 2038'!C49+'Китай 2038'!F49))))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2038'!B50+'Китай 2038'!D50+('Китай 2038'!C50+'Китай 2038'!F50+'Китай 2038'!G50)+(0.35*LN(1+0.6*'Ход 2038'!B56)*POWER(MAX(0,1-'Китай 2038'!I50/10),0.7))))</f>
        <v>10</v>
      </c>
      <c r="C50" s="5">
        <f>MIN(1,'Китай 2038'!C50+'Китай 2038'!F50+(0.08*LN(1+0.5*'Ход 2038'!C56)*MAX(0,1-('Китай 2038'!C50+'Китай 2038'!F50))))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2038'!B51+'Китай 2038'!D51+('Китай 2038'!C51+'Китай 2038'!F51+'Китай 2038'!G51)+(0.35*LN(1+0.6*'Ход 2038'!B57)*POWER(MAX(0,1-'Китай 2038'!I51/10),0.7))))</f>
        <v>10</v>
      </c>
      <c r="C51" s="5">
        <f>MIN(1,'Китай 2038'!C51+'Китай 2038'!F51+(0.08*LN(1+0.5*'Ход 2038'!C57)*MAX(0,1-('Китай 2038'!C51+'Китай 2038'!F51))))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2038'!B53+'Китай 2038'!D53+('Китай 2038'!C53+'Китай 2038'!F53+'Китай 2038'!G53)+(0.35*LN(1+0.6*'Ход 2038'!B59)*POWER(MAX(0,1-'Китай 2038'!I53/10),0.7))))</f>
        <v>10</v>
      </c>
      <c r="C53" s="5">
        <f>MIN(1,'Китай 2038'!C53+'Китай 2038'!F53+(0.08*LN(1+0.5*'Ход 2038'!C59)*MAX(0,1-('Китай 2038'!C53+'Китай 2038'!F53))))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2038'!B54+'Китай 2038'!D54+('Китай 2038'!C54+'Китай 2038'!F54+'Китай 2038'!G54)+(0.35*LN(1+0.6*'Ход 2038'!B60)*POWER(MAX(0,1-'Китай 2038'!I54/10),0.7))))</f>
        <v>10</v>
      </c>
      <c r="C54" s="5">
        <f>MIN(1,'Китай 2038'!C54+'Китай 2038'!F54+(0.08*LN(1+0.5*'Ход 2038'!C60)*MAX(0,1-('Китай 2038'!C54+'Китай 2038'!F54))))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2038'!B55+'Китай 2038'!D55+('Китай 2038'!C55+'Китай 2038'!F55+'Китай 2038'!G55)+(0.35*LN(1+0.6*'Ход 2038'!B61)*POWER(MAX(0,1-'Китай 2038'!I55/10),0.7))))</f>
        <v>10</v>
      </c>
      <c r="C55" s="5">
        <f>MIN(1,'Китай 2038'!C55+'Китай 2038'!F55+(0.08*LN(1+0.5*'Ход 2038'!C61)*MAX(0,1-('Китай 2038'!C55+'Китай 2038'!F55))))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410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2039'!U6</f>
        <v>99.98577441</v>
      </c>
      <c r="C6" s="5"/>
      <c r="D6" s="5"/>
      <c r="E6" s="5" t="s">
        <v>13</v>
      </c>
      <c r="F6" s="11">
        <f>'Китай 2039'!K6</f>
        <v>85.36728398</v>
      </c>
      <c r="G6" s="5"/>
      <c r="H6" s="5"/>
      <c r="I6" s="5" t="s">
        <v>13</v>
      </c>
      <c r="J6" s="11">
        <f>'Китай 2039'!N6</f>
        <v>76.6549513</v>
      </c>
      <c r="K6" s="5"/>
      <c r="L6" s="5"/>
      <c r="M6" s="5" t="s">
        <v>13</v>
      </c>
      <c r="N6" s="11">
        <f>'Китай 2039'!Q6</f>
        <v>86.53416164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99.98577441</v>
      </c>
      <c r="C8" s="5" t="str">
        <f>IF(B8&lt;0,"ПРЕВЫШЕНИЕ","OK")</f>
        <v>OK</v>
      </c>
      <c r="D8" s="5"/>
      <c r="E8" s="5" t="s">
        <v>91</v>
      </c>
      <c r="F8" s="11">
        <f>F6-F7</f>
        <v>85.36728398</v>
      </c>
      <c r="G8" s="5" t="str">
        <f>IF(F8&lt;0,"ПРЕВЫШЕНИЕ","OK")</f>
        <v>OK</v>
      </c>
      <c r="H8" s="5"/>
      <c r="I8" s="5" t="s">
        <v>91</v>
      </c>
      <c r="J8" s="11">
        <f>J6-J7</f>
        <v>76.6549513</v>
      </c>
      <c r="K8" s="5" t="str">
        <f>IF(J8&lt;0,"ПРЕВЫШЕНИЕ","OK")</f>
        <v>OK</v>
      </c>
      <c r="L8" s="5"/>
      <c r="M8" s="5" t="s">
        <v>91</v>
      </c>
      <c r="N8" s="11">
        <f>N6-N7</f>
        <v>86.53416164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2039'!V11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81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2039'!V12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100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2039'!V13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62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2039'!V14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89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2039'!V15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7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2039'!V16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44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2039'!V17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77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2039'!V18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53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2039'!V19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96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2039'!V20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7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2039'!V21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25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2039'!V22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68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2039'!V23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5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2039'!V24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16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2039'!V25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53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2039'!V26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42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411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85.39407297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76.66337325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86.61084077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99.98803056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2039'!B8+'Китай 2039'!D8+('Китай 2039'!C8+'Китай 2039'!F8+'Китай 2039'!G8)+(0.35*LN(1+0.6*'Ход 2039'!B14)*POWER(MAX(0,1-'Китай 2039'!I8/10),0.7))))</f>
        <v>10</v>
      </c>
      <c r="C8" s="5">
        <f>MIN(1,'Китай 2039'!C8+'Китай 2039'!F8+(0.08*LN(1+0.5*'Ход 2039'!C14)*MAX(0,1-('Китай 2039'!C8+'Китай 2039'!F8))))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2039'!B9+'Китай 2039'!D9+('Китай 2039'!C9+'Китай 2039'!F9+'Китай 2039'!G9)+(0.35*LN(1+0.6*'Ход 2039'!B15)*POWER(MAX(0,1-'Китай 2039'!I9/10),0.7))))</f>
        <v>10</v>
      </c>
      <c r="C9" s="5">
        <f>MIN(1,'Китай 2039'!C9+'Китай 2039'!F9+(0.08*LN(1+0.5*'Ход 2039'!C15)*MAX(0,1-('Китай 2039'!C9+'Китай 2039'!F9))))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2039'!B10+'Китай 2039'!D10+('Китай 2039'!C10+'Китай 2039'!F10+'Китай 2039'!G10)+(0.35*LN(1+0.6*'Ход 2039'!B16)*POWER(MAX(0,1-'Китай 2039'!I10/10),0.7))))</f>
        <v>10</v>
      </c>
      <c r="C10" s="5">
        <f>MIN(1,'Китай 2039'!C10+'Китай 2039'!F10+(0.08*LN(1+0.5*'Ход 2039'!C16)*MAX(0,1-('Китай 2039'!C10+'Китай 2039'!F10))))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2039'!B11+'Китай 2039'!D11+('Китай 2039'!C11+'Китай 2039'!F11+'Китай 2039'!G11)+(0.35*LN(1+0.6*'Ход 2039'!B17)*POWER(MAX(0,1-'Китай 2039'!I11/10),0.7))))</f>
        <v>10</v>
      </c>
      <c r="C11" s="5">
        <f>MIN(1,'Китай 2039'!C11+'Китай 2039'!F11+(0.08*LN(1+0.5*'Ход 2039'!C17)*MAX(0,1-('Китай 2039'!C11+'Китай 2039'!F11))))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10</v>
      </c>
      <c r="J11" s="5"/>
      <c r="K11" s="5" t="s">
        <v>110</v>
      </c>
      <c r="L11" s="5">
        <f>MAX(1,MIN(10,'Китай 2039'!L11+'Китай 2039'!N11+('Китай 2039'!M11+'Китай 2039'!P11+'Китай 2039'!Q11)))</f>
        <v>10</v>
      </c>
      <c r="M11" s="5">
        <f>MIN(1,'Китай 2039'!M11+'Китай 2039'!P11+(0.1*LN(1+0.5*'Ход 2039'!H13)*POWER(MAX(0,1-'Китай 2039'!S11/10),0.8)))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2039'!V11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2039'!B12+'Китай 2039'!D12+('Китай 2039'!C12+'Китай 2039'!F12+'Китай 2039'!G12)+(0.35*LN(1+0.6*'Ход 2039'!B18)*POWER(MAX(0,1-'Китай 2039'!I12/10),0.7))))</f>
        <v>9.730389526</v>
      </c>
      <c r="C12" s="5">
        <f>MIN(1,'Китай 2039'!C12+'Китай 2039'!F12+(0.08*LN(1+0.5*'Ход 2039'!C18)*MAX(0,1-('Китай 2039'!C12+'Китай 2039'!F12))))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9.730389526</v>
      </c>
      <c r="J12" s="5"/>
      <c r="K12" s="5" t="s">
        <v>113</v>
      </c>
      <c r="L12" s="5">
        <f>MAX(1,MIN(10,'Китай 2039'!L12+'Китай 2039'!N12+('Китай 2039'!M12+'Китай 2039'!P12+'Китай 2039'!Q12)))</f>
        <v>10</v>
      </c>
      <c r="M12" s="5">
        <f>MIN(1,'Китай 2039'!M12+'Китай 2039'!P12+(0.1*LN(1+0.5*'Ход 2039'!H14)*POWER(MAX(0,1-'Китай 2039'!S12/10),0.8)))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2039'!V12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2039'!B13+'Китай 2039'!D13+('Китай 2039'!C13+'Китай 2039'!F13+'Китай 2039'!G13)+(0.35*LN(1+0.6*'Ход 2039'!B19)*POWER(MAX(0,1-'Китай 2039'!I13/10),0.7))))</f>
        <v>10</v>
      </c>
      <c r="C13" s="5">
        <f>MIN(1,'Китай 2039'!C13+'Китай 2039'!F13+(0.08*LN(1+0.5*'Ход 2039'!C19)*MAX(0,1-('Китай 2039'!C13+'Китай 2039'!F13))))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2039'!L13+'Китай 2039'!N13+('Китай 2039'!M13+'Китай 2039'!P13+'Китай 2039'!Q13)))</f>
        <v>10</v>
      </c>
      <c r="M13" s="5">
        <f>MIN(1,'Китай 2039'!M13+'Китай 2039'!P13+(0.1*LN(1+0.5*'Ход 2039'!H15)*POWER(MAX(0,1-'Китай 2039'!S13/10),0.8)))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2039'!V13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2039'!B14+'Китай 2039'!D14+('Китай 2039'!C14+'Китай 2039'!F14+'Китай 2039'!G14)+(0.35*LN(1+0.6*'Ход 2039'!B20)*POWER(MAX(0,1-'Китай 2039'!I14/10),0.7))))</f>
        <v>10</v>
      </c>
      <c r="C14" s="5">
        <f>MIN(1,'Китай 2039'!C14+'Китай 2039'!F14+(0.08*LN(1+0.5*'Ход 2039'!C20)*MAX(0,1-('Китай 2039'!C14+'Китай 2039'!F14))))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2039'!L14+'Китай 2039'!N14+('Китай 2039'!M14+'Китай 2039'!P14+'Китай 2039'!Q14)))</f>
        <v>10</v>
      </c>
      <c r="M14" s="5">
        <f>MIN(1,'Китай 2039'!M14+'Китай 2039'!P14+(0.1*LN(1+0.5*'Ход 2039'!H16)*POWER(MAX(0,1-'Китай 2039'!S14/10),0.8)))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2039'!V14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2039'!B15+'Китай 2039'!D15+('Китай 2039'!C15+'Китай 2039'!F15+'Китай 2039'!G15)+(0.35*LN(1+0.6*'Ход 2039'!B21)*POWER(MAX(0,1-'Китай 2039'!I15/10),0.7))))</f>
        <v>10</v>
      </c>
      <c r="C15" s="5">
        <f>MIN(1,'Китай 2039'!C15+'Китай 2039'!F15+(0.08*LN(1+0.5*'Ход 2039'!C21)*MAX(0,1-('Китай 2039'!C15+'Китай 2039'!F15))))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2039'!L15+'Китай 2039'!N15+('Китай 2039'!M15+'Китай 2039'!P15+'Китай 2039'!Q15)))</f>
        <v>10</v>
      </c>
      <c r="M15" s="5">
        <f>MIN(1,'Китай 2039'!M15+'Китай 2039'!P15+(0.1*LN(1+0.5*'Ход 2039'!H17)*POWER(MAX(0,1-'Китай 2039'!S15/10),0.8)))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2039'!V15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2039'!B16+'Китай 2039'!D16+('Китай 2039'!C16+'Китай 2039'!F16+'Китай 2039'!G16)+(0.35*LN(1+0.6*'Ход 2039'!B22)*POWER(MAX(0,1-'Китай 2039'!I16/10),0.7))))</f>
        <v>10</v>
      </c>
      <c r="C16" s="5">
        <f>MIN(1,'Китай 2039'!C16+'Китай 2039'!F16+(0.08*LN(1+0.5*'Ход 2039'!C22)*MAX(0,1-('Китай 2039'!C16+'Китай 2039'!F16))))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2039'!L16+'Китай 2039'!N16+('Китай 2039'!M16+'Китай 2039'!P16+'Китай 2039'!Q16)))</f>
        <v>10</v>
      </c>
      <c r="M16" s="5">
        <f>MIN(1,'Китай 2039'!M16+'Китай 2039'!P16+(0.1*LN(1+0.5*'Ход 2039'!H18)*POWER(MAX(0,1-'Китай 2039'!S16/10),0.8)))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2039'!V16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2039'!B17+'Китай 2039'!D17+('Китай 2039'!C17+'Китай 2039'!F17+'Китай 2039'!G17)+(0.35*LN(1+0.6*'Ход 2039'!B23)*POWER(MAX(0,1-'Китай 2039'!I17/10),0.7))))</f>
        <v>10</v>
      </c>
      <c r="C17" s="5">
        <f>MIN(1,'Китай 2039'!C17+'Китай 2039'!F17+(0.08*LN(1+0.5*'Ход 2039'!C23)*MAX(0,1-('Китай 2039'!C17+'Китай 2039'!F17))))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2039'!L17+'Китай 2039'!N17+('Китай 2039'!M17+'Китай 2039'!P17+'Китай 2039'!Q17)))</f>
        <v>10</v>
      </c>
      <c r="M17" s="5">
        <f>MIN(1,'Китай 2039'!M17+'Китай 2039'!P17+(0.1*LN(1+0.5*'Ход 2039'!H19)*POWER(MAX(0,1-'Китай 2039'!S17/10),0.8)))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2039'!V17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2039'!L18+'Китай 2039'!N18+('Китай 2039'!M18+'Китай 2039'!P18+'Китай 2039'!Q18)))</f>
        <v>10</v>
      </c>
      <c r="M18" s="5">
        <f>MIN(1,'Китай 2039'!M18+'Китай 2039'!P18+(0.1*LN(1+0.5*'Ход 2039'!H20)*POWER(MAX(0,1-'Китай 2039'!S18/10),0.8)))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2039'!V18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2039'!B19+'Китай 2039'!D19+('Китай 2039'!C19+'Китай 2039'!F19+'Китай 2039'!G19)+(0.35*LN(1+0.6*'Ход 2039'!B25)*POWER(MAX(0,1-'Китай 2039'!I19/10),0.7))))</f>
        <v>10</v>
      </c>
      <c r="C19" s="5">
        <f>MIN(1,'Китай 2039'!C19+'Китай 2039'!F19+(0.08*LN(1+0.5*'Ход 2039'!C25)*MAX(0,1-('Китай 2039'!C19+'Китай 2039'!F19))))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2039'!V19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2039'!B20+'Китай 2039'!D20+('Китай 2039'!C20+'Китай 2039'!F20+'Китай 2039'!G20)+(0.35*LN(1+0.6*'Ход 2039'!B26)*POWER(MAX(0,1-'Китай 2039'!I20/10),0.7))))</f>
        <v>10</v>
      </c>
      <c r="C20" s="5">
        <f>MIN(1,'Китай 2039'!C20+'Китай 2039'!F20+(0.08*LN(1+0.5*'Ход 2039'!C26)*MAX(0,1-('Китай 2039'!C20+'Китай 2039'!F20))))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2039'!V20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2039'!B21+'Китай 2039'!D21+('Китай 2039'!C21+'Китай 2039'!F21+'Китай 2039'!G21)+(0.35*LN(1+0.6*'Ход 2039'!B27)*POWER(MAX(0,1-'Китай 2039'!I21/10),0.7))))</f>
        <v>10</v>
      </c>
      <c r="C21" s="5">
        <f>MIN(1,'Китай 2039'!C21+'Китай 2039'!F21+(0.08*LN(1+0.5*'Ход 2039'!C27)*MAX(0,1-('Китай 2039'!C21+'Китай 2039'!F21))))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2039'!V21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2039'!B22+'Китай 2039'!D22+('Китай 2039'!C22+'Китай 2039'!F22+'Китай 2039'!G22)+(0.35*LN(1+0.6*'Ход 2039'!B28)*POWER(MAX(0,1-'Китай 2039'!I22/10),0.7))))</f>
        <v>10</v>
      </c>
      <c r="C22" s="5">
        <f>MIN(1,'Китай 2039'!C22+'Китай 2039'!F22+(0.08*LN(1+0.5*'Ход 2039'!C28)*MAX(0,1-('Китай 2039'!C22+'Китай 2039'!F22))))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2039'!V22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2039'!B23+'Китай 2039'!D23+('Китай 2039'!C23+'Китай 2039'!F23+'Китай 2039'!G23)+(0.35*LN(1+0.6*'Ход 2039'!B29)*POWER(MAX(0,1-'Китай 2039'!I23/10),0.7))))</f>
        <v>10</v>
      </c>
      <c r="C23" s="5">
        <f>MIN(1,'Китай 2039'!C23+'Китай 2039'!F23+(0.08*LN(1+0.5*'Ход 2039'!C29)*MAX(0,1-('Китай 2039'!C23+'Китай 2039'!F23))))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2039'!V23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2039'!V24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2039'!B25+'Китай 2039'!D25+('Китай 2039'!C25+'Китай 2039'!F25+'Китай 2039'!G25)+(0.35*LN(1+0.6*'Ход 2039'!B31)*POWER(MAX(0,1-'Китай 2039'!I25/10),0.7))))</f>
        <v>10</v>
      </c>
      <c r="C25" s="5">
        <f>MIN(1,'Китай 2039'!C25+'Китай 2039'!F25+(0.08*LN(1+0.5*'Ход 2039'!C31)*MAX(0,1-('Китай 2039'!C25+'Китай 2039'!F25))))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2039'!V25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2039'!B26+'Китай 2039'!D26+('Китай 2039'!C26+'Китай 2039'!F26+'Китай 2039'!G26)+(0.35*LN(1+0.6*'Ход 2039'!B32)*POWER(MAX(0,1-'Китай 2039'!I26/10),0.7))))</f>
        <v>10</v>
      </c>
      <c r="C26" s="5">
        <f>MIN(1,'Китай 2039'!C26+'Китай 2039'!F26+(0.08*LN(1+0.5*'Ход 2039'!C32)*MAX(0,1-('Китай 2039'!C26+'Китай 2039'!F26))))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2039'!V26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2039'!B27+'Китай 2039'!D27+('Китай 2039'!C27+'Китай 2039'!F27+'Китай 2039'!G27)+(0.35*LN(1+0.6*'Ход 2039'!B33)*POWER(MAX(0,1-'Китай 2039'!I27/10),0.7))))</f>
        <v>10</v>
      </c>
      <c r="C27" s="5">
        <f>MIN(1,'Китай 2039'!C27+'Китай 2039'!F27+(0.08*LN(1+0.5*'Ход 2039'!C33)*MAX(0,1-('Китай 2039'!C27+'Китай 2039'!F27))))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2039'!B28+'Китай 2039'!D28+('Китай 2039'!C28+'Китай 2039'!F28+'Китай 2039'!G28)+(0.35*LN(1+0.6*'Ход 2039'!B34)*POWER(MAX(0,1-'Китай 2039'!I28/10),0.7))))</f>
        <v>10</v>
      </c>
      <c r="C28" s="5">
        <f>MIN(1,'Китай 2039'!C28+'Китай 2039'!F28+(0.08*LN(1+0.5*'Ход 2039'!C34)*MAX(0,1-('Китай 2039'!C28+'Китай 2039'!F28))))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2039'!B29+'Китай 2039'!D29+('Китай 2039'!C29+'Китай 2039'!F29+'Китай 2039'!G29)+(0.35*LN(1+0.6*'Ход 2039'!B35)*POWER(MAX(0,1-'Китай 2039'!I29/10),0.7))))</f>
        <v>10</v>
      </c>
      <c r="C29" s="5">
        <f>MIN(1,'Китай 2039'!C29+'Китай 2039'!F29+(0.08*LN(1+0.5*'Ход 2039'!C35)*MAX(0,1-('Китай 2039'!C29+'Китай 2039'!F29))))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2039'!B30+'Китай 2039'!D30+('Китай 2039'!C30+'Китай 2039'!F30+'Китай 2039'!G30)+(0.35*LN(1+0.6*'Ход 2039'!B36)*POWER(MAX(0,1-'Китай 2039'!I30/10),0.7))))</f>
        <v>10</v>
      </c>
      <c r="C30" s="5">
        <f>MIN(1,'Китай 2039'!C30+'Китай 2039'!F30+(0.08*LN(1+0.5*'Ход 2039'!C36)*MAX(0,1-('Китай 2039'!C30+'Китай 2039'!F30))))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2039'!B31+'Китай 2039'!D31+('Китай 2039'!C31+'Китай 2039'!F31+'Китай 2039'!G31)+(0.35*LN(1+0.6*'Ход 2039'!B37)*POWER(MAX(0,1-'Китай 2039'!I31/10),0.7))))</f>
        <v>8.548316355</v>
      </c>
      <c r="C31" s="5">
        <f>MIN(1,'Китай 2039'!C31+'Китай 2039'!F31+(0.08*LN(1+0.5*'Ход 2039'!C37)*MAX(0,1-('Китай 2039'!C31+'Китай 2039'!F31))))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8.548316355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2039'!B32+'Китай 2039'!D32+('Китай 2039'!C32+'Китай 2039'!F32+'Китай 2039'!G32)+(0.35*LN(1+0.6*'Ход 2039'!B38)*POWER(MAX(0,1-'Китай 2039'!I32/10),0.7))))</f>
        <v>10</v>
      </c>
      <c r="C32" s="5">
        <f>MIN(1,'Китай 2039'!C32+'Китай 2039'!F32+(0.08*LN(1+0.5*'Ход 2039'!C38)*MAX(0,1-('Китай 2039'!C32+'Китай 2039'!F32))))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2039'!B34+'Китай 2039'!D34+('Китай 2039'!C34+'Китай 2039'!F34+'Китай 2039'!G34)+(0.35*LN(1+0.6*'Ход 2039'!B40)*POWER(MAX(0,1-'Китай 2039'!I34/10),0.7))))</f>
        <v>10</v>
      </c>
      <c r="C34" s="5">
        <f>MIN(1,'Китай 2039'!C34+'Китай 2039'!F34+(0.08*LN(1+0.5*'Ход 2039'!C40)*MAX(0,1-('Китай 2039'!C34+'Китай 2039'!F34))))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2039'!B35+'Китай 2039'!D35+('Китай 2039'!C35+'Китай 2039'!F35+'Китай 2039'!G35)+(0.35*LN(1+0.6*'Ход 2039'!B41)*POWER(MAX(0,1-'Китай 2039'!I35/10),0.7))))</f>
        <v>10</v>
      </c>
      <c r="C35" s="5">
        <f>MIN(1,'Китай 2039'!C35+'Китай 2039'!F35+(0.08*LN(1+0.5*'Ход 2039'!C41)*MAX(0,1-('Китай 2039'!C35+'Китай 2039'!F35))))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2039'!B36+'Китай 2039'!D36+('Китай 2039'!C36+'Китай 2039'!F36+'Китай 2039'!G36)+(0.35*LN(1+0.6*'Ход 2039'!B42)*POWER(MAX(0,1-'Китай 2039'!I36/10),0.7))))</f>
        <v>10</v>
      </c>
      <c r="C36" s="5">
        <f>MIN(1,'Китай 2039'!C36+'Китай 2039'!F36+(0.08*LN(1+0.5*'Ход 2039'!C42)*MAX(0,1-('Китай 2039'!C36+'Китай 2039'!F36))))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2039'!B37+'Китай 2039'!D37+('Китай 2039'!C37+'Китай 2039'!F37+'Китай 2039'!G37)+(0.35*LN(1+0.6*'Ход 2039'!B43)*POWER(MAX(0,1-'Китай 2039'!I37/10),0.7))))</f>
        <v>10</v>
      </c>
      <c r="C37" s="5">
        <f>MIN(1,'Китай 2039'!C37+'Китай 2039'!F37+(0.08*LN(1+0.5*'Ход 2039'!C43)*MAX(0,1-('Китай 2039'!C37+'Китай 2039'!F37))))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2039'!B38+'Китай 2039'!D38+('Китай 2039'!C38+'Китай 2039'!F38+'Китай 2039'!G38)+(0.35*LN(1+0.6*'Ход 2039'!B44)*POWER(MAX(0,1-'Китай 2039'!I38/10),0.7))))</f>
        <v>10</v>
      </c>
      <c r="C38" s="5">
        <f>MIN(1,'Китай 2039'!C38+'Китай 2039'!F38+(0.08*LN(1+0.5*'Ход 2039'!C44)*MAX(0,1-('Китай 2039'!C38+'Китай 2039'!F38))))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2039'!B39+'Китай 2039'!D39+('Китай 2039'!C39+'Китай 2039'!F39+'Китай 2039'!G39)+(0.35*LN(1+0.6*'Ход 2039'!B45)*POWER(MAX(0,1-'Китай 2039'!I39/10),0.7))))</f>
        <v>10</v>
      </c>
      <c r="C39" s="5">
        <f>MIN(1,'Китай 2039'!C39+'Китай 2039'!F39+(0.08*LN(1+0.5*'Ход 2039'!C45)*MAX(0,1-('Китай 2039'!C39+'Китай 2039'!F39))))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2039'!B40+'Китай 2039'!D40+('Китай 2039'!C40+'Китай 2039'!F40+'Китай 2039'!G40)+(0.35*LN(1+0.6*'Ход 2039'!B46)*POWER(MAX(0,1-'Китай 2039'!I40/10),0.7))))</f>
        <v>10</v>
      </c>
      <c r="C40" s="5">
        <f>MIN(1,'Китай 2039'!C40+'Китай 2039'!F40+(0.08*LN(1+0.5*'Ход 2039'!C46)*MAX(0,1-('Китай 2039'!C40+'Китай 2039'!F40))))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2039'!B41+'Китай 2039'!D41+('Китай 2039'!C41+'Китай 2039'!F41+'Китай 2039'!G41)+(0.35*LN(1+0.6*'Ход 2039'!B47)*POWER(MAX(0,1-'Китай 2039'!I41/10),0.7))))</f>
        <v>10</v>
      </c>
      <c r="C41" s="5">
        <f>MIN(1,'Китай 2039'!C41+'Китай 2039'!F41+(0.08*LN(1+0.5*'Ход 2039'!C47)*MAX(0,1-('Китай 2039'!C41+'Китай 2039'!F41))))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2039'!B42+'Китай 2039'!D42+('Китай 2039'!C42+'Китай 2039'!F42+'Китай 2039'!G42)+(0.35*LN(1+0.6*'Ход 2039'!B48)*POWER(MAX(0,1-'Китай 2039'!I42/10),0.7))))</f>
        <v>10</v>
      </c>
      <c r="C42" s="5">
        <f>MIN(1,'Китай 2039'!C42+'Китай 2039'!F42+(0.08*LN(1+0.5*'Ход 2039'!C48)*MAX(0,1-('Китай 2039'!C42+'Китай 2039'!F42))))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2039'!B44+'Китай 2039'!D44+('Китай 2039'!C44+'Китай 2039'!F44+'Китай 2039'!G44)+(0.35*LN(1+0.6*'Ход 2039'!B50)*POWER(MAX(0,1-'Китай 2039'!I44/10),0.7))))</f>
        <v>10</v>
      </c>
      <c r="C44" s="5">
        <f>MIN(1,'Китай 2039'!C44+'Китай 2039'!F44+(0.08*LN(1+0.5*'Ход 2039'!C50)*MAX(0,1-('Китай 2039'!C44+'Китай 2039'!F44))))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2039'!B45+'Китай 2039'!D45+('Китай 2039'!C45+'Китай 2039'!F45+'Китай 2039'!G45)+(0.35*LN(1+0.6*'Ход 2039'!B51)*POWER(MAX(0,1-'Китай 2039'!I45/10),0.7))))</f>
        <v>10</v>
      </c>
      <c r="C45" s="5">
        <f>MIN(1,'Китай 2039'!C45+'Китай 2039'!F45+(0.08*LN(1+0.5*'Ход 2039'!C51)*MAX(0,1-('Китай 2039'!C45+'Китай 2039'!F45))))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2039'!B46+'Китай 2039'!D46+('Китай 2039'!C46+'Китай 2039'!F46+'Китай 2039'!G46)+(0.35*LN(1+0.6*'Ход 2039'!B52)*POWER(MAX(0,1-'Китай 2039'!I46/10),0.7))))</f>
        <v>10</v>
      </c>
      <c r="C46" s="5">
        <f>MIN(1,'Китай 2039'!C46+'Китай 2039'!F46+(0.08*LN(1+0.5*'Ход 2039'!C52)*MAX(0,1-('Китай 2039'!C46+'Китай 2039'!F46))))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2039'!B47+'Китай 2039'!D47+('Китай 2039'!C47+'Китай 2039'!F47+'Китай 2039'!G47)+(0.35*LN(1+0.6*'Ход 2039'!B53)*POWER(MAX(0,1-'Китай 2039'!I47/10),0.7))))</f>
        <v>7.575938344</v>
      </c>
      <c r="C47" s="5">
        <f>MIN(1,'Китай 2039'!C47+'Китай 2039'!F47+(0.08*LN(1+0.5*'Ход 2039'!C53)*MAX(0,1-('Китай 2039'!C47+'Китай 2039'!F47))))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7.575938344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2039'!B48+'Китай 2039'!D48+('Китай 2039'!C48+'Китай 2039'!F48+'Китай 2039'!G48)+(0.35*LN(1+0.6*'Ход 2039'!B54)*POWER(MAX(0,1-'Китай 2039'!I48/10),0.7))))</f>
        <v>9.256696632</v>
      </c>
      <c r="C48" s="5">
        <f>MIN(1,'Китай 2039'!C48+'Китай 2039'!F48+(0.08*LN(1+0.5*'Ход 2039'!C54)*MAX(0,1-('Китай 2039'!C48+'Китай 2039'!F48))))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9.256696632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2039'!B49+'Китай 2039'!D49+('Китай 2039'!C49+'Китай 2039'!F49+'Китай 2039'!G49)+(0.35*LN(1+0.6*'Ход 2039'!B55)*POWER(MAX(0,1-'Китай 2039'!I49/10),0.7))))</f>
        <v>10</v>
      </c>
      <c r="C49" s="5">
        <f>MIN(1,'Китай 2039'!C49+'Китай 2039'!F49+(0.08*LN(1+0.5*'Ход 2039'!C55)*MAX(0,1-('Китай 2039'!C49+'Китай 2039'!F49))))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2039'!B50+'Китай 2039'!D50+('Китай 2039'!C50+'Китай 2039'!F50+'Китай 2039'!G50)+(0.35*LN(1+0.6*'Ход 2039'!B56)*POWER(MAX(0,1-'Китай 2039'!I50/10),0.7))))</f>
        <v>10</v>
      </c>
      <c r="C50" s="5">
        <f>MIN(1,'Китай 2039'!C50+'Китай 2039'!F50+(0.08*LN(1+0.5*'Ход 2039'!C56)*MAX(0,1-('Китай 2039'!C50+'Китай 2039'!F50))))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2039'!B51+'Китай 2039'!D51+('Китай 2039'!C51+'Китай 2039'!F51+'Китай 2039'!G51)+(0.35*LN(1+0.6*'Ход 2039'!B57)*POWER(MAX(0,1-'Китай 2039'!I51/10),0.7))))</f>
        <v>10</v>
      </c>
      <c r="C51" s="5">
        <f>MIN(1,'Китай 2039'!C51+'Китай 2039'!F51+(0.08*LN(1+0.5*'Ход 2039'!C57)*MAX(0,1-('Китай 2039'!C51+'Китай 2039'!F51))))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2039'!B53+'Китай 2039'!D53+('Китай 2039'!C53+'Китай 2039'!F53+'Китай 2039'!G53)+(0.35*LN(1+0.6*'Ход 2039'!B59)*POWER(MAX(0,1-'Китай 2039'!I53/10),0.7))))</f>
        <v>10</v>
      </c>
      <c r="C53" s="5">
        <f>MIN(1,'Китай 2039'!C53+'Китай 2039'!F53+(0.08*LN(1+0.5*'Ход 2039'!C59)*MAX(0,1-('Китай 2039'!C53+'Китай 2039'!F53))))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2039'!B54+'Китай 2039'!D54+('Китай 2039'!C54+'Китай 2039'!F54+'Китай 2039'!G54)+(0.35*LN(1+0.6*'Ход 2039'!B60)*POWER(MAX(0,1-'Китай 2039'!I54/10),0.7))))</f>
        <v>10</v>
      </c>
      <c r="C54" s="5">
        <f>MIN(1,'Китай 2039'!C54+'Китай 2039'!F54+(0.08*LN(1+0.5*'Ход 2039'!C60)*MAX(0,1-('Китай 2039'!C54+'Китай 2039'!F54))))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2039'!B55+'Китай 2039'!D55+('Китай 2039'!C55+'Китай 2039'!F55+'Китай 2039'!G55)+(0.35*LN(1+0.6*'Ход 2039'!B61)*POWER(MAX(0,1-'Китай 2039'!I55/10),0.7))))</f>
        <v>10</v>
      </c>
      <c r="C55" s="5">
        <f>MIN(1,'Китай 2039'!C55+'Китай 2039'!F55+(0.08*LN(1+0.5*'Ход 2039'!C61)*MAX(0,1-('Китай 2039'!C55+'Китай 2039'!F55))))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2" t="s">
        <v>412</v>
      </c>
    </row>
    <row r="3">
      <c r="A3" s="4" t="s">
        <v>5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7" t="s">
        <v>7</v>
      </c>
      <c r="D5" s="5"/>
      <c r="E5" s="7" t="s">
        <v>9</v>
      </c>
      <c r="H5" s="5"/>
      <c r="I5" s="7" t="s">
        <v>10</v>
      </c>
      <c r="L5" s="5"/>
      <c r="M5" s="7" t="s">
        <v>11</v>
      </c>
      <c r="P5" s="5"/>
      <c r="Q5" s="5"/>
      <c r="R5" s="5"/>
      <c r="S5" s="5"/>
      <c r="T5" s="5"/>
      <c r="U5" s="5"/>
    </row>
    <row r="6">
      <c r="A6" s="5" t="s">
        <v>13</v>
      </c>
      <c r="B6" s="11">
        <f>'Китай 2040'!U6</f>
        <v>99.98803056</v>
      </c>
      <c r="C6" s="5"/>
      <c r="D6" s="5"/>
      <c r="E6" s="5" t="s">
        <v>13</v>
      </c>
      <c r="F6" s="11">
        <f>'Китай 2040'!K6</f>
        <v>85.39407297</v>
      </c>
      <c r="G6" s="5"/>
      <c r="H6" s="5"/>
      <c r="I6" s="5" t="s">
        <v>13</v>
      </c>
      <c r="J6" s="11">
        <f>'Китай 2040'!N6</f>
        <v>76.66337325</v>
      </c>
      <c r="K6" s="5"/>
      <c r="L6" s="5"/>
      <c r="M6" s="5" t="s">
        <v>13</v>
      </c>
      <c r="N6" s="11">
        <f>'Китай 2040'!Q6</f>
        <v>86.61084077</v>
      </c>
      <c r="O6" s="5"/>
      <c r="P6" s="5"/>
      <c r="Q6" s="5"/>
      <c r="R6" s="5"/>
      <c r="S6" s="5"/>
      <c r="T6" s="5"/>
      <c r="U6" s="5"/>
    </row>
    <row r="7">
      <c r="A7" s="5" t="s">
        <v>42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42</v>
      </c>
      <c r="F7" s="5">
        <f>SUM(H13:H20)</f>
        <v>0</v>
      </c>
      <c r="G7" s="5"/>
      <c r="H7" s="5"/>
      <c r="I7" s="5" t="s">
        <v>42</v>
      </c>
      <c r="J7" s="5">
        <f>SUM(I29:I38)</f>
        <v>0</v>
      </c>
      <c r="K7" s="5"/>
      <c r="L7" s="5"/>
      <c r="M7" s="5" t="s">
        <v>42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99.98803056</v>
      </c>
      <c r="C8" s="5" t="str">
        <f>IF(B8&lt;0,"ПРЕВЫШЕНИЕ","OK")</f>
        <v>OK</v>
      </c>
      <c r="D8" s="5"/>
      <c r="E8" s="5" t="s">
        <v>91</v>
      </c>
      <c r="F8" s="11">
        <f>F6-F7</f>
        <v>85.39407297</v>
      </c>
      <c r="G8" s="5" t="str">
        <f>IF(F8&lt;0,"ПРЕВЫШЕНИЕ","OK")</f>
        <v>OK</v>
      </c>
      <c r="H8" s="5"/>
      <c r="I8" s="5" t="s">
        <v>91</v>
      </c>
      <c r="J8" s="11">
        <f>J6-J7</f>
        <v>76.66337325</v>
      </c>
      <c r="K8" s="5" t="str">
        <f>IF(J8&lt;0,"ПРЕВЫШЕНИЕ","OK")</f>
        <v>OK</v>
      </c>
      <c r="L8" s="5"/>
      <c r="M8" s="5" t="s">
        <v>91</v>
      </c>
      <c r="N8" s="11">
        <f>N6-N7</f>
        <v>86.61084077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5" t="s">
        <v>92</v>
      </c>
      <c r="D11" s="5"/>
      <c r="E11" s="5"/>
      <c r="F11" s="5"/>
      <c r="G11" s="15" t="s">
        <v>93</v>
      </c>
      <c r="I11" s="5"/>
      <c r="J11" s="5"/>
      <c r="K11" s="5"/>
      <c r="L11" s="5" t="s">
        <v>94</v>
      </c>
    </row>
    <row r="12">
      <c r="A12" s="5" t="s">
        <v>12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6"/>
      <c r="C13" s="16"/>
      <c r="D13" s="5"/>
      <c r="E13" s="5"/>
      <c r="F13" s="5"/>
      <c r="G13" s="5" t="s">
        <v>110</v>
      </c>
      <c r="H13" s="16">
        <v>0.0</v>
      </c>
      <c r="I13" s="5"/>
      <c r="J13" s="5"/>
      <c r="K13" s="5"/>
      <c r="L13" s="5" t="s">
        <v>111</v>
      </c>
      <c r="M13" s="5">
        <f>'Китай 2040'!V11</f>
        <v>3</v>
      </c>
      <c r="N13" s="16">
        <v>0.0</v>
      </c>
      <c r="O13" s="16">
        <v>0.0</v>
      </c>
      <c r="P13" s="16">
        <v>0.0</v>
      </c>
      <c r="Q13" s="16">
        <v>0.0</v>
      </c>
      <c r="R13" s="18">
        <f t="shared" ref="R13:R28" si="1">IF(M13&gt;=5,0,MIN(0.75,(0.1+0.08*(IF(M13=0,0,SIGN(M13)*POWER(ABS(M13)/5,1.25))))+0.5*(MIN(1,LN(1+N13)/LN(41)))*((5-M13)/10)))</f>
        <v>0.1422453634</v>
      </c>
      <c r="S13" s="18">
        <f t="shared" ref="S13:S28" si="2">MAX(0,1-R13-T13)</f>
        <v>0.8</v>
      </c>
      <c r="T13" s="18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56</v>
      </c>
    </row>
    <row r="14">
      <c r="A14" s="5" t="s">
        <v>112</v>
      </c>
      <c r="B14" s="16">
        <v>0.0</v>
      </c>
      <c r="C14" s="16">
        <v>0.0</v>
      </c>
      <c r="D14" s="5"/>
      <c r="E14" s="5"/>
      <c r="F14" s="5"/>
      <c r="G14" s="5" t="s">
        <v>113</v>
      </c>
      <c r="H14" s="16">
        <v>0.0</v>
      </c>
      <c r="I14" s="5"/>
      <c r="J14" s="5"/>
      <c r="K14" s="5"/>
      <c r="L14" s="5" t="s">
        <v>114</v>
      </c>
      <c r="M14" s="5">
        <f>'Китай 2040'!V12</f>
        <v>-1.1</v>
      </c>
      <c r="N14" s="16">
        <v>0.0</v>
      </c>
      <c r="O14" s="16">
        <v>0.0</v>
      </c>
      <c r="P14" s="16">
        <v>0.0</v>
      </c>
      <c r="Q14" s="16">
        <v>0.0</v>
      </c>
      <c r="R14" s="18">
        <f t="shared" si="1"/>
        <v>0.08794635663</v>
      </c>
      <c r="S14" s="18">
        <f t="shared" si="2"/>
        <v>0.8</v>
      </c>
      <c r="T14" s="18">
        <f t="shared" si="3"/>
        <v>0.1120536434</v>
      </c>
      <c r="U14" s="5">
        <f t="shared" si="4"/>
        <v>50</v>
      </c>
    </row>
    <row r="15">
      <c r="A15" s="5" t="s">
        <v>115</v>
      </c>
      <c r="B15" s="16">
        <v>0.0</v>
      </c>
      <c r="C15" s="16">
        <v>0.0</v>
      </c>
      <c r="D15" s="5"/>
      <c r="E15" s="5"/>
      <c r="F15" s="5"/>
      <c r="G15" s="5" t="s">
        <v>116</v>
      </c>
      <c r="H15" s="16">
        <v>0.0</v>
      </c>
      <c r="I15" s="5"/>
      <c r="J15" s="5"/>
      <c r="K15" s="5"/>
      <c r="L15" s="5" t="s">
        <v>117</v>
      </c>
      <c r="M15" s="5">
        <f>'Китай 2040'!V13</f>
        <v>0.6</v>
      </c>
      <c r="N15" s="16">
        <v>0.0</v>
      </c>
      <c r="O15" s="16">
        <v>0.0</v>
      </c>
      <c r="P15" s="16">
        <v>0.0</v>
      </c>
      <c r="Q15" s="16">
        <v>0.0</v>
      </c>
      <c r="R15" s="18">
        <f t="shared" si="1"/>
        <v>0.1056502354</v>
      </c>
      <c r="S15" s="18">
        <f t="shared" si="2"/>
        <v>0.8</v>
      </c>
      <c r="T15" s="18">
        <f t="shared" si="3"/>
        <v>0.09434976456</v>
      </c>
      <c r="U15" s="5">
        <f t="shared" si="4"/>
        <v>14</v>
      </c>
    </row>
    <row r="16">
      <c r="A16" s="5" t="s">
        <v>118</v>
      </c>
      <c r="B16" s="16">
        <v>0.0</v>
      </c>
      <c r="C16" s="16">
        <v>0.0</v>
      </c>
      <c r="D16" s="5"/>
      <c r="E16" s="5"/>
      <c r="F16" s="5"/>
      <c r="G16" s="5" t="s">
        <v>119</v>
      </c>
      <c r="H16" s="16">
        <v>0.0</v>
      </c>
      <c r="I16" s="5"/>
      <c r="J16" s="5"/>
      <c r="K16" s="5"/>
      <c r="L16" s="5" t="s">
        <v>120</v>
      </c>
      <c r="M16" s="5">
        <f>'Китай 2040'!V14</f>
        <v>0.5</v>
      </c>
      <c r="N16" s="16">
        <v>0.0</v>
      </c>
      <c r="O16" s="16">
        <v>0.0</v>
      </c>
      <c r="P16" s="16">
        <v>0.0</v>
      </c>
      <c r="Q16" s="16">
        <v>0.0</v>
      </c>
      <c r="R16" s="18">
        <f t="shared" si="1"/>
        <v>0.1044987306</v>
      </c>
      <c r="S16" s="18">
        <f t="shared" si="2"/>
        <v>0.8</v>
      </c>
      <c r="T16" s="18">
        <f t="shared" si="3"/>
        <v>0.0955012694</v>
      </c>
      <c r="U16" s="5">
        <f t="shared" si="4"/>
        <v>62</v>
      </c>
    </row>
    <row r="17">
      <c r="A17" s="5" t="s">
        <v>121</v>
      </c>
      <c r="B17" s="16">
        <v>0.0</v>
      </c>
      <c r="C17" s="16">
        <v>0.0</v>
      </c>
      <c r="D17" s="5"/>
      <c r="E17" s="5"/>
      <c r="F17" s="5"/>
      <c r="G17" s="5" t="s">
        <v>122</v>
      </c>
      <c r="H17" s="16">
        <v>0.0</v>
      </c>
      <c r="I17" s="5"/>
      <c r="J17" s="5"/>
      <c r="K17" s="5"/>
      <c r="L17" s="5" t="s">
        <v>123</v>
      </c>
      <c r="M17" s="5">
        <f>'Китай 2040'!V15</f>
        <v>1.8</v>
      </c>
      <c r="N17" s="16">
        <v>0.0</v>
      </c>
      <c r="O17" s="16">
        <v>0.0</v>
      </c>
      <c r="P17" s="16">
        <v>0.0</v>
      </c>
      <c r="Q17" s="16">
        <v>0.0</v>
      </c>
      <c r="R17" s="18">
        <f t="shared" si="1"/>
        <v>0.1223083841</v>
      </c>
      <c r="S17" s="18">
        <f t="shared" si="2"/>
        <v>0.8</v>
      </c>
      <c r="T17" s="18">
        <f t="shared" si="3"/>
        <v>0.07769161593</v>
      </c>
      <c r="U17" s="5">
        <f t="shared" si="4"/>
        <v>42</v>
      </c>
    </row>
    <row r="18">
      <c r="A18" s="5" t="s">
        <v>124</v>
      </c>
      <c r="B18" s="16">
        <v>0.0</v>
      </c>
      <c r="C18" s="16">
        <v>0.0</v>
      </c>
      <c r="D18" s="5"/>
      <c r="E18" s="5"/>
      <c r="F18" s="5"/>
      <c r="G18" s="5" t="s">
        <v>125</v>
      </c>
      <c r="H18" s="16">
        <v>0.0</v>
      </c>
      <c r="I18" s="5"/>
      <c r="J18" s="5"/>
      <c r="K18" s="5"/>
      <c r="L18" s="5" t="s">
        <v>126</v>
      </c>
      <c r="M18" s="5">
        <f>'Китай 2040'!V16</f>
        <v>1.4</v>
      </c>
      <c r="N18" s="16">
        <v>0.0</v>
      </c>
      <c r="O18" s="16">
        <v>0.0</v>
      </c>
      <c r="P18" s="16">
        <v>0.0</v>
      </c>
      <c r="Q18" s="16">
        <v>0.0</v>
      </c>
      <c r="R18" s="18">
        <f t="shared" si="1"/>
        <v>0.1162943682</v>
      </c>
      <c r="S18" s="18">
        <f t="shared" si="2"/>
        <v>0.8</v>
      </c>
      <c r="T18" s="18">
        <f t="shared" si="3"/>
        <v>0.08370563178</v>
      </c>
      <c r="U18" s="5">
        <f t="shared" si="4"/>
        <v>78</v>
      </c>
    </row>
    <row r="19">
      <c r="A19" s="5" t="s">
        <v>127</v>
      </c>
      <c r="B19" s="16">
        <v>0.0</v>
      </c>
      <c r="C19" s="16">
        <v>0.0</v>
      </c>
      <c r="D19" s="5"/>
      <c r="E19" s="5"/>
      <c r="F19" s="5"/>
      <c r="G19" s="5" t="s">
        <v>128</v>
      </c>
      <c r="H19" s="16">
        <v>0.0</v>
      </c>
      <c r="I19" s="5"/>
      <c r="J19" s="5"/>
      <c r="K19" s="5"/>
      <c r="L19" s="5" t="s">
        <v>129</v>
      </c>
      <c r="M19" s="5">
        <f>'Китай 2040'!V17</f>
        <v>-0.8</v>
      </c>
      <c r="N19" s="16">
        <v>0.0</v>
      </c>
      <c r="O19" s="16">
        <v>0.0</v>
      </c>
      <c r="P19" s="16">
        <v>0.0</v>
      </c>
      <c r="Q19" s="16">
        <v>0.0</v>
      </c>
      <c r="R19" s="18">
        <f t="shared" si="1"/>
        <v>0.09190456919</v>
      </c>
      <c r="S19" s="18">
        <f t="shared" si="2"/>
        <v>0.8</v>
      </c>
      <c r="T19" s="18">
        <f t="shared" si="3"/>
        <v>0.1080954308</v>
      </c>
      <c r="U19" s="5">
        <f t="shared" si="4"/>
        <v>58</v>
      </c>
    </row>
    <row r="20">
      <c r="A20" s="5" t="s">
        <v>130</v>
      </c>
      <c r="B20" s="16">
        <v>0.0</v>
      </c>
      <c r="C20" s="16">
        <v>0.0</v>
      </c>
      <c r="D20" s="5"/>
      <c r="E20" s="5"/>
      <c r="F20" s="5"/>
      <c r="G20" s="5" t="s">
        <v>131</v>
      </c>
      <c r="H20" s="16">
        <v>0.0</v>
      </c>
      <c r="I20" s="5"/>
      <c r="J20" s="5"/>
      <c r="K20" s="5"/>
      <c r="L20" s="5" t="s">
        <v>132</v>
      </c>
      <c r="M20" s="5">
        <f>'Китай 2040'!V18</f>
        <v>0.8</v>
      </c>
      <c r="N20" s="16">
        <v>0.0</v>
      </c>
      <c r="O20" s="16">
        <v>0.0</v>
      </c>
      <c r="P20" s="16">
        <v>0.0</v>
      </c>
      <c r="Q20" s="16">
        <v>0.0</v>
      </c>
      <c r="R20" s="18">
        <f t="shared" si="1"/>
        <v>0.1080954308</v>
      </c>
      <c r="S20" s="18">
        <f t="shared" si="2"/>
        <v>0.8</v>
      </c>
      <c r="T20" s="18">
        <f t="shared" si="3"/>
        <v>0.09190456919</v>
      </c>
      <c r="U20" s="5">
        <f t="shared" si="4"/>
        <v>30</v>
      </c>
    </row>
    <row r="21" ht="15.75" customHeight="1">
      <c r="A21" s="5" t="s">
        <v>133</v>
      </c>
      <c r="B21" s="16">
        <v>0.0</v>
      </c>
      <c r="C21" s="16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'Китай 2040'!V19</f>
        <v>2.1</v>
      </c>
      <c r="N21" s="16">
        <v>0.0</v>
      </c>
      <c r="O21" s="16">
        <v>0.0</v>
      </c>
      <c r="P21" s="16">
        <v>0.0</v>
      </c>
      <c r="Q21" s="16">
        <v>0.0</v>
      </c>
      <c r="R21" s="18">
        <f t="shared" si="1"/>
        <v>0.127049024</v>
      </c>
      <c r="S21" s="18">
        <f t="shared" si="2"/>
        <v>0.8</v>
      </c>
      <c r="T21" s="18">
        <f t="shared" si="3"/>
        <v>0.07295097595</v>
      </c>
      <c r="U21" s="5">
        <f t="shared" si="4"/>
        <v>95</v>
      </c>
    </row>
    <row r="22" ht="15.75" customHeight="1">
      <c r="A22" s="5" t="s">
        <v>135</v>
      </c>
      <c r="B22" s="16">
        <v>0.0</v>
      </c>
      <c r="C22" s="16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'Китай 2040'!V20</f>
        <v>2.8</v>
      </c>
      <c r="N22" s="16">
        <v>0.0</v>
      </c>
      <c r="O22" s="16">
        <v>0.0</v>
      </c>
      <c r="P22" s="16">
        <v>0.0</v>
      </c>
      <c r="Q22" s="16">
        <v>0.0</v>
      </c>
      <c r="R22" s="18">
        <f t="shared" si="1"/>
        <v>0.1387547572</v>
      </c>
      <c r="S22" s="18">
        <f t="shared" si="2"/>
        <v>0.8</v>
      </c>
      <c r="T22" s="18">
        <f t="shared" si="3"/>
        <v>0.06124524277</v>
      </c>
      <c r="U22" s="5">
        <f t="shared" si="4"/>
        <v>77</v>
      </c>
    </row>
    <row r="23" ht="15.75" customHeight="1">
      <c r="A23" s="5" t="s">
        <v>138</v>
      </c>
      <c r="B23" s="16">
        <v>0.0</v>
      </c>
      <c r="C23" s="16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'Китай 2040'!V21</f>
        <v>3</v>
      </c>
      <c r="N23" s="16">
        <v>0.0</v>
      </c>
      <c r="O23" s="16">
        <v>0.0</v>
      </c>
      <c r="P23" s="16">
        <v>0.0</v>
      </c>
      <c r="Q23" s="16">
        <v>0.0</v>
      </c>
      <c r="R23" s="18">
        <f t="shared" si="1"/>
        <v>0.1422453634</v>
      </c>
      <c r="S23" s="18">
        <f t="shared" si="2"/>
        <v>0.8</v>
      </c>
      <c r="T23" s="18">
        <f t="shared" si="3"/>
        <v>0.05775463663</v>
      </c>
      <c r="U23" s="5">
        <f t="shared" si="4"/>
        <v>49</v>
      </c>
    </row>
    <row r="24" ht="15.75" customHeight="1">
      <c r="A24" s="5" t="s">
        <v>144</v>
      </c>
      <c r="B24" s="16"/>
      <c r="C24" s="16"/>
      <c r="D24" s="5"/>
      <c r="E24" s="5"/>
      <c r="F24" s="5"/>
      <c r="G24" s="16">
        <v>0.0</v>
      </c>
      <c r="H24" s="16">
        <v>0.0</v>
      </c>
      <c r="I24" s="16">
        <v>0.0</v>
      </c>
      <c r="J24" s="5">
        <f>SUM(G24:I24)</f>
        <v>0</v>
      </c>
      <c r="K24" s="5"/>
      <c r="L24" s="5" t="s">
        <v>145</v>
      </c>
      <c r="M24" s="5">
        <f>'Китай 2040'!V22</f>
        <v>0.3</v>
      </c>
      <c r="N24" s="16">
        <v>0.0</v>
      </c>
      <c r="O24" s="16">
        <v>0.0</v>
      </c>
      <c r="P24" s="16">
        <v>0.0</v>
      </c>
      <c r="Q24" s="16">
        <v>0.0</v>
      </c>
      <c r="R24" s="18">
        <f t="shared" si="1"/>
        <v>0.1023756314</v>
      </c>
      <c r="S24" s="18">
        <f t="shared" si="2"/>
        <v>0.8</v>
      </c>
      <c r="T24" s="18">
        <f t="shared" si="3"/>
        <v>0.09762436864</v>
      </c>
      <c r="U24" s="5">
        <f t="shared" si="4"/>
        <v>1</v>
      </c>
    </row>
    <row r="25" ht="15.75" customHeight="1">
      <c r="A25" s="5" t="s">
        <v>146</v>
      </c>
      <c r="B25" s="16">
        <v>0.0</v>
      </c>
      <c r="C25" s="16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'Китай 2040'!V23</f>
        <v>3</v>
      </c>
      <c r="N25" s="16">
        <v>0.0</v>
      </c>
      <c r="O25" s="16">
        <v>0.0</v>
      </c>
      <c r="P25" s="16">
        <v>0.0</v>
      </c>
      <c r="Q25" s="16">
        <v>0.0</v>
      </c>
      <c r="R25" s="18">
        <f t="shared" si="1"/>
        <v>0.1422453634</v>
      </c>
      <c r="S25" s="18">
        <f t="shared" si="2"/>
        <v>0.8</v>
      </c>
      <c r="T25" s="18">
        <f t="shared" si="3"/>
        <v>0.05775463663</v>
      </c>
      <c r="U25" s="5">
        <f t="shared" si="4"/>
        <v>4</v>
      </c>
    </row>
    <row r="26" ht="15.75" customHeight="1">
      <c r="A26" s="5" t="s">
        <v>148</v>
      </c>
      <c r="B26" s="16">
        <v>0.0</v>
      </c>
      <c r="C26" s="16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'Китай 2040'!V24</f>
        <v>3</v>
      </c>
      <c r="N26" s="16">
        <v>0.0</v>
      </c>
      <c r="O26" s="16">
        <v>0.0</v>
      </c>
      <c r="P26" s="16">
        <v>0.0</v>
      </c>
      <c r="Q26" s="16">
        <v>0.0</v>
      </c>
      <c r="R26" s="18">
        <f t="shared" si="1"/>
        <v>0.1422453634</v>
      </c>
      <c r="S26" s="18">
        <f t="shared" si="2"/>
        <v>0.8</v>
      </c>
      <c r="T26" s="18">
        <f t="shared" si="3"/>
        <v>0.05775463663</v>
      </c>
      <c r="U26" s="5">
        <f t="shared" si="4"/>
        <v>99</v>
      </c>
    </row>
    <row r="27" ht="15.75" customHeight="1">
      <c r="A27" s="5" t="s">
        <v>150</v>
      </c>
      <c r="B27" s="16">
        <v>0.0</v>
      </c>
      <c r="C27" s="16">
        <v>0.0</v>
      </c>
      <c r="D27" s="5"/>
      <c r="E27" s="5"/>
      <c r="F27" s="5"/>
      <c r="G27" s="5" t="s">
        <v>151</v>
      </c>
      <c r="L27" s="5" t="s">
        <v>152</v>
      </c>
      <c r="M27" s="5">
        <f>'Китай 2040'!V25</f>
        <v>2.8</v>
      </c>
      <c r="N27" s="16">
        <v>0.0</v>
      </c>
      <c r="O27" s="16">
        <v>0.0</v>
      </c>
      <c r="P27" s="16">
        <v>0.0</v>
      </c>
      <c r="Q27" s="16">
        <v>0.0</v>
      </c>
      <c r="R27" s="18">
        <f t="shared" si="1"/>
        <v>0.1387547572</v>
      </c>
      <c r="S27" s="18">
        <f t="shared" si="2"/>
        <v>0.8</v>
      </c>
      <c r="T27" s="18">
        <f t="shared" si="3"/>
        <v>0.06124524277</v>
      </c>
      <c r="U27" s="5">
        <f t="shared" si="4"/>
        <v>25</v>
      </c>
    </row>
    <row r="28" ht="15.75" customHeight="1">
      <c r="A28" s="5" t="s">
        <v>153</v>
      </c>
      <c r="B28" s="16">
        <v>0.0</v>
      </c>
      <c r="C28" s="16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'Китай 2040'!V26</f>
        <v>0</v>
      </c>
      <c r="N28" s="16">
        <v>0.0</v>
      </c>
      <c r="O28" s="16">
        <v>0.0</v>
      </c>
      <c r="P28" s="16">
        <v>0.0</v>
      </c>
      <c r="Q28" s="16">
        <v>0.0</v>
      </c>
      <c r="R28" s="18">
        <f t="shared" si="1"/>
        <v>0.1</v>
      </c>
      <c r="S28" s="18">
        <f t="shared" si="2"/>
        <v>0.8</v>
      </c>
      <c r="T28" s="18">
        <f t="shared" si="3"/>
        <v>0.1</v>
      </c>
      <c r="U28" s="5">
        <f t="shared" si="4"/>
        <v>67</v>
      </c>
    </row>
    <row r="29" ht="15.75" customHeight="1">
      <c r="A29" s="5" t="s">
        <v>159</v>
      </c>
      <c r="B29" s="16">
        <v>0.0</v>
      </c>
      <c r="C29" s="16">
        <v>0.0</v>
      </c>
      <c r="D29" s="5"/>
      <c r="E29" s="5"/>
      <c r="F29" s="5"/>
      <c r="G29" s="16"/>
      <c r="H29" s="14" t="str">
        <f>IF(G29="","",VLOOKUP(G29,'Технологии'!$A$11:$D$50,4,FALSE))</f>
        <v/>
      </c>
      <c r="I29" s="16">
        <v>0.0</v>
      </c>
      <c r="J29" s="16"/>
      <c r="K29" s="14" t="str">
        <f>IF(G29="","",VLOOKUP(G29,'Технологии'!$A$11:$BF$50,58,FALSE))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161</v>
      </c>
      <c r="B30" s="16"/>
      <c r="C30" s="16"/>
      <c r="D30" s="5"/>
      <c r="E30" s="5"/>
      <c r="F30" s="5"/>
      <c r="G30" s="16"/>
      <c r="H30" s="14" t="str">
        <f>IF(G30="","",VLOOKUP(G30,'Технологии'!$A$11:$D$50,4,FALSE))</f>
        <v/>
      </c>
      <c r="I30" s="16">
        <v>0.0</v>
      </c>
      <c r="J30" s="16"/>
      <c r="K30" s="14" t="str">
        <f>IF(G30="","",VLOOKUP(G30,'Технологии'!$A$11:$BF$50,58,FALSE))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6">
        <v>0.0</v>
      </c>
      <c r="C31" s="16">
        <v>0.0</v>
      </c>
      <c r="D31" s="5"/>
      <c r="E31" s="5"/>
      <c r="F31" s="5"/>
      <c r="G31" s="16"/>
      <c r="H31" s="14" t="str">
        <f>IF(G31="","",VLOOKUP(G31,'Технологии'!$A$11:$D$50,4,FALSE))</f>
        <v/>
      </c>
      <c r="I31" s="16">
        <v>0.0</v>
      </c>
      <c r="J31" s="16"/>
      <c r="K31" s="14" t="str">
        <f>IF(G31="","",VLOOKUP(G31,'Технологии'!$A$11:$BF$50,58,FALSE))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6">
        <v>0.0</v>
      </c>
      <c r="C32" s="16">
        <v>0.0</v>
      </c>
      <c r="D32" s="5"/>
      <c r="E32" s="5"/>
      <c r="F32" s="5"/>
      <c r="G32" s="16"/>
      <c r="H32" s="14" t="str">
        <f>IF(G32="","",VLOOKUP(G32,'Технологии'!$A$11:$D$50,4,FALSE))</f>
        <v/>
      </c>
      <c r="I32" s="16">
        <v>0.0</v>
      </c>
      <c r="J32" s="16"/>
      <c r="K32" s="14" t="str">
        <f>IF(G32="","",VLOOKUP(G32,'Технологии'!$A$11:$BF$50,58,FALSE))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173</v>
      </c>
      <c r="B33" s="16">
        <v>0.0</v>
      </c>
      <c r="C33" s="16">
        <v>0.0</v>
      </c>
      <c r="D33" s="5"/>
      <c r="E33" s="5"/>
      <c r="F33" s="5"/>
      <c r="G33" s="16"/>
      <c r="H33" s="14" t="str">
        <f>IF(G33="","",VLOOKUP(G33,'Технологии'!$A$11:$D$50,4,FALSE))</f>
        <v/>
      </c>
      <c r="I33" s="16">
        <v>0.0</v>
      </c>
      <c r="J33" s="16"/>
      <c r="K33" s="14" t="str">
        <f>IF(G33="","",VLOOKUP(G33,'Технологии'!$A$11:$BF$50,58,FALSE))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178</v>
      </c>
      <c r="B34" s="16">
        <v>0.0</v>
      </c>
      <c r="C34" s="16">
        <v>0.0</v>
      </c>
      <c r="D34" s="5"/>
      <c r="E34" s="5"/>
      <c r="F34" s="5"/>
      <c r="G34" s="16"/>
      <c r="H34" s="14" t="str">
        <f>IF(G34="","",VLOOKUP(G34,'Технологии'!$A$11:$D$50,4,FALSE))</f>
        <v/>
      </c>
      <c r="I34" s="16">
        <v>0.0</v>
      </c>
      <c r="J34" s="16"/>
      <c r="K34" s="14" t="str">
        <f>IF(G34="","",VLOOKUP(G34,'Технологии'!$A$11:$BF$50,58,FALSE))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185</v>
      </c>
      <c r="B35" s="16">
        <v>0.0</v>
      </c>
      <c r="C35" s="16">
        <v>0.0</v>
      </c>
      <c r="D35" s="5"/>
      <c r="E35" s="5"/>
      <c r="F35" s="5"/>
      <c r="G35" s="16"/>
      <c r="H35" s="14" t="str">
        <f>IF(G35="","",VLOOKUP(G35,'Технологии'!$A$11:$D$50,4,FALSE))</f>
        <v/>
      </c>
      <c r="I35" s="16">
        <v>0.0</v>
      </c>
      <c r="J35" s="16"/>
      <c r="K35" s="14" t="str">
        <f>IF(G35="","",VLOOKUP(G35,'Технологии'!$A$11:$BF$50,58,FALSE))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188</v>
      </c>
      <c r="B36" s="16">
        <v>0.0</v>
      </c>
      <c r="C36" s="16">
        <v>0.0</v>
      </c>
      <c r="D36" s="5"/>
      <c r="E36" s="5"/>
      <c r="F36" s="5"/>
      <c r="G36" s="16"/>
      <c r="H36" s="14" t="str">
        <f>IF(G36="","",VLOOKUP(G36,'Технологии'!$A$11:$D$50,4,FALSE))</f>
        <v/>
      </c>
      <c r="I36" s="16">
        <v>0.0</v>
      </c>
      <c r="J36" s="16"/>
      <c r="K36" s="14" t="str">
        <f>IF(G36="","",VLOOKUP(G36,'Технологии'!$A$11:$BF$50,58,FALSE))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193</v>
      </c>
      <c r="B37" s="16">
        <v>0.0</v>
      </c>
      <c r="C37" s="16">
        <v>0.0</v>
      </c>
      <c r="D37" s="5"/>
      <c r="E37" s="5"/>
      <c r="F37" s="5"/>
      <c r="G37" s="16"/>
      <c r="H37" s="14" t="str">
        <f>IF(G37="","",VLOOKUP(G37,'Технологии'!$A$11:$D$50,4,FALSE))</f>
        <v/>
      </c>
      <c r="I37" s="16">
        <v>0.0</v>
      </c>
      <c r="J37" s="16"/>
      <c r="K37" s="14" t="str">
        <f>IF(G37="","",VLOOKUP(G37,'Технологии'!$A$11:$BF$50,58,FALSE))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198</v>
      </c>
      <c r="B38" s="16">
        <v>0.0</v>
      </c>
      <c r="C38" s="16">
        <v>0.0</v>
      </c>
      <c r="D38" s="5"/>
      <c r="E38" s="5"/>
      <c r="F38" s="5"/>
      <c r="G38" s="16"/>
      <c r="H38" s="14" t="str">
        <f>IF(G38="","",VLOOKUP(G38,'Технологии'!$A$11:$D$50,4,FALSE))</f>
        <v/>
      </c>
      <c r="I38" s="16">
        <v>0.0</v>
      </c>
      <c r="J38" s="16"/>
      <c r="K38" s="14" t="str">
        <f>IF(G38="","",VLOOKUP(G38,'Технологии'!$A$11:$BF$50,58,FALSE))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199</v>
      </c>
      <c r="B39" s="16"/>
      <c r="C39" s="1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200</v>
      </c>
      <c r="B40" s="16">
        <v>0.0</v>
      </c>
      <c r="C40" s="16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201</v>
      </c>
      <c r="B41" s="16">
        <v>0.0</v>
      </c>
      <c r="C41" s="16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202</v>
      </c>
      <c r="B42" s="16">
        <v>0.0</v>
      </c>
      <c r="C42" s="16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203</v>
      </c>
      <c r="B43" s="16">
        <v>0.0</v>
      </c>
      <c r="C43" s="16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204</v>
      </c>
      <c r="B44" s="16">
        <v>0.0</v>
      </c>
      <c r="C44" s="16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205</v>
      </c>
      <c r="B45" s="16">
        <v>0.0</v>
      </c>
      <c r="C45" s="16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206</v>
      </c>
      <c r="B46" s="16">
        <v>0.0</v>
      </c>
      <c r="C46" s="16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208</v>
      </c>
      <c r="B47" s="16">
        <v>0.0</v>
      </c>
      <c r="C47" s="16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213</v>
      </c>
      <c r="B48" s="16">
        <v>0.0</v>
      </c>
      <c r="C48" s="16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214</v>
      </c>
      <c r="B49" s="16"/>
      <c r="C49" s="1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215</v>
      </c>
      <c r="B50" s="16">
        <v>0.0</v>
      </c>
      <c r="C50" s="16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216</v>
      </c>
      <c r="B51" s="16">
        <v>0.0</v>
      </c>
      <c r="C51" s="16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217</v>
      </c>
      <c r="B52" s="16">
        <v>0.0</v>
      </c>
      <c r="C52" s="16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218</v>
      </c>
      <c r="B53" s="16">
        <v>0.0</v>
      </c>
      <c r="C53" s="16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219</v>
      </c>
      <c r="B54" s="16">
        <v>0.0</v>
      </c>
      <c r="C54" s="16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220</v>
      </c>
      <c r="B55" s="16">
        <v>0.0</v>
      </c>
      <c r="C55" s="16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221</v>
      </c>
      <c r="B56" s="16">
        <v>0.0</v>
      </c>
      <c r="C56" s="16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222</v>
      </c>
      <c r="B57" s="16">
        <v>0.0</v>
      </c>
      <c r="C57" s="16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223</v>
      </c>
      <c r="B58" s="16"/>
      <c r="C58" s="1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224</v>
      </c>
      <c r="B59" s="16">
        <v>0.0</v>
      </c>
      <c r="C59" s="16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225</v>
      </c>
      <c r="B60" s="16">
        <v>0.0</v>
      </c>
      <c r="C60" s="16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226</v>
      </c>
      <c r="B61" s="16">
        <v>0.0</v>
      </c>
      <c r="C61" s="16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1" t="s">
        <v>413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6" t="s">
        <v>6</v>
      </c>
      <c r="J5" s="5"/>
      <c r="K5" s="7" t="s">
        <v>9</v>
      </c>
      <c r="N5" s="7" t="s">
        <v>10</v>
      </c>
      <c r="Q5" s="7" t="s">
        <v>11</v>
      </c>
      <c r="T5" s="5"/>
      <c r="U5" s="7" t="s">
        <v>7</v>
      </c>
      <c r="X5" s="5"/>
    </row>
    <row r="6">
      <c r="A6" s="8" t="s">
        <v>12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19</v>
      </c>
      <c r="G6" s="8" t="s">
        <v>20</v>
      </c>
      <c r="H6" s="8" t="s">
        <v>21</v>
      </c>
      <c r="I6" s="8" t="s">
        <v>22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85.42048115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76.67169517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86.68647088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99.99027516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MAX(1,MIN(10,'Китай 2040'!B8+'Китай 2040'!D8+('Китай 2040'!C8+'Китай 2040'!F8+'Китай 2040'!G8)+(0.35*LN(1+0.6*'Ход 2040'!B14)*POWER(MAX(0,1-'Китай 2040'!I8/10),0.7))))</f>
        <v>10</v>
      </c>
      <c r="C8" s="5">
        <f>MIN(1,'Китай 2040'!C8+'Китай 2040'!F8+(0.08*LN(1+0.5*'Ход 2040'!C14)*MAX(0,1-('Китай 2040'!C8+'Китай 2040'!F8))))</f>
        <v>0.05</v>
      </c>
      <c r="D8" s="16">
        <v>0.0</v>
      </c>
      <c r="E8" s="16">
        <v>0.0</v>
      </c>
      <c r="F8" s="16">
        <v>0.0</v>
      </c>
      <c r="G8" s="16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MAX(1,MIN(10,'Китай 2040'!B9+'Китай 2040'!D9+('Китай 2040'!C9+'Китай 2040'!F9+'Китай 2040'!G9)+(0.35*LN(1+0.6*'Ход 2040'!B15)*POWER(MAX(0,1-'Китай 2040'!I9/10),0.7))))</f>
        <v>10</v>
      </c>
      <c r="C9" s="5">
        <f>MIN(1,'Китай 2040'!C9+'Китай 2040'!F9+(0.08*LN(1+0.5*'Ход 2040'!C15)*MAX(0,1-('Китай 2040'!C9+'Китай 2040'!F9))))</f>
        <v>0.1</v>
      </c>
      <c r="D9" s="16">
        <v>0.0</v>
      </c>
      <c r="E9" s="16">
        <v>0.0</v>
      </c>
      <c r="F9" s="16">
        <v>0.0</v>
      </c>
      <c r="G9" s="16">
        <v>0.0</v>
      </c>
      <c r="H9" s="5">
        <v>0.0</v>
      </c>
      <c r="I9" s="5">
        <f t="shared" si="1"/>
        <v>10</v>
      </c>
      <c r="J9" s="5"/>
      <c r="K9" s="6" t="s">
        <v>164</v>
      </c>
      <c r="T9" s="5"/>
      <c r="U9" s="6" t="s">
        <v>165</v>
      </c>
    </row>
    <row r="10">
      <c r="A10" s="5" t="s">
        <v>118</v>
      </c>
      <c r="B10" s="5">
        <f>MAX(1,MIN(10,'Китай 2040'!B10+'Китай 2040'!D10+('Китай 2040'!C10+'Китай 2040'!F10+'Китай 2040'!G10)+(0.35*LN(1+0.6*'Ход 2040'!B16)*POWER(MAX(0,1-'Китай 2040'!I10/10),0.7))))</f>
        <v>10</v>
      </c>
      <c r="C10" s="5">
        <f>MIN(1,'Китай 2040'!C10+'Китай 2040'!F10+(0.08*LN(1+0.5*'Ход 2040'!C16)*MAX(0,1-('Китай 2040'!C10+'Китай 2040'!F10))))</f>
        <v>0.2</v>
      </c>
      <c r="D10" s="16">
        <v>0.0</v>
      </c>
      <c r="E10" s="16">
        <v>0.0</v>
      </c>
      <c r="F10" s="16">
        <v>0.0</v>
      </c>
      <c r="G10" s="16">
        <v>0.0</v>
      </c>
      <c r="H10" s="5">
        <v>0.0</v>
      </c>
      <c r="I10" s="5">
        <f t="shared" si="1"/>
        <v>10</v>
      </c>
      <c r="J10" s="5"/>
      <c r="K10" s="8" t="s">
        <v>97</v>
      </c>
      <c r="L10" s="8" t="s">
        <v>14</v>
      </c>
      <c r="M10" s="8" t="s">
        <v>15</v>
      </c>
      <c r="N10" s="8" t="s">
        <v>16</v>
      </c>
      <c r="O10" s="8" t="s">
        <v>17</v>
      </c>
      <c r="P10" s="8" t="s">
        <v>19</v>
      </c>
      <c r="Q10" s="8" t="s">
        <v>20</v>
      </c>
      <c r="R10" s="8" t="s">
        <v>21</v>
      </c>
      <c r="S10" s="8" t="s">
        <v>22</v>
      </c>
      <c r="T10" s="5"/>
      <c r="U10" s="8" t="s">
        <v>99</v>
      </c>
      <c r="V10" s="8" t="s">
        <v>167</v>
      </c>
      <c r="W10" s="8" t="s">
        <v>168</v>
      </c>
      <c r="X10" s="8" t="s">
        <v>169</v>
      </c>
    </row>
    <row r="11">
      <c r="A11" s="5" t="s">
        <v>121</v>
      </c>
      <c r="B11" s="5">
        <f>MAX(1,MIN(10,'Китай 2040'!B11+'Китай 2040'!D11+('Китай 2040'!C11+'Китай 2040'!F11+'Китай 2040'!G11)+(0.35*LN(1+0.6*'Ход 2040'!B17)*POWER(MAX(0,1-'Китай 2040'!I11/10),0.7))))</f>
        <v>10</v>
      </c>
      <c r="C11" s="5">
        <f>MIN(1,'Китай 2040'!C11+'Китай 2040'!F11+(0.08*LN(1+0.5*'Ход 2040'!C17)*MAX(0,1-('Китай 2040'!C11+'Китай 2040'!F11))))</f>
        <v>0.3715505646</v>
      </c>
      <c r="D11" s="16">
        <v>0.0</v>
      </c>
      <c r="E11" s="16">
        <v>0.0</v>
      </c>
      <c r="F11" s="16">
        <v>0.0</v>
      </c>
      <c r="G11" s="16">
        <v>0.0</v>
      </c>
      <c r="H11" s="5">
        <v>0.0</v>
      </c>
      <c r="I11" s="5">
        <f t="shared" si="1"/>
        <v>10</v>
      </c>
      <c r="J11" s="5"/>
      <c r="K11" s="5" t="s">
        <v>110</v>
      </c>
      <c r="L11" s="5">
        <f>MAX(1,MIN(10,'Китай 2040'!L11+'Китай 2040'!N11+('Китай 2040'!M11+'Китай 2040'!P11+'Китай 2040'!Q11)))</f>
        <v>10</v>
      </c>
      <c r="M11" s="5">
        <f>MIN(1,'Китай 2040'!M11+'Китай 2040'!P11+(0.1*LN(1+0.5*'Ход 2040'!H13)*POWER(MAX(0,1-'Китай 2040'!S11/10),0.8)))</f>
        <v>0.3218276115</v>
      </c>
      <c r="N11" s="16">
        <v>0.0</v>
      </c>
      <c r="O11" s="16">
        <v>0.0</v>
      </c>
      <c r="P11" s="16">
        <v>0.0</v>
      </c>
      <c r="Q11" s="16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6">
        <f>'Китай 2040'!V11</f>
        <v>3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5" t="s">
        <v>172</v>
      </c>
    </row>
    <row r="12">
      <c r="A12" s="5" t="s">
        <v>124</v>
      </c>
      <c r="B12" s="5">
        <f>MAX(1,MIN(10,'Китай 2040'!B12+'Китай 2040'!D12+('Китай 2040'!C12+'Китай 2040'!F12+'Китай 2040'!G12)+(0.35*LN(1+0.6*'Ход 2040'!B18)*POWER(MAX(0,1-'Китай 2040'!I12/10),0.7))))</f>
        <v>9.780389526</v>
      </c>
      <c r="C12" s="5">
        <f>MIN(1,'Китай 2040'!C12+'Китай 2040'!F12+(0.08*LN(1+0.5*'Ход 2040'!C18)*MAX(0,1-('Китай 2040'!C12+'Китай 2040'!F12))))</f>
        <v>0.05</v>
      </c>
      <c r="D12" s="16">
        <v>0.0</v>
      </c>
      <c r="E12" s="16">
        <v>0.0</v>
      </c>
      <c r="F12" s="16">
        <v>0.0</v>
      </c>
      <c r="G12" s="16">
        <v>0.0</v>
      </c>
      <c r="H12" s="5">
        <v>0.0</v>
      </c>
      <c r="I12" s="5">
        <f t="shared" si="1"/>
        <v>9.780389526</v>
      </c>
      <c r="J12" s="5"/>
      <c r="K12" s="5" t="s">
        <v>113</v>
      </c>
      <c r="L12" s="5">
        <f>MAX(1,MIN(10,'Китай 2040'!L12+'Китай 2040'!N12+('Китай 2040'!M12+'Китай 2040'!P12+'Китай 2040'!Q12)))</f>
        <v>10</v>
      </c>
      <c r="M12" s="5">
        <f>MIN(1,'Китай 2040'!M12+'Китай 2040'!P12+(0.1*LN(1+0.5*'Ход 2040'!H14)*POWER(MAX(0,1-'Китай 2040'!S12/10),0.8)))</f>
        <v>0.3</v>
      </c>
      <c r="N12" s="16">
        <v>0.0</v>
      </c>
      <c r="O12" s="16">
        <v>0.0</v>
      </c>
      <c r="P12" s="16">
        <v>0.0</v>
      </c>
      <c r="Q12" s="16">
        <v>0.0</v>
      </c>
      <c r="R12" s="5">
        <v>0.0</v>
      </c>
      <c r="S12" s="5">
        <f t="shared" si="2"/>
        <v>10</v>
      </c>
      <c r="T12" s="5"/>
      <c r="U12" s="5" t="s">
        <v>114</v>
      </c>
      <c r="V12" s="16">
        <f>'Китай 2040'!V12</f>
        <v>-1.1</v>
      </c>
      <c r="W12" s="5" t="str">
        <f t="shared" si="3"/>
        <v>Конфронтация</v>
      </c>
      <c r="X12" s="5" t="s">
        <v>175</v>
      </c>
    </row>
    <row r="13">
      <c r="A13" s="5" t="s">
        <v>127</v>
      </c>
      <c r="B13" s="5">
        <f>MAX(1,MIN(10,'Китай 2040'!B13+'Китай 2040'!D13+('Китай 2040'!C13+'Китай 2040'!F13+'Китай 2040'!G13)+(0.35*LN(1+0.6*'Ход 2040'!B19)*POWER(MAX(0,1-'Китай 2040'!I13/10),0.7))))</f>
        <v>10</v>
      </c>
      <c r="C13" s="5">
        <f>MIN(1,'Китай 2040'!C13+'Китай 2040'!F13+(0.08*LN(1+0.5*'Ход 2040'!C19)*MAX(0,1-('Китай 2040'!C13+'Китай 2040'!F13))))</f>
        <v>0.45</v>
      </c>
      <c r="D13" s="16">
        <v>0.0</v>
      </c>
      <c r="E13" s="16">
        <v>0.0</v>
      </c>
      <c r="F13" s="16">
        <v>0.0</v>
      </c>
      <c r="G13" s="16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MAX(1,MIN(10,'Китай 2040'!L13+'Китай 2040'!N13+('Китай 2040'!M13+'Китай 2040'!P13+'Китай 2040'!Q13)))</f>
        <v>10</v>
      </c>
      <c r="M13" s="5">
        <f>MIN(1,'Китай 2040'!M13+'Китай 2040'!P13+(0.1*LN(1+0.5*'Ход 2040'!H15)*POWER(MAX(0,1-'Китай 2040'!S13/10),0.8)))</f>
        <v>0.2076232551</v>
      </c>
      <c r="N13" s="16">
        <v>0.0</v>
      </c>
      <c r="O13" s="16">
        <v>0.0</v>
      </c>
      <c r="P13" s="16">
        <v>0.0</v>
      </c>
      <c r="Q13" s="16">
        <v>0.0</v>
      </c>
      <c r="R13" s="5">
        <v>0.0</v>
      </c>
      <c r="S13" s="5">
        <f t="shared" si="2"/>
        <v>10</v>
      </c>
      <c r="T13" s="5"/>
      <c r="U13" s="5" t="s">
        <v>117</v>
      </c>
      <c r="V13" s="16">
        <f>'Китай 2040'!V13</f>
        <v>0.6</v>
      </c>
      <c r="W13" s="5" t="str">
        <f t="shared" si="3"/>
        <v>Сотрудничество</v>
      </c>
      <c r="X13" s="5" t="s">
        <v>177</v>
      </c>
    </row>
    <row r="14">
      <c r="A14" s="5" t="s">
        <v>130</v>
      </c>
      <c r="B14" s="5">
        <f>MAX(1,MIN(10,'Китай 2040'!B14+'Китай 2040'!D14+('Китай 2040'!C14+'Китай 2040'!F14+'Китай 2040'!G14)+(0.35*LN(1+0.6*'Ход 2040'!B20)*POWER(MAX(0,1-'Китай 2040'!I14/10),0.7))))</f>
        <v>10</v>
      </c>
      <c r="C14" s="5">
        <f>MIN(1,'Китай 2040'!C14+'Китай 2040'!F14+(0.08*LN(1+0.5*'Ход 2040'!C20)*MAX(0,1-('Китай 2040'!C14+'Китай 2040'!F14))))</f>
        <v>0.45</v>
      </c>
      <c r="D14" s="16">
        <v>0.0</v>
      </c>
      <c r="E14" s="16">
        <v>0.0</v>
      </c>
      <c r="F14" s="16">
        <v>0.0</v>
      </c>
      <c r="G14" s="16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MAX(1,MIN(10,'Китай 2040'!L14+'Китай 2040'!N14+('Китай 2040'!M14+'Китай 2040'!P14+'Китай 2040'!Q14)))</f>
        <v>10</v>
      </c>
      <c r="M14" s="5">
        <f>MIN(1,'Китай 2040'!M14+'Китай 2040'!P14+(0.1*LN(1+0.5*'Ход 2040'!H16)*POWER(MAX(0,1-'Китай 2040'!S14/10),0.8)))</f>
        <v>0.4157228095</v>
      </c>
      <c r="N14" s="16">
        <v>0.0</v>
      </c>
      <c r="O14" s="16">
        <v>0.0</v>
      </c>
      <c r="P14" s="16">
        <v>0.0</v>
      </c>
      <c r="Q14" s="16">
        <v>0.0</v>
      </c>
      <c r="R14" s="5">
        <v>0.0</v>
      </c>
      <c r="S14" s="5">
        <f t="shared" si="2"/>
        <v>10</v>
      </c>
      <c r="T14" s="5"/>
      <c r="U14" s="5" t="s">
        <v>120</v>
      </c>
      <c r="V14" s="16">
        <f>'Китай 2040'!V14</f>
        <v>0.5</v>
      </c>
      <c r="W14" s="5" t="str">
        <f t="shared" si="3"/>
        <v>Сотрудничество</v>
      </c>
      <c r="X14" s="5" t="s">
        <v>180</v>
      </c>
    </row>
    <row r="15">
      <c r="A15" s="5" t="s">
        <v>133</v>
      </c>
      <c r="B15" s="5">
        <f>MAX(1,MIN(10,'Китай 2040'!B15+'Китай 2040'!D15+('Китай 2040'!C15+'Китай 2040'!F15+'Китай 2040'!G15)+(0.35*LN(1+0.6*'Ход 2040'!B21)*POWER(MAX(0,1-'Китай 2040'!I15/10),0.7))))</f>
        <v>10</v>
      </c>
      <c r="C15" s="5">
        <f>MIN(1,'Китай 2040'!C15+'Китай 2040'!F15+(0.08*LN(1+0.5*'Ход 2040'!C21)*MAX(0,1-('Китай 2040'!C15+'Китай 2040'!F15))))</f>
        <v>0.4</v>
      </c>
      <c r="D15" s="16">
        <v>0.0</v>
      </c>
      <c r="E15" s="16">
        <v>0.0</v>
      </c>
      <c r="F15" s="16">
        <v>0.0</v>
      </c>
      <c r="G15" s="16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MAX(1,MIN(10,'Китай 2040'!L15+'Китай 2040'!N15+('Китай 2040'!M15+'Китай 2040'!P15+'Китай 2040'!Q15)))</f>
        <v>10</v>
      </c>
      <c r="M15" s="5">
        <f>MIN(1,'Китай 2040'!M15+'Китай 2040'!P15+(0.1*LN(1+0.5*'Ход 2040'!H17)*POWER(MAX(0,1-'Китай 2040'!S15/10),0.8)))</f>
        <v>0.25</v>
      </c>
      <c r="N15" s="16">
        <v>0.0</v>
      </c>
      <c r="O15" s="16">
        <v>0.0</v>
      </c>
      <c r="P15" s="16">
        <v>0.0</v>
      </c>
      <c r="Q15" s="16">
        <v>0.0</v>
      </c>
      <c r="R15" s="5">
        <v>0.0</v>
      </c>
      <c r="S15" s="5">
        <f t="shared" si="2"/>
        <v>10</v>
      </c>
      <c r="T15" s="5"/>
      <c r="U15" s="5" t="s">
        <v>123</v>
      </c>
      <c r="V15" s="16">
        <f>'Китай 2040'!V15</f>
        <v>1.8</v>
      </c>
      <c r="W15" s="5" t="str">
        <f t="shared" si="3"/>
        <v>Партнёрство</v>
      </c>
      <c r="X15" s="5" t="s">
        <v>182</v>
      </c>
    </row>
    <row r="16">
      <c r="A16" s="5" t="s">
        <v>135</v>
      </c>
      <c r="B16" s="5">
        <f>MAX(1,MIN(10,'Китай 2040'!B16+'Китай 2040'!D16+('Китай 2040'!C16+'Китай 2040'!F16+'Китай 2040'!G16)+(0.35*LN(1+0.6*'Ход 2040'!B22)*POWER(MAX(0,1-'Китай 2040'!I16/10),0.7))))</f>
        <v>10</v>
      </c>
      <c r="C16" s="5">
        <f>MIN(1,'Китай 2040'!C16+'Китай 2040'!F16+(0.08*LN(1+0.5*'Ход 2040'!C22)*MAX(0,1-('Китай 2040'!C16+'Китай 2040'!F16))))</f>
        <v>0.15</v>
      </c>
      <c r="D16" s="16">
        <v>0.0</v>
      </c>
      <c r="E16" s="16">
        <v>0.0</v>
      </c>
      <c r="F16" s="16">
        <v>0.0</v>
      </c>
      <c r="G16" s="16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MAX(1,MIN(10,'Китай 2040'!L16+'Китай 2040'!N16+('Китай 2040'!M16+'Китай 2040'!P16+'Китай 2040'!Q16)))</f>
        <v>10</v>
      </c>
      <c r="M16" s="5">
        <f>MIN(1,'Китай 2040'!M16+'Китай 2040'!P16+(0.1*LN(1+0.5*'Ход 2040'!H18)*POWER(MAX(0,1-'Китай 2040'!S16/10),0.8)))</f>
        <v>0.35</v>
      </c>
      <c r="N16" s="16">
        <v>0.0</v>
      </c>
      <c r="O16" s="16">
        <v>0.0</v>
      </c>
      <c r="P16" s="16">
        <v>0.0</v>
      </c>
      <c r="Q16" s="16">
        <v>0.0</v>
      </c>
      <c r="R16" s="5">
        <v>0.0</v>
      </c>
      <c r="S16" s="5">
        <f t="shared" si="2"/>
        <v>10</v>
      </c>
      <c r="T16" s="5"/>
      <c r="U16" s="5" t="s">
        <v>126</v>
      </c>
      <c r="V16" s="16">
        <f>'Китай 2040'!V16</f>
        <v>1.4</v>
      </c>
      <c r="W16" s="5" t="str">
        <f t="shared" si="3"/>
        <v>Партнёрство</v>
      </c>
      <c r="X16" s="5" t="s">
        <v>183</v>
      </c>
    </row>
    <row r="17">
      <c r="A17" s="5" t="s">
        <v>138</v>
      </c>
      <c r="B17" s="5">
        <f>MAX(1,MIN(10,'Китай 2040'!B17+'Китай 2040'!D17+('Китай 2040'!C17+'Китай 2040'!F17+'Китай 2040'!G17)+(0.35*LN(1+0.6*'Ход 2040'!B23)*POWER(MAX(0,1-'Китай 2040'!I17/10),0.7))))</f>
        <v>10</v>
      </c>
      <c r="C17" s="5">
        <f>MIN(1,'Китай 2040'!C17+'Китай 2040'!F17+(0.08*LN(1+0.5*'Ход 2040'!C23)*MAX(0,1-('Китай 2040'!C17+'Китай 2040'!F17))))</f>
        <v>0.2322400407</v>
      </c>
      <c r="D17" s="16">
        <v>0.0</v>
      </c>
      <c r="E17" s="16">
        <v>0.0</v>
      </c>
      <c r="F17" s="16">
        <v>0.0</v>
      </c>
      <c r="G17" s="16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MAX(1,MIN(10,'Китай 2040'!L17+'Китай 2040'!N17+('Китай 2040'!M17+'Китай 2040'!P17+'Китай 2040'!Q17)))</f>
        <v>10</v>
      </c>
      <c r="M17" s="5">
        <f>MIN(1,'Китай 2040'!M17+'Китай 2040'!P17+(0.1*LN(1+0.5*'Ход 2040'!H19)*POWER(MAX(0,1-'Китай 2040'!S17/10),0.8)))</f>
        <v>0.3612183967</v>
      </c>
      <c r="N17" s="16">
        <v>0.0</v>
      </c>
      <c r="O17" s="16">
        <v>0.0</v>
      </c>
      <c r="P17" s="16">
        <v>0.0</v>
      </c>
      <c r="Q17" s="16">
        <v>0.0</v>
      </c>
      <c r="R17" s="5">
        <v>0.0</v>
      </c>
      <c r="S17" s="5">
        <f t="shared" si="2"/>
        <v>10</v>
      </c>
      <c r="T17" s="5"/>
      <c r="U17" s="5" t="s">
        <v>129</v>
      </c>
      <c r="V17" s="16">
        <f>'Китай 2040'!V17</f>
        <v>-0.8</v>
      </c>
      <c r="W17" s="5" t="str">
        <f t="shared" si="3"/>
        <v>Напряжённые отношения</v>
      </c>
      <c r="X17" s="5" t="s">
        <v>184</v>
      </c>
    </row>
    <row r="18">
      <c r="A18" s="22" t="s">
        <v>144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MAX(1,MIN(10,'Китай 2040'!L18+'Китай 2040'!N18+('Китай 2040'!M18+'Китай 2040'!P18+'Китай 2040'!Q18)))</f>
        <v>10</v>
      </c>
      <c r="M18" s="5">
        <f>MIN(1,'Китай 2040'!M18+'Китай 2040'!P18+(0.1*LN(1+0.5*'Ход 2040'!H20)*POWER(MAX(0,1-'Китай 2040'!S18/10),0.8)))</f>
        <v>0.307297591</v>
      </c>
      <c r="N18" s="16">
        <v>0.0</v>
      </c>
      <c r="O18" s="16">
        <v>0.0</v>
      </c>
      <c r="P18" s="16">
        <v>0.0</v>
      </c>
      <c r="Q18" s="16">
        <v>0.0</v>
      </c>
      <c r="R18" s="5">
        <v>0.0</v>
      </c>
      <c r="S18" s="5">
        <f t="shared" si="2"/>
        <v>10</v>
      </c>
      <c r="T18" s="5"/>
      <c r="U18" s="5" t="s">
        <v>132</v>
      </c>
      <c r="V18" s="16">
        <f>'Китай 2040'!V18</f>
        <v>0.8</v>
      </c>
      <c r="W18" s="5" t="str">
        <f t="shared" si="3"/>
        <v>Сотрудничество</v>
      </c>
      <c r="X18" s="5" t="s">
        <v>186</v>
      </c>
    </row>
    <row r="19">
      <c r="A19" s="5" t="s">
        <v>146</v>
      </c>
      <c r="B19" s="5">
        <f>MAX(1,MIN(10,'Китай 2040'!B19+'Китай 2040'!D19+('Китай 2040'!C19+'Китай 2040'!F19+'Китай 2040'!G19)+(0.35*LN(1+0.6*'Ход 2040'!B25)*POWER(MAX(0,1-'Китай 2040'!I19/10),0.7))))</f>
        <v>10</v>
      </c>
      <c r="C19" s="5">
        <f>MIN(1,'Китай 2040'!C19+'Китай 2040'!F19+(0.08*LN(1+0.5*'Ход 2040'!C25)*MAX(0,1-('Китай 2040'!C19+'Китай 2040'!F19))))</f>
        <v>0.25</v>
      </c>
      <c r="D19" s="16">
        <v>0.0</v>
      </c>
      <c r="E19" s="16">
        <v>0.0</v>
      </c>
      <c r="F19" s="16">
        <v>0.0</v>
      </c>
      <c r="G19" s="16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6">
        <f>'Китай 2040'!V19</f>
        <v>2.1</v>
      </c>
      <c r="W19" s="5" t="str">
        <f t="shared" si="3"/>
        <v>Стратегическое партнёрство</v>
      </c>
      <c r="X19" s="5" t="s">
        <v>187</v>
      </c>
    </row>
    <row r="20">
      <c r="A20" s="5" t="s">
        <v>148</v>
      </c>
      <c r="B20" s="5">
        <f>MAX(1,MIN(10,'Китай 2040'!B20+'Китай 2040'!D20+('Китай 2040'!C20+'Китай 2040'!F20+'Китай 2040'!G20)+(0.35*LN(1+0.6*'Ход 2040'!B26)*POWER(MAX(0,1-'Китай 2040'!I20/10),0.7))))</f>
        <v>10</v>
      </c>
      <c r="C20" s="5">
        <f>MIN(1,'Китай 2040'!C20+'Китай 2040'!F20+(0.08*LN(1+0.5*'Ход 2040'!C26)*MAX(0,1-('Китай 2040'!C20+'Китай 2040'!F20))))</f>
        <v>0.25</v>
      </c>
      <c r="D20" s="16">
        <v>0.0</v>
      </c>
      <c r="E20" s="16">
        <v>0.0</v>
      </c>
      <c r="F20" s="16">
        <v>0.0</v>
      </c>
      <c r="G20" s="16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6">
        <f>'Китай 2040'!V20</f>
        <v>2.8</v>
      </c>
      <c r="W20" s="5" t="str">
        <f t="shared" si="3"/>
        <v>Стратегическое партнёрство</v>
      </c>
      <c r="X20" s="5" t="s">
        <v>189</v>
      </c>
    </row>
    <row r="21" ht="15.75" customHeight="1">
      <c r="A21" s="5" t="s">
        <v>150</v>
      </c>
      <c r="B21" s="5">
        <f>MAX(1,MIN(10,'Китай 2040'!B21+'Китай 2040'!D21+('Китай 2040'!C21+'Китай 2040'!F21+'Китай 2040'!G21)+(0.35*LN(1+0.6*'Ход 2040'!B27)*POWER(MAX(0,1-'Китай 2040'!I21/10),0.7))))</f>
        <v>10</v>
      </c>
      <c r="C21" s="5">
        <f>MIN(1,'Китай 2040'!C21+'Китай 2040'!F21+(0.08*LN(1+0.5*'Ход 2040'!C27)*MAX(0,1-('Китай 2040'!C21+'Китай 2040'!F21))))</f>
        <v>0.2</v>
      </c>
      <c r="D21" s="16">
        <v>0.0</v>
      </c>
      <c r="E21" s="16">
        <v>0.0</v>
      </c>
      <c r="F21" s="16">
        <v>0.0</v>
      </c>
      <c r="G21" s="16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6">
        <f>'Китай 2040'!V21</f>
        <v>3</v>
      </c>
      <c r="W21" s="5" t="str">
        <f t="shared" si="3"/>
        <v>Стратегическое партнёрство</v>
      </c>
      <c r="X21" s="5" t="s">
        <v>190</v>
      </c>
    </row>
    <row r="22" ht="15.75" customHeight="1">
      <c r="A22" s="5" t="s">
        <v>153</v>
      </c>
      <c r="B22" s="5">
        <f>MAX(1,MIN(10,'Китай 2040'!B22+'Китай 2040'!D22+('Китай 2040'!C22+'Китай 2040'!F22+'Китай 2040'!G22)+(0.35*LN(1+0.6*'Ход 2040'!B28)*POWER(MAX(0,1-'Китай 2040'!I22/10),0.7))))</f>
        <v>10</v>
      </c>
      <c r="C22" s="5">
        <f>MIN(1,'Китай 2040'!C22+'Китай 2040'!F22+(0.08*LN(1+0.5*'Ход 2040'!C28)*MAX(0,1-('Китай 2040'!C22+'Китай 2040'!F22))))</f>
        <v>0.1</v>
      </c>
      <c r="D22" s="16">
        <v>0.0</v>
      </c>
      <c r="E22" s="16">
        <v>0.0</v>
      </c>
      <c r="F22" s="16">
        <v>0.0</v>
      </c>
      <c r="G22" s="16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6">
        <f>'Китай 2040'!V22</f>
        <v>0.3</v>
      </c>
      <c r="W22" s="5" t="str">
        <f t="shared" si="3"/>
        <v>Сотрудничество</v>
      </c>
      <c r="X22" s="5" t="s">
        <v>191</v>
      </c>
    </row>
    <row r="23" ht="15.75" customHeight="1">
      <c r="A23" s="5" t="s">
        <v>159</v>
      </c>
      <c r="B23" s="5">
        <f>MAX(1,MIN(10,'Китай 2040'!B23+'Китай 2040'!D23+('Китай 2040'!C23+'Китай 2040'!F23+'Китай 2040'!G23)+(0.35*LN(1+0.6*'Ход 2040'!B29)*POWER(MAX(0,1-'Китай 2040'!I23/10),0.7))))</f>
        <v>10</v>
      </c>
      <c r="C23" s="5">
        <f>MIN(1,'Китай 2040'!C23+'Китай 2040'!F23+(0.08*LN(1+0.5*'Ход 2040'!C29)*MAX(0,1-('Китай 2040'!C23+'Китай 2040'!F23))))</f>
        <v>0.15</v>
      </c>
      <c r="D23" s="16">
        <v>0.0</v>
      </c>
      <c r="E23" s="16">
        <v>0.0</v>
      </c>
      <c r="F23" s="16">
        <v>0.0</v>
      </c>
      <c r="G23" s="16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6">
        <f>'Китай 2040'!V23</f>
        <v>3</v>
      </c>
      <c r="W23" s="5" t="str">
        <f t="shared" si="3"/>
        <v>Стратегическое партнёрство</v>
      </c>
      <c r="X23" s="5" t="s">
        <v>192</v>
      </c>
    </row>
    <row r="24" ht="15.75" customHeight="1">
      <c r="A24" s="22" t="s">
        <v>161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6">
        <f>'Китай 2040'!V24</f>
        <v>3</v>
      </c>
      <c r="W24" s="5" t="str">
        <f t="shared" si="3"/>
        <v>Стратегическое партнёрство</v>
      </c>
      <c r="X24" s="5" t="s">
        <v>194</v>
      </c>
    </row>
    <row r="25" ht="15.75" customHeight="1">
      <c r="A25" s="5" t="s">
        <v>163</v>
      </c>
      <c r="B25" s="5">
        <f>MAX(1,MIN(10,'Китай 2040'!B25+'Китай 2040'!D25+('Китай 2040'!C25+'Китай 2040'!F25+'Китай 2040'!G25)+(0.35*LN(1+0.6*'Ход 2040'!B31)*POWER(MAX(0,1-'Китай 2040'!I25/10),0.7))))</f>
        <v>10</v>
      </c>
      <c r="C25" s="5">
        <f>MIN(1,'Китай 2040'!C25+'Китай 2040'!F25+(0.08*LN(1+0.5*'Ход 2040'!C31)*MAX(0,1-('Китай 2040'!C25+'Китай 2040'!F25))))</f>
        <v>0.2822400407</v>
      </c>
      <c r="D25" s="16">
        <v>0.0</v>
      </c>
      <c r="E25" s="16">
        <v>0.0</v>
      </c>
      <c r="F25" s="16">
        <v>0.0</v>
      </c>
      <c r="G25" s="16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6">
        <f>'Китай 2040'!V25</f>
        <v>2.8</v>
      </c>
      <c r="W25" s="5" t="str">
        <f t="shared" si="3"/>
        <v>Стратегическое партнёрство</v>
      </c>
      <c r="X25" s="5" t="s">
        <v>195</v>
      </c>
    </row>
    <row r="26" ht="15.75" customHeight="1">
      <c r="A26" s="5" t="s">
        <v>166</v>
      </c>
      <c r="B26" s="5">
        <f>MAX(1,MIN(10,'Китай 2040'!B26+'Китай 2040'!D26+('Китай 2040'!C26+'Китай 2040'!F26+'Китай 2040'!G26)+(0.35*LN(1+0.6*'Ход 2040'!B32)*POWER(MAX(0,1-'Китай 2040'!I26/10),0.7))))</f>
        <v>10</v>
      </c>
      <c r="C26" s="5">
        <f>MIN(1,'Китай 2040'!C26+'Китай 2040'!F26+(0.08*LN(1+0.5*'Ход 2040'!C32)*MAX(0,1-('Китай 2040'!C26+'Китай 2040'!F26))))</f>
        <v>0.15</v>
      </c>
      <c r="D26" s="16">
        <v>0.0</v>
      </c>
      <c r="E26" s="16">
        <v>0.0</v>
      </c>
      <c r="F26" s="16">
        <v>0.0</v>
      </c>
      <c r="G26" s="16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6">
        <f>'Китай 2040'!V26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173</v>
      </c>
      <c r="B27" s="5">
        <f>MAX(1,MIN(10,'Китай 2040'!B27+'Китай 2040'!D27+('Китай 2040'!C27+'Китай 2040'!F27+'Китай 2040'!G27)+(0.35*LN(1+0.6*'Ход 2040'!B33)*POWER(MAX(0,1-'Китай 2040'!I27/10),0.7))))</f>
        <v>10</v>
      </c>
      <c r="C27" s="5">
        <f>MIN(1,'Китай 2040'!C27+'Китай 2040'!F27+(0.08*LN(1+0.5*'Ход 2040'!C33)*MAX(0,1-('Китай 2040'!C27+'Китай 2040'!F27))))</f>
        <v>0.1</v>
      </c>
      <c r="D27" s="16">
        <v>0.0</v>
      </c>
      <c r="E27" s="16">
        <v>0.0</v>
      </c>
      <c r="F27" s="16">
        <v>0.0</v>
      </c>
      <c r="G27" s="16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178</v>
      </c>
      <c r="B28" s="5">
        <f>MAX(1,MIN(10,'Китай 2040'!B28+'Китай 2040'!D28+('Китай 2040'!C28+'Китай 2040'!F28+'Китай 2040'!G28)+(0.35*LN(1+0.6*'Ход 2040'!B34)*POWER(MAX(0,1-'Китай 2040'!I28/10),0.7))))</f>
        <v>10</v>
      </c>
      <c r="C28" s="5">
        <f>MIN(1,'Китай 2040'!C28+'Китай 2040'!F28+(0.08*LN(1+0.5*'Ход 2040'!C34)*MAX(0,1-('Китай 2040'!C28+'Китай 2040'!F28))))</f>
        <v>0.2994112713</v>
      </c>
      <c r="D28" s="16">
        <v>0.0</v>
      </c>
      <c r="E28" s="16">
        <v>0.0</v>
      </c>
      <c r="F28" s="16">
        <v>0.0</v>
      </c>
      <c r="G28" s="16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185</v>
      </c>
      <c r="B29" s="5">
        <f>MAX(1,MIN(10,'Китай 2040'!B29+'Китай 2040'!D29+('Китай 2040'!C29+'Китай 2040'!F29+'Китай 2040'!G29)+(0.35*LN(1+0.6*'Ход 2040'!B35)*POWER(MAX(0,1-'Китай 2040'!I29/10),0.7))))</f>
        <v>10</v>
      </c>
      <c r="C29" s="5">
        <f>MIN(1,'Китай 2040'!C29+'Китай 2040'!F29+(0.08*LN(1+0.5*'Ход 2040'!C35)*MAX(0,1-('Китай 2040'!C29+'Китай 2040'!F29))))</f>
        <v>0.25</v>
      </c>
      <c r="D29" s="16">
        <v>0.0</v>
      </c>
      <c r="E29" s="16">
        <v>0.0</v>
      </c>
      <c r="F29" s="16">
        <v>0.0</v>
      </c>
      <c r="G29" s="16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188</v>
      </c>
      <c r="B30" s="5">
        <f>MAX(1,MIN(10,'Китай 2040'!B30+'Китай 2040'!D30+('Китай 2040'!C30+'Китай 2040'!F30+'Китай 2040'!G30)+(0.35*LN(1+0.6*'Ход 2040'!B36)*POWER(MAX(0,1-'Китай 2040'!I30/10),0.7))))</f>
        <v>10</v>
      </c>
      <c r="C30" s="5">
        <f>MIN(1,'Китай 2040'!C30+'Китай 2040'!F30+(0.08*LN(1+0.5*'Ход 2040'!C36)*MAX(0,1-('Китай 2040'!C30+'Китай 2040'!F30))))</f>
        <v>0.2</v>
      </c>
      <c r="D30" s="16">
        <v>0.0</v>
      </c>
      <c r="E30" s="16">
        <v>0.0</v>
      </c>
      <c r="F30" s="16">
        <v>0.0</v>
      </c>
      <c r="G30" s="16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193</v>
      </c>
      <c r="B31" s="5">
        <f>MAX(1,MIN(10,'Китай 2040'!B31+'Китай 2040'!D31+('Китай 2040'!C31+'Китай 2040'!F31+'Китай 2040'!G31)+(0.35*LN(1+0.6*'Ход 2040'!B37)*POWER(MAX(0,1-'Китай 2040'!I31/10),0.7))))</f>
        <v>8.648316355</v>
      </c>
      <c r="C31" s="5">
        <f>MIN(1,'Китай 2040'!C31+'Китай 2040'!F31+(0.08*LN(1+0.5*'Ход 2040'!C37)*MAX(0,1-('Китай 2040'!C31+'Китай 2040'!F31))))</f>
        <v>0.1</v>
      </c>
      <c r="D31" s="16">
        <v>0.0</v>
      </c>
      <c r="E31" s="16">
        <v>0.0</v>
      </c>
      <c r="F31" s="16">
        <v>0.0</v>
      </c>
      <c r="G31" s="16">
        <v>0.0</v>
      </c>
      <c r="H31" s="5">
        <v>0.0</v>
      </c>
      <c r="I31" s="5">
        <f t="shared" si="5"/>
        <v>8.648316355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198</v>
      </c>
      <c r="B32" s="5">
        <f>MAX(1,MIN(10,'Китай 2040'!B32+'Китай 2040'!D32+('Китай 2040'!C32+'Китай 2040'!F32+'Китай 2040'!G32)+(0.35*LN(1+0.6*'Ход 2040'!B38)*POWER(MAX(0,1-'Китай 2040'!I32/10),0.7))))</f>
        <v>10</v>
      </c>
      <c r="C32" s="5">
        <f>MIN(1,'Китай 2040'!C32+'Китай 2040'!F32+(0.08*LN(1+0.5*'Ход 2040'!C38)*MAX(0,1-('Китай 2040'!C32+'Китай 2040'!F32))))</f>
        <v>0.15</v>
      </c>
      <c r="D32" s="16">
        <v>0.0</v>
      </c>
      <c r="E32" s="16">
        <v>0.0</v>
      </c>
      <c r="F32" s="16">
        <v>0.0</v>
      </c>
      <c r="G32" s="16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199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200</v>
      </c>
      <c r="B34" s="5">
        <f>MAX(1,MIN(10,'Китай 2040'!B34+'Китай 2040'!D34+('Китай 2040'!C34+'Китай 2040'!F34+'Китай 2040'!G34)+(0.35*LN(1+0.6*'Ход 2040'!B40)*POWER(MAX(0,1-'Китай 2040'!I34/10),0.7))))</f>
        <v>10</v>
      </c>
      <c r="C34" s="5">
        <f>MIN(1,'Китай 2040'!C34+'Китай 2040'!F34+(0.08*LN(1+0.5*'Ход 2040'!C40)*MAX(0,1-('Китай 2040'!C34+'Китай 2040'!F34))))</f>
        <v>0.15</v>
      </c>
      <c r="D34" s="16">
        <v>0.0</v>
      </c>
      <c r="E34" s="16">
        <v>0.0</v>
      </c>
      <c r="F34" s="16">
        <v>0.0</v>
      </c>
      <c r="G34" s="16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201</v>
      </c>
      <c r="B35" s="5">
        <f>MAX(1,MIN(10,'Китай 2040'!B35+'Китай 2040'!D35+('Китай 2040'!C35+'Китай 2040'!F35+'Китай 2040'!G35)+(0.35*LN(1+0.6*'Ход 2040'!B41)*POWER(MAX(0,1-'Китай 2040'!I35/10),0.7))))</f>
        <v>10</v>
      </c>
      <c r="C35" s="5">
        <f>MIN(1,'Китай 2040'!C35+'Китай 2040'!F35+(0.08*LN(1+0.5*'Ход 2040'!C41)*MAX(0,1-('Китай 2040'!C35+'Китай 2040'!F35))))</f>
        <v>0.05</v>
      </c>
      <c r="D35" s="16">
        <v>0.0</v>
      </c>
      <c r="E35" s="16">
        <v>0.0</v>
      </c>
      <c r="F35" s="16">
        <v>0.0</v>
      </c>
      <c r="G35" s="16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202</v>
      </c>
      <c r="B36" s="5">
        <f>MAX(1,MIN(10,'Китай 2040'!B36+'Китай 2040'!D36+('Китай 2040'!C36+'Китай 2040'!F36+'Китай 2040'!G36)+(0.35*LN(1+0.6*'Ход 2040'!B42)*POWER(MAX(0,1-'Китай 2040'!I36/10),0.7))))</f>
        <v>10</v>
      </c>
      <c r="C36" s="5">
        <f>MIN(1,'Китай 2040'!C36+'Китай 2040'!F36+(0.08*LN(1+0.5*'Ход 2040'!C42)*MAX(0,1-('Китай 2040'!C36+'Китай 2040'!F36))))</f>
        <v>0.15</v>
      </c>
      <c r="D36" s="16">
        <v>0.0</v>
      </c>
      <c r="E36" s="16">
        <v>0.0</v>
      </c>
      <c r="F36" s="16">
        <v>0.0</v>
      </c>
      <c r="G36" s="16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203</v>
      </c>
      <c r="B37" s="5">
        <f>MAX(1,MIN(10,'Китай 2040'!B37+'Китай 2040'!D37+('Китай 2040'!C37+'Китай 2040'!F37+'Китай 2040'!G37)+(0.35*LN(1+0.6*'Ход 2040'!B43)*POWER(MAX(0,1-'Китай 2040'!I37/10),0.7))))</f>
        <v>10</v>
      </c>
      <c r="C37" s="5">
        <f>MIN(1,'Китай 2040'!C37+'Китай 2040'!F37+(0.08*LN(1+0.5*'Ход 2040'!C43)*MAX(0,1-('Китай 2040'!C37+'Китай 2040'!F37))))</f>
        <v>0.2</v>
      </c>
      <c r="D37" s="16">
        <v>0.0</v>
      </c>
      <c r="E37" s="16">
        <v>0.0</v>
      </c>
      <c r="F37" s="16">
        <v>0.0</v>
      </c>
      <c r="G37" s="16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204</v>
      </c>
      <c r="B38" s="5">
        <f>MAX(1,MIN(10,'Китай 2040'!B38+'Китай 2040'!D38+('Китай 2040'!C38+'Китай 2040'!F38+'Китай 2040'!G38)+(0.35*LN(1+0.6*'Ход 2040'!B44)*POWER(MAX(0,1-'Китай 2040'!I38/10),0.7))))</f>
        <v>10</v>
      </c>
      <c r="C38" s="5">
        <f>MIN(1,'Китай 2040'!C38+'Китай 2040'!F38+(0.08*LN(1+0.5*'Ход 2040'!C44)*MAX(0,1-('Китай 2040'!C38+'Китай 2040'!F38))))</f>
        <v>0.1</v>
      </c>
      <c r="D38" s="16">
        <v>0.0</v>
      </c>
      <c r="E38" s="16">
        <v>0.0</v>
      </c>
      <c r="F38" s="16">
        <v>0.0</v>
      </c>
      <c r="G38" s="16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205</v>
      </c>
      <c r="B39" s="5">
        <f>MAX(1,MIN(10,'Китай 2040'!B39+'Китай 2040'!D39+('Китай 2040'!C39+'Китай 2040'!F39+'Китай 2040'!G39)+(0.35*LN(1+0.6*'Ход 2040'!B45)*POWER(MAX(0,1-'Китай 2040'!I39/10),0.7))))</f>
        <v>10</v>
      </c>
      <c r="C39" s="5">
        <f>MIN(1,'Китай 2040'!C39+'Китай 2040'!F39+(0.08*LN(1+0.5*'Ход 2040'!C45)*MAX(0,1-('Китай 2040'!C39+'Китай 2040'!F39))))</f>
        <v>0.15</v>
      </c>
      <c r="D39" s="16">
        <v>0.0</v>
      </c>
      <c r="E39" s="16">
        <v>0.0</v>
      </c>
      <c r="F39" s="16">
        <v>0.0</v>
      </c>
      <c r="G39" s="16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206</v>
      </c>
      <c r="B40" s="5">
        <f>MAX(1,MIN(10,'Китай 2040'!B40+'Китай 2040'!D40+('Китай 2040'!C40+'Китай 2040'!F40+'Китай 2040'!G40)+(0.35*LN(1+0.6*'Ход 2040'!B46)*POWER(MAX(0,1-'Китай 2040'!I40/10),0.7))))</f>
        <v>10</v>
      </c>
      <c r="C40" s="5">
        <f>MIN(1,'Китай 2040'!C40+'Китай 2040'!F40+(0.08*LN(1+0.5*'Ход 2040'!C46)*MAX(0,1-('Китай 2040'!C40+'Китай 2040'!F40))))</f>
        <v>0.1</v>
      </c>
      <c r="D40" s="16">
        <v>0.0</v>
      </c>
      <c r="E40" s="16">
        <v>0.0</v>
      </c>
      <c r="F40" s="16">
        <v>0.0</v>
      </c>
      <c r="G40" s="16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208</v>
      </c>
      <c r="B41" s="5">
        <f>MAX(1,MIN(10,'Китай 2040'!B41+'Китай 2040'!D41+('Китай 2040'!C41+'Китай 2040'!F41+'Китай 2040'!G41)+(0.35*LN(1+0.6*'Ход 2040'!B47)*POWER(MAX(0,1-'Китай 2040'!I41/10),0.7))))</f>
        <v>10</v>
      </c>
      <c r="C41" s="5">
        <f>MIN(1,'Китай 2040'!C41+'Китай 2040'!F41+(0.08*LN(1+0.5*'Ход 2040'!C47)*MAX(0,1-('Китай 2040'!C41+'Китай 2040'!F41))))</f>
        <v>0.1</v>
      </c>
      <c r="D41" s="16">
        <v>0.0</v>
      </c>
      <c r="E41" s="16">
        <v>0.0</v>
      </c>
      <c r="F41" s="16">
        <v>0.0</v>
      </c>
      <c r="G41" s="16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213</v>
      </c>
      <c r="B42" s="5">
        <f>MAX(1,MIN(10,'Китай 2040'!B42+'Китай 2040'!D42+('Китай 2040'!C42+'Китай 2040'!F42+'Китай 2040'!G42)+(0.35*LN(1+0.6*'Ход 2040'!B48)*POWER(MAX(0,1-'Китай 2040'!I42/10),0.7))))</f>
        <v>10</v>
      </c>
      <c r="C42" s="5">
        <f>MIN(1,'Китай 2040'!C42+'Китай 2040'!F42+(0.08*LN(1+0.5*'Ход 2040'!C48)*MAX(0,1-('Китай 2040'!C42+'Китай 2040'!F42))))</f>
        <v>0.05</v>
      </c>
      <c r="D42" s="16">
        <v>0.0</v>
      </c>
      <c r="E42" s="16">
        <v>0.0</v>
      </c>
      <c r="F42" s="16">
        <v>0.0</v>
      </c>
      <c r="G42" s="16">
        <v>0.0</v>
      </c>
      <c r="H42" s="5">
        <v>0.0</v>
      </c>
      <c r="I42" s="5">
        <f t="shared" si="6"/>
        <v>10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214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215</v>
      </c>
      <c r="B44" s="5">
        <f>MAX(1,MIN(10,'Китай 2040'!B44+'Китай 2040'!D44+('Китай 2040'!C44+'Китай 2040'!F44+'Китай 2040'!G44)+(0.35*LN(1+0.6*'Ход 2040'!B50)*POWER(MAX(0,1-'Китай 2040'!I44/10),0.7))))</f>
        <v>10</v>
      </c>
      <c r="C44" s="5">
        <f>MIN(1,'Китай 2040'!C44+'Китай 2040'!F44+(0.08*LN(1+0.5*'Ход 2040'!C50)*MAX(0,1-('Китай 2040'!C44+'Китай 2040'!F44))))</f>
        <v>0.2</v>
      </c>
      <c r="D44" s="16">
        <v>0.0</v>
      </c>
      <c r="E44" s="16">
        <v>0.0</v>
      </c>
      <c r="F44" s="16">
        <v>0.0</v>
      </c>
      <c r="G44" s="16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216</v>
      </c>
      <c r="B45" s="5">
        <f>MAX(1,MIN(10,'Китай 2040'!B45+'Китай 2040'!D45+('Китай 2040'!C45+'Китай 2040'!F45+'Китай 2040'!G45)+(0.35*LN(1+0.6*'Ход 2040'!B51)*POWER(MAX(0,1-'Китай 2040'!I45/10),0.7))))</f>
        <v>10</v>
      </c>
      <c r="C45" s="5">
        <f>MIN(1,'Китай 2040'!C45+'Китай 2040'!F45+(0.08*LN(1+0.5*'Ход 2040'!C51)*MAX(0,1-('Китай 2040'!C45+'Китай 2040'!F45))))</f>
        <v>0.1</v>
      </c>
      <c r="D45" s="16">
        <v>0.0</v>
      </c>
      <c r="E45" s="16">
        <v>0.0</v>
      </c>
      <c r="F45" s="16">
        <v>0.0</v>
      </c>
      <c r="G45" s="16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217</v>
      </c>
      <c r="B46" s="5">
        <f>MAX(1,MIN(10,'Китай 2040'!B46+'Китай 2040'!D46+('Китай 2040'!C46+'Китай 2040'!F46+'Китай 2040'!G46)+(0.35*LN(1+0.6*'Ход 2040'!B52)*POWER(MAX(0,1-'Китай 2040'!I46/10),0.7))))</f>
        <v>10</v>
      </c>
      <c r="C46" s="5">
        <f>MIN(1,'Китай 2040'!C46+'Китай 2040'!F46+(0.08*LN(1+0.5*'Ход 2040'!C52)*MAX(0,1-('Китай 2040'!C46+'Китай 2040'!F46))))</f>
        <v>0.1</v>
      </c>
      <c r="D46" s="16">
        <v>0.0</v>
      </c>
      <c r="E46" s="16">
        <v>0.0</v>
      </c>
      <c r="F46" s="16">
        <v>0.0</v>
      </c>
      <c r="G46" s="16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218</v>
      </c>
      <c r="B47" s="5">
        <f>MAX(1,MIN(10,'Китай 2040'!B47+'Китай 2040'!D47+('Китай 2040'!C47+'Китай 2040'!F47+'Китай 2040'!G47)+(0.35*LN(1+0.6*'Ход 2040'!B53)*POWER(MAX(0,1-'Китай 2040'!I47/10),0.7))))</f>
        <v>7.686953128</v>
      </c>
      <c r="C47" s="5">
        <f>MIN(1,'Китай 2040'!C47+'Китай 2040'!F47+(0.08*LN(1+0.5*'Ход 2040'!C53)*MAX(0,1-('Китай 2040'!C47+'Китай 2040'!F47))))</f>
        <v>0.111014784</v>
      </c>
      <c r="D47" s="16">
        <v>0.0</v>
      </c>
      <c r="E47" s="16">
        <v>0.0</v>
      </c>
      <c r="F47" s="16">
        <v>0.0</v>
      </c>
      <c r="G47" s="16">
        <v>0.0</v>
      </c>
      <c r="H47" s="5">
        <v>0.0</v>
      </c>
      <c r="I47" s="5">
        <f t="shared" si="7"/>
        <v>7.686953128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219</v>
      </c>
      <c r="B48" s="5">
        <f>MAX(1,MIN(10,'Китай 2040'!B48+'Китай 2040'!D48+('Китай 2040'!C48+'Китай 2040'!F48+'Китай 2040'!G48)+(0.35*LN(1+0.6*'Ход 2040'!B54)*POWER(MAX(0,1-'Китай 2040'!I48/10),0.7))))</f>
        <v>9.306696632</v>
      </c>
      <c r="C48" s="5">
        <f>MIN(1,'Китай 2040'!C48+'Китай 2040'!F48+(0.08*LN(1+0.5*'Ход 2040'!C54)*MAX(0,1-('Китай 2040'!C48+'Китай 2040'!F48))))</f>
        <v>0.05</v>
      </c>
      <c r="D48" s="16">
        <v>0.0</v>
      </c>
      <c r="E48" s="16">
        <v>0.0</v>
      </c>
      <c r="F48" s="16">
        <v>0.0</v>
      </c>
      <c r="G48" s="16">
        <v>0.0</v>
      </c>
      <c r="H48" s="5">
        <v>0.0</v>
      </c>
      <c r="I48" s="5">
        <f t="shared" si="7"/>
        <v>9.306696632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220</v>
      </c>
      <c r="B49" s="5">
        <f>MAX(1,MIN(10,'Китай 2040'!B49+'Китай 2040'!D49+('Китай 2040'!C49+'Китай 2040'!F49+'Китай 2040'!G49)+(0.35*LN(1+0.6*'Ход 2040'!B55)*POWER(MAX(0,1-'Китай 2040'!I49/10),0.7))))</f>
        <v>10</v>
      </c>
      <c r="C49" s="5">
        <f>MIN(1,'Китай 2040'!C49+'Китай 2040'!F49+(0.08*LN(1+0.5*'Ход 2040'!C55)*MAX(0,1-('Китай 2040'!C49+'Китай 2040'!F49))))</f>
        <v>0.25</v>
      </c>
      <c r="D49" s="16">
        <v>0.0</v>
      </c>
      <c r="E49" s="16">
        <v>0.0</v>
      </c>
      <c r="F49" s="16">
        <v>0.0</v>
      </c>
      <c r="G49" s="16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221</v>
      </c>
      <c r="B50" s="5">
        <f>MAX(1,MIN(10,'Китай 2040'!B50+'Китай 2040'!D50+('Китай 2040'!C50+'Китай 2040'!F50+'Китай 2040'!G50)+(0.35*LN(1+0.6*'Ход 2040'!B56)*POWER(MAX(0,1-'Китай 2040'!I50/10),0.7))))</f>
        <v>10</v>
      </c>
      <c r="C50" s="5">
        <f>MIN(1,'Китай 2040'!C50+'Китай 2040'!F50+(0.08*LN(1+0.5*'Ход 2040'!C56)*MAX(0,1-('Китай 2040'!C50+'Китай 2040'!F50))))</f>
        <v>0.3007329257</v>
      </c>
      <c r="D50" s="16">
        <v>0.0</v>
      </c>
      <c r="E50" s="16">
        <v>0.0</v>
      </c>
      <c r="F50" s="16">
        <v>0.0</v>
      </c>
      <c r="G50" s="16">
        <v>0.0</v>
      </c>
      <c r="H50" s="5">
        <v>0.0</v>
      </c>
      <c r="I50" s="5">
        <f t="shared" si="7"/>
        <v>10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222</v>
      </c>
      <c r="B51" s="5">
        <f>MAX(1,MIN(10,'Китай 2040'!B51+'Китай 2040'!D51+('Китай 2040'!C51+'Китай 2040'!F51+'Китай 2040'!G51)+(0.35*LN(1+0.6*'Ход 2040'!B57)*POWER(MAX(0,1-'Китай 2040'!I51/10),0.7))))</f>
        <v>10</v>
      </c>
      <c r="C51" s="5">
        <f>MIN(1,'Китай 2040'!C51+'Китай 2040'!F51+(0.08*LN(1+0.5*'Ход 2040'!C57)*MAX(0,1-('Китай 2040'!C51+'Китай 2040'!F51))))</f>
        <v>0.1</v>
      </c>
      <c r="D51" s="16">
        <v>0.0</v>
      </c>
      <c r="E51" s="16">
        <v>0.0</v>
      </c>
      <c r="F51" s="16">
        <v>0.0</v>
      </c>
      <c r="G51" s="16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223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224</v>
      </c>
      <c r="B53" s="5">
        <f>MAX(1,MIN(10,'Китай 2040'!B53+'Китай 2040'!D53+('Китай 2040'!C53+'Китай 2040'!F53+'Китай 2040'!G53)+(0.35*LN(1+0.6*'Ход 2040'!B59)*POWER(MAX(0,1-'Китай 2040'!I53/10),0.7))))</f>
        <v>10</v>
      </c>
      <c r="C53" s="5">
        <f>MIN(1,'Китай 2040'!C53+'Китай 2040'!F53+(0.08*LN(1+0.5*'Ход 2040'!C59)*MAX(0,1-('Китай 2040'!C53+'Китай 2040'!F53))))</f>
        <v>0.15</v>
      </c>
      <c r="D53" s="16">
        <v>0.0</v>
      </c>
      <c r="E53" s="16">
        <v>0.0</v>
      </c>
      <c r="F53" s="16">
        <v>0.0</v>
      </c>
      <c r="G53" s="16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225</v>
      </c>
      <c r="B54" s="5">
        <f>MAX(1,MIN(10,'Китай 2040'!B54+'Китай 2040'!D54+('Китай 2040'!C54+'Китай 2040'!F54+'Китай 2040'!G54)+(0.35*LN(1+0.6*'Ход 2040'!B60)*POWER(MAX(0,1-'Китай 2040'!I54/10),0.7))))</f>
        <v>10</v>
      </c>
      <c r="C54" s="5">
        <f>MIN(1,'Китай 2040'!C54+'Китай 2040'!F54+(0.08*LN(1+0.5*'Ход 2040'!C60)*MAX(0,1-('Китай 2040'!C54+'Китай 2040'!F54))))</f>
        <v>0.1</v>
      </c>
      <c r="D54" s="16">
        <v>0.0</v>
      </c>
      <c r="E54" s="16">
        <v>0.0</v>
      </c>
      <c r="F54" s="16">
        <v>0.0</v>
      </c>
      <c r="G54" s="16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226</v>
      </c>
      <c r="B55" s="5">
        <f>MAX(1,MIN(10,'Китай 2040'!B55+'Китай 2040'!D55+('Китай 2040'!C55+'Китай 2040'!F55+'Китай 2040'!G55)+(0.35*LN(1+0.6*'Ход 2040'!B61)*POWER(MAX(0,1-'Китай 2040'!I55/10),0.7))))</f>
        <v>10</v>
      </c>
      <c r="C55" s="5">
        <f>MIN(1,'Китай 2040'!C55+'Китай 2040'!F55+(0.08*LN(1+0.5*'Ход 2040'!C61)*MAX(0,1-('Китай 2040'!C55+'Китай 2040'!F55))))</f>
        <v>0.15</v>
      </c>
      <c r="D55" s="16">
        <v>0.0</v>
      </c>
      <c r="E55" s="16">
        <v>0.0</v>
      </c>
      <c r="F55" s="16">
        <v>0.0</v>
      </c>
      <c r="G55" s="16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20.0"/>
    <col customWidth="1" min="3" max="3" width="38.0"/>
    <col customWidth="1" min="4" max="4" width="70.0"/>
    <col customWidth="1" min="5" max="26" width="8.63"/>
  </cols>
  <sheetData>
    <row r="1">
      <c r="A1" s="26" t="s">
        <v>414</v>
      </c>
    </row>
    <row r="2">
      <c r="A2" s="5"/>
      <c r="B2" s="5"/>
      <c r="C2" s="5"/>
      <c r="D2" s="5"/>
    </row>
    <row r="3">
      <c r="A3" s="5" t="s">
        <v>415</v>
      </c>
    </row>
    <row r="4">
      <c r="A4" s="5"/>
      <c r="B4" s="5"/>
      <c r="C4" s="5"/>
      <c r="D4" s="5"/>
    </row>
    <row r="5">
      <c r="A5" s="27" t="s">
        <v>416</v>
      </c>
      <c r="B5" s="27" t="s">
        <v>417</v>
      </c>
      <c r="C5" s="27" t="s">
        <v>418</v>
      </c>
      <c r="D5" s="27" t="s">
        <v>419</v>
      </c>
    </row>
    <row r="6">
      <c r="A6" s="5" t="s">
        <v>420</v>
      </c>
      <c r="B6" s="5" t="s">
        <v>421</v>
      </c>
      <c r="C6" s="5" t="s">
        <v>422</v>
      </c>
      <c r="D6" s="5" t="s">
        <v>423</v>
      </c>
    </row>
    <row r="7">
      <c r="A7" s="5" t="s">
        <v>424</v>
      </c>
      <c r="B7" s="5" t="s">
        <v>425</v>
      </c>
      <c r="C7" s="5" t="s">
        <v>426</v>
      </c>
      <c r="D7" s="5" t="s">
        <v>427</v>
      </c>
    </row>
    <row r="8">
      <c r="A8" s="5" t="s">
        <v>428</v>
      </c>
      <c r="B8" s="5" t="s">
        <v>429</v>
      </c>
      <c r="C8" s="5" t="s">
        <v>430</v>
      </c>
      <c r="D8" s="5" t="s">
        <v>431</v>
      </c>
    </row>
    <row r="9">
      <c r="A9" s="5" t="s">
        <v>432</v>
      </c>
      <c r="B9" s="5" t="s">
        <v>433</v>
      </c>
      <c r="C9" s="5" t="s">
        <v>434</v>
      </c>
      <c r="D9" s="5" t="s">
        <v>435</v>
      </c>
    </row>
    <row r="10">
      <c r="A10" s="5" t="s">
        <v>436</v>
      </c>
      <c r="B10" s="5" t="s">
        <v>437</v>
      </c>
      <c r="C10" s="5" t="s">
        <v>438</v>
      </c>
      <c r="D10" s="5" t="s">
        <v>439</v>
      </c>
    </row>
    <row r="11">
      <c r="A11" s="5" t="s">
        <v>440</v>
      </c>
      <c r="B11" s="5" t="s">
        <v>441</v>
      </c>
      <c r="C11" s="5" t="s">
        <v>442</v>
      </c>
      <c r="D11" s="5" t="s">
        <v>443</v>
      </c>
    </row>
    <row r="12">
      <c r="A12" s="5" t="s">
        <v>444</v>
      </c>
      <c r="B12" s="5" t="s">
        <v>445</v>
      </c>
      <c r="C12" s="5" t="s">
        <v>446</v>
      </c>
      <c r="D12" s="5" t="s">
        <v>447</v>
      </c>
    </row>
    <row r="13">
      <c r="A13" s="5" t="s">
        <v>448</v>
      </c>
      <c r="B13" s="5" t="s">
        <v>449</v>
      </c>
      <c r="C13" s="5" t="s">
        <v>450</v>
      </c>
      <c r="D13" s="5" t="s">
        <v>451</v>
      </c>
    </row>
    <row r="14">
      <c r="A14" s="5" t="s">
        <v>452</v>
      </c>
      <c r="B14" s="5" t="s">
        <v>453</v>
      </c>
      <c r="C14" s="5" t="s">
        <v>454</v>
      </c>
      <c r="D14" s="5" t="s">
        <v>455</v>
      </c>
    </row>
    <row r="15">
      <c r="A15" s="5" t="s">
        <v>456</v>
      </c>
      <c r="B15" s="5" t="s">
        <v>457</v>
      </c>
      <c r="C15" s="5" t="s">
        <v>458</v>
      </c>
      <c r="D15" s="5" t="s">
        <v>459</v>
      </c>
    </row>
    <row r="16">
      <c r="A16" s="5" t="s">
        <v>460</v>
      </c>
      <c r="B16" s="5" t="s">
        <v>461</v>
      </c>
      <c r="C16" s="5" t="s">
        <v>462</v>
      </c>
      <c r="D16" s="5" t="s">
        <v>463</v>
      </c>
    </row>
    <row r="17">
      <c r="A17" s="5" t="s">
        <v>464</v>
      </c>
      <c r="B17" s="5" t="s">
        <v>465</v>
      </c>
      <c r="C17" s="5" t="s">
        <v>466</v>
      </c>
      <c r="D17" s="5" t="s">
        <v>467</v>
      </c>
    </row>
    <row r="18">
      <c r="A18" s="5"/>
      <c r="B18" s="5"/>
      <c r="C18" s="5"/>
      <c r="D18" s="5"/>
    </row>
    <row r="19">
      <c r="A19" s="5"/>
      <c r="B19" s="5"/>
      <c r="C19" s="5"/>
      <c r="D19" s="5"/>
    </row>
    <row r="20">
      <c r="A20" s="27" t="s">
        <v>12</v>
      </c>
      <c r="B20" s="27" t="s">
        <v>468</v>
      </c>
      <c r="C20" s="27" t="s">
        <v>469</v>
      </c>
      <c r="D20" s="5"/>
    </row>
    <row r="21" ht="15.75" customHeight="1">
      <c r="A21" s="5" t="s">
        <v>112</v>
      </c>
      <c r="B21" s="5">
        <v>9.5</v>
      </c>
      <c r="C21" s="5">
        <v>0.05</v>
      </c>
      <c r="D21" s="5"/>
    </row>
    <row r="22" ht="15.75" customHeight="1">
      <c r="A22" s="5" t="s">
        <v>115</v>
      </c>
      <c r="B22" s="5">
        <v>9.5</v>
      </c>
      <c r="C22" s="5">
        <v>0.1</v>
      </c>
      <c r="D22" s="5"/>
    </row>
    <row r="23" ht="15.75" customHeight="1">
      <c r="A23" s="5" t="s">
        <v>118</v>
      </c>
      <c r="B23" s="5">
        <v>9.0</v>
      </c>
      <c r="C23" s="5">
        <v>0.2</v>
      </c>
      <c r="D23" s="5"/>
    </row>
    <row r="24" ht="15.75" customHeight="1">
      <c r="A24" s="5" t="s">
        <v>121</v>
      </c>
      <c r="B24" s="5">
        <v>6.5</v>
      </c>
      <c r="C24" s="5">
        <v>0.15</v>
      </c>
      <c r="D24" s="5"/>
    </row>
    <row r="25" ht="15.75" customHeight="1">
      <c r="A25" s="5" t="s">
        <v>124</v>
      </c>
      <c r="B25" s="5">
        <v>9.0</v>
      </c>
      <c r="C25" s="5">
        <v>0.05</v>
      </c>
      <c r="D25" s="5"/>
    </row>
    <row r="26" ht="15.75" customHeight="1">
      <c r="A26" s="5" t="s">
        <v>127</v>
      </c>
      <c r="B26" s="5">
        <v>8.5</v>
      </c>
      <c r="C26" s="5">
        <v>0.45</v>
      </c>
      <c r="D26" s="5"/>
    </row>
    <row r="27" ht="15.75" customHeight="1">
      <c r="A27" s="5" t="s">
        <v>130</v>
      </c>
      <c r="B27" s="5">
        <v>7.5</v>
      </c>
      <c r="C27" s="5">
        <v>0.45</v>
      </c>
      <c r="D27" s="5"/>
    </row>
    <row r="28" ht="15.75" customHeight="1">
      <c r="A28" s="5" t="s">
        <v>133</v>
      </c>
      <c r="B28" s="5">
        <v>8.5</v>
      </c>
      <c r="C28" s="5">
        <v>0.35</v>
      </c>
      <c r="D28" s="5"/>
    </row>
    <row r="29" ht="15.75" customHeight="1">
      <c r="A29" s="5" t="s">
        <v>135</v>
      </c>
      <c r="B29" s="5">
        <v>10.0</v>
      </c>
      <c r="C29" s="5">
        <v>0.15</v>
      </c>
      <c r="D29" s="5"/>
    </row>
    <row r="30" ht="15.75" customHeight="1">
      <c r="A30" s="5" t="s">
        <v>138</v>
      </c>
      <c r="B30" s="5">
        <v>10.0</v>
      </c>
      <c r="C30" s="5">
        <v>0.05</v>
      </c>
      <c r="D30" s="5"/>
    </row>
    <row r="31" ht="15.75" customHeight="1">
      <c r="A31" s="5" t="s">
        <v>146</v>
      </c>
      <c r="B31" s="5">
        <v>8.0</v>
      </c>
      <c r="C31" s="5">
        <v>0.25</v>
      </c>
      <c r="D31" s="5"/>
    </row>
    <row r="32" ht="15.75" customHeight="1">
      <c r="A32" s="5" t="s">
        <v>148</v>
      </c>
      <c r="B32" s="5">
        <v>8.5</v>
      </c>
      <c r="C32" s="5">
        <v>0.25</v>
      </c>
      <c r="D32" s="5"/>
    </row>
    <row r="33" ht="15.75" customHeight="1">
      <c r="A33" s="5" t="s">
        <v>150</v>
      </c>
      <c r="B33" s="5">
        <v>9.0</v>
      </c>
      <c r="C33" s="5">
        <v>0.2</v>
      </c>
      <c r="D33" s="5"/>
    </row>
    <row r="34" ht="15.75" customHeight="1">
      <c r="A34" s="5" t="s">
        <v>153</v>
      </c>
      <c r="B34" s="5">
        <v>10.0</v>
      </c>
      <c r="C34" s="5">
        <v>0.1</v>
      </c>
      <c r="D34" s="5"/>
    </row>
    <row r="35" ht="15.75" customHeight="1">
      <c r="A35" s="5" t="s">
        <v>159</v>
      </c>
      <c r="B35" s="5">
        <v>9.5</v>
      </c>
      <c r="C35" s="5">
        <v>0.15</v>
      </c>
      <c r="D35" s="5"/>
    </row>
    <row r="36" ht="15.75" customHeight="1">
      <c r="A36" s="5" t="s">
        <v>163</v>
      </c>
      <c r="B36" s="5">
        <v>10.0</v>
      </c>
      <c r="C36" s="5">
        <v>0.05</v>
      </c>
      <c r="D36" s="5"/>
    </row>
    <row r="37" ht="15.75" customHeight="1">
      <c r="A37" s="5" t="s">
        <v>166</v>
      </c>
      <c r="B37" s="5">
        <v>9.5</v>
      </c>
      <c r="C37" s="5">
        <v>0.15</v>
      </c>
      <c r="D37" s="5"/>
    </row>
    <row r="38" ht="15.75" customHeight="1">
      <c r="A38" s="5" t="s">
        <v>173</v>
      </c>
      <c r="B38" s="5">
        <v>9.5</v>
      </c>
      <c r="C38" s="5">
        <v>0.1</v>
      </c>
      <c r="D38" s="5"/>
    </row>
    <row r="39" ht="15.75" customHeight="1">
      <c r="A39" s="5" t="s">
        <v>178</v>
      </c>
      <c r="B39" s="5">
        <v>9.5</v>
      </c>
      <c r="C39" s="5">
        <v>0.15</v>
      </c>
      <c r="D39" s="5"/>
    </row>
    <row r="40" ht="15.75" customHeight="1">
      <c r="A40" s="5" t="s">
        <v>185</v>
      </c>
      <c r="B40" s="5">
        <v>8.5</v>
      </c>
      <c r="C40" s="5">
        <v>0.25</v>
      </c>
      <c r="D40" s="5"/>
    </row>
    <row r="41" ht="15.75" customHeight="1">
      <c r="A41" s="5" t="s">
        <v>188</v>
      </c>
      <c r="B41" s="5">
        <v>7.5</v>
      </c>
      <c r="C41" s="5">
        <v>0.2</v>
      </c>
      <c r="D41" s="5"/>
    </row>
    <row r="42" ht="15.75" customHeight="1">
      <c r="A42" s="5" t="s">
        <v>193</v>
      </c>
      <c r="B42" s="5">
        <v>7.0</v>
      </c>
      <c r="C42" s="5">
        <v>0.1</v>
      </c>
      <c r="D42" s="5"/>
    </row>
    <row r="43" ht="15.75" customHeight="1">
      <c r="A43" s="5" t="s">
        <v>198</v>
      </c>
      <c r="B43" s="5">
        <v>9.0</v>
      </c>
      <c r="C43" s="5">
        <v>0.15</v>
      </c>
      <c r="D43" s="5"/>
    </row>
    <row r="44" ht="15.75" customHeight="1">
      <c r="A44" s="5" t="s">
        <v>200</v>
      </c>
      <c r="B44" s="5">
        <v>9.5</v>
      </c>
      <c r="C44" s="5">
        <v>0.15</v>
      </c>
      <c r="D44" s="5"/>
    </row>
    <row r="45" ht="15.75" customHeight="1">
      <c r="A45" s="5" t="s">
        <v>201</v>
      </c>
      <c r="B45" s="5">
        <v>10.0</v>
      </c>
      <c r="C45" s="5">
        <v>0.05</v>
      </c>
      <c r="D45" s="5"/>
    </row>
    <row r="46" ht="15.75" customHeight="1">
      <c r="A46" s="5" t="s">
        <v>202</v>
      </c>
      <c r="B46" s="5">
        <v>9.5</v>
      </c>
      <c r="C46" s="5">
        <v>0.15</v>
      </c>
      <c r="D46" s="5"/>
    </row>
    <row r="47" ht="15.75" customHeight="1">
      <c r="A47" s="5" t="s">
        <v>203</v>
      </c>
      <c r="B47" s="5">
        <v>9.5</v>
      </c>
      <c r="C47" s="5">
        <v>0.15</v>
      </c>
      <c r="D47" s="5"/>
    </row>
    <row r="48" ht="15.75" customHeight="1">
      <c r="A48" s="5" t="s">
        <v>204</v>
      </c>
      <c r="B48" s="5">
        <v>9.5</v>
      </c>
      <c r="C48" s="5">
        <v>0.1</v>
      </c>
      <c r="D48" s="5"/>
    </row>
    <row r="49" ht="15.75" customHeight="1">
      <c r="A49" s="5" t="s">
        <v>205</v>
      </c>
      <c r="B49" s="5">
        <v>9.0</v>
      </c>
      <c r="C49" s="5">
        <v>0.15</v>
      </c>
      <c r="D49" s="5"/>
    </row>
    <row r="50" ht="15.75" customHeight="1">
      <c r="A50" s="5" t="s">
        <v>206</v>
      </c>
      <c r="B50" s="5">
        <v>9.0</v>
      </c>
      <c r="C50" s="5">
        <v>0.1</v>
      </c>
      <c r="D50" s="5"/>
    </row>
    <row r="51" ht="15.75" customHeight="1">
      <c r="A51" s="5" t="s">
        <v>208</v>
      </c>
      <c r="B51" s="5">
        <v>9.5</v>
      </c>
      <c r="C51" s="5">
        <v>0.1</v>
      </c>
      <c r="D51" s="5"/>
    </row>
    <row r="52" ht="15.75" customHeight="1">
      <c r="A52" s="5" t="s">
        <v>213</v>
      </c>
      <c r="B52" s="5">
        <v>10.0</v>
      </c>
      <c r="C52" s="5">
        <v>0.05</v>
      </c>
      <c r="D52" s="5"/>
    </row>
    <row r="53" ht="15.75" customHeight="1">
      <c r="A53" s="5" t="s">
        <v>215</v>
      </c>
      <c r="B53" s="5">
        <v>7.5</v>
      </c>
      <c r="C53" s="5">
        <v>0.2</v>
      </c>
      <c r="D53" s="5"/>
    </row>
    <row r="54" ht="15.75" customHeight="1">
      <c r="A54" s="5" t="s">
        <v>216</v>
      </c>
      <c r="B54" s="5">
        <v>9.5</v>
      </c>
      <c r="C54" s="5">
        <v>0.1</v>
      </c>
      <c r="D54" s="5"/>
    </row>
    <row r="55" ht="15.75" customHeight="1">
      <c r="A55" s="5" t="s">
        <v>217</v>
      </c>
      <c r="B55" s="5">
        <v>9.5</v>
      </c>
      <c r="C55" s="5">
        <v>0.1</v>
      </c>
      <c r="D55" s="5"/>
    </row>
    <row r="56" ht="15.75" customHeight="1">
      <c r="A56" s="5" t="s">
        <v>218</v>
      </c>
      <c r="B56" s="5">
        <v>6.0</v>
      </c>
      <c r="C56" s="5">
        <v>-0.1</v>
      </c>
      <c r="D56" s="5"/>
    </row>
    <row r="57" ht="15.75" customHeight="1">
      <c r="A57" s="5" t="s">
        <v>219</v>
      </c>
      <c r="B57" s="5">
        <v>8.5</v>
      </c>
      <c r="C57" s="5">
        <v>0.05</v>
      </c>
      <c r="D57" s="5"/>
    </row>
    <row r="58" ht="15.75" customHeight="1">
      <c r="A58" s="5" t="s">
        <v>220</v>
      </c>
      <c r="B58" s="5">
        <v>9.0</v>
      </c>
      <c r="C58" s="5">
        <v>0.25</v>
      </c>
      <c r="D58" s="5"/>
    </row>
    <row r="59" ht="15.75" customHeight="1">
      <c r="A59" s="5" t="s">
        <v>221</v>
      </c>
      <c r="B59" s="5">
        <v>10.0</v>
      </c>
      <c r="C59" s="5">
        <v>0.05</v>
      </c>
      <c r="D59" s="5"/>
    </row>
    <row r="60" ht="15.75" customHeight="1">
      <c r="A60" s="5" t="s">
        <v>222</v>
      </c>
      <c r="B60" s="5">
        <v>9.5</v>
      </c>
      <c r="C60" s="5">
        <v>0.1</v>
      </c>
      <c r="D60" s="5"/>
    </row>
    <row r="61" ht="15.75" customHeight="1">
      <c r="A61" s="5" t="s">
        <v>224</v>
      </c>
      <c r="B61" s="5">
        <v>9.5</v>
      </c>
      <c r="C61" s="5">
        <v>0.15</v>
      </c>
      <c r="D61" s="5"/>
    </row>
    <row r="62" ht="15.75" customHeight="1">
      <c r="A62" s="5" t="s">
        <v>225</v>
      </c>
      <c r="B62" s="5">
        <v>9.5</v>
      </c>
      <c r="C62" s="5">
        <v>0.1</v>
      </c>
      <c r="D62" s="5"/>
    </row>
    <row r="63" ht="15.75" customHeight="1">
      <c r="A63" s="5" t="s">
        <v>226</v>
      </c>
      <c r="B63" s="5">
        <v>9.0</v>
      </c>
      <c r="C63" s="5">
        <v>0.15</v>
      </c>
      <c r="D63" s="5"/>
    </row>
    <row r="64" ht="15.75" customHeight="1">
      <c r="A64" s="5"/>
      <c r="B64" s="5"/>
      <c r="C64" s="5"/>
      <c r="D64" s="5"/>
    </row>
    <row r="65" ht="15.75" customHeight="1">
      <c r="A65" s="27" t="s">
        <v>470</v>
      </c>
      <c r="B65" s="27" t="s">
        <v>468</v>
      </c>
      <c r="C65" s="27" t="s">
        <v>469</v>
      </c>
      <c r="D65" s="5"/>
    </row>
    <row r="66" ht="15.75" customHeight="1">
      <c r="A66" s="5" t="s">
        <v>110</v>
      </c>
      <c r="B66" s="5">
        <v>9.5</v>
      </c>
      <c r="C66" s="5">
        <v>0.25</v>
      </c>
      <c r="D66" s="5"/>
    </row>
    <row r="67" ht="15.75" customHeight="1">
      <c r="A67" s="5" t="s">
        <v>113</v>
      </c>
      <c r="B67" s="5">
        <v>8.5</v>
      </c>
      <c r="C67" s="5">
        <v>0.3</v>
      </c>
      <c r="D67" s="5"/>
    </row>
    <row r="68" ht="15.75" customHeight="1">
      <c r="A68" s="5" t="s">
        <v>116</v>
      </c>
      <c r="B68" s="5">
        <v>9.5</v>
      </c>
      <c r="C68" s="5">
        <v>0.15</v>
      </c>
      <c r="D68" s="5"/>
    </row>
    <row r="69" ht="15.75" customHeight="1">
      <c r="A69" s="5" t="s">
        <v>119</v>
      </c>
      <c r="B69" s="5">
        <v>8.5</v>
      </c>
      <c r="C69" s="5">
        <v>0.3</v>
      </c>
      <c r="D69" s="5"/>
    </row>
    <row r="70" ht="15.75" customHeight="1">
      <c r="A70" s="5" t="s">
        <v>122</v>
      </c>
      <c r="B70" s="5">
        <v>8.5</v>
      </c>
      <c r="C70" s="5">
        <v>0.25</v>
      </c>
      <c r="D70" s="5"/>
    </row>
    <row r="71" ht="15.75" customHeight="1">
      <c r="A71" s="5" t="s">
        <v>125</v>
      </c>
      <c r="B71" s="5">
        <v>9.0</v>
      </c>
      <c r="C71" s="5">
        <v>0.35</v>
      </c>
      <c r="D71" s="5"/>
    </row>
    <row r="72" ht="15.75" customHeight="1">
      <c r="A72" s="5" t="s">
        <v>128</v>
      </c>
      <c r="B72" s="5">
        <v>8.5</v>
      </c>
      <c r="C72" s="5">
        <v>0.35</v>
      </c>
      <c r="D72" s="5"/>
    </row>
    <row r="73" ht="15.75" customHeight="1">
      <c r="A73" s="5" t="s">
        <v>131</v>
      </c>
      <c r="B73" s="5">
        <v>8.5</v>
      </c>
      <c r="C73" s="5">
        <v>0.3</v>
      </c>
      <c r="D73" s="5"/>
    </row>
    <row r="74" ht="15.75" customHeight="1">
      <c r="A74" s="5"/>
      <c r="B74" s="5"/>
      <c r="C74" s="5"/>
      <c r="D74" s="5"/>
    </row>
    <row r="75" ht="15.75" customHeight="1">
      <c r="A75" s="27" t="s">
        <v>99</v>
      </c>
      <c r="B75" s="27" t="s">
        <v>471</v>
      </c>
      <c r="C75" s="27" t="s">
        <v>168</v>
      </c>
      <c r="D75" s="27" t="s">
        <v>472</v>
      </c>
    </row>
    <row r="76" ht="15.75" customHeight="1">
      <c r="A76" s="5" t="s">
        <v>111</v>
      </c>
      <c r="B76" s="5">
        <v>3.0</v>
      </c>
      <c r="C76" s="5" t="s">
        <v>171</v>
      </c>
      <c r="D76" s="5" t="s">
        <v>172</v>
      </c>
    </row>
    <row r="77" ht="15.75" customHeight="1">
      <c r="A77" s="5" t="s">
        <v>114</v>
      </c>
      <c r="B77" s="5">
        <v>-1.1</v>
      </c>
      <c r="C77" s="5" t="s">
        <v>174</v>
      </c>
      <c r="D77" s="5" t="s">
        <v>175</v>
      </c>
    </row>
    <row r="78" ht="15.75" customHeight="1">
      <c r="A78" s="5" t="s">
        <v>117</v>
      </c>
      <c r="B78" s="5">
        <v>-0.4</v>
      </c>
      <c r="C78" s="5" t="s">
        <v>176</v>
      </c>
      <c r="D78" s="5" t="s">
        <v>177</v>
      </c>
    </row>
    <row r="79" ht="15.75" customHeight="1">
      <c r="A79" s="5" t="s">
        <v>120</v>
      </c>
      <c r="B79" s="5">
        <v>0.5</v>
      </c>
      <c r="C79" s="5" t="s">
        <v>179</v>
      </c>
      <c r="D79" s="5" t="s">
        <v>180</v>
      </c>
    </row>
    <row r="80" ht="15.75" customHeight="1">
      <c r="A80" s="5" t="s">
        <v>123</v>
      </c>
      <c r="B80" s="5">
        <v>1.8</v>
      </c>
      <c r="C80" s="5" t="s">
        <v>181</v>
      </c>
      <c r="D80" s="5" t="s">
        <v>182</v>
      </c>
    </row>
    <row r="81" ht="15.75" customHeight="1">
      <c r="A81" s="5" t="s">
        <v>126</v>
      </c>
      <c r="B81" s="5">
        <v>1.4</v>
      </c>
      <c r="C81" s="5" t="s">
        <v>181</v>
      </c>
      <c r="D81" s="5" t="s">
        <v>183</v>
      </c>
    </row>
    <row r="82" ht="15.75" customHeight="1">
      <c r="A82" s="5" t="s">
        <v>129</v>
      </c>
      <c r="B82" s="5">
        <v>-0.8</v>
      </c>
      <c r="C82" s="5" t="s">
        <v>176</v>
      </c>
      <c r="D82" s="5" t="s">
        <v>184</v>
      </c>
    </row>
    <row r="83" ht="15.75" customHeight="1">
      <c r="A83" s="5" t="s">
        <v>132</v>
      </c>
      <c r="B83" s="5">
        <v>0.8</v>
      </c>
      <c r="C83" s="5" t="s">
        <v>179</v>
      </c>
      <c r="D83" s="5" t="s">
        <v>186</v>
      </c>
    </row>
    <row r="84" ht="15.75" customHeight="1">
      <c r="A84" s="5" t="s">
        <v>134</v>
      </c>
      <c r="B84" s="5">
        <v>2.1</v>
      </c>
      <c r="C84" s="5" t="s">
        <v>171</v>
      </c>
      <c r="D84" s="5" t="s">
        <v>187</v>
      </c>
    </row>
    <row r="85" ht="15.75" customHeight="1">
      <c r="A85" s="5" t="s">
        <v>137</v>
      </c>
      <c r="B85" s="5">
        <v>2.8</v>
      </c>
      <c r="C85" s="5" t="s">
        <v>171</v>
      </c>
      <c r="D85" s="5" t="s">
        <v>189</v>
      </c>
    </row>
    <row r="86" ht="15.75" customHeight="1">
      <c r="A86" s="5" t="s">
        <v>143</v>
      </c>
      <c r="B86" s="5">
        <v>3.0</v>
      </c>
      <c r="C86" s="5" t="s">
        <v>171</v>
      </c>
      <c r="D86" s="5" t="s">
        <v>190</v>
      </c>
    </row>
    <row r="87" ht="15.75" customHeight="1">
      <c r="A87" s="5" t="s">
        <v>145</v>
      </c>
      <c r="B87" s="5">
        <v>0.3</v>
      </c>
      <c r="C87" s="5" t="s">
        <v>179</v>
      </c>
      <c r="D87" s="5" t="s">
        <v>191</v>
      </c>
    </row>
    <row r="88" ht="15.75" customHeight="1">
      <c r="A88" s="5" t="s">
        <v>147</v>
      </c>
      <c r="B88" s="5">
        <v>3.0</v>
      </c>
      <c r="C88" s="5" t="s">
        <v>171</v>
      </c>
      <c r="D88" s="5" t="s">
        <v>192</v>
      </c>
    </row>
    <row r="89" ht="15.75" customHeight="1">
      <c r="A89" s="5" t="s">
        <v>149</v>
      </c>
      <c r="B89" s="5">
        <v>3.0</v>
      </c>
      <c r="C89" s="5" t="s">
        <v>171</v>
      </c>
      <c r="D89" s="5" t="s">
        <v>194</v>
      </c>
    </row>
    <row r="90" ht="15.75" customHeight="1">
      <c r="A90" s="5" t="s">
        <v>152</v>
      </c>
      <c r="B90" s="5">
        <v>2.8</v>
      </c>
      <c r="C90" s="5" t="s">
        <v>171</v>
      </c>
      <c r="D90" s="5" t="s">
        <v>195</v>
      </c>
    </row>
    <row r="91" ht="15.75" customHeight="1">
      <c r="A91" s="5" t="s">
        <v>158</v>
      </c>
      <c r="B91" s="5">
        <v>0.0</v>
      </c>
      <c r="C91" s="5" t="s">
        <v>196</v>
      </c>
      <c r="D91" s="5" t="s">
        <v>197</v>
      </c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3:D3"/>
  </mergeCells>
  <printOptions/>
  <pageMargins bottom="0.75" footer="0.0" header="0.0" left="0.7" right="0.7" top="0.75"/>
  <pageSetup orientation="landscape"/>
  <drawing r:id="rId1"/>
</worksheet>
</file>