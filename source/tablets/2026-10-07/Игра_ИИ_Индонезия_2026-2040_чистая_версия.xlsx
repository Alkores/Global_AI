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6a0d735aa746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хнологии" sheetId="1" r:id="Re17d4b28044448f0"/>
    <x:sheet xmlns:r="http://schemas.openxmlformats.org/officeDocument/2006/relationships" name="Индонезия 2026" sheetId="2" r:id="R0fb700b6123a4402"/>
    <x:sheet xmlns:r="http://schemas.openxmlformats.org/officeDocument/2006/relationships" name="Ход 2026" sheetId="3" r:id="Red6c03783fb7462a"/>
    <x:sheet xmlns:r="http://schemas.openxmlformats.org/officeDocument/2006/relationships" name="Индонезия 2027" sheetId="4" r:id="R77df88ac7b5c4d28"/>
    <x:sheet xmlns:r="http://schemas.openxmlformats.org/officeDocument/2006/relationships" name="Ход 2027" sheetId="5" r:id="R28e2d96105354deb"/>
    <x:sheet xmlns:r="http://schemas.openxmlformats.org/officeDocument/2006/relationships" name="Индонезия 2028" sheetId="6" r:id="Re22940a69c844dff"/>
    <x:sheet xmlns:r="http://schemas.openxmlformats.org/officeDocument/2006/relationships" name="Ход 2028" sheetId="7" r:id="R0e4a84b287ee4137"/>
    <x:sheet xmlns:r="http://schemas.openxmlformats.org/officeDocument/2006/relationships" name="Индонезия 2029" sheetId="8" r:id="Rdbdffd643a58489f"/>
    <x:sheet xmlns:r="http://schemas.openxmlformats.org/officeDocument/2006/relationships" name="Ход 2029" sheetId="9" r:id="Re4a05b1b485c4fcd"/>
    <x:sheet xmlns:r="http://schemas.openxmlformats.org/officeDocument/2006/relationships" name="Индонезия 2030" sheetId="10" r:id="R9ce89f7c482a4a91"/>
    <x:sheet xmlns:r="http://schemas.openxmlformats.org/officeDocument/2006/relationships" name="Ход 2030" sheetId="11" r:id="Rf25cc68be9fb433b"/>
    <x:sheet xmlns:r="http://schemas.openxmlformats.org/officeDocument/2006/relationships" name="Индонезия 2031" sheetId="12" r:id="Rf3b2ea125eb34f88"/>
    <x:sheet xmlns:r="http://schemas.openxmlformats.org/officeDocument/2006/relationships" name="Ход 2031" sheetId="13" r:id="R31c8218d4ea74395"/>
    <x:sheet xmlns:r="http://schemas.openxmlformats.org/officeDocument/2006/relationships" name="Индонезия 2032" sheetId="14" r:id="Ra0d32d8a35a94178"/>
    <x:sheet xmlns:r="http://schemas.openxmlformats.org/officeDocument/2006/relationships" name="Ход 2032" sheetId="15" r:id="Rbb1220ba5f964383"/>
    <x:sheet xmlns:r="http://schemas.openxmlformats.org/officeDocument/2006/relationships" name="Индонезия 2033" sheetId="16" r:id="R74fe7e8c5937402c"/>
    <x:sheet xmlns:r="http://schemas.openxmlformats.org/officeDocument/2006/relationships" name="Ход 2033" sheetId="17" r:id="R4b2184386ec84a21"/>
    <x:sheet xmlns:r="http://schemas.openxmlformats.org/officeDocument/2006/relationships" name="Индонезия 2034" sheetId="18" r:id="R198e36d80cda46b9"/>
    <x:sheet xmlns:r="http://schemas.openxmlformats.org/officeDocument/2006/relationships" name="Ход 2034" sheetId="19" r:id="R3e4e56fd4f5c493c"/>
    <x:sheet xmlns:r="http://schemas.openxmlformats.org/officeDocument/2006/relationships" name="Индонезия 2035" sheetId="20" r:id="Rc910e2a5a2704e1e"/>
    <x:sheet xmlns:r="http://schemas.openxmlformats.org/officeDocument/2006/relationships" name="Ход 2035" sheetId="21" r:id="Rf9dc08e3f1864ed9"/>
    <x:sheet xmlns:r="http://schemas.openxmlformats.org/officeDocument/2006/relationships" name="Индонезия 2036" sheetId="22" r:id="R90a968b34fdc4396"/>
    <x:sheet xmlns:r="http://schemas.openxmlformats.org/officeDocument/2006/relationships" name="Ход 2036" sheetId="23" r:id="Rd3db56d747b94dc3"/>
    <x:sheet xmlns:r="http://schemas.openxmlformats.org/officeDocument/2006/relationships" name="Индонезия 2037" sheetId="24" r:id="Rce245be9abfb4608"/>
    <x:sheet xmlns:r="http://schemas.openxmlformats.org/officeDocument/2006/relationships" name="Ход 2037" sheetId="25" r:id="R4e2418d1d4ac4a73"/>
    <x:sheet xmlns:r="http://schemas.openxmlformats.org/officeDocument/2006/relationships" name="Индонезия 2038" sheetId="26" r:id="Rc63bf8464ed24214"/>
    <x:sheet xmlns:r="http://schemas.openxmlformats.org/officeDocument/2006/relationships" name="Ход 2038" sheetId="27" r:id="R77100b05ff8742ee"/>
    <x:sheet xmlns:r="http://schemas.openxmlformats.org/officeDocument/2006/relationships" name="Индонезия 2039" sheetId="28" r:id="R69a393c046b94aea"/>
    <x:sheet xmlns:r="http://schemas.openxmlformats.org/officeDocument/2006/relationships" name="Ход 2039" sheetId="29" r:id="Rdac51d4021ed4f73"/>
    <x:sheet xmlns:r="http://schemas.openxmlformats.org/officeDocument/2006/relationships" name="Индонезия 2040" sheetId="30" r:id="R751c9f14fc374e1b"/>
    <x:sheet xmlns:r="http://schemas.openxmlformats.org/officeDocument/2006/relationships" name="Ход 2040" sheetId="31" r:id="Rd9a947d05c844aa2"/>
    <x:sheet xmlns:r="http://schemas.openxmlformats.org/officeDocument/2006/relationships" name="Индонезия конец 2040" sheetId="32" r:id="R26a6c01e17274536"/>
    <x:sheet xmlns:r="http://schemas.openxmlformats.org/officeDocument/2006/relationships" name="Методика Индонезии 2026" sheetId="33" r:id="Re0c9f1efc4e3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.0%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1"/>
      <x:color rgb="FF244062"/>
      <x:name val="Carlito"/>
    </x:font>
    <x:font>
      <x:b/>
      <x:sz val="11"/>
      <x:color rgb="FFFFFFFF"/>
      <x:name val="Carlito"/>
    </x:font>
    <x:font>
      <x:b/>
      <x:sz val="18"/>
      <x:name val="Carlito"/>
    </x:font>
    <x:font>
      <x:b/>
      <x:sz val="8"/>
      <x:color rgb="FF777777"/>
      <x:name val="Carlito"/>
    </x:font>
    <x:font>
      <x:b/>
      <x:sz val="12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5B9BD5"/>
      </x:patternFill>
    </x:fill>
    <x:fill>
      <x:patternFill patternType="solid">
        <x:fgColor rgb="FFF2F2F2"/>
      </x:patternFill>
    </x:fill>
    <x:fill>
      <x:patternFill patternType="solid">
        <x:fgColor rgb="FFD9E1F2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200" fontId="4" fillId="5" borderId="1" xfId="0" applyNumberFormat="1" applyFont="1" applyFill="1" applyBorder="1"/>
    <x:xf numFmtId="200" fontId="4" fillId="5" borderId="1" xfId="0" applyNumberFormat="1" applyFont="1" applyFill="1" applyBorder="1" applyAlignment="1">
      <x:alignment horizontal="center"/>
    </x:xf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6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200" fontId="4" fillId="5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6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200" fontId="4" fillId="5" borderId="1" xfId="0" applyNumberFormat="1" applyFont="1" applyFill="1" applyBorder="1" applyAlignment="1">
      <x:alignment horizontal="center" wrapText="1"/>
    </x:xf>
    <x:xf numFmtId="0" fontId="0" fillId="8" borderId="0" xfId="0" applyNumberFormat="1" applyFont="1" applyFill="1" applyBorder="1" applyAlignment="1">
      <x:alignment wrapText="1"/>
    </x:xf>
    <x:xf numFmtId="0" fontId="0" fillId="8" borderId="1" xfId="0" applyNumberFormat="1" applyFont="1" applyFill="1" applyBorder="1" applyAlignment="1">
      <x:alignment wrapText="1"/>
    </x:xf>
    <x:xf numFmtId="0" fontId="0" fillId="9" borderId="0" xfId="0" applyNumberFormat="1" applyFont="1" applyFill="1" applyBorder="1" applyAlignment="1">
      <x:alignment wrapText="1"/>
    </x:xf>
    <x:xf numFmtId="0" fontId="0" fillId="9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7" fillId="10" borderId="0" xfId="0" applyNumberFormat="1" applyFont="1" applyFill="1" applyBorder="1" applyAlignment="1">
      <x:alignment horizontal="center"/>
    </x:xf>
    <x:xf numFmtId="0" fontId="7" fillId="10" borderId="0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8" fillId="11" borderId="0" xfId="0" applyNumberFormat="1" applyFont="1" applyFill="1" applyBorder="1"/>
    <x:xf numFmtId="0" fontId="8" fillId="11" borderId="0" xfId="0" applyNumberFormat="1" applyFont="1" applyFill="1" applyBorder="1" applyAlignment="1">
      <x:alignment wrapText="1"/>
    </x:xf>
    <x:xf numFmtId="0" fontId="7" fillId="1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5927c2b4985444c" /><Relationship Type="http://schemas.openxmlformats.org/officeDocument/2006/relationships/theme" Target="/xl/theme/theme1.xml" Id="Red05b69c4fbb44b4" /><Relationship Type="http://schemas.openxmlformats.org/officeDocument/2006/relationships/sharedStrings" Target="/xl/sharedStrings.xml" Id="R00d59ded6893404c" /><Relationship Type="http://schemas.openxmlformats.org/officeDocument/2006/relationships/worksheet" Target="/xl/worksheets/sheet1.xml" Id="Re17d4b28044448f0" /><Relationship Type="http://schemas.openxmlformats.org/officeDocument/2006/relationships/worksheet" Target="/xl/worksheets/sheet2.xml" Id="R0fb700b6123a4402" /><Relationship Type="http://schemas.openxmlformats.org/officeDocument/2006/relationships/worksheet" Target="/xl/worksheets/sheet3.xml" Id="Red6c03783fb7462a" /><Relationship Type="http://schemas.openxmlformats.org/officeDocument/2006/relationships/worksheet" Target="/xl/worksheets/sheet4.xml" Id="R77df88ac7b5c4d28" /><Relationship Type="http://schemas.openxmlformats.org/officeDocument/2006/relationships/worksheet" Target="/xl/worksheets/sheet5.xml" Id="R28e2d96105354deb" /><Relationship Type="http://schemas.openxmlformats.org/officeDocument/2006/relationships/worksheet" Target="/xl/worksheets/sheet6.xml" Id="Re22940a69c844dff" /><Relationship Type="http://schemas.openxmlformats.org/officeDocument/2006/relationships/worksheet" Target="/xl/worksheets/sheet7.xml" Id="R0e4a84b287ee4137" /><Relationship Type="http://schemas.openxmlformats.org/officeDocument/2006/relationships/worksheet" Target="/xl/worksheets/sheet8.xml" Id="Rdbdffd643a58489f" /><Relationship Type="http://schemas.openxmlformats.org/officeDocument/2006/relationships/worksheet" Target="/xl/worksheets/sheet9.xml" Id="Re4a05b1b485c4fcd" /><Relationship Type="http://schemas.openxmlformats.org/officeDocument/2006/relationships/worksheet" Target="/xl/worksheets/sheet10.xml" Id="R9ce89f7c482a4a91" /><Relationship Type="http://schemas.openxmlformats.org/officeDocument/2006/relationships/worksheet" Target="/xl/worksheets/sheet11.xml" Id="Rf25cc68be9fb433b" /><Relationship Type="http://schemas.openxmlformats.org/officeDocument/2006/relationships/worksheet" Target="/xl/worksheets/sheet12.xml" Id="Rf3b2ea125eb34f88" /><Relationship Type="http://schemas.openxmlformats.org/officeDocument/2006/relationships/worksheet" Target="/xl/worksheets/sheet13.xml" Id="R31c8218d4ea74395" /><Relationship Type="http://schemas.openxmlformats.org/officeDocument/2006/relationships/worksheet" Target="/xl/worksheets/sheet14.xml" Id="Ra0d32d8a35a94178" /><Relationship Type="http://schemas.openxmlformats.org/officeDocument/2006/relationships/worksheet" Target="/xl/worksheets/sheet15.xml" Id="Rbb1220ba5f964383" /><Relationship Type="http://schemas.openxmlformats.org/officeDocument/2006/relationships/worksheet" Target="/xl/worksheets/sheet16.xml" Id="R74fe7e8c5937402c" /><Relationship Type="http://schemas.openxmlformats.org/officeDocument/2006/relationships/worksheet" Target="/xl/worksheets/sheet17.xml" Id="R4b2184386ec84a21" /><Relationship Type="http://schemas.openxmlformats.org/officeDocument/2006/relationships/worksheet" Target="/xl/worksheets/sheet18.xml" Id="R198e36d80cda46b9" /><Relationship Type="http://schemas.openxmlformats.org/officeDocument/2006/relationships/worksheet" Target="/xl/worksheets/sheet19.xml" Id="R3e4e56fd4f5c493c" /><Relationship Type="http://schemas.openxmlformats.org/officeDocument/2006/relationships/worksheet" Target="/xl/worksheets/sheet20.xml" Id="Rc910e2a5a2704e1e" /><Relationship Type="http://schemas.openxmlformats.org/officeDocument/2006/relationships/worksheet" Target="/xl/worksheets/sheet21.xml" Id="Rf9dc08e3f1864ed9" /><Relationship Type="http://schemas.openxmlformats.org/officeDocument/2006/relationships/worksheet" Target="/xl/worksheets/sheet22.xml" Id="R90a968b34fdc4396" /><Relationship Type="http://schemas.openxmlformats.org/officeDocument/2006/relationships/worksheet" Target="/xl/worksheets/sheet23.xml" Id="Rd3db56d747b94dc3" /><Relationship Type="http://schemas.openxmlformats.org/officeDocument/2006/relationships/worksheet" Target="/xl/worksheets/sheet24.xml" Id="Rce245be9abfb4608" /><Relationship Type="http://schemas.openxmlformats.org/officeDocument/2006/relationships/worksheet" Target="/xl/worksheets/sheet25.xml" Id="R4e2418d1d4ac4a73" /><Relationship Type="http://schemas.openxmlformats.org/officeDocument/2006/relationships/worksheet" Target="/xl/worksheets/sheet26.xml" Id="Rc63bf8464ed24214" /><Relationship Type="http://schemas.openxmlformats.org/officeDocument/2006/relationships/worksheet" Target="/xl/worksheets/sheet27.xml" Id="R77100b05ff8742ee" /><Relationship Type="http://schemas.openxmlformats.org/officeDocument/2006/relationships/worksheet" Target="/xl/worksheets/sheet28.xml" Id="R69a393c046b94aea" /><Relationship Type="http://schemas.openxmlformats.org/officeDocument/2006/relationships/worksheet" Target="/xl/worksheets/sheet29.xml" Id="Rdac51d4021ed4f73" /><Relationship Type="http://schemas.openxmlformats.org/officeDocument/2006/relationships/worksheet" Target="/xl/worksheets/sheet30.xml" Id="R751c9f14fc374e1b" /><Relationship Type="http://schemas.openxmlformats.org/officeDocument/2006/relationships/worksheet" Target="/xl/worksheets/sheet31.xml" Id="Rd9a947d05c844aa2" /><Relationship Type="http://schemas.openxmlformats.org/officeDocument/2006/relationships/worksheet" Target="/xl/worksheets/sheet32.xml" Id="R26a6c01e17274536" /><Relationship Type="http://schemas.openxmlformats.org/officeDocument/2006/relationships/worksheet" Target="/xl/worksheets/sheet33.xml" Id="Re0c9f1efc4e348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4" hidden="0" customWidth="1"/>
    <x:col min="3" max="3" width="9" hidden="0" customWidth="1"/>
    <x:col min="4" max="4" width="3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42" hidden="0" customWidth="1"/>
    <x:col min="10" max="10" width="48" hidden="0" customWidth="1"/>
    <x:col min="26" max="26" width="13" hidden="0" customWidth="1"/>
    <x:col min="27" max="27" width="11" hidden="0" customWidth="1"/>
    <x:col min="28" max="28" width="15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  <x:col min="23" max="23" width="11" hidden="0" customWidth="1"/>
    <x:col min="24" max="24" width="11" hidden="0" customWidth="1"/>
    <x:col min="25" max="25" width="11" hidden="0" customWidth="1"/>
    <x:col min="29" max="29" width="3" hidden="0" customWidth="1"/>
    <x:col min="30" max="30" width="3" hidden="0" customWidth="1"/>
    <x:col min="31" max="31" width="3" hidden="0" customWidth="1"/>
    <x:col min="32" max="32" width="3" hidden="0" customWidth="1"/>
    <x:col min="33" max="33" width="3" hidden="0" customWidth="1"/>
    <x:col min="34" max="34" width="3" hidden="0" customWidth="1"/>
    <x:col min="35" max="35" width="3" hidden="0" customWidth="1"/>
    <x:col min="36" max="36" width="3" hidden="0" customWidth="1"/>
    <x:col min="37" max="37" width="3" hidden="0" customWidth="1"/>
    <x:col min="38" max="38" width="3" hidden="0" customWidth="1"/>
    <x:col min="39" max="39" width="3" hidden="0" customWidth="1"/>
    <x:col min="40" max="40" width="3" hidden="0" customWidth="1"/>
    <x:col min="41" max="41" width="3" hidden="0" customWidth="1"/>
    <x:col min="42" max="42" width="3" hidden="0" customWidth="1"/>
    <x:col min="43" max="43" width="3" hidden="0" customWidth="1"/>
    <x:col min="44" max="44" width="3" hidden="0" customWidth="1"/>
    <x:col min="45" max="45" width="3" hidden="0" customWidth="1"/>
    <x:col min="46" max="46" width="3" hidden="0" customWidth="1"/>
    <x:col min="47" max="47" width="3" hidden="0" customWidth="1"/>
    <x:col min="48" max="48" width="3" hidden="0" customWidth="1"/>
    <x:col min="49" max="49" width="3" hidden="0" customWidth="1"/>
    <x:col min="50" max="50" width="3" hidden="0" customWidth="1"/>
    <x:col min="51" max="51" width="3" hidden="0" customWidth="1"/>
    <x:col min="52" max="52" width="3" hidden="0" customWidth="1"/>
    <x:col min="53" max="53" width="3" hidden="0" customWidth="1"/>
    <x:col min="54" max="54" width="3" hidden="0" customWidth="1"/>
    <x:col min="55" max="55" width="3" hidden="0" customWidth="1"/>
    <x:col min="56" max="56" width="3" hidden="0" customWidth="1"/>
    <x:col min="57" max="57" width="3" hidden="0" customWidth="1"/>
    <x:col min="58" max="58" width="3" hidden="0" customWidth="1"/>
  </x:cols>
  <x:sheetData>
    <x:row r="1">
      <x:c r="A1" s="5" t="str">
        <x:v>ДЕРЕВО ТЕХНОЛОГИЙ — 15 ХОДОВ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</x:row>
    <x:row r="3">
      <x:c r="A3" s="13" t="str">
        <x:v>Вложения автоматически собираются с листов Ход 2026–2040. Незавершённые исследования накапливаются; prerequisites проверяются по накопленному прогрессу. Игровые эффекты технологий в состояние страны вносятся вручную.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  <x:c r="Y3" s="13"/>
      <x:c r="Z3" s="13"/>
      <x:c r="AA3" s="13"/>
      <x:c r="AB3" s="1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</x:row>
    <x:row r="5">
      <x:c r="A5" s="20" t="str">
        <x:v>ВСЕГО ТЕХНОЛОГИЙ</x:v>
      </x:c>
      <x:c r="B5" s="20"/>
      <x:c r="C5" s="20"/>
      <x:c r="D5"/>
      <x:c r="E5" s="20" t="str">
        <x:v>ОСНОВНЫХ ВЕТВЕЙ</x:v>
      </x:c>
      <x:c r="F5" s="20"/>
      <x:c r="G5" s="20"/>
      <x:c r="H5"/>
      <x:c r="I5" s="20" t="str">
        <x:v>МЕЖВЕТВЕВЫХ</x:v>
      </x:c>
      <x:c r="J5" s="20"/>
      <x:c r="K5" s="20"/>
      <x:c r="L5"/>
      <x:c r="M5" s="20" t="str">
        <x:v>СТАРТОВО ОТКРЫТО</x:v>
      </x:c>
      <x:c r="N5" s="20"/>
      <x:c r="O5"/>
      <x:c r="P5"/>
      <x:c r="Q5"/>
      <x:c r="R5"/>
      <x:c r="S5"/>
      <x:c r="T5"/>
      <x:c r="U5"/>
      <x:c r="V5"/>
      <x:c r="W5"/>
      <x:c r="X5"/>
      <x:c r="Y5"/>
      <x:c r="Z5"/>
      <x:c r="AA5"/>
      <x:c r="AB5"/>
      <x:c r="AC5"/>
      <x:c r="AD5"/>
      <x:c r="AE5"/>
      <x:c r="AF5"/>
      <x:c r="AG5"/>
      <x:c r="AH5"/>
      <x:c r="AI5"/>
      <x:c r="AJ5"/>
      <x:c r="AK5"/>
      <x:c r="AL5"/>
      <x:c r="AM5"/>
      <x:c r="AN5"/>
      <x:c r="AO5"/>
      <x:c r="AP5"/>
      <x:c r="AQ5"/>
      <x:c r="AR5"/>
      <x:c r="AS5"/>
      <x:c r="AT5"/>
      <x:c r="AU5"/>
      <x:c r="AV5"/>
      <x:c r="AW5"/>
      <x:c r="AX5"/>
      <x:c r="AY5"/>
      <x:c r="AZ5"/>
      <x:c r="BA5"/>
      <x:c r="BB5"/>
      <x:c r="BC5"/>
      <x:c r="BD5"/>
      <x:c r="BE5"/>
      <x:c r="BF5"/>
    </x:row>
    <x:row r="6">
      <x:c r="A6" s="26" t="n">
        <x:v>40</x:v>
      </x:c>
      <x:c r="B6" s="26"/>
      <x:c r="C6" s="26"/>
      <x:c r="D6"/>
      <x:c r="E6" s="26" t="n">
        <x:v>6</x:v>
      </x:c>
      <x:c r="F6" s="26"/>
      <x:c r="G6" s="26"/>
      <x:c r="H6"/>
      <x:c r="I6" s="26" t="n">
        <x:v>4</x:v>
      </x:c>
      <x:c r="J6" s="26"/>
      <x:c r="K6" s="26"/>
      <x:c r="L6"/>
      <x:c r="M6" s="26" t="n">
        <x:v>6</x:v>
      </x:c>
      <x:c r="N6" s="26"/>
      <x:c r="O6"/>
      <x:c r="P6"/>
      <x:c r="Q6"/>
      <x:c r="R6"/>
      <x:c r="S6"/>
      <x:c r="T6"/>
      <x:c r="U6"/>
      <x:c r="V6"/>
      <x:c r="W6"/>
      <x:c r="X6"/>
      <x:c r="Y6"/>
      <x:c r="Z6"/>
      <x:c r="AA6"/>
      <x:c r="AB6"/>
      <x:c r="AC6"/>
      <x:c r="AD6"/>
      <x:c r="AE6"/>
      <x:c r="AF6"/>
      <x:c r="AG6"/>
      <x:c r="AH6"/>
      <x:c r="AI6"/>
      <x:c r="AJ6"/>
      <x:c r="AK6"/>
      <x:c r="AL6"/>
      <x:c r="AM6"/>
      <x:c r="AN6"/>
      <x:c r="AO6"/>
      <x:c r="AP6"/>
      <x:c r="AQ6"/>
      <x:c r="AR6"/>
      <x:c r="AS6"/>
      <x:c r="AT6"/>
      <x:c r="AU6"/>
      <x:c r="AV6"/>
      <x:c r="AW6"/>
      <x:c r="AX6"/>
      <x:c r="AY6"/>
      <x:c r="AZ6"/>
      <x:c r="BA6"/>
      <x:c r="BB6"/>
      <x:c r="BC6"/>
      <x:c r="BD6"/>
      <x:c r="BE6"/>
      <x:c r="BF6"/>
    </x:row>
    <x:row r="7">
      <x:c r="A7" s="26"/>
      <x:c r="B7" s="26"/>
      <x:c r="C7" s="26"/>
      <x:c r="D7"/>
      <x:c r="E7" s="26"/>
      <x:c r="F7" s="26"/>
      <x:c r="G7" s="26"/>
      <x:c r="H7"/>
      <x:c r="I7" s="26"/>
      <x:c r="J7" s="26"/>
      <x:c r="K7" s="26"/>
      <x:c r="L7"/>
      <x:c r="M7" s="26"/>
      <x:c r="N7" s="26"/>
      <x:c r="O7"/>
      <x:c r="P7"/>
      <x:c r="Q7"/>
      <x:c r="R7"/>
      <x:c r="S7"/>
      <x:c r="T7"/>
      <x:c r="U7"/>
      <x:c r="V7"/>
      <x:c r="W7"/>
      <x:c r="X7"/>
      <x:c r="Y7"/>
      <x:c r="Z7"/>
      <x:c r="AA7"/>
      <x:c r="AB7"/>
      <x:c r="AC7"/>
      <x:c r="AD7"/>
      <x:c r="AE7"/>
      <x:c r="AF7"/>
      <x:c r="AG7"/>
      <x:c r="AH7"/>
      <x:c r="AI7"/>
      <x:c r="AJ7"/>
      <x:c r="AK7"/>
      <x:c r="AL7"/>
      <x:c r="AM7"/>
      <x:c r="AN7"/>
      <x:c r="AO7"/>
      <x:c r="AP7"/>
      <x:c r="AQ7"/>
      <x:c r="AR7"/>
      <x:c r="AS7"/>
      <x:c r="AT7"/>
      <x:c r="AU7"/>
      <x:c r="AV7"/>
      <x:c r="AW7"/>
      <x:c r="AX7"/>
      <x:c r="AY7"/>
      <x:c r="AZ7"/>
      <x:c r="BA7"/>
      <x:c r="BB7"/>
      <x:c r="BC7"/>
      <x:c r="BD7"/>
      <x:c r="BE7"/>
      <x:c r="BF7"/>
    </x:row>
    <x:row r="8">
      <x:c r="A8"/>
      <x:c r="B8"/>
      <x:c r="C8"/>
      <x:c r="D8"/>
      <x:c r="E8"/>
      <x:c r="F8"/>
      <x:c r="G8"/>
      <x:c r="H8"/>
      <x:c r="I8"/>
      <x:c r="J8"/>
      <x:c r="K8"/>
      <x:c r="L8"/>
      <x:c r="M8"/>
      <x:c r="N8"/>
      <x:c r="O8"/>
      <x:c r="P8"/>
      <x:c r="Q8"/>
      <x:c r="R8"/>
      <x:c r="S8"/>
      <x:c r="T8"/>
      <x:c r="U8"/>
      <x:c r="V8"/>
      <x:c r="W8"/>
      <x:c r="X8"/>
      <x:c r="Y8"/>
      <x:c r="Z8"/>
      <x:c r="AA8"/>
      <x:c r="AB8"/>
      <x:c r="AC8"/>
      <x:c r="AD8"/>
      <x:c r="AE8"/>
      <x:c r="AF8"/>
      <x:c r="AG8"/>
      <x:c r="AH8"/>
      <x:c r="AI8"/>
      <x:c r="AJ8"/>
      <x:c r="AK8"/>
      <x:c r="AL8"/>
      <x:c r="AM8"/>
      <x:c r="AN8"/>
      <x:c r="AO8"/>
      <x:c r="AP8"/>
      <x:c r="AQ8"/>
      <x:c r="AR8"/>
      <x:c r="AS8"/>
      <x:c r="AT8"/>
      <x:c r="AU8"/>
      <x:c r="AV8"/>
      <x:c r="AW8"/>
      <x:c r="AX8"/>
      <x:c r="AY8"/>
      <x:c r="AZ8"/>
      <x:c r="BA8"/>
      <x:c r="BB8"/>
      <x:c r="BC8"/>
      <x:c r="BD8"/>
      <x:c r="BE8"/>
      <x:c r="BF8"/>
    </x:row>
    <x:row r="9">
      <x:c r="A9"/>
      <x:c r="B9"/>
      <x:c r="C9"/>
      <x:c r="D9"/>
      <x:c r="E9"/>
      <x:c r="F9"/>
      <x:c r="G9"/>
      <x:c r="H9"/>
      <x:c r="I9"/>
      <x:c r="J9"/>
      <x:c r="K9"/>
      <x:c r="L9"/>
      <x:c r="M9"/>
      <x:c r="N9"/>
      <x:c r="O9"/>
      <x:c r="P9"/>
      <x:c r="Q9"/>
      <x:c r="R9"/>
      <x:c r="S9"/>
      <x:c r="T9"/>
      <x:c r="U9"/>
      <x:c r="V9"/>
      <x:c r="W9"/>
      <x:c r="X9"/>
      <x:c r="Y9"/>
      <x:c r="Z9"/>
      <x:c r="AA9"/>
      <x:c r="AB9"/>
      <x:c r="AC9"/>
      <x:c r="AD9"/>
      <x:c r="AE9"/>
      <x:c r="AF9"/>
      <x:c r="AG9"/>
      <x:c r="AH9"/>
      <x:c r="AI9"/>
      <x:c r="AJ9"/>
      <x:c r="AK9"/>
      <x:c r="AL9"/>
      <x:c r="AM9"/>
      <x:c r="AN9"/>
      <x:c r="AO9"/>
      <x:c r="AP9"/>
      <x:c r="AQ9"/>
      <x:c r="AR9"/>
      <x:c r="AS9"/>
      <x:c r="AT9"/>
      <x:c r="AU9"/>
      <x:c r="AV9"/>
      <x:c r="AW9"/>
      <x:c r="AX9"/>
      <x:c r="AY9"/>
      <x:c r="AZ9"/>
      <x:c r="BA9"/>
      <x:c r="BB9"/>
      <x:c r="BC9"/>
      <x:c r="BD9"/>
      <x:c r="BE9"/>
      <x:c r="BF9"/>
    </x:row>
    <x:row r="10">
      <x:c r="A10" s="32" t="str">
        <x:v>ID</x:v>
      </x:c>
      <x:c r="B10" s="32" t="str">
        <x:v>Ветвь</x:v>
      </x:c>
      <x:c r="C10" s="32" t="str">
        <x:v>Уровень</x:v>
      </x:c>
      <x:c r="D10" s="32" t="str">
        <x:v>Технология</x:v>
      </x:c>
      <x:c r="E10" s="32" t="str">
        <x:v>Цена науки</x:v>
      </x:c>
      <x:c r="F10" s="32" t="str">
        <x:v>Требование 1</x:v>
      </x:c>
      <x:c r="G10" s="32" t="str">
        <x:v>Требование 2</x:v>
      </x:c>
      <x:c r="H10" s="32" t="str">
        <x:v>Требование 3</x:v>
      </x:c>
      <x:c r="I10" s="32" t="str">
        <x:v>Суть</x:v>
      </x:c>
      <x:c r="J10" s="32" t="str">
        <x:v>Игровой эффект</x:v>
      </x:c>
      <x:c r="K10" s="32" t="str">
        <x:v>Вложено 2026</x:v>
      </x:c>
      <x:c r="L10" s="32" t="str">
        <x:v>Вложено 2027</x:v>
      </x:c>
      <x:c r="M10" s="32" t="str">
        <x:v>Вложено 2028</x:v>
      </x:c>
      <x:c r="N10" s="32" t="str">
        <x:v>Вложено 2029</x:v>
      </x:c>
      <x:c r="O10" s="32" t="str">
        <x:v>Вложено 2030</x:v>
      </x:c>
      <x:c r="P10" s="32" t="str">
        <x:v>Вложено 2031</x:v>
      </x:c>
      <x:c r="Q10" s="32" t="str">
        <x:v>Вложено 2032</x:v>
      </x:c>
      <x:c r="R10" s="32" t="str">
        <x:v>Вложено 2033</x:v>
      </x:c>
      <x:c r="S10" s="32" t="str">
        <x:v>Вложено 2034</x:v>
      </x:c>
      <x:c r="T10" s="32" t="str">
        <x:v>Вложено 2035</x:v>
      </x:c>
      <x:c r="U10" s="32" t="str">
        <x:v>Вложено 2036</x:v>
      </x:c>
      <x:c r="V10" s="32" t="str">
        <x:v>Вложено 2037</x:v>
      </x:c>
      <x:c r="W10" s="32" t="str">
        <x:v>Вложено 2038</x:v>
      </x:c>
      <x:c r="X10" s="32" t="str">
        <x:v>Вложено 2039</x:v>
      </x:c>
      <x:c r="Y10" s="32" t="str">
        <x:v>Вложено 2040</x:v>
      </x:c>
      <x:c r="Z10" s="32" t="str">
        <x:v>Накоплено всего</x:v>
      </x:c>
      <x:c r="AA10" s="32" t="str">
        <x:v>Осталось</x:v>
      </x:c>
      <x:c r="AB10" s="32" t="str">
        <x:v>Текущий статус</x:v>
      </x:c>
      <x:c r="AC10" s="38" t="str">
        <x:v>Σ 2026</x:v>
      </x:c>
      <x:c r="AD10" s="38" t="str">
        <x:v>Σ 2027</x:v>
      </x:c>
      <x:c r="AE10" s="38" t="str">
        <x:v>Σ 2028</x:v>
      </x:c>
      <x:c r="AF10" s="38" t="str">
        <x:v>Σ 2029</x:v>
      </x:c>
      <x:c r="AG10" s="38" t="str">
        <x:v>Σ 2030</x:v>
      </x:c>
      <x:c r="AH10" s="38" t="str">
        <x:v>Σ 2031</x:v>
      </x:c>
      <x:c r="AI10" s="38" t="str">
        <x:v>Σ 2032</x:v>
      </x:c>
      <x:c r="AJ10" s="38" t="str">
        <x:v>Σ 2033</x:v>
      </x:c>
      <x:c r="AK10" s="38" t="str">
        <x:v>Σ 2034</x:v>
      </x:c>
      <x:c r="AL10" s="38" t="str">
        <x:v>Σ 2035</x:v>
      </x:c>
      <x:c r="AM10" s="38" t="str">
        <x:v>Σ 2036</x:v>
      </x:c>
      <x:c r="AN10" s="38" t="str">
        <x:v>Σ 2037</x:v>
      </x:c>
      <x:c r="AO10" s="38" t="str">
        <x:v>Σ 2038</x:v>
      </x:c>
      <x:c r="AP10" s="38" t="str">
        <x:v>Σ 2039</x:v>
      </x:c>
      <x:c r="AQ10" s="38" t="str">
        <x:v>Σ 2040</x:v>
      </x:c>
      <x:c r="AR10" s="38" t="str">
        <x:v>Статус 2026</x:v>
      </x:c>
      <x:c r="AS10" s="38" t="str">
        <x:v>Статус 2027</x:v>
      </x:c>
      <x:c r="AT10" s="38" t="str">
        <x:v>Статус 2028</x:v>
      </x:c>
      <x:c r="AU10" s="38" t="str">
        <x:v>Статус 2029</x:v>
      </x:c>
      <x:c r="AV10" s="38" t="str">
        <x:v>Статус 2030</x:v>
      </x:c>
      <x:c r="AW10" s="38" t="str">
        <x:v>Статус 2031</x:v>
      </x:c>
      <x:c r="AX10" s="38" t="str">
        <x:v>Статус 2032</x:v>
      </x:c>
      <x:c r="AY10" s="38" t="str">
        <x:v>Статус 2033</x:v>
      </x:c>
      <x:c r="AZ10" s="38" t="str">
        <x:v>Статус 2034</x:v>
      </x:c>
      <x:c r="BA10" s="38" t="str">
        <x:v>Статус 2035</x:v>
      </x:c>
      <x:c r="BB10" s="38" t="str">
        <x:v>Статус 2036</x:v>
      </x:c>
      <x:c r="BC10" s="38" t="str">
        <x:v>Статус 2037</x:v>
      </x:c>
      <x:c r="BD10" s="38" t="str">
        <x:v>Статус 2038</x:v>
      </x:c>
      <x:c r="BE10" s="38" t="str">
        <x:v>Статус 2039</x:v>
      </x:c>
      <x:c r="BF10" s="38" t="str">
        <x:v>Статус 2040</x:v>
      </x:c>
    </x:row>
    <x:row r="11">
      <x:c r="A11" s="42" t="str">
        <x:v>C1</x:v>
      </x:c>
      <x:c r="B11" s="42" t="str">
        <x:v>Вычисления и аппаратная база</x:v>
      </x:c>
      <x:c r="C11" s="42" t="str">
        <x:v>I</x:v>
      </x:c>
      <x:c r="D11" s="42" t="str">
        <x:v>Энергоэффективные ИИ-ускорители</x:v>
      </x:c>
      <x:c r="E11" s="42" t="n">
        <x:v>20</x:v>
      </x:c>
      <x:c r="F11" s="42"/>
      <x:c r="G11" s="42"/>
      <x:c r="H11" s="42"/>
      <x:c r="I11" s="42" t="str">
        <x:v>Специализированные ускорители с лучшим отношением вычислений к энергопотреблению.</x:v>
      </x:c>
      <x:c r="J11" s="42" t="str">
        <x:v>Вычислительные компоненты +0,2; прирост ЦОД +0,05/год</x:v>
      </x:c>
      <x:c r="K11" s="43" t="n">
        <x:f>SUMIF('Ход 2026'!$G$29:$G$38,$A11,'Ход 2026'!$I$29:$I$38)</x:f>
        <x:v>0</x:v>
      </x:c>
      <x:c r="L11" s="43" t="n">
        <x:f>SUMIF('Ход 2027'!$G$29:$G$38,$A11,'Ход 2027'!$I$29:$I$38)</x:f>
        <x:v>0</x:v>
      </x:c>
      <x:c r="M11" s="43" t="n">
        <x:f>SUMIF('Ход 2028'!$G$29:$G$38,$A11,'Ход 2028'!$I$29:$I$38)</x:f>
        <x:v>0</x:v>
      </x:c>
      <x:c r="N11" s="43" t="n">
        <x:f>SUMIF('Ход 2029'!$G$29:$G$38,$A11,'Ход 2029'!$I$29:$I$38)</x:f>
        <x:v>0</x:v>
      </x:c>
      <x:c r="O11" s="43" t="n">
        <x:f>SUMIF('Ход 2030'!$G$29:$G$38,$A11,'Ход 2030'!$I$29:$I$38)</x:f>
        <x:v>0</x:v>
      </x:c>
      <x:c r="P11" s="43" t="n">
        <x:f>SUMIF('Ход 2031'!$G$29:$G$38,$A11,'Ход 2031'!$I$29:$I$38)</x:f>
        <x:v>0</x:v>
      </x:c>
      <x:c r="Q11" s="43" t="n">
        <x:f>SUMIF('Ход 2032'!$G$29:$G$38,$A11,'Ход 2032'!$I$29:$I$38)</x:f>
        <x:v>0</x:v>
      </x:c>
      <x:c r="R11" s="43" t="n">
        <x:f>SUMIF('Ход 2033'!$G$29:$G$38,$A11,'Ход 2033'!$I$29:$I$38)</x:f>
        <x:v>0</x:v>
      </x:c>
      <x:c r="S11" s="43" t="n">
        <x:f>SUMIF('Ход 2034'!$G$29:$G$38,$A11,'Ход 2034'!$I$29:$I$38)</x:f>
        <x:v>0</x:v>
      </x:c>
      <x:c r="T11" s="43" t="n">
        <x:f>SUMIF('Ход 2035'!$G$29:$G$38,$A11,'Ход 2035'!$I$29:$I$38)</x:f>
        <x:v>0</x:v>
      </x:c>
      <x:c r="U11" s="43" t="n">
        <x:f>SUMIF('Ход 2036'!$G$29:$G$38,$A11,'Ход 2036'!$I$29:$I$38)</x:f>
        <x:v>0</x:v>
      </x:c>
      <x:c r="V11" s="43" t="n">
        <x:f>SUMIF('Ход 2037'!$G$29:$G$38,$A11,'Ход 2037'!$I$29:$I$38)</x:f>
        <x:v>0</x:v>
      </x:c>
      <x:c r="W11" s="43" t="n">
        <x:f>SUMIF('Ход 2038'!$G$29:$G$38,$A11,'Ход 2038'!$I$29:$I$38)</x:f>
        <x:v>0</x:v>
      </x:c>
      <x:c r="X11" s="43" t="n">
        <x:f>SUMIF('Ход 2039'!$G$29:$G$38,$A11,'Ход 2039'!$I$29:$I$38)</x:f>
        <x:v>0</x:v>
      </x:c>
      <x:c r="Y11" s="43" t="n">
        <x:f>SUMIF('Ход 2040'!$G$29:$G$38,$A11,'Ход 2040'!$I$29:$I$38)</x:f>
        <x:v>0</x:v>
      </x:c>
      <x:c r="Z11" s="44" t="n">
        <x:f>SUM(K11:Y11)</x:f>
        <x:v>0</x:v>
      </x:c>
      <x:c r="AA11" s="44" t="n">
        <x:f>MAX(0,E11-Z11)</x:f>
        <x:v>20</x:v>
      </x:c>
      <x:c r="AB11" s="42" t="str">
        <x:f>BF11</x:f>
        <x:v>ОТКРЫТО</x:v>
      </x:c>
      <x:c r="AC11" t="n">
        <x:f>SUM($K11:K11)</x:f>
        <x:v>0</x:v>
      </x:c>
      <x:c r="AD11" t="n">
        <x:f>SUM($K11:L11)</x:f>
        <x:v>0</x:v>
      </x:c>
      <x:c r="AE11" t="n">
        <x:f>SUM($K11:M11)</x:f>
        <x:v>0</x:v>
      </x:c>
      <x:c r="AF11" t="n">
        <x:f>SUM($K11:N11)</x:f>
        <x:v>0</x:v>
      </x:c>
      <x:c r="AG11" t="n">
        <x:f>SUM($K11:O11)</x:f>
        <x:v>0</x:v>
      </x:c>
      <x:c r="AH11" t="n">
        <x:f>SUM($K11:P11)</x:f>
        <x:v>0</x:v>
      </x:c>
      <x:c r="AI11" t="n">
        <x:f>SUM($K11:Q11)</x:f>
        <x:v>0</x:v>
      </x:c>
      <x:c r="AJ11" t="n">
        <x:f>SUM($K11:R11)</x:f>
        <x:v>0</x:v>
      </x:c>
      <x:c r="AK11" t="n">
        <x:f>SUM($K11:S11)</x:f>
        <x:v>0</x:v>
      </x:c>
      <x:c r="AL11" t="n">
        <x:f>SUM($K11:T11)</x:f>
        <x:v>0</x:v>
      </x:c>
      <x:c r="AM11" t="n">
        <x:f>SUM($K11:U11)</x:f>
        <x:v>0</x:v>
      </x:c>
      <x:c r="AN11" t="n">
        <x:f>SUM($K11:V11)</x:f>
        <x:v>0</x:v>
      </x:c>
      <x:c r="AO11" t="n">
        <x:f>SUM($K11:W11)</x:f>
        <x:v>0</x:v>
      </x:c>
      <x:c r="AP11" t="n">
        <x:f>SUM($K11:X11)</x:f>
        <x:v>0</x:v>
      </x:c>
      <x:c r="AQ11" t="n">
        <x:f>SUM($K11:Y11)</x:f>
        <x:v>0</x:v>
      </x:c>
      <x:c r="AR11" t="str">
        <x:f>IF(AC11&gt;=E11,"ИЗУЧЕНО",IF(AND(OR(F11="",SUMIF($A$11:$A$50,F11,AC$11:AC$50)&gt;=SUMIF($A$11:$A$50,F11,$E$11:$E$50)),OR(G11="",SUMIF($A$11:$A$50,G11,AC$11:AC$50)&gt;=SUMIF($A$11:$A$50,G11,$E$11:$E$50)),OR(H11="",SUMIF($A$11:$A$50,H11,AC$11:AC$50)&gt;=SUMIF($A$11:$A$50,H11,$E$11:$E$50))),"ОТКРЫТО","ЗАКРЫТО"))</x:f>
        <x:v>ОТКРЫТО</x:v>
      </x:c>
      <x:c r="AS11" t="str">
        <x:f>IF(AD11&gt;=E11,"ИЗУЧЕНО",IF(AND(OR(F11="",SUMIF($A$11:$A$50,F11,AD$11:AD$50)&gt;=SUMIF($A$11:$A$50,F11,$E$11:$E$50)),OR(G11="",SUMIF($A$11:$A$50,G11,AD$11:AD$50)&gt;=SUMIF($A$11:$A$50,G11,$E$11:$E$50)),OR(H11="",SUMIF($A$11:$A$50,H11,AD$11:AD$50)&gt;=SUMIF($A$11:$A$50,H11,$E$11:$E$50))),"ОТКРЫТО","ЗАКРЫТО"))</x:f>
        <x:v>ОТКРЫТО</x:v>
      </x:c>
      <x:c r="AT11" t="str">
        <x:f>IF(AE11&gt;=E11,"ИЗУЧЕНО",IF(AND(OR(F11="",SUMIF($A$11:$A$50,F11,AE$11:AE$50)&gt;=SUMIF($A$11:$A$50,F11,$E$11:$E$50)),OR(G11="",SUMIF($A$11:$A$50,G11,AE$11:AE$50)&gt;=SUMIF($A$11:$A$50,G11,$E$11:$E$50)),OR(H11="",SUMIF($A$11:$A$50,H11,AE$11:AE$50)&gt;=SUMIF($A$11:$A$50,H11,$E$11:$E$50))),"ОТКРЫТО","ЗАКРЫТО"))</x:f>
        <x:v>ОТКРЫТО</x:v>
      </x:c>
      <x:c r="AU11" t="str">
        <x:f>IF(AF11&gt;=E11,"ИЗУЧЕНО",IF(AND(OR(F11="",SUMIF($A$11:$A$50,F11,AF$11:AF$50)&gt;=SUMIF($A$11:$A$50,F11,$E$11:$E$50)),OR(G11="",SUMIF($A$11:$A$50,G11,AF$11:AF$50)&gt;=SUMIF($A$11:$A$50,G11,$E$11:$E$50)),OR(H11="",SUMIF($A$11:$A$50,H11,AF$11:AF$50)&gt;=SUMIF($A$11:$A$50,H11,$E$11:$E$50))),"ОТКРЫТО","ЗАКРЫТО"))</x:f>
        <x:v>ОТКРЫТО</x:v>
      </x:c>
      <x:c r="AV11" t="str">
        <x:f>IF(AG11&gt;=E11,"ИЗУЧЕНО",IF(AND(OR(F11="",SUMIF($A$11:$A$50,F11,AG$11:AG$50)&gt;=SUMIF($A$11:$A$50,F11,$E$11:$E$50)),OR(G11="",SUMIF($A$11:$A$50,G11,AG$11:AG$50)&gt;=SUMIF($A$11:$A$50,G11,$E$11:$E$50)),OR(H11="",SUMIF($A$11:$A$50,H11,AG$11:AG$50)&gt;=SUMIF($A$11:$A$50,H11,$E$11:$E$50))),"ОТКРЫТО","ЗАКРЫТО"))</x:f>
        <x:v>ОТКРЫТО</x:v>
      </x:c>
      <x:c r="AW11" t="str">
        <x:f>IF(AH11&gt;=E11,"ИЗУЧЕНО",IF(AND(OR(F11="",SUMIF($A$11:$A$50,F11,AH$11:AH$50)&gt;=SUMIF($A$11:$A$50,F11,$E$11:$E$50)),OR(G11="",SUMIF($A$11:$A$50,G11,AH$11:AH$50)&gt;=SUMIF($A$11:$A$50,G11,$E$11:$E$50)),OR(H11="",SUMIF($A$11:$A$50,H11,AH$11:AH$50)&gt;=SUMIF($A$11:$A$50,H11,$E$11:$E$50))),"ОТКРЫТО","ЗАКРЫТО"))</x:f>
        <x:v>ОТКРЫТО</x:v>
      </x:c>
      <x:c r="AX11" t="str">
        <x:f>IF(AI11&gt;=E11,"ИЗУЧЕНО",IF(AND(OR(F11="",SUMIF($A$11:$A$50,F11,AI$11:AI$50)&gt;=SUMIF($A$11:$A$50,F11,$E$11:$E$50)),OR(G11="",SUMIF($A$11:$A$50,G11,AI$11:AI$50)&gt;=SUMIF($A$11:$A$50,G11,$E$11:$E$50)),OR(H11="",SUMIF($A$11:$A$50,H11,AI$11:AI$50)&gt;=SUMIF($A$11:$A$50,H11,$E$11:$E$50))),"ОТКРЫТО","ЗАКРЫТО"))</x:f>
        <x:v>ОТКРЫТО</x:v>
      </x:c>
      <x:c r="AY11" t="str">
        <x:f>IF(AJ11&gt;=E11,"ИЗУЧЕНО",IF(AND(OR(F11="",SUMIF($A$11:$A$50,F11,AJ$11:AJ$50)&gt;=SUMIF($A$11:$A$50,F11,$E$11:$E$50)),OR(G11="",SUMIF($A$11:$A$50,G11,AJ$11:AJ$50)&gt;=SUMIF($A$11:$A$50,G11,$E$11:$E$50)),OR(H11="",SUMIF($A$11:$A$50,H11,AJ$11:AJ$50)&gt;=SUMIF($A$11:$A$50,H11,$E$11:$E$50))),"ОТКРЫТО","ЗАКРЫТО"))</x:f>
        <x:v>ОТКРЫТО</x:v>
      </x:c>
      <x:c r="AZ11" t="str">
        <x:f>IF(AK11&gt;=E11,"ИЗУЧЕНО",IF(AND(OR(F11="",SUMIF($A$11:$A$50,F11,AK$11:AK$50)&gt;=SUMIF($A$11:$A$50,F11,$E$11:$E$50)),OR(G11="",SUMIF($A$11:$A$50,G11,AK$11:AK$50)&gt;=SUMIF($A$11:$A$50,G11,$E$11:$E$50)),OR(H11="",SUMIF($A$11:$A$50,H11,AK$11:AK$50)&gt;=SUMIF($A$11:$A$50,H11,$E$11:$E$50))),"ОТКРЫТО","ЗАКРЫТО"))</x:f>
        <x:v>ОТКРЫТО</x:v>
      </x:c>
      <x:c r="BA11" t="str">
        <x:f>IF(AL11&gt;=E11,"ИЗУЧЕНО",IF(AND(OR(F11="",SUMIF($A$11:$A$50,F11,AL$11:AL$50)&gt;=SUMIF($A$11:$A$50,F11,$E$11:$E$50)),OR(G11="",SUMIF($A$11:$A$50,G11,AL$11:AL$50)&gt;=SUMIF($A$11:$A$50,G11,$E$11:$E$50)),OR(H11="",SUMIF($A$11:$A$50,H11,AL$11:AL$50)&gt;=SUMIF($A$11:$A$50,H11,$E$11:$E$50))),"ОТКРЫТО","ЗАКРЫТО"))</x:f>
        <x:v>ОТКРЫТО</x:v>
      </x:c>
      <x:c r="BB11" t="str">
        <x:f>IF(AM11&gt;=E11,"ИЗУЧЕНО",IF(AND(OR(F11="",SUMIF($A$11:$A$50,F11,AM$11:AM$50)&gt;=SUMIF($A$11:$A$50,F11,$E$11:$E$50)),OR(G11="",SUMIF($A$11:$A$50,G11,AM$11:AM$50)&gt;=SUMIF($A$11:$A$50,G11,$E$11:$E$50)),OR(H11="",SUMIF($A$11:$A$50,H11,AM$11:AM$50)&gt;=SUMIF($A$11:$A$50,H11,$E$11:$E$50))),"ОТКРЫТО","ЗАКРЫТО"))</x:f>
        <x:v>ОТКРЫТО</x:v>
      </x:c>
      <x:c r="BC11" t="str">
        <x:f>IF(AN11&gt;=E11,"ИЗУЧЕНО",IF(AND(OR(F11="",SUMIF($A$11:$A$50,F11,AN$11:AN$50)&gt;=SUMIF($A$11:$A$50,F11,$E$11:$E$50)),OR(G11="",SUMIF($A$11:$A$50,G11,AN$11:AN$50)&gt;=SUMIF($A$11:$A$50,G11,$E$11:$E$50)),OR(H11="",SUMIF($A$11:$A$50,H11,AN$11:AN$50)&gt;=SUMIF($A$11:$A$50,H11,$E$11:$E$50))),"ОТКРЫТО","ЗАКРЫТО"))</x:f>
        <x:v>ОТКРЫТО</x:v>
      </x:c>
      <x:c r="BD11" t="str">
        <x:f>IF(AO11&gt;=E11,"ИЗУЧЕНО",IF(AND(OR(F11="",SUMIF($A$11:$A$50,F11,AO$11:AO$50)&gt;=SUMIF($A$11:$A$50,F11,$E$11:$E$50)),OR(G11="",SUMIF($A$11:$A$50,G11,AO$11:AO$50)&gt;=SUMIF($A$11:$A$50,G11,$E$11:$E$50)),OR(H11="",SUMIF($A$11:$A$50,H11,AO$11:AO$50)&gt;=SUMIF($A$11:$A$50,H11,$E$11:$E$50))),"ОТКРЫТО","ЗАКРЫТО"))</x:f>
        <x:v>ОТКРЫТО</x:v>
      </x:c>
      <x:c r="BE11" t="str">
        <x:f>IF(AP11&gt;=E11,"ИЗУЧЕНО",IF(AND(OR(F11="",SUMIF($A$11:$A$50,F11,AP$11:AP$50)&gt;=SUMIF($A$11:$A$50,F11,$E$11:$E$50)),OR(G11="",SUMIF($A$11:$A$50,G11,AP$11:AP$50)&gt;=SUMIF($A$11:$A$50,G11,$E$11:$E$50)),OR(H11="",SUMIF($A$11:$A$50,H11,AP$11:AP$50)&gt;=SUMIF($A$11:$A$50,H11,$E$11:$E$50))),"ОТКРЫТО","ЗАКРЫТО"))</x:f>
        <x:v>ОТКРЫТО</x:v>
      </x:c>
      <x:c r="BF11" t="str">
        <x:f>IF(AQ11&gt;=E11,"ИЗУЧЕНО",IF(AND(OR(F11="",SUMIF($A$11:$A$50,F11,AQ$11:AQ$50)&gt;=SUMIF($A$11:$A$50,F11,$E$11:$E$50)),OR(G11="",SUMIF($A$11:$A$50,G11,AQ$11:AQ$50)&gt;=SUMIF($A$11:$A$50,G11,$E$11:$E$50)),OR(H11="",SUMIF($A$11:$A$50,H11,AQ$11:AQ$50)&gt;=SUMIF($A$11:$A$50,H11,$E$11:$E$50))),"ОТКРЫТО","ЗАКРЫТО"))</x:f>
        <x:v>ОТКРЫТО</x:v>
      </x:c>
    </x:row>
    <x:row r="12">
      <x:c r="A12" s="42" t="str">
        <x:v>C2</x:v>
      </x:c>
      <x:c r="B12" s="42" t="str">
        <x:v>Вычисления и аппаратная база</x:v>
      </x:c>
      <x:c r="C12" s="42" t="str">
        <x:v>II</x:v>
      </x:c>
      <x:c r="D12" s="42" t="str">
        <x:v>Проектирование специализированных ускорителей</x:v>
      </x:c>
      <x:c r="E12" s="42" t="n">
        <x:v>40</x:v>
      </x:c>
      <x:c r="F12" s="42" t="str">
        <x:v>C1</x:v>
      </x:c>
      <x:c r="G12" s="42"/>
      <x:c r="H12" s="42"/>
      <x:c r="I12" s="42" t="str">
        <x:v>Собственные архитектуры ускорителей и средств их проектирования.</x:v>
      </x:c>
      <x:c r="J12" s="42" t="str">
        <x:v>Вычислительные компоненты +0,3; их прирост +0,08/год</x:v>
      </x:c>
      <x:c r="K12" s="43" t="n">
        <x:f>SUMIF('Ход 2026'!$G$29:$G$38,$A12,'Ход 2026'!$I$29:$I$38)</x:f>
        <x:v>0</x:v>
      </x:c>
      <x:c r="L12" s="43" t="n">
        <x:f>SUMIF('Ход 2027'!$G$29:$G$38,$A12,'Ход 2027'!$I$29:$I$38)</x:f>
        <x:v>0</x:v>
      </x:c>
      <x:c r="M12" s="43" t="n">
        <x:f>SUMIF('Ход 2028'!$G$29:$G$38,$A12,'Ход 2028'!$I$29:$I$38)</x:f>
        <x:v>0</x:v>
      </x:c>
      <x:c r="N12" s="43" t="n">
        <x:f>SUMIF('Ход 2029'!$G$29:$G$38,$A12,'Ход 2029'!$I$29:$I$38)</x:f>
        <x:v>0</x:v>
      </x:c>
      <x:c r="O12" s="43" t="n">
        <x:f>SUMIF('Ход 2030'!$G$29:$G$38,$A12,'Ход 2030'!$I$29:$I$38)</x:f>
        <x:v>0</x:v>
      </x:c>
      <x:c r="P12" s="43" t="n">
        <x:f>SUMIF('Ход 2031'!$G$29:$G$38,$A12,'Ход 2031'!$I$29:$I$38)</x:f>
        <x:v>0</x:v>
      </x:c>
      <x:c r="Q12" s="43" t="n">
        <x:f>SUMIF('Ход 2032'!$G$29:$G$38,$A12,'Ход 2032'!$I$29:$I$38)</x:f>
        <x:v>0</x:v>
      </x:c>
      <x:c r="R12" s="43" t="n">
        <x:f>SUMIF('Ход 2033'!$G$29:$G$38,$A12,'Ход 2033'!$I$29:$I$38)</x:f>
        <x:v>0</x:v>
      </x:c>
      <x:c r="S12" s="43" t="n">
        <x:f>SUMIF('Ход 2034'!$G$29:$G$38,$A12,'Ход 2034'!$I$29:$I$38)</x:f>
        <x:v>0</x:v>
      </x:c>
      <x:c r="T12" s="43" t="n">
        <x:f>SUMIF('Ход 2035'!$G$29:$G$38,$A12,'Ход 2035'!$I$29:$I$38)</x:f>
        <x:v>0</x:v>
      </x:c>
      <x:c r="U12" s="43" t="n">
        <x:f>SUMIF('Ход 2036'!$G$29:$G$38,$A12,'Ход 2036'!$I$29:$I$38)</x:f>
        <x:v>0</x:v>
      </x:c>
      <x:c r="V12" s="43" t="n">
        <x:f>SUMIF('Ход 2037'!$G$29:$G$38,$A12,'Ход 2037'!$I$29:$I$38)</x:f>
        <x:v>0</x:v>
      </x:c>
      <x:c r="W12" s="43" t="n">
        <x:f>SUMIF('Ход 2038'!$G$29:$G$38,$A12,'Ход 2038'!$I$29:$I$38)</x:f>
        <x:v>0</x:v>
      </x:c>
      <x:c r="X12" s="43" t="n">
        <x:f>SUMIF('Ход 2039'!$G$29:$G$38,$A12,'Ход 2039'!$I$29:$I$38)</x:f>
        <x:v>0</x:v>
      </x:c>
      <x:c r="Y12" s="43" t="n">
        <x:f>SUMIF('Ход 2040'!$G$29:$G$38,$A12,'Ход 2040'!$I$29:$I$38)</x:f>
        <x:v>0</x:v>
      </x:c>
      <x:c r="Z12" s="44" t="n">
        <x:f>SUM(K12:Y12)</x:f>
        <x:v>0</x:v>
      </x:c>
      <x:c r="AA12" s="44" t="n">
        <x:f>MAX(0,E12-Z12)</x:f>
        <x:v>40</x:v>
      </x:c>
      <x:c r="AB12" s="42" t="str">
        <x:f>BF12</x:f>
        <x:v>ЗАКРЫТО</x:v>
      </x:c>
      <x:c r="AC12" t="n">
        <x:f>SUM($K12:K12)</x:f>
        <x:v>0</x:v>
      </x:c>
      <x:c r="AD12" t="n">
        <x:f>SUM($K12:L12)</x:f>
        <x:v>0</x:v>
      </x:c>
      <x:c r="AE12" t="n">
        <x:f>SUM($K12:M12)</x:f>
        <x:v>0</x:v>
      </x:c>
      <x:c r="AF12" t="n">
        <x:f>SUM($K12:N12)</x:f>
        <x:v>0</x:v>
      </x:c>
      <x:c r="AG12" t="n">
        <x:f>SUM($K12:O12)</x:f>
        <x:v>0</x:v>
      </x:c>
      <x:c r="AH12" t="n">
        <x:f>SUM($K12:P12)</x:f>
        <x:v>0</x:v>
      </x:c>
      <x:c r="AI12" t="n">
        <x:f>SUM($K12:Q12)</x:f>
        <x:v>0</x:v>
      </x:c>
      <x:c r="AJ12" t="n">
        <x:f>SUM($K12:R12)</x:f>
        <x:v>0</x:v>
      </x:c>
      <x:c r="AK12" t="n">
        <x:f>SUM($K12:S12)</x:f>
        <x:v>0</x:v>
      </x:c>
      <x:c r="AL12" t="n">
        <x:f>SUM($K12:T12)</x:f>
        <x:v>0</x:v>
      </x:c>
      <x:c r="AM12" t="n">
        <x:f>SUM($K12:U12)</x:f>
        <x:v>0</x:v>
      </x:c>
      <x:c r="AN12" t="n">
        <x:f>SUM($K12:V12)</x:f>
        <x:v>0</x:v>
      </x:c>
      <x:c r="AO12" t="n">
        <x:f>SUM($K12:W12)</x:f>
        <x:v>0</x:v>
      </x:c>
      <x:c r="AP12" t="n">
        <x:f>SUM($K12:X12)</x:f>
        <x:v>0</x:v>
      </x:c>
      <x:c r="AQ12" t="n">
        <x:f>SUM($K12:Y12)</x:f>
        <x:v>0</x:v>
      </x:c>
      <x:c r="AR12" t="str">
        <x:f>IF(AC12&gt;=E12,"ИЗУЧЕНО",IF(AND(OR(F12="",SUMIF($A$11:$A$50,F12,AC$11:AC$50)&gt;=SUMIF($A$11:$A$50,F12,$E$11:$E$50)),OR(G12="",SUMIF($A$11:$A$50,G12,AC$11:AC$50)&gt;=SUMIF($A$11:$A$50,G12,$E$11:$E$50)),OR(H12="",SUMIF($A$11:$A$50,H12,AC$11:AC$50)&gt;=SUMIF($A$11:$A$50,H12,$E$11:$E$50))),"ОТКРЫТО","ЗАКРЫТО"))</x:f>
        <x:v>ЗАКРЫТО</x:v>
      </x:c>
      <x:c r="AS12" t="str">
        <x:f>IF(AD12&gt;=E12,"ИЗУЧЕНО",IF(AND(OR(F12="",SUMIF($A$11:$A$50,F12,AD$11:AD$50)&gt;=SUMIF($A$11:$A$50,F12,$E$11:$E$50)),OR(G12="",SUMIF($A$11:$A$50,G12,AD$11:AD$50)&gt;=SUMIF($A$11:$A$50,G12,$E$11:$E$50)),OR(H12="",SUMIF($A$11:$A$50,H12,AD$11:AD$50)&gt;=SUMIF($A$11:$A$50,H12,$E$11:$E$50))),"ОТКРЫТО","ЗАКРЫТО"))</x:f>
        <x:v>ЗАКРЫТО</x:v>
      </x:c>
      <x:c r="AT12" t="str">
        <x:f>IF(AE12&gt;=E12,"ИЗУЧЕНО",IF(AND(OR(F12="",SUMIF($A$11:$A$50,F12,AE$11:AE$50)&gt;=SUMIF($A$11:$A$50,F12,$E$11:$E$50)),OR(G12="",SUMIF($A$11:$A$50,G12,AE$11:AE$50)&gt;=SUMIF($A$11:$A$50,G12,$E$11:$E$50)),OR(H12="",SUMIF($A$11:$A$50,H12,AE$11:AE$50)&gt;=SUMIF($A$11:$A$50,H12,$E$11:$E$50))),"ОТКРЫТО","ЗАКРЫТО"))</x:f>
        <x:v>ЗАКРЫТО</x:v>
      </x:c>
      <x:c r="AU12" t="str">
        <x:f>IF(AF12&gt;=E12,"ИЗУЧЕНО",IF(AND(OR(F12="",SUMIF($A$11:$A$50,F12,AF$11:AF$50)&gt;=SUMIF($A$11:$A$50,F12,$E$11:$E$50)),OR(G12="",SUMIF($A$11:$A$50,G12,AF$11:AF$50)&gt;=SUMIF($A$11:$A$50,G12,$E$11:$E$50)),OR(H12="",SUMIF($A$11:$A$50,H12,AF$11:AF$50)&gt;=SUMIF($A$11:$A$50,H12,$E$11:$E$50))),"ОТКРЫТО","ЗАКРЫТО"))</x:f>
        <x:v>ЗАКРЫТО</x:v>
      </x:c>
      <x:c r="AV12" t="str">
        <x:f>IF(AG12&gt;=E12,"ИЗУЧЕНО",IF(AND(OR(F12="",SUMIF($A$11:$A$50,F12,AG$11:AG$50)&gt;=SUMIF($A$11:$A$50,F12,$E$11:$E$50)),OR(G12="",SUMIF($A$11:$A$50,G12,AG$11:AG$50)&gt;=SUMIF($A$11:$A$50,G12,$E$11:$E$50)),OR(H12="",SUMIF($A$11:$A$50,H12,AG$11:AG$50)&gt;=SUMIF($A$11:$A$50,H12,$E$11:$E$50))),"ОТКРЫТО","ЗАКРЫТО"))</x:f>
        <x:v>ЗАКРЫТО</x:v>
      </x:c>
      <x:c r="AW12" t="str">
        <x:f>IF(AH12&gt;=E12,"ИЗУЧЕНО",IF(AND(OR(F12="",SUMIF($A$11:$A$50,F12,AH$11:AH$50)&gt;=SUMIF($A$11:$A$50,F12,$E$11:$E$50)),OR(G12="",SUMIF($A$11:$A$50,G12,AH$11:AH$50)&gt;=SUMIF($A$11:$A$50,G12,$E$11:$E$50)),OR(H12="",SUMIF($A$11:$A$50,H12,AH$11:AH$50)&gt;=SUMIF($A$11:$A$50,H12,$E$11:$E$50))),"ОТКРЫТО","ЗАКРЫТО"))</x:f>
        <x:v>ЗАКРЫТО</x:v>
      </x:c>
      <x:c r="AX12" t="str">
        <x:f>IF(AI12&gt;=E12,"ИЗУЧЕНО",IF(AND(OR(F12="",SUMIF($A$11:$A$50,F12,AI$11:AI$50)&gt;=SUMIF($A$11:$A$50,F12,$E$11:$E$50)),OR(G12="",SUMIF($A$11:$A$50,G12,AI$11:AI$50)&gt;=SUMIF($A$11:$A$50,G12,$E$11:$E$50)),OR(H12="",SUMIF($A$11:$A$50,H12,AI$11:AI$50)&gt;=SUMIF($A$11:$A$50,H12,$E$11:$E$50))),"ОТКРЫТО","ЗАКРЫТО"))</x:f>
        <x:v>ЗАКРЫТО</x:v>
      </x:c>
      <x:c r="AY12" t="str">
        <x:f>IF(AJ12&gt;=E12,"ИЗУЧЕНО",IF(AND(OR(F12="",SUMIF($A$11:$A$50,F12,AJ$11:AJ$50)&gt;=SUMIF($A$11:$A$50,F12,$E$11:$E$50)),OR(G12="",SUMIF($A$11:$A$50,G12,AJ$11:AJ$50)&gt;=SUMIF($A$11:$A$50,G12,$E$11:$E$50)),OR(H12="",SUMIF($A$11:$A$50,H12,AJ$11:AJ$50)&gt;=SUMIF($A$11:$A$50,H12,$E$11:$E$50))),"ОТКРЫТО","ЗАКРЫТО"))</x:f>
        <x:v>ЗАКРЫТО</x:v>
      </x:c>
      <x:c r="AZ12" t="str">
        <x:f>IF(AK12&gt;=E12,"ИЗУЧЕНО",IF(AND(OR(F12="",SUMIF($A$11:$A$50,F12,AK$11:AK$50)&gt;=SUMIF($A$11:$A$50,F12,$E$11:$E$50)),OR(G12="",SUMIF($A$11:$A$50,G12,AK$11:AK$50)&gt;=SUMIF($A$11:$A$50,G12,$E$11:$E$50)),OR(H12="",SUMIF($A$11:$A$50,H12,AK$11:AK$50)&gt;=SUMIF($A$11:$A$50,H12,$E$11:$E$50))),"ОТКРЫТО","ЗАКРЫТО"))</x:f>
        <x:v>ЗАКРЫТО</x:v>
      </x:c>
      <x:c r="BA12" t="str">
        <x:f>IF(AL12&gt;=E12,"ИЗУЧЕНО",IF(AND(OR(F12="",SUMIF($A$11:$A$50,F12,AL$11:AL$50)&gt;=SUMIF($A$11:$A$50,F12,$E$11:$E$50)),OR(G12="",SUMIF($A$11:$A$50,G12,AL$11:AL$50)&gt;=SUMIF($A$11:$A$50,G12,$E$11:$E$50)),OR(H12="",SUMIF($A$11:$A$50,H12,AL$11:AL$50)&gt;=SUMIF($A$11:$A$50,H12,$E$11:$E$50))),"ОТКРЫТО","ЗАКРЫТО"))</x:f>
        <x:v>ЗАКРЫТО</x:v>
      </x:c>
      <x:c r="BB12" t="str">
        <x:f>IF(AM12&gt;=E12,"ИЗУЧЕНО",IF(AND(OR(F12="",SUMIF($A$11:$A$50,F12,AM$11:AM$50)&gt;=SUMIF($A$11:$A$50,F12,$E$11:$E$50)),OR(G12="",SUMIF($A$11:$A$50,G12,AM$11:AM$50)&gt;=SUMIF($A$11:$A$50,G12,$E$11:$E$50)),OR(H12="",SUMIF($A$11:$A$50,H12,AM$11:AM$50)&gt;=SUMIF($A$11:$A$50,H12,$E$11:$E$50))),"ОТКРЫТО","ЗАКРЫТО"))</x:f>
        <x:v>ЗАКРЫТО</x:v>
      </x:c>
      <x:c r="BC12" t="str">
        <x:f>IF(AN12&gt;=E12,"ИЗУЧЕНО",IF(AND(OR(F12="",SUMIF($A$11:$A$50,F12,AN$11:AN$50)&gt;=SUMIF($A$11:$A$50,F12,$E$11:$E$50)),OR(G12="",SUMIF($A$11:$A$50,G12,AN$11:AN$50)&gt;=SUMIF($A$11:$A$50,G12,$E$11:$E$50)),OR(H12="",SUMIF($A$11:$A$50,H12,AN$11:AN$50)&gt;=SUMIF($A$11:$A$50,H12,$E$11:$E$50))),"ОТКРЫТО","ЗАКРЫТО"))</x:f>
        <x:v>ЗАКРЫТО</x:v>
      </x:c>
      <x:c r="BD12" t="str">
        <x:f>IF(AO12&gt;=E12,"ИЗУЧЕНО",IF(AND(OR(F12="",SUMIF($A$11:$A$50,F12,AO$11:AO$50)&gt;=SUMIF($A$11:$A$50,F12,$E$11:$E$50)),OR(G12="",SUMIF($A$11:$A$50,G12,AO$11:AO$50)&gt;=SUMIF($A$11:$A$50,G12,$E$11:$E$50)),OR(H12="",SUMIF($A$11:$A$50,H12,AO$11:AO$50)&gt;=SUMIF($A$11:$A$50,H12,$E$11:$E$50))),"ОТКРЫТО","ЗАКРЫТО"))</x:f>
        <x:v>ЗАКРЫТО</x:v>
      </x:c>
      <x:c r="BE12" t="str">
        <x:f>IF(AP12&gt;=E12,"ИЗУЧЕНО",IF(AND(OR(F12="",SUMIF($A$11:$A$50,F12,AP$11:AP$50)&gt;=SUMIF($A$11:$A$50,F12,$E$11:$E$50)),OR(G12="",SUMIF($A$11:$A$50,G12,AP$11:AP$50)&gt;=SUMIF($A$11:$A$50,G12,$E$11:$E$50)),OR(H12="",SUMIF($A$11:$A$50,H12,AP$11:AP$50)&gt;=SUMIF($A$11:$A$50,H12,$E$11:$E$50))),"ОТКРЫТО","ЗАКРЫТО"))</x:f>
        <x:v>ЗАКРЫТО</x:v>
      </x:c>
      <x:c r="BF12" t="str">
        <x:f>IF(AQ12&gt;=E12,"ИЗУЧЕНО",IF(AND(OR(F12="",SUMIF($A$11:$A$50,F12,AQ$11:AQ$50)&gt;=SUMIF($A$11:$A$50,F12,$E$11:$E$50)),OR(G12="",SUMIF($A$11:$A$50,G12,AQ$11:AQ$50)&gt;=SUMIF($A$11:$A$50,G12,$E$11:$E$50)),OR(H12="",SUMIF($A$11:$A$50,H12,AQ$11:AQ$50)&gt;=SUMIF($A$11:$A$50,H12,$E$11:$E$50))),"ОТКРЫТО","ЗАКРЫТО"))</x:f>
        <x:v>ЗАКРЫТО</x:v>
      </x:c>
    </x:row>
    <x:row r="13">
      <x:c r="A13" s="42" t="str">
        <x:v>C3</x:v>
      </x:c>
      <x:c r="B13" s="42" t="str">
        <x:v>Вычисления и аппаратная база</x:v>
      </x:c>
      <x:c r="C13" s="42" t="str">
        <x:v>II</x:v>
      </x:c>
      <x:c r="D13" s="42" t="str">
        <x:v>Передовая микроэлектроника для ИИ</x:v>
      </x:c>
      <x:c r="E13" s="42" t="n">
        <x:v>45</x:v>
      </x:c>
      <x:c r="F13" s="42" t="str">
        <x:v>C1</x:v>
      </x:c>
      <x:c r="G13" s="42"/>
      <x:c r="H13" s="42"/>
      <x:c r="I13" s="42" t="str">
        <x:v>Технологическая база для специализированных чипов, памяти и упаковки.</x:v>
      </x:c>
      <x:c r="J13" s="42" t="str">
        <x:v>Полупроводниковое производство +0,4; его прирост +0,08/год</x:v>
      </x:c>
      <x:c r="K13" s="43" t="n">
        <x:f>SUMIF('Ход 2026'!$G$29:$G$38,$A13,'Ход 2026'!$I$29:$I$38)</x:f>
        <x:v>0</x:v>
      </x:c>
      <x:c r="L13" s="43" t="n">
        <x:f>SUMIF('Ход 2027'!$G$29:$G$38,$A13,'Ход 2027'!$I$29:$I$38)</x:f>
        <x:v>0</x:v>
      </x:c>
      <x:c r="M13" s="43" t="n">
        <x:f>SUMIF('Ход 2028'!$G$29:$G$38,$A13,'Ход 2028'!$I$29:$I$38)</x:f>
        <x:v>0</x:v>
      </x:c>
      <x:c r="N13" s="43" t="n">
        <x:f>SUMIF('Ход 2029'!$G$29:$G$38,$A13,'Ход 2029'!$I$29:$I$38)</x:f>
        <x:v>0</x:v>
      </x:c>
      <x:c r="O13" s="43" t="n">
        <x:f>SUMIF('Ход 2030'!$G$29:$G$38,$A13,'Ход 2030'!$I$29:$I$38)</x:f>
        <x:v>0</x:v>
      </x:c>
      <x:c r="P13" s="43" t="n">
        <x:f>SUMIF('Ход 2031'!$G$29:$G$38,$A13,'Ход 2031'!$I$29:$I$38)</x:f>
        <x:v>0</x:v>
      </x:c>
      <x:c r="Q13" s="43" t="n">
        <x:f>SUMIF('Ход 2032'!$G$29:$G$38,$A13,'Ход 2032'!$I$29:$I$38)</x:f>
        <x:v>0</x:v>
      </x:c>
      <x:c r="R13" s="43" t="n">
        <x:f>SUMIF('Ход 2033'!$G$29:$G$38,$A13,'Ход 2033'!$I$29:$I$38)</x:f>
        <x:v>0</x:v>
      </x:c>
      <x:c r="S13" s="43" t="n">
        <x:f>SUMIF('Ход 2034'!$G$29:$G$38,$A13,'Ход 2034'!$I$29:$I$38)</x:f>
        <x:v>0</x:v>
      </x:c>
      <x:c r="T13" s="43" t="n">
        <x:f>SUMIF('Ход 2035'!$G$29:$G$38,$A13,'Ход 2035'!$I$29:$I$38)</x:f>
        <x:v>0</x:v>
      </x:c>
      <x:c r="U13" s="43" t="n">
        <x:f>SUMIF('Ход 2036'!$G$29:$G$38,$A13,'Ход 2036'!$I$29:$I$38)</x:f>
        <x:v>0</x:v>
      </x:c>
      <x:c r="V13" s="43" t="n">
        <x:f>SUMIF('Ход 2037'!$G$29:$G$38,$A13,'Ход 2037'!$I$29:$I$38)</x:f>
        <x:v>0</x:v>
      </x:c>
      <x:c r="W13" s="43" t="n">
        <x:f>SUMIF('Ход 2038'!$G$29:$G$38,$A13,'Ход 2038'!$I$29:$I$38)</x:f>
        <x:v>0</x:v>
      </x:c>
      <x:c r="X13" s="43" t="n">
        <x:f>SUMIF('Ход 2039'!$G$29:$G$38,$A13,'Ход 2039'!$I$29:$I$38)</x:f>
        <x:v>0</x:v>
      </x:c>
      <x:c r="Y13" s="43" t="n">
        <x:f>SUMIF('Ход 2040'!$G$29:$G$38,$A13,'Ход 2040'!$I$29:$I$38)</x:f>
        <x:v>0</x:v>
      </x:c>
      <x:c r="Z13" s="44" t="n">
        <x:f>SUM(K13:Y13)</x:f>
        <x:v>0</x:v>
      </x:c>
      <x:c r="AA13" s="44" t="n">
        <x:f>MAX(0,E13-Z13)</x:f>
        <x:v>45</x:v>
      </x:c>
      <x:c r="AB13" s="42" t="str">
        <x:f>BF13</x:f>
        <x:v>ЗАКРЫТО</x:v>
      </x:c>
      <x:c r="AC13" t="n">
        <x:f>SUM($K13:K13)</x:f>
        <x:v>0</x:v>
      </x:c>
      <x:c r="AD13" t="n">
        <x:f>SUM($K13:L13)</x:f>
        <x:v>0</x:v>
      </x:c>
      <x:c r="AE13" t="n">
        <x:f>SUM($K13:M13)</x:f>
        <x:v>0</x:v>
      </x:c>
      <x:c r="AF13" t="n">
        <x:f>SUM($K13:N13)</x:f>
        <x:v>0</x:v>
      </x:c>
      <x:c r="AG13" t="n">
        <x:f>SUM($K13:O13)</x:f>
        <x:v>0</x:v>
      </x:c>
      <x:c r="AH13" t="n">
        <x:f>SUM($K13:P13)</x:f>
        <x:v>0</x:v>
      </x:c>
      <x:c r="AI13" t="n">
        <x:f>SUM($K13:Q13)</x:f>
        <x:v>0</x:v>
      </x:c>
      <x:c r="AJ13" t="n">
        <x:f>SUM($K13:R13)</x:f>
        <x:v>0</x:v>
      </x:c>
      <x:c r="AK13" t="n">
        <x:f>SUM($K13:S13)</x:f>
        <x:v>0</x:v>
      </x:c>
      <x:c r="AL13" t="n">
        <x:f>SUM($K13:T13)</x:f>
        <x:v>0</x:v>
      </x:c>
      <x:c r="AM13" t="n">
        <x:f>SUM($K13:U13)</x:f>
        <x:v>0</x:v>
      </x:c>
      <x:c r="AN13" t="n">
        <x:f>SUM($K13:V13)</x:f>
        <x:v>0</x:v>
      </x:c>
      <x:c r="AO13" t="n">
        <x:f>SUM($K13:W13)</x:f>
        <x:v>0</x:v>
      </x:c>
      <x:c r="AP13" t="n">
        <x:f>SUM($K13:X13)</x:f>
        <x:v>0</x:v>
      </x:c>
      <x:c r="AQ13" t="n">
        <x:f>SUM($K13:Y13)</x:f>
        <x:v>0</x:v>
      </x:c>
      <x:c r="AR13" t="str">
        <x:f>IF(AC13&gt;=E13,"ИЗУЧЕНО",IF(AND(OR(F13="",SUMIF($A$11:$A$50,F13,AC$11:AC$50)&gt;=SUMIF($A$11:$A$50,F13,$E$11:$E$50)),OR(G13="",SUMIF($A$11:$A$50,G13,AC$11:AC$50)&gt;=SUMIF($A$11:$A$50,G13,$E$11:$E$50)),OR(H13="",SUMIF($A$11:$A$50,H13,AC$11:AC$50)&gt;=SUMIF($A$11:$A$50,H13,$E$11:$E$50))),"ОТКРЫТО","ЗАКРЫТО"))</x:f>
        <x:v>ЗАКРЫТО</x:v>
      </x:c>
      <x:c r="AS13" t="str">
        <x:f>IF(AD13&gt;=E13,"ИЗУЧЕНО",IF(AND(OR(F13="",SUMIF($A$11:$A$50,F13,AD$11:AD$50)&gt;=SUMIF($A$11:$A$50,F13,$E$11:$E$50)),OR(G13="",SUMIF($A$11:$A$50,G13,AD$11:AD$50)&gt;=SUMIF($A$11:$A$50,G13,$E$11:$E$50)),OR(H13="",SUMIF($A$11:$A$50,H13,AD$11:AD$50)&gt;=SUMIF($A$11:$A$50,H13,$E$11:$E$50))),"ОТКРЫТО","ЗАКРЫТО"))</x:f>
        <x:v>ЗАКРЫТО</x:v>
      </x:c>
      <x:c r="AT13" t="str">
        <x:f>IF(AE13&gt;=E13,"ИЗУЧЕНО",IF(AND(OR(F13="",SUMIF($A$11:$A$50,F13,AE$11:AE$50)&gt;=SUMIF($A$11:$A$50,F13,$E$11:$E$50)),OR(G13="",SUMIF($A$11:$A$50,G13,AE$11:AE$50)&gt;=SUMIF($A$11:$A$50,G13,$E$11:$E$50)),OR(H13="",SUMIF($A$11:$A$50,H13,AE$11:AE$50)&gt;=SUMIF($A$11:$A$50,H13,$E$11:$E$50))),"ОТКРЫТО","ЗАКРЫТО"))</x:f>
        <x:v>ЗАКРЫТО</x:v>
      </x:c>
      <x:c r="AU13" t="str">
        <x:f>IF(AF13&gt;=E13,"ИЗУЧЕНО",IF(AND(OR(F13="",SUMIF($A$11:$A$50,F13,AF$11:AF$50)&gt;=SUMIF($A$11:$A$50,F13,$E$11:$E$50)),OR(G13="",SUMIF($A$11:$A$50,G13,AF$11:AF$50)&gt;=SUMIF($A$11:$A$50,G13,$E$11:$E$50)),OR(H13="",SUMIF($A$11:$A$50,H13,AF$11:AF$50)&gt;=SUMIF($A$11:$A$50,H13,$E$11:$E$50))),"ОТКРЫТО","ЗАКРЫТО"))</x:f>
        <x:v>ЗАКРЫТО</x:v>
      </x:c>
      <x:c r="AV13" t="str">
        <x:f>IF(AG13&gt;=E13,"ИЗУЧЕНО",IF(AND(OR(F13="",SUMIF($A$11:$A$50,F13,AG$11:AG$50)&gt;=SUMIF($A$11:$A$50,F13,$E$11:$E$50)),OR(G13="",SUMIF($A$11:$A$50,G13,AG$11:AG$50)&gt;=SUMIF($A$11:$A$50,G13,$E$11:$E$50)),OR(H13="",SUMIF($A$11:$A$50,H13,AG$11:AG$50)&gt;=SUMIF($A$11:$A$50,H13,$E$11:$E$50))),"ОТКРЫТО","ЗАКРЫТО"))</x:f>
        <x:v>ЗАКРЫТО</x:v>
      </x:c>
      <x:c r="AW13" t="str">
        <x:f>IF(AH13&gt;=E13,"ИЗУЧЕНО",IF(AND(OR(F13="",SUMIF($A$11:$A$50,F13,AH$11:AH$50)&gt;=SUMIF($A$11:$A$50,F13,$E$11:$E$50)),OR(G13="",SUMIF($A$11:$A$50,G13,AH$11:AH$50)&gt;=SUMIF($A$11:$A$50,G13,$E$11:$E$50)),OR(H13="",SUMIF($A$11:$A$50,H13,AH$11:AH$50)&gt;=SUMIF($A$11:$A$50,H13,$E$11:$E$50))),"ОТКРЫТО","ЗАКРЫТО"))</x:f>
        <x:v>ЗАКРЫТО</x:v>
      </x:c>
      <x:c r="AX13" t="str">
        <x:f>IF(AI13&gt;=E13,"ИЗУЧЕНО",IF(AND(OR(F13="",SUMIF($A$11:$A$50,F13,AI$11:AI$50)&gt;=SUMIF($A$11:$A$50,F13,$E$11:$E$50)),OR(G13="",SUMIF($A$11:$A$50,G13,AI$11:AI$50)&gt;=SUMIF($A$11:$A$50,G13,$E$11:$E$50)),OR(H13="",SUMIF($A$11:$A$50,H13,AI$11:AI$50)&gt;=SUMIF($A$11:$A$50,H13,$E$11:$E$50))),"ОТКРЫТО","ЗАКРЫТО"))</x:f>
        <x:v>ЗАКРЫТО</x:v>
      </x:c>
      <x:c r="AY13" t="str">
        <x:f>IF(AJ13&gt;=E13,"ИЗУЧЕНО",IF(AND(OR(F13="",SUMIF($A$11:$A$50,F13,AJ$11:AJ$50)&gt;=SUMIF($A$11:$A$50,F13,$E$11:$E$50)),OR(G13="",SUMIF($A$11:$A$50,G13,AJ$11:AJ$50)&gt;=SUMIF($A$11:$A$50,G13,$E$11:$E$50)),OR(H13="",SUMIF($A$11:$A$50,H13,AJ$11:AJ$50)&gt;=SUMIF($A$11:$A$50,H13,$E$11:$E$50))),"ОТКРЫТО","ЗАКРЫТО"))</x:f>
        <x:v>ЗАКРЫТО</x:v>
      </x:c>
      <x:c r="AZ13" t="str">
        <x:f>IF(AK13&gt;=E13,"ИЗУЧЕНО",IF(AND(OR(F13="",SUMIF($A$11:$A$50,F13,AK$11:AK$50)&gt;=SUMIF($A$11:$A$50,F13,$E$11:$E$50)),OR(G13="",SUMIF($A$11:$A$50,G13,AK$11:AK$50)&gt;=SUMIF($A$11:$A$50,G13,$E$11:$E$50)),OR(H13="",SUMIF($A$11:$A$50,H13,AK$11:AK$50)&gt;=SUMIF($A$11:$A$50,H13,$E$11:$E$50))),"ОТКРЫТО","ЗАКРЫТО"))</x:f>
        <x:v>ЗАКРЫТО</x:v>
      </x:c>
      <x:c r="BA13" t="str">
        <x:f>IF(AL13&gt;=E13,"ИЗУЧЕНО",IF(AND(OR(F13="",SUMIF($A$11:$A$50,F13,AL$11:AL$50)&gt;=SUMIF($A$11:$A$50,F13,$E$11:$E$50)),OR(G13="",SUMIF($A$11:$A$50,G13,AL$11:AL$50)&gt;=SUMIF($A$11:$A$50,G13,$E$11:$E$50)),OR(H13="",SUMIF($A$11:$A$50,H13,AL$11:AL$50)&gt;=SUMIF($A$11:$A$50,H13,$E$11:$E$50))),"ОТКРЫТО","ЗАКРЫТО"))</x:f>
        <x:v>ЗАКРЫТО</x:v>
      </x:c>
      <x:c r="BB13" t="str">
        <x:f>IF(AM13&gt;=E13,"ИЗУЧЕНО",IF(AND(OR(F13="",SUMIF($A$11:$A$50,F13,AM$11:AM$50)&gt;=SUMIF($A$11:$A$50,F13,$E$11:$E$50)),OR(G13="",SUMIF($A$11:$A$50,G13,AM$11:AM$50)&gt;=SUMIF($A$11:$A$50,G13,$E$11:$E$50)),OR(H13="",SUMIF($A$11:$A$50,H13,AM$11:AM$50)&gt;=SUMIF($A$11:$A$50,H13,$E$11:$E$50))),"ОТКРЫТО","ЗАКРЫТО"))</x:f>
        <x:v>ЗАКРЫТО</x:v>
      </x:c>
      <x:c r="BC13" t="str">
        <x:f>IF(AN13&gt;=E13,"ИЗУЧЕНО",IF(AND(OR(F13="",SUMIF($A$11:$A$50,F13,AN$11:AN$50)&gt;=SUMIF($A$11:$A$50,F13,$E$11:$E$50)),OR(G13="",SUMIF($A$11:$A$50,G13,AN$11:AN$50)&gt;=SUMIF($A$11:$A$50,G13,$E$11:$E$50)),OR(H13="",SUMIF($A$11:$A$50,H13,AN$11:AN$50)&gt;=SUMIF($A$11:$A$50,H13,$E$11:$E$50))),"ОТКРЫТО","ЗАКРЫТО"))</x:f>
        <x:v>ЗАКРЫТО</x:v>
      </x:c>
      <x:c r="BD13" t="str">
        <x:f>IF(AO13&gt;=E13,"ИЗУЧЕНО",IF(AND(OR(F13="",SUMIF($A$11:$A$50,F13,AO$11:AO$50)&gt;=SUMIF($A$11:$A$50,F13,$E$11:$E$50)),OR(G13="",SUMIF($A$11:$A$50,G13,AO$11:AO$50)&gt;=SUMIF($A$11:$A$50,G13,$E$11:$E$50)),OR(H13="",SUMIF($A$11:$A$50,H13,AO$11:AO$50)&gt;=SUMIF($A$11:$A$50,H13,$E$11:$E$50))),"ОТКРЫТО","ЗАКРЫТО"))</x:f>
        <x:v>ЗАКРЫТО</x:v>
      </x:c>
      <x:c r="BE13" t="str">
        <x:f>IF(AP13&gt;=E13,"ИЗУЧЕНО",IF(AND(OR(F13="",SUMIF($A$11:$A$50,F13,AP$11:AP$50)&gt;=SUMIF($A$11:$A$50,F13,$E$11:$E$50)),OR(G13="",SUMIF($A$11:$A$50,G13,AP$11:AP$50)&gt;=SUMIF($A$11:$A$50,G13,$E$11:$E$50)),OR(H13="",SUMIF($A$11:$A$50,H13,AP$11:AP$50)&gt;=SUMIF($A$11:$A$50,H13,$E$11:$E$50))),"ОТКРЫТО","ЗАКРЫТО"))</x:f>
        <x:v>ЗАКРЫТО</x:v>
      </x:c>
      <x:c r="BF13" t="str">
        <x:f>IF(AQ13&gt;=E13,"ИЗУЧЕНО",IF(AND(OR(F13="",SUMIF($A$11:$A$50,F13,AQ$11:AQ$50)&gt;=SUMIF($A$11:$A$50,F13,$E$11:$E$50)),OR(G13="",SUMIF($A$11:$A$50,G13,AQ$11:AQ$50)&gt;=SUMIF($A$11:$A$50,G13,$E$11:$E$50)),OR(H13="",SUMIF($A$11:$A$50,H13,AQ$11:AQ$50)&gt;=SUMIF($A$11:$A$50,H13,$E$11:$E$50))),"ОТКРЫТО","ЗАКРЫТО"))</x:f>
        <x:v>ЗАКРЫТО</x:v>
      </x:c>
    </x:row>
    <x:row r="14">
      <x:c r="A14" s="42" t="str">
        <x:v>C4</x:v>
      </x:c>
      <x:c r="B14" s="42" t="str">
        <x:v>Вычисления и аппаратная база</x:v>
      </x:c>
      <x:c r="C14" s="42" t="str">
        <x:v>III</x:v>
      </x:c>
      <x:c r="D14" s="42" t="str">
        <x:v>Гетерогенные вычислительные кластеры</x:v>
      </x:c>
      <x:c r="E14" s="42" t="n">
        <x:v>65</x:v>
      </x:c>
      <x:c r="F14" s="42" t="str">
        <x:v>C2</x:v>
      </x:c>
      <x:c r="G14" s="42" t="str">
        <x:v>C3</x:v>
      </x:c>
      <x:c r="H14" s="42"/>
      <x:c r="I14" s="42" t="str">
        <x:v>Совместное использование CPU, GPU, специализированных ускорителей и распределённой памяти.</x:v>
      </x:c>
      <x:c r="J14" s="42" t="str">
        <x:v>ЦОД +0,4; Стек эксплуатации ИИ +0,2; прирост ЦОД +0,05/год</x:v>
      </x:c>
      <x:c r="K14" s="43" t="n">
        <x:f>SUMIF('Ход 2026'!$G$29:$G$38,$A14,'Ход 2026'!$I$29:$I$38)</x:f>
        <x:v>0</x:v>
      </x:c>
      <x:c r="L14" s="43" t="n">
        <x:f>SUMIF('Ход 2027'!$G$29:$G$38,$A14,'Ход 2027'!$I$29:$I$38)</x:f>
        <x:v>0</x:v>
      </x:c>
      <x:c r="M14" s="43" t="n">
        <x:f>SUMIF('Ход 2028'!$G$29:$G$38,$A14,'Ход 2028'!$I$29:$I$38)</x:f>
        <x:v>0</x:v>
      </x:c>
      <x:c r="N14" s="43" t="n">
        <x:f>SUMIF('Ход 2029'!$G$29:$G$38,$A14,'Ход 2029'!$I$29:$I$38)</x:f>
        <x:v>0</x:v>
      </x:c>
      <x:c r="O14" s="43" t="n">
        <x:f>SUMIF('Ход 2030'!$G$29:$G$38,$A14,'Ход 2030'!$I$29:$I$38)</x:f>
        <x:v>0</x:v>
      </x:c>
      <x:c r="P14" s="43" t="n">
        <x:f>SUMIF('Ход 2031'!$G$29:$G$38,$A14,'Ход 2031'!$I$29:$I$38)</x:f>
        <x:v>0</x:v>
      </x:c>
      <x:c r="Q14" s="43" t="n">
        <x:f>SUMIF('Ход 2032'!$G$29:$G$38,$A14,'Ход 2032'!$I$29:$I$38)</x:f>
        <x:v>0</x:v>
      </x:c>
      <x:c r="R14" s="43" t="n">
        <x:f>SUMIF('Ход 2033'!$G$29:$G$38,$A14,'Ход 2033'!$I$29:$I$38)</x:f>
        <x:v>0</x:v>
      </x:c>
      <x:c r="S14" s="43" t="n">
        <x:f>SUMIF('Ход 2034'!$G$29:$G$38,$A14,'Ход 2034'!$I$29:$I$38)</x:f>
        <x:v>0</x:v>
      </x:c>
      <x:c r="T14" s="43" t="n">
        <x:f>SUMIF('Ход 2035'!$G$29:$G$38,$A14,'Ход 2035'!$I$29:$I$38)</x:f>
        <x:v>0</x:v>
      </x:c>
      <x:c r="U14" s="43" t="n">
        <x:f>SUMIF('Ход 2036'!$G$29:$G$38,$A14,'Ход 2036'!$I$29:$I$38)</x:f>
        <x:v>0</x:v>
      </x:c>
      <x:c r="V14" s="43" t="n">
        <x:f>SUMIF('Ход 2037'!$G$29:$G$38,$A14,'Ход 2037'!$I$29:$I$38)</x:f>
        <x:v>0</x:v>
      </x:c>
      <x:c r="W14" s="43" t="n">
        <x:f>SUMIF('Ход 2038'!$G$29:$G$38,$A14,'Ход 2038'!$I$29:$I$38)</x:f>
        <x:v>0</x:v>
      </x:c>
      <x:c r="X14" s="43" t="n">
        <x:f>SUMIF('Ход 2039'!$G$29:$G$38,$A14,'Ход 2039'!$I$29:$I$38)</x:f>
        <x:v>0</x:v>
      </x:c>
      <x:c r="Y14" s="43" t="n">
        <x:f>SUMIF('Ход 2040'!$G$29:$G$38,$A14,'Ход 2040'!$I$29:$I$38)</x:f>
        <x:v>0</x:v>
      </x:c>
      <x:c r="Z14" s="44" t="n">
        <x:f>SUM(K14:Y14)</x:f>
        <x:v>0</x:v>
      </x:c>
      <x:c r="AA14" s="44" t="n">
        <x:f>MAX(0,E14-Z14)</x:f>
        <x:v>65</x:v>
      </x:c>
      <x:c r="AB14" s="42" t="str">
        <x:f>BF14</x:f>
        <x:v>ЗАКРЫТО</x:v>
      </x:c>
      <x:c r="AC14" t="n">
        <x:f>SUM($K14:K14)</x:f>
        <x:v>0</x:v>
      </x:c>
      <x:c r="AD14" t="n">
        <x:f>SUM($K14:L14)</x:f>
        <x:v>0</x:v>
      </x:c>
      <x:c r="AE14" t="n">
        <x:f>SUM($K14:M14)</x:f>
        <x:v>0</x:v>
      </x:c>
      <x:c r="AF14" t="n">
        <x:f>SUM($K14:N14)</x:f>
        <x:v>0</x:v>
      </x:c>
      <x:c r="AG14" t="n">
        <x:f>SUM($K14:O14)</x:f>
        <x:v>0</x:v>
      </x:c>
      <x:c r="AH14" t="n">
        <x:f>SUM($K14:P14)</x:f>
        <x:v>0</x:v>
      </x:c>
      <x:c r="AI14" t="n">
        <x:f>SUM($K14:Q14)</x:f>
        <x:v>0</x:v>
      </x:c>
      <x:c r="AJ14" t="n">
        <x:f>SUM($K14:R14)</x:f>
        <x:v>0</x:v>
      </x:c>
      <x:c r="AK14" t="n">
        <x:f>SUM($K14:S14)</x:f>
        <x:v>0</x:v>
      </x:c>
      <x:c r="AL14" t="n">
        <x:f>SUM($K14:T14)</x:f>
        <x:v>0</x:v>
      </x:c>
      <x:c r="AM14" t="n">
        <x:f>SUM($K14:U14)</x:f>
        <x:v>0</x:v>
      </x:c>
      <x:c r="AN14" t="n">
        <x:f>SUM($K14:V14)</x:f>
        <x:v>0</x:v>
      </x:c>
      <x:c r="AO14" t="n">
        <x:f>SUM($K14:W14)</x:f>
        <x:v>0</x:v>
      </x:c>
      <x:c r="AP14" t="n">
        <x:f>SUM($K14:X14)</x:f>
        <x:v>0</x:v>
      </x:c>
      <x:c r="AQ14" t="n">
        <x:f>SUM($K14:Y14)</x:f>
        <x:v>0</x:v>
      </x:c>
      <x:c r="AR14" t="str">
        <x:f>IF(AC14&gt;=E14,"ИЗУЧЕНО",IF(AND(OR(F14="",SUMIF($A$11:$A$50,F14,AC$11:AC$50)&gt;=SUMIF($A$11:$A$50,F14,$E$11:$E$50)),OR(G14="",SUMIF($A$11:$A$50,G14,AC$11:AC$50)&gt;=SUMIF($A$11:$A$50,G14,$E$11:$E$50)),OR(H14="",SUMIF($A$11:$A$50,H14,AC$11:AC$50)&gt;=SUMIF($A$11:$A$50,H14,$E$11:$E$50))),"ОТКРЫТО","ЗАКРЫТО"))</x:f>
        <x:v>ЗАКРЫТО</x:v>
      </x:c>
      <x:c r="AS14" t="str">
        <x:f>IF(AD14&gt;=E14,"ИЗУЧЕНО",IF(AND(OR(F14="",SUMIF($A$11:$A$50,F14,AD$11:AD$50)&gt;=SUMIF($A$11:$A$50,F14,$E$11:$E$50)),OR(G14="",SUMIF($A$11:$A$50,G14,AD$11:AD$50)&gt;=SUMIF($A$11:$A$50,G14,$E$11:$E$50)),OR(H14="",SUMIF($A$11:$A$50,H14,AD$11:AD$50)&gt;=SUMIF($A$11:$A$50,H14,$E$11:$E$50))),"ОТКРЫТО","ЗАКРЫТО"))</x:f>
        <x:v>ЗАКРЫТО</x:v>
      </x:c>
      <x:c r="AT14" t="str">
        <x:f>IF(AE14&gt;=E14,"ИЗУЧЕНО",IF(AND(OR(F14="",SUMIF($A$11:$A$50,F14,AE$11:AE$50)&gt;=SUMIF($A$11:$A$50,F14,$E$11:$E$50)),OR(G14="",SUMIF($A$11:$A$50,G14,AE$11:AE$50)&gt;=SUMIF($A$11:$A$50,G14,$E$11:$E$50)),OR(H14="",SUMIF($A$11:$A$50,H14,AE$11:AE$50)&gt;=SUMIF($A$11:$A$50,H14,$E$11:$E$50))),"ОТКРЫТО","ЗАКРЫТО"))</x:f>
        <x:v>ЗАКРЫТО</x:v>
      </x:c>
      <x:c r="AU14" t="str">
        <x:f>IF(AF14&gt;=E14,"ИЗУЧЕНО",IF(AND(OR(F14="",SUMIF($A$11:$A$50,F14,AF$11:AF$50)&gt;=SUMIF($A$11:$A$50,F14,$E$11:$E$50)),OR(G14="",SUMIF($A$11:$A$50,G14,AF$11:AF$50)&gt;=SUMIF($A$11:$A$50,G14,$E$11:$E$50)),OR(H14="",SUMIF($A$11:$A$50,H14,AF$11:AF$50)&gt;=SUMIF($A$11:$A$50,H14,$E$11:$E$50))),"ОТКРЫТО","ЗАКРЫТО"))</x:f>
        <x:v>ЗАКРЫТО</x:v>
      </x:c>
      <x:c r="AV14" t="str">
        <x:f>IF(AG14&gt;=E14,"ИЗУЧЕНО",IF(AND(OR(F14="",SUMIF($A$11:$A$50,F14,AG$11:AG$50)&gt;=SUMIF($A$11:$A$50,F14,$E$11:$E$50)),OR(G14="",SUMIF($A$11:$A$50,G14,AG$11:AG$50)&gt;=SUMIF($A$11:$A$50,G14,$E$11:$E$50)),OR(H14="",SUMIF($A$11:$A$50,H14,AG$11:AG$50)&gt;=SUMIF($A$11:$A$50,H14,$E$11:$E$50))),"ОТКРЫТО","ЗАКРЫТО"))</x:f>
        <x:v>ЗАКРЫТО</x:v>
      </x:c>
      <x:c r="AW14" t="str">
        <x:f>IF(AH14&gt;=E14,"ИЗУЧЕНО",IF(AND(OR(F14="",SUMIF($A$11:$A$50,F14,AH$11:AH$50)&gt;=SUMIF($A$11:$A$50,F14,$E$11:$E$50)),OR(G14="",SUMIF($A$11:$A$50,G14,AH$11:AH$50)&gt;=SUMIF($A$11:$A$50,G14,$E$11:$E$50)),OR(H14="",SUMIF($A$11:$A$50,H14,AH$11:AH$50)&gt;=SUMIF($A$11:$A$50,H14,$E$11:$E$50))),"ОТКРЫТО","ЗАКРЫТО"))</x:f>
        <x:v>ЗАКРЫТО</x:v>
      </x:c>
      <x:c r="AX14" t="str">
        <x:f>IF(AI14&gt;=E14,"ИЗУЧЕНО",IF(AND(OR(F14="",SUMIF($A$11:$A$50,F14,AI$11:AI$50)&gt;=SUMIF($A$11:$A$50,F14,$E$11:$E$50)),OR(G14="",SUMIF($A$11:$A$50,G14,AI$11:AI$50)&gt;=SUMIF($A$11:$A$50,G14,$E$11:$E$50)),OR(H14="",SUMIF($A$11:$A$50,H14,AI$11:AI$50)&gt;=SUMIF($A$11:$A$50,H14,$E$11:$E$50))),"ОТКРЫТО","ЗАКРЫТО"))</x:f>
        <x:v>ЗАКРЫТО</x:v>
      </x:c>
      <x:c r="AY14" t="str">
        <x:f>IF(AJ14&gt;=E14,"ИЗУЧЕНО",IF(AND(OR(F14="",SUMIF($A$11:$A$50,F14,AJ$11:AJ$50)&gt;=SUMIF($A$11:$A$50,F14,$E$11:$E$50)),OR(G14="",SUMIF($A$11:$A$50,G14,AJ$11:AJ$50)&gt;=SUMIF($A$11:$A$50,G14,$E$11:$E$50)),OR(H14="",SUMIF($A$11:$A$50,H14,AJ$11:AJ$50)&gt;=SUMIF($A$11:$A$50,H14,$E$11:$E$50))),"ОТКРЫТО","ЗАКРЫТО"))</x:f>
        <x:v>ЗАКРЫТО</x:v>
      </x:c>
      <x:c r="AZ14" t="str">
        <x:f>IF(AK14&gt;=E14,"ИЗУЧЕНО",IF(AND(OR(F14="",SUMIF($A$11:$A$50,F14,AK$11:AK$50)&gt;=SUMIF($A$11:$A$50,F14,$E$11:$E$50)),OR(G14="",SUMIF($A$11:$A$50,G14,AK$11:AK$50)&gt;=SUMIF($A$11:$A$50,G14,$E$11:$E$50)),OR(H14="",SUMIF($A$11:$A$50,H14,AK$11:AK$50)&gt;=SUMIF($A$11:$A$50,H14,$E$11:$E$50))),"ОТКРЫТО","ЗАКРЫТО"))</x:f>
        <x:v>ЗАКРЫТО</x:v>
      </x:c>
      <x:c r="BA14" t="str">
        <x:f>IF(AL14&gt;=E14,"ИЗУЧЕНО",IF(AND(OR(F14="",SUMIF($A$11:$A$50,F14,AL$11:AL$50)&gt;=SUMIF($A$11:$A$50,F14,$E$11:$E$50)),OR(G14="",SUMIF($A$11:$A$50,G14,AL$11:AL$50)&gt;=SUMIF($A$11:$A$50,G14,$E$11:$E$50)),OR(H14="",SUMIF($A$11:$A$50,H14,AL$11:AL$50)&gt;=SUMIF($A$11:$A$50,H14,$E$11:$E$50))),"ОТКРЫТО","ЗАКРЫТО"))</x:f>
        <x:v>ЗАКРЫТО</x:v>
      </x:c>
      <x:c r="BB14" t="str">
        <x:f>IF(AM14&gt;=E14,"ИЗУЧЕНО",IF(AND(OR(F14="",SUMIF($A$11:$A$50,F14,AM$11:AM$50)&gt;=SUMIF($A$11:$A$50,F14,$E$11:$E$50)),OR(G14="",SUMIF($A$11:$A$50,G14,AM$11:AM$50)&gt;=SUMIF($A$11:$A$50,G14,$E$11:$E$50)),OR(H14="",SUMIF($A$11:$A$50,H14,AM$11:AM$50)&gt;=SUMIF($A$11:$A$50,H14,$E$11:$E$50))),"ОТКРЫТО","ЗАКРЫТО"))</x:f>
        <x:v>ЗАКРЫТО</x:v>
      </x:c>
      <x:c r="BC14" t="str">
        <x:f>IF(AN14&gt;=E14,"ИЗУЧЕНО",IF(AND(OR(F14="",SUMIF($A$11:$A$50,F14,AN$11:AN$50)&gt;=SUMIF($A$11:$A$50,F14,$E$11:$E$50)),OR(G14="",SUMIF($A$11:$A$50,G14,AN$11:AN$50)&gt;=SUMIF($A$11:$A$50,G14,$E$11:$E$50)),OR(H14="",SUMIF($A$11:$A$50,H14,AN$11:AN$50)&gt;=SUMIF($A$11:$A$50,H14,$E$11:$E$50))),"ОТКРЫТО","ЗАКРЫТО"))</x:f>
        <x:v>ЗАКРЫТО</x:v>
      </x:c>
      <x:c r="BD14" t="str">
        <x:f>IF(AO14&gt;=E14,"ИЗУЧЕНО",IF(AND(OR(F14="",SUMIF($A$11:$A$50,F14,AO$11:AO$50)&gt;=SUMIF($A$11:$A$50,F14,$E$11:$E$50)),OR(G14="",SUMIF($A$11:$A$50,G14,AO$11:AO$50)&gt;=SUMIF($A$11:$A$50,G14,$E$11:$E$50)),OR(H14="",SUMIF($A$11:$A$50,H14,AO$11:AO$50)&gt;=SUMIF($A$11:$A$50,H14,$E$11:$E$50))),"ОТКРЫТО","ЗАКРЫТО"))</x:f>
        <x:v>ЗАКРЫТО</x:v>
      </x:c>
      <x:c r="BE14" t="str">
        <x:f>IF(AP14&gt;=E14,"ИЗУЧЕНО",IF(AND(OR(F14="",SUMIF($A$11:$A$50,F14,AP$11:AP$50)&gt;=SUMIF($A$11:$A$50,F14,$E$11:$E$50)),OR(G14="",SUMIF($A$11:$A$50,G14,AP$11:AP$50)&gt;=SUMIF($A$11:$A$50,G14,$E$11:$E$50)),OR(H14="",SUMIF($A$11:$A$50,H14,AP$11:AP$50)&gt;=SUMIF($A$11:$A$50,H14,$E$11:$E$50))),"ОТКРЫТО","ЗАКРЫТО"))</x:f>
        <x:v>ЗАКРЫТО</x:v>
      </x:c>
      <x:c r="BF14" t="str">
        <x:f>IF(AQ14&gt;=E14,"ИЗУЧЕНО",IF(AND(OR(F14="",SUMIF($A$11:$A$50,F14,AQ$11:AQ$50)&gt;=SUMIF($A$11:$A$50,F14,$E$11:$E$50)),OR(G14="",SUMIF($A$11:$A$50,G14,AQ$11:AQ$50)&gt;=SUMIF($A$11:$A$50,G14,$E$11:$E$50)),OR(H14="",SUMIF($A$11:$A$50,H14,AQ$11:AQ$50)&gt;=SUMIF($A$11:$A$50,H14,$E$11:$E$50))),"ОТКРЫТО","ЗАКРЫТО"))</x:f>
        <x:v>ЗАКРЫТО</x:v>
      </x:c>
    </x:row>
    <x:row r="15">
      <x:c r="A15" s="42" t="str">
        <x:v>C5</x:v>
      </x:c>
      <x:c r="B15" s="42" t="str">
        <x:v>Вычисления и аппаратная база</x:v>
      </x:c>
      <x:c r="C15" s="42" t="str">
        <x:v>IV</x:v>
      </x:c>
      <x:c r="D15" s="42" t="str">
        <x:v>Суверенная распределённая вычислительная сеть</x:v>
      </x:c>
      <x:c r="E15" s="42" t="n">
        <x:v>100</x:v>
      </x:c>
      <x:c r="F15" s="42" t="str">
        <x:v>C4</x:v>
      </x:c>
      <x:c r="G15" s="42"/>
      <x:c r="H15" s="42"/>
      <x:c r="I15" s="42" t="str">
        <x:v>Национальная сеть взаимозаменяемых ЦОД и вычислительных узлов.</x:v>
      </x:c>
      <x:c r="J15" s="42" t="str">
        <x:v>Сетевые ресурсы +0,4; прирост ЦОД +0,10/год; защита Афины +15%</x:v>
      </x:c>
      <x:c r="K15" s="43" t="n">
        <x:f>SUMIF('Ход 2026'!$G$29:$G$38,$A15,'Ход 2026'!$I$29:$I$38)</x:f>
        <x:v>0</x:v>
      </x:c>
      <x:c r="L15" s="43" t="n">
        <x:f>SUMIF('Ход 2027'!$G$29:$G$38,$A15,'Ход 2027'!$I$29:$I$38)</x:f>
        <x:v>0</x:v>
      </x:c>
      <x:c r="M15" s="43" t="n">
        <x:f>SUMIF('Ход 2028'!$G$29:$G$38,$A15,'Ход 2028'!$I$29:$I$38)</x:f>
        <x:v>0</x:v>
      </x:c>
      <x:c r="N15" s="43" t="n">
        <x:f>SUMIF('Ход 2029'!$G$29:$G$38,$A15,'Ход 2029'!$I$29:$I$38)</x:f>
        <x:v>0</x:v>
      </x:c>
      <x:c r="O15" s="43" t="n">
        <x:f>SUMIF('Ход 2030'!$G$29:$G$38,$A15,'Ход 2030'!$I$29:$I$38)</x:f>
        <x:v>0</x:v>
      </x:c>
      <x:c r="P15" s="43" t="n">
        <x:f>SUMIF('Ход 2031'!$G$29:$G$38,$A15,'Ход 2031'!$I$29:$I$38)</x:f>
        <x:v>0</x:v>
      </x:c>
      <x:c r="Q15" s="43" t="n">
        <x:f>SUMIF('Ход 2032'!$G$29:$G$38,$A15,'Ход 2032'!$I$29:$I$38)</x:f>
        <x:v>0</x:v>
      </x:c>
      <x:c r="R15" s="43" t="n">
        <x:f>SUMIF('Ход 2033'!$G$29:$G$38,$A15,'Ход 2033'!$I$29:$I$38)</x:f>
        <x:v>0</x:v>
      </x:c>
      <x:c r="S15" s="43" t="n">
        <x:f>SUMIF('Ход 2034'!$G$29:$G$38,$A15,'Ход 2034'!$I$29:$I$38)</x:f>
        <x:v>0</x:v>
      </x:c>
      <x:c r="T15" s="43" t="n">
        <x:f>SUMIF('Ход 2035'!$G$29:$G$38,$A15,'Ход 2035'!$I$29:$I$38)</x:f>
        <x:v>0</x:v>
      </x:c>
      <x:c r="U15" s="43" t="n">
        <x:f>SUMIF('Ход 2036'!$G$29:$G$38,$A15,'Ход 2036'!$I$29:$I$38)</x:f>
        <x:v>0</x:v>
      </x:c>
      <x:c r="V15" s="43" t="n">
        <x:f>SUMIF('Ход 2037'!$G$29:$G$38,$A15,'Ход 2037'!$I$29:$I$38)</x:f>
        <x:v>0</x:v>
      </x:c>
      <x:c r="W15" s="43" t="n">
        <x:f>SUMIF('Ход 2038'!$G$29:$G$38,$A15,'Ход 2038'!$I$29:$I$38)</x:f>
        <x:v>0</x:v>
      </x:c>
      <x:c r="X15" s="43" t="n">
        <x:f>SUMIF('Ход 2039'!$G$29:$G$38,$A15,'Ход 2039'!$I$29:$I$38)</x:f>
        <x:v>0</x:v>
      </x:c>
      <x:c r="Y15" s="43" t="n">
        <x:f>SUMIF('Ход 2040'!$G$29:$G$38,$A15,'Ход 2040'!$I$29:$I$38)</x:f>
        <x:v>0</x:v>
      </x:c>
      <x:c r="Z15" s="44" t="n">
        <x:f>SUM(K15:Y15)</x:f>
        <x:v>0</x:v>
      </x:c>
      <x:c r="AA15" s="44" t="n">
        <x:f>MAX(0,E15-Z15)</x:f>
        <x:v>100</x:v>
      </x:c>
      <x:c r="AB15" s="42" t="str">
        <x:f>BF15</x:f>
        <x:v>ЗАКРЫТО</x:v>
      </x:c>
      <x:c r="AC15" t="n">
        <x:f>SUM($K15:K15)</x:f>
        <x:v>0</x:v>
      </x:c>
      <x:c r="AD15" t="n">
        <x:f>SUM($K15:L15)</x:f>
        <x:v>0</x:v>
      </x:c>
      <x:c r="AE15" t="n">
        <x:f>SUM($K15:M15)</x:f>
        <x:v>0</x:v>
      </x:c>
      <x:c r="AF15" t="n">
        <x:f>SUM($K15:N15)</x:f>
        <x:v>0</x:v>
      </x:c>
      <x:c r="AG15" t="n">
        <x:f>SUM($K15:O15)</x:f>
        <x:v>0</x:v>
      </x:c>
      <x:c r="AH15" t="n">
        <x:f>SUM($K15:P15)</x:f>
        <x:v>0</x:v>
      </x:c>
      <x:c r="AI15" t="n">
        <x:f>SUM($K15:Q15)</x:f>
        <x:v>0</x:v>
      </x:c>
      <x:c r="AJ15" t="n">
        <x:f>SUM($K15:R15)</x:f>
        <x:v>0</x:v>
      </x:c>
      <x:c r="AK15" t="n">
        <x:f>SUM($K15:S15)</x:f>
        <x:v>0</x:v>
      </x:c>
      <x:c r="AL15" t="n">
        <x:f>SUM($K15:T15)</x:f>
        <x:v>0</x:v>
      </x:c>
      <x:c r="AM15" t="n">
        <x:f>SUM($K15:U15)</x:f>
        <x:v>0</x:v>
      </x:c>
      <x:c r="AN15" t="n">
        <x:f>SUM($K15:V15)</x:f>
        <x:v>0</x:v>
      </x:c>
      <x:c r="AO15" t="n">
        <x:f>SUM($K15:W15)</x:f>
        <x:v>0</x:v>
      </x:c>
      <x:c r="AP15" t="n">
        <x:f>SUM($K15:X15)</x:f>
        <x:v>0</x:v>
      </x:c>
      <x:c r="AQ15" t="n">
        <x:f>SUM($K15:Y15)</x:f>
        <x:v>0</x:v>
      </x:c>
      <x:c r="AR15" t="str">
        <x:f>IF(AC15&gt;=E15,"ИЗУЧЕНО",IF(AND(OR(F15="",SUMIF($A$11:$A$50,F15,AC$11:AC$50)&gt;=SUMIF($A$11:$A$50,F15,$E$11:$E$50)),OR(G15="",SUMIF($A$11:$A$50,G15,AC$11:AC$50)&gt;=SUMIF($A$11:$A$50,G15,$E$11:$E$50)),OR(H15="",SUMIF($A$11:$A$50,H15,AC$11:AC$50)&gt;=SUMIF($A$11:$A$50,H15,$E$11:$E$50))),"ОТКРЫТО","ЗАКРЫТО"))</x:f>
        <x:v>ЗАКРЫТО</x:v>
      </x:c>
      <x:c r="AS15" t="str">
        <x:f>IF(AD15&gt;=E15,"ИЗУЧЕНО",IF(AND(OR(F15="",SUMIF($A$11:$A$50,F15,AD$11:AD$50)&gt;=SUMIF($A$11:$A$50,F15,$E$11:$E$50)),OR(G15="",SUMIF($A$11:$A$50,G15,AD$11:AD$50)&gt;=SUMIF($A$11:$A$50,G15,$E$11:$E$50)),OR(H15="",SUMIF($A$11:$A$50,H15,AD$11:AD$50)&gt;=SUMIF($A$11:$A$50,H15,$E$11:$E$50))),"ОТКРЫТО","ЗАКРЫТО"))</x:f>
        <x:v>ЗАКРЫТО</x:v>
      </x:c>
      <x:c r="AT15" t="str">
        <x:f>IF(AE15&gt;=E15,"ИЗУЧЕНО",IF(AND(OR(F15="",SUMIF($A$11:$A$50,F15,AE$11:AE$50)&gt;=SUMIF($A$11:$A$50,F15,$E$11:$E$50)),OR(G15="",SUMIF($A$11:$A$50,G15,AE$11:AE$50)&gt;=SUMIF($A$11:$A$50,G15,$E$11:$E$50)),OR(H15="",SUMIF($A$11:$A$50,H15,AE$11:AE$50)&gt;=SUMIF($A$11:$A$50,H15,$E$11:$E$50))),"ОТКРЫТО","ЗАКРЫТО"))</x:f>
        <x:v>ЗАКРЫТО</x:v>
      </x:c>
      <x:c r="AU15" t="str">
        <x:f>IF(AF15&gt;=E15,"ИЗУЧЕНО",IF(AND(OR(F15="",SUMIF($A$11:$A$50,F15,AF$11:AF$50)&gt;=SUMIF($A$11:$A$50,F15,$E$11:$E$50)),OR(G15="",SUMIF($A$11:$A$50,G15,AF$11:AF$50)&gt;=SUMIF($A$11:$A$50,G15,$E$11:$E$50)),OR(H15="",SUMIF($A$11:$A$50,H15,AF$11:AF$50)&gt;=SUMIF($A$11:$A$50,H15,$E$11:$E$50))),"ОТКРЫТО","ЗАКРЫТО"))</x:f>
        <x:v>ЗАКРЫТО</x:v>
      </x:c>
      <x:c r="AV15" t="str">
        <x:f>IF(AG15&gt;=E15,"ИЗУЧЕНО",IF(AND(OR(F15="",SUMIF($A$11:$A$50,F15,AG$11:AG$50)&gt;=SUMIF($A$11:$A$50,F15,$E$11:$E$50)),OR(G15="",SUMIF($A$11:$A$50,G15,AG$11:AG$50)&gt;=SUMIF($A$11:$A$50,G15,$E$11:$E$50)),OR(H15="",SUMIF($A$11:$A$50,H15,AG$11:AG$50)&gt;=SUMIF($A$11:$A$50,H15,$E$11:$E$50))),"ОТКРЫТО","ЗАКРЫТО"))</x:f>
        <x:v>ЗАКРЫТО</x:v>
      </x:c>
      <x:c r="AW15" t="str">
        <x:f>IF(AH15&gt;=E15,"ИЗУЧЕНО",IF(AND(OR(F15="",SUMIF($A$11:$A$50,F15,AH$11:AH$50)&gt;=SUMIF($A$11:$A$50,F15,$E$11:$E$50)),OR(G15="",SUMIF($A$11:$A$50,G15,AH$11:AH$50)&gt;=SUMIF($A$11:$A$50,G15,$E$11:$E$50)),OR(H15="",SUMIF($A$11:$A$50,H15,AH$11:AH$50)&gt;=SUMIF($A$11:$A$50,H15,$E$11:$E$50))),"ОТКРЫТО","ЗАКРЫТО"))</x:f>
        <x:v>ЗАКРЫТО</x:v>
      </x:c>
      <x:c r="AX15" t="str">
        <x:f>IF(AI15&gt;=E15,"ИЗУЧЕНО",IF(AND(OR(F15="",SUMIF($A$11:$A$50,F15,AI$11:AI$50)&gt;=SUMIF($A$11:$A$50,F15,$E$11:$E$50)),OR(G15="",SUMIF($A$11:$A$50,G15,AI$11:AI$50)&gt;=SUMIF($A$11:$A$50,G15,$E$11:$E$50)),OR(H15="",SUMIF($A$11:$A$50,H15,AI$11:AI$50)&gt;=SUMIF($A$11:$A$50,H15,$E$11:$E$50))),"ОТКРЫТО","ЗАКРЫТО"))</x:f>
        <x:v>ЗАКРЫТО</x:v>
      </x:c>
      <x:c r="AY15" t="str">
        <x:f>IF(AJ15&gt;=E15,"ИЗУЧЕНО",IF(AND(OR(F15="",SUMIF($A$11:$A$50,F15,AJ$11:AJ$50)&gt;=SUMIF($A$11:$A$50,F15,$E$11:$E$50)),OR(G15="",SUMIF($A$11:$A$50,G15,AJ$11:AJ$50)&gt;=SUMIF($A$11:$A$50,G15,$E$11:$E$50)),OR(H15="",SUMIF($A$11:$A$50,H15,AJ$11:AJ$50)&gt;=SUMIF($A$11:$A$50,H15,$E$11:$E$50))),"ОТКРЫТО","ЗАКРЫТО"))</x:f>
        <x:v>ЗАКРЫТО</x:v>
      </x:c>
      <x:c r="AZ15" t="str">
        <x:f>IF(AK15&gt;=E15,"ИЗУЧЕНО",IF(AND(OR(F15="",SUMIF($A$11:$A$50,F15,AK$11:AK$50)&gt;=SUMIF($A$11:$A$50,F15,$E$11:$E$50)),OR(G15="",SUMIF($A$11:$A$50,G15,AK$11:AK$50)&gt;=SUMIF($A$11:$A$50,G15,$E$11:$E$50)),OR(H15="",SUMIF($A$11:$A$50,H15,AK$11:AK$50)&gt;=SUMIF($A$11:$A$50,H15,$E$11:$E$50))),"ОТКРЫТО","ЗАКРЫТО"))</x:f>
        <x:v>ЗАКРЫТО</x:v>
      </x:c>
      <x:c r="BA15" t="str">
        <x:f>IF(AL15&gt;=E15,"ИЗУЧЕНО",IF(AND(OR(F15="",SUMIF($A$11:$A$50,F15,AL$11:AL$50)&gt;=SUMIF($A$11:$A$50,F15,$E$11:$E$50)),OR(G15="",SUMIF($A$11:$A$50,G15,AL$11:AL$50)&gt;=SUMIF($A$11:$A$50,G15,$E$11:$E$50)),OR(H15="",SUMIF($A$11:$A$50,H15,AL$11:AL$50)&gt;=SUMIF($A$11:$A$50,H15,$E$11:$E$50))),"ОТКРЫТО","ЗАКРЫТО"))</x:f>
        <x:v>ЗАКРЫТО</x:v>
      </x:c>
      <x:c r="BB15" t="str">
        <x:f>IF(AM15&gt;=E15,"ИЗУЧЕНО",IF(AND(OR(F15="",SUMIF($A$11:$A$50,F15,AM$11:AM$50)&gt;=SUMIF($A$11:$A$50,F15,$E$11:$E$50)),OR(G15="",SUMIF($A$11:$A$50,G15,AM$11:AM$50)&gt;=SUMIF($A$11:$A$50,G15,$E$11:$E$50)),OR(H15="",SUMIF($A$11:$A$50,H15,AM$11:AM$50)&gt;=SUMIF($A$11:$A$50,H15,$E$11:$E$50))),"ОТКРЫТО","ЗАКРЫТО"))</x:f>
        <x:v>ЗАКРЫТО</x:v>
      </x:c>
      <x:c r="BC15" t="str">
        <x:f>IF(AN15&gt;=E15,"ИЗУЧЕНО",IF(AND(OR(F15="",SUMIF($A$11:$A$50,F15,AN$11:AN$50)&gt;=SUMIF($A$11:$A$50,F15,$E$11:$E$50)),OR(G15="",SUMIF($A$11:$A$50,G15,AN$11:AN$50)&gt;=SUMIF($A$11:$A$50,G15,$E$11:$E$50)),OR(H15="",SUMIF($A$11:$A$50,H15,AN$11:AN$50)&gt;=SUMIF($A$11:$A$50,H15,$E$11:$E$50))),"ОТКРЫТО","ЗАКРЫТО"))</x:f>
        <x:v>ЗАКРЫТО</x:v>
      </x:c>
      <x:c r="BD15" t="str">
        <x:f>IF(AO15&gt;=E15,"ИЗУЧЕНО",IF(AND(OR(F15="",SUMIF($A$11:$A$50,F15,AO$11:AO$50)&gt;=SUMIF($A$11:$A$50,F15,$E$11:$E$50)),OR(G15="",SUMIF($A$11:$A$50,G15,AO$11:AO$50)&gt;=SUMIF($A$11:$A$50,G15,$E$11:$E$50)),OR(H15="",SUMIF($A$11:$A$50,H15,AO$11:AO$50)&gt;=SUMIF($A$11:$A$50,H15,$E$11:$E$50))),"ОТКРЫТО","ЗАКРЫТО"))</x:f>
        <x:v>ЗАКРЫТО</x:v>
      </x:c>
      <x:c r="BE15" t="str">
        <x:f>IF(AP15&gt;=E15,"ИЗУЧЕНО",IF(AND(OR(F15="",SUMIF($A$11:$A$50,F15,AP$11:AP$50)&gt;=SUMIF($A$11:$A$50,F15,$E$11:$E$50)),OR(G15="",SUMIF($A$11:$A$50,G15,AP$11:AP$50)&gt;=SUMIF($A$11:$A$50,G15,$E$11:$E$50)),OR(H15="",SUMIF($A$11:$A$50,H15,AP$11:AP$50)&gt;=SUMIF($A$11:$A$50,H15,$E$11:$E$50))),"ОТКРЫТО","ЗАКРЫТО"))</x:f>
        <x:v>ЗАКРЫТО</x:v>
      </x:c>
      <x:c r="BF15" t="str">
        <x:f>IF(AQ15&gt;=E15,"ИЗУЧЕНО",IF(AND(OR(F15="",SUMIF($A$11:$A$50,F15,AQ$11:AQ$50)&gt;=SUMIF($A$11:$A$50,F15,$E$11:$E$50)),OR(G15="",SUMIF($A$11:$A$50,G15,AQ$11:AQ$50)&gt;=SUMIF($A$11:$A$50,G15,$E$11:$E$50)),OR(H15="",SUMIF($A$11:$A$50,H15,AQ$11:AQ$50)&gt;=SUMIF($A$11:$A$50,H15,$E$11:$E$50))),"ОТКРЫТО","ЗАКРЫТО"))</x:f>
        <x:v>ЗАКРЫТО</x:v>
      </x:c>
    </x:row>
    <x:row r="16">
      <x:c r="A16" s="42" t="str">
        <x:v>C6</x:v>
      </x:c>
      <x:c r="B16" s="42" t="str">
        <x:v>Вычисления и аппаратная база</x:v>
      </x:c>
      <x:c r="C16" s="42" t="str">
        <x:v>V</x:v>
      </x:c>
      <x:c r="D16" s="42" t="str">
        <x:v>Новые вычислительные архитектуры</x:v>
      </x:c>
      <x:c r="E16" s="42" t="n">
        <x:v>150</x:v>
      </x:c>
      <x:c r="F16" s="42" t="str">
        <x:v>C5</x:v>
      </x:c>
      <x:c r="G16" s="42"/>
      <x:c r="H16" s="42"/>
      <x:c r="I16" s="42" t="str">
        <x:v>Нейроморфные, вычислительно-памятные и иные постфоннеймановские архитектуры.</x:v>
      </x:c>
      <x:c r="J16" s="42" t="str">
        <x:v>Вычислительные компоненты +0,5; Математико-алгоритмические ресурсы +0,3; исследования ветви Модели +10%</x:v>
      </x:c>
      <x:c r="K16" s="43" t="n">
        <x:f>SUMIF('Ход 2026'!$G$29:$G$38,$A16,'Ход 2026'!$I$29:$I$38)</x:f>
        <x:v>0</x:v>
      </x:c>
      <x:c r="L16" s="43" t="n">
        <x:f>SUMIF('Ход 2027'!$G$29:$G$38,$A16,'Ход 2027'!$I$29:$I$38)</x:f>
        <x:v>0</x:v>
      </x:c>
      <x:c r="M16" s="43" t="n">
        <x:f>SUMIF('Ход 2028'!$G$29:$G$38,$A16,'Ход 2028'!$I$29:$I$38)</x:f>
        <x:v>0</x:v>
      </x:c>
      <x:c r="N16" s="43" t="n">
        <x:f>SUMIF('Ход 2029'!$G$29:$G$38,$A16,'Ход 2029'!$I$29:$I$38)</x:f>
        <x:v>0</x:v>
      </x:c>
      <x:c r="O16" s="43" t="n">
        <x:f>SUMIF('Ход 2030'!$G$29:$G$38,$A16,'Ход 2030'!$I$29:$I$38)</x:f>
        <x:v>0</x:v>
      </x:c>
      <x:c r="P16" s="43" t="n">
        <x:f>SUMIF('Ход 2031'!$G$29:$G$38,$A16,'Ход 2031'!$I$29:$I$38)</x:f>
        <x:v>0</x:v>
      </x:c>
      <x:c r="Q16" s="43" t="n">
        <x:f>SUMIF('Ход 2032'!$G$29:$G$38,$A16,'Ход 2032'!$I$29:$I$38)</x:f>
        <x:v>0</x:v>
      </x:c>
      <x:c r="R16" s="43" t="n">
        <x:f>SUMIF('Ход 2033'!$G$29:$G$38,$A16,'Ход 2033'!$I$29:$I$38)</x:f>
        <x:v>0</x:v>
      </x:c>
      <x:c r="S16" s="43" t="n">
        <x:f>SUMIF('Ход 2034'!$G$29:$G$38,$A16,'Ход 2034'!$I$29:$I$38)</x:f>
        <x:v>0</x:v>
      </x:c>
      <x:c r="T16" s="43" t="n">
        <x:f>SUMIF('Ход 2035'!$G$29:$G$38,$A16,'Ход 2035'!$I$29:$I$38)</x:f>
        <x:v>0</x:v>
      </x:c>
      <x:c r="U16" s="43" t="n">
        <x:f>SUMIF('Ход 2036'!$G$29:$G$38,$A16,'Ход 2036'!$I$29:$I$38)</x:f>
        <x:v>0</x:v>
      </x:c>
      <x:c r="V16" s="43" t="n">
        <x:f>SUMIF('Ход 2037'!$G$29:$G$38,$A16,'Ход 2037'!$I$29:$I$38)</x:f>
        <x:v>0</x:v>
      </x:c>
      <x:c r="W16" s="43" t="n">
        <x:f>SUMIF('Ход 2038'!$G$29:$G$38,$A16,'Ход 2038'!$I$29:$I$38)</x:f>
        <x:v>0</x:v>
      </x:c>
      <x:c r="X16" s="43" t="n">
        <x:f>SUMIF('Ход 2039'!$G$29:$G$38,$A16,'Ход 2039'!$I$29:$I$38)</x:f>
        <x:v>0</x:v>
      </x:c>
      <x:c r="Y16" s="43" t="n">
        <x:f>SUMIF('Ход 2040'!$G$29:$G$38,$A16,'Ход 2040'!$I$29:$I$38)</x:f>
        <x:v>0</x:v>
      </x:c>
      <x:c r="Z16" s="44" t="n">
        <x:f>SUM(K16:Y16)</x:f>
        <x:v>0</x:v>
      </x:c>
      <x:c r="AA16" s="44" t="n">
        <x:f>MAX(0,E16-Z16)</x:f>
        <x:v>150</x:v>
      </x:c>
      <x:c r="AB16" s="42" t="str">
        <x:f>BF16</x:f>
        <x:v>ЗАКРЫТО</x:v>
      </x:c>
      <x:c r="AC16" t="n">
        <x:f>SUM($K16:K16)</x:f>
        <x:v>0</x:v>
      </x:c>
      <x:c r="AD16" t="n">
        <x:f>SUM($K16:L16)</x:f>
        <x:v>0</x:v>
      </x:c>
      <x:c r="AE16" t="n">
        <x:f>SUM($K16:M16)</x:f>
        <x:v>0</x:v>
      </x:c>
      <x:c r="AF16" t="n">
        <x:f>SUM($K16:N16)</x:f>
        <x:v>0</x:v>
      </x:c>
      <x:c r="AG16" t="n">
        <x:f>SUM($K16:O16)</x:f>
        <x:v>0</x:v>
      </x:c>
      <x:c r="AH16" t="n">
        <x:f>SUM($K16:P16)</x:f>
        <x:v>0</x:v>
      </x:c>
      <x:c r="AI16" t="n">
        <x:f>SUM($K16:Q16)</x:f>
        <x:v>0</x:v>
      </x:c>
      <x:c r="AJ16" t="n">
        <x:f>SUM($K16:R16)</x:f>
        <x:v>0</x:v>
      </x:c>
      <x:c r="AK16" t="n">
        <x:f>SUM($K16:S16)</x:f>
        <x:v>0</x:v>
      </x:c>
      <x:c r="AL16" t="n">
        <x:f>SUM($K16:T16)</x:f>
        <x:v>0</x:v>
      </x:c>
      <x:c r="AM16" t="n">
        <x:f>SUM($K16:U16)</x:f>
        <x:v>0</x:v>
      </x:c>
      <x:c r="AN16" t="n">
        <x:f>SUM($K16:V16)</x:f>
        <x:v>0</x:v>
      </x:c>
      <x:c r="AO16" t="n">
        <x:f>SUM($K16:W16)</x:f>
        <x:v>0</x:v>
      </x:c>
      <x:c r="AP16" t="n">
        <x:f>SUM($K16:X16)</x:f>
        <x:v>0</x:v>
      </x:c>
      <x:c r="AQ16" t="n">
        <x:f>SUM($K16:Y16)</x:f>
        <x:v>0</x:v>
      </x:c>
      <x:c r="AR16" t="str">
        <x:f>IF(AC16&gt;=E16,"ИЗУЧЕНО",IF(AND(OR(F16="",SUMIF($A$11:$A$50,F16,AC$11:AC$50)&gt;=SUMIF($A$11:$A$50,F16,$E$11:$E$50)),OR(G16="",SUMIF($A$11:$A$50,G16,AC$11:AC$50)&gt;=SUMIF($A$11:$A$50,G16,$E$11:$E$50)),OR(H16="",SUMIF($A$11:$A$50,H16,AC$11:AC$50)&gt;=SUMIF($A$11:$A$50,H16,$E$11:$E$50))),"ОТКРЫТО","ЗАКРЫТО"))</x:f>
        <x:v>ЗАКРЫТО</x:v>
      </x:c>
      <x:c r="AS16" t="str">
        <x:f>IF(AD16&gt;=E16,"ИЗУЧЕНО",IF(AND(OR(F16="",SUMIF($A$11:$A$50,F16,AD$11:AD$50)&gt;=SUMIF($A$11:$A$50,F16,$E$11:$E$50)),OR(G16="",SUMIF($A$11:$A$50,G16,AD$11:AD$50)&gt;=SUMIF($A$11:$A$50,G16,$E$11:$E$50)),OR(H16="",SUMIF($A$11:$A$50,H16,AD$11:AD$50)&gt;=SUMIF($A$11:$A$50,H16,$E$11:$E$50))),"ОТКРЫТО","ЗАКРЫТО"))</x:f>
        <x:v>ЗАКРЫТО</x:v>
      </x:c>
      <x:c r="AT16" t="str">
        <x:f>IF(AE16&gt;=E16,"ИЗУЧЕНО",IF(AND(OR(F16="",SUMIF($A$11:$A$50,F16,AE$11:AE$50)&gt;=SUMIF($A$11:$A$50,F16,$E$11:$E$50)),OR(G16="",SUMIF($A$11:$A$50,G16,AE$11:AE$50)&gt;=SUMIF($A$11:$A$50,G16,$E$11:$E$50)),OR(H16="",SUMIF($A$11:$A$50,H16,AE$11:AE$50)&gt;=SUMIF($A$11:$A$50,H16,$E$11:$E$50))),"ОТКРЫТО","ЗАКРЫТО"))</x:f>
        <x:v>ЗАКРЫТО</x:v>
      </x:c>
      <x:c r="AU16" t="str">
        <x:f>IF(AF16&gt;=E16,"ИЗУЧЕНО",IF(AND(OR(F16="",SUMIF($A$11:$A$50,F16,AF$11:AF$50)&gt;=SUMIF($A$11:$A$50,F16,$E$11:$E$50)),OR(G16="",SUMIF($A$11:$A$50,G16,AF$11:AF$50)&gt;=SUMIF($A$11:$A$50,G16,$E$11:$E$50)),OR(H16="",SUMIF($A$11:$A$50,H16,AF$11:AF$50)&gt;=SUMIF($A$11:$A$50,H16,$E$11:$E$50))),"ОТКРЫТО","ЗАКРЫТО"))</x:f>
        <x:v>ЗАКРЫТО</x:v>
      </x:c>
      <x:c r="AV16" t="str">
        <x:f>IF(AG16&gt;=E16,"ИЗУЧЕНО",IF(AND(OR(F16="",SUMIF($A$11:$A$50,F16,AG$11:AG$50)&gt;=SUMIF($A$11:$A$50,F16,$E$11:$E$50)),OR(G16="",SUMIF($A$11:$A$50,G16,AG$11:AG$50)&gt;=SUMIF($A$11:$A$50,G16,$E$11:$E$50)),OR(H16="",SUMIF($A$11:$A$50,H16,AG$11:AG$50)&gt;=SUMIF($A$11:$A$50,H16,$E$11:$E$50))),"ОТКРЫТО","ЗАКРЫТО"))</x:f>
        <x:v>ЗАКРЫТО</x:v>
      </x:c>
      <x:c r="AW16" t="str">
        <x:f>IF(AH16&gt;=E16,"ИЗУЧЕНО",IF(AND(OR(F16="",SUMIF($A$11:$A$50,F16,AH$11:AH$50)&gt;=SUMIF($A$11:$A$50,F16,$E$11:$E$50)),OR(G16="",SUMIF($A$11:$A$50,G16,AH$11:AH$50)&gt;=SUMIF($A$11:$A$50,G16,$E$11:$E$50)),OR(H16="",SUMIF($A$11:$A$50,H16,AH$11:AH$50)&gt;=SUMIF($A$11:$A$50,H16,$E$11:$E$50))),"ОТКРЫТО","ЗАКРЫТО"))</x:f>
        <x:v>ЗАКРЫТО</x:v>
      </x:c>
      <x:c r="AX16" t="str">
        <x:f>IF(AI16&gt;=E16,"ИЗУЧЕНО",IF(AND(OR(F16="",SUMIF($A$11:$A$50,F16,AI$11:AI$50)&gt;=SUMIF($A$11:$A$50,F16,$E$11:$E$50)),OR(G16="",SUMIF($A$11:$A$50,G16,AI$11:AI$50)&gt;=SUMIF($A$11:$A$50,G16,$E$11:$E$50)),OR(H16="",SUMIF($A$11:$A$50,H16,AI$11:AI$50)&gt;=SUMIF($A$11:$A$50,H16,$E$11:$E$50))),"ОТКРЫТО","ЗАКРЫТО"))</x:f>
        <x:v>ЗАКРЫТО</x:v>
      </x:c>
      <x:c r="AY16" t="str">
        <x:f>IF(AJ16&gt;=E16,"ИЗУЧЕНО",IF(AND(OR(F16="",SUMIF($A$11:$A$50,F16,AJ$11:AJ$50)&gt;=SUMIF($A$11:$A$50,F16,$E$11:$E$50)),OR(G16="",SUMIF($A$11:$A$50,G16,AJ$11:AJ$50)&gt;=SUMIF($A$11:$A$50,G16,$E$11:$E$50)),OR(H16="",SUMIF($A$11:$A$50,H16,AJ$11:AJ$50)&gt;=SUMIF($A$11:$A$50,H16,$E$11:$E$50))),"ОТКРЫТО","ЗАКРЫТО"))</x:f>
        <x:v>ЗАКРЫТО</x:v>
      </x:c>
      <x:c r="AZ16" t="str">
        <x:f>IF(AK16&gt;=E16,"ИЗУЧЕНО",IF(AND(OR(F16="",SUMIF($A$11:$A$50,F16,AK$11:AK$50)&gt;=SUMIF($A$11:$A$50,F16,$E$11:$E$50)),OR(G16="",SUMIF($A$11:$A$50,G16,AK$11:AK$50)&gt;=SUMIF($A$11:$A$50,G16,$E$11:$E$50)),OR(H16="",SUMIF($A$11:$A$50,H16,AK$11:AK$50)&gt;=SUMIF($A$11:$A$50,H16,$E$11:$E$50))),"ОТКРЫТО","ЗАКРЫТО"))</x:f>
        <x:v>ЗАКРЫТО</x:v>
      </x:c>
      <x:c r="BA16" t="str">
        <x:f>IF(AL16&gt;=E16,"ИЗУЧЕНО",IF(AND(OR(F16="",SUMIF($A$11:$A$50,F16,AL$11:AL$50)&gt;=SUMIF($A$11:$A$50,F16,$E$11:$E$50)),OR(G16="",SUMIF($A$11:$A$50,G16,AL$11:AL$50)&gt;=SUMIF($A$11:$A$50,G16,$E$11:$E$50)),OR(H16="",SUMIF($A$11:$A$50,H16,AL$11:AL$50)&gt;=SUMIF($A$11:$A$50,H16,$E$11:$E$50))),"ОТКРЫТО","ЗАКРЫТО"))</x:f>
        <x:v>ЗАКРЫТО</x:v>
      </x:c>
      <x:c r="BB16" t="str">
        <x:f>IF(AM16&gt;=E16,"ИЗУЧЕНО",IF(AND(OR(F16="",SUMIF($A$11:$A$50,F16,AM$11:AM$50)&gt;=SUMIF($A$11:$A$50,F16,$E$11:$E$50)),OR(G16="",SUMIF($A$11:$A$50,G16,AM$11:AM$50)&gt;=SUMIF($A$11:$A$50,G16,$E$11:$E$50)),OR(H16="",SUMIF($A$11:$A$50,H16,AM$11:AM$50)&gt;=SUMIF($A$11:$A$50,H16,$E$11:$E$50))),"ОТКРЫТО","ЗАКРЫТО"))</x:f>
        <x:v>ЗАКРЫТО</x:v>
      </x:c>
      <x:c r="BC16" t="str">
        <x:f>IF(AN16&gt;=E16,"ИЗУЧЕНО",IF(AND(OR(F16="",SUMIF($A$11:$A$50,F16,AN$11:AN$50)&gt;=SUMIF($A$11:$A$50,F16,$E$11:$E$50)),OR(G16="",SUMIF($A$11:$A$50,G16,AN$11:AN$50)&gt;=SUMIF($A$11:$A$50,G16,$E$11:$E$50)),OR(H16="",SUMIF($A$11:$A$50,H16,AN$11:AN$50)&gt;=SUMIF($A$11:$A$50,H16,$E$11:$E$50))),"ОТКРЫТО","ЗАКРЫТО"))</x:f>
        <x:v>ЗАКРЫТО</x:v>
      </x:c>
      <x:c r="BD16" t="str">
        <x:f>IF(AO16&gt;=E16,"ИЗУЧЕНО",IF(AND(OR(F16="",SUMIF($A$11:$A$50,F16,AO$11:AO$50)&gt;=SUMIF($A$11:$A$50,F16,$E$11:$E$50)),OR(G16="",SUMIF($A$11:$A$50,G16,AO$11:AO$50)&gt;=SUMIF($A$11:$A$50,G16,$E$11:$E$50)),OR(H16="",SUMIF($A$11:$A$50,H16,AO$11:AO$50)&gt;=SUMIF($A$11:$A$50,H16,$E$11:$E$50))),"ОТКРЫТО","ЗАКРЫТО"))</x:f>
        <x:v>ЗАКРЫТО</x:v>
      </x:c>
      <x:c r="BE16" t="str">
        <x:f>IF(AP16&gt;=E16,"ИЗУЧЕНО",IF(AND(OR(F16="",SUMIF($A$11:$A$50,F16,AP$11:AP$50)&gt;=SUMIF($A$11:$A$50,F16,$E$11:$E$50)),OR(G16="",SUMIF($A$11:$A$50,G16,AP$11:AP$50)&gt;=SUMIF($A$11:$A$50,G16,$E$11:$E$50)),OR(H16="",SUMIF($A$11:$A$50,H16,AP$11:AP$50)&gt;=SUMIF($A$11:$A$50,H16,$E$11:$E$50))),"ОТКРЫТО","ЗАКРЫТО"))</x:f>
        <x:v>ЗАКРЫТО</x:v>
      </x:c>
      <x:c r="BF16" t="str">
        <x:f>IF(AQ16&gt;=E16,"ИЗУЧЕНО",IF(AND(OR(F16="",SUMIF($A$11:$A$50,F16,AQ$11:AQ$50)&gt;=SUMIF($A$11:$A$50,F16,$E$11:$E$50)),OR(G16="",SUMIF($A$11:$A$50,G16,AQ$11:AQ$50)&gt;=SUMIF($A$11:$A$50,G16,$E$11:$E$50)),OR(H16="",SUMIF($A$11:$A$50,H16,AQ$11:AQ$50)&gt;=SUMIF($A$11:$A$50,H16,$E$11:$E$50))),"ОТКРЫТО","ЗАКРЫТО"))</x:f>
        <x:v>ЗАКРЫТО</x:v>
      </x:c>
    </x:row>
    <x:row r="17">
      <x:c r="A17" s="42" t="str">
        <x:v>M1</x:v>
      </x:c>
      <x:c r="B17" s="42" t="str">
        <x:v>Модели и алгоритмы</x:v>
      </x:c>
      <x:c r="C17" s="42" t="str">
        <x:v>I</x:v>
      </x:c>
      <x:c r="D17" s="42" t="str">
        <x:v>Эффективное обучение моделей</x:v>
      </x:c>
      <x:c r="E17" s="42" t="n">
        <x:v>20</x:v>
      </x:c>
      <x:c r="F17" s="42"/>
      <x:c r="G17" s="42"/>
      <x:c r="H17" s="42"/>
      <x:c r="I17" s="42" t="str">
        <x:v>Улучшенные методы оптимизации, сжатия и обучения моделей.</x:v>
      </x:c>
      <x:c r="J17" s="42" t="str">
        <x:v>Методы построения моделей +0,2; их прирост +0,05/год</x:v>
      </x:c>
      <x:c r="K17" s="43" t="n">
        <x:f>SUMIF('Ход 2026'!$G$29:$G$38,$A17,'Ход 2026'!$I$29:$I$38)</x:f>
        <x:v>0</x:v>
      </x:c>
      <x:c r="L17" s="43" t="n">
        <x:f>SUMIF('Ход 2027'!$G$29:$G$38,$A17,'Ход 2027'!$I$29:$I$38)</x:f>
        <x:v>0</x:v>
      </x:c>
      <x:c r="M17" s="43" t="n">
        <x:f>SUMIF('Ход 2028'!$G$29:$G$38,$A17,'Ход 2028'!$I$29:$I$38)</x:f>
        <x:v>0</x:v>
      </x:c>
      <x:c r="N17" s="43" t="n">
        <x:f>SUMIF('Ход 2029'!$G$29:$G$38,$A17,'Ход 2029'!$I$29:$I$38)</x:f>
        <x:v>0</x:v>
      </x:c>
      <x:c r="O17" s="43" t="n">
        <x:f>SUMIF('Ход 2030'!$G$29:$G$38,$A17,'Ход 2030'!$I$29:$I$38)</x:f>
        <x:v>0</x:v>
      </x:c>
      <x:c r="P17" s="43" t="n">
        <x:f>SUMIF('Ход 2031'!$G$29:$G$38,$A17,'Ход 2031'!$I$29:$I$38)</x:f>
        <x:v>0</x:v>
      </x:c>
      <x:c r="Q17" s="43" t="n">
        <x:f>SUMIF('Ход 2032'!$G$29:$G$38,$A17,'Ход 2032'!$I$29:$I$38)</x:f>
        <x:v>0</x:v>
      </x:c>
      <x:c r="R17" s="43" t="n">
        <x:f>SUMIF('Ход 2033'!$G$29:$G$38,$A17,'Ход 2033'!$I$29:$I$38)</x:f>
        <x:v>0</x:v>
      </x:c>
      <x:c r="S17" s="43" t="n">
        <x:f>SUMIF('Ход 2034'!$G$29:$G$38,$A17,'Ход 2034'!$I$29:$I$38)</x:f>
        <x:v>0</x:v>
      </x:c>
      <x:c r="T17" s="43" t="n">
        <x:f>SUMIF('Ход 2035'!$G$29:$G$38,$A17,'Ход 2035'!$I$29:$I$38)</x:f>
        <x:v>0</x:v>
      </x:c>
      <x:c r="U17" s="43" t="n">
        <x:f>SUMIF('Ход 2036'!$G$29:$G$38,$A17,'Ход 2036'!$I$29:$I$38)</x:f>
        <x:v>0</x:v>
      </x:c>
      <x:c r="V17" s="43" t="n">
        <x:f>SUMIF('Ход 2037'!$G$29:$G$38,$A17,'Ход 2037'!$I$29:$I$38)</x:f>
        <x:v>0</x:v>
      </x:c>
      <x:c r="W17" s="43" t="n">
        <x:f>SUMIF('Ход 2038'!$G$29:$G$38,$A17,'Ход 2038'!$I$29:$I$38)</x:f>
        <x:v>0</x:v>
      </x:c>
      <x:c r="X17" s="43" t="n">
        <x:f>SUMIF('Ход 2039'!$G$29:$G$38,$A17,'Ход 2039'!$I$29:$I$38)</x:f>
        <x:v>0</x:v>
      </x:c>
      <x:c r="Y17" s="43" t="n">
        <x:f>SUMIF('Ход 2040'!$G$29:$G$38,$A17,'Ход 2040'!$I$29:$I$38)</x:f>
        <x:v>0</x:v>
      </x:c>
      <x:c r="Z17" s="44" t="n">
        <x:f>SUM(K17:Y17)</x:f>
        <x:v>0</x:v>
      </x:c>
      <x:c r="AA17" s="44" t="n">
        <x:f>MAX(0,E17-Z17)</x:f>
        <x:v>20</x:v>
      </x:c>
      <x:c r="AB17" s="42" t="str">
        <x:f>BF17</x:f>
        <x:v>ОТКРЫТО</x:v>
      </x:c>
      <x:c r="AC17" t="n">
        <x:f>SUM($K17:K17)</x:f>
        <x:v>0</x:v>
      </x:c>
      <x:c r="AD17" t="n">
        <x:f>SUM($K17:L17)</x:f>
        <x:v>0</x:v>
      </x:c>
      <x:c r="AE17" t="n">
        <x:f>SUM($K17:M17)</x:f>
        <x:v>0</x:v>
      </x:c>
      <x:c r="AF17" t="n">
        <x:f>SUM($K17:N17)</x:f>
        <x:v>0</x:v>
      </x:c>
      <x:c r="AG17" t="n">
        <x:f>SUM($K17:O17)</x:f>
        <x:v>0</x:v>
      </x:c>
      <x:c r="AH17" t="n">
        <x:f>SUM($K17:P17)</x:f>
        <x:v>0</x:v>
      </x:c>
      <x:c r="AI17" t="n">
        <x:f>SUM($K17:Q17)</x:f>
        <x:v>0</x:v>
      </x:c>
      <x:c r="AJ17" t="n">
        <x:f>SUM($K17:R17)</x:f>
        <x:v>0</x:v>
      </x:c>
      <x:c r="AK17" t="n">
        <x:f>SUM($K17:S17)</x:f>
        <x:v>0</x:v>
      </x:c>
      <x:c r="AL17" t="n">
        <x:f>SUM($K17:T17)</x:f>
        <x:v>0</x:v>
      </x:c>
      <x:c r="AM17" t="n">
        <x:f>SUM($K17:U17)</x:f>
        <x:v>0</x:v>
      </x:c>
      <x:c r="AN17" t="n">
        <x:f>SUM($K17:V17)</x:f>
        <x:v>0</x:v>
      </x:c>
      <x:c r="AO17" t="n">
        <x:f>SUM($K17:W17)</x:f>
        <x:v>0</x:v>
      </x:c>
      <x:c r="AP17" t="n">
        <x:f>SUM($K17:X17)</x:f>
        <x:v>0</x:v>
      </x:c>
      <x:c r="AQ17" t="n">
        <x:f>SUM($K17:Y17)</x:f>
        <x:v>0</x:v>
      </x:c>
      <x:c r="AR17" t="str">
        <x:f>IF(AC17&gt;=E17,"ИЗУЧЕНО",IF(AND(OR(F17="",SUMIF($A$11:$A$50,F17,AC$11:AC$50)&gt;=SUMIF($A$11:$A$50,F17,$E$11:$E$50)),OR(G17="",SUMIF($A$11:$A$50,G17,AC$11:AC$50)&gt;=SUMIF($A$11:$A$50,G17,$E$11:$E$50)),OR(H17="",SUMIF($A$11:$A$50,H17,AC$11:AC$50)&gt;=SUMIF($A$11:$A$50,H17,$E$11:$E$50))),"ОТКРЫТО","ЗАКРЫТО"))</x:f>
        <x:v>ОТКРЫТО</x:v>
      </x:c>
      <x:c r="AS17" t="str">
        <x:f>IF(AD17&gt;=E17,"ИЗУЧЕНО",IF(AND(OR(F17="",SUMIF($A$11:$A$50,F17,AD$11:AD$50)&gt;=SUMIF($A$11:$A$50,F17,$E$11:$E$50)),OR(G17="",SUMIF($A$11:$A$50,G17,AD$11:AD$50)&gt;=SUMIF($A$11:$A$50,G17,$E$11:$E$50)),OR(H17="",SUMIF($A$11:$A$50,H17,AD$11:AD$50)&gt;=SUMIF($A$11:$A$50,H17,$E$11:$E$50))),"ОТКРЫТО","ЗАКРЫТО"))</x:f>
        <x:v>ОТКРЫТО</x:v>
      </x:c>
      <x:c r="AT17" t="str">
        <x:f>IF(AE17&gt;=E17,"ИЗУЧЕНО",IF(AND(OR(F17="",SUMIF($A$11:$A$50,F17,AE$11:AE$50)&gt;=SUMIF($A$11:$A$50,F17,$E$11:$E$50)),OR(G17="",SUMIF($A$11:$A$50,G17,AE$11:AE$50)&gt;=SUMIF($A$11:$A$50,G17,$E$11:$E$50)),OR(H17="",SUMIF($A$11:$A$50,H17,AE$11:AE$50)&gt;=SUMIF($A$11:$A$50,H17,$E$11:$E$50))),"ОТКРЫТО","ЗАКРЫТО"))</x:f>
        <x:v>ОТКРЫТО</x:v>
      </x:c>
      <x:c r="AU17" t="str">
        <x:f>IF(AF17&gt;=E17,"ИЗУЧЕНО",IF(AND(OR(F17="",SUMIF($A$11:$A$50,F17,AF$11:AF$50)&gt;=SUMIF($A$11:$A$50,F17,$E$11:$E$50)),OR(G17="",SUMIF($A$11:$A$50,G17,AF$11:AF$50)&gt;=SUMIF($A$11:$A$50,G17,$E$11:$E$50)),OR(H17="",SUMIF($A$11:$A$50,H17,AF$11:AF$50)&gt;=SUMIF($A$11:$A$50,H17,$E$11:$E$50))),"ОТКРЫТО","ЗАКРЫТО"))</x:f>
        <x:v>ОТКРЫТО</x:v>
      </x:c>
      <x:c r="AV17" t="str">
        <x:f>IF(AG17&gt;=E17,"ИЗУЧЕНО",IF(AND(OR(F17="",SUMIF($A$11:$A$50,F17,AG$11:AG$50)&gt;=SUMIF($A$11:$A$50,F17,$E$11:$E$50)),OR(G17="",SUMIF($A$11:$A$50,G17,AG$11:AG$50)&gt;=SUMIF($A$11:$A$50,G17,$E$11:$E$50)),OR(H17="",SUMIF($A$11:$A$50,H17,AG$11:AG$50)&gt;=SUMIF($A$11:$A$50,H17,$E$11:$E$50))),"ОТКРЫТО","ЗАКРЫТО"))</x:f>
        <x:v>ОТКРЫТО</x:v>
      </x:c>
      <x:c r="AW17" t="str">
        <x:f>IF(AH17&gt;=E17,"ИЗУЧЕНО",IF(AND(OR(F17="",SUMIF($A$11:$A$50,F17,AH$11:AH$50)&gt;=SUMIF($A$11:$A$50,F17,$E$11:$E$50)),OR(G17="",SUMIF($A$11:$A$50,G17,AH$11:AH$50)&gt;=SUMIF($A$11:$A$50,G17,$E$11:$E$50)),OR(H17="",SUMIF($A$11:$A$50,H17,AH$11:AH$50)&gt;=SUMIF($A$11:$A$50,H17,$E$11:$E$50))),"ОТКРЫТО","ЗАКРЫТО"))</x:f>
        <x:v>ОТКРЫТО</x:v>
      </x:c>
      <x:c r="AX17" t="str">
        <x:f>IF(AI17&gt;=E17,"ИЗУЧЕНО",IF(AND(OR(F17="",SUMIF($A$11:$A$50,F17,AI$11:AI$50)&gt;=SUMIF($A$11:$A$50,F17,$E$11:$E$50)),OR(G17="",SUMIF($A$11:$A$50,G17,AI$11:AI$50)&gt;=SUMIF($A$11:$A$50,G17,$E$11:$E$50)),OR(H17="",SUMIF($A$11:$A$50,H17,AI$11:AI$50)&gt;=SUMIF($A$11:$A$50,H17,$E$11:$E$50))),"ОТКРЫТО","ЗАКРЫТО"))</x:f>
        <x:v>ОТКРЫТО</x:v>
      </x:c>
      <x:c r="AY17" t="str">
        <x:f>IF(AJ17&gt;=E17,"ИЗУЧЕНО",IF(AND(OR(F17="",SUMIF($A$11:$A$50,F17,AJ$11:AJ$50)&gt;=SUMIF($A$11:$A$50,F17,$E$11:$E$50)),OR(G17="",SUMIF($A$11:$A$50,G17,AJ$11:AJ$50)&gt;=SUMIF($A$11:$A$50,G17,$E$11:$E$50)),OR(H17="",SUMIF($A$11:$A$50,H17,AJ$11:AJ$50)&gt;=SUMIF($A$11:$A$50,H17,$E$11:$E$50))),"ОТКРЫТО","ЗАКРЫТО"))</x:f>
        <x:v>ОТКРЫТО</x:v>
      </x:c>
      <x:c r="AZ17" t="str">
        <x:f>IF(AK17&gt;=E17,"ИЗУЧЕНО",IF(AND(OR(F17="",SUMIF($A$11:$A$50,F17,AK$11:AK$50)&gt;=SUMIF($A$11:$A$50,F17,$E$11:$E$50)),OR(G17="",SUMIF($A$11:$A$50,G17,AK$11:AK$50)&gt;=SUMIF($A$11:$A$50,G17,$E$11:$E$50)),OR(H17="",SUMIF($A$11:$A$50,H17,AK$11:AK$50)&gt;=SUMIF($A$11:$A$50,H17,$E$11:$E$50))),"ОТКРЫТО","ЗАКРЫТО"))</x:f>
        <x:v>ОТКРЫТО</x:v>
      </x:c>
      <x:c r="BA17" t="str">
        <x:f>IF(AL17&gt;=E17,"ИЗУЧЕНО",IF(AND(OR(F17="",SUMIF($A$11:$A$50,F17,AL$11:AL$50)&gt;=SUMIF($A$11:$A$50,F17,$E$11:$E$50)),OR(G17="",SUMIF($A$11:$A$50,G17,AL$11:AL$50)&gt;=SUMIF($A$11:$A$50,G17,$E$11:$E$50)),OR(H17="",SUMIF($A$11:$A$50,H17,AL$11:AL$50)&gt;=SUMIF($A$11:$A$50,H17,$E$11:$E$50))),"ОТКРЫТО","ЗАКРЫТО"))</x:f>
        <x:v>ОТКРЫТО</x:v>
      </x:c>
      <x:c r="BB17" t="str">
        <x:f>IF(AM17&gt;=E17,"ИЗУЧЕНО",IF(AND(OR(F17="",SUMIF($A$11:$A$50,F17,AM$11:AM$50)&gt;=SUMIF($A$11:$A$50,F17,$E$11:$E$50)),OR(G17="",SUMIF($A$11:$A$50,G17,AM$11:AM$50)&gt;=SUMIF($A$11:$A$50,G17,$E$11:$E$50)),OR(H17="",SUMIF($A$11:$A$50,H17,AM$11:AM$50)&gt;=SUMIF($A$11:$A$50,H17,$E$11:$E$50))),"ОТКРЫТО","ЗАКРЫТО"))</x:f>
        <x:v>ОТКРЫТО</x:v>
      </x:c>
      <x:c r="BC17" t="str">
        <x:f>IF(AN17&gt;=E17,"ИЗУЧЕНО",IF(AND(OR(F17="",SUMIF($A$11:$A$50,F17,AN$11:AN$50)&gt;=SUMIF($A$11:$A$50,F17,$E$11:$E$50)),OR(G17="",SUMIF($A$11:$A$50,G17,AN$11:AN$50)&gt;=SUMIF($A$11:$A$50,G17,$E$11:$E$50)),OR(H17="",SUMIF($A$11:$A$50,H17,AN$11:AN$50)&gt;=SUMIF($A$11:$A$50,H17,$E$11:$E$50))),"ОТКРЫТО","ЗАКРЫТО"))</x:f>
        <x:v>ОТКРЫТО</x:v>
      </x:c>
      <x:c r="BD17" t="str">
        <x:f>IF(AO17&gt;=E17,"ИЗУЧЕНО",IF(AND(OR(F17="",SUMIF($A$11:$A$50,F17,AO$11:AO$50)&gt;=SUMIF($A$11:$A$50,F17,$E$11:$E$50)),OR(G17="",SUMIF($A$11:$A$50,G17,AO$11:AO$50)&gt;=SUMIF($A$11:$A$50,G17,$E$11:$E$50)),OR(H17="",SUMIF($A$11:$A$50,H17,AO$11:AO$50)&gt;=SUMIF($A$11:$A$50,H17,$E$11:$E$50))),"ОТКРЫТО","ЗАКРЫТО"))</x:f>
        <x:v>ОТКРЫТО</x:v>
      </x:c>
      <x:c r="BE17" t="str">
        <x:f>IF(AP17&gt;=E17,"ИЗУЧЕНО",IF(AND(OR(F17="",SUMIF($A$11:$A$50,F17,AP$11:AP$50)&gt;=SUMIF($A$11:$A$50,F17,$E$11:$E$50)),OR(G17="",SUMIF($A$11:$A$50,G17,AP$11:AP$50)&gt;=SUMIF($A$11:$A$50,G17,$E$11:$E$50)),OR(H17="",SUMIF($A$11:$A$50,H17,AP$11:AP$50)&gt;=SUMIF($A$11:$A$50,H17,$E$11:$E$50))),"ОТКРЫТО","ЗАКРЫТО"))</x:f>
        <x:v>ОТКРЫТО</x:v>
      </x:c>
      <x:c r="BF17" t="str">
        <x:f>IF(AQ17&gt;=E17,"ИЗУЧЕНО",IF(AND(OR(F17="",SUMIF($A$11:$A$50,F17,AQ$11:AQ$50)&gt;=SUMIF($A$11:$A$50,F17,$E$11:$E$50)),OR(G17="",SUMIF($A$11:$A$50,G17,AQ$11:AQ$50)&gt;=SUMIF($A$11:$A$50,G17,$E$11:$E$50)),OR(H17="",SUMIF($A$11:$A$50,H17,AQ$11:AQ$50)&gt;=SUMIF($A$11:$A$50,H17,$E$11:$E$50))),"ОТКРЫТО","ЗАКРЫТО"))</x:f>
        <x:v>ОТКРЫТО</x:v>
      </x:c>
    </x:row>
    <x:row r="18">
      <x:c r="A18" s="42" t="str">
        <x:v>M2</x:v>
      </x:c>
      <x:c r="B18" s="42" t="str">
        <x:v>Модели и алгоритмы</x:v>
      </x:c>
      <x:c r="C18" s="42" t="str">
        <x:v>II</x:v>
      </x:c>
      <x:c r="D18" s="42" t="str">
        <x:v>Мультимодальные фундаментальные модели</x:v>
      </x:c>
      <x:c r="E18" s="42" t="n">
        <x:v>40</x:v>
      </x:c>
      <x:c r="F18" s="42" t="str">
        <x:v>M1</x:v>
      </x:c>
      <x:c r="G18" s="42"/>
      <x:c r="H18" s="42"/>
      <x:c r="I18" s="42" t="str">
        <x:v>Совместная работа с текстом, изображениями, звуком, видео и другими модальностями.</x:v>
      </x:c>
      <x:c r="J18" s="42" t="str">
        <x:v>Модельные ресурсы +0,3; прирост Принятия ИИ +0,05/год; атака Аполлона +10%</x:v>
      </x:c>
      <x:c r="K18" s="43" t="n">
        <x:f>SUMIF('Ход 2026'!$G$29:$G$38,$A18,'Ход 2026'!$I$29:$I$38)</x:f>
        <x:v>0</x:v>
      </x:c>
      <x:c r="L18" s="43" t="n">
        <x:f>SUMIF('Ход 2027'!$G$29:$G$38,$A18,'Ход 2027'!$I$29:$I$38)</x:f>
        <x:v>0</x:v>
      </x:c>
      <x:c r="M18" s="43" t="n">
        <x:f>SUMIF('Ход 2028'!$G$29:$G$38,$A18,'Ход 2028'!$I$29:$I$38)</x:f>
        <x:v>0</x:v>
      </x:c>
      <x:c r="N18" s="43" t="n">
        <x:f>SUMIF('Ход 2029'!$G$29:$G$38,$A18,'Ход 2029'!$I$29:$I$38)</x:f>
        <x:v>0</x:v>
      </x:c>
      <x:c r="O18" s="43" t="n">
        <x:f>SUMIF('Ход 2030'!$G$29:$G$38,$A18,'Ход 2030'!$I$29:$I$38)</x:f>
        <x:v>0</x:v>
      </x:c>
      <x:c r="P18" s="43" t="n">
        <x:f>SUMIF('Ход 2031'!$G$29:$G$38,$A18,'Ход 2031'!$I$29:$I$38)</x:f>
        <x:v>0</x:v>
      </x:c>
      <x:c r="Q18" s="43" t="n">
        <x:f>SUMIF('Ход 2032'!$G$29:$G$38,$A18,'Ход 2032'!$I$29:$I$38)</x:f>
        <x:v>0</x:v>
      </x:c>
      <x:c r="R18" s="43" t="n">
        <x:f>SUMIF('Ход 2033'!$G$29:$G$38,$A18,'Ход 2033'!$I$29:$I$38)</x:f>
        <x:v>0</x:v>
      </x:c>
      <x:c r="S18" s="43" t="n">
        <x:f>SUMIF('Ход 2034'!$G$29:$G$38,$A18,'Ход 2034'!$I$29:$I$38)</x:f>
        <x:v>0</x:v>
      </x:c>
      <x:c r="T18" s="43" t="n">
        <x:f>SUMIF('Ход 2035'!$G$29:$G$38,$A18,'Ход 2035'!$I$29:$I$38)</x:f>
        <x:v>0</x:v>
      </x:c>
      <x:c r="U18" s="43" t="n">
        <x:f>SUMIF('Ход 2036'!$G$29:$G$38,$A18,'Ход 2036'!$I$29:$I$38)</x:f>
        <x:v>0</x:v>
      </x:c>
      <x:c r="V18" s="43" t="n">
        <x:f>SUMIF('Ход 2037'!$G$29:$G$38,$A18,'Ход 2037'!$I$29:$I$38)</x:f>
        <x:v>0</x:v>
      </x:c>
      <x:c r="W18" s="43" t="n">
        <x:f>SUMIF('Ход 2038'!$G$29:$G$38,$A18,'Ход 2038'!$I$29:$I$38)</x:f>
        <x:v>0</x:v>
      </x:c>
      <x:c r="X18" s="43" t="n">
        <x:f>SUMIF('Ход 2039'!$G$29:$G$38,$A18,'Ход 2039'!$I$29:$I$38)</x:f>
        <x:v>0</x:v>
      </x:c>
      <x:c r="Y18" s="43" t="n">
        <x:f>SUMIF('Ход 2040'!$G$29:$G$38,$A18,'Ход 2040'!$I$29:$I$38)</x:f>
        <x:v>0</x:v>
      </x:c>
      <x:c r="Z18" s="44" t="n">
        <x:f>SUM(K18:Y18)</x:f>
        <x:v>0</x:v>
      </x:c>
      <x:c r="AA18" s="44" t="n">
        <x:f>MAX(0,E18-Z18)</x:f>
        <x:v>40</x:v>
      </x:c>
      <x:c r="AB18" s="42" t="str">
        <x:f>BF18</x:f>
        <x:v>ЗАКРЫТО</x:v>
      </x:c>
      <x:c r="AC18" t="n">
        <x:f>SUM($K18:K18)</x:f>
        <x:v>0</x:v>
      </x:c>
      <x:c r="AD18" t="n">
        <x:f>SUM($K18:L18)</x:f>
        <x:v>0</x:v>
      </x:c>
      <x:c r="AE18" t="n">
        <x:f>SUM($K18:M18)</x:f>
        <x:v>0</x:v>
      </x:c>
      <x:c r="AF18" t="n">
        <x:f>SUM($K18:N18)</x:f>
        <x:v>0</x:v>
      </x:c>
      <x:c r="AG18" t="n">
        <x:f>SUM($K18:O18)</x:f>
        <x:v>0</x:v>
      </x:c>
      <x:c r="AH18" t="n">
        <x:f>SUM($K18:P18)</x:f>
        <x:v>0</x:v>
      </x:c>
      <x:c r="AI18" t="n">
        <x:f>SUM($K18:Q18)</x:f>
        <x:v>0</x:v>
      </x:c>
      <x:c r="AJ18" t="n">
        <x:f>SUM($K18:R18)</x:f>
        <x:v>0</x:v>
      </x:c>
      <x:c r="AK18" t="n">
        <x:f>SUM($K18:S18)</x:f>
        <x:v>0</x:v>
      </x:c>
      <x:c r="AL18" t="n">
        <x:f>SUM($K18:T18)</x:f>
        <x:v>0</x:v>
      </x:c>
      <x:c r="AM18" t="n">
        <x:f>SUM($K18:U18)</x:f>
        <x:v>0</x:v>
      </x:c>
      <x:c r="AN18" t="n">
        <x:f>SUM($K18:V18)</x:f>
        <x:v>0</x:v>
      </x:c>
      <x:c r="AO18" t="n">
        <x:f>SUM($K18:W18)</x:f>
        <x:v>0</x:v>
      </x:c>
      <x:c r="AP18" t="n">
        <x:f>SUM($K18:X18)</x:f>
        <x:v>0</x:v>
      </x:c>
      <x:c r="AQ18" t="n">
        <x:f>SUM($K18:Y18)</x:f>
        <x:v>0</x:v>
      </x:c>
      <x:c r="AR18" t="str">
        <x:f>IF(AC18&gt;=E18,"ИЗУЧЕНО",IF(AND(OR(F18="",SUMIF($A$11:$A$50,F18,AC$11:AC$50)&gt;=SUMIF($A$11:$A$50,F18,$E$11:$E$50)),OR(G18="",SUMIF($A$11:$A$50,G18,AC$11:AC$50)&gt;=SUMIF($A$11:$A$50,G18,$E$11:$E$50)),OR(H18="",SUMIF($A$11:$A$50,H18,AC$11:AC$50)&gt;=SUMIF($A$11:$A$50,H18,$E$11:$E$50))),"ОТКРЫТО","ЗАКРЫТО"))</x:f>
        <x:v>ЗАКРЫТО</x:v>
      </x:c>
      <x:c r="AS18" t="str">
        <x:f>IF(AD18&gt;=E18,"ИЗУЧЕНО",IF(AND(OR(F18="",SUMIF($A$11:$A$50,F18,AD$11:AD$50)&gt;=SUMIF($A$11:$A$50,F18,$E$11:$E$50)),OR(G18="",SUMIF($A$11:$A$50,G18,AD$11:AD$50)&gt;=SUMIF($A$11:$A$50,G18,$E$11:$E$50)),OR(H18="",SUMIF($A$11:$A$50,H18,AD$11:AD$50)&gt;=SUMIF($A$11:$A$50,H18,$E$11:$E$50))),"ОТКРЫТО","ЗАКРЫТО"))</x:f>
        <x:v>ЗАКРЫТО</x:v>
      </x:c>
      <x:c r="AT18" t="str">
        <x:f>IF(AE18&gt;=E18,"ИЗУЧЕНО",IF(AND(OR(F18="",SUMIF($A$11:$A$50,F18,AE$11:AE$50)&gt;=SUMIF($A$11:$A$50,F18,$E$11:$E$50)),OR(G18="",SUMIF($A$11:$A$50,G18,AE$11:AE$50)&gt;=SUMIF($A$11:$A$50,G18,$E$11:$E$50)),OR(H18="",SUMIF($A$11:$A$50,H18,AE$11:AE$50)&gt;=SUMIF($A$11:$A$50,H18,$E$11:$E$50))),"ОТКРЫТО","ЗАКРЫТО"))</x:f>
        <x:v>ЗАКРЫТО</x:v>
      </x:c>
      <x:c r="AU18" t="str">
        <x:f>IF(AF18&gt;=E18,"ИЗУЧЕНО",IF(AND(OR(F18="",SUMIF($A$11:$A$50,F18,AF$11:AF$50)&gt;=SUMIF($A$11:$A$50,F18,$E$11:$E$50)),OR(G18="",SUMIF($A$11:$A$50,G18,AF$11:AF$50)&gt;=SUMIF($A$11:$A$50,G18,$E$11:$E$50)),OR(H18="",SUMIF($A$11:$A$50,H18,AF$11:AF$50)&gt;=SUMIF($A$11:$A$50,H18,$E$11:$E$50))),"ОТКРЫТО","ЗАКРЫТО"))</x:f>
        <x:v>ЗАКРЫТО</x:v>
      </x:c>
      <x:c r="AV18" t="str">
        <x:f>IF(AG18&gt;=E18,"ИЗУЧЕНО",IF(AND(OR(F18="",SUMIF($A$11:$A$50,F18,AG$11:AG$50)&gt;=SUMIF($A$11:$A$50,F18,$E$11:$E$50)),OR(G18="",SUMIF($A$11:$A$50,G18,AG$11:AG$50)&gt;=SUMIF($A$11:$A$50,G18,$E$11:$E$50)),OR(H18="",SUMIF($A$11:$A$50,H18,AG$11:AG$50)&gt;=SUMIF($A$11:$A$50,H18,$E$11:$E$50))),"ОТКРЫТО","ЗАКРЫТО"))</x:f>
        <x:v>ЗАКРЫТО</x:v>
      </x:c>
      <x:c r="AW18" t="str">
        <x:f>IF(AH18&gt;=E18,"ИЗУЧЕНО",IF(AND(OR(F18="",SUMIF($A$11:$A$50,F18,AH$11:AH$50)&gt;=SUMIF($A$11:$A$50,F18,$E$11:$E$50)),OR(G18="",SUMIF($A$11:$A$50,G18,AH$11:AH$50)&gt;=SUMIF($A$11:$A$50,G18,$E$11:$E$50)),OR(H18="",SUMIF($A$11:$A$50,H18,AH$11:AH$50)&gt;=SUMIF($A$11:$A$50,H18,$E$11:$E$50))),"ОТКРЫТО","ЗАКРЫТО"))</x:f>
        <x:v>ЗАКРЫТО</x:v>
      </x:c>
      <x:c r="AX18" t="str">
        <x:f>IF(AI18&gt;=E18,"ИЗУЧЕНО",IF(AND(OR(F18="",SUMIF($A$11:$A$50,F18,AI$11:AI$50)&gt;=SUMIF($A$11:$A$50,F18,$E$11:$E$50)),OR(G18="",SUMIF($A$11:$A$50,G18,AI$11:AI$50)&gt;=SUMIF($A$11:$A$50,G18,$E$11:$E$50)),OR(H18="",SUMIF($A$11:$A$50,H18,AI$11:AI$50)&gt;=SUMIF($A$11:$A$50,H18,$E$11:$E$50))),"ОТКРЫТО","ЗАКРЫТО"))</x:f>
        <x:v>ЗАКРЫТО</x:v>
      </x:c>
      <x:c r="AY18" t="str">
        <x:f>IF(AJ18&gt;=E18,"ИЗУЧЕНО",IF(AND(OR(F18="",SUMIF($A$11:$A$50,F18,AJ$11:AJ$50)&gt;=SUMIF($A$11:$A$50,F18,$E$11:$E$50)),OR(G18="",SUMIF($A$11:$A$50,G18,AJ$11:AJ$50)&gt;=SUMIF($A$11:$A$50,G18,$E$11:$E$50)),OR(H18="",SUMIF($A$11:$A$50,H18,AJ$11:AJ$50)&gt;=SUMIF($A$11:$A$50,H18,$E$11:$E$50))),"ОТКРЫТО","ЗАКРЫТО"))</x:f>
        <x:v>ЗАКРЫТО</x:v>
      </x:c>
      <x:c r="AZ18" t="str">
        <x:f>IF(AK18&gt;=E18,"ИЗУЧЕНО",IF(AND(OR(F18="",SUMIF($A$11:$A$50,F18,AK$11:AK$50)&gt;=SUMIF($A$11:$A$50,F18,$E$11:$E$50)),OR(G18="",SUMIF($A$11:$A$50,G18,AK$11:AK$50)&gt;=SUMIF($A$11:$A$50,G18,$E$11:$E$50)),OR(H18="",SUMIF($A$11:$A$50,H18,AK$11:AK$50)&gt;=SUMIF($A$11:$A$50,H18,$E$11:$E$50))),"ОТКРЫТО","ЗАКРЫТО"))</x:f>
        <x:v>ЗАКРЫТО</x:v>
      </x:c>
      <x:c r="BA18" t="str">
        <x:f>IF(AL18&gt;=E18,"ИЗУЧЕНО",IF(AND(OR(F18="",SUMIF($A$11:$A$50,F18,AL$11:AL$50)&gt;=SUMIF($A$11:$A$50,F18,$E$11:$E$50)),OR(G18="",SUMIF($A$11:$A$50,G18,AL$11:AL$50)&gt;=SUMIF($A$11:$A$50,G18,$E$11:$E$50)),OR(H18="",SUMIF($A$11:$A$50,H18,AL$11:AL$50)&gt;=SUMIF($A$11:$A$50,H18,$E$11:$E$50))),"ОТКРЫТО","ЗАКРЫТО"))</x:f>
        <x:v>ЗАКРЫТО</x:v>
      </x:c>
      <x:c r="BB18" t="str">
        <x:f>IF(AM18&gt;=E18,"ИЗУЧЕНО",IF(AND(OR(F18="",SUMIF($A$11:$A$50,F18,AM$11:AM$50)&gt;=SUMIF($A$11:$A$50,F18,$E$11:$E$50)),OR(G18="",SUMIF($A$11:$A$50,G18,AM$11:AM$50)&gt;=SUMIF($A$11:$A$50,G18,$E$11:$E$50)),OR(H18="",SUMIF($A$11:$A$50,H18,AM$11:AM$50)&gt;=SUMIF($A$11:$A$50,H18,$E$11:$E$50))),"ОТКРЫТО","ЗАКРЫТО"))</x:f>
        <x:v>ЗАКРЫТО</x:v>
      </x:c>
      <x:c r="BC18" t="str">
        <x:f>IF(AN18&gt;=E18,"ИЗУЧЕНО",IF(AND(OR(F18="",SUMIF($A$11:$A$50,F18,AN$11:AN$50)&gt;=SUMIF($A$11:$A$50,F18,$E$11:$E$50)),OR(G18="",SUMIF($A$11:$A$50,G18,AN$11:AN$50)&gt;=SUMIF($A$11:$A$50,G18,$E$11:$E$50)),OR(H18="",SUMIF($A$11:$A$50,H18,AN$11:AN$50)&gt;=SUMIF($A$11:$A$50,H18,$E$11:$E$50))),"ОТКРЫТО","ЗАКРЫТО"))</x:f>
        <x:v>ЗАКРЫТО</x:v>
      </x:c>
      <x:c r="BD18" t="str">
        <x:f>IF(AO18&gt;=E18,"ИЗУЧЕНО",IF(AND(OR(F18="",SUMIF($A$11:$A$50,F18,AO$11:AO$50)&gt;=SUMIF($A$11:$A$50,F18,$E$11:$E$50)),OR(G18="",SUMIF($A$11:$A$50,G18,AO$11:AO$50)&gt;=SUMIF($A$11:$A$50,G18,$E$11:$E$50)),OR(H18="",SUMIF($A$11:$A$50,H18,AO$11:AO$50)&gt;=SUMIF($A$11:$A$50,H18,$E$11:$E$50))),"ОТКРЫТО","ЗАКРЫТО"))</x:f>
        <x:v>ЗАКРЫТО</x:v>
      </x:c>
      <x:c r="BE18" t="str">
        <x:f>IF(AP18&gt;=E18,"ИЗУЧЕНО",IF(AND(OR(F18="",SUMIF($A$11:$A$50,F18,AP$11:AP$50)&gt;=SUMIF($A$11:$A$50,F18,$E$11:$E$50)),OR(G18="",SUMIF($A$11:$A$50,G18,AP$11:AP$50)&gt;=SUMIF($A$11:$A$50,G18,$E$11:$E$50)),OR(H18="",SUMIF($A$11:$A$50,H18,AP$11:AP$50)&gt;=SUMIF($A$11:$A$50,H18,$E$11:$E$50))),"ОТКРЫТО","ЗАКРЫТО"))</x:f>
        <x:v>ЗАКРЫТО</x:v>
      </x:c>
      <x:c r="BF18" t="str">
        <x:f>IF(AQ18&gt;=E18,"ИЗУЧЕНО",IF(AND(OR(F18="",SUMIF($A$11:$A$50,F18,AQ$11:AQ$50)&gt;=SUMIF($A$11:$A$50,F18,$E$11:$E$50)),OR(G18="",SUMIF($A$11:$A$50,G18,AQ$11:AQ$50)&gt;=SUMIF($A$11:$A$50,G18,$E$11:$E$50)),OR(H18="",SUMIF($A$11:$A$50,H18,AQ$11:AQ$50)&gt;=SUMIF($A$11:$A$50,H18,$E$11:$E$50))),"ОТКРЫТО","ЗАКРЫТО"))</x:f>
        <x:v>ЗАКРЫТО</x:v>
      </x:c>
    </x:row>
    <x:row r="19">
      <x:c r="A19" s="42" t="str">
        <x:v>M3</x:v>
      </x:c>
      <x:c r="B19" s="42" t="str">
        <x:v>Модели и алгоритмы</x:v>
      </x:c>
      <x:c r="C19" s="42" t="str">
        <x:v>II</x:v>
      </x:c>
      <x:c r="D19" s="42" t="str">
        <x:v>Модели рассуждения и планирования</x:v>
      </x:c>
      <x:c r="E19" s="42" t="n">
        <x:v>45</x:v>
      </x:c>
      <x:c r="F19" s="42" t="str">
        <x:v>M1</x:v>
      </x:c>
      <x:c r="G19" s="42"/>
      <x:c r="H19" s="42"/>
      <x:c r="I19" s="42" t="str">
        <x:v>Многошаговое решение задач, планирование и проверка промежуточных результатов.</x:v>
      </x:c>
      <x:c r="J19" s="42" t="str">
        <x:v>Методы построения моделей +0,3; прирост Познания +0,08/год</x:v>
      </x:c>
      <x:c r="K19" s="43" t="n">
        <x:f>SUMIF('Ход 2026'!$G$29:$G$38,$A19,'Ход 2026'!$I$29:$I$38)</x:f>
        <x:v>0</x:v>
      </x:c>
      <x:c r="L19" s="43" t="n">
        <x:f>SUMIF('Ход 2027'!$G$29:$G$38,$A19,'Ход 2027'!$I$29:$I$38)</x:f>
        <x:v>0</x:v>
      </x:c>
      <x:c r="M19" s="43" t="n">
        <x:f>SUMIF('Ход 2028'!$G$29:$G$38,$A19,'Ход 2028'!$I$29:$I$38)</x:f>
        <x:v>0</x:v>
      </x:c>
      <x:c r="N19" s="43" t="n">
        <x:f>SUMIF('Ход 2029'!$G$29:$G$38,$A19,'Ход 2029'!$I$29:$I$38)</x:f>
        <x:v>0</x:v>
      </x:c>
      <x:c r="O19" s="43" t="n">
        <x:f>SUMIF('Ход 2030'!$G$29:$G$38,$A19,'Ход 2030'!$I$29:$I$38)</x:f>
        <x:v>0</x:v>
      </x:c>
      <x:c r="P19" s="43" t="n">
        <x:f>SUMIF('Ход 2031'!$G$29:$G$38,$A19,'Ход 2031'!$I$29:$I$38)</x:f>
        <x:v>0</x:v>
      </x:c>
      <x:c r="Q19" s="43" t="n">
        <x:f>SUMIF('Ход 2032'!$G$29:$G$38,$A19,'Ход 2032'!$I$29:$I$38)</x:f>
        <x:v>0</x:v>
      </x:c>
      <x:c r="R19" s="43" t="n">
        <x:f>SUMIF('Ход 2033'!$G$29:$G$38,$A19,'Ход 2033'!$I$29:$I$38)</x:f>
        <x:v>0</x:v>
      </x:c>
      <x:c r="S19" s="43" t="n">
        <x:f>SUMIF('Ход 2034'!$G$29:$G$38,$A19,'Ход 2034'!$I$29:$I$38)</x:f>
        <x:v>0</x:v>
      </x:c>
      <x:c r="T19" s="43" t="n">
        <x:f>SUMIF('Ход 2035'!$G$29:$G$38,$A19,'Ход 2035'!$I$29:$I$38)</x:f>
        <x:v>0</x:v>
      </x:c>
      <x:c r="U19" s="43" t="n">
        <x:f>SUMIF('Ход 2036'!$G$29:$G$38,$A19,'Ход 2036'!$I$29:$I$38)</x:f>
        <x:v>0</x:v>
      </x:c>
      <x:c r="V19" s="43" t="n">
        <x:f>SUMIF('Ход 2037'!$G$29:$G$38,$A19,'Ход 2037'!$I$29:$I$38)</x:f>
        <x:v>0</x:v>
      </x:c>
      <x:c r="W19" s="43" t="n">
        <x:f>SUMIF('Ход 2038'!$G$29:$G$38,$A19,'Ход 2038'!$I$29:$I$38)</x:f>
        <x:v>0</x:v>
      </x:c>
      <x:c r="X19" s="43" t="n">
        <x:f>SUMIF('Ход 2039'!$G$29:$G$38,$A19,'Ход 2039'!$I$29:$I$38)</x:f>
        <x:v>0</x:v>
      </x:c>
      <x:c r="Y19" s="43" t="n">
        <x:f>SUMIF('Ход 2040'!$G$29:$G$38,$A19,'Ход 2040'!$I$29:$I$38)</x:f>
        <x:v>0</x:v>
      </x:c>
      <x:c r="Z19" s="44" t="n">
        <x:f>SUM(K19:Y19)</x:f>
        <x:v>0</x:v>
      </x:c>
      <x:c r="AA19" s="44" t="n">
        <x:f>MAX(0,E19-Z19)</x:f>
        <x:v>45</x:v>
      </x:c>
      <x:c r="AB19" s="42" t="str">
        <x:f>BF19</x:f>
        <x:v>ЗАКРЫТО</x:v>
      </x:c>
      <x:c r="AC19" t="n">
        <x:f>SUM($K19:K19)</x:f>
        <x:v>0</x:v>
      </x:c>
      <x:c r="AD19" t="n">
        <x:f>SUM($K19:L19)</x:f>
        <x:v>0</x:v>
      </x:c>
      <x:c r="AE19" t="n">
        <x:f>SUM($K19:M19)</x:f>
        <x:v>0</x:v>
      </x:c>
      <x:c r="AF19" t="n">
        <x:f>SUM($K19:N19)</x:f>
        <x:v>0</x:v>
      </x:c>
      <x:c r="AG19" t="n">
        <x:f>SUM($K19:O19)</x:f>
        <x:v>0</x:v>
      </x:c>
      <x:c r="AH19" t="n">
        <x:f>SUM($K19:P19)</x:f>
        <x:v>0</x:v>
      </x:c>
      <x:c r="AI19" t="n">
        <x:f>SUM($K19:Q19)</x:f>
        <x:v>0</x:v>
      </x:c>
      <x:c r="AJ19" t="n">
        <x:f>SUM($K19:R19)</x:f>
        <x:v>0</x:v>
      </x:c>
      <x:c r="AK19" t="n">
        <x:f>SUM($K19:S19)</x:f>
        <x:v>0</x:v>
      </x:c>
      <x:c r="AL19" t="n">
        <x:f>SUM($K19:T19)</x:f>
        <x:v>0</x:v>
      </x:c>
      <x:c r="AM19" t="n">
        <x:f>SUM($K19:U19)</x:f>
        <x:v>0</x:v>
      </x:c>
      <x:c r="AN19" t="n">
        <x:f>SUM($K19:V19)</x:f>
        <x:v>0</x:v>
      </x:c>
      <x:c r="AO19" t="n">
        <x:f>SUM($K19:W19)</x:f>
        <x:v>0</x:v>
      </x:c>
      <x:c r="AP19" t="n">
        <x:f>SUM($K19:X19)</x:f>
        <x:v>0</x:v>
      </x:c>
      <x:c r="AQ19" t="n">
        <x:f>SUM($K19:Y19)</x:f>
        <x:v>0</x:v>
      </x:c>
      <x:c r="AR19" t="str">
        <x:f>IF(AC19&gt;=E19,"ИЗУЧЕНО",IF(AND(OR(F19="",SUMIF($A$11:$A$50,F19,AC$11:AC$50)&gt;=SUMIF($A$11:$A$50,F19,$E$11:$E$50)),OR(G19="",SUMIF($A$11:$A$50,G19,AC$11:AC$50)&gt;=SUMIF($A$11:$A$50,G19,$E$11:$E$50)),OR(H19="",SUMIF($A$11:$A$50,H19,AC$11:AC$50)&gt;=SUMIF($A$11:$A$50,H19,$E$11:$E$50))),"ОТКРЫТО","ЗАКРЫТО"))</x:f>
        <x:v>ЗАКРЫТО</x:v>
      </x:c>
      <x:c r="AS19" t="str">
        <x:f>IF(AD19&gt;=E19,"ИЗУЧЕНО",IF(AND(OR(F19="",SUMIF($A$11:$A$50,F19,AD$11:AD$50)&gt;=SUMIF($A$11:$A$50,F19,$E$11:$E$50)),OR(G19="",SUMIF($A$11:$A$50,G19,AD$11:AD$50)&gt;=SUMIF($A$11:$A$50,G19,$E$11:$E$50)),OR(H19="",SUMIF($A$11:$A$50,H19,AD$11:AD$50)&gt;=SUMIF($A$11:$A$50,H19,$E$11:$E$50))),"ОТКРЫТО","ЗАКРЫТО"))</x:f>
        <x:v>ЗАКРЫТО</x:v>
      </x:c>
      <x:c r="AT19" t="str">
        <x:f>IF(AE19&gt;=E19,"ИЗУЧЕНО",IF(AND(OR(F19="",SUMIF($A$11:$A$50,F19,AE$11:AE$50)&gt;=SUMIF($A$11:$A$50,F19,$E$11:$E$50)),OR(G19="",SUMIF($A$11:$A$50,G19,AE$11:AE$50)&gt;=SUMIF($A$11:$A$50,G19,$E$11:$E$50)),OR(H19="",SUMIF($A$11:$A$50,H19,AE$11:AE$50)&gt;=SUMIF($A$11:$A$50,H19,$E$11:$E$50))),"ОТКРЫТО","ЗАКРЫТО"))</x:f>
        <x:v>ЗАКРЫТО</x:v>
      </x:c>
      <x:c r="AU19" t="str">
        <x:f>IF(AF19&gt;=E19,"ИЗУЧЕНО",IF(AND(OR(F19="",SUMIF($A$11:$A$50,F19,AF$11:AF$50)&gt;=SUMIF($A$11:$A$50,F19,$E$11:$E$50)),OR(G19="",SUMIF($A$11:$A$50,G19,AF$11:AF$50)&gt;=SUMIF($A$11:$A$50,G19,$E$11:$E$50)),OR(H19="",SUMIF($A$11:$A$50,H19,AF$11:AF$50)&gt;=SUMIF($A$11:$A$50,H19,$E$11:$E$50))),"ОТКРЫТО","ЗАКРЫТО"))</x:f>
        <x:v>ЗАКРЫТО</x:v>
      </x:c>
      <x:c r="AV19" t="str">
        <x:f>IF(AG19&gt;=E19,"ИЗУЧЕНО",IF(AND(OR(F19="",SUMIF($A$11:$A$50,F19,AG$11:AG$50)&gt;=SUMIF($A$11:$A$50,F19,$E$11:$E$50)),OR(G19="",SUMIF($A$11:$A$50,G19,AG$11:AG$50)&gt;=SUMIF($A$11:$A$50,G19,$E$11:$E$50)),OR(H19="",SUMIF($A$11:$A$50,H19,AG$11:AG$50)&gt;=SUMIF($A$11:$A$50,H19,$E$11:$E$50))),"ОТКРЫТО","ЗАКРЫТО"))</x:f>
        <x:v>ЗАКРЫТО</x:v>
      </x:c>
      <x:c r="AW19" t="str">
        <x:f>IF(AH19&gt;=E19,"ИЗУЧЕНО",IF(AND(OR(F19="",SUMIF($A$11:$A$50,F19,AH$11:AH$50)&gt;=SUMIF($A$11:$A$50,F19,$E$11:$E$50)),OR(G19="",SUMIF($A$11:$A$50,G19,AH$11:AH$50)&gt;=SUMIF($A$11:$A$50,G19,$E$11:$E$50)),OR(H19="",SUMIF($A$11:$A$50,H19,AH$11:AH$50)&gt;=SUMIF($A$11:$A$50,H19,$E$11:$E$50))),"ОТКРЫТО","ЗАКРЫТО"))</x:f>
        <x:v>ЗАКРЫТО</x:v>
      </x:c>
      <x:c r="AX19" t="str">
        <x:f>IF(AI19&gt;=E19,"ИЗУЧЕНО",IF(AND(OR(F19="",SUMIF($A$11:$A$50,F19,AI$11:AI$50)&gt;=SUMIF($A$11:$A$50,F19,$E$11:$E$50)),OR(G19="",SUMIF($A$11:$A$50,G19,AI$11:AI$50)&gt;=SUMIF($A$11:$A$50,G19,$E$11:$E$50)),OR(H19="",SUMIF($A$11:$A$50,H19,AI$11:AI$50)&gt;=SUMIF($A$11:$A$50,H19,$E$11:$E$50))),"ОТКРЫТО","ЗАКРЫТО"))</x:f>
        <x:v>ЗАКРЫТО</x:v>
      </x:c>
      <x:c r="AY19" t="str">
        <x:f>IF(AJ19&gt;=E19,"ИЗУЧЕНО",IF(AND(OR(F19="",SUMIF($A$11:$A$50,F19,AJ$11:AJ$50)&gt;=SUMIF($A$11:$A$50,F19,$E$11:$E$50)),OR(G19="",SUMIF($A$11:$A$50,G19,AJ$11:AJ$50)&gt;=SUMIF($A$11:$A$50,G19,$E$11:$E$50)),OR(H19="",SUMIF($A$11:$A$50,H19,AJ$11:AJ$50)&gt;=SUMIF($A$11:$A$50,H19,$E$11:$E$50))),"ОТКРЫТО","ЗАКРЫТО"))</x:f>
        <x:v>ЗАКРЫТО</x:v>
      </x:c>
      <x:c r="AZ19" t="str">
        <x:f>IF(AK19&gt;=E19,"ИЗУЧЕНО",IF(AND(OR(F19="",SUMIF($A$11:$A$50,F19,AK$11:AK$50)&gt;=SUMIF($A$11:$A$50,F19,$E$11:$E$50)),OR(G19="",SUMIF($A$11:$A$50,G19,AK$11:AK$50)&gt;=SUMIF($A$11:$A$50,G19,$E$11:$E$50)),OR(H19="",SUMIF($A$11:$A$50,H19,AK$11:AK$50)&gt;=SUMIF($A$11:$A$50,H19,$E$11:$E$50))),"ОТКРЫТО","ЗАКРЫТО"))</x:f>
        <x:v>ЗАКРЫТО</x:v>
      </x:c>
      <x:c r="BA19" t="str">
        <x:f>IF(AL19&gt;=E19,"ИЗУЧЕНО",IF(AND(OR(F19="",SUMIF($A$11:$A$50,F19,AL$11:AL$50)&gt;=SUMIF($A$11:$A$50,F19,$E$11:$E$50)),OR(G19="",SUMIF($A$11:$A$50,G19,AL$11:AL$50)&gt;=SUMIF($A$11:$A$50,G19,$E$11:$E$50)),OR(H19="",SUMIF($A$11:$A$50,H19,AL$11:AL$50)&gt;=SUMIF($A$11:$A$50,H19,$E$11:$E$50))),"ОТКРЫТО","ЗАКРЫТО"))</x:f>
        <x:v>ЗАКРЫТО</x:v>
      </x:c>
      <x:c r="BB19" t="str">
        <x:f>IF(AM19&gt;=E19,"ИЗУЧЕНО",IF(AND(OR(F19="",SUMIF($A$11:$A$50,F19,AM$11:AM$50)&gt;=SUMIF($A$11:$A$50,F19,$E$11:$E$50)),OR(G19="",SUMIF($A$11:$A$50,G19,AM$11:AM$50)&gt;=SUMIF($A$11:$A$50,G19,$E$11:$E$50)),OR(H19="",SUMIF($A$11:$A$50,H19,AM$11:AM$50)&gt;=SUMIF($A$11:$A$50,H19,$E$11:$E$50))),"ОТКРЫТО","ЗАКРЫТО"))</x:f>
        <x:v>ЗАКРЫТО</x:v>
      </x:c>
      <x:c r="BC19" t="str">
        <x:f>IF(AN19&gt;=E19,"ИЗУЧЕНО",IF(AND(OR(F19="",SUMIF($A$11:$A$50,F19,AN$11:AN$50)&gt;=SUMIF($A$11:$A$50,F19,$E$11:$E$50)),OR(G19="",SUMIF($A$11:$A$50,G19,AN$11:AN$50)&gt;=SUMIF($A$11:$A$50,G19,$E$11:$E$50)),OR(H19="",SUMIF($A$11:$A$50,H19,AN$11:AN$50)&gt;=SUMIF($A$11:$A$50,H19,$E$11:$E$50))),"ОТКРЫТО","ЗАКРЫТО"))</x:f>
        <x:v>ЗАКРЫТО</x:v>
      </x:c>
      <x:c r="BD19" t="str">
        <x:f>IF(AO19&gt;=E19,"ИЗУЧЕНО",IF(AND(OR(F19="",SUMIF($A$11:$A$50,F19,AO$11:AO$50)&gt;=SUMIF($A$11:$A$50,F19,$E$11:$E$50)),OR(G19="",SUMIF($A$11:$A$50,G19,AO$11:AO$50)&gt;=SUMIF($A$11:$A$50,G19,$E$11:$E$50)),OR(H19="",SUMIF($A$11:$A$50,H19,AO$11:AO$50)&gt;=SUMIF($A$11:$A$50,H19,$E$11:$E$50))),"ОТКРЫТО","ЗАКРЫТО"))</x:f>
        <x:v>ЗАКРЫТО</x:v>
      </x:c>
      <x:c r="BE19" t="str">
        <x:f>IF(AP19&gt;=E19,"ИЗУЧЕНО",IF(AND(OR(F19="",SUMIF($A$11:$A$50,F19,AP$11:AP$50)&gt;=SUMIF($A$11:$A$50,F19,$E$11:$E$50)),OR(G19="",SUMIF($A$11:$A$50,G19,AP$11:AP$50)&gt;=SUMIF($A$11:$A$50,G19,$E$11:$E$50)),OR(H19="",SUMIF($A$11:$A$50,H19,AP$11:AP$50)&gt;=SUMIF($A$11:$A$50,H19,$E$11:$E$50))),"ОТКРЫТО","ЗАКРЫТО"))</x:f>
        <x:v>ЗАКРЫТО</x:v>
      </x:c>
      <x:c r="BF19" t="str">
        <x:f>IF(AQ19&gt;=E19,"ИЗУЧЕНО",IF(AND(OR(F19="",SUMIF($A$11:$A$50,F19,AQ$11:AQ$50)&gt;=SUMIF($A$11:$A$50,F19,$E$11:$E$50)),OR(G19="",SUMIF($A$11:$A$50,G19,AQ$11:AQ$50)&gt;=SUMIF($A$11:$A$50,G19,$E$11:$E$50)),OR(H19="",SUMIF($A$11:$A$50,H19,AQ$11:AQ$50)&gt;=SUMIF($A$11:$A$50,H19,$E$11:$E$50))),"ОТКРЫТО","ЗАКРЫТО"))</x:f>
        <x:v>ЗАКРЫТО</x:v>
      </x:c>
    </x:row>
    <x:row r="20">
      <x:c r="A20" s="42" t="str">
        <x:v>M4</x:v>
      </x:c>
      <x:c r="B20" s="42" t="str">
        <x:v>Модели и алгоритмы</x:v>
      </x:c>
      <x:c r="C20" s="42" t="str">
        <x:v>III</x:v>
      </x:c>
      <x:c r="D20" s="42" t="str">
        <x:v>Адаптивные модели непрерывного обучения</x:v>
      </x:c>
      <x:c r="E20" s="42" t="n">
        <x:v>65</x:v>
      </x:c>
      <x:c r="F20" s="42" t="str">
        <x:v>M2</x:v>
      </x:c>
      <x:c r="G20" s="42" t="str">
        <x:v>M3</x:v>
      </x:c>
      <x:c r="H20" s="42"/>
      <x:c r="I20" s="42" t="str">
        <x:v>Модели, способные обновляться при изменении среды и данных.</x:v>
      </x:c>
      <x:c r="J20" s="42" t="str">
        <x:v>Модельные ресурсы +0,4; их прирост +0,08/год; прирост Управления +0,05/год</x:v>
      </x:c>
      <x:c r="K20" s="43" t="n">
        <x:f>SUMIF('Ход 2026'!$G$29:$G$38,$A20,'Ход 2026'!$I$29:$I$38)</x:f>
        <x:v>0</x:v>
      </x:c>
      <x:c r="L20" s="43" t="n">
        <x:f>SUMIF('Ход 2027'!$G$29:$G$38,$A20,'Ход 2027'!$I$29:$I$38)</x:f>
        <x:v>0</x:v>
      </x:c>
      <x:c r="M20" s="43" t="n">
        <x:f>SUMIF('Ход 2028'!$G$29:$G$38,$A20,'Ход 2028'!$I$29:$I$38)</x:f>
        <x:v>0</x:v>
      </x:c>
      <x:c r="N20" s="43" t="n">
        <x:f>SUMIF('Ход 2029'!$G$29:$G$38,$A20,'Ход 2029'!$I$29:$I$38)</x:f>
        <x:v>0</x:v>
      </x:c>
      <x:c r="O20" s="43" t="n">
        <x:f>SUMIF('Ход 2030'!$G$29:$G$38,$A20,'Ход 2030'!$I$29:$I$38)</x:f>
        <x:v>0</x:v>
      </x:c>
      <x:c r="P20" s="43" t="n">
        <x:f>SUMIF('Ход 2031'!$G$29:$G$38,$A20,'Ход 2031'!$I$29:$I$38)</x:f>
        <x:v>0</x:v>
      </x:c>
      <x:c r="Q20" s="43" t="n">
        <x:f>SUMIF('Ход 2032'!$G$29:$G$38,$A20,'Ход 2032'!$I$29:$I$38)</x:f>
        <x:v>0</x:v>
      </x:c>
      <x:c r="R20" s="43" t="n">
        <x:f>SUMIF('Ход 2033'!$G$29:$G$38,$A20,'Ход 2033'!$I$29:$I$38)</x:f>
        <x:v>0</x:v>
      </x:c>
      <x:c r="S20" s="43" t="n">
        <x:f>SUMIF('Ход 2034'!$G$29:$G$38,$A20,'Ход 2034'!$I$29:$I$38)</x:f>
        <x:v>0</x:v>
      </x:c>
      <x:c r="T20" s="43" t="n">
        <x:f>SUMIF('Ход 2035'!$G$29:$G$38,$A20,'Ход 2035'!$I$29:$I$38)</x:f>
        <x:v>0</x:v>
      </x:c>
      <x:c r="U20" s="43" t="n">
        <x:f>SUMIF('Ход 2036'!$G$29:$G$38,$A20,'Ход 2036'!$I$29:$I$38)</x:f>
        <x:v>0</x:v>
      </x:c>
      <x:c r="V20" s="43" t="n">
        <x:f>SUMIF('Ход 2037'!$G$29:$G$38,$A20,'Ход 2037'!$I$29:$I$38)</x:f>
        <x:v>0</x:v>
      </x:c>
      <x:c r="W20" s="43" t="n">
        <x:f>SUMIF('Ход 2038'!$G$29:$G$38,$A20,'Ход 2038'!$I$29:$I$38)</x:f>
        <x:v>0</x:v>
      </x:c>
      <x:c r="X20" s="43" t="n">
        <x:f>SUMIF('Ход 2039'!$G$29:$G$38,$A20,'Ход 2039'!$I$29:$I$38)</x:f>
        <x:v>0</x:v>
      </x:c>
      <x:c r="Y20" s="43" t="n">
        <x:f>SUMIF('Ход 2040'!$G$29:$G$38,$A20,'Ход 2040'!$I$29:$I$38)</x:f>
        <x:v>0</x:v>
      </x:c>
      <x:c r="Z20" s="44" t="n">
        <x:f>SUM(K20:Y20)</x:f>
        <x:v>0</x:v>
      </x:c>
      <x:c r="AA20" s="44" t="n">
        <x:f>MAX(0,E20-Z20)</x:f>
        <x:v>65</x:v>
      </x:c>
      <x:c r="AB20" s="42" t="str">
        <x:f>BF20</x:f>
        <x:v>ЗАКРЫТО</x:v>
      </x:c>
      <x:c r="AC20" t="n">
        <x:f>SUM($K20:K20)</x:f>
        <x:v>0</x:v>
      </x:c>
      <x:c r="AD20" t="n">
        <x:f>SUM($K20:L20)</x:f>
        <x:v>0</x:v>
      </x:c>
      <x:c r="AE20" t="n">
        <x:f>SUM($K20:M20)</x:f>
        <x:v>0</x:v>
      </x:c>
      <x:c r="AF20" t="n">
        <x:f>SUM($K20:N20)</x:f>
        <x:v>0</x:v>
      </x:c>
      <x:c r="AG20" t="n">
        <x:f>SUM($K20:O20)</x:f>
        <x:v>0</x:v>
      </x:c>
      <x:c r="AH20" t="n">
        <x:f>SUM($K20:P20)</x:f>
        <x:v>0</x:v>
      </x:c>
      <x:c r="AI20" t="n">
        <x:f>SUM($K20:Q20)</x:f>
        <x:v>0</x:v>
      </x:c>
      <x:c r="AJ20" t="n">
        <x:f>SUM($K20:R20)</x:f>
        <x:v>0</x:v>
      </x:c>
      <x:c r="AK20" t="n">
        <x:f>SUM($K20:S20)</x:f>
        <x:v>0</x:v>
      </x:c>
      <x:c r="AL20" t="n">
        <x:f>SUM($K20:T20)</x:f>
        <x:v>0</x:v>
      </x:c>
      <x:c r="AM20" t="n">
        <x:f>SUM($K20:U20)</x:f>
        <x:v>0</x:v>
      </x:c>
      <x:c r="AN20" t="n">
        <x:f>SUM($K20:V20)</x:f>
        <x:v>0</x:v>
      </x:c>
      <x:c r="AO20" t="n">
        <x:f>SUM($K20:W20)</x:f>
        <x:v>0</x:v>
      </x:c>
      <x:c r="AP20" t="n">
        <x:f>SUM($K20:X20)</x:f>
        <x:v>0</x:v>
      </x:c>
      <x:c r="AQ20" t="n">
        <x:f>SUM($K20:Y20)</x:f>
        <x:v>0</x:v>
      </x:c>
      <x:c r="AR20" t="str">
        <x:f>IF(AC20&gt;=E20,"ИЗУЧЕНО",IF(AND(OR(F20="",SUMIF($A$11:$A$50,F20,AC$11:AC$50)&gt;=SUMIF($A$11:$A$50,F20,$E$11:$E$50)),OR(G20="",SUMIF($A$11:$A$50,G20,AC$11:AC$50)&gt;=SUMIF($A$11:$A$50,G20,$E$11:$E$50)),OR(H20="",SUMIF($A$11:$A$50,H20,AC$11:AC$50)&gt;=SUMIF($A$11:$A$50,H20,$E$11:$E$50))),"ОТКРЫТО","ЗАКРЫТО"))</x:f>
        <x:v>ЗАКРЫТО</x:v>
      </x:c>
      <x:c r="AS20" t="str">
        <x:f>IF(AD20&gt;=E20,"ИЗУЧЕНО",IF(AND(OR(F20="",SUMIF($A$11:$A$50,F20,AD$11:AD$50)&gt;=SUMIF($A$11:$A$50,F20,$E$11:$E$50)),OR(G20="",SUMIF($A$11:$A$50,G20,AD$11:AD$50)&gt;=SUMIF($A$11:$A$50,G20,$E$11:$E$50)),OR(H20="",SUMIF($A$11:$A$50,H20,AD$11:AD$50)&gt;=SUMIF($A$11:$A$50,H20,$E$11:$E$50))),"ОТКРЫТО","ЗАКРЫТО"))</x:f>
        <x:v>ЗАКРЫТО</x:v>
      </x:c>
      <x:c r="AT20" t="str">
        <x:f>IF(AE20&gt;=E20,"ИЗУЧЕНО",IF(AND(OR(F20="",SUMIF($A$11:$A$50,F20,AE$11:AE$50)&gt;=SUMIF($A$11:$A$50,F20,$E$11:$E$50)),OR(G20="",SUMIF($A$11:$A$50,G20,AE$11:AE$50)&gt;=SUMIF($A$11:$A$50,G20,$E$11:$E$50)),OR(H20="",SUMIF($A$11:$A$50,H20,AE$11:AE$50)&gt;=SUMIF($A$11:$A$50,H20,$E$11:$E$50))),"ОТКРЫТО","ЗАКРЫТО"))</x:f>
        <x:v>ЗАКРЫТО</x:v>
      </x:c>
      <x:c r="AU20" t="str">
        <x:f>IF(AF20&gt;=E20,"ИЗУЧЕНО",IF(AND(OR(F20="",SUMIF($A$11:$A$50,F20,AF$11:AF$50)&gt;=SUMIF($A$11:$A$50,F20,$E$11:$E$50)),OR(G20="",SUMIF($A$11:$A$50,G20,AF$11:AF$50)&gt;=SUMIF($A$11:$A$50,G20,$E$11:$E$50)),OR(H20="",SUMIF($A$11:$A$50,H20,AF$11:AF$50)&gt;=SUMIF($A$11:$A$50,H20,$E$11:$E$50))),"ОТКРЫТО","ЗАКРЫТО"))</x:f>
        <x:v>ЗАКРЫТО</x:v>
      </x:c>
      <x:c r="AV20" t="str">
        <x:f>IF(AG20&gt;=E20,"ИЗУЧЕНО",IF(AND(OR(F20="",SUMIF($A$11:$A$50,F20,AG$11:AG$50)&gt;=SUMIF($A$11:$A$50,F20,$E$11:$E$50)),OR(G20="",SUMIF($A$11:$A$50,G20,AG$11:AG$50)&gt;=SUMIF($A$11:$A$50,G20,$E$11:$E$50)),OR(H20="",SUMIF($A$11:$A$50,H20,AG$11:AG$50)&gt;=SUMIF($A$11:$A$50,H20,$E$11:$E$50))),"ОТКРЫТО","ЗАКРЫТО"))</x:f>
        <x:v>ЗАКРЫТО</x:v>
      </x:c>
      <x:c r="AW20" t="str">
        <x:f>IF(AH20&gt;=E20,"ИЗУЧЕНО",IF(AND(OR(F20="",SUMIF($A$11:$A$50,F20,AH$11:AH$50)&gt;=SUMIF($A$11:$A$50,F20,$E$11:$E$50)),OR(G20="",SUMIF($A$11:$A$50,G20,AH$11:AH$50)&gt;=SUMIF($A$11:$A$50,G20,$E$11:$E$50)),OR(H20="",SUMIF($A$11:$A$50,H20,AH$11:AH$50)&gt;=SUMIF($A$11:$A$50,H20,$E$11:$E$50))),"ОТКРЫТО","ЗАКРЫТО"))</x:f>
        <x:v>ЗАКРЫТО</x:v>
      </x:c>
      <x:c r="AX20" t="str">
        <x:f>IF(AI20&gt;=E20,"ИЗУЧЕНО",IF(AND(OR(F20="",SUMIF($A$11:$A$50,F20,AI$11:AI$50)&gt;=SUMIF($A$11:$A$50,F20,$E$11:$E$50)),OR(G20="",SUMIF($A$11:$A$50,G20,AI$11:AI$50)&gt;=SUMIF($A$11:$A$50,G20,$E$11:$E$50)),OR(H20="",SUMIF($A$11:$A$50,H20,AI$11:AI$50)&gt;=SUMIF($A$11:$A$50,H20,$E$11:$E$50))),"ОТКРЫТО","ЗАКРЫТО"))</x:f>
        <x:v>ЗАКРЫТО</x:v>
      </x:c>
      <x:c r="AY20" t="str">
        <x:f>IF(AJ20&gt;=E20,"ИЗУЧЕНО",IF(AND(OR(F20="",SUMIF($A$11:$A$50,F20,AJ$11:AJ$50)&gt;=SUMIF($A$11:$A$50,F20,$E$11:$E$50)),OR(G20="",SUMIF($A$11:$A$50,G20,AJ$11:AJ$50)&gt;=SUMIF($A$11:$A$50,G20,$E$11:$E$50)),OR(H20="",SUMIF($A$11:$A$50,H20,AJ$11:AJ$50)&gt;=SUMIF($A$11:$A$50,H20,$E$11:$E$50))),"ОТКРЫТО","ЗАКРЫТО"))</x:f>
        <x:v>ЗАКРЫТО</x:v>
      </x:c>
      <x:c r="AZ20" t="str">
        <x:f>IF(AK20&gt;=E20,"ИЗУЧЕНО",IF(AND(OR(F20="",SUMIF($A$11:$A$50,F20,AK$11:AK$50)&gt;=SUMIF($A$11:$A$50,F20,$E$11:$E$50)),OR(G20="",SUMIF($A$11:$A$50,G20,AK$11:AK$50)&gt;=SUMIF($A$11:$A$50,G20,$E$11:$E$50)),OR(H20="",SUMIF($A$11:$A$50,H20,AK$11:AK$50)&gt;=SUMIF($A$11:$A$50,H20,$E$11:$E$50))),"ОТКРЫТО","ЗАКРЫТО"))</x:f>
        <x:v>ЗАКРЫТО</x:v>
      </x:c>
      <x:c r="BA20" t="str">
        <x:f>IF(AL20&gt;=E20,"ИЗУЧЕНО",IF(AND(OR(F20="",SUMIF($A$11:$A$50,F20,AL$11:AL$50)&gt;=SUMIF($A$11:$A$50,F20,$E$11:$E$50)),OR(G20="",SUMIF($A$11:$A$50,G20,AL$11:AL$50)&gt;=SUMIF($A$11:$A$50,G20,$E$11:$E$50)),OR(H20="",SUMIF($A$11:$A$50,H20,AL$11:AL$50)&gt;=SUMIF($A$11:$A$50,H20,$E$11:$E$50))),"ОТКРЫТО","ЗАКРЫТО"))</x:f>
        <x:v>ЗАКРЫТО</x:v>
      </x:c>
      <x:c r="BB20" t="str">
        <x:f>IF(AM20&gt;=E20,"ИЗУЧЕНО",IF(AND(OR(F20="",SUMIF($A$11:$A$50,F20,AM$11:AM$50)&gt;=SUMIF($A$11:$A$50,F20,$E$11:$E$50)),OR(G20="",SUMIF($A$11:$A$50,G20,AM$11:AM$50)&gt;=SUMIF($A$11:$A$50,G20,$E$11:$E$50)),OR(H20="",SUMIF($A$11:$A$50,H20,AM$11:AM$50)&gt;=SUMIF($A$11:$A$50,H20,$E$11:$E$50))),"ОТКРЫТО","ЗАКРЫТО"))</x:f>
        <x:v>ЗАКРЫТО</x:v>
      </x:c>
      <x:c r="BC20" t="str">
        <x:f>IF(AN20&gt;=E20,"ИЗУЧЕНО",IF(AND(OR(F20="",SUMIF($A$11:$A$50,F20,AN$11:AN$50)&gt;=SUMIF($A$11:$A$50,F20,$E$11:$E$50)),OR(G20="",SUMIF($A$11:$A$50,G20,AN$11:AN$50)&gt;=SUMIF($A$11:$A$50,G20,$E$11:$E$50)),OR(H20="",SUMIF($A$11:$A$50,H20,AN$11:AN$50)&gt;=SUMIF($A$11:$A$50,H20,$E$11:$E$50))),"ОТКРЫТО","ЗАКРЫТО"))</x:f>
        <x:v>ЗАКРЫТО</x:v>
      </x:c>
      <x:c r="BD20" t="str">
        <x:f>IF(AO20&gt;=E20,"ИЗУЧЕНО",IF(AND(OR(F20="",SUMIF($A$11:$A$50,F20,AO$11:AO$50)&gt;=SUMIF($A$11:$A$50,F20,$E$11:$E$50)),OR(G20="",SUMIF($A$11:$A$50,G20,AO$11:AO$50)&gt;=SUMIF($A$11:$A$50,G20,$E$11:$E$50)),OR(H20="",SUMIF($A$11:$A$50,H20,AO$11:AO$50)&gt;=SUMIF($A$11:$A$50,H20,$E$11:$E$50))),"ОТКРЫТО","ЗАКРЫТО"))</x:f>
        <x:v>ЗАКРЫТО</x:v>
      </x:c>
      <x:c r="BE20" t="str">
        <x:f>IF(AP20&gt;=E20,"ИЗУЧЕНО",IF(AND(OR(F20="",SUMIF($A$11:$A$50,F20,AP$11:AP$50)&gt;=SUMIF($A$11:$A$50,F20,$E$11:$E$50)),OR(G20="",SUMIF($A$11:$A$50,G20,AP$11:AP$50)&gt;=SUMIF($A$11:$A$50,G20,$E$11:$E$50)),OR(H20="",SUMIF($A$11:$A$50,H20,AP$11:AP$50)&gt;=SUMIF($A$11:$A$50,H20,$E$11:$E$50))),"ОТКРЫТО","ЗАКРЫТО"))</x:f>
        <x:v>ЗАКРЫТО</x:v>
      </x:c>
      <x:c r="BF20" t="str">
        <x:f>IF(AQ20&gt;=E20,"ИЗУЧЕНО",IF(AND(OR(F20="",SUMIF($A$11:$A$50,F20,AQ$11:AQ$50)&gt;=SUMIF($A$11:$A$50,F20,$E$11:$E$50)),OR(G20="",SUMIF($A$11:$A$50,G20,AQ$11:AQ$50)&gt;=SUMIF($A$11:$A$50,G20,$E$11:$E$50)),OR(H20="",SUMIF($A$11:$A$50,H20,AQ$11:AQ$50)&gt;=SUMIF($A$11:$A$50,H20,$E$11:$E$50))),"ОТКРЫТО","ЗАКРЫТО"))</x:f>
        <x:v>ЗАКРЫТО</x:v>
      </x:c>
    </x:row>
    <x:row r="21">
      <x:c r="A21" s="42" t="str">
        <x:v>M5</x:v>
      </x:c>
      <x:c r="B21" s="42" t="str">
        <x:v>Модели и алгоритмы</x:v>
      </x:c>
      <x:c r="C21" s="42" t="str">
        <x:v>IV</x:v>
      </x:c>
      <x:c r="D21" s="42" t="str">
        <x:v>Модели мира и причинного прогнозирования</x:v>
      </x:c>
      <x:c r="E21" s="42" t="n">
        <x:v>100</x:v>
      </x:c>
      <x:c r="F21" s="42" t="str">
        <x:v>M4</x:v>
      </x:c>
      <x:c r="G21" s="42"/>
      <x:c r="H21" s="42"/>
      <x:c r="I21" s="42" t="str">
        <x:v>Моделирование среды, сценариев и последствий решений.</x:v>
      </x:c>
      <x:c r="J21" s="42" t="str">
        <x:v>Познание +0,3; прирост Познания +0,10/год; атака Афины +10%</x:v>
      </x:c>
      <x:c r="K21" s="43" t="n">
        <x:f>SUMIF('Ход 2026'!$G$29:$G$38,$A21,'Ход 2026'!$I$29:$I$38)</x:f>
        <x:v>0</x:v>
      </x:c>
      <x:c r="L21" s="43" t="n">
        <x:f>SUMIF('Ход 2027'!$G$29:$G$38,$A21,'Ход 2027'!$I$29:$I$38)</x:f>
        <x:v>0</x:v>
      </x:c>
      <x:c r="M21" s="43" t="n">
        <x:f>SUMIF('Ход 2028'!$G$29:$G$38,$A21,'Ход 2028'!$I$29:$I$38)</x:f>
        <x:v>0</x:v>
      </x:c>
      <x:c r="N21" s="43" t="n">
        <x:f>SUMIF('Ход 2029'!$G$29:$G$38,$A21,'Ход 2029'!$I$29:$I$38)</x:f>
        <x:v>0</x:v>
      </x:c>
      <x:c r="O21" s="43" t="n">
        <x:f>SUMIF('Ход 2030'!$G$29:$G$38,$A21,'Ход 2030'!$I$29:$I$38)</x:f>
        <x:v>0</x:v>
      </x:c>
      <x:c r="P21" s="43" t="n">
        <x:f>SUMIF('Ход 2031'!$G$29:$G$38,$A21,'Ход 2031'!$I$29:$I$38)</x:f>
        <x:v>0</x:v>
      </x:c>
      <x:c r="Q21" s="43" t="n">
        <x:f>SUMIF('Ход 2032'!$G$29:$G$38,$A21,'Ход 2032'!$I$29:$I$38)</x:f>
        <x:v>0</x:v>
      </x:c>
      <x:c r="R21" s="43" t="n">
        <x:f>SUMIF('Ход 2033'!$G$29:$G$38,$A21,'Ход 2033'!$I$29:$I$38)</x:f>
        <x:v>0</x:v>
      </x:c>
      <x:c r="S21" s="43" t="n">
        <x:f>SUMIF('Ход 2034'!$G$29:$G$38,$A21,'Ход 2034'!$I$29:$I$38)</x:f>
        <x:v>0</x:v>
      </x:c>
      <x:c r="T21" s="43" t="n">
        <x:f>SUMIF('Ход 2035'!$G$29:$G$38,$A21,'Ход 2035'!$I$29:$I$38)</x:f>
        <x:v>0</x:v>
      </x:c>
      <x:c r="U21" s="43" t="n">
        <x:f>SUMIF('Ход 2036'!$G$29:$G$38,$A21,'Ход 2036'!$I$29:$I$38)</x:f>
        <x:v>0</x:v>
      </x:c>
      <x:c r="V21" s="43" t="n">
        <x:f>SUMIF('Ход 2037'!$G$29:$G$38,$A21,'Ход 2037'!$I$29:$I$38)</x:f>
        <x:v>0</x:v>
      </x:c>
      <x:c r="W21" s="43" t="n">
        <x:f>SUMIF('Ход 2038'!$G$29:$G$38,$A21,'Ход 2038'!$I$29:$I$38)</x:f>
        <x:v>0</x:v>
      </x:c>
      <x:c r="X21" s="43" t="n">
        <x:f>SUMIF('Ход 2039'!$G$29:$G$38,$A21,'Ход 2039'!$I$29:$I$38)</x:f>
        <x:v>0</x:v>
      </x:c>
      <x:c r="Y21" s="43" t="n">
        <x:f>SUMIF('Ход 2040'!$G$29:$G$38,$A21,'Ход 2040'!$I$29:$I$38)</x:f>
        <x:v>0</x:v>
      </x:c>
      <x:c r="Z21" s="44" t="n">
        <x:f>SUM(K21:Y21)</x:f>
        <x:v>0</x:v>
      </x:c>
      <x:c r="AA21" s="44" t="n">
        <x:f>MAX(0,E21-Z21)</x:f>
        <x:v>100</x:v>
      </x:c>
      <x:c r="AB21" s="42" t="str">
        <x:f>BF21</x:f>
        <x:v>ЗАКРЫТО</x:v>
      </x:c>
      <x:c r="AC21" t="n">
        <x:f>SUM($K21:K21)</x:f>
        <x:v>0</x:v>
      </x:c>
      <x:c r="AD21" t="n">
        <x:f>SUM($K21:L21)</x:f>
        <x:v>0</x:v>
      </x:c>
      <x:c r="AE21" t="n">
        <x:f>SUM($K21:M21)</x:f>
        <x:v>0</x:v>
      </x:c>
      <x:c r="AF21" t="n">
        <x:f>SUM($K21:N21)</x:f>
        <x:v>0</x:v>
      </x:c>
      <x:c r="AG21" t="n">
        <x:f>SUM($K21:O21)</x:f>
        <x:v>0</x:v>
      </x:c>
      <x:c r="AH21" t="n">
        <x:f>SUM($K21:P21)</x:f>
        <x:v>0</x:v>
      </x:c>
      <x:c r="AI21" t="n">
        <x:f>SUM($K21:Q21)</x:f>
        <x:v>0</x:v>
      </x:c>
      <x:c r="AJ21" t="n">
        <x:f>SUM($K21:R21)</x:f>
        <x:v>0</x:v>
      </x:c>
      <x:c r="AK21" t="n">
        <x:f>SUM($K21:S21)</x:f>
        <x:v>0</x:v>
      </x:c>
      <x:c r="AL21" t="n">
        <x:f>SUM($K21:T21)</x:f>
        <x:v>0</x:v>
      </x:c>
      <x:c r="AM21" t="n">
        <x:f>SUM($K21:U21)</x:f>
        <x:v>0</x:v>
      </x:c>
      <x:c r="AN21" t="n">
        <x:f>SUM($K21:V21)</x:f>
        <x:v>0</x:v>
      </x:c>
      <x:c r="AO21" t="n">
        <x:f>SUM($K21:W21)</x:f>
        <x:v>0</x:v>
      </x:c>
      <x:c r="AP21" t="n">
        <x:f>SUM($K21:X21)</x:f>
        <x:v>0</x:v>
      </x:c>
      <x:c r="AQ21" t="n">
        <x:f>SUM($K21:Y21)</x:f>
        <x:v>0</x:v>
      </x:c>
      <x:c r="AR21" t="str">
        <x:f>IF(AC21&gt;=E21,"ИЗУЧЕНО",IF(AND(OR(F21="",SUMIF($A$11:$A$50,F21,AC$11:AC$50)&gt;=SUMIF($A$11:$A$50,F21,$E$11:$E$50)),OR(G21="",SUMIF($A$11:$A$50,G21,AC$11:AC$50)&gt;=SUMIF($A$11:$A$50,G21,$E$11:$E$50)),OR(H21="",SUMIF($A$11:$A$50,H21,AC$11:AC$50)&gt;=SUMIF($A$11:$A$50,H21,$E$11:$E$50))),"ОТКРЫТО","ЗАКРЫТО"))</x:f>
        <x:v>ЗАКРЫТО</x:v>
      </x:c>
      <x:c r="AS21" t="str">
        <x:f>IF(AD21&gt;=E21,"ИЗУЧЕНО",IF(AND(OR(F21="",SUMIF($A$11:$A$50,F21,AD$11:AD$50)&gt;=SUMIF($A$11:$A$50,F21,$E$11:$E$50)),OR(G21="",SUMIF($A$11:$A$50,G21,AD$11:AD$50)&gt;=SUMIF($A$11:$A$50,G21,$E$11:$E$50)),OR(H21="",SUMIF($A$11:$A$50,H21,AD$11:AD$50)&gt;=SUMIF($A$11:$A$50,H21,$E$11:$E$50))),"ОТКРЫТО","ЗАКРЫТО"))</x:f>
        <x:v>ЗАКРЫТО</x:v>
      </x:c>
      <x:c r="AT21" t="str">
        <x:f>IF(AE21&gt;=E21,"ИЗУЧЕНО",IF(AND(OR(F21="",SUMIF($A$11:$A$50,F21,AE$11:AE$50)&gt;=SUMIF($A$11:$A$50,F21,$E$11:$E$50)),OR(G21="",SUMIF($A$11:$A$50,G21,AE$11:AE$50)&gt;=SUMIF($A$11:$A$50,G21,$E$11:$E$50)),OR(H21="",SUMIF($A$11:$A$50,H21,AE$11:AE$50)&gt;=SUMIF($A$11:$A$50,H21,$E$11:$E$50))),"ОТКРЫТО","ЗАКРЫТО"))</x:f>
        <x:v>ЗАКРЫТО</x:v>
      </x:c>
      <x:c r="AU21" t="str">
        <x:f>IF(AF21&gt;=E21,"ИЗУЧЕНО",IF(AND(OR(F21="",SUMIF($A$11:$A$50,F21,AF$11:AF$50)&gt;=SUMIF($A$11:$A$50,F21,$E$11:$E$50)),OR(G21="",SUMIF($A$11:$A$50,G21,AF$11:AF$50)&gt;=SUMIF($A$11:$A$50,G21,$E$11:$E$50)),OR(H21="",SUMIF($A$11:$A$50,H21,AF$11:AF$50)&gt;=SUMIF($A$11:$A$50,H21,$E$11:$E$50))),"ОТКРЫТО","ЗАКРЫТО"))</x:f>
        <x:v>ЗАКРЫТО</x:v>
      </x:c>
      <x:c r="AV21" t="str">
        <x:f>IF(AG21&gt;=E21,"ИЗУЧЕНО",IF(AND(OR(F21="",SUMIF($A$11:$A$50,F21,AG$11:AG$50)&gt;=SUMIF($A$11:$A$50,F21,$E$11:$E$50)),OR(G21="",SUMIF($A$11:$A$50,G21,AG$11:AG$50)&gt;=SUMIF($A$11:$A$50,G21,$E$11:$E$50)),OR(H21="",SUMIF($A$11:$A$50,H21,AG$11:AG$50)&gt;=SUMIF($A$11:$A$50,H21,$E$11:$E$50))),"ОТКРЫТО","ЗАКРЫТО"))</x:f>
        <x:v>ЗАКРЫТО</x:v>
      </x:c>
      <x:c r="AW21" t="str">
        <x:f>IF(AH21&gt;=E21,"ИЗУЧЕНО",IF(AND(OR(F21="",SUMIF($A$11:$A$50,F21,AH$11:AH$50)&gt;=SUMIF($A$11:$A$50,F21,$E$11:$E$50)),OR(G21="",SUMIF($A$11:$A$50,G21,AH$11:AH$50)&gt;=SUMIF($A$11:$A$50,G21,$E$11:$E$50)),OR(H21="",SUMIF($A$11:$A$50,H21,AH$11:AH$50)&gt;=SUMIF($A$11:$A$50,H21,$E$11:$E$50))),"ОТКРЫТО","ЗАКРЫТО"))</x:f>
        <x:v>ЗАКРЫТО</x:v>
      </x:c>
      <x:c r="AX21" t="str">
        <x:f>IF(AI21&gt;=E21,"ИЗУЧЕНО",IF(AND(OR(F21="",SUMIF($A$11:$A$50,F21,AI$11:AI$50)&gt;=SUMIF($A$11:$A$50,F21,$E$11:$E$50)),OR(G21="",SUMIF($A$11:$A$50,G21,AI$11:AI$50)&gt;=SUMIF($A$11:$A$50,G21,$E$11:$E$50)),OR(H21="",SUMIF($A$11:$A$50,H21,AI$11:AI$50)&gt;=SUMIF($A$11:$A$50,H21,$E$11:$E$50))),"ОТКРЫТО","ЗАКРЫТО"))</x:f>
        <x:v>ЗАКРЫТО</x:v>
      </x:c>
      <x:c r="AY21" t="str">
        <x:f>IF(AJ21&gt;=E21,"ИЗУЧЕНО",IF(AND(OR(F21="",SUMIF($A$11:$A$50,F21,AJ$11:AJ$50)&gt;=SUMIF($A$11:$A$50,F21,$E$11:$E$50)),OR(G21="",SUMIF($A$11:$A$50,G21,AJ$11:AJ$50)&gt;=SUMIF($A$11:$A$50,G21,$E$11:$E$50)),OR(H21="",SUMIF($A$11:$A$50,H21,AJ$11:AJ$50)&gt;=SUMIF($A$11:$A$50,H21,$E$11:$E$50))),"ОТКРЫТО","ЗАКРЫТО"))</x:f>
        <x:v>ЗАКРЫТО</x:v>
      </x:c>
      <x:c r="AZ21" t="str">
        <x:f>IF(AK21&gt;=E21,"ИЗУЧЕНО",IF(AND(OR(F21="",SUMIF($A$11:$A$50,F21,AK$11:AK$50)&gt;=SUMIF($A$11:$A$50,F21,$E$11:$E$50)),OR(G21="",SUMIF($A$11:$A$50,G21,AK$11:AK$50)&gt;=SUMIF($A$11:$A$50,G21,$E$11:$E$50)),OR(H21="",SUMIF($A$11:$A$50,H21,AK$11:AK$50)&gt;=SUMIF($A$11:$A$50,H21,$E$11:$E$50))),"ОТКРЫТО","ЗАКРЫТО"))</x:f>
        <x:v>ЗАКРЫТО</x:v>
      </x:c>
      <x:c r="BA21" t="str">
        <x:f>IF(AL21&gt;=E21,"ИЗУЧЕНО",IF(AND(OR(F21="",SUMIF($A$11:$A$50,F21,AL$11:AL$50)&gt;=SUMIF($A$11:$A$50,F21,$E$11:$E$50)),OR(G21="",SUMIF($A$11:$A$50,G21,AL$11:AL$50)&gt;=SUMIF($A$11:$A$50,G21,$E$11:$E$50)),OR(H21="",SUMIF($A$11:$A$50,H21,AL$11:AL$50)&gt;=SUMIF($A$11:$A$50,H21,$E$11:$E$50))),"ОТКРЫТО","ЗАКРЫТО"))</x:f>
        <x:v>ЗАКРЫТО</x:v>
      </x:c>
      <x:c r="BB21" t="str">
        <x:f>IF(AM21&gt;=E21,"ИЗУЧЕНО",IF(AND(OR(F21="",SUMIF($A$11:$A$50,F21,AM$11:AM$50)&gt;=SUMIF($A$11:$A$50,F21,$E$11:$E$50)),OR(G21="",SUMIF($A$11:$A$50,G21,AM$11:AM$50)&gt;=SUMIF($A$11:$A$50,G21,$E$11:$E$50)),OR(H21="",SUMIF($A$11:$A$50,H21,AM$11:AM$50)&gt;=SUMIF($A$11:$A$50,H21,$E$11:$E$50))),"ОТКРЫТО","ЗАКРЫТО"))</x:f>
        <x:v>ЗАКРЫТО</x:v>
      </x:c>
      <x:c r="BC21" t="str">
        <x:f>IF(AN21&gt;=E21,"ИЗУЧЕНО",IF(AND(OR(F21="",SUMIF($A$11:$A$50,F21,AN$11:AN$50)&gt;=SUMIF($A$11:$A$50,F21,$E$11:$E$50)),OR(G21="",SUMIF($A$11:$A$50,G21,AN$11:AN$50)&gt;=SUMIF($A$11:$A$50,G21,$E$11:$E$50)),OR(H21="",SUMIF($A$11:$A$50,H21,AN$11:AN$50)&gt;=SUMIF($A$11:$A$50,H21,$E$11:$E$50))),"ОТКРЫТО","ЗАКРЫТО"))</x:f>
        <x:v>ЗАКРЫТО</x:v>
      </x:c>
      <x:c r="BD21" t="str">
        <x:f>IF(AO21&gt;=E21,"ИЗУЧЕНО",IF(AND(OR(F21="",SUMIF($A$11:$A$50,F21,AO$11:AO$50)&gt;=SUMIF($A$11:$A$50,F21,$E$11:$E$50)),OR(G21="",SUMIF($A$11:$A$50,G21,AO$11:AO$50)&gt;=SUMIF($A$11:$A$50,G21,$E$11:$E$50)),OR(H21="",SUMIF($A$11:$A$50,H21,AO$11:AO$50)&gt;=SUMIF($A$11:$A$50,H21,$E$11:$E$50))),"ОТКРЫТО","ЗАКРЫТО"))</x:f>
        <x:v>ЗАКРЫТО</x:v>
      </x:c>
      <x:c r="BE21" t="str">
        <x:f>IF(AP21&gt;=E21,"ИЗУЧЕНО",IF(AND(OR(F21="",SUMIF($A$11:$A$50,F21,AP$11:AP$50)&gt;=SUMIF($A$11:$A$50,F21,$E$11:$E$50)),OR(G21="",SUMIF($A$11:$A$50,G21,AP$11:AP$50)&gt;=SUMIF($A$11:$A$50,G21,$E$11:$E$50)),OR(H21="",SUMIF($A$11:$A$50,H21,AP$11:AP$50)&gt;=SUMIF($A$11:$A$50,H21,$E$11:$E$50))),"ОТКРЫТО","ЗАКРЫТО"))</x:f>
        <x:v>ЗАКРЫТО</x:v>
      </x:c>
      <x:c r="BF21" t="str">
        <x:f>IF(AQ21&gt;=E21,"ИЗУЧЕНО",IF(AND(OR(F21="",SUMIF($A$11:$A$50,F21,AQ$11:AQ$50)&gt;=SUMIF($A$11:$A$50,F21,$E$11:$E$50)),OR(G21="",SUMIF($A$11:$A$50,G21,AQ$11:AQ$50)&gt;=SUMIF($A$11:$A$50,G21,$E$11:$E$50)),OR(H21="",SUMIF($A$11:$A$50,H21,AQ$11:AQ$50)&gt;=SUMIF($A$11:$A$50,H21,$E$11:$E$50))),"ОТКРЫТО","ЗАКРЫТО"))</x:f>
        <x:v>ЗАКРЫТО</x:v>
      </x:c>
    </x:row>
    <x:row r="22">
      <x:c r="A22" s="42" t="str">
        <x:v>M6</x:v>
      </x:c>
      <x:c r="B22" s="42" t="str">
        <x:v>Модели и алгоритмы</x:v>
      </x:c>
      <x:c r="C22" s="42" t="str">
        <x:v>V</x:v>
      </x:c>
      <x:c r="D22" s="42" t="str">
        <x:v>Самосовершенствующиеся фронтирные модели</x:v>
      </x:c>
      <x:c r="E22" s="42" t="n">
        <x:v>155</x:v>
      </x:c>
      <x:c r="F22" s="42" t="str">
        <x:v>M5</x:v>
      </x:c>
      <x:c r="G22" s="42"/>
      <x:c r="H22" s="42"/>
      <x:c r="I22" s="42" t="str">
        <x:v>Системы, автоматизирующие существенную часть собственного улучшения.</x:v>
      </x:c>
      <x:c r="J22" s="42" t="str">
        <x:v>Прирост Методов построения моделей +0,15/год; Модельных ресурсов +0,10/год; эффективность науки для M/A/X +15%</x:v>
      </x:c>
      <x:c r="K22" s="43" t="n">
        <x:f>SUMIF('Ход 2026'!$G$29:$G$38,$A22,'Ход 2026'!$I$29:$I$38)</x:f>
        <x:v>0</x:v>
      </x:c>
      <x:c r="L22" s="43" t="n">
        <x:f>SUMIF('Ход 2027'!$G$29:$G$38,$A22,'Ход 2027'!$I$29:$I$38)</x:f>
        <x:v>0</x:v>
      </x:c>
      <x:c r="M22" s="43" t="n">
        <x:f>SUMIF('Ход 2028'!$G$29:$G$38,$A22,'Ход 2028'!$I$29:$I$38)</x:f>
        <x:v>0</x:v>
      </x:c>
      <x:c r="N22" s="43" t="n">
        <x:f>SUMIF('Ход 2029'!$G$29:$G$38,$A22,'Ход 2029'!$I$29:$I$38)</x:f>
        <x:v>0</x:v>
      </x:c>
      <x:c r="O22" s="43" t="n">
        <x:f>SUMIF('Ход 2030'!$G$29:$G$38,$A22,'Ход 2030'!$I$29:$I$38)</x:f>
        <x:v>0</x:v>
      </x:c>
      <x:c r="P22" s="43" t="n">
        <x:f>SUMIF('Ход 2031'!$G$29:$G$38,$A22,'Ход 2031'!$I$29:$I$38)</x:f>
        <x:v>0</x:v>
      </x:c>
      <x:c r="Q22" s="43" t="n">
        <x:f>SUMIF('Ход 2032'!$G$29:$G$38,$A22,'Ход 2032'!$I$29:$I$38)</x:f>
        <x:v>0</x:v>
      </x:c>
      <x:c r="R22" s="43" t="n">
        <x:f>SUMIF('Ход 2033'!$G$29:$G$38,$A22,'Ход 2033'!$I$29:$I$38)</x:f>
        <x:v>0</x:v>
      </x:c>
      <x:c r="S22" s="43" t="n">
        <x:f>SUMIF('Ход 2034'!$G$29:$G$38,$A22,'Ход 2034'!$I$29:$I$38)</x:f>
        <x:v>0</x:v>
      </x:c>
      <x:c r="T22" s="43" t="n">
        <x:f>SUMIF('Ход 2035'!$G$29:$G$38,$A22,'Ход 2035'!$I$29:$I$38)</x:f>
        <x:v>0</x:v>
      </x:c>
      <x:c r="U22" s="43" t="n">
        <x:f>SUMIF('Ход 2036'!$G$29:$G$38,$A22,'Ход 2036'!$I$29:$I$38)</x:f>
        <x:v>0</x:v>
      </x:c>
      <x:c r="V22" s="43" t="n">
        <x:f>SUMIF('Ход 2037'!$G$29:$G$38,$A22,'Ход 2037'!$I$29:$I$38)</x:f>
        <x:v>0</x:v>
      </x:c>
      <x:c r="W22" s="43" t="n">
        <x:f>SUMIF('Ход 2038'!$G$29:$G$38,$A22,'Ход 2038'!$I$29:$I$38)</x:f>
        <x:v>0</x:v>
      </x:c>
      <x:c r="X22" s="43" t="n">
        <x:f>SUMIF('Ход 2039'!$G$29:$G$38,$A22,'Ход 2039'!$I$29:$I$38)</x:f>
        <x:v>0</x:v>
      </x:c>
      <x:c r="Y22" s="43" t="n">
        <x:f>SUMIF('Ход 2040'!$G$29:$G$38,$A22,'Ход 2040'!$I$29:$I$38)</x:f>
        <x:v>0</x:v>
      </x:c>
      <x:c r="Z22" s="44" t="n">
        <x:f>SUM(K22:Y22)</x:f>
        <x:v>0</x:v>
      </x:c>
      <x:c r="AA22" s="44" t="n">
        <x:f>MAX(0,E22-Z22)</x:f>
        <x:v>155</x:v>
      </x:c>
      <x:c r="AB22" s="42" t="str">
        <x:f>BF22</x:f>
        <x:v>ЗАКРЫТО</x:v>
      </x:c>
      <x:c r="AC22" t="n">
        <x:f>SUM($K22:K22)</x:f>
        <x:v>0</x:v>
      </x:c>
      <x:c r="AD22" t="n">
        <x:f>SUM($K22:L22)</x:f>
        <x:v>0</x:v>
      </x:c>
      <x:c r="AE22" t="n">
        <x:f>SUM($K22:M22)</x:f>
        <x:v>0</x:v>
      </x:c>
      <x:c r="AF22" t="n">
        <x:f>SUM($K22:N22)</x:f>
        <x:v>0</x:v>
      </x:c>
      <x:c r="AG22" t="n">
        <x:f>SUM($K22:O22)</x:f>
        <x:v>0</x:v>
      </x:c>
      <x:c r="AH22" t="n">
        <x:f>SUM($K22:P22)</x:f>
        <x:v>0</x:v>
      </x:c>
      <x:c r="AI22" t="n">
        <x:f>SUM($K22:Q22)</x:f>
        <x:v>0</x:v>
      </x:c>
      <x:c r="AJ22" t="n">
        <x:f>SUM($K22:R22)</x:f>
        <x:v>0</x:v>
      </x:c>
      <x:c r="AK22" t="n">
        <x:f>SUM($K22:S22)</x:f>
        <x:v>0</x:v>
      </x:c>
      <x:c r="AL22" t="n">
        <x:f>SUM($K22:T22)</x:f>
        <x:v>0</x:v>
      </x:c>
      <x:c r="AM22" t="n">
        <x:f>SUM($K22:U22)</x:f>
        <x:v>0</x:v>
      </x:c>
      <x:c r="AN22" t="n">
        <x:f>SUM($K22:V22)</x:f>
        <x:v>0</x:v>
      </x:c>
      <x:c r="AO22" t="n">
        <x:f>SUM($K22:W22)</x:f>
        <x:v>0</x:v>
      </x:c>
      <x:c r="AP22" t="n">
        <x:f>SUM($K22:X22)</x:f>
        <x:v>0</x:v>
      </x:c>
      <x:c r="AQ22" t="n">
        <x:f>SUM($K22:Y22)</x:f>
        <x:v>0</x:v>
      </x:c>
      <x:c r="AR22" t="str">
        <x:f>IF(AC22&gt;=E22,"ИЗУЧЕНО",IF(AND(OR(F22="",SUMIF($A$11:$A$50,F22,AC$11:AC$50)&gt;=SUMIF($A$11:$A$50,F22,$E$11:$E$50)),OR(G22="",SUMIF($A$11:$A$50,G22,AC$11:AC$50)&gt;=SUMIF($A$11:$A$50,G22,$E$11:$E$50)),OR(H22="",SUMIF($A$11:$A$50,H22,AC$11:AC$50)&gt;=SUMIF($A$11:$A$50,H22,$E$11:$E$50))),"ОТКРЫТО","ЗАКРЫТО"))</x:f>
        <x:v>ЗАКРЫТО</x:v>
      </x:c>
      <x:c r="AS22" t="str">
        <x:f>IF(AD22&gt;=E22,"ИЗУЧЕНО",IF(AND(OR(F22="",SUMIF($A$11:$A$50,F22,AD$11:AD$50)&gt;=SUMIF($A$11:$A$50,F22,$E$11:$E$50)),OR(G22="",SUMIF($A$11:$A$50,G22,AD$11:AD$50)&gt;=SUMIF($A$11:$A$50,G22,$E$11:$E$50)),OR(H22="",SUMIF($A$11:$A$50,H22,AD$11:AD$50)&gt;=SUMIF($A$11:$A$50,H22,$E$11:$E$50))),"ОТКРЫТО","ЗАКРЫТО"))</x:f>
        <x:v>ЗАКРЫТО</x:v>
      </x:c>
      <x:c r="AT22" t="str">
        <x:f>IF(AE22&gt;=E22,"ИЗУЧЕНО",IF(AND(OR(F22="",SUMIF($A$11:$A$50,F22,AE$11:AE$50)&gt;=SUMIF($A$11:$A$50,F22,$E$11:$E$50)),OR(G22="",SUMIF($A$11:$A$50,G22,AE$11:AE$50)&gt;=SUMIF($A$11:$A$50,G22,$E$11:$E$50)),OR(H22="",SUMIF($A$11:$A$50,H22,AE$11:AE$50)&gt;=SUMIF($A$11:$A$50,H22,$E$11:$E$50))),"ОТКРЫТО","ЗАКРЫТО"))</x:f>
        <x:v>ЗАКРЫТО</x:v>
      </x:c>
      <x:c r="AU22" t="str">
        <x:f>IF(AF22&gt;=E22,"ИЗУЧЕНО",IF(AND(OR(F22="",SUMIF($A$11:$A$50,F22,AF$11:AF$50)&gt;=SUMIF($A$11:$A$50,F22,$E$11:$E$50)),OR(G22="",SUMIF($A$11:$A$50,G22,AF$11:AF$50)&gt;=SUMIF($A$11:$A$50,G22,$E$11:$E$50)),OR(H22="",SUMIF($A$11:$A$50,H22,AF$11:AF$50)&gt;=SUMIF($A$11:$A$50,H22,$E$11:$E$50))),"ОТКРЫТО","ЗАКРЫТО"))</x:f>
        <x:v>ЗАКРЫТО</x:v>
      </x:c>
      <x:c r="AV22" t="str">
        <x:f>IF(AG22&gt;=E22,"ИЗУЧЕНО",IF(AND(OR(F22="",SUMIF($A$11:$A$50,F22,AG$11:AG$50)&gt;=SUMIF($A$11:$A$50,F22,$E$11:$E$50)),OR(G22="",SUMIF($A$11:$A$50,G22,AG$11:AG$50)&gt;=SUMIF($A$11:$A$50,G22,$E$11:$E$50)),OR(H22="",SUMIF($A$11:$A$50,H22,AG$11:AG$50)&gt;=SUMIF($A$11:$A$50,H22,$E$11:$E$50))),"ОТКРЫТО","ЗАКРЫТО"))</x:f>
        <x:v>ЗАКРЫТО</x:v>
      </x:c>
      <x:c r="AW22" t="str">
        <x:f>IF(AH22&gt;=E22,"ИЗУЧЕНО",IF(AND(OR(F22="",SUMIF($A$11:$A$50,F22,AH$11:AH$50)&gt;=SUMIF($A$11:$A$50,F22,$E$11:$E$50)),OR(G22="",SUMIF($A$11:$A$50,G22,AH$11:AH$50)&gt;=SUMIF($A$11:$A$50,G22,$E$11:$E$50)),OR(H22="",SUMIF($A$11:$A$50,H22,AH$11:AH$50)&gt;=SUMIF($A$11:$A$50,H22,$E$11:$E$50))),"ОТКРЫТО","ЗАКРЫТО"))</x:f>
        <x:v>ЗАКРЫТО</x:v>
      </x:c>
      <x:c r="AX22" t="str">
        <x:f>IF(AI22&gt;=E22,"ИЗУЧЕНО",IF(AND(OR(F22="",SUMIF($A$11:$A$50,F22,AI$11:AI$50)&gt;=SUMIF($A$11:$A$50,F22,$E$11:$E$50)),OR(G22="",SUMIF($A$11:$A$50,G22,AI$11:AI$50)&gt;=SUMIF($A$11:$A$50,G22,$E$11:$E$50)),OR(H22="",SUMIF($A$11:$A$50,H22,AI$11:AI$50)&gt;=SUMIF($A$11:$A$50,H22,$E$11:$E$50))),"ОТКРЫТО","ЗАКРЫТО"))</x:f>
        <x:v>ЗАКРЫТО</x:v>
      </x:c>
      <x:c r="AY22" t="str">
        <x:f>IF(AJ22&gt;=E22,"ИЗУЧЕНО",IF(AND(OR(F22="",SUMIF($A$11:$A$50,F22,AJ$11:AJ$50)&gt;=SUMIF($A$11:$A$50,F22,$E$11:$E$50)),OR(G22="",SUMIF($A$11:$A$50,G22,AJ$11:AJ$50)&gt;=SUMIF($A$11:$A$50,G22,$E$11:$E$50)),OR(H22="",SUMIF($A$11:$A$50,H22,AJ$11:AJ$50)&gt;=SUMIF($A$11:$A$50,H22,$E$11:$E$50))),"ОТКРЫТО","ЗАКРЫТО"))</x:f>
        <x:v>ЗАКРЫТО</x:v>
      </x:c>
      <x:c r="AZ22" t="str">
        <x:f>IF(AK22&gt;=E22,"ИЗУЧЕНО",IF(AND(OR(F22="",SUMIF($A$11:$A$50,F22,AK$11:AK$50)&gt;=SUMIF($A$11:$A$50,F22,$E$11:$E$50)),OR(G22="",SUMIF($A$11:$A$50,G22,AK$11:AK$50)&gt;=SUMIF($A$11:$A$50,G22,$E$11:$E$50)),OR(H22="",SUMIF($A$11:$A$50,H22,AK$11:AK$50)&gt;=SUMIF($A$11:$A$50,H22,$E$11:$E$50))),"ОТКРЫТО","ЗАКРЫТО"))</x:f>
        <x:v>ЗАКРЫТО</x:v>
      </x:c>
      <x:c r="BA22" t="str">
        <x:f>IF(AL22&gt;=E22,"ИЗУЧЕНО",IF(AND(OR(F22="",SUMIF($A$11:$A$50,F22,AL$11:AL$50)&gt;=SUMIF($A$11:$A$50,F22,$E$11:$E$50)),OR(G22="",SUMIF($A$11:$A$50,G22,AL$11:AL$50)&gt;=SUMIF($A$11:$A$50,G22,$E$11:$E$50)),OR(H22="",SUMIF($A$11:$A$50,H22,AL$11:AL$50)&gt;=SUMIF($A$11:$A$50,H22,$E$11:$E$50))),"ОТКРЫТО","ЗАКРЫТО"))</x:f>
        <x:v>ЗАКРЫТО</x:v>
      </x:c>
      <x:c r="BB22" t="str">
        <x:f>IF(AM22&gt;=E22,"ИЗУЧЕНО",IF(AND(OR(F22="",SUMIF($A$11:$A$50,F22,AM$11:AM$50)&gt;=SUMIF($A$11:$A$50,F22,$E$11:$E$50)),OR(G22="",SUMIF($A$11:$A$50,G22,AM$11:AM$50)&gt;=SUMIF($A$11:$A$50,G22,$E$11:$E$50)),OR(H22="",SUMIF($A$11:$A$50,H22,AM$11:AM$50)&gt;=SUMIF($A$11:$A$50,H22,$E$11:$E$50))),"ОТКРЫТО","ЗАКРЫТО"))</x:f>
        <x:v>ЗАКРЫТО</x:v>
      </x:c>
      <x:c r="BC22" t="str">
        <x:f>IF(AN22&gt;=E22,"ИЗУЧЕНО",IF(AND(OR(F22="",SUMIF($A$11:$A$50,F22,AN$11:AN$50)&gt;=SUMIF($A$11:$A$50,F22,$E$11:$E$50)),OR(G22="",SUMIF($A$11:$A$50,G22,AN$11:AN$50)&gt;=SUMIF($A$11:$A$50,G22,$E$11:$E$50)),OR(H22="",SUMIF($A$11:$A$50,H22,AN$11:AN$50)&gt;=SUMIF($A$11:$A$50,H22,$E$11:$E$50))),"ОТКРЫТО","ЗАКРЫТО"))</x:f>
        <x:v>ЗАКРЫТО</x:v>
      </x:c>
      <x:c r="BD22" t="str">
        <x:f>IF(AO22&gt;=E22,"ИЗУЧЕНО",IF(AND(OR(F22="",SUMIF($A$11:$A$50,F22,AO$11:AO$50)&gt;=SUMIF($A$11:$A$50,F22,$E$11:$E$50)),OR(G22="",SUMIF($A$11:$A$50,G22,AO$11:AO$50)&gt;=SUMIF($A$11:$A$50,G22,$E$11:$E$50)),OR(H22="",SUMIF($A$11:$A$50,H22,AO$11:AO$50)&gt;=SUMIF($A$11:$A$50,H22,$E$11:$E$50))),"ОТКРЫТО","ЗАКРЫТО"))</x:f>
        <x:v>ЗАКРЫТО</x:v>
      </x:c>
      <x:c r="BE22" t="str">
        <x:f>IF(AP22&gt;=E22,"ИЗУЧЕНО",IF(AND(OR(F22="",SUMIF($A$11:$A$50,F22,AP$11:AP$50)&gt;=SUMIF($A$11:$A$50,F22,$E$11:$E$50)),OR(G22="",SUMIF($A$11:$A$50,G22,AP$11:AP$50)&gt;=SUMIF($A$11:$A$50,G22,$E$11:$E$50)),OR(H22="",SUMIF($A$11:$A$50,H22,AP$11:AP$50)&gt;=SUMIF($A$11:$A$50,H22,$E$11:$E$50))),"ОТКРЫТО","ЗАКРЫТО"))</x:f>
        <x:v>ЗАКРЫТО</x:v>
      </x:c>
      <x:c r="BF22" t="str">
        <x:f>IF(AQ22&gt;=E22,"ИЗУЧЕНО",IF(AND(OR(F22="",SUMIF($A$11:$A$50,F22,AQ$11:AQ$50)&gt;=SUMIF($A$11:$A$50,F22,$E$11:$E$50)),OR(G22="",SUMIF($A$11:$A$50,G22,AQ$11:AQ$50)&gt;=SUMIF($A$11:$A$50,G22,$E$11:$E$50)),OR(H22="",SUMIF($A$11:$A$50,H22,AQ$11:AQ$50)&gt;=SUMIF($A$11:$A$50,H22,$E$11:$E$50))),"ОТКРЫТО","ЗАКРЫТО"))</x:f>
        <x:v>ЗАКРЫТО</x:v>
      </x:c>
    </x:row>
    <x:row r="23">
      <x:c r="A23" s="42" t="str">
        <x:v>D1</x:v>
      </x:c>
      <x:c r="B23" s="42" t="str">
        <x:v>Данные и знания</x:v>
      </x:c>
      <x:c r="C23" s="42" t="str">
        <x:v>I</x:v>
      </x:c>
      <x:c r="D23" s="42" t="str">
        <x:v>Интероперабельные пространства данных</x:v>
      </x:c>
      <x:c r="E23" s="42" t="n">
        <x:v>20</x:v>
      </x:c>
      <x:c r="F23" s="42"/>
      <x:c r="G23" s="42"/>
      <x:c r="H23" s="42"/>
      <x:c r="I23" s="42" t="str">
        <x:v>Стандартизованный обмен данными между организациями и системами.</x:v>
      </x:c>
      <x:c r="J23" s="42" t="str">
        <x:v>Исходные данные +0,2; Интеграционные ресурсы +0,2; их прирост +0,05/год</x:v>
      </x:c>
      <x:c r="K23" s="43" t="n">
        <x:f>SUMIF('Ход 2026'!$G$29:$G$38,$A23,'Ход 2026'!$I$29:$I$38)</x:f>
        <x:v>0</x:v>
      </x:c>
      <x:c r="L23" s="43" t="n">
        <x:f>SUMIF('Ход 2027'!$G$29:$G$38,$A23,'Ход 2027'!$I$29:$I$38)</x:f>
        <x:v>0</x:v>
      </x:c>
      <x:c r="M23" s="43" t="n">
        <x:f>SUMIF('Ход 2028'!$G$29:$G$38,$A23,'Ход 2028'!$I$29:$I$38)</x:f>
        <x:v>0</x:v>
      </x:c>
      <x:c r="N23" s="43" t="n">
        <x:f>SUMIF('Ход 2029'!$G$29:$G$38,$A23,'Ход 2029'!$I$29:$I$38)</x:f>
        <x:v>0</x:v>
      </x:c>
      <x:c r="O23" s="43" t="n">
        <x:f>SUMIF('Ход 2030'!$G$29:$G$38,$A23,'Ход 2030'!$I$29:$I$38)</x:f>
        <x:v>0</x:v>
      </x:c>
      <x:c r="P23" s="43" t="n">
        <x:f>SUMIF('Ход 2031'!$G$29:$G$38,$A23,'Ход 2031'!$I$29:$I$38)</x:f>
        <x:v>0</x:v>
      </x:c>
      <x:c r="Q23" s="43" t="n">
        <x:f>SUMIF('Ход 2032'!$G$29:$G$38,$A23,'Ход 2032'!$I$29:$I$38)</x:f>
        <x:v>0</x:v>
      </x:c>
      <x:c r="R23" s="43" t="n">
        <x:f>SUMIF('Ход 2033'!$G$29:$G$38,$A23,'Ход 2033'!$I$29:$I$38)</x:f>
        <x:v>0</x:v>
      </x:c>
      <x:c r="S23" s="43" t="n">
        <x:f>SUMIF('Ход 2034'!$G$29:$G$38,$A23,'Ход 2034'!$I$29:$I$38)</x:f>
        <x:v>0</x:v>
      </x:c>
      <x:c r="T23" s="43" t="n">
        <x:f>SUMIF('Ход 2035'!$G$29:$G$38,$A23,'Ход 2035'!$I$29:$I$38)</x:f>
        <x:v>0</x:v>
      </x:c>
      <x:c r="U23" s="43" t="n">
        <x:f>SUMIF('Ход 2036'!$G$29:$G$38,$A23,'Ход 2036'!$I$29:$I$38)</x:f>
        <x:v>0</x:v>
      </x:c>
      <x:c r="V23" s="43" t="n">
        <x:f>SUMIF('Ход 2037'!$G$29:$G$38,$A23,'Ход 2037'!$I$29:$I$38)</x:f>
        <x:v>0</x:v>
      </x:c>
      <x:c r="W23" s="43" t="n">
        <x:f>SUMIF('Ход 2038'!$G$29:$G$38,$A23,'Ход 2038'!$I$29:$I$38)</x:f>
        <x:v>0</x:v>
      </x:c>
      <x:c r="X23" s="43" t="n">
        <x:f>SUMIF('Ход 2039'!$G$29:$G$38,$A23,'Ход 2039'!$I$29:$I$38)</x:f>
        <x:v>0</x:v>
      </x:c>
      <x:c r="Y23" s="43" t="n">
        <x:f>SUMIF('Ход 2040'!$G$29:$G$38,$A23,'Ход 2040'!$I$29:$I$38)</x:f>
        <x:v>0</x:v>
      </x:c>
      <x:c r="Z23" s="44" t="n">
        <x:f>SUM(K23:Y23)</x:f>
        <x:v>0</x:v>
      </x:c>
      <x:c r="AA23" s="44" t="n">
        <x:f>MAX(0,E23-Z23)</x:f>
        <x:v>20</x:v>
      </x:c>
      <x:c r="AB23" s="42" t="str">
        <x:f>BF23</x:f>
        <x:v>ОТКРЫТО</x:v>
      </x:c>
      <x:c r="AC23" t="n">
        <x:f>SUM($K23:K23)</x:f>
        <x:v>0</x:v>
      </x:c>
      <x:c r="AD23" t="n">
        <x:f>SUM($K23:L23)</x:f>
        <x:v>0</x:v>
      </x:c>
      <x:c r="AE23" t="n">
        <x:f>SUM($K23:M23)</x:f>
        <x:v>0</x:v>
      </x:c>
      <x:c r="AF23" t="n">
        <x:f>SUM($K23:N23)</x:f>
        <x:v>0</x:v>
      </x:c>
      <x:c r="AG23" t="n">
        <x:f>SUM($K23:O23)</x:f>
        <x:v>0</x:v>
      </x:c>
      <x:c r="AH23" t="n">
        <x:f>SUM($K23:P23)</x:f>
        <x:v>0</x:v>
      </x:c>
      <x:c r="AI23" t="n">
        <x:f>SUM($K23:Q23)</x:f>
        <x:v>0</x:v>
      </x:c>
      <x:c r="AJ23" t="n">
        <x:f>SUM($K23:R23)</x:f>
        <x:v>0</x:v>
      </x:c>
      <x:c r="AK23" t="n">
        <x:f>SUM($K23:S23)</x:f>
        <x:v>0</x:v>
      </x:c>
      <x:c r="AL23" t="n">
        <x:f>SUM($K23:T23)</x:f>
        <x:v>0</x:v>
      </x:c>
      <x:c r="AM23" t="n">
        <x:f>SUM($K23:U23)</x:f>
        <x:v>0</x:v>
      </x:c>
      <x:c r="AN23" t="n">
        <x:f>SUM($K23:V23)</x:f>
        <x:v>0</x:v>
      </x:c>
      <x:c r="AO23" t="n">
        <x:f>SUM($K23:W23)</x:f>
        <x:v>0</x:v>
      </x:c>
      <x:c r="AP23" t="n">
        <x:f>SUM($K23:X23)</x:f>
        <x:v>0</x:v>
      </x:c>
      <x:c r="AQ23" t="n">
        <x:f>SUM($K23:Y23)</x:f>
        <x:v>0</x:v>
      </x:c>
      <x:c r="AR23" t="str">
        <x:f>IF(AC23&gt;=E23,"ИЗУЧЕНО",IF(AND(OR(F23="",SUMIF($A$11:$A$50,F23,AC$11:AC$50)&gt;=SUMIF($A$11:$A$50,F23,$E$11:$E$50)),OR(G23="",SUMIF($A$11:$A$50,G23,AC$11:AC$50)&gt;=SUMIF($A$11:$A$50,G23,$E$11:$E$50)),OR(H23="",SUMIF($A$11:$A$50,H23,AC$11:AC$50)&gt;=SUMIF($A$11:$A$50,H23,$E$11:$E$50))),"ОТКРЫТО","ЗАКРЫТО"))</x:f>
        <x:v>ОТКРЫТО</x:v>
      </x:c>
      <x:c r="AS23" t="str">
        <x:f>IF(AD23&gt;=E23,"ИЗУЧЕНО",IF(AND(OR(F23="",SUMIF($A$11:$A$50,F23,AD$11:AD$50)&gt;=SUMIF($A$11:$A$50,F23,$E$11:$E$50)),OR(G23="",SUMIF($A$11:$A$50,G23,AD$11:AD$50)&gt;=SUMIF($A$11:$A$50,G23,$E$11:$E$50)),OR(H23="",SUMIF($A$11:$A$50,H23,AD$11:AD$50)&gt;=SUMIF($A$11:$A$50,H23,$E$11:$E$50))),"ОТКРЫТО","ЗАКРЫТО"))</x:f>
        <x:v>ОТКРЫТО</x:v>
      </x:c>
      <x:c r="AT23" t="str">
        <x:f>IF(AE23&gt;=E23,"ИЗУЧЕНО",IF(AND(OR(F23="",SUMIF($A$11:$A$50,F23,AE$11:AE$50)&gt;=SUMIF($A$11:$A$50,F23,$E$11:$E$50)),OR(G23="",SUMIF($A$11:$A$50,G23,AE$11:AE$50)&gt;=SUMIF($A$11:$A$50,G23,$E$11:$E$50)),OR(H23="",SUMIF($A$11:$A$50,H23,AE$11:AE$50)&gt;=SUMIF($A$11:$A$50,H23,$E$11:$E$50))),"ОТКРЫТО","ЗАКРЫТО"))</x:f>
        <x:v>ОТКРЫТО</x:v>
      </x:c>
      <x:c r="AU23" t="str">
        <x:f>IF(AF23&gt;=E23,"ИЗУЧЕНО",IF(AND(OR(F23="",SUMIF($A$11:$A$50,F23,AF$11:AF$50)&gt;=SUMIF($A$11:$A$50,F23,$E$11:$E$50)),OR(G23="",SUMIF($A$11:$A$50,G23,AF$11:AF$50)&gt;=SUMIF($A$11:$A$50,G23,$E$11:$E$50)),OR(H23="",SUMIF($A$11:$A$50,H23,AF$11:AF$50)&gt;=SUMIF($A$11:$A$50,H23,$E$11:$E$50))),"ОТКРЫТО","ЗАКРЫТО"))</x:f>
        <x:v>ОТКРЫТО</x:v>
      </x:c>
      <x:c r="AV23" t="str">
        <x:f>IF(AG23&gt;=E23,"ИЗУЧЕНО",IF(AND(OR(F23="",SUMIF($A$11:$A$50,F23,AG$11:AG$50)&gt;=SUMIF($A$11:$A$50,F23,$E$11:$E$50)),OR(G23="",SUMIF($A$11:$A$50,G23,AG$11:AG$50)&gt;=SUMIF($A$11:$A$50,G23,$E$11:$E$50)),OR(H23="",SUMIF($A$11:$A$50,H23,AG$11:AG$50)&gt;=SUMIF($A$11:$A$50,H23,$E$11:$E$50))),"ОТКРЫТО","ЗАКРЫТО"))</x:f>
        <x:v>ОТКРЫТО</x:v>
      </x:c>
      <x:c r="AW23" t="str">
        <x:f>IF(AH23&gt;=E23,"ИЗУЧЕНО",IF(AND(OR(F23="",SUMIF($A$11:$A$50,F23,AH$11:AH$50)&gt;=SUMIF($A$11:$A$50,F23,$E$11:$E$50)),OR(G23="",SUMIF($A$11:$A$50,G23,AH$11:AH$50)&gt;=SUMIF($A$11:$A$50,G23,$E$11:$E$50)),OR(H23="",SUMIF($A$11:$A$50,H23,AH$11:AH$50)&gt;=SUMIF($A$11:$A$50,H23,$E$11:$E$50))),"ОТКРЫТО","ЗАКРЫТО"))</x:f>
        <x:v>ОТКРЫТО</x:v>
      </x:c>
      <x:c r="AX23" t="str">
        <x:f>IF(AI23&gt;=E23,"ИЗУЧЕНО",IF(AND(OR(F23="",SUMIF($A$11:$A$50,F23,AI$11:AI$50)&gt;=SUMIF($A$11:$A$50,F23,$E$11:$E$50)),OR(G23="",SUMIF($A$11:$A$50,G23,AI$11:AI$50)&gt;=SUMIF($A$11:$A$50,G23,$E$11:$E$50)),OR(H23="",SUMIF($A$11:$A$50,H23,AI$11:AI$50)&gt;=SUMIF($A$11:$A$50,H23,$E$11:$E$50))),"ОТКРЫТО","ЗАКРЫТО"))</x:f>
        <x:v>ОТКРЫТО</x:v>
      </x:c>
      <x:c r="AY23" t="str">
        <x:f>IF(AJ23&gt;=E23,"ИЗУЧЕНО",IF(AND(OR(F23="",SUMIF($A$11:$A$50,F23,AJ$11:AJ$50)&gt;=SUMIF($A$11:$A$50,F23,$E$11:$E$50)),OR(G23="",SUMIF($A$11:$A$50,G23,AJ$11:AJ$50)&gt;=SUMIF($A$11:$A$50,G23,$E$11:$E$50)),OR(H23="",SUMIF($A$11:$A$50,H23,AJ$11:AJ$50)&gt;=SUMIF($A$11:$A$50,H23,$E$11:$E$50))),"ОТКРЫТО","ЗАКРЫТО"))</x:f>
        <x:v>ОТКРЫТО</x:v>
      </x:c>
      <x:c r="AZ23" t="str">
        <x:f>IF(AK23&gt;=E23,"ИЗУЧЕНО",IF(AND(OR(F23="",SUMIF($A$11:$A$50,F23,AK$11:AK$50)&gt;=SUMIF($A$11:$A$50,F23,$E$11:$E$50)),OR(G23="",SUMIF($A$11:$A$50,G23,AK$11:AK$50)&gt;=SUMIF($A$11:$A$50,G23,$E$11:$E$50)),OR(H23="",SUMIF($A$11:$A$50,H23,AK$11:AK$50)&gt;=SUMIF($A$11:$A$50,H23,$E$11:$E$50))),"ОТКРЫТО","ЗАКРЫТО"))</x:f>
        <x:v>ОТКРЫТО</x:v>
      </x:c>
      <x:c r="BA23" t="str">
        <x:f>IF(AL23&gt;=E23,"ИЗУЧЕНО",IF(AND(OR(F23="",SUMIF($A$11:$A$50,F23,AL$11:AL$50)&gt;=SUMIF($A$11:$A$50,F23,$E$11:$E$50)),OR(G23="",SUMIF($A$11:$A$50,G23,AL$11:AL$50)&gt;=SUMIF($A$11:$A$50,G23,$E$11:$E$50)),OR(H23="",SUMIF($A$11:$A$50,H23,AL$11:AL$50)&gt;=SUMIF($A$11:$A$50,H23,$E$11:$E$50))),"ОТКРЫТО","ЗАКРЫТО"))</x:f>
        <x:v>ОТКРЫТО</x:v>
      </x:c>
      <x:c r="BB23" t="str">
        <x:f>IF(AM23&gt;=E23,"ИЗУЧЕНО",IF(AND(OR(F23="",SUMIF($A$11:$A$50,F23,AM$11:AM$50)&gt;=SUMIF($A$11:$A$50,F23,$E$11:$E$50)),OR(G23="",SUMIF($A$11:$A$50,G23,AM$11:AM$50)&gt;=SUMIF($A$11:$A$50,G23,$E$11:$E$50)),OR(H23="",SUMIF($A$11:$A$50,H23,AM$11:AM$50)&gt;=SUMIF($A$11:$A$50,H23,$E$11:$E$50))),"ОТКРЫТО","ЗАКРЫТО"))</x:f>
        <x:v>ОТКРЫТО</x:v>
      </x:c>
      <x:c r="BC23" t="str">
        <x:f>IF(AN23&gt;=E23,"ИЗУЧЕНО",IF(AND(OR(F23="",SUMIF($A$11:$A$50,F23,AN$11:AN$50)&gt;=SUMIF($A$11:$A$50,F23,$E$11:$E$50)),OR(G23="",SUMIF($A$11:$A$50,G23,AN$11:AN$50)&gt;=SUMIF($A$11:$A$50,G23,$E$11:$E$50)),OR(H23="",SUMIF($A$11:$A$50,H23,AN$11:AN$50)&gt;=SUMIF($A$11:$A$50,H23,$E$11:$E$50))),"ОТКРЫТО","ЗАКРЫТО"))</x:f>
        <x:v>ОТКРЫТО</x:v>
      </x:c>
      <x:c r="BD23" t="str">
        <x:f>IF(AO23&gt;=E23,"ИЗУЧЕНО",IF(AND(OR(F23="",SUMIF($A$11:$A$50,F23,AO$11:AO$50)&gt;=SUMIF($A$11:$A$50,F23,$E$11:$E$50)),OR(G23="",SUMIF($A$11:$A$50,G23,AO$11:AO$50)&gt;=SUMIF($A$11:$A$50,G23,$E$11:$E$50)),OR(H23="",SUMIF($A$11:$A$50,H23,AO$11:AO$50)&gt;=SUMIF($A$11:$A$50,H23,$E$11:$E$50))),"ОТКРЫТО","ЗАКРЫТО"))</x:f>
        <x:v>ОТКРЫТО</x:v>
      </x:c>
      <x:c r="BE23" t="str">
        <x:f>IF(AP23&gt;=E23,"ИЗУЧЕНО",IF(AND(OR(F23="",SUMIF($A$11:$A$50,F23,AP$11:AP$50)&gt;=SUMIF($A$11:$A$50,F23,$E$11:$E$50)),OR(G23="",SUMIF($A$11:$A$50,G23,AP$11:AP$50)&gt;=SUMIF($A$11:$A$50,G23,$E$11:$E$50)),OR(H23="",SUMIF($A$11:$A$50,H23,AP$11:AP$50)&gt;=SUMIF($A$11:$A$50,H23,$E$11:$E$50))),"ОТКРЫТО","ЗАКРЫТО"))</x:f>
        <x:v>ОТКРЫТО</x:v>
      </x:c>
      <x:c r="BF23" t="str">
        <x:f>IF(AQ23&gt;=E23,"ИЗУЧЕНО",IF(AND(OR(F23="",SUMIF($A$11:$A$50,F23,AQ$11:AQ$50)&gt;=SUMIF($A$11:$A$50,F23,$E$11:$E$50)),OR(G23="",SUMIF($A$11:$A$50,G23,AQ$11:AQ$50)&gt;=SUMIF($A$11:$A$50,G23,$E$11:$E$50)),OR(H23="",SUMIF($A$11:$A$50,H23,AQ$11:AQ$50)&gt;=SUMIF($A$11:$A$50,H23,$E$11:$E$50))),"ОТКРЫТО","ЗАКРЫТО"))</x:f>
        <x:v>ОТКРЫТО</x:v>
      </x:c>
    </x:row>
    <x:row r="24">
      <x:c r="A24" s="42" t="str">
        <x:v>D2</x:v>
      </x:c>
      <x:c r="B24" s="42" t="str">
        <x:v>Данные и знания</x:v>
      </x:c>
      <x:c r="C24" s="42" t="str">
        <x:v>II</x:v>
      </x:c>
      <x:c r="D24" s="42" t="str">
        <x:v>Промышленное производство синтетических данных</x:v>
      </x:c>
      <x:c r="E24" s="42" t="n">
        <x:v>35</x:v>
      </x:c>
      <x:c r="F24" s="42" t="str">
        <x:v>D1</x:v>
      </x:c>
      <x:c r="G24" s="42"/>
      <x:c r="H24" s="42"/>
      <x:c r="I24" s="42" t="str">
        <x:v>Генерация обучающих и тестовых данных при дефиците реальных наблюдений.</x:v>
      </x:c>
      <x:c r="J24" s="42" t="str">
        <x:v>Производные данные +0,3; их прирост +0,10/год</x:v>
      </x:c>
      <x:c r="K24" s="43" t="n">
        <x:f>SUMIF('Ход 2026'!$G$29:$G$38,$A24,'Ход 2026'!$I$29:$I$38)</x:f>
        <x:v>0</x:v>
      </x:c>
      <x:c r="L24" s="43" t="n">
        <x:f>SUMIF('Ход 2027'!$G$29:$G$38,$A24,'Ход 2027'!$I$29:$I$38)</x:f>
        <x:v>0</x:v>
      </x:c>
      <x:c r="M24" s="43" t="n">
        <x:f>SUMIF('Ход 2028'!$G$29:$G$38,$A24,'Ход 2028'!$I$29:$I$38)</x:f>
        <x:v>0</x:v>
      </x:c>
      <x:c r="N24" s="43" t="n">
        <x:f>SUMIF('Ход 2029'!$G$29:$G$38,$A24,'Ход 2029'!$I$29:$I$38)</x:f>
        <x:v>0</x:v>
      </x:c>
      <x:c r="O24" s="43" t="n">
        <x:f>SUMIF('Ход 2030'!$G$29:$G$38,$A24,'Ход 2030'!$I$29:$I$38)</x:f>
        <x:v>0</x:v>
      </x:c>
      <x:c r="P24" s="43" t="n">
        <x:f>SUMIF('Ход 2031'!$G$29:$G$38,$A24,'Ход 2031'!$I$29:$I$38)</x:f>
        <x:v>0</x:v>
      </x:c>
      <x:c r="Q24" s="43" t="n">
        <x:f>SUMIF('Ход 2032'!$G$29:$G$38,$A24,'Ход 2032'!$I$29:$I$38)</x:f>
        <x:v>0</x:v>
      </x:c>
      <x:c r="R24" s="43" t="n">
        <x:f>SUMIF('Ход 2033'!$G$29:$G$38,$A24,'Ход 2033'!$I$29:$I$38)</x:f>
        <x:v>0</x:v>
      </x:c>
      <x:c r="S24" s="43" t="n">
        <x:f>SUMIF('Ход 2034'!$G$29:$G$38,$A24,'Ход 2034'!$I$29:$I$38)</x:f>
        <x:v>0</x:v>
      </x:c>
      <x:c r="T24" s="43" t="n">
        <x:f>SUMIF('Ход 2035'!$G$29:$G$38,$A24,'Ход 2035'!$I$29:$I$38)</x:f>
        <x:v>0</x:v>
      </x:c>
      <x:c r="U24" s="43" t="n">
        <x:f>SUMIF('Ход 2036'!$G$29:$G$38,$A24,'Ход 2036'!$I$29:$I$38)</x:f>
        <x:v>0</x:v>
      </x:c>
      <x:c r="V24" s="43" t="n">
        <x:f>SUMIF('Ход 2037'!$G$29:$G$38,$A24,'Ход 2037'!$I$29:$I$38)</x:f>
        <x:v>0</x:v>
      </x:c>
      <x:c r="W24" s="43" t="n">
        <x:f>SUMIF('Ход 2038'!$G$29:$G$38,$A24,'Ход 2038'!$I$29:$I$38)</x:f>
        <x:v>0</x:v>
      </x:c>
      <x:c r="X24" s="43" t="n">
        <x:f>SUMIF('Ход 2039'!$G$29:$G$38,$A24,'Ход 2039'!$I$29:$I$38)</x:f>
        <x:v>0</x:v>
      </x:c>
      <x:c r="Y24" s="43" t="n">
        <x:f>SUMIF('Ход 2040'!$G$29:$G$38,$A24,'Ход 2040'!$I$29:$I$38)</x:f>
        <x:v>0</x:v>
      </x:c>
      <x:c r="Z24" s="44" t="n">
        <x:f>SUM(K24:Y24)</x:f>
        <x:v>0</x:v>
      </x:c>
      <x:c r="AA24" s="44" t="n">
        <x:f>MAX(0,E24-Z24)</x:f>
        <x:v>35</x:v>
      </x:c>
      <x:c r="AB24" s="42" t="str">
        <x:f>BF24</x:f>
        <x:v>ЗАКРЫТО</x:v>
      </x:c>
      <x:c r="AC24" t="n">
        <x:f>SUM($K24:K24)</x:f>
        <x:v>0</x:v>
      </x:c>
      <x:c r="AD24" t="n">
        <x:f>SUM($K24:L24)</x:f>
        <x:v>0</x:v>
      </x:c>
      <x:c r="AE24" t="n">
        <x:f>SUM($K24:M24)</x:f>
        <x:v>0</x:v>
      </x:c>
      <x:c r="AF24" t="n">
        <x:f>SUM($K24:N24)</x:f>
        <x:v>0</x:v>
      </x:c>
      <x:c r="AG24" t="n">
        <x:f>SUM($K24:O24)</x:f>
        <x:v>0</x:v>
      </x:c>
      <x:c r="AH24" t="n">
        <x:f>SUM($K24:P24)</x:f>
        <x:v>0</x:v>
      </x:c>
      <x:c r="AI24" t="n">
        <x:f>SUM($K24:Q24)</x:f>
        <x:v>0</x:v>
      </x:c>
      <x:c r="AJ24" t="n">
        <x:f>SUM($K24:R24)</x:f>
        <x:v>0</x:v>
      </x:c>
      <x:c r="AK24" t="n">
        <x:f>SUM($K24:S24)</x:f>
        <x:v>0</x:v>
      </x:c>
      <x:c r="AL24" t="n">
        <x:f>SUM($K24:T24)</x:f>
        <x:v>0</x:v>
      </x:c>
      <x:c r="AM24" t="n">
        <x:f>SUM($K24:U24)</x:f>
        <x:v>0</x:v>
      </x:c>
      <x:c r="AN24" t="n">
        <x:f>SUM($K24:V24)</x:f>
        <x:v>0</x:v>
      </x:c>
      <x:c r="AO24" t="n">
        <x:f>SUM($K24:W24)</x:f>
        <x:v>0</x:v>
      </x:c>
      <x:c r="AP24" t="n">
        <x:f>SUM($K24:X24)</x:f>
        <x:v>0</x:v>
      </x:c>
      <x:c r="AQ24" t="n">
        <x:f>SUM($K24:Y24)</x:f>
        <x:v>0</x:v>
      </x:c>
      <x:c r="AR24" t="str">
        <x:f>IF(AC24&gt;=E24,"ИЗУЧЕНО",IF(AND(OR(F24="",SUMIF($A$11:$A$50,F24,AC$11:AC$50)&gt;=SUMIF($A$11:$A$50,F24,$E$11:$E$50)),OR(G24="",SUMIF($A$11:$A$50,G24,AC$11:AC$50)&gt;=SUMIF($A$11:$A$50,G24,$E$11:$E$50)),OR(H24="",SUMIF($A$11:$A$50,H24,AC$11:AC$50)&gt;=SUMIF($A$11:$A$50,H24,$E$11:$E$50))),"ОТКРЫТО","ЗАКРЫТО"))</x:f>
        <x:v>ЗАКРЫТО</x:v>
      </x:c>
      <x:c r="AS24" t="str">
        <x:f>IF(AD24&gt;=E24,"ИЗУЧЕНО",IF(AND(OR(F24="",SUMIF($A$11:$A$50,F24,AD$11:AD$50)&gt;=SUMIF($A$11:$A$50,F24,$E$11:$E$50)),OR(G24="",SUMIF($A$11:$A$50,G24,AD$11:AD$50)&gt;=SUMIF($A$11:$A$50,G24,$E$11:$E$50)),OR(H24="",SUMIF($A$11:$A$50,H24,AD$11:AD$50)&gt;=SUMIF($A$11:$A$50,H24,$E$11:$E$50))),"ОТКРЫТО","ЗАКРЫТО"))</x:f>
        <x:v>ЗАКРЫТО</x:v>
      </x:c>
      <x:c r="AT24" t="str">
        <x:f>IF(AE24&gt;=E24,"ИЗУЧЕНО",IF(AND(OR(F24="",SUMIF($A$11:$A$50,F24,AE$11:AE$50)&gt;=SUMIF($A$11:$A$50,F24,$E$11:$E$50)),OR(G24="",SUMIF($A$11:$A$50,G24,AE$11:AE$50)&gt;=SUMIF($A$11:$A$50,G24,$E$11:$E$50)),OR(H24="",SUMIF($A$11:$A$50,H24,AE$11:AE$50)&gt;=SUMIF($A$11:$A$50,H24,$E$11:$E$50))),"ОТКРЫТО","ЗАКРЫТО"))</x:f>
        <x:v>ЗАКРЫТО</x:v>
      </x:c>
      <x:c r="AU24" t="str">
        <x:f>IF(AF24&gt;=E24,"ИЗУЧЕНО",IF(AND(OR(F24="",SUMIF($A$11:$A$50,F24,AF$11:AF$50)&gt;=SUMIF($A$11:$A$50,F24,$E$11:$E$50)),OR(G24="",SUMIF($A$11:$A$50,G24,AF$11:AF$50)&gt;=SUMIF($A$11:$A$50,G24,$E$11:$E$50)),OR(H24="",SUMIF($A$11:$A$50,H24,AF$11:AF$50)&gt;=SUMIF($A$11:$A$50,H24,$E$11:$E$50))),"ОТКРЫТО","ЗАКРЫТО"))</x:f>
        <x:v>ЗАКРЫТО</x:v>
      </x:c>
      <x:c r="AV24" t="str">
        <x:f>IF(AG24&gt;=E24,"ИЗУЧЕНО",IF(AND(OR(F24="",SUMIF($A$11:$A$50,F24,AG$11:AG$50)&gt;=SUMIF($A$11:$A$50,F24,$E$11:$E$50)),OR(G24="",SUMIF($A$11:$A$50,G24,AG$11:AG$50)&gt;=SUMIF($A$11:$A$50,G24,$E$11:$E$50)),OR(H24="",SUMIF($A$11:$A$50,H24,AG$11:AG$50)&gt;=SUMIF($A$11:$A$50,H24,$E$11:$E$50))),"ОТКРЫТО","ЗАКРЫТО"))</x:f>
        <x:v>ЗАКРЫТО</x:v>
      </x:c>
      <x:c r="AW24" t="str">
        <x:f>IF(AH24&gt;=E24,"ИЗУЧЕНО",IF(AND(OR(F24="",SUMIF($A$11:$A$50,F24,AH$11:AH$50)&gt;=SUMIF($A$11:$A$50,F24,$E$11:$E$50)),OR(G24="",SUMIF($A$11:$A$50,G24,AH$11:AH$50)&gt;=SUMIF($A$11:$A$50,G24,$E$11:$E$50)),OR(H24="",SUMIF($A$11:$A$50,H24,AH$11:AH$50)&gt;=SUMIF($A$11:$A$50,H24,$E$11:$E$50))),"ОТКРЫТО","ЗАКРЫТО"))</x:f>
        <x:v>ЗАКРЫТО</x:v>
      </x:c>
      <x:c r="AX24" t="str">
        <x:f>IF(AI24&gt;=E24,"ИЗУЧЕНО",IF(AND(OR(F24="",SUMIF($A$11:$A$50,F24,AI$11:AI$50)&gt;=SUMIF($A$11:$A$50,F24,$E$11:$E$50)),OR(G24="",SUMIF($A$11:$A$50,G24,AI$11:AI$50)&gt;=SUMIF($A$11:$A$50,G24,$E$11:$E$50)),OR(H24="",SUMIF($A$11:$A$50,H24,AI$11:AI$50)&gt;=SUMIF($A$11:$A$50,H24,$E$11:$E$50))),"ОТКРЫТО","ЗАКРЫТО"))</x:f>
        <x:v>ЗАКРЫТО</x:v>
      </x:c>
      <x:c r="AY24" t="str">
        <x:f>IF(AJ24&gt;=E24,"ИЗУЧЕНО",IF(AND(OR(F24="",SUMIF($A$11:$A$50,F24,AJ$11:AJ$50)&gt;=SUMIF($A$11:$A$50,F24,$E$11:$E$50)),OR(G24="",SUMIF($A$11:$A$50,G24,AJ$11:AJ$50)&gt;=SUMIF($A$11:$A$50,G24,$E$11:$E$50)),OR(H24="",SUMIF($A$11:$A$50,H24,AJ$11:AJ$50)&gt;=SUMIF($A$11:$A$50,H24,$E$11:$E$50))),"ОТКРЫТО","ЗАКРЫТО"))</x:f>
        <x:v>ЗАКРЫТО</x:v>
      </x:c>
      <x:c r="AZ24" t="str">
        <x:f>IF(AK24&gt;=E24,"ИЗУЧЕНО",IF(AND(OR(F24="",SUMIF($A$11:$A$50,F24,AK$11:AK$50)&gt;=SUMIF($A$11:$A$50,F24,$E$11:$E$50)),OR(G24="",SUMIF($A$11:$A$50,G24,AK$11:AK$50)&gt;=SUMIF($A$11:$A$50,G24,$E$11:$E$50)),OR(H24="",SUMIF($A$11:$A$50,H24,AK$11:AK$50)&gt;=SUMIF($A$11:$A$50,H24,$E$11:$E$50))),"ОТКРЫТО","ЗАКРЫТО"))</x:f>
        <x:v>ЗАКРЫТО</x:v>
      </x:c>
      <x:c r="BA24" t="str">
        <x:f>IF(AL24&gt;=E24,"ИЗУЧЕНО",IF(AND(OR(F24="",SUMIF($A$11:$A$50,F24,AL$11:AL$50)&gt;=SUMIF($A$11:$A$50,F24,$E$11:$E$50)),OR(G24="",SUMIF($A$11:$A$50,G24,AL$11:AL$50)&gt;=SUMIF($A$11:$A$50,G24,$E$11:$E$50)),OR(H24="",SUMIF($A$11:$A$50,H24,AL$11:AL$50)&gt;=SUMIF($A$11:$A$50,H24,$E$11:$E$50))),"ОТКРЫТО","ЗАКРЫТО"))</x:f>
        <x:v>ЗАКРЫТО</x:v>
      </x:c>
      <x:c r="BB24" t="str">
        <x:f>IF(AM24&gt;=E24,"ИЗУЧЕНО",IF(AND(OR(F24="",SUMIF($A$11:$A$50,F24,AM$11:AM$50)&gt;=SUMIF($A$11:$A$50,F24,$E$11:$E$50)),OR(G24="",SUMIF($A$11:$A$50,G24,AM$11:AM$50)&gt;=SUMIF($A$11:$A$50,G24,$E$11:$E$50)),OR(H24="",SUMIF($A$11:$A$50,H24,AM$11:AM$50)&gt;=SUMIF($A$11:$A$50,H24,$E$11:$E$50))),"ОТКРЫТО","ЗАКРЫТО"))</x:f>
        <x:v>ЗАКРЫТО</x:v>
      </x:c>
      <x:c r="BC24" t="str">
        <x:f>IF(AN24&gt;=E24,"ИЗУЧЕНО",IF(AND(OR(F24="",SUMIF($A$11:$A$50,F24,AN$11:AN$50)&gt;=SUMIF($A$11:$A$50,F24,$E$11:$E$50)),OR(G24="",SUMIF($A$11:$A$50,G24,AN$11:AN$50)&gt;=SUMIF($A$11:$A$50,G24,$E$11:$E$50)),OR(H24="",SUMIF($A$11:$A$50,H24,AN$11:AN$50)&gt;=SUMIF($A$11:$A$50,H24,$E$11:$E$50))),"ОТКРЫТО","ЗАКРЫТО"))</x:f>
        <x:v>ЗАКРЫТО</x:v>
      </x:c>
      <x:c r="BD24" t="str">
        <x:f>IF(AO24&gt;=E24,"ИЗУЧЕНО",IF(AND(OR(F24="",SUMIF($A$11:$A$50,F24,AO$11:AO$50)&gt;=SUMIF($A$11:$A$50,F24,$E$11:$E$50)),OR(G24="",SUMIF($A$11:$A$50,G24,AO$11:AO$50)&gt;=SUMIF($A$11:$A$50,G24,$E$11:$E$50)),OR(H24="",SUMIF($A$11:$A$50,H24,AO$11:AO$50)&gt;=SUMIF($A$11:$A$50,H24,$E$11:$E$50))),"ОТКРЫТО","ЗАКРЫТО"))</x:f>
        <x:v>ЗАКРЫТО</x:v>
      </x:c>
      <x:c r="BE24" t="str">
        <x:f>IF(AP24&gt;=E24,"ИЗУЧЕНО",IF(AND(OR(F24="",SUMIF($A$11:$A$50,F24,AP$11:AP$50)&gt;=SUMIF($A$11:$A$50,F24,$E$11:$E$50)),OR(G24="",SUMIF($A$11:$A$50,G24,AP$11:AP$50)&gt;=SUMIF($A$11:$A$50,G24,$E$11:$E$50)),OR(H24="",SUMIF($A$11:$A$50,H24,AP$11:AP$50)&gt;=SUMIF($A$11:$A$50,H24,$E$11:$E$50))),"ОТКРЫТО","ЗАКРЫТО"))</x:f>
        <x:v>ЗАКРЫТО</x:v>
      </x:c>
      <x:c r="BF24" t="str">
        <x:f>IF(AQ24&gt;=E24,"ИЗУЧЕНО",IF(AND(OR(F24="",SUMIF($A$11:$A$50,F24,AQ$11:AQ$50)&gt;=SUMIF($A$11:$A$50,F24,$E$11:$E$50)),OR(G24="",SUMIF($A$11:$A$50,G24,AQ$11:AQ$50)&gt;=SUMIF($A$11:$A$50,G24,$E$11:$E$50)),OR(H24="",SUMIF($A$11:$A$50,H24,AQ$11:AQ$50)&gt;=SUMIF($A$11:$A$50,H24,$E$11:$E$50))),"ОТКРЫТО","ЗАКРЫТО"))</x:f>
        <x:v>ЗАКРЫТО</x:v>
      </x:c>
    </x:row>
    <x:row r="25">
      <x:c r="A25" s="42" t="str">
        <x:v>D3</x:v>
      </x:c>
      <x:c r="B25" s="42" t="str">
        <x:v>Данные и знания</x:v>
      </x:c>
      <x:c r="C25" s="42" t="str">
        <x:v>II</x:v>
      </x:c>
      <x:c r="D25" s="42" t="str">
        <x:v>Графы знаний и семантические модели</x:v>
      </x:c>
      <x:c r="E25" s="42" t="n">
        <x:v>40</x:v>
      </x:c>
      <x:c r="F25" s="42" t="str">
        <x:v>D1</x:v>
      </x:c>
      <x:c r="G25" s="42"/>
      <x:c r="H25" s="42"/>
      <x:c r="I25" s="42" t="str">
        <x:v>Машиночитаемые связи между объектами, понятиями и фактами.</x:v>
      </x:c>
      <x:c r="J25" s="42" t="str">
        <x:v>Контекстные информационные ресурсы +0,3; прирост Познания +0,05/год</x:v>
      </x:c>
      <x:c r="K25" s="43" t="n">
        <x:f>SUMIF('Ход 2026'!$G$29:$G$38,$A25,'Ход 2026'!$I$29:$I$38)</x:f>
        <x:v>0</x:v>
      </x:c>
      <x:c r="L25" s="43" t="n">
        <x:f>SUMIF('Ход 2027'!$G$29:$G$38,$A25,'Ход 2027'!$I$29:$I$38)</x:f>
        <x:v>0</x:v>
      </x:c>
      <x:c r="M25" s="43" t="n">
        <x:f>SUMIF('Ход 2028'!$G$29:$G$38,$A25,'Ход 2028'!$I$29:$I$38)</x:f>
        <x:v>0</x:v>
      </x:c>
      <x:c r="N25" s="43" t="n">
        <x:f>SUMIF('Ход 2029'!$G$29:$G$38,$A25,'Ход 2029'!$I$29:$I$38)</x:f>
        <x:v>0</x:v>
      </x:c>
      <x:c r="O25" s="43" t="n">
        <x:f>SUMIF('Ход 2030'!$G$29:$G$38,$A25,'Ход 2030'!$I$29:$I$38)</x:f>
        <x:v>0</x:v>
      </x:c>
      <x:c r="P25" s="43" t="n">
        <x:f>SUMIF('Ход 2031'!$G$29:$G$38,$A25,'Ход 2031'!$I$29:$I$38)</x:f>
        <x:v>0</x:v>
      </x:c>
      <x:c r="Q25" s="43" t="n">
        <x:f>SUMIF('Ход 2032'!$G$29:$G$38,$A25,'Ход 2032'!$I$29:$I$38)</x:f>
        <x:v>0</x:v>
      </x:c>
      <x:c r="R25" s="43" t="n">
        <x:f>SUMIF('Ход 2033'!$G$29:$G$38,$A25,'Ход 2033'!$I$29:$I$38)</x:f>
        <x:v>0</x:v>
      </x:c>
      <x:c r="S25" s="43" t="n">
        <x:f>SUMIF('Ход 2034'!$G$29:$G$38,$A25,'Ход 2034'!$I$29:$I$38)</x:f>
        <x:v>0</x:v>
      </x:c>
      <x:c r="T25" s="43" t="n">
        <x:f>SUMIF('Ход 2035'!$G$29:$G$38,$A25,'Ход 2035'!$I$29:$I$38)</x:f>
        <x:v>0</x:v>
      </x:c>
      <x:c r="U25" s="43" t="n">
        <x:f>SUMIF('Ход 2036'!$G$29:$G$38,$A25,'Ход 2036'!$I$29:$I$38)</x:f>
        <x:v>0</x:v>
      </x:c>
      <x:c r="V25" s="43" t="n">
        <x:f>SUMIF('Ход 2037'!$G$29:$G$38,$A25,'Ход 2037'!$I$29:$I$38)</x:f>
        <x:v>0</x:v>
      </x:c>
      <x:c r="W25" s="43" t="n">
        <x:f>SUMIF('Ход 2038'!$G$29:$G$38,$A25,'Ход 2038'!$I$29:$I$38)</x:f>
        <x:v>0</x:v>
      </x:c>
      <x:c r="X25" s="43" t="n">
        <x:f>SUMIF('Ход 2039'!$G$29:$G$38,$A25,'Ход 2039'!$I$29:$I$38)</x:f>
        <x:v>0</x:v>
      </x:c>
      <x:c r="Y25" s="43" t="n">
        <x:f>SUMIF('Ход 2040'!$G$29:$G$38,$A25,'Ход 2040'!$I$29:$I$38)</x:f>
        <x:v>0</x:v>
      </x:c>
      <x:c r="Z25" s="44" t="n">
        <x:f>SUM(K25:Y25)</x:f>
        <x:v>0</x:v>
      </x:c>
      <x:c r="AA25" s="44" t="n">
        <x:f>MAX(0,E25-Z25)</x:f>
        <x:v>40</x:v>
      </x:c>
      <x:c r="AB25" s="42" t="str">
        <x:f>BF25</x:f>
        <x:v>ЗАКРЫТО</x:v>
      </x:c>
      <x:c r="AC25" t="n">
        <x:f>SUM($K25:K25)</x:f>
        <x:v>0</x:v>
      </x:c>
      <x:c r="AD25" t="n">
        <x:f>SUM($K25:L25)</x:f>
        <x:v>0</x:v>
      </x:c>
      <x:c r="AE25" t="n">
        <x:f>SUM($K25:M25)</x:f>
        <x:v>0</x:v>
      </x:c>
      <x:c r="AF25" t="n">
        <x:f>SUM($K25:N25)</x:f>
        <x:v>0</x:v>
      </x:c>
      <x:c r="AG25" t="n">
        <x:f>SUM($K25:O25)</x:f>
        <x:v>0</x:v>
      </x:c>
      <x:c r="AH25" t="n">
        <x:f>SUM($K25:P25)</x:f>
        <x:v>0</x:v>
      </x:c>
      <x:c r="AI25" t="n">
        <x:f>SUM($K25:Q25)</x:f>
        <x:v>0</x:v>
      </x:c>
      <x:c r="AJ25" t="n">
        <x:f>SUM($K25:R25)</x:f>
        <x:v>0</x:v>
      </x:c>
      <x:c r="AK25" t="n">
        <x:f>SUM($K25:S25)</x:f>
        <x:v>0</x:v>
      </x:c>
      <x:c r="AL25" t="n">
        <x:f>SUM($K25:T25)</x:f>
        <x:v>0</x:v>
      </x:c>
      <x:c r="AM25" t="n">
        <x:f>SUM($K25:U25)</x:f>
        <x:v>0</x:v>
      </x:c>
      <x:c r="AN25" t="n">
        <x:f>SUM($K25:V25)</x:f>
        <x:v>0</x:v>
      </x:c>
      <x:c r="AO25" t="n">
        <x:f>SUM($K25:W25)</x:f>
        <x:v>0</x:v>
      </x:c>
      <x:c r="AP25" t="n">
        <x:f>SUM($K25:X25)</x:f>
        <x:v>0</x:v>
      </x:c>
      <x:c r="AQ25" t="n">
        <x:f>SUM($K25:Y25)</x:f>
        <x:v>0</x:v>
      </x:c>
      <x:c r="AR25" t="str">
        <x:f>IF(AC25&gt;=E25,"ИЗУЧЕНО",IF(AND(OR(F25="",SUMIF($A$11:$A$50,F25,AC$11:AC$50)&gt;=SUMIF($A$11:$A$50,F25,$E$11:$E$50)),OR(G25="",SUMIF($A$11:$A$50,G25,AC$11:AC$50)&gt;=SUMIF($A$11:$A$50,G25,$E$11:$E$50)),OR(H25="",SUMIF($A$11:$A$50,H25,AC$11:AC$50)&gt;=SUMIF($A$11:$A$50,H25,$E$11:$E$50))),"ОТКРЫТО","ЗАКРЫТО"))</x:f>
        <x:v>ЗАКРЫТО</x:v>
      </x:c>
      <x:c r="AS25" t="str">
        <x:f>IF(AD25&gt;=E25,"ИЗУЧЕНО",IF(AND(OR(F25="",SUMIF($A$11:$A$50,F25,AD$11:AD$50)&gt;=SUMIF($A$11:$A$50,F25,$E$11:$E$50)),OR(G25="",SUMIF($A$11:$A$50,G25,AD$11:AD$50)&gt;=SUMIF($A$11:$A$50,G25,$E$11:$E$50)),OR(H25="",SUMIF($A$11:$A$50,H25,AD$11:AD$50)&gt;=SUMIF($A$11:$A$50,H25,$E$11:$E$50))),"ОТКРЫТО","ЗАКРЫТО"))</x:f>
        <x:v>ЗАКРЫТО</x:v>
      </x:c>
      <x:c r="AT25" t="str">
        <x:f>IF(AE25&gt;=E25,"ИЗУЧЕНО",IF(AND(OR(F25="",SUMIF($A$11:$A$50,F25,AE$11:AE$50)&gt;=SUMIF($A$11:$A$50,F25,$E$11:$E$50)),OR(G25="",SUMIF($A$11:$A$50,G25,AE$11:AE$50)&gt;=SUMIF($A$11:$A$50,G25,$E$11:$E$50)),OR(H25="",SUMIF($A$11:$A$50,H25,AE$11:AE$50)&gt;=SUMIF($A$11:$A$50,H25,$E$11:$E$50))),"ОТКРЫТО","ЗАКРЫТО"))</x:f>
        <x:v>ЗАКРЫТО</x:v>
      </x:c>
      <x:c r="AU25" t="str">
        <x:f>IF(AF25&gt;=E25,"ИЗУЧЕНО",IF(AND(OR(F25="",SUMIF($A$11:$A$50,F25,AF$11:AF$50)&gt;=SUMIF($A$11:$A$50,F25,$E$11:$E$50)),OR(G25="",SUMIF($A$11:$A$50,G25,AF$11:AF$50)&gt;=SUMIF($A$11:$A$50,G25,$E$11:$E$50)),OR(H25="",SUMIF($A$11:$A$50,H25,AF$11:AF$50)&gt;=SUMIF($A$11:$A$50,H25,$E$11:$E$50))),"ОТКРЫТО","ЗАКРЫТО"))</x:f>
        <x:v>ЗАКРЫТО</x:v>
      </x:c>
      <x:c r="AV25" t="str">
        <x:f>IF(AG25&gt;=E25,"ИЗУЧЕНО",IF(AND(OR(F25="",SUMIF($A$11:$A$50,F25,AG$11:AG$50)&gt;=SUMIF($A$11:$A$50,F25,$E$11:$E$50)),OR(G25="",SUMIF($A$11:$A$50,G25,AG$11:AG$50)&gt;=SUMIF($A$11:$A$50,G25,$E$11:$E$50)),OR(H25="",SUMIF($A$11:$A$50,H25,AG$11:AG$50)&gt;=SUMIF($A$11:$A$50,H25,$E$11:$E$50))),"ОТКРЫТО","ЗАКРЫТО"))</x:f>
        <x:v>ЗАКРЫТО</x:v>
      </x:c>
      <x:c r="AW25" t="str">
        <x:f>IF(AH25&gt;=E25,"ИЗУЧЕНО",IF(AND(OR(F25="",SUMIF($A$11:$A$50,F25,AH$11:AH$50)&gt;=SUMIF($A$11:$A$50,F25,$E$11:$E$50)),OR(G25="",SUMIF($A$11:$A$50,G25,AH$11:AH$50)&gt;=SUMIF($A$11:$A$50,G25,$E$11:$E$50)),OR(H25="",SUMIF($A$11:$A$50,H25,AH$11:AH$50)&gt;=SUMIF($A$11:$A$50,H25,$E$11:$E$50))),"ОТКРЫТО","ЗАКРЫТО"))</x:f>
        <x:v>ЗАКРЫТО</x:v>
      </x:c>
      <x:c r="AX25" t="str">
        <x:f>IF(AI25&gt;=E25,"ИЗУЧЕНО",IF(AND(OR(F25="",SUMIF($A$11:$A$50,F25,AI$11:AI$50)&gt;=SUMIF($A$11:$A$50,F25,$E$11:$E$50)),OR(G25="",SUMIF($A$11:$A$50,G25,AI$11:AI$50)&gt;=SUMIF($A$11:$A$50,G25,$E$11:$E$50)),OR(H25="",SUMIF($A$11:$A$50,H25,AI$11:AI$50)&gt;=SUMIF($A$11:$A$50,H25,$E$11:$E$50))),"ОТКРЫТО","ЗАКРЫТО"))</x:f>
        <x:v>ЗАКРЫТО</x:v>
      </x:c>
      <x:c r="AY25" t="str">
        <x:f>IF(AJ25&gt;=E25,"ИЗУЧЕНО",IF(AND(OR(F25="",SUMIF($A$11:$A$50,F25,AJ$11:AJ$50)&gt;=SUMIF($A$11:$A$50,F25,$E$11:$E$50)),OR(G25="",SUMIF($A$11:$A$50,G25,AJ$11:AJ$50)&gt;=SUMIF($A$11:$A$50,G25,$E$11:$E$50)),OR(H25="",SUMIF($A$11:$A$50,H25,AJ$11:AJ$50)&gt;=SUMIF($A$11:$A$50,H25,$E$11:$E$50))),"ОТКРЫТО","ЗАКРЫТО"))</x:f>
        <x:v>ЗАКРЫТО</x:v>
      </x:c>
      <x:c r="AZ25" t="str">
        <x:f>IF(AK25&gt;=E25,"ИЗУЧЕНО",IF(AND(OR(F25="",SUMIF($A$11:$A$50,F25,AK$11:AK$50)&gt;=SUMIF($A$11:$A$50,F25,$E$11:$E$50)),OR(G25="",SUMIF($A$11:$A$50,G25,AK$11:AK$50)&gt;=SUMIF($A$11:$A$50,G25,$E$11:$E$50)),OR(H25="",SUMIF($A$11:$A$50,H25,AK$11:AK$50)&gt;=SUMIF($A$11:$A$50,H25,$E$11:$E$50))),"ОТКРЫТО","ЗАКРЫТО"))</x:f>
        <x:v>ЗАКРЫТО</x:v>
      </x:c>
      <x:c r="BA25" t="str">
        <x:f>IF(AL25&gt;=E25,"ИЗУЧЕНО",IF(AND(OR(F25="",SUMIF($A$11:$A$50,F25,AL$11:AL$50)&gt;=SUMIF($A$11:$A$50,F25,$E$11:$E$50)),OR(G25="",SUMIF($A$11:$A$50,G25,AL$11:AL$50)&gt;=SUMIF($A$11:$A$50,G25,$E$11:$E$50)),OR(H25="",SUMIF($A$11:$A$50,H25,AL$11:AL$50)&gt;=SUMIF($A$11:$A$50,H25,$E$11:$E$50))),"ОТКРЫТО","ЗАКРЫТО"))</x:f>
        <x:v>ЗАКРЫТО</x:v>
      </x:c>
      <x:c r="BB25" t="str">
        <x:f>IF(AM25&gt;=E25,"ИЗУЧЕНО",IF(AND(OR(F25="",SUMIF($A$11:$A$50,F25,AM$11:AM$50)&gt;=SUMIF($A$11:$A$50,F25,$E$11:$E$50)),OR(G25="",SUMIF($A$11:$A$50,G25,AM$11:AM$50)&gt;=SUMIF($A$11:$A$50,G25,$E$11:$E$50)),OR(H25="",SUMIF($A$11:$A$50,H25,AM$11:AM$50)&gt;=SUMIF($A$11:$A$50,H25,$E$11:$E$50))),"ОТКРЫТО","ЗАКРЫТО"))</x:f>
        <x:v>ЗАКРЫТО</x:v>
      </x:c>
      <x:c r="BC25" t="str">
        <x:f>IF(AN25&gt;=E25,"ИЗУЧЕНО",IF(AND(OR(F25="",SUMIF($A$11:$A$50,F25,AN$11:AN$50)&gt;=SUMIF($A$11:$A$50,F25,$E$11:$E$50)),OR(G25="",SUMIF($A$11:$A$50,G25,AN$11:AN$50)&gt;=SUMIF($A$11:$A$50,G25,$E$11:$E$50)),OR(H25="",SUMIF($A$11:$A$50,H25,AN$11:AN$50)&gt;=SUMIF($A$11:$A$50,H25,$E$11:$E$50))),"ОТКРЫТО","ЗАКРЫТО"))</x:f>
        <x:v>ЗАКРЫТО</x:v>
      </x:c>
      <x:c r="BD25" t="str">
        <x:f>IF(AO25&gt;=E25,"ИЗУЧЕНО",IF(AND(OR(F25="",SUMIF($A$11:$A$50,F25,AO$11:AO$50)&gt;=SUMIF($A$11:$A$50,F25,$E$11:$E$50)),OR(G25="",SUMIF($A$11:$A$50,G25,AO$11:AO$50)&gt;=SUMIF($A$11:$A$50,G25,$E$11:$E$50)),OR(H25="",SUMIF($A$11:$A$50,H25,AO$11:AO$50)&gt;=SUMIF($A$11:$A$50,H25,$E$11:$E$50))),"ОТКРЫТО","ЗАКРЫТО"))</x:f>
        <x:v>ЗАКРЫТО</x:v>
      </x:c>
      <x:c r="BE25" t="str">
        <x:f>IF(AP25&gt;=E25,"ИЗУЧЕНО",IF(AND(OR(F25="",SUMIF($A$11:$A$50,F25,AP$11:AP$50)&gt;=SUMIF($A$11:$A$50,F25,$E$11:$E$50)),OR(G25="",SUMIF($A$11:$A$50,G25,AP$11:AP$50)&gt;=SUMIF($A$11:$A$50,G25,$E$11:$E$50)),OR(H25="",SUMIF($A$11:$A$50,H25,AP$11:AP$50)&gt;=SUMIF($A$11:$A$50,H25,$E$11:$E$50))),"ОТКРЫТО","ЗАКРЫТО"))</x:f>
        <x:v>ЗАКРЫТО</x:v>
      </x:c>
      <x:c r="BF25" t="str">
        <x:f>IF(AQ25&gt;=E25,"ИЗУЧЕНО",IF(AND(OR(F25="",SUMIF($A$11:$A$50,F25,AQ$11:AQ$50)&gt;=SUMIF($A$11:$A$50,F25,$E$11:$E$50)),OR(G25="",SUMIF($A$11:$A$50,G25,AQ$11:AQ$50)&gt;=SUMIF($A$11:$A$50,G25,$E$11:$E$50)),OR(H25="",SUMIF($A$11:$A$50,H25,AQ$11:AQ$50)&gt;=SUMIF($A$11:$A$50,H25,$E$11:$E$50))),"ОТКРЫТО","ЗАКРЫТО"))</x:f>
        <x:v>ЗАКРЫТО</x:v>
      </x:c>
    </x:row>
    <x:row r="26">
      <x:c r="A26" s="42" t="str">
        <x:v>D4</x:v>
      </x:c>
      <x:c r="B26" s="42" t="str">
        <x:v>Данные и знания</x:v>
      </x:c>
      <x:c r="C26" s="42" t="str">
        <x:v>III</x:v>
      </x:c>
      <x:c r="D26" s="42" t="str">
        <x:v>Проверяемые системы поиска и извлечения знаний</x:v>
      </x:c>
      <x:c r="E26" s="42" t="n">
        <x:v>60</x:v>
      </x:c>
      <x:c r="F26" s="42" t="str">
        <x:v>D2</x:v>
      </x:c>
      <x:c r="G26" s="42" t="str">
        <x:v>D3</x:v>
      </x:c>
      <x:c r="H26" s="42"/>
      <x:c r="I26" s="42" t="str">
        <x:v>Доступ моделей к документированным и проверяемым источникам.</x:v>
      </x:c>
      <x:c r="J26" s="42" t="str">
        <x:v>Документационные ресурсы +0,3; Права доступа +0,2; прирост Госуправления +0,05/год</x:v>
      </x:c>
      <x:c r="K26" s="43" t="n">
        <x:f>SUMIF('Ход 2026'!$G$29:$G$38,$A26,'Ход 2026'!$I$29:$I$38)</x:f>
        <x:v>0</x:v>
      </x:c>
      <x:c r="L26" s="43" t="n">
        <x:f>SUMIF('Ход 2027'!$G$29:$G$38,$A26,'Ход 2027'!$I$29:$I$38)</x:f>
        <x:v>0</x:v>
      </x:c>
      <x:c r="M26" s="43" t="n">
        <x:f>SUMIF('Ход 2028'!$G$29:$G$38,$A26,'Ход 2028'!$I$29:$I$38)</x:f>
        <x:v>0</x:v>
      </x:c>
      <x:c r="N26" s="43" t="n">
        <x:f>SUMIF('Ход 2029'!$G$29:$G$38,$A26,'Ход 2029'!$I$29:$I$38)</x:f>
        <x:v>0</x:v>
      </x:c>
      <x:c r="O26" s="43" t="n">
        <x:f>SUMIF('Ход 2030'!$G$29:$G$38,$A26,'Ход 2030'!$I$29:$I$38)</x:f>
        <x:v>0</x:v>
      </x:c>
      <x:c r="P26" s="43" t="n">
        <x:f>SUMIF('Ход 2031'!$G$29:$G$38,$A26,'Ход 2031'!$I$29:$I$38)</x:f>
        <x:v>0</x:v>
      </x:c>
      <x:c r="Q26" s="43" t="n">
        <x:f>SUMIF('Ход 2032'!$G$29:$G$38,$A26,'Ход 2032'!$I$29:$I$38)</x:f>
        <x:v>0</x:v>
      </x:c>
      <x:c r="R26" s="43" t="n">
        <x:f>SUMIF('Ход 2033'!$G$29:$G$38,$A26,'Ход 2033'!$I$29:$I$38)</x:f>
        <x:v>0</x:v>
      </x:c>
      <x:c r="S26" s="43" t="n">
        <x:f>SUMIF('Ход 2034'!$G$29:$G$38,$A26,'Ход 2034'!$I$29:$I$38)</x:f>
        <x:v>0</x:v>
      </x:c>
      <x:c r="T26" s="43" t="n">
        <x:f>SUMIF('Ход 2035'!$G$29:$G$38,$A26,'Ход 2035'!$I$29:$I$38)</x:f>
        <x:v>0</x:v>
      </x:c>
      <x:c r="U26" s="43" t="n">
        <x:f>SUMIF('Ход 2036'!$G$29:$G$38,$A26,'Ход 2036'!$I$29:$I$38)</x:f>
        <x:v>0</x:v>
      </x:c>
      <x:c r="V26" s="43" t="n">
        <x:f>SUMIF('Ход 2037'!$G$29:$G$38,$A26,'Ход 2037'!$I$29:$I$38)</x:f>
        <x:v>0</x:v>
      </x:c>
      <x:c r="W26" s="43" t="n">
        <x:f>SUMIF('Ход 2038'!$G$29:$G$38,$A26,'Ход 2038'!$I$29:$I$38)</x:f>
        <x:v>0</x:v>
      </x:c>
      <x:c r="X26" s="43" t="n">
        <x:f>SUMIF('Ход 2039'!$G$29:$G$38,$A26,'Ход 2039'!$I$29:$I$38)</x:f>
        <x:v>0</x:v>
      </x:c>
      <x:c r="Y26" s="43" t="n">
        <x:f>SUMIF('Ход 2040'!$G$29:$G$38,$A26,'Ход 2040'!$I$29:$I$38)</x:f>
        <x:v>0</x:v>
      </x:c>
      <x:c r="Z26" s="44" t="n">
        <x:f>SUM(K26:Y26)</x:f>
        <x:v>0</x:v>
      </x:c>
      <x:c r="AA26" s="44" t="n">
        <x:f>MAX(0,E26-Z26)</x:f>
        <x:v>60</x:v>
      </x:c>
      <x:c r="AB26" s="42" t="str">
        <x:f>BF26</x:f>
        <x:v>ЗАКРЫТО</x:v>
      </x:c>
      <x:c r="AC26" t="n">
        <x:f>SUM($K26:K26)</x:f>
        <x:v>0</x:v>
      </x:c>
      <x:c r="AD26" t="n">
        <x:f>SUM($K26:L26)</x:f>
        <x:v>0</x:v>
      </x:c>
      <x:c r="AE26" t="n">
        <x:f>SUM($K26:M26)</x:f>
        <x:v>0</x:v>
      </x:c>
      <x:c r="AF26" t="n">
        <x:f>SUM($K26:N26)</x:f>
        <x:v>0</x:v>
      </x:c>
      <x:c r="AG26" t="n">
        <x:f>SUM($K26:O26)</x:f>
        <x:v>0</x:v>
      </x:c>
      <x:c r="AH26" t="n">
        <x:f>SUM($K26:P26)</x:f>
        <x:v>0</x:v>
      </x:c>
      <x:c r="AI26" t="n">
        <x:f>SUM($K26:Q26)</x:f>
        <x:v>0</x:v>
      </x:c>
      <x:c r="AJ26" t="n">
        <x:f>SUM($K26:R26)</x:f>
        <x:v>0</x:v>
      </x:c>
      <x:c r="AK26" t="n">
        <x:f>SUM($K26:S26)</x:f>
        <x:v>0</x:v>
      </x:c>
      <x:c r="AL26" t="n">
        <x:f>SUM($K26:T26)</x:f>
        <x:v>0</x:v>
      </x:c>
      <x:c r="AM26" t="n">
        <x:f>SUM($K26:U26)</x:f>
        <x:v>0</x:v>
      </x:c>
      <x:c r="AN26" t="n">
        <x:f>SUM($K26:V26)</x:f>
        <x:v>0</x:v>
      </x:c>
      <x:c r="AO26" t="n">
        <x:f>SUM($K26:W26)</x:f>
        <x:v>0</x:v>
      </x:c>
      <x:c r="AP26" t="n">
        <x:f>SUM($K26:X26)</x:f>
        <x:v>0</x:v>
      </x:c>
      <x:c r="AQ26" t="n">
        <x:f>SUM($K26:Y26)</x:f>
        <x:v>0</x:v>
      </x:c>
      <x:c r="AR26" t="str">
        <x:f>IF(AC26&gt;=E26,"ИЗУЧЕНО",IF(AND(OR(F26="",SUMIF($A$11:$A$50,F26,AC$11:AC$50)&gt;=SUMIF($A$11:$A$50,F26,$E$11:$E$50)),OR(G26="",SUMIF($A$11:$A$50,G26,AC$11:AC$50)&gt;=SUMIF($A$11:$A$50,G26,$E$11:$E$50)),OR(H26="",SUMIF($A$11:$A$50,H26,AC$11:AC$50)&gt;=SUMIF($A$11:$A$50,H26,$E$11:$E$50))),"ОТКРЫТО","ЗАКРЫТО"))</x:f>
        <x:v>ЗАКРЫТО</x:v>
      </x:c>
      <x:c r="AS26" t="str">
        <x:f>IF(AD26&gt;=E26,"ИЗУЧЕНО",IF(AND(OR(F26="",SUMIF($A$11:$A$50,F26,AD$11:AD$50)&gt;=SUMIF($A$11:$A$50,F26,$E$11:$E$50)),OR(G26="",SUMIF($A$11:$A$50,G26,AD$11:AD$50)&gt;=SUMIF($A$11:$A$50,G26,$E$11:$E$50)),OR(H26="",SUMIF($A$11:$A$50,H26,AD$11:AD$50)&gt;=SUMIF($A$11:$A$50,H26,$E$11:$E$50))),"ОТКРЫТО","ЗАКРЫТО"))</x:f>
        <x:v>ЗАКРЫТО</x:v>
      </x:c>
      <x:c r="AT26" t="str">
        <x:f>IF(AE26&gt;=E26,"ИЗУЧЕНО",IF(AND(OR(F26="",SUMIF($A$11:$A$50,F26,AE$11:AE$50)&gt;=SUMIF($A$11:$A$50,F26,$E$11:$E$50)),OR(G26="",SUMIF($A$11:$A$50,G26,AE$11:AE$50)&gt;=SUMIF($A$11:$A$50,G26,$E$11:$E$50)),OR(H26="",SUMIF($A$11:$A$50,H26,AE$11:AE$50)&gt;=SUMIF($A$11:$A$50,H26,$E$11:$E$50))),"ОТКРЫТО","ЗАКРЫТО"))</x:f>
        <x:v>ЗАКРЫТО</x:v>
      </x:c>
      <x:c r="AU26" t="str">
        <x:f>IF(AF26&gt;=E26,"ИЗУЧЕНО",IF(AND(OR(F26="",SUMIF($A$11:$A$50,F26,AF$11:AF$50)&gt;=SUMIF($A$11:$A$50,F26,$E$11:$E$50)),OR(G26="",SUMIF($A$11:$A$50,G26,AF$11:AF$50)&gt;=SUMIF($A$11:$A$50,G26,$E$11:$E$50)),OR(H26="",SUMIF($A$11:$A$50,H26,AF$11:AF$50)&gt;=SUMIF($A$11:$A$50,H26,$E$11:$E$50))),"ОТКРЫТО","ЗАКРЫТО"))</x:f>
        <x:v>ЗАКРЫТО</x:v>
      </x:c>
      <x:c r="AV26" t="str">
        <x:f>IF(AG26&gt;=E26,"ИЗУЧЕНО",IF(AND(OR(F26="",SUMIF($A$11:$A$50,F26,AG$11:AG$50)&gt;=SUMIF($A$11:$A$50,F26,$E$11:$E$50)),OR(G26="",SUMIF($A$11:$A$50,G26,AG$11:AG$50)&gt;=SUMIF($A$11:$A$50,G26,$E$11:$E$50)),OR(H26="",SUMIF($A$11:$A$50,H26,AG$11:AG$50)&gt;=SUMIF($A$11:$A$50,H26,$E$11:$E$50))),"ОТКРЫТО","ЗАКРЫТО"))</x:f>
        <x:v>ЗАКРЫТО</x:v>
      </x:c>
      <x:c r="AW26" t="str">
        <x:f>IF(AH26&gt;=E26,"ИЗУЧЕНО",IF(AND(OR(F26="",SUMIF($A$11:$A$50,F26,AH$11:AH$50)&gt;=SUMIF($A$11:$A$50,F26,$E$11:$E$50)),OR(G26="",SUMIF($A$11:$A$50,G26,AH$11:AH$50)&gt;=SUMIF($A$11:$A$50,G26,$E$11:$E$50)),OR(H26="",SUMIF($A$11:$A$50,H26,AH$11:AH$50)&gt;=SUMIF($A$11:$A$50,H26,$E$11:$E$50))),"ОТКРЫТО","ЗАКРЫТО"))</x:f>
        <x:v>ЗАКРЫТО</x:v>
      </x:c>
      <x:c r="AX26" t="str">
        <x:f>IF(AI26&gt;=E26,"ИЗУЧЕНО",IF(AND(OR(F26="",SUMIF($A$11:$A$50,F26,AI$11:AI$50)&gt;=SUMIF($A$11:$A$50,F26,$E$11:$E$50)),OR(G26="",SUMIF($A$11:$A$50,G26,AI$11:AI$50)&gt;=SUMIF($A$11:$A$50,G26,$E$11:$E$50)),OR(H26="",SUMIF($A$11:$A$50,H26,AI$11:AI$50)&gt;=SUMIF($A$11:$A$50,H26,$E$11:$E$50))),"ОТКРЫТО","ЗАКРЫТО"))</x:f>
        <x:v>ЗАКРЫТО</x:v>
      </x:c>
      <x:c r="AY26" t="str">
        <x:f>IF(AJ26&gt;=E26,"ИЗУЧЕНО",IF(AND(OR(F26="",SUMIF($A$11:$A$50,F26,AJ$11:AJ$50)&gt;=SUMIF($A$11:$A$50,F26,$E$11:$E$50)),OR(G26="",SUMIF($A$11:$A$50,G26,AJ$11:AJ$50)&gt;=SUMIF($A$11:$A$50,G26,$E$11:$E$50)),OR(H26="",SUMIF($A$11:$A$50,H26,AJ$11:AJ$50)&gt;=SUMIF($A$11:$A$50,H26,$E$11:$E$50))),"ОТКРЫТО","ЗАКРЫТО"))</x:f>
        <x:v>ЗАКРЫТО</x:v>
      </x:c>
      <x:c r="AZ26" t="str">
        <x:f>IF(AK26&gt;=E26,"ИЗУЧЕНО",IF(AND(OR(F26="",SUMIF($A$11:$A$50,F26,AK$11:AK$50)&gt;=SUMIF($A$11:$A$50,F26,$E$11:$E$50)),OR(G26="",SUMIF($A$11:$A$50,G26,AK$11:AK$50)&gt;=SUMIF($A$11:$A$50,G26,$E$11:$E$50)),OR(H26="",SUMIF($A$11:$A$50,H26,AK$11:AK$50)&gt;=SUMIF($A$11:$A$50,H26,$E$11:$E$50))),"ОТКРЫТО","ЗАКРЫТО"))</x:f>
        <x:v>ЗАКРЫТО</x:v>
      </x:c>
      <x:c r="BA26" t="str">
        <x:f>IF(AL26&gt;=E26,"ИЗУЧЕНО",IF(AND(OR(F26="",SUMIF($A$11:$A$50,F26,AL$11:AL$50)&gt;=SUMIF($A$11:$A$50,F26,$E$11:$E$50)),OR(G26="",SUMIF($A$11:$A$50,G26,AL$11:AL$50)&gt;=SUMIF($A$11:$A$50,G26,$E$11:$E$50)),OR(H26="",SUMIF($A$11:$A$50,H26,AL$11:AL$50)&gt;=SUMIF($A$11:$A$50,H26,$E$11:$E$50))),"ОТКРЫТО","ЗАКРЫТО"))</x:f>
        <x:v>ЗАКРЫТО</x:v>
      </x:c>
      <x:c r="BB26" t="str">
        <x:f>IF(AM26&gt;=E26,"ИЗУЧЕНО",IF(AND(OR(F26="",SUMIF($A$11:$A$50,F26,AM$11:AM$50)&gt;=SUMIF($A$11:$A$50,F26,$E$11:$E$50)),OR(G26="",SUMIF($A$11:$A$50,G26,AM$11:AM$50)&gt;=SUMIF($A$11:$A$50,G26,$E$11:$E$50)),OR(H26="",SUMIF($A$11:$A$50,H26,AM$11:AM$50)&gt;=SUMIF($A$11:$A$50,H26,$E$11:$E$50))),"ОТКРЫТО","ЗАКРЫТО"))</x:f>
        <x:v>ЗАКРЫТО</x:v>
      </x:c>
      <x:c r="BC26" t="str">
        <x:f>IF(AN26&gt;=E26,"ИЗУЧЕНО",IF(AND(OR(F26="",SUMIF($A$11:$A$50,F26,AN$11:AN$50)&gt;=SUMIF($A$11:$A$50,F26,$E$11:$E$50)),OR(G26="",SUMIF($A$11:$A$50,G26,AN$11:AN$50)&gt;=SUMIF($A$11:$A$50,G26,$E$11:$E$50)),OR(H26="",SUMIF($A$11:$A$50,H26,AN$11:AN$50)&gt;=SUMIF($A$11:$A$50,H26,$E$11:$E$50))),"ОТКРЫТО","ЗАКРЫТО"))</x:f>
        <x:v>ЗАКРЫТО</x:v>
      </x:c>
      <x:c r="BD26" t="str">
        <x:f>IF(AO26&gt;=E26,"ИЗУЧЕНО",IF(AND(OR(F26="",SUMIF($A$11:$A$50,F26,AO$11:AO$50)&gt;=SUMIF($A$11:$A$50,F26,$E$11:$E$50)),OR(G26="",SUMIF($A$11:$A$50,G26,AO$11:AO$50)&gt;=SUMIF($A$11:$A$50,G26,$E$11:$E$50)),OR(H26="",SUMIF($A$11:$A$50,H26,AO$11:AO$50)&gt;=SUMIF($A$11:$A$50,H26,$E$11:$E$50))),"ОТКРЫТО","ЗАКРЫТО"))</x:f>
        <x:v>ЗАКРЫТО</x:v>
      </x:c>
      <x:c r="BE26" t="str">
        <x:f>IF(AP26&gt;=E26,"ИЗУЧЕНО",IF(AND(OR(F26="",SUMIF($A$11:$A$50,F26,AP$11:AP$50)&gt;=SUMIF($A$11:$A$50,F26,$E$11:$E$50)),OR(G26="",SUMIF($A$11:$A$50,G26,AP$11:AP$50)&gt;=SUMIF($A$11:$A$50,G26,$E$11:$E$50)),OR(H26="",SUMIF($A$11:$A$50,H26,AP$11:AP$50)&gt;=SUMIF($A$11:$A$50,H26,$E$11:$E$50))),"ОТКРЫТО","ЗАКРЫТО"))</x:f>
        <x:v>ЗАКРЫТО</x:v>
      </x:c>
      <x:c r="BF26" t="str">
        <x:f>IF(AQ26&gt;=E26,"ИЗУЧЕНО",IF(AND(OR(F26="",SUMIF($A$11:$A$50,F26,AQ$11:AQ$50)&gt;=SUMIF($A$11:$A$50,F26,$E$11:$E$50)),OR(G26="",SUMIF($A$11:$A$50,G26,AQ$11:AQ$50)&gt;=SUMIF($A$11:$A$50,G26,$E$11:$E$50)),OR(H26="",SUMIF($A$11:$A$50,H26,AQ$11:AQ$50)&gt;=SUMIF($A$11:$A$50,H26,$E$11:$E$50))),"ОТКРЫТО","ЗАКРЫТО"))</x:f>
        <x:v>ЗАКРЫТО</x:v>
      </x:c>
    </x:row>
    <x:row r="27">
      <x:c r="A27" s="42" t="str">
        <x:v>D5</x:v>
      </x:c>
      <x:c r="B27" s="42" t="str">
        <x:v>Данные и знания</x:v>
      </x:c>
      <x:c r="C27" s="42" t="str">
        <x:v>IV</x:v>
      </x:c>
      <x:c r="D27" s="42" t="str">
        <x:v>Национальная машиночитаемая инфраструктура знаний</x:v>
      </x:c>
      <x:c r="E27" s="42" t="n">
        <x:v>95</x:v>
      </x:c>
      <x:c r="F27" s="42" t="str">
        <x:v>D4</x:v>
      </x:c>
      <x:c r="G27" s="42"/>
      <x:c r="H27" s="42"/>
      <x:c r="I27" s="42" t="str">
        <x:v>Связанная система государственных, научных и отраслевых знаний.</x:v>
      </x:c>
      <x:c r="J27" s="42" t="str">
        <x:v>Контекстные ресурсы +0,5; их прирост +0,10/год; защита Аполлона +15%</x:v>
      </x:c>
      <x:c r="K27" s="43" t="n">
        <x:f>SUMIF('Ход 2026'!$G$29:$G$38,$A27,'Ход 2026'!$I$29:$I$38)</x:f>
        <x:v>0</x:v>
      </x:c>
      <x:c r="L27" s="43" t="n">
        <x:f>SUMIF('Ход 2027'!$G$29:$G$38,$A27,'Ход 2027'!$I$29:$I$38)</x:f>
        <x:v>0</x:v>
      </x:c>
      <x:c r="M27" s="43" t="n">
        <x:f>SUMIF('Ход 2028'!$G$29:$G$38,$A27,'Ход 2028'!$I$29:$I$38)</x:f>
        <x:v>0</x:v>
      </x:c>
      <x:c r="N27" s="43" t="n">
        <x:f>SUMIF('Ход 2029'!$G$29:$G$38,$A27,'Ход 2029'!$I$29:$I$38)</x:f>
        <x:v>0</x:v>
      </x:c>
      <x:c r="O27" s="43" t="n">
        <x:f>SUMIF('Ход 2030'!$G$29:$G$38,$A27,'Ход 2030'!$I$29:$I$38)</x:f>
        <x:v>0</x:v>
      </x:c>
      <x:c r="P27" s="43" t="n">
        <x:f>SUMIF('Ход 2031'!$G$29:$G$38,$A27,'Ход 2031'!$I$29:$I$38)</x:f>
        <x:v>0</x:v>
      </x:c>
      <x:c r="Q27" s="43" t="n">
        <x:f>SUMIF('Ход 2032'!$G$29:$G$38,$A27,'Ход 2032'!$I$29:$I$38)</x:f>
        <x:v>0</x:v>
      </x:c>
      <x:c r="R27" s="43" t="n">
        <x:f>SUMIF('Ход 2033'!$G$29:$G$38,$A27,'Ход 2033'!$I$29:$I$38)</x:f>
        <x:v>0</x:v>
      </x:c>
      <x:c r="S27" s="43" t="n">
        <x:f>SUMIF('Ход 2034'!$G$29:$G$38,$A27,'Ход 2034'!$I$29:$I$38)</x:f>
        <x:v>0</x:v>
      </x:c>
      <x:c r="T27" s="43" t="n">
        <x:f>SUMIF('Ход 2035'!$G$29:$G$38,$A27,'Ход 2035'!$I$29:$I$38)</x:f>
        <x:v>0</x:v>
      </x:c>
      <x:c r="U27" s="43" t="n">
        <x:f>SUMIF('Ход 2036'!$G$29:$G$38,$A27,'Ход 2036'!$I$29:$I$38)</x:f>
        <x:v>0</x:v>
      </x:c>
      <x:c r="V27" s="43" t="n">
        <x:f>SUMIF('Ход 2037'!$G$29:$G$38,$A27,'Ход 2037'!$I$29:$I$38)</x:f>
        <x:v>0</x:v>
      </x:c>
      <x:c r="W27" s="43" t="n">
        <x:f>SUMIF('Ход 2038'!$G$29:$G$38,$A27,'Ход 2038'!$I$29:$I$38)</x:f>
        <x:v>0</x:v>
      </x:c>
      <x:c r="X27" s="43" t="n">
        <x:f>SUMIF('Ход 2039'!$G$29:$G$38,$A27,'Ход 2039'!$I$29:$I$38)</x:f>
        <x:v>0</x:v>
      </x:c>
      <x:c r="Y27" s="43" t="n">
        <x:f>SUMIF('Ход 2040'!$G$29:$G$38,$A27,'Ход 2040'!$I$29:$I$38)</x:f>
        <x:v>0</x:v>
      </x:c>
      <x:c r="Z27" s="44" t="n">
        <x:f>SUM(K27:Y27)</x:f>
        <x:v>0</x:v>
      </x:c>
      <x:c r="AA27" s="44" t="n">
        <x:f>MAX(0,E27-Z27)</x:f>
        <x:v>95</x:v>
      </x:c>
      <x:c r="AB27" s="42" t="str">
        <x:f>BF27</x:f>
        <x:v>ЗАКРЫТО</x:v>
      </x:c>
      <x:c r="AC27" t="n">
        <x:f>SUM($K27:K27)</x:f>
        <x:v>0</x:v>
      </x:c>
      <x:c r="AD27" t="n">
        <x:f>SUM($K27:L27)</x:f>
        <x:v>0</x:v>
      </x:c>
      <x:c r="AE27" t="n">
        <x:f>SUM($K27:M27)</x:f>
        <x:v>0</x:v>
      </x:c>
      <x:c r="AF27" t="n">
        <x:f>SUM($K27:N27)</x:f>
        <x:v>0</x:v>
      </x:c>
      <x:c r="AG27" t="n">
        <x:f>SUM($K27:O27)</x:f>
        <x:v>0</x:v>
      </x:c>
      <x:c r="AH27" t="n">
        <x:f>SUM($K27:P27)</x:f>
        <x:v>0</x:v>
      </x:c>
      <x:c r="AI27" t="n">
        <x:f>SUM($K27:Q27)</x:f>
        <x:v>0</x:v>
      </x:c>
      <x:c r="AJ27" t="n">
        <x:f>SUM($K27:R27)</x:f>
        <x:v>0</x:v>
      </x:c>
      <x:c r="AK27" t="n">
        <x:f>SUM($K27:S27)</x:f>
        <x:v>0</x:v>
      </x:c>
      <x:c r="AL27" t="n">
        <x:f>SUM($K27:T27)</x:f>
        <x:v>0</x:v>
      </x:c>
      <x:c r="AM27" t="n">
        <x:f>SUM($K27:U27)</x:f>
        <x:v>0</x:v>
      </x:c>
      <x:c r="AN27" t="n">
        <x:f>SUM($K27:V27)</x:f>
        <x:v>0</x:v>
      </x:c>
      <x:c r="AO27" t="n">
        <x:f>SUM($K27:W27)</x:f>
        <x:v>0</x:v>
      </x:c>
      <x:c r="AP27" t="n">
        <x:f>SUM($K27:X27)</x:f>
        <x:v>0</x:v>
      </x:c>
      <x:c r="AQ27" t="n">
        <x:f>SUM($K27:Y27)</x:f>
        <x:v>0</x:v>
      </x:c>
      <x:c r="AR27" t="str">
        <x:f>IF(AC27&gt;=E27,"ИЗУЧЕНО",IF(AND(OR(F27="",SUMIF($A$11:$A$50,F27,AC$11:AC$50)&gt;=SUMIF($A$11:$A$50,F27,$E$11:$E$50)),OR(G27="",SUMIF($A$11:$A$50,G27,AC$11:AC$50)&gt;=SUMIF($A$11:$A$50,G27,$E$11:$E$50)),OR(H27="",SUMIF($A$11:$A$50,H27,AC$11:AC$50)&gt;=SUMIF($A$11:$A$50,H27,$E$11:$E$50))),"ОТКРЫТО","ЗАКРЫТО"))</x:f>
        <x:v>ЗАКРЫТО</x:v>
      </x:c>
      <x:c r="AS27" t="str">
        <x:f>IF(AD27&gt;=E27,"ИЗУЧЕНО",IF(AND(OR(F27="",SUMIF($A$11:$A$50,F27,AD$11:AD$50)&gt;=SUMIF($A$11:$A$50,F27,$E$11:$E$50)),OR(G27="",SUMIF($A$11:$A$50,G27,AD$11:AD$50)&gt;=SUMIF($A$11:$A$50,G27,$E$11:$E$50)),OR(H27="",SUMIF($A$11:$A$50,H27,AD$11:AD$50)&gt;=SUMIF($A$11:$A$50,H27,$E$11:$E$50))),"ОТКРЫТО","ЗАКРЫТО"))</x:f>
        <x:v>ЗАКРЫТО</x:v>
      </x:c>
      <x:c r="AT27" t="str">
        <x:f>IF(AE27&gt;=E27,"ИЗУЧЕНО",IF(AND(OR(F27="",SUMIF($A$11:$A$50,F27,AE$11:AE$50)&gt;=SUMIF($A$11:$A$50,F27,$E$11:$E$50)),OR(G27="",SUMIF($A$11:$A$50,G27,AE$11:AE$50)&gt;=SUMIF($A$11:$A$50,G27,$E$11:$E$50)),OR(H27="",SUMIF($A$11:$A$50,H27,AE$11:AE$50)&gt;=SUMIF($A$11:$A$50,H27,$E$11:$E$50))),"ОТКРЫТО","ЗАКРЫТО"))</x:f>
        <x:v>ЗАКРЫТО</x:v>
      </x:c>
      <x:c r="AU27" t="str">
        <x:f>IF(AF27&gt;=E27,"ИЗУЧЕНО",IF(AND(OR(F27="",SUMIF($A$11:$A$50,F27,AF$11:AF$50)&gt;=SUMIF($A$11:$A$50,F27,$E$11:$E$50)),OR(G27="",SUMIF($A$11:$A$50,G27,AF$11:AF$50)&gt;=SUMIF($A$11:$A$50,G27,$E$11:$E$50)),OR(H27="",SUMIF($A$11:$A$50,H27,AF$11:AF$50)&gt;=SUMIF($A$11:$A$50,H27,$E$11:$E$50))),"ОТКРЫТО","ЗАКРЫТО"))</x:f>
        <x:v>ЗАКРЫТО</x:v>
      </x:c>
      <x:c r="AV27" t="str">
        <x:f>IF(AG27&gt;=E27,"ИЗУЧЕНО",IF(AND(OR(F27="",SUMIF($A$11:$A$50,F27,AG$11:AG$50)&gt;=SUMIF($A$11:$A$50,F27,$E$11:$E$50)),OR(G27="",SUMIF($A$11:$A$50,G27,AG$11:AG$50)&gt;=SUMIF($A$11:$A$50,G27,$E$11:$E$50)),OR(H27="",SUMIF($A$11:$A$50,H27,AG$11:AG$50)&gt;=SUMIF($A$11:$A$50,H27,$E$11:$E$50))),"ОТКРЫТО","ЗАКРЫТО"))</x:f>
        <x:v>ЗАКРЫТО</x:v>
      </x:c>
      <x:c r="AW27" t="str">
        <x:f>IF(AH27&gt;=E27,"ИЗУЧЕНО",IF(AND(OR(F27="",SUMIF($A$11:$A$50,F27,AH$11:AH$50)&gt;=SUMIF($A$11:$A$50,F27,$E$11:$E$50)),OR(G27="",SUMIF($A$11:$A$50,G27,AH$11:AH$50)&gt;=SUMIF($A$11:$A$50,G27,$E$11:$E$50)),OR(H27="",SUMIF($A$11:$A$50,H27,AH$11:AH$50)&gt;=SUMIF($A$11:$A$50,H27,$E$11:$E$50))),"ОТКРЫТО","ЗАКРЫТО"))</x:f>
        <x:v>ЗАКРЫТО</x:v>
      </x:c>
      <x:c r="AX27" t="str">
        <x:f>IF(AI27&gt;=E27,"ИЗУЧЕНО",IF(AND(OR(F27="",SUMIF($A$11:$A$50,F27,AI$11:AI$50)&gt;=SUMIF($A$11:$A$50,F27,$E$11:$E$50)),OR(G27="",SUMIF($A$11:$A$50,G27,AI$11:AI$50)&gt;=SUMIF($A$11:$A$50,G27,$E$11:$E$50)),OR(H27="",SUMIF($A$11:$A$50,H27,AI$11:AI$50)&gt;=SUMIF($A$11:$A$50,H27,$E$11:$E$50))),"ОТКРЫТО","ЗАКРЫТО"))</x:f>
        <x:v>ЗАКРЫТО</x:v>
      </x:c>
      <x:c r="AY27" t="str">
        <x:f>IF(AJ27&gt;=E27,"ИЗУЧЕНО",IF(AND(OR(F27="",SUMIF($A$11:$A$50,F27,AJ$11:AJ$50)&gt;=SUMIF($A$11:$A$50,F27,$E$11:$E$50)),OR(G27="",SUMIF($A$11:$A$50,G27,AJ$11:AJ$50)&gt;=SUMIF($A$11:$A$50,G27,$E$11:$E$50)),OR(H27="",SUMIF($A$11:$A$50,H27,AJ$11:AJ$50)&gt;=SUMIF($A$11:$A$50,H27,$E$11:$E$50))),"ОТКРЫТО","ЗАКРЫТО"))</x:f>
        <x:v>ЗАКРЫТО</x:v>
      </x:c>
      <x:c r="AZ27" t="str">
        <x:f>IF(AK27&gt;=E27,"ИЗУЧЕНО",IF(AND(OR(F27="",SUMIF($A$11:$A$50,F27,AK$11:AK$50)&gt;=SUMIF($A$11:$A$50,F27,$E$11:$E$50)),OR(G27="",SUMIF($A$11:$A$50,G27,AK$11:AK$50)&gt;=SUMIF($A$11:$A$50,G27,$E$11:$E$50)),OR(H27="",SUMIF($A$11:$A$50,H27,AK$11:AK$50)&gt;=SUMIF($A$11:$A$50,H27,$E$11:$E$50))),"ОТКРЫТО","ЗАКРЫТО"))</x:f>
        <x:v>ЗАКРЫТО</x:v>
      </x:c>
      <x:c r="BA27" t="str">
        <x:f>IF(AL27&gt;=E27,"ИЗУЧЕНО",IF(AND(OR(F27="",SUMIF($A$11:$A$50,F27,AL$11:AL$50)&gt;=SUMIF($A$11:$A$50,F27,$E$11:$E$50)),OR(G27="",SUMIF($A$11:$A$50,G27,AL$11:AL$50)&gt;=SUMIF($A$11:$A$50,G27,$E$11:$E$50)),OR(H27="",SUMIF($A$11:$A$50,H27,AL$11:AL$50)&gt;=SUMIF($A$11:$A$50,H27,$E$11:$E$50))),"ОТКРЫТО","ЗАКРЫТО"))</x:f>
        <x:v>ЗАКРЫТО</x:v>
      </x:c>
      <x:c r="BB27" t="str">
        <x:f>IF(AM27&gt;=E27,"ИЗУЧЕНО",IF(AND(OR(F27="",SUMIF($A$11:$A$50,F27,AM$11:AM$50)&gt;=SUMIF($A$11:$A$50,F27,$E$11:$E$50)),OR(G27="",SUMIF($A$11:$A$50,G27,AM$11:AM$50)&gt;=SUMIF($A$11:$A$50,G27,$E$11:$E$50)),OR(H27="",SUMIF($A$11:$A$50,H27,AM$11:AM$50)&gt;=SUMIF($A$11:$A$50,H27,$E$11:$E$50))),"ОТКРЫТО","ЗАКРЫТО"))</x:f>
        <x:v>ЗАКРЫТО</x:v>
      </x:c>
      <x:c r="BC27" t="str">
        <x:f>IF(AN27&gt;=E27,"ИЗУЧЕНО",IF(AND(OR(F27="",SUMIF($A$11:$A$50,F27,AN$11:AN$50)&gt;=SUMIF($A$11:$A$50,F27,$E$11:$E$50)),OR(G27="",SUMIF($A$11:$A$50,G27,AN$11:AN$50)&gt;=SUMIF($A$11:$A$50,G27,$E$11:$E$50)),OR(H27="",SUMIF($A$11:$A$50,H27,AN$11:AN$50)&gt;=SUMIF($A$11:$A$50,H27,$E$11:$E$50))),"ОТКРЫТО","ЗАКРЫТО"))</x:f>
        <x:v>ЗАКРЫТО</x:v>
      </x:c>
      <x:c r="BD27" t="str">
        <x:f>IF(AO27&gt;=E27,"ИЗУЧЕНО",IF(AND(OR(F27="",SUMIF($A$11:$A$50,F27,AO$11:AO$50)&gt;=SUMIF($A$11:$A$50,F27,$E$11:$E$50)),OR(G27="",SUMIF($A$11:$A$50,G27,AO$11:AO$50)&gt;=SUMIF($A$11:$A$50,G27,$E$11:$E$50)),OR(H27="",SUMIF($A$11:$A$50,H27,AO$11:AO$50)&gt;=SUMIF($A$11:$A$50,H27,$E$11:$E$50))),"ОТКРЫТО","ЗАКРЫТО"))</x:f>
        <x:v>ЗАКРЫТО</x:v>
      </x:c>
      <x:c r="BE27" t="str">
        <x:f>IF(AP27&gt;=E27,"ИЗУЧЕНО",IF(AND(OR(F27="",SUMIF($A$11:$A$50,F27,AP$11:AP$50)&gt;=SUMIF($A$11:$A$50,F27,$E$11:$E$50)),OR(G27="",SUMIF($A$11:$A$50,G27,AP$11:AP$50)&gt;=SUMIF($A$11:$A$50,G27,$E$11:$E$50)),OR(H27="",SUMIF($A$11:$A$50,H27,AP$11:AP$50)&gt;=SUMIF($A$11:$A$50,H27,$E$11:$E$50))),"ОТКРЫТО","ЗАКРЫТО"))</x:f>
        <x:v>ЗАКРЫТО</x:v>
      </x:c>
      <x:c r="BF27" t="str">
        <x:f>IF(AQ27&gt;=E27,"ИЗУЧЕНО",IF(AND(OR(F27="",SUMIF($A$11:$A$50,F27,AQ$11:AQ$50)&gt;=SUMIF($A$11:$A$50,F27,$E$11:$E$50)),OR(G27="",SUMIF($A$11:$A$50,G27,AQ$11:AQ$50)&gt;=SUMIF($A$11:$A$50,G27,$E$11:$E$50)),OR(H27="",SUMIF($A$11:$A$50,H27,AQ$11:AQ$50)&gt;=SUMIF($A$11:$A$50,H27,$E$11:$E$50))),"ОТКРЫТО","ЗАКРЫТО"))</x:f>
        <x:v>ЗАКРЫТО</x:v>
      </x:c>
    </x:row>
    <x:row r="28">
      <x:c r="A28" s="42" t="str">
        <x:v>D6</x:v>
      </x:c>
      <x:c r="B28" s="42" t="str">
        <x:v>Данные и знания</x:v>
      </x:c>
      <x:c r="C28" s="42" t="str">
        <x:v>V</x:v>
      </x:c>
      <x:c r="D28" s="42" t="str">
        <x:v>Автономные экосистемы данных</x:v>
      </x:c>
      <x:c r="E28" s="42" t="n">
        <x:v>140</x:v>
      </x:c>
      <x:c r="F28" s="42" t="str">
        <x:v>D5</x:v>
      </x:c>
      <x:c r="G28" s="42"/>
      <x:c r="H28" s="42"/>
      <x:c r="I28" s="42" t="str">
        <x:v>Автоматическое получение, очистка, разметка, проверка и обновление данных.</x:v>
      </x:c>
      <x:c r="J28" s="42" t="str">
        <x:v>Прирост Исходных данных +0,10/год; Производных +0,15/год; Ресурсов оценки +0,10/год</x:v>
      </x:c>
      <x:c r="K28" s="43" t="n">
        <x:f>SUMIF('Ход 2026'!$G$29:$G$38,$A28,'Ход 2026'!$I$29:$I$38)</x:f>
        <x:v>0</x:v>
      </x:c>
      <x:c r="L28" s="43" t="n">
        <x:f>SUMIF('Ход 2027'!$G$29:$G$38,$A28,'Ход 2027'!$I$29:$I$38)</x:f>
        <x:v>0</x:v>
      </x:c>
      <x:c r="M28" s="43" t="n">
        <x:f>SUMIF('Ход 2028'!$G$29:$G$38,$A28,'Ход 2028'!$I$29:$I$38)</x:f>
        <x:v>0</x:v>
      </x:c>
      <x:c r="N28" s="43" t="n">
        <x:f>SUMIF('Ход 2029'!$G$29:$G$38,$A28,'Ход 2029'!$I$29:$I$38)</x:f>
        <x:v>0</x:v>
      </x:c>
      <x:c r="O28" s="43" t="n">
        <x:f>SUMIF('Ход 2030'!$G$29:$G$38,$A28,'Ход 2030'!$I$29:$I$38)</x:f>
        <x:v>0</x:v>
      </x:c>
      <x:c r="P28" s="43" t="n">
        <x:f>SUMIF('Ход 2031'!$G$29:$G$38,$A28,'Ход 2031'!$I$29:$I$38)</x:f>
        <x:v>0</x:v>
      </x:c>
      <x:c r="Q28" s="43" t="n">
        <x:f>SUMIF('Ход 2032'!$G$29:$G$38,$A28,'Ход 2032'!$I$29:$I$38)</x:f>
        <x:v>0</x:v>
      </x:c>
      <x:c r="R28" s="43" t="n">
        <x:f>SUMIF('Ход 2033'!$G$29:$G$38,$A28,'Ход 2033'!$I$29:$I$38)</x:f>
        <x:v>0</x:v>
      </x:c>
      <x:c r="S28" s="43" t="n">
        <x:f>SUMIF('Ход 2034'!$G$29:$G$38,$A28,'Ход 2034'!$I$29:$I$38)</x:f>
        <x:v>0</x:v>
      </x:c>
      <x:c r="T28" s="43" t="n">
        <x:f>SUMIF('Ход 2035'!$G$29:$G$38,$A28,'Ход 2035'!$I$29:$I$38)</x:f>
        <x:v>0</x:v>
      </x:c>
      <x:c r="U28" s="43" t="n">
        <x:f>SUMIF('Ход 2036'!$G$29:$G$38,$A28,'Ход 2036'!$I$29:$I$38)</x:f>
        <x:v>0</x:v>
      </x:c>
      <x:c r="V28" s="43" t="n">
        <x:f>SUMIF('Ход 2037'!$G$29:$G$38,$A28,'Ход 2037'!$I$29:$I$38)</x:f>
        <x:v>0</x:v>
      </x:c>
      <x:c r="W28" s="43" t="n">
        <x:f>SUMIF('Ход 2038'!$G$29:$G$38,$A28,'Ход 2038'!$I$29:$I$38)</x:f>
        <x:v>0</x:v>
      </x:c>
      <x:c r="X28" s="43" t="n">
        <x:f>SUMIF('Ход 2039'!$G$29:$G$38,$A28,'Ход 2039'!$I$29:$I$38)</x:f>
        <x:v>0</x:v>
      </x:c>
      <x:c r="Y28" s="43" t="n">
        <x:f>SUMIF('Ход 2040'!$G$29:$G$38,$A28,'Ход 2040'!$I$29:$I$38)</x:f>
        <x:v>0</x:v>
      </x:c>
      <x:c r="Z28" s="44" t="n">
        <x:f>SUM(K28:Y28)</x:f>
        <x:v>0</x:v>
      </x:c>
      <x:c r="AA28" s="44" t="n">
        <x:f>MAX(0,E28-Z28)</x:f>
        <x:v>140</x:v>
      </x:c>
      <x:c r="AB28" s="42" t="str">
        <x:f>BF28</x:f>
        <x:v>ЗАКРЫТО</x:v>
      </x:c>
      <x:c r="AC28" t="n">
        <x:f>SUM($K28:K28)</x:f>
        <x:v>0</x:v>
      </x:c>
      <x:c r="AD28" t="n">
        <x:f>SUM($K28:L28)</x:f>
        <x:v>0</x:v>
      </x:c>
      <x:c r="AE28" t="n">
        <x:f>SUM($K28:M28)</x:f>
        <x:v>0</x:v>
      </x:c>
      <x:c r="AF28" t="n">
        <x:f>SUM($K28:N28)</x:f>
        <x:v>0</x:v>
      </x:c>
      <x:c r="AG28" t="n">
        <x:f>SUM($K28:O28)</x:f>
        <x:v>0</x:v>
      </x:c>
      <x:c r="AH28" t="n">
        <x:f>SUM($K28:P28)</x:f>
        <x:v>0</x:v>
      </x:c>
      <x:c r="AI28" t="n">
        <x:f>SUM($K28:Q28)</x:f>
        <x:v>0</x:v>
      </x:c>
      <x:c r="AJ28" t="n">
        <x:f>SUM($K28:R28)</x:f>
        <x:v>0</x:v>
      </x:c>
      <x:c r="AK28" t="n">
        <x:f>SUM($K28:S28)</x:f>
        <x:v>0</x:v>
      </x:c>
      <x:c r="AL28" t="n">
        <x:f>SUM($K28:T28)</x:f>
        <x:v>0</x:v>
      </x:c>
      <x:c r="AM28" t="n">
        <x:f>SUM($K28:U28)</x:f>
        <x:v>0</x:v>
      </x:c>
      <x:c r="AN28" t="n">
        <x:f>SUM($K28:V28)</x:f>
        <x:v>0</x:v>
      </x:c>
      <x:c r="AO28" t="n">
        <x:f>SUM($K28:W28)</x:f>
        <x:v>0</x:v>
      </x:c>
      <x:c r="AP28" t="n">
        <x:f>SUM($K28:X28)</x:f>
        <x:v>0</x:v>
      </x:c>
      <x:c r="AQ28" t="n">
        <x:f>SUM($K28:Y28)</x:f>
        <x:v>0</x:v>
      </x:c>
      <x:c r="AR28" t="str">
        <x:f>IF(AC28&gt;=E28,"ИЗУЧЕНО",IF(AND(OR(F28="",SUMIF($A$11:$A$50,F28,AC$11:AC$50)&gt;=SUMIF($A$11:$A$50,F28,$E$11:$E$50)),OR(G28="",SUMIF($A$11:$A$50,G28,AC$11:AC$50)&gt;=SUMIF($A$11:$A$50,G28,$E$11:$E$50)),OR(H28="",SUMIF($A$11:$A$50,H28,AC$11:AC$50)&gt;=SUMIF($A$11:$A$50,H28,$E$11:$E$50))),"ОТКРЫТО","ЗАКРЫТО"))</x:f>
        <x:v>ЗАКРЫТО</x:v>
      </x:c>
      <x:c r="AS28" t="str">
        <x:f>IF(AD28&gt;=E28,"ИЗУЧЕНО",IF(AND(OR(F28="",SUMIF($A$11:$A$50,F28,AD$11:AD$50)&gt;=SUMIF($A$11:$A$50,F28,$E$11:$E$50)),OR(G28="",SUMIF($A$11:$A$50,G28,AD$11:AD$50)&gt;=SUMIF($A$11:$A$50,G28,$E$11:$E$50)),OR(H28="",SUMIF($A$11:$A$50,H28,AD$11:AD$50)&gt;=SUMIF($A$11:$A$50,H28,$E$11:$E$50))),"ОТКРЫТО","ЗАКРЫТО"))</x:f>
        <x:v>ЗАКРЫТО</x:v>
      </x:c>
      <x:c r="AT28" t="str">
        <x:f>IF(AE28&gt;=E28,"ИЗУЧЕНО",IF(AND(OR(F28="",SUMIF($A$11:$A$50,F28,AE$11:AE$50)&gt;=SUMIF($A$11:$A$50,F28,$E$11:$E$50)),OR(G28="",SUMIF($A$11:$A$50,G28,AE$11:AE$50)&gt;=SUMIF($A$11:$A$50,G28,$E$11:$E$50)),OR(H28="",SUMIF($A$11:$A$50,H28,AE$11:AE$50)&gt;=SUMIF($A$11:$A$50,H28,$E$11:$E$50))),"ОТКРЫТО","ЗАКРЫТО"))</x:f>
        <x:v>ЗАКРЫТО</x:v>
      </x:c>
      <x:c r="AU28" t="str">
        <x:f>IF(AF28&gt;=E28,"ИЗУЧЕНО",IF(AND(OR(F28="",SUMIF($A$11:$A$50,F28,AF$11:AF$50)&gt;=SUMIF($A$11:$A$50,F28,$E$11:$E$50)),OR(G28="",SUMIF($A$11:$A$50,G28,AF$11:AF$50)&gt;=SUMIF($A$11:$A$50,G28,$E$11:$E$50)),OR(H28="",SUMIF($A$11:$A$50,H28,AF$11:AF$50)&gt;=SUMIF($A$11:$A$50,H28,$E$11:$E$50))),"ОТКРЫТО","ЗАКРЫТО"))</x:f>
        <x:v>ЗАКРЫТО</x:v>
      </x:c>
      <x:c r="AV28" t="str">
        <x:f>IF(AG28&gt;=E28,"ИЗУЧЕНО",IF(AND(OR(F28="",SUMIF($A$11:$A$50,F28,AG$11:AG$50)&gt;=SUMIF($A$11:$A$50,F28,$E$11:$E$50)),OR(G28="",SUMIF($A$11:$A$50,G28,AG$11:AG$50)&gt;=SUMIF($A$11:$A$50,G28,$E$11:$E$50)),OR(H28="",SUMIF($A$11:$A$50,H28,AG$11:AG$50)&gt;=SUMIF($A$11:$A$50,H28,$E$11:$E$50))),"ОТКРЫТО","ЗАКРЫТО"))</x:f>
        <x:v>ЗАКРЫТО</x:v>
      </x:c>
      <x:c r="AW28" t="str">
        <x:f>IF(AH28&gt;=E28,"ИЗУЧЕНО",IF(AND(OR(F28="",SUMIF($A$11:$A$50,F28,AH$11:AH$50)&gt;=SUMIF($A$11:$A$50,F28,$E$11:$E$50)),OR(G28="",SUMIF($A$11:$A$50,G28,AH$11:AH$50)&gt;=SUMIF($A$11:$A$50,G28,$E$11:$E$50)),OR(H28="",SUMIF($A$11:$A$50,H28,AH$11:AH$50)&gt;=SUMIF($A$11:$A$50,H28,$E$11:$E$50))),"ОТКРЫТО","ЗАКРЫТО"))</x:f>
        <x:v>ЗАКРЫТО</x:v>
      </x:c>
      <x:c r="AX28" t="str">
        <x:f>IF(AI28&gt;=E28,"ИЗУЧЕНО",IF(AND(OR(F28="",SUMIF($A$11:$A$50,F28,AI$11:AI$50)&gt;=SUMIF($A$11:$A$50,F28,$E$11:$E$50)),OR(G28="",SUMIF($A$11:$A$50,G28,AI$11:AI$50)&gt;=SUMIF($A$11:$A$50,G28,$E$11:$E$50)),OR(H28="",SUMIF($A$11:$A$50,H28,AI$11:AI$50)&gt;=SUMIF($A$11:$A$50,H28,$E$11:$E$50))),"ОТКРЫТО","ЗАКРЫТО"))</x:f>
        <x:v>ЗАКРЫТО</x:v>
      </x:c>
      <x:c r="AY28" t="str">
        <x:f>IF(AJ28&gt;=E28,"ИЗУЧЕНО",IF(AND(OR(F28="",SUMIF($A$11:$A$50,F28,AJ$11:AJ$50)&gt;=SUMIF($A$11:$A$50,F28,$E$11:$E$50)),OR(G28="",SUMIF($A$11:$A$50,G28,AJ$11:AJ$50)&gt;=SUMIF($A$11:$A$50,G28,$E$11:$E$50)),OR(H28="",SUMIF($A$11:$A$50,H28,AJ$11:AJ$50)&gt;=SUMIF($A$11:$A$50,H28,$E$11:$E$50))),"ОТКРЫТО","ЗАКРЫТО"))</x:f>
        <x:v>ЗАКРЫТО</x:v>
      </x:c>
      <x:c r="AZ28" t="str">
        <x:f>IF(AK28&gt;=E28,"ИЗУЧЕНО",IF(AND(OR(F28="",SUMIF($A$11:$A$50,F28,AK$11:AK$50)&gt;=SUMIF($A$11:$A$50,F28,$E$11:$E$50)),OR(G28="",SUMIF($A$11:$A$50,G28,AK$11:AK$50)&gt;=SUMIF($A$11:$A$50,G28,$E$11:$E$50)),OR(H28="",SUMIF($A$11:$A$50,H28,AK$11:AK$50)&gt;=SUMIF($A$11:$A$50,H28,$E$11:$E$50))),"ОТКРЫТО","ЗАКРЫТО"))</x:f>
        <x:v>ЗАКРЫТО</x:v>
      </x:c>
      <x:c r="BA28" t="str">
        <x:f>IF(AL28&gt;=E28,"ИЗУЧЕНО",IF(AND(OR(F28="",SUMIF($A$11:$A$50,F28,AL$11:AL$50)&gt;=SUMIF($A$11:$A$50,F28,$E$11:$E$50)),OR(G28="",SUMIF($A$11:$A$50,G28,AL$11:AL$50)&gt;=SUMIF($A$11:$A$50,G28,$E$11:$E$50)),OR(H28="",SUMIF($A$11:$A$50,H28,AL$11:AL$50)&gt;=SUMIF($A$11:$A$50,H28,$E$11:$E$50))),"ОТКРЫТО","ЗАКРЫТО"))</x:f>
        <x:v>ЗАКРЫТО</x:v>
      </x:c>
      <x:c r="BB28" t="str">
        <x:f>IF(AM28&gt;=E28,"ИЗУЧЕНО",IF(AND(OR(F28="",SUMIF($A$11:$A$50,F28,AM$11:AM$50)&gt;=SUMIF($A$11:$A$50,F28,$E$11:$E$50)),OR(G28="",SUMIF($A$11:$A$50,G28,AM$11:AM$50)&gt;=SUMIF($A$11:$A$50,G28,$E$11:$E$50)),OR(H28="",SUMIF($A$11:$A$50,H28,AM$11:AM$50)&gt;=SUMIF($A$11:$A$50,H28,$E$11:$E$50))),"ОТКРЫТО","ЗАКРЫТО"))</x:f>
        <x:v>ЗАКРЫТО</x:v>
      </x:c>
      <x:c r="BC28" t="str">
        <x:f>IF(AN28&gt;=E28,"ИЗУЧЕНО",IF(AND(OR(F28="",SUMIF($A$11:$A$50,F28,AN$11:AN$50)&gt;=SUMIF($A$11:$A$50,F28,$E$11:$E$50)),OR(G28="",SUMIF($A$11:$A$50,G28,AN$11:AN$50)&gt;=SUMIF($A$11:$A$50,G28,$E$11:$E$50)),OR(H28="",SUMIF($A$11:$A$50,H28,AN$11:AN$50)&gt;=SUMIF($A$11:$A$50,H28,$E$11:$E$50))),"ОТКРЫТО","ЗАКРЫТО"))</x:f>
        <x:v>ЗАКРЫТО</x:v>
      </x:c>
      <x:c r="BD28" t="str">
        <x:f>IF(AO28&gt;=E28,"ИЗУЧЕНО",IF(AND(OR(F28="",SUMIF($A$11:$A$50,F28,AO$11:AO$50)&gt;=SUMIF($A$11:$A$50,F28,$E$11:$E$50)),OR(G28="",SUMIF($A$11:$A$50,G28,AO$11:AO$50)&gt;=SUMIF($A$11:$A$50,G28,$E$11:$E$50)),OR(H28="",SUMIF($A$11:$A$50,H28,AO$11:AO$50)&gt;=SUMIF($A$11:$A$50,H28,$E$11:$E$50))),"ОТКРЫТО","ЗАКРЫТО"))</x:f>
        <x:v>ЗАКРЫТО</x:v>
      </x:c>
      <x:c r="BE28" t="str">
        <x:f>IF(AP28&gt;=E28,"ИЗУЧЕНО",IF(AND(OR(F28="",SUMIF($A$11:$A$50,F28,AP$11:AP$50)&gt;=SUMIF($A$11:$A$50,F28,$E$11:$E$50)),OR(G28="",SUMIF($A$11:$A$50,G28,AP$11:AP$50)&gt;=SUMIF($A$11:$A$50,G28,$E$11:$E$50)),OR(H28="",SUMIF($A$11:$A$50,H28,AP$11:AP$50)&gt;=SUMIF($A$11:$A$50,H28,$E$11:$E$50))),"ОТКРЫТО","ЗАКРЫТО"))</x:f>
        <x:v>ЗАКРЫТО</x:v>
      </x:c>
      <x:c r="BF28" t="str">
        <x:f>IF(AQ28&gt;=E28,"ИЗУЧЕНО",IF(AND(OR(F28="",SUMIF($A$11:$A$50,F28,AQ$11:AQ$50)&gt;=SUMIF($A$11:$A$50,F28,$E$11:$E$50)),OR(G28="",SUMIF($A$11:$A$50,G28,AQ$11:AQ$50)&gt;=SUMIF($A$11:$A$50,G28,$E$11:$E$50)),OR(H28="",SUMIF($A$11:$A$50,H28,AQ$11:AQ$50)&gt;=SUMIF($A$11:$A$50,H28,$E$11:$E$50))),"ОТКРЫТО","ЗАКРЫТО"))</x:f>
        <x:v>ЗАКРЫТО</x:v>
      </x:c>
    </x:row>
    <x:row r="29">
      <x:c r="A29" s="42" t="str">
        <x:v>A1</x:v>
      </x:c>
      <x:c r="B29" s="42" t="str">
        <x:v>Агенты и автономные системы</x:v>
      </x:c>
      <x:c r="C29" s="42" t="str">
        <x:v>I</x:v>
      </x:c>
      <x:c r="D29" s="42" t="str">
        <x:v>ИИ-копилоты с использованием инструментов</x:v>
      </x:c>
      <x:c r="E29" s="42" t="n">
        <x:v>20</x:v>
      </x:c>
      <x:c r="F29" s="42"/>
      <x:c r="G29" s="42"/>
      <x:c r="H29" s="42"/>
      <x:c r="I29" s="42" t="str">
        <x:v>ИИ работает с программами, поиском и информационными системами.</x:v>
      </x:c>
      <x:c r="J29" s="42" t="str">
        <x:v>Прирост Управления +0,05/год; прирост Экономики +0,05/год</x:v>
      </x:c>
      <x:c r="K29" s="43" t="n">
        <x:f>SUMIF('Ход 2026'!$G$29:$G$38,$A29,'Ход 2026'!$I$29:$I$38)</x:f>
        <x:v>0</x:v>
      </x:c>
      <x:c r="L29" s="43" t="n">
        <x:f>SUMIF('Ход 2027'!$G$29:$G$38,$A29,'Ход 2027'!$I$29:$I$38)</x:f>
        <x:v>0</x:v>
      </x:c>
      <x:c r="M29" s="43" t="n">
        <x:f>SUMIF('Ход 2028'!$G$29:$G$38,$A29,'Ход 2028'!$I$29:$I$38)</x:f>
        <x:v>0</x:v>
      </x:c>
      <x:c r="N29" s="43" t="n">
        <x:f>SUMIF('Ход 2029'!$G$29:$G$38,$A29,'Ход 2029'!$I$29:$I$38)</x:f>
        <x:v>0</x:v>
      </x:c>
      <x:c r="O29" s="43" t="n">
        <x:f>SUMIF('Ход 2030'!$G$29:$G$38,$A29,'Ход 2030'!$I$29:$I$38)</x:f>
        <x:v>0</x:v>
      </x:c>
      <x:c r="P29" s="43" t="n">
        <x:f>SUMIF('Ход 2031'!$G$29:$G$38,$A29,'Ход 2031'!$I$29:$I$38)</x:f>
        <x:v>0</x:v>
      </x:c>
      <x:c r="Q29" s="43" t="n">
        <x:f>SUMIF('Ход 2032'!$G$29:$G$38,$A29,'Ход 2032'!$I$29:$I$38)</x:f>
        <x:v>0</x:v>
      </x:c>
      <x:c r="R29" s="43" t="n">
        <x:f>SUMIF('Ход 2033'!$G$29:$G$38,$A29,'Ход 2033'!$I$29:$I$38)</x:f>
        <x:v>0</x:v>
      </x:c>
      <x:c r="S29" s="43" t="n">
        <x:f>SUMIF('Ход 2034'!$G$29:$G$38,$A29,'Ход 2034'!$I$29:$I$38)</x:f>
        <x:v>0</x:v>
      </x:c>
      <x:c r="T29" s="43" t="n">
        <x:f>SUMIF('Ход 2035'!$G$29:$G$38,$A29,'Ход 2035'!$I$29:$I$38)</x:f>
        <x:v>0</x:v>
      </x:c>
      <x:c r="U29" s="43" t="n">
        <x:f>SUMIF('Ход 2036'!$G$29:$G$38,$A29,'Ход 2036'!$I$29:$I$38)</x:f>
        <x:v>0</x:v>
      </x:c>
      <x:c r="V29" s="43" t="n">
        <x:f>SUMIF('Ход 2037'!$G$29:$G$38,$A29,'Ход 2037'!$I$29:$I$38)</x:f>
        <x:v>0</x:v>
      </x:c>
      <x:c r="W29" s="43" t="n">
        <x:f>SUMIF('Ход 2038'!$G$29:$G$38,$A29,'Ход 2038'!$I$29:$I$38)</x:f>
        <x:v>0</x:v>
      </x:c>
      <x:c r="X29" s="43" t="n">
        <x:f>SUMIF('Ход 2039'!$G$29:$G$38,$A29,'Ход 2039'!$I$29:$I$38)</x:f>
        <x:v>0</x:v>
      </x:c>
      <x:c r="Y29" s="43" t="n">
        <x:f>SUMIF('Ход 2040'!$G$29:$G$38,$A29,'Ход 2040'!$I$29:$I$38)</x:f>
        <x:v>0</x:v>
      </x:c>
      <x:c r="Z29" s="44" t="n">
        <x:f>SUM(K29:Y29)</x:f>
        <x:v>0</x:v>
      </x:c>
      <x:c r="AA29" s="44" t="n">
        <x:f>MAX(0,E29-Z29)</x:f>
        <x:v>20</x:v>
      </x:c>
      <x:c r="AB29" s="42" t="str">
        <x:f>BF29</x:f>
        <x:v>ОТКРЫТО</x:v>
      </x:c>
      <x:c r="AC29" t="n">
        <x:f>SUM($K29:K29)</x:f>
        <x:v>0</x:v>
      </x:c>
      <x:c r="AD29" t="n">
        <x:f>SUM($K29:L29)</x:f>
        <x:v>0</x:v>
      </x:c>
      <x:c r="AE29" t="n">
        <x:f>SUM($K29:M29)</x:f>
        <x:v>0</x:v>
      </x:c>
      <x:c r="AF29" t="n">
        <x:f>SUM($K29:N29)</x:f>
        <x:v>0</x:v>
      </x:c>
      <x:c r="AG29" t="n">
        <x:f>SUM($K29:O29)</x:f>
        <x:v>0</x:v>
      </x:c>
      <x:c r="AH29" t="n">
        <x:f>SUM($K29:P29)</x:f>
        <x:v>0</x:v>
      </x:c>
      <x:c r="AI29" t="n">
        <x:f>SUM($K29:Q29)</x:f>
        <x:v>0</x:v>
      </x:c>
      <x:c r="AJ29" t="n">
        <x:f>SUM($K29:R29)</x:f>
        <x:v>0</x:v>
      </x:c>
      <x:c r="AK29" t="n">
        <x:f>SUM($K29:S29)</x:f>
        <x:v>0</x:v>
      </x:c>
      <x:c r="AL29" t="n">
        <x:f>SUM($K29:T29)</x:f>
        <x:v>0</x:v>
      </x:c>
      <x:c r="AM29" t="n">
        <x:f>SUM($K29:U29)</x:f>
        <x:v>0</x:v>
      </x:c>
      <x:c r="AN29" t="n">
        <x:f>SUM($K29:V29)</x:f>
        <x:v>0</x:v>
      </x:c>
      <x:c r="AO29" t="n">
        <x:f>SUM($K29:W29)</x:f>
        <x:v>0</x:v>
      </x:c>
      <x:c r="AP29" t="n">
        <x:f>SUM($K29:X29)</x:f>
        <x:v>0</x:v>
      </x:c>
      <x:c r="AQ29" t="n">
        <x:f>SUM($K29:Y29)</x:f>
        <x:v>0</x:v>
      </x:c>
      <x:c r="AR29" t="str">
        <x:f>IF(AC29&gt;=E29,"ИЗУЧЕНО",IF(AND(OR(F29="",SUMIF($A$11:$A$50,F29,AC$11:AC$50)&gt;=SUMIF($A$11:$A$50,F29,$E$11:$E$50)),OR(G29="",SUMIF($A$11:$A$50,G29,AC$11:AC$50)&gt;=SUMIF($A$11:$A$50,G29,$E$11:$E$50)),OR(H29="",SUMIF($A$11:$A$50,H29,AC$11:AC$50)&gt;=SUMIF($A$11:$A$50,H29,$E$11:$E$50))),"ОТКРЫТО","ЗАКРЫТО"))</x:f>
        <x:v>ОТКРЫТО</x:v>
      </x:c>
      <x:c r="AS29" t="str">
        <x:f>IF(AD29&gt;=E29,"ИЗУЧЕНО",IF(AND(OR(F29="",SUMIF($A$11:$A$50,F29,AD$11:AD$50)&gt;=SUMIF($A$11:$A$50,F29,$E$11:$E$50)),OR(G29="",SUMIF($A$11:$A$50,G29,AD$11:AD$50)&gt;=SUMIF($A$11:$A$50,G29,$E$11:$E$50)),OR(H29="",SUMIF($A$11:$A$50,H29,AD$11:AD$50)&gt;=SUMIF($A$11:$A$50,H29,$E$11:$E$50))),"ОТКРЫТО","ЗАКРЫТО"))</x:f>
        <x:v>ОТКРЫТО</x:v>
      </x:c>
      <x:c r="AT29" t="str">
        <x:f>IF(AE29&gt;=E29,"ИЗУЧЕНО",IF(AND(OR(F29="",SUMIF($A$11:$A$50,F29,AE$11:AE$50)&gt;=SUMIF($A$11:$A$50,F29,$E$11:$E$50)),OR(G29="",SUMIF($A$11:$A$50,G29,AE$11:AE$50)&gt;=SUMIF($A$11:$A$50,G29,$E$11:$E$50)),OR(H29="",SUMIF($A$11:$A$50,H29,AE$11:AE$50)&gt;=SUMIF($A$11:$A$50,H29,$E$11:$E$50))),"ОТКРЫТО","ЗАКРЫТО"))</x:f>
        <x:v>ОТКРЫТО</x:v>
      </x:c>
      <x:c r="AU29" t="str">
        <x:f>IF(AF29&gt;=E29,"ИЗУЧЕНО",IF(AND(OR(F29="",SUMIF($A$11:$A$50,F29,AF$11:AF$50)&gt;=SUMIF($A$11:$A$50,F29,$E$11:$E$50)),OR(G29="",SUMIF($A$11:$A$50,G29,AF$11:AF$50)&gt;=SUMIF($A$11:$A$50,G29,$E$11:$E$50)),OR(H29="",SUMIF($A$11:$A$50,H29,AF$11:AF$50)&gt;=SUMIF($A$11:$A$50,H29,$E$11:$E$50))),"ОТКРЫТО","ЗАКРЫТО"))</x:f>
        <x:v>ОТКРЫТО</x:v>
      </x:c>
      <x:c r="AV29" t="str">
        <x:f>IF(AG29&gt;=E29,"ИЗУЧЕНО",IF(AND(OR(F29="",SUMIF($A$11:$A$50,F29,AG$11:AG$50)&gt;=SUMIF($A$11:$A$50,F29,$E$11:$E$50)),OR(G29="",SUMIF($A$11:$A$50,G29,AG$11:AG$50)&gt;=SUMIF($A$11:$A$50,G29,$E$11:$E$50)),OR(H29="",SUMIF($A$11:$A$50,H29,AG$11:AG$50)&gt;=SUMIF($A$11:$A$50,H29,$E$11:$E$50))),"ОТКРЫТО","ЗАКРЫТО"))</x:f>
        <x:v>ОТКРЫТО</x:v>
      </x:c>
      <x:c r="AW29" t="str">
        <x:f>IF(AH29&gt;=E29,"ИЗУЧЕНО",IF(AND(OR(F29="",SUMIF($A$11:$A$50,F29,AH$11:AH$50)&gt;=SUMIF($A$11:$A$50,F29,$E$11:$E$50)),OR(G29="",SUMIF($A$11:$A$50,G29,AH$11:AH$50)&gt;=SUMIF($A$11:$A$50,G29,$E$11:$E$50)),OR(H29="",SUMIF($A$11:$A$50,H29,AH$11:AH$50)&gt;=SUMIF($A$11:$A$50,H29,$E$11:$E$50))),"ОТКРЫТО","ЗАКРЫТО"))</x:f>
        <x:v>ОТКРЫТО</x:v>
      </x:c>
      <x:c r="AX29" t="str">
        <x:f>IF(AI29&gt;=E29,"ИЗУЧЕНО",IF(AND(OR(F29="",SUMIF($A$11:$A$50,F29,AI$11:AI$50)&gt;=SUMIF($A$11:$A$50,F29,$E$11:$E$50)),OR(G29="",SUMIF($A$11:$A$50,G29,AI$11:AI$50)&gt;=SUMIF($A$11:$A$50,G29,$E$11:$E$50)),OR(H29="",SUMIF($A$11:$A$50,H29,AI$11:AI$50)&gt;=SUMIF($A$11:$A$50,H29,$E$11:$E$50))),"ОТКРЫТО","ЗАКРЫТО"))</x:f>
        <x:v>ОТКРЫТО</x:v>
      </x:c>
      <x:c r="AY29" t="str">
        <x:f>IF(AJ29&gt;=E29,"ИЗУЧЕНО",IF(AND(OR(F29="",SUMIF($A$11:$A$50,F29,AJ$11:AJ$50)&gt;=SUMIF($A$11:$A$50,F29,$E$11:$E$50)),OR(G29="",SUMIF($A$11:$A$50,G29,AJ$11:AJ$50)&gt;=SUMIF($A$11:$A$50,G29,$E$11:$E$50)),OR(H29="",SUMIF($A$11:$A$50,H29,AJ$11:AJ$50)&gt;=SUMIF($A$11:$A$50,H29,$E$11:$E$50))),"ОТКРЫТО","ЗАКРЫТО"))</x:f>
        <x:v>ОТКРЫТО</x:v>
      </x:c>
      <x:c r="AZ29" t="str">
        <x:f>IF(AK29&gt;=E29,"ИЗУЧЕНО",IF(AND(OR(F29="",SUMIF($A$11:$A$50,F29,AK$11:AK$50)&gt;=SUMIF($A$11:$A$50,F29,$E$11:$E$50)),OR(G29="",SUMIF($A$11:$A$50,G29,AK$11:AK$50)&gt;=SUMIF($A$11:$A$50,G29,$E$11:$E$50)),OR(H29="",SUMIF($A$11:$A$50,H29,AK$11:AK$50)&gt;=SUMIF($A$11:$A$50,H29,$E$11:$E$50))),"ОТКРЫТО","ЗАКРЫТО"))</x:f>
        <x:v>ОТКРЫТО</x:v>
      </x:c>
      <x:c r="BA29" t="str">
        <x:f>IF(AL29&gt;=E29,"ИЗУЧЕНО",IF(AND(OR(F29="",SUMIF($A$11:$A$50,F29,AL$11:AL$50)&gt;=SUMIF($A$11:$A$50,F29,$E$11:$E$50)),OR(G29="",SUMIF($A$11:$A$50,G29,AL$11:AL$50)&gt;=SUMIF($A$11:$A$50,G29,$E$11:$E$50)),OR(H29="",SUMIF($A$11:$A$50,H29,AL$11:AL$50)&gt;=SUMIF($A$11:$A$50,H29,$E$11:$E$50))),"ОТКРЫТО","ЗАКРЫТО"))</x:f>
        <x:v>ОТКРЫТО</x:v>
      </x:c>
      <x:c r="BB29" t="str">
        <x:f>IF(AM29&gt;=E29,"ИЗУЧЕНО",IF(AND(OR(F29="",SUMIF($A$11:$A$50,F29,AM$11:AM$50)&gt;=SUMIF($A$11:$A$50,F29,$E$11:$E$50)),OR(G29="",SUMIF($A$11:$A$50,G29,AM$11:AM$50)&gt;=SUMIF($A$11:$A$50,G29,$E$11:$E$50)),OR(H29="",SUMIF($A$11:$A$50,H29,AM$11:AM$50)&gt;=SUMIF($A$11:$A$50,H29,$E$11:$E$50))),"ОТКРЫТО","ЗАКРЫТО"))</x:f>
        <x:v>ОТКРЫТО</x:v>
      </x:c>
      <x:c r="BC29" t="str">
        <x:f>IF(AN29&gt;=E29,"ИЗУЧЕНО",IF(AND(OR(F29="",SUMIF($A$11:$A$50,F29,AN$11:AN$50)&gt;=SUMIF($A$11:$A$50,F29,$E$11:$E$50)),OR(G29="",SUMIF($A$11:$A$50,G29,AN$11:AN$50)&gt;=SUMIF($A$11:$A$50,G29,$E$11:$E$50)),OR(H29="",SUMIF($A$11:$A$50,H29,AN$11:AN$50)&gt;=SUMIF($A$11:$A$50,H29,$E$11:$E$50))),"ОТКРЫТО","ЗАКРЫТО"))</x:f>
        <x:v>ОТКРЫТО</x:v>
      </x:c>
      <x:c r="BD29" t="str">
        <x:f>IF(AO29&gt;=E29,"ИЗУЧЕНО",IF(AND(OR(F29="",SUMIF($A$11:$A$50,F29,AO$11:AO$50)&gt;=SUMIF($A$11:$A$50,F29,$E$11:$E$50)),OR(G29="",SUMIF($A$11:$A$50,G29,AO$11:AO$50)&gt;=SUMIF($A$11:$A$50,G29,$E$11:$E$50)),OR(H29="",SUMIF($A$11:$A$50,H29,AO$11:AO$50)&gt;=SUMIF($A$11:$A$50,H29,$E$11:$E$50))),"ОТКРЫТО","ЗАКРЫТО"))</x:f>
        <x:v>ОТКРЫТО</x:v>
      </x:c>
      <x:c r="BE29" t="str">
        <x:f>IF(AP29&gt;=E29,"ИЗУЧЕНО",IF(AND(OR(F29="",SUMIF($A$11:$A$50,F29,AP$11:AP$50)&gt;=SUMIF($A$11:$A$50,F29,$E$11:$E$50)),OR(G29="",SUMIF($A$11:$A$50,G29,AP$11:AP$50)&gt;=SUMIF($A$11:$A$50,G29,$E$11:$E$50)),OR(H29="",SUMIF($A$11:$A$50,H29,AP$11:AP$50)&gt;=SUMIF($A$11:$A$50,H29,$E$11:$E$50))),"ОТКРЫТО","ЗАКРЫТО"))</x:f>
        <x:v>ОТКРЫТО</x:v>
      </x:c>
      <x:c r="BF29" t="str">
        <x:f>IF(AQ29&gt;=E29,"ИЗУЧЕНО",IF(AND(OR(F29="",SUMIF($A$11:$A$50,F29,AQ$11:AQ$50)&gt;=SUMIF($A$11:$A$50,F29,$E$11:$E$50)),OR(G29="",SUMIF($A$11:$A$50,G29,AQ$11:AQ$50)&gt;=SUMIF($A$11:$A$50,G29,$E$11:$E$50)),OR(H29="",SUMIF($A$11:$A$50,H29,AQ$11:AQ$50)&gt;=SUMIF($A$11:$A$50,H29,$E$11:$E$50))),"ОТКРЫТО","ЗАКРЫТО"))</x:f>
        <x:v>ОТКРЫТО</x:v>
      </x:c>
    </x:row>
    <x:row r="30">
      <x:c r="A30" s="42" t="str">
        <x:v>A2</x:v>
      </x:c>
      <x:c r="B30" s="42" t="str">
        <x:v>Агенты и автономные системы</x:v>
      </x:c>
      <x:c r="C30" s="42" t="str">
        <x:v>II</x:v>
      </x:c>
      <x:c r="D30" s="42" t="str">
        <x:v>Агенты рабочих процессов</x:v>
      </x:c>
      <x:c r="E30" s="42" t="n">
        <x:v>35</x:v>
      </x:c>
      <x:c r="F30" s="42" t="str">
        <x:v>A1</x:v>
      </x:c>
      <x:c r="G30" s="42"/>
      <x:c r="H30" s="42"/>
      <x:c r="I30" s="42" t="str">
        <x:v>Выполнение многошаговых процессов внутри организаций.</x:v>
      </x:c>
      <x:c r="J30" s="42" t="str">
        <x:v>Организационная архитектура внедрения +0,3; её прирост +0,08/год</x:v>
      </x:c>
      <x:c r="K30" s="43" t="n">
        <x:f>SUMIF('Ход 2026'!$G$29:$G$38,$A30,'Ход 2026'!$I$29:$I$38)</x:f>
        <x:v>0</x:v>
      </x:c>
      <x:c r="L30" s="43" t="n">
        <x:f>SUMIF('Ход 2027'!$G$29:$G$38,$A30,'Ход 2027'!$I$29:$I$38)</x:f>
        <x:v>0</x:v>
      </x:c>
      <x:c r="M30" s="43" t="n">
        <x:f>SUMIF('Ход 2028'!$G$29:$G$38,$A30,'Ход 2028'!$I$29:$I$38)</x:f>
        <x:v>0</x:v>
      </x:c>
      <x:c r="N30" s="43" t="n">
        <x:f>SUMIF('Ход 2029'!$G$29:$G$38,$A30,'Ход 2029'!$I$29:$I$38)</x:f>
        <x:v>0</x:v>
      </x:c>
      <x:c r="O30" s="43" t="n">
        <x:f>SUMIF('Ход 2030'!$G$29:$G$38,$A30,'Ход 2030'!$I$29:$I$38)</x:f>
        <x:v>0</x:v>
      </x:c>
      <x:c r="P30" s="43" t="n">
        <x:f>SUMIF('Ход 2031'!$G$29:$G$38,$A30,'Ход 2031'!$I$29:$I$38)</x:f>
        <x:v>0</x:v>
      </x:c>
      <x:c r="Q30" s="43" t="n">
        <x:f>SUMIF('Ход 2032'!$G$29:$G$38,$A30,'Ход 2032'!$I$29:$I$38)</x:f>
        <x:v>0</x:v>
      </x:c>
      <x:c r="R30" s="43" t="n">
        <x:f>SUMIF('Ход 2033'!$G$29:$G$38,$A30,'Ход 2033'!$I$29:$I$38)</x:f>
        <x:v>0</x:v>
      </x:c>
      <x:c r="S30" s="43" t="n">
        <x:f>SUMIF('Ход 2034'!$G$29:$G$38,$A30,'Ход 2034'!$I$29:$I$38)</x:f>
        <x:v>0</x:v>
      </x:c>
      <x:c r="T30" s="43" t="n">
        <x:f>SUMIF('Ход 2035'!$G$29:$G$38,$A30,'Ход 2035'!$I$29:$I$38)</x:f>
        <x:v>0</x:v>
      </x:c>
      <x:c r="U30" s="43" t="n">
        <x:f>SUMIF('Ход 2036'!$G$29:$G$38,$A30,'Ход 2036'!$I$29:$I$38)</x:f>
        <x:v>0</x:v>
      </x:c>
      <x:c r="V30" s="43" t="n">
        <x:f>SUMIF('Ход 2037'!$G$29:$G$38,$A30,'Ход 2037'!$I$29:$I$38)</x:f>
        <x:v>0</x:v>
      </x:c>
      <x:c r="W30" s="43" t="n">
        <x:f>SUMIF('Ход 2038'!$G$29:$G$38,$A30,'Ход 2038'!$I$29:$I$38)</x:f>
        <x:v>0</x:v>
      </x:c>
      <x:c r="X30" s="43" t="n">
        <x:f>SUMIF('Ход 2039'!$G$29:$G$38,$A30,'Ход 2039'!$I$29:$I$38)</x:f>
        <x:v>0</x:v>
      </x:c>
      <x:c r="Y30" s="43" t="n">
        <x:f>SUMIF('Ход 2040'!$G$29:$G$38,$A30,'Ход 2040'!$I$29:$I$38)</x:f>
        <x:v>0</x:v>
      </x:c>
      <x:c r="Z30" s="44" t="n">
        <x:f>SUM(K30:Y30)</x:f>
        <x:v>0</x:v>
      </x:c>
      <x:c r="AA30" s="44" t="n">
        <x:f>MAX(0,E30-Z30)</x:f>
        <x:v>35</x:v>
      </x:c>
      <x:c r="AB30" s="42" t="str">
        <x:f>BF30</x:f>
        <x:v>ЗАКРЫТО</x:v>
      </x:c>
      <x:c r="AC30" t="n">
        <x:f>SUM($K30:K30)</x:f>
        <x:v>0</x:v>
      </x:c>
      <x:c r="AD30" t="n">
        <x:f>SUM($K30:L30)</x:f>
        <x:v>0</x:v>
      </x:c>
      <x:c r="AE30" t="n">
        <x:f>SUM($K30:M30)</x:f>
        <x:v>0</x:v>
      </x:c>
      <x:c r="AF30" t="n">
        <x:f>SUM($K30:N30)</x:f>
        <x:v>0</x:v>
      </x:c>
      <x:c r="AG30" t="n">
        <x:f>SUM($K30:O30)</x:f>
        <x:v>0</x:v>
      </x:c>
      <x:c r="AH30" t="n">
        <x:f>SUM($K30:P30)</x:f>
        <x:v>0</x:v>
      </x:c>
      <x:c r="AI30" t="n">
        <x:f>SUM($K30:Q30)</x:f>
        <x:v>0</x:v>
      </x:c>
      <x:c r="AJ30" t="n">
        <x:f>SUM($K30:R30)</x:f>
        <x:v>0</x:v>
      </x:c>
      <x:c r="AK30" t="n">
        <x:f>SUM($K30:S30)</x:f>
        <x:v>0</x:v>
      </x:c>
      <x:c r="AL30" t="n">
        <x:f>SUM($K30:T30)</x:f>
        <x:v>0</x:v>
      </x:c>
      <x:c r="AM30" t="n">
        <x:f>SUM($K30:U30)</x:f>
        <x:v>0</x:v>
      </x:c>
      <x:c r="AN30" t="n">
        <x:f>SUM($K30:V30)</x:f>
        <x:v>0</x:v>
      </x:c>
      <x:c r="AO30" t="n">
        <x:f>SUM($K30:W30)</x:f>
        <x:v>0</x:v>
      </x:c>
      <x:c r="AP30" t="n">
        <x:f>SUM($K30:X30)</x:f>
        <x:v>0</x:v>
      </x:c>
      <x:c r="AQ30" t="n">
        <x:f>SUM($K30:Y30)</x:f>
        <x:v>0</x:v>
      </x:c>
      <x:c r="AR30" t="str">
        <x:f>IF(AC30&gt;=E30,"ИЗУЧЕНО",IF(AND(OR(F30="",SUMIF($A$11:$A$50,F30,AC$11:AC$50)&gt;=SUMIF($A$11:$A$50,F30,$E$11:$E$50)),OR(G30="",SUMIF($A$11:$A$50,G30,AC$11:AC$50)&gt;=SUMIF($A$11:$A$50,G30,$E$11:$E$50)),OR(H30="",SUMIF($A$11:$A$50,H30,AC$11:AC$50)&gt;=SUMIF($A$11:$A$50,H30,$E$11:$E$50))),"ОТКРЫТО","ЗАКРЫТО"))</x:f>
        <x:v>ЗАКРЫТО</x:v>
      </x:c>
      <x:c r="AS30" t="str">
        <x:f>IF(AD30&gt;=E30,"ИЗУЧЕНО",IF(AND(OR(F30="",SUMIF($A$11:$A$50,F30,AD$11:AD$50)&gt;=SUMIF($A$11:$A$50,F30,$E$11:$E$50)),OR(G30="",SUMIF($A$11:$A$50,G30,AD$11:AD$50)&gt;=SUMIF($A$11:$A$50,G30,$E$11:$E$50)),OR(H30="",SUMIF($A$11:$A$50,H30,AD$11:AD$50)&gt;=SUMIF($A$11:$A$50,H30,$E$11:$E$50))),"ОТКРЫТО","ЗАКРЫТО"))</x:f>
        <x:v>ЗАКРЫТО</x:v>
      </x:c>
      <x:c r="AT30" t="str">
        <x:f>IF(AE30&gt;=E30,"ИЗУЧЕНО",IF(AND(OR(F30="",SUMIF($A$11:$A$50,F30,AE$11:AE$50)&gt;=SUMIF($A$11:$A$50,F30,$E$11:$E$50)),OR(G30="",SUMIF($A$11:$A$50,G30,AE$11:AE$50)&gt;=SUMIF($A$11:$A$50,G30,$E$11:$E$50)),OR(H30="",SUMIF($A$11:$A$50,H30,AE$11:AE$50)&gt;=SUMIF($A$11:$A$50,H30,$E$11:$E$50))),"ОТКРЫТО","ЗАКРЫТО"))</x:f>
        <x:v>ЗАКРЫТО</x:v>
      </x:c>
      <x:c r="AU30" t="str">
        <x:f>IF(AF30&gt;=E30,"ИЗУЧЕНО",IF(AND(OR(F30="",SUMIF($A$11:$A$50,F30,AF$11:AF$50)&gt;=SUMIF($A$11:$A$50,F30,$E$11:$E$50)),OR(G30="",SUMIF($A$11:$A$50,G30,AF$11:AF$50)&gt;=SUMIF($A$11:$A$50,G30,$E$11:$E$50)),OR(H30="",SUMIF($A$11:$A$50,H30,AF$11:AF$50)&gt;=SUMIF($A$11:$A$50,H30,$E$11:$E$50))),"ОТКРЫТО","ЗАКРЫТО"))</x:f>
        <x:v>ЗАКРЫТО</x:v>
      </x:c>
      <x:c r="AV30" t="str">
        <x:f>IF(AG30&gt;=E30,"ИЗУЧЕНО",IF(AND(OR(F30="",SUMIF($A$11:$A$50,F30,AG$11:AG$50)&gt;=SUMIF($A$11:$A$50,F30,$E$11:$E$50)),OR(G30="",SUMIF($A$11:$A$50,G30,AG$11:AG$50)&gt;=SUMIF($A$11:$A$50,G30,$E$11:$E$50)),OR(H30="",SUMIF($A$11:$A$50,H30,AG$11:AG$50)&gt;=SUMIF($A$11:$A$50,H30,$E$11:$E$50))),"ОТКРЫТО","ЗАКРЫТО"))</x:f>
        <x:v>ЗАКРЫТО</x:v>
      </x:c>
      <x:c r="AW30" t="str">
        <x:f>IF(AH30&gt;=E30,"ИЗУЧЕНО",IF(AND(OR(F30="",SUMIF($A$11:$A$50,F30,AH$11:AH$50)&gt;=SUMIF($A$11:$A$50,F30,$E$11:$E$50)),OR(G30="",SUMIF($A$11:$A$50,G30,AH$11:AH$50)&gt;=SUMIF($A$11:$A$50,G30,$E$11:$E$50)),OR(H30="",SUMIF($A$11:$A$50,H30,AH$11:AH$50)&gt;=SUMIF($A$11:$A$50,H30,$E$11:$E$50))),"ОТКРЫТО","ЗАКРЫТО"))</x:f>
        <x:v>ЗАКРЫТО</x:v>
      </x:c>
      <x:c r="AX30" t="str">
        <x:f>IF(AI30&gt;=E30,"ИЗУЧЕНО",IF(AND(OR(F30="",SUMIF($A$11:$A$50,F30,AI$11:AI$50)&gt;=SUMIF($A$11:$A$50,F30,$E$11:$E$50)),OR(G30="",SUMIF($A$11:$A$50,G30,AI$11:AI$50)&gt;=SUMIF($A$11:$A$50,G30,$E$11:$E$50)),OR(H30="",SUMIF($A$11:$A$50,H30,AI$11:AI$50)&gt;=SUMIF($A$11:$A$50,H30,$E$11:$E$50))),"ОТКРЫТО","ЗАКРЫТО"))</x:f>
        <x:v>ЗАКРЫТО</x:v>
      </x:c>
      <x:c r="AY30" t="str">
        <x:f>IF(AJ30&gt;=E30,"ИЗУЧЕНО",IF(AND(OR(F30="",SUMIF($A$11:$A$50,F30,AJ$11:AJ$50)&gt;=SUMIF($A$11:$A$50,F30,$E$11:$E$50)),OR(G30="",SUMIF($A$11:$A$50,G30,AJ$11:AJ$50)&gt;=SUMIF($A$11:$A$50,G30,$E$11:$E$50)),OR(H30="",SUMIF($A$11:$A$50,H30,AJ$11:AJ$50)&gt;=SUMIF($A$11:$A$50,H30,$E$11:$E$50))),"ОТКРЫТО","ЗАКРЫТО"))</x:f>
        <x:v>ЗАКРЫТО</x:v>
      </x:c>
      <x:c r="AZ30" t="str">
        <x:f>IF(AK30&gt;=E30,"ИЗУЧЕНО",IF(AND(OR(F30="",SUMIF($A$11:$A$50,F30,AK$11:AK$50)&gt;=SUMIF($A$11:$A$50,F30,$E$11:$E$50)),OR(G30="",SUMIF($A$11:$A$50,G30,AK$11:AK$50)&gt;=SUMIF($A$11:$A$50,G30,$E$11:$E$50)),OR(H30="",SUMIF($A$11:$A$50,H30,AK$11:AK$50)&gt;=SUMIF($A$11:$A$50,H30,$E$11:$E$50))),"ОТКРЫТО","ЗАКРЫТО"))</x:f>
        <x:v>ЗАКРЫТО</x:v>
      </x:c>
      <x:c r="BA30" t="str">
        <x:f>IF(AL30&gt;=E30,"ИЗУЧЕНО",IF(AND(OR(F30="",SUMIF($A$11:$A$50,F30,AL$11:AL$50)&gt;=SUMIF($A$11:$A$50,F30,$E$11:$E$50)),OR(G30="",SUMIF($A$11:$A$50,G30,AL$11:AL$50)&gt;=SUMIF($A$11:$A$50,G30,$E$11:$E$50)),OR(H30="",SUMIF($A$11:$A$50,H30,AL$11:AL$50)&gt;=SUMIF($A$11:$A$50,H30,$E$11:$E$50))),"ОТКРЫТО","ЗАКРЫТО"))</x:f>
        <x:v>ЗАКРЫТО</x:v>
      </x:c>
      <x:c r="BB30" t="str">
        <x:f>IF(AM30&gt;=E30,"ИЗУЧЕНО",IF(AND(OR(F30="",SUMIF($A$11:$A$50,F30,AM$11:AM$50)&gt;=SUMIF($A$11:$A$50,F30,$E$11:$E$50)),OR(G30="",SUMIF($A$11:$A$50,G30,AM$11:AM$50)&gt;=SUMIF($A$11:$A$50,G30,$E$11:$E$50)),OR(H30="",SUMIF($A$11:$A$50,H30,AM$11:AM$50)&gt;=SUMIF($A$11:$A$50,H30,$E$11:$E$50))),"ОТКРЫТО","ЗАКРЫТО"))</x:f>
        <x:v>ЗАКРЫТО</x:v>
      </x:c>
      <x:c r="BC30" t="str">
        <x:f>IF(AN30&gt;=E30,"ИЗУЧЕНО",IF(AND(OR(F30="",SUMIF($A$11:$A$50,F30,AN$11:AN$50)&gt;=SUMIF($A$11:$A$50,F30,$E$11:$E$50)),OR(G30="",SUMIF($A$11:$A$50,G30,AN$11:AN$50)&gt;=SUMIF($A$11:$A$50,G30,$E$11:$E$50)),OR(H30="",SUMIF($A$11:$A$50,H30,AN$11:AN$50)&gt;=SUMIF($A$11:$A$50,H30,$E$11:$E$50))),"ОТКРЫТО","ЗАКРЫТО"))</x:f>
        <x:v>ЗАКРЫТО</x:v>
      </x:c>
      <x:c r="BD30" t="str">
        <x:f>IF(AO30&gt;=E30,"ИЗУЧЕНО",IF(AND(OR(F30="",SUMIF($A$11:$A$50,F30,AO$11:AO$50)&gt;=SUMIF($A$11:$A$50,F30,$E$11:$E$50)),OR(G30="",SUMIF($A$11:$A$50,G30,AO$11:AO$50)&gt;=SUMIF($A$11:$A$50,G30,$E$11:$E$50)),OR(H30="",SUMIF($A$11:$A$50,H30,AO$11:AO$50)&gt;=SUMIF($A$11:$A$50,H30,$E$11:$E$50))),"ОТКРЫТО","ЗАКРЫТО"))</x:f>
        <x:v>ЗАКРЫТО</x:v>
      </x:c>
      <x:c r="BE30" t="str">
        <x:f>IF(AP30&gt;=E30,"ИЗУЧЕНО",IF(AND(OR(F30="",SUMIF($A$11:$A$50,F30,AP$11:AP$50)&gt;=SUMIF($A$11:$A$50,F30,$E$11:$E$50)),OR(G30="",SUMIF($A$11:$A$50,G30,AP$11:AP$50)&gt;=SUMIF($A$11:$A$50,G30,$E$11:$E$50)),OR(H30="",SUMIF($A$11:$A$50,H30,AP$11:AP$50)&gt;=SUMIF($A$11:$A$50,H30,$E$11:$E$50))),"ОТКРЫТО","ЗАКРЫТО"))</x:f>
        <x:v>ЗАКРЫТО</x:v>
      </x:c>
      <x:c r="BF30" t="str">
        <x:f>IF(AQ30&gt;=E30,"ИЗУЧЕНО",IF(AND(OR(F30="",SUMIF($A$11:$A$50,F30,AQ$11:AQ$50)&gt;=SUMIF($A$11:$A$50,F30,$E$11:$E$50)),OR(G30="",SUMIF($A$11:$A$50,G30,AQ$11:AQ$50)&gt;=SUMIF($A$11:$A$50,G30,$E$11:$E$50)),OR(H30="",SUMIF($A$11:$A$50,H30,AQ$11:AQ$50)&gt;=SUMIF($A$11:$A$50,H30,$E$11:$E$50))),"ОТКРЫТО","ЗАКРЫТО"))</x:f>
        <x:v>ЗАКРЫТО</x:v>
      </x:c>
    </x:row>
    <x:row r="31">
      <x:c r="A31" s="42" t="str">
        <x:v>A3</x:v>
      </x:c>
      <x:c r="B31" s="42" t="str">
        <x:v>Агенты и автономные системы</x:v>
      </x:c>
      <x:c r="C31" s="42" t="str">
        <x:v>III</x:v>
      </x:c>
      <x:c r="D31" s="42" t="str">
        <x:v>Многоагентная оркестрация</x:v>
      </x:c>
      <x:c r="E31" s="42" t="n">
        <x:v>55</x:v>
      </x:c>
      <x:c r="F31" s="42" t="str">
        <x:v>A2</x:v>
      </x:c>
      <x:c r="G31" s="42"/>
      <x:c r="H31" s="42"/>
      <x:c r="I31" s="42" t="str">
        <x:v>Координация множества специализированных агентов.</x:v>
      </x:c>
      <x:c r="J31" s="42" t="str">
        <x:v>Прирост Управления +0,08/год; атака Афины +10%</x:v>
      </x:c>
      <x:c r="K31" s="43" t="n">
        <x:f>SUMIF('Ход 2026'!$G$29:$G$38,$A31,'Ход 2026'!$I$29:$I$38)</x:f>
        <x:v>0</x:v>
      </x:c>
      <x:c r="L31" s="43" t="n">
        <x:f>SUMIF('Ход 2027'!$G$29:$G$38,$A31,'Ход 2027'!$I$29:$I$38)</x:f>
        <x:v>0</x:v>
      </x:c>
      <x:c r="M31" s="43" t="n">
        <x:f>SUMIF('Ход 2028'!$G$29:$G$38,$A31,'Ход 2028'!$I$29:$I$38)</x:f>
        <x:v>0</x:v>
      </x:c>
      <x:c r="N31" s="43" t="n">
        <x:f>SUMIF('Ход 2029'!$G$29:$G$38,$A31,'Ход 2029'!$I$29:$I$38)</x:f>
        <x:v>0</x:v>
      </x:c>
      <x:c r="O31" s="43" t="n">
        <x:f>SUMIF('Ход 2030'!$G$29:$G$38,$A31,'Ход 2030'!$I$29:$I$38)</x:f>
        <x:v>0</x:v>
      </x:c>
      <x:c r="P31" s="43" t="n">
        <x:f>SUMIF('Ход 2031'!$G$29:$G$38,$A31,'Ход 2031'!$I$29:$I$38)</x:f>
        <x:v>0</x:v>
      </x:c>
      <x:c r="Q31" s="43" t="n">
        <x:f>SUMIF('Ход 2032'!$G$29:$G$38,$A31,'Ход 2032'!$I$29:$I$38)</x:f>
        <x:v>0</x:v>
      </x:c>
      <x:c r="R31" s="43" t="n">
        <x:f>SUMIF('Ход 2033'!$G$29:$G$38,$A31,'Ход 2033'!$I$29:$I$38)</x:f>
        <x:v>0</x:v>
      </x:c>
      <x:c r="S31" s="43" t="n">
        <x:f>SUMIF('Ход 2034'!$G$29:$G$38,$A31,'Ход 2034'!$I$29:$I$38)</x:f>
        <x:v>0</x:v>
      </x:c>
      <x:c r="T31" s="43" t="n">
        <x:f>SUMIF('Ход 2035'!$G$29:$G$38,$A31,'Ход 2035'!$I$29:$I$38)</x:f>
        <x:v>0</x:v>
      </x:c>
      <x:c r="U31" s="43" t="n">
        <x:f>SUMIF('Ход 2036'!$G$29:$G$38,$A31,'Ход 2036'!$I$29:$I$38)</x:f>
        <x:v>0</x:v>
      </x:c>
      <x:c r="V31" s="43" t="n">
        <x:f>SUMIF('Ход 2037'!$G$29:$G$38,$A31,'Ход 2037'!$I$29:$I$38)</x:f>
        <x:v>0</x:v>
      </x:c>
      <x:c r="W31" s="43" t="n">
        <x:f>SUMIF('Ход 2038'!$G$29:$G$38,$A31,'Ход 2038'!$I$29:$I$38)</x:f>
        <x:v>0</x:v>
      </x:c>
      <x:c r="X31" s="43" t="n">
        <x:f>SUMIF('Ход 2039'!$G$29:$G$38,$A31,'Ход 2039'!$I$29:$I$38)</x:f>
        <x:v>0</x:v>
      </x:c>
      <x:c r="Y31" s="43" t="n">
        <x:f>SUMIF('Ход 2040'!$G$29:$G$38,$A31,'Ход 2040'!$I$29:$I$38)</x:f>
        <x:v>0</x:v>
      </x:c>
      <x:c r="Z31" s="44" t="n">
        <x:f>SUM(K31:Y31)</x:f>
        <x:v>0</x:v>
      </x:c>
      <x:c r="AA31" s="44" t="n">
        <x:f>MAX(0,E31-Z31)</x:f>
        <x:v>55</x:v>
      </x:c>
      <x:c r="AB31" s="42" t="str">
        <x:f>BF31</x:f>
        <x:v>ЗАКРЫТО</x:v>
      </x:c>
      <x:c r="AC31" t="n">
        <x:f>SUM($K31:K31)</x:f>
        <x:v>0</x:v>
      </x:c>
      <x:c r="AD31" t="n">
        <x:f>SUM($K31:L31)</x:f>
        <x:v>0</x:v>
      </x:c>
      <x:c r="AE31" t="n">
        <x:f>SUM($K31:M31)</x:f>
        <x:v>0</x:v>
      </x:c>
      <x:c r="AF31" t="n">
        <x:f>SUM($K31:N31)</x:f>
        <x:v>0</x:v>
      </x:c>
      <x:c r="AG31" t="n">
        <x:f>SUM($K31:O31)</x:f>
        <x:v>0</x:v>
      </x:c>
      <x:c r="AH31" t="n">
        <x:f>SUM($K31:P31)</x:f>
        <x:v>0</x:v>
      </x:c>
      <x:c r="AI31" t="n">
        <x:f>SUM($K31:Q31)</x:f>
        <x:v>0</x:v>
      </x:c>
      <x:c r="AJ31" t="n">
        <x:f>SUM($K31:R31)</x:f>
        <x:v>0</x:v>
      </x:c>
      <x:c r="AK31" t="n">
        <x:f>SUM($K31:S31)</x:f>
        <x:v>0</x:v>
      </x:c>
      <x:c r="AL31" t="n">
        <x:f>SUM($K31:T31)</x:f>
        <x:v>0</x:v>
      </x:c>
      <x:c r="AM31" t="n">
        <x:f>SUM($K31:U31)</x:f>
        <x:v>0</x:v>
      </x:c>
      <x:c r="AN31" t="n">
        <x:f>SUM($K31:V31)</x:f>
        <x:v>0</x:v>
      </x:c>
      <x:c r="AO31" t="n">
        <x:f>SUM($K31:W31)</x:f>
        <x:v>0</x:v>
      </x:c>
      <x:c r="AP31" t="n">
        <x:f>SUM($K31:X31)</x:f>
        <x:v>0</x:v>
      </x:c>
      <x:c r="AQ31" t="n">
        <x:f>SUM($K31:Y31)</x:f>
        <x:v>0</x:v>
      </x:c>
      <x:c r="AR31" t="str">
        <x:f>IF(AC31&gt;=E31,"ИЗУЧЕНО",IF(AND(OR(F31="",SUMIF($A$11:$A$50,F31,AC$11:AC$50)&gt;=SUMIF($A$11:$A$50,F31,$E$11:$E$50)),OR(G31="",SUMIF($A$11:$A$50,G31,AC$11:AC$50)&gt;=SUMIF($A$11:$A$50,G31,$E$11:$E$50)),OR(H31="",SUMIF($A$11:$A$50,H31,AC$11:AC$50)&gt;=SUMIF($A$11:$A$50,H31,$E$11:$E$50))),"ОТКРЫТО","ЗАКРЫТО"))</x:f>
        <x:v>ЗАКРЫТО</x:v>
      </x:c>
      <x:c r="AS31" t="str">
        <x:f>IF(AD31&gt;=E31,"ИЗУЧЕНО",IF(AND(OR(F31="",SUMIF($A$11:$A$50,F31,AD$11:AD$50)&gt;=SUMIF($A$11:$A$50,F31,$E$11:$E$50)),OR(G31="",SUMIF($A$11:$A$50,G31,AD$11:AD$50)&gt;=SUMIF($A$11:$A$50,G31,$E$11:$E$50)),OR(H31="",SUMIF($A$11:$A$50,H31,AD$11:AD$50)&gt;=SUMIF($A$11:$A$50,H31,$E$11:$E$50))),"ОТКРЫТО","ЗАКРЫТО"))</x:f>
        <x:v>ЗАКРЫТО</x:v>
      </x:c>
      <x:c r="AT31" t="str">
        <x:f>IF(AE31&gt;=E31,"ИЗУЧЕНО",IF(AND(OR(F31="",SUMIF($A$11:$A$50,F31,AE$11:AE$50)&gt;=SUMIF($A$11:$A$50,F31,$E$11:$E$50)),OR(G31="",SUMIF($A$11:$A$50,G31,AE$11:AE$50)&gt;=SUMIF($A$11:$A$50,G31,$E$11:$E$50)),OR(H31="",SUMIF($A$11:$A$50,H31,AE$11:AE$50)&gt;=SUMIF($A$11:$A$50,H31,$E$11:$E$50))),"ОТКРЫТО","ЗАКРЫТО"))</x:f>
        <x:v>ЗАКРЫТО</x:v>
      </x:c>
      <x:c r="AU31" t="str">
        <x:f>IF(AF31&gt;=E31,"ИЗУЧЕНО",IF(AND(OR(F31="",SUMIF($A$11:$A$50,F31,AF$11:AF$50)&gt;=SUMIF($A$11:$A$50,F31,$E$11:$E$50)),OR(G31="",SUMIF($A$11:$A$50,G31,AF$11:AF$50)&gt;=SUMIF($A$11:$A$50,G31,$E$11:$E$50)),OR(H31="",SUMIF($A$11:$A$50,H31,AF$11:AF$50)&gt;=SUMIF($A$11:$A$50,H31,$E$11:$E$50))),"ОТКРЫТО","ЗАКРЫТО"))</x:f>
        <x:v>ЗАКРЫТО</x:v>
      </x:c>
      <x:c r="AV31" t="str">
        <x:f>IF(AG31&gt;=E31,"ИЗУЧЕНО",IF(AND(OR(F31="",SUMIF($A$11:$A$50,F31,AG$11:AG$50)&gt;=SUMIF($A$11:$A$50,F31,$E$11:$E$50)),OR(G31="",SUMIF($A$11:$A$50,G31,AG$11:AG$50)&gt;=SUMIF($A$11:$A$50,G31,$E$11:$E$50)),OR(H31="",SUMIF($A$11:$A$50,H31,AG$11:AG$50)&gt;=SUMIF($A$11:$A$50,H31,$E$11:$E$50))),"ОТКРЫТО","ЗАКРЫТО"))</x:f>
        <x:v>ЗАКРЫТО</x:v>
      </x:c>
      <x:c r="AW31" t="str">
        <x:f>IF(AH31&gt;=E31,"ИЗУЧЕНО",IF(AND(OR(F31="",SUMIF($A$11:$A$50,F31,AH$11:AH$50)&gt;=SUMIF($A$11:$A$50,F31,$E$11:$E$50)),OR(G31="",SUMIF($A$11:$A$50,G31,AH$11:AH$50)&gt;=SUMIF($A$11:$A$50,G31,$E$11:$E$50)),OR(H31="",SUMIF($A$11:$A$50,H31,AH$11:AH$50)&gt;=SUMIF($A$11:$A$50,H31,$E$11:$E$50))),"ОТКРЫТО","ЗАКРЫТО"))</x:f>
        <x:v>ЗАКРЫТО</x:v>
      </x:c>
      <x:c r="AX31" t="str">
        <x:f>IF(AI31&gt;=E31,"ИЗУЧЕНО",IF(AND(OR(F31="",SUMIF($A$11:$A$50,F31,AI$11:AI$50)&gt;=SUMIF($A$11:$A$50,F31,$E$11:$E$50)),OR(G31="",SUMIF($A$11:$A$50,G31,AI$11:AI$50)&gt;=SUMIF($A$11:$A$50,G31,$E$11:$E$50)),OR(H31="",SUMIF($A$11:$A$50,H31,AI$11:AI$50)&gt;=SUMIF($A$11:$A$50,H31,$E$11:$E$50))),"ОТКРЫТО","ЗАКРЫТО"))</x:f>
        <x:v>ЗАКРЫТО</x:v>
      </x:c>
      <x:c r="AY31" t="str">
        <x:f>IF(AJ31&gt;=E31,"ИЗУЧЕНО",IF(AND(OR(F31="",SUMIF($A$11:$A$50,F31,AJ$11:AJ$50)&gt;=SUMIF($A$11:$A$50,F31,$E$11:$E$50)),OR(G31="",SUMIF($A$11:$A$50,G31,AJ$11:AJ$50)&gt;=SUMIF($A$11:$A$50,G31,$E$11:$E$50)),OR(H31="",SUMIF($A$11:$A$50,H31,AJ$11:AJ$50)&gt;=SUMIF($A$11:$A$50,H31,$E$11:$E$50))),"ОТКРЫТО","ЗАКРЫТО"))</x:f>
        <x:v>ЗАКРЫТО</x:v>
      </x:c>
      <x:c r="AZ31" t="str">
        <x:f>IF(AK31&gt;=E31,"ИЗУЧЕНО",IF(AND(OR(F31="",SUMIF($A$11:$A$50,F31,AK$11:AK$50)&gt;=SUMIF($A$11:$A$50,F31,$E$11:$E$50)),OR(G31="",SUMIF($A$11:$A$50,G31,AK$11:AK$50)&gt;=SUMIF($A$11:$A$50,G31,$E$11:$E$50)),OR(H31="",SUMIF($A$11:$A$50,H31,AK$11:AK$50)&gt;=SUMIF($A$11:$A$50,H31,$E$11:$E$50))),"ОТКРЫТО","ЗАКРЫТО"))</x:f>
        <x:v>ЗАКРЫТО</x:v>
      </x:c>
      <x:c r="BA31" t="str">
        <x:f>IF(AL31&gt;=E31,"ИЗУЧЕНО",IF(AND(OR(F31="",SUMIF($A$11:$A$50,F31,AL$11:AL$50)&gt;=SUMIF($A$11:$A$50,F31,$E$11:$E$50)),OR(G31="",SUMIF($A$11:$A$50,G31,AL$11:AL$50)&gt;=SUMIF($A$11:$A$50,G31,$E$11:$E$50)),OR(H31="",SUMIF($A$11:$A$50,H31,AL$11:AL$50)&gt;=SUMIF($A$11:$A$50,H31,$E$11:$E$50))),"ОТКРЫТО","ЗАКРЫТО"))</x:f>
        <x:v>ЗАКРЫТО</x:v>
      </x:c>
      <x:c r="BB31" t="str">
        <x:f>IF(AM31&gt;=E31,"ИЗУЧЕНО",IF(AND(OR(F31="",SUMIF($A$11:$A$50,F31,AM$11:AM$50)&gt;=SUMIF($A$11:$A$50,F31,$E$11:$E$50)),OR(G31="",SUMIF($A$11:$A$50,G31,AM$11:AM$50)&gt;=SUMIF($A$11:$A$50,G31,$E$11:$E$50)),OR(H31="",SUMIF($A$11:$A$50,H31,AM$11:AM$50)&gt;=SUMIF($A$11:$A$50,H31,$E$11:$E$50))),"ОТКРЫТО","ЗАКРЫТО"))</x:f>
        <x:v>ЗАКРЫТО</x:v>
      </x:c>
      <x:c r="BC31" t="str">
        <x:f>IF(AN31&gt;=E31,"ИЗУЧЕНО",IF(AND(OR(F31="",SUMIF($A$11:$A$50,F31,AN$11:AN$50)&gt;=SUMIF($A$11:$A$50,F31,$E$11:$E$50)),OR(G31="",SUMIF($A$11:$A$50,G31,AN$11:AN$50)&gt;=SUMIF($A$11:$A$50,G31,$E$11:$E$50)),OR(H31="",SUMIF($A$11:$A$50,H31,AN$11:AN$50)&gt;=SUMIF($A$11:$A$50,H31,$E$11:$E$50))),"ОТКРЫТО","ЗАКРЫТО"))</x:f>
        <x:v>ЗАКРЫТО</x:v>
      </x:c>
      <x:c r="BD31" t="str">
        <x:f>IF(AO31&gt;=E31,"ИЗУЧЕНО",IF(AND(OR(F31="",SUMIF($A$11:$A$50,F31,AO$11:AO$50)&gt;=SUMIF($A$11:$A$50,F31,$E$11:$E$50)),OR(G31="",SUMIF($A$11:$A$50,G31,AO$11:AO$50)&gt;=SUMIF($A$11:$A$50,G31,$E$11:$E$50)),OR(H31="",SUMIF($A$11:$A$50,H31,AO$11:AO$50)&gt;=SUMIF($A$11:$A$50,H31,$E$11:$E$50))),"ОТКРЫТО","ЗАКРЫТО"))</x:f>
        <x:v>ЗАКРЫТО</x:v>
      </x:c>
      <x:c r="BE31" t="str">
        <x:f>IF(AP31&gt;=E31,"ИЗУЧЕНО",IF(AND(OR(F31="",SUMIF($A$11:$A$50,F31,AP$11:AP$50)&gt;=SUMIF($A$11:$A$50,F31,$E$11:$E$50)),OR(G31="",SUMIF($A$11:$A$50,G31,AP$11:AP$50)&gt;=SUMIF($A$11:$A$50,G31,$E$11:$E$50)),OR(H31="",SUMIF($A$11:$A$50,H31,AP$11:AP$50)&gt;=SUMIF($A$11:$A$50,H31,$E$11:$E$50))),"ОТКРЫТО","ЗАКРЫТО"))</x:f>
        <x:v>ЗАКРЫТО</x:v>
      </x:c>
      <x:c r="BF31" t="str">
        <x:f>IF(AQ31&gt;=E31,"ИЗУЧЕНО",IF(AND(OR(F31="",SUMIF($A$11:$A$50,F31,AQ$11:AQ$50)&gt;=SUMIF($A$11:$A$50,F31,$E$11:$E$50)),OR(G31="",SUMIF($A$11:$A$50,G31,AQ$11:AQ$50)&gt;=SUMIF($A$11:$A$50,G31,$E$11:$E$50)),OR(H31="",SUMIF($A$11:$A$50,H31,AQ$11:AQ$50)&gt;=SUMIF($A$11:$A$50,H31,$E$11:$E$50))),"ОТКРЫТО","ЗАКРЫТО"))</x:f>
        <x:v>ЗАКРЫТО</x:v>
      </x:c>
    </x:row>
    <x:row r="32">
      <x:c r="A32" s="42" t="str">
        <x:v>A4</x:v>
      </x:c>
      <x:c r="B32" s="42" t="str">
        <x:v>Агенты и автономные системы</x:v>
      </x:c>
      <x:c r="C32" s="42" t="str">
        <x:v>III</x:v>
      </x:c>
      <x:c r="D32" s="42" t="str">
        <x:v>Автономные организационные процессы</x:v>
      </x:c>
      <x:c r="E32" s="42" t="n">
        <x:v>70</x:v>
      </x:c>
      <x:c r="F32" s="42" t="str">
        <x:v>A3</x:v>
      </x:c>
      <x:c r="G32" s="42"/>
      <x:c r="H32" s="42"/>
      <x:c r="I32" s="42" t="str">
        <x:v>Автоматическое ведение существенной части типовых процессов организаций.</x:v>
      </x:c>
      <x:c r="J32" s="42" t="str">
        <x:v>Организационная способность к изменению +0,4; прирост Экономики +0,08/год</x:v>
      </x:c>
      <x:c r="K32" s="43" t="n">
        <x:f>SUMIF('Ход 2026'!$G$29:$G$38,$A32,'Ход 2026'!$I$29:$I$38)</x:f>
        <x:v>0</x:v>
      </x:c>
      <x:c r="L32" s="43" t="n">
        <x:f>SUMIF('Ход 2027'!$G$29:$G$38,$A32,'Ход 2027'!$I$29:$I$38)</x:f>
        <x:v>0</x:v>
      </x:c>
      <x:c r="M32" s="43" t="n">
        <x:f>SUMIF('Ход 2028'!$G$29:$G$38,$A32,'Ход 2028'!$I$29:$I$38)</x:f>
        <x:v>0</x:v>
      </x:c>
      <x:c r="N32" s="43" t="n">
        <x:f>SUMIF('Ход 2029'!$G$29:$G$38,$A32,'Ход 2029'!$I$29:$I$38)</x:f>
        <x:v>0</x:v>
      </x:c>
      <x:c r="O32" s="43" t="n">
        <x:f>SUMIF('Ход 2030'!$G$29:$G$38,$A32,'Ход 2030'!$I$29:$I$38)</x:f>
        <x:v>0</x:v>
      </x:c>
      <x:c r="P32" s="43" t="n">
        <x:f>SUMIF('Ход 2031'!$G$29:$G$38,$A32,'Ход 2031'!$I$29:$I$38)</x:f>
        <x:v>0</x:v>
      </x:c>
      <x:c r="Q32" s="43" t="n">
        <x:f>SUMIF('Ход 2032'!$G$29:$G$38,$A32,'Ход 2032'!$I$29:$I$38)</x:f>
        <x:v>0</x:v>
      </x:c>
      <x:c r="R32" s="43" t="n">
        <x:f>SUMIF('Ход 2033'!$G$29:$G$38,$A32,'Ход 2033'!$I$29:$I$38)</x:f>
        <x:v>0</x:v>
      </x:c>
      <x:c r="S32" s="43" t="n">
        <x:f>SUMIF('Ход 2034'!$G$29:$G$38,$A32,'Ход 2034'!$I$29:$I$38)</x:f>
        <x:v>0</x:v>
      </x:c>
      <x:c r="T32" s="43" t="n">
        <x:f>SUMIF('Ход 2035'!$G$29:$G$38,$A32,'Ход 2035'!$I$29:$I$38)</x:f>
        <x:v>0</x:v>
      </x:c>
      <x:c r="U32" s="43" t="n">
        <x:f>SUMIF('Ход 2036'!$G$29:$G$38,$A32,'Ход 2036'!$I$29:$I$38)</x:f>
        <x:v>0</x:v>
      </x:c>
      <x:c r="V32" s="43" t="n">
        <x:f>SUMIF('Ход 2037'!$G$29:$G$38,$A32,'Ход 2037'!$I$29:$I$38)</x:f>
        <x:v>0</x:v>
      </x:c>
      <x:c r="W32" s="43" t="n">
        <x:f>SUMIF('Ход 2038'!$G$29:$G$38,$A32,'Ход 2038'!$I$29:$I$38)</x:f>
        <x:v>0</x:v>
      </x:c>
      <x:c r="X32" s="43" t="n">
        <x:f>SUMIF('Ход 2039'!$G$29:$G$38,$A32,'Ход 2039'!$I$29:$I$38)</x:f>
        <x:v>0</x:v>
      </x:c>
      <x:c r="Y32" s="43" t="n">
        <x:f>SUMIF('Ход 2040'!$G$29:$G$38,$A32,'Ход 2040'!$I$29:$I$38)</x:f>
        <x:v>0</x:v>
      </x:c>
      <x:c r="Z32" s="44" t="n">
        <x:f>SUM(K32:Y32)</x:f>
        <x:v>0</x:v>
      </x:c>
      <x:c r="AA32" s="44" t="n">
        <x:f>MAX(0,E32-Z32)</x:f>
        <x:v>70</x:v>
      </x:c>
      <x:c r="AB32" s="42" t="str">
        <x:f>BF32</x:f>
        <x:v>ЗАКРЫТО</x:v>
      </x:c>
      <x:c r="AC32" t="n">
        <x:f>SUM($K32:K32)</x:f>
        <x:v>0</x:v>
      </x:c>
      <x:c r="AD32" t="n">
        <x:f>SUM($K32:L32)</x:f>
        <x:v>0</x:v>
      </x:c>
      <x:c r="AE32" t="n">
        <x:f>SUM($K32:M32)</x:f>
        <x:v>0</x:v>
      </x:c>
      <x:c r="AF32" t="n">
        <x:f>SUM($K32:N32)</x:f>
        <x:v>0</x:v>
      </x:c>
      <x:c r="AG32" t="n">
        <x:f>SUM($K32:O32)</x:f>
        <x:v>0</x:v>
      </x:c>
      <x:c r="AH32" t="n">
        <x:f>SUM($K32:P32)</x:f>
        <x:v>0</x:v>
      </x:c>
      <x:c r="AI32" t="n">
        <x:f>SUM($K32:Q32)</x:f>
        <x:v>0</x:v>
      </x:c>
      <x:c r="AJ32" t="n">
        <x:f>SUM($K32:R32)</x:f>
        <x:v>0</x:v>
      </x:c>
      <x:c r="AK32" t="n">
        <x:f>SUM($K32:S32)</x:f>
        <x:v>0</x:v>
      </x:c>
      <x:c r="AL32" t="n">
        <x:f>SUM($K32:T32)</x:f>
        <x:v>0</x:v>
      </x:c>
      <x:c r="AM32" t="n">
        <x:f>SUM($K32:U32)</x:f>
        <x:v>0</x:v>
      </x:c>
      <x:c r="AN32" t="n">
        <x:f>SUM($K32:V32)</x:f>
        <x:v>0</x:v>
      </x:c>
      <x:c r="AO32" t="n">
        <x:f>SUM($K32:W32)</x:f>
        <x:v>0</x:v>
      </x:c>
      <x:c r="AP32" t="n">
        <x:f>SUM($K32:X32)</x:f>
        <x:v>0</x:v>
      </x:c>
      <x:c r="AQ32" t="n">
        <x:f>SUM($K32:Y32)</x:f>
        <x:v>0</x:v>
      </x:c>
      <x:c r="AR32" t="str">
        <x:f>IF(AC32&gt;=E32,"ИЗУЧЕНО",IF(AND(OR(F32="",SUMIF($A$11:$A$50,F32,AC$11:AC$50)&gt;=SUMIF($A$11:$A$50,F32,$E$11:$E$50)),OR(G32="",SUMIF($A$11:$A$50,G32,AC$11:AC$50)&gt;=SUMIF($A$11:$A$50,G32,$E$11:$E$50)),OR(H32="",SUMIF($A$11:$A$50,H32,AC$11:AC$50)&gt;=SUMIF($A$11:$A$50,H32,$E$11:$E$50))),"ОТКРЫТО","ЗАКРЫТО"))</x:f>
        <x:v>ЗАКРЫТО</x:v>
      </x:c>
      <x:c r="AS32" t="str">
        <x:f>IF(AD32&gt;=E32,"ИЗУЧЕНО",IF(AND(OR(F32="",SUMIF($A$11:$A$50,F32,AD$11:AD$50)&gt;=SUMIF($A$11:$A$50,F32,$E$11:$E$50)),OR(G32="",SUMIF($A$11:$A$50,G32,AD$11:AD$50)&gt;=SUMIF($A$11:$A$50,G32,$E$11:$E$50)),OR(H32="",SUMIF($A$11:$A$50,H32,AD$11:AD$50)&gt;=SUMIF($A$11:$A$50,H32,$E$11:$E$50))),"ОТКРЫТО","ЗАКРЫТО"))</x:f>
        <x:v>ЗАКРЫТО</x:v>
      </x:c>
      <x:c r="AT32" t="str">
        <x:f>IF(AE32&gt;=E32,"ИЗУЧЕНО",IF(AND(OR(F32="",SUMIF($A$11:$A$50,F32,AE$11:AE$50)&gt;=SUMIF($A$11:$A$50,F32,$E$11:$E$50)),OR(G32="",SUMIF($A$11:$A$50,G32,AE$11:AE$50)&gt;=SUMIF($A$11:$A$50,G32,$E$11:$E$50)),OR(H32="",SUMIF($A$11:$A$50,H32,AE$11:AE$50)&gt;=SUMIF($A$11:$A$50,H32,$E$11:$E$50))),"ОТКРЫТО","ЗАКРЫТО"))</x:f>
        <x:v>ЗАКРЫТО</x:v>
      </x:c>
      <x:c r="AU32" t="str">
        <x:f>IF(AF32&gt;=E32,"ИЗУЧЕНО",IF(AND(OR(F32="",SUMIF($A$11:$A$50,F32,AF$11:AF$50)&gt;=SUMIF($A$11:$A$50,F32,$E$11:$E$50)),OR(G32="",SUMIF($A$11:$A$50,G32,AF$11:AF$50)&gt;=SUMIF($A$11:$A$50,G32,$E$11:$E$50)),OR(H32="",SUMIF($A$11:$A$50,H32,AF$11:AF$50)&gt;=SUMIF($A$11:$A$50,H32,$E$11:$E$50))),"ОТКРЫТО","ЗАКРЫТО"))</x:f>
        <x:v>ЗАКРЫТО</x:v>
      </x:c>
      <x:c r="AV32" t="str">
        <x:f>IF(AG32&gt;=E32,"ИЗУЧЕНО",IF(AND(OR(F32="",SUMIF($A$11:$A$50,F32,AG$11:AG$50)&gt;=SUMIF($A$11:$A$50,F32,$E$11:$E$50)),OR(G32="",SUMIF($A$11:$A$50,G32,AG$11:AG$50)&gt;=SUMIF($A$11:$A$50,G32,$E$11:$E$50)),OR(H32="",SUMIF($A$11:$A$50,H32,AG$11:AG$50)&gt;=SUMIF($A$11:$A$50,H32,$E$11:$E$50))),"ОТКРЫТО","ЗАКРЫТО"))</x:f>
        <x:v>ЗАКРЫТО</x:v>
      </x:c>
      <x:c r="AW32" t="str">
        <x:f>IF(AH32&gt;=E32,"ИЗУЧЕНО",IF(AND(OR(F32="",SUMIF($A$11:$A$50,F32,AH$11:AH$50)&gt;=SUMIF($A$11:$A$50,F32,$E$11:$E$50)),OR(G32="",SUMIF($A$11:$A$50,G32,AH$11:AH$50)&gt;=SUMIF($A$11:$A$50,G32,$E$11:$E$50)),OR(H32="",SUMIF($A$11:$A$50,H32,AH$11:AH$50)&gt;=SUMIF($A$11:$A$50,H32,$E$11:$E$50))),"ОТКРЫТО","ЗАКРЫТО"))</x:f>
        <x:v>ЗАКРЫТО</x:v>
      </x:c>
      <x:c r="AX32" t="str">
        <x:f>IF(AI32&gt;=E32,"ИЗУЧЕНО",IF(AND(OR(F32="",SUMIF($A$11:$A$50,F32,AI$11:AI$50)&gt;=SUMIF($A$11:$A$50,F32,$E$11:$E$50)),OR(G32="",SUMIF($A$11:$A$50,G32,AI$11:AI$50)&gt;=SUMIF($A$11:$A$50,G32,$E$11:$E$50)),OR(H32="",SUMIF($A$11:$A$50,H32,AI$11:AI$50)&gt;=SUMIF($A$11:$A$50,H32,$E$11:$E$50))),"ОТКРЫТО","ЗАКРЫТО"))</x:f>
        <x:v>ЗАКРЫТО</x:v>
      </x:c>
      <x:c r="AY32" t="str">
        <x:f>IF(AJ32&gt;=E32,"ИЗУЧЕНО",IF(AND(OR(F32="",SUMIF($A$11:$A$50,F32,AJ$11:AJ$50)&gt;=SUMIF($A$11:$A$50,F32,$E$11:$E$50)),OR(G32="",SUMIF($A$11:$A$50,G32,AJ$11:AJ$50)&gt;=SUMIF($A$11:$A$50,G32,$E$11:$E$50)),OR(H32="",SUMIF($A$11:$A$50,H32,AJ$11:AJ$50)&gt;=SUMIF($A$11:$A$50,H32,$E$11:$E$50))),"ОТКРЫТО","ЗАКРЫТО"))</x:f>
        <x:v>ЗАКРЫТО</x:v>
      </x:c>
      <x:c r="AZ32" t="str">
        <x:f>IF(AK32&gt;=E32,"ИЗУЧЕНО",IF(AND(OR(F32="",SUMIF($A$11:$A$50,F32,AK$11:AK$50)&gt;=SUMIF($A$11:$A$50,F32,$E$11:$E$50)),OR(G32="",SUMIF($A$11:$A$50,G32,AK$11:AK$50)&gt;=SUMIF($A$11:$A$50,G32,$E$11:$E$50)),OR(H32="",SUMIF($A$11:$A$50,H32,AK$11:AK$50)&gt;=SUMIF($A$11:$A$50,H32,$E$11:$E$50))),"ОТКРЫТО","ЗАКРЫТО"))</x:f>
        <x:v>ЗАКРЫТО</x:v>
      </x:c>
      <x:c r="BA32" t="str">
        <x:f>IF(AL32&gt;=E32,"ИЗУЧЕНО",IF(AND(OR(F32="",SUMIF($A$11:$A$50,F32,AL$11:AL$50)&gt;=SUMIF($A$11:$A$50,F32,$E$11:$E$50)),OR(G32="",SUMIF($A$11:$A$50,G32,AL$11:AL$50)&gt;=SUMIF($A$11:$A$50,G32,$E$11:$E$50)),OR(H32="",SUMIF($A$11:$A$50,H32,AL$11:AL$50)&gt;=SUMIF($A$11:$A$50,H32,$E$11:$E$50))),"ОТКРЫТО","ЗАКРЫТО"))</x:f>
        <x:v>ЗАКРЫТО</x:v>
      </x:c>
      <x:c r="BB32" t="str">
        <x:f>IF(AM32&gt;=E32,"ИЗУЧЕНО",IF(AND(OR(F32="",SUMIF($A$11:$A$50,F32,AM$11:AM$50)&gt;=SUMIF($A$11:$A$50,F32,$E$11:$E$50)),OR(G32="",SUMIF($A$11:$A$50,G32,AM$11:AM$50)&gt;=SUMIF($A$11:$A$50,G32,$E$11:$E$50)),OR(H32="",SUMIF($A$11:$A$50,H32,AM$11:AM$50)&gt;=SUMIF($A$11:$A$50,H32,$E$11:$E$50))),"ОТКРЫТО","ЗАКРЫТО"))</x:f>
        <x:v>ЗАКРЫТО</x:v>
      </x:c>
      <x:c r="BC32" t="str">
        <x:f>IF(AN32&gt;=E32,"ИЗУЧЕНО",IF(AND(OR(F32="",SUMIF($A$11:$A$50,F32,AN$11:AN$50)&gt;=SUMIF($A$11:$A$50,F32,$E$11:$E$50)),OR(G32="",SUMIF($A$11:$A$50,G32,AN$11:AN$50)&gt;=SUMIF($A$11:$A$50,G32,$E$11:$E$50)),OR(H32="",SUMIF($A$11:$A$50,H32,AN$11:AN$50)&gt;=SUMIF($A$11:$A$50,H32,$E$11:$E$50))),"ОТКРЫТО","ЗАКРЫТО"))</x:f>
        <x:v>ЗАКРЫТО</x:v>
      </x:c>
      <x:c r="BD32" t="str">
        <x:f>IF(AO32&gt;=E32,"ИЗУЧЕНО",IF(AND(OR(F32="",SUMIF($A$11:$A$50,F32,AO$11:AO$50)&gt;=SUMIF($A$11:$A$50,F32,$E$11:$E$50)),OR(G32="",SUMIF($A$11:$A$50,G32,AO$11:AO$50)&gt;=SUMIF($A$11:$A$50,G32,$E$11:$E$50)),OR(H32="",SUMIF($A$11:$A$50,H32,AO$11:AO$50)&gt;=SUMIF($A$11:$A$50,H32,$E$11:$E$50))),"ОТКРЫТО","ЗАКРЫТО"))</x:f>
        <x:v>ЗАКРЫТО</x:v>
      </x:c>
      <x:c r="BE32" t="str">
        <x:f>IF(AP32&gt;=E32,"ИЗУЧЕНО",IF(AND(OR(F32="",SUMIF($A$11:$A$50,F32,AP$11:AP$50)&gt;=SUMIF($A$11:$A$50,F32,$E$11:$E$50)),OR(G32="",SUMIF($A$11:$A$50,G32,AP$11:AP$50)&gt;=SUMIF($A$11:$A$50,G32,$E$11:$E$50)),OR(H32="",SUMIF($A$11:$A$50,H32,AP$11:AP$50)&gt;=SUMIF($A$11:$A$50,H32,$E$11:$E$50))),"ОТКРЫТО","ЗАКРЫТО"))</x:f>
        <x:v>ЗАКРЫТО</x:v>
      </x:c>
      <x:c r="BF32" t="str">
        <x:f>IF(AQ32&gt;=E32,"ИЗУЧЕНО",IF(AND(OR(F32="",SUMIF($A$11:$A$50,F32,AQ$11:AQ$50)&gt;=SUMIF($A$11:$A$50,F32,$E$11:$E$50)),OR(G32="",SUMIF($A$11:$A$50,G32,AQ$11:AQ$50)&gt;=SUMIF($A$11:$A$50,G32,$E$11:$E$50)),OR(H32="",SUMIF($A$11:$A$50,H32,AQ$11:AQ$50)&gt;=SUMIF($A$11:$A$50,H32,$E$11:$E$50))),"ОТКРЫТО","ЗАКРЫТО"))</x:f>
        <x:v>ЗАКРЫТО</x:v>
      </x:c>
    </x:row>
    <x:row r="33">
      <x:c r="A33" s="42" t="str">
        <x:v>A5</x:v>
      </x:c>
      <x:c r="B33" s="42" t="str">
        <x:v>Агенты и автономные системы</x:v>
      </x:c>
      <x:c r="C33" s="42" t="str">
        <x:v>IV</x:v>
      </x:c>
      <x:c r="D33" s="42" t="str">
        <x:v>Государственные ИИ-агенты</x:v>
      </x:c>
      <x:c r="E33" s="42" t="n">
        <x:v>105</x:v>
      </x:c>
      <x:c r="F33" s="42" t="str">
        <x:v>A4</x:v>
      </x:c>
      <x:c r="G33" s="42"/>
      <x:c r="H33" s="42"/>
      <x:c r="I33" s="42" t="str">
        <x:v>Агентные системы в масштабах государственного управления.</x:v>
      </x:c>
      <x:c r="J33" s="42" t="str">
        <x:v>Прирост Госуправления +0,12/год; Управления +0,08/год; улучшение отношений +10%</x:v>
      </x:c>
      <x:c r="K33" s="43" t="n">
        <x:f>SUMIF('Ход 2026'!$G$29:$G$38,$A33,'Ход 2026'!$I$29:$I$38)</x:f>
        <x:v>0</x:v>
      </x:c>
      <x:c r="L33" s="43" t="n">
        <x:f>SUMIF('Ход 2027'!$G$29:$G$38,$A33,'Ход 2027'!$I$29:$I$38)</x:f>
        <x:v>0</x:v>
      </x:c>
      <x:c r="M33" s="43" t="n">
        <x:f>SUMIF('Ход 2028'!$G$29:$G$38,$A33,'Ход 2028'!$I$29:$I$38)</x:f>
        <x:v>0</x:v>
      </x:c>
      <x:c r="N33" s="43" t="n">
        <x:f>SUMIF('Ход 2029'!$G$29:$G$38,$A33,'Ход 2029'!$I$29:$I$38)</x:f>
        <x:v>0</x:v>
      </x:c>
      <x:c r="O33" s="43" t="n">
        <x:f>SUMIF('Ход 2030'!$G$29:$G$38,$A33,'Ход 2030'!$I$29:$I$38)</x:f>
        <x:v>0</x:v>
      </x:c>
      <x:c r="P33" s="43" t="n">
        <x:f>SUMIF('Ход 2031'!$G$29:$G$38,$A33,'Ход 2031'!$I$29:$I$38)</x:f>
        <x:v>0</x:v>
      </x:c>
      <x:c r="Q33" s="43" t="n">
        <x:f>SUMIF('Ход 2032'!$G$29:$G$38,$A33,'Ход 2032'!$I$29:$I$38)</x:f>
        <x:v>0</x:v>
      </x:c>
      <x:c r="R33" s="43" t="n">
        <x:f>SUMIF('Ход 2033'!$G$29:$G$38,$A33,'Ход 2033'!$I$29:$I$38)</x:f>
        <x:v>0</x:v>
      </x:c>
      <x:c r="S33" s="43" t="n">
        <x:f>SUMIF('Ход 2034'!$G$29:$G$38,$A33,'Ход 2034'!$I$29:$I$38)</x:f>
        <x:v>0</x:v>
      </x:c>
      <x:c r="T33" s="43" t="n">
        <x:f>SUMIF('Ход 2035'!$G$29:$G$38,$A33,'Ход 2035'!$I$29:$I$38)</x:f>
        <x:v>0</x:v>
      </x:c>
      <x:c r="U33" s="43" t="n">
        <x:f>SUMIF('Ход 2036'!$G$29:$G$38,$A33,'Ход 2036'!$I$29:$I$38)</x:f>
        <x:v>0</x:v>
      </x:c>
      <x:c r="V33" s="43" t="n">
        <x:f>SUMIF('Ход 2037'!$G$29:$G$38,$A33,'Ход 2037'!$I$29:$I$38)</x:f>
        <x:v>0</x:v>
      </x:c>
      <x:c r="W33" s="43" t="n">
        <x:f>SUMIF('Ход 2038'!$G$29:$G$38,$A33,'Ход 2038'!$I$29:$I$38)</x:f>
        <x:v>0</x:v>
      </x:c>
      <x:c r="X33" s="43" t="n">
        <x:f>SUMIF('Ход 2039'!$G$29:$G$38,$A33,'Ход 2039'!$I$29:$I$38)</x:f>
        <x:v>0</x:v>
      </x:c>
      <x:c r="Y33" s="43" t="n">
        <x:f>SUMIF('Ход 2040'!$G$29:$G$38,$A33,'Ход 2040'!$I$29:$I$38)</x:f>
        <x:v>0</x:v>
      </x:c>
      <x:c r="Z33" s="44" t="n">
        <x:f>SUM(K33:Y33)</x:f>
        <x:v>0</x:v>
      </x:c>
      <x:c r="AA33" s="44" t="n">
        <x:f>MAX(0,E33-Z33)</x:f>
        <x:v>105</x:v>
      </x:c>
      <x:c r="AB33" s="42" t="str">
        <x:f>BF33</x:f>
        <x:v>ЗАКРЫТО</x:v>
      </x:c>
      <x:c r="AC33" t="n">
        <x:f>SUM($K33:K33)</x:f>
        <x:v>0</x:v>
      </x:c>
      <x:c r="AD33" t="n">
        <x:f>SUM($K33:L33)</x:f>
        <x:v>0</x:v>
      </x:c>
      <x:c r="AE33" t="n">
        <x:f>SUM($K33:M33)</x:f>
        <x:v>0</x:v>
      </x:c>
      <x:c r="AF33" t="n">
        <x:f>SUM($K33:N33)</x:f>
        <x:v>0</x:v>
      </x:c>
      <x:c r="AG33" t="n">
        <x:f>SUM($K33:O33)</x:f>
        <x:v>0</x:v>
      </x:c>
      <x:c r="AH33" t="n">
        <x:f>SUM($K33:P33)</x:f>
        <x:v>0</x:v>
      </x:c>
      <x:c r="AI33" t="n">
        <x:f>SUM($K33:Q33)</x:f>
        <x:v>0</x:v>
      </x:c>
      <x:c r="AJ33" t="n">
        <x:f>SUM($K33:R33)</x:f>
        <x:v>0</x:v>
      </x:c>
      <x:c r="AK33" t="n">
        <x:f>SUM($K33:S33)</x:f>
        <x:v>0</x:v>
      </x:c>
      <x:c r="AL33" t="n">
        <x:f>SUM($K33:T33)</x:f>
        <x:v>0</x:v>
      </x:c>
      <x:c r="AM33" t="n">
        <x:f>SUM($K33:U33)</x:f>
        <x:v>0</x:v>
      </x:c>
      <x:c r="AN33" t="n">
        <x:f>SUM($K33:V33)</x:f>
        <x:v>0</x:v>
      </x:c>
      <x:c r="AO33" t="n">
        <x:f>SUM($K33:W33)</x:f>
        <x:v>0</x:v>
      </x:c>
      <x:c r="AP33" t="n">
        <x:f>SUM($K33:X33)</x:f>
        <x:v>0</x:v>
      </x:c>
      <x:c r="AQ33" t="n">
        <x:f>SUM($K33:Y33)</x:f>
        <x:v>0</x:v>
      </x:c>
      <x:c r="AR33" t="str">
        <x:f>IF(AC33&gt;=E33,"ИЗУЧЕНО",IF(AND(OR(F33="",SUMIF($A$11:$A$50,F33,AC$11:AC$50)&gt;=SUMIF($A$11:$A$50,F33,$E$11:$E$50)),OR(G33="",SUMIF($A$11:$A$50,G33,AC$11:AC$50)&gt;=SUMIF($A$11:$A$50,G33,$E$11:$E$50)),OR(H33="",SUMIF($A$11:$A$50,H33,AC$11:AC$50)&gt;=SUMIF($A$11:$A$50,H33,$E$11:$E$50))),"ОТКРЫТО","ЗАКРЫТО"))</x:f>
        <x:v>ЗАКРЫТО</x:v>
      </x:c>
      <x:c r="AS33" t="str">
        <x:f>IF(AD33&gt;=E33,"ИЗУЧЕНО",IF(AND(OR(F33="",SUMIF($A$11:$A$50,F33,AD$11:AD$50)&gt;=SUMIF($A$11:$A$50,F33,$E$11:$E$50)),OR(G33="",SUMIF($A$11:$A$50,G33,AD$11:AD$50)&gt;=SUMIF($A$11:$A$50,G33,$E$11:$E$50)),OR(H33="",SUMIF($A$11:$A$50,H33,AD$11:AD$50)&gt;=SUMIF($A$11:$A$50,H33,$E$11:$E$50))),"ОТКРЫТО","ЗАКРЫТО"))</x:f>
        <x:v>ЗАКРЫТО</x:v>
      </x:c>
      <x:c r="AT33" t="str">
        <x:f>IF(AE33&gt;=E33,"ИЗУЧЕНО",IF(AND(OR(F33="",SUMIF($A$11:$A$50,F33,AE$11:AE$50)&gt;=SUMIF($A$11:$A$50,F33,$E$11:$E$50)),OR(G33="",SUMIF($A$11:$A$50,G33,AE$11:AE$50)&gt;=SUMIF($A$11:$A$50,G33,$E$11:$E$50)),OR(H33="",SUMIF($A$11:$A$50,H33,AE$11:AE$50)&gt;=SUMIF($A$11:$A$50,H33,$E$11:$E$50))),"ОТКРЫТО","ЗАКРЫТО"))</x:f>
        <x:v>ЗАКРЫТО</x:v>
      </x:c>
      <x:c r="AU33" t="str">
        <x:f>IF(AF33&gt;=E33,"ИЗУЧЕНО",IF(AND(OR(F33="",SUMIF($A$11:$A$50,F33,AF$11:AF$50)&gt;=SUMIF($A$11:$A$50,F33,$E$11:$E$50)),OR(G33="",SUMIF($A$11:$A$50,G33,AF$11:AF$50)&gt;=SUMIF($A$11:$A$50,G33,$E$11:$E$50)),OR(H33="",SUMIF($A$11:$A$50,H33,AF$11:AF$50)&gt;=SUMIF($A$11:$A$50,H33,$E$11:$E$50))),"ОТКРЫТО","ЗАКРЫТО"))</x:f>
        <x:v>ЗАКРЫТО</x:v>
      </x:c>
      <x:c r="AV33" t="str">
        <x:f>IF(AG33&gt;=E33,"ИЗУЧЕНО",IF(AND(OR(F33="",SUMIF($A$11:$A$50,F33,AG$11:AG$50)&gt;=SUMIF($A$11:$A$50,F33,$E$11:$E$50)),OR(G33="",SUMIF($A$11:$A$50,G33,AG$11:AG$50)&gt;=SUMIF($A$11:$A$50,G33,$E$11:$E$50)),OR(H33="",SUMIF($A$11:$A$50,H33,AG$11:AG$50)&gt;=SUMIF($A$11:$A$50,H33,$E$11:$E$50))),"ОТКРЫТО","ЗАКРЫТО"))</x:f>
        <x:v>ЗАКРЫТО</x:v>
      </x:c>
      <x:c r="AW33" t="str">
        <x:f>IF(AH33&gt;=E33,"ИЗУЧЕНО",IF(AND(OR(F33="",SUMIF($A$11:$A$50,F33,AH$11:AH$50)&gt;=SUMIF($A$11:$A$50,F33,$E$11:$E$50)),OR(G33="",SUMIF($A$11:$A$50,G33,AH$11:AH$50)&gt;=SUMIF($A$11:$A$50,G33,$E$11:$E$50)),OR(H33="",SUMIF($A$11:$A$50,H33,AH$11:AH$50)&gt;=SUMIF($A$11:$A$50,H33,$E$11:$E$50))),"ОТКРЫТО","ЗАКРЫТО"))</x:f>
        <x:v>ЗАКРЫТО</x:v>
      </x:c>
      <x:c r="AX33" t="str">
        <x:f>IF(AI33&gt;=E33,"ИЗУЧЕНО",IF(AND(OR(F33="",SUMIF($A$11:$A$50,F33,AI$11:AI$50)&gt;=SUMIF($A$11:$A$50,F33,$E$11:$E$50)),OR(G33="",SUMIF($A$11:$A$50,G33,AI$11:AI$50)&gt;=SUMIF($A$11:$A$50,G33,$E$11:$E$50)),OR(H33="",SUMIF($A$11:$A$50,H33,AI$11:AI$50)&gt;=SUMIF($A$11:$A$50,H33,$E$11:$E$50))),"ОТКРЫТО","ЗАКРЫТО"))</x:f>
        <x:v>ЗАКРЫТО</x:v>
      </x:c>
      <x:c r="AY33" t="str">
        <x:f>IF(AJ33&gt;=E33,"ИЗУЧЕНО",IF(AND(OR(F33="",SUMIF($A$11:$A$50,F33,AJ$11:AJ$50)&gt;=SUMIF($A$11:$A$50,F33,$E$11:$E$50)),OR(G33="",SUMIF($A$11:$A$50,G33,AJ$11:AJ$50)&gt;=SUMIF($A$11:$A$50,G33,$E$11:$E$50)),OR(H33="",SUMIF($A$11:$A$50,H33,AJ$11:AJ$50)&gt;=SUMIF($A$11:$A$50,H33,$E$11:$E$50))),"ОТКРЫТО","ЗАКРЫТО"))</x:f>
        <x:v>ЗАКРЫТО</x:v>
      </x:c>
      <x:c r="AZ33" t="str">
        <x:f>IF(AK33&gt;=E33,"ИЗУЧЕНО",IF(AND(OR(F33="",SUMIF($A$11:$A$50,F33,AK$11:AK$50)&gt;=SUMIF($A$11:$A$50,F33,$E$11:$E$50)),OR(G33="",SUMIF($A$11:$A$50,G33,AK$11:AK$50)&gt;=SUMIF($A$11:$A$50,G33,$E$11:$E$50)),OR(H33="",SUMIF($A$11:$A$50,H33,AK$11:AK$50)&gt;=SUMIF($A$11:$A$50,H33,$E$11:$E$50))),"ОТКРЫТО","ЗАКРЫТО"))</x:f>
        <x:v>ЗАКРЫТО</x:v>
      </x:c>
      <x:c r="BA33" t="str">
        <x:f>IF(AL33&gt;=E33,"ИЗУЧЕНО",IF(AND(OR(F33="",SUMIF($A$11:$A$50,F33,AL$11:AL$50)&gt;=SUMIF($A$11:$A$50,F33,$E$11:$E$50)),OR(G33="",SUMIF($A$11:$A$50,G33,AL$11:AL$50)&gt;=SUMIF($A$11:$A$50,G33,$E$11:$E$50)),OR(H33="",SUMIF($A$11:$A$50,H33,AL$11:AL$50)&gt;=SUMIF($A$11:$A$50,H33,$E$11:$E$50))),"ОТКРЫТО","ЗАКРЫТО"))</x:f>
        <x:v>ЗАКРЫТО</x:v>
      </x:c>
      <x:c r="BB33" t="str">
        <x:f>IF(AM33&gt;=E33,"ИЗУЧЕНО",IF(AND(OR(F33="",SUMIF($A$11:$A$50,F33,AM$11:AM$50)&gt;=SUMIF($A$11:$A$50,F33,$E$11:$E$50)),OR(G33="",SUMIF($A$11:$A$50,G33,AM$11:AM$50)&gt;=SUMIF($A$11:$A$50,G33,$E$11:$E$50)),OR(H33="",SUMIF($A$11:$A$50,H33,AM$11:AM$50)&gt;=SUMIF($A$11:$A$50,H33,$E$11:$E$50))),"ОТКРЫТО","ЗАКРЫТО"))</x:f>
        <x:v>ЗАКРЫТО</x:v>
      </x:c>
      <x:c r="BC33" t="str">
        <x:f>IF(AN33&gt;=E33,"ИЗУЧЕНО",IF(AND(OR(F33="",SUMIF($A$11:$A$50,F33,AN$11:AN$50)&gt;=SUMIF($A$11:$A$50,F33,$E$11:$E$50)),OR(G33="",SUMIF($A$11:$A$50,G33,AN$11:AN$50)&gt;=SUMIF($A$11:$A$50,G33,$E$11:$E$50)),OR(H33="",SUMIF($A$11:$A$50,H33,AN$11:AN$50)&gt;=SUMIF($A$11:$A$50,H33,$E$11:$E$50))),"ОТКРЫТО","ЗАКРЫТО"))</x:f>
        <x:v>ЗАКРЫТО</x:v>
      </x:c>
      <x:c r="BD33" t="str">
        <x:f>IF(AO33&gt;=E33,"ИЗУЧЕНО",IF(AND(OR(F33="",SUMIF($A$11:$A$50,F33,AO$11:AO$50)&gt;=SUMIF($A$11:$A$50,F33,$E$11:$E$50)),OR(G33="",SUMIF($A$11:$A$50,G33,AO$11:AO$50)&gt;=SUMIF($A$11:$A$50,G33,$E$11:$E$50)),OR(H33="",SUMIF($A$11:$A$50,H33,AO$11:AO$50)&gt;=SUMIF($A$11:$A$50,H33,$E$11:$E$50))),"ОТКРЫТО","ЗАКРЫТО"))</x:f>
        <x:v>ЗАКРЫТО</x:v>
      </x:c>
      <x:c r="BE33" t="str">
        <x:f>IF(AP33&gt;=E33,"ИЗУЧЕНО",IF(AND(OR(F33="",SUMIF($A$11:$A$50,F33,AP$11:AP$50)&gt;=SUMIF($A$11:$A$50,F33,$E$11:$E$50)),OR(G33="",SUMIF($A$11:$A$50,G33,AP$11:AP$50)&gt;=SUMIF($A$11:$A$50,G33,$E$11:$E$50)),OR(H33="",SUMIF($A$11:$A$50,H33,AP$11:AP$50)&gt;=SUMIF($A$11:$A$50,H33,$E$11:$E$50))),"ОТКРЫТО","ЗАКРЫТО"))</x:f>
        <x:v>ЗАКРЫТО</x:v>
      </x:c>
      <x:c r="BF33" t="str">
        <x:f>IF(AQ33&gt;=E33,"ИЗУЧЕНО",IF(AND(OR(F33="",SUMIF($A$11:$A$50,F33,AQ$11:AQ$50)&gt;=SUMIF($A$11:$A$50,F33,$E$11:$E$50)),OR(G33="",SUMIF($A$11:$A$50,G33,AQ$11:AQ$50)&gt;=SUMIF($A$11:$A$50,G33,$E$11:$E$50)),OR(H33="",SUMIF($A$11:$A$50,H33,AQ$11:AQ$50)&gt;=SUMIF($A$11:$A$50,H33,$E$11:$E$50))),"ОТКРЫТО","ЗАКРЫТО"))</x:f>
        <x:v>ЗАКРЫТО</x:v>
      </x:c>
    </x:row>
    <x:row r="34">
      <x:c r="A34" s="42" t="str">
        <x:v>A6</x:v>
      </x:c>
      <x:c r="B34" s="42" t="str">
        <x:v>Агенты и автономные системы</x:v>
      </x:c>
      <x:c r="C34" s="42" t="str">
        <x:v>V</x:v>
      </x:c>
      <x:c r="D34" s="42" t="str">
        <x:v>Стратегические автономные агентные системы</x:v>
      </x:c>
      <x:c r="E34" s="42" t="n">
        <x:v>155</x:v>
      </x:c>
      <x:c r="F34" s="42" t="str">
        <x:v>A5</x:v>
      </x:c>
      <x:c r="G34" s="42"/>
      <x:c r="H34" s="42"/>
      <x:c r="I34" s="42" t="str">
        <x:v>Агентные контуры, самостоятельно планирующие длинные цепочки действий.</x:v>
      </x:c>
      <x:c r="J34" s="42" t="str">
        <x:v>Управление +0,4; атака Афины +15%; атака Аполлона +15%</x:v>
      </x:c>
      <x:c r="K34" s="43" t="n">
        <x:f>SUMIF('Ход 2026'!$G$29:$G$38,$A34,'Ход 2026'!$I$29:$I$38)</x:f>
        <x:v>0</x:v>
      </x:c>
      <x:c r="L34" s="43" t="n">
        <x:f>SUMIF('Ход 2027'!$G$29:$G$38,$A34,'Ход 2027'!$I$29:$I$38)</x:f>
        <x:v>0</x:v>
      </x:c>
      <x:c r="M34" s="43" t="n">
        <x:f>SUMIF('Ход 2028'!$G$29:$G$38,$A34,'Ход 2028'!$I$29:$I$38)</x:f>
        <x:v>0</x:v>
      </x:c>
      <x:c r="N34" s="43" t="n">
        <x:f>SUMIF('Ход 2029'!$G$29:$G$38,$A34,'Ход 2029'!$I$29:$I$38)</x:f>
        <x:v>0</x:v>
      </x:c>
      <x:c r="O34" s="43" t="n">
        <x:f>SUMIF('Ход 2030'!$G$29:$G$38,$A34,'Ход 2030'!$I$29:$I$38)</x:f>
        <x:v>0</x:v>
      </x:c>
      <x:c r="P34" s="43" t="n">
        <x:f>SUMIF('Ход 2031'!$G$29:$G$38,$A34,'Ход 2031'!$I$29:$I$38)</x:f>
        <x:v>0</x:v>
      </x:c>
      <x:c r="Q34" s="43" t="n">
        <x:f>SUMIF('Ход 2032'!$G$29:$G$38,$A34,'Ход 2032'!$I$29:$I$38)</x:f>
        <x:v>0</x:v>
      </x:c>
      <x:c r="R34" s="43" t="n">
        <x:f>SUMIF('Ход 2033'!$G$29:$G$38,$A34,'Ход 2033'!$I$29:$I$38)</x:f>
        <x:v>0</x:v>
      </x:c>
      <x:c r="S34" s="43" t="n">
        <x:f>SUMIF('Ход 2034'!$G$29:$G$38,$A34,'Ход 2034'!$I$29:$I$38)</x:f>
        <x:v>0</x:v>
      </x:c>
      <x:c r="T34" s="43" t="n">
        <x:f>SUMIF('Ход 2035'!$G$29:$G$38,$A34,'Ход 2035'!$I$29:$I$38)</x:f>
        <x:v>0</x:v>
      </x:c>
      <x:c r="U34" s="43" t="n">
        <x:f>SUMIF('Ход 2036'!$G$29:$G$38,$A34,'Ход 2036'!$I$29:$I$38)</x:f>
        <x:v>0</x:v>
      </x:c>
      <x:c r="V34" s="43" t="n">
        <x:f>SUMIF('Ход 2037'!$G$29:$G$38,$A34,'Ход 2037'!$I$29:$I$38)</x:f>
        <x:v>0</x:v>
      </x:c>
      <x:c r="W34" s="43" t="n">
        <x:f>SUMIF('Ход 2038'!$G$29:$G$38,$A34,'Ход 2038'!$I$29:$I$38)</x:f>
        <x:v>0</x:v>
      </x:c>
      <x:c r="X34" s="43" t="n">
        <x:f>SUMIF('Ход 2039'!$G$29:$G$38,$A34,'Ход 2039'!$I$29:$I$38)</x:f>
        <x:v>0</x:v>
      </x:c>
      <x:c r="Y34" s="43" t="n">
        <x:f>SUMIF('Ход 2040'!$G$29:$G$38,$A34,'Ход 2040'!$I$29:$I$38)</x:f>
        <x:v>0</x:v>
      </x:c>
      <x:c r="Z34" s="44" t="n">
        <x:f>SUM(K34:Y34)</x:f>
        <x:v>0</x:v>
      </x:c>
      <x:c r="AA34" s="44" t="n">
        <x:f>MAX(0,E34-Z34)</x:f>
        <x:v>155</x:v>
      </x:c>
      <x:c r="AB34" s="42" t="str">
        <x:f>BF34</x:f>
        <x:v>ЗАКРЫТО</x:v>
      </x:c>
      <x:c r="AC34" t="n">
        <x:f>SUM($K34:K34)</x:f>
        <x:v>0</x:v>
      </x:c>
      <x:c r="AD34" t="n">
        <x:f>SUM($K34:L34)</x:f>
        <x:v>0</x:v>
      </x:c>
      <x:c r="AE34" t="n">
        <x:f>SUM($K34:M34)</x:f>
        <x:v>0</x:v>
      </x:c>
      <x:c r="AF34" t="n">
        <x:f>SUM($K34:N34)</x:f>
        <x:v>0</x:v>
      </x:c>
      <x:c r="AG34" t="n">
        <x:f>SUM($K34:O34)</x:f>
        <x:v>0</x:v>
      </x:c>
      <x:c r="AH34" t="n">
        <x:f>SUM($K34:P34)</x:f>
        <x:v>0</x:v>
      </x:c>
      <x:c r="AI34" t="n">
        <x:f>SUM($K34:Q34)</x:f>
        <x:v>0</x:v>
      </x:c>
      <x:c r="AJ34" t="n">
        <x:f>SUM($K34:R34)</x:f>
        <x:v>0</x:v>
      </x:c>
      <x:c r="AK34" t="n">
        <x:f>SUM($K34:S34)</x:f>
        <x:v>0</x:v>
      </x:c>
      <x:c r="AL34" t="n">
        <x:f>SUM($K34:T34)</x:f>
        <x:v>0</x:v>
      </x:c>
      <x:c r="AM34" t="n">
        <x:f>SUM($K34:U34)</x:f>
        <x:v>0</x:v>
      </x:c>
      <x:c r="AN34" t="n">
        <x:f>SUM($K34:V34)</x:f>
        <x:v>0</x:v>
      </x:c>
      <x:c r="AO34" t="n">
        <x:f>SUM($K34:W34)</x:f>
        <x:v>0</x:v>
      </x:c>
      <x:c r="AP34" t="n">
        <x:f>SUM($K34:X34)</x:f>
        <x:v>0</x:v>
      </x:c>
      <x:c r="AQ34" t="n">
        <x:f>SUM($K34:Y34)</x:f>
        <x:v>0</x:v>
      </x:c>
      <x:c r="AR34" t="str">
        <x:f>IF(AC34&gt;=E34,"ИЗУЧЕНО",IF(AND(OR(F34="",SUMIF($A$11:$A$50,F34,AC$11:AC$50)&gt;=SUMIF($A$11:$A$50,F34,$E$11:$E$50)),OR(G34="",SUMIF($A$11:$A$50,G34,AC$11:AC$50)&gt;=SUMIF($A$11:$A$50,G34,$E$11:$E$50)),OR(H34="",SUMIF($A$11:$A$50,H34,AC$11:AC$50)&gt;=SUMIF($A$11:$A$50,H34,$E$11:$E$50))),"ОТКРЫТО","ЗАКРЫТО"))</x:f>
        <x:v>ЗАКРЫТО</x:v>
      </x:c>
      <x:c r="AS34" t="str">
        <x:f>IF(AD34&gt;=E34,"ИЗУЧЕНО",IF(AND(OR(F34="",SUMIF($A$11:$A$50,F34,AD$11:AD$50)&gt;=SUMIF($A$11:$A$50,F34,$E$11:$E$50)),OR(G34="",SUMIF($A$11:$A$50,G34,AD$11:AD$50)&gt;=SUMIF($A$11:$A$50,G34,$E$11:$E$50)),OR(H34="",SUMIF($A$11:$A$50,H34,AD$11:AD$50)&gt;=SUMIF($A$11:$A$50,H34,$E$11:$E$50))),"ОТКРЫТО","ЗАКРЫТО"))</x:f>
        <x:v>ЗАКРЫТО</x:v>
      </x:c>
      <x:c r="AT34" t="str">
        <x:f>IF(AE34&gt;=E34,"ИЗУЧЕНО",IF(AND(OR(F34="",SUMIF($A$11:$A$50,F34,AE$11:AE$50)&gt;=SUMIF($A$11:$A$50,F34,$E$11:$E$50)),OR(G34="",SUMIF($A$11:$A$50,G34,AE$11:AE$50)&gt;=SUMIF($A$11:$A$50,G34,$E$11:$E$50)),OR(H34="",SUMIF($A$11:$A$50,H34,AE$11:AE$50)&gt;=SUMIF($A$11:$A$50,H34,$E$11:$E$50))),"ОТКРЫТО","ЗАКРЫТО"))</x:f>
        <x:v>ЗАКРЫТО</x:v>
      </x:c>
      <x:c r="AU34" t="str">
        <x:f>IF(AF34&gt;=E34,"ИЗУЧЕНО",IF(AND(OR(F34="",SUMIF($A$11:$A$50,F34,AF$11:AF$50)&gt;=SUMIF($A$11:$A$50,F34,$E$11:$E$50)),OR(G34="",SUMIF($A$11:$A$50,G34,AF$11:AF$50)&gt;=SUMIF($A$11:$A$50,G34,$E$11:$E$50)),OR(H34="",SUMIF($A$11:$A$50,H34,AF$11:AF$50)&gt;=SUMIF($A$11:$A$50,H34,$E$11:$E$50))),"ОТКРЫТО","ЗАКРЫТО"))</x:f>
        <x:v>ЗАКРЫТО</x:v>
      </x:c>
      <x:c r="AV34" t="str">
        <x:f>IF(AG34&gt;=E34,"ИЗУЧЕНО",IF(AND(OR(F34="",SUMIF($A$11:$A$50,F34,AG$11:AG$50)&gt;=SUMIF($A$11:$A$50,F34,$E$11:$E$50)),OR(G34="",SUMIF($A$11:$A$50,G34,AG$11:AG$50)&gt;=SUMIF($A$11:$A$50,G34,$E$11:$E$50)),OR(H34="",SUMIF($A$11:$A$50,H34,AG$11:AG$50)&gt;=SUMIF($A$11:$A$50,H34,$E$11:$E$50))),"ОТКРЫТО","ЗАКРЫТО"))</x:f>
        <x:v>ЗАКРЫТО</x:v>
      </x:c>
      <x:c r="AW34" t="str">
        <x:f>IF(AH34&gt;=E34,"ИЗУЧЕНО",IF(AND(OR(F34="",SUMIF($A$11:$A$50,F34,AH$11:AH$50)&gt;=SUMIF($A$11:$A$50,F34,$E$11:$E$50)),OR(G34="",SUMIF($A$11:$A$50,G34,AH$11:AH$50)&gt;=SUMIF($A$11:$A$50,G34,$E$11:$E$50)),OR(H34="",SUMIF($A$11:$A$50,H34,AH$11:AH$50)&gt;=SUMIF($A$11:$A$50,H34,$E$11:$E$50))),"ОТКРЫТО","ЗАКРЫТО"))</x:f>
        <x:v>ЗАКРЫТО</x:v>
      </x:c>
      <x:c r="AX34" t="str">
        <x:f>IF(AI34&gt;=E34,"ИЗУЧЕНО",IF(AND(OR(F34="",SUMIF($A$11:$A$50,F34,AI$11:AI$50)&gt;=SUMIF($A$11:$A$50,F34,$E$11:$E$50)),OR(G34="",SUMIF($A$11:$A$50,G34,AI$11:AI$50)&gt;=SUMIF($A$11:$A$50,G34,$E$11:$E$50)),OR(H34="",SUMIF($A$11:$A$50,H34,AI$11:AI$50)&gt;=SUMIF($A$11:$A$50,H34,$E$11:$E$50))),"ОТКРЫТО","ЗАКРЫТО"))</x:f>
        <x:v>ЗАКРЫТО</x:v>
      </x:c>
      <x:c r="AY34" t="str">
        <x:f>IF(AJ34&gt;=E34,"ИЗУЧЕНО",IF(AND(OR(F34="",SUMIF($A$11:$A$50,F34,AJ$11:AJ$50)&gt;=SUMIF($A$11:$A$50,F34,$E$11:$E$50)),OR(G34="",SUMIF($A$11:$A$50,G34,AJ$11:AJ$50)&gt;=SUMIF($A$11:$A$50,G34,$E$11:$E$50)),OR(H34="",SUMIF($A$11:$A$50,H34,AJ$11:AJ$50)&gt;=SUMIF($A$11:$A$50,H34,$E$11:$E$50))),"ОТКРЫТО","ЗАКРЫТО"))</x:f>
        <x:v>ЗАКРЫТО</x:v>
      </x:c>
      <x:c r="AZ34" t="str">
        <x:f>IF(AK34&gt;=E34,"ИЗУЧЕНО",IF(AND(OR(F34="",SUMIF($A$11:$A$50,F34,AK$11:AK$50)&gt;=SUMIF($A$11:$A$50,F34,$E$11:$E$50)),OR(G34="",SUMIF($A$11:$A$50,G34,AK$11:AK$50)&gt;=SUMIF($A$11:$A$50,G34,$E$11:$E$50)),OR(H34="",SUMIF($A$11:$A$50,H34,AK$11:AK$50)&gt;=SUMIF($A$11:$A$50,H34,$E$11:$E$50))),"ОТКРЫТО","ЗАКРЫТО"))</x:f>
        <x:v>ЗАКРЫТО</x:v>
      </x:c>
      <x:c r="BA34" t="str">
        <x:f>IF(AL34&gt;=E34,"ИЗУЧЕНО",IF(AND(OR(F34="",SUMIF($A$11:$A$50,F34,AL$11:AL$50)&gt;=SUMIF($A$11:$A$50,F34,$E$11:$E$50)),OR(G34="",SUMIF($A$11:$A$50,G34,AL$11:AL$50)&gt;=SUMIF($A$11:$A$50,G34,$E$11:$E$50)),OR(H34="",SUMIF($A$11:$A$50,H34,AL$11:AL$50)&gt;=SUMIF($A$11:$A$50,H34,$E$11:$E$50))),"ОТКРЫТО","ЗАКРЫТО"))</x:f>
        <x:v>ЗАКРЫТО</x:v>
      </x:c>
      <x:c r="BB34" t="str">
        <x:f>IF(AM34&gt;=E34,"ИЗУЧЕНО",IF(AND(OR(F34="",SUMIF($A$11:$A$50,F34,AM$11:AM$50)&gt;=SUMIF($A$11:$A$50,F34,$E$11:$E$50)),OR(G34="",SUMIF($A$11:$A$50,G34,AM$11:AM$50)&gt;=SUMIF($A$11:$A$50,G34,$E$11:$E$50)),OR(H34="",SUMIF($A$11:$A$50,H34,AM$11:AM$50)&gt;=SUMIF($A$11:$A$50,H34,$E$11:$E$50))),"ОТКРЫТО","ЗАКРЫТО"))</x:f>
        <x:v>ЗАКРЫТО</x:v>
      </x:c>
      <x:c r="BC34" t="str">
        <x:f>IF(AN34&gt;=E34,"ИЗУЧЕНО",IF(AND(OR(F34="",SUMIF($A$11:$A$50,F34,AN$11:AN$50)&gt;=SUMIF($A$11:$A$50,F34,$E$11:$E$50)),OR(G34="",SUMIF($A$11:$A$50,G34,AN$11:AN$50)&gt;=SUMIF($A$11:$A$50,G34,$E$11:$E$50)),OR(H34="",SUMIF($A$11:$A$50,H34,AN$11:AN$50)&gt;=SUMIF($A$11:$A$50,H34,$E$11:$E$50))),"ОТКРЫТО","ЗАКРЫТО"))</x:f>
        <x:v>ЗАКРЫТО</x:v>
      </x:c>
      <x:c r="BD34" t="str">
        <x:f>IF(AO34&gt;=E34,"ИЗУЧЕНО",IF(AND(OR(F34="",SUMIF($A$11:$A$50,F34,AO$11:AO$50)&gt;=SUMIF($A$11:$A$50,F34,$E$11:$E$50)),OR(G34="",SUMIF($A$11:$A$50,G34,AO$11:AO$50)&gt;=SUMIF($A$11:$A$50,G34,$E$11:$E$50)),OR(H34="",SUMIF($A$11:$A$50,H34,AO$11:AO$50)&gt;=SUMIF($A$11:$A$50,H34,$E$11:$E$50))),"ОТКРЫТО","ЗАКРЫТО"))</x:f>
        <x:v>ЗАКРЫТО</x:v>
      </x:c>
      <x:c r="BE34" t="str">
        <x:f>IF(AP34&gt;=E34,"ИЗУЧЕНО",IF(AND(OR(F34="",SUMIF($A$11:$A$50,F34,AP$11:AP$50)&gt;=SUMIF($A$11:$A$50,F34,$E$11:$E$50)),OR(G34="",SUMIF($A$11:$A$50,G34,AP$11:AP$50)&gt;=SUMIF($A$11:$A$50,G34,$E$11:$E$50)),OR(H34="",SUMIF($A$11:$A$50,H34,AP$11:AP$50)&gt;=SUMIF($A$11:$A$50,H34,$E$11:$E$50))),"ОТКРЫТО","ЗАКРЫТО"))</x:f>
        <x:v>ЗАКРЫТО</x:v>
      </x:c>
      <x:c r="BF34" t="str">
        <x:f>IF(AQ34&gt;=E34,"ИЗУЧЕНО",IF(AND(OR(F34="",SUMIF($A$11:$A$50,F34,AQ$11:AQ$50)&gt;=SUMIF($A$11:$A$50,F34,$E$11:$E$50)),OR(G34="",SUMIF($A$11:$A$50,G34,AQ$11:AQ$50)&gt;=SUMIF($A$11:$A$50,G34,$E$11:$E$50)),OR(H34="",SUMIF($A$11:$A$50,H34,AQ$11:AQ$50)&gt;=SUMIF($A$11:$A$50,H34,$E$11:$E$50))),"ОТКРЫТО","ЗАКРЫТО"))</x:f>
        <x:v>ЗАКРЫТО</x:v>
      </x:c>
    </x:row>
    <x:row r="35">
      <x:c r="A35" s="42" t="str">
        <x:v>R1</x:v>
      </x:c>
      <x:c r="B35" s="42" t="str">
        <x:v>Физический ИИ и робототехника</x:v>
      </x:c>
      <x:c r="C35" s="42" t="str">
        <x:v>I</x:v>
      </x:c>
      <x:c r="D35" s="42" t="str">
        <x:v>Машинное зрение и интеллектуальное управление</x:v>
      </x:c>
      <x:c r="E35" s="42" t="n">
        <x:v>20</x:v>
      </x:c>
      <x:c r="F35" s="42"/>
      <x:c r="G35" s="42"/>
      <x:c r="H35" s="42"/>
      <x:c r="I35" s="42" t="str">
        <x:v>Распознавание физической среды и управление оборудованием.</x:v>
      </x:c>
      <x:c r="J35" s="42" t="str">
        <x:v>Оцифрованность деятельности +0,2; прирост Производства +0,05/год</x:v>
      </x:c>
      <x:c r="K35" s="43" t="n">
        <x:f>SUMIF('Ход 2026'!$G$29:$G$38,$A35,'Ход 2026'!$I$29:$I$38)</x:f>
        <x:v>0</x:v>
      </x:c>
      <x:c r="L35" s="43" t="n">
        <x:f>SUMIF('Ход 2027'!$G$29:$G$38,$A35,'Ход 2027'!$I$29:$I$38)</x:f>
        <x:v>0</x:v>
      </x:c>
      <x:c r="M35" s="43" t="n">
        <x:f>SUMIF('Ход 2028'!$G$29:$G$38,$A35,'Ход 2028'!$I$29:$I$38)</x:f>
        <x:v>0</x:v>
      </x:c>
      <x:c r="N35" s="43" t="n">
        <x:f>SUMIF('Ход 2029'!$G$29:$G$38,$A35,'Ход 2029'!$I$29:$I$38)</x:f>
        <x:v>0</x:v>
      </x:c>
      <x:c r="O35" s="43" t="n">
        <x:f>SUMIF('Ход 2030'!$G$29:$G$38,$A35,'Ход 2030'!$I$29:$I$38)</x:f>
        <x:v>0</x:v>
      </x:c>
      <x:c r="P35" s="43" t="n">
        <x:f>SUMIF('Ход 2031'!$G$29:$G$38,$A35,'Ход 2031'!$I$29:$I$38)</x:f>
        <x:v>0</x:v>
      </x:c>
      <x:c r="Q35" s="43" t="n">
        <x:f>SUMIF('Ход 2032'!$G$29:$G$38,$A35,'Ход 2032'!$I$29:$I$38)</x:f>
        <x:v>0</x:v>
      </x:c>
      <x:c r="R35" s="43" t="n">
        <x:f>SUMIF('Ход 2033'!$G$29:$G$38,$A35,'Ход 2033'!$I$29:$I$38)</x:f>
        <x:v>0</x:v>
      </x:c>
      <x:c r="S35" s="43" t="n">
        <x:f>SUMIF('Ход 2034'!$G$29:$G$38,$A35,'Ход 2034'!$I$29:$I$38)</x:f>
        <x:v>0</x:v>
      </x:c>
      <x:c r="T35" s="43" t="n">
        <x:f>SUMIF('Ход 2035'!$G$29:$G$38,$A35,'Ход 2035'!$I$29:$I$38)</x:f>
        <x:v>0</x:v>
      </x:c>
      <x:c r="U35" s="43" t="n">
        <x:f>SUMIF('Ход 2036'!$G$29:$G$38,$A35,'Ход 2036'!$I$29:$I$38)</x:f>
        <x:v>0</x:v>
      </x:c>
      <x:c r="V35" s="43" t="n">
        <x:f>SUMIF('Ход 2037'!$G$29:$G$38,$A35,'Ход 2037'!$I$29:$I$38)</x:f>
        <x:v>0</x:v>
      </x:c>
      <x:c r="W35" s="43" t="n">
        <x:f>SUMIF('Ход 2038'!$G$29:$G$38,$A35,'Ход 2038'!$I$29:$I$38)</x:f>
        <x:v>0</x:v>
      </x:c>
      <x:c r="X35" s="43" t="n">
        <x:f>SUMIF('Ход 2039'!$G$29:$G$38,$A35,'Ход 2039'!$I$29:$I$38)</x:f>
        <x:v>0</x:v>
      </x:c>
      <x:c r="Y35" s="43" t="n">
        <x:f>SUMIF('Ход 2040'!$G$29:$G$38,$A35,'Ход 2040'!$I$29:$I$38)</x:f>
        <x:v>0</x:v>
      </x:c>
      <x:c r="Z35" s="44" t="n">
        <x:f>SUM(K35:Y35)</x:f>
        <x:v>0</x:v>
      </x:c>
      <x:c r="AA35" s="44" t="n">
        <x:f>MAX(0,E35-Z35)</x:f>
        <x:v>20</x:v>
      </x:c>
      <x:c r="AB35" s="42" t="str">
        <x:f>BF35</x:f>
        <x:v>ОТКРЫТО</x:v>
      </x:c>
      <x:c r="AC35" t="n">
        <x:f>SUM($K35:K35)</x:f>
        <x:v>0</x:v>
      </x:c>
      <x:c r="AD35" t="n">
        <x:f>SUM($K35:L35)</x:f>
        <x:v>0</x:v>
      </x:c>
      <x:c r="AE35" t="n">
        <x:f>SUM($K35:M35)</x:f>
        <x:v>0</x:v>
      </x:c>
      <x:c r="AF35" t="n">
        <x:f>SUM($K35:N35)</x:f>
        <x:v>0</x:v>
      </x:c>
      <x:c r="AG35" t="n">
        <x:f>SUM($K35:O35)</x:f>
        <x:v>0</x:v>
      </x:c>
      <x:c r="AH35" t="n">
        <x:f>SUM($K35:P35)</x:f>
        <x:v>0</x:v>
      </x:c>
      <x:c r="AI35" t="n">
        <x:f>SUM($K35:Q35)</x:f>
        <x:v>0</x:v>
      </x:c>
      <x:c r="AJ35" t="n">
        <x:f>SUM($K35:R35)</x:f>
        <x:v>0</x:v>
      </x:c>
      <x:c r="AK35" t="n">
        <x:f>SUM($K35:S35)</x:f>
        <x:v>0</x:v>
      </x:c>
      <x:c r="AL35" t="n">
        <x:f>SUM($K35:T35)</x:f>
        <x:v>0</x:v>
      </x:c>
      <x:c r="AM35" t="n">
        <x:f>SUM($K35:U35)</x:f>
        <x:v>0</x:v>
      </x:c>
      <x:c r="AN35" t="n">
        <x:f>SUM($K35:V35)</x:f>
        <x:v>0</x:v>
      </x:c>
      <x:c r="AO35" t="n">
        <x:f>SUM($K35:W35)</x:f>
        <x:v>0</x:v>
      </x:c>
      <x:c r="AP35" t="n">
        <x:f>SUM($K35:X35)</x:f>
        <x:v>0</x:v>
      </x:c>
      <x:c r="AQ35" t="n">
        <x:f>SUM($K35:Y35)</x:f>
        <x:v>0</x:v>
      </x:c>
      <x:c r="AR35" t="str">
        <x:f>IF(AC35&gt;=E35,"ИЗУЧЕНО",IF(AND(OR(F35="",SUMIF($A$11:$A$50,F35,AC$11:AC$50)&gt;=SUMIF($A$11:$A$50,F35,$E$11:$E$50)),OR(G35="",SUMIF($A$11:$A$50,G35,AC$11:AC$50)&gt;=SUMIF($A$11:$A$50,G35,$E$11:$E$50)),OR(H35="",SUMIF($A$11:$A$50,H35,AC$11:AC$50)&gt;=SUMIF($A$11:$A$50,H35,$E$11:$E$50))),"ОТКРЫТО","ЗАКРЫТО"))</x:f>
        <x:v>ОТКРЫТО</x:v>
      </x:c>
      <x:c r="AS35" t="str">
        <x:f>IF(AD35&gt;=E35,"ИЗУЧЕНО",IF(AND(OR(F35="",SUMIF($A$11:$A$50,F35,AD$11:AD$50)&gt;=SUMIF($A$11:$A$50,F35,$E$11:$E$50)),OR(G35="",SUMIF($A$11:$A$50,G35,AD$11:AD$50)&gt;=SUMIF($A$11:$A$50,G35,$E$11:$E$50)),OR(H35="",SUMIF($A$11:$A$50,H35,AD$11:AD$50)&gt;=SUMIF($A$11:$A$50,H35,$E$11:$E$50))),"ОТКРЫТО","ЗАКРЫТО"))</x:f>
        <x:v>ОТКРЫТО</x:v>
      </x:c>
      <x:c r="AT35" t="str">
        <x:f>IF(AE35&gt;=E35,"ИЗУЧЕНО",IF(AND(OR(F35="",SUMIF($A$11:$A$50,F35,AE$11:AE$50)&gt;=SUMIF($A$11:$A$50,F35,$E$11:$E$50)),OR(G35="",SUMIF($A$11:$A$50,G35,AE$11:AE$50)&gt;=SUMIF($A$11:$A$50,G35,$E$11:$E$50)),OR(H35="",SUMIF($A$11:$A$50,H35,AE$11:AE$50)&gt;=SUMIF($A$11:$A$50,H35,$E$11:$E$50))),"ОТКРЫТО","ЗАКРЫТО"))</x:f>
        <x:v>ОТКРЫТО</x:v>
      </x:c>
      <x:c r="AU35" t="str">
        <x:f>IF(AF35&gt;=E35,"ИЗУЧЕНО",IF(AND(OR(F35="",SUMIF($A$11:$A$50,F35,AF$11:AF$50)&gt;=SUMIF($A$11:$A$50,F35,$E$11:$E$50)),OR(G35="",SUMIF($A$11:$A$50,G35,AF$11:AF$50)&gt;=SUMIF($A$11:$A$50,G35,$E$11:$E$50)),OR(H35="",SUMIF($A$11:$A$50,H35,AF$11:AF$50)&gt;=SUMIF($A$11:$A$50,H35,$E$11:$E$50))),"ОТКРЫТО","ЗАКРЫТО"))</x:f>
        <x:v>ОТКРЫТО</x:v>
      </x:c>
      <x:c r="AV35" t="str">
        <x:f>IF(AG35&gt;=E35,"ИЗУЧЕНО",IF(AND(OR(F35="",SUMIF($A$11:$A$50,F35,AG$11:AG$50)&gt;=SUMIF($A$11:$A$50,F35,$E$11:$E$50)),OR(G35="",SUMIF($A$11:$A$50,G35,AG$11:AG$50)&gt;=SUMIF($A$11:$A$50,G35,$E$11:$E$50)),OR(H35="",SUMIF($A$11:$A$50,H35,AG$11:AG$50)&gt;=SUMIF($A$11:$A$50,H35,$E$11:$E$50))),"ОТКРЫТО","ЗАКРЫТО"))</x:f>
        <x:v>ОТКРЫТО</x:v>
      </x:c>
      <x:c r="AW35" t="str">
        <x:f>IF(AH35&gt;=E35,"ИЗУЧЕНО",IF(AND(OR(F35="",SUMIF($A$11:$A$50,F35,AH$11:AH$50)&gt;=SUMIF($A$11:$A$50,F35,$E$11:$E$50)),OR(G35="",SUMIF($A$11:$A$50,G35,AH$11:AH$50)&gt;=SUMIF($A$11:$A$50,G35,$E$11:$E$50)),OR(H35="",SUMIF($A$11:$A$50,H35,AH$11:AH$50)&gt;=SUMIF($A$11:$A$50,H35,$E$11:$E$50))),"ОТКРЫТО","ЗАКРЫТО"))</x:f>
        <x:v>ОТКРЫТО</x:v>
      </x:c>
      <x:c r="AX35" t="str">
        <x:f>IF(AI35&gt;=E35,"ИЗУЧЕНО",IF(AND(OR(F35="",SUMIF($A$11:$A$50,F35,AI$11:AI$50)&gt;=SUMIF($A$11:$A$50,F35,$E$11:$E$50)),OR(G35="",SUMIF($A$11:$A$50,G35,AI$11:AI$50)&gt;=SUMIF($A$11:$A$50,G35,$E$11:$E$50)),OR(H35="",SUMIF($A$11:$A$50,H35,AI$11:AI$50)&gt;=SUMIF($A$11:$A$50,H35,$E$11:$E$50))),"ОТКРЫТО","ЗАКРЫТО"))</x:f>
        <x:v>ОТКРЫТО</x:v>
      </x:c>
      <x:c r="AY35" t="str">
        <x:f>IF(AJ35&gt;=E35,"ИЗУЧЕНО",IF(AND(OR(F35="",SUMIF($A$11:$A$50,F35,AJ$11:AJ$50)&gt;=SUMIF($A$11:$A$50,F35,$E$11:$E$50)),OR(G35="",SUMIF($A$11:$A$50,G35,AJ$11:AJ$50)&gt;=SUMIF($A$11:$A$50,G35,$E$11:$E$50)),OR(H35="",SUMIF($A$11:$A$50,H35,AJ$11:AJ$50)&gt;=SUMIF($A$11:$A$50,H35,$E$11:$E$50))),"ОТКРЫТО","ЗАКРЫТО"))</x:f>
        <x:v>ОТКРЫТО</x:v>
      </x:c>
      <x:c r="AZ35" t="str">
        <x:f>IF(AK35&gt;=E35,"ИЗУЧЕНО",IF(AND(OR(F35="",SUMIF($A$11:$A$50,F35,AK$11:AK$50)&gt;=SUMIF($A$11:$A$50,F35,$E$11:$E$50)),OR(G35="",SUMIF($A$11:$A$50,G35,AK$11:AK$50)&gt;=SUMIF($A$11:$A$50,G35,$E$11:$E$50)),OR(H35="",SUMIF($A$11:$A$50,H35,AK$11:AK$50)&gt;=SUMIF($A$11:$A$50,H35,$E$11:$E$50))),"ОТКРЫТО","ЗАКРЫТО"))</x:f>
        <x:v>ОТКРЫТО</x:v>
      </x:c>
      <x:c r="BA35" t="str">
        <x:f>IF(AL35&gt;=E35,"ИЗУЧЕНО",IF(AND(OR(F35="",SUMIF($A$11:$A$50,F35,AL$11:AL$50)&gt;=SUMIF($A$11:$A$50,F35,$E$11:$E$50)),OR(G35="",SUMIF($A$11:$A$50,G35,AL$11:AL$50)&gt;=SUMIF($A$11:$A$50,G35,$E$11:$E$50)),OR(H35="",SUMIF($A$11:$A$50,H35,AL$11:AL$50)&gt;=SUMIF($A$11:$A$50,H35,$E$11:$E$50))),"ОТКРЫТО","ЗАКРЫТО"))</x:f>
        <x:v>ОТКРЫТО</x:v>
      </x:c>
      <x:c r="BB35" t="str">
        <x:f>IF(AM35&gt;=E35,"ИЗУЧЕНО",IF(AND(OR(F35="",SUMIF($A$11:$A$50,F35,AM$11:AM$50)&gt;=SUMIF($A$11:$A$50,F35,$E$11:$E$50)),OR(G35="",SUMIF($A$11:$A$50,G35,AM$11:AM$50)&gt;=SUMIF($A$11:$A$50,G35,$E$11:$E$50)),OR(H35="",SUMIF($A$11:$A$50,H35,AM$11:AM$50)&gt;=SUMIF($A$11:$A$50,H35,$E$11:$E$50))),"ОТКРЫТО","ЗАКРЫТО"))</x:f>
        <x:v>ОТКРЫТО</x:v>
      </x:c>
      <x:c r="BC35" t="str">
        <x:f>IF(AN35&gt;=E35,"ИЗУЧЕНО",IF(AND(OR(F35="",SUMIF($A$11:$A$50,F35,AN$11:AN$50)&gt;=SUMIF($A$11:$A$50,F35,$E$11:$E$50)),OR(G35="",SUMIF($A$11:$A$50,G35,AN$11:AN$50)&gt;=SUMIF($A$11:$A$50,G35,$E$11:$E$50)),OR(H35="",SUMIF($A$11:$A$50,H35,AN$11:AN$50)&gt;=SUMIF($A$11:$A$50,H35,$E$11:$E$50))),"ОТКРЫТО","ЗАКРЫТО"))</x:f>
        <x:v>ОТКРЫТО</x:v>
      </x:c>
      <x:c r="BD35" t="str">
        <x:f>IF(AO35&gt;=E35,"ИЗУЧЕНО",IF(AND(OR(F35="",SUMIF($A$11:$A$50,F35,AO$11:AO$50)&gt;=SUMIF($A$11:$A$50,F35,$E$11:$E$50)),OR(G35="",SUMIF($A$11:$A$50,G35,AO$11:AO$50)&gt;=SUMIF($A$11:$A$50,G35,$E$11:$E$50)),OR(H35="",SUMIF($A$11:$A$50,H35,AO$11:AO$50)&gt;=SUMIF($A$11:$A$50,H35,$E$11:$E$50))),"ОТКРЫТО","ЗАКРЫТО"))</x:f>
        <x:v>ОТКРЫТО</x:v>
      </x:c>
      <x:c r="BE35" t="str">
        <x:f>IF(AP35&gt;=E35,"ИЗУЧЕНО",IF(AND(OR(F35="",SUMIF($A$11:$A$50,F35,AP$11:AP$50)&gt;=SUMIF($A$11:$A$50,F35,$E$11:$E$50)),OR(G35="",SUMIF($A$11:$A$50,G35,AP$11:AP$50)&gt;=SUMIF($A$11:$A$50,G35,$E$11:$E$50)),OR(H35="",SUMIF($A$11:$A$50,H35,AP$11:AP$50)&gt;=SUMIF($A$11:$A$50,H35,$E$11:$E$50))),"ОТКРЫТО","ЗАКРЫТО"))</x:f>
        <x:v>ОТКРЫТО</x:v>
      </x:c>
      <x:c r="BF35" t="str">
        <x:f>IF(AQ35&gt;=E35,"ИЗУЧЕНО",IF(AND(OR(F35="",SUMIF($A$11:$A$50,F35,AQ$11:AQ$50)&gt;=SUMIF($A$11:$A$50,F35,$E$11:$E$50)),OR(G35="",SUMIF($A$11:$A$50,G35,AQ$11:AQ$50)&gt;=SUMIF($A$11:$A$50,G35,$E$11:$E$50)),OR(H35="",SUMIF($A$11:$A$50,H35,AQ$11:AQ$50)&gt;=SUMIF($A$11:$A$50,H35,$E$11:$E$50))),"ОТКРЫТО","ЗАКРЫТО"))</x:f>
        <x:v>ОТКРЫТО</x:v>
      </x:c>
    </x:row>
    <x:row r="36">
      <x:c r="A36" s="42" t="str">
        <x:v>R2</x:v>
      </x:c>
      <x:c r="B36" s="42" t="str">
        <x:v>Физический ИИ и робототехника</x:v>
      </x:c>
      <x:c r="C36" s="42" t="str">
        <x:v>II</x:v>
      </x:c>
      <x:c r="D36" s="42" t="str">
        <x:v>Интеллектуальная промышленная робототехника</x:v>
      </x:c>
      <x:c r="E36" s="42" t="n">
        <x:v>40</x:v>
      </x:c>
      <x:c r="F36" s="42" t="str">
        <x:v>R1</x:v>
      </x:c>
      <x:c r="G36" s="42"/>
      <x:c r="H36" s="42"/>
      <x:c r="I36" s="42" t="str">
        <x:v>Роботы, способные адаптироваться к производственным операциям.</x:v>
      </x:c>
      <x:c r="J36" s="42" t="str">
        <x:v>Производство +0,3; его прирост +0,08/год</x:v>
      </x:c>
      <x:c r="K36" s="43" t="n">
        <x:f>SUMIF('Ход 2026'!$G$29:$G$38,$A36,'Ход 2026'!$I$29:$I$38)</x:f>
        <x:v>0</x:v>
      </x:c>
      <x:c r="L36" s="43" t="n">
        <x:f>SUMIF('Ход 2027'!$G$29:$G$38,$A36,'Ход 2027'!$I$29:$I$38)</x:f>
        <x:v>0</x:v>
      </x:c>
      <x:c r="M36" s="43" t="n">
        <x:f>SUMIF('Ход 2028'!$G$29:$G$38,$A36,'Ход 2028'!$I$29:$I$38)</x:f>
        <x:v>0</x:v>
      </x:c>
      <x:c r="N36" s="43" t="n">
        <x:f>SUMIF('Ход 2029'!$G$29:$G$38,$A36,'Ход 2029'!$I$29:$I$38)</x:f>
        <x:v>0</x:v>
      </x:c>
      <x:c r="O36" s="43" t="n">
        <x:f>SUMIF('Ход 2030'!$G$29:$G$38,$A36,'Ход 2030'!$I$29:$I$38)</x:f>
        <x:v>0</x:v>
      </x:c>
      <x:c r="P36" s="43" t="n">
        <x:f>SUMIF('Ход 2031'!$G$29:$G$38,$A36,'Ход 2031'!$I$29:$I$38)</x:f>
        <x:v>0</x:v>
      </x:c>
      <x:c r="Q36" s="43" t="n">
        <x:f>SUMIF('Ход 2032'!$G$29:$G$38,$A36,'Ход 2032'!$I$29:$I$38)</x:f>
        <x:v>0</x:v>
      </x:c>
      <x:c r="R36" s="43" t="n">
        <x:f>SUMIF('Ход 2033'!$G$29:$G$38,$A36,'Ход 2033'!$I$29:$I$38)</x:f>
        <x:v>0</x:v>
      </x:c>
      <x:c r="S36" s="43" t="n">
        <x:f>SUMIF('Ход 2034'!$G$29:$G$38,$A36,'Ход 2034'!$I$29:$I$38)</x:f>
        <x:v>0</x:v>
      </x:c>
      <x:c r="T36" s="43" t="n">
        <x:f>SUMIF('Ход 2035'!$G$29:$G$38,$A36,'Ход 2035'!$I$29:$I$38)</x:f>
        <x:v>0</x:v>
      </x:c>
      <x:c r="U36" s="43" t="n">
        <x:f>SUMIF('Ход 2036'!$G$29:$G$38,$A36,'Ход 2036'!$I$29:$I$38)</x:f>
        <x:v>0</x:v>
      </x:c>
      <x:c r="V36" s="43" t="n">
        <x:f>SUMIF('Ход 2037'!$G$29:$G$38,$A36,'Ход 2037'!$I$29:$I$38)</x:f>
        <x:v>0</x:v>
      </x:c>
      <x:c r="W36" s="43" t="n">
        <x:f>SUMIF('Ход 2038'!$G$29:$G$38,$A36,'Ход 2038'!$I$29:$I$38)</x:f>
        <x:v>0</x:v>
      </x:c>
      <x:c r="X36" s="43" t="n">
        <x:f>SUMIF('Ход 2039'!$G$29:$G$38,$A36,'Ход 2039'!$I$29:$I$38)</x:f>
        <x:v>0</x:v>
      </x:c>
      <x:c r="Y36" s="43" t="n">
        <x:f>SUMIF('Ход 2040'!$G$29:$G$38,$A36,'Ход 2040'!$I$29:$I$38)</x:f>
        <x:v>0</x:v>
      </x:c>
      <x:c r="Z36" s="44" t="n">
        <x:f>SUM(K36:Y36)</x:f>
        <x:v>0</x:v>
      </x:c>
      <x:c r="AA36" s="44" t="n">
        <x:f>MAX(0,E36-Z36)</x:f>
        <x:v>40</x:v>
      </x:c>
      <x:c r="AB36" s="42" t="str">
        <x:f>BF36</x:f>
        <x:v>ЗАКРЫТО</x:v>
      </x:c>
      <x:c r="AC36" t="n">
        <x:f>SUM($K36:K36)</x:f>
        <x:v>0</x:v>
      </x:c>
      <x:c r="AD36" t="n">
        <x:f>SUM($K36:L36)</x:f>
        <x:v>0</x:v>
      </x:c>
      <x:c r="AE36" t="n">
        <x:f>SUM($K36:M36)</x:f>
        <x:v>0</x:v>
      </x:c>
      <x:c r="AF36" t="n">
        <x:f>SUM($K36:N36)</x:f>
        <x:v>0</x:v>
      </x:c>
      <x:c r="AG36" t="n">
        <x:f>SUM($K36:O36)</x:f>
        <x:v>0</x:v>
      </x:c>
      <x:c r="AH36" t="n">
        <x:f>SUM($K36:P36)</x:f>
        <x:v>0</x:v>
      </x:c>
      <x:c r="AI36" t="n">
        <x:f>SUM($K36:Q36)</x:f>
        <x:v>0</x:v>
      </x:c>
      <x:c r="AJ36" t="n">
        <x:f>SUM($K36:R36)</x:f>
        <x:v>0</x:v>
      </x:c>
      <x:c r="AK36" t="n">
        <x:f>SUM($K36:S36)</x:f>
        <x:v>0</x:v>
      </x:c>
      <x:c r="AL36" t="n">
        <x:f>SUM($K36:T36)</x:f>
        <x:v>0</x:v>
      </x:c>
      <x:c r="AM36" t="n">
        <x:f>SUM($K36:U36)</x:f>
        <x:v>0</x:v>
      </x:c>
      <x:c r="AN36" t="n">
        <x:f>SUM($K36:V36)</x:f>
        <x:v>0</x:v>
      </x:c>
      <x:c r="AO36" t="n">
        <x:f>SUM($K36:W36)</x:f>
        <x:v>0</x:v>
      </x:c>
      <x:c r="AP36" t="n">
        <x:f>SUM($K36:X36)</x:f>
        <x:v>0</x:v>
      </x:c>
      <x:c r="AQ36" t="n">
        <x:f>SUM($K36:Y36)</x:f>
        <x:v>0</x:v>
      </x:c>
      <x:c r="AR36" t="str">
        <x:f>IF(AC36&gt;=E36,"ИЗУЧЕНО",IF(AND(OR(F36="",SUMIF($A$11:$A$50,F36,AC$11:AC$50)&gt;=SUMIF($A$11:$A$50,F36,$E$11:$E$50)),OR(G36="",SUMIF($A$11:$A$50,G36,AC$11:AC$50)&gt;=SUMIF($A$11:$A$50,G36,$E$11:$E$50)),OR(H36="",SUMIF($A$11:$A$50,H36,AC$11:AC$50)&gt;=SUMIF($A$11:$A$50,H36,$E$11:$E$50))),"ОТКРЫТО","ЗАКРЫТО"))</x:f>
        <x:v>ЗАКРЫТО</x:v>
      </x:c>
      <x:c r="AS36" t="str">
        <x:f>IF(AD36&gt;=E36,"ИЗУЧЕНО",IF(AND(OR(F36="",SUMIF($A$11:$A$50,F36,AD$11:AD$50)&gt;=SUMIF($A$11:$A$50,F36,$E$11:$E$50)),OR(G36="",SUMIF($A$11:$A$50,G36,AD$11:AD$50)&gt;=SUMIF($A$11:$A$50,G36,$E$11:$E$50)),OR(H36="",SUMIF($A$11:$A$50,H36,AD$11:AD$50)&gt;=SUMIF($A$11:$A$50,H36,$E$11:$E$50))),"ОТКРЫТО","ЗАКРЫТО"))</x:f>
        <x:v>ЗАКРЫТО</x:v>
      </x:c>
      <x:c r="AT36" t="str">
        <x:f>IF(AE36&gt;=E36,"ИЗУЧЕНО",IF(AND(OR(F36="",SUMIF($A$11:$A$50,F36,AE$11:AE$50)&gt;=SUMIF($A$11:$A$50,F36,$E$11:$E$50)),OR(G36="",SUMIF($A$11:$A$50,G36,AE$11:AE$50)&gt;=SUMIF($A$11:$A$50,G36,$E$11:$E$50)),OR(H36="",SUMIF($A$11:$A$50,H36,AE$11:AE$50)&gt;=SUMIF($A$11:$A$50,H36,$E$11:$E$50))),"ОТКРЫТО","ЗАКРЫТО"))</x:f>
        <x:v>ЗАКРЫТО</x:v>
      </x:c>
      <x:c r="AU36" t="str">
        <x:f>IF(AF36&gt;=E36,"ИЗУЧЕНО",IF(AND(OR(F36="",SUMIF($A$11:$A$50,F36,AF$11:AF$50)&gt;=SUMIF($A$11:$A$50,F36,$E$11:$E$50)),OR(G36="",SUMIF($A$11:$A$50,G36,AF$11:AF$50)&gt;=SUMIF($A$11:$A$50,G36,$E$11:$E$50)),OR(H36="",SUMIF($A$11:$A$50,H36,AF$11:AF$50)&gt;=SUMIF($A$11:$A$50,H36,$E$11:$E$50))),"ОТКРЫТО","ЗАКРЫТО"))</x:f>
        <x:v>ЗАКРЫТО</x:v>
      </x:c>
      <x:c r="AV36" t="str">
        <x:f>IF(AG36&gt;=E36,"ИЗУЧЕНО",IF(AND(OR(F36="",SUMIF($A$11:$A$50,F36,AG$11:AG$50)&gt;=SUMIF($A$11:$A$50,F36,$E$11:$E$50)),OR(G36="",SUMIF($A$11:$A$50,G36,AG$11:AG$50)&gt;=SUMIF($A$11:$A$50,G36,$E$11:$E$50)),OR(H36="",SUMIF($A$11:$A$50,H36,AG$11:AG$50)&gt;=SUMIF($A$11:$A$50,H36,$E$11:$E$50))),"ОТКРЫТО","ЗАКРЫТО"))</x:f>
        <x:v>ЗАКРЫТО</x:v>
      </x:c>
      <x:c r="AW36" t="str">
        <x:f>IF(AH36&gt;=E36,"ИЗУЧЕНО",IF(AND(OR(F36="",SUMIF($A$11:$A$50,F36,AH$11:AH$50)&gt;=SUMIF($A$11:$A$50,F36,$E$11:$E$50)),OR(G36="",SUMIF($A$11:$A$50,G36,AH$11:AH$50)&gt;=SUMIF($A$11:$A$50,G36,$E$11:$E$50)),OR(H36="",SUMIF($A$11:$A$50,H36,AH$11:AH$50)&gt;=SUMIF($A$11:$A$50,H36,$E$11:$E$50))),"ОТКРЫТО","ЗАКРЫТО"))</x:f>
        <x:v>ЗАКРЫТО</x:v>
      </x:c>
      <x:c r="AX36" t="str">
        <x:f>IF(AI36&gt;=E36,"ИЗУЧЕНО",IF(AND(OR(F36="",SUMIF($A$11:$A$50,F36,AI$11:AI$50)&gt;=SUMIF($A$11:$A$50,F36,$E$11:$E$50)),OR(G36="",SUMIF($A$11:$A$50,G36,AI$11:AI$50)&gt;=SUMIF($A$11:$A$50,G36,$E$11:$E$50)),OR(H36="",SUMIF($A$11:$A$50,H36,AI$11:AI$50)&gt;=SUMIF($A$11:$A$50,H36,$E$11:$E$50))),"ОТКРЫТО","ЗАКРЫТО"))</x:f>
        <x:v>ЗАКРЫТО</x:v>
      </x:c>
      <x:c r="AY36" t="str">
        <x:f>IF(AJ36&gt;=E36,"ИЗУЧЕНО",IF(AND(OR(F36="",SUMIF($A$11:$A$50,F36,AJ$11:AJ$50)&gt;=SUMIF($A$11:$A$50,F36,$E$11:$E$50)),OR(G36="",SUMIF($A$11:$A$50,G36,AJ$11:AJ$50)&gt;=SUMIF($A$11:$A$50,G36,$E$11:$E$50)),OR(H36="",SUMIF($A$11:$A$50,H36,AJ$11:AJ$50)&gt;=SUMIF($A$11:$A$50,H36,$E$11:$E$50))),"ОТКРЫТО","ЗАКРЫТО"))</x:f>
        <x:v>ЗАКРЫТО</x:v>
      </x:c>
      <x:c r="AZ36" t="str">
        <x:f>IF(AK36&gt;=E36,"ИЗУЧЕНО",IF(AND(OR(F36="",SUMIF($A$11:$A$50,F36,AK$11:AK$50)&gt;=SUMIF($A$11:$A$50,F36,$E$11:$E$50)),OR(G36="",SUMIF($A$11:$A$50,G36,AK$11:AK$50)&gt;=SUMIF($A$11:$A$50,G36,$E$11:$E$50)),OR(H36="",SUMIF($A$11:$A$50,H36,AK$11:AK$50)&gt;=SUMIF($A$11:$A$50,H36,$E$11:$E$50))),"ОТКРЫТО","ЗАКРЫТО"))</x:f>
        <x:v>ЗАКРЫТО</x:v>
      </x:c>
      <x:c r="BA36" t="str">
        <x:f>IF(AL36&gt;=E36,"ИЗУЧЕНО",IF(AND(OR(F36="",SUMIF($A$11:$A$50,F36,AL$11:AL$50)&gt;=SUMIF($A$11:$A$50,F36,$E$11:$E$50)),OR(G36="",SUMIF($A$11:$A$50,G36,AL$11:AL$50)&gt;=SUMIF($A$11:$A$50,G36,$E$11:$E$50)),OR(H36="",SUMIF($A$11:$A$50,H36,AL$11:AL$50)&gt;=SUMIF($A$11:$A$50,H36,$E$11:$E$50))),"ОТКРЫТО","ЗАКРЫТО"))</x:f>
        <x:v>ЗАКРЫТО</x:v>
      </x:c>
      <x:c r="BB36" t="str">
        <x:f>IF(AM36&gt;=E36,"ИЗУЧЕНО",IF(AND(OR(F36="",SUMIF($A$11:$A$50,F36,AM$11:AM$50)&gt;=SUMIF($A$11:$A$50,F36,$E$11:$E$50)),OR(G36="",SUMIF($A$11:$A$50,G36,AM$11:AM$50)&gt;=SUMIF($A$11:$A$50,G36,$E$11:$E$50)),OR(H36="",SUMIF($A$11:$A$50,H36,AM$11:AM$50)&gt;=SUMIF($A$11:$A$50,H36,$E$11:$E$50))),"ОТКРЫТО","ЗАКРЫТО"))</x:f>
        <x:v>ЗАКРЫТО</x:v>
      </x:c>
      <x:c r="BC36" t="str">
        <x:f>IF(AN36&gt;=E36,"ИЗУЧЕНО",IF(AND(OR(F36="",SUMIF($A$11:$A$50,F36,AN$11:AN$50)&gt;=SUMIF($A$11:$A$50,F36,$E$11:$E$50)),OR(G36="",SUMIF($A$11:$A$50,G36,AN$11:AN$50)&gt;=SUMIF($A$11:$A$50,G36,$E$11:$E$50)),OR(H36="",SUMIF($A$11:$A$50,H36,AN$11:AN$50)&gt;=SUMIF($A$11:$A$50,H36,$E$11:$E$50))),"ОТКРЫТО","ЗАКРЫТО"))</x:f>
        <x:v>ЗАКРЫТО</x:v>
      </x:c>
      <x:c r="BD36" t="str">
        <x:f>IF(AO36&gt;=E36,"ИЗУЧЕНО",IF(AND(OR(F36="",SUMIF($A$11:$A$50,F36,AO$11:AO$50)&gt;=SUMIF($A$11:$A$50,F36,$E$11:$E$50)),OR(G36="",SUMIF($A$11:$A$50,G36,AO$11:AO$50)&gt;=SUMIF($A$11:$A$50,G36,$E$11:$E$50)),OR(H36="",SUMIF($A$11:$A$50,H36,AO$11:AO$50)&gt;=SUMIF($A$11:$A$50,H36,$E$11:$E$50))),"ОТКРЫТО","ЗАКРЫТО"))</x:f>
        <x:v>ЗАКРЫТО</x:v>
      </x:c>
      <x:c r="BE36" t="str">
        <x:f>IF(AP36&gt;=E36,"ИЗУЧЕНО",IF(AND(OR(F36="",SUMIF($A$11:$A$50,F36,AP$11:AP$50)&gt;=SUMIF($A$11:$A$50,F36,$E$11:$E$50)),OR(G36="",SUMIF($A$11:$A$50,G36,AP$11:AP$50)&gt;=SUMIF($A$11:$A$50,G36,$E$11:$E$50)),OR(H36="",SUMIF($A$11:$A$50,H36,AP$11:AP$50)&gt;=SUMIF($A$11:$A$50,H36,$E$11:$E$50))),"ОТКРЫТО","ЗАКРЫТО"))</x:f>
        <x:v>ЗАКРЫТО</x:v>
      </x:c>
      <x:c r="BF36" t="str">
        <x:f>IF(AQ36&gt;=E36,"ИЗУЧЕНО",IF(AND(OR(F36="",SUMIF($A$11:$A$50,F36,AQ$11:AQ$50)&gt;=SUMIF($A$11:$A$50,F36,$E$11:$E$50)),OR(G36="",SUMIF($A$11:$A$50,G36,AQ$11:AQ$50)&gt;=SUMIF($A$11:$A$50,G36,$E$11:$E$50)),OR(H36="",SUMIF($A$11:$A$50,H36,AQ$11:AQ$50)&gt;=SUMIF($A$11:$A$50,H36,$E$11:$E$50))),"ОТКРЫТО","ЗАКРЫТО"))</x:f>
        <x:v>ЗАКРЫТО</x:v>
      </x:c>
    </x:row>
    <x:row r="37">
      <x:c r="A37" s="42" t="str">
        <x:v>R3</x:v>
      </x:c>
      <x:c r="B37" s="42" t="str">
        <x:v>Физический ИИ и робототехника</x:v>
      </x:c>
      <x:c r="C37" s="42" t="str">
        <x:v>II</x:v>
      </x:c>
      <x:c r="D37" s="42" t="str">
        <x:v>Автономная логистика</x:v>
      </x:c>
      <x:c r="E37" s="42" t="n">
        <x:v>45</x:v>
      </x:c>
      <x:c r="F37" s="42" t="str">
        <x:v>R1</x:v>
      </x:c>
      <x:c r="G37" s="42"/>
      <x:c r="H37" s="42"/>
      <x:c r="I37" s="42" t="str">
        <x:v>Автоматизированные транспортные, складские и распределительные системы.</x:v>
      </x:c>
      <x:c r="J37" s="42" t="str">
        <x:v>Прирост Экономики +0,08/год; защита Афины +10%</x:v>
      </x:c>
      <x:c r="K37" s="43" t="n">
        <x:f>SUMIF('Ход 2026'!$G$29:$G$38,$A37,'Ход 2026'!$I$29:$I$38)</x:f>
        <x:v>0</x:v>
      </x:c>
      <x:c r="L37" s="43" t="n">
        <x:f>SUMIF('Ход 2027'!$G$29:$G$38,$A37,'Ход 2027'!$I$29:$I$38)</x:f>
        <x:v>0</x:v>
      </x:c>
      <x:c r="M37" s="43" t="n">
        <x:f>SUMIF('Ход 2028'!$G$29:$G$38,$A37,'Ход 2028'!$I$29:$I$38)</x:f>
        <x:v>0</x:v>
      </x:c>
      <x:c r="N37" s="43" t="n">
        <x:f>SUMIF('Ход 2029'!$G$29:$G$38,$A37,'Ход 2029'!$I$29:$I$38)</x:f>
        <x:v>0</x:v>
      </x:c>
      <x:c r="O37" s="43" t="n">
        <x:f>SUMIF('Ход 2030'!$G$29:$G$38,$A37,'Ход 2030'!$I$29:$I$38)</x:f>
        <x:v>0</x:v>
      </x:c>
      <x:c r="P37" s="43" t="n">
        <x:f>SUMIF('Ход 2031'!$G$29:$G$38,$A37,'Ход 2031'!$I$29:$I$38)</x:f>
        <x:v>0</x:v>
      </x:c>
      <x:c r="Q37" s="43" t="n">
        <x:f>SUMIF('Ход 2032'!$G$29:$G$38,$A37,'Ход 2032'!$I$29:$I$38)</x:f>
        <x:v>0</x:v>
      </x:c>
      <x:c r="R37" s="43" t="n">
        <x:f>SUMIF('Ход 2033'!$G$29:$G$38,$A37,'Ход 2033'!$I$29:$I$38)</x:f>
        <x:v>0</x:v>
      </x:c>
      <x:c r="S37" s="43" t="n">
        <x:f>SUMIF('Ход 2034'!$G$29:$G$38,$A37,'Ход 2034'!$I$29:$I$38)</x:f>
        <x:v>0</x:v>
      </x:c>
      <x:c r="T37" s="43" t="n">
        <x:f>SUMIF('Ход 2035'!$G$29:$G$38,$A37,'Ход 2035'!$I$29:$I$38)</x:f>
        <x:v>0</x:v>
      </x:c>
      <x:c r="U37" s="43" t="n">
        <x:f>SUMIF('Ход 2036'!$G$29:$G$38,$A37,'Ход 2036'!$I$29:$I$38)</x:f>
        <x:v>0</x:v>
      </x:c>
      <x:c r="V37" s="43" t="n">
        <x:f>SUMIF('Ход 2037'!$G$29:$G$38,$A37,'Ход 2037'!$I$29:$I$38)</x:f>
        <x:v>0</x:v>
      </x:c>
      <x:c r="W37" s="43" t="n">
        <x:f>SUMIF('Ход 2038'!$G$29:$G$38,$A37,'Ход 2038'!$I$29:$I$38)</x:f>
        <x:v>0</x:v>
      </x:c>
      <x:c r="X37" s="43" t="n">
        <x:f>SUMIF('Ход 2039'!$G$29:$G$38,$A37,'Ход 2039'!$I$29:$I$38)</x:f>
        <x:v>0</x:v>
      </x:c>
      <x:c r="Y37" s="43" t="n">
        <x:f>SUMIF('Ход 2040'!$G$29:$G$38,$A37,'Ход 2040'!$I$29:$I$38)</x:f>
        <x:v>0</x:v>
      </x:c>
      <x:c r="Z37" s="44" t="n">
        <x:f>SUM(K37:Y37)</x:f>
        <x:v>0</x:v>
      </x:c>
      <x:c r="AA37" s="44" t="n">
        <x:f>MAX(0,E37-Z37)</x:f>
        <x:v>45</x:v>
      </x:c>
      <x:c r="AB37" s="42" t="str">
        <x:f>BF37</x:f>
        <x:v>ЗАКРЫТО</x:v>
      </x:c>
      <x:c r="AC37" t="n">
        <x:f>SUM($K37:K37)</x:f>
        <x:v>0</x:v>
      </x:c>
      <x:c r="AD37" t="n">
        <x:f>SUM($K37:L37)</x:f>
        <x:v>0</x:v>
      </x:c>
      <x:c r="AE37" t="n">
        <x:f>SUM($K37:M37)</x:f>
        <x:v>0</x:v>
      </x:c>
      <x:c r="AF37" t="n">
        <x:f>SUM($K37:N37)</x:f>
        <x:v>0</x:v>
      </x:c>
      <x:c r="AG37" t="n">
        <x:f>SUM($K37:O37)</x:f>
        <x:v>0</x:v>
      </x:c>
      <x:c r="AH37" t="n">
        <x:f>SUM($K37:P37)</x:f>
        <x:v>0</x:v>
      </x:c>
      <x:c r="AI37" t="n">
        <x:f>SUM($K37:Q37)</x:f>
        <x:v>0</x:v>
      </x:c>
      <x:c r="AJ37" t="n">
        <x:f>SUM($K37:R37)</x:f>
        <x:v>0</x:v>
      </x:c>
      <x:c r="AK37" t="n">
        <x:f>SUM($K37:S37)</x:f>
        <x:v>0</x:v>
      </x:c>
      <x:c r="AL37" t="n">
        <x:f>SUM($K37:T37)</x:f>
        <x:v>0</x:v>
      </x:c>
      <x:c r="AM37" t="n">
        <x:f>SUM($K37:U37)</x:f>
        <x:v>0</x:v>
      </x:c>
      <x:c r="AN37" t="n">
        <x:f>SUM($K37:V37)</x:f>
        <x:v>0</x:v>
      </x:c>
      <x:c r="AO37" t="n">
        <x:f>SUM($K37:W37)</x:f>
        <x:v>0</x:v>
      </x:c>
      <x:c r="AP37" t="n">
        <x:f>SUM($K37:X37)</x:f>
        <x:v>0</x:v>
      </x:c>
      <x:c r="AQ37" t="n">
        <x:f>SUM($K37:Y37)</x:f>
        <x:v>0</x:v>
      </x:c>
      <x:c r="AR37" t="str">
        <x:f>IF(AC37&gt;=E37,"ИЗУЧЕНО",IF(AND(OR(F37="",SUMIF($A$11:$A$50,F37,AC$11:AC$50)&gt;=SUMIF($A$11:$A$50,F37,$E$11:$E$50)),OR(G37="",SUMIF($A$11:$A$50,G37,AC$11:AC$50)&gt;=SUMIF($A$11:$A$50,G37,$E$11:$E$50)),OR(H37="",SUMIF($A$11:$A$50,H37,AC$11:AC$50)&gt;=SUMIF($A$11:$A$50,H37,$E$11:$E$50))),"ОТКРЫТО","ЗАКРЫТО"))</x:f>
        <x:v>ЗАКРЫТО</x:v>
      </x:c>
      <x:c r="AS37" t="str">
        <x:f>IF(AD37&gt;=E37,"ИЗУЧЕНО",IF(AND(OR(F37="",SUMIF($A$11:$A$50,F37,AD$11:AD$50)&gt;=SUMIF($A$11:$A$50,F37,$E$11:$E$50)),OR(G37="",SUMIF($A$11:$A$50,G37,AD$11:AD$50)&gt;=SUMIF($A$11:$A$50,G37,$E$11:$E$50)),OR(H37="",SUMIF($A$11:$A$50,H37,AD$11:AD$50)&gt;=SUMIF($A$11:$A$50,H37,$E$11:$E$50))),"ОТКРЫТО","ЗАКРЫТО"))</x:f>
        <x:v>ЗАКРЫТО</x:v>
      </x:c>
      <x:c r="AT37" t="str">
        <x:f>IF(AE37&gt;=E37,"ИЗУЧЕНО",IF(AND(OR(F37="",SUMIF($A$11:$A$50,F37,AE$11:AE$50)&gt;=SUMIF($A$11:$A$50,F37,$E$11:$E$50)),OR(G37="",SUMIF($A$11:$A$50,G37,AE$11:AE$50)&gt;=SUMIF($A$11:$A$50,G37,$E$11:$E$50)),OR(H37="",SUMIF($A$11:$A$50,H37,AE$11:AE$50)&gt;=SUMIF($A$11:$A$50,H37,$E$11:$E$50))),"ОТКРЫТО","ЗАКРЫТО"))</x:f>
        <x:v>ЗАКРЫТО</x:v>
      </x:c>
      <x:c r="AU37" t="str">
        <x:f>IF(AF37&gt;=E37,"ИЗУЧЕНО",IF(AND(OR(F37="",SUMIF($A$11:$A$50,F37,AF$11:AF$50)&gt;=SUMIF($A$11:$A$50,F37,$E$11:$E$50)),OR(G37="",SUMIF($A$11:$A$50,G37,AF$11:AF$50)&gt;=SUMIF($A$11:$A$50,G37,$E$11:$E$50)),OR(H37="",SUMIF($A$11:$A$50,H37,AF$11:AF$50)&gt;=SUMIF($A$11:$A$50,H37,$E$11:$E$50))),"ОТКРЫТО","ЗАКРЫТО"))</x:f>
        <x:v>ЗАКРЫТО</x:v>
      </x:c>
      <x:c r="AV37" t="str">
        <x:f>IF(AG37&gt;=E37,"ИЗУЧЕНО",IF(AND(OR(F37="",SUMIF($A$11:$A$50,F37,AG$11:AG$50)&gt;=SUMIF($A$11:$A$50,F37,$E$11:$E$50)),OR(G37="",SUMIF($A$11:$A$50,G37,AG$11:AG$50)&gt;=SUMIF($A$11:$A$50,G37,$E$11:$E$50)),OR(H37="",SUMIF($A$11:$A$50,H37,AG$11:AG$50)&gt;=SUMIF($A$11:$A$50,H37,$E$11:$E$50))),"ОТКРЫТО","ЗАКРЫТО"))</x:f>
        <x:v>ЗАКРЫТО</x:v>
      </x:c>
      <x:c r="AW37" t="str">
        <x:f>IF(AH37&gt;=E37,"ИЗУЧЕНО",IF(AND(OR(F37="",SUMIF($A$11:$A$50,F37,AH$11:AH$50)&gt;=SUMIF($A$11:$A$50,F37,$E$11:$E$50)),OR(G37="",SUMIF($A$11:$A$50,G37,AH$11:AH$50)&gt;=SUMIF($A$11:$A$50,G37,$E$11:$E$50)),OR(H37="",SUMIF($A$11:$A$50,H37,AH$11:AH$50)&gt;=SUMIF($A$11:$A$50,H37,$E$11:$E$50))),"ОТКРЫТО","ЗАКРЫТО"))</x:f>
        <x:v>ЗАКРЫТО</x:v>
      </x:c>
      <x:c r="AX37" t="str">
        <x:f>IF(AI37&gt;=E37,"ИЗУЧЕНО",IF(AND(OR(F37="",SUMIF($A$11:$A$50,F37,AI$11:AI$50)&gt;=SUMIF($A$11:$A$50,F37,$E$11:$E$50)),OR(G37="",SUMIF($A$11:$A$50,G37,AI$11:AI$50)&gt;=SUMIF($A$11:$A$50,G37,$E$11:$E$50)),OR(H37="",SUMIF($A$11:$A$50,H37,AI$11:AI$50)&gt;=SUMIF($A$11:$A$50,H37,$E$11:$E$50))),"ОТКРЫТО","ЗАКРЫТО"))</x:f>
        <x:v>ЗАКРЫТО</x:v>
      </x:c>
      <x:c r="AY37" t="str">
        <x:f>IF(AJ37&gt;=E37,"ИЗУЧЕНО",IF(AND(OR(F37="",SUMIF($A$11:$A$50,F37,AJ$11:AJ$50)&gt;=SUMIF($A$11:$A$50,F37,$E$11:$E$50)),OR(G37="",SUMIF($A$11:$A$50,G37,AJ$11:AJ$50)&gt;=SUMIF($A$11:$A$50,G37,$E$11:$E$50)),OR(H37="",SUMIF($A$11:$A$50,H37,AJ$11:AJ$50)&gt;=SUMIF($A$11:$A$50,H37,$E$11:$E$50))),"ОТКРЫТО","ЗАКРЫТО"))</x:f>
        <x:v>ЗАКРЫТО</x:v>
      </x:c>
      <x:c r="AZ37" t="str">
        <x:f>IF(AK37&gt;=E37,"ИЗУЧЕНО",IF(AND(OR(F37="",SUMIF($A$11:$A$50,F37,AK$11:AK$50)&gt;=SUMIF($A$11:$A$50,F37,$E$11:$E$50)),OR(G37="",SUMIF($A$11:$A$50,G37,AK$11:AK$50)&gt;=SUMIF($A$11:$A$50,G37,$E$11:$E$50)),OR(H37="",SUMIF($A$11:$A$50,H37,AK$11:AK$50)&gt;=SUMIF($A$11:$A$50,H37,$E$11:$E$50))),"ОТКРЫТО","ЗАКРЫТО"))</x:f>
        <x:v>ЗАКРЫТО</x:v>
      </x:c>
      <x:c r="BA37" t="str">
        <x:f>IF(AL37&gt;=E37,"ИЗУЧЕНО",IF(AND(OR(F37="",SUMIF($A$11:$A$50,F37,AL$11:AL$50)&gt;=SUMIF($A$11:$A$50,F37,$E$11:$E$50)),OR(G37="",SUMIF($A$11:$A$50,G37,AL$11:AL$50)&gt;=SUMIF($A$11:$A$50,G37,$E$11:$E$50)),OR(H37="",SUMIF($A$11:$A$50,H37,AL$11:AL$50)&gt;=SUMIF($A$11:$A$50,H37,$E$11:$E$50))),"ОТКРЫТО","ЗАКРЫТО"))</x:f>
        <x:v>ЗАКРЫТО</x:v>
      </x:c>
      <x:c r="BB37" t="str">
        <x:f>IF(AM37&gt;=E37,"ИЗУЧЕНО",IF(AND(OR(F37="",SUMIF($A$11:$A$50,F37,AM$11:AM$50)&gt;=SUMIF($A$11:$A$50,F37,$E$11:$E$50)),OR(G37="",SUMIF($A$11:$A$50,G37,AM$11:AM$50)&gt;=SUMIF($A$11:$A$50,G37,$E$11:$E$50)),OR(H37="",SUMIF($A$11:$A$50,H37,AM$11:AM$50)&gt;=SUMIF($A$11:$A$50,H37,$E$11:$E$50))),"ОТКРЫТО","ЗАКРЫТО"))</x:f>
        <x:v>ЗАКРЫТО</x:v>
      </x:c>
      <x:c r="BC37" t="str">
        <x:f>IF(AN37&gt;=E37,"ИЗУЧЕНО",IF(AND(OR(F37="",SUMIF($A$11:$A$50,F37,AN$11:AN$50)&gt;=SUMIF($A$11:$A$50,F37,$E$11:$E$50)),OR(G37="",SUMIF($A$11:$A$50,G37,AN$11:AN$50)&gt;=SUMIF($A$11:$A$50,G37,$E$11:$E$50)),OR(H37="",SUMIF($A$11:$A$50,H37,AN$11:AN$50)&gt;=SUMIF($A$11:$A$50,H37,$E$11:$E$50))),"ОТКРЫТО","ЗАКРЫТО"))</x:f>
        <x:v>ЗАКРЫТО</x:v>
      </x:c>
      <x:c r="BD37" t="str">
        <x:f>IF(AO37&gt;=E37,"ИЗУЧЕНО",IF(AND(OR(F37="",SUMIF($A$11:$A$50,F37,AO$11:AO$50)&gt;=SUMIF($A$11:$A$50,F37,$E$11:$E$50)),OR(G37="",SUMIF($A$11:$A$50,G37,AO$11:AO$50)&gt;=SUMIF($A$11:$A$50,G37,$E$11:$E$50)),OR(H37="",SUMIF($A$11:$A$50,H37,AO$11:AO$50)&gt;=SUMIF($A$11:$A$50,H37,$E$11:$E$50))),"ОТКРЫТО","ЗАКРЫТО"))</x:f>
        <x:v>ЗАКРЫТО</x:v>
      </x:c>
      <x:c r="BE37" t="str">
        <x:f>IF(AP37&gt;=E37,"ИЗУЧЕНО",IF(AND(OR(F37="",SUMIF($A$11:$A$50,F37,AP$11:AP$50)&gt;=SUMIF($A$11:$A$50,F37,$E$11:$E$50)),OR(G37="",SUMIF($A$11:$A$50,G37,AP$11:AP$50)&gt;=SUMIF($A$11:$A$50,G37,$E$11:$E$50)),OR(H37="",SUMIF($A$11:$A$50,H37,AP$11:AP$50)&gt;=SUMIF($A$11:$A$50,H37,$E$11:$E$50))),"ОТКРЫТО","ЗАКРЫТО"))</x:f>
        <x:v>ЗАКРЫТО</x:v>
      </x:c>
      <x:c r="BF37" t="str">
        <x:f>IF(AQ37&gt;=E37,"ИЗУЧЕНО",IF(AND(OR(F37="",SUMIF($A$11:$A$50,F37,AQ$11:AQ$50)&gt;=SUMIF($A$11:$A$50,F37,$E$11:$E$50)),OR(G37="",SUMIF($A$11:$A$50,G37,AQ$11:AQ$50)&gt;=SUMIF($A$11:$A$50,G37,$E$11:$E$50)),OR(H37="",SUMIF($A$11:$A$50,H37,AQ$11:AQ$50)&gt;=SUMIF($A$11:$A$50,H37,$E$11:$E$50))),"ОТКРЫТО","ЗАКРЫТО"))</x:f>
        <x:v>ЗАКРЫТО</x:v>
      </x:c>
    </x:row>
    <x:row r="38">
      <x:c r="A38" s="42" t="str">
        <x:v>R4</x:v>
      </x:c>
      <x:c r="B38" s="42" t="str">
        <x:v>Физический ИИ и робототехника</x:v>
      </x:c>
      <x:c r="C38" s="42" t="str">
        <x:v>III</x:v>
      </x:c>
      <x:c r="D38" s="42" t="str">
        <x:v>Автономные мобильные системы</x:v>
      </x:c>
      <x:c r="E38" s="42" t="n">
        <x:v>70</x:v>
      </x:c>
      <x:c r="F38" s="42" t="str">
        <x:v>R2</x:v>
      </x:c>
      <x:c r="G38" s="42" t="str">
        <x:v>R3</x:v>
      </x:c>
      <x:c r="H38" s="42"/>
      <x:c r="I38" s="42" t="str">
        <x:v>Воздушные, наземные и морские автономные платформы.</x:v>
      </x:c>
      <x:c r="J38" s="42" t="str">
        <x:v>Прирост Войны +0,08/год; атака Ареса +15%</x:v>
      </x:c>
      <x:c r="K38" s="43" t="n">
        <x:f>SUMIF('Ход 2026'!$G$29:$G$38,$A38,'Ход 2026'!$I$29:$I$38)</x:f>
        <x:v>0</x:v>
      </x:c>
      <x:c r="L38" s="43" t="n">
        <x:f>SUMIF('Ход 2027'!$G$29:$G$38,$A38,'Ход 2027'!$I$29:$I$38)</x:f>
        <x:v>0</x:v>
      </x:c>
      <x:c r="M38" s="43" t="n">
        <x:f>SUMIF('Ход 2028'!$G$29:$G$38,$A38,'Ход 2028'!$I$29:$I$38)</x:f>
        <x:v>0</x:v>
      </x:c>
      <x:c r="N38" s="43" t="n">
        <x:f>SUMIF('Ход 2029'!$G$29:$G$38,$A38,'Ход 2029'!$I$29:$I$38)</x:f>
        <x:v>0</x:v>
      </x:c>
      <x:c r="O38" s="43" t="n">
        <x:f>SUMIF('Ход 2030'!$G$29:$G$38,$A38,'Ход 2030'!$I$29:$I$38)</x:f>
        <x:v>0</x:v>
      </x:c>
      <x:c r="P38" s="43" t="n">
        <x:f>SUMIF('Ход 2031'!$G$29:$G$38,$A38,'Ход 2031'!$I$29:$I$38)</x:f>
        <x:v>0</x:v>
      </x:c>
      <x:c r="Q38" s="43" t="n">
        <x:f>SUMIF('Ход 2032'!$G$29:$G$38,$A38,'Ход 2032'!$I$29:$I$38)</x:f>
        <x:v>0</x:v>
      </x:c>
      <x:c r="R38" s="43" t="n">
        <x:f>SUMIF('Ход 2033'!$G$29:$G$38,$A38,'Ход 2033'!$I$29:$I$38)</x:f>
        <x:v>0</x:v>
      </x:c>
      <x:c r="S38" s="43" t="n">
        <x:f>SUMIF('Ход 2034'!$G$29:$G$38,$A38,'Ход 2034'!$I$29:$I$38)</x:f>
        <x:v>0</x:v>
      </x:c>
      <x:c r="T38" s="43" t="n">
        <x:f>SUMIF('Ход 2035'!$G$29:$G$38,$A38,'Ход 2035'!$I$29:$I$38)</x:f>
        <x:v>0</x:v>
      </x:c>
      <x:c r="U38" s="43" t="n">
        <x:f>SUMIF('Ход 2036'!$G$29:$G$38,$A38,'Ход 2036'!$I$29:$I$38)</x:f>
        <x:v>0</x:v>
      </x:c>
      <x:c r="V38" s="43" t="n">
        <x:f>SUMIF('Ход 2037'!$G$29:$G$38,$A38,'Ход 2037'!$I$29:$I$38)</x:f>
        <x:v>0</x:v>
      </x:c>
      <x:c r="W38" s="43" t="n">
        <x:f>SUMIF('Ход 2038'!$G$29:$G$38,$A38,'Ход 2038'!$I$29:$I$38)</x:f>
        <x:v>0</x:v>
      </x:c>
      <x:c r="X38" s="43" t="n">
        <x:f>SUMIF('Ход 2039'!$G$29:$G$38,$A38,'Ход 2039'!$I$29:$I$38)</x:f>
        <x:v>0</x:v>
      </x:c>
      <x:c r="Y38" s="43" t="n">
        <x:f>SUMIF('Ход 2040'!$G$29:$G$38,$A38,'Ход 2040'!$I$29:$I$38)</x:f>
        <x:v>0</x:v>
      </x:c>
      <x:c r="Z38" s="44" t="n">
        <x:f>SUM(K38:Y38)</x:f>
        <x:v>0</x:v>
      </x:c>
      <x:c r="AA38" s="44" t="n">
        <x:f>MAX(0,E38-Z38)</x:f>
        <x:v>70</x:v>
      </x:c>
      <x:c r="AB38" s="42" t="str">
        <x:f>BF38</x:f>
        <x:v>ЗАКРЫТО</x:v>
      </x:c>
      <x:c r="AC38" t="n">
        <x:f>SUM($K38:K38)</x:f>
        <x:v>0</x:v>
      </x:c>
      <x:c r="AD38" t="n">
        <x:f>SUM($K38:L38)</x:f>
        <x:v>0</x:v>
      </x:c>
      <x:c r="AE38" t="n">
        <x:f>SUM($K38:M38)</x:f>
        <x:v>0</x:v>
      </x:c>
      <x:c r="AF38" t="n">
        <x:f>SUM($K38:N38)</x:f>
        <x:v>0</x:v>
      </x:c>
      <x:c r="AG38" t="n">
        <x:f>SUM($K38:O38)</x:f>
        <x:v>0</x:v>
      </x:c>
      <x:c r="AH38" t="n">
        <x:f>SUM($K38:P38)</x:f>
        <x:v>0</x:v>
      </x:c>
      <x:c r="AI38" t="n">
        <x:f>SUM($K38:Q38)</x:f>
        <x:v>0</x:v>
      </x:c>
      <x:c r="AJ38" t="n">
        <x:f>SUM($K38:R38)</x:f>
        <x:v>0</x:v>
      </x:c>
      <x:c r="AK38" t="n">
        <x:f>SUM($K38:S38)</x:f>
        <x:v>0</x:v>
      </x:c>
      <x:c r="AL38" t="n">
        <x:f>SUM($K38:T38)</x:f>
        <x:v>0</x:v>
      </x:c>
      <x:c r="AM38" t="n">
        <x:f>SUM($K38:U38)</x:f>
        <x:v>0</x:v>
      </x:c>
      <x:c r="AN38" t="n">
        <x:f>SUM($K38:V38)</x:f>
        <x:v>0</x:v>
      </x:c>
      <x:c r="AO38" t="n">
        <x:f>SUM($K38:W38)</x:f>
        <x:v>0</x:v>
      </x:c>
      <x:c r="AP38" t="n">
        <x:f>SUM($K38:X38)</x:f>
        <x:v>0</x:v>
      </x:c>
      <x:c r="AQ38" t="n">
        <x:f>SUM($K38:Y38)</x:f>
        <x:v>0</x:v>
      </x:c>
      <x:c r="AR38" t="str">
        <x:f>IF(AC38&gt;=E38,"ИЗУЧЕНО",IF(AND(OR(F38="",SUMIF($A$11:$A$50,F38,AC$11:AC$50)&gt;=SUMIF($A$11:$A$50,F38,$E$11:$E$50)),OR(G38="",SUMIF($A$11:$A$50,G38,AC$11:AC$50)&gt;=SUMIF($A$11:$A$50,G38,$E$11:$E$50)),OR(H38="",SUMIF($A$11:$A$50,H38,AC$11:AC$50)&gt;=SUMIF($A$11:$A$50,H38,$E$11:$E$50))),"ОТКРЫТО","ЗАКРЫТО"))</x:f>
        <x:v>ЗАКРЫТО</x:v>
      </x:c>
      <x:c r="AS38" t="str">
        <x:f>IF(AD38&gt;=E38,"ИЗУЧЕНО",IF(AND(OR(F38="",SUMIF($A$11:$A$50,F38,AD$11:AD$50)&gt;=SUMIF($A$11:$A$50,F38,$E$11:$E$50)),OR(G38="",SUMIF($A$11:$A$50,G38,AD$11:AD$50)&gt;=SUMIF($A$11:$A$50,G38,$E$11:$E$50)),OR(H38="",SUMIF($A$11:$A$50,H38,AD$11:AD$50)&gt;=SUMIF($A$11:$A$50,H38,$E$11:$E$50))),"ОТКРЫТО","ЗАКРЫТО"))</x:f>
        <x:v>ЗАКРЫТО</x:v>
      </x:c>
      <x:c r="AT38" t="str">
        <x:f>IF(AE38&gt;=E38,"ИЗУЧЕНО",IF(AND(OR(F38="",SUMIF($A$11:$A$50,F38,AE$11:AE$50)&gt;=SUMIF($A$11:$A$50,F38,$E$11:$E$50)),OR(G38="",SUMIF($A$11:$A$50,G38,AE$11:AE$50)&gt;=SUMIF($A$11:$A$50,G38,$E$11:$E$50)),OR(H38="",SUMIF($A$11:$A$50,H38,AE$11:AE$50)&gt;=SUMIF($A$11:$A$50,H38,$E$11:$E$50))),"ОТКРЫТО","ЗАКРЫТО"))</x:f>
        <x:v>ЗАКРЫТО</x:v>
      </x:c>
      <x:c r="AU38" t="str">
        <x:f>IF(AF38&gt;=E38,"ИЗУЧЕНО",IF(AND(OR(F38="",SUMIF($A$11:$A$50,F38,AF$11:AF$50)&gt;=SUMIF($A$11:$A$50,F38,$E$11:$E$50)),OR(G38="",SUMIF($A$11:$A$50,G38,AF$11:AF$50)&gt;=SUMIF($A$11:$A$50,G38,$E$11:$E$50)),OR(H38="",SUMIF($A$11:$A$50,H38,AF$11:AF$50)&gt;=SUMIF($A$11:$A$50,H38,$E$11:$E$50))),"ОТКРЫТО","ЗАКРЫТО"))</x:f>
        <x:v>ЗАКРЫТО</x:v>
      </x:c>
      <x:c r="AV38" t="str">
        <x:f>IF(AG38&gt;=E38,"ИЗУЧЕНО",IF(AND(OR(F38="",SUMIF($A$11:$A$50,F38,AG$11:AG$50)&gt;=SUMIF($A$11:$A$50,F38,$E$11:$E$50)),OR(G38="",SUMIF($A$11:$A$50,G38,AG$11:AG$50)&gt;=SUMIF($A$11:$A$50,G38,$E$11:$E$50)),OR(H38="",SUMIF($A$11:$A$50,H38,AG$11:AG$50)&gt;=SUMIF($A$11:$A$50,H38,$E$11:$E$50))),"ОТКРЫТО","ЗАКРЫТО"))</x:f>
        <x:v>ЗАКРЫТО</x:v>
      </x:c>
      <x:c r="AW38" t="str">
        <x:f>IF(AH38&gt;=E38,"ИЗУЧЕНО",IF(AND(OR(F38="",SUMIF($A$11:$A$50,F38,AH$11:AH$50)&gt;=SUMIF($A$11:$A$50,F38,$E$11:$E$50)),OR(G38="",SUMIF($A$11:$A$50,G38,AH$11:AH$50)&gt;=SUMIF($A$11:$A$50,G38,$E$11:$E$50)),OR(H38="",SUMIF($A$11:$A$50,H38,AH$11:AH$50)&gt;=SUMIF($A$11:$A$50,H38,$E$11:$E$50))),"ОТКРЫТО","ЗАКРЫТО"))</x:f>
        <x:v>ЗАКРЫТО</x:v>
      </x:c>
      <x:c r="AX38" t="str">
        <x:f>IF(AI38&gt;=E38,"ИЗУЧЕНО",IF(AND(OR(F38="",SUMIF($A$11:$A$50,F38,AI$11:AI$50)&gt;=SUMIF($A$11:$A$50,F38,$E$11:$E$50)),OR(G38="",SUMIF($A$11:$A$50,G38,AI$11:AI$50)&gt;=SUMIF($A$11:$A$50,G38,$E$11:$E$50)),OR(H38="",SUMIF($A$11:$A$50,H38,AI$11:AI$50)&gt;=SUMIF($A$11:$A$50,H38,$E$11:$E$50))),"ОТКРЫТО","ЗАКРЫТО"))</x:f>
        <x:v>ЗАКРЫТО</x:v>
      </x:c>
      <x:c r="AY38" t="str">
        <x:f>IF(AJ38&gt;=E38,"ИЗУЧЕНО",IF(AND(OR(F38="",SUMIF($A$11:$A$50,F38,AJ$11:AJ$50)&gt;=SUMIF($A$11:$A$50,F38,$E$11:$E$50)),OR(G38="",SUMIF($A$11:$A$50,G38,AJ$11:AJ$50)&gt;=SUMIF($A$11:$A$50,G38,$E$11:$E$50)),OR(H38="",SUMIF($A$11:$A$50,H38,AJ$11:AJ$50)&gt;=SUMIF($A$11:$A$50,H38,$E$11:$E$50))),"ОТКРЫТО","ЗАКРЫТО"))</x:f>
        <x:v>ЗАКРЫТО</x:v>
      </x:c>
      <x:c r="AZ38" t="str">
        <x:f>IF(AK38&gt;=E38,"ИЗУЧЕНО",IF(AND(OR(F38="",SUMIF($A$11:$A$50,F38,AK$11:AK$50)&gt;=SUMIF($A$11:$A$50,F38,$E$11:$E$50)),OR(G38="",SUMIF($A$11:$A$50,G38,AK$11:AK$50)&gt;=SUMIF($A$11:$A$50,G38,$E$11:$E$50)),OR(H38="",SUMIF($A$11:$A$50,H38,AK$11:AK$50)&gt;=SUMIF($A$11:$A$50,H38,$E$11:$E$50))),"ОТКРЫТО","ЗАКРЫТО"))</x:f>
        <x:v>ЗАКРЫТО</x:v>
      </x:c>
      <x:c r="BA38" t="str">
        <x:f>IF(AL38&gt;=E38,"ИЗУЧЕНО",IF(AND(OR(F38="",SUMIF($A$11:$A$50,F38,AL$11:AL$50)&gt;=SUMIF($A$11:$A$50,F38,$E$11:$E$50)),OR(G38="",SUMIF($A$11:$A$50,G38,AL$11:AL$50)&gt;=SUMIF($A$11:$A$50,G38,$E$11:$E$50)),OR(H38="",SUMIF($A$11:$A$50,H38,AL$11:AL$50)&gt;=SUMIF($A$11:$A$50,H38,$E$11:$E$50))),"ОТКРЫТО","ЗАКРЫТО"))</x:f>
        <x:v>ЗАКРЫТО</x:v>
      </x:c>
      <x:c r="BB38" t="str">
        <x:f>IF(AM38&gt;=E38,"ИЗУЧЕНО",IF(AND(OR(F38="",SUMIF($A$11:$A$50,F38,AM$11:AM$50)&gt;=SUMIF($A$11:$A$50,F38,$E$11:$E$50)),OR(G38="",SUMIF($A$11:$A$50,G38,AM$11:AM$50)&gt;=SUMIF($A$11:$A$50,G38,$E$11:$E$50)),OR(H38="",SUMIF($A$11:$A$50,H38,AM$11:AM$50)&gt;=SUMIF($A$11:$A$50,H38,$E$11:$E$50))),"ОТКРЫТО","ЗАКРЫТО"))</x:f>
        <x:v>ЗАКРЫТО</x:v>
      </x:c>
      <x:c r="BC38" t="str">
        <x:f>IF(AN38&gt;=E38,"ИЗУЧЕНО",IF(AND(OR(F38="",SUMIF($A$11:$A$50,F38,AN$11:AN$50)&gt;=SUMIF($A$11:$A$50,F38,$E$11:$E$50)),OR(G38="",SUMIF($A$11:$A$50,G38,AN$11:AN$50)&gt;=SUMIF($A$11:$A$50,G38,$E$11:$E$50)),OR(H38="",SUMIF($A$11:$A$50,H38,AN$11:AN$50)&gt;=SUMIF($A$11:$A$50,H38,$E$11:$E$50))),"ОТКРЫТО","ЗАКРЫТО"))</x:f>
        <x:v>ЗАКРЫТО</x:v>
      </x:c>
      <x:c r="BD38" t="str">
        <x:f>IF(AO38&gt;=E38,"ИЗУЧЕНО",IF(AND(OR(F38="",SUMIF($A$11:$A$50,F38,AO$11:AO$50)&gt;=SUMIF($A$11:$A$50,F38,$E$11:$E$50)),OR(G38="",SUMIF($A$11:$A$50,G38,AO$11:AO$50)&gt;=SUMIF($A$11:$A$50,G38,$E$11:$E$50)),OR(H38="",SUMIF($A$11:$A$50,H38,AO$11:AO$50)&gt;=SUMIF($A$11:$A$50,H38,$E$11:$E$50))),"ОТКРЫТО","ЗАКРЫТО"))</x:f>
        <x:v>ЗАКРЫТО</x:v>
      </x:c>
      <x:c r="BE38" t="str">
        <x:f>IF(AP38&gt;=E38,"ИЗУЧЕНО",IF(AND(OR(F38="",SUMIF($A$11:$A$50,F38,AP$11:AP$50)&gt;=SUMIF($A$11:$A$50,F38,$E$11:$E$50)),OR(G38="",SUMIF($A$11:$A$50,G38,AP$11:AP$50)&gt;=SUMIF($A$11:$A$50,G38,$E$11:$E$50)),OR(H38="",SUMIF($A$11:$A$50,H38,AP$11:AP$50)&gt;=SUMIF($A$11:$A$50,H38,$E$11:$E$50))),"ОТКРЫТО","ЗАКРЫТО"))</x:f>
        <x:v>ЗАКРЫТО</x:v>
      </x:c>
      <x:c r="BF38" t="str">
        <x:f>IF(AQ38&gt;=E38,"ИЗУЧЕНО",IF(AND(OR(F38="",SUMIF($A$11:$A$50,F38,AQ$11:AQ$50)&gt;=SUMIF($A$11:$A$50,F38,$E$11:$E$50)),OR(G38="",SUMIF($A$11:$A$50,G38,AQ$11:AQ$50)&gt;=SUMIF($A$11:$A$50,G38,$E$11:$E$50)),OR(H38="",SUMIF($A$11:$A$50,H38,AQ$11:AQ$50)&gt;=SUMIF($A$11:$A$50,H38,$E$11:$E$50))),"ОТКРЫТО","ЗАКРЫТО"))</x:f>
        <x:v>ЗАКРЫТО</x:v>
      </x:c>
    </x:row>
    <x:row r="39">
      <x:c r="A39" s="42" t="str">
        <x:v>R5</x:v>
      </x:c>
      <x:c r="B39" s="42" t="str">
        <x:v>Физический ИИ и робототехника</x:v>
      </x:c>
      <x:c r="C39" s="42" t="str">
        <x:v>IV</x:v>
      </x:c>
      <x:c r="D39" s="42" t="str">
        <x:v>Универсальный воплощённый ИИ</x:v>
      </x:c>
      <x:c r="E39" s="42" t="n">
        <x:v>105</x:v>
      </x:c>
      <x:c r="F39" s="42" t="str">
        <x:v>R4</x:v>
      </x:c>
      <x:c r="G39" s="42"/>
      <x:c r="H39" s="42"/>
      <x:c r="I39" s="42" t="str">
        <x:v>Роботизированные системы, способные осваивать новые физические задачи.</x:v>
      </x:c>
      <x:c r="J39" s="42" t="str">
        <x:v>Прирост Производства +0,12/год; Готовность работников +0,2; прирост Принятия ИИ +0,05/год</x:v>
      </x:c>
      <x:c r="K39" s="43" t="n">
        <x:f>SUMIF('Ход 2026'!$G$29:$G$38,$A39,'Ход 2026'!$I$29:$I$38)</x:f>
        <x:v>0</x:v>
      </x:c>
      <x:c r="L39" s="43" t="n">
        <x:f>SUMIF('Ход 2027'!$G$29:$G$38,$A39,'Ход 2027'!$I$29:$I$38)</x:f>
        <x:v>0</x:v>
      </x:c>
      <x:c r="M39" s="43" t="n">
        <x:f>SUMIF('Ход 2028'!$G$29:$G$38,$A39,'Ход 2028'!$I$29:$I$38)</x:f>
        <x:v>0</x:v>
      </x:c>
      <x:c r="N39" s="43" t="n">
        <x:f>SUMIF('Ход 2029'!$G$29:$G$38,$A39,'Ход 2029'!$I$29:$I$38)</x:f>
        <x:v>0</x:v>
      </x:c>
      <x:c r="O39" s="43" t="n">
        <x:f>SUMIF('Ход 2030'!$G$29:$G$38,$A39,'Ход 2030'!$I$29:$I$38)</x:f>
        <x:v>0</x:v>
      </x:c>
      <x:c r="P39" s="43" t="n">
        <x:f>SUMIF('Ход 2031'!$G$29:$G$38,$A39,'Ход 2031'!$I$29:$I$38)</x:f>
        <x:v>0</x:v>
      </x:c>
      <x:c r="Q39" s="43" t="n">
        <x:f>SUMIF('Ход 2032'!$G$29:$G$38,$A39,'Ход 2032'!$I$29:$I$38)</x:f>
        <x:v>0</x:v>
      </x:c>
      <x:c r="R39" s="43" t="n">
        <x:f>SUMIF('Ход 2033'!$G$29:$G$38,$A39,'Ход 2033'!$I$29:$I$38)</x:f>
        <x:v>0</x:v>
      </x:c>
      <x:c r="S39" s="43" t="n">
        <x:f>SUMIF('Ход 2034'!$G$29:$G$38,$A39,'Ход 2034'!$I$29:$I$38)</x:f>
        <x:v>0</x:v>
      </x:c>
      <x:c r="T39" s="43" t="n">
        <x:f>SUMIF('Ход 2035'!$G$29:$G$38,$A39,'Ход 2035'!$I$29:$I$38)</x:f>
        <x:v>0</x:v>
      </x:c>
      <x:c r="U39" s="43" t="n">
        <x:f>SUMIF('Ход 2036'!$G$29:$G$38,$A39,'Ход 2036'!$I$29:$I$38)</x:f>
        <x:v>0</x:v>
      </x:c>
      <x:c r="V39" s="43" t="n">
        <x:f>SUMIF('Ход 2037'!$G$29:$G$38,$A39,'Ход 2037'!$I$29:$I$38)</x:f>
        <x:v>0</x:v>
      </x:c>
      <x:c r="W39" s="43" t="n">
        <x:f>SUMIF('Ход 2038'!$G$29:$G$38,$A39,'Ход 2038'!$I$29:$I$38)</x:f>
        <x:v>0</x:v>
      </x:c>
      <x:c r="X39" s="43" t="n">
        <x:f>SUMIF('Ход 2039'!$G$29:$G$38,$A39,'Ход 2039'!$I$29:$I$38)</x:f>
        <x:v>0</x:v>
      </x:c>
      <x:c r="Y39" s="43" t="n">
        <x:f>SUMIF('Ход 2040'!$G$29:$G$38,$A39,'Ход 2040'!$I$29:$I$38)</x:f>
        <x:v>0</x:v>
      </x:c>
      <x:c r="Z39" s="44" t="n">
        <x:f>SUM(K39:Y39)</x:f>
        <x:v>0</x:v>
      </x:c>
      <x:c r="AA39" s="44" t="n">
        <x:f>MAX(0,E39-Z39)</x:f>
        <x:v>105</x:v>
      </x:c>
      <x:c r="AB39" s="42" t="str">
        <x:f>BF39</x:f>
        <x:v>ЗАКРЫТО</x:v>
      </x:c>
      <x:c r="AC39" t="n">
        <x:f>SUM($K39:K39)</x:f>
        <x:v>0</x:v>
      </x:c>
      <x:c r="AD39" t="n">
        <x:f>SUM($K39:L39)</x:f>
        <x:v>0</x:v>
      </x:c>
      <x:c r="AE39" t="n">
        <x:f>SUM($K39:M39)</x:f>
        <x:v>0</x:v>
      </x:c>
      <x:c r="AF39" t="n">
        <x:f>SUM($K39:N39)</x:f>
        <x:v>0</x:v>
      </x:c>
      <x:c r="AG39" t="n">
        <x:f>SUM($K39:O39)</x:f>
        <x:v>0</x:v>
      </x:c>
      <x:c r="AH39" t="n">
        <x:f>SUM($K39:P39)</x:f>
        <x:v>0</x:v>
      </x:c>
      <x:c r="AI39" t="n">
        <x:f>SUM($K39:Q39)</x:f>
        <x:v>0</x:v>
      </x:c>
      <x:c r="AJ39" t="n">
        <x:f>SUM($K39:R39)</x:f>
        <x:v>0</x:v>
      </x:c>
      <x:c r="AK39" t="n">
        <x:f>SUM($K39:S39)</x:f>
        <x:v>0</x:v>
      </x:c>
      <x:c r="AL39" t="n">
        <x:f>SUM($K39:T39)</x:f>
        <x:v>0</x:v>
      </x:c>
      <x:c r="AM39" t="n">
        <x:f>SUM($K39:U39)</x:f>
        <x:v>0</x:v>
      </x:c>
      <x:c r="AN39" t="n">
        <x:f>SUM($K39:V39)</x:f>
        <x:v>0</x:v>
      </x:c>
      <x:c r="AO39" t="n">
        <x:f>SUM($K39:W39)</x:f>
        <x:v>0</x:v>
      </x:c>
      <x:c r="AP39" t="n">
        <x:f>SUM($K39:X39)</x:f>
        <x:v>0</x:v>
      </x:c>
      <x:c r="AQ39" t="n">
        <x:f>SUM($K39:Y39)</x:f>
        <x:v>0</x:v>
      </x:c>
      <x:c r="AR39" t="str">
        <x:f>IF(AC39&gt;=E39,"ИЗУЧЕНО",IF(AND(OR(F39="",SUMIF($A$11:$A$50,F39,AC$11:AC$50)&gt;=SUMIF($A$11:$A$50,F39,$E$11:$E$50)),OR(G39="",SUMIF($A$11:$A$50,G39,AC$11:AC$50)&gt;=SUMIF($A$11:$A$50,G39,$E$11:$E$50)),OR(H39="",SUMIF($A$11:$A$50,H39,AC$11:AC$50)&gt;=SUMIF($A$11:$A$50,H39,$E$11:$E$50))),"ОТКРЫТО","ЗАКРЫТО"))</x:f>
        <x:v>ЗАКРЫТО</x:v>
      </x:c>
      <x:c r="AS39" t="str">
        <x:f>IF(AD39&gt;=E39,"ИЗУЧЕНО",IF(AND(OR(F39="",SUMIF($A$11:$A$50,F39,AD$11:AD$50)&gt;=SUMIF($A$11:$A$50,F39,$E$11:$E$50)),OR(G39="",SUMIF($A$11:$A$50,G39,AD$11:AD$50)&gt;=SUMIF($A$11:$A$50,G39,$E$11:$E$50)),OR(H39="",SUMIF($A$11:$A$50,H39,AD$11:AD$50)&gt;=SUMIF($A$11:$A$50,H39,$E$11:$E$50))),"ОТКРЫТО","ЗАКРЫТО"))</x:f>
        <x:v>ЗАКРЫТО</x:v>
      </x:c>
      <x:c r="AT39" t="str">
        <x:f>IF(AE39&gt;=E39,"ИЗУЧЕНО",IF(AND(OR(F39="",SUMIF($A$11:$A$50,F39,AE$11:AE$50)&gt;=SUMIF($A$11:$A$50,F39,$E$11:$E$50)),OR(G39="",SUMIF($A$11:$A$50,G39,AE$11:AE$50)&gt;=SUMIF($A$11:$A$50,G39,$E$11:$E$50)),OR(H39="",SUMIF($A$11:$A$50,H39,AE$11:AE$50)&gt;=SUMIF($A$11:$A$50,H39,$E$11:$E$50))),"ОТКРЫТО","ЗАКРЫТО"))</x:f>
        <x:v>ЗАКРЫТО</x:v>
      </x:c>
      <x:c r="AU39" t="str">
        <x:f>IF(AF39&gt;=E39,"ИЗУЧЕНО",IF(AND(OR(F39="",SUMIF($A$11:$A$50,F39,AF$11:AF$50)&gt;=SUMIF($A$11:$A$50,F39,$E$11:$E$50)),OR(G39="",SUMIF($A$11:$A$50,G39,AF$11:AF$50)&gt;=SUMIF($A$11:$A$50,G39,$E$11:$E$50)),OR(H39="",SUMIF($A$11:$A$50,H39,AF$11:AF$50)&gt;=SUMIF($A$11:$A$50,H39,$E$11:$E$50))),"ОТКРЫТО","ЗАКРЫТО"))</x:f>
        <x:v>ЗАКРЫТО</x:v>
      </x:c>
      <x:c r="AV39" t="str">
        <x:f>IF(AG39&gt;=E39,"ИЗУЧЕНО",IF(AND(OR(F39="",SUMIF($A$11:$A$50,F39,AG$11:AG$50)&gt;=SUMIF($A$11:$A$50,F39,$E$11:$E$50)),OR(G39="",SUMIF($A$11:$A$50,G39,AG$11:AG$50)&gt;=SUMIF($A$11:$A$50,G39,$E$11:$E$50)),OR(H39="",SUMIF($A$11:$A$50,H39,AG$11:AG$50)&gt;=SUMIF($A$11:$A$50,H39,$E$11:$E$50))),"ОТКРЫТО","ЗАКРЫТО"))</x:f>
        <x:v>ЗАКРЫТО</x:v>
      </x:c>
      <x:c r="AW39" t="str">
        <x:f>IF(AH39&gt;=E39,"ИЗУЧЕНО",IF(AND(OR(F39="",SUMIF($A$11:$A$50,F39,AH$11:AH$50)&gt;=SUMIF($A$11:$A$50,F39,$E$11:$E$50)),OR(G39="",SUMIF($A$11:$A$50,G39,AH$11:AH$50)&gt;=SUMIF($A$11:$A$50,G39,$E$11:$E$50)),OR(H39="",SUMIF($A$11:$A$50,H39,AH$11:AH$50)&gt;=SUMIF($A$11:$A$50,H39,$E$11:$E$50))),"ОТКРЫТО","ЗАКРЫТО"))</x:f>
        <x:v>ЗАКРЫТО</x:v>
      </x:c>
      <x:c r="AX39" t="str">
        <x:f>IF(AI39&gt;=E39,"ИЗУЧЕНО",IF(AND(OR(F39="",SUMIF($A$11:$A$50,F39,AI$11:AI$50)&gt;=SUMIF($A$11:$A$50,F39,$E$11:$E$50)),OR(G39="",SUMIF($A$11:$A$50,G39,AI$11:AI$50)&gt;=SUMIF($A$11:$A$50,G39,$E$11:$E$50)),OR(H39="",SUMIF($A$11:$A$50,H39,AI$11:AI$50)&gt;=SUMIF($A$11:$A$50,H39,$E$11:$E$50))),"ОТКРЫТО","ЗАКРЫТО"))</x:f>
        <x:v>ЗАКРЫТО</x:v>
      </x:c>
      <x:c r="AY39" t="str">
        <x:f>IF(AJ39&gt;=E39,"ИЗУЧЕНО",IF(AND(OR(F39="",SUMIF($A$11:$A$50,F39,AJ$11:AJ$50)&gt;=SUMIF($A$11:$A$50,F39,$E$11:$E$50)),OR(G39="",SUMIF($A$11:$A$50,G39,AJ$11:AJ$50)&gt;=SUMIF($A$11:$A$50,G39,$E$11:$E$50)),OR(H39="",SUMIF($A$11:$A$50,H39,AJ$11:AJ$50)&gt;=SUMIF($A$11:$A$50,H39,$E$11:$E$50))),"ОТКРЫТО","ЗАКРЫТО"))</x:f>
        <x:v>ЗАКРЫТО</x:v>
      </x:c>
      <x:c r="AZ39" t="str">
        <x:f>IF(AK39&gt;=E39,"ИЗУЧЕНО",IF(AND(OR(F39="",SUMIF($A$11:$A$50,F39,AK$11:AK$50)&gt;=SUMIF($A$11:$A$50,F39,$E$11:$E$50)),OR(G39="",SUMIF($A$11:$A$50,G39,AK$11:AK$50)&gt;=SUMIF($A$11:$A$50,G39,$E$11:$E$50)),OR(H39="",SUMIF($A$11:$A$50,H39,AK$11:AK$50)&gt;=SUMIF($A$11:$A$50,H39,$E$11:$E$50))),"ОТКРЫТО","ЗАКРЫТО"))</x:f>
        <x:v>ЗАКРЫТО</x:v>
      </x:c>
      <x:c r="BA39" t="str">
        <x:f>IF(AL39&gt;=E39,"ИЗУЧЕНО",IF(AND(OR(F39="",SUMIF($A$11:$A$50,F39,AL$11:AL$50)&gt;=SUMIF($A$11:$A$50,F39,$E$11:$E$50)),OR(G39="",SUMIF($A$11:$A$50,G39,AL$11:AL$50)&gt;=SUMIF($A$11:$A$50,G39,$E$11:$E$50)),OR(H39="",SUMIF($A$11:$A$50,H39,AL$11:AL$50)&gt;=SUMIF($A$11:$A$50,H39,$E$11:$E$50))),"ОТКРЫТО","ЗАКРЫТО"))</x:f>
        <x:v>ЗАКРЫТО</x:v>
      </x:c>
      <x:c r="BB39" t="str">
        <x:f>IF(AM39&gt;=E39,"ИЗУЧЕНО",IF(AND(OR(F39="",SUMIF($A$11:$A$50,F39,AM$11:AM$50)&gt;=SUMIF($A$11:$A$50,F39,$E$11:$E$50)),OR(G39="",SUMIF($A$11:$A$50,G39,AM$11:AM$50)&gt;=SUMIF($A$11:$A$50,G39,$E$11:$E$50)),OR(H39="",SUMIF($A$11:$A$50,H39,AM$11:AM$50)&gt;=SUMIF($A$11:$A$50,H39,$E$11:$E$50))),"ОТКРЫТО","ЗАКРЫТО"))</x:f>
        <x:v>ЗАКРЫТО</x:v>
      </x:c>
      <x:c r="BC39" t="str">
        <x:f>IF(AN39&gt;=E39,"ИЗУЧЕНО",IF(AND(OR(F39="",SUMIF($A$11:$A$50,F39,AN$11:AN$50)&gt;=SUMIF($A$11:$A$50,F39,$E$11:$E$50)),OR(G39="",SUMIF($A$11:$A$50,G39,AN$11:AN$50)&gt;=SUMIF($A$11:$A$50,G39,$E$11:$E$50)),OR(H39="",SUMIF($A$11:$A$50,H39,AN$11:AN$50)&gt;=SUMIF($A$11:$A$50,H39,$E$11:$E$50))),"ОТКРЫТО","ЗАКРЫТО"))</x:f>
        <x:v>ЗАКРЫТО</x:v>
      </x:c>
      <x:c r="BD39" t="str">
        <x:f>IF(AO39&gt;=E39,"ИЗУЧЕНО",IF(AND(OR(F39="",SUMIF($A$11:$A$50,F39,AO$11:AO$50)&gt;=SUMIF($A$11:$A$50,F39,$E$11:$E$50)),OR(G39="",SUMIF($A$11:$A$50,G39,AO$11:AO$50)&gt;=SUMIF($A$11:$A$50,G39,$E$11:$E$50)),OR(H39="",SUMIF($A$11:$A$50,H39,AO$11:AO$50)&gt;=SUMIF($A$11:$A$50,H39,$E$11:$E$50))),"ОТКРЫТО","ЗАКРЫТО"))</x:f>
        <x:v>ЗАКРЫТО</x:v>
      </x:c>
      <x:c r="BE39" t="str">
        <x:f>IF(AP39&gt;=E39,"ИЗУЧЕНО",IF(AND(OR(F39="",SUMIF($A$11:$A$50,F39,AP$11:AP$50)&gt;=SUMIF($A$11:$A$50,F39,$E$11:$E$50)),OR(G39="",SUMIF($A$11:$A$50,G39,AP$11:AP$50)&gt;=SUMIF($A$11:$A$50,G39,$E$11:$E$50)),OR(H39="",SUMIF($A$11:$A$50,H39,AP$11:AP$50)&gt;=SUMIF($A$11:$A$50,H39,$E$11:$E$50))),"ОТКРЫТО","ЗАКРЫТО"))</x:f>
        <x:v>ЗАКРЫТО</x:v>
      </x:c>
      <x:c r="BF39" t="str">
        <x:f>IF(AQ39&gt;=E39,"ИЗУЧЕНО",IF(AND(OR(F39="",SUMIF($A$11:$A$50,F39,AQ$11:AQ$50)&gt;=SUMIF($A$11:$A$50,F39,$E$11:$E$50)),OR(G39="",SUMIF($A$11:$A$50,G39,AQ$11:AQ$50)&gt;=SUMIF($A$11:$A$50,G39,$E$11:$E$50)),OR(H39="",SUMIF($A$11:$A$50,H39,AQ$11:AQ$50)&gt;=SUMIF($A$11:$A$50,H39,$E$11:$E$50))),"ОТКРЫТО","ЗАКРЫТО"))</x:f>
        <x:v>ЗАКРЫТО</x:v>
      </x:c>
    </x:row>
    <x:row r="40">
      <x:c r="A40" s="42" t="str">
        <x:v>R6</x:v>
      </x:c>
      <x:c r="B40" s="42" t="str">
        <x:v>Физический ИИ и робототехника</x:v>
      </x:c>
      <x:c r="C40" s="42" t="str">
        <x:v>V</x:v>
      </x:c>
      <x:c r="D40" s="42" t="str">
        <x:v>Автономные производственные комплексы</x:v>
      </x:c>
      <x:c r="E40" s="42" t="n">
        <x:v>150</x:v>
      </x:c>
      <x:c r="F40" s="42" t="str">
        <x:v>R5</x:v>
      </x:c>
      <x:c r="G40" s="42"/>
      <x:c r="H40" s="42"/>
      <x:c r="I40" s="42" t="str">
        <x:v>Производство с минимальным постоянным человеческим оперативным управлением.</x:v>
      </x:c>
      <x:c r="J40" s="42" t="str">
        <x:v>Производство +0,5; его прирост +0,15/год; очки трансформации в ресурсы группы I эффективнее на 15%</x:v>
      </x:c>
      <x:c r="K40" s="43" t="n">
        <x:f>SUMIF('Ход 2026'!$G$29:$G$38,$A40,'Ход 2026'!$I$29:$I$38)</x:f>
        <x:v>0</x:v>
      </x:c>
      <x:c r="L40" s="43" t="n">
        <x:f>SUMIF('Ход 2027'!$G$29:$G$38,$A40,'Ход 2027'!$I$29:$I$38)</x:f>
        <x:v>0</x:v>
      </x:c>
      <x:c r="M40" s="43" t="n">
        <x:f>SUMIF('Ход 2028'!$G$29:$G$38,$A40,'Ход 2028'!$I$29:$I$38)</x:f>
        <x:v>0</x:v>
      </x:c>
      <x:c r="N40" s="43" t="n">
        <x:f>SUMIF('Ход 2029'!$G$29:$G$38,$A40,'Ход 2029'!$I$29:$I$38)</x:f>
        <x:v>0</x:v>
      </x:c>
      <x:c r="O40" s="43" t="n">
        <x:f>SUMIF('Ход 2030'!$G$29:$G$38,$A40,'Ход 2030'!$I$29:$I$38)</x:f>
        <x:v>0</x:v>
      </x:c>
      <x:c r="P40" s="43" t="n">
        <x:f>SUMIF('Ход 2031'!$G$29:$G$38,$A40,'Ход 2031'!$I$29:$I$38)</x:f>
        <x:v>0</x:v>
      </x:c>
      <x:c r="Q40" s="43" t="n">
        <x:f>SUMIF('Ход 2032'!$G$29:$G$38,$A40,'Ход 2032'!$I$29:$I$38)</x:f>
        <x:v>0</x:v>
      </x:c>
      <x:c r="R40" s="43" t="n">
        <x:f>SUMIF('Ход 2033'!$G$29:$G$38,$A40,'Ход 2033'!$I$29:$I$38)</x:f>
        <x:v>0</x:v>
      </x:c>
      <x:c r="S40" s="43" t="n">
        <x:f>SUMIF('Ход 2034'!$G$29:$G$38,$A40,'Ход 2034'!$I$29:$I$38)</x:f>
        <x:v>0</x:v>
      </x:c>
      <x:c r="T40" s="43" t="n">
        <x:f>SUMIF('Ход 2035'!$G$29:$G$38,$A40,'Ход 2035'!$I$29:$I$38)</x:f>
        <x:v>0</x:v>
      </x:c>
      <x:c r="U40" s="43" t="n">
        <x:f>SUMIF('Ход 2036'!$G$29:$G$38,$A40,'Ход 2036'!$I$29:$I$38)</x:f>
        <x:v>0</x:v>
      </x:c>
      <x:c r="V40" s="43" t="n">
        <x:f>SUMIF('Ход 2037'!$G$29:$G$38,$A40,'Ход 2037'!$I$29:$I$38)</x:f>
        <x:v>0</x:v>
      </x:c>
      <x:c r="W40" s="43" t="n">
        <x:f>SUMIF('Ход 2038'!$G$29:$G$38,$A40,'Ход 2038'!$I$29:$I$38)</x:f>
        <x:v>0</x:v>
      </x:c>
      <x:c r="X40" s="43" t="n">
        <x:f>SUMIF('Ход 2039'!$G$29:$G$38,$A40,'Ход 2039'!$I$29:$I$38)</x:f>
        <x:v>0</x:v>
      </x:c>
      <x:c r="Y40" s="43" t="n">
        <x:f>SUMIF('Ход 2040'!$G$29:$G$38,$A40,'Ход 2040'!$I$29:$I$38)</x:f>
        <x:v>0</x:v>
      </x:c>
      <x:c r="Z40" s="44" t="n">
        <x:f>SUM(K40:Y40)</x:f>
        <x:v>0</x:v>
      </x:c>
      <x:c r="AA40" s="44" t="n">
        <x:f>MAX(0,E40-Z40)</x:f>
        <x:v>150</x:v>
      </x:c>
      <x:c r="AB40" s="42" t="str">
        <x:f>BF40</x:f>
        <x:v>ЗАКРЫТО</x:v>
      </x:c>
      <x:c r="AC40" t="n">
        <x:f>SUM($K40:K40)</x:f>
        <x:v>0</x:v>
      </x:c>
      <x:c r="AD40" t="n">
        <x:f>SUM($K40:L40)</x:f>
        <x:v>0</x:v>
      </x:c>
      <x:c r="AE40" t="n">
        <x:f>SUM($K40:M40)</x:f>
        <x:v>0</x:v>
      </x:c>
      <x:c r="AF40" t="n">
        <x:f>SUM($K40:N40)</x:f>
        <x:v>0</x:v>
      </x:c>
      <x:c r="AG40" t="n">
        <x:f>SUM($K40:O40)</x:f>
        <x:v>0</x:v>
      </x:c>
      <x:c r="AH40" t="n">
        <x:f>SUM($K40:P40)</x:f>
        <x:v>0</x:v>
      </x:c>
      <x:c r="AI40" t="n">
        <x:f>SUM($K40:Q40)</x:f>
        <x:v>0</x:v>
      </x:c>
      <x:c r="AJ40" t="n">
        <x:f>SUM($K40:R40)</x:f>
        <x:v>0</x:v>
      </x:c>
      <x:c r="AK40" t="n">
        <x:f>SUM($K40:S40)</x:f>
        <x:v>0</x:v>
      </x:c>
      <x:c r="AL40" t="n">
        <x:f>SUM($K40:T40)</x:f>
        <x:v>0</x:v>
      </x:c>
      <x:c r="AM40" t="n">
        <x:f>SUM($K40:U40)</x:f>
        <x:v>0</x:v>
      </x:c>
      <x:c r="AN40" t="n">
        <x:f>SUM($K40:V40)</x:f>
        <x:v>0</x:v>
      </x:c>
      <x:c r="AO40" t="n">
        <x:f>SUM($K40:W40)</x:f>
        <x:v>0</x:v>
      </x:c>
      <x:c r="AP40" t="n">
        <x:f>SUM($K40:X40)</x:f>
        <x:v>0</x:v>
      </x:c>
      <x:c r="AQ40" t="n">
        <x:f>SUM($K40:Y40)</x:f>
        <x:v>0</x:v>
      </x:c>
      <x:c r="AR40" t="str">
        <x:f>IF(AC40&gt;=E40,"ИЗУЧЕНО",IF(AND(OR(F40="",SUMIF($A$11:$A$50,F40,AC$11:AC$50)&gt;=SUMIF($A$11:$A$50,F40,$E$11:$E$50)),OR(G40="",SUMIF($A$11:$A$50,G40,AC$11:AC$50)&gt;=SUMIF($A$11:$A$50,G40,$E$11:$E$50)),OR(H40="",SUMIF($A$11:$A$50,H40,AC$11:AC$50)&gt;=SUMIF($A$11:$A$50,H40,$E$11:$E$50))),"ОТКРЫТО","ЗАКРЫТО"))</x:f>
        <x:v>ЗАКРЫТО</x:v>
      </x:c>
      <x:c r="AS40" t="str">
        <x:f>IF(AD40&gt;=E40,"ИЗУЧЕНО",IF(AND(OR(F40="",SUMIF($A$11:$A$50,F40,AD$11:AD$50)&gt;=SUMIF($A$11:$A$50,F40,$E$11:$E$50)),OR(G40="",SUMIF($A$11:$A$50,G40,AD$11:AD$50)&gt;=SUMIF($A$11:$A$50,G40,$E$11:$E$50)),OR(H40="",SUMIF($A$11:$A$50,H40,AD$11:AD$50)&gt;=SUMIF($A$11:$A$50,H40,$E$11:$E$50))),"ОТКРЫТО","ЗАКРЫТО"))</x:f>
        <x:v>ЗАКРЫТО</x:v>
      </x:c>
      <x:c r="AT40" t="str">
        <x:f>IF(AE40&gt;=E40,"ИЗУЧЕНО",IF(AND(OR(F40="",SUMIF($A$11:$A$50,F40,AE$11:AE$50)&gt;=SUMIF($A$11:$A$50,F40,$E$11:$E$50)),OR(G40="",SUMIF($A$11:$A$50,G40,AE$11:AE$50)&gt;=SUMIF($A$11:$A$50,G40,$E$11:$E$50)),OR(H40="",SUMIF($A$11:$A$50,H40,AE$11:AE$50)&gt;=SUMIF($A$11:$A$50,H40,$E$11:$E$50))),"ОТКРЫТО","ЗАКРЫТО"))</x:f>
        <x:v>ЗАКРЫТО</x:v>
      </x:c>
      <x:c r="AU40" t="str">
        <x:f>IF(AF40&gt;=E40,"ИЗУЧЕНО",IF(AND(OR(F40="",SUMIF($A$11:$A$50,F40,AF$11:AF$50)&gt;=SUMIF($A$11:$A$50,F40,$E$11:$E$50)),OR(G40="",SUMIF($A$11:$A$50,G40,AF$11:AF$50)&gt;=SUMIF($A$11:$A$50,G40,$E$11:$E$50)),OR(H40="",SUMIF($A$11:$A$50,H40,AF$11:AF$50)&gt;=SUMIF($A$11:$A$50,H40,$E$11:$E$50))),"ОТКРЫТО","ЗАКРЫТО"))</x:f>
        <x:v>ЗАКРЫТО</x:v>
      </x:c>
      <x:c r="AV40" t="str">
        <x:f>IF(AG40&gt;=E40,"ИЗУЧЕНО",IF(AND(OR(F40="",SUMIF($A$11:$A$50,F40,AG$11:AG$50)&gt;=SUMIF($A$11:$A$50,F40,$E$11:$E$50)),OR(G40="",SUMIF($A$11:$A$50,G40,AG$11:AG$50)&gt;=SUMIF($A$11:$A$50,G40,$E$11:$E$50)),OR(H40="",SUMIF($A$11:$A$50,H40,AG$11:AG$50)&gt;=SUMIF($A$11:$A$50,H40,$E$11:$E$50))),"ОТКРЫТО","ЗАКРЫТО"))</x:f>
        <x:v>ЗАКРЫТО</x:v>
      </x:c>
      <x:c r="AW40" t="str">
        <x:f>IF(AH40&gt;=E40,"ИЗУЧЕНО",IF(AND(OR(F40="",SUMIF($A$11:$A$50,F40,AH$11:AH$50)&gt;=SUMIF($A$11:$A$50,F40,$E$11:$E$50)),OR(G40="",SUMIF($A$11:$A$50,G40,AH$11:AH$50)&gt;=SUMIF($A$11:$A$50,G40,$E$11:$E$50)),OR(H40="",SUMIF($A$11:$A$50,H40,AH$11:AH$50)&gt;=SUMIF($A$11:$A$50,H40,$E$11:$E$50))),"ОТКРЫТО","ЗАКРЫТО"))</x:f>
        <x:v>ЗАКРЫТО</x:v>
      </x:c>
      <x:c r="AX40" t="str">
        <x:f>IF(AI40&gt;=E40,"ИЗУЧЕНО",IF(AND(OR(F40="",SUMIF($A$11:$A$50,F40,AI$11:AI$50)&gt;=SUMIF($A$11:$A$50,F40,$E$11:$E$50)),OR(G40="",SUMIF($A$11:$A$50,G40,AI$11:AI$50)&gt;=SUMIF($A$11:$A$50,G40,$E$11:$E$50)),OR(H40="",SUMIF($A$11:$A$50,H40,AI$11:AI$50)&gt;=SUMIF($A$11:$A$50,H40,$E$11:$E$50))),"ОТКРЫТО","ЗАКРЫТО"))</x:f>
        <x:v>ЗАКРЫТО</x:v>
      </x:c>
      <x:c r="AY40" t="str">
        <x:f>IF(AJ40&gt;=E40,"ИЗУЧЕНО",IF(AND(OR(F40="",SUMIF($A$11:$A$50,F40,AJ$11:AJ$50)&gt;=SUMIF($A$11:$A$50,F40,$E$11:$E$50)),OR(G40="",SUMIF($A$11:$A$50,G40,AJ$11:AJ$50)&gt;=SUMIF($A$11:$A$50,G40,$E$11:$E$50)),OR(H40="",SUMIF($A$11:$A$50,H40,AJ$11:AJ$50)&gt;=SUMIF($A$11:$A$50,H40,$E$11:$E$50))),"ОТКРЫТО","ЗАКРЫТО"))</x:f>
        <x:v>ЗАКРЫТО</x:v>
      </x:c>
      <x:c r="AZ40" t="str">
        <x:f>IF(AK40&gt;=E40,"ИЗУЧЕНО",IF(AND(OR(F40="",SUMIF($A$11:$A$50,F40,AK$11:AK$50)&gt;=SUMIF($A$11:$A$50,F40,$E$11:$E$50)),OR(G40="",SUMIF($A$11:$A$50,G40,AK$11:AK$50)&gt;=SUMIF($A$11:$A$50,G40,$E$11:$E$50)),OR(H40="",SUMIF($A$11:$A$50,H40,AK$11:AK$50)&gt;=SUMIF($A$11:$A$50,H40,$E$11:$E$50))),"ОТКРЫТО","ЗАКРЫТО"))</x:f>
        <x:v>ЗАКРЫТО</x:v>
      </x:c>
      <x:c r="BA40" t="str">
        <x:f>IF(AL40&gt;=E40,"ИЗУЧЕНО",IF(AND(OR(F40="",SUMIF($A$11:$A$50,F40,AL$11:AL$50)&gt;=SUMIF($A$11:$A$50,F40,$E$11:$E$50)),OR(G40="",SUMIF($A$11:$A$50,G40,AL$11:AL$50)&gt;=SUMIF($A$11:$A$50,G40,$E$11:$E$50)),OR(H40="",SUMIF($A$11:$A$50,H40,AL$11:AL$50)&gt;=SUMIF($A$11:$A$50,H40,$E$11:$E$50))),"ОТКРЫТО","ЗАКРЫТО"))</x:f>
        <x:v>ЗАКРЫТО</x:v>
      </x:c>
      <x:c r="BB40" t="str">
        <x:f>IF(AM40&gt;=E40,"ИЗУЧЕНО",IF(AND(OR(F40="",SUMIF($A$11:$A$50,F40,AM$11:AM$50)&gt;=SUMIF($A$11:$A$50,F40,$E$11:$E$50)),OR(G40="",SUMIF($A$11:$A$50,G40,AM$11:AM$50)&gt;=SUMIF($A$11:$A$50,G40,$E$11:$E$50)),OR(H40="",SUMIF($A$11:$A$50,H40,AM$11:AM$50)&gt;=SUMIF($A$11:$A$50,H40,$E$11:$E$50))),"ОТКРЫТО","ЗАКРЫТО"))</x:f>
        <x:v>ЗАКРЫТО</x:v>
      </x:c>
      <x:c r="BC40" t="str">
        <x:f>IF(AN40&gt;=E40,"ИЗУЧЕНО",IF(AND(OR(F40="",SUMIF($A$11:$A$50,F40,AN$11:AN$50)&gt;=SUMIF($A$11:$A$50,F40,$E$11:$E$50)),OR(G40="",SUMIF($A$11:$A$50,G40,AN$11:AN$50)&gt;=SUMIF($A$11:$A$50,G40,$E$11:$E$50)),OR(H40="",SUMIF($A$11:$A$50,H40,AN$11:AN$50)&gt;=SUMIF($A$11:$A$50,H40,$E$11:$E$50))),"ОТКРЫТО","ЗАКРЫТО"))</x:f>
        <x:v>ЗАКРЫТО</x:v>
      </x:c>
      <x:c r="BD40" t="str">
        <x:f>IF(AO40&gt;=E40,"ИЗУЧЕНО",IF(AND(OR(F40="",SUMIF($A$11:$A$50,F40,AO$11:AO$50)&gt;=SUMIF($A$11:$A$50,F40,$E$11:$E$50)),OR(G40="",SUMIF($A$11:$A$50,G40,AO$11:AO$50)&gt;=SUMIF($A$11:$A$50,G40,$E$11:$E$50)),OR(H40="",SUMIF($A$11:$A$50,H40,AO$11:AO$50)&gt;=SUMIF($A$11:$A$50,H40,$E$11:$E$50))),"ОТКРЫТО","ЗАКРЫТО"))</x:f>
        <x:v>ЗАКРЫТО</x:v>
      </x:c>
      <x:c r="BE40" t="str">
        <x:f>IF(AP40&gt;=E40,"ИЗУЧЕНО",IF(AND(OR(F40="",SUMIF($A$11:$A$50,F40,AP$11:AP$50)&gt;=SUMIF($A$11:$A$50,F40,$E$11:$E$50)),OR(G40="",SUMIF($A$11:$A$50,G40,AP$11:AP$50)&gt;=SUMIF($A$11:$A$50,G40,$E$11:$E$50)),OR(H40="",SUMIF($A$11:$A$50,H40,AP$11:AP$50)&gt;=SUMIF($A$11:$A$50,H40,$E$11:$E$50))),"ОТКРЫТО","ЗАКРЫТО"))</x:f>
        <x:v>ЗАКРЫТО</x:v>
      </x:c>
      <x:c r="BF40" t="str">
        <x:f>IF(AQ40&gt;=E40,"ИЗУЧЕНО",IF(AND(OR(F40="",SUMIF($A$11:$A$50,F40,AQ$11:AQ$50)&gt;=SUMIF($A$11:$A$50,F40,$E$11:$E$50)),OR(G40="",SUMIF($A$11:$A$50,G40,AQ$11:AQ$50)&gt;=SUMIF($A$11:$A$50,G40,$E$11:$E$50)),OR(H40="",SUMIF($A$11:$A$50,H40,AQ$11:AQ$50)&gt;=SUMIF($A$11:$A$50,H40,$E$11:$E$50))),"ОТКРЫТО","ЗАКРЫТО"))</x:f>
        <x:v>ЗАКРЫТО</x:v>
      </x:c>
    </x:row>
    <x:row r="41">
      <x:c r="A41" s="42" t="str">
        <x:v>S1</x:v>
      </x:c>
      <x:c r="B41" s="42" t="str">
        <x:v>Надёжность, безопасность и контроль</x:v>
      </x:c>
      <x:c r="C41" s="42" t="str">
        <x:v>I</x:v>
      </x:c>
      <x:c r="D41" s="42" t="str">
        <x:v>Систематическая оценка ИИ</x:v>
      </x:c>
      <x:c r="E41" s="42" t="n">
        <x:v>20</x:v>
      </x:c>
      <x:c r="F41" s="42"/>
      <x:c r="G41" s="42"/>
      <x:c r="H41" s="42"/>
      <x:c r="I41" s="42" t="str">
        <x:v>Бенчмарки, тестирование и контроль деградации моделей.</x:v>
      </x:c>
      <x:c r="J41" s="42" t="str">
        <x:v>Ресурсы оценки +0,3; прирост Поствнедренческого мониторинга +0,05/год</x:v>
      </x:c>
      <x:c r="K41" s="43" t="n">
        <x:f>SUMIF('Ход 2026'!$G$29:$G$38,$A41,'Ход 2026'!$I$29:$I$38)</x:f>
        <x:v>0</x:v>
      </x:c>
      <x:c r="L41" s="43" t="n">
        <x:f>SUMIF('Ход 2027'!$G$29:$G$38,$A41,'Ход 2027'!$I$29:$I$38)</x:f>
        <x:v>0</x:v>
      </x:c>
      <x:c r="M41" s="43" t="n">
        <x:f>SUMIF('Ход 2028'!$G$29:$G$38,$A41,'Ход 2028'!$I$29:$I$38)</x:f>
        <x:v>0</x:v>
      </x:c>
      <x:c r="N41" s="43" t="n">
        <x:f>SUMIF('Ход 2029'!$G$29:$G$38,$A41,'Ход 2029'!$I$29:$I$38)</x:f>
        <x:v>0</x:v>
      </x:c>
      <x:c r="O41" s="43" t="n">
        <x:f>SUMIF('Ход 2030'!$G$29:$G$38,$A41,'Ход 2030'!$I$29:$I$38)</x:f>
        <x:v>0</x:v>
      </x:c>
      <x:c r="P41" s="43" t="n">
        <x:f>SUMIF('Ход 2031'!$G$29:$G$38,$A41,'Ход 2031'!$I$29:$I$38)</x:f>
        <x:v>0</x:v>
      </x:c>
      <x:c r="Q41" s="43" t="n">
        <x:f>SUMIF('Ход 2032'!$G$29:$G$38,$A41,'Ход 2032'!$I$29:$I$38)</x:f>
        <x:v>0</x:v>
      </x:c>
      <x:c r="R41" s="43" t="n">
        <x:f>SUMIF('Ход 2033'!$G$29:$G$38,$A41,'Ход 2033'!$I$29:$I$38)</x:f>
        <x:v>0</x:v>
      </x:c>
      <x:c r="S41" s="43" t="n">
        <x:f>SUMIF('Ход 2034'!$G$29:$G$38,$A41,'Ход 2034'!$I$29:$I$38)</x:f>
        <x:v>0</x:v>
      </x:c>
      <x:c r="T41" s="43" t="n">
        <x:f>SUMIF('Ход 2035'!$G$29:$G$38,$A41,'Ход 2035'!$I$29:$I$38)</x:f>
        <x:v>0</x:v>
      </x:c>
      <x:c r="U41" s="43" t="n">
        <x:f>SUMIF('Ход 2036'!$G$29:$G$38,$A41,'Ход 2036'!$I$29:$I$38)</x:f>
        <x:v>0</x:v>
      </x:c>
      <x:c r="V41" s="43" t="n">
        <x:f>SUMIF('Ход 2037'!$G$29:$G$38,$A41,'Ход 2037'!$I$29:$I$38)</x:f>
        <x:v>0</x:v>
      </x:c>
      <x:c r="W41" s="43" t="n">
        <x:f>SUMIF('Ход 2038'!$G$29:$G$38,$A41,'Ход 2038'!$I$29:$I$38)</x:f>
        <x:v>0</x:v>
      </x:c>
      <x:c r="X41" s="43" t="n">
        <x:f>SUMIF('Ход 2039'!$G$29:$G$38,$A41,'Ход 2039'!$I$29:$I$38)</x:f>
        <x:v>0</x:v>
      </x:c>
      <x:c r="Y41" s="43" t="n">
        <x:f>SUMIF('Ход 2040'!$G$29:$G$38,$A41,'Ход 2040'!$I$29:$I$38)</x:f>
        <x:v>0</x:v>
      </x:c>
      <x:c r="Z41" s="44" t="n">
        <x:f>SUM(K41:Y41)</x:f>
        <x:v>0</x:v>
      </x:c>
      <x:c r="AA41" s="44" t="n">
        <x:f>MAX(0,E41-Z41)</x:f>
        <x:v>20</x:v>
      </x:c>
      <x:c r="AB41" s="42" t="str">
        <x:f>BF41</x:f>
        <x:v>ОТКРЫТО</x:v>
      </x:c>
      <x:c r="AC41" t="n">
        <x:f>SUM($K41:K41)</x:f>
        <x:v>0</x:v>
      </x:c>
      <x:c r="AD41" t="n">
        <x:f>SUM($K41:L41)</x:f>
        <x:v>0</x:v>
      </x:c>
      <x:c r="AE41" t="n">
        <x:f>SUM($K41:M41)</x:f>
        <x:v>0</x:v>
      </x:c>
      <x:c r="AF41" t="n">
        <x:f>SUM($K41:N41)</x:f>
        <x:v>0</x:v>
      </x:c>
      <x:c r="AG41" t="n">
        <x:f>SUM($K41:O41)</x:f>
        <x:v>0</x:v>
      </x:c>
      <x:c r="AH41" t="n">
        <x:f>SUM($K41:P41)</x:f>
        <x:v>0</x:v>
      </x:c>
      <x:c r="AI41" t="n">
        <x:f>SUM($K41:Q41)</x:f>
        <x:v>0</x:v>
      </x:c>
      <x:c r="AJ41" t="n">
        <x:f>SUM($K41:R41)</x:f>
        <x:v>0</x:v>
      </x:c>
      <x:c r="AK41" t="n">
        <x:f>SUM($K41:S41)</x:f>
        <x:v>0</x:v>
      </x:c>
      <x:c r="AL41" t="n">
        <x:f>SUM($K41:T41)</x:f>
        <x:v>0</x:v>
      </x:c>
      <x:c r="AM41" t="n">
        <x:f>SUM($K41:U41)</x:f>
        <x:v>0</x:v>
      </x:c>
      <x:c r="AN41" t="n">
        <x:f>SUM($K41:V41)</x:f>
        <x:v>0</x:v>
      </x:c>
      <x:c r="AO41" t="n">
        <x:f>SUM($K41:W41)</x:f>
        <x:v>0</x:v>
      </x:c>
      <x:c r="AP41" t="n">
        <x:f>SUM($K41:X41)</x:f>
        <x:v>0</x:v>
      </x:c>
      <x:c r="AQ41" t="n">
        <x:f>SUM($K41:Y41)</x:f>
        <x:v>0</x:v>
      </x:c>
      <x:c r="AR41" t="str">
        <x:f>IF(AC41&gt;=E41,"ИЗУЧЕНО",IF(AND(OR(F41="",SUMIF($A$11:$A$50,F41,AC$11:AC$50)&gt;=SUMIF($A$11:$A$50,F41,$E$11:$E$50)),OR(G41="",SUMIF($A$11:$A$50,G41,AC$11:AC$50)&gt;=SUMIF($A$11:$A$50,G41,$E$11:$E$50)),OR(H41="",SUMIF($A$11:$A$50,H41,AC$11:AC$50)&gt;=SUMIF($A$11:$A$50,H41,$E$11:$E$50))),"ОТКРЫТО","ЗАКРЫТО"))</x:f>
        <x:v>ОТКРЫТО</x:v>
      </x:c>
      <x:c r="AS41" t="str">
        <x:f>IF(AD41&gt;=E41,"ИЗУЧЕНО",IF(AND(OR(F41="",SUMIF($A$11:$A$50,F41,AD$11:AD$50)&gt;=SUMIF($A$11:$A$50,F41,$E$11:$E$50)),OR(G41="",SUMIF($A$11:$A$50,G41,AD$11:AD$50)&gt;=SUMIF($A$11:$A$50,G41,$E$11:$E$50)),OR(H41="",SUMIF($A$11:$A$50,H41,AD$11:AD$50)&gt;=SUMIF($A$11:$A$50,H41,$E$11:$E$50))),"ОТКРЫТО","ЗАКРЫТО"))</x:f>
        <x:v>ОТКРЫТО</x:v>
      </x:c>
      <x:c r="AT41" t="str">
        <x:f>IF(AE41&gt;=E41,"ИЗУЧЕНО",IF(AND(OR(F41="",SUMIF($A$11:$A$50,F41,AE$11:AE$50)&gt;=SUMIF($A$11:$A$50,F41,$E$11:$E$50)),OR(G41="",SUMIF($A$11:$A$50,G41,AE$11:AE$50)&gt;=SUMIF($A$11:$A$50,G41,$E$11:$E$50)),OR(H41="",SUMIF($A$11:$A$50,H41,AE$11:AE$50)&gt;=SUMIF($A$11:$A$50,H41,$E$11:$E$50))),"ОТКРЫТО","ЗАКРЫТО"))</x:f>
        <x:v>ОТКРЫТО</x:v>
      </x:c>
      <x:c r="AU41" t="str">
        <x:f>IF(AF41&gt;=E41,"ИЗУЧЕНО",IF(AND(OR(F41="",SUMIF($A$11:$A$50,F41,AF$11:AF$50)&gt;=SUMIF($A$11:$A$50,F41,$E$11:$E$50)),OR(G41="",SUMIF($A$11:$A$50,G41,AF$11:AF$50)&gt;=SUMIF($A$11:$A$50,G41,$E$11:$E$50)),OR(H41="",SUMIF($A$11:$A$50,H41,AF$11:AF$50)&gt;=SUMIF($A$11:$A$50,H41,$E$11:$E$50))),"ОТКРЫТО","ЗАКРЫТО"))</x:f>
        <x:v>ОТКРЫТО</x:v>
      </x:c>
      <x:c r="AV41" t="str">
        <x:f>IF(AG41&gt;=E41,"ИЗУЧЕНО",IF(AND(OR(F41="",SUMIF($A$11:$A$50,F41,AG$11:AG$50)&gt;=SUMIF($A$11:$A$50,F41,$E$11:$E$50)),OR(G41="",SUMIF($A$11:$A$50,G41,AG$11:AG$50)&gt;=SUMIF($A$11:$A$50,G41,$E$11:$E$50)),OR(H41="",SUMIF($A$11:$A$50,H41,AG$11:AG$50)&gt;=SUMIF($A$11:$A$50,H41,$E$11:$E$50))),"ОТКРЫТО","ЗАКРЫТО"))</x:f>
        <x:v>ОТКРЫТО</x:v>
      </x:c>
      <x:c r="AW41" t="str">
        <x:f>IF(AH41&gt;=E41,"ИЗУЧЕНО",IF(AND(OR(F41="",SUMIF($A$11:$A$50,F41,AH$11:AH$50)&gt;=SUMIF($A$11:$A$50,F41,$E$11:$E$50)),OR(G41="",SUMIF($A$11:$A$50,G41,AH$11:AH$50)&gt;=SUMIF($A$11:$A$50,G41,$E$11:$E$50)),OR(H41="",SUMIF($A$11:$A$50,H41,AH$11:AH$50)&gt;=SUMIF($A$11:$A$50,H41,$E$11:$E$50))),"ОТКРЫТО","ЗАКРЫТО"))</x:f>
        <x:v>ОТКРЫТО</x:v>
      </x:c>
      <x:c r="AX41" t="str">
        <x:f>IF(AI41&gt;=E41,"ИЗУЧЕНО",IF(AND(OR(F41="",SUMIF($A$11:$A$50,F41,AI$11:AI$50)&gt;=SUMIF($A$11:$A$50,F41,$E$11:$E$50)),OR(G41="",SUMIF($A$11:$A$50,G41,AI$11:AI$50)&gt;=SUMIF($A$11:$A$50,G41,$E$11:$E$50)),OR(H41="",SUMIF($A$11:$A$50,H41,AI$11:AI$50)&gt;=SUMIF($A$11:$A$50,H41,$E$11:$E$50))),"ОТКРЫТО","ЗАКРЫТО"))</x:f>
        <x:v>ОТКРЫТО</x:v>
      </x:c>
      <x:c r="AY41" t="str">
        <x:f>IF(AJ41&gt;=E41,"ИЗУЧЕНО",IF(AND(OR(F41="",SUMIF($A$11:$A$50,F41,AJ$11:AJ$50)&gt;=SUMIF($A$11:$A$50,F41,$E$11:$E$50)),OR(G41="",SUMIF($A$11:$A$50,G41,AJ$11:AJ$50)&gt;=SUMIF($A$11:$A$50,G41,$E$11:$E$50)),OR(H41="",SUMIF($A$11:$A$50,H41,AJ$11:AJ$50)&gt;=SUMIF($A$11:$A$50,H41,$E$11:$E$50))),"ОТКРЫТО","ЗАКРЫТО"))</x:f>
        <x:v>ОТКРЫТО</x:v>
      </x:c>
      <x:c r="AZ41" t="str">
        <x:f>IF(AK41&gt;=E41,"ИЗУЧЕНО",IF(AND(OR(F41="",SUMIF($A$11:$A$50,F41,AK$11:AK$50)&gt;=SUMIF($A$11:$A$50,F41,$E$11:$E$50)),OR(G41="",SUMIF($A$11:$A$50,G41,AK$11:AK$50)&gt;=SUMIF($A$11:$A$50,G41,$E$11:$E$50)),OR(H41="",SUMIF($A$11:$A$50,H41,AK$11:AK$50)&gt;=SUMIF($A$11:$A$50,H41,$E$11:$E$50))),"ОТКРЫТО","ЗАКРЫТО"))</x:f>
        <x:v>ОТКРЫТО</x:v>
      </x:c>
      <x:c r="BA41" t="str">
        <x:f>IF(AL41&gt;=E41,"ИЗУЧЕНО",IF(AND(OR(F41="",SUMIF($A$11:$A$50,F41,AL$11:AL$50)&gt;=SUMIF($A$11:$A$50,F41,$E$11:$E$50)),OR(G41="",SUMIF($A$11:$A$50,G41,AL$11:AL$50)&gt;=SUMIF($A$11:$A$50,G41,$E$11:$E$50)),OR(H41="",SUMIF($A$11:$A$50,H41,AL$11:AL$50)&gt;=SUMIF($A$11:$A$50,H41,$E$11:$E$50))),"ОТКРЫТО","ЗАКРЫТО"))</x:f>
        <x:v>ОТКРЫТО</x:v>
      </x:c>
      <x:c r="BB41" t="str">
        <x:f>IF(AM41&gt;=E41,"ИЗУЧЕНО",IF(AND(OR(F41="",SUMIF($A$11:$A$50,F41,AM$11:AM$50)&gt;=SUMIF($A$11:$A$50,F41,$E$11:$E$50)),OR(G41="",SUMIF($A$11:$A$50,G41,AM$11:AM$50)&gt;=SUMIF($A$11:$A$50,G41,$E$11:$E$50)),OR(H41="",SUMIF($A$11:$A$50,H41,AM$11:AM$50)&gt;=SUMIF($A$11:$A$50,H41,$E$11:$E$50))),"ОТКРЫТО","ЗАКРЫТО"))</x:f>
        <x:v>ОТКРЫТО</x:v>
      </x:c>
      <x:c r="BC41" t="str">
        <x:f>IF(AN41&gt;=E41,"ИЗУЧЕНО",IF(AND(OR(F41="",SUMIF($A$11:$A$50,F41,AN$11:AN$50)&gt;=SUMIF($A$11:$A$50,F41,$E$11:$E$50)),OR(G41="",SUMIF($A$11:$A$50,G41,AN$11:AN$50)&gt;=SUMIF($A$11:$A$50,G41,$E$11:$E$50)),OR(H41="",SUMIF($A$11:$A$50,H41,AN$11:AN$50)&gt;=SUMIF($A$11:$A$50,H41,$E$11:$E$50))),"ОТКРЫТО","ЗАКРЫТО"))</x:f>
        <x:v>ОТКРЫТО</x:v>
      </x:c>
      <x:c r="BD41" t="str">
        <x:f>IF(AO41&gt;=E41,"ИЗУЧЕНО",IF(AND(OR(F41="",SUMIF($A$11:$A$50,F41,AO$11:AO$50)&gt;=SUMIF($A$11:$A$50,F41,$E$11:$E$50)),OR(G41="",SUMIF($A$11:$A$50,G41,AO$11:AO$50)&gt;=SUMIF($A$11:$A$50,G41,$E$11:$E$50)),OR(H41="",SUMIF($A$11:$A$50,H41,AO$11:AO$50)&gt;=SUMIF($A$11:$A$50,H41,$E$11:$E$50))),"ОТКРЫТО","ЗАКРЫТО"))</x:f>
        <x:v>ОТКРЫТО</x:v>
      </x:c>
      <x:c r="BE41" t="str">
        <x:f>IF(AP41&gt;=E41,"ИЗУЧЕНО",IF(AND(OR(F41="",SUMIF($A$11:$A$50,F41,AP$11:AP$50)&gt;=SUMIF($A$11:$A$50,F41,$E$11:$E$50)),OR(G41="",SUMIF($A$11:$A$50,G41,AP$11:AP$50)&gt;=SUMIF($A$11:$A$50,G41,$E$11:$E$50)),OR(H41="",SUMIF($A$11:$A$50,H41,AP$11:AP$50)&gt;=SUMIF($A$11:$A$50,H41,$E$11:$E$50))),"ОТКРЫТО","ЗАКРЫТО"))</x:f>
        <x:v>ОТКРЫТО</x:v>
      </x:c>
      <x:c r="BF41" t="str">
        <x:f>IF(AQ41&gt;=E41,"ИЗУЧЕНО",IF(AND(OR(F41="",SUMIF($A$11:$A$50,F41,AQ$11:AQ$50)&gt;=SUMIF($A$11:$A$50,F41,$E$11:$E$50)),OR(G41="",SUMIF($A$11:$A$50,G41,AQ$11:AQ$50)&gt;=SUMIF($A$11:$A$50,G41,$E$11:$E$50)),OR(H41="",SUMIF($A$11:$A$50,H41,AQ$11:AQ$50)&gt;=SUMIF($A$11:$A$50,H41,$E$11:$E$50))),"ОТКРЫТО","ЗАКРЫТО"))</x:f>
        <x:v>ОТКРЫТО</x:v>
      </x:c>
    </x:row>
    <x:row r="42">
      <x:c r="A42" s="42" t="str">
        <x:v>S2</x:v>
      </x:c>
      <x:c r="B42" s="42" t="str">
        <x:v>Надёжность, безопасность и контроль</x:v>
      </x:c>
      <x:c r="C42" s="42" t="str">
        <x:v>II</x:v>
      </x:c>
      <x:c r="D42" s="42" t="str">
        <x:v>Интерпретируемый ИИ</x:v>
      </x:c>
      <x:c r="E42" s="42" t="n">
        <x:v>35</x:v>
      </x:c>
      <x:c r="F42" s="42" t="str">
        <x:v>S1</x:v>
      </x:c>
      <x:c r="G42" s="42"/>
      <x:c r="H42" s="42"/>
      <x:c r="I42" s="42" t="str">
        <x:v>Средства объяснения поведения и результатов модели.</x:v>
      </x:c>
      <x:c r="J42" s="42" t="str">
        <x:v>Документационные ресурсы +0,2; Социальное доверие +0,2; прирост Принятия ИИ +0,05/год</x:v>
      </x:c>
      <x:c r="K42" s="43" t="n">
        <x:f>SUMIF('Ход 2026'!$G$29:$G$38,$A42,'Ход 2026'!$I$29:$I$38)</x:f>
        <x:v>0</x:v>
      </x:c>
      <x:c r="L42" s="43" t="n">
        <x:f>SUMIF('Ход 2027'!$G$29:$G$38,$A42,'Ход 2027'!$I$29:$I$38)</x:f>
        <x:v>0</x:v>
      </x:c>
      <x:c r="M42" s="43" t="n">
        <x:f>SUMIF('Ход 2028'!$G$29:$G$38,$A42,'Ход 2028'!$I$29:$I$38)</x:f>
        <x:v>0</x:v>
      </x:c>
      <x:c r="N42" s="43" t="n">
        <x:f>SUMIF('Ход 2029'!$G$29:$G$38,$A42,'Ход 2029'!$I$29:$I$38)</x:f>
        <x:v>0</x:v>
      </x:c>
      <x:c r="O42" s="43" t="n">
        <x:f>SUMIF('Ход 2030'!$G$29:$G$38,$A42,'Ход 2030'!$I$29:$I$38)</x:f>
        <x:v>0</x:v>
      </x:c>
      <x:c r="P42" s="43" t="n">
        <x:f>SUMIF('Ход 2031'!$G$29:$G$38,$A42,'Ход 2031'!$I$29:$I$38)</x:f>
        <x:v>0</x:v>
      </x:c>
      <x:c r="Q42" s="43" t="n">
        <x:f>SUMIF('Ход 2032'!$G$29:$G$38,$A42,'Ход 2032'!$I$29:$I$38)</x:f>
        <x:v>0</x:v>
      </x:c>
      <x:c r="R42" s="43" t="n">
        <x:f>SUMIF('Ход 2033'!$G$29:$G$38,$A42,'Ход 2033'!$I$29:$I$38)</x:f>
        <x:v>0</x:v>
      </x:c>
      <x:c r="S42" s="43" t="n">
        <x:f>SUMIF('Ход 2034'!$G$29:$G$38,$A42,'Ход 2034'!$I$29:$I$38)</x:f>
        <x:v>0</x:v>
      </x:c>
      <x:c r="T42" s="43" t="n">
        <x:f>SUMIF('Ход 2035'!$G$29:$G$38,$A42,'Ход 2035'!$I$29:$I$38)</x:f>
        <x:v>0</x:v>
      </x:c>
      <x:c r="U42" s="43" t="n">
        <x:f>SUMIF('Ход 2036'!$G$29:$G$38,$A42,'Ход 2036'!$I$29:$I$38)</x:f>
        <x:v>0</x:v>
      </x:c>
      <x:c r="V42" s="43" t="n">
        <x:f>SUMIF('Ход 2037'!$G$29:$G$38,$A42,'Ход 2037'!$I$29:$I$38)</x:f>
        <x:v>0</x:v>
      </x:c>
      <x:c r="W42" s="43" t="n">
        <x:f>SUMIF('Ход 2038'!$G$29:$G$38,$A42,'Ход 2038'!$I$29:$I$38)</x:f>
        <x:v>0</x:v>
      </x:c>
      <x:c r="X42" s="43" t="n">
        <x:f>SUMIF('Ход 2039'!$G$29:$G$38,$A42,'Ход 2039'!$I$29:$I$38)</x:f>
        <x:v>0</x:v>
      </x:c>
      <x:c r="Y42" s="43" t="n">
        <x:f>SUMIF('Ход 2040'!$G$29:$G$38,$A42,'Ход 2040'!$I$29:$I$38)</x:f>
        <x:v>0</x:v>
      </x:c>
      <x:c r="Z42" s="44" t="n">
        <x:f>SUM(K42:Y42)</x:f>
        <x:v>0</x:v>
      </x:c>
      <x:c r="AA42" s="44" t="n">
        <x:f>MAX(0,E42-Z42)</x:f>
        <x:v>35</x:v>
      </x:c>
      <x:c r="AB42" s="42" t="str">
        <x:f>BF42</x:f>
        <x:v>ЗАКРЫТО</x:v>
      </x:c>
      <x:c r="AC42" t="n">
        <x:f>SUM($K42:K42)</x:f>
        <x:v>0</x:v>
      </x:c>
      <x:c r="AD42" t="n">
        <x:f>SUM($K42:L42)</x:f>
        <x:v>0</x:v>
      </x:c>
      <x:c r="AE42" t="n">
        <x:f>SUM($K42:M42)</x:f>
        <x:v>0</x:v>
      </x:c>
      <x:c r="AF42" t="n">
        <x:f>SUM($K42:N42)</x:f>
        <x:v>0</x:v>
      </x:c>
      <x:c r="AG42" t="n">
        <x:f>SUM($K42:O42)</x:f>
        <x:v>0</x:v>
      </x:c>
      <x:c r="AH42" t="n">
        <x:f>SUM($K42:P42)</x:f>
        <x:v>0</x:v>
      </x:c>
      <x:c r="AI42" t="n">
        <x:f>SUM($K42:Q42)</x:f>
        <x:v>0</x:v>
      </x:c>
      <x:c r="AJ42" t="n">
        <x:f>SUM($K42:R42)</x:f>
        <x:v>0</x:v>
      </x:c>
      <x:c r="AK42" t="n">
        <x:f>SUM($K42:S42)</x:f>
        <x:v>0</x:v>
      </x:c>
      <x:c r="AL42" t="n">
        <x:f>SUM($K42:T42)</x:f>
        <x:v>0</x:v>
      </x:c>
      <x:c r="AM42" t="n">
        <x:f>SUM($K42:U42)</x:f>
        <x:v>0</x:v>
      </x:c>
      <x:c r="AN42" t="n">
        <x:f>SUM($K42:V42)</x:f>
        <x:v>0</x:v>
      </x:c>
      <x:c r="AO42" t="n">
        <x:f>SUM($K42:W42)</x:f>
        <x:v>0</x:v>
      </x:c>
      <x:c r="AP42" t="n">
        <x:f>SUM($K42:X42)</x:f>
        <x:v>0</x:v>
      </x:c>
      <x:c r="AQ42" t="n">
        <x:f>SUM($K42:Y42)</x:f>
        <x:v>0</x:v>
      </x:c>
      <x:c r="AR42" t="str">
        <x:f>IF(AC42&gt;=E42,"ИЗУЧЕНО",IF(AND(OR(F42="",SUMIF($A$11:$A$50,F42,AC$11:AC$50)&gt;=SUMIF($A$11:$A$50,F42,$E$11:$E$50)),OR(G42="",SUMIF($A$11:$A$50,G42,AC$11:AC$50)&gt;=SUMIF($A$11:$A$50,G42,$E$11:$E$50)),OR(H42="",SUMIF($A$11:$A$50,H42,AC$11:AC$50)&gt;=SUMIF($A$11:$A$50,H42,$E$11:$E$50))),"ОТКРЫТО","ЗАКРЫТО"))</x:f>
        <x:v>ЗАКРЫТО</x:v>
      </x:c>
      <x:c r="AS42" t="str">
        <x:f>IF(AD42&gt;=E42,"ИЗУЧЕНО",IF(AND(OR(F42="",SUMIF($A$11:$A$50,F42,AD$11:AD$50)&gt;=SUMIF($A$11:$A$50,F42,$E$11:$E$50)),OR(G42="",SUMIF($A$11:$A$50,G42,AD$11:AD$50)&gt;=SUMIF($A$11:$A$50,G42,$E$11:$E$50)),OR(H42="",SUMIF($A$11:$A$50,H42,AD$11:AD$50)&gt;=SUMIF($A$11:$A$50,H42,$E$11:$E$50))),"ОТКРЫТО","ЗАКРЫТО"))</x:f>
        <x:v>ЗАКРЫТО</x:v>
      </x:c>
      <x:c r="AT42" t="str">
        <x:f>IF(AE42&gt;=E42,"ИЗУЧЕНО",IF(AND(OR(F42="",SUMIF($A$11:$A$50,F42,AE$11:AE$50)&gt;=SUMIF($A$11:$A$50,F42,$E$11:$E$50)),OR(G42="",SUMIF($A$11:$A$50,G42,AE$11:AE$50)&gt;=SUMIF($A$11:$A$50,G42,$E$11:$E$50)),OR(H42="",SUMIF($A$11:$A$50,H42,AE$11:AE$50)&gt;=SUMIF($A$11:$A$50,H42,$E$11:$E$50))),"ОТКРЫТО","ЗАКРЫТО"))</x:f>
        <x:v>ЗАКРЫТО</x:v>
      </x:c>
      <x:c r="AU42" t="str">
        <x:f>IF(AF42&gt;=E42,"ИЗУЧЕНО",IF(AND(OR(F42="",SUMIF($A$11:$A$50,F42,AF$11:AF$50)&gt;=SUMIF($A$11:$A$50,F42,$E$11:$E$50)),OR(G42="",SUMIF($A$11:$A$50,G42,AF$11:AF$50)&gt;=SUMIF($A$11:$A$50,G42,$E$11:$E$50)),OR(H42="",SUMIF($A$11:$A$50,H42,AF$11:AF$50)&gt;=SUMIF($A$11:$A$50,H42,$E$11:$E$50))),"ОТКРЫТО","ЗАКРЫТО"))</x:f>
        <x:v>ЗАКРЫТО</x:v>
      </x:c>
      <x:c r="AV42" t="str">
        <x:f>IF(AG42&gt;=E42,"ИЗУЧЕНО",IF(AND(OR(F42="",SUMIF($A$11:$A$50,F42,AG$11:AG$50)&gt;=SUMIF($A$11:$A$50,F42,$E$11:$E$50)),OR(G42="",SUMIF($A$11:$A$50,G42,AG$11:AG$50)&gt;=SUMIF($A$11:$A$50,G42,$E$11:$E$50)),OR(H42="",SUMIF($A$11:$A$50,H42,AG$11:AG$50)&gt;=SUMIF($A$11:$A$50,H42,$E$11:$E$50))),"ОТКРЫТО","ЗАКРЫТО"))</x:f>
        <x:v>ЗАКРЫТО</x:v>
      </x:c>
      <x:c r="AW42" t="str">
        <x:f>IF(AH42&gt;=E42,"ИЗУЧЕНО",IF(AND(OR(F42="",SUMIF($A$11:$A$50,F42,AH$11:AH$50)&gt;=SUMIF($A$11:$A$50,F42,$E$11:$E$50)),OR(G42="",SUMIF($A$11:$A$50,G42,AH$11:AH$50)&gt;=SUMIF($A$11:$A$50,G42,$E$11:$E$50)),OR(H42="",SUMIF($A$11:$A$50,H42,AH$11:AH$50)&gt;=SUMIF($A$11:$A$50,H42,$E$11:$E$50))),"ОТКРЫТО","ЗАКРЫТО"))</x:f>
        <x:v>ЗАКРЫТО</x:v>
      </x:c>
      <x:c r="AX42" t="str">
        <x:f>IF(AI42&gt;=E42,"ИЗУЧЕНО",IF(AND(OR(F42="",SUMIF($A$11:$A$50,F42,AI$11:AI$50)&gt;=SUMIF($A$11:$A$50,F42,$E$11:$E$50)),OR(G42="",SUMIF($A$11:$A$50,G42,AI$11:AI$50)&gt;=SUMIF($A$11:$A$50,G42,$E$11:$E$50)),OR(H42="",SUMIF($A$11:$A$50,H42,AI$11:AI$50)&gt;=SUMIF($A$11:$A$50,H42,$E$11:$E$50))),"ОТКРЫТО","ЗАКРЫТО"))</x:f>
        <x:v>ЗАКРЫТО</x:v>
      </x:c>
      <x:c r="AY42" t="str">
        <x:f>IF(AJ42&gt;=E42,"ИЗУЧЕНО",IF(AND(OR(F42="",SUMIF($A$11:$A$50,F42,AJ$11:AJ$50)&gt;=SUMIF($A$11:$A$50,F42,$E$11:$E$50)),OR(G42="",SUMIF($A$11:$A$50,G42,AJ$11:AJ$50)&gt;=SUMIF($A$11:$A$50,G42,$E$11:$E$50)),OR(H42="",SUMIF($A$11:$A$50,H42,AJ$11:AJ$50)&gt;=SUMIF($A$11:$A$50,H42,$E$11:$E$50))),"ОТКРЫТО","ЗАКРЫТО"))</x:f>
        <x:v>ЗАКРЫТО</x:v>
      </x:c>
      <x:c r="AZ42" t="str">
        <x:f>IF(AK42&gt;=E42,"ИЗУЧЕНО",IF(AND(OR(F42="",SUMIF($A$11:$A$50,F42,AK$11:AK$50)&gt;=SUMIF($A$11:$A$50,F42,$E$11:$E$50)),OR(G42="",SUMIF($A$11:$A$50,G42,AK$11:AK$50)&gt;=SUMIF($A$11:$A$50,G42,$E$11:$E$50)),OR(H42="",SUMIF($A$11:$A$50,H42,AK$11:AK$50)&gt;=SUMIF($A$11:$A$50,H42,$E$11:$E$50))),"ОТКРЫТО","ЗАКРЫТО"))</x:f>
        <x:v>ЗАКРЫТО</x:v>
      </x:c>
      <x:c r="BA42" t="str">
        <x:f>IF(AL42&gt;=E42,"ИЗУЧЕНО",IF(AND(OR(F42="",SUMIF($A$11:$A$50,F42,AL$11:AL$50)&gt;=SUMIF($A$11:$A$50,F42,$E$11:$E$50)),OR(G42="",SUMIF($A$11:$A$50,G42,AL$11:AL$50)&gt;=SUMIF($A$11:$A$50,G42,$E$11:$E$50)),OR(H42="",SUMIF($A$11:$A$50,H42,AL$11:AL$50)&gt;=SUMIF($A$11:$A$50,H42,$E$11:$E$50))),"ОТКРЫТО","ЗАКРЫТО"))</x:f>
        <x:v>ЗАКРЫТО</x:v>
      </x:c>
      <x:c r="BB42" t="str">
        <x:f>IF(AM42&gt;=E42,"ИЗУЧЕНО",IF(AND(OR(F42="",SUMIF($A$11:$A$50,F42,AM$11:AM$50)&gt;=SUMIF($A$11:$A$50,F42,$E$11:$E$50)),OR(G42="",SUMIF($A$11:$A$50,G42,AM$11:AM$50)&gt;=SUMIF($A$11:$A$50,G42,$E$11:$E$50)),OR(H42="",SUMIF($A$11:$A$50,H42,AM$11:AM$50)&gt;=SUMIF($A$11:$A$50,H42,$E$11:$E$50))),"ОТКРЫТО","ЗАКРЫТО"))</x:f>
        <x:v>ЗАКРЫТО</x:v>
      </x:c>
      <x:c r="BC42" t="str">
        <x:f>IF(AN42&gt;=E42,"ИЗУЧЕНО",IF(AND(OR(F42="",SUMIF($A$11:$A$50,F42,AN$11:AN$50)&gt;=SUMIF($A$11:$A$50,F42,$E$11:$E$50)),OR(G42="",SUMIF($A$11:$A$50,G42,AN$11:AN$50)&gt;=SUMIF($A$11:$A$50,G42,$E$11:$E$50)),OR(H42="",SUMIF($A$11:$A$50,H42,AN$11:AN$50)&gt;=SUMIF($A$11:$A$50,H42,$E$11:$E$50))),"ОТКРЫТО","ЗАКРЫТО"))</x:f>
        <x:v>ЗАКРЫТО</x:v>
      </x:c>
      <x:c r="BD42" t="str">
        <x:f>IF(AO42&gt;=E42,"ИЗУЧЕНО",IF(AND(OR(F42="",SUMIF($A$11:$A$50,F42,AO$11:AO$50)&gt;=SUMIF($A$11:$A$50,F42,$E$11:$E$50)),OR(G42="",SUMIF($A$11:$A$50,G42,AO$11:AO$50)&gt;=SUMIF($A$11:$A$50,G42,$E$11:$E$50)),OR(H42="",SUMIF($A$11:$A$50,H42,AO$11:AO$50)&gt;=SUMIF($A$11:$A$50,H42,$E$11:$E$50))),"ОТКРЫТО","ЗАКРЫТО"))</x:f>
        <x:v>ЗАКРЫТО</x:v>
      </x:c>
      <x:c r="BE42" t="str">
        <x:f>IF(AP42&gt;=E42,"ИЗУЧЕНО",IF(AND(OR(F42="",SUMIF($A$11:$A$50,F42,AP$11:AP$50)&gt;=SUMIF($A$11:$A$50,F42,$E$11:$E$50)),OR(G42="",SUMIF($A$11:$A$50,G42,AP$11:AP$50)&gt;=SUMIF($A$11:$A$50,G42,$E$11:$E$50)),OR(H42="",SUMIF($A$11:$A$50,H42,AP$11:AP$50)&gt;=SUMIF($A$11:$A$50,H42,$E$11:$E$50))),"ОТКРЫТО","ЗАКРЫТО"))</x:f>
        <x:v>ЗАКРЫТО</x:v>
      </x:c>
      <x:c r="BF42" t="str">
        <x:f>IF(AQ42&gt;=E42,"ИЗУЧЕНО",IF(AND(OR(F42="",SUMIF($A$11:$A$50,F42,AQ$11:AQ$50)&gt;=SUMIF($A$11:$A$50,F42,$E$11:$E$50)),OR(G42="",SUMIF($A$11:$A$50,G42,AQ$11:AQ$50)&gt;=SUMIF($A$11:$A$50,G42,$E$11:$E$50)),OR(H42="",SUMIF($A$11:$A$50,H42,AQ$11:AQ$50)&gt;=SUMIF($A$11:$A$50,H42,$E$11:$E$50))),"ОТКРЫТО","ЗАКРЫТО"))</x:f>
        <x:v>ЗАКРЫТО</x:v>
      </x:c>
    </x:row>
    <x:row r="43">
      <x:c r="A43" s="42" t="str">
        <x:v>S3</x:v>
      </x:c>
      <x:c r="B43" s="42" t="str">
        <x:v>Надёжность, безопасность и контроль</x:v>
      </x:c>
      <x:c r="C43" s="42" t="str">
        <x:v>II</x:v>
      </x:c>
      <x:c r="D43" s="42" t="str">
        <x:v>Защищённый MLOps и инфраструктура ИИ</x:v>
      </x:c>
      <x:c r="E43" s="42" t="n">
        <x:v>40</x:v>
      </x:c>
      <x:c r="F43" s="42" t="str">
        <x:v>S1</x:v>
      </x:c>
      <x:c r="G43" s="42"/>
      <x:c r="H43" s="42"/>
      <x:c r="I43" s="42" t="str">
        <x:v>Контроль доступа, моделей, обновлений и цепочек поставки.</x:v>
      </x:c>
      <x:c r="J43" s="42" t="str">
        <x:v>Кибербезопасностные ресурсы +0,3; прирост Стека эксплуатации ИИ +0,05/год; защита Афины +10%</x:v>
      </x:c>
      <x:c r="K43" s="43" t="n">
        <x:f>SUMIF('Ход 2026'!$G$29:$G$38,$A43,'Ход 2026'!$I$29:$I$38)</x:f>
        <x:v>0</x:v>
      </x:c>
      <x:c r="L43" s="43" t="n">
        <x:f>SUMIF('Ход 2027'!$G$29:$G$38,$A43,'Ход 2027'!$I$29:$I$38)</x:f>
        <x:v>0</x:v>
      </x:c>
      <x:c r="M43" s="43" t="n">
        <x:f>SUMIF('Ход 2028'!$G$29:$G$38,$A43,'Ход 2028'!$I$29:$I$38)</x:f>
        <x:v>0</x:v>
      </x:c>
      <x:c r="N43" s="43" t="n">
        <x:f>SUMIF('Ход 2029'!$G$29:$G$38,$A43,'Ход 2029'!$I$29:$I$38)</x:f>
        <x:v>0</x:v>
      </x:c>
      <x:c r="O43" s="43" t="n">
        <x:f>SUMIF('Ход 2030'!$G$29:$G$38,$A43,'Ход 2030'!$I$29:$I$38)</x:f>
        <x:v>0</x:v>
      </x:c>
      <x:c r="P43" s="43" t="n">
        <x:f>SUMIF('Ход 2031'!$G$29:$G$38,$A43,'Ход 2031'!$I$29:$I$38)</x:f>
        <x:v>0</x:v>
      </x:c>
      <x:c r="Q43" s="43" t="n">
        <x:f>SUMIF('Ход 2032'!$G$29:$G$38,$A43,'Ход 2032'!$I$29:$I$38)</x:f>
        <x:v>0</x:v>
      </x:c>
      <x:c r="R43" s="43" t="n">
        <x:f>SUMIF('Ход 2033'!$G$29:$G$38,$A43,'Ход 2033'!$I$29:$I$38)</x:f>
        <x:v>0</x:v>
      </x:c>
      <x:c r="S43" s="43" t="n">
        <x:f>SUMIF('Ход 2034'!$G$29:$G$38,$A43,'Ход 2034'!$I$29:$I$38)</x:f>
        <x:v>0</x:v>
      </x:c>
      <x:c r="T43" s="43" t="n">
        <x:f>SUMIF('Ход 2035'!$G$29:$G$38,$A43,'Ход 2035'!$I$29:$I$38)</x:f>
        <x:v>0</x:v>
      </x:c>
      <x:c r="U43" s="43" t="n">
        <x:f>SUMIF('Ход 2036'!$G$29:$G$38,$A43,'Ход 2036'!$I$29:$I$38)</x:f>
        <x:v>0</x:v>
      </x:c>
      <x:c r="V43" s="43" t="n">
        <x:f>SUMIF('Ход 2037'!$G$29:$G$38,$A43,'Ход 2037'!$I$29:$I$38)</x:f>
        <x:v>0</x:v>
      </x:c>
      <x:c r="W43" s="43" t="n">
        <x:f>SUMIF('Ход 2038'!$G$29:$G$38,$A43,'Ход 2038'!$I$29:$I$38)</x:f>
        <x:v>0</x:v>
      </x:c>
      <x:c r="X43" s="43" t="n">
        <x:f>SUMIF('Ход 2039'!$G$29:$G$38,$A43,'Ход 2039'!$I$29:$I$38)</x:f>
        <x:v>0</x:v>
      </x:c>
      <x:c r="Y43" s="43" t="n">
        <x:f>SUMIF('Ход 2040'!$G$29:$G$38,$A43,'Ход 2040'!$I$29:$I$38)</x:f>
        <x:v>0</x:v>
      </x:c>
      <x:c r="Z43" s="44" t="n">
        <x:f>SUM(K43:Y43)</x:f>
        <x:v>0</x:v>
      </x:c>
      <x:c r="AA43" s="44" t="n">
        <x:f>MAX(0,E43-Z43)</x:f>
        <x:v>40</x:v>
      </x:c>
      <x:c r="AB43" s="42" t="str">
        <x:f>BF43</x:f>
        <x:v>ЗАКРЫТО</x:v>
      </x:c>
      <x:c r="AC43" t="n">
        <x:f>SUM($K43:K43)</x:f>
        <x:v>0</x:v>
      </x:c>
      <x:c r="AD43" t="n">
        <x:f>SUM($K43:L43)</x:f>
        <x:v>0</x:v>
      </x:c>
      <x:c r="AE43" t="n">
        <x:f>SUM($K43:M43)</x:f>
        <x:v>0</x:v>
      </x:c>
      <x:c r="AF43" t="n">
        <x:f>SUM($K43:N43)</x:f>
        <x:v>0</x:v>
      </x:c>
      <x:c r="AG43" t="n">
        <x:f>SUM($K43:O43)</x:f>
        <x:v>0</x:v>
      </x:c>
      <x:c r="AH43" t="n">
        <x:f>SUM($K43:P43)</x:f>
        <x:v>0</x:v>
      </x:c>
      <x:c r="AI43" t="n">
        <x:f>SUM($K43:Q43)</x:f>
        <x:v>0</x:v>
      </x:c>
      <x:c r="AJ43" t="n">
        <x:f>SUM($K43:R43)</x:f>
        <x:v>0</x:v>
      </x:c>
      <x:c r="AK43" t="n">
        <x:f>SUM($K43:S43)</x:f>
        <x:v>0</x:v>
      </x:c>
      <x:c r="AL43" t="n">
        <x:f>SUM($K43:T43)</x:f>
        <x:v>0</x:v>
      </x:c>
      <x:c r="AM43" t="n">
        <x:f>SUM($K43:U43)</x:f>
        <x:v>0</x:v>
      </x:c>
      <x:c r="AN43" t="n">
        <x:f>SUM($K43:V43)</x:f>
        <x:v>0</x:v>
      </x:c>
      <x:c r="AO43" t="n">
        <x:f>SUM($K43:W43)</x:f>
        <x:v>0</x:v>
      </x:c>
      <x:c r="AP43" t="n">
        <x:f>SUM($K43:X43)</x:f>
        <x:v>0</x:v>
      </x:c>
      <x:c r="AQ43" t="n">
        <x:f>SUM($K43:Y43)</x:f>
        <x:v>0</x:v>
      </x:c>
      <x:c r="AR43" t="str">
        <x:f>IF(AC43&gt;=E43,"ИЗУЧЕНО",IF(AND(OR(F43="",SUMIF($A$11:$A$50,F43,AC$11:AC$50)&gt;=SUMIF($A$11:$A$50,F43,$E$11:$E$50)),OR(G43="",SUMIF($A$11:$A$50,G43,AC$11:AC$50)&gt;=SUMIF($A$11:$A$50,G43,$E$11:$E$50)),OR(H43="",SUMIF($A$11:$A$50,H43,AC$11:AC$50)&gt;=SUMIF($A$11:$A$50,H43,$E$11:$E$50))),"ОТКРЫТО","ЗАКРЫТО"))</x:f>
        <x:v>ЗАКРЫТО</x:v>
      </x:c>
      <x:c r="AS43" t="str">
        <x:f>IF(AD43&gt;=E43,"ИЗУЧЕНО",IF(AND(OR(F43="",SUMIF($A$11:$A$50,F43,AD$11:AD$50)&gt;=SUMIF($A$11:$A$50,F43,$E$11:$E$50)),OR(G43="",SUMIF($A$11:$A$50,G43,AD$11:AD$50)&gt;=SUMIF($A$11:$A$50,G43,$E$11:$E$50)),OR(H43="",SUMIF($A$11:$A$50,H43,AD$11:AD$50)&gt;=SUMIF($A$11:$A$50,H43,$E$11:$E$50))),"ОТКРЫТО","ЗАКРЫТО"))</x:f>
        <x:v>ЗАКРЫТО</x:v>
      </x:c>
      <x:c r="AT43" t="str">
        <x:f>IF(AE43&gt;=E43,"ИЗУЧЕНО",IF(AND(OR(F43="",SUMIF($A$11:$A$50,F43,AE$11:AE$50)&gt;=SUMIF($A$11:$A$50,F43,$E$11:$E$50)),OR(G43="",SUMIF($A$11:$A$50,G43,AE$11:AE$50)&gt;=SUMIF($A$11:$A$50,G43,$E$11:$E$50)),OR(H43="",SUMIF($A$11:$A$50,H43,AE$11:AE$50)&gt;=SUMIF($A$11:$A$50,H43,$E$11:$E$50))),"ОТКРЫТО","ЗАКРЫТО"))</x:f>
        <x:v>ЗАКРЫТО</x:v>
      </x:c>
      <x:c r="AU43" t="str">
        <x:f>IF(AF43&gt;=E43,"ИЗУЧЕНО",IF(AND(OR(F43="",SUMIF($A$11:$A$50,F43,AF$11:AF$50)&gt;=SUMIF($A$11:$A$50,F43,$E$11:$E$50)),OR(G43="",SUMIF($A$11:$A$50,G43,AF$11:AF$50)&gt;=SUMIF($A$11:$A$50,G43,$E$11:$E$50)),OR(H43="",SUMIF($A$11:$A$50,H43,AF$11:AF$50)&gt;=SUMIF($A$11:$A$50,H43,$E$11:$E$50))),"ОТКРЫТО","ЗАКРЫТО"))</x:f>
        <x:v>ЗАКРЫТО</x:v>
      </x:c>
      <x:c r="AV43" t="str">
        <x:f>IF(AG43&gt;=E43,"ИЗУЧЕНО",IF(AND(OR(F43="",SUMIF($A$11:$A$50,F43,AG$11:AG$50)&gt;=SUMIF($A$11:$A$50,F43,$E$11:$E$50)),OR(G43="",SUMIF($A$11:$A$50,G43,AG$11:AG$50)&gt;=SUMIF($A$11:$A$50,G43,$E$11:$E$50)),OR(H43="",SUMIF($A$11:$A$50,H43,AG$11:AG$50)&gt;=SUMIF($A$11:$A$50,H43,$E$11:$E$50))),"ОТКРЫТО","ЗАКРЫТО"))</x:f>
        <x:v>ЗАКРЫТО</x:v>
      </x:c>
      <x:c r="AW43" t="str">
        <x:f>IF(AH43&gt;=E43,"ИЗУЧЕНО",IF(AND(OR(F43="",SUMIF($A$11:$A$50,F43,AH$11:AH$50)&gt;=SUMIF($A$11:$A$50,F43,$E$11:$E$50)),OR(G43="",SUMIF($A$11:$A$50,G43,AH$11:AH$50)&gt;=SUMIF($A$11:$A$50,G43,$E$11:$E$50)),OR(H43="",SUMIF($A$11:$A$50,H43,AH$11:AH$50)&gt;=SUMIF($A$11:$A$50,H43,$E$11:$E$50))),"ОТКРЫТО","ЗАКРЫТО"))</x:f>
        <x:v>ЗАКРЫТО</x:v>
      </x:c>
      <x:c r="AX43" t="str">
        <x:f>IF(AI43&gt;=E43,"ИЗУЧЕНО",IF(AND(OR(F43="",SUMIF($A$11:$A$50,F43,AI$11:AI$50)&gt;=SUMIF($A$11:$A$50,F43,$E$11:$E$50)),OR(G43="",SUMIF($A$11:$A$50,G43,AI$11:AI$50)&gt;=SUMIF($A$11:$A$50,G43,$E$11:$E$50)),OR(H43="",SUMIF($A$11:$A$50,H43,AI$11:AI$50)&gt;=SUMIF($A$11:$A$50,H43,$E$11:$E$50))),"ОТКРЫТО","ЗАКРЫТО"))</x:f>
        <x:v>ЗАКРЫТО</x:v>
      </x:c>
      <x:c r="AY43" t="str">
        <x:f>IF(AJ43&gt;=E43,"ИЗУЧЕНО",IF(AND(OR(F43="",SUMIF($A$11:$A$50,F43,AJ$11:AJ$50)&gt;=SUMIF($A$11:$A$50,F43,$E$11:$E$50)),OR(G43="",SUMIF($A$11:$A$50,G43,AJ$11:AJ$50)&gt;=SUMIF($A$11:$A$50,G43,$E$11:$E$50)),OR(H43="",SUMIF($A$11:$A$50,H43,AJ$11:AJ$50)&gt;=SUMIF($A$11:$A$50,H43,$E$11:$E$50))),"ОТКРЫТО","ЗАКРЫТО"))</x:f>
        <x:v>ЗАКРЫТО</x:v>
      </x:c>
      <x:c r="AZ43" t="str">
        <x:f>IF(AK43&gt;=E43,"ИЗУЧЕНО",IF(AND(OR(F43="",SUMIF($A$11:$A$50,F43,AK$11:AK$50)&gt;=SUMIF($A$11:$A$50,F43,$E$11:$E$50)),OR(G43="",SUMIF($A$11:$A$50,G43,AK$11:AK$50)&gt;=SUMIF($A$11:$A$50,G43,$E$11:$E$50)),OR(H43="",SUMIF($A$11:$A$50,H43,AK$11:AK$50)&gt;=SUMIF($A$11:$A$50,H43,$E$11:$E$50))),"ОТКРЫТО","ЗАКРЫТО"))</x:f>
        <x:v>ЗАКРЫТО</x:v>
      </x:c>
      <x:c r="BA43" t="str">
        <x:f>IF(AL43&gt;=E43,"ИЗУЧЕНО",IF(AND(OR(F43="",SUMIF($A$11:$A$50,F43,AL$11:AL$50)&gt;=SUMIF($A$11:$A$50,F43,$E$11:$E$50)),OR(G43="",SUMIF($A$11:$A$50,G43,AL$11:AL$50)&gt;=SUMIF($A$11:$A$50,G43,$E$11:$E$50)),OR(H43="",SUMIF($A$11:$A$50,H43,AL$11:AL$50)&gt;=SUMIF($A$11:$A$50,H43,$E$11:$E$50))),"ОТКРЫТО","ЗАКРЫТО"))</x:f>
        <x:v>ЗАКРЫТО</x:v>
      </x:c>
      <x:c r="BB43" t="str">
        <x:f>IF(AM43&gt;=E43,"ИЗУЧЕНО",IF(AND(OR(F43="",SUMIF($A$11:$A$50,F43,AM$11:AM$50)&gt;=SUMIF($A$11:$A$50,F43,$E$11:$E$50)),OR(G43="",SUMIF($A$11:$A$50,G43,AM$11:AM$50)&gt;=SUMIF($A$11:$A$50,G43,$E$11:$E$50)),OR(H43="",SUMIF($A$11:$A$50,H43,AM$11:AM$50)&gt;=SUMIF($A$11:$A$50,H43,$E$11:$E$50))),"ОТКРЫТО","ЗАКРЫТО"))</x:f>
        <x:v>ЗАКРЫТО</x:v>
      </x:c>
      <x:c r="BC43" t="str">
        <x:f>IF(AN43&gt;=E43,"ИЗУЧЕНО",IF(AND(OR(F43="",SUMIF($A$11:$A$50,F43,AN$11:AN$50)&gt;=SUMIF($A$11:$A$50,F43,$E$11:$E$50)),OR(G43="",SUMIF($A$11:$A$50,G43,AN$11:AN$50)&gt;=SUMIF($A$11:$A$50,G43,$E$11:$E$50)),OR(H43="",SUMIF($A$11:$A$50,H43,AN$11:AN$50)&gt;=SUMIF($A$11:$A$50,H43,$E$11:$E$50))),"ОТКРЫТО","ЗАКРЫТО"))</x:f>
        <x:v>ЗАКРЫТО</x:v>
      </x:c>
      <x:c r="BD43" t="str">
        <x:f>IF(AO43&gt;=E43,"ИЗУЧЕНО",IF(AND(OR(F43="",SUMIF($A$11:$A$50,F43,AO$11:AO$50)&gt;=SUMIF($A$11:$A$50,F43,$E$11:$E$50)),OR(G43="",SUMIF($A$11:$A$50,G43,AO$11:AO$50)&gt;=SUMIF($A$11:$A$50,G43,$E$11:$E$50)),OR(H43="",SUMIF($A$11:$A$50,H43,AO$11:AO$50)&gt;=SUMIF($A$11:$A$50,H43,$E$11:$E$50))),"ОТКРЫТО","ЗАКРЫТО"))</x:f>
        <x:v>ЗАКРЫТО</x:v>
      </x:c>
      <x:c r="BE43" t="str">
        <x:f>IF(AP43&gt;=E43,"ИЗУЧЕНО",IF(AND(OR(F43="",SUMIF($A$11:$A$50,F43,AP$11:AP$50)&gt;=SUMIF($A$11:$A$50,F43,$E$11:$E$50)),OR(G43="",SUMIF($A$11:$A$50,G43,AP$11:AP$50)&gt;=SUMIF($A$11:$A$50,G43,$E$11:$E$50)),OR(H43="",SUMIF($A$11:$A$50,H43,AP$11:AP$50)&gt;=SUMIF($A$11:$A$50,H43,$E$11:$E$50))),"ОТКРЫТО","ЗАКРЫТО"))</x:f>
        <x:v>ЗАКРЫТО</x:v>
      </x:c>
      <x:c r="BF43" t="str">
        <x:f>IF(AQ43&gt;=E43,"ИЗУЧЕНО",IF(AND(OR(F43="",SUMIF($A$11:$A$50,F43,AQ$11:AQ$50)&gt;=SUMIF($A$11:$A$50,F43,$E$11:$E$50)),OR(G43="",SUMIF($A$11:$A$50,G43,AQ$11:AQ$50)&gt;=SUMIF($A$11:$A$50,G43,$E$11:$E$50)),OR(H43="",SUMIF($A$11:$A$50,H43,AQ$11:AQ$50)&gt;=SUMIF($A$11:$A$50,H43,$E$11:$E$50))),"ОТКРЫТО","ЗАКРЫТО"))</x:f>
        <x:v>ЗАКРЫТО</x:v>
      </x:c>
    </x:row>
    <x:row r="44">
      <x:c r="A44" s="42" t="str">
        <x:v>S4</x:v>
      </x:c>
      <x:c r="B44" s="42" t="str">
        <x:v>Надёжность, безопасность и контроль</x:v>
      </x:c>
      <x:c r="C44" s="42" t="str">
        <x:v>III</x:v>
      </x:c>
      <x:c r="D44" s="42" t="str">
        <x:v>Автоматизированный red teaming</x:v>
      </x:c>
      <x:c r="E44" s="42" t="n">
        <x:v>65</x:v>
      </x:c>
      <x:c r="F44" s="42" t="str">
        <x:v>S2</x:v>
      </x:c>
      <x:c r="G44" s="42" t="str">
        <x:v>S3</x:v>
      </x:c>
      <x:c r="H44" s="42"/>
      <x:c r="I44" s="42" t="str">
        <x:v>Постоянный поиск уязвимостей и опасных режимов поведения.</x:v>
      </x:c>
      <x:c r="J44" s="42" t="str">
        <x:v>Ресурсы оценки +0,4; прирост Кибербезопасности +0,08/год; защита Аполлона +10%</x:v>
      </x:c>
      <x:c r="K44" s="43" t="n">
        <x:f>SUMIF('Ход 2026'!$G$29:$G$38,$A44,'Ход 2026'!$I$29:$I$38)</x:f>
        <x:v>0</x:v>
      </x:c>
      <x:c r="L44" s="43" t="n">
        <x:f>SUMIF('Ход 2027'!$G$29:$G$38,$A44,'Ход 2027'!$I$29:$I$38)</x:f>
        <x:v>0</x:v>
      </x:c>
      <x:c r="M44" s="43" t="n">
        <x:f>SUMIF('Ход 2028'!$G$29:$G$38,$A44,'Ход 2028'!$I$29:$I$38)</x:f>
        <x:v>0</x:v>
      </x:c>
      <x:c r="N44" s="43" t="n">
        <x:f>SUMIF('Ход 2029'!$G$29:$G$38,$A44,'Ход 2029'!$I$29:$I$38)</x:f>
        <x:v>0</x:v>
      </x:c>
      <x:c r="O44" s="43" t="n">
        <x:f>SUMIF('Ход 2030'!$G$29:$G$38,$A44,'Ход 2030'!$I$29:$I$38)</x:f>
        <x:v>0</x:v>
      </x:c>
      <x:c r="P44" s="43" t="n">
        <x:f>SUMIF('Ход 2031'!$G$29:$G$38,$A44,'Ход 2031'!$I$29:$I$38)</x:f>
        <x:v>0</x:v>
      </x:c>
      <x:c r="Q44" s="43" t="n">
        <x:f>SUMIF('Ход 2032'!$G$29:$G$38,$A44,'Ход 2032'!$I$29:$I$38)</x:f>
        <x:v>0</x:v>
      </x:c>
      <x:c r="R44" s="43" t="n">
        <x:f>SUMIF('Ход 2033'!$G$29:$G$38,$A44,'Ход 2033'!$I$29:$I$38)</x:f>
        <x:v>0</x:v>
      </x:c>
      <x:c r="S44" s="43" t="n">
        <x:f>SUMIF('Ход 2034'!$G$29:$G$38,$A44,'Ход 2034'!$I$29:$I$38)</x:f>
        <x:v>0</x:v>
      </x:c>
      <x:c r="T44" s="43" t="n">
        <x:f>SUMIF('Ход 2035'!$G$29:$G$38,$A44,'Ход 2035'!$I$29:$I$38)</x:f>
        <x:v>0</x:v>
      </x:c>
      <x:c r="U44" s="43" t="n">
        <x:f>SUMIF('Ход 2036'!$G$29:$G$38,$A44,'Ход 2036'!$I$29:$I$38)</x:f>
        <x:v>0</x:v>
      </x:c>
      <x:c r="V44" s="43" t="n">
        <x:f>SUMIF('Ход 2037'!$G$29:$G$38,$A44,'Ход 2037'!$I$29:$I$38)</x:f>
        <x:v>0</x:v>
      </x:c>
      <x:c r="W44" s="43" t="n">
        <x:f>SUMIF('Ход 2038'!$G$29:$G$38,$A44,'Ход 2038'!$I$29:$I$38)</x:f>
        <x:v>0</x:v>
      </x:c>
      <x:c r="X44" s="43" t="n">
        <x:f>SUMIF('Ход 2039'!$G$29:$G$38,$A44,'Ход 2039'!$I$29:$I$38)</x:f>
        <x:v>0</x:v>
      </x:c>
      <x:c r="Y44" s="43" t="n">
        <x:f>SUMIF('Ход 2040'!$G$29:$G$38,$A44,'Ход 2040'!$I$29:$I$38)</x:f>
        <x:v>0</x:v>
      </x:c>
      <x:c r="Z44" s="44" t="n">
        <x:f>SUM(K44:Y44)</x:f>
        <x:v>0</x:v>
      </x:c>
      <x:c r="AA44" s="44" t="n">
        <x:f>MAX(0,E44-Z44)</x:f>
        <x:v>65</x:v>
      </x:c>
      <x:c r="AB44" s="42" t="str">
        <x:f>BF44</x:f>
        <x:v>ЗАКРЫТО</x:v>
      </x:c>
      <x:c r="AC44" t="n">
        <x:f>SUM($K44:K44)</x:f>
        <x:v>0</x:v>
      </x:c>
      <x:c r="AD44" t="n">
        <x:f>SUM($K44:L44)</x:f>
        <x:v>0</x:v>
      </x:c>
      <x:c r="AE44" t="n">
        <x:f>SUM($K44:M44)</x:f>
        <x:v>0</x:v>
      </x:c>
      <x:c r="AF44" t="n">
        <x:f>SUM($K44:N44)</x:f>
        <x:v>0</x:v>
      </x:c>
      <x:c r="AG44" t="n">
        <x:f>SUM($K44:O44)</x:f>
        <x:v>0</x:v>
      </x:c>
      <x:c r="AH44" t="n">
        <x:f>SUM($K44:P44)</x:f>
        <x:v>0</x:v>
      </x:c>
      <x:c r="AI44" t="n">
        <x:f>SUM($K44:Q44)</x:f>
        <x:v>0</x:v>
      </x:c>
      <x:c r="AJ44" t="n">
        <x:f>SUM($K44:R44)</x:f>
        <x:v>0</x:v>
      </x:c>
      <x:c r="AK44" t="n">
        <x:f>SUM($K44:S44)</x:f>
        <x:v>0</x:v>
      </x:c>
      <x:c r="AL44" t="n">
        <x:f>SUM($K44:T44)</x:f>
        <x:v>0</x:v>
      </x:c>
      <x:c r="AM44" t="n">
        <x:f>SUM($K44:U44)</x:f>
        <x:v>0</x:v>
      </x:c>
      <x:c r="AN44" t="n">
        <x:f>SUM($K44:V44)</x:f>
        <x:v>0</x:v>
      </x:c>
      <x:c r="AO44" t="n">
        <x:f>SUM($K44:W44)</x:f>
        <x:v>0</x:v>
      </x:c>
      <x:c r="AP44" t="n">
        <x:f>SUM($K44:X44)</x:f>
        <x:v>0</x:v>
      </x:c>
      <x:c r="AQ44" t="n">
        <x:f>SUM($K44:Y44)</x:f>
        <x:v>0</x:v>
      </x:c>
      <x:c r="AR44" t="str">
        <x:f>IF(AC44&gt;=E44,"ИЗУЧЕНО",IF(AND(OR(F44="",SUMIF($A$11:$A$50,F44,AC$11:AC$50)&gt;=SUMIF($A$11:$A$50,F44,$E$11:$E$50)),OR(G44="",SUMIF($A$11:$A$50,G44,AC$11:AC$50)&gt;=SUMIF($A$11:$A$50,G44,$E$11:$E$50)),OR(H44="",SUMIF($A$11:$A$50,H44,AC$11:AC$50)&gt;=SUMIF($A$11:$A$50,H44,$E$11:$E$50))),"ОТКРЫТО","ЗАКРЫТО"))</x:f>
        <x:v>ЗАКРЫТО</x:v>
      </x:c>
      <x:c r="AS44" t="str">
        <x:f>IF(AD44&gt;=E44,"ИЗУЧЕНО",IF(AND(OR(F44="",SUMIF($A$11:$A$50,F44,AD$11:AD$50)&gt;=SUMIF($A$11:$A$50,F44,$E$11:$E$50)),OR(G44="",SUMIF($A$11:$A$50,G44,AD$11:AD$50)&gt;=SUMIF($A$11:$A$50,G44,$E$11:$E$50)),OR(H44="",SUMIF($A$11:$A$50,H44,AD$11:AD$50)&gt;=SUMIF($A$11:$A$50,H44,$E$11:$E$50))),"ОТКРЫТО","ЗАКРЫТО"))</x:f>
        <x:v>ЗАКРЫТО</x:v>
      </x:c>
      <x:c r="AT44" t="str">
        <x:f>IF(AE44&gt;=E44,"ИЗУЧЕНО",IF(AND(OR(F44="",SUMIF($A$11:$A$50,F44,AE$11:AE$50)&gt;=SUMIF($A$11:$A$50,F44,$E$11:$E$50)),OR(G44="",SUMIF($A$11:$A$50,G44,AE$11:AE$50)&gt;=SUMIF($A$11:$A$50,G44,$E$11:$E$50)),OR(H44="",SUMIF($A$11:$A$50,H44,AE$11:AE$50)&gt;=SUMIF($A$11:$A$50,H44,$E$11:$E$50))),"ОТКРЫТО","ЗАКРЫТО"))</x:f>
        <x:v>ЗАКРЫТО</x:v>
      </x:c>
      <x:c r="AU44" t="str">
        <x:f>IF(AF44&gt;=E44,"ИЗУЧЕНО",IF(AND(OR(F44="",SUMIF($A$11:$A$50,F44,AF$11:AF$50)&gt;=SUMIF($A$11:$A$50,F44,$E$11:$E$50)),OR(G44="",SUMIF($A$11:$A$50,G44,AF$11:AF$50)&gt;=SUMIF($A$11:$A$50,G44,$E$11:$E$50)),OR(H44="",SUMIF($A$11:$A$50,H44,AF$11:AF$50)&gt;=SUMIF($A$11:$A$50,H44,$E$11:$E$50))),"ОТКРЫТО","ЗАКРЫТО"))</x:f>
        <x:v>ЗАКРЫТО</x:v>
      </x:c>
      <x:c r="AV44" t="str">
        <x:f>IF(AG44&gt;=E44,"ИЗУЧЕНО",IF(AND(OR(F44="",SUMIF($A$11:$A$50,F44,AG$11:AG$50)&gt;=SUMIF($A$11:$A$50,F44,$E$11:$E$50)),OR(G44="",SUMIF($A$11:$A$50,G44,AG$11:AG$50)&gt;=SUMIF($A$11:$A$50,G44,$E$11:$E$50)),OR(H44="",SUMIF($A$11:$A$50,H44,AG$11:AG$50)&gt;=SUMIF($A$11:$A$50,H44,$E$11:$E$50))),"ОТКРЫТО","ЗАКРЫТО"))</x:f>
        <x:v>ЗАКРЫТО</x:v>
      </x:c>
      <x:c r="AW44" t="str">
        <x:f>IF(AH44&gt;=E44,"ИЗУЧЕНО",IF(AND(OR(F44="",SUMIF($A$11:$A$50,F44,AH$11:AH$50)&gt;=SUMIF($A$11:$A$50,F44,$E$11:$E$50)),OR(G44="",SUMIF($A$11:$A$50,G44,AH$11:AH$50)&gt;=SUMIF($A$11:$A$50,G44,$E$11:$E$50)),OR(H44="",SUMIF($A$11:$A$50,H44,AH$11:AH$50)&gt;=SUMIF($A$11:$A$50,H44,$E$11:$E$50))),"ОТКРЫТО","ЗАКРЫТО"))</x:f>
        <x:v>ЗАКРЫТО</x:v>
      </x:c>
      <x:c r="AX44" t="str">
        <x:f>IF(AI44&gt;=E44,"ИЗУЧЕНО",IF(AND(OR(F44="",SUMIF($A$11:$A$50,F44,AI$11:AI$50)&gt;=SUMIF($A$11:$A$50,F44,$E$11:$E$50)),OR(G44="",SUMIF($A$11:$A$50,G44,AI$11:AI$50)&gt;=SUMIF($A$11:$A$50,G44,$E$11:$E$50)),OR(H44="",SUMIF($A$11:$A$50,H44,AI$11:AI$50)&gt;=SUMIF($A$11:$A$50,H44,$E$11:$E$50))),"ОТКРЫТО","ЗАКРЫТО"))</x:f>
        <x:v>ЗАКРЫТО</x:v>
      </x:c>
      <x:c r="AY44" t="str">
        <x:f>IF(AJ44&gt;=E44,"ИЗУЧЕНО",IF(AND(OR(F44="",SUMIF($A$11:$A$50,F44,AJ$11:AJ$50)&gt;=SUMIF($A$11:$A$50,F44,$E$11:$E$50)),OR(G44="",SUMIF($A$11:$A$50,G44,AJ$11:AJ$50)&gt;=SUMIF($A$11:$A$50,G44,$E$11:$E$50)),OR(H44="",SUMIF($A$11:$A$50,H44,AJ$11:AJ$50)&gt;=SUMIF($A$11:$A$50,H44,$E$11:$E$50))),"ОТКРЫТО","ЗАКРЫТО"))</x:f>
        <x:v>ЗАКРЫТО</x:v>
      </x:c>
      <x:c r="AZ44" t="str">
        <x:f>IF(AK44&gt;=E44,"ИЗУЧЕНО",IF(AND(OR(F44="",SUMIF($A$11:$A$50,F44,AK$11:AK$50)&gt;=SUMIF($A$11:$A$50,F44,$E$11:$E$50)),OR(G44="",SUMIF($A$11:$A$50,G44,AK$11:AK$50)&gt;=SUMIF($A$11:$A$50,G44,$E$11:$E$50)),OR(H44="",SUMIF($A$11:$A$50,H44,AK$11:AK$50)&gt;=SUMIF($A$11:$A$50,H44,$E$11:$E$50))),"ОТКРЫТО","ЗАКРЫТО"))</x:f>
        <x:v>ЗАКРЫТО</x:v>
      </x:c>
      <x:c r="BA44" t="str">
        <x:f>IF(AL44&gt;=E44,"ИЗУЧЕНО",IF(AND(OR(F44="",SUMIF($A$11:$A$50,F44,AL$11:AL$50)&gt;=SUMIF($A$11:$A$50,F44,$E$11:$E$50)),OR(G44="",SUMIF($A$11:$A$50,G44,AL$11:AL$50)&gt;=SUMIF($A$11:$A$50,G44,$E$11:$E$50)),OR(H44="",SUMIF($A$11:$A$50,H44,AL$11:AL$50)&gt;=SUMIF($A$11:$A$50,H44,$E$11:$E$50))),"ОТКРЫТО","ЗАКРЫТО"))</x:f>
        <x:v>ЗАКРЫТО</x:v>
      </x:c>
      <x:c r="BB44" t="str">
        <x:f>IF(AM44&gt;=E44,"ИЗУЧЕНО",IF(AND(OR(F44="",SUMIF($A$11:$A$50,F44,AM$11:AM$50)&gt;=SUMIF($A$11:$A$50,F44,$E$11:$E$50)),OR(G44="",SUMIF($A$11:$A$50,G44,AM$11:AM$50)&gt;=SUMIF($A$11:$A$50,G44,$E$11:$E$50)),OR(H44="",SUMIF($A$11:$A$50,H44,AM$11:AM$50)&gt;=SUMIF($A$11:$A$50,H44,$E$11:$E$50))),"ОТКРЫТО","ЗАКРЫТО"))</x:f>
        <x:v>ЗАКРЫТО</x:v>
      </x:c>
      <x:c r="BC44" t="str">
        <x:f>IF(AN44&gt;=E44,"ИЗУЧЕНО",IF(AND(OR(F44="",SUMIF($A$11:$A$50,F44,AN$11:AN$50)&gt;=SUMIF($A$11:$A$50,F44,$E$11:$E$50)),OR(G44="",SUMIF($A$11:$A$50,G44,AN$11:AN$50)&gt;=SUMIF($A$11:$A$50,G44,$E$11:$E$50)),OR(H44="",SUMIF($A$11:$A$50,H44,AN$11:AN$50)&gt;=SUMIF($A$11:$A$50,H44,$E$11:$E$50))),"ОТКРЫТО","ЗАКРЫТО"))</x:f>
        <x:v>ЗАКРЫТО</x:v>
      </x:c>
      <x:c r="BD44" t="str">
        <x:f>IF(AO44&gt;=E44,"ИЗУЧЕНО",IF(AND(OR(F44="",SUMIF($A$11:$A$50,F44,AO$11:AO$50)&gt;=SUMIF($A$11:$A$50,F44,$E$11:$E$50)),OR(G44="",SUMIF($A$11:$A$50,G44,AO$11:AO$50)&gt;=SUMIF($A$11:$A$50,G44,$E$11:$E$50)),OR(H44="",SUMIF($A$11:$A$50,H44,AO$11:AO$50)&gt;=SUMIF($A$11:$A$50,H44,$E$11:$E$50))),"ОТКРЫТО","ЗАКРЫТО"))</x:f>
        <x:v>ЗАКРЫТО</x:v>
      </x:c>
      <x:c r="BE44" t="str">
        <x:f>IF(AP44&gt;=E44,"ИЗУЧЕНО",IF(AND(OR(F44="",SUMIF($A$11:$A$50,F44,AP$11:AP$50)&gt;=SUMIF($A$11:$A$50,F44,$E$11:$E$50)),OR(G44="",SUMIF($A$11:$A$50,G44,AP$11:AP$50)&gt;=SUMIF($A$11:$A$50,G44,$E$11:$E$50)),OR(H44="",SUMIF($A$11:$A$50,H44,AP$11:AP$50)&gt;=SUMIF($A$11:$A$50,H44,$E$11:$E$50))),"ОТКРЫТО","ЗАКРЫТО"))</x:f>
        <x:v>ЗАКРЫТО</x:v>
      </x:c>
      <x:c r="BF44" t="str">
        <x:f>IF(AQ44&gt;=E44,"ИЗУЧЕНО",IF(AND(OR(F44="",SUMIF($A$11:$A$50,F44,AQ$11:AQ$50)&gt;=SUMIF($A$11:$A$50,F44,$E$11:$E$50)),OR(G44="",SUMIF($A$11:$A$50,G44,AQ$11:AQ$50)&gt;=SUMIF($A$11:$A$50,G44,$E$11:$E$50)),OR(H44="",SUMIF($A$11:$A$50,H44,AQ$11:AQ$50)&gt;=SUMIF($A$11:$A$50,H44,$E$11:$E$50))),"ОТКРЫТО","ЗАКРЫТО"))</x:f>
        <x:v>ЗАКРЫТО</x:v>
      </x:c>
    </x:row>
    <x:row r="45">
      <x:c r="A45" s="42" t="str">
        <x:v>S5</x:v>
      </x:c>
      <x:c r="B45" s="42" t="str">
        <x:v>Надёжность, безопасность и контроль</x:v>
      </x:c>
      <x:c r="C45" s="42" t="str">
        <x:v>IV</x:v>
      </x:c>
      <x:c r="D45" s="42" t="str">
        <x:v>Контроль автономных агентов</x:v>
      </x:c>
      <x:c r="E45" s="42" t="n">
        <x:v>100</x:v>
      </x:c>
      <x:c r="F45" s="42" t="str">
        <x:v>S4</x:v>
      </x:c>
      <x:c r="G45" s="42"/>
      <x:c r="H45" s="42"/>
      <x:c r="I45" s="42" t="str">
        <x:v>Ограничения действий, права, аудит и остановка автономных систем.</x:v>
      </x:c>
      <x:c r="J45" s="42" t="str">
        <x:v>Система управления ИИ +0,4; прирост Принятия ИИ +0,08/год; защита Афины и Аполлона +10%</x:v>
      </x:c>
      <x:c r="K45" s="43" t="n">
        <x:f>SUMIF('Ход 2026'!$G$29:$G$38,$A45,'Ход 2026'!$I$29:$I$38)</x:f>
        <x:v>0</x:v>
      </x:c>
      <x:c r="L45" s="43" t="n">
        <x:f>SUMIF('Ход 2027'!$G$29:$G$38,$A45,'Ход 2027'!$I$29:$I$38)</x:f>
        <x:v>0</x:v>
      </x:c>
      <x:c r="M45" s="43" t="n">
        <x:f>SUMIF('Ход 2028'!$G$29:$G$38,$A45,'Ход 2028'!$I$29:$I$38)</x:f>
        <x:v>0</x:v>
      </x:c>
      <x:c r="N45" s="43" t="n">
        <x:f>SUMIF('Ход 2029'!$G$29:$G$38,$A45,'Ход 2029'!$I$29:$I$38)</x:f>
        <x:v>0</x:v>
      </x:c>
      <x:c r="O45" s="43" t="n">
        <x:f>SUMIF('Ход 2030'!$G$29:$G$38,$A45,'Ход 2030'!$I$29:$I$38)</x:f>
        <x:v>0</x:v>
      </x:c>
      <x:c r="P45" s="43" t="n">
        <x:f>SUMIF('Ход 2031'!$G$29:$G$38,$A45,'Ход 2031'!$I$29:$I$38)</x:f>
        <x:v>0</x:v>
      </x:c>
      <x:c r="Q45" s="43" t="n">
        <x:f>SUMIF('Ход 2032'!$G$29:$G$38,$A45,'Ход 2032'!$I$29:$I$38)</x:f>
        <x:v>0</x:v>
      </x:c>
      <x:c r="R45" s="43" t="n">
        <x:f>SUMIF('Ход 2033'!$G$29:$G$38,$A45,'Ход 2033'!$I$29:$I$38)</x:f>
        <x:v>0</x:v>
      </x:c>
      <x:c r="S45" s="43" t="n">
        <x:f>SUMIF('Ход 2034'!$G$29:$G$38,$A45,'Ход 2034'!$I$29:$I$38)</x:f>
        <x:v>0</x:v>
      </x:c>
      <x:c r="T45" s="43" t="n">
        <x:f>SUMIF('Ход 2035'!$G$29:$G$38,$A45,'Ход 2035'!$I$29:$I$38)</x:f>
        <x:v>0</x:v>
      </x:c>
      <x:c r="U45" s="43" t="n">
        <x:f>SUMIF('Ход 2036'!$G$29:$G$38,$A45,'Ход 2036'!$I$29:$I$38)</x:f>
        <x:v>0</x:v>
      </x:c>
      <x:c r="V45" s="43" t="n">
        <x:f>SUMIF('Ход 2037'!$G$29:$G$38,$A45,'Ход 2037'!$I$29:$I$38)</x:f>
        <x:v>0</x:v>
      </x:c>
      <x:c r="W45" s="43" t="n">
        <x:f>SUMIF('Ход 2038'!$G$29:$G$38,$A45,'Ход 2038'!$I$29:$I$38)</x:f>
        <x:v>0</x:v>
      </x:c>
      <x:c r="X45" s="43" t="n">
        <x:f>SUMIF('Ход 2039'!$G$29:$G$38,$A45,'Ход 2039'!$I$29:$I$38)</x:f>
        <x:v>0</x:v>
      </x:c>
      <x:c r="Y45" s="43" t="n">
        <x:f>SUMIF('Ход 2040'!$G$29:$G$38,$A45,'Ход 2040'!$I$29:$I$38)</x:f>
        <x:v>0</x:v>
      </x:c>
      <x:c r="Z45" s="44" t="n">
        <x:f>SUM(K45:Y45)</x:f>
        <x:v>0</x:v>
      </x:c>
      <x:c r="AA45" s="44" t="n">
        <x:f>MAX(0,E45-Z45)</x:f>
        <x:v>100</x:v>
      </x:c>
      <x:c r="AB45" s="42" t="str">
        <x:f>BF45</x:f>
        <x:v>ЗАКРЫТО</x:v>
      </x:c>
      <x:c r="AC45" t="n">
        <x:f>SUM($K45:K45)</x:f>
        <x:v>0</x:v>
      </x:c>
      <x:c r="AD45" t="n">
        <x:f>SUM($K45:L45)</x:f>
        <x:v>0</x:v>
      </x:c>
      <x:c r="AE45" t="n">
        <x:f>SUM($K45:M45)</x:f>
        <x:v>0</x:v>
      </x:c>
      <x:c r="AF45" t="n">
        <x:f>SUM($K45:N45)</x:f>
        <x:v>0</x:v>
      </x:c>
      <x:c r="AG45" t="n">
        <x:f>SUM($K45:O45)</x:f>
        <x:v>0</x:v>
      </x:c>
      <x:c r="AH45" t="n">
        <x:f>SUM($K45:P45)</x:f>
        <x:v>0</x:v>
      </x:c>
      <x:c r="AI45" t="n">
        <x:f>SUM($K45:Q45)</x:f>
        <x:v>0</x:v>
      </x:c>
      <x:c r="AJ45" t="n">
        <x:f>SUM($K45:R45)</x:f>
        <x:v>0</x:v>
      </x:c>
      <x:c r="AK45" t="n">
        <x:f>SUM($K45:S45)</x:f>
        <x:v>0</x:v>
      </x:c>
      <x:c r="AL45" t="n">
        <x:f>SUM($K45:T45)</x:f>
        <x:v>0</x:v>
      </x:c>
      <x:c r="AM45" t="n">
        <x:f>SUM($K45:U45)</x:f>
        <x:v>0</x:v>
      </x:c>
      <x:c r="AN45" t="n">
        <x:f>SUM($K45:V45)</x:f>
        <x:v>0</x:v>
      </x:c>
      <x:c r="AO45" t="n">
        <x:f>SUM($K45:W45)</x:f>
        <x:v>0</x:v>
      </x:c>
      <x:c r="AP45" t="n">
        <x:f>SUM($K45:X45)</x:f>
        <x:v>0</x:v>
      </x:c>
      <x:c r="AQ45" t="n">
        <x:f>SUM($K45:Y45)</x:f>
        <x:v>0</x:v>
      </x:c>
      <x:c r="AR45" t="str">
        <x:f>IF(AC45&gt;=E45,"ИЗУЧЕНО",IF(AND(OR(F45="",SUMIF($A$11:$A$50,F45,AC$11:AC$50)&gt;=SUMIF($A$11:$A$50,F45,$E$11:$E$50)),OR(G45="",SUMIF($A$11:$A$50,G45,AC$11:AC$50)&gt;=SUMIF($A$11:$A$50,G45,$E$11:$E$50)),OR(H45="",SUMIF($A$11:$A$50,H45,AC$11:AC$50)&gt;=SUMIF($A$11:$A$50,H45,$E$11:$E$50))),"ОТКРЫТО","ЗАКРЫТО"))</x:f>
        <x:v>ЗАКРЫТО</x:v>
      </x:c>
      <x:c r="AS45" t="str">
        <x:f>IF(AD45&gt;=E45,"ИЗУЧЕНО",IF(AND(OR(F45="",SUMIF($A$11:$A$50,F45,AD$11:AD$50)&gt;=SUMIF($A$11:$A$50,F45,$E$11:$E$50)),OR(G45="",SUMIF($A$11:$A$50,G45,AD$11:AD$50)&gt;=SUMIF($A$11:$A$50,G45,$E$11:$E$50)),OR(H45="",SUMIF($A$11:$A$50,H45,AD$11:AD$50)&gt;=SUMIF($A$11:$A$50,H45,$E$11:$E$50))),"ОТКРЫТО","ЗАКРЫТО"))</x:f>
        <x:v>ЗАКРЫТО</x:v>
      </x:c>
      <x:c r="AT45" t="str">
        <x:f>IF(AE45&gt;=E45,"ИЗУЧЕНО",IF(AND(OR(F45="",SUMIF($A$11:$A$50,F45,AE$11:AE$50)&gt;=SUMIF($A$11:$A$50,F45,$E$11:$E$50)),OR(G45="",SUMIF($A$11:$A$50,G45,AE$11:AE$50)&gt;=SUMIF($A$11:$A$50,G45,$E$11:$E$50)),OR(H45="",SUMIF($A$11:$A$50,H45,AE$11:AE$50)&gt;=SUMIF($A$11:$A$50,H45,$E$11:$E$50))),"ОТКРЫТО","ЗАКРЫТО"))</x:f>
        <x:v>ЗАКРЫТО</x:v>
      </x:c>
      <x:c r="AU45" t="str">
        <x:f>IF(AF45&gt;=E45,"ИЗУЧЕНО",IF(AND(OR(F45="",SUMIF($A$11:$A$50,F45,AF$11:AF$50)&gt;=SUMIF($A$11:$A$50,F45,$E$11:$E$50)),OR(G45="",SUMIF($A$11:$A$50,G45,AF$11:AF$50)&gt;=SUMIF($A$11:$A$50,G45,$E$11:$E$50)),OR(H45="",SUMIF($A$11:$A$50,H45,AF$11:AF$50)&gt;=SUMIF($A$11:$A$50,H45,$E$11:$E$50))),"ОТКРЫТО","ЗАКРЫТО"))</x:f>
        <x:v>ЗАКРЫТО</x:v>
      </x:c>
      <x:c r="AV45" t="str">
        <x:f>IF(AG45&gt;=E45,"ИЗУЧЕНО",IF(AND(OR(F45="",SUMIF($A$11:$A$50,F45,AG$11:AG$50)&gt;=SUMIF($A$11:$A$50,F45,$E$11:$E$50)),OR(G45="",SUMIF($A$11:$A$50,G45,AG$11:AG$50)&gt;=SUMIF($A$11:$A$50,G45,$E$11:$E$50)),OR(H45="",SUMIF($A$11:$A$50,H45,AG$11:AG$50)&gt;=SUMIF($A$11:$A$50,H45,$E$11:$E$50))),"ОТКРЫТО","ЗАКРЫТО"))</x:f>
        <x:v>ЗАКРЫТО</x:v>
      </x:c>
      <x:c r="AW45" t="str">
        <x:f>IF(AH45&gt;=E45,"ИЗУЧЕНО",IF(AND(OR(F45="",SUMIF($A$11:$A$50,F45,AH$11:AH$50)&gt;=SUMIF($A$11:$A$50,F45,$E$11:$E$50)),OR(G45="",SUMIF($A$11:$A$50,G45,AH$11:AH$50)&gt;=SUMIF($A$11:$A$50,G45,$E$11:$E$50)),OR(H45="",SUMIF($A$11:$A$50,H45,AH$11:AH$50)&gt;=SUMIF($A$11:$A$50,H45,$E$11:$E$50))),"ОТКРЫТО","ЗАКРЫТО"))</x:f>
        <x:v>ЗАКРЫТО</x:v>
      </x:c>
      <x:c r="AX45" t="str">
        <x:f>IF(AI45&gt;=E45,"ИЗУЧЕНО",IF(AND(OR(F45="",SUMIF($A$11:$A$50,F45,AI$11:AI$50)&gt;=SUMIF($A$11:$A$50,F45,$E$11:$E$50)),OR(G45="",SUMIF($A$11:$A$50,G45,AI$11:AI$50)&gt;=SUMIF($A$11:$A$50,G45,$E$11:$E$50)),OR(H45="",SUMIF($A$11:$A$50,H45,AI$11:AI$50)&gt;=SUMIF($A$11:$A$50,H45,$E$11:$E$50))),"ОТКРЫТО","ЗАКРЫТО"))</x:f>
        <x:v>ЗАКРЫТО</x:v>
      </x:c>
      <x:c r="AY45" t="str">
        <x:f>IF(AJ45&gt;=E45,"ИЗУЧЕНО",IF(AND(OR(F45="",SUMIF($A$11:$A$50,F45,AJ$11:AJ$50)&gt;=SUMIF($A$11:$A$50,F45,$E$11:$E$50)),OR(G45="",SUMIF($A$11:$A$50,G45,AJ$11:AJ$50)&gt;=SUMIF($A$11:$A$50,G45,$E$11:$E$50)),OR(H45="",SUMIF($A$11:$A$50,H45,AJ$11:AJ$50)&gt;=SUMIF($A$11:$A$50,H45,$E$11:$E$50))),"ОТКРЫТО","ЗАКРЫТО"))</x:f>
        <x:v>ЗАКРЫТО</x:v>
      </x:c>
      <x:c r="AZ45" t="str">
        <x:f>IF(AK45&gt;=E45,"ИЗУЧЕНО",IF(AND(OR(F45="",SUMIF($A$11:$A$50,F45,AK$11:AK$50)&gt;=SUMIF($A$11:$A$50,F45,$E$11:$E$50)),OR(G45="",SUMIF($A$11:$A$50,G45,AK$11:AK$50)&gt;=SUMIF($A$11:$A$50,G45,$E$11:$E$50)),OR(H45="",SUMIF($A$11:$A$50,H45,AK$11:AK$50)&gt;=SUMIF($A$11:$A$50,H45,$E$11:$E$50))),"ОТКРЫТО","ЗАКРЫТО"))</x:f>
        <x:v>ЗАКРЫТО</x:v>
      </x:c>
      <x:c r="BA45" t="str">
        <x:f>IF(AL45&gt;=E45,"ИЗУЧЕНО",IF(AND(OR(F45="",SUMIF($A$11:$A$50,F45,AL$11:AL$50)&gt;=SUMIF($A$11:$A$50,F45,$E$11:$E$50)),OR(G45="",SUMIF($A$11:$A$50,G45,AL$11:AL$50)&gt;=SUMIF($A$11:$A$50,G45,$E$11:$E$50)),OR(H45="",SUMIF($A$11:$A$50,H45,AL$11:AL$50)&gt;=SUMIF($A$11:$A$50,H45,$E$11:$E$50))),"ОТКРЫТО","ЗАКРЫТО"))</x:f>
        <x:v>ЗАКРЫТО</x:v>
      </x:c>
      <x:c r="BB45" t="str">
        <x:f>IF(AM45&gt;=E45,"ИЗУЧЕНО",IF(AND(OR(F45="",SUMIF($A$11:$A$50,F45,AM$11:AM$50)&gt;=SUMIF($A$11:$A$50,F45,$E$11:$E$50)),OR(G45="",SUMIF($A$11:$A$50,G45,AM$11:AM$50)&gt;=SUMIF($A$11:$A$50,G45,$E$11:$E$50)),OR(H45="",SUMIF($A$11:$A$50,H45,AM$11:AM$50)&gt;=SUMIF($A$11:$A$50,H45,$E$11:$E$50))),"ОТКРЫТО","ЗАКРЫТО"))</x:f>
        <x:v>ЗАКРЫТО</x:v>
      </x:c>
      <x:c r="BC45" t="str">
        <x:f>IF(AN45&gt;=E45,"ИЗУЧЕНО",IF(AND(OR(F45="",SUMIF($A$11:$A$50,F45,AN$11:AN$50)&gt;=SUMIF($A$11:$A$50,F45,$E$11:$E$50)),OR(G45="",SUMIF($A$11:$A$50,G45,AN$11:AN$50)&gt;=SUMIF($A$11:$A$50,G45,$E$11:$E$50)),OR(H45="",SUMIF($A$11:$A$50,H45,AN$11:AN$50)&gt;=SUMIF($A$11:$A$50,H45,$E$11:$E$50))),"ОТКРЫТО","ЗАКРЫТО"))</x:f>
        <x:v>ЗАКРЫТО</x:v>
      </x:c>
      <x:c r="BD45" t="str">
        <x:f>IF(AO45&gt;=E45,"ИЗУЧЕНО",IF(AND(OR(F45="",SUMIF($A$11:$A$50,F45,AO$11:AO$50)&gt;=SUMIF($A$11:$A$50,F45,$E$11:$E$50)),OR(G45="",SUMIF($A$11:$A$50,G45,AO$11:AO$50)&gt;=SUMIF($A$11:$A$50,G45,$E$11:$E$50)),OR(H45="",SUMIF($A$11:$A$50,H45,AO$11:AO$50)&gt;=SUMIF($A$11:$A$50,H45,$E$11:$E$50))),"ОТКРЫТО","ЗАКРЫТО"))</x:f>
        <x:v>ЗАКРЫТО</x:v>
      </x:c>
      <x:c r="BE45" t="str">
        <x:f>IF(AP45&gt;=E45,"ИЗУЧЕНО",IF(AND(OR(F45="",SUMIF($A$11:$A$50,F45,AP$11:AP$50)&gt;=SUMIF($A$11:$A$50,F45,$E$11:$E$50)),OR(G45="",SUMIF($A$11:$A$50,G45,AP$11:AP$50)&gt;=SUMIF($A$11:$A$50,G45,$E$11:$E$50)),OR(H45="",SUMIF($A$11:$A$50,H45,AP$11:AP$50)&gt;=SUMIF($A$11:$A$50,H45,$E$11:$E$50))),"ОТКРЫТО","ЗАКРЫТО"))</x:f>
        <x:v>ЗАКРЫТО</x:v>
      </x:c>
      <x:c r="BF45" t="str">
        <x:f>IF(AQ45&gt;=E45,"ИЗУЧЕНО",IF(AND(OR(F45="",SUMIF($A$11:$A$50,F45,AQ$11:AQ$50)&gt;=SUMIF($A$11:$A$50,F45,$E$11:$E$50)),OR(G45="",SUMIF($A$11:$A$50,G45,AQ$11:AQ$50)&gt;=SUMIF($A$11:$A$50,G45,$E$11:$E$50)),OR(H45="",SUMIF($A$11:$A$50,H45,AQ$11:AQ$50)&gt;=SUMIF($A$11:$A$50,H45,$E$11:$E$50))),"ОТКРЫТО","ЗАКРЫТО"))</x:f>
        <x:v>ЗАКРЫТО</x:v>
      </x:c>
    </x:row>
    <x:row r="46">
      <x:c r="A46" s="42" t="str">
        <x:v>S6</x:v>
      </x:c>
      <x:c r="B46" s="42" t="str">
        <x:v>Надёжность, безопасность и контроль</x:v>
      </x:c>
      <x:c r="C46" s="42" t="str">
        <x:v>V</x:v>
      </x:c>
      <x:c r="D46" s="42" t="str">
        <x:v>Проверяемый и самоинтерпретируемый ИИ</x:v>
      </x:c>
      <x:c r="E46" s="42" t="n">
        <x:v>150</x:v>
      </x:c>
      <x:c r="F46" s="42" t="str">
        <x:v>S5</x:v>
      </x:c>
      <x:c r="G46" s="42"/>
      <x:c r="H46" s="42"/>
      <x:c r="I46" s="42" t="str">
        <x:v>Системы, способные обосновывать и проверять собственное выполнение требований.</x:v>
      </x:c>
      <x:c r="J46" s="42" t="str">
        <x:v>Система управления ИИ +0,5; Регуляторная среда +0,3; прирост Социального доверия +0,10/год; вся оборона +10%</x:v>
      </x:c>
      <x:c r="K46" s="43" t="n">
        <x:f>SUMIF('Ход 2026'!$G$29:$G$38,$A46,'Ход 2026'!$I$29:$I$38)</x:f>
        <x:v>0</x:v>
      </x:c>
      <x:c r="L46" s="43" t="n">
        <x:f>SUMIF('Ход 2027'!$G$29:$G$38,$A46,'Ход 2027'!$I$29:$I$38)</x:f>
        <x:v>0</x:v>
      </x:c>
      <x:c r="M46" s="43" t="n">
        <x:f>SUMIF('Ход 2028'!$G$29:$G$38,$A46,'Ход 2028'!$I$29:$I$38)</x:f>
        <x:v>0</x:v>
      </x:c>
      <x:c r="N46" s="43" t="n">
        <x:f>SUMIF('Ход 2029'!$G$29:$G$38,$A46,'Ход 2029'!$I$29:$I$38)</x:f>
        <x:v>0</x:v>
      </x:c>
      <x:c r="O46" s="43" t="n">
        <x:f>SUMIF('Ход 2030'!$G$29:$G$38,$A46,'Ход 2030'!$I$29:$I$38)</x:f>
        <x:v>0</x:v>
      </x:c>
      <x:c r="P46" s="43" t="n">
        <x:f>SUMIF('Ход 2031'!$G$29:$G$38,$A46,'Ход 2031'!$I$29:$I$38)</x:f>
        <x:v>0</x:v>
      </x:c>
      <x:c r="Q46" s="43" t="n">
        <x:f>SUMIF('Ход 2032'!$G$29:$G$38,$A46,'Ход 2032'!$I$29:$I$38)</x:f>
        <x:v>0</x:v>
      </x:c>
      <x:c r="R46" s="43" t="n">
        <x:f>SUMIF('Ход 2033'!$G$29:$G$38,$A46,'Ход 2033'!$I$29:$I$38)</x:f>
        <x:v>0</x:v>
      </x:c>
      <x:c r="S46" s="43" t="n">
        <x:f>SUMIF('Ход 2034'!$G$29:$G$38,$A46,'Ход 2034'!$I$29:$I$38)</x:f>
        <x:v>0</x:v>
      </x:c>
      <x:c r="T46" s="43" t="n">
        <x:f>SUMIF('Ход 2035'!$G$29:$G$38,$A46,'Ход 2035'!$I$29:$I$38)</x:f>
        <x:v>0</x:v>
      </x:c>
      <x:c r="U46" s="43" t="n">
        <x:f>SUMIF('Ход 2036'!$G$29:$G$38,$A46,'Ход 2036'!$I$29:$I$38)</x:f>
        <x:v>0</x:v>
      </x:c>
      <x:c r="V46" s="43" t="n">
        <x:f>SUMIF('Ход 2037'!$G$29:$G$38,$A46,'Ход 2037'!$I$29:$I$38)</x:f>
        <x:v>0</x:v>
      </x:c>
      <x:c r="W46" s="43" t="n">
        <x:f>SUMIF('Ход 2038'!$G$29:$G$38,$A46,'Ход 2038'!$I$29:$I$38)</x:f>
        <x:v>0</x:v>
      </x:c>
      <x:c r="X46" s="43" t="n">
        <x:f>SUMIF('Ход 2039'!$G$29:$G$38,$A46,'Ход 2039'!$I$29:$I$38)</x:f>
        <x:v>0</x:v>
      </x:c>
      <x:c r="Y46" s="43" t="n">
        <x:f>SUMIF('Ход 2040'!$G$29:$G$38,$A46,'Ход 2040'!$I$29:$I$38)</x:f>
        <x:v>0</x:v>
      </x:c>
      <x:c r="Z46" s="44" t="n">
        <x:f>SUM(K46:Y46)</x:f>
        <x:v>0</x:v>
      </x:c>
      <x:c r="AA46" s="44" t="n">
        <x:f>MAX(0,E46-Z46)</x:f>
        <x:v>150</x:v>
      </x:c>
      <x:c r="AB46" s="42" t="str">
        <x:f>BF46</x:f>
        <x:v>ЗАКРЫТО</x:v>
      </x:c>
      <x:c r="AC46" t="n">
        <x:f>SUM($K46:K46)</x:f>
        <x:v>0</x:v>
      </x:c>
      <x:c r="AD46" t="n">
        <x:f>SUM($K46:L46)</x:f>
        <x:v>0</x:v>
      </x:c>
      <x:c r="AE46" t="n">
        <x:f>SUM($K46:M46)</x:f>
        <x:v>0</x:v>
      </x:c>
      <x:c r="AF46" t="n">
        <x:f>SUM($K46:N46)</x:f>
        <x:v>0</x:v>
      </x:c>
      <x:c r="AG46" t="n">
        <x:f>SUM($K46:O46)</x:f>
        <x:v>0</x:v>
      </x:c>
      <x:c r="AH46" t="n">
        <x:f>SUM($K46:P46)</x:f>
        <x:v>0</x:v>
      </x:c>
      <x:c r="AI46" t="n">
        <x:f>SUM($K46:Q46)</x:f>
        <x:v>0</x:v>
      </x:c>
      <x:c r="AJ46" t="n">
        <x:f>SUM($K46:R46)</x:f>
        <x:v>0</x:v>
      </x:c>
      <x:c r="AK46" t="n">
        <x:f>SUM($K46:S46)</x:f>
        <x:v>0</x:v>
      </x:c>
      <x:c r="AL46" t="n">
        <x:f>SUM($K46:T46)</x:f>
        <x:v>0</x:v>
      </x:c>
      <x:c r="AM46" t="n">
        <x:f>SUM($K46:U46)</x:f>
        <x:v>0</x:v>
      </x:c>
      <x:c r="AN46" t="n">
        <x:f>SUM($K46:V46)</x:f>
        <x:v>0</x:v>
      </x:c>
      <x:c r="AO46" t="n">
        <x:f>SUM($K46:W46)</x:f>
        <x:v>0</x:v>
      </x:c>
      <x:c r="AP46" t="n">
        <x:f>SUM($K46:X46)</x:f>
        <x:v>0</x:v>
      </x:c>
      <x:c r="AQ46" t="n">
        <x:f>SUM($K46:Y46)</x:f>
        <x:v>0</x:v>
      </x:c>
      <x:c r="AR46" t="str">
        <x:f>IF(AC46&gt;=E46,"ИЗУЧЕНО",IF(AND(OR(F46="",SUMIF($A$11:$A$50,F46,AC$11:AC$50)&gt;=SUMIF($A$11:$A$50,F46,$E$11:$E$50)),OR(G46="",SUMIF($A$11:$A$50,G46,AC$11:AC$50)&gt;=SUMIF($A$11:$A$50,G46,$E$11:$E$50)),OR(H46="",SUMIF($A$11:$A$50,H46,AC$11:AC$50)&gt;=SUMIF($A$11:$A$50,H46,$E$11:$E$50))),"ОТКРЫТО","ЗАКРЫТО"))</x:f>
        <x:v>ЗАКРЫТО</x:v>
      </x:c>
      <x:c r="AS46" t="str">
        <x:f>IF(AD46&gt;=E46,"ИЗУЧЕНО",IF(AND(OR(F46="",SUMIF($A$11:$A$50,F46,AD$11:AD$50)&gt;=SUMIF($A$11:$A$50,F46,$E$11:$E$50)),OR(G46="",SUMIF($A$11:$A$50,G46,AD$11:AD$50)&gt;=SUMIF($A$11:$A$50,G46,$E$11:$E$50)),OR(H46="",SUMIF($A$11:$A$50,H46,AD$11:AD$50)&gt;=SUMIF($A$11:$A$50,H46,$E$11:$E$50))),"ОТКРЫТО","ЗАКРЫТО"))</x:f>
        <x:v>ЗАКРЫТО</x:v>
      </x:c>
      <x:c r="AT46" t="str">
        <x:f>IF(AE46&gt;=E46,"ИЗУЧЕНО",IF(AND(OR(F46="",SUMIF($A$11:$A$50,F46,AE$11:AE$50)&gt;=SUMIF($A$11:$A$50,F46,$E$11:$E$50)),OR(G46="",SUMIF($A$11:$A$50,G46,AE$11:AE$50)&gt;=SUMIF($A$11:$A$50,G46,$E$11:$E$50)),OR(H46="",SUMIF($A$11:$A$50,H46,AE$11:AE$50)&gt;=SUMIF($A$11:$A$50,H46,$E$11:$E$50))),"ОТКРЫТО","ЗАКРЫТО"))</x:f>
        <x:v>ЗАКРЫТО</x:v>
      </x:c>
      <x:c r="AU46" t="str">
        <x:f>IF(AF46&gt;=E46,"ИЗУЧЕНО",IF(AND(OR(F46="",SUMIF($A$11:$A$50,F46,AF$11:AF$50)&gt;=SUMIF($A$11:$A$50,F46,$E$11:$E$50)),OR(G46="",SUMIF($A$11:$A$50,G46,AF$11:AF$50)&gt;=SUMIF($A$11:$A$50,G46,$E$11:$E$50)),OR(H46="",SUMIF($A$11:$A$50,H46,AF$11:AF$50)&gt;=SUMIF($A$11:$A$50,H46,$E$11:$E$50))),"ОТКРЫТО","ЗАКРЫТО"))</x:f>
        <x:v>ЗАКРЫТО</x:v>
      </x:c>
      <x:c r="AV46" t="str">
        <x:f>IF(AG46&gt;=E46,"ИЗУЧЕНО",IF(AND(OR(F46="",SUMIF($A$11:$A$50,F46,AG$11:AG$50)&gt;=SUMIF($A$11:$A$50,F46,$E$11:$E$50)),OR(G46="",SUMIF($A$11:$A$50,G46,AG$11:AG$50)&gt;=SUMIF($A$11:$A$50,G46,$E$11:$E$50)),OR(H46="",SUMIF($A$11:$A$50,H46,AG$11:AG$50)&gt;=SUMIF($A$11:$A$50,H46,$E$11:$E$50))),"ОТКРЫТО","ЗАКРЫТО"))</x:f>
        <x:v>ЗАКРЫТО</x:v>
      </x:c>
      <x:c r="AW46" t="str">
        <x:f>IF(AH46&gt;=E46,"ИЗУЧЕНО",IF(AND(OR(F46="",SUMIF($A$11:$A$50,F46,AH$11:AH$50)&gt;=SUMIF($A$11:$A$50,F46,$E$11:$E$50)),OR(G46="",SUMIF($A$11:$A$50,G46,AH$11:AH$50)&gt;=SUMIF($A$11:$A$50,G46,$E$11:$E$50)),OR(H46="",SUMIF($A$11:$A$50,H46,AH$11:AH$50)&gt;=SUMIF($A$11:$A$50,H46,$E$11:$E$50))),"ОТКРЫТО","ЗАКРЫТО"))</x:f>
        <x:v>ЗАКРЫТО</x:v>
      </x:c>
      <x:c r="AX46" t="str">
        <x:f>IF(AI46&gt;=E46,"ИЗУЧЕНО",IF(AND(OR(F46="",SUMIF($A$11:$A$50,F46,AI$11:AI$50)&gt;=SUMIF($A$11:$A$50,F46,$E$11:$E$50)),OR(G46="",SUMIF($A$11:$A$50,G46,AI$11:AI$50)&gt;=SUMIF($A$11:$A$50,G46,$E$11:$E$50)),OR(H46="",SUMIF($A$11:$A$50,H46,AI$11:AI$50)&gt;=SUMIF($A$11:$A$50,H46,$E$11:$E$50))),"ОТКРЫТО","ЗАКРЫТО"))</x:f>
        <x:v>ЗАКРЫТО</x:v>
      </x:c>
      <x:c r="AY46" t="str">
        <x:f>IF(AJ46&gt;=E46,"ИЗУЧЕНО",IF(AND(OR(F46="",SUMIF($A$11:$A$50,F46,AJ$11:AJ$50)&gt;=SUMIF($A$11:$A$50,F46,$E$11:$E$50)),OR(G46="",SUMIF($A$11:$A$50,G46,AJ$11:AJ$50)&gt;=SUMIF($A$11:$A$50,G46,$E$11:$E$50)),OR(H46="",SUMIF($A$11:$A$50,H46,AJ$11:AJ$50)&gt;=SUMIF($A$11:$A$50,H46,$E$11:$E$50))),"ОТКРЫТО","ЗАКРЫТО"))</x:f>
        <x:v>ЗАКРЫТО</x:v>
      </x:c>
      <x:c r="AZ46" t="str">
        <x:f>IF(AK46&gt;=E46,"ИЗУЧЕНО",IF(AND(OR(F46="",SUMIF($A$11:$A$50,F46,AK$11:AK$50)&gt;=SUMIF($A$11:$A$50,F46,$E$11:$E$50)),OR(G46="",SUMIF($A$11:$A$50,G46,AK$11:AK$50)&gt;=SUMIF($A$11:$A$50,G46,$E$11:$E$50)),OR(H46="",SUMIF($A$11:$A$50,H46,AK$11:AK$50)&gt;=SUMIF($A$11:$A$50,H46,$E$11:$E$50))),"ОТКРЫТО","ЗАКРЫТО"))</x:f>
        <x:v>ЗАКРЫТО</x:v>
      </x:c>
      <x:c r="BA46" t="str">
        <x:f>IF(AL46&gt;=E46,"ИЗУЧЕНО",IF(AND(OR(F46="",SUMIF($A$11:$A$50,F46,AL$11:AL$50)&gt;=SUMIF($A$11:$A$50,F46,$E$11:$E$50)),OR(G46="",SUMIF($A$11:$A$50,G46,AL$11:AL$50)&gt;=SUMIF($A$11:$A$50,G46,$E$11:$E$50)),OR(H46="",SUMIF($A$11:$A$50,H46,AL$11:AL$50)&gt;=SUMIF($A$11:$A$50,H46,$E$11:$E$50))),"ОТКРЫТО","ЗАКРЫТО"))</x:f>
        <x:v>ЗАКРЫТО</x:v>
      </x:c>
      <x:c r="BB46" t="str">
        <x:f>IF(AM46&gt;=E46,"ИЗУЧЕНО",IF(AND(OR(F46="",SUMIF($A$11:$A$50,F46,AM$11:AM$50)&gt;=SUMIF($A$11:$A$50,F46,$E$11:$E$50)),OR(G46="",SUMIF($A$11:$A$50,G46,AM$11:AM$50)&gt;=SUMIF($A$11:$A$50,G46,$E$11:$E$50)),OR(H46="",SUMIF($A$11:$A$50,H46,AM$11:AM$50)&gt;=SUMIF($A$11:$A$50,H46,$E$11:$E$50))),"ОТКРЫТО","ЗАКРЫТО"))</x:f>
        <x:v>ЗАКРЫТО</x:v>
      </x:c>
      <x:c r="BC46" t="str">
        <x:f>IF(AN46&gt;=E46,"ИЗУЧЕНО",IF(AND(OR(F46="",SUMIF($A$11:$A$50,F46,AN$11:AN$50)&gt;=SUMIF($A$11:$A$50,F46,$E$11:$E$50)),OR(G46="",SUMIF($A$11:$A$50,G46,AN$11:AN$50)&gt;=SUMIF($A$11:$A$50,G46,$E$11:$E$50)),OR(H46="",SUMIF($A$11:$A$50,H46,AN$11:AN$50)&gt;=SUMIF($A$11:$A$50,H46,$E$11:$E$50))),"ОТКРЫТО","ЗАКРЫТО"))</x:f>
        <x:v>ЗАКРЫТО</x:v>
      </x:c>
      <x:c r="BD46" t="str">
        <x:f>IF(AO46&gt;=E46,"ИЗУЧЕНО",IF(AND(OR(F46="",SUMIF($A$11:$A$50,F46,AO$11:AO$50)&gt;=SUMIF($A$11:$A$50,F46,$E$11:$E$50)),OR(G46="",SUMIF($A$11:$A$50,G46,AO$11:AO$50)&gt;=SUMIF($A$11:$A$50,G46,$E$11:$E$50)),OR(H46="",SUMIF($A$11:$A$50,H46,AO$11:AO$50)&gt;=SUMIF($A$11:$A$50,H46,$E$11:$E$50))),"ОТКРЫТО","ЗАКРЫТО"))</x:f>
        <x:v>ЗАКРЫТО</x:v>
      </x:c>
      <x:c r="BE46" t="str">
        <x:f>IF(AP46&gt;=E46,"ИЗУЧЕНО",IF(AND(OR(F46="",SUMIF($A$11:$A$50,F46,AP$11:AP$50)&gt;=SUMIF($A$11:$A$50,F46,$E$11:$E$50)),OR(G46="",SUMIF($A$11:$A$50,G46,AP$11:AP$50)&gt;=SUMIF($A$11:$A$50,G46,$E$11:$E$50)),OR(H46="",SUMIF($A$11:$A$50,H46,AP$11:AP$50)&gt;=SUMIF($A$11:$A$50,H46,$E$11:$E$50))),"ОТКРЫТО","ЗАКРЫТО"))</x:f>
        <x:v>ЗАКРЫТО</x:v>
      </x:c>
      <x:c r="BF46" t="str">
        <x:f>IF(AQ46&gt;=E46,"ИЗУЧЕНО",IF(AND(OR(F46="",SUMIF($A$11:$A$50,F46,AQ$11:AQ$50)&gt;=SUMIF($A$11:$A$50,F46,$E$11:$E$50)),OR(G46="",SUMIF($A$11:$A$50,G46,AQ$11:AQ$50)&gt;=SUMIF($A$11:$A$50,G46,$E$11:$E$50)),OR(H46="",SUMIF($A$11:$A$50,H46,AQ$11:AQ$50)&gt;=SUMIF($A$11:$A$50,H46,$E$11:$E$50))),"ОТКРЫТО","ЗАКРЫТО"))</x:f>
        <x:v>ЗАКРЫТО</x:v>
      </x:c>
    </x:row>
    <x:row r="47">
      <x:c r="A47" s="42" t="str">
        <x:v>X1</x:v>
      </x:c>
      <x:c r="B47" s="42" t="str">
        <x:v>Межветвевые</x:v>
      </x:c>
      <x:c r="C47" s="42" t="str">
        <x:v>IV</x:v>
      </x:c>
      <x:c r="D47" s="42" t="str">
        <x:v>Автономное научное исследование</x:v>
      </x:c>
      <x:c r="E47" s="42" t="n">
        <x:v>100</x:v>
      </x:c>
      <x:c r="F47" s="42" t="str">
        <x:v>M4</x:v>
      </x:c>
      <x:c r="G47" s="42" t="str">
        <x:v>D4</x:v>
      </x:c>
      <x:c r="H47" s="42" t="str">
        <x:v>A3</x:v>
      </x:c>
      <x:c r="I47" s="42" t="str">
        <x:v>ИИ формулирует гипотезы, планирует исследования, анализирует результаты и предлагает новые эксперименты.</x:v>
      </x:c>
      <x:c r="J47" s="42" t="str">
        <x:v>Прирост Познания +0,10/год; эффективность вложенных очков науки +15%</x:v>
      </x:c>
      <x:c r="K47" s="43" t="n">
        <x:f>SUMIF('Ход 2026'!$G$29:$G$38,$A47,'Ход 2026'!$I$29:$I$38)</x:f>
        <x:v>0</x:v>
      </x:c>
      <x:c r="L47" s="43" t="n">
        <x:f>SUMIF('Ход 2027'!$G$29:$G$38,$A47,'Ход 2027'!$I$29:$I$38)</x:f>
        <x:v>0</x:v>
      </x:c>
      <x:c r="M47" s="43" t="n">
        <x:f>SUMIF('Ход 2028'!$G$29:$G$38,$A47,'Ход 2028'!$I$29:$I$38)</x:f>
        <x:v>0</x:v>
      </x:c>
      <x:c r="N47" s="43" t="n">
        <x:f>SUMIF('Ход 2029'!$G$29:$G$38,$A47,'Ход 2029'!$I$29:$I$38)</x:f>
        <x:v>0</x:v>
      </x:c>
      <x:c r="O47" s="43" t="n">
        <x:f>SUMIF('Ход 2030'!$G$29:$G$38,$A47,'Ход 2030'!$I$29:$I$38)</x:f>
        <x:v>0</x:v>
      </x:c>
      <x:c r="P47" s="43" t="n">
        <x:f>SUMIF('Ход 2031'!$G$29:$G$38,$A47,'Ход 2031'!$I$29:$I$38)</x:f>
        <x:v>0</x:v>
      </x:c>
      <x:c r="Q47" s="43" t="n">
        <x:f>SUMIF('Ход 2032'!$G$29:$G$38,$A47,'Ход 2032'!$I$29:$I$38)</x:f>
        <x:v>0</x:v>
      </x:c>
      <x:c r="R47" s="43" t="n">
        <x:f>SUMIF('Ход 2033'!$G$29:$G$38,$A47,'Ход 2033'!$I$29:$I$38)</x:f>
        <x:v>0</x:v>
      </x:c>
      <x:c r="S47" s="43" t="n">
        <x:f>SUMIF('Ход 2034'!$G$29:$G$38,$A47,'Ход 2034'!$I$29:$I$38)</x:f>
        <x:v>0</x:v>
      </x:c>
      <x:c r="T47" s="43" t="n">
        <x:f>SUMIF('Ход 2035'!$G$29:$G$38,$A47,'Ход 2035'!$I$29:$I$38)</x:f>
        <x:v>0</x:v>
      </x:c>
      <x:c r="U47" s="43" t="n">
        <x:f>SUMIF('Ход 2036'!$G$29:$G$38,$A47,'Ход 2036'!$I$29:$I$38)</x:f>
        <x:v>0</x:v>
      </x:c>
      <x:c r="V47" s="43" t="n">
        <x:f>SUMIF('Ход 2037'!$G$29:$G$38,$A47,'Ход 2037'!$I$29:$I$38)</x:f>
        <x:v>0</x:v>
      </x:c>
      <x:c r="W47" s="43" t="n">
        <x:f>SUMIF('Ход 2038'!$G$29:$G$38,$A47,'Ход 2038'!$I$29:$I$38)</x:f>
        <x:v>0</x:v>
      </x:c>
      <x:c r="X47" s="43" t="n">
        <x:f>SUMIF('Ход 2039'!$G$29:$G$38,$A47,'Ход 2039'!$I$29:$I$38)</x:f>
        <x:v>0</x:v>
      </x:c>
      <x:c r="Y47" s="43" t="n">
        <x:f>SUMIF('Ход 2040'!$G$29:$G$38,$A47,'Ход 2040'!$I$29:$I$38)</x:f>
        <x:v>0</x:v>
      </x:c>
      <x:c r="Z47" s="44" t="n">
        <x:f>SUM(K47:Y47)</x:f>
        <x:v>0</x:v>
      </x:c>
      <x:c r="AA47" s="44" t="n">
        <x:f>MAX(0,E47-Z47)</x:f>
        <x:v>100</x:v>
      </x:c>
      <x:c r="AB47" s="42" t="str">
        <x:f>BF47</x:f>
        <x:v>ЗАКРЫТО</x:v>
      </x:c>
      <x:c r="AC47" t="n">
        <x:f>SUM($K47:K47)</x:f>
        <x:v>0</x:v>
      </x:c>
      <x:c r="AD47" t="n">
        <x:f>SUM($K47:L47)</x:f>
        <x:v>0</x:v>
      </x:c>
      <x:c r="AE47" t="n">
        <x:f>SUM($K47:M47)</x:f>
        <x:v>0</x:v>
      </x:c>
      <x:c r="AF47" t="n">
        <x:f>SUM($K47:N47)</x:f>
        <x:v>0</x:v>
      </x:c>
      <x:c r="AG47" t="n">
        <x:f>SUM($K47:O47)</x:f>
        <x:v>0</x:v>
      </x:c>
      <x:c r="AH47" t="n">
        <x:f>SUM($K47:P47)</x:f>
        <x:v>0</x:v>
      </x:c>
      <x:c r="AI47" t="n">
        <x:f>SUM($K47:Q47)</x:f>
        <x:v>0</x:v>
      </x:c>
      <x:c r="AJ47" t="n">
        <x:f>SUM($K47:R47)</x:f>
        <x:v>0</x:v>
      </x:c>
      <x:c r="AK47" t="n">
        <x:f>SUM($K47:S47)</x:f>
        <x:v>0</x:v>
      </x:c>
      <x:c r="AL47" t="n">
        <x:f>SUM($K47:T47)</x:f>
        <x:v>0</x:v>
      </x:c>
      <x:c r="AM47" t="n">
        <x:f>SUM($K47:U47)</x:f>
        <x:v>0</x:v>
      </x:c>
      <x:c r="AN47" t="n">
        <x:f>SUM($K47:V47)</x:f>
        <x:v>0</x:v>
      </x:c>
      <x:c r="AO47" t="n">
        <x:f>SUM($K47:W47)</x:f>
        <x:v>0</x:v>
      </x:c>
      <x:c r="AP47" t="n">
        <x:f>SUM($K47:X47)</x:f>
        <x:v>0</x:v>
      </x:c>
      <x:c r="AQ47" t="n">
        <x:f>SUM($K47:Y47)</x:f>
        <x:v>0</x:v>
      </x:c>
      <x:c r="AR47" t="str">
        <x:f>IF(AC47&gt;=E47,"ИЗУЧЕНО",IF(AND(OR(F47="",SUMIF($A$11:$A$50,F47,AC$11:AC$50)&gt;=SUMIF($A$11:$A$50,F47,$E$11:$E$50)),OR(G47="",SUMIF($A$11:$A$50,G47,AC$11:AC$50)&gt;=SUMIF($A$11:$A$50,G47,$E$11:$E$50)),OR(H47="",SUMIF($A$11:$A$50,H47,AC$11:AC$50)&gt;=SUMIF($A$11:$A$50,H47,$E$11:$E$50))),"ОТКРЫТО","ЗАКРЫТО"))</x:f>
        <x:v>ЗАКРЫТО</x:v>
      </x:c>
      <x:c r="AS47" t="str">
        <x:f>IF(AD47&gt;=E47,"ИЗУЧЕНО",IF(AND(OR(F47="",SUMIF($A$11:$A$50,F47,AD$11:AD$50)&gt;=SUMIF($A$11:$A$50,F47,$E$11:$E$50)),OR(G47="",SUMIF($A$11:$A$50,G47,AD$11:AD$50)&gt;=SUMIF($A$11:$A$50,G47,$E$11:$E$50)),OR(H47="",SUMIF($A$11:$A$50,H47,AD$11:AD$50)&gt;=SUMIF($A$11:$A$50,H47,$E$11:$E$50))),"ОТКРЫТО","ЗАКРЫТО"))</x:f>
        <x:v>ЗАКРЫТО</x:v>
      </x:c>
      <x:c r="AT47" t="str">
        <x:f>IF(AE47&gt;=E47,"ИЗУЧЕНО",IF(AND(OR(F47="",SUMIF($A$11:$A$50,F47,AE$11:AE$50)&gt;=SUMIF($A$11:$A$50,F47,$E$11:$E$50)),OR(G47="",SUMIF($A$11:$A$50,G47,AE$11:AE$50)&gt;=SUMIF($A$11:$A$50,G47,$E$11:$E$50)),OR(H47="",SUMIF($A$11:$A$50,H47,AE$11:AE$50)&gt;=SUMIF($A$11:$A$50,H47,$E$11:$E$50))),"ОТКРЫТО","ЗАКРЫТО"))</x:f>
        <x:v>ЗАКРЫТО</x:v>
      </x:c>
      <x:c r="AU47" t="str">
        <x:f>IF(AF47&gt;=E47,"ИЗУЧЕНО",IF(AND(OR(F47="",SUMIF($A$11:$A$50,F47,AF$11:AF$50)&gt;=SUMIF($A$11:$A$50,F47,$E$11:$E$50)),OR(G47="",SUMIF($A$11:$A$50,G47,AF$11:AF$50)&gt;=SUMIF($A$11:$A$50,G47,$E$11:$E$50)),OR(H47="",SUMIF($A$11:$A$50,H47,AF$11:AF$50)&gt;=SUMIF($A$11:$A$50,H47,$E$11:$E$50))),"ОТКРЫТО","ЗАКРЫТО"))</x:f>
        <x:v>ЗАКРЫТО</x:v>
      </x:c>
      <x:c r="AV47" t="str">
        <x:f>IF(AG47&gt;=E47,"ИЗУЧЕНО",IF(AND(OR(F47="",SUMIF($A$11:$A$50,F47,AG$11:AG$50)&gt;=SUMIF($A$11:$A$50,F47,$E$11:$E$50)),OR(G47="",SUMIF($A$11:$A$50,G47,AG$11:AG$50)&gt;=SUMIF($A$11:$A$50,G47,$E$11:$E$50)),OR(H47="",SUMIF($A$11:$A$50,H47,AG$11:AG$50)&gt;=SUMIF($A$11:$A$50,H47,$E$11:$E$50))),"ОТКРЫТО","ЗАКРЫТО"))</x:f>
        <x:v>ЗАКРЫТО</x:v>
      </x:c>
      <x:c r="AW47" t="str">
        <x:f>IF(AH47&gt;=E47,"ИЗУЧЕНО",IF(AND(OR(F47="",SUMIF($A$11:$A$50,F47,AH$11:AH$50)&gt;=SUMIF($A$11:$A$50,F47,$E$11:$E$50)),OR(G47="",SUMIF($A$11:$A$50,G47,AH$11:AH$50)&gt;=SUMIF($A$11:$A$50,G47,$E$11:$E$50)),OR(H47="",SUMIF($A$11:$A$50,H47,AH$11:AH$50)&gt;=SUMIF($A$11:$A$50,H47,$E$11:$E$50))),"ОТКРЫТО","ЗАКРЫТО"))</x:f>
        <x:v>ЗАКРЫТО</x:v>
      </x:c>
      <x:c r="AX47" t="str">
        <x:f>IF(AI47&gt;=E47,"ИЗУЧЕНО",IF(AND(OR(F47="",SUMIF($A$11:$A$50,F47,AI$11:AI$50)&gt;=SUMIF($A$11:$A$50,F47,$E$11:$E$50)),OR(G47="",SUMIF($A$11:$A$50,G47,AI$11:AI$50)&gt;=SUMIF($A$11:$A$50,G47,$E$11:$E$50)),OR(H47="",SUMIF($A$11:$A$50,H47,AI$11:AI$50)&gt;=SUMIF($A$11:$A$50,H47,$E$11:$E$50))),"ОТКРЫТО","ЗАКРЫТО"))</x:f>
        <x:v>ЗАКРЫТО</x:v>
      </x:c>
      <x:c r="AY47" t="str">
        <x:f>IF(AJ47&gt;=E47,"ИЗУЧЕНО",IF(AND(OR(F47="",SUMIF($A$11:$A$50,F47,AJ$11:AJ$50)&gt;=SUMIF($A$11:$A$50,F47,$E$11:$E$50)),OR(G47="",SUMIF($A$11:$A$50,G47,AJ$11:AJ$50)&gt;=SUMIF($A$11:$A$50,G47,$E$11:$E$50)),OR(H47="",SUMIF($A$11:$A$50,H47,AJ$11:AJ$50)&gt;=SUMIF($A$11:$A$50,H47,$E$11:$E$50))),"ОТКРЫТО","ЗАКРЫТО"))</x:f>
        <x:v>ЗАКРЫТО</x:v>
      </x:c>
      <x:c r="AZ47" t="str">
        <x:f>IF(AK47&gt;=E47,"ИЗУЧЕНО",IF(AND(OR(F47="",SUMIF($A$11:$A$50,F47,AK$11:AK$50)&gt;=SUMIF($A$11:$A$50,F47,$E$11:$E$50)),OR(G47="",SUMIF($A$11:$A$50,G47,AK$11:AK$50)&gt;=SUMIF($A$11:$A$50,G47,$E$11:$E$50)),OR(H47="",SUMIF($A$11:$A$50,H47,AK$11:AK$50)&gt;=SUMIF($A$11:$A$50,H47,$E$11:$E$50))),"ОТКРЫТО","ЗАКРЫТО"))</x:f>
        <x:v>ЗАКРЫТО</x:v>
      </x:c>
      <x:c r="BA47" t="str">
        <x:f>IF(AL47&gt;=E47,"ИЗУЧЕНО",IF(AND(OR(F47="",SUMIF($A$11:$A$50,F47,AL$11:AL$50)&gt;=SUMIF($A$11:$A$50,F47,$E$11:$E$50)),OR(G47="",SUMIF($A$11:$A$50,G47,AL$11:AL$50)&gt;=SUMIF($A$11:$A$50,G47,$E$11:$E$50)),OR(H47="",SUMIF($A$11:$A$50,H47,AL$11:AL$50)&gt;=SUMIF($A$11:$A$50,H47,$E$11:$E$50))),"ОТКРЫТО","ЗАКРЫТО"))</x:f>
        <x:v>ЗАКРЫТО</x:v>
      </x:c>
      <x:c r="BB47" t="str">
        <x:f>IF(AM47&gt;=E47,"ИЗУЧЕНО",IF(AND(OR(F47="",SUMIF($A$11:$A$50,F47,AM$11:AM$50)&gt;=SUMIF($A$11:$A$50,F47,$E$11:$E$50)),OR(G47="",SUMIF($A$11:$A$50,G47,AM$11:AM$50)&gt;=SUMIF($A$11:$A$50,G47,$E$11:$E$50)),OR(H47="",SUMIF($A$11:$A$50,H47,AM$11:AM$50)&gt;=SUMIF($A$11:$A$50,H47,$E$11:$E$50))),"ОТКРЫТО","ЗАКРЫТО"))</x:f>
        <x:v>ЗАКРЫТО</x:v>
      </x:c>
      <x:c r="BC47" t="str">
        <x:f>IF(AN47&gt;=E47,"ИЗУЧЕНО",IF(AND(OR(F47="",SUMIF($A$11:$A$50,F47,AN$11:AN$50)&gt;=SUMIF($A$11:$A$50,F47,$E$11:$E$50)),OR(G47="",SUMIF($A$11:$A$50,G47,AN$11:AN$50)&gt;=SUMIF($A$11:$A$50,G47,$E$11:$E$50)),OR(H47="",SUMIF($A$11:$A$50,H47,AN$11:AN$50)&gt;=SUMIF($A$11:$A$50,H47,$E$11:$E$50))),"ОТКРЫТО","ЗАКРЫТО"))</x:f>
        <x:v>ЗАКРЫТО</x:v>
      </x:c>
      <x:c r="BD47" t="str">
        <x:f>IF(AO47&gt;=E47,"ИЗУЧЕНО",IF(AND(OR(F47="",SUMIF($A$11:$A$50,F47,AO$11:AO$50)&gt;=SUMIF($A$11:$A$50,F47,$E$11:$E$50)),OR(G47="",SUMIF($A$11:$A$50,G47,AO$11:AO$50)&gt;=SUMIF($A$11:$A$50,G47,$E$11:$E$50)),OR(H47="",SUMIF($A$11:$A$50,H47,AO$11:AO$50)&gt;=SUMIF($A$11:$A$50,H47,$E$11:$E$50))),"ОТКРЫТО","ЗАКРЫТО"))</x:f>
        <x:v>ЗАКРЫТО</x:v>
      </x:c>
      <x:c r="BE47" t="str">
        <x:f>IF(AP47&gt;=E47,"ИЗУЧЕНО",IF(AND(OR(F47="",SUMIF($A$11:$A$50,F47,AP$11:AP$50)&gt;=SUMIF($A$11:$A$50,F47,$E$11:$E$50)),OR(G47="",SUMIF($A$11:$A$50,G47,AP$11:AP$50)&gt;=SUMIF($A$11:$A$50,G47,$E$11:$E$50)),OR(H47="",SUMIF($A$11:$A$50,H47,AP$11:AP$50)&gt;=SUMIF($A$11:$A$50,H47,$E$11:$E$50))),"ОТКРЫТО","ЗАКРЫТО"))</x:f>
        <x:v>ЗАКРЫТО</x:v>
      </x:c>
      <x:c r="BF47" t="str">
        <x:f>IF(AQ47&gt;=E47,"ИЗУЧЕНО",IF(AND(OR(F47="",SUMIF($A$11:$A$50,F47,AQ$11:AQ$50)&gt;=SUMIF($A$11:$A$50,F47,$E$11:$E$50)),OR(G47="",SUMIF($A$11:$A$50,G47,AQ$11:AQ$50)&gt;=SUMIF($A$11:$A$50,G47,$E$11:$E$50)),OR(H47="",SUMIF($A$11:$A$50,H47,AQ$11:AQ$50)&gt;=SUMIF($A$11:$A$50,H47,$E$11:$E$50))),"ОТКРЫТО","ЗАКРЫТО"))</x:f>
        <x:v>ЗАКРЫТО</x:v>
      </x:c>
    </x:row>
    <x:row r="48">
      <x:c r="A48" s="42" t="str">
        <x:v>X2</x:v>
      </x:c>
      <x:c r="B48" s="42" t="str">
        <x:v>Межветвевые</x:v>
      </x:c>
      <x:c r="C48" s="42" t="str">
        <x:v>IV</x:v>
      </x:c>
      <x:c r="D48" s="42" t="str">
        <x:v>Национальная ИИ-платформа</x:v>
      </x:c>
      <x:c r="E48" s="42" t="n">
        <x:v>110</x:v>
      </x:c>
      <x:c r="F48" s="42" t="str">
        <x:v>C4</x:v>
      </x:c>
      <x:c r="G48" s="42" t="str">
        <x:v>D4</x:v>
      </x:c>
      <x:c r="H48" s="42" t="str">
        <x:v>S3</x:v>
      </x:c>
      <x:c r="I48" s="42" t="str">
        <x:v>Унифицированная инфраструктура вычислений, данных, моделей и развёртывания.</x:v>
      </x:c>
      <x:c r="J48" s="42" t="str">
        <x:v>Прирост Принятия ИИ +0,10/год; Госуправления +0,08/год; очки ИИ в сферы эффективнее на 10%</x:v>
      </x:c>
      <x:c r="K48" s="43" t="n">
        <x:f>SUMIF('Ход 2026'!$G$29:$G$38,$A48,'Ход 2026'!$I$29:$I$38)</x:f>
        <x:v>0</x:v>
      </x:c>
      <x:c r="L48" s="43" t="n">
        <x:f>SUMIF('Ход 2027'!$G$29:$G$38,$A48,'Ход 2027'!$I$29:$I$38)</x:f>
        <x:v>0</x:v>
      </x:c>
      <x:c r="M48" s="43" t="n">
        <x:f>SUMIF('Ход 2028'!$G$29:$G$38,$A48,'Ход 2028'!$I$29:$I$38)</x:f>
        <x:v>0</x:v>
      </x:c>
      <x:c r="N48" s="43" t="n">
        <x:f>SUMIF('Ход 2029'!$G$29:$G$38,$A48,'Ход 2029'!$I$29:$I$38)</x:f>
        <x:v>0</x:v>
      </x:c>
      <x:c r="O48" s="43" t="n">
        <x:f>SUMIF('Ход 2030'!$G$29:$G$38,$A48,'Ход 2030'!$I$29:$I$38)</x:f>
        <x:v>0</x:v>
      </x:c>
      <x:c r="P48" s="43" t="n">
        <x:f>SUMIF('Ход 2031'!$G$29:$G$38,$A48,'Ход 2031'!$I$29:$I$38)</x:f>
        <x:v>0</x:v>
      </x:c>
      <x:c r="Q48" s="43" t="n">
        <x:f>SUMIF('Ход 2032'!$G$29:$G$38,$A48,'Ход 2032'!$I$29:$I$38)</x:f>
        <x:v>0</x:v>
      </x:c>
      <x:c r="R48" s="43" t="n">
        <x:f>SUMIF('Ход 2033'!$G$29:$G$38,$A48,'Ход 2033'!$I$29:$I$38)</x:f>
        <x:v>0</x:v>
      </x:c>
      <x:c r="S48" s="43" t="n">
        <x:f>SUMIF('Ход 2034'!$G$29:$G$38,$A48,'Ход 2034'!$I$29:$I$38)</x:f>
        <x:v>0</x:v>
      </x:c>
      <x:c r="T48" s="43" t="n">
        <x:f>SUMIF('Ход 2035'!$G$29:$G$38,$A48,'Ход 2035'!$I$29:$I$38)</x:f>
        <x:v>0</x:v>
      </x:c>
      <x:c r="U48" s="43" t="n">
        <x:f>SUMIF('Ход 2036'!$G$29:$G$38,$A48,'Ход 2036'!$I$29:$I$38)</x:f>
        <x:v>0</x:v>
      </x:c>
      <x:c r="V48" s="43" t="n">
        <x:f>SUMIF('Ход 2037'!$G$29:$G$38,$A48,'Ход 2037'!$I$29:$I$38)</x:f>
        <x:v>0</x:v>
      </x:c>
      <x:c r="W48" s="43" t="n">
        <x:f>SUMIF('Ход 2038'!$G$29:$G$38,$A48,'Ход 2038'!$I$29:$I$38)</x:f>
        <x:v>0</x:v>
      </x:c>
      <x:c r="X48" s="43" t="n">
        <x:f>SUMIF('Ход 2039'!$G$29:$G$38,$A48,'Ход 2039'!$I$29:$I$38)</x:f>
        <x:v>0</x:v>
      </x:c>
      <x:c r="Y48" s="43" t="n">
        <x:f>SUMIF('Ход 2040'!$G$29:$G$38,$A48,'Ход 2040'!$I$29:$I$38)</x:f>
        <x:v>0</x:v>
      </x:c>
      <x:c r="Z48" s="44" t="n">
        <x:f>SUM(K48:Y48)</x:f>
        <x:v>0</x:v>
      </x:c>
      <x:c r="AA48" s="44" t="n">
        <x:f>MAX(0,E48-Z48)</x:f>
        <x:v>110</x:v>
      </x:c>
      <x:c r="AB48" s="42" t="str">
        <x:f>BF48</x:f>
        <x:v>ЗАКРЫТО</x:v>
      </x:c>
      <x:c r="AC48" t="n">
        <x:f>SUM($K48:K48)</x:f>
        <x:v>0</x:v>
      </x:c>
      <x:c r="AD48" t="n">
        <x:f>SUM($K48:L48)</x:f>
        <x:v>0</x:v>
      </x:c>
      <x:c r="AE48" t="n">
        <x:f>SUM($K48:M48)</x:f>
        <x:v>0</x:v>
      </x:c>
      <x:c r="AF48" t="n">
        <x:f>SUM($K48:N48)</x:f>
        <x:v>0</x:v>
      </x:c>
      <x:c r="AG48" t="n">
        <x:f>SUM($K48:O48)</x:f>
        <x:v>0</x:v>
      </x:c>
      <x:c r="AH48" t="n">
        <x:f>SUM($K48:P48)</x:f>
        <x:v>0</x:v>
      </x:c>
      <x:c r="AI48" t="n">
        <x:f>SUM($K48:Q48)</x:f>
        <x:v>0</x:v>
      </x:c>
      <x:c r="AJ48" t="n">
        <x:f>SUM($K48:R48)</x:f>
        <x:v>0</x:v>
      </x:c>
      <x:c r="AK48" t="n">
        <x:f>SUM($K48:S48)</x:f>
        <x:v>0</x:v>
      </x:c>
      <x:c r="AL48" t="n">
        <x:f>SUM($K48:T48)</x:f>
        <x:v>0</x:v>
      </x:c>
      <x:c r="AM48" t="n">
        <x:f>SUM($K48:U48)</x:f>
        <x:v>0</x:v>
      </x:c>
      <x:c r="AN48" t="n">
        <x:f>SUM($K48:V48)</x:f>
        <x:v>0</x:v>
      </x:c>
      <x:c r="AO48" t="n">
        <x:f>SUM($K48:W48)</x:f>
        <x:v>0</x:v>
      </x:c>
      <x:c r="AP48" t="n">
        <x:f>SUM($K48:X48)</x:f>
        <x:v>0</x:v>
      </x:c>
      <x:c r="AQ48" t="n">
        <x:f>SUM($K48:Y48)</x:f>
        <x:v>0</x:v>
      </x:c>
      <x:c r="AR48" t="str">
        <x:f>IF(AC48&gt;=E48,"ИЗУЧЕНО",IF(AND(OR(F48="",SUMIF($A$11:$A$50,F48,AC$11:AC$50)&gt;=SUMIF($A$11:$A$50,F48,$E$11:$E$50)),OR(G48="",SUMIF($A$11:$A$50,G48,AC$11:AC$50)&gt;=SUMIF($A$11:$A$50,G48,$E$11:$E$50)),OR(H48="",SUMIF($A$11:$A$50,H48,AC$11:AC$50)&gt;=SUMIF($A$11:$A$50,H48,$E$11:$E$50))),"ОТКРЫТО","ЗАКРЫТО"))</x:f>
        <x:v>ЗАКРЫТО</x:v>
      </x:c>
      <x:c r="AS48" t="str">
        <x:f>IF(AD48&gt;=E48,"ИЗУЧЕНО",IF(AND(OR(F48="",SUMIF($A$11:$A$50,F48,AD$11:AD$50)&gt;=SUMIF($A$11:$A$50,F48,$E$11:$E$50)),OR(G48="",SUMIF($A$11:$A$50,G48,AD$11:AD$50)&gt;=SUMIF($A$11:$A$50,G48,$E$11:$E$50)),OR(H48="",SUMIF($A$11:$A$50,H48,AD$11:AD$50)&gt;=SUMIF($A$11:$A$50,H48,$E$11:$E$50))),"ОТКРЫТО","ЗАКРЫТО"))</x:f>
        <x:v>ЗАКРЫТО</x:v>
      </x:c>
      <x:c r="AT48" t="str">
        <x:f>IF(AE48&gt;=E48,"ИЗУЧЕНО",IF(AND(OR(F48="",SUMIF($A$11:$A$50,F48,AE$11:AE$50)&gt;=SUMIF($A$11:$A$50,F48,$E$11:$E$50)),OR(G48="",SUMIF($A$11:$A$50,G48,AE$11:AE$50)&gt;=SUMIF($A$11:$A$50,G48,$E$11:$E$50)),OR(H48="",SUMIF($A$11:$A$50,H48,AE$11:AE$50)&gt;=SUMIF($A$11:$A$50,H48,$E$11:$E$50))),"ОТКРЫТО","ЗАКРЫТО"))</x:f>
        <x:v>ЗАКРЫТО</x:v>
      </x:c>
      <x:c r="AU48" t="str">
        <x:f>IF(AF48&gt;=E48,"ИЗУЧЕНО",IF(AND(OR(F48="",SUMIF($A$11:$A$50,F48,AF$11:AF$50)&gt;=SUMIF($A$11:$A$50,F48,$E$11:$E$50)),OR(G48="",SUMIF($A$11:$A$50,G48,AF$11:AF$50)&gt;=SUMIF($A$11:$A$50,G48,$E$11:$E$50)),OR(H48="",SUMIF($A$11:$A$50,H48,AF$11:AF$50)&gt;=SUMIF($A$11:$A$50,H48,$E$11:$E$50))),"ОТКРЫТО","ЗАКРЫТО"))</x:f>
        <x:v>ЗАКРЫТО</x:v>
      </x:c>
      <x:c r="AV48" t="str">
        <x:f>IF(AG48&gt;=E48,"ИЗУЧЕНО",IF(AND(OR(F48="",SUMIF($A$11:$A$50,F48,AG$11:AG$50)&gt;=SUMIF($A$11:$A$50,F48,$E$11:$E$50)),OR(G48="",SUMIF($A$11:$A$50,G48,AG$11:AG$50)&gt;=SUMIF($A$11:$A$50,G48,$E$11:$E$50)),OR(H48="",SUMIF($A$11:$A$50,H48,AG$11:AG$50)&gt;=SUMIF($A$11:$A$50,H48,$E$11:$E$50))),"ОТКРЫТО","ЗАКРЫТО"))</x:f>
        <x:v>ЗАКРЫТО</x:v>
      </x:c>
      <x:c r="AW48" t="str">
        <x:f>IF(AH48&gt;=E48,"ИЗУЧЕНО",IF(AND(OR(F48="",SUMIF($A$11:$A$50,F48,AH$11:AH$50)&gt;=SUMIF($A$11:$A$50,F48,$E$11:$E$50)),OR(G48="",SUMIF($A$11:$A$50,G48,AH$11:AH$50)&gt;=SUMIF($A$11:$A$50,G48,$E$11:$E$50)),OR(H48="",SUMIF($A$11:$A$50,H48,AH$11:AH$50)&gt;=SUMIF($A$11:$A$50,H48,$E$11:$E$50))),"ОТКРЫТО","ЗАКРЫТО"))</x:f>
        <x:v>ЗАКРЫТО</x:v>
      </x:c>
      <x:c r="AX48" t="str">
        <x:f>IF(AI48&gt;=E48,"ИЗУЧЕНО",IF(AND(OR(F48="",SUMIF($A$11:$A$50,F48,AI$11:AI$50)&gt;=SUMIF($A$11:$A$50,F48,$E$11:$E$50)),OR(G48="",SUMIF($A$11:$A$50,G48,AI$11:AI$50)&gt;=SUMIF($A$11:$A$50,G48,$E$11:$E$50)),OR(H48="",SUMIF($A$11:$A$50,H48,AI$11:AI$50)&gt;=SUMIF($A$11:$A$50,H48,$E$11:$E$50))),"ОТКРЫТО","ЗАКРЫТО"))</x:f>
        <x:v>ЗАКРЫТО</x:v>
      </x:c>
      <x:c r="AY48" t="str">
        <x:f>IF(AJ48&gt;=E48,"ИЗУЧЕНО",IF(AND(OR(F48="",SUMIF($A$11:$A$50,F48,AJ$11:AJ$50)&gt;=SUMIF($A$11:$A$50,F48,$E$11:$E$50)),OR(G48="",SUMIF($A$11:$A$50,G48,AJ$11:AJ$50)&gt;=SUMIF($A$11:$A$50,G48,$E$11:$E$50)),OR(H48="",SUMIF($A$11:$A$50,H48,AJ$11:AJ$50)&gt;=SUMIF($A$11:$A$50,H48,$E$11:$E$50))),"ОТКРЫТО","ЗАКРЫТО"))</x:f>
        <x:v>ЗАКРЫТО</x:v>
      </x:c>
      <x:c r="AZ48" t="str">
        <x:f>IF(AK48&gt;=E48,"ИЗУЧЕНО",IF(AND(OR(F48="",SUMIF($A$11:$A$50,F48,AK$11:AK$50)&gt;=SUMIF($A$11:$A$50,F48,$E$11:$E$50)),OR(G48="",SUMIF($A$11:$A$50,G48,AK$11:AK$50)&gt;=SUMIF($A$11:$A$50,G48,$E$11:$E$50)),OR(H48="",SUMIF($A$11:$A$50,H48,AK$11:AK$50)&gt;=SUMIF($A$11:$A$50,H48,$E$11:$E$50))),"ОТКРЫТО","ЗАКРЫТО"))</x:f>
        <x:v>ЗАКРЫТО</x:v>
      </x:c>
      <x:c r="BA48" t="str">
        <x:f>IF(AL48&gt;=E48,"ИЗУЧЕНО",IF(AND(OR(F48="",SUMIF($A$11:$A$50,F48,AL$11:AL$50)&gt;=SUMIF($A$11:$A$50,F48,$E$11:$E$50)),OR(G48="",SUMIF($A$11:$A$50,G48,AL$11:AL$50)&gt;=SUMIF($A$11:$A$50,G48,$E$11:$E$50)),OR(H48="",SUMIF($A$11:$A$50,H48,AL$11:AL$50)&gt;=SUMIF($A$11:$A$50,H48,$E$11:$E$50))),"ОТКРЫТО","ЗАКРЫТО"))</x:f>
        <x:v>ЗАКРЫТО</x:v>
      </x:c>
      <x:c r="BB48" t="str">
        <x:f>IF(AM48&gt;=E48,"ИЗУЧЕНО",IF(AND(OR(F48="",SUMIF($A$11:$A$50,F48,AM$11:AM$50)&gt;=SUMIF($A$11:$A$50,F48,$E$11:$E$50)),OR(G48="",SUMIF($A$11:$A$50,G48,AM$11:AM$50)&gt;=SUMIF($A$11:$A$50,G48,$E$11:$E$50)),OR(H48="",SUMIF($A$11:$A$50,H48,AM$11:AM$50)&gt;=SUMIF($A$11:$A$50,H48,$E$11:$E$50))),"ОТКРЫТО","ЗАКРЫТО"))</x:f>
        <x:v>ЗАКРЫТО</x:v>
      </x:c>
      <x:c r="BC48" t="str">
        <x:f>IF(AN48&gt;=E48,"ИЗУЧЕНО",IF(AND(OR(F48="",SUMIF($A$11:$A$50,F48,AN$11:AN$50)&gt;=SUMIF($A$11:$A$50,F48,$E$11:$E$50)),OR(G48="",SUMIF($A$11:$A$50,G48,AN$11:AN$50)&gt;=SUMIF($A$11:$A$50,G48,$E$11:$E$50)),OR(H48="",SUMIF($A$11:$A$50,H48,AN$11:AN$50)&gt;=SUMIF($A$11:$A$50,H48,$E$11:$E$50))),"ОТКРЫТО","ЗАКРЫТО"))</x:f>
        <x:v>ЗАКРЫТО</x:v>
      </x:c>
      <x:c r="BD48" t="str">
        <x:f>IF(AO48&gt;=E48,"ИЗУЧЕНО",IF(AND(OR(F48="",SUMIF($A$11:$A$50,F48,AO$11:AO$50)&gt;=SUMIF($A$11:$A$50,F48,$E$11:$E$50)),OR(G48="",SUMIF($A$11:$A$50,G48,AO$11:AO$50)&gt;=SUMIF($A$11:$A$50,G48,$E$11:$E$50)),OR(H48="",SUMIF($A$11:$A$50,H48,AO$11:AO$50)&gt;=SUMIF($A$11:$A$50,H48,$E$11:$E$50))),"ОТКРЫТО","ЗАКРЫТО"))</x:f>
        <x:v>ЗАКРЫТО</x:v>
      </x:c>
      <x:c r="BE48" t="str">
        <x:f>IF(AP48&gt;=E48,"ИЗУЧЕНО",IF(AND(OR(F48="",SUMIF($A$11:$A$50,F48,AP$11:AP$50)&gt;=SUMIF($A$11:$A$50,F48,$E$11:$E$50)),OR(G48="",SUMIF($A$11:$A$50,G48,AP$11:AP$50)&gt;=SUMIF($A$11:$A$50,G48,$E$11:$E$50)),OR(H48="",SUMIF($A$11:$A$50,H48,AP$11:AP$50)&gt;=SUMIF($A$11:$A$50,H48,$E$11:$E$50))),"ОТКРЫТО","ЗАКРЫТО"))</x:f>
        <x:v>ЗАКРЫТО</x:v>
      </x:c>
      <x:c r="BF48" t="str">
        <x:f>IF(AQ48&gt;=E48,"ИЗУЧЕНО",IF(AND(OR(F48="",SUMIF($A$11:$A$50,F48,AQ$11:AQ$50)&gt;=SUMIF($A$11:$A$50,F48,$E$11:$E$50)),OR(G48="",SUMIF($A$11:$A$50,G48,AQ$11:AQ$50)&gt;=SUMIF($A$11:$A$50,G48,$E$11:$E$50)),OR(H48="",SUMIF($A$11:$A$50,H48,AQ$11:AQ$50)&gt;=SUMIF($A$11:$A$50,H48,$E$11:$E$50))),"ОТКРЫТО","ЗАКРЫТО"))</x:f>
        <x:v>ЗАКРЫТО</x:v>
      </x:c>
    </x:row>
    <x:row r="49">
      <x:c r="A49" s="42" t="str">
        <x:v>X3</x:v>
      </x:c>
      <x:c r="B49" s="42" t="str">
        <x:v>Межветвевые</x:v>
      </x:c>
      <x:c r="C49" s="42" t="str">
        <x:v>V</x:v>
      </x:c>
      <x:c r="D49" s="42" t="str">
        <x:v>Автономный цифровой контур государства</x:v>
      </x:c>
      <x:c r="E49" s="42" t="n">
        <x:v>140</x:v>
      </x:c>
      <x:c r="F49" s="42" t="str">
        <x:v>A5</x:v>
      </x:c>
      <x:c r="G49" s="42" t="str">
        <x:v>D5</x:v>
      </x:c>
      <x:c r="H49" s="42" t="str">
        <x:v>S5</x:v>
      </x:c>
      <x:c r="I49" s="42" t="str">
        <x:v>Связанная система данных, агентов и государственного управления.</x:v>
      </x:c>
      <x:c r="J49" s="42" t="str">
        <x:v>Госуправление +0,5; его прирост +0,12/год; улучшение отношений +15%; защита Аполлона +10%</x:v>
      </x:c>
      <x:c r="K49" s="43" t="n">
        <x:f>SUMIF('Ход 2026'!$G$29:$G$38,$A49,'Ход 2026'!$I$29:$I$38)</x:f>
        <x:v>0</x:v>
      </x:c>
      <x:c r="L49" s="43" t="n">
        <x:f>SUMIF('Ход 2027'!$G$29:$G$38,$A49,'Ход 2027'!$I$29:$I$38)</x:f>
        <x:v>0</x:v>
      </x:c>
      <x:c r="M49" s="43" t="n">
        <x:f>SUMIF('Ход 2028'!$G$29:$G$38,$A49,'Ход 2028'!$I$29:$I$38)</x:f>
        <x:v>0</x:v>
      </x:c>
      <x:c r="N49" s="43" t="n">
        <x:f>SUMIF('Ход 2029'!$G$29:$G$38,$A49,'Ход 2029'!$I$29:$I$38)</x:f>
        <x:v>0</x:v>
      </x:c>
      <x:c r="O49" s="43" t="n">
        <x:f>SUMIF('Ход 2030'!$G$29:$G$38,$A49,'Ход 2030'!$I$29:$I$38)</x:f>
        <x:v>0</x:v>
      </x:c>
      <x:c r="P49" s="43" t="n">
        <x:f>SUMIF('Ход 2031'!$G$29:$G$38,$A49,'Ход 2031'!$I$29:$I$38)</x:f>
        <x:v>0</x:v>
      </x:c>
      <x:c r="Q49" s="43" t="n">
        <x:f>SUMIF('Ход 2032'!$G$29:$G$38,$A49,'Ход 2032'!$I$29:$I$38)</x:f>
        <x:v>0</x:v>
      </x:c>
      <x:c r="R49" s="43" t="n">
        <x:f>SUMIF('Ход 2033'!$G$29:$G$38,$A49,'Ход 2033'!$I$29:$I$38)</x:f>
        <x:v>0</x:v>
      </x:c>
      <x:c r="S49" s="43" t="n">
        <x:f>SUMIF('Ход 2034'!$G$29:$G$38,$A49,'Ход 2034'!$I$29:$I$38)</x:f>
        <x:v>0</x:v>
      </x:c>
      <x:c r="T49" s="43" t="n">
        <x:f>SUMIF('Ход 2035'!$G$29:$G$38,$A49,'Ход 2035'!$I$29:$I$38)</x:f>
        <x:v>0</x:v>
      </x:c>
      <x:c r="U49" s="43" t="n">
        <x:f>SUMIF('Ход 2036'!$G$29:$G$38,$A49,'Ход 2036'!$I$29:$I$38)</x:f>
        <x:v>0</x:v>
      </x:c>
      <x:c r="V49" s="43" t="n">
        <x:f>SUMIF('Ход 2037'!$G$29:$G$38,$A49,'Ход 2037'!$I$29:$I$38)</x:f>
        <x:v>0</x:v>
      </x:c>
      <x:c r="W49" s="43" t="n">
        <x:f>SUMIF('Ход 2038'!$G$29:$G$38,$A49,'Ход 2038'!$I$29:$I$38)</x:f>
        <x:v>0</x:v>
      </x:c>
      <x:c r="X49" s="43" t="n">
        <x:f>SUMIF('Ход 2039'!$G$29:$G$38,$A49,'Ход 2039'!$I$29:$I$38)</x:f>
        <x:v>0</x:v>
      </x:c>
      <x:c r="Y49" s="43" t="n">
        <x:f>SUMIF('Ход 2040'!$G$29:$G$38,$A49,'Ход 2040'!$I$29:$I$38)</x:f>
        <x:v>0</x:v>
      </x:c>
      <x:c r="Z49" s="44" t="n">
        <x:f>SUM(K49:Y49)</x:f>
        <x:v>0</x:v>
      </x:c>
      <x:c r="AA49" s="44" t="n">
        <x:f>MAX(0,E49-Z49)</x:f>
        <x:v>140</x:v>
      </x:c>
      <x:c r="AB49" s="42" t="str">
        <x:f>BF49</x:f>
        <x:v>ЗАКРЫТО</x:v>
      </x:c>
      <x:c r="AC49" t="n">
        <x:f>SUM($K49:K49)</x:f>
        <x:v>0</x:v>
      </x:c>
      <x:c r="AD49" t="n">
        <x:f>SUM($K49:L49)</x:f>
        <x:v>0</x:v>
      </x:c>
      <x:c r="AE49" t="n">
        <x:f>SUM($K49:M49)</x:f>
        <x:v>0</x:v>
      </x:c>
      <x:c r="AF49" t="n">
        <x:f>SUM($K49:N49)</x:f>
        <x:v>0</x:v>
      </x:c>
      <x:c r="AG49" t="n">
        <x:f>SUM($K49:O49)</x:f>
        <x:v>0</x:v>
      </x:c>
      <x:c r="AH49" t="n">
        <x:f>SUM($K49:P49)</x:f>
        <x:v>0</x:v>
      </x:c>
      <x:c r="AI49" t="n">
        <x:f>SUM($K49:Q49)</x:f>
        <x:v>0</x:v>
      </x:c>
      <x:c r="AJ49" t="n">
        <x:f>SUM($K49:R49)</x:f>
        <x:v>0</x:v>
      </x:c>
      <x:c r="AK49" t="n">
        <x:f>SUM($K49:S49)</x:f>
        <x:v>0</x:v>
      </x:c>
      <x:c r="AL49" t="n">
        <x:f>SUM($K49:T49)</x:f>
        <x:v>0</x:v>
      </x:c>
      <x:c r="AM49" t="n">
        <x:f>SUM($K49:U49)</x:f>
        <x:v>0</x:v>
      </x:c>
      <x:c r="AN49" t="n">
        <x:f>SUM($K49:V49)</x:f>
        <x:v>0</x:v>
      </x:c>
      <x:c r="AO49" t="n">
        <x:f>SUM($K49:W49)</x:f>
        <x:v>0</x:v>
      </x:c>
      <x:c r="AP49" t="n">
        <x:f>SUM($K49:X49)</x:f>
        <x:v>0</x:v>
      </x:c>
      <x:c r="AQ49" t="n">
        <x:f>SUM($K49:Y49)</x:f>
        <x:v>0</x:v>
      </x:c>
      <x:c r="AR49" t="str">
        <x:f>IF(AC49&gt;=E49,"ИЗУЧЕНО",IF(AND(OR(F49="",SUMIF($A$11:$A$50,F49,AC$11:AC$50)&gt;=SUMIF($A$11:$A$50,F49,$E$11:$E$50)),OR(G49="",SUMIF($A$11:$A$50,G49,AC$11:AC$50)&gt;=SUMIF($A$11:$A$50,G49,$E$11:$E$50)),OR(H49="",SUMIF($A$11:$A$50,H49,AC$11:AC$50)&gt;=SUMIF($A$11:$A$50,H49,$E$11:$E$50))),"ОТКРЫТО","ЗАКРЫТО"))</x:f>
        <x:v>ЗАКРЫТО</x:v>
      </x:c>
      <x:c r="AS49" t="str">
        <x:f>IF(AD49&gt;=E49,"ИЗУЧЕНО",IF(AND(OR(F49="",SUMIF($A$11:$A$50,F49,AD$11:AD$50)&gt;=SUMIF($A$11:$A$50,F49,$E$11:$E$50)),OR(G49="",SUMIF($A$11:$A$50,G49,AD$11:AD$50)&gt;=SUMIF($A$11:$A$50,G49,$E$11:$E$50)),OR(H49="",SUMIF($A$11:$A$50,H49,AD$11:AD$50)&gt;=SUMIF($A$11:$A$50,H49,$E$11:$E$50))),"ОТКРЫТО","ЗАКРЫТО"))</x:f>
        <x:v>ЗАКРЫТО</x:v>
      </x:c>
      <x:c r="AT49" t="str">
        <x:f>IF(AE49&gt;=E49,"ИЗУЧЕНО",IF(AND(OR(F49="",SUMIF($A$11:$A$50,F49,AE$11:AE$50)&gt;=SUMIF($A$11:$A$50,F49,$E$11:$E$50)),OR(G49="",SUMIF($A$11:$A$50,G49,AE$11:AE$50)&gt;=SUMIF($A$11:$A$50,G49,$E$11:$E$50)),OR(H49="",SUMIF($A$11:$A$50,H49,AE$11:AE$50)&gt;=SUMIF($A$11:$A$50,H49,$E$11:$E$50))),"ОТКРЫТО","ЗАКРЫТО"))</x:f>
        <x:v>ЗАКРЫТО</x:v>
      </x:c>
      <x:c r="AU49" t="str">
        <x:f>IF(AF49&gt;=E49,"ИЗУЧЕНО",IF(AND(OR(F49="",SUMIF($A$11:$A$50,F49,AF$11:AF$50)&gt;=SUMIF($A$11:$A$50,F49,$E$11:$E$50)),OR(G49="",SUMIF($A$11:$A$50,G49,AF$11:AF$50)&gt;=SUMIF($A$11:$A$50,G49,$E$11:$E$50)),OR(H49="",SUMIF($A$11:$A$50,H49,AF$11:AF$50)&gt;=SUMIF($A$11:$A$50,H49,$E$11:$E$50))),"ОТКРЫТО","ЗАКРЫТО"))</x:f>
        <x:v>ЗАКРЫТО</x:v>
      </x:c>
      <x:c r="AV49" t="str">
        <x:f>IF(AG49&gt;=E49,"ИЗУЧЕНО",IF(AND(OR(F49="",SUMIF($A$11:$A$50,F49,AG$11:AG$50)&gt;=SUMIF($A$11:$A$50,F49,$E$11:$E$50)),OR(G49="",SUMIF($A$11:$A$50,G49,AG$11:AG$50)&gt;=SUMIF($A$11:$A$50,G49,$E$11:$E$50)),OR(H49="",SUMIF($A$11:$A$50,H49,AG$11:AG$50)&gt;=SUMIF($A$11:$A$50,H49,$E$11:$E$50))),"ОТКРЫТО","ЗАКРЫТО"))</x:f>
        <x:v>ЗАКРЫТО</x:v>
      </x:c>
      <x:c r="AW49" t="str">
        <x:f>IF(AH49&gt;=E49,"ИЗУЧЕНО",IF(AND(OR(F49="",SUMIF($A$11:$A$50,F49,AH$11:AH$50)&gt;=SUMIF($A$11:$A$50,F49,$E$11:$E$50)),OR(G49="",SUMIF($A$11:$A$50,G49,AH$11:AH$50)&gt;=SUMIF($A$11:$A$50,G49,$E$11:$E$50)),OR(H49="",SUMIF($A$11:$A$50,H49,AH$11:AH$50)&gt;=SUMIF($A$11:$A$50,H49,$E$11:$E$50))),"ОТКРЫТО","ЗАКРЫТО"))</x:f>
        <x:v>ЗАКРЫТО</x:v>
      </x:c>
      <x:c r="AX49" t="str">
        <x:f>IF(AI49&gt;=E49,"ИЗУЧЕНО",IF(AND(OR(F49="",SUMIF($A$11:$A$50,F49,AI$11:AI$50)&gt;=SUMIF($A$11:$A$50,F49,$E$11:$E$50)),OR(G49="",SUMIF($A$11:$A$50,G49,AI$11:AI$50)&gt;=SUMIF($A$11:$A$50,G49,$E$11:$E$50)),OR(H49="",SUMIF($A$11:$A$50,H49,AI$11:AI$50)&gt;=SUMIF($A$11:$A$50,H49,$E$11:$E$50))),"ОТКРЫТО","ЗАКРЫТО"))</x:f>
        <x:v>ЗАКРЫТО</x:v>
      </x:c>
      <x:c r="AY49" t="str">
        <x:f>IF(AJ49&gt;=E49,"ИЗУЧЕНО",IF(AND(OR(F49="",SUMIF($A$11:$A$50,F49,AJ$11:AJ$50)&gt;=SUMIF($A$11:$A$50,F49,$E$11:$E$50)),OR(G49="",SUMIF($A$11:$A$50,G49,AJ$11:AJ$50)&gt;=SUMIF($A$11:$A$50,G49,$E$11:$E$50)),OR(H49="",SUMIF($A$11:$A$50,H49,AJ$11:AJ$50)&gt;=SUMIF($A$11:$A$50,H49,$E$11:$E$50))),"ОТКРЫТО","ЗАКРЫТО"))</x:f>
        <x:v>ЗАКРЫТО</x:v>
      </x:c>
      <x:c r="AZ49" t="str">
        <x:f>IF(AK49&gt;=E49,"ИЗУЧЕНО",IF(AND(OR(F49="",SUMIF($A$11:$A$50,F49,AK$11:AK$50)&gt;=SUMIF($A$11:$A$50,F49,$E$11:$E$50)),OR(G49="",SUMIF($A$11:$A$50,G49,AK$11:AK$50)&gt;=SUMIF($A$11:$A$50,G49,$E$11:$E$50)),OR(H49="",SUMIF($A$11:$A$50,H49,AK$11:AK$50)&gt;=SUMIF($A$11:$A$50,H49,$E$11:$E$50))),"ОТКРЫТО","ЗАКРЫТО"))</x:f>
        <x:v>ЗАКРЫТО</x:v>
      </x:c>
      <x:c r="BA49" t="str">
        <x:f>IF(AL49&gt;=E49,"ИЗУЧЕНО",IF(AND(OR(F49="",SUMIF($A$11:$A$50,F49,AL$11:AL$50)&gt;=SUMIF($A$11:$A$50,F49,$E$11:$E$50)),OR(G49="",SUMIF($A$11:$A$50,G49,AL$11:AL$50)&gt;=SUMIF($A$11:$A$50,G49,$E$11:$E$50)),OR(H49="",SUMIF($A$11:$A$50,H49,AL$11:AL$50)&gt;=SUMIF($A$11:$A$50,H49,$E$11:$E$50))),"ОТКРЫТО","ЗАКРЫТО"))</x:f>
        <x:v>ЗАКРЫТО</x:v>
      </x:c>
      <x:c r="BB49" t="str">
        <x:f>IF(AM49&gt;=E49,"ИЗУЧЕНО",IF(AND(OR(F49="",SUMIF($A$11:$A$50,F49,AM$11:AM$50)&gt;=SUMIF($A$11:$A$50,F49,$E$11:$E$50)),OR(G49="",SUMIF($A$11:$A$50,G49,AM$11:AM$50)&gt;=SUMIF($A$11:$A$50,G49,$E$11:$E$50)),OR(H49="",SUMIF($A$11:$A$50,H49,AM$11:AM$50)&gt;=SUMIF($A$11:$A$50,H49,$E$11:$E$50))),"ОТКРЫТО","ЗАКРЫТО"))</x:f>
        <x:v>ЗАКРЫТО</x:v>
      </x:c>
      <x:c r="BC49" t="str">
        <x:f>IF(AN49&gt;=E49,"ИЗУЧЕНО",IF(AND(OR(F49="",SUMIF($A$11:$A$50,F49,AN$11:AN$50)&gt;=SUMIF($A$11:$A$50,F49,$E$11:$E$50)),OR(G49="",SUMIF($A$11:$A$50,G49,AN$11:AN$50)&gt;=SUMIF($A$11:$A$50,G49,$E$11:$E$50)),OR(H49="",SUMIF($A$11:$A$50,H49,AN$11:AN$50)&gt;=SUMIF($A$11:$A$50,H49,$E$11:$E$50))),"ОТКРЫТО","ЗАКРЫТО"))</x:f>
        <x:v>ЗАКРЫТО</x:v>
      </x:c>
      <x:c r="BD49" t="str">
        <x:f>IF(AO49&gt;=E49,"ИЗУЧЕНО",IF(AND(OR(F49="",SUMIF($A$11:$A$50,F49,AO$11:AO$50)&gt;=SUMIF($A$11:$A$50,F49,$E$11:$E$50)),OR(G49="",SUMIF($A$11:$A$50,G49,AO$11:AO$50)&gt;=SUMIF($A$11:$A$50,G49,$E$11:$E$50)),OR(H49="",SUMIF($A$11:$A$50,H49,AO$11:AO$50)&gt;=SUMIF($A$11:$A$50,H49,$E$11:$E$50))),"ОТКРЫТО","ЗАКРЫТО"))</x:f>
        <x:v>ЗАКРЫТО</x:v>
      </x:c>
      <x:c r="BE49" t="str">
        <x:f>IF(AP49&gt;=E49,"ИЗУЧЕНО",IF(AND(OR(F49="",SUMIF($A$11:$A$50,F49,AP$11:AP$50)&gt;=SUMIF($A$11:$A$50,F49,$E$11:$E$50)),OR(G49="",SUMIF($A$11:$A$50,G49,AP$11:AP$50)&gt;=SUMIF($A$11:$A$50,G49,$E$11:$E$50)),OR(H49="",SUMIF($A$11:$A$50,H49,AP$11:AP$50)&gt;=SUMIF($A$11:$A$50,H49,$E$11:$E$50))),"ОТКРЫТО","ЗАКРЫТО"))</x:f>
        <x:v>ЗАКРЫТО</x:v>
      </x:c>
      <x:c r="BF49" t="str">
        <x:f>IF(AQ49&gt;=E49,"ИЗУЧЕНО",IF(AND(OR(F49="",SUMIF($A$11:$A$50,F49,AQ$11:AQ$50)&gt;=SUMIF($A$11:$A$50,F49,$E$11:$E$50)),OR(G49="",SUMIF($A$11:$A$50,G49,AQ$11:AQ$50)&gt;=SUMIF($A$11:$A$50,G49,$E$11:$E$50)),OR(H49="",SUMIF($A$11:$A$50,H49,AQ$11:AQ$50)&gt;=SUMIF($A$11:$A$50,H49,$E$11:$E$50))),"ОТКРЫТО","ЗАКРЫТО"))</x:f>
        <x:v>ЗАКРЫТО</x:v>
      </x:c>
    </x:row>
    <x:row r="50">
      <x:c r="A50" s="42" t="str">
        <x:v>X4</x:v>
      </x:c>
      <x:c r="B50" s="42" t="str">
        <x:v>Межветвевые</x:v>
      </x:c>
      <x:c r="C50" s="42" t="str">
        <x:v>V+</x:v>
      </x:c>
      <x:c r="D50" s="42" t="str">
        <x:v>Самоускоряющийся контур исследований ИИ</x:v>
      </x:c>
      <x:c r="E50" s="42" t="n">
        <x:v>190</x:v>
      </x:c>
      <x:c r="F50" s="42" t="str">
        <x:v>M6</x:v>
      </x:c>
      <x:c r="G50" s="42" t="str">
        <x:v>A6</x:v>
      </x:c>
      <x:c r="H50" s="42" t="str">
        <x:v>S6</x:v>
      </x:c>
      <x:c r="I50" s="42" t="str">
        <x:v>ИИ автоматизирует значительную часть цикла создания следующего поколения ИИ.</x:v>
      </x:c>
      <x:c r="J50" s="42" t="str">
        <x:v>Эффективность очков науки +25%; прирост Методов моделей +0,10/год; Модельных ресурсов +0,10/год; открывает карты прорывов/рисков</x:v>
      </x:c>
      <x:c r="K50" s="43" t="n">
        <x:f>SUMIF('Ход 2026'!$G$29:$G$38,$A50,'Ход 2026'!$I$29:$I$38)</x:f>
        <x:v>0</x:v>
      </x:c>
      <x:c r="L50" s="43" t="n">
        <x:f>SUMIF('Ход 2027'!$G$29:$G$38,$A50,'Ход 2027'!$I$29:$I$38)</x:f>
        <x:v>0</x:v>
      </x:c>
      <x:c r="M50" s="43" t="n">
        <x:f>SUMIF('Ход 2028'!$G$29:$G$38,$A50,'Ход 2028'!$I$29:$I$38)</x:f>
        <x:v>0</x:v>
      </x:c>
      <x:c r="N50" s="43" t="n">
        <x:f>SUMIF('Ход 2029'!$G$29:$G$38,$A50,'Ход 2029'!$I$29:$I$38)</x:f>
        <x:v>0</x:v>
      </x:c>
      <x:c r="O50" s="43" t="n">
        <x:f>SUMIF('Ход 2030'!$G$29:$G$38,$A50,'Ход 2030'!$I$29:$I$38)</x:f>
        <x:v>0</x:v>
      </x:c>
      <x:c r="P50" s="43" t="n">
        <x:f>SUMIF('Ход 2031'!$G$29:$G$38,$A50,'Ход 2031'!$I$29:$I$38)</x:f>
        <x:v>0</x:v>
      </x:c>
      <x:c r="Q50" s="43" t="n">
        <x:f>SUMIF('Ход 2032'!$G$29:$G$38,$A50,'Ход 2032'!$I$29:$I$38)</x:f>
        <x:v>0</x:v>
      </x:c>
      <x:c r="R50" s="43" t="n">
        <x:f>SUMIF('Ход 2033'!$G$29:$G$38,$A50,'Ход 2033'!$I$29:$I$38)</x:f>
        <x:v>0</x:v>
      </x:c>
      <x:c r="S50" s="43" t="n">
        <x:f>SUMIF('Ход 2034'!$G$29:$G$38,$A50,'Ход 2034'!$I$29:$I$38)</x:f>
        <x:v>0</x:v>
      </x:c>
      <x:c r="T50" s="43" t="n">
        <x:f>SUMIF('Ход 2035'!$G$29:$G$38,$A50,'Ход 2035'!$I$29:$I$38)</x:f>
        <x:v>0</x:v>
      </x:c>
      <x:c r="U50" s="43" t="n">
        <x:f>SUMIF('Ход 2036'!$G$29:$G$38,$A50,'Ход 2036'!$I$29:$I$38)</x:f>
        <x:v>0</x:v>
      </x:c>
      <x:c r="V50" s="43" t="n">
        <x:f>SUMIF('Ход 2037'!$G$29:$G$38,$A50,'Ход 2037'!$I$29:$I$38)</x:f>
        <x:v>0</x:v>
      </x:c>
      <x:c r="W50" s="43" t="n">
        <x:f>SUMIF('Ход 2038'!$G$29:$G$38,$A50,'Ход 2038'!$I$29:$I$38)</x:f>
        <x:v>0</x:v>
      </x:c>
      <x:c r="X50" s="43" t="n">
        <x:f>SUMIF('Ход 2039'!$G$29:$G$38,$A50,'Ход 2039'!$I$29:$I$38)</x:f>
        <x:v>0</x:v>
      </x:c>
      <x:c r="Y50" s="43" t="n">
        <x:f>SUMIF('Ход 2040'!$G$29:$G$38,$A50,'Ход 2040'!$I$29:$I$38)</x:f>
        <x:v>0</x:v>
      </x:c>
      <x:c r="Z50" s="44" t="n">
        <x:f>SUM(K50:Y50)</x:f>
        <x:v>0</x:v>
      </x:c>
      <x:c r="AA50" s="44" t="n">
        <x:f>MAX(0,E50-Z50)</x:f>
        <x:v>190</x:v>
      </x:c>
      <x:c r="AB50" s="42" t="str">
        <x:f>BF50</x:f>
        <x:v>ЗАКРЫТО</x:v>
      </x:c>
      <x:c r="AC50" t="n">
        <x:f>SUM($K50:K50)</x:f>
        <x:v>0</x:v>
      </x:c>
      <x:c r="AD50" t="n">
        <x:f>SUM($K50:L50)</x:f>
        <x:v>0</x:v>
      </x:c>
      <x:c r="AE50" t="n">
        <x:f>SUM($K50:M50)</x:f>
        <x:v>0</x:v>
      </x:c>
      <x:c r="AF50" t="n">
        <x:f>SUM($K50:N50)</x:f>
        <x:v>0</x:v>
      </x:c>
      <x:c r="AG50" t="n">
        <x:f>SUM($K50:O50)</x:f>
        <x:v>0</x:v>
      </x:c>
      <x:c r="AH50" t="n">
        <x:f>SUM($K50:P50)</x:f>
        <x:v>0</x:v>
      </x:c>
      <x:c r="AI50" t="n">
        <x:f>SUM($K50:Q50)</x:f>
        <x:v>0</x:v>
      </x:c>
      <x:c r="AJ50" t="n">
        <x:f>SUM($K50:R50)</x:f>
        <x:v>0</x:v>
      </x:c>
      <x:c r="AK50" t="n">
        <x:f>SUM($K50:S50)</x:f>
        <x:v>0</x:v>
      </x:c>
      <x:c r="AL50" t="n">
        <x:f>SUM($K50:T50)</x:f>
        <x:v>0</x:v>
      </x:c>
      <x:c r="AM50" t="n">
        <x:f>SUM($K50:U50)</x:f>
        <x:v>0</x:v>
      </x:c>
      <x:c r="AN50" t="n">
        <x:f>SUM($K50:V50)</x:f>
        <x:v>0</x:v>
      </x:c>
      <x:c r="AO50" t="n">
        <x:f>SUM($K50:W50)</x:f>
        <x:v>0</x:v>
      </x:c>
      <x:c r="AP50" t="n">
        <x:f>SUM($K50:X50)</x:f>
        <x:v>0</x:v>
      </x:c>
      <x:c r="AQ50" t="n">
        <x:f>SUM($K50:Y50)</x:f>
        <x:v>0</x:v>
      </x:c>
      <x:c r="AR50" t="str">
        <x:f>IF(AC50&gt;=E50,"ИЗУЧЕНО",IF(AND(OR(F50="",SUMIF($A$11:$A$50,F50,AC$11:AC$50)&gt;=SUMIF($A$11:$A$50,F50,$E$11:$E$50)),OR(G50="",SUMIF($A$11:$A$50,G50,AC$11:AC$50)&gt;=SUMIF($A$11:$A$50,G50,$E$11:$E$50)),OR(H50="",SUMIF($A$11:$A$50,H50,AC$11:AC$50)&gt;=SUMIF($A$11:$A$50,H50,$E$11:$E$50))),"ОТКРЫТО","ЗАКРЫТО"))</x:f>
        <x:v>ЗАКРЫТО</x:v>
      </x:c>
      <x:c r="AS50" t="str">
        <x:f>IF(AD50&gt;=E50,"ИЗУЧЕНО",IF(AND(OR(F50="",SUMIF($A$11:$A$50,F50,AD$11:AD$50)&gt;=SUMIF($A$11:$A$50,F50,$E$11:$E$50)),OR(G50="",SUMIF($A$11:$A$50,G50,AD$11:AD$50)&gt;=SUMIF($A$11:$A$50,G50,$E$11:$E$50)),OR(H50="",SUMIF($A$11:$A$50,H50,AD$11:AD$50)&gt;=SUMIF($A$11:$A$50,H50,$E$11:$E$50))),"ОТКРЫТО","ЗАКРЫТО"))</x:f>
        <x:v>ЗАКРЫТО</x:v>
      </x:c>
      <x:c r="AT50" t="str">
        <x:f>IF(AE50&gt;=E50,"ИЗУЧЕНО",IF(AND(OR(F50="",SUMIF($A$11:$A$50,F50,AE$11:AE$50)&gt;=SUMIF($A$11:$A$50,F50,$E$11:$E$50)),OR(G50="",SUMIF($A$11:$A$50,G50,AE$11:AE$50)&gt;=SUMIF($A$11:$A$50,G50,$E$11:$E$50)),OR(H50="",SUMIF($A$11:$A$50,H50,AE$11:AE$50)&gt;=SUMIF($A$11:$A$50,H50,$E$11:$E$50))),"ОТКРЫТО","ЗАКРЫТО"))</x:f>
        <x:v>ЗАКРЫТО</x:v>
      </x:c>
      <x:c r="AU50" t="str">
        <x:f>IF(AF50&gt;=E50,"ИЗУЧЕНО",IF(AND(OR(F50="",SUMIF($A$11:$A$50,F50,AF$11:AF$50)&gt;=SUMIF($A$11:$A$50,F50,$E$11:$E$50)),OR(G50="",SUMIF($A$11:$A$50,G50,AF$11:AF$50)&gt;=SUMIF($A$11:$A$50,G50,$E$11:$E$50)),OR(H50="",SUMIF($A$11:$A$50,H50,AF$11:AF$50)&gt;=SUMIF($A$11:$A$50,H50,$E$11:$E$50))),"ОТКРЫТО","ЗАКРЫТО"))</x:f>
        <x:v>ЗАКРЫТО</x:v>
      </x:c>
      <x:c r="AV50" t="str">
        <x:f>IF(AG50&gt;=E50,"ИЗУЧЕНО",IF(AND(OR(F50="",SUMIF($A$11:$A$50,F50,AG$11:AG$50)&gt;=SUMIF($A$11:$A$50,F50,$E$11:$E$50)),OR(G50="",SUMIF($A$11:$A$50,G50,AG$11:AG$50)&gt;=SUMIF($A$11:$A$50,G50,$E$11:$E$50)),OR(H50="",SUMIF($A$11:$A$50,H50,AG$11:AG$50)&gt;=SUMIF($A$11:$A$50,H50,$E$11:$E$50))),"ОТКРЫТО","ЗАКРЫТО"))</x:f>
        <x:v>ЗАКРЫТО</x:v>
      </x:c>
      <x:c r="AW50" t="str">
        <x:f>IF(AH50&gt;=E50,"ИЗУЧЕНО",IF(AND(OR(F50="",SUMIF($A$11:$A$50,F50,AH$11:AH$50)&gt;=SUMIF($A$11:$A$50,F50,$E$11:$E$50)),OR(G50="",SUMIF($A$11:$A$50,G50,AH$11:AH$50)&gt;=SUMIF($A$11:$A$50,G50,$E$11:$E$50)),OR(H50="",SUMIF($A$11:$A$50,H50,AH$11:AH$50)&gt;=SUMIF($A$11:$A$50,H50,$E$11:$E$50))),"ОТКРЫТО","ЗАКРЫТО"))</x:f>
        <x:v>ЗАКРЫТО</x:v>
      </x:c>
      <x:c r="AX50" t="str">
        <x:f>IF(AI50&gt;=E50,"ИЗУЧЕНО",IF(AND(OR(F50="",SUMIF($A$11:$A$50,F50,AI$11:AI$50)&gt;=SUMIF($A$11:$A$50,F50,$E$11:$E$50)),OR(G50="",SUMIF($A$11:$A$50,G50,AI$11:AI$50)&gt;=SUMIF($A$11:$A$50,G50,$E$11:$E$50)),OR(H50="",SUMIF($A$11:$A$50,H50,AI$11:AI$50)&gt;=SUMIF($A$11:$A$50,H50,$E$11:$E$50))),"ОТКРЫТО","ЗАКРЫТО"))</x:f>
        <x:v>ЗАКРЫТО</x:v>
      </x:c>
      <x:c r="AY50" t="str">
        <x:f>IF(AJ50&gt;=E50,"ИЗУЧЕНО",IF(AND(OR(F50="",SUMIF($A$11:$A$50,F50,AJ$11:AJ$50)&gt;=SUMIF($A$11:$A$50,F50,$E$11:$E$50)),OR(G50="",SUMIF($A$11:$A$50,G50,AJ$11:AJ$50)&gt;=SUMIF($A$11:$A$50,G50,$E$11:$E$50)),OR(H50="",SUMIF($A$11:$A$50,H50,AJ$11:AJ$50)&gt;=SUMIF($A$11:$A$50,H50,$E$11:$E$50))),"ОТКРЫТО","ЗАКРЫТО"))</x:f>
        <x:v>ЗАКРЫТО</x:v>
      </x:c>
      <x:c r="AZ50" t="str">
        <x:f>IF(AK50&gt;=E50,"ИЗУЧЕНО",IF(AND(OR(F50="",SUMIF($A$11:$A$50,F50,AK$11:AK$50)&gt;=SUMIF($A$11:$A$50,F50,$E$11:$E$50)),OR(G50="",SUMIF($A$11:$A$50,G50,AK$11:AK$50)&gt;=SUMIF($A$11:$A$50,G50,$E$11:$E$50)),OR(H50="",SUMIF($A$11:$A$50,H50,AK$11:AK$50)&gt;=SUMIF($A$11:$A$50,H50,$E$11:$E$50))),"ОТКРЫТО","ЗАКРЫТО"))</x:f>
        <x:v>ЗАКРЫТО</x:v>
      </x:c>
      <x:c r="BA50" t="str">
        <x:f>IF(AL50&gt;=E50,"ИЗУЧЕНО",IF(AND(OR(F50="",SUMIF($A$11:$A$50,F50,AL$11:AL$50)&gt;=SUMIF($A$11:$A$50,F50,$E$11:$E$50)),OR(G50="",SUMIF($A$11:$A$50,G50,AL$11:AL$50)&gt;=SUMIF($A$11:$A$50,G50,$E$11:$E$50)),OR(H50="",SUMIF($A$11:$A$50,H50,AL$11:AL$50)&gt;=SUMIF($A$11:$A$50,H50,$E$11:$E$50))),"ОТКРЫТО","ЗАКРЫТО"))</x:f>
        <x:v>ЗАКРЫТО</x:v>
      </x:c>
      <x:c r="BB50" t="str">
        <x:f>IF(AM50&gt;=E50,"ИЗУЧЕНО",IF(AND(OR(F50="",SUMIF($A$11:$A$50,F50,AM$11:AM$50)&gt;=SUMIF($A$11:$A$50,F50,$E$11:$E$50)),OR(G50="",SUMIF($A$11:$A$50,G50,AM$11:AM$50)&gt;=SUMIF($A$11:$A$50,G50,$E$11:$E$50)),OR(H50="",SUMIF($A$11:$A$50,H50,AM$11:AM$50)&gt;=SUMIF($A$11:$A$50,H50,$E$11:$E$50))),"ОТКРЫТО","ЗАКРЫТО"))</x:f>
        <x:v>ЗАКРЫТО</x:v>
      </x:c>
      <x:c r="BC50" t="str">
        <x:f>IF(AN50&gt;=E50,"ИЗУЧЕНО",IF(AND(OR(F50="",SUMIF($A$11:$A$50,F50,AN$11:AN$50)&gt;=SUMIF($A$11:$A$50,F50,$E$11:$E$50)),OR(G50="",SUMIF($A$11:$A$50,G50,AN$11:AN$50)&gt;=SUMIF($A$11:$A$50,G50,$E$11:$E$50)),OR(H50="",SUMIF($A$11:$A$50,H50,AN$11:AN$50)&gt;=SUMIF($A$11:$A$50,H50,$E$11:$E$50))),"ОТКРЫТО","ЗАКРЫТО"))</x:f>
        <x:v>ЗАКРЫТО</x:v>
      </x:c>
      <x:c r="BD50" t="str">
        <x:f>IF(AO50&gt;=E50,"ИЗУЧЕНО",IF(AND(OR(F50="",SUMIF($A$11:$A$50,F50,AO$11:AO$50)&gt;=SUMIF($A$11:$A$50,F50,$E$11:$E$50)),OR(G50="",SUMIF($A$11:$A$50,G50,AO$11:AO$50)&gt;=SUMIF($A$11:$A$50,G50,$E$11:$E$50)),OR(H50="",SUMIF($A$11:$A$50,H50,AO$11:AO$50)&gt;=SUMIF($A$11:$A$50,H50,$E$11:$E$50))),"ОТКРЫТО","ЗАКРЫТО"))</x:f>
        <x:v>ЗАКРЫТО</x:v>
      </x:c>
      <x:c r="BE50" t="str">
        <x:f>IF(AP50&gt;=E50,"ИЗУЧЕНО",IF(AND(OR(F50="",SUMIF($A$11:$A$50,F50,AP$11:AP$50)&gt;=SUMIF($A$11:$A$50,F50,$E$11:$E$50)),OR(G50="",SUMIF($A$11:$A$50,G50,AP$11:AP$50)&gt;=SUMIF($A$11:$A$50,G50,$E$11:$E$50)),OR(H50="",SUMIF($A$11:$A$50,H50,AP$11:AP$50)&gt;=SUMIF($A$11:$A$50,H50,$E$11:$E$50))),"ОТКРЫТО","ЗАКРЫТО"))</x:f>
        <x:v>ЗАКРЫТО</x:v>
      </x:c>
      <x:c r="BF50" t="str">
        <x:f>IF(AQ50&gt;=E50,"ИЗУЧЕНО",IF(AND(OR(F50="",SUMIF($A$11:$A$50,F50,AQ$11:AQ$50)&gt;=SUMIF($A$11:$A$50,F50,$E$11:$E$50)),OR(G50="",SUMIF($A$11:$A$50,G50,AQ$11:AQ$50)&gt;=SUMIF($A$11:$A$50,G50,$E$11:$E$50)),OR(H50="",SUMIF($A$11:$A$50,H50,AQ$11:AQ$50)&gt;=SUMIF($A$11:$A$50,H50,$E$11:$E$50))),"ОТКРЫТО","ЗАКРЫТО"))</x:f>
        <x:v>ЗАКРЫТО</x:v>
      </x:c>
    </x:row>
  </x:sheetData>
  <x:mergeCells>
    <x:mergeCell ref="A1:AB2"/>
    <x:mergeCell ref="A3:AB3"/>
    <x:mergeCell ref="A5:C5"/>
    <x:mergeCell ref="E5:G5"/>
    <x:mergeCell ref="I5:K5"/>
    <x:mergeCell ref="M5:N5"/>
    <x:mergeCell ref="A6:C7"/>
    <x:mergeCell ref="E6:G7"/>
    <x:mergeCell ref="I6:K7"/>
    <x:mergeCell ref="M6:N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2026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58.768941700836145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60.2571194694435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68.83623155548884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85.76985146233196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4"/>
      <x:c r="E7" s="64"/>
      <x:c r="F7" s="64"/>
      <x:c r="G7" s="64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v>9</x:v>
      </x:c>
      <x:c r="C8" s="42" t="n"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v>5.5</x:v>
      </x:c>
      <x:c r="C9" s="42" t="n"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5.5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v>8</x:v>
      </x:c>
      <x:c r="C10" s="42" t="n"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v>8</x:v>
      </x:c>
      <x:c r="C11" s="42" t="n"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</x:v>
      </x:c>
      <x:c r="J11" s="42"/>
      <x:c r="K11" s="42" t="str">
        <x:v>Производство</x:v>
      </x:c>
      <x:c r="L11" s="42" t="n">
        <x:v>6.5</x:v>
      </x:c>
      <x:c r="M11" s="42" t="n"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6.5</x:v>
      </x:c>
      <x:c r="T11" s="42"/>
      <x:c r="U11" s="42" t="str">
        <x:v>Россия</x:v>
      </x:c>
      <x:c r="V11" s="42" t="n">
        <x:v>2</x:v>
      </x:c>
      <x:c r="W11" s="42" t="str"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v>9</x:v>
      </x:c>
      <x:c r="C12" s="42" t="n"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</x:v>
      </x:c>
      <x:c r="J12" s="42"/>
      <x:c r="K12" s="42" t="str">
        <x:v>Управление</x:v>
      </x:c>
      <x:c r="L12" s="42" t="n">
        <x:v>6.5</x:v>
      </x:c>
      <x:c r="M12" s="42" t="n"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6.5</x:v>
      </x:c>
      <x:c r="T12" s="42"/>
      <x:c r="U12" s="42" t="str">
        <x:v>США</x:v>
      </x:c>
      <x:c r="V12" s="42" t="n">
        <x:v>2.3</x:v>
      </x:c>
      <x:c r="W12" s="42" t="str"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v>2</x:v>
      </x:c>
      <x:c r="C13" s="42" t="n"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</x:v>
      </x:c>
      <x:c r="J13" s="42"/>
      <x:c r="K13" s="42" t="str">
        <x:v>Познание</x:v>
      </x:c>
      <x:c r="L13" s="42" t="n">
        <x:v>6.5</x:v>
      </x:c>
      <x:c r="M13" s="42" t="n"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6.5</x:v>
      </x:c>
      <x:c r="T13" s="42"/>
      <x:c r="U13" s="42" t="str">
        <x:v>Китай</x:v>
      </x:c>
      <x:c r="V13" s="42" t="n">
        <x:v>2.7</x:v>
      </x:c>
      <x:c r="W13" s="42" t="str"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v>4</x:v>
      </x:c>
      <x:c r="C14" s="42" t="n"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4</x:v>
      </x:c>
      <x:c r="J14" s="42"/>
      <x:c r="K14" s="42" t="str">
        <x:v>Обучение</x:v>
      </x:c>
      <x:c r="L14" s="42" t="n">
        <x:v>6.5</x:v>
      </x:c>
      <x:c r="M14" s="42" t="n"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6.5</x:v>
      </x:c>
      <x:c r="T14" s="42"/>
      <x:c r="U14" s="42" t="str">
        <x:v>Индия</x:v>
      </x:c>
      <x:c r="V14" s="42" t="n">
        <x:v>2.3</x:v>
      </x:c>
      <x:c r="W14" s="42" t="str"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v>6.5</x:v>
      </x:c>
      <x:c r="C15" s="42" t="n"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6.5</x:v>
      </x:c>
      <x:c r="J15" s="42"/>
      <x:c r="K15" s="42" t="str">
        <x:v>Война</x:v>
      </x:c>
      <x:c r="L15" s="42" t="n">
        <x:v>5.5</x:v>
      </x:c>
      <x:c r="M15" s="42" t="n"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5.5</x:v>
      </x:c>
      <x:c r="T15" s="42"/>
      <x:c r="U15" s="42" t="str">
        <x:v>Великобритания</x:v>
      </x:c>
      <x:c r="V15" s="42" t="n">
        <x:v>1.8</x:v>
      </x:c>
      <x:c r="W15" s="42" t="str"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v>7</x:v>
      </x:c>
      <x:c r="C16" s="42" t="n"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</x:v>
      </x:c>
      <x:c r="J16" s="42"/>
      <x:c r="K16" s="42" t="str">
        <x:v>Экономика</x:v>
      </x:c>
      <x:c r="L16" s="42" t="n">
        <x:v>7.5</x:v>
      </x:c>
      <x:c r="M16" s="42" t="n"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7.5</x:v>
      </x:c>
      <x:c r="T16" s="42"/>
      <x:c r="U16" s="42" t="str">
        <x:v>Франция</x:v>
      </x:c>
      <x:c r="V16" s="42" t="n">
        <x:v>1.8</x:v>
      </x:c>
      <x:c r="W16" s="42" t="str"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v>7</x:v>
      </x:c>
      <x:c r="C17" s="42" t="n"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</x:v>
      </x:c>
      <x:c r="J17" s="42"/>
      <x:c r="K17" s="42" t="str">
        <x:v>Государственное управление</x:v>
      </x:c>
      <x:c r="L17" s="42" t="n">
        <x:v>7.5</x:v>
      </x:c>
      <x:c r="M17" s="42" t="n"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7.5</x:v>
      </x:c>
      <x:c r="T17" s="42"/>
      <x:c r="U17" s="42" t="str">
        <x:v>Германия</x:v>
      </x:c>
      <x:c r="V17" s="42" t="n">
        <x:v>1.7</x:v>
      </x:c>
      <x:c r="W17" s="42" t="str"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4"/>
      <x:c r="E18" s="64"/>
      <x:c r="F18" s="64"/>
      <x:c r="G18" s="64"/>
      <x:c r="H18" s="62"/>
      <x:c r="I18" s="62"/>
      <x:c r="J18" s="42"/>
      <x:c r="K18" s="42" t="str">
        <x:v>Принятие ИИ</x:v>
      </x:c>
      <x:c r="L18" s="42" t="n">
        <x:v>9</x:v>
      </x:c>
      <x:c r="M18" s="42" t="n"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</x:v>
      </x:c>
      <x:c r="T18" s="42"/>
      <x:c r="U18" s="42" t="str">
        <x:v>Япония</x:v>
      </x:c>
      <x:c r="V18" s="42" t="n">
        <x:v>2.9</x:v>
      </x:c>
      <x:c r="W18" s="42" t="str"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v>6</x:v>
      </x:c>
      <x:c r="C19" s="42" t="n"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42" t="n">
        <x:v>2.4</x:v>
      </x:c>
      <x:c r="W19" s="42" t="str"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v>6</x:v>
      </x:c>
      <x:c r="C20" s="42" t="n"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42" t="n">
        <x:v>2.5</x:v>
      </x:c>
      <x:c r="W20" s="42" t="str"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v>5.5</x:v>
      </x:c>
      <x:c r="C21" s="42" t="n"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5.5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42" t="n">
        <x:v>2.4</x:v>
      </x:c>
      <x:c r="W21" s="42" t="str"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v>6.5</x:v>
      </x:c>
      <x:c r="C22" s="42" t="n"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42" t="n">
        <x:v>1.6</x:v>
      </x:c>
      <x:c r="W22" s="42" t="str"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v>6</x:v>
      </x:c>
      <x:c r="C23" s="42" t="n"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42" t="n">
        <x:v>-1.2</x:v>
      </x:c>
      <x:c r="W23" s="42" t="str"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4"/>
      <x:c r="E24" s="64"/>
      <x:c r="F24" s="64"/>
      <x:c r="G24" s="64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42" t="n">
        <x:v>2</x:v>
      </x:c>
      <x:c r="W24" s="42" t="str"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v>8.5</x:v>
      </x:c>
      <x:c r="C25" s="42" t="n"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42" t="n">
        <x:v>2.3</x:v>
      </x:c>
      <x:c r="W25" s="42" t="str"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v>6.5</x:v>
      </x:c>
      <x:c r="C26" s="42" t="n"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6.5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42" t="n">
        <x:v>0</x:v>
      </x:c>
      <x:c r="W26" s="42" t="str"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v>7</x:v>
      </x:c>
      <x:c r="C27" s="42" t="n"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v>6</x:v>
      </x:c>
      <x:c r="C28" s="42" t="n"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v>6</x:v>
      </x:c>
      <x:c r="C29" s="42" t="n"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v>6</x:v>
      </x:c>
      <x:c r="C30" s="42" t="n"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v>6</x:v>
      </x:c>
      <x:c r="C31" s="42" t="n"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v>6.5</x:v>
      </x:c>
      <x:c r="C32" s="42" t="n"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6.5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4"/>
      <x:c r="E33" s="64"/>
      <x:c r="F33" s="64"/>
      <x:c r="G33" s="64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v>7.5</x:v>
      </x:c>
      <x:c r="C34" s="42" t="n"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7.5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v>7.5</x:v>
      </x:c>
      <x:c r="C35" s="42" t="n"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v>7.5</x:v>
      </x:c>
      <x:c r="C36" s="42" t="n"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7.5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v>6.5</x:v>
      </x:c>
      <x:c r="C37" s="42" t="n"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6.5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v>6.5</x:v>
      </x:c>
      <x:c r="C38" s="42" t="n"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v>7.5</x:v>
      </x:c>
      <x:c r="C39" s="42" t="n"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v>7</x:v>
      </x:c>
      <x:c r="C40" s="42" t="n"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v>7</x:v>
      </x:c>
      <x:c r="C41" s="42" t="n"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v>8.5</x:v>
      </x:c>
      <x:c r="C42" s="42" t="n"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4"/>
      <x:c r="E43" s="64"/>
      <x:c r="F43" s="64"/>
      <x:c r="G43" s="64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v>6.5</x:v>
      </x:c>
      <x:c r="C44" s="42" t="n"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v>6.5</x:v>
      </x:c>
      <x:c r="C45" s="42" t="n"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v>6.5</x:v>
      </x:c>
      <x:c r="C46" s="42" t="n"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v>7</x:v>
      </x:c>
      <x:c r="C47" s="42" t="n"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v>7.5</x:v>
      </x:c>
      <x:c r="C48" s="42" t="n"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v>8</x:v>
      </x:c>
      <x:c r="C49" s="42" t="n"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v>10</x:v>
      </x:c>
      <x:c r="C50" s="42" t="n"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v>6.5</x:v>
      </x:c>
      <x:c r="C51" s="42" t="n"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6.5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4"/>
      <x:c r="E52" s="64"/>
      <x:c r="F52" s="64"/>
      <x:c r="G52" s="64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v>6</x:v>
      </x:c>
      <x:c r="C53" s="42" t="n"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v>6</x:v>
      </x:c>
      <x:c r="C54" s="42" t="n"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v>5.5</x:v>
      </x:c>
      <x:c r="C55" s="42" t="n"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5.5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2026'!U6</x:f>
        <x:v>85.76985146233196</x:v>
      </x:c>
      <x:c r="C6" s="42"/>
      <x:c r="D6" s="42"/>
      <x:c r="E6" s="42" t="str">
        <x:v>Доступно</x:v>
      </x:c>
      <x:c r="F6" s="42" t="n">
        <x:f>'Индонезия 2026'!K6</x:f>
        <x:v>58.768941700836145</x:v>
      </x:c>
      <x:c r="G6" s="42"/>
      <x:c r="H6" s="42"/>
      <x:c r="I6" s="42" t="str">
        <x:v>Доступно</x:v>
      </x:c>
      <x:c r="J6" s="42" t="n">
        <x:f>'Индонезия 2026'!N6</x:f>
        <x:v>60.2571194694435</x:v>
      </x:c>
      <x:c r="K6" s="42"/>
      <x:c r="L6" s="42"/>
      <x:c r="M6" s="42" t="str">
        <x:v>Доступно</x:v>
      </x:c>
      <x:c r="N6" s="42" t="n">
        <x:f>'Индонезия 2026'!Q6</x:f>
        <x:v>68.83623155548884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85.76985146233196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58.768941700836145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60.2571194694435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68.83623155548884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2026'!V11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72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2026'!V12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55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2026'!V13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97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2026'!V14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97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2026'!V15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21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2026'!V16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2026'!V17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62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2026'!V18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80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2026'!V19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33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2026'!V20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2026'!V21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39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2026'!V22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2026'!V23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44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2026'!V24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31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2026'!V25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81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2026'!V26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17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2027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61.84608806538991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62.32648773497444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70.77037013706241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87.22645321306615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2026'!B8+'Индонезия 2026'!D8+('Индонезия 2026'!C8+'Индонезия 2026'!F8+'Индонезия 2026'!G8)+(0.35*LN(1+0.6*'Ход 2026'!B14)*POWER(MAX(0,1-'Индонезия 2026'!I8/10),0.7))))</x:f>
        <x:v>9.05</x:v>
      </x:c>
      <x:c r="C8" s="42" t="n">
        <x:f>MIN(1,'Индонезия 2026'!C8+'Индонезия 2026'!F8+(0.08*LN(1+0.5*'Ход 2026'!C14)*MAX(0,1-('Индонезия 2026'!C8+'Индонезия 2026'!F8))))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9.05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2026'!B9+'Индонезия 2026'!D9+('Индонезия 2026'!C9+'Индонезия 2026'!F9+'Индонезия 2026'!G9)+(0.35*LN(1+0.6*'Ход 2026'!B15)*POWER(MAX(0,1-'Индонезия 2026'!I9/10),0.7))))</x:f>
        <x:v>5.65</x:v>
      </x:c>
      <x:c r="C9" s="42" t="n">
        <x:f>MIN(1,'Индонезия 2026'!C9+'Индонезия 2026'!F9+(0.08*LN(1+0.5*'Ход 2026'!C15)*MAX(0,1-('Индонезия 2026'!C9+'Индонезия 2026'!F9))))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5.65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2026'!B10+'Индонезия 2026'!D10+('Индонезия 2026'!C10+'Индонезия 2026'!F10+'Индонезия 2026'!G10)+(0.35*LN(1+0.6*'Ход 2026'!B16)*POWER(MAX(0,1-'Индонезия 2026'!I10/10),0.7))))</x:f>
        <x:v>8.1</x:v>
      </x:c>
      <x:c r="C10" s="42" t="n">
        <x:f>MIN(1,'Индонезия 2026'!C10+'Индонезия 2026'!F10+(0.08*LN(1+0.5*'Ход 2026'!C16)*MAX(0,1-('Индонезия 2026'!C10+'Индонезия 2026'!F10))))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8.1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2026'!B11+'Индонезия 2026'!D11+('Индонезия 2026'!C11+'Индонезия 2026'!F11+'Индонезия 2026'!G11)+(0.35*LN(1+0.6*'Ход 2026'!B17)*POWER(MAX(0,1-'Индонезия 2026'!I11/10),0.7))))</x:f>
        <x:v>8.05</x:v>
      </x:c>
      <x:c r="C11" s="42" t="n">
        <x:f>MIN(1,'Индонезия 2026'!C11+'Индонезия 2026'!F11+(0.08*LN(1+0.5*'Ход 2026'!C17)*MAX(0,1-('Индонезия 2026'!C11+'Индонезия 2026'!F11))))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8.05</x:v>
      </x:c>
      <x:c r="J11" s="42"/>
      <x:c r="K11" s="42" t="str">
        <x:v>Производство</x:v>
      </x:c>
      <x:c r="L11" s="42" t="n">
        <x:f>MAX(1,MIN(10,'Индонезия 2026'!L11+'Индонезия 2026'!N11+('Индонезия 2026'!M11+'Индонезия 2026'!P11+'Индонезия 2026'!Q11)))</x:f>
        <x:v>6.85</x:v>
      </x:c>
      <x:c r="M11" s="42" t="n">
        <x:f>MIN(1,'Индонезия 2026'!M11+'Индонезия 2026'!P11+(0.10*LN(1+0.5*'Ход 2026'!H13)*POWER(MAX(0,1-'Индонезия 2026'!S11/10),0.8)))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6.85</x:v>
      </x:c>
      <x:c r="T11" s="42"/>
      <x:c r="U11" s="42" t="str">
        <x:v>Россия</x:v>
      </x:c>
      <x:c r="V11" s="64" t="n">
        <x:f>'Индонезия 2026'!V11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2026'!B12+'Индонезия 2026'!D12+('Индонезия 2026'!C12+'Индонезия 2026'!F12+'Индонезия 2026'!G12)+(0.35*LN(1+0.6*'Ход 2026'!B18)*POWER(MAX(0,1-'Индонезия 2026'!I12/10),0.7))))</x:f>
        <x:v>9.05</x:v>
      </x:c>
      <x:c r="C12" s="42" t="n">
        <x:f>MIN(1,'Индонезия 2026'!C12+'Индонезия 2026'!F12+(0.08*LN(1+0.5*'Ход 2026'!C18)*MAX(0,1-('Индонезия 2026'!C12+'Индонезия 2026'!F12))))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9.05</x:v>
      </x:c>
      <x:c r="J12" s="42"/>
      <x:c r="K12" s="42" t="str">
        <x:v>Управление</x:v>
      </x:c>
      <x:c r="L12" s="42" t="n">
        <x:f>MAX(1,MIN(10,'Индонезия 2026'!L12+'Индонезия 2026'!N12+('Индонезия 2026'!M12+'Индонезия 2026'!P12+'Индонезия 2026'!Q12)))</x:f>
        <x:v>6.8</x:v>
      </x:c>
      <x:c r="M12" s="42" t="n">
        <x:f>MIN(1,'Индонезия 2026'!M12+'Индонезия 2026'!P12+(0.10*LN(1+0.5*'Ход 2026'!H14)*POWER(MAX(0,1-'Индонезия 2026'!S12/10),0.8)))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6.8</x:v>
      </x:c>
      <x:c r="T12" s="42"/>
      <x:c r="U12" s="42" t="str">
        <x:v>США</x:v>
      </x:c>
      <x:c r="V12" s="64" t="n">
        <x:f>'Индонезия 2026'!V12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2026'!B13+'Индонезия 2026'!D13+('Индонезия 2026'!C13+'Индонезия 2026'!F13+'Индонезия 2026'!G13)+(0.35*LN(1+0.6*'Ход 2026'!B19)*POWER(MAX(0,1-'Индонезия 2026'!I13/10),0.7))))</x:f>
        <x:v>2.3</x:v>
      </x:c>
      <x:c r="C13" s="42" t="n">
        <x:f>MIN(1,'Индонезия 2026'!C13+'Индонезия 2026'!F13+(0.08*LN(1+0.5*'Ход 2026'!C19)*MAX(0,1-('Индонезия 2026'!C13+'Индонезия 2026'!F13))))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2.3</x:v>
      </x:c>
      <x:c r="J13" s="42"/>
      <x:c r="K13" s="42" t="str">
        <x:v>Познание</x:v>
      </x:c>
      <x:c r="L13" s="42" t="n">
        <x:f>MAX(1,MIN(10,'Индонезия 2026'!L13+'Индонезия 2026'!N13+('Индонезия 2026'!M13+'Индонезия 2026'!P13+'Индонезия 2026'!Q13)))</x:f>
        <x:v>6.8</x:v>
      </x:c>
      <x:c r="M13" s="42" t="n">
        <x:f>MIN(1,'Индонезия 2026'!M13+'Индонезия 2026'!P13+(0.10*LN(1+0.5*'Ход 2026'!H15)*POWER(MAX(0,1-'Индонезия 2026'!S13/10),0.8)))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6.8</x:v>
      </x:c>
      <x:c r="T13" s="42"/>
      <x:c r="U13" s="42" t="str">
        <x:v>Китай</x:v>
      </x:c>
      <x:c r="V13" s="64" t="n">
        <x:f>'Индонезия 2026'!V13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2026'!B14+'Индонезия 2026'!D14+('Индонезия 2026'!C14+'Индонезия 2026'!F14+'Индонезия 2026'!G14)+(0.35*LN(1+0.6*'Ход 2026'!B20)*POWER(MAX(0,1-'Индонезия 2026'!I14/10),0.7))))</x:f>
        <x:v>4.3</x:v>
      </x:c>
      <x:c r="C14" s="42" t="n">
        <x:f>MIN(1,'Индонезия 2026'!C14+'Индонезия 2026'!F14+(0.08*LN(1+0.5*'Ход 2026'!C20)*MAX(0,1-('Индонезия 2026'!C14+'Индонезия 2026'!F14))))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4.3</x:v>
      </x:c>
      <x:c r="J14" s="42"/>
      <x:c r="K14" s="42" t="str">
        <x:v>Обучение</x:v>
      </x:c>
      <x:c r="L14" s="42" t="n">
        <x:f>MAX(1,MIN(10,'Индонезия 2026'!L14+'Индонезия 2026'!N14+('Индонезия 2026'!M14+'Индонезия 2026'!P14+'Индонезия 2026'!Q14)))</x:f>
        <x:v>6.85</x:v>
      </x:c>
      <x:c r="M14" s="42" t="n">
        <x:f>MIN(1,'Индонезия 2026'!M14+'Индонезия 2026'!P14+(0.10*LN(1+0.5*'Ход 2026'!H16)*POWER(MAX(0,1-'Индонезия 2026'!S14/10),0.8)))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6.85</x:v>
      </x:c>
      <x:c r="T14" s="42"/>
      <x:c r="U14" s="42" t="str">
        <x:v>Индия</x:v>
      </x:c>
      <x:c r="V14" s="64" t="n">
        <x:f>'Индонезия 2026'!V14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2026'!B15+'Индонезия 2026'!D15+('Индонезия 2026'!C15+'Индонезия 2026'!F15+'Индонезия 2026'!G15)+(0.35*LN(1+0.6*'Ход 2026'!B21)*POWER(MAX(0,1-'Индонезия 2026'!I15/10),0.7))))</x:f>
        <x:v>6.85</x:v>
      </x:c>
      <x:c r="C15" s="42" t="n">
        <x:f>MIN(1,'Индонезия 2026'!C15+'Индонезия 2026'!F15+(0.08*LN(1+0.5*'Ход 2026'!C21)*MAX(0,1-('Индонезия 2026'!C15+'Индонезия 2026'!F15))))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6.85</x:v>
      </x:c>
      <x:c r="J15" s="42"/>
      <x:c r="K15" s="42" t="str">
        <x:v>Война</x:v>
      </x:c>
      <x:c r="L15" s="42" t="n">
        <x:f>MAX(1,MIN(10,'Индонезия 2026'!L15+'Индонезия 2026'!N15+('Индонезия 2026'!M15+'Индонезия 2026'!P15+'Индонезия 2026'!Q15)))</x:f>
        <x:v>5.75</x:v>
      </x:c>
      <x:c r="M15" s="42" t="n">
        <x:f>MIN(1,'Индонезия 2026'!M15+'Индонезия 2026'!P15+(0.10*LN(1+0.5*'Ход 2026'!H17)*POWER(MAX(0,1-'Индонезия 2026'!S15/10),0.8)))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5.75</x:v>
      </x:c>
      <x:c r="T15" s="42"/>
      <x:c r="U15" s="42" t="str">
        <x:v>Великобритания</x:v>
      </x:c>
      <x:c r="V15" s="64" t="n">
        <x:f>'Индонезия 2026'!V15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2026'!B16+'Индонезия 2026'!D16+('Индонезия 2026'!C16+'Индонезия 2026'!F16+'Индонезия 2026'!G16)+(0.35*LN(1+0.6*'Ход 2026'!B22)*POWER(MAX(0,1-'Индонезия 2026'!I16/10),0.7))))</x:f>
        <x:v>7.25</x:v>
      </x:c>
      <x:c r="C16" s="42" t="n">
        <x:f>MIN(1,'Индонезия 2026'!C16+'Индонезия 2026'!F16+(0.08*LN(1+0.5*'Ход 2026'!C22)*MAX(0,1-('Индонезия 2026'!C16+'Индонезия 2026'!F16))))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7.25</x:v>
      </x:c>
      <x:c r="J16" s="42"/>
      <x:c r="K16" s="42" t="str">
        <x:v>Экономика</x:v>
      </x:c>
      <x:c r="L16" s="42" t="n">
        <x:f>MAX(1,MIN(10,'Индонезия 2026'!L16+'Индонезия 2026'!N16+('Индонезия 2026'!M16+'Индонезия 2026'!P16+'Индонезия 2026'!Q16)))</x:f>
        <x:v>7.85</x:v>
      </x:c>
      <x:c r="M16" s="42" t="n">
        <x:f>MIN(1,'Индонезия 2026'!M16+'Индонезия 2026'!P16+(0.10*LN(1+0.5*'Ход 2026'!H18)*POWER(MAX(0,1-'Индонезия 2026'!S16/10),0.8)))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7.85</x:v>
      </x:c>
      <x:c r="T16" s="42"/>
      <x:c r="U16" s="42" t="str">
        <x:v>Франция</x:v>
      </x:c>
      <x:c r="V16" s="64" t="n">
        <x:f>'Индонезия 2026'!V16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2026'!B17+'Индонезия 2026'!D17+('Индонезия 2026'!C17+'Индонезия 2026'!F17+'Индонезия 2026'!G17)+(0.35*LN(1+0.6*'Ход 2026'!B23)*POWER(MAX(0,1-'Индонезия 2026'!I17/10),0.7))))</x:f>
        <x:v>7.2</x:v>
      </x:c>
      <x:c r="C17" s="42" t="n">
        <x:f>MIN(1,'Индонезия 2026'!C17+'Индонезия 2026'!F17+(0.08*LN(1+0.5*'Ход 2026'!C23)*MAX(0,1-('Индонезия 2026'!C17+'Индонезия 2026'!F17))))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7.2</x:v>
      </x:c>
      <x:c r="J17" s="42"/>
      <x:c r="K17" s="42" t="str">
        <x:v>Государственное управление</x:v>
      </x:c>
      <x:c r="L17" s="42" t="n">
        <x:f>MAX(1,MIN(10,'Индонезия 2026'!L17+'Индонезия 2026'!N17+('Индонезия 2026'!M17+'Индонезия 2026'!P17+'Индонезия 2026'!Q17)))</x:f>
        <x:v>7.85</x:v>
      </x:c>
      <x:c r="M17" s="42" t="n">
        <x:f>MIN(1,'Индонезия 2026'!M17+'Индонезия 2026'!P17+(0.10*LN(1+0.5*'Ход 2026'!H19)*POWER(MAX(0,1-'Индонезия 2026'!S17/10),0.8)))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7.85</x:v>
      </x:c>
      <x:c r="T17" s="42"/>
      <x:c r="U17" s="42" t="str">
        <x:v>Германия</x:v>
      </x:c>
      <x:c r="V17" s="64" t="n">
        <x:f>'Индонезия 2026'!V17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2026'!L18+'Индонезия 2026'!N18+('Индонезия 2026'!M18+'Индонезия 2026'!P18+'Индонезия 2026'!Q18)))</x:f>
        <x:v>9.2</x:v>
      </x:c>
      <x:c r="M18" s="42" t="n">
        <x:f>MIN(1,'Индонезия 2026'!M18+'Индонезия 2026'!P18+(0.10*LN(1+0.5*'Ход 2026'!H20)*POWER(MAX(0,1-'Индонезия 2026'!S18/10),0.8)))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9.2</x:v>
      </x:c>
      <x:c r="T18" s="42"/>
      <x:c r="U18" s="42" t="str">
        <x:v>Япония</x:v>
      </x:c>
      <x:c r="V18" s="64" t="n">
        <x:f>'Индонезия 2026'!V18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2026'!B19+'Индонезия 2026'!D19+('Индонезия 2026'!C19+'Индонезия 2026'!F19+'Индонезия 2026'!G19)+(0.35*LN(1+0.6*'Ход 2026'!B25)*POWER(MAX(0,1-'Индонезия 2026'!I19/10),0.7))))</x:f>
        <x:v>6.25</x:v>
      </x:c>
      <x:c r="C19" s="42" t="n">
        <x:f>MIN(1,'Индонезия 2026'!C19+'Индонезия 2026'!F19+(0.08*LN(1+0.5*'Ход 2026'!C25)*MAX(0,1-('Индонезия 2026'!C19+'Индонезия 2026'!F19))))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2026'!V19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2026'!B20+'Индонезия 2026'!D20+('Индонезия 2026'!C20+'Индонезия 2026'!F20+'Индонезия 2026'!G20)+(0.35*LN(1+0.6*'Ход 2026'!B26)*POWER(MAX(0,1-'Индонезия 2026'!I20/10),0.7))))</x:f>
        <x:v>6.3</x:v>
      </x:c>
      <x:c r="C20" s="42" t="n">
        <x:f>MIN(1,'Индонезия 2026'!C20+'Индонезия 2026'!F20+(0.08*LN(1+0.5*'Ход 2026'!C26)*MAX(0,1-('Индонезия 2026'!C20+'Индонезия 2026'!F20))))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6.3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2026'!V20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2026'!B21+'Индонезия 2026'!D21+('Индонезия 2026'!C21+'Индонезия 2026'!F21+'Индонезия 2026'!G21)+(0.35*LN(1+0.6*'Ход 2026'!B27)*POWER(MAX(0,1-'Индонезия 2026'!I21/10),0.7))))</x:f>
        <x:v>5.8</x:v>
      </x:c>
      <x:c r="C21" s="42" t="n">
        <x:f>MIN(1,'Индонезия 2026'!C21+'Индонезия 2026'!F21+(0.08*LN(1+0.5*'Ход 2026'!C27)*MAX(0,1-('Индонезия 2026'!C21+'Индонезия 2026'!F21))))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5.8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2026'!V21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2026'!B22+'Индонезия 2026'!D22+('Индонезия 2026'!C22+'Индонезия 2026'!F22+'Индонезия 2026'!G22)+(0.35*LN(1+0.6*'Ход 2026'!B28)*POWER(MAX(0,1-'Индонезия 2026'!I22/10),0.7))))</x:f>
        <x:v>6.7</x:v>
      </x:c>
      <x:c r="C22" s="42" t="n">
        <x:f>MIN(1,'Индонезия 2026'!C22+'Индонезия 2026'!F22+(0.08*LN(1+0.5*'Ход 2026'!C28)*MAX(0,1-('Индонезия 2026'!C22+'Индонезия 2026'!F22))))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2026'!V22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2026'!B23+'Индонезия 2026'!D23+('Индонезия 2026'!C23+'Индонезия 2026'!F23+'Индонезия 2026'!G23)+(0.35*LN(1+0.6*'Ход 2026'!B29)*POWER(MAX(0,1-'Индонезия 2026'!I23/10),0.7))))</x:f>
        <x:v>6.25</x:v>
      </x:c>
      <x:c r="C23" s="42" t="n">
        <x:f>MIN(1,'Индонезия 2026'!C23+'Индонезия 2026'!F23+(0.08*LN(1+0.5*'Ход 2026'!C29)*MAX(0,1-('Индонезия 2026'!C23+'Индонезия 2026'!F23))))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2026'!V23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2026'!V24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2026'!B25+'Индонезия 2026'!D25+('Индонезия 2026'!C25+'Индонезия 2026'!F25+'Индонезия 2026'!G25)+(0.35*LN(1+0.6*'Ход 2026'!B31)*POWER(MAX(0,1-'Индонезия 2026'!I25/10),0.7))))</x:f>
        <x:v>8.6</x:v>
      </x:c>
      <x:c r="C25" s="42" t="n">
        <x:f>MIN(1,'Индонезия 2026'!C25+'Индонезия 2026'!F25+(0.08*LN(1+0.5*'Ход 2026'!C31)*MAX(0,1-('Индонезия 2026'!C25+'Индонезия 2026'!F25))))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2026'!V25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2026'!B26+'Индонезия 2026'!D26+('Индонезия 2026'!C26+'Индонезия 2026'!F26+'Индонезия 2026'!G26)+(0.35*LN(1+0.6*'Ход 2026'!B32)*POWER(MAX(0,1-'Индонезия 2026'!I26/10),0.7))))</x:f>
        <x:v>6.75</x:v>
      </x:c>
      <x:c r="C26" s="42" t="n">
        <x:f>MIN(1,'Индонезия 2026'!C26+'Индонезия 2026'!F26+(0.08*LN(1+0.5*'Ход 2026'!C32)*MAX(0,1-('Индонезия 2026'!C26+'Индонезия 2026'!F26))))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6.75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2026'!V26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2026'!B27+'Индонезия 2026'!D27+('Индонезия 2026'!C27+'Индонезия 2026'!F27+'Индонезия 2026'!G27)+(0.35*LN(1+0.6*'Ход 2026'!B33)*POWER(MAX(0,1-'Индонезия 2026'!I27/10),0.7))))</x:f>
        <x:v>7.2</x:v>
      </x:c>
      <x:c r="C27" s="42" t="n">
        <x:f>MIN(1,'Индонезия 2026'!C27+'Индонезия 2026'!F27+(0.08*LN(1+0.5*'Ход 2026'!C33)*MAX(0,1-('Индонезия 2026'!C27+'Индонезия 2026'!F27))))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7.2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2026'!B28+'Индонезия 2026'!D28+('Индонезия 2026'!C28+'Индонезия 2026'!F28+'Индонезия 2026'!G28)+(0.35*LN(1+0.6*'Ход 2026'!B34)*POWER(MAX(0,1-'Индонезия 2026'!I28/10),0.7))))</x:f>
        <x:v>6.3</x:v>
      </x:c>
      <x:c r="C28" s="42" t="n">
        <x:f>MIN(1,'Индонезия 2026'!C28+'Индонезия 2026'!F28+(0.08*LN(1+0.5*'Ход 2026'!C34)*MAX(0,1-('Индонезия 2026'!C28+'Индонезия 2026'!F28))))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6.3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2026'!B29+'Индонезия 2026'!D29+('Индонезия 2026'!C29+'Индонезия 2026'!F29+'Индонезия 2026'!G29)+(0.35*LN(1+0.6*'Ход 2026'!B35)*POWER(MAX(0,1-'Индонезия 2026'!I29/10),0.7))))</x:f>
        <x:v>6.25</x:v>
      </x:c>
      <x:c r="C29" s="42" t="n">
        <x:f>MIN(1,'Индонезия 2026'!C29+'Индонезия 2026'!F29+(0.08*LN(1+0.5*'Ход 2026'!C35)*MAX(0,1-('Индонезия 2026'!C29+'Индонезия 2026'!F29))))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2026'!B30+'Индонезия 2026'!D30+('Индонезия 2026'!C30+'Индонезия 2026'!F30+'Индонезия 2026'!G30)+(0.35*LN(1+0.6*'Ход 2026'!B36)*POWER(MAX(0,1-'Индонезия 2026'!I30/10),0.7))))</x:f>
        <x:v>6.2</x:v>
      </x:c>
      <x:c r="C30" s="42" t="n">
        <x:f>MIN(1,'Индонезия 2026'!C30+'Индонезия 2026'!F30+(0.08*LN(1+0.5*'Ход 2026'!C36)*MAX(0,1-('Индонезия 2026'!C30+'Индонезия 2026'!F30))))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2026'!B31+'Индонезия 2026'!D31+('Индонезия 2026'!C31+'Индонезия 2026'!F31+'Индонезия 2026'!G31)+(0.35*LN(1+0.6*'Ход 2026'!B37)*POWER(MAX(0,1-'Индонезия 2026'!I31/10),0.7))))</x:f>
        <x:v>6.2</x:v>
      </x:c>
      <x:c r="C31" s="42" t="n">
        <x:f>MIN(1,'Индонезия 2026'!C31+'Индонезия 2026'!F31+(0.08*LN(1+0.5*'Ход 2026'!C37)*MAX(0,1-('Индонезия 2026'!C31+'Индонезия 2026'!F31))))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2026'!B32+'Индонезия 2026'!D32+('Индонезия 2026'!C32+'Индонезия 2026'!F32+'Индонезия 2026'!G32)+(0.35*LN(1+0.6*'Ход 2026'!B38)*POWER(MAX(0,1-'Индонезия 2026'!I32/10),0.7))))</x:f>
        <x:v>6.75</x:v>
      </x:c>
      <x:c r="C32" s="42" t="n">
        <x:f>MIN(1,'Индонезия 2026'!C32+'Индонезия 2026'!F32+(0.08*LN(1+0.5*'Ход 2026'!C38)*MAX(0,1-('Индонезия 2026'!C32+'Индонезия 2026'!F32))))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6.75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2026'!B34+'Индонезия 2026'!D34+('Индонезия 2026'!C34+'Индонезия 2026'!F34+'Индонезия 2026'!G34)+(0.35*LN(1+0.6*'Ход 2026'!B40)*POWER(MAX(0,1-'Индонезия 2026'!I34/10),0.7))))</x:f>
        <x:v>7.75</x:v>
      </x:c>
      <x:c r="C34" s="42" t="n">
        <x:f>MIN(1,'Индонезия 2026'!C34+'Индонезия 2026'!F34+(0.08*LN(1+0.5*'Ход 2026'!C40)*MAX(0,1-('Индонезия 2026'!C34+'Индонезия 2026'!F34))))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7.75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2026'!B35+'Индонезия 2026'!D35+('Индонезия 2026'!C35+'Индонезия 2026'!F35+'Индонезия 2026'!G35)+(0.35*LN(1+0.6*'Ход 2026'!B41)*POWER(MAX(0,1-'Индонезия 2026'!I35/10),0.7))))</x:f>
        <x:v>7.65</x:v>
      </x:c>
      <x:c r="C35" s="42" t="n">
        <x:f>MIN(1,'Индонезия 2026'!C35+'Индонезия 2026'!F35+(0.08*LN(1+0.5*'Ход 2026'!C41)*MAX(0,1-('Индонезия 2026'!C35+'Индонезия 2026'!F35))))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7.65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2026'!B36+'Индонезия 2026'!D36+('Индонезия 2026'!C36+'Индонезия 2026'!F36+'Индонезия 2026'!G36)+(0.35*LN(1+0.6*'Ход 2026'!B42)*POWER(MAX(0,1-'Индонезия 2026'!I36/10),0.7))))</x:f>
        <x:v>7.8</x:v>
      </x:c>
      <x:c r="C36" s="42" t="n">
        <x:f>MIN(1,'Индонезия 2026'!C36+'Индонезия 2026'!F36+(0.08*LN(1+0.5*'Ход 2026'!C42)*MAX(0,1-('Индонезия 2026'!C36+'Индонезия 2026'!F36))))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7.8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2026'!B37+'Индонезия 2026'!D37+('Индонезия 2026'!C37+'Индонезия 2026'!F37+'Индонезия 2026'!G37)+(0.35*LN(1+0.6*'Ход 2026'!B43)*POWER(MAX(0,1-'Индонезия 2026'!I37/10),0.7))))</x:f>
        <x:v>6.8</x:v>
      </x:c>
      <x:c r="C37" s="42" t="n">
        <x:f>MIN(1,'Индонезия 2026'!C37+'Индонезия 2026'!F37+(0.08*LN(1+0.5*'Ход 2026'!C43)*MAX(0,1-('Индонезия 2026'!C37+'Индонезия 2026'!F37))))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6.8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2026'!B38+'Индонезия 2026'!D38+('Индонезия 2026'!C38+'Индонезия 2026'!F38+'Индонезия 2026'!G38)+(0.35*LN(1+0.6*'Ход 2026'!B44)*POWER(MAX(0,1-'Индонезия 2026'!I38/10),0.7))))</x:f>
        <x:v>6.75</x:v>
      </x:c>
      <x:c r="C38" s="42" t="n">
        <x:f>MIN(1,'Индонезия 2026'!C38+'Индонезия 2026'!F38+(0.08*LN(1+0.5*'Ход 2026'!C44)*MAX(0,1-('Индонезия 2026'!C38+'Индонезия 2026'!F38))))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6.75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2026'!B39+'Индонезия 2026'!D39+('Индонезия 2026'!C39+'Индонезия 2026'!F39+'Индонезия 2026'!G39)+(0.35*LN(1+0.6*'Ход 2026'!B45)*POWER(MAX(0,1-'Индонезия 2026'!I39/10),0.7))))</x:f>
        <x:v>7.75</x:v>
      </x:c>
      <x:c r="C39" s="42" t="n">
        <x:f>MIN(1,'Индонезия 2026'!C39+'Индонезия 2026'!F39+(0.08*LN(1+0.5*'Ход 2026'!C45)*MAX(0,1-('Индонезия 2026'!C39+'Индонезия 2026'!F39))))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7.75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2026'!B40+'Индонезия 2026'!D40+('Индонезия 2026'!C40+'Индонезия 2026'!F40+'Индонезия 2026'!G40)+(0.35*LN(1+0.6*'Ход 2026'!B46)*POWER(MAX(0,1-'Индонезия 2026'!I40/10),0.7))))</x:f>
        <x:v>7.25</x:v>
      </x:c>
      <x:c r="C40" s="42" t="n">
        <x:f>MIN(1,'Индонезия 2026'!C40+'Индонезия 2026'!F40+(0.08*LN(1+0.5*'Ход 2026'!C46)*MAX(0,1-('Индонезия 2026'!C40+'Индонезия 2026'!F40))))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7.25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2026'!B41+'Индонезия 2026'!D41+('Индонезия 2026'!C41+'Индонезия 2026'!F41+'Индонезия 2026'!G41)+(0.35*LN(1+0.6*'Ход 2026'!B47)*POWER(MAX(0,1-'Индонезия 2026'!I41/10),0.7))))</x:f>
        <x:v>7.25</x:v>
      </x:c>
      <x:c r="C41" s="42" t="n">
        <x:f>MIN(1,'Индонезия 2026'!C41+'Индонезия 2026'!F41+(0.08*LN(1+0.5*'Ход 2026'!C47)*MAX(0,1-('Индонезия 2026'!C41+'Индонезия 2026'!F41))))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7.25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2026'!B42+'Индонезия 2026'!D42+('Индонезия 2026'!C42+'Индонезия 2026'!F42+'Индонезия 2026'!G42)+(0.35*LN(1+0.6*'Ход 2026'!B48)*POWER(MAX(0,1-'Индонезия 2026'!I42/10),0.7))))</x:f>
        <x:v>8.6</x:v>
      </x:c>
      <x:c r="C42" s="42" t="n">
        <x:f>MIN(1,'Индонезия 2026'!C42+'Индонезия 2026'!F42+(0.08*LN(1+0.5*'Ход 2026'!C48)*MAX(0,1-('Индонезия 2026'!C42+'Индонезия 2026'!F42))))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2026'!B44+'Индонезия 2026'!D44+('Индонезия 2026'!C44+'Индонезия 2026'!F44+'Индонезия 2026'!G44)+(0.35*LN(1+0.6*'Ход 2026'!B50)*POWER(MAX(0,1-'Индонезия 2026'!I44/10),0.7))))</x:f>
        <x:v>6.7</x:v>
      </x:c>
      <x:c r="C44" s="42" t="n">
        <x:f>MIN(1,'Индонезия 2026'!C44+'Индонезия 2026'!F44+(0.08*LN(1+0.5*'Ход 2026'!C50)*MAX(0,1-('Индонезия 2026'!C44+'Индонезия 2026'!F44))))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2026'!B45+'Индонезия 2026'!D45+('Индонезия 2026'!C45+'Индонезия 2026'!F45+'Индонезия 2026'!G45)+(0.35*LN(1+0.6*'Ход 2026'!B51)*POWER(MAX(0,1-'Индонезия 2026'!I45/10),0.7))))</x:f>
        <x:v>6.7</x:v>
      </x:c>
      <x:c r="C45" s="42" t="n">
        <x:f>MIN(1,'Индонезия 2026'!C45+'Индонезия 2026'!F45+(0.08*LN(1+0.5*'Ход 2026'!C51)*MAX(0,1-('Индонезия 2026'!C45+'Индонезия 2026'!F45))))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2026'!B46+'Индонезия 2026'!D46+('Индонезия 2026'!C46+'Индонезия 2026'!F46+'Индонезия 2026'!G46)+(0.35*LN(1+0.6*'Ход 2026'!B52)*POWER(MAX(0,1-'Индонезия 2026'!I46/10),0.7))))</x:f>
        <x:v>6.7</x:v>
      </x:c>
      <x:c r="C46" s="42" t="n">
        <x:f>MIN(1,'Индонезия 2026'!C46+'Индонезия 2026'!F46+(0.08*LN(1+0.5*'Ход 2026'!C52)*MAX(0,1-('Индонезия 2026'!C46+'Индонезия 2026'!F46))))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2026'!B47+'Индонезия 2026'!D47+('Индонезия 2026'!C47+'Индонезия 2026'!F47+'Индонезия 2026'!G47)+(0.35*LN(1+0.6*'Ход 2026'!B53)*POWER(MAX(0,1-'Индонезия 2026'!I47/10),0.7))))</x:f>
        <x:v>7.15</x:v>
      </x:c>
      <x:c r="C47" s="42" t="n">
        <x:f>MIN(1,'Индонезия 2026'!C47+'Индонезия 2026'!F47+(0.08*LN(1+0.5*'Ход 2026'!C53)*MAX(0,1-('Индонезия 2026'!C47+'Индонезия 2026'!F47))))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7.15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2026'!B48+'Индонезия 2026'!D48+('Индонезия 2026'!C48+'Индонезия 2026'!F48+'Индонезия 2026'!G48)+(0.35*LN(1+0.6*'Ход 2026'!B54)*POWER(MAX(0,1-'Индонезия 2026'!I48/10),0.7))))</x:f>
        <x:v>7.65</x:v>
      </x:c>
      <x:c r="C48" s="42" t="n">
        <x:f>MIN(1,'Индонезия 2026'!C48+'Индонезия 2026'!F48+(0.08*LN(1+0.5*'Ход 2026'!C54)*MAX(0,1-('Индонезия 2026'!C48+'Индонезия 2026'!F48))))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7.65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2026'!B49+'Индонезия 2026'!D49+('Индонезия 2026'!C49+'Индонезия 2026'!F49+'Индонезия 2026'!G49)+(0.35*LN(1+0.6*'Ход 2026'!B55)*POWER(MAX(0,1-'Индонезия 2026'!I49/10),0.7))))</x:f>
        <x:v>8.3</x:v>
      </x:c>
      <x:c r="C49" s="42" t="n">
        <x:f>MIN(1,'Индонезия 2026'!C49+'Индонезия 2026'!F49+(0.08*LN(1+0.5*'Ход 2026'!C55)*MAX(0,1-('Индонезия 2026'!C49+'Индонезия 2026'!F49))))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2026'!B50+'Индонезия 2026'!D50+('Индонезия 2026'!C50+'Индонезия 2026'!F50+'Индонезия 2026'!G50)+(0.35*LN(1+0.6*'Ход 2026'!B56)*POWER(MAX(0,1-'Индонезия 2026'!I50/10),0.7))))</x:f>
        <x:v>10</x:v>
      </x:c>
      <x:c r="C50" s="42" t="n">
        <x:f>MIN(1,'Индонезия 2026'!C50+'Индонезия 2026'!F50+(0.08*LN(1+0.5*'Ход 2026'!C56)*MAX(0,1-('Индонезия 2026'!C50+'Индонезия 2026'!F50))))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2026'!B51+'Индонезия 2026'!D51+('Индонезия 2026'!C51+'Индонезия 2026'!F51+'Индонезия 2026'!G51)+(0.35*LN(1+0.6*'Ход 2026'!B57)*POWER(MAX(0,1-'Индонезия 2026'!I51/10),0.7))))</x:f>
        <x:v>6.75</x:v>
      </x:c>
      <x:c r="C51" s="42" t="n">
        <x:f>MIN(1,'Индонезия 2026'!C51+'Индонезия 2026'!F51+(0.08*LN(1+0.5*'Ход 2026'!C57)*MAX(0,1-('Индонезия 2026'!C51+'Индонезия 2026'!F51))))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6.75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2026'!B53+'Индонезия 2026'!D53+('Индонезия 2026'!C53+'Индонезия 2026'!F53+'Индонезия 2026'!G53)+(0.35*LN(1+0.6*'Ход 2026'!B59)*POWER(MAX(0,1-'Индонезия 2026'!I53/10),0.7))))</x:f>
        <x:v>6.25</x:v>
      </x:c>
      <x:c r="C53" s="42" t="n">
        <x:f>MIN(1,'Индонезия 2026'!C53+'Индонезия 2026'!F53+(0.08*LN(1+0.5*'Ход 2026'!C59)*MAX(0,1-('Индонезия 2026'!C53+'Индонезия 2026'!F53))))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2026'!B54+'Индонезия 2026'!D54+('Индонезия 2026'!C54+'Индонезия 2026'!F54+'Индонезия 2026'!G54)+(0.35*LN(1+0.6*'Ход 2026'!B60)*POWER(MAX(0,1-'Индонезия 2026'!I54/10),0.7))))</x:f>
        <x:v>6.25</x:v>
      </x:c>
      <x:c r="C54" s="42" t="n">
        <x:f>MIN(1,'Индонезия 2026'!C54+'Индонезия 2026'!F54+(0.08*LN(1+0.5*'Ход 2026'!C60)*MAX(0,1-('Индонезия 2026'!C54+'Индонезия 2026'!F54))))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2026'!B55+'Индонезия 2026'!D55+('Индонезия 2026'!C55+'Индонезия 2026'!F55+'Индонезия 2026'!G55)+(0.35*LN(1+0.6*'Ход 2026'!B61)*POWER(MAX(0,1-'Индонезия 2026'!I55/10),0.7))))</x:f>
        <x:v>5.7</x:v>
      </x:c>
      <x:c r="C55" s="42" t="n">
        <x:f>MIN(1,'Индонезия 2026'!C55+'Индонезия 2026'!F55+(0.08*LN(1+0.5*'Ход 2026'!C61)*MAX(0,1-('Индонезия 2026'!C55+'Индонезия 2026'!F55))))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5.7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2027'!U6</x:f>
        <x:v>87.22645321306615</x:v>
      </x:c>
      <x:c r="C6" s="42"/>
      <x:c r="D6" s="42"/>
      <x:c r="E6" s="42" t="str">
        <x:v>Доступно</x:v>
      </x:c>
      <x:c r="F6" s="42" t="n">
        <x:f>'Индонезия 2027'!K6</x:f>
        <x:v>61.84608806538991</x:v>
      </x:c>
      <x:c r="G6" s="42"/>
      <x:c r="H6" s="42"/>
      <x:c r="I6" s="42" t="str">
        <x:v>Доступно</x:v>
      </x:c>
      <x:c r="J6" s="42" t="n">
        <x:f>'Индонезия 2027'!N6</x:f>
        <x:v>62.32648773497444</x:v>
      </x:c>
      <x:c r="K6" s="42"/>
      <x:c r="L6" s="42"/>
      <x:c r="M6" s="42" t="str">
        <x:v>Доступно</x:v>
      </x:c>
      <x:c r="N6" s="42" t="n">
        <x:f>'Индонезия 2027'!Q6</x:f>
        <x:v>70.77037013706241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87.22645321306615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61.84608806538991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62.32648773497444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70.77037013706241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2027'!V11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40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2027'!V12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98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2027'!V13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21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2027'!V14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83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2027'!V15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37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2027'!V16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54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2027'!V17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56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2027'!V18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92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2027'!V19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27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2027'!V20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2027'!V21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7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2027'!V22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90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2027'!V23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63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2027'!V24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36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2027'!V25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27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2027'!V26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2028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64.60843280258352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64.26496477600278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72.67947540084988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88.60181532530399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2027'!B8+'Индонезия 2027'!D8+('Индонезия 2027'!C8+'Индонезия 2027'!F8+'Индонезия 2027'!G8)+(0.35*LN(1+0.6*'Ход 2027'!B14)*POWER(MAX(0,1-'Индонезия 2027'!I8/10),0.7))))</x:f>
        <x:v>9.100000000000001</x:v>
      </x:c>
      <x:c r="C8" s="42" t="n">
        <x:f>MIN(1,'Индонезия 2027'!C8+'Индонезия 2027'!F8+(0.08*LN(1+0.5*'Ход 2027'!C14)*MAX(0,1-('Индонезия 2027'!C8+'Индонезия 2027'!F8))))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9.100000000000001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2027'!B9+'Индонезия 2027'!D9+('Индонезия 2027'!C9+'Индонезия 2027'!F9+'Индонезия 2027'!G9)+(0.35*LN(1+0.6*'Ход 2027'!B15)*POWER(MAX(0,1-'Индонезия 2027'!I9/10),0.7))))</x:f>
        <x:v>5.800000000000001</x:v>
      </x:c>
      <x:c r="C9" s="42" t="n">
        <x:f>MIN(1,'Индонезия 2027'!C9+'Индонезия 2027'!F9+(0.08*LN(1+0.5*'Ход 2027'!C15)*MAX(0,1-('Индонезия 2027'!C9+'Индонезия 2027'!F9))))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5.800000000000001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2027'!B10+'Индонезия 2027'!D10+('Индонезия 2027'!C10+'Индонезия 2027'!F10+'Индонезия 2027'!G10)+(0.35*LN(1+0.6*'Ход 2027'!B16)*POWER(MAX(0,1-'Индонезия 2027'!I10/10),0.7))))</x:f>
        <x:v>8.2</x:v>
      </x:c>
      <x:c r="C10" s="42" t="n">
        <x:f>MIN(1,'Индонезия 2027'!C10+'Индонезия 2027'!F10+(0.08*LN(1+0.5*'Ход 2027'!C16)*MAX(0,1-('Индонезия 2027'!C10+'Индонезия 2027'!F10))))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8.2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2027'!B11+'Индонезия 2027'!D11+('Индонезия 2027'!C11+'Индонезия 2027'!F11+'Индонезия 2027'!G11)+(0.35*LN(1+0.6*'Ход 2027'!B17)*POWER(MAX(0,1-'Индонезия 2027'!I11/10),0.7))))</x:f>
        <x:v>8.100000000000001</x:v>
      </x:c>
      <x:c r="C11" s="42" t="n">
        <x:f>MIN(1,'Индонезия 2027'!C11+'Индонезия 2027'!F11+(0.08*LN(1+0.5*'Ход 2027'!C17)*MAX(0,1-('Индонезия 2027'!C11+'Индонезия 2027'!F11))))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8.100000000000001</x:v>
      </x:c>
      <x:c r="J11" s="42"/>
      <x:c r="K11" s="42" t="str">
        <x:v>Производство</x:v>
      </x:c>
      <x:c r="L11" s="42" t="n">
        <x:f>MAX(1,MIN(10,'Индонезия 2027'!L11+'Индонезия 2027'!N11+('Индонезия 2027'!M11+'Индонезия 2027'!P11+'Индонезия 2027'!Q11)))</x:f>
        <x:v>7.199999999999999</x:v>
      </x:c>
      <x:c r="M11" s="42" t="n">
        <x:f>MIN(1,'Индонезия 2027'!M11+'Индонезия 2027'!P11+(0.10*LN(1+0.5*'Ход 2027'!H13)*POWER(MAX(0,1-'Индонезия 2027'!S11/10),0.8)))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7.199999999999999</x:v>
      </x:c>
      <x:c r="T11" s="42"/>
      <x:c r="U11" s="42" t="str">
        <x:v>Россия</x:v>
      </x:c>
      <x:c r="V11" s="64" t="n">
        <x:f>'Индонезия 2027'!V11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2027'!B12+'Индонезия 2027'!D12+('Индонезия 2027'!C12+'Индонезия 2027'!F12+'Индонезия 2027'!G12)+(0.35*LN(1+0.6*'Ход 2027'!B18)*POWER(MAX(0,1-'Индонезия 2027'!I12/10),0.7))))</x:f>
        <x:v>9.100000000000001</x:v>
      </x:c>
      <x:c r="C12" s="42" t="n">
        <x:f>MIN(1,'Индонезия 2027'!C12+'Индонезия 2027'!F12+(0.08*LN(1+0.5*'Ход 2027'!C18)*MAX(0,1-('Индонезия 2027'!C12+'Индонезия 2027'!F12))))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9.100000000000001</x:v>
      </x:c>
      <x:c r="J12" s="42"/>
      <x:c r="K12" s="42" t="str">
        <x:v>Управление</x:v>
      </x:c>
      <x:c r="L12" s="42" t="n">
        <x:f>MAX(1,MIN(10,'Индонезия 2027'!L12+'Индонезия 2027'!N12+('Индонезия 2027'!M12+'Индонезия 2027'!P12+'Индонезия 2027'!Q12)))</x:f>
        <x:v>7.1</x:v>
      </x:c>
      <x:c r="M12" s="42" t="n">
        <x:f>MIN(1,'Индонезия 2027'!M12+'Индонезия 2027'!P12+(0.10*LN(1+0.5*'Ход 2027'!H14)*POWER(MAX(0,1-'Индонезия 2027'!S12/10),0.8)))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7.1</x:v>
      </x:c>
      <x:c r="T12" s="42"/>
      <x:c r="U12" s="42" t="str">
        <x:v>США</x:v>
      </x:c>
      <x:c r="V12" s="64" t="n">
        <x:f>'Индонезия 2027'!V12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2027'!B13+'Индонезия 2027'!D13+('Индонезия 2027'!C13+'Индонезия 2027'!F13+'Индонезия 2027'!G13)+(0.35*LN(1+0.6*'Ход 2027'!B19)*POWER(MAX(0,1-'Индонезия 2027'!I13/10),0.7))))</x:f>
        <x:v>2.5999999999999996</x:v>
      </x:c>
      <x:c r="C13" s="42" t="n">
        <x:f>MIN(1,'Индонезия 2027'!C13+'Индонезия 2027'!F13+(0.08*LN(1+0.5*'Ход 2027'!C19)*MAX(0,1-('Индонезия 2027'!C13+'Индонезия 2027'!F13))))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2.5999999999999996</x:v>
      </x:c>
      <x:c r="J13" s="42"/>
      <x:c r="K13" s="42" t="str">
        <x:v>Познание</x:v>
      </x:c>
      <x:c r="L13" s="42" t="n">
        <x:f>MAX(1,MIN(10,'Индонезия 2027'!L13+'Индонезия 2027'!N13+('Индонезия 2027'!M13+'Индонезия 2027'!P13+'Индонезия 2027'!Q13)))</x:f>
        <x:v>7.1</x:v>
      </x:c>
      <x:c r="M13" s="42" t="n">
        <x:f>MIN(1,'Индонезия 2027'!M13+'Индонезия 2027'!P13+(0.10*LN(1+0.5*'Ход 2027'!H15)*POWER(MAX(0,1-'Индонезия 2027'!S13/10),0.8)))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7.1</x:v>
      </x:c>
      <x:c r="T13" s="42"/>
      <x:c r="U13" s="42" t="str">
        <x:v>Китай</x:v>
      </x:c>
      <x:c r="V13" s="64" t="n">
        <x:f>'Индонезия 2027'!V13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2027'!B14+'Индонезия 2027'!D14+('Индонезия 2027'!C14+'Индонезия 2027'!F14+'Индонезия 2027'!G14)+(0.35*LN(1+0.6*'Ход 2027'!B20)*POWER(MAX(0,1-'Индонезия 2027'!I14/10),0.7))))</x:f>
        <x:v>4.6</x:v>
      </x:c>
      <x:c r="C14" s="42" t="n">
        <x:f>MIN(1,'Индонезия 2027'!C14+'Индонезия 2027'!F14+(0.08*LN(1+0.5*'Ход 2027'!C20)*MAX(0,1-('Индонезия 2027'!C14+'Индонезия 2027'!F14))))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4.6</x:v>
      </x:c>
      <x:c r="J14" s="42"/>
      <x:c r="K14" s="42" t="str">
        <x:v>Обучение</x:v>
      </x:c>
      <x:c r="L14" s="42" t="n">
        <x:f>MAX(1,MIN(10,'Индонезия 2027'!L14+'Индонезия 2027'!N14+('Индонезия 2027'!M14+'Индонезия 2027'!P14+'Индонезия 2027'!Q14)))</x:f>
        <x:v>7.199999999999999</x:v>
      </x:c>
      <x:c r="M14" s="42" t="n">
        <x:f>MIN(1,'Индонезия 2027'!M14+'Индонезия 2027'!P14+(0.10*LN(1+0.5*'Ход 2027'!H16)*POWER(MAX(0,1-'Индонезия 2027'!S14/10),0.8)))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7.199999999999999</x:v>
      </x:c>
      <x:c r="T14" s="42"/>
      <x:c r="U14" s="42" t="str">
        <x:v>Индия</x:v>
      </x:c>
      <x:c r="V14" s="64" t="n">
        <x:f>'Индонезия 2027'!V14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2027'!B15+'Индонезия 2027'!D15+('Индонезия 2027'!C15+'Индонезия 2027'!F15+'Индонезия 2027'!G15)+(0.35*LN(1+0.6*'Ход 2027'!B21)*POWER(MAX(0,1-'Индонезия 2027'!I15/10),0.7))))</x:f>
        <x:v>7.199999999999999</x:v>
      </x:c>
      <x:c r="C15" s="42" t="n">
        <x:f>MIN(1,'Индонезия 2027'!C15+'Индонезия 2027'!F15+(0.08*LN(1+0.5*'Ход 2027'!C21)*MAX(0,1-('Индонезия 2027'!C15+'Индонезия 2027'!F15))))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7.199999999999999</x:v>
      </x:c>
      <x:c r="J15" s="42"/>
      <x:c r="K15" s="42" t="str">
        <x:v>Война</x:v>
      </x:c>
      <x:c r="L15" s="42" t="n">
        <x:f>MAX(1,MIN(10,'Индонезия 2027'!L15+'Индонезия 2027'!N15+('Индонезия 2027'!M15+'Индонезия 2027'!P15+'Индонезия 2027'!Q15)))</x:f>
        <x:v>6</x:v>
      </x:c>
      <x:c r="M15" s="42" t="n">
        <x:f>MIN(1,'Индонезия 2027'!M15+'Индонезия 2027'!P15+(0.10*LN(1+0.5*'Ход 2027'!H17)*POWER(MAX(0,1-'Индонезия 2027'!S15/10),0.8)))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</x:v>
      </x:c>
      <x:c r="T15" s="42"/>
      <x:c r="U15" s="42" t="str">
        <x:v>Великобритания</x:v>
      </x:c>
      <x:c r="V15" s="64" t="n">
        <x:f>'Индонезия 2027'!V15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2027'!B16+'Индонезия 2027'!D16+('Индонезия 2027'!C16+'Индонезия 2027'!F16+'Индонезия 2027'!G16)+(0.35*LN(1+0.6*'Ход 2027'!B22)*POWER(MAX(0,1-'Индонезия 2027'!I16/10),0.7))))</x:f>
        <x:v>7.5</x:v>
      </x:c>
      <x:c r="C16" s="42" t="n">
        <x:f>MIN(1,'Индонезия 2027'!C16+'Индонезия 2027'!F16+(0.08*LN(1+0.5*'Ход 2027'!C22)*MAX(0,1-('Индонезия 2027'!C16+'Индонезия 2027'!F16))))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7.5</x:v>
      </x:c>
      <x:c r="J16" s="42"/>
      <x:c r="K16" s="42" t="str">
        <x:v>Экономика</x:v>
      </x:c>
      <x:c r="L16" s="42" t="n">
        <x:f>MAX(1,MIN(10,'Индонезия 2027'!L16+'Индонезия 2027'!N16+('Индонезия 2027'!M16+'Индонезия 2027'!P16+'Индонезия 2027'!Q16)))</x:f>
        <x:v>8.2</x:v>
      </x:c>
      <x:c r="M16" s="42" t="n">
        <x:f>MIN(1,'Индонезия 2027'!M16+'Индонезия 2027'!P16+(0.10*LN(1+0.5*'Ход 2027'!H18)*POWER(MAX(0,1-'Индонезия 2027'!S16/10),0.8)))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8.2</x:v>
      </x:c>
      <x:c r="T16" s="42"/>
      <x:c r="U16" s="42" t="str">
        <x:v>Франция</x:v>
      </x:c>
      <x:c r="V16" s="64" t="n">
        <x:f>'Индонезия 2027'!V16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2027'!B17+'Индонезия 2027'!D17+('Индонезия 2027'!C17+'Индонезия 2027'!F17+'Индонезия 2027'!G17)+(0.35*LN(1+0.6*'Ход 2027'!B23)*POWER(MAX(0,1-'Индонезия 2027'!I17/10),0.7))))</x:f>
        <x:v>7.4</x:v>
      </x:c>
      <x:c r="C17" s="42" t="n">
        <x:f>MIN(1,'Индонезия 2027'!C17+'Индонезия 2027'!F17+(0.08*LN(1+0.5*'Ход 2027'!C23)*MAX(0,1-('Индонезия 2027'!C17+'Индонезия 2027'!F17))))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7.4</x:v>
      </x:c>
      <x:c r="J17" s="42"/>
      <x:c r="K17" s="42" t="str">
        <x:v>Государственное управление</x:v>
      </x:c>
      <x:c r="L17" s="42" t="n">
        <x:f>MAX(1,MIN(10,'Индонезия 2027'!L17+'Индонезия 2027'!N17+('Индонезия 2027'!M17+'Индонезия 2027'!P17+'Индонезия 2027'!Q17)))</x:f>
        <x:v>8.2</x:v>
      </x:c>
      <x:c r="M17" s="42" t="n">
        <x:f>MIN(1,'Индонезия 2027'!M17+'Индонезия 2027'!P17+(0.10*LN(1+0.5*'Ход 2027'!H19)*POWER(MAX(0,1-'Индонезия 2027'!S17/10),0.8)))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8.2</x:v>
      </x:c>
      <x:c r="T17" s="42"/>
      <x:c r="U17" s="42" t="str">
        <x:v>Германия</x:v>
      </x:c>
      <x:c r="V17" s="64" t="n">
        <x:f>'Индонезия 2027'!V17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2027'!L18+'Индонезия 2027'!N18+('Индонезия 2027'!M18+'Индонезия 2027'!P18+'Индонезия 2027'!Q18)))</x:f>
        <x:v>9.399999999999999</x:v>
      </x:c>
      <x:c r="M18" s="42" t="n">
        <x:f>MIN(1,'Индонезия 2027'!M18+'Индонезия 2027'!P18+(0.10*LN(1+0.5*'Ход 2027'!H20)*POWER(MAX(0,1-'Индонезия 2027'!S18/10),0.8)))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9.399999999999999</x:v>
      </x:c>
      <x:c r="T18" s="42"/>
      <x:c r="U18" s="42" t="str">
        <x:v>Япония</x:v>
      </x:c>
      <x:c r="V18" s="64" t="n">
        <x:f>'Индонезия 2027'!V18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2027'!B19+'Индонезия 2027'!D19+('Индонезия 2027'!C19+'Индонезия 2027'!F19+'Индонезия 2027'!G19)+(0.35*LN(1+0.6*'Ход 2027'!B25)*POWER(MAX(0,1-'Индонезия 2027'!I19/10),0.7))))</x:f>
        <x:v>6.5</x:v>
      </x:c>
      <x:c r="C19" s="42" t="n">
        <x:f>MIN(1,'Индонезия 2027'!C19+'Индонезия 2027'!F19+(0.08*LN(1+0.5*'Ход 2027'!C25)*MAX(0,1-('Индонезия 2027'!C19+'Индонезия 2027'!F19))))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2027'!V19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2027'!B20+'Индонезия 2027'!D20+('Индонезия 2027'!C20+'Индонезия 2027'!F20+'Индонезия 2027'!G20)+(0.35*LN(1+0.6*'Ход 2027'!B26)*POWER(MAX(0,1-'Индонезия 2027'!I20/10),0.7))))</x:f>
        <x:v>6.6</x:v>
      </x:c>
      <x:c r="C20" s="42" t="n">
        <x:f>MIN(1,'Индонезия 2027'!C20+'Индонезия 2027'!F20+(0.08*LN(1+0.5*'Ход 2027'!C26)*MAX(0,1-('Индонезия 2027'!C20+'Индонезия 2027'!F20))))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6.6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2027'!V20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2027'!B21+'Индонезия 2027'!D21+('Индонезия 2027'!C21+'Индонезия 2027'!F21+'Индонезия 2027'!G21)+(0.35*LN(1+0.6*'Ход 2027'!B27)*POWER(MAX(0,1-'Индонезия 2027'!I21/10),0.7))))</x:f>
        <x:v>6.1</x:v>
      </x:c>
      <x:c r="C21" s="42" t="n">
        <x:f>MIN(1,'Индонезия 2027'!C21+'Индонезия 2027'!F21+(0.08*LN(1+0.5*'Ход 2027'!C27)*MAX(0,1-('Индонезия 2027'!C21+'Индонезия 2027'!F21))))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2027'!V21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2027'!B22+'Индонезия 2027'!D22+('Индонезия 2027'!C22+'Индонезия 2027'!F22+'Индонезия 2027'!G22)+(0.35*LN(1+0.6*'Ход 2027'!B28)*POWER(MAX(0,1-'Индонезия 2027'!I22/10),0.7))))</x:f>
        <x:v>6.9</x:v>
      </x:c>
      <x:c r="C22" s="42" t="n">
        <x:f>MIN(1,'Индонезия 2027'!C22+'Индонезия 2027'!F22+(0.08*LN(1+0.5*'Ход 2027'!C28)*MAX(0,1-('Индонезия 2027'!C22+'Индонезия 2027'!F22))))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6.9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2027'!V22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2027'!B23+'Индонезия 2027'!D23+('Индонезия 2027'!C23+'Индонезия 2027'!F23+'Индонезия 2027'!G23)+(0.35*LN(1+0.6*'Ход 2027'!B29)*POWER(MAX(0,1-'Индонезия 2027'!I23/10),0.7))))</x:f>
        <x:v>6.5</x:v>
      </x:c>
      <x:c r="C23" s="42" t="n">
        <x:f>MIN(1,'Индонезия 2027'!C23+'Индонезия 2027'!F23+(0.08*LN(1+0.5*'Ход 2027'!C29)*MAX(0,1-('Индонезия 2027'!C23+'Индонезия 2027'!F23))))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2027'!V23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2027'!V24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2027'!B25+'Индонезия 2027'!D25+('Индонезия 2027'!C25+'Индонезия 2027'!F25+'Индонезия 2027'!G25)+(0.35*LN(1+0.6*'Ход 2027'!B31)*POWER(MAX(0,1-'Индонезия 2027'!I25/10),0.7))))</x:f>
        <x:v>8.7</x:v>
      </x:c>
      <x:c r="C25" s="42" t="n">
        <x:f>MIN(1,'Индонезия 2027'!C25+'Индонезия 2027'!F25+(0.08*LN(1+0.5*'Ход 2027'!C31)*MAX(0,1-('Индонезия 2027'!C25+'Индонезия 2027'!F25))))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2027'!V25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2027'!B26+'Индонезия 2027'!D26+('Индонезия 2027'!C26+'Индонезия 2027'!F26+'Индонезия 2027'!G26)+(0.35*LN(1+0.6*'Ход 2027'!B32)*POWER(MAX(0,1-'Индонезия 2027'!I26/10),0.7))))</x:f>
        <x:v>7</x:v>
      </x:c>
      <x:c r="C26" s="42" t="n">
        <x:f>MIN(1,'Индонезия 2027'!C26+'Индонезия 2027'!F26+(0.08*LN(1+0.5*'Ход 2027'!C32)*MAX(0,1-('Индонезия 2027'!C26+'Индонезия 2027'!F26))))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2027'!V26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2027'!B27+'Индонезия 2027'!D27+('Индонезия 2027'!C27+'Индонезия 2027'!F27+'Индонезия 2027'!G27)+(0.35*LN(1+0.6*'Ход 2027'!B33)*POWER(MAX(0,1-'Индонезия 2027'!I27/10),0.7))))</x:f>
        <x:v>7.4</x:v>
      </x:c>
      <x:c r="C27" s="42" t="n">
        <x:f>MIN(1,'Индонезия 2027'!C27+'Индонезия 2027'!F27+(0.08*LN(1+0.5*'Ход 2027'!C33)*MAX(0,1-('Индонезия 2027'!C27+'Индонезия 2027'!F27))))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2027'!B28+'Индонезия 2027'!D28+('Индонезия 2027'!C28+'Индонезия 2027'!F28+'Индонезия 2027'!G28)+(0.35*LN(1+0.6*'Ход 2027'!B34)*POWER(MAX(0,1-'Индонезия 2027'!I28/10),0.7))))</x:f>
        <x:v>6.6</x:v>
      </x:c>
      <x:c r="C28" s="42" t="n">
        <x:f>MIN(1,'Индонезия 2027'!C28+'Индонезия 2027'!F28+(0.08*LN(1+0.5*'Ход 2027'!C34)*MAX(0,1-('Индонезия 2027'!C28+'Индонезия 2027'!F28))))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6.6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2027'!B29+'Индонезия 2027'!D29+('Индонезия 2027'!C29+'Индонезия 2027'!F29+'Индонезия 2027'!G29)+(0.35*LN(1+0.6*'Ход 2027'!B35)*POWER(MAX(0,1-'Индонезия 2027'!I29/10),0.7))))</x:f>
        <x:v>6.5</x:v>
      </x:c>
      <x:c r="C29" s="42" t="n">
        <x:f>MIN(1,'Индонезия 2027'!C29+'Индонезия 2027'!F29+(0.08*LN(1+0.5*'Ход 2027'!C35)*MAX(0,1-('Индонезия 2027'!C29+'Индонезия 2027'!F29))))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2027'!B30+'Индонезия 2027'!D30+('Индонезия 2027'!C30+'Индонезия 2027'!F30+'Индонезия 2027'!G30)+(0.35*LN(1+0.6*'Ход 2027'!B36)*POWER(MAX(0,1-'Индонезия 2027'!I30/10),0.7))))</x:f>
        <x:v>6.4</x:v>
      </x:c>
      <x:c r="C30" s="42" t="n">
        <x:f>MIN(1,'Индонезия 2027'!C30+'Индонезия 2027'!F30+(0.08*LN(1+0.5*'Ход 2027'!C36)*MAX(0,1-('Индонезия 2027'!C30+'Индонезия 2027'!F30))))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6.4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2027'!B31+'Индонезия 2027'!D31+('Индонезия 2027'!C31+'Индонезия 2027'!F31+'Индонезия 2027'!G31)+(0.35*LN(1+0.6*'Ход 2027'!B37)*POWER(MAX(0,1-'Индонезия 2027'!I31/10),0.7))))</x:f>
        <x:v>6.4</x:v>
      </x:c>
      <x:c r="C31" s="42" t="n">
        <x:f>MIN(1,'Индонезия 2027'!C31+'Индонезия 2027'!F31+(0.08*LN(1+0.5*'Ход 2027'!C37)*MAX(0,1-('Индонезия 2027'!C31+'Индонезия 2027'!F31))))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2027'!B32+'Индонезия 2027'!D32+('Индонезия 2027'!C32+'Индонезия 2027'!F32+'Индонезия 2027'!G32)+(0.35*LN(1+0.6*'Ход 2027'!B38)*POWER(MAX(0,1-'Индонезия 2027'!I32/10),0.7))))</x:f>
        <x:v>7</x:v>
      </x:c>
      <x:c r="C32" s="42" t="n">
        <x:f>MIN(1,'Индонезия 2027'!C32+'Индонезия 2027'!F32+(0.08*LN(1+0.5*'Ход 2027'!C38)*MAX(0,1-('Индонезия 2027'!C32+'Индонезия 2027'!F32))))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2027'!B34+'Индонезия 2027'!D34+('Индонезия 2027'!C34+'Индонезия 2027'!F34+'Индонезия 2027'!G34)+(0.35*LN(1+0.6*'Ход 2027'!B40)*POWER(MAX(0,1-'Индонезия 2027'!I34/10),0.7))))</x:f>
        <x:v>8</x:v>
      </x:c>
      <x:c r="C34" s="42" t="n">
        <x:f>MIN(1,'Индонезия 2027'!C34+'Индонезия 2027'!F34+(0.08*LN(1+0.5*'Ход 2027'!C40)*MAX(0,1-('Индонезия 2027'!C34+'Индонезия 2027'!F34))))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2027'!B35+'Индонезия 2027'!D35+('Индонезия 2027'!C35+'Индонезия 2027'!F35+'Индонезия 2027'!G35)+(0.35*LN(1+0.6*'Ход 2027'!B41)*POWER(MAX(0,1-'Индонезия 2027'!I35/10),0.7))))</x:f>
        <x:v>7.800000000000001</x:v>
      </x:c>
      <x:c r="C35" s="42" t="n">
        <x:f>MIN(1,'Индонезия 2027'!C35+'Индонезия 2027'!F35+(0.08*LN(1+0.5*'Ход 2027'!C41)*MAX(0,1-('Индонезия 2027'!C35+'Индонезия 2027'!F35))))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7.800000000000001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2027'!B36+'Индонезия 2027'!D36+('Индонезия 2027'!C36+'Индонезия 2027'!F36+'Индонезия 2027'!G36)+(0.35*LN(1+0.6*'Ход 2027'!B42)*POWER(MAX(0,1-'Индонезия 2027'!I36/10),0.7))))</x:f>
        <x:v>8.1</x:v>
      </x:c>
      <x:c r="C36" s="42" t="n">
        <x:f>MIN(1,'Индонезия 2027'!C36+'Индонезия 2027'!F36+(0.08*LN(1+0.5*'Ход 2027'!C42)*MAX(0,1-('Индонезия 2027'!C36+'Индонезия 2027'!F36))))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2027'!B37+'Индонезия 2027'!D37+('Индонезия 2027'!C37+'Индонезия 2027'!F37+'Индонезия 2027'!G37)+(0.35*LN(1+0.6*'Ход 2027'!B43)*POWER(MAX(0,1-'Индонезия 2027'!I37/10),0.7))))</x:f>
        <x:v>7.1</x:v>
      </x:c>
      <x:c r="C37" s="42" t="n">
        <x:f>MIN(1,'Индонезия 2027'!C37+'Индонезия 2027'!F37+(0.08*LN(1+0.5*'Ход 2027'!C43)*MAX(0,1-('Индонезия 2027'!C37+'Индонезия 2027'!F37))))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2027'!B38+'Индонезия 2027'!D38+('Индонезия 2027'!C38+'Индонезия 2027'!F38+'Индонезия 2027'!G38)+(0.35*LN(1+0.6*'Ход 2027'!B44)*POWER(MAX(0,1-'Индонезия 2027'!I38/10),0.7))))</x:f>
        <x:v>7</x:v>
      </x:c>
      <x:c r="C38" s="42" t="n">
        <x:f>MIN(1,'Индонезия 2027'!C38+'Индонезия 2027'!F38+(0.08*LN(1+0.5*'Ход 2027'!C44)*MAX(0,1-('Индонезия 2027'!C38+'Индонезия 2027'!F38))))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2027'!B39+'Индонезия 2027'!D39+('Индонезия 2027'!C39+'Индонезия 2027'!F39+'Индонезия 2027'!G39)+(0.35*LN(1+0.6*'Ход 2027'!B45)*POWER(MAX(0,1-'Индонезия 2027'!I39/10),0.7))))</x:f>
        <x:v>8</x:v>
      </x:c>
      <x:c r="C39" s="42" t="n">
        <x:f>MIN(1,'Индонезия 2027'!C39+'Индонезия 2027'!F39+(0.08*LN(1+0.5*'Ход 2027'!C45)*MAX(0,1-('Индонезия 2027'!C39+'Индонезия 2027'!F39))))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2027'!B40+'Индонезия 2027'!D40+('Индонезия 2027'!C40+'Индонезия 2027'!F40+'Индонезия 2027'!G40)+(0.35*LN(1+0.6*'Ход 2027'!B46)*POWER(MAX(0,1-'Индонезия 2027'!I40/10),0.7))))</x:f>
        <x:v>7.5</x:v>
      </x:c>
      <x:c r="C40" s="42" t="n">
        <x:f>MIN(1,'Индонезия 2027'!C40+'Индонезия 2027'!F40+(0.08*LN(1+0.5*'Ход 2027'!C46)*MAX(0,1-('Индонезия 2027'!C40+'Индонезия 2027'!F40))))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2027'!B41+'Индонезия 2027'!D41+('Индонезия 2027'!C41+'Индонезия 2027'!F41+'Индонезия 2027'!G41)+(0.35*LN(1+0.6*'Ход 2027'!B47)*POWER(MAX(0,1-'Индонезия 2027'!I41/10),0.7))))</x:f>
        <x:v>7.5</x:v>
      </x:c>
      <x:c r="C41" s="42" t="n">
        <x:f>MIN(1,'Индонезия 2027'!C41+'Индонезия 2027'!F41+(0.08*LN(1+0.5*'Ход 2027'!C47)*MAX(0,1-('Индонезия 2027'!C41+'Индонезия 2027'!F41))))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2027'!B42+'Индонезия 2027'!D42+('Индонезия 2027'!C42+'Индонезия 2027'!F42+'Индонезия 2027'!G42)+(0.35*LN(1+0.6*'Ход 2027'!B48)*POWER(MAX(0,1-'Индонезия 2027'!I42/10),0.7))))</x:f>
        <x:v>8.7</x:v>
      </x:c>
      <x:c r="C42" s="42" t="n">
        <x:f>MIN(1,'Индонезия 2027'!C42+'Индонезия 2027'!F42+(0.08*LN(1+0.5*'Ход 2027'!C48)*MAX(0,1-('Индонезия 2027'!C42+'Индонезия 2027'!F42))))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2027'!B44+'Индонезия 2027'!D44+('Индонезия 2027'!C44+'Индонезия 2027'!F44+'Индонезия 2027'!G44)+(0.35*LN(1+0.6*'Ход 2027'!B50)*POWER(MAX(0,1-'Индонезия 2027'!I44/10),0.7))))</x:f>
        <x:v>6.9</x:v>
      </x:c>
      <x:c r="C44" s="42" t="n">
        <x:f>MIN(1,'Индонезия 2027'!C44+'Индонезия 2027'!F44+(0.08*LN(1+0.5*'Ход 2027'!C50)*MAX(0,1-('Индонезия 2027'!C44+'Индонезия 2027'!F44))))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6.9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2027'!B45+'Индонезия 2027'!D45+('Индонезия 2027'!C45+'Индонезия 2027'!F45+'Индонезия 2027'!G45)+(0.35*LN(1+0.6*'Ход 2027'!B51)*POWER(MAX(0,1-'Индонезия 2027'!I45/10),0.7))))</x:f>
        <x:v>6.9</x:v>
      </x:c>
      <x:c r="C45" s="42" t="n">
        <x:f>MIN(1,'Индонезия 2027'!C45+'Индонезия 2027'!F45+(0.08*LN(1+0.5*'Ход 2027'!C51)*MAX(0,1-('Индонезия 2027'!C45+'Индонезия 2027'!F45))))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6.9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2027'!B46+'Индонезия 2027'!D46+('Индонезия 2027'!C46+'Индонезия 2027'!F46+'Индонезия 2027'!G46)+(0.35*LN(1+0.6*'Ход 2027'!B52)*POWER(MAX(0,1-'Индонезия 2027'!I46/10),0.7))))</x:f>
        <x:v>6.9</x:v>
      </x:c>
      <x:c r="C46" s="42" t="n">
        <x:f>MIN(1,'Индонезия 2027'!C46+'Индонезия 2027'!F46+(0.08*LN(1+0.5*'Ход 2027'!C52)*MAX(0,1-('Индонезия 2027'!C46+'Индонезия 2027'!F46))))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6.9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2027'!B47+'Индонезия 2027'!D47+('Индонезия 2027'!C47+'Индонезия 2027'!F47+'Индонезия 2027'!G47)+(0.35*LN(1+0.6*'Ход 2027'!B53)*POWER(MAX(0,1-'Индонезия 2027'!I47/10),0.7))))</x:f>
        <x:v>7.300000000000001</x:v>
      </x:c>
      <x:c r="C47" s="42" t="n">
        <x:f>MIN(1,'Индонезия 2027'!C47+'Индонезия 2027'!F47+(0.08*LN(1+0.5*'Ход 2027'!C53)*MAX(0,1-('Индонезия 2027'!C47+'Индонезия 2027'!F47))))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7.300000000000001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2027'!B48+'Индонезия 2027'!D48+('Индонезия 2027'!C48+'Индонезия 2027'!F48+'Индонезия 2027'!G48)+(0.35*LN(1+0.6*'Ход 2027'!B54)*POWER(MAX(0,1-'Индонезия 2027'!I48/10),0.7))))</x:f>
        <x:v>7.800000000000001</x:v>
      </x:c>
      <x:c r="C48" s="42" t="n">
        <x:f>MIN(1,'Индонезия 2027'!C48+'Индонезия 2027'!F48+(0.08*LN(1+0.5*'Ход 2027'!C54)*MAX(0,1-('Индонезия 2027'!C48+'Индонезия 2027'!F48))))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7.800000000000001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2027'!B49+'Индонезия 2027'!D49+('Индонезия 2027'!C49+'Индонезия 2027'!F49+'Индонезия 2027'!G49)+(0.35*LN(1+0.6*'Ход 2027'!B55)*POWER(MAX(0,1-'Индонезия 2027'!I49/10),0.7))))</x:f>
        <x:v>8.600000000000001</x:v>
      </x:c>
      <x:c r="C49" s="42" t="n">
        <x:f>MIN(1,'Индонезия 2027'!C49+'Индонезия 2027'!F49+(0.08*LN(1+0.5*'Ход 2027'!C55)*MAX(0,1-('Индонезия 2027'!C49+'Индонезия 2027'!F49))))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8.600000000000001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2027'!B50+'Индонезия 2027'!D50+('Индонезия 2027'!C50+'Индонезия 2027'!F50+'Индонезия 2027'!G50)+(0.35*LN(1+0.6*'Ход 2027'!B56)*POWER(MAX(0,1-'Индонезия 2027'!I50/10),0.7))))</x:f>
        <x:v>10</x:v>
      </x:c>
      <x:c r="C50" s="42" t="n">
        <x:f>MIN(1,'Индонезия 2027'!C50+'Индонезия 2027'!F50+(0.08*LN(1+0.5*'Ход 2027'!C56)*MAX(0,1-('Индонезия 2027'!C50+'Индонезия 2027'!F50))))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2027'!B51+'Индонезия 2027'!D51+('Индонезия 2027'!C51+'Индонезия 2027'!F51+'Индонезия 2027'!G51)+(0.35*LN(1+0.6*'Ход 2027'!B57)*POWER(MAX(0,1-'Индонезия 2027'!I51/10),0.7))))</x:f>
        <x:v>7</x:v>
      </x:c>
      <x:c r="C51" s="42" t="n">
        <x:f>MIN(1,'Индонезия 2027'!C51+'Индонезия 2027'!F51+(0.08*LN(1+0.5*'Ход 2027'!C57)*MAX(0,1-('Индонезия 2027'!C51+'Индонезия 2027'!F51))))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2027'!B53+'Индонезия 2027'!D53+('Индонезия 2027'!C53+'Индонезия 2027'!F53+'Индонезия 2027'!G53)+(0.35*LN(1+0.6*'Ход 2027'!B59)*POWER(MAX(0,1-'Индонезия 2027'!I53/10),0.7))))</x:f>
        <x:v>6.5</x:v>
      </x:c>
      <x:c r="C53" s="42" t="n">
        <x:f>MIN(1,'Индонезия 2027'!C53+'Индонезия 2027'!F53+(0.08*LN(1+0.5*'Ход 2027'!C59)*MAX(0,1-('Индонезия 2027'!C53+'Индонезия 2027'!F53))))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2027'!B54+'Индонезия 2027'!D54+('Индонезия 2027'!C54+'Индонезия 2027'!F54+'Индонезия 2027'!G54)+(0.35*LN(1+0.6*'Ход 2027'!B60)*POWER(MAX(0,1-'Индонезия 2027'!I54/10),0.7))))</x:f>
        <x:v>6.5</x:v>
      </x:c>
      <x:c r="C54" s="42" t="n">
        <x:f>MIN(1,'Индонезия 2027'!C54+'Индонезия 2027'!F54+(0.08*LN(1+0.5*'Ход 2027'!C60)*MAX(0,1-('Индонезия 2027'!C54+'Индонезия 2027'!F54))))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2027'!B55+'Индонезия 2027'!D55+('Индонезия 2027'!C55+'Индонезия 2027'!F55+'Индонезия 2027'!G55)+(0.35*LN(1+0.6*'Ход 2027'!B61)*POWER(MAX(0,1-'Индонезия 2027'!I55/10),0.7))))</x:f>
        <x:v>5.9</x:v>
      </x:c>
      <x:c r="C55" s="42" t="n">
        <x:f>MIN(1,'Индонезия 2027'!C55+'Индонезия 2027'!F55+(0.08*LN(1+0.5*'Ход 2027'!C61)*MAX(0,1-('Индонезия 2027'!C55+'Индонезия 2027'!F55))))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5.9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2028'!U6</x:f>
        <x:v>88.60181532530399</x:v>
      </x:c>
      <x:c r="C6" s="42"/>
      <x:c r="D6" s="42"/>
      <x:c r="E6" s="42" t="str">
        <x:v>Доступно</x:v>
      </x:c>
      <x:c r="F6" s="42" t="n">
        <x:f>'Индонезия 2028'!K6</x:f>
        <x:v>64.60843280258352</x:v>
      </x:c>
      <x:c r="G6" s="42"/>
      <x:c r="H6" s="42"/>
      <x:c r="I6" s="42" t="str">
        <x:v>Доступно</x:v>
      </x:c>
      <x:c r="J6" s="42" t="n">
        <x:f>'Индонезия 2028'!N6</x:f>
        <x:v>64.26496477600278</x:v>
      </x:c>
      <x:c r="K6" s="42"/>
      <x:c r="L6" s="42"/>
      <x:c r="M6" s="42" t="str">
        <x:v>Доступно</x:v>
      </x:c>
      <x:c r="N6" s="42" t="n">
        <x:f>'Индонезия 2028'!Q6</x:f>
        <x:v>72.67947540084988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88.60181532530399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64.60843280258352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64.26496477600278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72.67947540084988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2028'!V11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25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2028'!V12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63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2028'!V13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19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2028'!V14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50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2028'!V15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99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2028'!V16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63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2028'!V17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88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2028'!V18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68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2028'!V19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16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2028'!V20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2028'!V21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2028'!V22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2028'!V23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66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2028'!V24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22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2028'!V25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2028'!V26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2029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67.10373495357786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66.08025620180695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74.56495904323528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89.90687256146593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2028'!B8+'Индонезия 2028'!D8+('Индонезия 2028'!C8+'Индонезия 2028'!F8+'Индонезия 2028'!G8)+(0.35*LN(1+0.6*'Ход 2028'!B14)*POWER(MAX(0,1-'Индонезия 2028'!I8/10),0.7))))</x:f>
        <x:v>9.150000000000002</x:v>
      </x:c>
      <x:c r="C8" s="42" t="n">
        <x:f>MIN(1,'Индонезия 2028'!C8+'Индонезия 2028'!F8+(0.08*LN(1+0.5*'Ход 2028'!C14)*MAX(0,1-('Индонезия 2028'!C8+'Индонезия 2028'!F8))))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9.150000000000002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2028'!B9+'Индонезия 2028'!D9+('Индонезия 2028'!C9+'Индонезия 2028'!F9+'Индонезия 2028'!G9)+(0.35*LN(1+0.6*'Ход 2028'!B15)*POWER(MAX(0,1-'Индонезия 2028'!I9/10),0.7))))</x:f>
        <x:v>5.950000000000001</x:v>
      </x:c>
      <x:c r="C9" s="42" t="n">
        <x:f>MIN(1,'Индонезия 2028'!C9+'Индонезия 2028'!F9+(0.08*LN(1+0.5*'Ход 2028'!C15)*MAX(0,1-('Индонезия 2028'!C9+'Индонезия 2028'!F9))))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5.950000000000001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2028'!B10+'Индонезия 2028'!D10+('Индонезия 2028'!C10+'Индонезия 2028'!F10+'Индонезия 2028'!G10)+(0.35*LN(1+0.6*'Ход 2028'!B16)*POWER(MAX(0,1-'Индонезия 2028'!I10/10),0.7))))</x:f>
        <x:v>8.299999999999999</x:v>
      </x:c>
      <x:c r="C10" s="42" t="n">
        <x:f>MIN(1,'Индонезия 2028'!C10+'Индонезия 2028'!F10+(0.08*LN(1+0.5*'Ход 2028'!C16)*MAX(0,1-('Индонезия 2028'!C10+'Индонезия 2028'!F10))))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8.299999999999999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2028'!B11+'Индонезия 2028'!D11+('Индонезия 2028'!C11+'Индонезия 2028'!F11+'Индонезия 2028'!G11)+(0.35*LN(1+0.6*'Ход 2028'!B17)*POWER(MAX(0,1-'Индонезия 2028'!I11/10),0.7))))</x:f>
        <x:v>8.150000000000002</x:v>
      </x:c>
      <x:c r="C11" s="42" t="n">
        <x:f>MIN(1,'Индонезия 2028'!C11+'Индонезия 2028'!F11+(0.08*LN(1+0.5*'Ход 2028'!C17)*MAX(0,1-('Индонезия 2028'!C11+'Индонезия 2028'!F11))))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8.150000000000002</x:v>
      </x:c>
      <x:c r="J11" s="42"/>
      <x:c r="K11" s="42" t="str">
        <x:v>Производство</x:v>
      </x:c>
      <x:c r="L11" s="42" t="n">
        <x:f>MAX(1,MIN(10,'Индонезия 2028'!L11+'Индонезия 2028'!N11+('Индонезия 2028'!M11+'Индонезия 2028'!P11+'Индонезия 2028'!Q11)))</x:f>
        <x:v>7.549999999999999</x:v>
      </x:c>
      <x:c r="M11" s="42" t="n">
        <x:f>MIN(1,'Индонезия 2028'!M11+'Индонезия 2028'!P11+(0.10*LN(1+0.5*'Ход 2028'!H13)*POWER(MAX(0,1-'Индонезия 2028'!S11/10),0.8)))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7.549999999999999</x:v>
      </x:c>
      <x:c r="T11" s="42"/>
      <x:c r="U11" s="42" t="str">
        <x:v>Россия</x:v>
      </x:c>
      <x:c r="V11" s="64" t="n">
        <x:f>'Индонезия 2028'!V11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2028'!B12+'Индонезия 2028'!D12+('Индонезия 2028'!C12+'Индонезия 2028'!F12+'Индонезия 2028'!G12)+(0.35*LN(1+0.6*'Ход 2028'!B18)*POWER(MAX(0,1-'Индонезия 2028'!I12/10),0.7))))</x:f>
        <x:v>9.150000000000002</x:v>
      </x:c>
      <x:c r="C12" s="42" t="n">
        <x:f>MIN(1,'Индонезия 2028'!C12+'Индонезия 2028'!F12+(0.08*LN(1+0.5*'Ход 2028'!C18)*MAX(0,1-('Индонезия 2028'!C12+'Индонезия 2028'!F12))))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9.150000000000002</x:v>
      </x:c>
      <x:c r="J12" s="42"/>
      <x:c r="K12" s="42" t="str">
        <x:v>Управление</x:v>
      </x:c>
      <x:c r="L12" s="42" t="n">
        <x:f>MAX(1,MIN(10,'Индонезия 2028'!L12+'Индонезия 2028'!N12+('Индонезия 2028'!M12+'Индонезия 2028'!P12+'Индонезия 2028'!Q12)))</x:f>
        <x:v>7.3999999999999995</x:v>
      </x:c>
      <x:c r="M12" s="42" t="n">
        <x:f>MIN(1,'Индонезия 2028'!M12+'Индонезия 2028'!P12+(0.10*LN(1+0.5*'Ход 2028'!H14)*POWER(MAX(0,1-'Индонезия 2028'!S12/10),0.8)))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7.3999999999999995</x:v>
      </x:c>
      <x:c r="T12" s="42"/>
      <x:c r="U12" s="42" t="str">
        <x:v>США</x:v>
      </x:c>
      <x:c r="V12" s="64" t="n">
        <x:f>'Индонезия 2028'!V12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2028'!B13+'Индонезия 2028'!D13+('Индонезия 2028'!C13+'Индонезия 2028'!F13+'Индонезия 2028'!G13)+(0.35*LN(1+0.6*'Ход 2028'!B19)*POWER(MAX(0,1-'Индонезия 2028'!I13/10),0.7))))</x:f>
        <x:v>2.8999999999999995</x:v>
      </x:c>
      <x:c r="C13" s="42" t="n">
        <x:f>MIN(1,'Индонезия 2028'!C13+'Индонезия 2028'!F13+(0.08*LN(1+0.5*'Ход 2028'!C19)*MAX(0,1-('Индонезия 2028'!C13+'Индонезия 2028'!F13))))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2.8999999999999995</x:v>
      </x:c>
      <x:c r="J13" s="42"/>
      <x:c r="K13" s="42" t="str">
        <x:v>Познание</x:v>
      </x:c>
      <x:c r="L13" s="42" t="n">
        <x:f>MAX(1,MIN(10,'Индонезия 2028'!L13+'Индонезия 2028'!N13+('Индонезия 2028'!M13+'Индонезия 2028'!P13+'Индонезия 2028'!Q13)))</x:f>
        <x:v>7.3999999999999995</x:v>
      </x:c>
      <x:c r="M13" s="42" t="n">
        <x:f>MIN(1,'Индонезия 2028'!M13+'Индонезия 2028'!P13+(0.10*LN(1+0.5*'Ход 2028'!H15)*POWER(MAX(0,1-'Индонезия 2028'!S13/10),0.8)))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7.3999999999999995</x:v>
      </x:c>
      <x:c r="T13" s="42"/>
      <x:c r="U13" s="42" t="str">
        <x:v>Китай</x:v>
      </x:c>
      <x:c r="V13" s="64" t="n">
        <x:f>'Индонезия 2028'!V13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2028'!B14+'Индонезия 2028'!D14+('Индонезия 2028'!C14+'Индонезия 2028'!F14+'Индонезия 2028'!G14)+(0.35*LN(1+0.6*'Ход 2028'!B20)*POWER(MAX(0,1-'Индонезия 2028'!I14/10),0.7))))</x:f>
        <x:v>4.8999999999999995</x:v>
      </x:c>
      <x:c r="C14" s="42" t="n">
        <x:f>MIN(1,'Индонезия 2028'!C14+'Индонезия 2028'!F14+(0.08*LN(1+0.5*'Ход 2028'!C20)*MAX(0,1-('Индонезия 2028'!C14+'Индонезия 2028'!F14))))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4.8999999999999995</x:v>
      </x:c>
      <x:c r="J14" s="42"/>
      <x:c r="K14" s="42" t="str">
        <x:v>Обучение</x:v>
      </x:c>
      <x:c r="L14" s="42" t="n">
        <x:f>MAX(1,MIN(10,'Индонезия 2028'!L14+'Индонезия 2028'!N14+('Индонезия 2028'!M14+'Индонезия 2028'!P14+'Индонезия 2028'!Q14)))</x:f>
        <x:v>7.549999999999999</x:v>
      </x:c>
      <x:c r="M14" s="42" t="n">
        <x:f>MIN(1,'Индонезия 2028'!M14+'Индонезия 2028'!P14+(0.10*LN(1+0.5*'Ход 2028'!H16)*POWER(MAX(0,1-'Индонезия 2028'!S14/10),0.8)))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7.549999999999999</x:v>
      </x:c>
      <x:c r="T14" s="42"/>
      <x:c r="U14" s="42" t="str">
        <x:v>Индия</x:v>
      </x:c>
      <x:c r="V14" s="64" t="n">
        <x:f>'Индонезия 2028'!V14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2028'!B15+'Индонезия 2028'!D15+('Индонезия 2028'!C15+'Индонезия 2028'!F15+'Индонезия 2028'!G15)+(0.35*LN(1+0.6*'Ход 2028'!B21)*POWER(MAX(0,1-'Индонезия 2028'!I15/10),0.7))))</x:f>
        <x:v>7.549999999999999</x:v>
      </x:c>
      <x:c r="C15" s="42" t="n">
        <x:f>MIN(1,'Индонезия 2028'!C15+'Индонезия 2028'!F15+(0.08*LN(1+0.5*'Ход 2028'!C21)*MAX(0,1-('Индонезия 2028'!C15+'Индонезия 2028'!F15))))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7.549999999999999</x:v>
      </x:c>
      <x:c r="J15" s="42"/>
      <x:c r="K15" s="42" t="str">
        <x:v>Война</x:v>
      </x:c>
      <x:c r="L15" s="42" t="n">
        <x:f>MAX(1,MIN(10,'Индонезия 2028'!L15+'Индонезия 2028'!N15+('Индонезия 2028'!M15+'Индонезия 2028'!P15+'Индонезия 2028'!Q15)))</x:f>
        <x:v>6.25</x:v>
      </x:c>
      <x:c r="M15" s="42" t="n">
        <x:f>MIN(1,'Индонезия 2028'!M15+'Индонезия 2028'!P15+(0.10*LN(1+0.5*'Ход 2028'!H17)*POWER(MAX(0,1-'Индонезия 2028'!S15/10),0.8)))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6.25</x:v>
      </x:c>
      <x:c r="T15" s="42"/>
      <x:c r="U15" s="42" t="str">
        <x:v>Великобритания</x:v>
      </x:c>
      <x:c r="V15" s="64" t="n">
        <x:f>'Индонезия 2028'!V15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2028'!B16+'Индонезия 2028'!D16+('Индонезия 2028'!C16+'Индонезия 2028'!F16+'Индонезия 2028'!G16)+(0.35*LN(1+0.6*'Ход 2028'!B22)*POWER(MAX(0,1-'Индонезия 2028'!I16/10),0.7))))</x:f>
        <x:v>7.75</x:v>
      </x:c>
      <x:c r="C16" s="42" t="n">
        <x:f>MIN(1,'Индонезия 2028'!C16+'Индонезия 2028'!F16+(0.08*LN(1+0.5*'Ход 2028'!C22)*MAX(0,1-('Индонезия 2028'!C16+'Индонезия 2028'!F16))))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7.75</x:v>
      </x:c>
      <x:c r="J16" s="42"/>
      <x:c r="K16" s="42" t="str">
        <x:v>Экономика</x:v>
      </x:c>
      <x:c r="L16" s="42" t="n">
        <x:f>MAX(1,MIN(10,'Индонезия 2028'!L16+'Индонезия 2028'!N16+('Индонезия 2028'!M16+'Индонезия 2028'!P16+'Индонезия 2028'!Q16)))</x:f>
        <x:v>8.549999999999999</x:v>
      </x:c>
      <x:c r="M16" s="42" t="n">
        <x:f>MIN(1,'Индонезия 2028'!M16+'Индонезия 2028'!P16+(0.10*LN(1+0.5*'Ход 2028'!H18)*POWER(MAX(0,1-'Индонезия 2028'!S16/10),0.8)))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8.549999999999999</x:v>
      </x:c>
      <x:c r="T16" s="42"/>
      <x:c r="U16" s="42" t="str">
        <x:v>Франция</x:v>
      </x:c>
      <x:c r="V16" s="64" t="n">
        <x:f>'Индонезия 2028'!V16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2028'!B17+'Индонезия 2028'!D17+('Индонезия 2028'!C17+'Индонезия 2028'!F17+'Индонезия 2028'!G17)+(0.35*LN(1+0.6*'Ход 2028'!B23)*POWER(MAX(0,1-'Индонезия 2028'!I17/10),0.7))))</x:f>
        <x:v>7.6000000000000005</x:v>
      </x:c>
      <x:c r="C17" s="42" t="n">
        <x:f>MIN(1,'Индонезия 2028'!C17+'Индонезия 2028'!F17+(0.08*LN(1+0.5*'Ход 2028'!C23)*MAX(0,1-('Индонезия 2028'!C17+'Индонезия 2028'!F17))))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7.6000000000000005</x:v>
      </x:c>
      <x:c r="J17" s="42"/>
      <x:c r="K17" s="42" t="str">
        <x:v>Государственное управление</x:v>
      </x:c>
      <x:c r="L17" s="42" t="n">
        <x:f>MAX(1,MIN(10,'Индонезия 2028'!L17+'Индонезия 2028'!N17+('Индонезия 2028'!M17+'Индонезия 2028'!P17+'Индонезия 2028'!Q17)))</x:f>
        <x:v>8.549999999999999</x:v>
      </x:c>
      <x:c r="M17" s="42" t="n">
        <x:f>MIN(1,'Индонезия 2028'!M17+'Индонезия 2028'!P17+(0.10*LN(1+0.5*'Ход 2028'!H19)*POWER(MAX(0,1-'Индонезия 2028'!S17/10),0.8)))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8.549999999999999</x:v>
      </x:c>
      <x:c r="T17" s="42"/>
      <x:c r="U17" s="42" t="str">
        <x:v>Германия</x:v>
      </x:c>
      <x:c r="V17" s="64" t="n">
        <x:f>'Индонезия 2028'!V17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2028'!L18+'Индонезия 2028'!N18+('Индонезия 2028'!M18+'Индонезия 2028'!P18+'Индонезия 2028'!Q18)))</x:f>
        <x:v>9.599999999999998</x:v>
      </x:c>
      <x:c r="M18" s="42" t="n">
        <x:f>MIN(1,'Индонезия 2028'!M18+'Индонезия 2028'!P18+(0.10*LN(1+0.5*'Ход 2028'!H20)*POWER(MAX(0,1-'Индонезия 2028'!S18/10),0.8)))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9.599999999999998</x:v>
      </x:c>
      <x:c r="T18" s="42"/>
      <x:c r="U18" s="42" t="str">
        <x:v>Япония</x:v>
      </x:c>
      <x:c r="V18" s="64" t="n">
        <x:f>'Индонезия 2028'!V18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2028'!B19+'Индонезия 2028'!D19+('Индонезия 2028'!C19+'Индонезия 2028'!F19+'Индонезия 2028'!G19)+(0.35*LN(1+0.6*'Ход 2028'!B25)*POWER(MAX(0,1-'Индонезия 2028'!I19/10),0.7))))</x:f>
        <x:v>6.75</x:v>
      </x:c>
      <x:c r="C19" s="42" t="n">
        <x:f>MIN(1,'Индонезия 2028'!C19+'Индонезия 2028'!F19+(0.08*LN(1+0.5*'Ход 2028'!C25)*MAX(0,1-('Индонезия 2028'!C19+'Индонезия 2028'!F19))))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6.75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2028'!V19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2028'!B20+'Индонезия 2028'!D20+('Индонезия 2028'!C20+'Индонезия 2028'!F20+'Индонезия 2028'!G20)+(0.35*LN(1+0.6*'Ход 2028'!B26)*POWER(MAX(0,1-'Индонезия 2028'!I20/10),0.7))))</x:f>
        <x:v>6.8999999999999995</x:v>
      </x:c>
      <x:c r="C20" s="42" t="n">
        <x:f>MIN(1,'Индонезия 2028'!C20+'Индонезия 2028'!F20+(0.08*LN(1+0.5*'Ход 2028'!C26)*MAX(0,1-('Индонезия 2028'!C20+'Индонезия 2028'!F20))))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6.8999999999999995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2028'!V20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2028'!B21+'Индонезия 2028'!D21+('Индонезия 2028'!C21+'Индонезия 2028'!F21+'Индонезия 2028'!G21)+(0.35*LN(1+0.6*'Ход 2028'!B27)*POWER(MAX(0,1-'Индонезия 2028'!I21/10),0.7))))</x:f>
        <x:v>6.3999999999999995</x:v>
      </x:c>
      <x:c r="C21" s="42" t="n">
        <x:f>MIN(1,'Индонезия 2028'!C21+'Индонезия 2028'!F21+(0.08*LN(1+0.5*'Ход 2028'!C27)*MAX(0,1-('Индонезия 2028'!C21+'Индонезия 2028'!F21))))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6.3999999999999995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2028'!V21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2028'!B22+'Индонезия 2028'!D22+('Индонезия 2028'!C22+'Индонезия 2028'!F22+'Индонезия 2028'!G22)+(0.35*LN(1+0.6*'Ход 2028'!B28)*POWER(MAX(0,1-'Индонезия 2028'!I22/10),0.7))))</x:f>
        <x:v>7.1000000000000005</x:v>
      </x:c>
      <x:c r="C22" s="42" t="n">
        <x:f>MIN(1,'Индонезия 2028'!C22+'Индонезия 2028'!F22+(0.08*LN(1+0.5*'Ход 2028'!C28)*MAX(0,1-('Индонезия 2028'!C22+'Индонезия 2028'!F22))))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7.1000000000000005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2028'!V22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2028'!B23+'Индонезия 2028'!D23+('Индонезия 2028'!C23+'Индонезия 2028'!F23+'Индонезия 2028'!G23)+(0.35*LN(1+0.6*'Ход 2028'!B29)*POWER(MAX(0,1-'Индонезия 2028'!I23/10),0.7))))</x:f>
        <x:v>6.75</x:v>
      </x:c>
      <x:c r="C23" s="42" t="n">
        <x:f>MIN(1,'Индонезия 2028'!C23+'Индонезия 2028'!F23+(0.08*LN(1+0.5*'Ход 2028'!C29)*MAX(0,1-('Индонезия 2028'!C23+'Индонезия 2028'!F23))))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6.75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2028'!V23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2028'!V24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2028'!B25+'Индонезия 2028'!D25+('Индонезия 2028'!C25+'Индонезия 2028'!F25+'Индонезия 2028'!G25)+(0.35*LN(1+0.6*'Ход 2028'!B31)*POWER(MAX(0,1-'Индонезия 2028'!I25/10),0.7))))</x:f>
        <x:v>8.799999999999999</x:v>
      </x:c>
      <x:c r="C25" s="42" t="n">
        <x:f>MIN(1,'Индонезия 2028'!C25+'Индонезия 2028'!F25+(0.08*LN(1+0.5*'Ход 2028'!C31)*MAX(0,1-('Индонезия 2028'!C25+'Индонезия 2028'!F25))))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8.799999999999999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2028'!V25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2028'!B26+'Индонезия 2028'!D26+('Индонезия 2028'!C26+'Индонезия 2028'!F26+'Индонезия 2028'!G26)+(0.35*LN(1+0.6*'Ход 2028'!B32)*POWER(MAX(0,1-'Индонезия 2028'!I26/10),0.7))))</x:f>
        <x:v>7.25</x:v>
      </x:c>
      <x:c r="C26" s="42" t="n">
        <x:f>MIN(1,'Индонезия 2028'!C26+'Индонезия 2028'!F26+(0.08*LN(1+0.5*'Ход 2028'!C32)*MAX(0,1-('Индонезия 2028'!C26+'Индонезия 2028'!F26))))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2028'!V26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2028'!B27+'Индонезия 2028'!D27+('Индонезия 2028'!C27+'Индонезия 2028'!F27+'Индонезия 2028'!G27)+(0.35*LN(1+0.6*'Ход 2028'!B33)*POWER(MAX(0,1-'Индонезия 2028'!I27/10),0.7))))</x:f>
        <x:v>7.6000000000000005</x:v>
      </x:c>
      <x:c r="C27" s="42" t="n">
        <x:f>MIN(1,'Индонезия 2028'!C27+'Индонезия 2028'!F27+(0.08*LN(1+0.5*'Ход 2028'!C33)*MAX(0,1-('Индонезия 2028'!C27+'Индонезия 2028'!F27))))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7.6000000000000005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2028'!B28+'Индонезия 2028'!D28+('Индонезия 2028'!C28+'Индонезия 2028'!F28+'Индонезия 2028'!G28)+(0.35*LN(1+0.6*'Ход 2028'!B34)*POWER(MAX(0,1-'Индонезия 2028'!I28/10),0.7))))</x:f>
        <x:v>6.8999999999999995</x:v>
      </x:c>
      <x:c r="C28" s="42" t="n">
        <x:f>MIN(1,'Индонезия 2028'!C28+'Индонезия 2028'!F28+(0.08*LN(1+0.5*'Ход 2028'!C34)*MAX(0,1-('Индонезия 2028'!C28+'Индонезия 2028'!F28))))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6.8999999999999995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2028'!B29+'Индонезия 2028'!D29+('Индонезия 2028'!C29+'Индонезия 2028'!F29+'Индонезия 2028'!G29)+(0.35*LN(1+0.6*'Ход 2028'!B35)*POWER(MAX(0,1-'Индонезия 2028'!I29/10),0.7))))</x:f>
        <x:v>6.75</x:v>
      </x:c>
      <x:c r="C29" s="42" t="n">
        <x:f>MIN(1,'Индонезия 2028'!C29+'Индонезия 2028'!F29+(0.08*LN(1+0.5*'Ход 2028'!C35)*MAX(0,1-('Индонезия 2028'!C29+'Индонезия 2028'!F29))))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6.75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2028'!B30+'Индонезия 2028'!D30+('Индонезия 2028'!C30+'Индонезия 2028'!F30+'Индонезия 2028'!G30)+(0.35*LN(1+0.6*'Ход 2028'!B36)*POWER(MAX(0,1-'Индонезия 2028'!I30/10),0.7))))</x:f>
        <x:v>6.6000000000000005</x:v>
      </x:c>
      <x:c r="C30" s="42" t="n">
        <x:f>MIN(1,'Индонезия 2028'!C30+'Индонезия 2028'!F30+(0.08*LN(1+0.5*'Ход 2028'!C36)*MAX(0,1-('Индонезия 2028'!C30+'Индонезия 2028'!F30))))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6.6000000000000005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2028'!B31+'Индонезия 2028'!D31+('Индонезия 2028'!C31+'Индонезия 2028'!F31+'Индонезия 2028'!G31)+(0.35*LN(1+0.6*'Ход 2028'!B37)*POWER(MAX(0,1-'Индонезия 2028'!I31/10),0.7))))</x:f>
        <x:v>6.6000000000000005</x:v>
      </x:c>
      <x:c r="C31" s="42" t="n">
        <x:f>MIN(1,'Индонезия 2028'!C31+'Индонезия 2028'!F31+(0.08*LN(1+0.5*'Ход 2028'!C37)*MAX(0,1-('Индонезия 2028'!C31+'Индонезия 2028'!F31))))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6.6000000000000005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2028'!B32+'Индонезия 2028'!D32+('Индонезия 2028'!C32+'Индонезия 2028'!F32+'Индонезия 2028'!G32)+(0.35*LN(1+0.6*'Ход 2028'!B38)*POWER(MAX(0,1-'Индонезия 2028'!I32/10),0.7))))</x:f>
        <x:v>7.25</x:v>
      </x:c>
      <x:c r="C32" s="42" t="n">
        <x:f>MIN(1,'Индонезия 2028'!C32+'Индонезия 2028'!F32+(0.08*LN(1+0.5*'Ход 2028'!C38)*MAX(0,1-('Индонезия 2028'!C32+'Индонезия 2028'!F32))))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7.25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2028'!B34+'Индонезия 2028'!D34+('Индонезия 2028'!C34+'Индонезия 2028'!F34+'Индонезия 2028'!G34)+(0.35*LN(1+0.6*'Ход 2028'!B40)*POWER(MAX(0,1-'Индонезия 2028'!I34/10),0.7))))</x:f>
        <x:v>8.25</x:v>
      </x:c>
      <x:c r="C34" s="42" t="n">
        <x:f>MIN(1,'Индонезия 2028'!C34+'Индонезия 2028'!F34+(0.08*LN(1+0.5*'Ход 2028'!C40)*MAX(0,1-('Индонезия 2028'!C34+'Индонезия 2028'!F34))))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8.25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2028'!B35+'Индонезия 2028'!D35+('Индонезия 2028'!C35+'Индонезия 2028'!F35+'Индонезия 2028'!G35)+(0.35*LN(1+0.6*'Ход 2028'!B41)*POWER(MAX(0,1-'Индонезия 2028'!I35/10),0.7))))</x:f>
        <x:v>7.950000000000001</x:v>
      </x:c>
      <x:c r="C35" s="42" t="n">
        <x:f>MIN(1,'Индонезия 2028'!C35+'Индонезия 2028'!F35+(0.08*LN(1+0.5*'Ход 2028'!C41)*MAX(0,1-('Индонезия 2028'!C35+'Индонезия 2028'!F35))))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7.950000000000001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2028'!B36+'Индонезия 2028'!D36+('Индонезия 2028'!C36+'Индонезия 2028'!F36+'Индонезия 2028'!G36)+(0.35*LN(1+0.6*'Ход 2028'!B42)*POWER(MAX(0,1-'Индонезия 2028'!I36/10),0.7))))</x:f>
        <x:v>8.4</x:v>
      </x:c>
      <x:c r="C36" s="42" t="n">
        <x:f>MIN(1,'Индонезия 2028'!C36+'Индонезия 2028'!F36+(0.08*LN(1+0.5*'Ход 2028'!C42)*MAX(0,1-('Индонезия 2028'!C36+'Индонезия 2028'!F36))))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8.4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2028'!B37+'Индонезия 2028'!D37+('Индонезия 2028'!C37+'Индонезия 2028'!F37+'Индонезия 2028'!G37)+(0.35*LN(1+0.6*'Ход 2028'!B43)*POWER(MAX(0,1-'Индонезия 2028'!I37/10),0.7))))</x:f>
        <x:v>7.3999999999999995</x:v>
      </x:c>
      <x:c r="C37" s="42" t="n">
        <x:f>MIN(1,'Индонезия 2028'!C37+'Индонезия 2028'!F37+(0.08*LN(1+0.5*'Ход 2028'!C43)*MAX(0,1-('Индонезия 2028'!C37+'Индонезия 2028'!F37))))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7.3999999999999995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2028'!B38+'Индонезия 2028'!D38+('Индонезия 2028'!C38+'Индонезия 2028'!F38+'Индонезия 2028'!G38)+(0.35*LN(1+0.6*'Ход 2028'!B44)*POWER(MAX(0,1-'Индонезия 2028'!I38/10),0.7))))</x:f>
        <x:v>7.25</x:v>
      </x:c>
      <x:c r="C38" s="42" t="n">
        <x:f>MIN(1,'Индонезия 2028'!C38+'Индонезия 2028'!F38+(0.08*LN(1+0.5*'Ход 2028'!C44)*MAX(0,1-('Индонезия 2028'!C38+'Индонезия 2028'!F38))))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2028'!B39+'Индонезия 2028'!D39+('Индонезия 2028'!C39+'Индонезия 2028'!F39+'Индонезия 2028'!G39)+(0.35*LN(1+0.6*'Ход 2028'!B45)*POWER(MAX(0,1-'Индонезия 2028'!I39/10),0.7))))</x:f>
        <x:v>8.25</x:v>
      </x:c>
      <x:c r="C39" s="42" t="n">
        <x:f>MIN(1,'Индонезия 2028'!C39+'Индонезия 2028'!F39+(0.08*LN(1+0.5*'Ход 2028'!C45)*MAX(0,1-('Индонезия 2028'!C39+'Индонезия 2028'!F39))))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8.25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2028'!B40+'Индонезия 2028'!D40+('Индонезия 2028'!C40+'Индонезия 2028'!F40+'Индонезия 2028'!G40)+(0.35*LN(1+0.6*'Ход 2028'!B46)*POWER(MAX(0,1-'Индонезия 2028'!I40/10),0.7))))</x:f>
        <x:v>7.75</x:v>
      </x:c>
      <x:c r="C40" s="42" t="n">
        <x:f>MIN(1,'Индонезия 2028'!C40+'Индонезия 2028'!F40+(0.08*LN(1+0.5*'Ход 2028'!C46)*MAX(0,1-('Индонезия 2028'!C40+'Индонезия 2028'!F40))))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7.75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2028'!B41+'Индонезия 2028'!D41+('Индонезия 2028'!C41+'Индонезия 2028'!F41+'Индонезия 2028'!G41)+(0.35*LN(1+0.6*'Ход 2028'!B47)*POWER(MAX(0,1-'Индонезия 2028'!I41/10),0.7))))</x:f>
        <x:v>7.75</x:v>
      </x:c>
      <x:c r="C41" s="42" t="n">
        <x:f>MIN(1,'Индонезия 2028'!C41+'Индонезия 2028'!F41+(0.08*LN(1+0.5*'Ход 2028'!C47)*MAX(0,1-('Индонезия 2028'!C41+'Индонезия 2028'!F41))))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7.75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2028'!B42+'Индонезия 2028'!D42+('Индонезия 2028'!C42+'Индонезия 2028'!F42+'Индонезия 2028'!G42)+(0.35*LN(1+0.6*'Ход 2028'!B48)*POWER(MAX(0,1-'Индонезия 2028'!I42/10),0.7))))</x:f>
        <x:v>8.799999999999999</x:v>
      </x:c>
      <x:c r="C42" s="42" t="n">
        <x:f>MIN(1,'Индонезия 2028'!C42+'Индонезия 2028'!F42+(0.08*LN(1+0.5*'Ход 2028'!C48)*MAX(0,1-('Индонезия 2028'!C42+'Индонезия 2028'!F42))))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8.799999999999999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2028'!B44+'Индонезия 2028'!D44+('Индонезия 2028'!C44+'Индонезия 2028'!F44+'Индонезия 2028'!G44)+(0.35*LN(1+0.6*'Ход 2028'!B50)*POWER(MAX(0,1-'Индонезия 2028'!I44/10),0.7))))</x:f>
        <x:v>7.1000000000000005</x:v>
      </x:c>
      <x:c r="C44" s="42" t="n">
        <x:f>MIN(1,'Индонезия 2028'!C44+'Индонезия 2028'!F44+(0.08*LN(1+0.5*'Ход 2028'!C50)*MAX(0,1-('Индонезия 2028'!C44+'Индонезия 2028'!F44))))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7.1000000000000005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2028'!B45+'Индонезия 2028'!D45+('Индонезия 2028'!C45+'Индонезия 2028'!F45+'Индонезия 2028'!G45)+(0.35*LN(1+0.6*'Ход 2028'!B51)*POWER(MAX(0,1-'Индонезия 2028'!I45/10),0.7))))</x:f>
        <x:v>7.1000000000000005</x:v>
      </x:c>
      <x:c r="C45" s="42" t="n">
        <x:f>MIN(1,'Индонезия 2028'!C45+'Индонезия 2028'!F45+(0.08*LN(1+0.5*'Ход 2028'!C51)*MAX(0,1-('Индонезия 2028'!C45+'Индонезия 2028'!F45))))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7.1000000000000005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2028'!B46+'Индонезия 2028'!D46+('Индонезия 2028'!C46+'Индонезия 2028'!F46+'Индонезия 2028'!G46)+(0.35*LN(1+0.6*'Ход 2028'!B52)*POWER(MAX(0,1-'Индонезия 2028'!I46/10),0.7))))</x:f>
        <x:v>7.1000000000000005</x:v>
      </x:c>
      <x:c r="C46" s="42" t="n">
        <x:f>MIN(1,'Индонезия 2028'!C46+'Индонезия 2028'!F46+(0.08*LN(1+0.5*'Ход 2028'!C52)*MAX(0,1-('Индонезия 2028'!C46+'Индонезия 2028'!F46))))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7.1000000000000005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2028'!B47+'Индонезия 2028'!D47+('Индонезия 2028'!C47+'Индонезия 2028'!F47+'Индонезия 2028'!G47)+(0.35*LN(1+0.6*'Ход 2028'!B53)*POWER(MAX(0,1-'Индонезия 2028'!I47/10),0.7))))</x:f>
        <x:v>7.450000000000001</x:v>
      </x:c>
      <x:c r="C47" s="42" t="n">
        <x:f>MIN(1,'Индонезия 2028'!C47+'Индонезия 2028'!F47+(0.08*LN(1+0.5*'Ход 2028'!C53)*MAX(0,1-('Индонезия 2028'!C47+'Индонезия 2028'!F47))))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7.450000000000001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2028'!B48+'Индонезия 2028'!D48+('Индонезия 2028'!C48+'Индонезия 2028'!F48+'Индонезия 2028'!G48)+(0.35*LN(1+0.6*'Ход 2028'!B54)*POWER(MAX(0,1-'Индонезия 2028'!I48/10),0.7))))</x:f>
        <x:v>7.950000000000001</x:v>
      </x:c>
      <x:c r="C48" s="42" t="n">
        <x:f>MIN(1,'Индонезия 2028'!C48+'Индонезия 2028'!F48+(0.08*LN(1+0.5*'Ход 2028'!C54)*MAX(0,1-('Индонезия 2028'!C48+'Индонезия 2028'!F48))))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7.950000000000001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2028'!B49+'Индонезия 2028'!D49+('Индонезия 2028'!C49+'Индонезия 2028'!F49+'Индонезия 2028'!G49)+(0.35*LN(1+0.6*'Ход 2028'!B55)*POWER(MAX(0,1-'Индонезия 2028'!I49/10),0.7))))</x:f>
        <x:v>8.900000000000002</x:v>
      </x:c>
      <x:c r="C49" s="42" t="n">
        <x:f>MIN(1,'Индонезия 2028'!C49+'Индонезия 2028'!F49+(0.08*LN(1+0.5*'Ход 2028'!C55)*MAX(0,1-('Индонезия 2028'!C49+'Индонезия 2028'!F49))))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8.900000000000002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2028'!B50+'Индонезия 2028'!D50+('Индонезия 2028'!C50+'Индонезия 2028'!F50+'Индонезия 2028'!G50)+(0.35*LN(1+0.6*'Ход 2028'!B56)*POWER(MAX(0,1-'Индонезия 2028'!I50/10),0.7))))</x:f>
        <x:v>10</x:v>
      </x:c>
      <x:c r="C50" s="42" t="n">
        <x:f>MIN(1,'Индонезия 2028'!C50+'Индонезия 2028'!F50+(0.08*LN(1+0.5*'Ход 2028'!C56)*MAX(0,1-('Индонезия 2028'!C50+'Индонезия 2028'!F50))))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2028'!B51+'Индонезия 2028'!D51+('Индонезия 2028'!C51+'Индонезия 2028'!F51+'Индонезия 2028'!G51)+(0.35*LN(1+0.6*'Ход 2028'!B57)*POWER(MAX(0,1-'Индонезия 2028'!I51/10),0.7))))</x:f>
        <x:v>7.25</x:v>
      </x:c>
      <x:c r="C51" s="42" t="n">
        <x:f>MIN(1,'Индонезия 2028'!C51+'Индонезия 2028'!F51+(0.08*LN(1+0.5*'Ход 2028'!C57)*MAX(0,1-('Индонезия 2028'!C51+'Индонезия 2028'!F51))))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2028'!B53+'Индонезия 2028'!D53+('Индонезия 2028'!C53+'Индонезия 2028'!F53+'Индонезия 2028'!G53)+(0.35*LN(1+0.6*'Ход 2028'!B59)*POWER(MAX(0,1-'Индонезия 2028'!I53/10),0.7))))</x:f>
        <x:v>6.75</x:v>
      </x:c>
      <x:c r="C53" s="42" t="n">
        <x:f>MIN(1,'Индонезия 2028'!C53+'Индонезия 2028'!F53+(0.08*LN(1+0.5*'Ход 2028'!C59)*MAX(0,1-('Индонезия 2028'!C53+'Индонезия 2028'!F53))))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6.75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2028'!B54+'Индонезия 2028'!D54+('Индонезия 2028'!C54+'Индонезия 2028'!F54+'Индонезия 2028'!G54)+(0.35*LN(1+0.6*'Ход 2028'!B60)*POWER(MAX(0,1-'Индонезия 2028'!I54/10),0.7))))</x:f>
        <x:v>6.75</x:v>
      </x:c>
      <x:c r="C54" s="42" t="n">
        <x:f>MIN(1,'Индонезия 2028'!C54+'Индонезия 2028'!F54+(0.08*LN(1+0.5*'Ход 2028'!C60)*MAX(0,1-('Индонезия 2028'!C54+'Индонезия 2028'!F54))))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6.75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2028'!B55+'Индонезия 2028'!D55+('Индонезия 2028'!C55+'Индонезия 2028'!F55+'Индонезия 2028'!G55)+(0.35*LN(1+0.6*'Ход 2028'!B61)*POWER(MAX(0,1-'Индонезия 2028'!I55/10),0.7))))</x:f>
        <x:v>6.1000000000000005</x:v>
      </x:c>
      <x:c r="C55" s="42" t="n">
        <x:f>MIN(1,'Индонезия 2028'!C55+'Индонезия 2028'!F55+(0.08*LN(1+0.5*'Ход 2028'!C61)*MAX(0,1-('Индонезия 2028'!C55+'Индонезия 2028'!F55))))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6.1000000000000005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2029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2029'!U6</x:f>
        <x:v>89.90687256146593</x:v>
      </x:c>
      <x:c r="C6" s="42"/>
      <x:c r="D6" s="42"/>
      <x:c r="E6" s="42" t="str">
        <x:v>Доступно</x:v>
      </x:c>
      <x:c r="F6" s="42" t="n">
        <x:f>'Индонезия 2029'!K6</x:f>
        <x:v>67.10373495357786</x:v>
      </x:c>
      <x:c r="G6" s="42"/>
      <x:c r="H6" s="42"/>
      <x:c r="I6" s="42" t="str">
        <x:v>Доступно</x:v>
      </x:c>
      <x:c r="J6" s="42" t="n">
        <x:f>'Индонезия 2029'!N6</x:f>
        <x:v>66.08025620180695</x:v>
      </x:c>
      <x:c r="K6" s="42"/>
      <x:c r="L6" s="42"/>
      <x:c r="M6" s="42" t="str">
        <x:v>Доступно</x:v>
      </x:c>
      <x:c r="N6" s="42" t="n">
        <x:f>'Индонезия 2029'!Q6</x:f>
        <x:v>74.56495904323528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89.90687256146593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67.10373495357786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66.08025620180695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74.56495904323528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2029'!V11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80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2029'!V12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17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2029'!V13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13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2029'!V14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10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2029'!V15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64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2029'!V16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20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2029'!V17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98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2029'!V18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61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2029'!V19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2029'!V20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39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2029'!V21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76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2029'!V22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2029'!V23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19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2029'!V24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2029'!V25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72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2029'!V26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69.36793733486435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67.78000534393469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76.42809534143022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91.15006656857885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2029'!B8+'Индонезия 2029'!D8+('Индонезия 2029'!C8+'Индонезия 2029'!F8+'Индонезия 2029'!G8)+(0.35*LN(1+0.6*'Ход 2029'!B14)*POWER(MAX(0,1-'Индонезия 2029'!I8/10),0.7))))</x:f>
        <x:v>9.200000000000003</x:v>
      </x:c>
      <x:c r="C8" s="42" t="n">
        <x:f>MIN(1,'Индонезия 2029'!C8+'Индонезия 2029'!F8+(0.08*LN(1+0.5*'Ход 2029'!C14)*MAX(0,1-('Индонезия 2029'!C8+'Индонезия 2029'!F8))))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9.200000000000003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2029'!B9+'Индонезия 2029'!D9+('Индонезия 2029'!C9+'Индонезия 2029'!F9+'Индонезия 2029'!G9)+(0.35*LN(1+0.6*'Ход 2029'!B15)*POWER(MAX(0,1-'Индонезия 2029'!I9/10),0.7))))</x:f>
        <x:v>6.100000000000001</x:v>
      </x:c>
      <x:c r="C9" s="42" t="n">
        <x:f>MIN(1,'Индонезия 2029'!C9+'Индонезия 2029'!F9+(0.08*LN(1+0.5*'Ход 2029'!C15)*MAX(0,1-('Индонезия 2029'!C9+'Индонезия 2029'!F9))))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6.100000000000001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2029'!B10+'Индонезия 2029'!D10+('Индонезия 2029'!C10+'Индонезия 2029'!F10+'Индонезия 2029'!G10)+(0.35*LN(1+0.6*'Ход 2029'!B16)*POWER(MAX(0,1-'Индонезия 2029'!I10/10),0.7))))</x:f>
        <x:v>8.399999999999999</x:v>
      </x:c>
      <x:c r="C10" s="42" t="n">
        <x:f>MIN(1,'Индонезия 2029'!C10+'Индонезия 2029'!F10+(0.08*LN(1+0.5*'Ход 2029'!C16)*MAX(0,1-('Индонезия 2029'!C10+'Индонезия 2029'!F10))))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8.399999999999999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2029'!B11+'Индонезия 2029'!D11+('Индонезия 2029'!C11+'Индонезия 2029'!F11+'Индонезия 2029'!G11)+(0.35*LN(1+0.6*'Ход 2029'!B17)*POWER(MAX(0,1-'Индонезия 2029'!I11/10),0.7))))</x:f>
        <x:v>8.200000000000003</x:v>
      </x:c>
      <x:c r="C11" s="42" t="n">
        <x:f>MIN(1,'Индонезия 2029'!C11+'Индонезия 2029'!F11+(0.08*LN(1+0.5*'Ход 2029'!C17)*MAX(0,1-('Индонезия 2029'!C11+'Индонезия 2029'!F11))))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8.200000000000003</x:v>
      </x:c>
      <x:c r="J11" s="42"/>
      <x:c r="K11" s="42" t="str">
        <x:v>Производство</x:v>
      </x:c>
      <x:c r="L11" s="42" t="n">
        <x:f>MAX(1,MIN(10,'Индонезия 2029'!L11+'Индонезия 2029'!N11+('Индонезия 2029'!M11+'Индонезия 2029'!P11+'Индонезия 2029'!Q11)))</x:f>
        <x:v>7.899999999999999</x:v>
      </x:c>
      <x:c r="M11" s="42" t="n">
        <x:f>MIN(1,'Индонезия 2029'!M11+'Индонезия 2029'!P11+(0.10*LN(1+0.5*'Ход 2029'!H13)*POWER(MAX(0,1-'Индонезия 2029'!S11/10),0.8)))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7.899999999999999</x:v>
      </x:c>
      <x:c r="T11" s="42"/>
      <x:c r="U11" s="42" t="str">
        <x:v>Россия</x:v>
      </x:c>
      <x:c r="V11" s="64" t="n">
        <x:f>'Индонезия 2029'!V11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2029'!B12+'Индонезия 2029'!D12+('Индонезия 2029'!C12+'Индонезия 2029'!F12+'Индонезия 2029'!G12)+(0.35*LN(1+0.6*'Ход 2029'!B18)*POWER(MAX(0,1-'Индонезия 2029'!I12/10),0.7))))</x:f>
        <x:v>9.200000000000003</x:v>
      </x:c>
      <x:c r="C12" s="42" t="n">
        <x:f>MIN(1,'Индонезия 2029'!C12+'Индонезия 2029'!F12+(0.08*LN(1+0.5*'Ход 2029'!C18)*MAX(0,1-('Индонезия 2029'!C12+'Индонезия 2029'!F12))))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9.200000000000003</x:v>
      </x:c>
      <x:c r="J12" s="42"/>
      <x:c r="K12" s="42" t="str">
        <x:v>Управление</x:v>
      </x:c>
      <x:c r="L12" s="42" t="n">
        <x:f>MAX(1,MIN(10,'Индонезия 2029'!L12+'Индонезия 2029'!N12+('Индонезия 2029'!M12+'Индонезия 2029'!P12+'Индонезия 2029'!Q12)))</x:f>
        <x:v>7.699999999999999</x:v>
      </x:c>
      <x:c r="M12" s="42" t="n">
        <x:f>MIN(1,'Индонезия 2029'!M12+'Индонезия 2029'!P12+(0.10*LN(1+0.5*'Ход 2029'!H14)*POWER(MAX(0,1-'Индонезия 2029'!S12/10),0.8)))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7.699999999999999</x:v>
      </x:c>
      <x:c r="T12" s="42"/>
      <x:c r="U12" s="42" t="str">
        <x:v>США</x:v>
      </x:c>
      <x:c r="V12" s="64" t="n">
        <x:f>'Индонезия 2029'!V12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2029'!B13+'Индонезия 2029'!D13+('Индонезия 2029'!C13+'Индонезия 2029'!F13+'Индонезия 2029'!G13)+(0.35*LN(1+0.6*'Ход 2029'!B19)*POWER(MAX(0,1-'Индонезия 2029'!I13/10),0.7))))</x:f>
        <x:v>3.1999999999999993</x:v>
      </x:c>
      <x:c r="C13" s="42" t="n">
        <x:f>MIN(1,'Индонезия 2029'!C13+'Индонезия 2029'!F13+(0.08*LN(1+0.5*'Ход 2029'!C19)*MAX(0,1-('Индонезия 2029'!C13+'Индонезия 2029'!F13))))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3.1999999999999993</x:v>
      </x:c>
      <x:c r="J13" s="42"/>
      <x:c r="K13" s="42" t="str">
        <x:v>Познание</x:v>
      </x:c>
      <x:c r="L13" s="42" t="n">
        <x:f>MAX(1,MIN(10,'Индонезия 2029'!L13+'Индонезия 2029'!N13+('Индонезия 2029'!M13+'Индонезия 2029'!P13+'Индонезия 2029'!Q13)))</x:f>
        <x:v>7.699999999999999</x:v>
      </x:c>
      <x:c r="M13" s="42" t="n">
        <x:f>MIN(1,'Индонезия 2029'!M13+'Индонезия 2029'!P13+(0.10*LN(1+0.5*'Ход 2029'!H15)*POWER(MAX(0,1-'Индонезия 2029'!S13/10),0.8)))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7.699999999999999</x:v>
      </x:c>
      <x:c r="T13" s="42"/>
      <x:c r="U13" s="42" t="str">
        <x:v>Китай</x:v>
      </x:c>
      <x:c r="V13" s="64" t="n">
        <x:f>'Индонезия 2029'!V13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2029'!B14+'Индонезия 2029'!D14+('Индонезия 2029'!C14+'Индонезия 2029'!F14+'Индонезия 2029'!G14)+(0.35*LN(1+0.6*'Ход 2029'!B20)*POWER(MAX(0,1-'Индонезия 2029'!I14/10),0.7))))</x:f>
        <x:v>5.199999999999999</x:v>
      </x:c>
      <x:c r="C14" s="42" t="n">
        <x:f>MIN(1,'Индонезия 2029'!C14+'Индонезия 2029'!F14+(0.08*LN(1+0.5*'Ход 2029'!C20)*MAX(0,1-('Индонезия 2029'!C14+'Индонезия 2029'!F14))))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5.199999999999999</x:v>
      </x:c>
      <x:c r="J14" s="42"/>
      <x:c r="K14" s="42" t="str">
        <x:v>Обучение</x:v>
      </x:c>
      <x:c r="L14" s="42" t="n">
        <x:f>MAX(1,MIN(10,'Индонезия 2029'!L14+'Индонезия 2029'!N14+('Индонезия 2029'!M14+'Индонезия 2029'!P14+'Индонезия 2029'!Q14)))</x:f>
        <x:v>7.899999999999999</x:v>
      </x:c>
      <x:c r="M14" s="42" t="n">
        <x:f>MIN(1,'Индонезия 2029'!M14+'Индонезия 2029'!P14+(0.10*LN(1+0.5*'Ход 2029'!H16)*POWER(MAX(0,1-'Индонезия 2029'!S14/10),0.8)))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7.899999999999999</x:v>
      </x:c>
      <x:c r="T14" s="42"/>
      <x:c r="U14" s="42" t="str">
        <x:v>Индия</x:v>
      </x:c>
      <x:c r="V14" s="64" t="n">
        <x:f>'Индонезия 2029'!V14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2029'!B15+'Индонезия 2029'!D15+('Индонезия 2029'!C15+'Индонезия 2029'!F15+'Индонезия 2029'!G15)+(0.35*LN(1+0.6*'Ход 2029'!B21)*POWER(MAX(0,1-'Индонезия 2029'!I15/10),0.7))))</x:f>
        <x:v>7.899999999999999</x:v>
      </x:c>
      <x:c r="C15" s="42" t="n">
        <x:f>MIN(1,'Индонезия 2029'!C15+'Индонезия 2029'!F15+(0.08*LN(1+0.5*'Ход 2029'!C21)*MAX(0,1-('Индонезия 2029'!C15+'Индонезия 2029'!F15))))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7.899999999999999</x:v>
      </x:c>
      <x:c r="J15" s="42"/>
      <x:c r="K15" s="42" t="str">
        <x:v>Война</x:v>
      </x:c>
      <x:c r="L15" s="42" t="n">
        <x:f>MAX(1,MIN(10,'Индонезия 2029'!L15+'Индонезия 2029'!N15+('Индонезия 2029'!M15+'Индонезия 2029'!P15+'Индонезия 2029'!Q15)))</x:f>
        <x:v>6.5</x:v>
      </x:c>
      <x:c r="M15" s="42" t="n">
        <x:f>MIN(1,'Индонезия 2029'!M15+'Индонезия 2029'!P15+(0.10*LN(1+0.5*'Ход 2029'!H17)*POWER(MAX(0,1-'Индонезия 2029'!S15/10),0.8)))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6.5</x:v>
      </x:c>
      <x:c r="T15" s="42"/>
      <x:c r="U15" s="42" t="str">
        <x:v>Великобритания</x:v>
      </x:c>
      <x:c r="V15" s="64" t="n">
        <x:f>'Индонезия 2029'!V15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2029'!B16+'Индонезия 2029'!D16+('Индонезия 2029'!C16+'Индонезия 2029'!F16+'Индонезия 2029'!G16)+(0.35*LN(1+0.6*'Ход 2029'!B22)*POWER(MAX(0,1-'Индонезия 2029'!I16/10),0.7))))</x:f>
        <x:v>8</x:v>
      </x:c>
      <x:c r="C16" s="42" t="n">
        <x:f>MIN(1,'Индонезия 2029'!C16+'Индонезия 2029'!F16+(0.08*LN(1+0.5*'Ход 2029'!C22)*MAX(0,1-('Индонезия 2029'!C16+'Индонезия 2029'!F16))))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</x:v>
      </x:c>
      <x:c r="J16" s="42"/>
      <x:c r="K16" s="42" t="str">
        <x:v>Экономика</x:v>
      </x:c>
      <x:c r="L16" s="42" t="n">
        <x:f>MAX(1,MIN(10,'Индонезия 2029'!L16+'Индонезия 2029'!N16+('Индонезия 2029'!M16+'Индонезия 2029'!P16+'Индонезия 2029'!Q16)))</x:f>
        <x:v>8.899999999999999</x:v>
      </x:c>
      <x:c r="M16" s="42" t="n">
        <x:f>MIN(1,'Индонезия 2029'!M16+'Индонезия 2029'!P16+(0.10*LN(1+0.5*'Ход 2029'!H18)*POWER(MAX(0,1-'Индонезия 2029'!S16/10),0.8)))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8.899999999999999</x:v>
      </x:c>
      <x:c r="T16" s="42"/>
      <x:c r="U16" s="42" t="str">
        <x:v>Франция</x:v>
      </x:c>
      <x:c r="V16" s="64" t="n">
        <x:f>'Индонезия 2029'!V16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2029'!B17+'Индонезия 2029'!D17+('Индонезия 2029'!C17+'Индонезия 2029'!F17+'Индонезия 2029'!G17)+(0.35*LN(1+0.6*'Ход 2029'!B23)*POWER(MAX(0,1-'Индонезия 2029'!I17/10),0.7))))</x:f>
        <x:v>7.800000000000001</x:v>
      </x:c>
      <x:c r="C17" s="42" t="n">
        <x:f>MIN(1,'Индонезия 2029'!C17+'Индонезия 2029'!F17+(0.08*LN(1+0.5*'Ход 2029'!C23)*MAX(0,1-('Индонезия 2029'!C17+'Индонезия 2029'!F17))))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7.800000000000001</x:v>
      </x:c>
      <x:c r="J17" s="42"/>
      <x:c r="K17" s="42" t="str">
        <x:v>Государственное управление</x:v>
      </x:c>
      <x:c r="L17" s="42" t="n">
        <x:f>MAX(1,MIN(10,'Индонезия 2029'!L17+'Индонезия 2029'!N17+('Индонезия 2029'!M17+'Индонезия 2029'!P17+'Индонезия 2029'!Q17)))</x:f>
        <x:v>8.899999999999999</x:v>
      </x:c>
      <x:c r="M17" s="42" t="n">
        <x:f>MIN(1,'Индонезия 2029'!M17+'Индонезия 2029'!P17+(0.10*LN(1+0.5*'Ход 2029'!H19)*POWER(MAX(0,1-'Индонезия 2029'!S17/10),0.8)))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8.899999999999999</x:v>
      </x:c>
      <x:c r="T17" s="42"/>
      <x:c r="U17" s="42" t="str">
        <x:v>Германия</x:v>
      </x:c>
      <x:c r="V17" s="64" t="n">
        <x:f>'Индонезия 2029'!V17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2029'!L18+'Индонезия 2029'!N18+('Индонезия 2029'!M18+'Индонезия 2029'!P18+'Индонезия 2029'!Q18)))</x:f>
        <x:v>9.799999999999997</x:v>
      </x:c>
      <x:c r="M18" s="42" t="n">
        <x:f>MIN(1,'Индонезия 2029'!M18+'Индонезия 2029'!P18+(0.10*LN(1+0.5*'Ход 2029'!H20)*POWER(MAX(0,1-'Индонезия 2029'!S18/10),0.8)))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9.799999999999997</x:v>
      </x:c>
      <x:c r="T18" s="42"/>
      <x:c r="U18" s="42" t="str">
        <x:v>Япония</x:v>
      </x:c>
      <x:c r="V18" s="64" t="n">
        <x:f>'Индонезия 2029'!V18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2029'!B19+'Индонезия 2029'!D19+('Индонезия 2029'!C19+'Индонезия 2029'!F19+'Индонезия 2029'!G19)+(0.35*LN(1+0.6*'Ход 2029'!B25)*POWER(MAX(0,1-'Индонезия 2029'!I19/10),0.7))))</x:f>
        <x:v>7</x:v>
      </x:c>
      <x:c r="C19" s="42" t="n">
        <x:f>MIN(1,'Индонезия 2029'!C19+'Индонезия 2029'!F19+(0.08*LN(1+0.5*'Ход 2029'!C25)*MAX(0,1-('Индонезия 2029'!C19+'Индонезия 2029'!F19))))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2029'!V19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2029'!B20+'Индонезия 2029'!D20+('Индонезия 2029'!C20+'Индонезия 2029'!F20+'Индонезия 2029'!G20)+(0.35*LN(1+0.6*'Ход 2029'!B26)*POWER(MAX(0,1-'Индонезия 2029'!I20/10),0.7))))</x:f>
        <x:v>7.199999999999999</x:v>
      </x:c>
      <x:c r="C20" s="42" t="n">
        <x:f>MIN(1,'Индонезия 2029'!C20+'Индонезия 2029'!F20+(0.08*LN(1+0.5*'Ход 2029'!C26)*MAX(0,1-('Индонезия 2029'!C20+'Индонезия 2029'!F20))))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7.199999999999999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2029'!V20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2029'!B21+'Индонезия 2029'!D21+('Индонезия 2029'!C21+'Индонезия 2029'!F21+'Индонезия 2029'!G21)+(0.35*LN(1+0.6*'Ход 2029'!B27)*POWER(MAX(0,1-'Индонезия 2029'!I21/10),0.7))))</x:f>
        <x:v>6.699999999999999</x:v>
      </x:c>
      <x:c r="C21" s="42" t="n">
        <x:f>MIN(1,'Индонезия 2029'!C21+'Индонезия 2029'!F21+(0.08*LN(1+0.5*'Ход 2029'!C27)*MAX(0,1-('Индонезия 2029'!C21+'Индонезия 2029'!F21))))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6.699999999999999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2029'!V21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2029'!B22+'Индонезия 2029'!D22+('Индонезия 2029'!C22+'Индонезия 2029'!F22+'Индонезия 2029'!G22)+(0.35*LN(1+0.6*'Ход 2029'!B28)*POWER(MAX(0,1-'Индонезия 2029'!I22/10),0.7))))</x:f>
        <x:v>7.300000000000001</x:v>
      </x:c>
      <x:c r="C22" s="42" t="n">
        <x:f>MIN(1,'Индонезия 2029'!C22+'Индонезия 2029'!F22+(0.08*LN(1+0.5*'Ход 2029'!C28)*MAX(0,1-('Индонезия 2029'!C22+'Индонезия 2029'!F22))))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7.300000000000001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2029'!V22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2029'!B23+'Индонезия 2029'!D23+('Индонезия 2029'!C23+'Индонезия 2029'!F23+'Индонезия 2029'!G23)+(0.35*LN(1+0.6*'Ход 2029'!B29)*POWER(MAX(0,1-'Индонезия 2029'!I23/10),0.7))))</x:f>
        <x:v>7</x:v>
      </x:c>
      <x:c r="C23" s="42" t="n">
        <x:f>MIN(1,'Индонезия 2029'!C23+'Индонезия 2029'!F23+(0.08*LN(1+0.5*'Ход 2029'!C29)*MAX(0,1-('Индонезия 2029'!C23+'Индонезия 2029'!F23))))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2029'!V23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2029'!V24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2029'!B25+'Индонезия 2029'!D25+('Индонезия 2029'!C25+'Индонезия 2029'!F25+'Индонезия 2029'!G25)+(0.35*LN(1+0.6*'Ход 2029'!B31)*POWER(MAX(0,1-'Индонезия 2029'!I25/10),0.7))))</x:f>
        <x:v>8.899999999999999</x:v>
      </x:c>
      <x:c r="C25" s="42" t="n">
        <x:f>MIN(1,'Индонезия 2029'!C25+'Индонезия 2029'!F25+(0.08*LN(1+0.5*'Ход 2029'!C31)*MAX(0,1-('Индонезия 2029'!C25+'Индонезия 2029'!F25))))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8.899999999999999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2029'!V25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2029'!B26+'Индонезия 2029'!D26+('Индонезия 2029'!C26+'Индонезия 2029'!F26+'Индонезия 2029'!G26)+(0.35*LN(1+0.6*'Ход 2029'!B32)*POWER(MAX(0,1-'Индонезия 2029'!I26/10),0.7))))</x:f>
        <x:v>7.5</x:v>
      </x:c>
      <x:c r="C26" s="42" t="n">
        <x:f>MIN(1,'Индонезия 2029'!C26+'Индонезия 2029'!F26+(0.08*LN(1+0.5*'Ход 2029'!C32)*MAX(0,1-('Индонезия 2029'!C26+'Индонезия 2029'!F26))))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2029'!V26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2029'!B27+'Индонезия 2029'!D27+('Индонезия 2029'!C27+'Индонезия 2029'!F27+'Индонезия 2029'!G27)+(0.35*LN(1+0.6*'Ход 2029'!B33)*POWER(MAX(0,1-'Индонезия 2029'!I27/10),0.7))))</x:f>
        <x:v>7.800000000000001</x:v>
      </x:c>
      <x:c r="C27" s="42" t="n">
        <x:f>MIN(1,'Индонезия 2029'!C27+'Индонезия 2029'!F27+(0.08*LN(1+0.5*'Ход 2029'!C33)*MAX(0,1-('Индонезия 2029'!C27+'Индонезия 2029'!F27))))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7.800000000000001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2029'!B28+'Индонезия 2029'!D28+('Индонезия 2029'!C28+'Индонезия 2029'!F28+'Индонезия 2029'!G28)+(0.35*LN(1+0.6*'Ход 2029'!B34)*POWER(MAX(0,1-'Индонезия 2029'!I28/10),0.7))))</x:f>
        <x:v>7.199999999999999</x:v>
      </x:c>
      <x:c r="C28" s="42" t="n">
        <x:f>MIN(1,'Индонезия 2029'!C28+'Индонезия 2029'!F28+(0.08*LN(1+0.5*'Ход 2029'!C34)*MAX(0,1-('Индонезия 2029'!C28+'Индонезия 2029'!F28))))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7.199999999999999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2029'!B29+'Индонезия 2029'!D29+('Индонезия 2029'!C29+'Индонезия 2029'!F29+'Индонезия 2029'!G29)+(0.35*LN(1+0.6*'Ход 2029'!B35)*POWER(MAX(0,1-'Индонезия 2029'!I29/10),0.7))))</x:f>
        <x:v>7</x:v>
      </x:c>
      <x:c r="C29" s="42" t="n">
        <x:f>MIN(1,'Индонезия 2029'!C29+'Индонезия 2029'!F29+(0.08*LN(1+0.5*'Ход 2029'!C35)*MAX(0,1-('Индонезия 2029'!C29+'Индонезия 2029'!F29))))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2029'!B30+'Индонезия 2029'!D30+('Индонезия 2029'!C30+'Индонезия 2029'!F30+'Индонезия 2029'!G30)+(0.35*LN(1+0.6*'Ход 2029'!B36)*POWER(MAX(0,1-'Индонезия 2029'!I30/10),0.7))))</x:f>
        <x:v>6.800000000000001</x:v>
      </x:c>
      <x:c r="C30" s="42" t="n">
        <x:f>MIN(1,'Индонезия 2029'!C30+'Индонезия 2029'!F30+(0.08*LN(1+0.5*'Ход 2029'!C36)*MAX(0,1-('Индонезия 2029'!C30+'Индонезия 2029'!F30))))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6.800000000000001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2029'!B31+'Индонезия 2029'!D31+('Индонезия 2029'!C31+'Индонезия 2029'!F31+'Индонезия 2029'!G31)+(0.35*LN(1+0.6*'Ход 2029'!B37)*POWER(MAX(0,1-'Индонезия 2029'!I31/10),0.7))))</x:f>
        <x:v>6.800000000000001</x:v>
      </x:c>
      <x:c r="C31" s="42" t="n">
        <x:f>MIN(1,'Индонезия 2029'!C31+'Индонезия 2029'!F31+(0.08*LN(1+0.5*'Ход 2029'!C37)*MAX(0,1-('Индонезия 2029'!C31+'Индонезия 2029'!F31))))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6.800000000000001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2029'!B32+'Индонезия 2029'!D32+('Индонезия 2029'!C32+'Индонезия 2029'!F32+'Индонезия 2029'!G32)+(0.35*LN(1+0.6*'Ход 2029'!B38)*POWER(MAX(0,1-'Индонезия 2029'!I32/10),0.7))))</x:f>
        <x:v>7.5</x:v>
      </x:c>
      <x:c r="C32" s="42" t="n">
        <x:f>MIN(1,'Индонезия 2029'!C32+'Индонезия 2029'!F32+(0.08*LN(1+0.5*'Ход 2029'!C38)*MAX(0,1-('Индонезия 2029'!C32+'Индонезия 2029'!F32))))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2029'!B34+'Индонезия 2029'!D34+('Индонезия 2029'!C34+'Индонезия 2029'!F34+'Индонезия 2029'!G34)+(0.35*LN(1+0.6*'Ход 2029'!B40)*POWER(MAX(0,1-'Индонезия 2029'!I34/10),0.7))))</x:f>
        <x:v>8.5</x:v>
      </x:c>
      <x:c r="C34" s="42" t="n">
        <x:f>MIN(1,'Индонезия 2029'!C34+'Индонезия 2029'!F34+(0.08*LN(1+0.5*'Ход 2029'!C40)*MAX(0,1-('Индонезия 2029'!C34+'Индонезия 2029'!F34))))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2029'!B35+'Индонезия 2029'!D35+('Индонезия 2029'!C35+'Индонезия 2029'!F35+'Индонезия 2029'!G35)+(0.35*LN(1+0.6*'Ход 2029'!B41)*POWER(MAX(0,1-'Индонезия 2029'!I35/10),0.7))))</x:f>
        <x:v>8.100000000000001</x:v>
      </x:c>
      <x:c r="C35" s="42" t="n">
        <x:f>MIN(1,'Индонезия 2029'!C35+'Индонезия 2029'!F35+(0.08*LN(1+0.5*'Ход 2029'!C41)*MAX(0,1-('Индонезия 2029'!C35+'Индонезия 2029'!F35))))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8.100000000000001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2029'!B36+'Индонезия 2029'!D36+('Индонезия 2029'!C36+'Индонезия 2029'!F36+'Индонезия 2029'!G36)+(0.35*LN(1+0.6*'Ход 2029'!B42)*POWER(MAX(0,1-'Индонезия 2029'!I36/10),0.7))))</x:f>
        <x:v>8.700000000000001</x:v>
      </x:c>
      <x:c r="C36" s="42" t="n">
        <x:f>MIN(1,'Индонезия 2029'!C36+'Индонезия 2029'!F36+(0.08*LN(1+0.5*'Ход 2029'!C42)*MAX(0,1-('Индонезия 2029'!C36+'Индонезия 2029'!F36))))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8.700000000000001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2029'!B37+'Индонезия 2029'!D37+('Индонезия 2029'!C37+'Индонезия 2029'!F37+'Индонезия 2029'!G37)+(0.35*LN(1+0.6*'Ход 2029'!B43)*POWER(MAX(0,1-'Индонезия 2029'!I37/10),0.7))))</x:f>
        <x:v>7.699999999999999</x:v>
      </x:c>
      <x:c r="C37" s="42" t="n">
        <x:f>MIN(1,'Индонезия 2029'!C37+'Индонезия 2029'!F37+(0.08*LN(1+0.5*'Ход 2029'!C43)*MAX(0,1-('Индонезия 2029'!C37+'Индонезия 2029'!F37))))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7.699999999999999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2029'!B38+'Индонезия 2029'!D38+('Индонезия 2029'!C38+'Индонезия 2029'!F38+'Индонезия 2029'!G38)+(0.35*LN(1+0.6*'Ход 2029'!B44)*POWER(MAX(0,1-'Индонезия 2029'!I38/10),0.7))))</x:f>
        <x:v>7.5</x:v>
      </x:c>
      <x:c r="C38" s="42" t="n">
        <x:f>MIN(1,'Индонезия 2029'!C38+'Индонезия 2029'!F38+(0.08*LN(1+0.5*'Ход 2029'!C44)*MAX(0,1-('Индонезия 2029'!C38+'Индонезия 2029'!F38))))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2029'!B39+'Индонезия 2029'!D39+('Индонезия 2029'!C39+'Индонезия 2029'!F39+'Индонезия 2029'!G39)+(0.35*LN(1+0.6*'Ход 2029'!B45)*POWER(MAX(0,1-'Индонезия 2029'!I39/10),0.7))))</x:f>
        <x:v>8.5</x:v>
      </x:c>
      <x:c r="C39" s="42" t="n">
        <x:f>MIN(1,'Индонезия 2029'!C39+'Индонезия 2029'!F39+(0.08*LN(1+0.5*'Ход 2029'!C45)*MAX(0,1-('Индонезия 2029'!C39+'Индонезия 2029'!F39))))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2029'!B40+'Индонезия 2029'!D40+('Индонезия 2029'!C40+'Индонезия 2029'!F40+'Индонезия 2029'!G40)+(0.35*LN(1+0.6*'Ход 2029'!B46)*POWER(MAX(0,1-'Индонезия 2029'!I40/10),0.7))))</x:f>
        <x:v>8</x:v>
      </x:c>
      <x:c r="C40" s="42" t="n">
        <x:f>MIN(1,'Индонезия 2029'!C40+'Индонезия 2029'!F40+(0.08*LN(1+0.5*'Ход 2029'!C46)*MAX(0,1-('Индонезия 2029'!C40+'Индонезия 2029'!F40))))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2029'!B41+'Индонезия 2029'!D41+('Индонезия 2029'!C41+'Индонезия 2029'!F41+'Индонезия 2029'!G41)+(0.35*LN(1+0.6*'Ход 2029'!B47)*POWER(MAX(0,1-'Индонезия 2029'!I41/10),0.7))))</x:f>
        <x:v>8</x:v>
      </x:c>
      <x:c r="C41" s="42" t="n">
        <x:f>MIN(1,'Индонезия 2029'!C41+'Индонезия 2029'!F41+(0.08*LN(1+0.5*'Ход 2029'!C47)*MAX(0,1-('Индонезия 2029'!C41+'Индонезия 2029'!F41))))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2029'!B42+'Индонезия 2029'!D42+('Индонезия 2029'!C42+'Индонезия 2029'!F42+'Индонезия 2029'!G42)+(0.35*LN(1+0.6*'Ход 2029'!B48)*POWER(MAX(0,1-'Индонезия 2029'!I42/10),0.7))))</x:f>
        <x:v>8.899999999999999</x:v>
      </x:c>
      <x:c r="C42" s="42" t="n">
        <x:f>MIN(1,'Индонезия 2029'!C42+'Индонезия 2029'!F42+(0.08*LN(1+0.5*'Ход 2029'!C48)*MAX(0,1-('Индонезия 2029'!C42+'Индонезия 2029'!F42))))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8.899999999999999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2029'!B44+'Индонезия 2029'!D44+('Индонезия 2029'!C44+'Индонезия 2029'!F44+'Индонезия 2029'!G44)+(0.35*LN(1+0.6*'Ход 2029'!B50)*POWER(MAX(0,1-'Индонезия 2029'!I44/10),0.7))))</x:f>
        <x:v>7.300000000000001</x:v>
      </x:c>
      <x:c r="C44" s="42" t="n">
        <x:f>MIN(1,'Индонезия 2029'!C44+'Индонезия 2029'!F44+(0.08*LN(1+0.5*'Ход 2029'!C50)*MAX(0,1-('Индонезия 2029'!C44+'Индонезия 2029'!F44))))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7.300000000000001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2029'!B45+'Индонезия 2029'!D45+('Индонезия 2029'!C45+'Индонезия 2029'!F45+'Индонезия 2029'!G45)+(0.35*LN(1+0.6*'Ход 2029'!B51)*POWER(MAX(0,1-'Индонезия 2029'!I45/10),0.7))))</x:f>
        <x:v>7.300000000000001</x:v>
      </x:c>
      <x:c r="C45" s="42" t="n">
        <x:f>MIN(1,'Индонезия 2029'!C45+'Индонезия 2029'!F45+(0.08*LN(1+0.5*'Ход 2029'!C51)*MAX(0,1-('Индонезия 2029'!C45+'Индонезия 2029'!F45))))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7.300000000000001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2029'!B46+'Индонезия 2029'!D46+('Индонезия 2029'!C46+'Индонезия 2029'!F46+'Индонезия 2029'!G46)+(0.35*LN(1+0.6*'Ход 2029'!B52)*POWER(MAX(0,1-'Индонезия 2029'!I46/10),0.7))))</x:f>
        <x:v>7.300000000000001</x:v>
      </x:c>
      <x:c r="C46" s="42" t="n">
        <x:f>MIN(1,'Индонезия 2029'!C46+'Индонезия 2029'!F46+(0.08*LN(1+0.5*'Ход 2029'!C52)*MAX(0,1-('Индонезия 2029'!C46+'Индонезия 2029'!F46))))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7.300000000000001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2029'!B47+'Индонезия 2029'!D47+('Индонезия 2029'!C47+'Индонезия 2029'!F47+'Индонезия 2029'!G47)+(0.35*LN(1+0.6*'Ход 2029'!B53)*POWER(MAX(0,1-'Индонезия 2029'!I47/10),0.7))))</x:f>
        <x:v>7.600000000000001</x:v>
      </x:c>
      <x:c r="C47" s="42" t="n">
        <x:f>MIN(1,'Индонезия 2029'!C47+'Индонезия 2029'!F47+(0.08*LN(1+0.5*'Ход 2029'!C53)*MAX(0,1-('Индонезия 2029'!C47+'Индонезия 2029'!F47))))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7.600000000000001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2029'!B48+'Индонезия 2029'!D48+('Индонезия 2029'!C48+'Индонезия 2029'!F48+'Индонезия 2029'!G48)+(0.35*LN(1+0.6*'Ход 2029'!B54)*POWER(MAX(0,1-'Индонезия 2029'!I48/10),0.7))))</x:f>
        <x:v>8.100000000000001</x:v>
      </x:c>
      <x:c r="C48" s="42" t="n">
        <x:f>MIN(1,'Индонезия 2029'!C48+'Индонезия 2029'!F48+(0.08*LN(1+0.5*'Ход 2029'!C54)*MAX(0,1-('Индонезия 2029'!C48+'Индонезия 2029'!F48))))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8.100000000000001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2029'!B49+'Индонезия 2029'!D49+('Индонезия 2029'!C49+'Индонезия 2029'!F49+'Индонезия 2029'!G49)+(0.35*LN(1+0.6*'Ход 2029'!B55)*POWER(MAX(0,1-'Индонезия 2029'!I49/10),0.7))))</x:f>
        <x:v>9.200000000000003</x:v>
      </x:c>
      <x:c r="C49" s="42" t="n">
        <x:f>MIN(1,'Индонезия 2029'!C49+'Индонезия 2029'!F49+(0.08*LN(1+0.5*'Ход 2029'!C55)*MAX(0,1-('Индонезия 2029'!C49+'Индонезия 2029'!F49))))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9.200000000000003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2029'!B50+'Индонезия 2029'!D50+('Индонезия 2029'!C50+'Индонезия 2029'!F50+'Индонезия 2029'!G50)+(0.35*LN(1+0.6*'Ход 2029'!B56)*POWER(MAX(0,1-'Индонезия 2029'!I50/10),0.7))))</x:f>
        <x:v>10</x:v>
      </x:c>
      <x:c r="C50" s="42" t="n">
        <x:f>MIN(1,'Индонезия 2029'!C50+'Индонезия 2029'!F50+(0.08*LN(1+0.5*'Ход 2029'!C56)*MAX(0,1-('Индонезия 2029'!C50+'Индонезия 2029'!F50))))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2029'!B51+'Индонезия 2029'!D51+('Индонезия 2029'!C51+'Индонезия 2029'!F51+'Индонезия 2029'!G51)+(0.35*LN(1+0.6*'Ход 2029'!B57)*POWER(MAX(0,1-'Индонезия 2029'!I51/10),0.7))))</x:f>
        <x:v>7.5</x:v>
      </x:c>
      <x:c r="C51" s="42" t="n">
        <x:f>MIN(1,'Индонезия 2029'!C51+'Индонезия 2029'!F51+(0.08*LN(1+0.5*'Ход 2029'!C57)*MAX(0,1-('Индонезия 2029'!C51+'Индонезия 2029'!F51))))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2029'!B53+'Индонезия 2029'!D53+('Индонезия 2029'!C53+'Индонезия 2029'!F53+'Индонезия 2029'!G53)+(0.35*LN(1+0.6*'Ход 2029'!B59)*POWER(MAX(0,1-'Индонезия 2029'!I53/10),0.7))))</x:f>
        <x:v>7</x:v>
      </x:c>
      <x:c r="C53" s="42" t="n">
        <x:f>MIN(1,'Индонезия 2029'!C53+'Индонезия 2029'!F53+(0.08*LN(1+0.5*'Ход 2029'!C59)*MAX(0,1-('Индонезия 2029'!C53+'Индонезия 2029'!F53))))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2029'!B54+'Индонезия 2029'!D54+('Индонезия 2029'!C54+'Индонезия 2029'!F54+'Индонезия 2029'!G54)+(0.35*LN(1+0.6*'Ход 2029'!B60)*POWER(MAX(0,1-'Индонезия 2029'!I54/10),0.7))))</x:f>
        <x:v>7</x:v>
      </x:c>
      <x:c r="C54" s="42" t="n">
        <x:f>MIN(1,'Индонезия 2029'!C54+'Индонезия 2029'!F54+(0.08*LN(1+0.5*'Ход 2029'!C60)*MAX(0,1-('Индонезия 2029'!C54+'Индонезия 2029'!F54))))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2029'!B55+'Индонезия 2029'!D55+('Индонезия 2029'!C55+'Индонезия 2029'!F55+'Индонезия 2029'!G55)+(0.35*LN(1+0.6*'Ход 2029'!B61)*POWER(MAX(0,1-'Индонезия 2029'!I55/10),0.7))))</x:f>
        <x:v>6.300000000000001</x:v>
      </x:c>
      <x:c r="C55" s="42" t="n">
        <x:f>MIN(1,'Индонезия 2029'!C55+'Индонезия 2029'!F55+(0.08*LN(1+0.5*'Ход 2029'!C61)*MAX(0,1-('Индонезия 2029'!C55+'Индонезия 2029'!F55))))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6.300000000000001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2030'!U6</x:f>
        <x:v>91.15006656857885</x:v>
      </x:c>
      <x:c r="C6" s="42"/>
      <x:c r="D6" s="42"/>
      <x:c r="E6" s="42" t="str">
        <x:v>Доступно</x:v>
      </x:c>
      <x:c r="F6" s="42" t="n">
        <x:f>'Индонезия 2030'!K6</x:f>
        <x:v>69.36793733486435</x:v>
      </x:c>
      <x:c r="G6" s="42"/>
      <x:c r="H6" s="42"/>
      <x:c r="I6" s="42" t="str">
        <x:v>Доступно</x:v>
      </x:c>
      <x:c r="J6" s="42" t="n">
        <x:f>'Индонезия 2030'!N6</x:f>
        <x:v>67.78000534393469</x:v>
      </x:c>
      <x:c r="K6" s="42"/>
      <x:c r="L6" s="42"/>
      <x:c r="M6" s="42" t="str">
        <x:v>Доступно</x:v>
      </x:c>
      <x:c r="N6" s="42" t="n">
        <x:f>'Индонезия 2030'!Q6</x:f>
        <x:v>76.42809534143022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91.15006656857885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69.36793733486435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67.78000534393469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76.42809534143022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2030'!V11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26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2030'!V12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75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2030'!V13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83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2030'!V14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77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2030'!V15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42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2030'!V16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63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2030'!V17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39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2030'!V18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76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2030'!V19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55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87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2030'!V21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21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2030'!V22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81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2030'!V23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42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2030'!V24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92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2030'!V25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48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2031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71.42944440114597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69.37166803928552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78.27003967419799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92.33813348982459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2030'!B8+'Индонезия 2030'!D8+('Индонезия 2030'!C8+'Индонезия 2030'!F8+'Индонезия 2030'!G8)+(0.35*LN(1+0.6*'Ход 2030'!B14)*POWER(MAX(0,1-'Индонезия 2030'!I8/10),0.7))))</x:f>
        <x:v>9.250000000000004</x:v>
      </x:c>
      <x:c r="C8" s="42" t="n">
        <x:f>MIN(1,'Индонезия 2030'!C8+'Индонезия 2030'!F8+(0.08*LN(1+0.5*'Ход 2030'!C14)*MAX(0,1-('Индонезия 2030'!C8+'Индонезия 2030'!F8))))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9.250000000000004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2030'!B9+'Индонезия 2030'!D9+('Индонезия 2030'!C9+'Индонезия 2030'!F9+'Индонезия 2030'!G9)+(0.35*LN(1+0.6*'Ход 2030'!B15)*POWER(MAX(0,1-'Индонезия 2030'!I9/10),0.7))))</x:f>
        <x:v>6.250000000000002</x:v>
      </x:c>
      <x:c r="C9" s="42" t="n">
        <x:f>MIN(1,'Индонезия 2030'!C9+'Индонезия 2030'!F9+(0.08*LN(1+0.5*'Ход 2030'!C15)*MAX(0,1-('Индонезия 2030'!C9+'Индонезия 2030'!F9))))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6.250000000000002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2030'!B10+'Индонезия 2030'!D10+('Индонезия 2030'!C10+'Индонезия 2030'!F10+'Индонезия 2030'!G10)+(0.35*LN(1+0.6*'Ход 2030'!B16)*POWER(MAX(0,1-'Индонезия 2030'!I10/10),0.7))))</x:f>
        <x:v>8.499999999999998</x:v>
      </x:c>
      <x:c r="C10" s="42" t="n">
        <x:f>MIN(1,'Индонезия 2030'!C10+'Индонезия 2030'!F10+(0.08*LN(1+0.5*'Ход 2030'!C16)*MAX(0,1-('Индонезия 2030'!C10+'Индонезия 2030'!F10))))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8.499999999999998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2030'!B11+'Индонезия 2030'!D11+('Индонезия 2030'!C11+'Индонезия 2030'!F11+'Индонезия 2030'!G11)+(0.35*LN(1+0.6*'Ход 2030'!B17)*POWER(MAX(0,1-'Индонезия 2030'!I11/10),0.7))))</x:f>
        <x:v>8.250000000000004</x:v>
      </x:c>
      <x:c r="C11" s="42" t="n">
        <x:f>MIN(1,'Индонезия 2030'!C11+'Индонезия 2030'!F11+(0.08*LN(1+0.5*'Ход 2030'!C17)*MAX(0,1-('Индонезия 2030'!C11+'Индонезия 2030'!F11))))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8.250000000000004</x:v>
      </x:c>
      <x:c r="J11" s="42"/>
      <x:c r="K11" s="42" t="str">
        <x:v>Производство</x:v>
      </x:c>
      <x:c r="L11" s="42" t="n">
        <x:f>MAX(1,MIN(10,'Индонезия 2030'!L11+'Индонезия 2030'!N11+('Индонезия 2030'!M11+'Индонезия 2030'!P11+'Индонезия 2030'!Q11)))</x:f>
        <x:v>8.249999999999998</x:v>
      </x:c>
      <x:c r="M11" s="42" t="n">
        <x:f>MIN(1,'Индонезия 2030'!M11+'Индонезия 2030'!P11+(0.10*LN(1+0.5*'Ход 2030'!H13)*POWER(MAX(0,1-'Индонезия 2030'!S11/10),0.8)))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8.249999999999998</x:v>
      </x:c>
      <x:c r="T11" s="42"/>
      <x:c r="U11" s="42" t="str">
        <x:v>Россия</x:v>
      </x:c>
      <x:c r="V11" s="64" t="n">
        <x:f>'Индонезия 2030'!V11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2030'!B12+'Индонезия 2030'!D12+('Индонезия 2030'!C12+'Индонезия 2030'!F12+'Индонезия 2030'!G12)+(0.35*LN(1+0.6*'Ход 2030'!B18)*POWER(MAX(0,1-'Индонезия 2030'!I12/10),0.7))))</x:f>
        <x:v>9.250000000000004</x:v>
      </x:c>
      <x:c r="C12" s="42" t="n">
        <x:f>MIN(1,'Индонезия 2030'!C12+'Индонезия 2030'!F12+(0.08*LN(1+0.5*'Ход 2030'!C18)*MAX(0,1-('Индонезия 2030'!C12+'Индонезия 2030'!F12))))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9.250000000000004</x:v>
      </x:c>
      <x:c r="J12" s="42"/>
      <x:c r="K12" s="42" t="str">
        <x:v>Управление</x:v>
      </x:c>
      <x:c r="L12" s="42" t="n">
        <x:f>MAX(1,MIN(10,'Индонезия 2030'!L12+'Индонезия 2030'!N12+('Индонезия 2030'!M12+'Индонезия 2030'!P12+'Индонезия 2030'!Q12)))</x:f>
        <x:v>7.999999999999999</x:v>
      </x:c>
      <x:c r="M12" s="42" t="n">
        <x:f>MIN(1,'Индонезия 2030'!M12+'Индонезия 2030'!P12+(0.10*LN(1+0.5*'Ход 2030'!H14)*POWER(MAX(0,1-'Индонезия 2030'!S12/10),0.8)))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7.999999999999999</x:v>
      </x:c>
      <x:c r="T12" s="42"/>
      <x:c r="U12" s="42" t="str">
        <x:v>США</x:v>
      </x:c>
      <x:c r="V12" s="64" t="n">
        <x:f>'Индонезия 2030'!V12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2030'!B13+'Индонезия 2030'!D13+('Индонезия 2030'!C13+'Индонезия 2030'!F13+'Индонезия 2030'!G13)+(0.35*LN(1+0.6*'Ход 2030'!B19)*POWER(MAX(0,1-'Индонезия 2030'!I13/10),0.7))))</x:f>
        <x:v>3.499999999999999</x:v>
      </x:c>
      <x:c r="C13" s="42" t="n">
        <x:f>MIN(1,'Индонезия 2030'!C13+'Индонезия 2030'!F13+(0.08*LN(1+0.5*'Ход 2030'!C19)*MAX(0,1-('Индонезия 2030'!C13+'Индонезия 2030'!F13))))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3.499999999999999</x:v>
      </x:c>
      <x:c r="J13" s="42"/>
      <x:c r="K13" s="42" t="str">
        <x:v>Познание</x:v>
      </x:c>
      <x:c r="L13" s="42" t="n">
        <x:f>MAX(1,MIN(10,'Индонезия 2030'!L13+'Индонезия 2030'!N13+('Индонезия 2030'!M13+'Индонезия 2030'!P13+'Индонезия 2030'!Q13)))</x:f>
        <x:v>7.999999999999999</x:v>
      </x:c>
      <x:c r="M13" s="42" t="n">
        <x:f>MIN(1,'Индонезия 2030'!M13+'Индонезия 2030'!P13+(0.10*LN(1+0.5*'Ход 2030'!H15)*POWER(MAX(0,1-'Индонезия 2030'!S13/10),0.8)))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7.999999999999999</x:v>
      </x:c>
      <x:c r="T13" s="42"/>
      <x:c r="U13" s="42" t="str">
        <x:v>Китай</x:v>
      </x:c>
      <x:c r="V13" s="64" t="n">
        <x:f>'Индонезия 2030'!V13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2030'!B14+'Индонезия 2030'!D14+('Индонезия 2030'!C14+'Индонезия 2030'!F14+'Индонезия 2030'!G14)+(0.35*LN(1+0.6*'Ход 2030'!B20)*POWER(MAX(0,1-'Индонезия 2030'!I14/10),0.7))))</x:f>
        <x:v>5.499999999999999</x:v>
      </x:c>
      <x:c r="C14" s="42" t="n">
        <x:f>MIN(1,'Индонезия 2030'!C14+'Индонезия 2030'!F14+(0.08*LN(1+0.5*'Ход 2030'!C20)*MAX(0,1-('Индонезия 2030'!C14+'Индонезия 2030'!F14))))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5.499999999999999</x:v>
      </x:c>
      <x:c r="J14" s="42"/>
      <x:c r="K14" s="42" t="str">
        <x:v>Обучение</x:v>
      </x:c>
      <x:c r="L14" s="42" t="n">
        <x:f>MAX(1,MIN(10,'Индонезия 2030'!L14+'Индонезия 2030'!N14+('Индонезия 2030'!M14+'Индонезия 2030'!P14+'Индонезия 2030'!Q14)))</x:f>
        <x:v>8.249999999999998</x:v>
      </x:c>
      <x:c r="M14" s="42" t="n">
        <x:f>MIN(1,'Индонезия 2030'!M14+'Индонезия 2030'!P14+(0.10*LN(1+0.5*'Ход 2030'!H16)*POWER(MAX(0,1-'Индонезия 2030'!S14/10),0.8)))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8.249999999999998</x:v>
      </x:c>
      <x:c r="T14" s="42"/>
      <x:c r="U14" s="42" t="str">
        <x:v>Индия</x:v>
      </x:c>
      <x:c r="V14" s="64" t="n">
        <x:f>'Индонезия 2030'!V14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2030'!B15+'Индонезия 2030'!D15+('Индонезия 2030'!C15+'Индонезия 2030'!F15+'Индонезия 2030'!G15)+(0.35*LN(1+0.6*'Ход 2030'!B21)*POWER(MAX(0,1-'Индонезия 2030'!I15/10),0.7))))</x:f>
        <x:v>8.249999999999998</x:v>
      </x:c>
      <x:c r="C15" s="42" t="n">
        <x:f>MIN(1,'Индонезия 2030'!C15+'Индонезия 2030'!F15+(0.08*LN(1+0.5*'Ход 2030'!C21)*MAX(0,1-('Индонезия 2030'!C15+'Индонезия 2030'!F15))))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8.249999999999998</x:v>
      </x:c>
      <x:c r="J15" s="42"/>
      <x:c r="K15" s="42" t="str">
        <x:v>Война</x:v>
      </x:c>
      <x:c r="L15" s="42" t="n">
        <x:f>MAX(1,MIN(10,'Индонезия 2030'!L15+'Индонезия 2030'!N15+('Индонезия 2030'!M15+'Индонезия 2030'!P15+'Индонезия 2030'!Q15)))</x:f>
        <x:v>6.75</x:v>
      </x:c>
      <x:c r="M15" s="42" t="n">
        <x:f>MIN(1,'Индонезия 2030'!M15+'Индонезия 2030'!P15+(0.10*LN(1+0.5*'Ход 2030'!H17)*POWER(MAX(0,1-'Индонезия 2030'!S15/10),0.8)))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6.75</x:v>
      </x:c>
      <x:c r="T15" s="42"/>
      <x:c r="U15" s="42" t="str">
        <x:v>Великобритания</x:v>
      </x:c>
      <x:c r="V15" s="64" t="n">
        <x:f>'Индонезия 2030'!V15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2030'!B16+'Индонезия 2030'!D16+('Индонезия 2030'!C16+'Индонезия 2030'!F16+'Индонезия 2030'!G16)+(0.35*LN(1+0.6*'Ход 2030'!B22)*POWER(MAX(0,1-'Индонезия 2030'!I16/10),0.7))))</x:f>
        <x:v>8.25</x:v>
      </x:c>
      <x:c r="C16" s="42" t="n">
        <x:f>MIN(1,'Индонезия 2030'!C16+'Индонезия 2030'!F16+(0.08*LN(1+0.5*'Ход 2030'!C22)*MAX(0,1-('Индонезия 2030'!C16+'Индонезия 2030'!F16))))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8.25</x:v>
      </x:c>
      <x:c r="J16" s="42"/>
      <x:c r="K16" s="42" t="str">
        <x:v>Экономика</x:v>
      </x:c>
      <x:c r="L16" s="42" t="n">
        <x:f>MAX(1,MIN(10,'Индонезия 2030'!L16+'Индонезия 2030'!N16+('Индонезия 2030'!M16+'Индонезия 2030'!P16+'Индонезия 2030'!Q16)))</x:f>
        <x:v>9.249999999999998</x:v>
      </x:c>
      <x:c r="M16" s="42" t="n">
        <x:f>MIN(1,'Индонезия 2030'!M16+'Индонезия 2030'!P16+(0.10*LN(1+0.5*'Ход 2030'!H18)*POWER(MAX(0,1-'Индонезия 2030'!S16/10),0.8)))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9.249999999999998</x:v>
      </x:c>
      <x:c r="T16" s="42"/>
      <x:c r="U16" s="42" t="str">
        <x:v>Франция</x:v>
      </x:c>
      <x:c r="V16" s="64" t="n">
        <x:f>'Индонезия 2030'!V16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2030'!B17+'Индонезия 2030'!D17+('Индонезия 2030'!C17+'Индонезия 2030'!F17+'Индонезия 2030'!G17)+(0.35*LN(1+0.6*'Ход 2030'!B23)*POWER(MAX(0,1-'Индонезия 2030'!I17/10),0.7))))</x:f>
        <x:v>8</x:v>
      </x:c>
      <x:c r="C17" s="42" t="n">
        <x:f>MIN(1,'Индонезия 2030'!C17+'Индонезия 2030'!F17+(0.08*LN(1+0.5*'Ход 2030'!C23)*MAX(0,1-('Индонезия 2030'!C17+'Индонезия 2030'!F17))))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</x:v>
      </x:c>
      <x:c r="J17" s="42"/>
      <x:c r="K17" s="42" t="str">
        <x:v>Государственное управление</x:v>
      </x:c>
      <x:c r="L17" s="42" t="n">
        <x:f>MAX(1,MIN(10,'Индонезия 2030'!L17+'Индонезия 2030'!N17+('Индонезия 2030'!M17+'Индонезия 2030'!P17+'Индонезия 2030'!Q17)))</x:f>
        <x:v>9.249999999999998</x:v>
      </x:c>
      <x:c r="M17" s="42" t="n">
        <x:f>MIN(1,'Индонезия 2030'!M17+'Индонезия 2030'!P17+(0.10*LN(1+0.5*'Ход 2030'!H19)*POWER(MAX(0,1-'Индонезия 2030'!S17/10),0.8)))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9.249999999999998</x:v>
      </x:c>
      <x:c r="T17" s="42"/>
      <x:c r="U17" s="42" t="str">
        <x:v>Германия</x:v>
      </x:c>
      <x:c r="V17" s="64" t="n">
        <x:f>'Индонезия 2030'!V17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2030'!L18+'Индонезия 2030'!N18+('Индонезия 2030'!M18+'Индонезия 2030'!P18+'Индонезия 2030'!Q18)))</x:f>
        <x:v>9.999999999999996</x:v>
      </x:c>
      <x:c r="M18" s="42" t="n">
        <x:f>MIN(1,'Индонезия 2030'!M18+'Индонезия 2030'!P18+(0.10*LN(1+0.5*'Ход 2030'!H20)*POWER(MAX(0,1-'Индонезия 2030'!S18/10),0.8)))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9.999999999999996</x:v>
      </x:c>
      <x:c r="T18" s="42"/>
      <x:c r="U18" s="42" t="str">
        <x:v>Япония</x:v>
      </x:c>
      <x:c r="V18" s="64" t="n">
        <x:f>'Индонезия 2030'!V18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2030'!B19+'Индонезия 2030'!D19+('Индонезия 2030'!C19+'Индонезия 2030'!F19+'Индонезия 2030'!G19)+(0.35*LN(1+0.6*'Ход 2030'!B25)*POWER(MAX(0,1-'Индонезия 2030'!I19/10),0.7))))</x:f>
        <x:v>7.25</x:v>
      </x:c>
      <x:c r="C19" s="42" t="n">
        <x:f>MIN(1,'Индонезия 2030'!C19+'Индонезия 2030'!F19+(0.08*LN(1+0.5*'Ход 2030'!C25)*MAX(0,1-('Индонезия 2030'!C19+'Индонезия 2030'!F19))))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2030'!V19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2030'!B20+'Индонезия 2030'!D20+('Индонезия 2030'!C20+'Индонезия 2030'!F20+'Индонезия 2030'!G20)+(0.35*LN(1+0.6*'Ход 2030'!B26)*POWER(MAX(0,1-'Индонезия 2030'!I20/10),0.7))))</x:f>
        <x:v>7.499999999999999</x:v>
      </x:c>
      <x:c r="C20" s="42" t="n">
        <x:f>MIN(1,'Индонезия 2030'!C20+'Индонезия 2030'!F20+(0.08*LN(1+0.5*'Ход 2030'!C26)*MAX(0,1-('Индонезия 2030'!C20+'Индонезия 2030'!F20))))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7.499999999999999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2030'!B21+'Индонезия 2030'!D21+('Индонезия 2030'!C21+'Индонезия 2030'!F21+'Индонезия 2030'!G21)+(0.35*LN(1+0.6*'Ход 2030'!B27)*POWER(MAX(0,1-'Индонезия 2030'!I21/10),0.7))))</x:f>
        <x:v>6.999999999999999</x:v>
      </x:c>
      <x:c r="C21" s="42" t="n">
        <x:f>MIN(1,'Индонезия 2030'!C21+'Индонезия 2030'!F21+(0.08*LN(1+0.5*'Ход 2030'!C27)*MAX(0,1-('Индонезия 2030'!C21+'Индонезия 2030'!F21))))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6.999999999999999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2030'!V21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2030'!B22+'Индонезия 2030'!D22+('Индонезия 2030'!C22+'Индонезия 2030'!F22+'Индонезия 2030'!G22)+(0.35*LN(1+0.6*'Ход 2030'!B28)*POWER(MAX(0,1-'Индонезия 2030'!I22/10),0.7))))</x:f>
        <x:v>7.500000000000001</x:v>
      </x:c>
      <x:c r="C22" s="42" t="n">
        <x:f>MIN(1,'Индонезия 2030'!C22+'Индонезия 2030'!F22+(0.08*LN(1+0.5*'Ход 2030'!C28)*MAX(0,1-('Индонезия 2030'!C22+'Индонезия 2030'!F22))))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7.500000000000001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2030'!V22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2030'!B23+'Индонезия 2030'!D23+('Индонезия 2030'!C23+'Индонезия 2030'!F23+'Индонезия 2030'!G23)+(0.35*LN(1+0.6*'Ход 2030'!B29)*POWER(MAX(0,1-'Индонезия 2030'!I23/10),0.7))))</x:f>
        <x:v>7.25</x:v>
      </x:c>
      <x:c r="C23" s="42" t="n">
        <x:f>MIN(1,'Индонезия 2030'!C23+'Индонезия 2030'!F23+(0.08*LN(1+0.5*'Ход 2030'!C29)*MAX(0,1-('Индонезия 2030'!C23+'Индонезия 2030'!F23))))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2030'!V23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2030'!V24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2030'!B25+'Индонезия 2030'!D25+('Индонезия 2030'!C25+'Индонезия 2030'!F25+'Индонезия 2030'!G25)+(0.35*LN(1+0.6*'Ход 2030'!B31)*POWER(MAX(0,1-'Индонезия 2030'!I25/10),0.7))))</x:f>
        <x:v>8.999999999999998</x:v>
      </x:c>
      <x:c r="C25" s="42" t="n">
        <x:f>MIN(1,'Индонезия 2030'!C25+'Индонезия 2030'!F25+(0.08*LN(1+0.5*'Ход 2030'!C31)*MAX(0,1-('Индонезия 2030'!C25+'Индонезия 2030'!F25))))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8.999999999999998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2030'!V25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2030'!B26+'Индонезия 2030'!D26+('Индонезия 2030'!C26+'Индонезия 2030'!F26+'Индонезия 2030'!G26)+(0.35*LN(1+0.6*'Ход 2030'!B32)*POWER(MAX(0,1-'Индонезия 2030'!I26/10),0.7))))</x:f>
        <x:v>7.75</x:v>
      </x:c>
      <x:c r="C26" s="42" t="n">
        <x:f>MIN(1,'Индонезия 2030'!C26+'Индонезия 2030'!F26+(0.08*LN(1+0.5*'Ход 2030'!C32)*MAX(0,1-('Индонезия 2030'!C26+'Индонезия 2030'!F26))))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7.75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2030'!B27+'Индонезия 2030'!D27+('Индонезия 2030'!C27+'Индонезия 2030'!F27+'Индонезия 2030'!G27)+(0.35*LN(1+0.6*'Ход 2030'!B33)*POWER(MAX(0,1-'Индонезия 2030'!I27/10),0.7))))</x:f>
        <x:v>8</x:v>
      </x:c>
      <x:c r="C27" s="42" t="n">
        <x:f>MIN(1,'Индонезия 2030'!C27+'Индонезия 2030'!F27+(0.08*LN(1+0.5*'Ход 2030'!C33)*MAX(0,1-('Индонезия 2030'!C27+'Индонезия 2030'!F27))))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2030'!B28+'Индонезия 2030'!D28+('Индонезия 2030'!C28+'Индонезия 2030'!F28+'Индонезия 2030'!G28)+(0.35*LN(1+0.6*'Ход 2030'!B34)*POWER(MAX(0,1-'Индонезия 2030'!I28/10),0.7))))</x:f>
        <x:v>7.499999999999999</x:v>
      </x:c>
      <x:c r="C28" s="42" t="n">
        <x:f>MIN(1,'Индонезия 2030'!C28+'Индонезия 2030'!F28+(0.08*LN(1+0.5*'Ход 2030'!C34)*MAX(0,1-('Индонезия 2030'!C28+'Индонезия 2030'!F28))))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7.499999999999999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2030'!B29+'Индонезия 2030'!D29+('Индонезия 2030'!C29+'Индонезия 2030'!F29+'Индонезия 2030'!G29)+(0.35*LN(1+0.6*'Ход 2030'!B35)*POWER(MAX(0,1-'Индонезия 2030'!I29/10),0.7))))</x:f>
        <x:v>7.25</x:v>
      </x:c>
      <x:c r="C29" s="42" t="n">
        <x:f>MIN(1,'Индонезия 2030'!C29+'Индонезия 2030'!F29+(0.08*LN(1+0.5*'Ход 2030'!C35)*MAX(0,1-('Индонезия 2030'!C29+'Индонезия 2030'!F29))))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2030'!B30+'Индонезия 2030'!D30+('Индонезия 2030'!C30+'Индонезия 2030'!F30+'Индонезия 2030'!G30)+(0.35*LN(1+0.6*'Ход 2030'!B36)*POWER(MAX(0,1-'Индонезия 2030'!I30/10),0.7))))</x:f>
        <x:v>7.000000000000001</x:v>
      </x:c>
      <x:c r="C30" s="42" t="n">
        <x:f>MIN(1,'Индонезия 2030'!C30+'Индонезия 2030'!F30+(0.08*LN(1+0.5*'Ход 2030'!C36)*MAX(0,1-('Индонезия 2030'!C30+'Индонезия 2030'!F30))))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7.000000000000001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2030'!B31+'Индонезия 2030'!D31+('Индонезия 2030'!C31+'Индонезия 2030'!F31+'Индонезия 2030'!G31)+(0.35*LN(1+0.6*'Ход 2030'!B37)*POWER(MAX(0,1-'Индонезия 2030'!I31/10),0.7))))</x:f>
        <x:v>7.000000000000001</x:v>
      </x:c>
      <x:c r="C31" s="42" t="n">
        <x:f>MIN(1,'Индонезия 2030'!C31+'Индонезия 2030'!F31+(0.08*LN(1+0.5*'Ход 2030'!C37)*MAX(0,1-('Индонезия 2030'!C31+'Индонезия 2030'!F31))))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7.000000000000001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2030'!B32+'Индонезия 2030'!D32+('Индонезия 2030'!C32+'Индонезия 2030'!F32+'Индонезия 2030'!G32)+(0.35*LN(1+0.6*'Ход 2030'!B38)*POWER(MAX(0,1-'Индонезия 2030'!I32/10),0.7))))</x:f>
        <x:v>7.75</x:v>
      </x:c>
      <x:c r="C32" s="42" t="n">
        <x:f>MIN(1,'Индонезия 2030'!C32+'Индонезия 2030'!F32+(0.08*LN(1+0.5*'Ход 2030'!C38)*MAX(0,1-('Индонезия 2030'!C32+'Индонезия 2030'!F32))))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7.75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2030'!B34+'Индонезия 2030'!D34+('Индонезия 2030'!C34+'Индонезия 2030'!F34+'Индонезия 2030'!G34)+(0.35*LN(1+0.6*'Ход 2030'!B40)*POWER(MAX(0,1-'Индонезия 2030'!I34/10),0.7))))</x:f>
        <x:v>8.75</x:v>
      </x:c>
      <x:c r="C34" s="42" t="n">
        <x:f>MIN(1,'Индонезия 2030'!C34+'Индонезия 2030'!F34+(0.08*LN(1+0.5*'Ход 2030'!C40)*MAX(0,1-('Индонезия 2030'!C34+'Индонезия 2030'!F34))))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8.75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2030'!B35+'Индонезия 2030'!D35+('Индонезия 2030'!C35+'Индонезия 2030'!F35+'Индонезия 2030'!G35)+(0.35*LN(1+0.6*'Ход 2030'!B41)*POWER(MAX(0,1-'Индонезия 2030'!I35/10),0.7))))</x:f>
        <x:v>8.250000000000002</x:v>
      </x:c>
      <x:c r="C35" s="42" t="n">
        <x:f>MIN(1,'Индонезия 2030'!C35+'Индонезия 2030'!F35+(0.08*LN(1+0.5*'Ход 2030'!C41)*MAX(0,1-('Индонезия 2030'!C35+'Индонезия 2030'!F35))))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8.250000000000002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2030'!B36+'Индонезия 2030'!D36+('Индонезия 2030'!C36+'Индонезия 2030'!F36+'Индонезия 2030'!G36)+(0.35*LN(1+0.6*'Ход 2030'!B42)*POWER(MAX(0,1-'Индонезия 2030'!I36/10),0.7))))</x:f>
        <x:v>9.000000000000002</x:v>
      </x:c>
      <x:c r="C36" s="42" t="n">
        <x:f>MIN(1,'Индонезия 2030'!C36+'Индонезия 2030'!F36+(0.08*LN(1+0.5*'Ход 2030'!C42)*MAX(0,1-('Индонезия 2030'!C36+'Индонезия 2030'!F36))))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9.000000000000002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2030'!B37+'Индонезия 2030'!D37+('Индонезия 2030'!C37+'Индонезия 2030'!F37+'Индонезия 2030'!G37)+(0.35*LN(1+0.6*'Ход 2030'!B43)*POWER(MAX(0,1-'Индонезия 2030'!I37/10),0.7))))</x:f>
        <x:v>7.999999999999999</x:v>
      </x:c>
      <x:c r="C37" s="42" t="n">
        <x:f>MIN(1,'Индонезия 2030'!C37+'Индонезия 2030'!F37+(0.08*LN(1+0.5*'Ход 2030'!C43)*MAX(0,1-('Индонезия 2030'!C37+'Индонезия 2030'!F37))))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7.999999999999999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2030'!B38+'Индонезия 2030'!D38+('Индонезия 2030'!C38+'Индонезия 2030'!F38+'Индонезия 2030'!G38)+(0.35*LN(1+0.6*'Ход 2030'!B44)*POWER(MAX(0,1-'Индонезия 2030'!I38/10),0.7))))</x:f>
        <x:v>7.75</x:v>
      </x:c>
      <x:c r="C38" s="42" t="n">
        <x:f>MIN(1,'Индонезия 2030'!C38+'Индонезия 2030'!F38+(0.08*LN(1+0.5*'Ход 2030'!C44)*MAX(0,1-('Индонезия 2030'!C38+'Индонезия 2030'!F38))))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7.75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2030'!B39+'Индонезия 2030'!D39+('Индонезия 2030'!C39+'Индонезия 2030'!F39+'Индонезия 2030'!G39)+(0.35*LN(1+0.6*'Ход 2030'!B45)*POWER(MAX(0,1-'Индонезия 2030'!I39/10),0.7))))</x:f>
        <x:v>8.75</x:v>
      </x:c>
      <x:c r="C39" s="42" t="n">
        <x:f>MIN(1,'Индонезия 2030'!C39+'Индонезия 2030'!F39+(0.08*LN(1+0.5*'Ход 2030'!C45)*MAX(0,1-('Индонезия 2030'!C39+'Индонезия 2030'!F39))))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8.75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2030'!B40+'Индонезия 2030'!D40+('Индонезия 2030'!C40+'Индонезия 2030'!F40+'Индонезия 2030'!G40)+(0.35*LN(1+0.6*'Ход 2030'!B46)*POWER(MAX(0,1-'Индонезия 2030'!I40/10),0.7))))</x:f>
        <x:v>8.25</x:v>
      </x:c>
      <x:c r="C40" s="42" t="n">
        <x:f>MIN(1,'Индонезия 2030'!C40+'Индонезия 2030'!F40+(0.08*LN(1+0.5*'Ход 2030'!C46)*MAX(0,1-('Индонезия 2030'!C40+'Индонезия 2030'!F40))))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8.25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2030'!B41+'Индонезия 2030'!D41+('Индонезия 2030'!C41+'Индонезия 2030'!F41+'Индонезия 2030'!G41)+(0.35*LN(1+0.6*'Ход 2030'!B47)*POWER(MAX(0,1-'Индонезия 2030'!I41/10),0.7))))</x:f>
        <x:v>8.25</x:v>
      </x:c>
      <x:c r="C41" s="42" t="n">
        <x:f>MIN(1,'Индонезия 2030'!C41+'Индонезия 2030'!F41+(0.08*LN(1+0.5*'Ход 2030'!C47)*MAX(0,1-('Индонезия 2030'!C41+'Индонезия 2030'!F41))))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8.25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2030'!B42+'Индонезия 2030'!D42+('Индонезия 2030'!C42+'Индонезия 2030'!F42+'Индонезия 2030'!G42)+(0.35*LN(1+0.6*'Ход 2030'!B48)*POWER(MAX(0,1-'Индонезия 2030'!I42/10),0.7))))</x:f>
        <x:v>8.999999999999998</x:v>
      </x:c>
      <x:c r="C42" s="42" t="n">
        <x:f>MIN(1,'Индонезия 2030'!C42+'Индонезия 2030'!F42+(0.08*LN(1+0.5*'Ход 2030'!C48)*MAX(0,1-('Индонезия 2030'!C42+'Индонезия 2030'!F42))))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8.999999999999998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2030'!B44+'Индонезия 2030'!D44+('Индонезия 2030'!C44+'Индонезия 2030'!F44+'Индонезия 2030'!G44)+(0.35*LN(1+0.6*'Ход 2030'!B50)*POWER(MAX(0,1-'Индонезия 2030'!I44/10),0.7))))</x:f>
        <x:v>7.500000000000001</x:v>
      </x:c>
      <x:c r="C44" s="42" t="n">
        <x:f>MIN(1,'Индонезия 2030'!C44+'Индонезия 2030'!F44+(0.08*LN(1+0.5*'Ход 2030'!C50)*MAX(0,1-('Индонезия 2030'!C44+'Индонезия 2030'!F44))))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7.500000000000001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2030'!B45+'Индонезия 2030'!D45+('Индонезия 2030'!C45+'Индонезия 2030'!F45+'Индонезия 2030'!G45)+(0.35*LN(1+0.6*'Ход 2030'!B51)*POWER(MAX(0,1-'Индонезия 2030'!I45/10),0.7))))</x:f>
        <x:v>7.500000000000001</x:v>
      </x:c>
      <x:c r="C45" s="42" t="n">
        <x:f>MIN(1,'Индонезия 2030'!C45+'Индонезия 2030'!F45+(0.08*LN(1+0.5*'Ход 2030'!C51)*MAX(0,1-('Индонезия 2030'!C45+'Индонезия 2030'!F45))))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7.500000000000001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2030'!B46+'Индонезия 2030'!D46+('Индонезия 2030'!C46+'Индонезия 2030'!F46+'Индонезия 2030'!G46)+(0.35*LN(1+0.6*'Ход 2030'!B52)*POWER(MAX(0,1-'Индонезия 2030'!I46/10),0.7))))</x:f>
        <x:v>7.500000000000001</x:v>
      </x:c>
      <x:c r="C46" s="42" t="n">
        <x:f>MIN(1,'Индонезия 2030'!C46+'Индонезия 2030'!F46+(0.08*LN(1+0.5*'Ход 2030'!C52)*MAX(0,1-('Индонезия 2030'!C46+'Индонезия 2030'!F46))))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7.500000000000001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2030'!B47+'Индонезия 2030'!D47+('Индонезия 2030'!C47+'Индонезия 2030'!F47+'Индонезия 2030'!G47)+(0.35*LN(1+0.6*'Ход 2030'!B53)*POWER(MAX(0,1-'Индонезия 2030'!I47/10),0.7))))</x:f>
        <x:v>7.750000000000002</x:v>
      </x:c>
      <x:c r="C47" s="42" t="n">
        <x:f>MIN(1,'Индонезия 2030'!C47+'Индонезия 2030'!F47+(0.08*LN(1+0.5*'Ход 2030'!C53)*MAX(0,1-('Индонезия 2030'!C47+'Индонезия 2030'!F47))))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7.750000000000002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2030'!B48+'Индонезия 2030'!D48+('Индонезия 2030'!C48+'Индонезия 2030'!F48+'Индонезия 2030'!G48)+(0.35*LN(1+0.6*'Ход 2030'!B54)*POWER(MAX(0,1-'Индонезия 2030'!I48/10),0.7))))</x:f>
        <x:v>8.250000000000002</x:v>
      </x:c>
      <x:c r="C48" s="42" t="n">
        <x:f>MIN(1,'Индонезия 2030'!C48+'Индонезия 2030'!F48+(0.08*LN(1+0.5*'Ход 2030'!C54)*MAX(0,1-('Индонезия 2030'!C48+'Индонезия 2030'!F48))))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8.250000000000002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2030'!B49+'Индонезия 2030'!D49+('Индонезия 2030'!C49+'Индонезия 2030'!F49+'Индонезия 2030'!G49)+(0.35*LN(1+0.6*'Ход 2030'!B55)*POWER(MAX(0,1-'Индонезия 2030'!I49/10),0.7))))</x:f>
        <x:v>9.500000000000004</x:v>
      </x:c>
      <x:c r="C49" s="42" t="n">
        <x:f>MIN(1,'Индонезия 2030'!C49+'Индонезия 2030'!F49+(0.08*LN(1+0.5*'Ход 2030'!C55)*MAX(0,1-('Индонезия 2030'!C49+'Индонезия 2030'!F49))))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9.500000000000004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2030'!B50+'Индонезия 2030'!D50+('Индонезия 2030'!C50+'Индонезия 2030'!F50+'Индонезия 2030'!G50)+(0.35*LN(1+0.6*'Ход 2030'!B56)*POWER(MAX(0,1-'Индонезия 2030'!I50/10),0.7))))</x:f>
        <x:v>10</x:v>
      </x:c>
      <x:c r="C50" s="42" t="n">
        <x:f>MIN(1,'Индонезия 2030'!C50+'Индонезия 2030'!F50+(0.08*LN(1+0.5*'Ход 2030'!C56)*MAX(0,1-('Индонезия 2030'!C50+'Индонезия 2030'!F50))))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2030'!B51+'Индонезия 2030'!D51+('Индонезия 2030'!C51+'Индонезия 2030'!F51+'Индонезия 2030'!G51)+(0.35*LN(1+0.6*'Ход 2030'!B57)*POWER(MAX(0,1-'Индонезия 2030'!I51/10),0.7))))</x:f>
        <x:v>7.75</x:v>
      </x:c>
      <x:c r="C51" s="42" t="n">
        <x:f>MIN(1,'Индонезия 2030'!C51+'Индонезия 2030'!F51+(0.08*LN(1+0.5*'Ход 2030'!C57)*MAX(0,1-('Индонезия 2030'!C51+'Индонезия 2030'!F51))))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7.75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2030'!B53+'Индонезия 2030'!D53+('Индонезия 2030'!C53+'Индонезия 2030'!F53+'Индонезия 2030'!G53)+(0.35*LN(1+0.6*'Ход 2030'!B59)*POWER(MAX(0,1-'Индонезия 2030'!I53/10),0.7))))</x:f>
        <x:v>7.25</x:v>
      </x:c>
      <x:c r="C53" s="42" t="n">
        <x:f>MIN(1,'Индонезия 2030'!C53+'Индонезия 2030'!F53+(0.08*LN(1+0.5*'Ход 2030'!C59)*MAX(0,1-('Индонезия 2030'!C53+'Индонезия 2030'!F53))))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2030'!B54+'Индонезия 2030'!D54+('Индонезия 2030'!C54+'Индонезия 2030'!F54+'Индонезия 2030'!G54)+(0.35*LN(1+0.6*'Ход 2030'!B60)*POWER(MAX(0,1-'Индонезия 2030'!I54/10),0.7))))</x:f>
        <x:v>7.25</x:v>
      </x:c>
      <x:c r="C54" s="42" t="n">
        <x:f>MIN(1,'Индонезия 2030'!C54+'Индонезия 2030'!F54+(0.08*LN(1+0.5*'Ход 2030'!C60)*MAX(0,1-('Индонезия 2030'!C54+'Индонезия 2030'!F54))))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2030'!B55+'Индонезия 2030'!D55+('Индонезия 2030'!C55+'Индонезия 2030'!F55+'Индонезия 2030'!G55)+(0.35*LN(1+0.6*'Ход 2030'!B61)*POWER(MAX(0,1-'Индонезия 2030'!I55/10),0.7))))</x:f>
        <x:v>6.500000000000001</x:v>
      </x:c>
      <x:c r="C55" s="42" t="n">
        <x:f>MIN(1,'Индонезия 2030'!C55+'Индонезия 2030'!F55+(0.08*LN(1+0.5*'Ход 2030'!C61)*MAX(0,1-('Индонезия 2030'!C55+'Индонезия 2030'!F55))))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6.500000000000001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2031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2031'!U6</x:f>
        <x:v>92.33813348982459</x:v>
      </x:c>
      <x:c r="C6" s="42"/>
      <x:c r="D6" s="42"/>
      <x:c r="E6" s="42" t="str">
        <x:v>Доступно</x:v>
      </x:c>
      <x:c r="F6" s="42" t="n">
        <x:f>'Индонезия 2031'!K6</x:f>
        <x:v>71.42944440114597</x:v>
      </x:c>
      <x:c r="G6" s="42"/>
      <x:c r="H6" s="42"/>
      <x:c r="I6" s="42" t="str">
        <x:v>Доступно</x:v>
      </x:c>
      <x:c r="J6" s="42" t="n">
        <x:f>'Индонезия 2031'!N6</x:f>
        <x:v>69.37166803928552</x:v>
      </x:c>
      <x:c r="K6" s="42"/>
      <x:c r="L6" s="42"/>
      <x:c r="M6" s="42" t="str">
        <x:v>Доступно</x:v>
      </x:c>
      <x:c r="N6" s="42" t="n">
        <x:f>'Индонезия 2031'!Q6</x:f>
        <x:v>78.27003967419799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92.33813348982459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71.42944440114597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69.37166803928552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78.27003967419799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2031'!V11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57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2031'!V12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30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2031'!V13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38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2031'!V14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47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2031'!V15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91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2031'!V16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10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2031'!V17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54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2031'!V18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26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2031'!V19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91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2031'!V20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65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2031'!V21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70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2031'!V22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27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2031'!V23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6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2031'!V24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69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2031'!V25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2031'!V26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63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IF(G29="","",VLOOKUP(G29,'Технологии'!$A$11:$BF$50,49,FALSE))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IF(G30="","",VLOOKUP(G30,'Технологии'!$A$11:$BF$50,49,FALSE))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IF(G31="","",VLOOKUP(G31,'Технологии'!$A$11:$BF$50,49,FALSE))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IF(G32="","",VLOOKUP(G32,'Технологии'!$A$11:$BF$50,49,FALSE))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IF(G33="","",VLOOKUP(G33,'Технологии'!$A$11:$BF$50,49,FALSE))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IF(G34="","",VLOOKUP(G34,'Технологии'!$A$11:$BF$50,49,FALSE))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IF(G35="","",VLOOKUP(G35,'Технологии'!$A$11:$BF$50,49,FALSE))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IF(G36="","",VLOOKUP(G36,'Технологии'!$A$11:$BF$50,49,FALSE))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IF(G37="","",VLOOKUP(G37,'Технологии'!$A$11:$BF$50,49,FALSE))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IF(G38="","",VLOOKUP(G38,'Технологии'!$A$11:$BF$50,49,FALSE))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2032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73.31151600363354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70.82970542942662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80.09184391396907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93.43676522064733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2031'!B8+'Индонезия 2031'!D8+('Индонезия 2031'!C8+'Индонезия 2031'!F8+'Индонезия 2031'!G8)+(0.35*LN(1+0.6*'Ход 2031'!B14)*POWER(MAX(0,1-'Индонезия 2031'!I8/10),0.7))))</x:f>
        <x:v>9.300000000000004</x:v>
      </x:c>
      <x:c r="C8" s="42" t="n">
        <x:f>MIN(1,'Индонезия 2031'!C8+'Индонезия 2031'!F8+(0.08*LN(1+0.5*'Ход 2031'!C14)*MAX(0,1-('Индонезия 2031'!C8+'Индонезия 2031'!F8))))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9.300000000000004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2031'!B9+'Индонезия 2031'!D9+('Индонезия 2031'!C9+'Индонезия 2031'!F9+'Индонезия 2031'!G9)+(0.35*LN(1+0.6*'Ход 2031'!B15)*POWER(MAX(0,1-'Индонезия 2031'!I9/10),0.7))))</x:f>
        <x:v>6.400000000000002</x:v>
      </x:c>
      <x:c r="C9" s="42" t="n">
        <x:f>MIN(1,'Индонезия 2031'!C9+'Индонезия 2031'!F9+(0.08*LN(1+0.5*'Ход 2031'!C15)*MAX(0,1-('Индонезия 2031'!C9+'Индонезия 2031'!F9))))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6.400000000000002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2031'!B10+'Индонезия 2031'!D10+('Индонезия 2031'!C10+'Индонезия 2031'!F10+'Индонезия 2031'!G10)+(0.35*LN(1+0.6*'Ход 2031'!B16)*POWER(MAX(0,1-'Индонезия 2031'!I10/10),0.7))))</x:f>
        <x:v>8.599999999999998</x:v>
      </x:c>
      <x:c r="C10" s="42" t="n">
        <x:f>MIN(1,'Индонезия 2031'!C10+'Индонезия 2031'!F10+(0.08*LN(1+0.5*'Ход 2031'!C16)*MAX(0,1-('Индонезия 2031'!C10+'Индонезия 2031'!F10))))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8.599999999999998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2031'!B11+'Индонезия 2031'!D11+('Индонезия 2031'!C11+'Индонезия 2031'!F11+'Индонезия 2031'!G11)+(0.35*LN(1+0.6*'Ход 2031'!B17)*POWER(MAX(0,1-'Индонезия 2031'!I11/10),0.7))))</x:f>
        <x:v>8.300000000000004</x:v>
      </x:c>
      <x:c r="C11" s="42" t="n">
        <x:f>MIN(1,'Индонезия 2031'!C11+'Индонезия 2031'!F11+(0.08*LN(1+0.5*'Ход 2031'!C17)*MAX(0,1-('Индонезия 2031'!C11+'Индонезия 2031'!F11))))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8.300000000000004</x:v>
      </x:c>
      <x:c r="J11" s="42"/>
      <x:c r="K11" s="42" t="str">
        <x:v>Производство</x:v>
      </x:c>
      <x:c r="L11" s="42" t="n">
        <x:f>MAX(1,MIN(10,'Индонезия 2031'!L11+'Индонезия 2031'!N11+('Индонезия 2031'!M11+'Индонезия 2031'!P11+'Индонезия 2031'!Q11)))</x:f>
        <x:v>8.599999999999998</x:v>
      </x:c>
      <x:c r="M11" s="42" t="n">
        <x:f>MIN(1,'Индонезия 2031'!M11+'Индонезия 2031'!P11+(0.10*LN(1+0.5*'Ход 2031'!H13)*POWER(MAX(0,1-'Индонезия 2031'!S11/10),0.8)))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8.599999999999998</x:v>
      </x:c>
      <x:c r="T11" s="42"/>
      <x:c r="U11" s="42" t="str">
        <x:v>Россия</x:v>
      </x:c>
      <x:c r="V11" s="64" t="n">
        <x:f>'Индонезия 2031'!V11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2031'!B12+'Индонезия 2031'!D12+('Индонезия 2031'!C12+'Индонезия 2031'!F12+'Индонезия 2031'!G12)+(0.35*LN(1+0.6*'Ход 2031'!B18)*POWER(MAX(0,1-'Индонезия 2031'!I12/10),0.7))))</x:f>
        <x:v>9.300000000000004</x:v>
      </x:c>
      <x:c r="C12" s="42" t="n">
        <x:f>MIN(1,'Индонезия 2031'!C12+'Индонезия 2031'!F12+(0.08*LN(1+0.5*'Ход 2031'!C18)*MAX(0,1-('Индонезия 2031'!C12+'Индонезия 2031'!F12))))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9.300000000000004</x:v>
      </x:c>
      <x:c r="J12" s="42"/>
      <x:c r="K12" s="42" t="str">
        <x:v>Управление</x:v>
      </x:c>
      <x:c r="L12" s="42" t="n">
        <x:f>MAX(1,MIN(10,'Индонезия 2031'!L12+'Индонезия 2031'!N12+('Индонезия 2031'!M12+'Индонезия 2031'!P12+'Индонезия 2031'!Q12)))</x:f>
        <x:v>8.299999999999999</x:v>
      </x:c>
      <x:c r="M12" s="42" t="n">
        <x:f>MIN(1,'Индонезия 2031'!M12+'Индонезия 2031'!P12+(0.10*LN(1+0.5*'Ход 2031'!H14)*POWER(MAX(0,1-'Индонезия 2031'!S12/10),0.8)))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8.299999999999999</x:v>
      </x:c>
      <x:c r="T12" s="42"/>
      <x:c r="U12" s="42" t="str">
        <x:v>США</x:v>
      </x:c>
      <x:c r="V12" s="64" t="n">
        <x:f>'Индонезия 2031'!V12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2031'!B13+'Индонезия 2031'!D13+('Индонезия 2031'!C13+'Индонезия 2031'!F13+'Индонезия 2031'!G13)+(0.35*LN(1+0.6*'Ход 2031'!B19)*POWER(MAX(0,1-'Индонезия 2031'!I13/10),0.7))))</x:f>
        <x:v>3.799999999999999</x:v>
      </x:c>
      <x:c r="C13" s="42" t="n">
        <x:f>MIN(1,'Индонезия 2031'!C13+'Индонезия 2031'!F13+(0.08*LN(1+0.5*'Ход 2031'!C19)*MAX(0,1-('Индонезия 2031'!C13+'Индонезия 2031'!F13))))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3.799999999999999</x:v>
      </x:c>
      <x:c r="J13" s="42"/>
      <x:c r="K13" s="42" t="str">
        <x:v>Познание</x:v>
      </x:c>
      <x:c r="L13" s="42" t="n">
        <x:f>MAX(1,MIN(10,'Индонезия 2031'!L13+'Индонезия 2031'!N13+('Индонезия 2031'!M13+'Индонезия 2031'!P13+'Индонезия 2031'!Q13)))</x:f>
        <x:v>8.299999999999999</x:v>
      </x:c>
      <x:c r="M13" s="42" t="n">
        <x:f>MIN(1,'Индонезия 2031'!M13+'Индонезия 2031'!P13+(0.10*LN(1+0.5*'Ход 2031'!H15)*POWER(MAX(0,1-'Индонезия 2031'!S13/10),0.8)))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8.299999999999999</x:v>
      </x:c>
      <x:c r="T13" s="42"/>
      <x:c r="U13" s="42" t="str">
        <x:v>Китай</x:v>
      </x:c>
      <x:c r="V13" s="64" t="n">
        <x:f>'Индонезия 2031'!V13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2031'!B14+'Индонезия 2031'!D14+('Индонезия 2031'!C14+'Индонезия 2031'!F14+'Индонезия 2031'!G14)+(0.35*LN(1+0.6*'Ход 2031'!B20)*POWER(MAX(0,1-'Индонезия 2031'!I14/10),0.7))))</x:f>
        <x:v>5.799999999999999</x:v>
      </x:c>
      <x:c r="C14" s="42" t="n">
        <x:f>MIN(1,'Индонезия 2031'!C14+'Индонезия 2031'!F14+(0.08*LN(1+0.5*'Ход 2031'!C20)*MAX(0,1-('Индонезия 2031'!C14+'Индонезия 2031'!F14))))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5.799999999999999</x:v>
      </x:c>
      <x:c r="J14" s="42"/>
      <x:c r="K14" s="42" t="str">
        <x:v>Обучение</x:v>
      </x:c>
      <x:c r="L14" s="42" t="n">
        <x:f>MAX(1,MIN(10,'Индонезия 2031'!L14+'Индонезия 2031'!N14+('Индонезия 2031'!M14+'Индонезия 2031'!P14+'Индонезия 2031'!Q14)))</x:f>
        <x:v>8.599999999999998</x:v>
      </x:c>
      <x:c r="M14" s="42" t="n">
        <x:f>MIN(1,'Индонезия 2031'!M14+'Индонезия 2031'!P14+(0.10*LN(1+0.5*'Ход 2031'!H16)*POWER(MAX(0,1-'Индонезия 2031'!S14/10),0.8)))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8.599999999999998</x:v>
      </x:c>
      <x:c r="T14" s="42"/>
      <x:c r="U14" s="42" t="str">
        <x:v>Индия</x:v>
      </x:c>
      <x:c r="V14" s="64" t="n">
        <x:f>'Индонезия 2031'!V14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2031'!B15+'Индонезия 2031'!D15+('Индонезия 2031'!C15+'Индонезия 2031'!F15+'Индонезия 2031'!G15)+(0.35*LN(1+0.6*'Ход 2031'!B21)*POWER(MAX(0,1-'Индонезия 2031'!I15/10),0.7))))</x:f>
        <x:v>8.599999999999998</x:v>
      </x:c>
      <x:c r="C15" s="42" t="n">
        <x:f>MIN(1,'Индонезия 2031'!C15+'Индонезия 2031'!F15+(0.08*LN(1+0.5*'Ход 2031'!C21)*MAX(0,1-('Индонезия 2031'!C15+'Индонезия 2031'!F15))))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8.599999999999998</x:v>
      </x:c>
      <x:c r="J15" s="42"/>
      <x:c r="K15" s="42" t="str">
        <x:v>Война</x:v>
      </x:c>
      <x:c r="L15" s="42" t="n">
        <x:f>MAX(1,MIN(10,'Индонезия 2031'!L15+'Индонезия 2031'!N15+('Индонезия 2031'!M15+'Индонезия 2031'!P15+'Индонезия 2031'!Q15)))</x:f>
        <x:v>7</x:v>
      </x:c>
      <x:c r="M15" s="42" t="n">
        <x:f>MIN(1,'Индонезия 2031'!M15+'Индонезия 2031'!P15+(0.10*LN(1+0.5*'Ход 2031'!H17)*POWER(MAX(0,1-'Индонезия 2031'!S15/10),0.8)))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</x:v>
      </x:c>
      <x:c r="T15" s="42"/>
      <x:c r="U15" s="42" t="str">
        <x:v>Великобритания</x:v>
      </x:c>
      <x:c r="V15" s="64" t="n">
        <x:f>'Индонезия 2031'!V15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2031'!B16+'Индонезия 2031'!D16+('Индонезия 2031'!C16+'Индонезия 2031'!F16+'Индонезия 2031'!G16)+(0.35*LN(1+0.6*'Ход 2031'!B22)*POWER(MAX(0,1-'Индонезия 2031'!I16/10),0.7))))</x:f>
        <x:v>8.5</x:v>
      </x:c>
      <x:c r="C16" s="42" t="n">
        <x:f>MIN(1,'Индонезия 2031'!C16+'Индонезия 2031'!F16+(0.08*LN(1+0.5*'Ход 2031'!C22)*MAX(0,1-('Индонезия 2031'!C16+'Индонезия 2031'!F16))))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8.5</x:v>
      </x:c>
      <x:c r="J16" s="42"/>
      <x:c r="K16" s="42" t="str">
        <x:v>Экономика</x:v>
      </x:c>
      <x:c r="L16" s="42" t="n">
        <x:f>MAX(1,MIN(10,'Индонезия 2031'!L16+'Индонезия 2031'!N16+('Индонезия 2031'!M16+'Индонезия 2031'!P16+'Индонезия 2031'!Q16)))</x:f>
        <x:v>9.599999999999998</x:v>
      </x:c>
      <x:c r="M16" s="42" t="n">
        <x:f>MIN(1,'Индонезия 2031'!M16+'Индонезия 2031'!P16+(0.10*LN(1+0.5*'Ход 2031'!H18)*POWER(MAX(0,1-'Индонезия 2031'!S16/10),0.8)))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9.599999999999998</x:v>
      </x:c>
      <x:c r="T16" s="42"/>
      <x:c r="U16" s="42" t="str">
        <x:v>Франция</x:v>
      </x:c>
      <x:c r="V16" s="64" t="n">
        <x:f>'Индонезия 2031'!V16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2031'!B17+'Индонезия 2031'!D17+('Индонезия 2031'!C17+'Индонезия 2031'!F17+'Индонезия 2031'!G17)+(0.35*LN(1+0.6*'Ход 2031'!B23)*POWER(MAX(0,1-'Индонезия 2031'!I17/10),0.7))))</x:f>
        <x:v>8.2</x:v>
      </x:c>
      <x:c r="C17" s="42" t="n">
        <x:f>MIN(1,'Индонезия 2031'!C17+'Индонезия 2031'!F17+(0.08*LN(1+0.5*'Ход 2031'!C23)*MAX(0,1-('Индонезия 2031'!C17+'Индонезия 2031'!F17))))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8.2</x:v>
      </x:c>
      <x:c r="J17" s="42"/>
      <x:c r="K17" s="42" t="str">
        <x:v>Государственное управление</x:v>
      </x:c>
      <x:c r="L17" s="42" t="n">
        <x:f>MAX(1,MIN(10,'Индонезия 2031'!L17+'Индонезия 2031'!N17+('Индонезия 2031'!M17+'Индонезия 2031'!P17+'Индонезия 2031'!Q17)))</x:f>
        <x:v>9.599999999999998</x:v>
      </x:c>
      <x:c r="M17" s="42" t="n">
        <x:f>MIN(1,'Индонезия 2031'!M17+'Индонезия 2031'!P17+(0.10*LN(1+0.5*'Ход 2031'!H19)*POWER(MAX(0,1-'Индонезия 2031'!S17/10),0.8)))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9.599999999999998</x:v>
      </x:c>
      <x:c r="T17" s="42"/>
      <x:c r="U17" s="42" t="str">
        <x:v>Германия</x:v>
      </x:c>
      <x:c r="V17" s="64" t="n">
        <x:f>'Индонезия 2031'!V17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2031'!L18+'Индонезия 2031'!N18+('Индонезия 2031'!M18+'Индонезия 2031'!P18+'Индонезия 2031'!Q18)))</x:f>
        <x:v>10</x:v>
      </x:c>
      <x:c r="M18" s="42" t="n">
        <x:f>MIN(1,'Индонезия 2031'!M18+'Индонезия 2031'!P18+(0.10*LN(1+0.5*'Ход 2031'!H20)*POWER(MAX(0,1-'Индонезия 2031'!S18/10),0.8)))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2031'!V18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2031'!B19+'Индонезия 2031'!D19+('Индонезия 2031'!C19+'Индонезия 2031'!F19+'Индонезия 2031'!G19)+(0.35*LN(1+0.6*'Ход 2031'!B25)*POWER(MAX(0,1-'Индонезия 2031'!I19/10),0.7))))</x:f>
        <x:v>7.5</x:v>
      </x:c>
      <x:c r="C19" s="42" t="n">
        <x:f>MIN(1,'Индонезия 2031'!C19+'Индонезия 2031'!F19+(0.08*LN(1+0.5*'Ход 2031'!C25)*MAX(0,1-('Индонезия 2031'!C19+'Индонезия 2031'!F19))))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2031'!V19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2031'!B20+'Индонезия 2031'!D20+('Индонезия 2031'!C20+'Индонезия 2031'!F20+'Индонезия 2031'!G20)+(0.35*LN(1+0.6*'Ход 2031'!B26)*POWER(MAX(0,1-'Индонезия 2031'!I20/10),0.7))))</x:f>
        <x:v>7.799999999999999</x:v>
      </x:c>
      <x:c r="C20" s="42" t="n">
        <x:f>MIN(1,'Индонезия 2031'!C20+'Индонезия 2031'!F20+(0.08*LN(1+0.5*'Ход 2031'!C26)*MAX(0,1-('Индонезия 2031'!C20+'Индонезия 2031'!F20))))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7.799999999999999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2031'!V20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2031'!B21+'Индонезия 2031'!D21+('Индонезия 2031'!C21+'Индонезия 2031'!F21+'Индонезия 2031'!G21)+(0.35*LN(1+0.6*'Ход 2031'!B27)*POWER(MAX(0,1-'Индонезия 2031'!I21/10),0.7))))</x:f>
        <x:v>7.299999999999999</x:v>
      </x:c>
      <x:c r="C21" s="42" t="n">
        <x:f>MIN(1,'Индонезия 2031'!C21+'Индонезия 2031'!F21+(0.08*LN(1+0.5*'Ход 2031'!C27)*MAX(0,1-('Индонезия 2031'!C21+'Индонезия 2031'!F21))))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7.299999999999999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2031'!V21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2031'!B22+'Индонезия 2031'!D22+('Индонезия 2031'!C22+'Индонезия 2031'!F22+'Индонезия 2031'!G22)+(0.35*LN(1+0.6*'Ход 2031'!B28)*POWER(MAX(0,1-'Индонезия 2031'!I22/10),0.7))))</x:f>
        <x:v>7.700000000000001</x:v>
      </x:c>
      <x:c r="C22" s="42" t="n">
        <x:f>MIN(1,'Индонезия 2031'!C22+'Индонезия 2031'!F22+(0.08*LN(1+0.5*'Ход 2031'!C28)*MAX(0,1-('Индонезия 2031'!C22+'Индонезия 2031'!F22))))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7.700000000000001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2031'!V22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2031'!B23+'Индонезия 2031'!D23+('Индонезия 2031'!C23+'Индонезия 2031'!F23+'Индонезия 2031'!G23)+(0.35*LN(1+0.6*'Ход 2031'!B29)*POWER(MAX(0,1-'Индонезия 2031'!I23/10),0.7))))</x:f>
        <x:v>7.5</x:v>
      </x:c>
      <x:c r="C23" s="42" t="n">
        <x:f>MIN(1,'Индонезия 2031'!C23+'Индонезия 2031'!F23+(0.08*LN(1+0.5*'Ход 2031'!C29)*MAX(0,1-('Индонезия 2031'!C23+'Индонезия 2031'!F23))))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2031'!V23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2031'!V24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2031'!B25+'Индонезия 2031'!D25+('Индонезия 2031'!C25+'Индонезия 2031'!F25+'Индонезия 2031'!G25)+(0.35*LN(1+0.6*'Ход 2031'!B31)*POWER(MAX(0,1-'Индонезия 2031'!I25/10),0.7))))</x:f>
        <x:v>9.099999999999998</x:v>
      </x:c>
      <x:c r="C25" s="42" t="n">
        <x:f>MIN(1,'Индонезия 2031'!C25+'Индонезия 2031'!F25+(0.08*LN(1+0.5*'Ход 2031'!C31)*MAX(0,1-('Индонезия 2031'!C25+'Индонезия 2031'!F25))))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9.099999999999998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2031'!V25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2031'!B26+'Индонезия 2031'!D26+('Индонезия 2031'!C26+'Индонезия 2031'!F26+'Индонезия 2031'!G26)+(0.35*LN(1+0.6*'Ход 2031'!B32)*POWER(MAX(0,1-'Индонезия 2031'!I26/10),0.7))))</x:f>
        <x:v>8</x:v>
      </x:c>
      <x:c r="C26" s="42" t="n">
        <x:f>MIN(1,'Индонезия 2031'!C26+'Индонезия 2031'!F26+(0.08*LN(1+0.5*'Ход 2031'!C32)*MAX(0,1-('Индонезия 2031'!C26+'Индонезия 2031'!F26))))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2031'!V26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2031'!B27+'Индонезия 2031'!D27+('Индонезия 2031'!C27+'Индонезия 2031'!F27+'Индонезия 2031'!G27)+(0.35*LN(1+0.6*'Ход 2031'!B33)*POWER(MAX(0,1-'Индонезия 2031'!I27/10),0.7))))</x:f>
        <x:v>8.2</x:v>
      </x:c>
      <x:c r="C27" s="42" t="n">
        <x:f>MIN(1,'Индонезия 2031'!C27+'Индонезия 2031'!F27+(0.08*LN(1+0.5*'Ход 2031'!C33)*MAX(0,1-('Индонезия 2031'!C27+'Индонезия 2031'!F27))))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8.2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2031'!B28+'Индонезия 2031'!D28+('Индонезия 2031'!C28+'Индонезия 2031'!F28+'Индонезия 2031'!G28)+(0.35*LN(1+0.6*'Ход 2031'!B34)*POWER(MAX(0,1-'Индонезия 2031'!I28/10),0.7))))</x:f>
        <x:v>7.799999999999999</x:v>
      </x:c>
      <x:c r="C28" s="42" t="n">
        <x:f>MIN(1,'Индонезия 2031'!C28+'Индонезия 2031'!F28+(0.08*LN(1+0.5*'Ход 2031'!C34)*MAX(0,1-('Индонезия 2031'!C28+'Индонезия 2031'!F28))))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7.799999999999999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2031'!B29+'Индонезия 2031'!D29+('Индонезия 2031'!C29+'Индонезия 2031'!F29+'Индонезия 2031'!G29)+(0.35*LN(1+0.6*'Ход 2031'!B35)*POWER(MAX(0,1-'Индонезия 2031'!I29/10),0.7))))</x:f>
        <x:v>7.5</x:v>
      </x:c>
      <x:c r="C29" s="42" t="n">
        <x:f>MIN(1,'Индонезия 2031'!C29+'Индонезия 2031'!F29+(0.08*LN(1+0.5*'Ход 2031'!C35)*MAX(0,1-('Индонезия 2031'!C29+'Индонезия 2031'!F29))))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2031'!B30+'Индонезия 2031'!D30+('Индонезия 2031'!C30+'Индонезия 2031'!F30+'Индонезия 2031'!G30)+(0.35*LN(1+0.6*'Ход 2031'!B36)*POWER(MAX(0,1-'Индонезия 2031'!I30/10),0.7))))</x:f>
        <x:v>7.200000000000001</x:v>
      </x:c>
      <x:c r="C30" s="42" t="n">
        <x:f>MIN(1,'Индонезия 2031'!C30+'Индонезия 2031'!F30+(0.08*LN(1+0.5*'Ход 2031'!C36)*MAX(0,1-('Индонезия 2031'!C30+'Индонезия 2031'!F30))))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7.200000000000001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2031'!B31+'Индонезия 2031'!D31+('Индонезия 2031'!C31+'Индонезия 2031'!F31+'Индонезия 2031'!G31)+(0.35*LN(1+0.6*'Ход 2031'!B37)*POWER(MAX(0,1-'Индонезия 2031'!I31/10),0.7))))</x:f>
        <x:v>7.200000000000001</x:v>
      </x:c>
      <x:c r="C31" s="42" t="n">
        <x:f>MIN(1,'Индонезия 2031'!C31+'Индонезия 2031'!F31+(0.08*LN(1+0.5*'Ход 2031'!C37)*MAX(0,1-('Индонезия 2031'!C31+'Индонезия 2031'!F31))))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7.200000000000001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2031'!B32+'Индонезия 2031'!D32+('Индонезия 2031'!C32+'Индонезия 2031'!F32+'Индонезия 2031'!G32)+(0.35*LN(1+0.6*'Ход 2031'!B38)*POWER(MAX(0,1-'Индонезия 2031'!I32/10),0.7))))</x:f>
        <x:v>8</x:v>
      </x:c>
      <x:c r="C32" s="42" t="n">
        <x:f>MIN(1,'Индонезия 2031'!C32+'Индонезия 2031'!F32+(0.08*LN(1+0.5*'Ход 2031'!C38)*MAX(0,1-('Индонезия 2031'!C32+'Индонезия 2031'!F32))))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2031'!B34+'Индонезия 2031'!D34+('Индонезия 2031'!C34+'Индонезия 2031'!F34+'Индонезия 2031'!G34)+(0.35*LN(1+0.6*'Ход 2031'!B40)*POWER(MAX(0,1-'Индонезия 2031'!I34/10),0.7))))</x:f>
        <x:v>9</x:v>
      </x:c>
      <x:c r="C34" s="42" t="n">
        <x:f>MIN(1,'Индонезия 2031'!C34+'Индонезия 2031'!F34+(0.08*LN(1+0.5*'Ход 2031'!C40)*MAX(0,1-('Индонезия 2031'!C34+'Индонезия 2031'!F34))))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2031'!B35+'Индонезия 2031'!D35+('Индонезия 2031'!C35+'Индонезия 2031'!F35+'Индонезия 2031'!G35)+(0.35*LN(1+0.6*'Ход 2031'!B41)*POWER(MAX(0,1-'Индонезия 2031'!I35/10),0.7))))</x:f>
        <x:v>8.400000000000002</x:v>
      </x:c>
      <x:c r="C35" s="42" t="n">
        <x:f>MIN(1,'Индонезия 2031'!C35+'Индонезия 2031'!F35+(0.08*LN(1+0.5*'Ход 2031'!C41)*MAX(0,1-('Индонезия 2031'!C35+'Индонезия 2031'!F35))))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8.400000000000002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2031'!B36+'Индонезия 2031'!D36+('Индонезия 2031'!C36+'Индонезия 2031'!F36+'Индонезия 2031'!G36)+(0.35*LN(1+0.6*'Ход 2031'!B42)*POWER(MAX(0,1-'Индонезия 2031'!I36/10),0.7))))</x:f>
        <x:v>9.300000000000002</x:v>
      </x:c>
      <x:c r="C36" s="42" t="n">
        <x:f>MIN(1,'Индонезия 2031'!C36+'Индонезия 2031'!F36+(0.08*LN(1+0.5*'Ход 2031'!C42)*MAX(0,1-('Индонезия 2031'!C36+'Индонезия 2031'!F36))))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9.300000000000002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2031'!B37+'Индонезия 2031'!D37+('Индонезия 2031'!C37+'Индонезия 2031'!F37+'Индонезия 2031'!G37)+(0.35*LN(1+0.6*'Ход 2031'!B43)*POWER(MAX(0,1-'Индонезия 2031'!I37/10),0.7))))</x:f>
        <x:v>8.299999999999999</x:v>
      </x:c>
      <x:c r="C37" s="42" t="n">
        <x:f>MIN(1,'Индонезия 2031'!C37+'Индонезия 2031'!F37+(0.08*LN(1+0.5*'Ход 2031'!C43)*MAX(0,1-('Индонезия 2031'!C37+'Индонезия 2031'!F37))))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8.299999999999999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2031'!B38+'Индонезия 2031'!D38+('Индонезия 2031'!C38+'Индонезия 2031'!F38+'Индонезия 2031'!G38)+(0.35*LN(1+0.6*'Ход 2031'!B44)*POWER(MAX(0,1-'Индонезия 2031'!I38/10),0.7))))</x:f>
        <x:v>8</x:v>
      </x:c>
      <x:c r="C38" s="42" t="n">
        <x:f>MIN(1,'Индонезия 2031'!C38+'Индонезия 2031'!F38+(0.08*LN(1+0.5*'Ход 2031'!C44)*MAX(0,1-('Индонезия 2031'!C38+'Индонезия 2031'!F38))))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2031'!B39+'Индонезия 2031'!D39+('Индонезия 2031'!C39+'Индонезия 2031'!F39+'Индонезия 2031'!G39)+(0.35*LN(1+0.6*'Ход 2031'!B45)*POWER(MAX(0,1-'Индонезия 2031'!I39/10),0.7))))</x:f>
        <x:v>9</x:v>
      </x:c>
      <x:c r="C39" s="42" t="n">
        <x:f>MIN(1,'Индонезия 2031'!C39+'Индонезия 2031'!F39+(0.08*LN(1+0.5*'Ход 2031'!C45)*MAX(0,1-('Индонезия 2031'!C39+'Индонезия 2031'!F39))))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2031'!B40+'Индонезия 2031'!D40+('Индонезия 2031'!C40+'Индонезия 2031'!F40+'Индонезия 2031'!G40)+(0.35*LN(1+0.6*'Ход 2031'!B46)*POWER(MAX(0,1-'Индонезия 2031'!I40/10),0.7))))</x:f>
        <x:v>8.5</x:v>
      </x:c>
      <x:c r="C40" s="42" t="n">
        <x:f>MIN(1,'Индонезия 2031'!C40+'Индонезия 2031'!F40+(0.08*LN(1+0.5*'Ход 2031'!C46)*MAX(0,1-('Индонезия 2031'!C40+'Индонезия 2031'!F40))))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2031'!B41+'Индонезия 2031'!D41+('Индонезия 2031'!C41+'Индонезия 2031'!F41+'Индонезия 2031'!G41)+(0.35*LN(1+0.6*'Ход 2031'!B47)*POWER(MAX(0,1-'Индонезия 2031'!I41/10),0.7))))</x:f>
        <x:v>8.5</x:v>
      </x:c>
      <x:c r="C41" s="42" t="n">
        <x:f>MIN(1,'Индонезия 2031'!C41+'Индонезия 2031'!F41+(0.08*LN(1+0.5*'Ход 2031'!C47)*MAX(0,1-('Индонезия 2031'!C41+'Индонезия 2031'!F41))))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2031'!B42+'Индонезия 2031'!D42+('Индонезия 2031'!C42+'Индонезия 2031'!F42+'Индонезия 2031'!G42)+(0.35*LN(1+0.6*'Ход 2031'!B48)*POWER(MAX(0,1-'Индонезия 2031'!I42/10),0.7))))</x:f>
        <x:v>9.099999999999998</x:v>
      </x:c>
      <x:c r="C42" s="42" t="n">
        <x:f>MIN(1,'Индонезия 2031'!C42+'Индонезия 2031'!F42+(0.08*LN(1+0.5*'Ход 2031'!C48)*MAX(0,1-('Индонезия 2031'!C42+'Индонезия 2031'!F42))))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9.099999999999998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2031'!B44+'Индонезия 2031'!D44+('Индонезия 2031'!C44+'Индонезия 2031'!F44+'Индонезия 2031'!G44)+(0.35*LN(1+0.6*'Ход 2031'!B50)*POWER(MAX(0,1-'Индонезия 2031'!I44/10),0.7))))</x:f>
        <x:v>7.700000000000001</x:v>
      </x:c>
      <x:c r="C44" s="42" t="n">
        <x:f>MIN(1,'Индонезия 2031'!C44+'Индонезия 2031'!F44+(0.08*LN(1+0.5*'Ход 2031'!C50)*MAX(0,1-('Индонезия 2031'!C44+'Индонезия 2031'!F44))))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7.700000000000001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2031'!B45+'Индонезия 2031'!D45+('Индонезия 2031'!C45+'Индонезия 2031'!F45+'Индонезия 2031'!G45)+(0.35*LN(1+0.6*'Ход 2031'!B51)*POWER(MAX(0,1-'Индонезия 2031'!I45/10),0.7))))</x:f>
        <x:v>7.700000000000001</x:v>
      </x:c>
      <x:c r="C45" s="42" t="n">
        <x:f>MIN(1,'Индонезия 2031'!C45+'Индонезия 2031'!F45+(0.08*LN(1+0.5*'Ход 2031'!C51)*MAX(0,1-('Индонезия 2031'!C45+'Индонезия 2031'!F45))))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7.700000000000001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2031'!B46+'Индонезия 2031'!D46+('Индонезия 2031'!C46+'Индонезия 2031'!F46+'Индонезия 2031'!G46)+(0.35*LN(1+0.6*'Ход 2031'!B52)*POWER(MAX(0,1-'Индонезия 2031'!I46/10),0.7))))</x:f>
        <x:v>7.700000000000001</x:v>
      </x:c>
      <x:c r="C46" s="42" t="n">
        <x:f>MIN(1,'Индонезия 2031'!C46+'Индонезия 2031'!F46+(0.08*LN(1+0.5*'Ход 2031'!C52)*MAX(0,1-('Индонезия 2031'!C46+'Индонезия 2031'!F46))))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7.700000000000001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2031'!B47+'Индонезия 2031'!D47+('Индонезия 2031'!C47+'Индонезия 2031'!F47+'Индонезия 2031'!G47)+(0.35*LN(1+0.6*'Ход 2031'!B53)*POWER(MAX(0,1-'Индонезия 2031'!I47/10),0.7))))</x:f>
        <x:v>7.900000000000002</x:v>
      </x:c>
      <x:c r="C47" s="42" t="n">
        <x:f>MIN(1,'Индонезия 2031'!C47+'Индонезия 2031'!F47+(0.08*LN(1+0.5*'Ход 2031'!C53)*MAX(0,1-('Индонезия 2031'!C47+'Индонезия 2031'!F47))))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7.900000000000002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2031'!B48+'Индонезия 2031'!D48+('Индонезия 2031'!C48+'Индонезия 2031'!F48+'Индонезия 2031'!G48)+(0.35*LN(1+0.6*'Ход 2031'!B54)*POWER(MAX(0,1-'Индонезия 2031'!I48/10),0.7))))</x:f>
        <x:v>8.400000000000002</x:v>
      </x:c>
      <x:c r="C48" s="42" t="n">
        <x:f>MIN(1,'Индонезия 2031'!C48+'Индонезия 2031'!F48+(0.08*LN(1+0.5*'Ход 2031'!C54)*MAX(0,1-('Индонезия 2031'!C48+'Индонезия 2031'!F48))))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8.400000000000002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2031'!B49+'Индонезия 2031'!D49+('Индонезия 2031'!C49+'Индонезия 2031'!F49+'Индонезия 2031'!G49)+(0.35*LN(1+0.6*'Ход 2031'!B55)*POWER(MAX(0,1-'Индонезия 2031'!I49/10),0.7))))</x:f>
        <x:v>9.800000000000004</x:v>
      </x:c>
      <x:c r="C49" s="42" t="n">
        <x:f>MIN(1,'Индонезия 2031'!C49+'Индонезия 2031'!F49+(0.08*LN(1+0.5*'Ход 2031'!C55)*MAX(0,1-('Индонезия 2031'!C49+'Индонезия 2031'!F49))))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9.800000000000004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2031'!B50+'Индонезия 2031'!D50+('Индонезия 2031'!C50+'Индонезия 2031'!F50+'Индонезия 2031'!G50)+(0.35*LN(1+0.6*'Ход 2031'!B56)*POWER(MAX(0,1-'Индонезия 2031'!I50/10),0.7))))</x:f>
        <x:v>10</x:v>
      </x:c>
      <x:c r="C50" s="42" t="n">
        <x:f>MIN(1,'Индонезия 2031'!C50+'Индонезия 2031'!F50+(0.08*LN(1+0.5*'Ход 2031'!C56)*MAX(0,1-('Индонезия 2031'!C50+'Индонезия 2031'!F50))))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2031'!B51+'Индонезия 2031'!D51+('Индонезия 2031'!C51+'Индонезия 2031'!F51+'Индонезия 2031'!G51)+(0.35*LN(1+0.6*'Ход 2031'!B57)*POWER(MAX(0,1-'Индонезия 2031'!I51/10),0.7))))</x:f>
        <x:v>8</x:v>
      </x:c>
      <x:c r="C51" s="42" t="n">
        <x:f>MIN(1,'Индонезия 2031'!C51+'Индонезия 2031'!F51+(0.08*LN(1+0.5*'Ход 2031'!C57)*MAX(0,1-('Индонезия 2031'!C51+'Индонезия 2031'!F51))))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2031'!B53+'Индонезия 2031'!D53+('Индонезия 2031'!C53+'Индонезия 2031'!F53+'Индонезия 2031'!G53)+(0.35*LN(1+0.6*'Ход 2031'!B59)*POWER(MAX(0,1-'Индонезия 2031'!I53/10),0.7))))</x:f>
        <x:v>7.5</x:v>
      </x:c>
      <x:c r="C53" s="42" t="n">
        <x:f>MIN(1,'Индонезия 2031'!C53+'Индонезия 2031'!F53+(0.08*LN(1+0.5*'Ход 2031'!C59)*MAX(0,1-('Индонезия 2031'!C53+'Индонезия 2031'!F53))))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2031'!B54+'Индонезия 2031'!D54+('Индонезия 2031'!C54+'Индонезия 2031'!F54+'Индонезия 2031'!G54)+(0.35*LN(1+0.6*'Ход 2031'!B60)*POWER(MAX(0,1-'Индонезия 2031'!I54/10),0.7))))</x:f>
        <x:v>7.5</x:v>
      </x:c>
      <x:c r="C54" s="42" t="n">
        <x:f>MIN(1,'Индонезия 2031'!C54+'Индонезия 2031'!F54+(0.08*LN(1+0.5*'Ход 2031'!C60)*MAX(0,1-('Индонезия 2031'!C54+'Индонезия 2031'!F54))))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2031'!B55+'Индонезия 2031'!D55+('Индонезия 2031'!C55+'Индонезия 2031'!F55+'Индонезия 2031'!G55)+(0.35*LN(1+0.6*'Ход 2031'!B61)*POWER(MAX(0,1-'Индонезия 2031'!I55/10),0.7))))</x:f>
        <x:v>6.700000000000001</x:v>
      </x:c>
      <x:c r="C55" s="42" t="n">
        <x:f>MIN(1,'Индонезия 2031'!C55+'Индонезия 2031'!F55+(0.08*LN(1+0.5*'Ход 2031'!C61)*MAX(0,1-('Индонезия 2031'!C55+'Индонезия 2031'!F55))))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6.700000000000001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2032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2032'!U6</x:f>
        <x:v>93.43676522064733</x:v>
      </x:c>
      <x:c r="C6" s="42"/>
      <x:c r="D6" s="42"/>
      <x:c r="E6" s="42" t="str">
        <x:v>Доступно</x:v>
      </x:c>
      <x:c r="F6" s="42" t="n">
        <x:f>'Индонезия 2032'!K6</x:f>
        <x:v>73.31151600363354</x:v>
      </x:c>
      <x:c r="G6" s="42"/>
      <x:c r="H6" s="42"/>
      <x:c r="I6" s="42" t="str">
        <x:v>Доступно</x:v>
      </x:c>
      <x:c r="J6" s="42" t="n">
        <x:f>'Индонезия 2032'!N6</x:f>
        <x:v>70.82970542942662</x:v>
      </x:c>
      <x:c r="K6" s="42"/>
      <x:c r="L6" s="42"/>
      <x:c r="M6" s="42" t="str">
        <x:v>Доступно</x:v>
      </x:c>
      <x:c r="N6" s="42" t="n">
        <x:f>'Индонезия 2032'!Q6</x:f>
        <x:v>80.09184391396907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93.43676522064733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73.31151600363354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70.82970542942662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80.09184391396907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2032'!V11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94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2032'!V12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82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2032'!V13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33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2032'!V14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48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2032'!V15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29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2032'!V16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92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2032'!V17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37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2032'!V18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2032'!V19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2032'!V20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76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2032'!V21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2032'!V22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48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2032'!V23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11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2032'!V24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58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2032'!V25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27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2032'!V26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64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IF(G29="","",VLOOKUP(G29,'Технологии'!$A$11:$BF$50,50,FALSE))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IF(G30="","",VLOOKUP(G30,'Технологии'!$A$11:$BF$50,50,FALSE))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IF(G31="","",VLOOKUP(G31,'Технологии'!$A$11:$BF$50,50,FALSE))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IF(G32="","",VLOOKUP(G32,'Технологии'!$A$11:$BF$50,50,FALSE))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IF(G33="","",VLOOKUP(G33,'Технологии'!$A$11:$BF$50,50,FALSE))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IF(G34="","",VLOOKUP(G34,'Технологии'!$A$11:$BF$50,50,FALSE))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IF(G35="","",VLOOKUP(G35,'Технологии'!$A$11:$BF$50,50,FALSE))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IF(G36="","",VLOOKUP(G36,'Технологии'!$A$11:$BF$50,50,FALSE))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IF(G37="","",VLOOKUP(G37,'Технологии'!$A$11:$BF$50,50,FALSE))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IF(G38="","",VLOOKUP(G38,'Технологии'!$A$11:$BF$50,50,FALSE))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2033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75.02641181169881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72.19619309094799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81.89446931676684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94.49100238209823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2032'!B8+'Индонезия 2032'!D8+('Индонезия 2032'!C8+'Индонезия 2032'!F8+'Индонезия 2032'!G8)+(0.35*LN(1+0.6*'Ход 2032'!B14)*POWER(MAX(0,1-'Индонезия 2032'!I8/10),0.7))))</x:f>
        <x:v>9.350000000000005</x:v>
      </x:c>
      <x:c r="C8" s="42" t="n">
        <x:f>MIN(1,'Индонезия 2032'!C8+'Индонезия 2032'!F8+(0.08*LN(1+0.5*'Ход 2032'!C14)*MAX(0,1-('Индонезия 2032'!C8+'Индонезия 2032'!F8))))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9.350000000000005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2032'!B9+'Индонезия 2032'!D9+('Индонезия 2032'!C9+'Индонезия 2032'!F9+'Индонезия 2032'!G9)+(0.35*LN(1+0.6*'Ход 2032'!B15)*POWER(MAX(0,1-'Индонезия 2032'!I9/10),0.7))))</x:f>
        <x:v>6.5500000000000025</x:v>
      </x:c>
      <x:c r="C9" s="42" t="n">
        <x:f>MIN(1,'Индонезия 2032'!C9+'Индонезия 2032'!F9+(0.08*LN(1+0.5*'Ход 2032'!C15)*MAX(0,1-('Индонезия 2032'!C9+'Индонезия 2032'!F9))))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6.5500000000000025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2032'!B10+'Индонезия 2032'!D10+('Индонезия 2032'!C10+'Индонезия 2032'!F10+'Индонезия 2032'!G10)+(0.35*LN(1+0.6*'Ход 2032'!B16)*POWER(MAX(0,1-'Индонезия 2032'!I10/10),0.7))))</x:f>
        <x:v>8.699999999999998</x:v>
      </x:c>
      <x:c r="C10" s="42" t="n">
        <x:f>MIN(1,'Индонезия 2032'!C10+'Индонезия 2032'!F10+(0.08*LN(1+0.5*'Ход 2032'!C16)*MAX(0,1-('Индонезия 2032'!C10+'Индонезия 2032'!F10))))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8.699999999999998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2032'!B11+'Индонезия 2032'!D11+('Индонезия 2032'!C11+'Индонезия 2032'!F11+'Индонезия 2032'!G11)+(0.35*LN(1+0.6*'Ход 2032'!B17)*POWER(MAX(0,1-'Индонезия 2032'!I11/10),0.7))))</x:f>
        <x:v>8.350000000000005</x:v>
      </x:c>
      <x:c r="C11" s="42" t="n">
        <x:f>MIN(1,'Индонезия 2032'!C11+'Индонезия 2032'!F11+(0.08*LN(1+0.5*'Ход 2032'!C17)*MAX(0,1-('Индонезия 2032'!C11+'Индонезия 2032'!F11))))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8.350000000000005</x:v>
      </x:c>
      <x:c r="J11" s="42"/>
      <x:c r="K11" s="42" t="str">
        <x:v>Производство</x:v>
      </x:c>
      <x:c r="L11" s="42" t="n">
        <x:f>MAX(1,MIN(10,'Индонезия 2032'!L11+'Индонезия 2032'!N11+('Индонезия 2032'!M11+'Индонезия 2032'!P11+'Индонезия 2032'!Q11)))</x:f>
        <x:v>8.949999999999998</x:v>
      </x:c>
      <x:c r="M11" s="42" t="n">
        <x:f>MIN(1,'Индонезия 2032'!M11+'Индонезия 2032'!P11+(0.10*LN(1+0.5*'Ход 2032'!H13)*POWER(MAX(0,1-'Индонезия 2032'!S11/10),0.8)))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8.949999999999998</x:v>
      </x:c>
      <x:c r="T11" s="42"/>
      <x:c r="U11" s="42" t="str">
        <x:v>Россия</x:v>
      </x:c>
      <x:c r="V11" s="64" t="n">
        <x:f>'Индонезия 2032'!V11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2032'!B12+'Индонезия 2032'!D12+('Индонезия 2032'!C12+'Индонезия 2032'!F12+'Индонезия 2032'!G12)+(0.35*LN(1+0.6*'Ход 2032'!B18)*POWER(MAX(0,1-'Индонезия 2032'!I12/10),0.7))))</x:f>
        <x:v>9.350000000000005</x:v>
      </x:c>
      <x:c r="C12" s="42" t="n">
        <x:f>MIN(1,'Индонезия 2032'!C12+'Индонезия 2032'!F12+(0.08*LN(1+0.5*'Ход 2032'!C18)*MAX(0,1-('Индонезия 2032'!C12+'Индонезия 2032'!F12))))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9.350000000000005</x:v>
      </x:c>
      <x:c r="J12" s="42"/>
      <x:c r="K12" s="42" t="str">
        <x:v>Управление</x:v>
      </x:c>
      <x:c r="L12" s="42" t="n">
        <x:f>MAX(1,MIN(10,'Индонезия 2032'!L12+'Индонезия 2032'!N12+('Индонезия 2032'!M12+'Индонезия 2032'!P12+'Индонезия 2032'!Q12)))</x:f>
        <x:v>8.6</x:v>
      </x:c>
      <x:c r="M12" s="42" t="n">
        <x:f>MIN(1,'Индонезия 2032'!M12+'Индонезия 2032'!P12+(0.10*LN(1+0.5*'Ход 2032'!H14)*POWER(MAX(0,1-'Индонезия 2032'!S12/10),0.8)))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8.6</x:v>
      </x:c>
      <x:c r="T12" s="42"/>
      <x:c r="U12" s="42" t="str">
        <x:v>США</x:v>
      </x:c>
      <x:c r="V12" s="64" t="n">
        <x:f>'Индонезия 2032'!V12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2032'!B13+'Индонезия 2032'!D13+('Индонезия 2032'!C13+'Индонезия 2032'!F13+'Индонезия 2032'!G13)+(0.35*LN(1+0.6*'Ход 2032'!B19)*POWER(MAX(0,1-'Индонезия 2032'!I13/10),0.7))))</x:f>
        <x:v>4.099999999999999</x:v>
      </x:c>
      <x:c r="C13" s="42" t="n">
        <x:f>MIN(1,'Индонезия 2032'!C13+'Индонезия 2032'!F13+(0.08*LN(1+0.5*'Ход 2032'!C19)*MAX(0,1-('Индонезия 2032'!C13+'Индонезия 2032'!F13))))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4.099999999999999</x:v>
      </x:c>
      <x:c r="J13" s="42"/>
      <x:c r="K13" s="42" t="str">
        <x:v>Познание</x:v>
      </x:c>
      <x:c r="L13" s="42" t="n">
        <x:f>MAX(1,MIN(10,'Индонезия 2032'!L13+'Индонезия 2032'!N13+('Индонезия 2032'!M13+'Индонезия 2032'!P13+'Индонезия 2032'!Q13)))</x:f>
        <x:v>8.6</x:v>
      </x:c>
      <x:c r="M13" s="42" t="n">
        <x:f>MIN(1,'Индонезия 2032'!M13+'Индонезия 2032'!P13+(0.10*LN(1+0.5*'Ход 2032'!H15)*POWER(MAX(0,1-'Индонезия 2032'!S13/10),0.8)))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8.6</x:v>
      </x:c>
      <x:c r="T13" s="42"/>
      <x:c r="U13" s="42" t="str">
        <x:v>Китай</x:v>
      </x:c>
      <x:c r="V13" s="64" t="n">
        <x:f>'Индонезия 2032'!V13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2032'!B14+'Индонезия 2032'!D14+('Индонезия 2032'!C14+'Индонезия 2032'!F14+'Индонезия 2032'!G14)+(0.35*LN(1+0.6*'Ход 2032'!B20)*POWER(MAX(0,1-'Индонезия 2032'!I14/10),0.7))))</x:f>
        <x:v>6.099999999999999</x:v>
      </x:c>
      <x:c r="C14" s="42" t="n">
        <x:f>MIN(1,'Индонезия 2032'!C14+'Индонезия 2032'!F14+(0.08*LN(1+0.5*'Ход 2032'!C20)*MAX(0,1-('Индонезия 2032'!C14+'Индонезия 2032'!F14))))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6.099999999999999</x:v>
      </x:c>
      <x:c r="J14" s="42"/>
      <x:c r="K14" s="42" t="str">
        <x:v>Обучение</x:v>
      </x:c>
      <x:c r="L14" s="42" t="n">
        <x:f>MAX(1,MIN(10,'Индонезия 2032'!L14+'Индонезия 2032'!N14+('Индонезия 2032'!M14+'Индонезия 2032'!P14+'Индонезия 2032'!Q14)))</x:f>
        <x:v>8.949999999999998</x:v>
      </x:c>
      <x:c r="M14" s="42" t="n">
        <x:f>MIN(1,'Индонезия 2032'!M14+'Индонезия 2032'!P14+(0.10*LN(1+0.5*'Ход 2032'!H16)*POWER(MAX(0,1-'Индонезия 2032'!S14/10),0.8)))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8.949999999999998</x:v>
      </x:c>
      <x:c r="T14" s="42"/>
      <x:c r="U14" s="42" t="str">
        <x:v>Индия</x:v>
      </x:c>
      <x:c r="V14" s="64" t="n">
        <x:f>'Индонезия 2032'!V14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2032'!B15+'Индонезия 2032'!D15+('Индонезия 2032'!C15+'Индонезия 2032'!F15+'Индонезия 2032'!G15)+(0.35*LN(1+0.6*'Ход 2032'!B21)*POWER(MAX(0,1-'Индонезия 2032'!I15/10),0.7))))</x:f>
        <x:v>8.949999999999998</x:v>
      </x:c>
      <x:c r="C15" s="42" t="n">
        <x:f>MIN(1,'Индонезия 2032'!C15+'Индонезия 2032'!F15+(0.08*LN(1+0.5*'Ход 2032'!C21)*MAX(0,1-('Индонезия 2032'!C15+'Индонезия 2032'!F15))))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8.949999999999998</x:v>
      </x:c>
      <x:c r="J15" s="42"/>
      <x:c r="K15" s="42" t="str">
        <x:v>Война</x:v>
      </x:c>
      <x:c r="L15" s="42" t="n">
        <x:f>MAX(1,MIN(10,'Индонезия 2032'!L15+'Индонезия 2032'!N15+('Индонезия 2032'!M15+'Индонезия 2032'!P15+'Индонезия 2032'!Q15)))</x:f>
        <x:v>7.25</x:v>
      </x:c>
      <x:c r="M15" s="42" t="n">
        <x:f>MIN(1,'Индонезия 2032'!M15+'Индонезия 2032'!P15+(0.10*LN(1+0.5*'Ход 2032'!H17)*POWER(MAX(0,1-'Индонезия 2032'!S15/10),0.8)))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7.25</x:v>
      </x:c>
      <x:c r="T15" s="42"/>
      <x:c r="U15" s="42" t="str">
        <x:v>Великобритания</x:v>
      </x:c>
      <x:c r="V15" s="64" t="n">
        <x:f>'Индонезия 2032'!V15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2032'!B16+'Индонезия 2032'!D16+('Индонезия 2032'!C16+'Индонезия 2032'!F16+'Индонезия 2032'!G16)+(0.35*LN(1+0.6*'Ход 2032'!B22)*POWER(MAX(0,1-'Индонезия 2032'!I16/10),0.7))))</x:f>
        <x:v>8.75</x:v>
      </x:c>
      <x:c r="C16" s="42" t="n">
        <x:f>MIN(1,'Индонезия 2032'!C16+'Индонезия 2032'!F16+(0.08*LN(1+0.5*'Ход 2032'!C22)*MAX(0,1-('Индонезия 2032'!C16+'Индонезия 2032'!F16))))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8.75</x:v>
      </x:c>
      <x:c r="J16" s="42"/>
      <x:c r="K16" s="42" t="str">
        <x:v>Экономика</x:v>
      </x:c>
      <x:c r="L16" s="42" t="n">
        <x:f>MAX(1,MIN(10,'Индонезия 2032'!L16+'Индонезия 2032'!N16+('Индонезия 2032'!M16+'Индонезия 2032'!P16+'Индонезия 2032'!Q16)))</x:f>
        <x:v>9.949999999999998</x:v>
      </x:c>
      <x:c r="M16" s="42" t="n">
        <x:f>MIN(1,'Индонезия 2032'!M16+'Индонезия 2032'!P16+(0.10*LN(1+0.5*'Ход 2032'!H18)*POWER(MAX(0,1-'Индонезия 2032'!S16/10),0.8)))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9.949999999999998</x:v>
      </x:c>
      <x:c r="T16" s="42"/>
      <x:c r="U16" s="42" t="str">
        <x:v>Франция</x:v>
      </x:c>
      <x:c r="V16" s="64" t="n">
        <x:f>'Индонезия 2032'!V16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2032'!B17+'Индонезия 2032'!D17+('Индонезия 2032'!C17+'Индонезия 2032'!F17+'Индонезия 2032'!G17)+(0.35*LN(1+0.6*'Ход 2032'!B23)*POWER(MAX(0,1-'Индонезия 2032'!I17/10),0.7))))</x:f>
        <x:v>8.399999999999999</x:v>
      </x:c>
      <x:c r="C17" s="42" t="n">
        <x:f>MIN(1,'Индонезия 2032'!C17+'Индонезия 2032'!F17+(0.08*LN(1+0.5*'Ход 2032'!C23)*MAX(0,1-('Индонезия 2032'!C17+'Индонезия 2032'!F17))))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8.399999999999999</x:v>
      </x:c>
      <x:c r="J17" s="42"/>
      <x:c r="K17" s="42" t="str">
        <x:v>Государственное управление</x:v>
      </x:c>
      <x:c r="L17" s="42" t="n">
        <x:f>MAX(1,MIN(10,'Индонезия 2032'!L17+'Индонезия 2032'!N17+('Индонезия 2032'!M17+'Индонезия 2032'!P17+'Индонезия 2032'!Q17)))</x:f>
        <x:v>9.949999999999998</x:v>
      </x:c>
      <x:c r="M17" s="42" t="n">
        <x:f>MIN(1,'Индонезия 2032'!M17+'Индонезия 2032'!P17+(0.10*LN(1+0.5*'Ход 2032'!H19)*POWER(MAX(0,1-'Индонезия 2032'!S17/10),0.8)))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9.949999999999998</x:v>
      </x:c>
      <x:c r="T17" s="42"/>
      <x:c r="U17" s="42" t="str">
        <x:v>Германия</x:v>
      </x:c>
      <x:c r="V17" s="64" t="n">
        <x:f>'Индонезия 2032'!V17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2032'!L18+'Индонезия 2032'!N18+('Индонезия 2032'!M18+'Индонезия 2032'!P18+'Индонезия 2032'!Q18)))</x:f>
        <x:v>10</x:v>
      </x:c>
      <x:c r="M18" s="42" t="n">
        <x:f>MIN(1,'Индонезия 2032'!M18+'Индонезия 2032'!P18+(0.10*LN(1+0.5*'Ход 2032'!H20)*POWER(MAX(0,1-'Индонезия 2032'!S18/10),0.8)))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2032'!V18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2032'!B19+'Индонезия 2032'!D19+('Индонезия 2032'!C19+'Индонезия 2032'!F19+'Индонезия 2032'!G19)+(0.35*LN(1+0.6*'Ход 2032'!B25)*POWER(MAX(0,1-'Индонезия 2032'!I19/10),0.7))))</x:f>
        <x:v>7.75</x:v>
      </x:c>
      <x:c r="C19" s="42" t="n">
        <x:f>MIN(1,'Индонезия 2032'!C19+'Индонезия 2032'!F19+(0.08*LN(1+0.5*'Ход 2032'!C25)*MAX(0,1-('Индонезия 2032'!C19+'Индонезия 2032'!F19))))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7.75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2032'!V19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2032'!B20+'Индонезия 2032'!D20+('Индонезия 2032'!C20+'Индонезия 2032'!F20+'Индонезия 2032'!G20)+(0.35*LN(1+0.6*'Ход 2032'!B26)*POWER(MAX(0,1-'Индонезия 2032'!I20/10),0.7))))</x:f>
        <x:v>8.1</x:v>
      </x:c>
      <x:c r="C20" s="42" t="n">
        <x:f>MIN(1,'Индонезия 2032'!C20+'Индонезия 2032'!F20+(0.08*LN(1+0.5*'Ход 2032'!C26)*MAX(0,1-('Индонезия 2032'!C20+'Индонезия 2032'!F20))))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2032'!V20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2032'!B21+'Индонезия 2032'!D21+('Индонезия 2032'!C21+'Индонезия 2032'!F21+'Индонезия 2032'!G21)+(0.35*LN(1+0.6*'Ход 2032'!B27)*POWER(MAX(0,1-'Индонезия 2032'!I21/10),0.7))))</x:f>
        <x:v>7.599999999999999</x:v>
      </x:c>
      <x:c r="C21" s="42" t="n">
        <x:f>MIN(1,'Индонезия 2032'!C21+'Индонезия 2032'!F21+(0.08*LN(1+0.5*'Ход 2032'!C27)*MAX(0,1-('Индонезия 2032'!C21+'Индонезия 2032'!F21))))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7.599999999999999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2032'!V21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2032'!B22+'Индонезия 2032'!D22+('Индонезия 2032'!C22+'Индонезия 2032'!F22+'Индонезия 2032'!G22)+(0.35*LN(1+0.6*'Ход 2032'!B28)*POWER(MAX(0,1-'Индонезия 2032'!I22/10),0.7))))</x:f>
        <x:v>7.900000000000001</x:v>
      </x:c>
      <x:c r="C22" s="42" t="n">
        <x:f>MIN(1,'Индонезия 2032'!C22+'Индонезия 2032'!F22+(0.08*LN(1+0.5*'Ход 2032'!C28)*MAX(0,1-('Индонезия 2032'!C22+'Индонезия 2032'!F22))))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7.900000000000001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2032'!V22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2032'!B23+'Индонезия 2032'!D23+('Индонезия 2032'!C23+'Индонезия 2032'!F23+'Индонезия 2032'!G23)+(0.35*LN(1+0.6*'Ход 2032'!B29)*POWER(MAX(0,1-'Индонезия 2032'!I23/10),0.7))))</x:f>
        <x:v>7.75</x:v>
      </x:c>
      <x:c r="C23" s="42" t="n">
        <x:f>MIN(1,'Индонезия 2032'!C23+'Индонезия 2032'!F23+(0.08*LN(1+0.5*'Ход 2032'!C29)*MAX(0,1-('Индонезия 2032'!C23+'Индонезия 2032'!F23))))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7.75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2032'!V23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2032'!V24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2032'!B25+'Индонезия 2032'!D25+('Индонезия 2032'!C25+'Индонезия 2032'!F25+'Индонезия 2032'!G25)+(0.35*LN(1+0.6*'Ход 2032'!B31)*POWER(MAX(0,1-'Индонезия 2032'!I25/10),0.7))))</x:f>
        <x:v>9.199999999999998</x:v>
      </x:c>
      <x:c r="C25" s="42" t="n">
        <x:f>MIN(1,'Индонезия 2032'!C25+'Индонезия 2032'!F25+(0.08*LN(1+0.5*'Ход 2032'!C31)*MAX(0,1-('Индонезия 2032'!C25+'Индонезия 2032'!F25))))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9.199999999999998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2032'!V25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2032'!B26+'Индонезия 2032'!D26+('Индонезия 2032'!C26+'Индонезия 2032'!F26+'Индонезия 2032'!G26)+(0.35*LN(1+0.6*'Ход 2032'!B32)*POWER(MAX(0,1-'Индонезия 2032'!I26/10),0.7))))</x:f>
        <x:v>8.25</x:v>
      </x:c>
      <x:c r="C26" s="42" t="n">
        <x:f>MIN(1,'Индонезия 2032'!C26+'Индонезия 2032'!F26+(0.08*LN(1+0.5*'Ход 2032'!C32)*MAX(0,1-('Индонезия 2032'!C26+'Индонезия 2032'!F26))))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2032'!V26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2032'!B27+'Индонезия 2032'!D27+('Индонезия 2032'!C27+'Индонезия 2032'!F27+'Индонезия 2032'!G27)+(0.35*LN(1+0.6*'Ход 2032'!B33)*POWER(MAX(0,1-'Индонезия 2032'!I27/10),0.7))))</x:f>
        <x:v>8.399999999999999</x:v>
      </x:c>
      <x:c r="C27" s="42" t="n">
        <x:f>MIN(1,'Индонезия 2032'!C27+'Индонезия 2032'!F27+(0.08*LN(1+0.5*'Ход 2032'!C33)*MAX(0,1-('Индонезия 2032'!C27+'Индонезия 2032'!F27))))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8.399999999999999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2032'!B28+'Индонезия 2032'!D28+('Индонезия 2032'!C28+'Индонезия 2032'!F28+'Индонезия 2032'!G28)+(0.35*LN(1+0.6*'Ход 2032'!B34)*POWER(MAX(0,1-'Индонезия 2032'!I28/10),0.7))))</x:f>
        <x:v>8.1</x:v>
      </x:c>
      <x:c r="C28" s="42" t="n">
        <x:f>MIN(1,'Индонезия 2032'!C28+'Индонезия 2032'!F28+(0.08*LN(1+0.5*'Ход 2032'!C34)*MAX(0,1-('Индонезия 2032'!C28+'Индонезия 2032'!F28))))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2032'!B29+'Индонезия 2032'!D29+('Индонезия 2032'!C29+'Индонезия 2032'!F29+'Индонезия 2032'!G29)+(0.35*LN(1+0.6*'Ход 2032'!B35)*POWER(MAX(0,1-'Индонезия 2032'!I29/10),0.7))))</x:f>
        <x:v>7.75</x:v>
      </x:c>
      <x:c r="C29" s="42" t="n">
        <x:f>MIN(1,'Индонезия 2032'!C29+'Индонезия 2032'!F29+(0.08*LN(1+0.5*'Ход 2032'!C35)*MAX(0,1-('Индонезия 2032'!C29+'Индонезия 2032'!F29))))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7.75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2032'!B30+'Индонезия 2032'!D30+('Индонезия 2032'!C30+'Индонезия 2032'!F30+'Индонезия 2032'!G30)+(0.35*LN(1+0.6*'Ход 2032'!B36)*POWER(MAX(0,1-'Индонезия 2032'!I30/10),0.7))))</x:f>
        <x:v>7.400000000000001</x:v>
      </x:c>
      <x:c r="C30" s="42" t="n">
        <x:f>MIN(1,'Индонезия 2032'!C30+'Индонезия 2032'!F30+(0.08*LN(1+0.5*'Ход 2032'!C36)*MAX(0,1-('Индонезия 2032'!C30+'Индонезия 2032'!F30))))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7.400000000000001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2032'!B31+'Индонезия 2032'!D31+('Индонезия 2032'!C31+'Индонезия 2032'!F31+'Индонезия 2032'!G31)+(0.35*LN(1+0.6*'Ход 2032'!B37)*POWER(MAX(0,1-'Индонезия 2032'!I31/10),0.7))))</x:f>
        <x:v>7.400000000000001</x:v>
      </x:c>
      <x:c r="C31" s="42" t="n">
        <x:f>MIN(1,'Индонезия 2032'!C31+'Индонезия 2032'!F31+(0.08*LN(1+0.5*'Ход 2032'!C37)*MAX(0,1-('Индонезия 2032'!C31+'Индонезия 2032'!F31))))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7.400000000000001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2032'!B32+'Индонезия 2032'!D32+('Индонезия 2032'!C32+'Индонезия 2032'!F32+'Индонезия 2032'!G32)+(0.35*LN(1+0.6*'Ход 2032'!B38)*POWER(MAX(0,1-'Индонезия 2032'!I32/10),0.7))))</x:f>
        <x:v>8.25</x:v>
      </x:c>
      <x:c r="C32" s="42" t="n">
        <x:f>MIN(1,'Индонезия 2032'!C32+'Индонезия 2032'!F32+(0.08*LN(1+0.5*'Ход 2032'!C38)*MAX(0,1-('Индонезия 2032'!C32+'Индонезия 2032'!F32))))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8.25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2032'!B34+'Индонезия 2032'!D34+('Индонезия 2032'!C34+'Индонезия 2032'!F34+'Индонезия 2032'!G34)+(0.35*LN(1+0.6*'Ход 2032'!B40)*POWER(MAX(0,1-'Индонезия 2032'!I34/10),0.7))))</x:f>
        <x:v>9.25</x:v>
      </x:c>
      <x:c r="C34" s="42" t="n">
        <x:f>MIN(1,'Индонезия 2032'!C34+'Индонезия 2032'!F34+(0.08*LN(1+0.5*'Ход 2032'!C40)*MAX(0,1-('Индонезия 2032'!C34+'Индонезия 2032'!F34))))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9.25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2032'!B35+'Индонезия 2032'!D35+('Индонезия 2032'!C35+'Индонезия 2032'!F35+'Индонезия 2032'!G35)+(0.35*LN(1+0.6*'Ход 2032'!B41)*POWER(MAX(0,1-'Индонезия 2032'!I35/10),0.7))))</x:f>
        <x:v>8.550000000000002</x:v>
      </x:c>
      <x:c r="C35" s="42" t="n">
        <x:f>MIN(1,'Индонезия 2032'!C35+'Индонезия 2032'!F35+(0.08*LN(1+0.5*'Ход 2032'!C41)*MAX(0,1-('Индонезия 2032'!C35+'Индонезия 2032'!F35))))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8.550000000000002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2032'!B36+'Индонезия 2032'!D36+('Индонезия 2032'!C36+'Индонезия 2032'!F36+'Индонезия 2032'!G36)+(0.35*LN(1+0.6*'Ход 2032'!B42)*POWER(MAX(0,1-'Индонезия 2032'!I36/10),0.7))))</x:f>
        <x:v>9.600000000000003</x:v>
      </x:c>
      <x:c r="C36" s="42" t="n">
        <x:f>MIN(1,'Индонезия 2032'!C36+'Индонезия 2032'!F36+(0.08*LN(1+0.5*'Ход 2032'!C42)*MAX(0,1-('Индонезия 2032'!C36+'Индонезия 2032'!F36))))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9.600000000000003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2032'!B37+'Индонезия 2032'!D37+('Индонезия 2032'!C37+'Индонезия 2032'!F37+'Индонезия 2032'!G37)+(0.35*LN(1+0.6*'Ход 2032'!B43)*POWER(MAX(0,1-'Индонезия 2032'!I37/10),0.7))))</x:f>
        <x:v>8.6</x:v>
      </x:c>
      <x:c r="C37" s="42" t="n">
        <x:f>MIN(1,'Индонезия 2032'!C37+'Индонезия 2032'!F37+(0.08*LN(1+0.5*'Ход 2032'!C43)*MAX(0,1-('Индонезия 2032'!C37+'Индонезия 2032'!F37))))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8.6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2032'!B38+'Индонезия 2032'!D38+('Индонезия 2032'!C38+'Индонезия 2032'!F38+'Индонезия 2032'!G38)+(0.35*LN(1+0.6*'Ход 2032'!B44)*POWER(MAX(0,1-'Индонезия 2032'!I38/10),0.7))))</x:f>
        <x:v>8.25</x:v>
      </x:c>
      <x:c r="C38" s="42" t="n">
        <x:f>MIN(1,'Индонезия 2032'!C38+'Индонезия 2032'!F38+(0.08*LN(1+0.5*'Ход 2032'!C44)*MAX(0,1-('Индонезия 2032'!C38+'Индонезия 2032'!F38))))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2032'!B39+'Индонезия 2032'!D39+('Индонезия 2032'!C39+'Индонезия 2032'!F39+'Индонезия 2032'!G39)+(0.35*LN(1+0.6*'Ход 2032'!B45)*POWER(MAX(0,1-'Индонезия 2032'!I39/10),0.7))))</x:f>
        <x:v>9.25</x:v>
      </x:c>
      <x:c r="C39" s="42" t="n">
        <x:f>MIN(1,'Индонезия 2032'!C39+'Индонезия 2032'!F39+(0.08*LN(1+0.5*'Ход 2032'!C45)*MAX(0,1-('Индонезия 2032'!C39+'Индонезия 2032'!F39))))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9.25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2032'!B40+'Индонезия 2032'!D40+('Индонезия 2032'!C40+'Индонезия 2032'!F40+'Индонезия 2032'!G40)+(0.35*LN(1+0.6*'Ход 2032'!B46)*POWER(MAX(0,1-'Индонезия 2032'!I40/10),0.7))))</x:f>
        <x:v>8.75</x:v>
      </x:c>
      <x:c r="C40" s="42" t="n">
        <x:f>MIN(1,'Индонезия 2032'!C40+'Индонезия 2032'!F40+(0.08*LN(1+0.5*'Ход 2032'!C46)*MAX(0,1-('Индонезия 2032'!C40+'Индонезия 2032'!F40))))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8.75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2032'!B41+'Индонезия 2032'!D41+('Индонезия 2032'!C41+'Индонезия 2032'!F41+'Индонезия 2032'!G41)+(0.35*LN(1+0.6*'Ход 2032'!B47)*POWER(MAX(0,1-'Индонезия 2032'!I41/10),0.7))))</x:f>
        <x:v>8.75</x:v>
      </x:c>
      <x:c r="C41" s="42" t="n">
        <x:f>MIN(1,'Индонезия 2032'!C41+'Индонезия 2032'!F41+(0.08*LN(1+0.5*'Ход 2032'!C47)*MAX(0,1-('Индонезия 2032'!C41+'Индонезия 2032'!F41))))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8.75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2032'!B42+'Индонезия 2032'!D42+('Индонезия 2032'!C42+'Индонезия 2032'!F42+'Индонезия 2032'!G42)+(0.35*LN(1+0.6*'Ход 2032'!B48)*POWER(MAX(0,1-'Индонезия 2032'!I42/10),0.7))))</x:f>
        <x:v>9.199999999999998</x:v>
      </x:c>
      <x:c r="C42" s="42" t="n">
        <x:f>MIN(1,'Индонезия 2032'!C42+'Индонезия 2032'!F42+(0.08*LN(1+0.5*'Ход 2032'!C48)*MAX(0,1-('Индонезия 2032'!C42+'Индонезия 2032'!F42))))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9.199999999999998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2032'!B44+'Индонезия 2032'!D44+('Индонезия 2032'!C44+'Индонезия 2032'!F44+'Индонезия 2032'!G44)+(0.35*LN(1+0.6*'Ход 2032'!B50)*POWER(MAX(0,1-'Индонезия 2032'!I44/10),0.7))))</x:f>
        <x:v>7.900000000000001</x:v>
      </x:c>
      <x:c r="C44" s="42" t="n">
        <x:f>MIN(1,'Индонезия 2032'!C44+'Индонезия 2032'!F44+(0.08*LN(1+0.5*'Ход 2032'!C50)*MAX(0,1-('Индонезия 2032'!C44+'Индонезия 2032'!F44))))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7.900000000000001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2032'!B45+'Индонезия 2032'!D45+('Индонезия 2032'!C45+'Индонезия 2032'!F45+'Индонезия 2032'!G45)+(0.35*LN(1+0.6*'Ход 2032'!B51)*POWER(MAX(0,1-'Индонезия 2032'!I45/10),0.7))))</x:f>
        <x:v>7.900000000000001</x:v>
      </x:c>
      <x:c r="C45" s="42" t="n">
        <x:f>MIN(1,'Индонезия 2032'!C45+'Индонезия 2032'!F45+(0.08*LN(1+0.5*'Ход 2032'!C51)*MAX(0,1-('Индонезия 2032'!C45+'Индонезия 2032'!F45))))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7.900000000000001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2032'!B46+'Индонезия 2032'!D46+('Индонезия 2032'!C46+'Индонезия 2032'!F46+'Индонезия 2032'!G46)+(0.35*LN(1+0.6*'Ход 2032'!B52)*POWER(MAX(0,1-'Индонезия 2032'!I46/10),0.7))))</x:f>
        <x:v>7.900000000000001</x:v>
      </x:c>
      <x:c r="C46" s="42" t="n">
        <x:f>MIN(1,'Индонезия 2032'!C46+'Индонезия 2032'!F46+(0.08*LN(1+0.5*'Ход 2032'!C52)*MAX(0,1-('Индонезия 2032'!C46+'Индонезия 2032'!F46))))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7.900000000000001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2032'!B47+'Индонезия 2032'!D47+('Индонезия 2032'!C47+'Индонезия 2032'!F47+'Индонезия 2032'!G47)+(0.35*LN(1+0.6*'Ход 2032'!B53)*POWER(MAX(0,1-'Индонезия 2032'!I47/10),0.7))))</x:f>
        <x:v>8.050000000000002</x:v>
      </x:c>
      <x:c r="C47" s="42" t="n">
        <x:f>MIN(1,'Индонезия 2032'!C47+'Индонезия 2032'!F47+(0.08*LN(1+0.5*'Ход 2032'!C53)*MAX(0,1-('Индонезия 2032'!C47+'Индонезия 2032'!F47))))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8.050000000000002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2032'!B48+'Индонезия 2032'!D48+('Индонезия 2032'!C48+'Индонезия 2032'!F48+'Индонезия 2032'!G48)+(0.35*LN(1+0.6*'Ход 2032'!B54)*POWER(MAX(0,1-'Индонезия 2032'!I48/10),0.7))))</x:f>
        <x:v>8.550000000000002</x:v>
      </x:c>
      <x:c r="C48" s="42" t="n">
        <x:f>MIN(1,'Индонезия 2032'!C48+'Индонезия 2032'!F48+(0.08*LN(1+0.5*'Ход 2032'!C54)*MAX(0,1-('Индонезия 2032'!C48+'Индонезия 2032'!F48))))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8.550000000000002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2032'!B49+'Индонезия 2032'!D49+('Индонезия 2032'!C49+'Индонезия 2032'!F49+'Индонезия 2032'!G49)+(0.35*LN(1+0.6*'Ход 2032'!B55)*POWER(MAX(0,1-'Индонезия 2032'!I49/10),0.7))))</x:f>
        <x:v>10</x:v>
      </x:c>
      <x:c r="C49" s="42" t="n">
        <x:f>MIN(1,'Индонезия 2032'!C49+'Индонезия 2032'!F49+(0.08*LN(1+0.5*'Ход 2032'!C55)*MAX(0,1-('Индонезия 2032'!C49+'Индонезия 2032'!F49))))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2032'!B50+'Индонезия 2032'!D50+('Индонезия 2032'!C50+'Индонезия 2032'!F50+'Индонезия 2032'!G50)+(0.35*LN(1+0.6*'Ход 2032'!B56)*POWER(MAX(0,1-'Индонезия 2032'!I50/10),0.7))))</x:f>
        <x:v>10</x:v>
      </x:c>
      <x:c r="C50" s="42" t="n">
        <x:f>MIN(1,'Индонезия 2032'!C50+'Индонезия 2032'!F50+(0.08*LN(1+0.5*'Ход 2032'!C56)*MAX(0,1-('Индонезия 2032'!C50+'Индонезия 2032'!F50))))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2032'!B51+'Индонезия 2032'!D51+('Индонезия 2032'!C51+'Индонезия 2032'!F51+'Индонезия 2032'!G51)+(0.35*LN(1+0.6*'Ход 2032'!B57)*POWER(MAX(0,1-'Индонезия 2032'!I51/10),0.7))))</x:f>
        <x:v>8.25</x:v>
      </x:c>
      <x:c r="C51" s="42" t="n">
        <x:f>MIN(1,'Индонезия 2032'!C51+'Индонезия 2032'!F51+(0.08*LN(1+0.5*'Ход 2032'!C57)*MAX(0,1-('Индонезия 2032'!C51+'Индонезия 2032'!F51))))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2032'!B53+'Индонезия 2032'!D53+('Индонезия 2032'!C53+'Индонезия 2032'!F53+'Индонезия 2032'!G53)+(0.35*LN(1+0.6*'Ход 2032'!B59)*POWER(MAX(0,1-'Индонезия 2032'!I53/10),0.7))))</x:f>
        <x:v>7.75</x:v>
      </x:c>
      <x:c r="C53" s="42" t="n">
        <x:f>MIN(1,'Индонезия 2032'!C53+'Индонезия 2032'!F53+(0.08*LN(1+0.5*'Ход 2032'!C59)*MAX(0,1-('Индонезия 2032'!C53+'Индонезия 2032'!F53))))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7.75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2032'!B54+'Индонезия 2032'!D54+('Индонезия 2032'!C54+'Индонезия 2032'!F54+'Индонезия 2032'!G54)+(0.35*LN(1+0.6*'Ход 2032'!B60)*POWER(MAX(0,1-'Индонезия 2032'!I54/10),0.7))))</x:f>
        <x:v>7.75</x:v>
      </x:c>
      <x:c r="C54" s="42" t="n">
        <x:f>MIN(1,'Индонезия 2032'!C54+'Индонезия 2032'!F54+(0.08*LN(1+0.5*'Ход 2032'!C60)*MAX(0,1-('Индонезия 2032'!C54+'Индонезия 2032'!F54))))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7.75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2032'!B55+'Индонезия 2032'!D55+('Индонезия 2032'!C55+'Индонезия 2032'!F55+'Индонезия 2032'!G55)+(0.35*LN(1+0.6*'Ход 2032'!B61)*POWER(MAX(0,1-'Индонезия 2032'!I55/10),0.7))))</x:f>
        <x:v>6.900000000000001</x:v>
      </x:c>
      <x:c r="C55" s="42" t="n">
        <x:f>MIN(1,'Индонезия 2032'!C55+'Индонезия 2032'!F55+(0.08*LN(1+0.5*'Ход 2032'!C61)*MAX(0,1-('Индонезия 2032'!C55+'Индонезия 2032'!F55))))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6.900000000000001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2033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2033'!U6</x:f>
        <x:v>94.49100238209823</x:v>
      </x:c>
      <x:c r="C6" s="42"/>
      <x:c r="D6" s="42"/>
      <x:c r="E6" s="42" t="str">
        <x:v>Доступно</x:v>
      </x:c>
      <x:c r="F6" s="42" t="n">
        <x:f>'Индонезия 2033'!K6</x:f>
        <x:v>75.02641181169881</x:v>
      </x:c>
      <x:c r="G6" s="42"/>
      <x:c r="H6" s="42"/>
      <x:c r="I6" s="42" t="str">
        <x:v>Доступно</x:v>
      </x:c>
      <x:c r="J6" s="42" t="n">
        <x:f>'Индонезия 2033'!N6</x:f>
        <x:v>72.19619309094799</x:v>
      </x:c>
      <x:c r="K6" s="42"/>
      <x:c r="L6" s="42"/>
      <x:c r="M6" s="42" t="str">
        <x:v>Доступно</x:v>
      </x:c>
      <x:c r="N6" s="42" t="n">
        <x:f>'Индонезия 2033'!Q6</x:f>
        <x:v>81.89446931676684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94.49100238209823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75.02641181169881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72.19619309094799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81.89446931676684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2033'!V11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42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2033'!V12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51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2033'!V13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26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2033'!V14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61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2033'!V15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25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2033'!V16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97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2033'!V17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52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2033'!V18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97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2033'!V19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68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2033'!V20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2033'!V21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30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2033'!V22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60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2033'!V23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68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2033'!V24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100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2033'!V25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2033'!V26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96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IF(G29="","",VLOOKUP(G29,'Технологии'!$A$11:$BF$50,51,FALSE))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IF(G30="","",VLOOKUP(G30,'Технологии'!$A$11:$BF$50,51,FALSE))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IF(G31="","",VLOOKUP(G31,'Технологии'!$A$11:$BF$50,51,FALSE))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IF(G32="","",VLOOKUP(G32,'Технологии'!$A$11:$BF$50,51,FALSE))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IF(G33="","",VLOOKUP(G33,'Технологии'!$A$11:$BF$50,51,FALSE))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IF(G34="","",VLOOKUP(G34,'Технологии'!$A$11:$BF$50,51,FALSE))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IF(G35="","",VLOOKUP(G35,'Технологии'!$A$11:$BF$50,51,FALSE))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IF(G36="","",VLOOKUP(G36,'Технологии'!$A$11:$BF$50,51,FALSE))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IF(G37="","",VLOOKUP(G37,'Технологии'!$A$11:$BF$50,51,FALSE))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IF(G38="","",VLOOKUP(G38,'Технологии'!$A$11:$BF$50,51,FALSE))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2034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76.58526607068156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73.33904930903698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83.08727124444529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95.32578355405204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2033'!B8+'Индонезия 2033'!D8+('Индонезия 2033'!C8+'Индонезия 2033'!F8+'Индонезия 2033'!G8)+(0.35*LN(1+0.6*'Ход 2033'!B14)*POWER(MAX(0,1-'Индонезия 2033'!I8/10),0.7))))</x:f>
        <x:v>9.400000000000006</x:v>
      </x:c>
      <x:c r="C8" s="42" t="n">
        <x:f>MIN(1,'Индонезия 2033'!C8+'Индонезия 2033'!F8+(0.08*LN(1+0.5*'Ход 2033'!C14)*MAX(0,1-('Индонезия 2033'!C8+'Индонезия 2033'!F8))))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9.400000000000006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2033'!B9+'Индонезия 2033'!D9+('Индонезия 2033'!C9+'Индонезия 2033'!F9+'Индонезия 2033'!G9)+(0.35*LN(1+0.6*'Ход 2033'!B15)*POWER(MAX(0,1-'Индонезия 2033'!I9/10),0.7))))</x:f>
        <x:v>6.700000000000003</x:v>
      </x:c>
      <x:c r="C9" s="42" t="n">
        <x:f>MIN(1,'Индонезия 2033'!C9+'Индонезия 2033'!F9+(0.08*LN(1+0.5*'Ход 2033'!C15)*MAX(0,1-('Индонезия 2033'!C9+'Индонезия 2033'!F9))))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6.700000000000003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2033'!B10+'Индонезия 2033'!D10+('Индонезия 2033'!C10+'Индонезия 2033'!F10+'Индонезия 2033'!G10)+(0.35*LN(1+0.6*'Ход 2033'!B16)*POWER(MAX(0,1-'Индонезия 2033'!I10/10),0.7))))</x:f>
        <x:v>8.799999999999997</x:v>
      </x:c>
      <x:c r="C10" s="42" t="n">
        <x:f>MIN(1,'Индонезия 2033'!C10+'Индонезия 2033'!F10+(0.08*LN(1+0.5*'Ход 2033'!C16)*MAX(0,1-('Индонезия 2033'!C10+'Индонезия 2033'!F10))))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8.799999999999997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2033'!B11+'Индонезия 2033'!D11+('Индонезия 2033'!C11+'Индонезия 2033'!F11+'Индонезия 2033'!G11)+(0.35*LN(1+0.6*'Ход 2033'!B17)*POWER(MAX(0,1-'Индонезия 2033'!I11/10),0.7))))</x:f>
        <x:v>8.400000000000006</x:v>
      </x:c>
      <x:c r="C11" s="42" t="n">
        <x:f>MIN(1,'Индонезия 2033'!C11+'Индонезия 2033'!F11+(0.08*LN(1+0.5*'Ход 2033'!C17)*MAX(0,1-('Индонезия 2033'!C11+'Индонезия 2033'!F11))))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8.400000000000006</x:v>
      </x:c>
      <x:c r="J11" s="42"/>
      <x:c r="K11" s="42" t="str">
        <x:v>Производство</x:v>
      </x:c>
      <x:c r="L11" s="42" t="n">
        <x:f>MAX(1,MIN(10,'Индонезия 2033'!L11+'Индонезия 2033'!N11+('Индонезия 2033'!M11+'Индонезия 2033'!P11+'Индонезия 2033'!Q11)))</x:f>
        <x:v>9.299999999999997</x:v>
      </x:c>
      <x:c r="M11" s="42" t="n">
        <x:f>MIN(1,'Индонезия 2033'!M11+'Индонезия 2033'!P11+(0.10*LN(1+0.5*'Ход 2033'!H13)*POWER(MAX(0,1-'Индонезия 2033'!S11/10),0.8)))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9.299999999999997</x:v>
      </x:c>
      <x:c r="T11" s="42"/>
      <x:c r="U11" s="42" t="str">
        <x:v>Россия</x:v>
      </x:c>
      <x:c r="V11" s="64" t="n">
        <x:f>'Индонезия 2033'!V11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2033'!B12+'Индонезия 2033'!D12+('Индонезия 2033'!C12+'Индонезия 2033'!F12+'Индонезия 2033'!G12)+(0.35*LN(1+0.6*'Ход 2033'!B18)*POWER(MAX(0,1-'Индонезия 2033'!I12/10),0.7))))</x:f>
        <x:v>9.400000000000006</x:v>
      </x:c>
      <x:c r="C12" s="42" t="n">
        <x:f>MIN(1,'Индонезия 2033'!C12+'Индонезия 2033'!F12+(0.08*LN(1+0.5*'Ход 2033'!C18)*MAX(0,1-('Индонезия 2033'!C12+'Индонезия 2033'!F12))))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9.400000000000006</x:v>
      </x:c>
      <x:c r="J12" s="42"/>
      <x:c r="K12" s="42" t="str">
        <x:v>Управление</x:v>
      </x:c>
      <x:c r="L12" s="42" t="n">
        <x:f>MAX(1,MIN(10,'Индонезия 2033'!L12+'Индонезия 2033'!N12+('Индонезия 2033'!M12+'Индонезия 2033'!P12+'Индонезия 2033'!Q12)))</x:f>
        <x:v>8.9</x:v>
      </x:c>
      <x:c r="M12" s="42" t="n">
        <x:f>MIN(1,'Индонезия 2033'!M12+'Индонезия 2033'!P12+(0.10*LN(1+0.5*'Ход 2033'!H14)*POWER(MAX(0,1-'Индонезия 2033'!S12/10),0.8)))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8.9</x:v>
      </x:c>
      <x:c r="T12" s="42"/>
      <x:c r="U12" s="42" t="str">
        <x:v>США</x:v>
      </x:c>
      <x:c r="V12" s="64" t="n">
        <x:f>'Индонезия 2033'!V12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2033'!B13+'Индонезия 2033'!D13+('Индонезия 2033'!C13+'Индонезия 2033'!F13+'Индонезия 2033'!G13)+(0.35*LN(1+0.6*'Ход 2033'!B19)*POWER(MAX(0,1-'Индонезия 2033'!I13/10),0.7))))</x:f>
        <x:v>4.399999999999999</x:v>
      </x:c>
      <x:c r="C13" s="42" t="n">
        <x:f>MIN(1,'Индонезия 2033'!C13+'Индонезия 2033'!F13+(0.08*LN(1+0.5*'Ход 2033'!C19)*MAX(0,1-('Индонезия 2033'!C13+'Индонезия 2033'!F13))))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4.399999999999999</x:v>
      </x:c>
      <x:c r="J13" s="42"/>
      <x:c r="K13" s="42" t="str">
        <x:v>Познание</x:v>
      </x:c>
      <x:c r="L13" s="42" t="n">
        <x:f>MAX(1,MIN(10,'Индонезия 2033'!L13+'Индонезия 2033'!N13+('Индонезия 2033'!M13+'Индонезия 2033'!P13+'Индонезия 2033'!Q13)))</x:f>
        <x:v>8.9</x:v>
      </x:c>
      <x:c r="M13" s="42" t="n">
        <x:f>MIN(1,'Индонезия 2033'!M13+'Индонезия 2033'!P13+(0.10*LN(1+0.5*'Ход 2033'!H15)*POWER(MAX(0,1-'Индонезия 2033'!S13/10),0.8)))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8.9</x:v>
      </x:c>
      <x:c r="T13" s="42"/>
      <x:c r="U13" s="42" t="str">
        <x:v>Китай</x:v>
      </x:c>
      <x:c r="V13" s="64" t="n">
        <x:f>'Индонезия 2033'!V13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2033'!B14+'Индонезия 2033'!D14+('Индонезия 2033'!C14+'Индонезия 2033'!F14+'Индонезия 2033'!G14)+(0.35*LN(1+0.6*'Ход 2033'!B20)*POWER(MAX(0,1-'Индонезия 2033'!I14/10),0.7))))</x:f>
        <x:v>6.399999999999999</x:v>
      </x:c>
      <x:c r="C14" s="42" t="n">
        <x:f>MIN(1,'Индонезия 2033'!C14+'Индонезия 2033'!F14+(0.08*LN(1+0.5*'Ход 2033'!C20)*MAX(0,1-('Индонезия 2033'!C14+'Индонезия 2033'!F14))))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6.399999999999999</x:v>
      </x:c>
      <x:c r="J14" s="42"/>
      <x:c r="K14" s="42" t="str">
        <x:v>Обучение</x:v>
      </x:c>
      <x:c r="L14" s="42" t="n">
        <x:f>MAX(1,MIN(10,'Индонезия 2033'!L14+'Индонезия 2033'!N14+('Индонезия 2033'!M14+'Индонезия 2033'!P14+'Индонезия 2033'!Q14)))</x:f>
        <x:v>9.299999999999997</x:v>
      </x:c>
      <x:c r="M14" s="42" t="n">
        <x:f>MIN(1,'Индонезия 2033'!M14+'Индонезия 2033'!P14+(0.10*LN(1+0.5*'Ход 2033'!H16)*POWER(MAX(0,1-'Индонезия 2033'!S14/10),0.8)))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9.299999999999997</x:v>
      </x:c>
      <x:c r="T14" s="42"/>
      <x:c r="U14" s="42" t="str">
        <x:v>Индия</x:v>
      </x:c>
      <x:c r="V14" s="64" t="n">
        <x:f>'Индонезия 2033'!V14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2033'!B15+'Индонезия 2033'!D15+('Индонезия 2033'!C15+'Индонезия 2033'!F15+'Индонезия 2033'!G15)+(0.35*LN(1+0.6*'Ход 2033'!B21)*POWER(MAX(0,1-'Индонезия 2033'!I15/10),0.7))))</x:f>
        <x:v>9.299999999999997</x:v>
      </x:c>
      <x:c r="C15" s="42" t="n">
        <x:f>MIN(1,'Индонезия 2033'!C15+'Индонезия 2033'!F15+(0.08*LN(1+0.5*'Ход 2033'!C21)*MAX(0,1-('Индонезия 2033'!C15+'Индонезия 2033'!F15))))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9.299999999999997</x:v>
      </x:c>
      <x:c r="J15" s="42"/>
      <x:c r="K15" s="42" t="str">
        <x:v>Война</x:v>
      </x:c>
      <x:c r="L15" s="42" t="n">
        <x:f>MAX(1,MIN(10,'Индонезия 2033'!L15+'Индонезия 2033'!N15+('Индонезия 2033'!M15+'Индонезия 2033'!P15+'Индонезия 2033'!Q15)))</x:f>
        <x:v>7.5</x:v>
      </x:c>
      <x:c r="M15" s="42" t="n">
        <x:f>MIN(1,'Индонезия 2033'!M15+'Индонезия 2033'!P15+(0.10*LN(1+0.5*'Ход 2033'!H17)*POWER(MAX(0,1-'Индонезия 2033'!S15/10),0.8)))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7.5</x:v>
      </x:c>
      <x:c r="T15" s="42"/>
      <x:c r="U15" s="42" t="str">
        <x:v>Великобритания</x:v>
      </x:c>
      <x:c r="V15" s="64" t="n">
        <x:f>'Индонезия 2033'!V15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2033'!B16+'Индонезия 2033'!D16+('Индонезия 2033'!C16+'Индонезия 2033'!F16+'Индонезия 2033'!G16)+(0.35*LN(1+0.6*'Ход 2033'!B22)*POWER(MAX(0,1-'Индонезия 2033'!I16/10),0.7))))</x:f>
        <x:v>9</x:v>
      </x:c>
      <x:c r="C16" s="42" t="n">
        <x:f>MIN(1,'Индонезия 2033'!C16+'Индонезия 2033'!F16+(0.08*LN(1+0.5*'Ход 2033'!C22)*MAX(0,1-('Индонезия 2033'!C16+'Индонезия 2033'!F16))))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</x:v>
      </x:c>
      <x:c r="J16" s="42"/>
      <x:c r="K16" s="42" t="str">
        <x:v>Экономика</x:v>
      </x:c>
      <x:c r="L16" s="42" t="n">
        <x:f>MAX(1,MIN(10,'Индонезия 2033'!L16+'Индонезия 2033'!N16+('Индонезия 2033'!M16+'Индонезия 2033'!P16+'Индонезия 2033'!Q16)))</x:f>
        <x:v>10</x:v>
      </x:c>
      <x:c r="M16" s="42" t="n">
        <x:f>MIN(1,'Индонезия 2033'!M16+'Индонезия 2033'!P16+(0.10*LN(1+0.5*'Ход 2033'!H18)*POWER(MAX(0,1-'Индонезия 2033'!S16/10),0.8)))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2033'!V16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2033'!B17+'Индонезия 2033'!D17+('Индонезия 2033'!C17+'Индонезия 2033'!F17+'Индонезия 2033'!G17)+(0.35*LN(1+0.6*'Ход 2033'!B23)*POWER(MAX(0,1-'Индонезия 2033'!I17/10),0.7))))</x:f>
        <x:v>8.599999999999998</x:v>
      </x:c>
      <x:c r="C17" s="42" t="n">
        <x:f>MIN(1,'Индонезия 2033'!C17+'Индонезия 2033'!F17+(0.08*LN(1+0.5*'Ход 2033'!C23)*MAX(0,1-('Индонезия 2033'!C17+'Индонезия 2033'!F17))))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8.599999999999998</x:v>
      </x:c>
      <x:c r="J17" s="42"/>
      <x:c r="K17" s="42" t="str">
        <x:v>Государственное управление</x:v>
      </x:c>
      <x:c r="L17" s="42" t="n">
        <x:f>MAX(1,MIN(10,'Индонезия 2033'!L17+'Индонезия 2033'!N17+('Индонезия 2033'!M17+'Индонезия 2033'!P17+'Индонезия 2033'!Q17)))</x:f>
        <x:v>10</x:v>
      </x:c>
      <x:c r="M17" s="42" t="n">
        <x:f>MIN(1,'Индонезия 2033'!M17+'Индонезия 2033'!P17+(0.10*LN(1+0.5*'Ход 2033'!H19)*POWER(MAX(0,1-'Индонезия 2033'!S17/10),0.8)))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2033'!V17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2033'!L18+'Индонезия 2033'!N18+('Индонезия 2033'!M18+'Индонезия 2033'!P18+'Индонезия 2033'!Q18)))</x:f>
        <x:v>10</x:v>
      </x:c>
      <x:c r="M18" s="42" t="n">
        <x:f>MIN(1,'Индонезия 2033'!M18+'Индонезия 2033'!P18+(0.10*LN(1+0.5*'Ход 2033'!H20)*POWER(MAX(0,1-'Индонезия 2033'!S18/10),0.8)))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2033'!V18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2033'!B19+'Индонезия 2033'!D19+('Индонезия 2033'!C19+'Индонезия 2033'!F19+'Индонезия 2033'!G19)+(0.35*LN(1+0.6*'Ход 2033'!B25)*POWER(MAX(0,1-'Индонезия 2033'!I19/10),0.7))))</x:f>
        <x:v>8</x:v>
      </x:c>
      <x:c r="C19" s="42" t="n">
        <x:f>MIN(1,'Индонезия 2033'!C19+'Индонезия 2033'!F19+(0.08*LN(1+0.5*'Ход 2033'!C25)*MAX(0,1-('Индонезия 2033'!C19+'Индонезия 2033'!F19))))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2033'!V19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2033'!B20+'Индонезия 2033'!D20+('Индонезия 2033'!C20+'Индонезия 2033'!F20+'Индонезия 2033'!G20)+(0.35*LN(1+0.6*'Ход 2033'!B26)*POWER(MAX(0,1-'Индонезия 2033'!I20/10),0.7))))</x:f>
        <x:v>8.4</x:v>
      </x:c>
      <x:c r="C20" s="42" t="n">
        <x:f>MIN(1,'Индонезия 2033'!C20+'Индонезия 2033'!F20+(0.08*LN(1+0.5*'Ход 2033'!C26)*MAX(0,1-('Индонезия 2033'!C20+'Индонезия 2033'!F20))))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8.4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2033'!V20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2033'!B21+'Индонезия 2033'!D21+('Индонезия 2033'!C21+'Индонезия 2033'!F21+'Индонезия 2033'!G21)+(0.35*LN(1+0.6*'Ход 2033'!B27)*POWER(MAX(0,1-'Индонезия 2033'!I21/10),0.7))))</x:f>
        <x:v>7.899999999999999</x:v>
      </x:c>
      <x:c r="C21" s="42" t="n">
        <x:f>MIN(1,'Индонезия 2033'!C21+'Индонезия 2033'!F21+(0.08*LN(1+0.5*'Ход 2033'!C27)*MAX(0,1-('Индонезия 2033'!C21+'Индонезия 2033'!F21))))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7.899999999999999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2033'!V21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2033'!B22+'Индонезия 2033'!D22+('Индонезия 2033'!C22+'Индонезия 2033'!F22+'Индонезия 2033'!G22)+(0.35*LN(1+0.6*'Ход 2033'!B28)*POWER(MAX(0,1-'Индонезия 2033'!I22/10),0.7))))</x:f>
        <x:v>8.100000000000001</x:v>
      </x:c>
      <x:c r="C22" s="42" t="n">
        <x:f>MIN(1,'Индонезия 2033'!C22+'Индонезия 2033'!F22+(0.08*LN(1+0.5*'Ход 2033'!C28)*MAX(0,1-('Индонезия 2033'!C22+'Индонезия 2033'!F22))))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8.100000000000001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2033'!V22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2033'!B23+'Индонезия 2033'!D23+('Индонезия 2033'!C23+'Индонезия 2033'!F23+'Индонезия 2033'!G23)+(0.35*LN(1+0.6*'Ход 2033'!B29)*POWER(MAX(0,1-'Индонезия 2033'!I23/10),0.7))))</x:f>
        <x:v>8</x:v>
      </x:c>
      <x:c r="C23" s="42" t="n">
        <x:f>MIN(1,'Индонезия 2033'!C23+'Индонезия 2033'!F23+(0.08*LN(1+0.5*'Ход 2033'!C29)*MAX(0,1-('Индонезия 2033'!C23+'Индонезия 2033'!F23))))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2033'!V23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2033'!V24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2033'!B25+'Индонезия 2033'!D25+('Индонезия 2033'!C25+'Индонезия 2033'!F25+'Индонезия 2033'!G25)+(0.35*LN(1+0.6*'Ход 2033'!B31)*POWER(MAX(0,1-'Индонезия 2033'!I25/10),0.7))))</x:f>
        <x:v>9.299999999999997</x:v>
      </x:c>
      <x:c r="C25" s="42" t="n">
        <x:f>MIN(1,'Индонезия 2033'!C25+'Индонезия 2033'!F25+(0.08*LN(1+0.5*'Ход 2033'!C31)*MAX(0,1-('Индонезия 2033'!C25+'Индонезия 2033'!F25))))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9.299999999999997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2033'!V25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2033'!B26+'Индонезия 2033'!D26+('Индонезия 2033'!C26+'Индонезия 2033'!F26+'Индонезия 2033'!G26)+(0.35*LN(1+0.6*'Ход 2033'!B32)*POWER(MAX(0,1-'Индонезия 2033'!I26/10),0.7))))</x:f>
        <x:v>8.5</x:v>
      </x:c>
      <x:c r="C26" s="42" t="n">
        <x:f>MIN(1,'Индонезия 2033'!C26+'Индонезия 2033'!F26+(0.08*LN(1+0.5*'Ход 2033'!C32)*MAX(0,1-('Индонезия 2033'!C26+'Индонезия 2033'!F26))))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2033'!V26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2033'!B27+'Индонезия 2033'!D27+('Индонезия 2033'!C27+'Индонезия 2033'!F27+'Индонезия 2033'!G27)+(0.35*LN(1+0.6*'Ход 2033'!B33)*POWER(MAX(0,1-'Индонезия 2033'!I27/10),0.7))))</x:f>
        <x:v>8.599999999999998</x:v>
      </x:c>
      <x:c r="C27" s="42" t="n">
        <x:f>MIN(1,'Индонезия 2033'!C27+'Индонезия 2033'!F27+(0.08*LN(1+0.5*'Ход 2033'!C33)*MAX(0,1-('Индонезия 2033'!C27+'Индонезия 2033'!F27))))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8.599999999999998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2033'!B28+'Индонезия 2033'!D28+('Индонезия 2033'!C28+'Индонезия 2033'!F28+'Индонезия 2033'!G28)+(0.35*LN(1+0.6*'Ход 2033'!B34)*POWER(MAX(0,1-'Индонезия 2033'!I28/10),0.7))))</x:f>
        <x:v>8.4</x:v>
      </x:c>
      <x:c r="C28" s="42" t="n">
        <x:f>MIN(1,'Индонезия 2033'!C28+'Индонезия 2033'!F28+(0.08*LN(1+0.5*'Ход 2033'!C34)*MAX(0,1-('Индонезия 2033'!C28+'Индонезия 2033'!F28))))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8.4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2033'!B29+'Индонезия 2033'!D29+('Индонезия 2033'!C29+'Индонезия 2033'!F29+'Индонезия 2033'!G29)+(0.35*LN(1+0.6*'Ход 2033'!B35)*POWER(MAX(0,1-'Индонезия 2033'!I29/10),0.7))))</x:f>
        <x:v>8</x:v>
      </x:c>
      <x:c r="C29" s="42" t="n">
        <x:f>MIN(1,'Индонезия 2033'!C29+'Индонезия 2033'!F29+(0.08*LN(1+0.5*'Ход 2033'!C35)*MAX(0,1-('Индонезия 2033'!C29+'Индонезия 2033'!F29))))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2033'!B30+'Индонезия 2033'!D30+('Индонезия 2033'!C30+'Индонезия 2033'!F30+'Индонезия 2033'!G30)+(0.35*LN(1+0.6*'Ход 2033'!B36)*POWER(MAX(0,1-'Индонезия 2033'!I30/10),0.7))))</x:f>
        <x:v>7.600000000000001</x:v>
      </x:c>
      <x:c r="C30" s="42" t="n">
        <x:f>MIN(1,'Индонезия 2033'!C30+'Индонезия 2033'!F30+(0.08*LN(1+0.5*'Ход 2033'!C36)*MAX(0,1-('Индонезия 2033'!C30+'Индонезия 2033'!F30))))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7.600000000000001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2033'!B31+'Индонезия 2033'!D31+('Индонезия 2033'!C31+'Индонезия 2033'!F31+'Индонезия 2033'!G31)+(0.35*LN(1+0.6*'Ход 2033'!B37)*POWER(MAX(0,1-'Индонезия 2033'!I31/10),0.7))))</x:f>
        <x:v>7.600000000000001</x:v>
      </x:c>
      <x:c r="C31" s="42" t="n">
        <x:f>MIN(1,'Индонезия 2033'!C31+'Индонезия 2033'!F31+(0.08*LN(1+0.5*'Ход 2033'!C37)*MAX(0,1-('Индонезия 2033'!C31+'Индонезия 2033'!F31))))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7.600000000000001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2033'!B32+'Индонезия 2033'!D32+('Индонезия 2033'!C32+'Индонезия 2033'!F32+'Индонезия 2033'!G32)+(0.35*LN(1+0.6*'Ход 2033'!B38)*POWER(MAX(0,1-'Индонезия 2033'!I32/10),0.7))))</x:f>
        <x:v>8.5</x:v>
      </x:c>
      <x:c r="C32" s="42" t="n">
        <x:f>MIN(1,'Индонезия 2033'!C32+'Индонезия 2033'!F32+(0.08*LN(1+0.5*'Ход 2033'!C38)*MAX(0,1-('Индонезия 2033'!C32+'Индонезия 2033'!F32))))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2033'!B34+'Индонезия 2033'!D34+('Индонезия 2033'!C34+'Индонезия 2033'!F34+'Индонезия 2033'!G34)+(0.35*LN(1+0.6*'Ход 2033'!B40)*POWER(MAX(0,1-'Индонезия 2033'!I34/10),0.7))))</x:f>
        <x:v>9.5</x:v>
      </x:c>
      <x:c r="C34" s="42" t="n">
        <x:f>MIN(1,'Индонезия 2033'!C34+'Индонезия 2033'!F34+(0.08*LN(1+0.5*'Ход 2033'!C40)*MAX(0,1-('Индонезия 2033'!C34+'Индонезия 2033'!F34))))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2033'!B35+'Индонезия 2033'!D35+('Индонезия 2033'!C35+'Индонезия 2033'!F35+'Индонезия 2033'!G35)+(0.35*LN(1+0.6*'Ход 2033'!B41)*POWER(MAX(0,1-'Индонезия 2033'!I35/10),0.7))))</x:f>
        <x:v>8.700000000000003</x:v>
      </x:c>
      <x:c r="C35" s="42" t="n">
        <x:f>MIN(1,'Индонезия 2033'!C35+'Индонезия 2033'!F35+(0.08*LN(1+0.5*'Ход 2033'!C41)*MAX(0,1-('Индонезия 2033'!C35+'Индонезия 2033'!F35))))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8.700000000000003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2033'!B36+'Индонезия 2033'!D36+('Индонезия 2033'!C36+'Индонезия 2033'!F36+'Индонезия 2033'!G36)+(0.35*LN(1+0.6*'Ход 2033'!B42)*POWER(MAX(0,1-'Индонезия 2033'!I36/10),0.7))))</x:f>
        <x:v>9.900000000000004</x:v>
      </x:c>
      <x:c r="C36" s="42" t="n">
        <x:f>MIN(1,'Индонезия 2033'!C36+'Индонезия 2033'!F36+(0.08*LN(1+0.5*'Ход 2033'!C42)*MAX(0,1-('Индонезия 2033'!C36+'Индонезия 2033'!F36))))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9.900000000000004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2033'!B37+'Индонезия 2033'!D37+('Индонезия 2033'!C37+'Индонезия 2033'!F37+'Индонезия 2033'!G37)+(0.35*LN(1+0.6*'Ход 2033'!B43)*POWER(MAX(0,1-'Индонезия 2033'!I37/10),0.7))))</x:f>
        <x:v>8.9</x:v>
      </x:c>
      <x:c r="C37" s="42" t="n">
        <x:f>MIN(1,'Индонезия 2033'!C37+'Индонезия 2033'!F37+(0.08*LN(1+0.5*'Ход 2033'!C43)*MAX(0,1-('Индонезия 2033'!C37+'Индонезия 2033'!F37))))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8.9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2033'!B38+'Индонезия 2033'!D38+('Индонезия 2033'!C38+'Индонезия 2033'!F38+'Индонезия 2033'!G38)+(0.35*LN(1+0.6*'Ход 2033'!B44)*POWER(MAX(0,1-'Индонезия 2033'!I38/10),0.7))))</x:f>
        <x:v>8.5</x:v>
      </x:c>
      <x:c r="C38" s="42" t="n">
        <x:f>MIN(1,'Индонезия 2033'!C38+'Индонезия 2033'!F38+(0.08*LN(1+0.5*'Ход 2033'!C44)*MAX(0,1-('Индонезия 2033'!C38+'Индонезия 2033'!F38))))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2033'!B39+'Индонезия 2033'!D39+('Индонезия 2033'!C39+'Индонезия 2033'!F39+'Индонезия 2033'!G39)+(0.35*LN(1+0.6*'Ход 2033'!B45)*POWER(MAX(0,1-'Индонезия 2033'!I39/10),0.7))))</x:f>
        <x:v>9.5</x:v>
      </x:c>
      <x:c r="C39" s="42" t="n">
        <x:f>MIN(1,'Индонезия 2033'!C39+'Индонезия 2033'!F39+(0.08*LN(1+0.5*'Ход 2033'!C45)*MAX(0,1-('Индонезия 2033'!C39+'Индонезия 2033'!F39))))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2033'!B40+'Индонезия 2033'!D40+('Индонезия 2033'!C40+'Индонезия 2033'!F40+'Индонезия 2033'!G40)+(0.35*LN(1+0.6*'Ход 2033'!B46)*POWER(MAX(0,1-'Индонезия 2033'!I40/10),0.7))))</x:f>
        <x:v>9</x:v>
      </x:c>
      <x:c r="C40" s="42" t="n">
        <x:f>MIN(1,'Индонезия 2033'!C40+'Индонезия 2033'!F40+(0.08*LN(1+0.5*'Ход 2033'!C46)*MAX(0,1-('Индонезия 2033'!C40+'Индонезия 2033'!F40))))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2033'!B41+'Индонезия 2033'!D41+('Индонезия 2033'!C41+'Индонезия 2033'!F41+'Индонезия 2033'!G41)+(0.35*LN(1+0.6*'Ход 2033'!B47)*POWER(MAX(0,1-'Индонезия 2033'!I41/10),0.7))))</x:f>
        <x:v>9</x:v>
      </x:c>
      <x:c r="C41" s="42" t="n">
        <x:f>MIN(1,'Индонезия 2033'!C41+'Индонезия 2033'!F41+(0.08*LN(1+0.5*'Ход 2033'!C47)*MAX(0,1-('Индонезия 2033'!C41+'Индонезия 2033'!F41))))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2033'!B42+'Индонезия 2033'!D42+('Индонезия 2033'!C42+'Индонезия 2033'!F42+'Индонезия 2033'!G42)+(0.35*LN(1+0.6*'Ход 2033'!B48)*POWER(MAX(0,1-'Индонезия 2033'!I42/10),0.7))))</x:f>
        <x:v>9.299999999999997</x:v>
      </x:c>
      <x:c r="C42" s="42" t="n">
        <x:f>MIN(1,'Индонезия 2033'!C42+'Индонезия 2033'!F42+(0.08*LN(1+0.5*'Ход 2033'!C48)*MAX(0,1-('Индонезия 2033'!C42+'Индонезия 2033'!F42))))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9.299999999999997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2033'!B44+'Индонезия 2033'!D44+('Индонезия 2033'!C44+'Индонезия 2033'!F44+'Индонезия 2033'!G44)+(0.35*LN(1+0.6*'Ход 2033'!B50)*POWER(MAX(0,1-'Индонезия 2033'!I44/10),0.7))))</x:f>
        <x:v>8.100000000000001</x:v>
      </x:c>
      <x:c r="C44" s="42" t="n">
        <x:f>MIN(1,'Индонезия 2033'!C44+'Индонезия 2033'!F44+(0.08*LN(1+0.5*'Ход 2033'!C50)*MAX(0,1-('Индонезия 2033'!C44+'Индонезия 2033'!F44))))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8.100000000000001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2033'!B45+'Индонезия 2033'!D45+('Индонезия 2033'!C45+'Индонезия 2033'!F45+'Индонезия 2033'!G45)+(0.35*LN(1+0.6*'Ход 2033'!B51)*POWER(MAX(0,1-'Индонезия 2033'!I45/10),0.7))))</x:f>
        <x:v>8.100000000000001</x:v>
      </x:c>
      <x:c r="C45" s="42" t="n">
        <x:f>MIN(1,'Индонезия 2033'!C45+'Индонезия 2033'!F45+(0.08*LN(1+0.5*'Ход 2033'!C51)*MAX(0,1-('Индонезия 2033'!C45+'Индонезия 2033'!F45))))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8.100000000000001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2033'!B46+'Индонезия 2033'!D46+('Индонезия 2033'!C46+'Индонезия 2033'!F46+'Индонезия 2033'!G46)+(0.35*LN(1+0.6*'Ход 2033'!B52)*POWER(MAX(0,1-'Индонезия 2033'!I46/10),0.7))))</x:f>
        <x:v>8.100000000000001</x:v>
      </x:c>
      <x:c r="C46" s="42" t="n">
        <x:f>MIN(1,'Индонезия 2033'!C46+'Индонезия 2033'!F46+(0.08*LN(1+0.5*'Ход 2033'!C52)*MAX(0,1-('Индонезия 2033'!C46+'Индонезия 2033'!F46))))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8.100000000000001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2033'!B47+'Индонезия 2033'!D47+('Индонезия 2033'!C47+'Индонезия 2033'!F47+'Индонезия 2033'!G47)+(0.35*LN(1+0.6*'Ход 2033'!B53)*POWER(MAX(0,1-'Индонезия 2033'!I47/10),0.7))))</x:f>
        <x:v>8.200000000000003</x:v>
      </x:c>
      <x:c r="C47" s="42" t="n">
        <x:f>MIN(1,'Индонезия 2033'!C47+'Индонезия 2033'!F47+(0.08*LN(1+0.5*'Ход 2033'!C53)*MAX(0,1-('Индонезия 2033'!C47+'Индонезия 2033'!F47))))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8.200000000000003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2033'!B48+'Индонезия 2033'!D48+('Индонезия 2033'!C48+'Индонезия 2033'!F48+'Индонезия 2033'!G48)+(0.35*LN(1+0.6*'Ход 2033'!B54)*POWER(MAX(0,1-'Индонезия 2033'!I48/10),0.7))))</x:f>
        <x:v>8.700000000000003</x:v>
      </x:c>
      <x:c r="C48" s="42" t="n">
        <x:f>MIN(1,'Индонезия 2033'!C48+'Индонезия 2033'!F48+(0.08*LN(1+0.5*'Ход 2033'!C54)*MAX(0,1-('Индонезия 2033'!C48+'Индонезия 2033'!F48))))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8.700000000000003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2033'!B49+'Индонезия 2033'!D49+('Индонезия 2033'!C49+'Индонезия 2033'!F49+'Индонезия 2033'!G49)+(0.35*LN(1+0.6*'Ход 2033'!B55)*POWER(MAX(0,1-'Индонезия 2033'!I49/10),0.7))))</x:f>
        <x:v>10</x:v>
      </x:c>
      <x:c r="C49" s="42" t="n">
        <x:f>MIN(1,'Индонезия 2033'!C49+'Индонезия 2033'!F49+(0.08*LN(1+0.5*'Ход 2033'!C55)*MAX(0,1-('Индонезия 2033'!C49+'Индонезия 2033'!F49))))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2033'!B50+'Индонезия 2033'!D50+('Индонезия 2033'!C50+'Индонезия 2033'!F50+'Индонезия 2033'!G50)+(0.35*LN(1+0.6*'Ход 2033'!B56)*POWER(MAX(0,1-'Индонезия 2033'!I50/10),0.7))))</x:f>
        <x:v>10</x:v>
      </x:c>
      <x:c r="C50" s="42" t="n">
        <x:f>MIN(1,'Индонезия 2033'!C50+'Индонезия 2033'!F50+(0.08*LN(1+0.5*'Ход 2033'!C56)*MAX(0,1-('Индонезия 2033'!C50+'Индонезия 2033'!F50))))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2033'!B51+'Индонезия 2033'!D51+('Индонезия 2033'!C51+'Индонезия 2033'!F51+'Индонезия 2033'!G51)+(0.35*LN(1+0.6*'Ход 2033'!B57)*POWER(MAX(0,1-'Индонезия 2033'!I51/10),0.7))))</x:f>
        <x:v>8.5</x:v>
      </x:c>
      <x:c r="C51" s="42" t="n">
        <x:f>MIN(1,'Индонезия 2033'!C51+'Индонезия 2033'!F51+(0.08*LN(1+0.5*'Ход 2033'!C57)*MAX(0,1-('Индонезия 2033'!C51+'Индонезия 2033'!F51))))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2033'!B53+'Индонезия 2033'!D53+('Индонезия 2033'!C53+'Индонезия 2033'!F53+'Индонезия 2033'!G53)+(0.35*LN(1+0.6*'Ход 2033'!B59)*POWER(MAX(0,1-'Индонезия 2033'!I53/10),0.7))))</x:f>
        <x:v>8</x:v>
      </x:c>
      <x:c r="C53" s="42" t="n">
        <x:f>MIN(1,'Индонезия 2033'!C53+'Индонезия 2033'!F53+(0.08*LN(1+0.5*'Ход 2033'!C59)*MAX(0,1-('Индонезия 2033'!C53+'Индонезия 2033'!F53))))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2033'!B54+'Индонезия 2033'!D54+('Индонезия 2033'!C54+'Индонезия 2033'!F54+'Индонезия 2033'!G54)+(0.35*LN(1+0.6*'Ход 2033'!B60)*POWER(MAX(0,1-'Индонезия 2033'!I54/10),0.7))))</x:f>
        <x:v>8</x:v>
      </x:c>
      <x:c r="C54" s="42" t="n">
        <x:f>MIN(1,'Индонезия 2033'!C54+'Индонезия 2033'!F54+(0.08*LN(1+0.5*'Ход 2033'!C60)*MAX(0,1-('Индонезия 2033'!C54+'Индонезия 2033'!F54))))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2033'!B55+'Индонезия 2033'!D55+('Индонезия 2033'!C55+'Индонезия 2033'!F55+'Индонезия 2033'!G55)+(0.35*LN(1+0.6*'Ход 2033'!B61)*POWER(MAX(0,1-'Индонезия 2033'!I55/10),0.7))))</x:f>
        <x:v>7.100000000000001</x:v>
      </x:c>
      <x:c r="C55" s="42" t="n">
        <x:f>MIN(1,'Индонезия 2033'!C55+'Индонезия 2033'!F55+(0.08*LN(1+0.5*'Ход 2033'!C61)*MAX(0,1-('Индонезия 2033'!C55+'Индонезия 2033'!F55))))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7.100000000000001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2034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2034'!U6</x:f>
        <x:v>95.32578355405204</x:v>
      </x:c>
      <x:c r="C6" s="42"/>
      <x:c r="D6" s="42"/>
      <x:c r="E6" s="42" t="str">
        <x:v>Доступно</x:v>
      </x:c>
      <x:c r="F6" s="42" t="n">
        <x:f>'Индонезия 2034'!K6</x:f>
        <x:v>76.58526607068156</x:v>
      </x:c>
      <x:c r="G6" s="42"/>
      <x:c r="H6" s="42"/>
      <x:c r="I6" s="42" t="str">
        <x:v>Доступно</x:v>
      </x:c>
      <x:c r="J6" s="42" t="n">
        <x:f>'Индонезия 2034'!N6</x:f>
        <x:v>73.33904930903698</x:v>
      </x:c>
      <x:c r="K6" s="42"/>
      <x:c r="L6" s="42"/>
      <x:c r="M6" s="42" t="str">
        <x:v>Доступно</x:v>
      </x:c>
      <x:c r="N6" s="42" t="n">
        <x:f>'Индонезия 2034'!Q6</x:f>
        <x:v>83.08727124444529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95.32578355405204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76.58526607068156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73.33904930903698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83.08727124444529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2034'!V11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29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2034'!V12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69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2034'!V13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91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2034'!V14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97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2034'!V15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50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2034'!V16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97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2034'!V17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89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2034'!V18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9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2034'!V19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75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2034'!V20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23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2034'!V21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33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2034'!V22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30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2034'!V23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49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2034'!V24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2034'!V25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2034'!V26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82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IF(G29="","",VLOOKUP(G29,'Технологии'!$A$11:$BF$50,52,FALSE))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IF(G30="","",VLOOKUP(G30,'Технологии'!$A$11:$BF$50,52,FALSE))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IF(G31="","",VLOOKUP(G31,'Технологии'!$A$11:$BF$50,52,FALSE))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IF(G32="","",VLOOKUP(G32,'Технологии'!$A$11:$BF$50,52,FALSE))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IF(G33="","",VLOOKUP(G33,'Технологии'!$A$11:$BF$50,52,FALSE))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IF(G34="","",VLOOKUP(G34,'Технологии'!$A$11:$BF$50,52,FALSE))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IF(G35="","",VLOOKUP(G35,'Технологии'!$A$11:$BF$50,52,FALSE))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IF(G36="","",VLOOKUP(G36,'Технологии'!$A$11:$BF$50,52,FALSE))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IF(G37="","",VLOOKUP(G37,'Технологии'!$A$11:$BF$50,52,FALSE))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IF(G38="","",VLOOKUP(G38,'Технологии'!$A$11:$BF$50,52,FALSE))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2035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78.00115906860182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74.3928596994327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84.1639281208713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96.09947736472242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2034'!B8+'Индонезия 2034'!D8+('Индонезия 2034'!C8+'Индонезия 2034'!F8+'Индонезия 2034'!G8)+(0.35*LN(1+0.6*'Ход 2034'!B14)*POWER(MAX(0,1-'Индонезия 2034'!I8/10),0.7))))</x:f>
        <x:v>9.450000000000006</x:v>
      </x:c>
      <x:c r="C8" s="42" t="n">
        <x:f>MIN(1,'Индонезия 2034'!C8+'Индонезия 2034'!F8+(0.08*LN(1+0.5*'Ход 2034'!C14)*MAX(0,1-('Индонезия 2034'!C8+'Индонезия 2034'!F8))))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9.450000000000006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2034'!B9+'Индонезия 2034'!D9+('Индонезия 2034'!C9+'Индонезия 2034'!F9+'Индонезия 2034'!G9)+(0.35*LN(1+0.6*'Ход 2034'!B15)*POWER(MAX(0,1-'Индонезия 2034'!I9/10),0.7))))</x:f>
        <x:v>6.850000000000003</x:v>
      </x:c>
      <x:c r="C9" s="42" t="n">
        <x:f>MIN(1,'Индонезия 2034'!C9+'Индонезия 2034'!F9+(0.08*LN(1+0.5*'Ход 2034'!C15)*MAX(0,1-('Индонезия 2034'!C9+'Индонезия 2034'!F9))))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6.850000000000003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2034'!B10+'Индонезия 2034'!D10+('Индонезия 2034'!C10+'Индонезия 2034'!F10+'Индонезия 2034'!G10)+(0.35*LN(1+0.6*'Ход 2034'!B16)*POWER(MAX(0,1-'Индонезия 2034'!I10/10),0.7))))</x:f>
        <x:v>8.899999999999997</x:v>
      </x:c>
      <x:c r="C10" s="42" t="n">
        <x:f>MIN(1,'Индонезия 2034'!C10+'Индонезия 2034'!F10+(0.08*LN(1+0.5*'Ход 2034'!C16)*MAX(0,1-('Индонезия 2034'!C10+'Индонезия 2034'!F10))))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8.899999999999997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2034'!B11+'Индонезия 2034'!D11+('Индонезия 2034'!C11+'Индонезия 2034'!F11+'Индонезия 2034'!G11)+(0.35*LN(1+0.6*'Ход 2034'!B17)*POWER(MAX(0,1-'Индонезия 2034'!I11/10),0.7))))</x:f>
        <x:v>8.450000000000006</x:v>
      </x:c>
      <x:c r="C11" s="42" t="n">
        <x:f>MIN(1,'Индонезия 2034'!C11+'Индонезия 2034'!F11+(0.08*LN(1+0.5*'Ход 2034'!C17)*MAX(0,1-('Индонезия 2034'!C11+'Индонезия 2034'!F11))))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8.450000000000006</x:v>
      </x:c>
      <x:c r="J11" s="42"/>
      <x:c r="K11" s="42" t="str">
        <x:v>Производство</x:v>
      </x:c>
      <x:c r="L11" s="42" t="n">
        <x:f>MAX(1,MIN(10,'Индонезия 2034'!L11+'Индонезия 2034'!N11+('Индонезия 2034'!M11+'Индонезия 2034'!P11+'Индонезия 2034'!Q11)))</x:f>
        <x:v>9.649999999999997</x:v>
      </x:c>
      <x:c r="M11" s="42" t="n">
        <x:f>MIN(1,'Индонезия 2034'!M11+'Индонезия 2034'!P11+(0.10*LN(1+0.5*'Ход 2034'!H13)*POWER(MAX(0,1-'Индонезия 2034'!S11/10),0.8)))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9.649999999999997</x:v>
      </x:c>
      <x:c r="T11" s="42"/>
      <x:c r="U11" s="42" t="str">
        <x:v>Россия</x:v>
      </x:c>
      <x:c r="V11" s="64" t="n">
        <x:f>'Индонезия 2034'!V11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2034'!B12+'Индонезия 2034'!D12+('Индонезия 2034'!C12+'Индонезия 2034'!F12+'Индонезия 2034'!G12)+(0.35*LN(1+0.6*'Ход 2034'!B18)*POWER(MAX(0,1-'Индонезия 2034'!I12/10),0.7))))</x:f>
        <x:v>9.450000000000006</x:v>
      </x:c>
      <x:c r="C12" s="42" t="n">
        <x:f>MIN(1,'Индонезия 2034'!C12+'Индонезия 2034'!F12+(0.08*LN(1+0.5*'Ход 2034'!C18)*MAX(0,1-('Индонезия 2034'!C12+'Индонезия 2034'!F12))))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9.450000000000006</x:v>
      </x:c>
      <x:c r="J12" s="42"/>
      <x:c r="K12" s="42" t="str">
        <x:v>Управление</x:v>
      </x:c>
      <x:c r="L12" s="42" t="n">
        <x:f>MAX(1,MIN(10,'Индонезия 2034'!L12+'Индонезия 2034'!N12+('Индонезия 2034'!M12+'Индонезия 2034'!P12+'Индонезия 2034'!Q12)))</x:f>
        <x:v>9.200000000000001</x:v>
      </x:c>
      <x:c r="M12" s="42" t="n">
        <x:f>MIN(1,'Индонезия 2034'!M12+'Индонезия 2034'!P12+(0.10*LN(1+0.5*'Ход 2034'!H14)*POWER(MAX(0,1-'Индонезия 2034'!S12/10),0.8)))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9.200000000000001</x:v>
      </x:c>
      <x:c r="T12" s="42"/>
      <x:c r="U12" s="42" t="str">
        <x:v>США</x:v>
      </x:c>
      <x:c r="V12" s="64" t="n">
        <x:f>'Индонезия 2034'!V12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2034'!B13+'Индонезия 2034'!D13+('Индонезия 2034'!C13+'Индонезия 2034'!F13+'Индонезия 2034'!G13)+(0.35*LN(1+0.6*'Ход 2034'!B19)*POWER(MAX(0,1-'Индонезия 2034'!I13/10),0.7))))</x:f>
        <x:v>4.699999999999998</x:v>
      </x:c>
      <x:c r="C13" s="42" t="n">
        <x:f>MIN(1,'Индонезия 2034'!C13+'Индонезия 2034'!F13+(0.08*LN(1+0.5*'Ход 2034'!C19)*MAX(0,1-('Индонезия 2034'!C13+'Индонезия 2034'!F13))))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4.699999999999998</x:v>
      </x:c>
      <x:c r="J13" s="42"/>
      <x:c r="K13" s="42" t="str">
        <x:v>Познание</x:v>
      </x:c>
      <x:c r="L13" s="42" t="n">
        <x:f>MAX(1,MIN(10,'Индонезия 2034'!L13+'Индонезия 2034'!N13+('Индонезия 2034'!M13+'Индонезия 2034'!P13+'Индонезия 2034'!Q13)))</x:f>
        <x:v>9.200000000000001</x:v>
      </x:c>
      <x:c r="M13" s="42" t="n">
        <x:f>MIN(1,'Индонезия 2034'!M13+'Индонезия 2034'!P13+(0.10*LN(1+0.5*'Ход 2034'!H15)*POWER(MAX(0,1-'Индонезия 2034'!S13/10),0.8)))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9.200000000000001</x:v>
      </x:c>
      <x:c r="T13" s="42"/>
      <x:c r="U13" s="42" t="str">
        <x:v>Китай</x:v>
      </x:c>
      <x:c r="V13" s="64" t="n">
        <x:f>'Индонезия 2034'!V13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2034'!B14+'Индонезия 2034'!D14+('Индонезия 2034'!C14+'Индонезия 2034'!F14+'Индонезия 2034'!G14)+(0.35*LN(1+0.6*'Ход 2034'!B20)*POWER(MAX(0,1-'Индонезия 2034'!I14/10),0.7))))</x:f>
        <x:v>6.699999999999998</x:v>
      </x:c>
      <x:c r="C14" s="42" t="n">
        <x:f>MIN(1,'Индонезия 2034'!C14+'Индонезия 2034'!F14+(0.08*LN(1+0.5*'Ход 2034'!C20)*MAX(0,1-('Индонезия 2034'!C14+'Индонезия 2034'!F14))))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6.699999999999998</x:v>
      </x:c>
      <x:c r="J14" s="42"/>
      <x:c r="K14" s="42" t="str">
        <x:v>Обучение</x:v>
      </x:c>
      <x:c r="L14" s="42" t="n">
        <x:f>MAX(1,MIN(10,'Индонезия 2034'!L14+'Индонезия 2034'!N14+('Индонезия 2034'!M14+'Индонезия 2034'!P14+'Индонезия 2034'!Q14)))</x:f>
        <x:v>9.649999999999997</x:v>
      </x:c>
      <x:c r="M14" s="42" t="n">
        <x:f>MIN(1,'Индонезия 2034'!M14+'Индонезия 2034'!P14+(0.10*LN(1+0.5*'Ход 2034'!H16)*POWER(MAX(0,1-'Индонезия 2034'!S14/10),0.8)))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9.649999999999997</x:v>
      </x:c>
      <x:c r="T14" s="42"/>
      <x:c r="U14" s="42" t="str">
        <x:v>Индия</x:v>
      </x:c>
      <x:c r="V14" s="64" t="n">
        <x:f>'Индонезия 2034'!V14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2034'!B15+'Индонезия 2034'!D15+('Индонезия 2034'!C15+'Индонезия 2034'!F15+'Индонезия 2034'!G15)+(0.35*LN(1+0.6*'Ход 2034'!B21)*POWER(MAX(0,1-'Индонезия 2034'!I15/10),0.7))))</x:f>
        <x:v>9.649999999999997</x:v>
      </x:c>
      <x:c r="C15" s="42" t="n">
        <x:f>MIN(1,'Индонезия 2034'!C15+'Индонезия 2034'!F15+(0.08*LN(1+0.5*'Ход 2034'!C21)*MAX(0,1-('Индонезия 2034'!C15+'Индонезия 2034'!F15))))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9.649999999999997</x:v>
      </x:c>
      <x:c r="J15" s="42"/>
      <x:c r="K15" s="42" t="str">
        <x:v>Война</x:v>
      </x:c>
      <x:c r="L15" s="42" t="n">
        <x:f>MAX(1,MIN(10,'Индонезия 2034'!L15+'Индонезия 2034'!N15+('Индонезия 2034'!M15+'Индонезия 2034'!P15+'Индонезия 2034'!Q15)))</x:f>
        <x:v>7.75</x:v>
      </x:c>
      <x:c r="M15" s="42" t="n">
        <x:f>MIN(1,'Индонезия 2034'!M15+'Индонезия 2034'!P15+(0.10*LN(1+0.5*'Ход 2034'!H17)*POWER(MAX(0,1-'Индонезия 2034'!S15/10),0.8)))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7.75</x:v>
      </x:c>
      <x:c r="T15" s="42"/>
      <x:c r="U15" s="42" t="str">
        <x:v>Великобритания</x:v>
      </x:c>
      <x:c r="V15" s="64" t="n">
        <x:f>'Индонезия 2034'!V15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2034'!B16+'Индонезия 2034'!D16+('Индонезия 2034'!C16+'Индонезия 2034'!F16+'Индонезия 2034'!G16)+(0.35*LN(1+0.6*'Ход 2034'!B22)*POWER(MAX(0,1-'Индонезия 2034'!I16/10),0.7))))</x:f>
        <x:v>9.25</x:v>
      </x:c>
      <x:c r="C16" s="42" t="n">
        <x:f>MIN(1,'Индонезия 2034'!C16+'Индонезия 2034'!F16+(0.08*LN(1+0.5*'Ход 2034'!C22)*MAX(0,1-('Индонезия 2034'!C16+'Индонезия 2034'!F16))))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9.25</x:v>
      </x:c>
      <x:c r="J16" s="42"/>
      <x:c r="K16" s="42" t="str">
        <x:v>Экономика</x:v>
      </x:c>
      <x:c r="L16" s="42" t="n">
        <x:f>MAX(1,MIN(10,'Индонезия 2034'!L16+'Индонезия 2034'!N16+('Индонезия 2034'!M16+'Индонезия 2034'!P16+'Индонезия 2034'!Q16)))</x:f>
        <x:v>10</x:v>
      </x:c>
      <x:c r="M16" s="42" t="n">
        <x:f>MIN(1,'Индонезия 2034'!M16+'Индонезия 2034'!P16+(0.10*LN(1+0.5*'Ход 2034'!H18)*POWER(MAX(0,1-'Индонезия 2034'!S16/10),0.8)))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2034'!V16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2034'!B17+'Индонезия 2034'!D17+('Индонезия 2034'!C17+'Индонезия 2034'!F17+'Индонезия 2034'!G17)+(0.35*LN(1+0.6*'Ход 2034'!B23)*POWER(MAX(0,1-'Индонезия 2034'!I17/10),0.7))))</x:f>
        <x:v>8.799999999999997</x:v>
      </x:c>
      <x:c r="C17" s="42" t="n">
        <x:f>MIN(1,'Индонезия 2034'!C17+'Индонезия 2034'!F17+(0.08*LN(1+0.5*'Ход 2034'!C23)*MAX(0,1-('Индонезия 2034'!C17+'Индонезия 2034'!F17))))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8.799999999999997</x:v>
      </x:c>
      <x:c r="J17" s="42"/>
      <x:c r="K17" s="42" t="str">
        <x:v>Государственное управление</x:v>
      </x:c>
      <x:c r="L17" s="42" t="n">
        <x:f>MAX(1,MIN(10,'Индонезия 2034'!L17+'Индонезия 2034'!N17+('Индонезия 2034'!M17+'Индонезия 2034'!P17+'Индонезия 2034'!Q17)))</x:f>
        <x:v>10</x:v>
      </x:c>
      <x:c r="M17" s="42" t="n">
        <x:f>MIN(1,'Индонезия 2034'!M17+'Индонезия 2034'!P17+(0.10*LN(1+0.5*'Ход 2034'!H19)*POWER(MAX(0,1-'Индонезия 2034'!S17/10),0.8)))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2034'!V17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2034'!L18+'Индонезия 2034'!N18+('Индонезия 2034'!M18+'Индонезия 2034'!P18+'Индонезия 2034'!Q18)))</x:f>
        <x:v>10</x:v>
      </x:c>
      <x:c r="M18" s="42" t="n">
        <x:f>MIN(1,'Индонезия 2034'!M18+'Индонезия 2034'!P18+(0.10*LN(1+0.5*'Ход 2034'!H20)*POWER(MAX(0,1-'Индонезия 2034'!S18/10),0.8)))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2034'!V18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2034'!B19+'Индонезия 2034'!D19+('Индонезия 2034'!C19+'Индонезия 2034'!F19+'Индонезия 2034'!G19)+(0.35*LN(1+0.6*'Ход 2034'!B25)*POWER(MAX(0,1-'Индонезия 2034'!I19/10),0.7))))</x:f>
        <x:v>8.25</x:v>
      </x:c>
      <x:c r="C19" s="42" t="n">
        <x:f>MIN(1,'Индонезия 2034'!C19+'Индонезия 2034'!F19+(0.08*LN(1+0.5*'Ход 2034'!C25)*MAX(0,1-('Индонезия 2034'!C19+'Индонезия 2034'!F19))))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2034'!V19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2034'!B20+'Индонезия 2034'!D20+('Индонезия 2034'!C20+'Индонезия 2034'!F20+'Индонезия 2034'!G20)+(0.35*LN(1+0.6*'Ход 2034'!B26)*POWER(MAX(0,1-'Индонезия 2034'!I20/10),0.7))))</x:f>
        <x:v>8.700000000000001</x:v>
      </x:c>
      <x:c r="C20" s="42" t="n">
        <x:f>MIN(1,'Индонезия 2034'!C20+'Индонезия 2034'!F20+(0.08*LN(1+0.5*'Ход 2034'!C26)*MAX(0,1-('Индонезия 2034'!C20+'Индонезия 2034'!F20))))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8.700000000000001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2034'!V20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2034'!B21+'Индонезия 2034'!D21+('Индонезия 2034'!C21+'Индонезия 2034'!F21+'Индонезия 2034'!G21)+(0.35*LN(1+0.6*'Ход 2034'!B27)*POWER(MAX(0,1-'Индонезия 2034'!I21/10),0.7))))</x:f>
        <x:v>8.2</x:v>
      </x:c>
      <x:c r="C21" s="42" t="n">
        <x:f>MIN(1,'Индонезия 2034'!C21+'Индонезия 2034'!F21+(0.08*LN(1+0.5*'Ход 2034'!C27)*MAX(0,1-('Индонезия 2034'!C21+'Индонезия 2034'!F21))))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2034'!V21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2034'!B22+'Индонезия 2034'!D22+('Индонезия 2034'!C22+'Индонезия 2034'!F22+'Индонезия 2034'!G22)+(0.35*LN(1+0.6*'Ход 2034'!B28)*POWER(MAX(0,1-'Индонезия 2034'!I22/10),0.7))))</x:f>
        <x:v>8.3</x:v>
      </x:c>
      <x:c r="C22" s="42" t="n">
        <x:f>MIN(1,'Индонезия 2034'!C22+'Индонезия 2034'!F22+(0.08*LN(1+0.5*'Ход 2034'!C28)*MAX(0,1-('Индонезия 2034'!C22+'Индонезия 2034'!F22))))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8.3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2034'!V22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2034'!B23+'Индонезия 2034'!D23+('Индонезия 2034'!C23+'Индонезия 2034'!F23+'Индонезия 2034'!G23)+(0.35*LN(1+0.6*'Ход 2034'!B29)*POWER(MAX(0,1-'Индонезия 2034'!I23/10),0.7))))</x:f>
        <x:v>8.25</x:v>
      </x:c>
      <x:c r="C23" s="42" t="n">
        <x:f>MIN(1,'Индонезия 2034'!C23+'Индонезия 2034'!F23+(0.08*LN(1+0.5*'Ход 2034'!C29)*MAX(0,1-('Индонезия 2034'!C23+'Индонезия 2034'!F23))))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2034'!V23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2034'!V24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2034'!B25+'Индонезия 2034'!D25+('Индонезия 2034'!C25+'Индонезия 2034'!F25+'Индонезия 2034'!G25)+(0.35*LN(1+0.6*'Ход 2034'!B31)*POWER(MAX(0,1-'Индонезия 2034'!I25/10),0.7))))</x:f>
        <x:v>9.399999999999997</x:v>
      </x:c>
      <x:c r="C25" s="42" t="n">
        <x:f>MIN(1,'Индонезия 2034'!C25+'Индонезия 2034'!F25+(0.08*LN(1+0.5*'Ход 2034'!C31)*MAX(0,1-('Индонезия 2034'!C25+'Индонезия 2034'!F25))))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9.399999999999997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2034'!V25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2034'!B26+'Индонезия 2034'!D26+('Индонезия 2034'!C26+'Индонезия 2034'!F26+'Индонезия 2034'!G26)+(0.35*LN(1+0.6*'Ход 2034'!B32)*POWER(MAX(0,1-'Индонезия 2034'!I26/10),0.7))))</x:f>
        <x:v>8.75</x:v>
      </x:c>
      <x:c r="C26" s="42" t="n">
        <x:f>MIN(1,'Индонезия 2034'!C26+'Индонезия 2034'!F26+(0.08*LN(1+0.5*'Ход 2034'!C32)*MAX(0,1-('Индонезия 2034'!C26+'Индонезия 2034'!F26))))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8.75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2034'!V26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2034'!B27+'Индонезия 2034'!D27+('Индонезия 2034'!C27+'Индонезия 2034'!F27+'Индонезия 2034'!G27)+(0.35*LN(1+0.6*'Ход 2034'!B33)*POWER(MAX(0,1-'Индонезия 2034'!I27/10),0.7))))</x:f>
        <x:v>8.799999999999997</x:v>
      </x:c>
      <x:c r="C27" s="42" t="n">
        <x:f>MIN(1,'Индонезия 2034'!C27+'Индонезия 2034'!F27+(0.08*LN(1+0.5*'Ход 2034'!C33)*MAX(0,1-('Индонезия 2034'!C27+'Индонезия 2034'!F27))))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8.799999999999997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2034'!B28+'Индонезия 2034'!D28+('Индонезия 2034'!C28+'Индонезия 2034'!F28+'Индонезия 2034'!G28)+(0.35*LN(1+0.6*'Ход 2034'!B34)*POWER(MAX(0,1-'Индонезия 2034'!I28/10),0.7))))</x:f>
        <x:v>8.700000000000001</x:v>
      </x:c>
      <x:c r="C28" s="42" t="n">
        <x:f>MIN(1,'Индонезия 2034'!C28+'Индонезия 2034'!F28+(0.08*LN(1+0.5*'Ход 2034'!C34)*MAX(0,1-('Индонезия 2034'!C28+'Индонезия 2034'!F28))))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8.700000000000001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2034'!B29+'Индонезия 2034'!D29+('Индонезия 2034'!C29+'Индонезия 2034'!F29+'Индонезия 2034'!G29)+(0.35*LN(1+0.6*'Ход 2034'!B35)*POWER(MAX(0,1-'Индонезия 2034'!I29/10),0.7))))</x:f>
        <x:v>8.25</x:v>
      </x:c>
      <x:c r="C29" s="42" t="n">
        <x:f>MIN(1,'Индонезия 2034'!C29+'Индонезия 2034'!F29+(0.08*LN(1+0.5*'Ход 2034'!C35)*MAX(0,1-('Индонезия 2034'!C29+'Индонезия 2034'!F29))))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2034'!B30+'Индонезия 2034'!D30+('Индонезия 2034'!C30+'Индонезия 2034'!F30+'Индонезия 2034'!G30)+(0.35*LN(1+0.6*'Ход 2034'!B36)*POWER(MAX(0,1-'Индонезия 2034'!I30/10),0.7))))</x:f>
        <x:v>7.800000000000002</x:v>
      </x:c>
      <x:c r="C30" s="42" t="n">
        <x:f>MIN(1,'Индонезия 2034'!C30+'Индонезия 2034'!F30+(0.08*LN(1+0.5*'Ход 2034'!C36)*MAX(0,1-('Индонезия 2034'!C30+'Индонезия 2034'!F30))))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7.800000000000002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2034'!B31+'Индонезия 2034'!D31+('Индонезия 2034'!C31+'Индонезия 2034'!F31+'Индонезия 2034'!G31)+(0.35*LN(1+0.6*'Ход 2034'!B37)*POWER(MAX(0,1-'Индонезия 2034'!I31/10),0.7))))</x:f>
        <x:v>7.800000000000002</x:v>
      </x:c>
      <x:c r="C31" s="42" t="n">
        <x:f>MIN(1,'Индонезия 2034'!C31+'Индонезия 2034'!F31+(0.08*LN(1+0.5*'Ход 2034'!C37)*MAX(0,1-('Индонезия 2034'!C31+'Индонезия 2034'!F31))))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7.800000000000002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2034'!B32+'Индонезия 2034'!D32+('Индонезия 2034'!C32+'Индонезия 2034'!F32+'Индонезия 2034'!G32)+(0.35*LN(1+0.6*'Ход 2034'!B38)*POWER(MAX(0,1-'Индонезия 2034'!I32/10),0.7))))</x:f>
        <x:v>8.75</x:v>
      </x:c>
      <x:c r="C32" s="42" t="n">
        <x:f>MIN(1,'Индонезия 2034'!C32+'Индонезия 2034'!F32+(0.08*LN(1+0.5*'Ход 2034'!C38)*MAX(0,1-('Индонезия 2034'!C32+'Индонезия 2034'!F32))))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8.75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2034'!B34+'Индонезия 2034'!D34+('Индонезия 2034'!C34+'Индонезия 2034'!F34+'Индонезия 2034'!G34)+(0.35*LN(1+0.6*'Ход 2034'!B40)*POWER(MAX(0,1-'Индонезия 2034'!I34/10),0.7))))</x:f>
        <x:v>9.75</x:v>
      </x:c>
      <x:c r="C34" s="42" t="n">
        <x:f>MIN(1,'Индонезия 2034'!C34+'Индонезия 2034'!F34+(0.08*LN(1+0.5*'Ход 2034'!C40)*MAX(0,1-('Индонезия 2034'!C34+'Индонезия 2034'!F34))))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9.75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2034'!B35+'Индонезия 2034'!D35+('Индонезия 2034'!C35+'Индонезия 2034'!F35+'Индонезия 2034'!G35)+(0.35*LN(1+0.6*'Ход 2034'!B41)*POWER(MAX(0,1-'Индонезия 2034'!I35/10),0.7))))</x:f>
        <x:v>8.850000000000003</x:v>
      </x:c>
      <x:c r="C35" s="42" t="n">
        <x:f>MIN(1,'Индонезия 2034'!C35+'Индонезия 2034'!F35+(0.08*LN(1+0.5*'Ход 2034'!C41)*MAX(0,1-('Индонезия 2034'!C35+'Индонезия 2034'!F35))))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8.850000000000003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2034'!B36+'Индонезия 2034'!D36+('Индонезия 2034'!C36+'Индонезия 2034'!F36+'Индонезия 2034'!G36)+(0.35*LN(1+0.6*'Ход 2034'!B42)*POWER(MAX(0,1-'Индонезия 2034'!I36/10),0.7))))</x:f>
        <x:v>10</x:v>
      </x:c>
      <x:c r="C36" s="42" t="n">
        <x:f>MIN(1,'Индонезия 2034'!C36+'Индонезия 2034'!F36+(0.08*LN(1+0.5*'Ход 2034'!C42)*MAX(0,1-('Индонезия 2034'!C36+'Индонезия 2034'!F36))))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2034'!B37+'Индонезия 2034'!D37+('Индонезия 2034'!C37+'Индонезия 2034'!F37+'Индонезия 2034'!G37)+(0.35*LN(1+0.6*'Ход 2034'!B43)*POWER(MAX(0,1-'Индонезия 2034'!I37/10),0.7))))</x:f>
        <x:v>9.200000000000001</x:v>
      </x:c>
      <x:c r="C37" s="42" t="n">
        <x:f>MIN(1,'Индонезия 2034'!C37+'Индонезия 2034'!F37+(0.08*LN(1+0.5*'Ход 2034'!C43)*MAX(0,1-('Индонезия 2034'!C37+'Индонезия 2034'!F37))))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9.200000000000001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2034'!B38+'Индонезия 2034'!D38+('Индонезия 2034'!C38+'Индонезия 2034'!F38+'Индонезия 2034'!G38)+(0.35*LN(1+0.6*'Ход 2034'!B44)*POWER(MAX(0,1-'Индонезия 2034'!I38/10),0.7))))</x:f>
        <x:v>8.75</x:v>
      </x:c>
      <x:c r="C38" s="42" t="n">
        <x:f>MIN(1,'Индонезия 2034'!C38+'Индонезия 2034'!F38+(0.08*LN(1+0.5*'Ход 2034'!C44)*MAX(0,1-('Индонезия 2034'!C38+'Индонезия 2034'!F38))))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8.75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2034'!B39+'Индонезия 2034'!D39+('Индонезия 2034'!C39+'Индонезия 2034'!F39+'Индонезия 2034'!G39)+(0.35*LN(1+0.6*'Ход 2034'!B45)*POWER(MAX(0,1-'Индонезия 2034'!I39/10),0.7))))</x:f>
        <x:v>9.75</x:v>
      </x:c>
      <x:c r="C39" s="42" t="n">
        <x:f>MIN(1,'Индонезия 2034'!C39+'Индонезия 2034'!F39+(0.08*LN(1+0.5*'Ход 2034'!C45)*MAX(0,1-('Индонезия 2034'!C39+'Индонезия 2034'!F39))))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9.75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2034'!B40+'Индонезия 2034'!D40+('Индонезия 2034'!C40+'Индонезия 2034'!F40+'Индонезия 2034'!G40)+(0.35*LN(1+0.6*'Ход 2034'!B46)*POWER(MAX(0,1-'Индонезия 2034'!I40/10),0.7))))</x:f>
        <x:v>9.25</x:v>
      </x:c>
      <x:c r="C40" s="42" t="n">
        <x:f>MIN(1,'Индонезия 2034'!C40+'Индонезия 2034'!F40+(0.08*LN(1+0.5*'Ход 2034'!C46)*MAX(0,1-('Индонезия 2034'!C40+'Индонезия 2034'!F40))))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9.25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2034'!B41+'Индонезия 2034'!D41+('Индонезия 2034'!C41+'Индонезия 2034'!F41+'Индонезия 2034'!G41)+(0.35*LN(1+0.6*'Ход 2034'!B47)*POWER(MAX(0,1-'Индонезия 2034'!I41/10),0.7))))</x:f>
        <x:v>9.25</x:v>
      </x:c>
      <x:c r="C41" s="42" t="n">
        <x:f>MIN(1,'Индонезия 2034'!C41+'Индонезия 2034'!F41+(0.08*LN(1+0.5*'Ход 2034'!C47)*MAX(0,1-('Индонезия 2034'!C41+'Индонезия 2034'!F41))))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9.25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2034'!B42+'Индонезия 2034'!D42+('Индонезия 2034'!C42+'Индонезия 2034'!F42+'Индонезия 2034'!G42)+(0.35*LN(1+0.6*'Ход 2034'!B48)*POWER(MAX(0,1-'Индонезия 2034'!I42/10),0.7))))</x:f>
        <x:v>9.399999999999997</x:v>
      </x:c>
      <x:c r="C42" s="42" t="n">
        <x:f>MIN(1,'Индонезия 2034'!C42+'Индонезия 2034'!F42+(0.08*LN(1+0.5*'Ход 2034'!C48)*MAX(0,1-('Индонезия 2034'!C42+'Индонезия 2034'!F42))))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9.399999999999997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2034'!B44+'Индонезия 2034'!D44+('Индонезия 2034'!C44+'Индонезия 2034'!F44+'Индонезия 2034'!G44)+(0.35*LN(1+0.6*'Ход 2034'!B50)*POWER(MAX(0,1-'Индонезия 2034'!I44/10),0.7))))</x:f>
        <x:v>8.3</x:v>
      </x:c>
      <x:c r="C44" s="42" t="n">
        <x:f>MIN(1,'Индонезия 2034'!C44+'Индонезия 2034'!F44+(0.08*LN(1+0.5*'Ход 2034'!C50)*MAX(0,1-('Индонезия 2034'!C44+'Индонезия 2034'!F44))))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8.3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2034'!B45+'Индонезия 2034'!D45+('Индонезия 2034'!C45+'Индонезия 2034'!F45+'Индонезия 2034'!G45)+(0.35*LN(1+0.6*'Ход 2034'!B51)*POWER(MAX(0,1-'Индонезия 2034'!I45/10),0.7))))</x:f>
        <x:v>8.3</x:v>
      </x:c>
      <x:c r="C45" s="42" t="n">
        <x:f>MIN(1,'Индонезия 2034'!C45+'Индонезия 2034'!F45+(0.08*LN(1+0.5*'Ход 2034'!C51)*MAX(0,1-('Индонезия 2034'!C45+'Индонезия 2034'!F45))))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8.3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2034'!B46+'Индонезия 2034'!D46+('Индонезия 2034'!C46+'Индонезия 2034'!F46+'Индонезия 2034'!G46)+(0.35*LN(1+0.6*'Ход 2034'!B52)*POWER(MAX(0,1-'Индонезия 2034'!I46/10),0.7))))</x:f>
        <x:v>8.3</x:v>
      </x:c>
      <x:c r="C46" s="42" t="n">
        <x:f>MIN(1,'Индонезия 2034'!C46+'Индонезия 2034'!F46+(0.08*LN(1+0.5*'Ход 2034'!C52)*MAX(0,1-('Индонезия 2034'!C46+'Индонезия 2034'!F46))))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8.3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2034'!B47+'Индонезия 2034'!D47+('Индонезия 2034'!C47+'Индонезия 2034'!F47+'Индонезия 2034'!G47)+(0.35*LN(1+0.6*'Ход 2034'!B53)*POWER(MAX(0,1-'Индонезия 2034'!I47/10),0.7))))</x:f>
        <x:v>8.350000000000003</x:v>
      </x:c>
      <x:c r="C47" s="42" t="n">
        <x:f>MIN(1,'Индонезия 2034'!C47+'Индонезия 2034'!F47+(0.08*LN(1+0.5*'Ход 2034'!C53)*MAX(0,1-('Индонезия 2034'!C47+'Индонезия 2034'!F47))))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8.350000000000003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2034'!B48+'Индонезия 2034'!D48+('Индонезия 2034'!C48+'Индонезия 2034'!F48+'Индонезия 2034'!G48)+(0.35*LN(1+0.6*'Ход 2034'!B54)*POWER(MAX(0,1-'Индонезия 2034'!I48/10),0.7))))</x:f>
        <x:v>8.850000000000003</x:v>
      </x:c>
      <x:c r="C48" s="42" t="n">
        <x:f>MIN(1,'Индонезия 2034'!C48+'Индонезия 2034'!F48+(0.08*LN(1+0.5*'Ход 2034'!C54)*MAX(0,1-('Индонезия 2034'!C48+'Индонезия 2034'!F48))))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8.850000000000003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2034'!B49+'Индонезия 2034'!D49+('Индонезия 2034'!C49+'Индонезия 2034'!F49+'Индонезия 2034'!G49)+(0.35*LN(1+0.6*'Ход 2034'!B55)*POWER(MAX(0,1-'Индонезия 2034'!I49/10),0.7))))</x:f>
        <x:v>10</x:v>
      </x:c>
      <x:c r="C49" s="42" t="n">
        <x:f>MIN(1,'Индонезия 2034'!C49+'Индонезия 2034'!F49+(0.08*LN(1+0.5*'Ход 2034'!C55)*MAX(0,1-('Индонезия 2034'!C49+'Индонезия 2034'!F49))))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2034'!B50+'Индонезия 2034'!D50+('Индонезия 2034'!C50+'Индонезия 2034'!F50+'Индонезия 2034'!G50)+(0.35*LN(1+0.6*'Ход 2034'!B56)*POWER(MAX(0,1-'Индонезия 2034'!I50/10),0.7))))</x:f>
        <x:v>10</x:v>
      </x:c>
      <x:c r="C50" s="42" t="n">
        <x:f>MIN(1,'Индонезия 2034'!C50+'Индонезия 2034'!F50+(0.08*LN(1+0.5*'Ход 2034'!C56)*MAX(0,1-('Индонезия 2034'!C50+'Индонезия 2034'!F50))))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2034'!B51+'Индонезия 2034'!D51+('Индонезия 2034'!C51+'Индонезия 2034'!F51+'Индонезия 2034'!G51)+(0.35*LN(1+0.6*'Ход 2034'!B57)*POWER(MAX(0,1-'Индонезия 2034'!I51/10),0.7))))</x:f>
        <x:v>8.75</x:v>
      </x:c>
      <x:c r="C51" s="42" t="n">
        <x:f>MIN(1,'Индонезия 2034'!C51+'Индонезия 2034'!F51+(0.08*LN(1+0.5*'Ход 2034'!C57)*MAX(0,1-('Индонезия 2034'!C51+'Индонезия 2034'!F51))))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8.75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2034'!B53+'Индонезия 2034'!D53+('Индонезия 2034'!C53+'Индонезия 2034'!F53+'Индонезия 2034'!G53)+(0.35*LN(1+0.6*'Ход 2034'!B59)*POWER(MAX(0,1-'Индонезия 2034'!I53/10),0.7))))</x:f>
        <x:v>8.25</x:v>
      </x:c>
      <x:c r="C53" s="42" t="n">
        <x:f>MIN(1,'Индонезия 2034'!C53+'Индонезия 2034'!F53+(0.08*LN(1+0.5*'Ход 2034'!C59)*MAX(0,1-('Индонезия 2034'!C53+'Индонезия 2034'!F53))))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2034'!B54+'Индонезия 2034'!D54+('Индонезия 2034'!C54+'Индонезия 2034'!F54+'Индонезия 2034'!G54)+(0.35*LN(1+0.6*'Ход 2034'!B60)*POWER(MAX(0,1-'Индонезия 2034'!I54/10),0.7))))</x:f>
        <x:v>8.25</x:v>
      </x:c>
      <x:c r="C54" s="42" t="n">
        <x:f>MIN(1,'Индонезия 2034'!C54+'Индонезия 2034'!F54+(0.08*LN(1+0.5*'Ход 2034'!C60)*MAX(0,1-('Индонезия 2034'!C54+'Индонезия 2034'!F54))))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2034'!B55+'Индонезия 2034'!D55+('Индонезия 2034'!C55+'Индонезия 2034'!F55+'Индонезия 2034'!G55)+(0.35*LN(1+0.6*'Ход 2034'!B61)*POWER(MAX(0,1-'Индонезия 2034'!I55/10),0.7))))</x:f>
        <x:v>7.300000000000002</x:v>
      </x:c>
      <x:c r="C55" s="42" t="n">
        <x:f>MIN(1,'Индонезия 2034'!C55+'Индонезия 2034'!F55+(0.08*LN(1+0.5*'Ход 2034'!C61)*MAX(0,1-('Индонезия 2034'!C55+'Индонезия 2034'!F55))))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7.300000000000002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2035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2035'!U6</x:f>
        <x:v>96.09947736472242</x:v>
      </x:c>
      <x:c r="C6" s="42"/>
      <x:c r="D6" s="42"/>
      <x:c r="E6" s="42" t="str">
        <x:v>Доступно</x:v>
      </x:c>
      <x:c r="F6" s="42" t="n">
        <x:f>'Индонезия 2035'!K6</x:f>
        <x:v>78.00115906860182</x:v>
      </x:c>
      <x:c r="G6" s="42"/>
      <x:c r="H6" s="42"/>
      <x:c r="I6" s="42" t="str">
        <x:v>Доступно</x:v>
      </x:c>
      <x:c r="J6" s="42" t="n">
        <x:f>'Индонезия 2035'!N6</x:f>
        <x:v>74.3928596994327</x:v>
      </x:c>
      <x:c r="K6" s="42"/>
      <x:c r="L6" s="42"/>
      <x:c r="M6" s="42" t="str">
        <x:v>Доступно</x:v>
      </x:c>
      <x:c r="N6" s="42" t="n">
        <x:f>'Индонезия 2035'!Q6</x:f>
        <x:v>84.1639281208713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96.09947736472242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78.00115906860182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74.3928596994327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84.1639281208713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2035'!V11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62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2035'!V12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7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2035'!V13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67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2035'!V14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73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2035'!V15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33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2035'!V16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16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2035'!V17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88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2035'!V18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88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2035'!V19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34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2035'!V20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2035'!V21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100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2035'!V22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62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2035'!V23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64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2035'!V24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99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2035'!V25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10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2035'!V26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45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IF(G29="","",VLOOKUP(G29,'Технологии'!$A$11:$BF$50,53,FALSE))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IF(G30="","",VLOOKUP(G30,'Технологии'!$A$11:$BF$50,53,FALSE))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IF(G31="","",VLOOKUP(G31,'Технологии'!$A$11:$BF$50,53,FALSE))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IF(G32="","",VLOOKUP(G32,'Технологии'!$A$11:$BF$50,53,FALSE))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IF(G33="","",VLOOKUP(G33,'Технологии'!$A$11:$BF$50,53,FALSE))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IF(G34="","",VLOOKUP(G34,'Технологии'!$A$11:$BF$50,53,FALSE))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IF(G35="","",VLOOKUP(G35,'Технологии'!$A$11:$BF$50,53,FALSE))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IF(G36="","",VLOOKUP(G36,'Технологии'!$A$11:$BF$50,53,FALSE))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IF(G37="","",VLOOKUP(G37,'Технологии'!$A$11:$BF$50,53,FALSE))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IF(G38="","",VLOOKUP(G38,'Технологии'!$A$11:$BF$50,53,FALSE))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2036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79.29721399532231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75.3863808534391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85.22382803992782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96.84491999206593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2035'!B8+'Индонезия 2035'!D8+('Индонезия 2035'!C8+'Индонезия 2035'!F8+'Индонезия 2035'!G8)+(0.35*LN(1+0.6*'Ход 2035'!B14)*POWER(MAX(0,1-'Индонезия 2035'!I8/10),0.7))))</x:f>
        <x:v>9.500000000000007</x:v>
      </x:c>
      <x:c r="C8" s="42" t="n">
        <x:f>MIN(1,'Индонезия 2035'!C8+'Индонезия 2035'!F8+(0.08*LN(1+0.5*'Ход 2035'!C14)*MAX(0,1-('Индонезия 2035'!C8+'Индонезия 2035'!F8))))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9.500000000000007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2035'!B9+'Индонезия 2035'!D9+('Индонезия 2035'!C9+'Индонезия 2035'!F9+'Индонезия 2035'!G9)+(0.35*LN(1+0.6*'Ход 2035'!B15)*POWER(MAX(0,1-'Индонезия 2035'!I9/10),0.7))))</x:f>
        <x:v>7.0000000000000036</x:v>
      </x:c>
      <x:c r="C9" s="42" t="n">
        <x:f>MIN(1,'Индонезия 2035'!C9+'Индонезия 2035'!F9+(0.08*LN(1+0.5*'Ход 2035'!C15)*MAX(0,1-('Индонезия 2035'!C9+'Индонезия 2035'!F9))))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7.0000000000000036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2035'!B10+'Индонезия 2035'!D10+('Индонезия 2035'!C10+'Индонезия 2035'!F10+'Индонезия 2035'!G10)+(0.35*LN(1+0.6*'Ход 2035'!B16)*POWER(MAX(0,1-'Индонезия 2035'!I10/10),0.7))))</x:f>
        <x:v>8.999999999999996</x:v>
      </x:c>
      <x:c r="C10" s="42" t="n">
        <x:f>MIN(1,'Индонезия 2035'!C10+'Индонезия 2035'!F10+(0.08*LN(1+0.5*'Ход 2035'!C16)*MAX(0,1-('Индонезия 2035'!C10+'Индонезия 2035'!F10))))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8.999999999999996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2035'!B11+'Индонезия 2035'!D11+('Индонезия 2035'!C11+'Индонезия 2035'!F11+'Индонезия 2035'!G11)+(0.35*LN(1+0.6*'Ход 2035'!B17)*POWER(MAX(0,1-'Индонезия 2035'!I11/10),0.7))))</x:f>
        <x:v>8.500000000000007</x:v>
      </x:c>
      <x:c r="C11" s="42" t="n">
        <x:f>MIN(1,'Индонезия 2035'!C11+'Индонезия 2035'!F11+(0.08*LN(1+0.5*'Ход 2035'!C17)*MAX(0,1-('Индонезия 2035'!C11+'Индонезия 2035'!F11))))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8.500000000000007</x:v>
      </x:c>
      <x:c r="J11" s="42"/>
      <x:c r="K11" s="42" t="str">
        <x:v>Производство</x:v>
      </x:c>
      <x:c r="L11" s="42" t="n">
        <x:f>MAX(1,MIN(10,'Индонезия 2035'!L11+'Индонезия 2035'!N11+('Индонезия 2035'!M11+'Индонезия 2035'!P11+'Индонезия 2035'!Q11)))</x:f>
        <x:v>9.999999999999996</x:v>
      </x:c>
      <x:c r="M11" s="42" t="n">
        <x:f>MIN(1,'Индонезия 2035'!M11+'Индонезия 2035'!P11+(0.10*LN(1+0.5*'Ход 2035'!H13)*POWER(MAX(0,1-'Индонезия 2035'!S11/10),0.8)))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9.999999999999996</x:v>
      </x:c>
      <x:c r="T11" s="42"/>
      <x:c r="U11" s="42" t="str">
        <x:v>Россия</x:v>
      </x:c>
      <x:c r="V11" s="64" t="n">
        <x:f>'Индонезия 2035'!V11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2035'!B12+'Индонезия 2035'!D12+('Индонезия 2035'!C12+'Индонезия 2035'!F12+'Индонезия 2035'!G12)+(0.35*LN(1+0.6*'Ход 2035'!B18)*POWER(MAX(0,1-'Индонезия 2035'!I12/10),0.7))))</x:f>
        <x:v>9.500000000000007</x:v>
      </x:c>
      <x:c r="C12" s="42" t="n">
        <x:f>MIN(1,'Индонезия 2035'!C12+'Индонезия 2035'!F12+(0.08*LN(1+0.5*'Ход 2035'!C18)*MAX(0,1-('Индонезия 2035'!C12+'Индонезия 2035'!F12))))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9.500000000000007</x:v>
      </x:c>
      <x:c r="J12" s="42"/>
      <x:c r="K12" s="42" t="str">
        <x:v>Управление</x:v>
      </x:c>
      <x:c r="L12" s="42" t="n">
        <x:f>MAX(1,MIN(10,'Индонезия 2035'!L12+'Индонезия 2035'!N12+('Индонезия 2035'!M12+'Индонезия 2035'!P12+'Индонезия 2035'!Q12)))</x:f>
        <x:v>9.500000000000002</x:v>
      </x:c>
      <x:c r="M12" s="42" t="n">
        <x:f>MIN(1,'Индонезия 2035'!M12+'Индонезия 2035'!P12+(0.10*LN(1+0.5*'Ход 2035'!H14)*POWER(MAX(0,1-'Индонезия 2035'!S12/10),0.8)))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9.500000000000002</x:v>
      </x:c>
      <x:c r="T12" s="42"/>
      <x:c r="U12" s="42" t="str">
        <x:v>США</x:v>
      </x:c>
      <x:c r="V12" s="64" t="n">
        <x:f>'Индонезия 2035'!V12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2035'!B13+'Индонезия 2035'!D13+('Индонезия 2035'!C13+'Индонезия 2035'!F13+'Индонезия 2035'!G13)+(0.35*LN(1+0.6*'Ход 2035'!B19)*POWER(MAX(0,1-'Индонезия 2035'!I13/10),0.7))))</x:f>
        <x:v>4.999999999999998</x:v>
      </x:c>
      <x:c r="C13" s="42" t="n">
        <x:f>MIN(1,'Индонезия 2035'!C13+'Индонезия 2035'!F13+(0.08*LN(1+0.5*'Ход 2035'!C19)*MAX(0,1-('Индонезия 2035'!C13+'Индонезия 2035'!F13))))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4.999999999999998</x:v>
      </x:c>
      <x:c r="J13" s="42"/>
      <x:c r="K13" s="42" t="str">
        <x:v>Познание</x:v>
      </x:c>
      <x:c r="L13" s="42" t="n">
        <x:f>MAX(1,MIN(10,'Индонезия 2035'!L13+'Индонезия 2035'!N13+('Индонезия 2035'!M13+'Индонезия 2035'!P13+'Индонезия 2035'!Q13)))</x:f>
        <x:v>9.500000000000002</x:v>
      </x:c>
      <x:c r="M13" s="42" t="n">
        <x:f>MIN(1,'Индонезия 2035'!M13+'Индонезия 2035'!P13+(0.10*LN(1+0.5*'Ход 2035'!H15)*POWER(MAX(0,1-'Индонезия 2035'!S13/10),0.8)))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9.500000000000002</x:v>
      </x:c>
      <x:c r="T13" s="42"/>
      <x:c r="U13" s="42" t="str">
        <x:v>Китай</x:v>
      </x:c>
      <x:c r="V13" s="64" t="n">
        <x:f>'Индонезия 2035'!V13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2035'!B14+'Индонезия 2035'!D14+('Индонезия 2035'!C14+'Индонезия 2035'!F14+'Индонезия 2035'!G14)+(0.35*LN(1+0.6*'Ход 2035'!B20)*POWER(MAX(0,1-'Индонезия 2035'!I14/10),0.7))))</x:f>
        <x:v>6.999999999999998</x:v>
      </x:c>
      <x:c r="C14" s="42" t="n">
        <x:f>MIN(1,'Индонезия 2035'!C14+'Индонезия 2035'!F14+(0.08*LN(1+0.5*'Ход 2035'!C20)*MAX(0,1-('Индонезия 2035'!C14+'Индонезия 2035'!F14))))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6.999999999999998</x:v>
      </x:c>
      <x:c r="J14" s="42"/>
      <x:c r="K14" s="42" t="str">
        <x:v>Обучение</x:v>
      </x:c>
      <x:c r="L14" s="42" t="n">
        <x:f>MAX(1,MIN(10,'Индонезия 2035'!L14+'Индонезия 2035'!N14+('Индонезия 2035'!M14+'Индонезия 2035'!P14+'Индонезия 2035'!Q14)))</x:f>
        <x:v>9.999999999999996</x:v>
      </x:c>
      <x:c r="M14" s="42" t="n">
        <x:f>MIN(1,'Индонезия 2035'!M14+'Индонезия 2035'!P14+(0.10*LN(1+0.5*'Ход 2035'!H16)*POWER(MAX(0,1-'Индонезия 2035'!S14/10),0.8)))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9.999999999999996</x:v>
      </x:c>
      <x:c r="T14" s="42"/>
      <x:c r="U14" s="42" t="str">
        <x:v>Индия</x:v>
      </x:c>
      <x:c r="V14" s="64" t="n">
        <x:f>'Индонезия 2035'!V14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2035'!B15+'Индонезия 2035'!D15+('Индонезия 2035'!C15+'Индонезия 2035'!F15+'Индонезия 2035'!G15)+(0.35*LN(1+0.6*'Ход 2035'!B21)*POWER(MAX(0,1-'Индонезия 2035'!I15/10),0.7))))</x:f>
        <x:v>9.999999999999996</x:v>
      </x:c>
      <x:c r="C15" s="42" t="n">
        <x:f>MIN(1,'Индонезия 2035'!C15+'Индонезия 2035'!F15+(0.08*LN(1+0.5*'Ход 2035'!C21)*MAX(0,1-('Индонезия 2035'!C15+'Индонезия 2035'!F15))))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9.999999999999996</x:v>
      </x:c>
      <x:c r="J15" s="42"/>
      <x:c r="K15" s="42" t="str">
        <x:v>Война</x:v>
      </x:c>
      <x:c r="L15" s="42" t="n">
        <x:f>MAX(1,MIN(10,'Индонезия 2035'!L15+'Индонезия 2035'!N15+('Индонезия 2035'!M15+'Индонезия 2035'!P15+'Индонезия 2035'!Q15)))</x:f>
        <x:v>8</x:v>
      </x:c>
      <x:c r="M15" s="42" t="n">
        <x:f>MIN(1,'Индонезия 2035'!M15+'Индонезия 2035'!P15+(0.10*LN(1+0.5*'Ход 2035'!H17)*POWER(MAX(0,1-'Индонезия 2035'!S15/10),0.8)))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</x:v>
      </x:c>
      <x:c r="T15" s="42"/>
      <x:c r="U15" s="42" t="str">
        <x:v>Великобритания</x:v>
      </x:c>
      <x:c r="V15" s="64" t="n">
        <x:f>'Индонезия 2035'!V15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2035'!B16+'Индонезия 2035'!D16+('Индонезия 2035'!C16+'Индонезия 2035'!F16+'Индонезия 2035'!G16)+(0.35*LN(1+0.6*'Ход 2035'!B22)*POWER(MAX(0,1-'Индонезия 2035'!I16/10),0.7))))</x:f>
        <x:v>9.5</x:v>
      </x:c>
      <x:c r="C16" s="42" t="n">
        <x:f>MIN(1,'Индонезия 2035'!C16+'Индонезия 2035'!F16+(0.08*LN(1+0.5*'Ход 2035'!C22)*MAX(0,1-('Индонезия 2035'!C16+'Индонезия 2035'!F16))))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9.5</x:v>
      </x:c>
      <x:c r="J16" s="42"/>
      <x:c r="K16" s="42" t="str">
        <x:v>Экономика</x:v>
      </x:c>
      <x:c r="L16" s="42" t="n">
        <x:f>MAX(1,MIN(10,'Индонезия 2035'!L16+'Индонезия 2035'!N16+('Индонезия 2035'!M16+'Индонезия 2035'!P16+'Индонезия 2035'!Q16)))</x:f>
        <x:v>10</x:v>
      </x:c>
      <x:c r="M16" s="42" t="n">
        <x:f>MIN(1,'Индонезия 2035'!M16+'Индонезия 2035'!P16+(0.10*LN(1+0.5*'Ход 2035'!H18)*POWER(MAX(0,1-'Индонезия 2035'!S16/10),0.8)))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2035'!V16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2035'!B17+'Индонезия 2035'!D17+('Индонезия 2035'!C17+'Индонезия 2035'!F17+'Индонезия 2035'!G17)+(0.35*LN(1+0.6*'Ход 2035'!B23)*POWER(MAX(0,1-'Индонезия 2035'!I17/10),0.7))))</x:f>
        <x:v>8.999999999999996</x:v>
      </x:c>
      <x:c r="C17" s="42" t="n">
        <x:f>MIN(1,'Индонезия 2035'!C17+'Индонезия 2035'!F17+(0.08*LN(1+0.5*'Ход 2035'!C23)*MAX(0,1-('Индонезия 2035'!C17+'Индонезия 2035'!F17))))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8.999999999999996</x:v>
      </x:c>
      <x:c r="J17" s="42"/>
      <x:c r="K17" s="42" t="str">
        <x:v>Государственное управление</x:v>
      </x:c>
      <x:c r="L17" s="42" t="n">
        <x:f>MAX(1,MIN(10,'Индонезия 2035'!L17+'Индонезия 2035'!N17+('Индонезия 2035'!M17+'Индонезия 2035'!P17+'Индонезия 2035'!Q17)))</x:f>
        <x:v>10</x:v>
      </x:c>
      <x:c r="M17" s="42" t="n">
        <x:f>MIN(1,'Индонезия 2035'!M17+'Индонезия 2035'!P17+(0.10*LN(1+0.5*'Ход 2035'!H19)*POWER(MAX(0,1-'Индонезия 2035'!S17/10),0.8)))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2035'!V17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2035'!L18+'Индонезия 2035'!N18+('Индонезия 2035'!M18+'Индонезия 2035'!P18+'Индонезия 2035'!Q18)))</x:f>
        <x:v>10</x:v>
      </x:c>
      <x:c r="M18" s="42" t="n">
        <x:f>MIN(1,'Индонезия 2035'!M18+'Индонезия 2035'!P18+(0.10*LN(1+0.5*'Ход 2035'!H20)*POWER(MAX(0,1-'Индонезия 2035'!S18/10),0.8)))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2035'!V18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2035'!B19+'Индонезия 2035'!D19+('Индонезия 2035'!C19+'Индонезия 2035'!F19+'Индонезия 2035'!G19)+(0.35*LN(1+0.6*'Ход 2035'!B25)*POWER(MAX(0,1-'Индонезия 2035'!I19/10),0.7))))</x:f>
        <x:v>8.5</x:v>
      </x:c>
      <x:c r="C19" s="42" t="n">
        <x:f>MIN(1,'Индонезия 2035'!C19+'Индонезия 2035'!F19+(0.08*LN(1+0.5*'Ход 2035'!C25)*MAX(0,1-('Индонезия 2035'!C19+'Индонезия 2035'!F19))))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2035'!V19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2035'!B20+'Индонезия 2035'!D20+('Индонезия 2035'!C20+'Индонезия 2035'!F20+'Индонезия 2035'!G20)+(0.35*LN(1+0.6*'Ход 2035'!B26)*POWER(MAX(0,1-'Индонезия 2035'!I20/10),0.7))))</x:f>
        <x:v>9.000000000000002</x:v>
      </x:c>
      <x:c r="C20" s="42" t="n">
        <x:f>MIN(1,'Индонезия 2035'!C20+'Индонезия 2035'!F20+(0.08*LN(1+0.5*'Ход 2035'!C26)*MAX(0,1-('Индонезия 2035'!C20+'Индонезия 2035'!F20))))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9.000000000000002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2035'!V20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2035'!B21+'Индонезия 2035'!D21+('Индонезия 2035'!C21+'Индонезия 2035'!F21+'Индонезия 2035'!G21)+(0.35*LN(1+0.6*'Ход 2035'!B27)*POWER(MAX(0,1-'Индонезия 2035'!I21/10),0.7))))</x:f>
        <x:v>8.5</x:v>
      </x:c>
      <x:c r="C21" s="42" t="n">
        <x:f>MIN(1,'Индонезия 2035'!C21+'Индонезия 2035'!F21+(0.08*LN(1+0.5*'Ход 2035'!C27)*MAX(0,1-('Индонезия 2035'!C21+'Индонезия 2035'!F21))))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8.5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2035'!V21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2035'!B22+'Индонезия 2035'!D22+('Индонезия 2035'!C22+'Индонезия 2035'!F22+'Индонезия 2035'!G22)+(0.35*LN(1+0.6*'Ход 2035'!B28)*POWER(MAX(0,1-'Индонезия 2035'!I22/10),0.7))))</x:f>
        <x:v>8.5</x:v>
      </x:c>
      <x:c r="C22" s="42" t="n">
        <x:f>MIN(1,'Индонезия 2035'!C22+'Индонезия 2035'!F22+(0.08*LN(1+0.5*'Ход 2035'!C28)*MAX(0,1-('Индонезия 2035'!C22+'Индонезия 2035'!F22))))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8.5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2035'!V22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2035'!B23+'Индонезия 2035'!D23+('Индонезия 2035'!C23+'Индонезия 2035'!F23+'Индонезия 2035'!G23)+(0.35*LN(1+0.6*'Ход 2035'!B29)*POWER(MAX(0,1-'Индонезия 2035'!I23/10),0.7))))</x:f>
        <x:v>8.5</x:v>
      </x:c>
      <x:c r="C23" s="42" t="n">
        <x:f>MIN(1,'Индонезия 2035'!C23+'Индонезия 2035'!F23+(0.08*LN(1+0.5*'Ход 2035'!C29)*MAX(0,1-('Индонезия 2035'!C23+'Индонезия 2035'!F23))))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2035'!V23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2035'!V24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2035'!B25+'Индонезия 2035'!D25+('Индонезия 2035'!C25+'Индонезия 2035'!F25+'Индонезия 2035'!G25)+(0.35*LN(1+0.6*'Ход 2035'!B31)*POWER(MAX(0,1-'Индонезия 2035'!I25/10),0.7))))</x:f>
        <x:v>9.499999999999996</x:v>
      </x:c>
      <x:c r="C25" s="42" t="n">
        <x:f>MIN(1,'Индонезия 2035'!C25+'Индонезия 2035'!F25+(0.08*LN(1+0.5*'Ход 2035'!C31)*MAX(0,1-('Индонезия 2035'!C25+'Индонезия 2035'!F25))))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9.499999999999996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2035'!V25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2035'!B26+'Индонезия 2035'!D26+('Индонезия 2035'!C26+'Индонезия 2035'!F26+'Индонезия 2035'!G26)+(0.35*LN(1+0.6*'Ход 2035'!B32)*POWER(MAX(0,1-'Индонезия 2035'!I26/10),0.7))))</x:f>
        <x:v>9</x:v>
      </x:c>
      <x:c r="C26" s="42" t="n">
        <x:f>MIN(1,'Индонезия 2035'!C26+'Индонезия 2035'!F26+(0.08*LN(1+0.5*'Ход 2035'!C32)*MAX(0,1-('Индонезия 2035'!C26+'Индонезия 2035'!F26))))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2035'!V26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2035'!B27+'Индонезия 2035'!D27+('Индонезия 2035'!C27+'Индонезия 2035'!F27+'Индонезия 2035'!G27)+(0.35*LN(1+0.6*'Ход 2035'!B33)*POWER(MAX(0,1-'Индонезия 2035'!I27/10),0.7))))</x:f>
        <x:v>8.999999999999996</x:v>
      </x:c>
      <x:c r="C27" s="42" t="n">
        <x:f>MIN(1,'Индонезия 2035'!C27+'Индонезия 2035'!F27+(0.08*LN(1+0.5*'Ход 2035'!C33)*MAX(0,1-('Индонезия 2035'!C27+'Индонезия 2035'!F27))))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8.999999999999996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2035'!B28+'Индонезия 2035'!D28+('Индонезия 2035'!C28+'Индонезия 2035'!F28+'Индонезия 2035'!G28)+(0.35*LN(1+0.6*'Ход 2035'!B34)*POWER(MAX(0,1-'Индонезия 2035'!I28/10),0.7))))</x:f>
        <x:v>9.000000000000002</x:v>
      </x:c>
      <x:c r="C28" s="42" t="n">
        <x:f>MIN(1,'Индонезия 2035'!C28+'Индонезия 2035'!F28+(0.08*LN(1+0.5*'Ход 2035'!C34)*MAX(0,1-('Индонезия 2035'!C28+'Индонезия 2035'!F28))))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9.000000000000002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2035'!B29+'Индонезия 2035'!D29+('Индонезия 2035'!C29+'Индонезия 2035'!F29+'Индонезия 2035'!G29)+(0.35*LN(1+0.6*'Ход 2035'!B35)*POWER(MAX(0,1-'Индонезия 2035'!I29/10),0.7))))</x:f>
        <x:v>8.5</x:v>
      </x:c>
      <x:c r="C29" s="42" t="n">
        <x:f>MIN(1,'Индонезия 2035'!C29+'Индонезия 2035'!F29+(0.08*LN(1+0.5*'Ход 2035'!C35)*MAX(0,1-('Индонезия 2035'!C29+'Индонезия 2035'!F29))))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2035'!B30+'Индонезия 2035'!D30+('Индонезия 2035'!C30+'Индонезия 2035'!F30+'Индонезия 2035'!G30)+(0.35*LN(1+0.6*'Ход 2035'!B36)*POWER(MAX(0,1-'Индонезия 2035'!I30/10),0.7))))</x:f>
        <x:v>8.000000000000002</x:v>
      </x:c>
      <x:c r="C30" s="42" t="n">
        <x:f>MIN(1,'Индонезия 2035'!C30+'Индонезия 2035'!F30+(0.08*LN(1+0.5*'Ход 2035'!C36)*MAX(0,1-('Индонезия 2035'!C30+'Индонезия 2035'!F30))))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8.000000000000002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2035'!B31+'Индонезия 2035'!D31+('Индонезия 2035'!C31+'Индонезия 2035'!F31+'Индонезия 2035'!G31)+(0.35*LN(1+0.6*'Ход 2035'!B37)*POWER(MAX(0,1-'Индонезия 2035'!I31/10),0.7))))</x:f>
        <x:v>8.000000000000002</x:v>
      </x:c>
      <x:c r="C31" s="42" t="n">
        <x:f>MIN(1,'Индонезия 2035'!C31+'Индонезия 2035'!F31+(0.08*LN(1+0.5*'Ход 2035'!C37)*MAX(0,1-('Индонезия 2035'!C31+'Индонезия 2035'!F31))))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8.000000000000002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2035'!B32+'Индонезия 2035'!D32+('Индонезия 2035'!C32+'Индонезия 2035'!F32+'Индонезия 2035'!G32)+(0.35*LN(1+0.6*'Ход 2035'!B38)*POWER(MAX(0,1-'Индонезия 2035'!I32/10),0.7))))</x:f>
        <x:v>9</x:v>
      </x:c>
      <x:c r="C32" s="42" t="n">
        <x:f>MIN(1,'Индонезия 2035'!C32+'Индонезия 2035'!F32+(0.08*LN(1+0.5*'Ход 2035'!C38)*MAX(0,1-('Индонезия 2035'!C32+'Индонезия 2035'!F32))))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2035'!B34+'Индонезия 2035'!D34+('Индонезия 2035'!C34+'Индонезия 2035'!F34+'Индонезия 2035'!G34)+(0.35*LN(1+0.6*'Ход 2035'!B40)*POWER(MAX(0,1-'Индонезия 2035'!I34/10),0.7))))</x:f>
        <x:v>10</x:v>
      </x:c>
      <x:c r="C34" s="42" t="n">
        <x:f>MIN(1,'Индонезия 2035'!C34+'Индонезия 2035'!F34+(0.08*LN(1+0.5*'Ход 2035'!C40)*MAX(0,1-('Индонезия 2035'!C34+'Индонезия 2035'!F34))))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2035'!B35+'Индонезия 2035'!D35+('Индонезия 2035'!C35+'Индонезия 2035'!F35+'Индонезия 2035'!G35)+(0.35*LN(1+0.6*'Ход 2035'!B41)*POWER(MAX(0,1-'Индонезия 2035'!I35/10),0.7))))</x:f>
        <x:v>9.000000000000004</x:v>
      </x:c>
      <x:c r="C35" s="42" t="n">
        <x:f>MIN(1,'Индонезия 2035'!C35+'Индонезия 2035'!F35+(0.08*LN(1+0.5*'Ход 2035'!C41)*MAX(0,1-('Индонезия 2035'!C35+'Индонезия 2035'!F35))))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9.000000000000004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2035'!B36+'Индонезия 2035'!D36+('Индонезия 2035'!C36+'Индонезия 2035'!F36+'Индонезия 2035'!G36)+(0.35*LN(1+0.6*'Ход 2035'!B42)*POWER(MAX(0,1-'Индонезия 2035'!I36/10),0.7))))</x:f>
        <x:v>10</x:v>
      </x:c>
      <x:c r="C36" s="42" t="n">
        <x:f>MIN(1,'Индонезия 2035'!C36+'Индонезия 2035'!F36+(0.08*LN(1+0.5*'Ход 2035'!C42)*MAX(0,1-('Индонезия 2035'!C36+'Индонезия 2035'!F36))))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2035'!B37+'Индонезия 2035'!D37+('Индонезия 2035'!C37+'Индонезия 2035'!F37+'Индонезия 2035'!G37)+(0.35*LN(1+0.6*'Ход 2035'!B43)*POWER(MAX(0,1-'Индонезия 2035'!I37/10),0.7))))</x:f>
        <x:v>9.500000000000002</x:v>
      </x:c>
      <x:c r="C37" s="42" t="n">
        <x:f>MIN(1,'Индонезия 2035'!C37+'Индонезия 2035'!F37+(0.08*LN(1+0.5*'Ход 2035'!C43)*MAX(0,1-('Индонезия 2035'!C37+'Индонезия 2035'!F37))))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9.500000000000002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2035'!B38+'Индонезия 2035'!D38+('Индонезия 2035'!C38+'Индонезия 2035'!F38+'Индонезия 2035'!G38)+(0.35*LN(1+0.6*'Ход 2035'!B44)*POWER(MAX(0,1-'Индонезия 2035'!I38/10),0.7))))</x:f>
        <x:v>9</x:v>
      </x:c>
      <x:c r="C38" s="42" t="n">
        <x:f>MIN(1,'Индонезия 2035'!C38+'Индонезия 2035'!F38+(0.08*LN(1+0.5*'Ход 2035'!C44)*MAX(0,1-('Индонезия 2035'!C38+'Индонезия 2035'!F38))))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2035'!B39+'Индонезия 2035'!D39+('Индонезия 2035'!C39+'Индонезия 2035'!F39+'Индонезия 2035'!G39)+(0.35*LN(1+0.6*'Ход 2035'!B45)*POWER(MAX(0,1-'Индонезия 2035'!I39/10),0.7))))</x:f>
        <x:v>10</x:v>
      </x:c>
      <x:c r="C39" s="42" t="n">
        <x:f>MIN(1,'Индонезия 2035'!C39+'Индонезия 2035'!F39+(0.08*LN(1+0.5*'Ход 2035'!C45)*MAX(0,1-('Индонезия 2035'!C39+'Индонезия 2035'!F39))))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2035'!B40+'Индонезия 2035'!D40+('Индонезия 2035'!C40+'Индонезия 2035'!F40+'Индонезия 2035'!G40)+(0.35*LN(1+0.6*'Ход 2035'!B46)*POWER(MAX(0,1-'Индонезия 2035'!I40/10),0.7))))</x:f>
        <x:v>9.5</x:v>
      </x:c>
      <x:c r="C40" s="42" t="n">
        <x:f>MIN(1,'Индонезия 2035'!C40+'Индонезия 2035'!F40+(0.08*LN(1+0.5*'Ход 2035'!C46)*MAX(0,1-('Индонезия 2035'!C40+'Индонезия 2035'!F40))))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2035'!B41+'Индонезия 2035'!D41+('Индонезия 2035'!C41+'Индонезия 2035'!F41+'Индонезия 2035'!G41)+(0.35*LN(1+0.6*'Ход 2035'!B47)*POWER(MAX(0,1-'Индонезия 2035'!I41/10),0.7))))</x:f>
        <x:v>9.5</x:v>
      </x:c>
      <x:c r="C41" s="42" t="n">
        <x:f>MIN(1,'Индонезия 2035'!C41+'Индонезия 2035'!F41+(0.08*LN(1+0.5*'Ход 2035'!C47)*MAX(0,1-('Индонезия 2035'!C41+'Индонезия 2035'!F41))))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2035'!B42+'Индонезия 2035'!D42+('Индонезия 2035'!C42+'Индонезия 2035'!F42+'Индонезия 2035'!G42)+(0.35*LN(1+0.6*'Ход 2035'!B48)*POWER(MAX(0,1-'Индонезия 2035'!I42/10),0.7))))</x:f>
        <x:v>9.499999999999996</x:v>
      </x:c>
      <x:c r="C42" s="42" t="n">
        <x:f>MIN(1,'Индонезия 2035'!C42+'Индонезия 2035'!F42+(0.08*LN(1+0.5*'Ход 2035'!C48)*MAX(0,1-('Индонезия 2035'!C42+'Индонезия 2035'!F42))))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9.499999999999996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2035'!B44+'Индонезия 2035'!D44+('Индонезия 2035'!C44+'Индонезия 2035'!F44+'Индонезия 2035'!G44)+(0.35*LN(1+0.6*'Ход 2035'!B50)*POWER(MAX(0,1-'Индонезия 2035'!I44/10),0.7))))</x:f>
        <x:v>8.5</x:v>
      </x:c>
      <x:c r="C44" s="42" t="n">
        <x:f>MIN(1,'Индонезия 2035'!C44+'Индонезия 2035'!F44+(0.08*LN(1+0.5*'Ход 2035'!C50)*MAX(0,1-('Индонезия 2035'!C44+'Индонезия 2035'!F44))))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8.5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2035'!B45+'Индонезия 2035'!D45+('Индонезия 2035'!C45+'Индонезия 2035'!F45+'Индонезия 2035'!G45)+(0.35*LN(1+0.6*'Ход 2035'!B51)*POWER(MAX(0,1-'Индонезия 2035'!I45/10),0.7))))</x:f>
        <x:v>8.5</x:v>
      </x:c>
      <x:c r="C45" s="42" t="n">
        <x:f>MIN(1,'Индонезия 2035'!C45+'Индонезия 2035'!F45+(0.08*LN(1+0.5*'Ход 2035'!C51)*MAX(0,1-('Индонезия 2035'!C45+'Индонезия 2035'!F45))))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8.5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2035'!B46+'Индонезия 2035'!D46+('Индонезия 2035'!C46+'Индонезия 2035'!F46+'Индонезия 2035'!G46)+(0.35*LN(1+0.6*'Ход 2035'!B52)*POWER(MAX(0,1-'Индонезия 2035'!I46/10),0.7))))</x:f>
        <x:v>8.5</x:v>
      </x:c>
      <x:c r="C46" s="42" t="n">
        <x:f>MIN(1,'Индонезия 2035'!C46+'Индонезия 2035'!F46+(0.08*LN(1+0.5*'Ход 2035'!C52)*MAX(0,1-('Индонезия 2035'!C46+'Индонезия 2035'!F46))))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8.5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2035'!B47+'Индонезия 2035'!D47+('Индонезия 2035'!C47+'Индонезия 2035'!F47+'Индонезия 2035'!G47)+(0.35*LN(1+0.6*'Ход 2035'!B53)*POWER(MAX(0,1-'Индонезия 2035'!I47/10),0.7))))</x:f>
        <x:v>8.500000000000004</x:v>
      </x:c>
      <x:c r="C47" s="42" t="n">
        <x:f>MIN(1,'Индонезия 2035'!C47+'Индонезия 2035'!F47+(0.08*LN(1+0.5*'Ход 2035'!C53)*MAX(0,1-('Индонезия 2035'!C47+'Индонезия 2035'!F47))))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8.500000000000004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2035'!B48+'Индонезия 2035'!D48+('Индонезия 2035'!C48+'Индонезия 2035'!F48+'Индонезия 2035'!G48)+(0.35*LN(1+0.6*'Ход 2035'!B54)*POWER(MAX(0,1-'Индонезия 2035'!I48/10),0.7))))</x:f>
        <x:v>9.000000000000004</x:v>
      </x:c>
      <x:c r="C48" s="42" t="n">
        <x:f>MIN(1,'Индонезия 2035'!C48+'Индонезия 2035'!F48+(0.08*LN(1+0.5*'Ход 2035'!C54)*MAX(0,1-('Индонезия 2035'!C48+'Индонезия 2035'!F48))))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9.000000000000004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2035'!B49+'Индонезия 2035'!D49+('Индонезия 2035'!C49+'Индонезия 2035'!F49+'Индонезия 2035'!G49)+(0.35*LN(1+0.6*'Ход 2035'!B55)*POWER(MAX(0,1-'Индонезия 2035'!I49/10),0.7))))</x:f>
        <x:v>10</x:v>
      </x:c>
      <x:c r="C49" s="42" t="n">
        <x:f>MIN(1,'Индонезия 2035'!C49+'Индонезия 2035'!F49+(0.08*LN(1+0.5*'Ход 2035'!C55)*MAX(0,1-('Индонезия 2035'!C49+'Индонезия 2035'!F49))))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2035'!B50+'Индонезия 2035'!D50+('Индонезия 2035'!C50+'Индонезия 2035'!F50+'Индонезия 2035'!G50)+(0.35*LN(1+0.6*'Ход 2035'!B56)*POWER(MAX(0,1-'Индонезия 2035'!I50/10),0.7))))</x:f>
        <x:v>10</x:v>
      </x:c>
      <x:c r="C50" s="42" t="n">
        <x:f>MIN(1,'Индонезия 2035'!C50+'Индонезия 2035'!F50+(0.08*LN(1+0.5*'Ход 2035'!C56)*MAX(0,1-('Индонезия 2035'!C50+'Индонезия 2035'!F50))))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2035'!B51+'Индонезия 2035'!D51+('Индонезия 2035'!C51+'Индонезия 2035'!F51+'Индонезия 2035'!G51)+(0.35*LN(1+0.6*'Ход 2035'!B57)*POWER(MAX(0,1-'Индонезия 2035'!I51/10),0.7))))</x:f>
        <x:v>9</x:v>
      </x:c>
      <x:c r="C51" s="42" t="n">
        <x:f>MIN(1,'Индонезия 2035'!C51+'Индонезия 2035'!F51+(0.08*LN(1+0.5*'Ход 2035'!C57)*MAX(0,1-('Индонезия 2035'!C51+'Индонезия 2035'!F51))))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2035'!B53+'Индонезия 2035'!D53+('Индонезия 2035'!C53+'Индонезия 2035'!F53+'Индонезия 2035'!G53)+(0.35*LN(1+0.6*'Ход 2035'!B59)*POWER(MAX(0,1-'Индонезия 2035'!I53/10),0.7))))</x:f>
        <x:v>8.5</x:v>
      </x:c>
      <x:c r="C53" s="42" t="n">
        <x:f>MIN(1,'Индонезия 2035'!C53+'Индонезия 2035'!F53+(0.08*LN(1+0.5*'Ход 2035'!C59)*MAX(0,1-('Индонезия 2035'!C53+'Индонезия 2035'!F53))))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2035'!B54+'Индонезия 2035'!D54+('Индонезия 2035'!C54+'Индонезия 2035'!F54+'Индонезия 2035'!G54)+(0.35*LN(1+0.6*'Ход 2035'!B60)*POWER(MAX(0,1-'Индонезия 2035'!I54/10),0.7))))</x:f>
        <x:v>8.5</x:v>
      </x:c>
      <x:c r="C54" s="42" t="n">
        <x:f>MIN(1,'Индонезия 2035'!C54+'Индонезия 2035'!F54+(0.08*LN(1+0.5*'Ход 2035'!C60)*MAX(0,1-('Индонезия 2035'!C54+'Индонезия 2035'!F54))))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2035'!B55+'Индонезия 2035'!D55+('Индонезия 2035'!C55+'Индонезия 2035'!F55+'Индонезия 2035'!G55)+(0.35*LN(1+0.6*'Ход 2035'!B61)*POWER(MAX(0,1-'Индонезия 2035'!I55/10),0.7))))</x:f>
        <x:v>7.500000000000002</x:v>
      </x:c>
      <x:c r="C55" s="42" t="n">
        <x:f>MIN(1,'Индонезия 2035'!C55+'Индонезия 2035'!F55+(0.08*LN(1+0.5*'Ход 2035'!C61)*MAX(0,1-('Индонезия 2035'!C55+'Индонезия 2035'!F55))))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7.500000000000002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2036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2036'!U6</x:f>
        <x:v>96.84491999206593</x:v>
      </x:c>
      <x:c r="C6" s="42"/>
      <x:c r="D6" s="42"/>
      <x:c r="E6" s="42" t="str">
        <x:v>Доступно</x:v>
      </x:c>
      <x:c r="F6" s="42" t="n">
        <x:f>'Индонезия 2036'!K6</x:f>
        <x:v>79.29721399532231</x:v>
      </x:c>
      <x:c r="G6" s="42"/>
      <x:c r="H6" s="42"/>
      <x:c r="I6" s="42" t="str">
        <x:v>Доступно</x:v>
      </x:c>
      <x:c r="J6" s="42" t="n">
        <x:f>'Индонезия 2036'!N6</x:f>
        <x:v>75.3863808534391</x:v>
      </x:c>
      <x:c r="K6" s="42"/>
      <x:c r="L6" s="42"/>
      <x:c r="M6" s="42" t="str">
        <x:v>Доступно</x:v>
      </x:c>
      <x:c r="N6" s="42" t="n">
        <x:f>'Индонезия 2036'!Q6</x:f>
        <x:v>85.22382803992782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96.84491999206593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79.29721399532231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75.3863808534391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85.22382803992782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2036'!V11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87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2036'!V12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71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2036'!V13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23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2036'!V14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36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2036'!V15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59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2036'!V16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65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2036'!V17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63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2036'!V18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38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2036'!V19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56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2036'!V20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31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2036'!V21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74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2036'!V22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86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2036'!V23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11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2036'!V24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58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2036'!V25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42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2036'!V26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54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IF(G29="","",VLOOKUP(G29,'Технологии'!$A$11:$BF$50,54,FALSE))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IF(G30="","",VLOOKUP(G30,'Технологии'!$A$11:$BF$50,54,FALSE))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IF(G31="","",VLOOKUP(G31,'Технологии'!$A$11:$BF$50,54,FALSE))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IF(G32="","",VLOOKUP(G32,'Технологии'!$A$11:$BF$50,54,FALSE))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IF(G33="","",VLOOKUP(G33,'Технологии'!$A$11:$BF$50,54,FALSE))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IF(G34="","",VLOOKUP(G34,'Технологии'!$A$11:$BF$50,54,FALSE))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IF(G35="","",VLOOKUP(G35,'Технологии'!$A$11:$BF$50,54,FALSE))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IF(G36="","",VLOOKUP(G36,'Технологии'!$A$11:$BF$50,54,FALSE))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IF(G37="","",VLOOKUP(G37,'Технологии'!$A$11:$BF$50,54,FALSE))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IF(G38="","",VLOOKUP(G38,'Технологии'!$A$11:$BF$50,54,FALSE))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2037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80.4150480886512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76.00070521284044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86.26771889419048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97.2990580666775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2036'!B8+'Индонезия 2036'!D8+('Индонезия 2036'!C8+'Индонезия 2036'!F8+'Индонезия 2036'!G8)+(0.35*LN(1+0.6*'Ход 2036'!B14)*POWER(MAX(0,1-'Индонезия 2036'!I8/10),0.7))))</x:f>
        <x:v>9.550000000000008</x:v>
      </x:c>
      <x:c r="C8" s="42" t="n">
        <x:f>MIN(1,'Индонезия 2036'!C8+'Индонезия 2036'!F8+(0.08*LN(1+0.5*'Ход 2036'!C14)*MAX(0,1-('Индонезия 2036'!C8+'Индонезия 2036'!F8))))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9.550000000000008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2036'!B9+'Индонезия 2036'!D9+('Индонезия 2036'!C9+'Индонезия 2036'!F9+'Индонезия 2036'!G9)+(0.35*LN(1+0.6*'Ход 2036'!B15)*POWER(MAX(0,1-'Индонезия 2036'!I9/10),0.7))))</x:f>
        <x:v>7.150000000000004</x:v>
      </x:c>
      <x:c r="C9" s="42" t="n">
        <x:f>MIN(1,'Индонезия 2036'!C9+'Индонезия 2036'!F9+(0.08*LN(1+0.5*'Ход 2036'!C15)*MAX(0,1-('Индонезия 2036'!C9+'Индонезия 2036'!F9))))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7.150000000000004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2036'!B10+'Индонезия 2036'!D10+('Индонезия 2036'!C10+'Индонезия 2036'!F10+'Индонезия 2036'!G10)+(0.35*LN(1+0.6*'Ход 2036'!B16)*POWER(MAX(0,1-'Индонезия 2036'!I10/10),0.7))))</x:f>
        <x:v>9.099999999999996</x:v>
      </x:c>
      <x:c r="C10" s="42" t="n">
        <x:f>MIN(1,'Индонезия 2036'!C10+'Индонезия 2036'!F10+(0.08*LN(1+0.5*'Ход 2036'!C16)*MAX(0,1-('Индонезия 2036'!C10+'Индонезия 2036'!F10))))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9.099999999999996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2036'!B11+'Индонезия 2036'!D11+('Индонезия 2036'!C11+'Индонезия 2036'!F11+'Индонезия 2036'!G11)+(0.35*LN(1+0.6*'Ход 2036'!B17)*POWER(MAX(0,1-'Индонезия 2036'!I11/10),0.7))))</x:f>
        <x:v>8.550000000000008</x:v>
      </x:c>
      <x:c r="C11" s="42" t="n">
        <x:f>MIN(1,'Индонезия 2036'!C11+'Индонезия 2036'!F11+(0.08*LN(1+0.5*'Ход 2036'!C17)*MAX(0,1-('Индонезия 2036'!C11+'Индонезия 2036'!F11))))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8.550000000000008</x:v>
      </x:c>
      <x:c r="J11" s="42"/>
      <x:c r="K11" s="42" t="str">
        <x:v>Производство</x:v>
      </x:c>
      <x:c r="L11" s="42" t="n">
        <x:f>MAX(1,MIN(10,'Индонезия 2036'!L11+'Индонезия 2036'!N11+('Индонезия 2036'!M11+'Индонезия 2036'!P11+'Индонезия 2036'!Q11)))</x:f>
        <x:v>10</x:v>
      </x:c>
      <x:c r="M11" s="42" t="n">
        <x:f>MIN(1,'Индонезия 2036'!M11+'Индонезия 2036'!P11+(0.10*LN(1+0.5*'Ход 2036'!H13)*POWER(MAX(0,1-'Индонезия 2036'!S11/10),0.8)))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'Индонезия 2036'!V11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2036'!B12+'Индонезия 2036'!D12+('Индонезия 2036'!C12+'Индонезия 2036'!F12+'Индонезия 2036'!G12)+(0.35*LN(1+0.6*'Ход 2036'!B18)*POWER(MAX(0,1-'Индонезия 2036'!I12/10),0.7))))</x:f>
        <x:v>9.550000000000008</x:v>
      </x:c>
      <x:c r="C12" s="42" t="n">
        <x:f>MIN(1,'Индонезия 2036'!C12+'Индонезия 2036'!F12+(0.08*LN(1+0.5*'Ход 2036'!C18)*MAX(0,1-('Индонезия 2036'!C12+'Индонезия 2036'!F12))))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9.550000000000008</x:v>
      </x:c>
      <x:c r="J12" s="42"/>
      <x:c r="K12" s="42" t="str">
        <x:v>Управление</x:v>
      </x:c>
      <x:c r="L12" s="42" t="n">
        <x:f>MAX(1,MIN(10,'Индонезия 2036'!L12+'Индонезия 2036'!N12+('Индонезия 2036'!M12+'Индонезия 2036'!P12+'Индонезия 2036'!Q12)))</x:f>
        <x:v>9.800000000000002</x:v>
      </x:c>
      <x:c r="M12" s="42" t="n">
        <x:f>MIN(1,'Индонезия 2036'!M12+'Индонезия 2036'!P12+(0.10*LN(1+0.5*'Ход 2036'!H14)*POWER(MAX(0,1-'Индонезия 2036'!S12/10),0.8)))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9.800000000000002</x:v>
      </x:c>
      <x:c r="T12" s="42"/>
      <x:c r="U12" s="42" t="str">
        <x:v>США</x:v>
      </x:c>
      <x:c r="V12" s="64" t="n">
        <x:f>'Индонезия 2036'!V12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2036'!B13+'Индонезия 2036'!D13+('Индонезия 2036'!C13+'Индонезия 2036'!F13+'Индонезия 2036'!G13)+(0.35*LN(1+0.6*'Ход 2036'!B19)*POWER(MAX(0,1-'Индонезия 2036'!I13/10),0.7))))</x:f>
        <x:v>5.299999999999998</x:v>
      </x:c>
      <x:c r="C13" s="42" t="n">
        <x:f>MIN(1,'Индонезия 2036'!C13+'Индонезия 2036'!F13+(0.08*LN(1+0.5*'Ход 2036'!C19)*MAX(0,1-('Индонезия 2036'!C13+'Индонезия 2036'!F13))))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5.299999999999998</x:v>
      </x:c>
      <x:c r="J13" s="42"/>
      <x:c r="K13" s="42" t="str">
        <x:v>Познание</x:v>
      </x:c>
      <x:c r="L13" s="42" t="n">
        <x:f>MAX(1,MIN(10,'Индонезия 2036'!L13+'Индонезия 2036'!N13+('Индонезия 2036'!M13+'Индонезия 2036'!P13+'Индонезия 2036'!Q13)))</x:f>
        <x:v>9.800000000000002</x:v>
      </x:c>
      <x:c r="M13" s="42" t="n">
        <x:f>MIN(1,'Индонезия 2036'!M13+'Индонезия 2036'!P13+(0.10*LN(1+0.5*'Ход 2036'!H15)*POWER(MAX(0,1-'Индонезия 2036'!S13/10),0.8)))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9.800000000000002</x:v>
      </x:c>
      <x:c r="T13" s="42"/>
      <x:c r="U13" s="42" t="str">
        <x:v>Китай</x:v>
      </x:c>
      <x:c r="V13" s="64" t="n">
        <x:f>'Индонезия 2036'!V13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2036'!B14+'Индонезия 2036'!D14+('Индонезия 2036'!C14+'Индонезия 2036'!F14+'Индонезия 2036'!G14)+(0.35*LN(1+0.6*'Ход 2036'!B20)*POWER(MAX(0,1-'Индонезия 2036'!I14/10),0.7))))</x:f>
        <x:v>7.299999999999998</x:v>
      </x:c>
      <x:c r="C14" s="42" t="n">
        <x:f>MIN(1,'Индонезия 2036'!C14+'Индонезия 2036'!F14+(0.08*LN(1+0.5*'Ход 2036'!C20)*MAX(0,1-('Индонезия 2036'!C14+'Индонезия 2036'!F14))))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7.299999999999998</x:v>
      </x:c>
      <x:c r="J14" s="42"/>
      <x:c r="K14" s="42" t="str">
        <x:v>Обучение</x:v>
      </x:c>
      <x:c r="L14" s="42" t="n">
        <x:f>MAX(1,MIN(10,'Индонезия 2036'!L14+'Индонезия 2036'!N14+('Индонезия 2036'!M14+'Индонезия 2036'!P14+'Индонезия 2036'!Q14)))</x:f>
        <x:v>10</x:v>
      </x:c>
      <x:c r="M14" s="42" t="n">
        <x:f>MIN(1,'Индонезия 2036'!M14+'Индонезия 2036'!P14+(0.10*LN(1+0.5*'Ход 2036'!H16)*POWER(MAX(0,1-'Индонезия 2036'!S14/10),0.8)))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'Индонезия 2036'!V14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2036'!B15+'Индонезия 2036'!D15+('Индонезия 2036'!C15+'Индонезия 2036'!F15+'Индонезия 2036'!G15)+(0.35*LN(1+0.6*'Ход 2036'!B21)*POWER(MAX(0,1-'Индонезия 2036'!I15/10),0.7))))</x:f>
        <x:v>10</x:v>
      </x:c>
      <x:c r="C15" s="42" t="n">
        <x:f>MIN(1,'Индонезия 2036'!C15+'Индонезия 2036'!F15+(0.08*LN(1+0.5*'Ход 2036'!C21)*MAX(0,1-('Индонезия 2036'!C15+'Индонезия 2036'!F15))))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MAX(1,MIN(10,'Индонезия 2036'!L15+'Индонезия 2036'!N15+('Индонезия 2036'!M15+'Индонезия 2036'!P15+'Индонезия 2036'!Q15)))</x:f>
        <x:v>8.25</x:v>
      </x:c>
      <x:c r="M15" s="42" t="n">
        <x:f>MIN(1,'Индонезия 2036'!M15+'Индонезия 2036'!P15+(0.10*LN(1+0.5*'Ход 2036'!H17)*POWER(MAX(0,1-'Индонезия 2036'!S15/10),0.8)))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8.25</x:v>
      </x:c>
      <x:c r="T15" s="42"/>
      <x:c r="U15" s="42" t="str">
        <x:v>Великобритания</x:v>
      </x:c>
      <x:c r="V15" s="64" t="n">
        <x:f>'Индонезия 2036'!V15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2036'!B16+'Индонезия 2036'!D16+('Индонезия 2036'!C16+'Индонезия 2036'!F16+'Индонезия 2036'!G16)+(0.35*LN(1+0.6*'Ход 2036'!B22)*POWER(MAX(0,1-'Индонезия 2036'!I16/10),0.7))))</x:f>
        <x:v>9.75</x:v>
      </x:c>
      <x:c r="C16" s="42" t="n">
        <x:f>MIN(1,'Индонезия 2036'!C16+'Индонезия 2036'!F16+(0.08*LN(1+0.5*'Ход 2036'!C22)*MAX(0,1-('Индонезия 2036'!C16+'Индонезия 2036'!F16))))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9.75</x:v>
      </x:c>
      <x:c r="J16" s="42"/>
      <x:c r="K16" s="42" t="str">
        <x:v>Экономика</x:v>
      </x:c>
      <x:c r="L16" s="42" t="n">
        <x:f>MAX(1,MIN(10,'Индонезия 2036'!L16+'Индонезия 2036'!N16+('Индонезия 2036'!M16+'Индонезия 2036'!P16+'Индонезия 2036'!Q16)))</x:f>
        <x:v>10</x:v>
      </x:c>
      <x:c r="M16" s="42" t="n">
        <x:f>MIN(1,'Индонезия 2036'!M16+'Индонезия 2036'!P16+(0.10*LN(1+0.5*'Ход 2036'!H18)*POWER(MAX(0,1-'Индонезия 2036'!S16/10),0.8)))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2036'!V16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2036'!B17+'Индонезия 2036'!D17+('Индонезия 2036'!C17+'Индонезия 2036'!F17+'Индонезия 2036'!G17)+(0.35*LN(1+0.6*'Ход 2036'!B23)*POWER(MAX(0,1-'Индонезия 2036'!I17/10),0.7))))</x:f>
        <x:v>9.199999999999996</x:v>
      </x:c>
      <x:c r="C17" s="42" t="n">
        <x:f>MIN(1,'Индонезия 2036'!C17+'Индонезия 2036'!F17+(0.08*LN(1+0.5*'Ход 2036'!C23)*MAX(0,1-('Индонезия 2036'!C17+'Индонезия 2036'!F17))))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9.199999999999996</x:v>
      </x:c>
      <x:c r="J17" s="42"/>
      <x:c r="K17" s="42" t="str">
        <x:v>Государственное управление</x:v>
      </x:c>
      <x:c r="L17" s="42" t="n">
        <x:f>MAX(1,MIN(10,'Индонезия 2036'!L17+'Индонезия 2036'!N17+('Индонезия 2036'!M17+'Индонезия 2036'!P17+'Индонезия 2036'!Q17)))</x:f>
        <x:v>10</x:v>
      </x:c>
      <x:c r="M17" s="42" t="n">
        <x:f>MIN(1,'Индонезия 2036'!M17+'Индонезия 2036'!P17+(0.10*LN(1+0.5*'Ход 2036'!H19)*POWER(MAX(0,1-'Индонезия 2036'!S17/10),0.8)))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2036'!V17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2036'!L18+'Индонезия 2036'!N18+('Индонезия 2036'!M18+'Индонезия 2036'!P18+'Индонезия 2036'!Q18)))</x:f>
        <x:v>10</x:v>
      </x:c>
      <x:c r="M18" s="42" t="n">
        <x:f>MIN(1,'Индонезия 2036'!M18+'Индонезия 2036'!P18+(0.10*LN(1+0.5*'Ход 2036'!H20)*POWER(MAX(0,1-'Индонезия 2036'!S18/10),0.8)))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2036'!V18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2036'!B19+'Индонезия 2036'!D19+('Индонезия 2036'!C19+'Индонезия 2036'!F19+'Индонезия 2036'!G19)+(0.35*LN(1+0.6*'Ход 2036'!B25)*POWER(MAX(0,1-'Индонезия 2036'!I19/10),0.7))))</x:f>
        <x:v>8.75</x:v>
      </x:c>
      <x:c r="C19" s="42" t="n">
        <x:f>MIN(1,'Индонезия 2036'!C19+'Индонезия 2036'!F19+(0.08*LN(1+0.5*'Ход 2036'!C25)*MAX(0,1-('Индонезия 2036'!C19+'Индонезия 2036'!F19))))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8.75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2036'!V19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2036'!B20+'Индонезия 2036'!D20+('Индонезия 2036'!C20+'Индонезия 2036'!F20+'Индонезия 2036'!G20)+(0.35*LN(1+0.6*'Ход 2036'!B26)*POWER(MAX(0,1-'Индонезия 2036'!I20/10),0.7))))</x:f>
        <x:v>9.300000000000002</x:v>
      </x:c>
      <x:c r="C20" s="42" t="n">
        <x:f>MIN(1,'Индонезия 2036'!C20+'Индонезия 2036'!F20+(0.08*LN(1+0.5*'Ход 2036'!C26)*MAX(0,1-('Индонезия 2036'!C20+'Индонезия 2036'!F20))))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9.300000000000002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2036'!V20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2036'!B21+'Индонезия 2036'!D21+('Индонезия 2036'!C21+'Индонезия 2036'!F21+'Индонезия 2036'!G21)+(0.35*LN(1+0.6*'Ход 2036'!B27)*POWER(MAX(0,1-'Индонезия 2036'!I21/10),0.7))))</x:f>
        <x:v>8.8</x:v>
      </x:c>
      <x:c r="C21" s="42" t="n">
        <x:f>MIN(1,'Индонезия 2036'!C21+'Индонезия 2036'!F21+(0.08*LN(1+0.5*'Ход 2036'!C27)*MAX(0,1-('Индонезия 2036'!C21+'Индонезия 2036'!F21))))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8.8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2036'!V21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2036'!B22+'Индонезия 2036'!D22+('Индонезия 2036'!C22+'Индонезия 2036'!F22+'Индонезия 2036'!G22)+(0.35*LN(1+0.6*'Ход 2036'!B28)*POWER(MAX(0,1-'Индонезия 2036'!I22/10),0.7))))</x:f>
        <x:v>8.7</x:v>
      </x:c>
      <x:c r="C22" s="42" t="n">
        <x:f>MIN(1,'Индонезия 2036'!C22+'Индонезия 2036'!F22+(0.08*LN(1+0.5*'Ход 2036'!C28)*MAX(0,1-('Индонезия 2036'!C22+'Индонезия 2036'!F22))))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2036'!V22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2036'!B23+'Индонезия 2036'!D23+('Индонезия 2036'!C23+'Индонезия 2036'!F23+'Индонезия 2036'!G23)+(0.35*LN(1+0.6*'Ход 2036'!B29)*POWER(MAX(0,1-'Индонезия 2036'!I23/10),0.7))))</x:f>
        <x:v>8.75</x:v>
      </x:c>
      <x:c r="C23" s="42" t="n">
        <x:f>MIN(1,'Индонезия 2036'!C23+'Индонезия 2036'!F23+(0.08*LN(1+0.5*'Ход 2036'!C29)*MAX(0,1-('Индонезия 2036'!C23+'Индонезия 2036'!F23))))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8.75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2036'!V23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2036'!V24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2036'!B25+'Индонезия 2036'!D25+('Индонезия 2036'!C25+'Индонезия 2036'!F25+'Индонезия 2036'!G25)+(0.35*LN(1+0.6*'Ход 2036'!B31)*POWER(MAX(0,1-'Индонезия 2036'!I25/10),0.7))))</x:f>
        <x:v>9.599999999999996</x:v>
      </x:c>
      <x:c r="C25" s="42" t="n">
        <x:f>MIN(1,'Индонезия 2036'!C25+'Индонезия 2036'!F25+(0.08*LN(1+0.5*'Ход 2036'!C31)*MAX(0,1-('Индонезия 2036'!C25+'Индонезия 2036'!F25))))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9.599999999999996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2036'!V25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2036'!B26+'Индонезия 2036'!D26+('Индонезия 2036'!C26+'Индонезия 2036'!F26+'Индонезия 2036'!G26)+(0.35*LN(1+0.6*'Ход 2036'!B32)*POWER(MAX(0,1-'Индонезия 2036'!I26/10),0.7))))</x:f>
        <x:v>9.25</x:v>
      </x:c>
      <x:c r="C26" s="42" t="n">
        <x:f>MIN(1,'Индонезия 2036'!C26+'Индонезия 2036'!F26+(0.08*LN(1+0.5*'Ход 2036'!C32)*MAX(0,1-('Индонезия 2036'!C26+'Индонезия 2036'!F26))))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9.25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2036'!V26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2036'!B27+'Индонезия 2036'!D27+('Индонезия 2036'!C27+'Индонезия 2036'!F27+'Индонезия 2036'!G27)+(0.35*LN(1+0.6*'Ход 2036'!B33)*POWER(MAX(0,1-'Индонезия 2036'!I27/10),0.7))))</x:f>
        <x:v>9.199999999999996</x:v>
      </x:c>
      <x:c r="C27" s="42" t="n">
        <x:f>MIN(1,'Индонезия 2036'!C27+'Индонезия 2036'!F27+(0.08*LN(1+0.5*'Ход 2036'!C33)*MAX(0,1-('Индонезия 2036'!C27+'Индонезия 2036'!F27))))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9.199999999999996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2036'!B28+'Индонезия 2036'!D28+('Индонезия 2036'!C28+'Индонезия 2036'!F28+'Индонезия 2036'!G28)+(0.35*LN(1+0.6*'Ход 2036'!B34)*POWER(MAX(0,1-'Индонезия 2036'!I28/10),0.7))))</x:f>
        <x:v>9.300000000000002</x:v>
      </x:c>
      <x:c r="C28" s="42" t="n">
        <x:f>MIN(1,'Индонезия 2036'!C28+'Индонезия 2036'!F28+(0.08*LN(1+0.5*'Ход 2036'!C34)*MAX(0,1-('Индонезия 2036'!C28+'Индонезия 2036'!F28))))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9.300000000000002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2036'!B29+'Индонезия 2036'!D29+('Индонезия 2036'!C29+'Индонезия 2036'!F29+'Индонезия 2036'!G29)+(0.35*LN(1+0.6*'Ход 2036'!B35)*POWER(MAX(0,1-'Индонезия 2036'!I29/10),0.7))))</x:f>
        <x:v>8.75</x:v>
      </x:c>
      <x:c r="C29" s="42" t="n">
        <x:f>MIN(1,'Индонезия 2036'!C29+'Индонезия 2036'!F29+(0.08*LN(1+0.5*'Ход 2036'!C35)*MAX(0,1-('Индонезия 2036'!C29+'Индонезия 2036'!F29))))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8.75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2036'!B30+'Индонезия 2036'!D30+('Индонезия 2036'!C30+'Индонезия 2036'!F30+'Индонезия 2036'!G30)+(0.35*LN(1+0.6*'Ход 2036'!B36)*POWER(MAX(0,1-'Индонезия 2036'!I30/10),0.7))))</x:f>
        <x:v>8.200000000000001</x:v>
      </x:c>
      <x:c r="C30" s="42" t="n">
        <x:f>MIN(1,'Индонезия 2036'!C30+'Индонезия 2036'!F30+(0.08*LN(1+0.5*'Ход 2036'!C36)*MAX(0,1-('Индонезия 2036'!C30+'Индонезия 2036'!F30))))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8.200000000000001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2036'!B31+'Индонезия 2036'!D31+('Индонезия 2036'!C31+'Индонезия 2036'!F31+'Индонезия 2036'!G31)+(0.35*LN(1+0.6*'Ход 2036'!B37)*POWER(MAX(0,1-'Индонезия 2036'!I31/10),0.7))))</x:f>
        <x:v>8.200000000000001</x:v>
      </x:c>
      <x:c r="C31" s="42" t="n">
        <x:f>MIN(1,'Индонезия 2036'!C31+'Индонезия 2036'!F31+(0.08*LN(1+0.5*'Ход 2036'!C37)*MAX(0,1-('Индонезия 2036'!C31+'Индонезия 2036'!F31))))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8.200000000000001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2036'!B32+'Индонезия 2036'!D32+('Индонезия 2036'!C32+'Индонезия 2036'!F32+'Индонезия 2036'!G32)+(0.35*LN(1+0.6*'Ход 2036'!B38)*POWER(MAX(0,1-'Индонезия 2036'!I32/10),0.7))))</x:f>
        <x:v>9.25</x:v>
      </x:c>
      <x:c r="C32" s="42" t="n">
        <x:f>MIN(1,'Индонезия 2036'!C32+'Индонезия 2036'!F32+(0.08*LN(1+0.5*'Ход 2036'!C38)*MAX(0,1-('Индонезия 2036'!C32+'Индонезия 2036'!F32))))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9.25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2036'!B34+'Индонезия 2036'!D34+('Индонезия 2036'!C34+'Индонезия 2036'!F34+'Индонезия 2036'!G34)+(0.35*LN(1+0.6*'Ход 2036'!B40)*POWER(MAX(0,1-'Индонезия 2036'!I34/10),0.7))))</x:f>
        <x:v>10</x:v>
      </x:c>
      <x:c r="C34" s="42" t="n">
        <x:f>MIN(1,'Индонезия 2036'!C34+'Индонезия 2036'!F34+(0.08*LN(1+0.5*'Ход 2036'!C40)*MAX(0,1-('Индонезия 2036'!C34+'Индонезия 2036'!F34))))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2036'!B35+'Индонезия 2036'!D35+('Индонезия 2036'!C35+'Индонезия 2036'!F35+'Индонезия 2036'!G35)+(0.35*LN(1+0.6*'Ход 2036'!B41)*POWER(MAX(0,1-'Индонезия 2036'!I35/10),0.7))))</x:f>
        <x:v>9.150000000000004</x:v>
      </x:c>
      <x:c r="C35" s="42" t="n">
        <x:f>MIN(1,'Индонезия 2036'!C35+'Индонезия 2036'!F35+(0.08*LN(1+0.5*'Ход 2036'!C41)*MAX(0,1-('Индонезия 2036'!C35+'Индонезия 2036'!F35))))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9.150000000000004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2036'!B36+'Индонезия 2036'!D36+('Индонезия 2036'!C36+'Индонезия 2036'!F36+'Индонезия 2036'!G36)+(0.35*LN(1+0.6*'Ход 2036'!B42)*POWER(MAX(0,1-'Индонезия 2036'!I36/10),0.7))))</x:f>
        <x:v>10</x:v>
      </x:c>
      <x:c r="C36" s="42" t="n">
        <x:f>MIN(1,'Индонезия 2036'!C36+'Индонезия 2036'!F36+(0.08*LN(1+0.5*'Ход 2036'!C42)*MAX(0,1-('Индонезия 2036'!C36+'Индонезия 2036'!F36))))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2036'!B37+'Индонезия 2036'!D37+('Индонезия 2036'!C37+'Индонезия 2036'!F37+'Индонезия 2036'!G37)+(0.35*LN(1+0.6*'Ход 2036'!B43)*POWER(MAX(0,1-'Индонезия 2036'!I37/10),0.7))))</x:f>
        <x:v>9.800000000000002</x:v>
      </x:c>
      <x:c r="C37" s="42" t="n">
        <x:f>MIN(1,'Индонезия 2036'!C37+'Индонезия 2036'!F37+(0.08*LN(1+0.5*'Ход 2036'!C43)*MAX(0,1-('Индонезия 2036'!C37+'Индонезия 2036'!F37))))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9.800000000000002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2036'!B38+'Индонезия 2036'!D38+('Индонезия 2036'!C38+'Индонезия 2036'!F38+'Индонезия 2036'!G38)+(0.35*LN(1+0.6*'Ход 2036'!B44)*POWER(MAX(0,1-'Индонезия 2036'!I38/10),0.7))))</x:f>
        <x:v>9.25</x:v>
      </x:c>
      <x:c r="C38" s="42" t="n">
        <x:f>MIN(1,'Индонезия 2036'!C38+'Индонезия 2036'!F38+(0.08*LN(1+0.5*'Ход 2036'!C44)*MAX(0,1-('Индонезия 2036'!C38+'Индонезия 2036'!F38))))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9.25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2036'!B39+'Индонезия 2036'!D39+('Индонезия 2036'!C39+'Индонезия 2036'!F39+'Индонезия 2036'!G39)+(0.35*LN(1+0.6*'Ход 2036'!B45)*POWER(MAX(0,1-'Индонезия 2036'!I39/10),0.7))))</x:f>
        <x:v>10</x:v>
      </x:c>
      <x:c r="C39" s="42" t="n">
        <x:f>MIN(1,'Индонезия 2036'!C39+'Индонезия 2036'!F39+(0.08*LN(1+0.5*'Ход 2036'!C45)*MAX(0,1-('Индонезия 2036'!C39+'Индонезия 2036'!F39))))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2036'!B40+'Индонезия 2036'!D40+('Индонезия 2036'!C40+'Индонезия 2036'!F40+'Индонезия 2036'!G40)+(0.35*LN(1+0.6*'Ход 2036'!B46)*POWER(MAX(0,1-'Индонезия 2036'!I40/10),0.7))))</x:f>
        <x:v>9.75</x:v>
      </x:c>
      <x:c r="C40" s="42" t="n">
        <x:f>MIN(1,'Индонезия 2036'!C40+'Индонезия 2036'!F40+(0.08*LN(1+0.5*'Ход 2036'!C46)*MAX(0,1-('Индонезия 2036'!C40+'Индонезия 2036'!F40))))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9.75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2036'!B41+'Индонезия 2036'!D41+('Индонезия 2036'!C41+'Индонезия 2036'!F41+'Индонезия 2036'!G41)+(0.35*LN(1+0.6*'Ход 2036'!B47)*POWER(MAX(0,1-'Индонезия 2036'!I41/10),0.7))))</x:f>
        <x:v>9.75</x:v>
      </x:c>
      <x:c r="C41" s="42" t="n">
        <x:f>MIN(1,'Индонезия 2036'!C41+'Индонезия 2036'!F41+(0.08*LN(1+0.5*'Ход 2036'!C47)*MAX(0,1-('Индонезия 2036'!C41+'Индонезия 2036'!F41))))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9.75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2036'!B42+'Индонезия 2036'!D42+('Индонезия 2036'!C42+'Индонезия 2036'!F42+'Индонезия 2036'!G42)+(0.35*LN(1+0.6*'Ход 2036'!B48)*POWER(MAX(0,1-'Индонезия 2036'!I42/10),0.7))))</x:f>
        <x:v>9.599999999999996</x:v>
      </x:c>
      <x:c r="C42" s="42" t="n">
        <x:f>MIN(1,'Индонезия 2036'!C42+'Индонезия 2036'!F42+(0.08*LN(1+0.5*'Ход 2036'!C48)*MAX(0,1-('Индонезия 2036'!C42+'Индонезия 2036'!F42))))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9.599999999999996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2036'!B44+'Индонезия 2036'!D44+('Индонезия 2036'!C44+'Индонезия 2036'!F44+'Индонезия 2036'!G44)+(0.35*LN(1+0.6*'Ход 2036'!B50)*POWER(MAX(0,1-'Индонезия 2036'!I44/10),0.7))))</x:f>
        <x:v>8.7</x:v>
      </x:c>
      <x:c r="C44" s="42" t="n">
        <x:f>MIN(1,'Индонезия 2036'!C44+'Индонезия 2036'!F44+(0.08*LN(1+0.5*'Ход 2036'!C50)*MAX(0,1-('Индонезия 2036'!C44+'Индонезия 2036'!F44))))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2036'!B45+'Индонезия 2036'!D45+('Индонезия 2036'!C45+'Индонезия 2036'!F45+'Индонезия 2036'!G45)+(0.35*LN(1+0.6*'Ход 2036'!B51)*POWER(MAX(0,1-'Индонезия 2036'!I45/10),0.7))))</x:f>
        <x:v>8.7</x:v>
      </x:c>
      <x:c r="C45" s="42" t="n">
        <x:f>MIN(1,'Индонезия 2036'!C45+'Индонезия 2036'!F45+(0.08*LN(1+0.5*'Ход 2036'!C51)*MAX(0,1-('Индонезия 2036'!C45+'Индонезия 2036'!F45))))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2036'!B46+'Индонезия 2036'!D46+('Индонезия 2036'!C46+'Индонезия 2036'!F46+'Индонезия 2036'!G46)+(0.35*LN(1+0.6*'Ход 2036'!B52)*POWER(MAX(0,1-'Индонезия 2036'!I46/10),0.7))))</x:f>
        <x:v>8.7</x:v>
      </x:c>
      <x:c r="C46" s="42" t="n">
        <x:f>MIN(1,'Индонезия 2036'!C46+'Индонезия 2036'!F46+(0.08*LN(1+0.5*'Ход 2036'!C52)*MAX(0,1-('Индонезия 2036'!C46+'Индонезия 2036'!F46))))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2036'!B47+'Индонезия 2036'!D47+('Индонезия 2036'!C47+'Индонезия 2036'!F47+'Индонезия 2036'!G47)+(0.35*LN(1+0.6*'Ход 2036'!B53)*POWER(MAX(0,1-'Индонезия 2036'!I47/10),0.7))))</x:f>
        <x:v>8.650000000000004</x:v>
      </x:c>
      <x:c r="C47" s="42" t="n">
        <x:f>MIN(1,'Индонезия 2036'!C47+'Индонезия 2036'!F47+(0.08*LN(1+0.5*'Ход 2036'!C53)*MAX(0,1-('Индонезия 2036'!C47+'Индонезия 2036'!F47))))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8.650000000000004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2036'!B48+'Индонезия 2036'!D48+('Индонезия 2036'!C48+'Индонезия 2036'!F48+'Индонезия 2036'!G48)+(0.35*LN(1+0.6*'Ход 2036'!B54)*POWER(MAX(0,1-'Индонезия 2036'!I48/10),0.7))))</x:f>
        <x:v>9.150000000000004</x:v>
      </x:c>
      <x:c r="C48" s="42" t="n">
        <x:f>MIN(1,'Индонезия 2036'!C48+'Индонезия 2036'!F48+(0.08*LN(1+0.5*'Ход 2036'!C54)*MAX(0,1-('Индонезия 2036'!C48+'Индонезия 2036'!F48))))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9.150000000000004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2036'!B49+'Индонезия 2036'!D49+('Индонезия 2036'!C49+'Индонезия 2036'!F49+'Индонезия 2036'!G49)+(0.35*LN(1+0.6*'Ход 2036'!B55)*POWER(MAX(0,1-'Индонезия 2036'!I49/10),0.7))))</x:f>
        <x:v>10</x:v>
      </x:c>
      <x:c r="C49" s="42" t="n">
        <x:f>MIN(1,'Индонезия 2036'!C49+'Индонезия 2036'!F49+(0.08*LN(1+0.5*'Ход 2036'!C55)*MAX(0,1-('Индонезия 2036'!C49+'Индонезия 2036'!F49))))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2036'!B50+'Индонезия 2036'!D50+('Индонезия 2036'!C50+'Индонезия 2036'!F50+'Индонезия 2036'!G50)+(0.35*LN(1+0.6*'Ход 2036'!B56)*POWER(MAX(0,1-'Индонезия 2036'!I50/10),0.7))))</x:f>
        <x:v>10</x:v>
      </x:c>
      <x:c r="C50" s="42" t="n">
        <x:f>MIN(1,'Индонезия 2036'!C50+'Индонезия 2036'!F50+(0.08*LN(1+0.5*'Ход 2036'!C56)*MAX(0,1-('Индонезия 2036'!C50+'Индонезия 2036'!F50))))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2036'!B51+'Индонезия 2036'!D51+('Индонезия 2036'!C51+'Индонезия 2036'!F51+'Индонезия 2036'!G51)+(0.35*LN(1+0.6*'Ход 2036'!B57)*POWER(MAX(0,1-'Индонезия 2036'!I51/10),0.7))))</x:f>
        <x:v>9.25</x:v>
      </x:c>
      <x:c r="C51" s="42" t="n">
        <x:f>MIN(1,'Индонезия 2036'!C51+'Индонезия 2036'!F51+(0.08*LN(1+0.5*'Ход 2036'!C57)*MAX(0,1-('Индонезия 2036'!C51+'Индонезия 2036'!F51))))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9.25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2036'!B53+'Индонезия 2036'!D53+('Индонезия 2036'!C53+'Индонезия 2036'!F53+'Индонезия 2036'!G53)+(0.35*LN(1+0.6*'Ход 2036'!B59)*POWER(MAX(0,1-'Индонезия 2036'!I53/10),0.7))))</x:f>
        <x:v>8.75</x:v>
      </x:c>
      <x:c r="C53" s="42" t="n">
        <x:f>MIN(1,'Индонезия 2036'!C53+'Индонезия 2036'!F53+(0.08*LN(1+0.5*'Ход 2036'!C59)*MAX(0,1-('Индонезия 2036'!C53+'Индонезия 2036'!F53))))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8.75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2036'!B54+'Индонезия 2036'!D54+('Индонезия 2036'!C54+'Индонезия 2036'!F54+'Индонезия 2036'!G54)+(0.35*LN(1+0.6*'Ход 2036'!B60)*POWER(MAX(0,1-'Индонезия 2036'!I54/10),0.7))))</x:f>
        <x:v>8.75</x:v>
      </x:c>
      <x:c r="C54" s="42" t="n">
        <x:f>MIN(1,'Индонезия 2036'!C54+'Индонезия 2036'!F54+(0.08*LN(1+0.5*'Ход 2036'!C60)*MAX(0,1-('Индонезия 2036'!C54+'Индонезия 2036'!F54))))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8.75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2036'!B55+'Индонезия 2036'!D55+('Индонезия 2036'!C55+'Индонезия 2036'!F55+'Индонезия 2036'!G55)+(0.35*LN(1+0.6*'Ход 2036'!B61)*POWER(MAX(0,1-'Индонезия 2036'!I55/10),0.7))))</x:f>
        <x:v>7.700000000000002</x:v>
      </x:c>
      <x:c r="C55" s="42" t="n">
        <x:f>MIN(1,'Индонезия 2036'!C55+'Индонезия 2036'!F55+(0.08*LN(1+0.5*'Ход 2036'!C61)*MAX(0,1-('Индонезия 2036'!C55+'Индонезия 2036'!F55))))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7.700000000000002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2037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2037'!U6</x:f>
        <x:v>97.2990580666775</x:v>
      </x:c>
      <x:c r="C6" s="42"/>
      <x:c r="D6" s="42"/>
      <x:c r="E6" s="42" t="str">
        <x:v>Доступно</x:v>
      </x:c>
      <x:c r="F6" s="42" t="n">
        <x:f>'Индонезия 2037'!K6</x:f>
        <x:v>80.4150480886512</x:v>
      </x:c>
      <x:c r="G6" s="42"/>
      <x:c r="H6" s="42"/>
      <x:c r="I6" s="42" t="str">
        <x:v>Доступно</x:v>
      </x:c>
      <x:c r="J6" s="42" t="n">
        <x:f>'Индонезия 2037'!N6</x:f>
        <x:v>76.00070521284044</x:v>
      </x:c>
      <x:c r="K6" s="42"/>
      <x:c r="L6" s="42"/>
      <x:c r="M6" s="42" t="str">
        <x:v>Доступно</x:v>
      </x:c>
      <x:c r="N6" s="42" t="n">
        <x:f>'Индонезия 2037'!Q6</x:f>
        <x:v>86.26771889419048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97.2990580666775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80.4150480886512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76.00070521284044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86.26771889419048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2037'!V11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67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2037'!V12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91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2037'!V13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9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2037'!V14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52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2037'!V15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64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2037'!V16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94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2037'!V17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24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2037'!V18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44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2037'!V19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44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2037'!V20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46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2037'!V21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32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2037'!V22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52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2037'!V23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12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2037'!V24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95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2037'!V25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5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2037'!V26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70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IF(G29="","",VLOOKUP(G29,'Технологии'!$A$11:$BF$50,55,FALSE))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IF(G30="","",VLOOKUP(G30,'Технологии'!$A$11:$BF$50,55,FALSE))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IF(G31="","",VLOOKUP(G31,'Технологии'!$A$11:$BF$50,55,FALSE))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IF(G32="","",VLOOKUP(G32,'Технологии'!$A$11:$BF$50,55,FALSE))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IF(G33="","",VLOOKUP(G33,'Технологии'!$A$11:$BF$50,55,FALSE))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IF(G34="","",VLOOKUP(G34,'Технологии'!$A$11:$BF$50,55,FALSE))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IF(G35="","",VLOOKUP(G35,'Технологии'!$A$11:$BF$50,55,FALSE))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IF(G36="","",VLOOKUP(G36,'Технологии'!$A$11:$BF$50,55,FALSE))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IF(G37="","",VLOOKUP(G37,'Технологии'!$A$11:$BF$50,55,FALSE))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IF(G38="","",VLOOKUP(G38,'Технологии'!$A$11:$BF$50,55,FALSE))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2038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81.44272919654752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76.42965773107927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87.226831349834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97.68702936818467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2037'!B8+'Индонезия 2037'!D8+('Индонезия 2037'!C8+'Индонезия 2037'!F8+'Индонезия 2037'!G8)+(0.35*LN(1+0.6*'Ход 2037'!B14)*POWER(MAX(0,1-'Индонезия 2037'!I8/10),0.7))))</x:f>
        <x:v>9.600000000000009</x:v>
      </x:c>
      <x:c r="C8" s="42" t="n">
        <x:f>MIN(1,'Индонезия 2037'!C8+'Индонезия 2037'!F8+(0.08*LN(1+0.5*'Ход 2037'!C14)*MAX(0,1-('Индонезия 2037'!C8+'Индонезия 2037'!F8))))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9.600000000000009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2037'!B9+'Индонезия 2037'!D9+('Индонезия 2037'!C9+'Индонезия 2037'!F9+'Индонезия 2037'!G9)+(0.35*LN(1+0.6*'Ход 2037'!B15)*POWER(MAX(0,1-'Индонезия 2037'!I9/10),0.7))))</x:f>
        <x:v>7.300000000000004</x:v>
      </x:c>
      <x:c r="C9" s="42" t="n">
        <x:f>MIN(1,'Индонезия 2037'!C9+'Индонезия 2037'!F9+(0.08*LN(1+0.5*'Ход 2037'!C15)*MAX(0,1-('Индонезия 2037'!C9+'Индонезия 2037'!F9))))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7.300000000000004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2037'!B10+'Индонезия 2037'!D10+('Индонезия 2037'!C10+'Индонезия 2037'!F10+'Индонезия 2037'!G10)+(0.35*LN(1+0.6*'Ход 2037'!B16)*POWER(MAX(0,1-'Индонезия 2037'!I10/10),0.7))))</x:f>
        <x:v>9.199999999999996</x:v>
      </x:c>
      <x:c r="C10" s="42" t="n">
        <x:f>MIN(1,'Индонезия 2037'!C10+'Индонезия 2037'!F10+(0.08*LN(1+0.5*'Ход 2037'!C16)*MAX(0,1-('Индонезия 2037'!C10+'Индонезия 2037'!F10))))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9.199999999999996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2037'!B11+'Индонезия 2037'!D11+('Индонезия 2037'!C11+'Индонезия 2037'!F11+'Индонезия 2037'!G11)+(0.35*LN(1+0.6*'Ход 2037'!B17)*POWER(MAX(0,1-'Индонезия 2037'!I11/10),0.7))))</x:f>
        <x:v>8.600000000000009</x:v>
      </x:c>
      <x:c r="C11" s="42" t="n">
        <x:f>MIN(1,'Индонезия 2037'!C11+'Индонезия 2037'!F11+(0.08*LN(1+0.5*'Ход 2037'!C17)*MAX(0,1-('Индонезия 2037'!C11+'Индонезия 2037'!F11))))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8.600000000000009</x:v>
      </x:c>
      <x:c r="J11" s="42"/>
      <x:c r="K11" s="42" t="str">
        <x:v>Производство</x:v>
      </x:c>
      <x:c r="L11" s="42" t="n">
        <x:f>MAX(1,MIN(10,'Индонезия 2037'!L11+'Индонезия 2037'!N11+('Индонезия 2037'!M11+'Индонезия 2037'!P11+'Индонезия 2037'!Q11)))</x:f>
        <x:v>10</x:v>
      </x:c>
      <x:c r="M11" s="42" t="n">
        <x:f>MIN(1,'Индонезия 2037'!M11+'Индонезия 2037'!P11+(0.10*LN(1+0.5*'Ход 2037'!H13)*POWER(MAX(0,1-'Индонезия 2037'!S11/10),0.8)))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'Индонезия 2037'!V11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2037'!B12+'Индонезия 2037'!D12+('Индонезия 2037'!C12+'Индонезия 2037'!F12+'Индонезия 2037'!G12)+(0.35*LN(1+0.6*'Ход 2037'!B18)*POWER(MAX(0,1-'Индонезия 2037'!I12/10),0.7))))</x:f>
        <x:v>9.600000000000009</x:v>
      </x:c>
      <x:c r="C12" s="42" t="n">
        <x:f>MIN(1,'Индонезия 2037'!C12+'Индонезия 2037'!F12+(0.08*LN(1+0.5*'Ход 2037'!C18)*MAX(0,1-('Индонезия 2037'!C12+'Индонезия 2037'!F12))))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9.600000000000009</x:v>
      </x:c>
      <x:c r="J12" s="42"/>
      <x:c r="K12" s="42" t="str">
        <x:v>Управление</x:v>
      </x:c>
      <x:c r="L12" s="42" t="n">
        <x:f>MAX(1,MIN(10,'Индонезия 2037'!L12+'Индонезия 2037'!N12+('Индонезия 2037'!M12+'Индонезия 2037'!P12+'Индонезия 2037'!Q12)))</x:f>
        <x:v>10</x:v>
      </x:c>
      <x:c r="M12" s="42" t="n">
        <x:f>MIN(1,'Индонезия 2037'!M12+'Индонезия 2037'!P12+(0.10*LN(1+0.5*'Ход 2037'!H14)*POWER(MAX(0,1-'Индонезия 2037'!S12/10),0.8)))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'Индонезия 2037'!V12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2037'!B13+'Индонезия 2037'!D13+('Индонезия 2037'!C13+'Индонезия 2037'!F13+'Индонезия 2037'!G13)+(0.35*LN(1+0.6*'Ход 2037'!B19)*POWER(MAX(0,1-'Индонезия 2037'!I13/10),0.7))))</x:f>
        <x:v>5.599999999999998</x:v>
      </x:c>
      <x:c r="C13" s="42" t="n">
        <x:f>MIN(1,'Индонезия 2037'!C13+'Индонезия 2037'!F13+(0.08*LN(1+0.5*'Ход 2037'!C19)*MAX(0,1-('Индонезия 2037'!C13+'Индонезия 2037'!F13))))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5.599999999999998</x:v>
      </x:c>
      <x:c r="J13" s="42"/>
      <x:c r="K13" s="42" t="str">
        <x:v>Познание</x:v>
      </x:c>
      <x:c r="L13" s="42" t="n">
        <x:f>MAX(1,MIN(10,'Индонезия 2037'!L13+'Индонезия 2037'!N13+('Индонезия 2037'!M13+'Индонезия 2037'!P13+'Индонезия 2037'!Q13)))</x:f>
        <x:v>10</x:v>
      </x:c>
      <x:c r="M13" s="42" t="n">
        <x:f>MIN(1,'Индонезия 2037'!M13+'Индонезия 2037'!P13+(0.10*LN(1+0.5*'Ход 2037'!H15)*POWER(MAX(0,1-'Индонезия 2037'!S13/10),0.8)))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'Индонезия 2037'!V13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2037'!B14+'Индонезия 2037'!D14+('Индонезия 2037'!C14+'Индонезия 2037'!F14+'Индонезия 2037'!G14)+(0.35*LN(1+0.6*'Ход 2037'!B20)*POWER(MAX(0,1-'Индонезия 2037'!I14/10),0.7))))</x:f>
        <x:v>7.599999999999998</x:v>
      </x:c>
      <x:c r="C14" s="42" t="n">
        <x:f>MIN(1,'Индонезия 2037'!C14+'Индонезия 2037'!F14+(0.08*LN(1+0.5*'Ход 2037'!C20)*MAX(0,1-('Индонезия 2037'!C14+'Индонезия 2037'!F14))))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7.599999999999998</x:v>
      </x:c>
      <x:c r="J14" s="42"/>
      <x:c r="K14" s="42" t="str">
        <x:v>Обучение</x:v>
      </x:c>
      <x:c r="L14" s="42" t="n">
        <x:f>MAX(1,MIN(10,'Индонезия 2037'!L14+'Индонезия 2037'!N14+('Индонезия 2037'!M14+'Индонезия 2037'!P14+'Индонезия 2037'!Q14)))</x:f>
        <x:v>10</x:v>
      </x:c>
      <x:c r="M14" s="42" t="n">
        <x:f>MIN(1,'Индонезия 2037'!M14+'Индонезия 2037'!P14+(0.10*LN(1+0.5*'Ход 2037'!H16)*POWER(MAX(0,1-'Индонезия 2037'!S14/10),0.8)))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'Индонезия 2037'!V14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2037'!B15+'Индонезия 2037'!D15+('Индонезия 2037'!C15+'Индонезия 2037'!F15+'Индонезия 2037'!G15)+(0.35*LN(1+0.6*'Ход 2037'!B21)*POWER(MAX(0,1-'Индонезия 2037'!I15/10),0.7))))</x:f>
        <x:v>10</x:v>
      </x:c>
      <x:c r="C15" s="42" t="n">
        <x:f>MIN(1,'Индонезия 2037'!C15+'Индонезия 2037'!F15+(0.08*LN(1+0.5*'Ход 2037'!C21)*MAX(0,1-('Индонезия 2037'!C15+'Индонезия 2037'!F15))))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MAX(1,MIN(10,'Индонезия 2037'!L15+'Индонезия 2037'!N15+('Индонезия 2037'!M15+'Индонезия 2037'!P15+'Индонезия 2037'!Q15)))</x:f>
        <x:v>8.5</x:v>
      </x:c>
      <x:c r="M15" s="42" t="n">
        <x:f>MIN(1,'Индонезия 2037'!M15+'Индонезия 2037'!P15+(0.10*LN(1+0.5*'Ход 2037'!H17)*POWER(MAX(0,1-'Индонезия 2037'!S15/10),0.8)))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8.5</x:v>
      </x:c>
      <x:c r="T15" s="42"/>
      <x:c r="U15" s="42" t="str">
        <x:v>Великобритания</x:v>
      </x:c>
      <x:c r="V15" s="64" t="n">
        <x:f>'Индонезия 2037'!V15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2037'!B16+'Индонезия 2037'!D16+('Индонезия 2037'!C16+'Индонезия 2037'!F16+'Индонезия 2037'!G16)+(0.35*LN(1+0.6*'Ход 2037'!B22)*POWER(MAX(0,1-'Индонезия 2037'!I16/10),0.7))))</x:f>
        <x:v>10</x:v>
      </x:c>
      <x:c r="C16" s="42" t="n">
        <x:f>MIN(1,'Индонезия 2037'!C16+'Индонезия 2037'!F16+(0.08*LN(1+0.5*'Ход 2037'!C22)*MAX(0,1-('Индонезия 2037'!C16+'Индонезия 2037'!F16))))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MAX(1,MIN(10,'Индонезия 2037'!L16+'Индонезия 2037'!N16+('Индонезия 2037'!M16+'Индонезия 2037'!P16+'Индонезия 2037'!Q16)))</x:f>
        <x:v>10</x:v>
      </x:c>
      <x:c r="M16" s="42" t="n">
        <x:f>MIN(1,'Индонезия 2037'!M16+'Индонезия 2037'!P16+(0.10*LN(1+0.5*'Ход 2037'!H18)*POWER(MAX(0,1-'Индонезия 2037'!S16/10),0.8)))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2037'!V16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2037'!B17+'Индонезия 2037'!D17+('Индонезия 2037'!C17+'Индонезия 2037'!F17+'Индонезия 2037'!G17)+(0.35*LN(1+0.6*'Ход 2037'!B23)*POWER(MAX(0,1-'Индонезия 2037'!I17/10),0.7))))</x:f>
        <x:v>9.399999999999995</x:v>
      </x:c>
      <x:c r="C17" s="42" t="n">
        <x:f>MIN(1,'Индонезия 2037'!C17+'Индонезия 2037'!F17+(0.08*LN(1+0.5*'Ход 2037'!C23)*MAX(0,1-('Индонезия 2037'!C17+'Индонезия 2037'!F17))))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9.399999999999995</x:v>
      </x:c>
      <x:c r="J17" s="42"/>
      <x:c r="K17" s="42" t="str">
        <x:v>Государственное управление</x:v>
      </x:c>
      <x:c r="L17" s="42" t="n">
        <x:f>MAX(1,MIN(10,'Индонезия 2037'!L17+'Индонезия 2037'!N17+('Индонезия 2037'!M17+'Индонезия 2037'!P17+'Индонезия 2037'!Q17)))</x:f>
        <x:v>10</x:v>
      </x:c>
      <x:c r="M17" s="42" t="n">
        <x:f>MIN(1,'Индонезия 2037'!M17+'Индонезия 2037'!P17+(0.10*LN(1+0.5*'Ход 2037'!H19)*POWER(MAX(0,1-'Индонезия 2037'!S17/10),0.8)))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2037'!V17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2037'!L18+'Индонезия 2037'!N18+('Индонезия 2037'!M18+'Индонезия 2037'!P18+'Индонезия 2037'!Q18)))</x:f>
        <x:v>10</x:v>
      </x:c>
      <x:c r="M18" s="42" t="n">
        <x:f>MIN(1,'Индонезия 2037'!M18+'Индонезия 2037'!P18+(0.10*LN(1+0.5*'Ход 2037'!H20)*POWER(MAX(0,1-'Индонезия 2037'!S18/10),0.8)))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2037'!V18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2037'!B19+'Индонезия 2037'!D19+('Индонезия 2037'!C19+'Индонезия 2037'!F19+'Индонезия 2037'!G19)+(0.35*LN(1+0.6*'Ход 2037'!B25)*POWER(MAX(0,1-'Индонезия 2037'!I19/10),0.7))))</x:f>
        <x:v>9</x:v>
      </x:c>
      <x:c r="C19" s="42" t="n">
        <x:f>MIN(1,'Индонезия 2037'!C19+'Индонезия 2037'!F19+(0.08*LN(1+0.5*'Ход 2037'!C25)*MAX(0,1-('Индонезия 2037'!C19+'Индонезия 2037'!F19))))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2037'!V19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2037'!B20+'Индонезия 2037'!D20+('Индонезия 2037'!C20+'Индонезия 2037'!F20+'Индонезия 2037'!G20)+(0.35*LN(1+0.6*'Ход 2037'!B26)*POWER(MAX(0,1-'Индонезия 2037'!I20/10),0.7))))</x:f>
        <x:v>9.600000000000003</x:v>
      </x:c>
      <x:c r="C20" s="42" t="n">
        <x:f>MIN(1,'Индонезия 2037'!C20+'Индонезия 2037'!F20+(0.08*LN(1+0.5*'Ход 2037'!C26)*MAX(0,1-('Индонезия 2037'!C20+'Индонезия 2037'!F20))))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9.600000000000003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2037'!V20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2037'!B21+'Индонезия 2037'!D21+('Индонезия 2037'!C21+'Индонезия 2037'!F21+'Индонезия 2037'!G21)+(0.35*LN(1+0.6*'Ход 2037'!B27)*POWER(MAX(0,1-'Индонезия 2037'!I21/10),0.7))))</x:f>
        <x:v>9.100000000000001</x:v>
      </x:c>
      <x:c r="C21" s="42" t="n">
        <x:f>MIN(1,'Индонезия 2037'!C21+'Индонезия 2037'!F21+(0.08*LN(1+0.5*'Ход 2037'!C27)*MAX(0,1-('Индонезия 2037'!C21+'Индонезия 2037'!F21))))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9.100000000000001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2037'!V21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2037'!B22+'Индонезия 2037'!D22+('Индонезия 2037'!C22+'Индонезия 2037'!F22+'Индонезия 2037'!G22)+(0.35*LN(1+0.6*'Ход 2037'!B28)*POWER(MAX(0,1-'Индонезия 2037'!I22/10),0.7))))</x:f>
        <x:v>8.899999999999999</x:v>
      </x:c>
      <x:c r="C22" s="42" t="n">
        <x:f>MIN(1,'Индонезия 2037'!C22+'Индонезия 2037'!F22+(0.08*LN(1+0.5*'Ход 2037'!C28)*MAX(0,1-('Индонезия 2037'!C22+'Индонезия 2037'!F22))))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8.899999999999999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2037'!V22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2037'!B23+'Индонезия 2037'!D23+('Индонезия 2037'!C23+'Индонезия 2037'!F23+'Индонезия 2037'!G23)+(0.35*LN(1+0.6*'Ход 2037'!B29)*POWER(MAX(0,1-'Индонезия 2037'!I23/10),0.7))))</x:f>
        <x:v>9</x:v>
      </x:c>
      <x:c r="C23" s="42" t="n">
        <x:f>MIN(1,'Индонезия 2037'!C23+'Индонезия 2037'!F23+(0.08*LN(1+0.5*'Ход 2037'!C29)*MAX(0,1-('Индонезия 2037'!C23+'Индонезия 2037'!F23))))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2037'!V23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2037'!V24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2037'!B25+'Индонезия 2037'!D25+('Индонезия 2037'!C25+'Индонезия 2037'!F25+'Индонезия 2037'!G25)+(0.35*LN(1+0.6*'Ход 2037'!B31)*POWER(MAX(0,1-'Индонезия 2037'!I25/10),0.7))))</x:f>
        <x:v>9.699999999999996</x:v>
      </x:c>
      <x:c r="C25" s="42" t="n">
        <x:f>MIN(1,'Индонезия 2037'!C25+'Индонезия 2037'!F25+(0.08*LN(1+0.5*'Ход 2037'!C31)*MAX(0,1-('Индонезия 2037'!C25+'Индонезия 2037'!F25))))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9.699999999999996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2037'!V25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2037'!B26+'Индонезия 2037'!D26+('Индонезия 2037'!C26+'Индонезия 2037'!F26+'Индонезия 2037'!G26)+(0.35*LN(1+0.6*'Ход 2037'!B32)*POWER(MAX(0,1-'Индонезия 2037'!I26/10),0.7))))</x:f>
        <x:v>9.5</x:v>
      </x:c>
      <x:c r="C26" s="42" t="n">
        <x:f>MIN(1,'Индонезия 2037'!C26+'Индонезия 2037'!F26+(0.08*LN(1+0.5*'Ход 2037'!C32)*MAX(0,1-('Индонезия 2037'!C26+'Индонезия 2037'!F26))))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2037'!V26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2037'!B27+'Индонезия 2037'!D27+('Индонезия 2037'!C27+'Индонезия 2037'!F27+'Индонезия 2037'!G27)+(0.35*LN(1+0.6*'Ход 2037'!B33)*POWER(MAX(0,1-'Индонезия 2037'!I27/10),0.7))))</x:f>
        <x:v>9.399999999999995</x:v>
      </x:c>
      <x:c r="C27" s="42" t="n">
        <x:f>MIN(1,'Индонезия 2037'!C27+'Индонезия 2037'!F27+(0.08*LN(1+0.5*'Ход 2037'!C33)*MAX(0,1-('Индонезия 2037'!C27+'Индонезия 2037'!F27))))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9.399999999999995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2037'!B28+'Индонезия 2037'!D28+('Индонезия 2037'!C28+'Индонезия 2037'!F28+'Индонезия 2037'!G28)+(0.35*LN(1+0.6*'Ход 2037'!B34)*POWER(MAX(0,1-'Индонезия 2037'!I28/10),0.7))))</x:f>
        <x:v>9.600000000000003</x:v>
      </x:c>
      <x:c r="C28" s="42" t="n">
        <x:f>MIN(1,'Индонезия 2037'!C28+'Индонезия 2037'!F28+(0.08*LN(1+0.5*'Ход 2037'!C34)*MAX(0,1-('Индонезия 2037'!C28+'Индонезия 2037'!F28))))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9.600000000000003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2037'!B29+'Индонезия 2037'!D29+('Индонезия 2037'!C29+'Индонезия 2037'!F29+'Индонезия 2037'!G29)+(0.35*LN(1+0.6*'Ход 2037'!B35)*POWER(MAX(0,1-'Индонезия 2037'!I29/10),0.7))))</x:f>
        <x:v>9</x:v>
      </x:c>
      <x:c r="C29" s="42" t="n">
        <x:f>MIN(1,'Индонезия 2037'!C29+'Индонезия 2037'!F29+(0.08*LN(1+0.5*'Ход 2037'!C35)*MAX(0,1-('Индонезия 2037'!C29+'Индонезия 2037'!F29))))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2037'!B30+'Индонезия 2037'!D30+('Индонезия 2037'!C30+'Индонезия 2037'!F30+'Индонезия 2037'!G30)+(0.35*LN(1+0.6*'Ход 2037'!B36)*POWER(MAX(0,1-'Индонезия 2037'!I30/10),0.7))))</x:f>
        <x:v>8.4</x:v>
      </x:c>
      <x:c r="C30" s="42" t="n">
        <x:f>MIN(1,'Индонезия 2037'!C30+'Индонезия 2037'!F30+(0.08*LN(1+0.5*'Ход 2037'!C36)*MAX(0,1-('Индонезия 2037'!C30+'Индонезия 2037'!F30))))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8.4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2037'!B31+'Индонезия 2037'!D31+('Индонезия 2037'!C31+'Индонезия 2037'!F31+'Индонезия 2037'!G31)+(0.35*LN(1+0.6*'Ход 2037'!B37)*POWER(MAX(0,1-'Индонезия 2037'!I31/10),0.7))))</x:f>
        <x:v>8.4</x:v>
      </x:c>
      <x:c r="C31" s="42" t="n">
        <x:f>MIN(1,'Индонезия 2037'!C31+'Индонезия 2037'!F31+(0.08*LN(1+0.5*'Ход 2037'!C37)*MAX(0,1-('Индонезия 2037'!C31+'Индонезия 2037'!F31))))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8.4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2037'!B32+'Индонезия 2037'!D32+('Индонезия 2037'!C32+'Индонезия 2037'!F32+'Индонезия 2037'!G32)+(0.35*LN(1+0.6*'Ход 2037'!B38)*POWER(MAX(0,1-'Индонезия 2037'!I32/10),0.7))))</x:f>
        <x:v>9.5</x:v>
      </x:c>
      <x:c r="C32" s="42" t="n">
        <x:f>MIN(1,'Индонезия 2037'!C32+'Индонезия 2037'!F32+(0.08*LN(1+0.5*'Ход 2037'!C38)*MAX(0,1-('Индонезия 2037'!C32+'Индонезия 2037'!F32))))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2037'!B34+'Индонезия 2037'!D34+('Индонезия 2037'!C34+'Индонезия 2037'!F34+'Индонезия 2037'!G34)+(0.35*LN(1+0.6*'Ход 2037'!B40)*POWER(MAX(0,1-'Индонезия 2037'!I34/10),0.7))))</x:f>
        <x:v>10</x:v>
      </x:c>
      <x:c r="C34" s="42" t="n">
        <x:f>MIN(1,'Индонезия 2037'!C34+'Индонезия 2037'!F34+(0.08*LN(1+0.5*'Ход 2037'!C40)*MAX(0,1-('Индонезия 2037'!C34+'Индонезия 2037'!F34))))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2037'!B35+'Индонезия 2037'!D35+('Индонезия 2037'!C35+'Индонезия 2037'!F35+'Индонезия 2037'!G35)+(0.35*LN(1+0.6*'Ход 2037'!B41)*POWER(MAX(0,1-'Индонезия 2037'!I35/10),0.7))))</x:f>
        <x:v>9.300000000000004</x:v>
      </x:c>
      <x:c r="C35" s="42" t="n">
        <x:f>MIN(1,'Индонезия 2037'!C35+'Индонезия 2037'!F35+(0.08*LN(1+0.5*'Ход 2037'!C41)*MAX(0,1-('Индонезия 2037'!C35+'Индонезия 2037'!F35))))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9.300000000000004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2037'!B36+'Индонезия 2037'!D36+('Индонезия 2037'!C36+'Индонезия 2037'!F36+'Индонезия 2037'!G36)+(0.35*LN(1+0.6*'Ход 2037'!B42)*POWER(MAX(0,1-'Индонезия 2037'!I36/10),0.7))))</x:f>
        <x:v>10</x:v>
      </x:c>
      <x:c r="C36" s="42" t="n">
        <x:f>MIN(1,'Индонезия 2037'!C36+'Индонезия 2037'!F36+(0.08*LN(1+0.5*'Ход 2037'!C42)*MAX(0,1-('Индонезия 2037'!C36+'Индонезия 2037'!F36))))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2037'!B37+'Индонезия 2037'!D37+('Индонезия 2037'!C37+'Индонезия 2037'!F37+'Индонезия 2037'!G37)+(0.35*LN(1+0.6*'Ход 2037'!B43)*POWER(MAX(0,1-'Индонезия 2037'!I37/10),0.7))))</x:f>
        <x:v>10</x:v>
      </x:c>
      <x:c r="C37" s="42" t="n">
        <x:f>MIN(1,'Индонезия 2037'!C37+'Индонезия 2037'!F37+(0.08*LN(1+0.5*'Ход 2037'!C43)*MAX(0,1-('Индонезия 2037'!C37+'Индонезия 2037'!F37))))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2037'!B38+'Индонезия 2037'!D38+('Индонезия 2037'!C38+'Индонезия 2037'!F38+'Индонезия 2037'!G38)+(0.35*LN(1+0.6*'Ход 2037'!B44)*POWER(MAX(0,1-'Индонезия 2037'!I38/10),0.7))))</x:f>
        <x:v>9.5</x:v>
      </x:c>
      <x:c r="C38" s="42" t="n">
        <x:f>MIN(1,'Индонезия 2037'!C38+'Индонезия 2037'!F38+(0.08*LN(1+0.5*'Ход 2037'!C44)*MAX(0,1-('Индонезия 2037'!C38+'Индонезия 2037'!F38))))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2037'!B39+'Индонезия 2037'!D39+('Индонезия 2037'!C39+'Индонезия 2037'!F39+'Индонезия 2037'!G39)+(0.35*LN(1+0.6*'Ход 2037'!B45)*POWER(MAX(0,1-'Индонезия 2037'!I39/10),0.7))))</x:f>
        <x:v>10</x:v>
      </x:c>
      <x:c r="C39" s="42" t="n">
        <x:f>MIN(1,'Индонезия 2037'!C39+'Индонезия 2037'!F39+(0.08*LN(1+0.5*'Ход 2037'!C45)*MAX(0,1-('Индонезия 2037'!C39+'Индонезия 2037'!F39))))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2037'!B40+'Индонезия 2037'!D40+('Индонезия 2037'!C40+'Индонезия 2037'!F40+'Индонезия 2037'!G40)+(0.35*LN(1+0.6*'Ход 2037'!B46)*POWER(MAX(0,1-'Индонезия 2037'!I40/10),0.7))))</x:f>
        <x:v>10</x:v>
      </x:c>
      <x:c r="C40" s="42" t="n">
        <x:f>MIN(1,'Индонезия 2037'!C40+'Индонезия 2037'!F40+(0.08*LN(1+0.5*'Ход 2037'!C46)*MAX(0,1-('Индонезия 2037'!C40+'Индонезия 2037'!F40))))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2037'!B41+'Индонезия 2037'!D41+('Индонезия 2037'!C41+'Индонезия 2037'!F41+'Индонезия 2037'!G41)+(0.35*LN(1+0.6*'Ход 2037'!B47)*POWER(MAX(0,1-'Индонезия 2037'!I41/10),0.7))))</x:f>
        <x:v>10</x:v>
      </x:c>
      <x:c r="C41" s="42" t="n">
        <x:f>MIN(1,'Индонезия 2037'!C41+'Индонезия 2037'!F41+(0.08*LN(1+0.5*'Ход 2037'!C47)*MAX(0,1-('Индонезия 2037'!C41+'Индонезия 2037'!F41))))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2037'!B42+'Индонезия 2037'!D42+('Индонезия 2037'!C42+'Индонезия 2037'!F42+'Индонезия 2037'!G42)+(0.35*LN(1+0.6*'Ход 2037'!B48)*POWER(MAX(0,1-'Индонезия 2037'!I42/10),0.7))))</x:f>
        <x:v>9.699999999999996</x:v>
      </x:c>
      <x:c r="C42" s="42" t="n">
        <x:f>MIN(1,'Индонезия 2037'!C42+'Индонезия 2037'!F42+(0.08*LN(1+0.5*'Ход 2037'!C48)*MAX(0,1-('Индонезия 2037'!C42+'Индонезия 2037'!F42))))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9.699999999999996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2037'!B44+'Индонезия 2037'!D44+('Индонезия 2037'!C44+'Индонезия 2037'!F44+'Индонезия 2037'!G44)+(0.35*LN(1+0.6*'Ход 2037'!B50)*POWER(MAX(0,1-'Индонезия 2037'!I44/10),0.7))))</x:f>
        <x:v>8.899999999999999</x:v>
      </x:c>
      <x:c r="C44" s="42" t="n">
        <x:f>MIN(1,'Индонезия 2037'!C44+'Индонезия 2037'!F44+(0.08*LN(1+0.5*'Ход 2037'!C50)*MAX(0,1-('Индонезия 2037'!C44+'Индонезия 2037'!F44))))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8.899999999999999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2037'!B45+'Индонезия 2037'!D45+('Индонезия 2037'!C45+'Индонезия 2037'!F45+'Индонезия 2037'!G45)+(0.35*LN(1+0.6*'Ход 2037'!B51)*POWER(MAX(0,1-'Индонезия 2037'!I45/10),0.7))))</x:f>
        <x:v>8.899999999999999</x:v>
      </x:c>
      <x:c r="C45" s="42" t="n">
        <x:f>MIN(1,'Индонезия 2037'!C45+'Индонезия 2037'!F45+(0.08*LN(1+0.5*'Ход 2037'!C51)*MAX(0,1-('Индонезия 2037'!C45+'Индонезия 2037'!F45))))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8.899999999999999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2037'!B46+'Индонезия 2037'!D46+('Индонезия 2037'!C46+'Индонезия 2037'!F46+'Индонезия 2037'!G46)+(0.35*LN(1+0.6*'Ход 2037'!B52)*POWER(MAX(0,1-'Индонезия 2037'!I46/10),0.7))))</x:f>
        <x:v>8.899999999999999</x:v>
      </x:c>
      <x:c r="C46" s="42" t="n">
        <x:f>MIN(1,'Индонезия 2037'!C46+'Индонезия 2037'!F46+(0.08*LN(1+0.5*'Ход 2037'!C52)*MAX(0,1-('Индонезия 2037'!C46+'Индонезия 2037'!F46))))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8.899999999999999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2037'!B47+'Индонезия 2037'!D47+('Индонезия 2037'!C47+'Индонезия 2037'!F47+'Индонезия 2037'!G47)+(0.35*LN(1+0.6*'Ход 2037'!B53)*POWER(MAX(0,1-'Индонезия 2037'!I47/10),0.7))))</x:f>
        <x:v>8.800000000000004</x:v>
      </x:c>
      <x:c r="C47" s="42" t="n">
        <x:f>MIN(1,'Индонезия 2037'!C47+'Индонезия 2037'!F47+(0.08*LN(1+0.5*'Ход 2037'!C53)*MAX(0,1-('Индонезия 2037'!C47+'Индонезия 2037'!F47))))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8.800000000000004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2037'!B48+'Индонезия 2037'!D48+('Индонезия 2037'!C48+'Индонезия 2037'!F48+'Индонезия 2037'!G48)+(0.35*LN(1+0.6*'Ход 2037'!B54)*POWER(MAX(0,1-'Индонезия 2037'!I48/10),0.7))))</x:f>
        <x:v>9.300000000000004</x:v>
      </x:c>
      <x:c r="C48" s="42" t="n">
        <x:f>MIN(1,'Индонезия 2037'!C48+'Индонезия 2037'!F48+(0.08*LN(1+0.5*'Ход 2037'!C54)*MAX(0,1-('Индонезия 2037'!C48+'Индонезия 2037'!F48))))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9.300000000000004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2037'!B49+'Индонезия 2037'!D49+('Индонезия 2037'!C49+'Индонезия 2037'!F49+'Индонезия 2037'!G49)+(0.35*LN(1+0.6*'Ход 2037'!B55)*POWER(MAX(0,1-'Индонезия 2037'!I49/10),0.7))))</x:f>
        <x:v>10</x:v>
      </x:c>
      <x:c r="C49" s="42" t="n">
        <x:f>MIN(1,'Индонезия 2037'!C49+'Индонезия 2037'!F49+(0.08*LN(1+0.5*'Ход 2037'!C55)*MAX(0,1-('Индонезия 2037'!C49+'Индонезия 2037'!F49))))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2037'!B50+'Индонезия 2037'!D50+('Индонезия 2037'!C50+'Индонезия 2037'!F50+'Индонезия 2037'!G50)+(0.35*LN(1+0.6*'Ход 2037'!B56)*POWER(MAX(0,1-'Индонезия 2037'!I50/10),0.7))))</x:f>
        <x:v>10</x:v>
      </x:c>
      <x:c r="C50" s="42" t="n">
        <x:f>MIN(1,'Индонезия 2037'!C50+'Индонезия 2037'!F50+(0.08*LN(1+0.5*'Ход 2037'!C56)*MAX(0,1-('Индонезия 2037'!C50+'Индонезия 2037'!F50))))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2037'!B51+'Индонезия 2037'!D51+('Индонезия 2037'!C51+'Индонезия 2037'!F51+'Индонезия 2037'!G51)+(0.35*LN(1+0.6*'Ход 2037'!B57)*POWER(MAX(0,1-'Индонезия 2037'!I51/10),0.7))))</x:f>
        <x:v>9.5</x:v>
      </x:c>
      <x:c r="C51" s="42" t="n">
        <x:f>MIN(1,'Индонезия 2037'!C51+'Индонезия 2037'!F51+(0.08*LN(1+0.5*'Ход 2037'!C57)*MAX(0,1-('Индонезия 2037'!C51+'Индонезия 2037'!F51))))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2037'!B53+'Индонезия 2037'!D53+('Индонезия 2037'!C53+'Индонезия 2037'!F53+'Индонезия 2037'!G53)+(0.35*LN(1+0.6*'Ход 2037'!B59)*POWER(MAX(0,1-'Индонезия 2037'!I53/10),0.7))))</x:f>
        <x:v>9</x:v>
      </x:c>
      <x:c r="C53" s="42" t="n">
        <x:f>MIN(1,'Индонезия 2037'!C53+'Индонезия 2037'!F53+(0.08*LN(1+0.5*'Ход 2037'!C59)*MAX(0,1-('Индонезия 2037'!C53+'Индонезия 2037'!F53))))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2037'!B54+'Индонезия 2037'!D54+('Индонезия 2037'!C54+'Индонезия 2037'!F54+'Индонезия 2037'!G54)+(0.35*LN(1+0.6*'Ход 2037'!B60)*POWER(MAX(0,1-'Индонезия 2037'!I54/10),0.7))))</x:f>
        <x:v>9</x:v>
      </x:c>
      <x:c r="C54" s="42" t="n">
        <x:f>MIN(1,'Индонезия 2037'!C54+'Индонезия 2037'!F54+(0.08*LN(1+0.5*'Ход 2037'!C60)*MAX(0,1-('Индонезия 2037'!C54+'Индонезия 2037'!F54))))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2037'!B55+'Индонезия 2037'!D55+('Индонезия 2037'!C55+'Индонезия 2037'!F55+'Индонезия 2037'!G55)+(0.35*LN(1+0.6*'Ход 2037'!B61)*POWER(MAX(0,1-'Индонезия 2037'!I55/10),0.7))))</x:f>
        <x:v>7.900000000000002</x:v>
      </x:c>
      <x:c r="C55" s="42" t="n">
        <x:f>MIN(1,'Индонезия 2037'!C55+'Индонезия 2037'!F55+(0.08*LN(1+0.5*'Ход 2037'!C61)*MAX(0,1-('Индонезия 2037'!C55+'Индонезия 2037'!F55))))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7.900000000000002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2038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2038'!U6</x:f>
        <x:v>97.68702936818467</x:v>
      </x:c>
      <x:c r="C6" s="42"/>
      <x:c r="D6" s="42"/>
      <x:c r="E6" s="42" t="str">
        <x:v>Доступно</x:v>
      </x:c>
      <x:c r="F6" s="42" t="n">
        <x:f>'Индонезия 2038'!K6</x:f>
        <x:v>81.44272919654752</x:v>
      </x:c>
      <x:c r="G6" s="42"/>
      <x:c r="H6" s="42"/>
      <x:c r="I6" s="42" t="str">
        <x:v>Доступно</x:v>
      </x:c>
      <x:c r="J6" s="42" t="n">
        <x:f>'Индонезия 2038'!N6</x:f>
        <x:v>76.42965773107927</x:v>
      </x:c>
      <x:c r="K6" s="42"/>
      <x:c r="L6" s="42"/>
      <x:c r="M6" s="42" t="str">
        <x:v>Доступно</x:v>
      </x:c>
      <x:c r="N6" s="42" t="n">
        <x:f>'Индонезия 2038'!Q6</x:f>
        <x:v>87.226831349834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97.68702936818467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81.44272919654752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76.42965773107927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87.226831349834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2038'!V11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48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2038'!V12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19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2038'!V13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27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2038'!V14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33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2038'!V15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32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2038'!V16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23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2038'!V17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60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2038'!V18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43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2038'!V19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22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2038'!V20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9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2038'!V21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46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2038'!V22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80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2038'!V23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8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2038'!V24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27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2038'!V25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10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2038'!V26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39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IF(G29="","",VLOOKUP(G29,'Технологии'!$A$11:$BF$50,56,FALSE))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IF(G30="","",VLOOKUP(G30,'Технологии'!$A$11:$BF$50,56,FALSE))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IF(G31="","",VLOOKUP(G31,'Технологии'!$A$11:$BF$50,56,FALSE))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IF(G32="","",VLOOKUP(G32,'Технологии'!$A$11:$BF$50,56,FALSE))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IF(G33="","",VLOOKUP(G33,'Технологии'!$A$11:$BF$50,56,FALSE))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IF(G34="","",VLOOKUP(G34,'Технологии'!$A$11:$BF$50,56,FALSE))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IF(G35="","",VLOOKUP(G35,'Технологии'!$A$11:$BF$50,56,FALSE))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IF(G36="","",VLOOKUP(G36,'Технологии'!$A$11:$BF$50,56,FALSE))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IF(G37="","",VLOOKUP(G37,'Технологии'!$A$11:$BF$50,56,FALSE))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IF(G38="","",VLOOKUP(G38,'Технологии'!$A$11:$BF$50,56,FALSE))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2039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82.319044478895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76.51526169098493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87.70808042007408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97.93551724034215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2038'!B8+'Индонезия 2038'!D8+('Индонезия 2038'!C8+'Индонезия 2038'!F8+'Индонезия 2038'!G8)+(0.35*LN(1+0.6*'Ход 2038'!B14)*POWER(MAX(0,1-'Индонезия 2038'!I8/10),0.7))))</x:f>
        <x:v>9.65000000000001</x:v>
      </x:c>
      <x:c r="C8" s="42" t="n">
        <x:f>MIN(1,'Индонезия 2038'!C8+'Индонезия 2038'!F8+(0.08*LN(1+0.5*'Ход 2038'!C14)*MAX(0,1-('Индонезия 2038'!C8+'Индонезия 2038'!F8))))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9.65000000000001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2038'!B9+'Индонезия 2038'!D9+('Индонезия 2038'!C9+'Индонезия 2038'!F9+'Индонезия 2038'!G9)+(0.35*LN(1+0.6*'Ход 2038'!B15)*POWER(MAX(0,1-'Индонезия 2038'!I9/10),0.7))))</x:f>
        <x:v>7.450000000000005</x:v>
      </x:c>
      <x:c r="C9" s="42" t="n">
        <x:f>MIN(1,'Индонезия 2038'!C9+'Индонезия 2038'!F9+(0.08*LN(1+0.5*'Ход 2038'!C15)*MAX(0,1-('Индонезия 2038'!C9+'Индонезия 2038'!F9))))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7.450000000000005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2038'!B10+'Индонезия 2038'!D10+('Индонезия 2038'!C10+'Индонезия 2038'!F10+'Индонезия 2038'!G10)+(0.35*LN(1+0.6*'Ход 2038'!B16)*POWER(MAX(0,1-'Индонезия 2038'!I10/10),0.7))))</x:f>
        <x:v>9.299999999999995</x:v>
      </x:c>
      <x:c r="C10" s="42" t="n">
        <x:f>MIN(1,'Индонезия 2038'!C10+'Индонезия 2038'!F10+(0.08*LN(1+0.5*'Ход 2038'!C16)*MAX(0,1-('Индонезия 2038'!C10+'Индонезия 2038'!F10))))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9.299999999999995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2038'!B11+'Индонезия 2038'!D11+('Индонезия 2038'!C11+'Индонезия 2038'!F11+'Индонезия 2038'!G11)+(0.35*LN(1+0.6*'Ход 2038'!B17)*POWER(MAX(0,1-'Индонезия 2038'!I11/10),0.7))))</x:f>
        <x:v>8.65000000000001</x:v>
      </x:c>
      <x:c r="C11" s="42" t="n">
        <x:f>MIN(1,'Индонезия 2038'!C11+'Индонезия 2038'!F11+(0.08*LN(1+0.5*'Ход 2038'!C17)*MAX(0,1-('Индонезия 2038'!C11+'Индонезия 2038'!F11))))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8.65000000000001</x:v>
      </x:c>
      <x:c r="J11" s="42"/>
      <x:c r="K11" s="42" t="str">
        <x:v>Производство</x:v>
      </x:c>
      <x:c r="L11" s="42" t="n">
        <x:f>MAX(1,MIN(10,'Индонезия 2038'!L11+'Индонезия 2038'!N11+('Индонезия 2038'!M11+'Индонезия 2038'!P11+'Индонезия 2038'!Q11)))</x:f>
        <x:v>10</x:v>
      </x:c>
      <x:c r="M11" s="42" t="n">
        <x:f>MIN(1,'Индонезия 2038'!M11+'Индонезия 2038'!P11+(0.10*LN(1+0.5*'Ход 2038'!H13)*POWER(MAX(0,1-'Индонезия 2038'!S11/10),0.8)))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'Индонезия 2038'!V11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2038'!B12+'Индонезия 2038'!D12+('Индонезия 2038'!C12+'Индонезия 2038'!F12+'Индонезия 2038'!G12)+(0.35*LN(1+0.6*'Ход 2038'!B18)*POWER(MAX(0,1-'Индонезия 2038'!I12/10),0.7))))</x:f>
        <x:v>9.65000000000001</x:v>
      </x:c>
      <x:c r="C12" s="42" t="n">
        <x:f>MIN(1,'Индонезия 2038'!C12+'Индонезия 2038'!F12+(0.08*LN(1+0.5*'Ход 2038'!C18)*MAX(0,1-('Индонезия 2038'!C12+'Индонезия 2038'!F12))))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9.65000000000001</x:v>
      </x:c>
      <x:c r="J12" s="42"/>
      <x:c r="K12" s="42" t="str">
        <x:v>Управление</x:v>
      </x:c>
      <x:c r="L12" s="42" t="n">
        <x:f>MAX(1,MIN(10,'Индонезия 2038'!L12+'Индонезия 2038'!N12+('Индонезия 2038'!M12+'Индонезия 2038'!P12+'Индонезия 2038'!Q12)))</x:f>
        <x:v>10</x:v>
      </x:c>
      <x:c r="M12" s="42" t="n">
        <x:f>MIN(1,'Индонезия 2038'!M12+'Индонезия 2038'!P12+(0.10*LN(1+0.5*'Ход 2038'!H14)*POWER(MAX(0,1-'Индонезия 2038'!S12/10),0.8)))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'Индонезия 2038'!V12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2038'!B13+'Индонезия 2038'!D13+('Индонезия 2038'!C13+'Индонезия 2038'!F13+'Индонезия 2038'!G13)+(0.35*LN(1+0.6*'Ход 2038'!B19)*POWER(MAX(0,1-'Индонезия 2038'!I13/10),0.7))))</x:f>
        <x:v>5.899999999999998</x:v>
      </x:c>
      <x:c r="C13" s="42" t="n">
        <x:f>MIN(1,'Индонезия 2038'!C13+'Индонезия 2038'!F13+(0.08*LN(1+0.5*'Ход 2038'!C19)*MAX(0,1-('Индонезия 2038'!C13+'Индонезия 2038'!F13))))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5.899999999999998</x:v>
      </x:c>
      <x:c r="J13" s="42"/>
      <x:c r="K13" s="42" t="str">
        <x:v>Познание</x:v>
      </x:c>
      <x:c r="L13" s="42" t="n">
        <x:f>MAX(1,MIN(10,'Индонезия 2038'!L13+'Индонезия 2038'!N13+('Индонезия 2038'!M13+'Индонезия 2038'!P13+'Индонезия 2038'!Q13)))</x:f>
        <x:v>10</x:v>
      </x:c>
      <x:c r="M13" s="42" t="n">
        <x:f>MIN(1,'Индонезия 2038'!M13+'Индонезия 2038'!P13+(0.10*LN(1+0.5*'Ход 2038'!H15)*POWER(MAX(0,1-'Индонезия 2038'!S13/10),0.8)))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'Индонезия 2038'!V13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2038'!B14+'Индонезия 2038'!D14+('Индонезия 2038'!C14+'Индонезия 2038'!F14+'Индонезия 2038'!G14)+(0.35*LN(1+0.6*'Ход 2038'!B20)*POWER(MAX(0,1-'Индонезия 2038'!I14/10),0.7))))</x:f>
        <x:v>7.899999999999998</x:v>
      </x:c>
      <x:c r="C14" s="42" t="n">
        <x:f>MIN(1,'Индонезия 2038'!C14+'Индонезия 2038'!F14+(0.08*LN(1+0.5*'Ход 2038'!C20)*MAX(0,1-('Индонезия 2038'!C14+'Индонезия 2038'!F14))))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7.899999999999998</x:v>
      </x:c>
      <x:c r="J14" s="42"/>
      <x:c r="K14" s="42" t="str">
        <x:v>Обучение</x:v>
      </x:c>
      <x:c r="L14" s="42" t="n">
        <x:f>MAX(1,MIN(10,'Индонезия 2038'!L14+'Индонезия 2038'!N14+('Индонезия 2038'!M14+'Индонезия 2038'!P14+'Индонезия 2038'!Q14)))</x:f>
        <x:v>10</x:v>
      </x:c>
      <x:c r="M14" s="42" t="n">
        <x:f>MIN(1,'Индонезия 2038'!M14+'Индонезия 2038'!P14+(0.10*LN(1+0.5*'Ход 2038'!H16)*POWER(MAX(0,1-'Индонезия 2038'!S14/10),0.8)))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'Индонезия 2038'!V14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2038'!B15+'Индонезия 2038'!D15+('Индонезия 2038'!C15+'Индонезия 2038'!F15+'Индонезия 2038'!G15)+(0.35*LN(1+0.6*'Ход 2038'!B21)*POWER(MAX(0,1-'Индонезия 2038'!I15/10),0.7))))</x:f>
        <x:v>10</x:v>
      </x:c>
      <x:c r="C15" s="42" t="n">
        <x:f>MIN(1,'Индонезия 2038'!C15+'Индонезия 2038'!F15+(0.08*LN(1+0.5*'Ход 2038'!C21)*MAX(0,1-('Индонезия 2038'!C15+'Индонезия 2038'!F15))))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MAX(1,MIN(10,'Индонезия 2038'!L15+'Индонезия 2038'!N15+('Индонезия 2038'!M15+'Индонезия 2038'!P15+'Индонезия 2038'!Q15)))</x:f>
        <x:v>8.75</x:v>
      </x:c>
      <x:c r="M15" s="42" t="n">
        <x:f>MIN(1,'Индонезия 2038'!M15+'Индонезия 2038'!P15+(0.10*LN(1+0.5*'Ход 2038'!H17)*POWER(MAX(0,1-'Индонезия 2038'!S15/10),0.8)))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8.75</x:v>
      </x:c>
      <x:c r="T15" s="42"/>
      <x:c r="U15" s="42" t="str">
        <x:v>Великобритания</x:v>
      </x:c>
      <x:c r="V15" s="64" t="n">
        <x:f>'Индонезия 2038'!V15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2038'!B16+'Индонезия 2038'!D16+('Индонезия 2038'!C16+'Индонезия 2038'!F16+'Индонезия 2038'!G16)+(0.35*LN(1+0.6*'Ход 2038'!B22)*POWER(MAX(0,1-'Индонезия 2038'!I16/10),0.7))))</x:f>
        <x:v>10</x:v>
      </x:c>
      <x:c r="C16" s="42" t="n">
        <x:f>MIN(1,'Индонезия 2038'!C16+'Индонезия 2038'!F16+(0.08*LN(1+0.5*'Ход 2038'!C22)*MAX(0,1-('Индонезия 2038'!C16+'Индонезия 2038'!F16))))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MAX(1,MIN(10,'Индонезия 2038'!L16+'Индонезия 2038'!N16+('Индонезия 2038'!M16+'Индонезия 2038'!P16+'Индонезия 2038'!Q16)))</x:f>
        <x:v>10</x:v>
      </x:c>
      <x:c r="M16" s="42" t="n">
        <x:f>MIN(1,'Индонезия 2038'!M16+'Индонезия 2038'!P16+(0.10*LN(1+0.5*'Ход 2038'!H18)*POWER(MAX(0,1-'Индонезия 2038'!S16/10),0.8)))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2038'!V16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2038'!B17+'Индонезия 2038'!D17+('Индонезия 2038'!C17+'Индонезия 2038'!F17+'Индонезия 2038'!G17)+(0.35*LN(1+0.6*'Ход 2038'!B23)*POWER(MAX(0,1-'Индонезия 2038'!I17/10),0.7))))</x:f>
        <x:v>9.599999999999994</x:v>
      </x:c>
      <x:c r="C17" s="42" t="n">
        <x:f>MIN(1,'Индонезия 2038'!C17+'Индонезия 2038'!F17+(0.08*LN(1+0.5*'Ход 2038'!C23)*MAX(0,1-('Индонезия 2038'!C17+'Индонезия 2038'!F17))))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9.599999999999994</x:v>
      </x:c>
      <x:c r="J17" s="42"/>
      <x:c r="K17" s="42" t="str">
        <x:v>Государственное управление</x:v>
      </x:c>
      <x:c r="L17" s="42" t="n">
        <x:f>MAX(1,MIN(10,'Индонезия 2038'!L17+'Индонезия 2038'!N17+('Индонезия 2038'!M17+'Индонезия 2038'!P17+'Индонезия 2038'!Q17)))</x:f>
        <x:v>10</x:v>
      </x:c>
      <x:c r="M17" s="42" t="n">
        <x:f>MIN(1,'Индонезия 2038'!M17+'Индонезия 2038'!P17+(0.10*LN(1+0.5*'Ход 2038'!H19)*POWER(MAX(0,1-'Индонезия 2038'!S17/10),0.8)))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2038'!V17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2038'!L18+'Индонезия 2038'!N18+('Индонезия 2038'!M18+'Индонезия 2038'!P18+'Индонезия 2038'!Q18)))</x:f>
        <x:v>10</x:v>
      </x:c>
      <x:c r="M18" s="42" t="n">
        <x:f>MIN(1,'Индонезия 2038'!M18+'Индонезия 2038'!P18+(0.10*LN(1+0.5*'Ход 2038'!H20)*POWER(MAX(0,1-'Индонезия 2038'!S18/10),0.8)))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2038'!V18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2038'!B19+'Индонезия 2038'!D19+('Индонезия 2038'!C19+'Индонезия 2038'!F19+'Индонезия 2038'!G19)+(0.35*LN(1+0.6*'Ход 2038'!B25)*POWER(MAX(0,1-'Индонезия 2038'!I19/10),0.7))))</x:f>
        <x:v>9.25</x:v>
      </x:c>
      <x:c r="C19" s="42" t="n">
        <x:f>MIN(1,'Индонезия 2038'!C19+'Индонезия 2038'!F19+(0.08*LN(1+0.5*'Ход 2038'!C25)*MAX(0,1-('Индонезия 2038'!C19+'Индонезия 2038'!F19))))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9.25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2038'!V19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2038'!B20+'Индонезия 2038'!D20+('Индонезия 2038'!C20+'Индонезия 2038'!F20+'Индонезия 2038'!G20)+(0.35*LN(1+0.6*'Ход 2038'!B26)*POWER(MAX(0,1-'Индонезия 2038'!I20/10),0.7))))</x:f>
        <x:v>9.900000000000004</x:v>
      </x:c>
      <x:c r="C20" s="42" t="n">
        <x:f>MIN(1,'Индонезия 2038'!C20+'Индонезия 2038'!F20+(0.08*LN(1+0.5*'Ход 2038'!C26)*MAX(0,1-('Индонезия 2038'!C20+'Индонезия 2038'!F20))))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9.900000000000004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2038'!V20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2038'!B21+'Индонезия 2038'!D21+('Индонезия 2038'!C21+'Индонезия 2038'!F21+'Индонезия 2038'!G21)+(0.35*LN(1+0.6*'Ход 2038'!B27)*POWER(MAX(0,1-'Индонезия 2038'!I21/10),0.7))))</x:f>
        <x:v>9.400000000000002</x:v>
      </x:c>
      <x:c r="C21" s="42" t="n">
        <x:f>MIN(1,'Индонезия 2038'!C21+'Индонезия 2038'!F21+(0.08*LN(1+0.5*'Ход 2038'!C27)*MAX(0,1-('Индонезия 2038'!C21+'Индонезия 2038'!F21))))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9.400000000000002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2038'!V21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2038'!B22+'Индонезия 2038'!D22+('Индонезия 2038'!C22+'Индонезия 2038'!F22+'Индонезия 2038'!G22)+(0.35*LN(1+0.6*'Ход 2038'!B28)*POWER(MAX(0,1-'Индонезия 2038'!I22/10),0.7))))</x:f>
        <x:v>9.099999999999998</x:v>
      </x:c>
      <x:c r="C22" s="42" t="n">
        <x:f>MIN(1,'Индонезия 2038'!C22+'Индонезия 2038'!F22+(0.08*LN(1+0.5*'Ход 2038'!C28)*MAX(0,1-('Индонезия 2038'!C22+'Индонезия 2038'!F22))))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9.099999999999998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2038'!V22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2038'!B23+'Индонезия 2038'!D23+('Индонезия 2038'!C23+'Индонезия 2038'!F23+'Индонезия 2038'!G23)+(0.35*LN(1+0.6*'Ход 2038'!B29)*POWER(MAX(0,1-'Индонезия 2038'!I23/10),0.7))))</x:f>
        <x:v>9.25</x:v>
      </x:c>
      <x:c r="C23" s="42" t="n">
        <x:f>MIN(1,'Индонезия 2038'!C23+'Индонезия 2038'!F23+(0.08*LN(1+0.5*'Ход 2038'!C29)*MAX(0,1-('Индонезия 2038'!C23+'Индонезия 2038'!F23))))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9.25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2038'!V23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2038'!V24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2038'!B25+'Индонезия 2038'!D25+('Индонезия 2038'!C25+'Индонезия 2038'!F25+'Индонезия 2038'!G25)+(0.35*LN(1+0.6*'Ход 2038'!B31)*POWER(MAX(0,1-'Индонезия 2038'!I25/10),0.7))))</x:f>
        <x:v>9.799999999999995</x:v>
      </x:c>
      <x:c r="C25" s="42" t="n">
        <x:f>MIN(1,'Индонезия 2038'!C25+'Индонезия 2038'!F25+(0.08*LN(1+0.5*'Ход 2038'!C31)*MAX(0,1-('Индонезия 2038'!C25+'Индонезия 2038'!F25))))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9.799999999999995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2038'!V25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2038'!B26+'Индонезия 2038'!D26+('Индонезия 2038'!C26+'Индонезия 2038'!F26+'Индонезия 2038'!G26)+(0.35*LN(1+0.6*'Ход 2038'!B32)*POWER(MAX(0,1-'Индонезия 2038'!I26/10),0.7))))</x:f>
        <x:v>9.75</x:v>
      </x:c>
      <x:c r="C26" s="42" t="n">
        <x:f>MIN(1,'Индонезия 2038'!C26+'Индонезия 2038'!F26+(0.08*LN(1+0.5*'Ход 2038'!C32)*MAX(0,1-('Индонезия 2038'!C26+'Индонезия 2038'!F26))))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9.75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2038'!V26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2038'!B27+'Индонезия 2038'!D27+('Индонезия 2038'!C27+'Индонезия 2038'!F27+'Индонезия 2038'!G27)+(0.35*LN(1+0.6*'Ход 2038'!B33)*POWER(MAX(0,1-'Индонезия 2038'!I27/10),0.7))))</x:f>
        <x:v>9.599999999999994</x:v>
      </x:c>
      <x:c r="C27" s="42" t="n">
        <x:f>MIN(1,'Индонезия 2038'!C27+'Индонезия 2038'!F27+(0.08*LN(1+0.5*'Ход 2038'!C33)*MAX(0,1-('Индонезия 2038'!C27+'Индонезия 2038'!F27))))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9.599999999999994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2038'!B28+'Индонезия 2038'!D28+('Индонезия 2038'!C28+'Индонезия 2038'!F28+'Индонезия 2038'!G28)+(0.35*LN(1+0.6*'Ход 2038'!B34)*POWER(MAX(0,1-'Индонезия 2038'!I28/10),0.7))))</x:f>
        <x:v>9.900000000000004</x:v>
      </x:c>
      <x:c r="C28" s="42" t="n">
        <x:f>MIN(1,'Индонезия 2038'!C28+'Индонезия 2038'!F28+(0.08*LN(1+0.5*'Ход 2038'!C34)*MAX(0,1-('Индонезия 2038'!C28+'Индонезия 2038'!F28))))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9.900000000000004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2038'!B29+'Индонезия 2038'!D29+('Индонезия 2038'!C29+'Индонезия 2038'!F29+'Индонезия 2038'!G29)+(0.35*LN(1+0.6*'Ход 2038'!B35)*POWER(MAX(0,1-'Индонезия 2038'!I29/10),0.7))))</x:f>
        <x:v>9.25</x:v>
      </x:c>
      <x:c r="C29" s="42" t="n">
        <x:f>MIN(1,'Индонезия 2038'!C29+'Индонезия 2038'!F29+(0.08*LN(1+0.5*'Ход 2038'!C35)*MAX(0,1-('Индонезия 2038'!C29+'Индонезия 2038'!F29))))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9.25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2038'!B30+'Индонезия 2038'!D30+('Индонезия 2038'!C30+'Индонезия 2038'!F30+'Индонезия 2038'!G30)+(0.35*LN(1+0.6*'Ход 2038'!B36)*POWER(MAX(0,1-'Индонезия 2038'!I30/10),0.7))))</x:f>
        <x:v>8.6</x:v>
      </x:c>
      <x:c r="C30" s="42" t="n">
        <x:f>MIN(1,'Индонезия 2038'!C30+'Индонезия 2038'!F30+(0.08*LN(1+0.5*'Ход 2038'!C36)*MAX(0,1-('Индонезия 2038'!C30+'Индонезия 2038'!F30))))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8.6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2038'!B31+'Индонезия 2038'!D31+('Индонезия 2038'!C31+'Индонезия 2038'!F31+'Индонезия 2038'!G31)+(0.35*LN(1+0.6*'Ход 2038'!B37)*POWER(MAX(0,1-'Индонезия 2038'!I31/10),0.7))))</x:f>
        <x:v>8.6</x:v>
      </x:c>
      <x:c r="C31" s="42" t="n">
        <x:f>MIN(1,'Индонезия 2038'!C31+'Индонезия 2038'!F31+(0.08*LN(1+0.5*'Ход 2038'!C37)*MAX(0,1-('Индонезия 2038'!C31+'Индонезия 2038'!F31))))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8.6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2038'!B32+'Индонезия 2038'!D32+('Индонезия 2038'!C32+'Индонезия 2038'!F32+'Индонезия 2038'!G32)+(0.35*LN(1+0.6*'Ход 2038'!B38)*POWER(MAX(0,1-'Индонезия 2038'!I32/10),0.7))))</x:f>
        <x:v>9.75</x:v>
      </x:c>
      <x:c r="C32" s="42" t="n">
        <x:f>MIN(1,'Индонезия 2038'!C32+'Индонезия 2038'!F32+(0.08*LN(1+0.5*'Ход 2038'!C38)*MAX(0,1-('Индонезия 2038'!C32+'Индонезия 2038'!F32))))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9.75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2038'!B34+'Индонезия 2038'!D34+('Индонезия 2038'!C34+'Индонезия 2038'!F34+'Индонезия 2038'!G34)+(0.35*LN(1+0.6*'Ход 2038'!B40)*POWER(MAX(0,1-'Индонезия 2038'!I34/10),0.7))))</x:f>
        <x:v>10</x:v>
      </x:c>
      <x:c r="C34" s="42" t="n">
        <x:f>MIN(1,'Индонезия 2038'!C34+'Индонезия 2038'!F34+(0.08*LN(1+0.5*'Ход 2038'!C40)*MAX(0,1-('Индонезия 2038'!C34+'Индонезия 2038'!F34))))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2038'!B35+'Индонезия 2038'!D35+('Индонезия 2038'!C35+'Индонезия 2038'!F35+'Индонезия 2038'!G35)+(0.35*LN(1+0.6*'Ход 2038'!B41)*POWER(MAX(0,1-'Индонезия 2038'!I35/10),0.7))))</x:f>
        <x:v>9.450000000000005</x:v>
      </x:c>
      <x:c r="C35" s="42" t="n">
        <x:f>MIN(1,'Индонезия 2038'!C35+'Индонезия 2038'!F35+(0.08*LN(1+0.5*'Ход 2038'!C41)*MAX(0,1-('Индонезия 2038'!C35+'Индонезия 2038'!F35))))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9.450000000000005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2038'!B36+'Индонезия 2038'!D36+('Индонезия 2038'!C36+'Индонезия 2038'!F36+'Индонезия 2038'!G36)+(0.35*LN(1+0.6*'Ход 2038'!B42)*POWER(MAX(0,1-'Индонезия 2038'!I36/10),0.7))))</x:f>
        <x:v>10</x:v>
      </x:c>
      <x:c r="C36" s="42" t="n">
        <x:f>MIN(1,'Индонезия 2038'!C36+'Индонезия 2038'!F36+(0.08*LN(1+0.5*'Ход 2038'!C42)*MAX(0,1-('Индонезия 2038'!C36+'Индонезия 2038'!F36))))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2038'!B37+'Индонезия 2038'!D37+('Индонезия 2038'!C37+'Индонезия 2038'!F37+'Индонезия 2038'!G37)+(0.35*LN(1+0.6*'Ход 2038'!B43)*POWER(MAX(0,1-'Индонезия 2038'!I37/10),0.7))))</x:f>
        <x:v>10</x:v>
      </x:c>
      <x:c r="C37" s="42" t="n">
        <x:f>MIN(1,'Индонезия 2038'!C37+'Индонезия 2038'!F37+(0.08*LN(1+0.5*'Ход 2038'!C43)*MAX(0,1-('Индонезия 2038'!C37+'Индонезия 2038'!F37))))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2038'!B38+'Индонезия 2038'!D38+('Индонезия 2038'!C38+'Индонезия 2038'!F38+'Индонезия 2038'!G38)+(0.35*LN(1+0.6*'Ход 2038'!B44)*POWER(MAX(0,1-'Индонезия 2038'!I38/10),0.7))))</x:f>
        <x:v>9.75</x:v>
      </x:c>
      <x:c r="C38" s="42" t="n">
        <x:f>MIN(1,'Индонезия 2038'!C38+'Индонезия 2038'!F38+(0.08*LN(1+0.5*'Ход 2038'!C44)*MAX(0,1-('Индонезия 2038'!C38+'Индонезия 2038'!F38))))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9.75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2038'!B39+'Индонезия 2038'!D39+('Индонезия 2038'!C39+'Индонезия 2038'!F39+'Индонезия 2038'!G39)+(0.35*LN(1+0.6*'Ход 2038'!B45)*POWER(MAX(0,1-'Индонезия 2038'!I39/10),0.7))))</x:f>
        <x:v>10</x:v>
      </x:c>
      <x:c r="C39" s="42" t="n">
        <x:f>MIN(1,'Индонезия 2038'!C39+'Индонезия 2038'!F39+(0.08*LN(1+0.5*'Ход 2038'!C45)*MAX(0,1-('Индонезия 2038'!C39+'Индонезия 2038'!F39))))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2038'!B40+'Индонезия 2038'!D40+('Индонезия 2038'!C40+'Индонезия 2038'!F40+'Индонезия 2038'!G40)+(0.35*LN(1+0.6*'Ход 2038'!B46)*POWER(MAX(0,1-'Индонезия 2038'!I40/10),0.7))))</x:f>
        <x:v>10</x:v>
      </x:c>
      <x:c r="C40" s="42" t="n">
        <x:f>MIN(1,'Индонезия 2038'!C40+'Индонезия 2038'!F40+(0.08*LN(1+0.5*'Ход 2038'!C46)*MAX(0,1-('Индонезия 2038'!C40+'Индонезия 2038'!F40))))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2038'!B41+'Индонезия 2038'!D41+('Индонезия 2038'!C41+'Индонезия 2038'!F41+'Индонезия 2038'!G41)+(0.35*LN(1+0.6*'Ход 2038'!B47)*POWER(MAX(0,1-'Индонезия 2038'!I41/10),0.7))))</x:f>
        <x:v>10</x:v>
      </x:c>
      <x:c r="C41" s="42" t="n">
        <x:f>MIN(1,'Индонезия 2038'!C41+'Индонезия 2038'!F41+(0.08*LN(1+0.5*'Ход 2038'!C47)*MAX(0,1-('Индонезия 2038'!C41+'Индонезия 2038'!F41))))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2038'!B42+'Индонезия 2038'!D42+('Индонезия 2038'!C42+'Индонезия 2038'!F42+'Индонезия 2038'!G42)+(0.35*LN(1+0.6*'Ход 2038'!B48)*POWER(MAX(0,1-'Индонезия 2038'!I42/10),0.7))))</x:f>
        <x:v>9.799999999999995</x:v>
      </x:c>
      <x:c r="C42" s="42" t="n">
        <x:f>MIN(1,'Индонезия 2038'!C42+'Индонезия 2038'!F42+(0.08*LN(1+0.5*'Ход 2038'!C48)*MAX(0,1-('Индонезия 2038'!C42+'Индонезия 2038'!F42))))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9.799999999999995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2038'!B44+'Индонезия 2038'!D44+('Индонезия 2038'!C44+'Индонезия 2038'!F44+'Индонезия 2038'!G44)+(0.35*LN(1+0.6*'Ход 2038'!B50)*POWER(MAX(0,1-'Индонезия 2038'!I44/10),0.7))))</x:f>
        <x:v>9.099999999999998</x:v>
      </x:c>
      <x:c r="C44" s="42" t="n">
        <x:f>MIN(1,'Индонезия 2038'!C44+'Индонезия 2038'!F44+(0.08*LN(1+0.5*'Ход 2038'!C50)*MAX(0,1-('Индонезия 2038'!C44+'Индонезия 2038'!F44))))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9.099999999999998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2038'!B45+'Индонезия 2038'!D45+('Индонезия 2038'!C45+'Индонезия 2038'!F45+'Индонезия 2038'!G45)+(0.35*LN(1+0.6*'Ход 2038'!B51)*POWER(MAX(0,1-'Индонезия 2038'!I45/10),0.7))))</x:f>
        <x:v>9.099999999999998</x:v>
      </x:c>
      <x:c r="C45" s="42" t="n">
        <x:f>MIN(1,'Индонезия 2038'!C45+'Индонезия 2038'!F45+(0.08*LN(1+0.5*'Ход 2038'!C51)*MAX(0,1-('Индонезия 2038'!C45+'Индонезия 2038'!F45))))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9.099999999999998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2038'!B46+'Индонезия 2038'!D46+('Индонезия 2038'!C46+'Индонезия 2038'!F46+'Индонезия 2038'!G46)+(0.35*LN(1+0.6*'Ход 2038'!B52)*POWER(MAX(0,1-'Индонезия 2038'!I46/10),0.7))))</x:f>
        <x:v>9.099999999999998</x:v>
      </x:c>
      <x:c r="C46" s="42" t="n">
        <x:f>MIN(1,'Индонезия 2038'!C46+'Индонезия 2038'!F46+(0.08*LN(1+0.5*'Ход 2038'!C52)*MAX(0,1-('Индонезия 2038'!C46+'Индонезия 2038'!F46))))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9.099999999999998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2038'!B47+'Индонезия 2038'!D47+('Индонезия 2038'!C47+'Индонезия 2038'!F47+'Индонезия 2038'!G47)+(0.35*LN(1+0.6*'Ход 2038'!B53)*POWER(MAX(0,1-'Индонезия 2038'!I47/10),0.7))))</x:f>
        <x:v>8.950000000000005</x:v>
      </x:c>
      <x:c r="C47" s="42" t="n">
        <x:f>MIN(1,'Индонезия 2038'!C47+'Индонезия 2038'!F47+(0.08*LN(1+0.5*'Ход 2038'!C53)*MAX(0,1-('Индонезия 2038'!C47+'Индонезия 2038'!F47))))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8.950000000000005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2038'!B48+'Индонезия 2038'!D48+('Индонезия 2038'!C48+'Индонезия 2038'!F48+'Индонезия 2038'!G48)+(0.35*LN(1+0.6*'Ход 2038'!B54)*POWER(MAX(0,1-'Индонезия 2038'!I48/10),0.7))))</x:f>
        <x:v>9.450000000000005</x:v>
      </x:c>
      <x:c r="C48" s="42" t="n">
        <x:f>MIN(1,'Индонезия 2038'!C48+'Индонезия 2038'!F48+(0.08*LN(1+0.5*'Ход 2038'!C54)*MAX(0,1-('Индонезия 2038'!C48+'Индонезия 2038'!F48))))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9.450000000000005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2038'!B49+'Индонезия 2038'!D49+('Индонезия 2038'!C49+'Индонезия 2038'!F49+'Индонезия 2038'!G49)+(0.35*LN(1+0.6*'Ход 2038'!B55)*POWER(MAX(0,1-'Индонезия 2038'!I49/10),0.7))))</x:f>
        <x:v>10</x:v>
      </x:c>
      <x:c r="C49" s="42" t="n">
        <x:f>MIN(1,'Индонезия 2038'!C49+'Индонезия 2038'!F49+(0.08*LN(1+0.5*'Ход 2038'!C55)*MAX(0,1-('Индонезия 2038'!C49+'Индонезия 2038'!F49))))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2038'!B50+'Индонезия 2038'!D50+('Индонезия 2038'!C50+'Индонезия 2038'!F50+'Индонезия 2038'!G50)+(0.35*LN(1+0.6*'Ход 2038'!B56)*POWER(MAX(0,1-'Индонезия 2038'!I50/10),0.7))))</x:f>
        <x:v>10</x:v>
      </x:c>
      <x:c r="C50" s="42" t="n">
        <x:f>MIN(1,'Индонезия 2038'!C50+'Индонезия 2038'!F50+(0.08*LN(1+0.5*'Ход 2038'!C56)*MAX(0,1-('Индонезия 2038'!C50+'Индонезия 2038'!F50))))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2038'!B51+'Индонезия 2038'!D51+('Индонезия 2038'!C51+'Индонезия 2038'!F51+'Индонезия 2038'!G51)+(0.35*LN(1+0.6*'Ход 2038'!B57)*POWER(MAX(0,1-'Индонезия 2038'!I51/10),0.7))))</x:f>
        <x:v>9.75</x:v>
      </x:c>
      <x:c r="C51" s="42" t="n">
        <x:f>MIN(1,'Индонезия 2038'!C51+'Индонезия 2038'!F51+(0.08*LN(1+0.5*'Ход 2038'!C57)*MAX(0,1-('Индонезия 2038'!C51+'Индонезия 2038'!F51))))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9.75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2038'!B53+'Индонезия 2038'!D53+('Индонезия 2038'!C53+'Индонезия 2038'!F53+'Индонезия 2038'!G53)+(0.35*LN(1+0.6*'Ход 2038'!B59)*POWER(MAX(0,1-'Индонезия 2038'!I53/10),0.7))))</x:f>
        <x:v>9.25</x:v>
      </x:c>
      <x:c r="C53" s="42" t="n">
        <x:f>MIN(1,'Индонезия 2038'!C53+'Индонезия 2038'!F53+(0.08*LN(1+0.5*'Ход 2038'!C59)*MAX(0,1-('Индонезия 2038'!C53+'Индонезия 2038'!F53))))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9.25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2038'!B54+'Индонезия 2038'!D54+('Индонезия 2038'!C54+'Индонезия 2038'!F54+'Индонезия 2038'!G54)+(0.35*LN(1+0.6*'Ход 2038'!B60)*POWER(MAX(0,1-'Индонезия 2038'!I54/10),0.7))))</x:f>
        <x:v>9.25</x:v>
      </x:c>
      <x:c r="C54" s="42" t="n">
        <x:f>MIN(1,'Индонезия 2038'!C54+'Индонезия 2038'!F54+(0.08*LN(1+0.5*'Ход 2038'!C60)*MAX(0,1-('Индонезия 2038'!C54+'Индонезия 2038'!F54))))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9.25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2038'!B55+'Индонезия 2038'!D55+('Индонезия 2038'!C55+'Индонезия 2038'!F55+'Индонезия 2038'!G55)+(0.35*LN(1+0.6*'Ход 2038'!B61)*POWER(MAX(0,1-'Индонезия 2038'!I55/10),0.7))))</x:f>
        <x:v>8.100000000000001</x:v>
      </x:c>
      <x:c r="C55" s="42" t="n">
        <x:f>MIN(1,'Индонезия 2038'!C55+'Индонезия 2038'!F55+(0.08*LN(1+0.5*'Ход 2038'!C61)*MAX(0,1-('Индонезия 2038'!C55+'Индонезия 2038'!F55))))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8.100000000000001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2039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2039'!U6</x:f>
        <x:v>97.93551724034215</x:v>
      </x:c>
      <x:c r="C6" s="42"/>
      <x:c r="D6" s="42"/>
      <x:c r="E6" s="42" t="str">
        <x:v>Доступно</x:v>
      </x:c>
      <x:c r="F6" s="42" t="n">
        <x:f>'Индонезия 2039'!K6</x:f>
        <x:v>82.319044478895</x:v>
      </x:c>
      <x:c r="G6" s="42"/>
      <x:c r="H6" s="42"/>
      <x:c r="I6" s="42" t="str">
        <x:v>Доступно</x:v>
      </x:c>
      <x:c r="J6" s="42" t="n">
        <x:f>'Индонезия 2039'!N6</x:f>
        <x:v>76.51526169098493</x:v>
      </x:c>
      <x:c r="K6" s="42"/>
      <x:c r="L6" s="42"/>
      <x:c r="M6" s="42" t="str">
        <x:v>Доступно</x:v>
      </x:c>
      <x:c r="N6" s="42" t="n">
        <x:f>'Индонезия 2039'!Q6</x:f>
        <x:v>87.70808042007408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97.93551724034215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82.319044478895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76.51526169098493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87.70808042007408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2039'!V11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96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2039'!V12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65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2039'!V13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24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2039'!V14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58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2039'!V15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75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2039'!V16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3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2039'!V17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76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2039'!V18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33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2039'!V19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80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2039'!V20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51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2039'!V21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55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2039'!V22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87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2039'!V23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42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2039'!V24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52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2039'!V25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34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2039'!V26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87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IF(G29="","",VLOOKUP(G29,'Технологии'!$A$11:$BF$50,57,FALSE))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IF(G30="","",VLOOKUP(G30,'Технологии'!$A$11:$BF$50,57,FALSE))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IF(G31="","",VLOOKUP(G31,'Технологии'!$A$11:$BF$50,57,FALSE))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IF(G32="","",VLOOKUP(G32,'Технологии'!$A$11:$BF$50,57,FALSE))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IF(G33="","",VLOOKUP(G33,'Технологии'!$A$11:$BF$50,57,FALSE))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IF(G34="","",VLOOKUP(G34,'Технологии'!$A$11:$BF$50,57,FALSE))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IF(G35="","",VLOOKUP(G35,'Технологии'!$A$11:$BF$50,57,FALSE))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IF(G36="","",VLOOKUP(G36,'Технологии'!$A$11:$BF$50,57,FALSE))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IF(G37="","",VLOOKUP(G37,'Технологии'!$A$11:$BF$50,57,FALSE))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IF(G38="","",VLOOKUP(G38,'Технологии'!$A$11:$BF$50,57,FALSE))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НАЧАЛО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83.08266902372246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76.5844962914008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88.18020952055086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98.17518359477867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2039'!B8+'Индонезия 2039'!D8+('Индонезия 2039'!C8+'Индонезия 2039'!F8+'Индонезия 2039'!G8)+(0.35*LN(1+0.6*'Ход 2039'!B14)*POWER(MAX(0,1-'Индонезия 2039'!I8/10),0.7))))</x:f>
        <x:v>9.70000000000001</x:v>
      </x:c>
      <x:c r="C8" s="42" t="n">
        <x:f>MIN(1,'Индонезия 2039'!C8+'Индонезия 2039'!F8+(0.08*LN(1+0.5*'Ход 2039'!C14)*MAX(0,1-('Индонезия 2039'!C8+'Индонезия 2039'!F8))))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9.70000000000001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2039'!B9+'Индонезия 2039'!D9+('Индонезия 2039'!C9+'Индонезия 2039'!F9+'Индонезия 2039'!G9)+(0.35*LN(1+0.6*'Ход 2039'!B15)*POWER(MAX(0,1-'Индонезия 2039'!I9/10),0.7))))</x:f>
        <x:v>7.600000000000005</x:v>
      </x:c>
      <x:c r="C9" s="42" t="n">
        <x:f>MIN(1,'Индонезия 2039'!C9+'Индонезия 2039'!F9+(0.08*LN(1+0.5*'Ход 2039'!C15)*MAX(0,1-('Индонезия 2039'!C9+'Индонезия 2039'!F9))))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7.600000000000005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2039'!B10+'Индонезия 2039'!D10+('Индонезия 2039'!C10+'Индонезия 2039'!F10+'Индонезия 2039'!G10)+(0.35*LN(1+0.6*'Ход 2039'!B16)*POWER(MAX(0,1-'Индонезия 2039'!I10/10),0.7))))</x:f>
        <x:v>9.399999999999995</x:v>
      </x:c>
      <x:c r="C10" s="42" t="n">
        <x:f>MIN(1,'Индонезия 2039'!C10+'Индонезия 2039'!F10+(0.08*LN(1+0.5*'Ход 2039'!C16)*MAX(0,1-('Индонезия 2039'!C10+'Индонезия 2039'!F10))))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9.399999999999995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2039'!B11+'Индонезия 2039'!D11+('Индонезия 2039'!C11+'Индонезия 2039'!F11+'Индонезия 2039'!G11)+(0.35*LN(1+0.6*'Ход 2039'!B17)*POWER(MAX(0,1-'Индонезия 2039'!I11/10),0.7))))</x:f>
        <x:v>8.70000000000001</x:v>
      </x:c>
      <x:c r="C11" s="42" t="n">
        <x:f>MIN(1,'Индонезия 2039'!C11+'Индонезия 2039'!F11+(0.08*LN(1+0.5*'Ход 2039'!C17)*MAX(0,1-('Индонезия 2039'!C11+'Индонезия 2039'!F11))))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8.70000000000001</x:v>
      </x:c>
      <x:c r="J11" s="42"/>
      <x:c r="K11" s="42" t="str">
        <x:v>Производство</x:v>
      </x:c>
      <x:c r="L11" s="42" t="n">
        <x:f>MAX(1,MIN(10,'Индонезия 2039'!L11+'Индонезия 2039'!N11+('Индонезия 2039'!M11+'Индонезия 2039'!P11+'Индонезия 2039'!Q11)))</x:f>
        <x:v>10</x:v>
      </x:c>
      <x:c r="M11" s="42" t="n">
        <x:f>MIN(1,'Индонезия 2039'!M11+'Индонезия 2039'!P11+(0.10*LN(1+0.5*'Ход 2039'!H13)*POWER(MAX(0,1-'Индонезия 2039'!S11/10),0.8)))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'Индонезия 2039'!V11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2039'!B12+'Индонезия 2039'!D12+('Индонезия 2039'!C12+'Индонезия 2039'!F12+'Индонезия 2039'!G12)+(0.35*LN(1+0.6*'Ход 2039'!B18)*POWER(MAX(0,1-'Индонезия 2039'!I12/10),0.7))))</x:f>
        <x:v>9.70000000000001</x:v>
      </x:c>
      <x:c r="C12" s="42" t="n">
        <x:f>MIN(1,'Индонезия 2039'!C12+'Индонезия 2039'!F12+(0.08*LN(1+0.5*'Ход 2039'!C18)*MAX(0,1-('Индонезия 2039'!C12+'Индонезия 2039'!F12))))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9.70000000000001</x:v>
      </x:c>
      <x:c r="J12" s="42"/>
      <x:c r="K12" s="42" t="str">
        <x:v>Управление</x:v>
      </x:c>
      <x:c r="L12" s="42" t="n">
        <x:f>MAX(1,MIN(10,'Индонезия 2039'!L12+'Индонезия 2039'!N12+('Индонезия 2039'!M12+'Индонезия 2039'!P12+'Индонезия 2039'!Q12)))</x:f>
        <x:v>10</x:v>
      </x:c>
      <x:c r="M12" s="42" t="n">
        <x:f>MIN(1,'Индонезия 2039'!M12+'Индонезия 2039'!P12+(0.10*LN(1+0.5*'Ход 2039'!H14)*POWER(MAX(0,1-'Индонезия 2039'!S12/10),0.8)))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'Индонезия 2039'!V12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2039'!B13+'Индонезия 2039'!D13+('Индонезия 2039'!C13+'Индонезия 2039'!F13+'Индонезия 2039'!G13)+(0.35*LN(1+0.6*'Ход 2039'!B19)*POWER(MAX(0,1-'Индонезия 2039'!I13/10),0.7))))</x:f>
        <x:v>6.1999999999999975</x:v>
      </x:c>
      <x:c r="C13" s="42" t="n">
        <x:f>MIN(1,'Индонезия 2039'!C13+'Индонезия 2039'!F13+(0.08*LN(1+0.5*'Ход 2039'!C19)*MAX(0,1-('Индонезия 2039'!C13+'Индонезия 2039'!F13))))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6.1999999999999975</x:v>
      </x:c>
      <x:c r="J13" s="42"/>
      <x:c r="K13" s="42" t="str">
        <x:v>Познание</x:v>
      </x:c>
      <x:c r="L13" s="42" t="n">
        <x:f>MAX(1,MIN(10,'Индонезия 2039'!L13+'Индонезия 2039'!N13+('Индонезия 2039'!M13+'Индонезия 2039'!P13+'Индонезия 2039'!Q13)))</x:f>
        <x:v>10</x:v>
      </x:c>
      <x:c r="M13" s="42" t="n">
        <x:f>MIN(1,'Индонезия 2039'!M13+'Индонезия 2039'!P13+(0.10*LN(1+0.5*'Ход 2039'!H15)*POWER(MAX(0,1-'Индонезия 2039'!S13/10),0.8)))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'Индонезия 2039'!V13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2039'!B14+'Индонезия 2039'!D14+('Индонезия 2039'!C14+'Индонезия 2039'!F14+'Индонезия 2039'!G14)+(0.35*LN(1+0.6*'Ход 2039'!B20)*POWER(MAX(0,1-'Индонезия 2039'!I14/10),0.7))))</x:f>
        <x:v>8.199999999999998</x:v>
      </x:c>
      <x:c r="C14" s="42" t="n">
        <x:f>MIN(1,'Индонезия 2039'!C14+'Индонезия 2039'!F14+(0.08*LN(1+0.5*'Ход 2039'!C20)*MAX(0,1-('Индонезия 2039'!C14+'Индонезия 2039'!F14))))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8.199999999999998</x:v>
      </x:c>
      <x:c r="J14" s="42"/>
      <x:c r="K14" s="42" t="str">
        <x:v>Обучение</x:v>
      </x:c>
      <x:c r="L14" s="42" t="n">
        <x:f>MAX(1,MIN(10,'Индонезия 2039'!L14+'Индонезия 2039'!N14+('Индонезия 2039'!M14+'Индонезия 2039'!P14+'Индонезия 2039'!Q14)))</x:f>
        <x:v>10</x:v>
      </x:c>
      <x:c r="M14" s="42" t="n">
        <x:f>MIN(1,'Индонезия 2039'!M14+'Индонезия 2039'!P14+(0.10*LN(1+0.5*'Ход 2039'!H16)*POWER(MAX(0,1-'Индонезия 2039'!S14/10),0.8)))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'Индонезия 2039'!V14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2039'!B15+'Индонезия 2039'!D15+('Индонезия 2039'!C15+'Индонезия 2039'!F15+'Индонезия 2039'!G15)+(0.35*LN(1+0.6*'Ход 2039'!B21)*POWER(MAX(0,1-'Индонезия 2039'!I15/10),0.7))))</x:f>
        <x:v>10</x:v>
      </x:c>
      <x:c r="C15" s="42" t="n">
        <x:f>MIN(1,'Индонезия 2039'!C15+'Индонезия 2039'!F15+(0.08*LN(1+0.5*'Ход 2039'!C21)*MAX(0,1-('Индонезия 2039'!C15+'Индонезия 2039'!F15))))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MAX(1,MIN(10,'Индонезия 2039'!L15+'Индонезия 2039'!N15+('Индонезия 2039'!M15+'Индонезия 2039'!P15+'Индонезия 2039'!Q15)))</x:f>
        <x:v>9</x:v>
      </x:c>
      <x:c r="M15" s="42" t="n">
        <x:f>MIN(1,'Индонезия 2039'!M15+'Индонезия 2039'!P15+(0.10*LN(1+0.5*'Ход 2039'!H17)*POWER(MAX(0,1-'Индонезия 2039'!S15/10),0.8)))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</x:v>
      </x:c>
      <x:c r="T15" s="42"/>
      <x:c r="U15" s="42" t="str">
        <x:v>Великобритания</x:v>
      </x:c>
      <x:c r="V15" s="64" t="n">
        <x:f>'Индонезия 2039'!V15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2039'!B16+'Индонезия 2039'!D16+('Индонезия 2039'!C16+'Индонезия 2039'!F16+'Индонезия 2039'!G16)+(0.35*LN(1+0.6*'Ход 2039'!B22)*POWER(MAX(0,1-'Индонезия 2039'!I16/10),0.7))))</x:f>
        <x:v>10</x:v>
      </x:c>
      <x:c r="C16" s="42" t="n">
        <x:f>MIN(1,'Индонезия 2039'!C16+'Индонезия 2039'!F16+(0.08*LN(1+0.5*'Ход 2039'!C22)*MAX(0,1-('Индонезия 2039'!C16+'Индонезия 2039'!F16))))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MAX(1,MIN(10,'Индонезия 2039'!L16+'Индонезия 2039'!N16+('Индонезия 2039'!M16+'Индонезия 2039'!P16+'Индонезия 2039'!Q16)))</x:f>
        <x:v>10</x:v>
      </x:c>
      <x:c r="M16" s="42" t="n">
        <x:f>MIN(1,'Индонезия 2039'!M16+'Индонезия 2039'!P16+(0.10*LN(1+0.5*'Ход 2039'!H18)*POWER(MAX(0,1-'Индонезия 2039'!S16/10),0.8)))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2039'!V16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2039'!B17+'Индонезия 2039'!D17+('Индонезия 2039'!C17+'Индонезия 2039'!F17+'Индонезия 2039'!G17)+(0.35*LN(1+0.6*'Ход 2039'!B23)*POWER(MAX(0,1-'Индонезия 2039'!I17/10),0.7))))</x:f>
        <x:v>9.799999999999994</x:v>
      </x:c>
      <x:c r="C17" s="42" t="n">
        <x:f>MIN(1,'Индонезия 2039'!C17+'Индонезия 2039'!F17+(0.08*LN(1+0.5*'Ход 2039'!C23)*MAX(0,1-('Индонезия 2039'!C17+'Индонезия 2039'!F17))))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9.799999999999994</x:v>
      </x:c>
      <x:c r="J17" s="42"/>
      <x:c r="K17" s="42" t="str">
        <x:v>Государственное управление</x:v>
      </x:c>
      <x:c r="L17" s="42" t="n">
        <x:f>MAX(1,MIN(10,'Индонезия 2039'!L17+'Индонезия 2039'!N17+('Индонезия 2039'!M17+'Индонезия 2039'!P17+'Индонезия 2039'!Q17)))</x:f>
        <x:v>10</x:v>
      </x:c>
      <x:c r="M17" s="42" t="n">
        <x:f>MIN(1,'Индонезия 2039'!M17+'Индонезия 2039'!P17+(0.10*LN(1+0.5*'Ход 2039'!H19)*POWER(MAX(0,1-'Индонезия 2039'!S17/10),0.8)))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2039'!V17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2039'!L18+'Индонезия 2039'!N18+('Индонезия 2039'!M18+'Индонезия 2039'!P18+'Индонезия 2039'!Q18)))</x:f>
        <x:v>10</x:v>
      </x:c>
      <x:c r="M18" s="42" t="n">
        <x:f>MIN(1,'Индонезия 2039'!M18+'Индонезия 2039'!P18+(0.10*LN(1+0.5*'Ход 2039'!H20)*POWER(MAX(0,1-'Индонезия 2039'!S18/10),0.8)))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2039'!V18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2039'!B19+'Индонезия 2039'!D19+('Индонезия 2039'!C19+'Индонезия 2039'!F19+'Индонезия 2039'!G19)+(0.35*LN(1+0.6*'Ход 2039'!B25)*POWER(MAX(0,1-'Индонезия 2039'!I19/10),0.7))))</x:f>
        <x:v>9.5</x:v>
      </x:c>
      <x:c r="C19" s="42" t="n">
        <x:f>MIN(1,'Индонезия 2039'!C19+'Индонезия 2039'!F19+(0.08*LN(1+0.5*'Ход 2039'!C25)*MAX(0,1-('Индонезия 2039'!C19+'Индонезия 2039'!F19))))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2039'!V19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2039'!B20+'Индонезия 2039'!D20+('Индонезия 2039'!C20+'Индонезия 2039'!F20+'Индонезия 2039'!G20)+(0.35*LN(1+0.6*'Ход 2039'!B26)*POWER(MAX(0,1-'Индонезия 2039'!I20/10),0.7))))</x:f>
        <x:v>10</x:v>
      </x:c>
      <x:c r="C20" s="42" t="n">
        <x:f>MIN(1,'Индонезия 2039'!C20+'Индонезия 2039'!F20+(0.08*LN(1+0.5*'Ход 2039'!C26)*MAX(0,1-('Индонезия 2039'!C20+'Индонезия 2039'!F20))))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2039'!V20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2039'!B21+'Индонезия 2039'!D21+('Индонезия 2039'!C21+'Индонезия 2039'!F21+'Индонезия 2039'!G21)+(0.35*LN(1+0.6*'Ход 2039'!B27)*POWER(MAX(0,1-'Индонезия 2039'!I21/10),0.7))))</x:f>
        <x:v>9.700000000000003</x:v>
      </x:c>
      <x:c r="C21" s="42" t="n">
        <x:f>MIN(1,'Индонезия 2039'!C21+'Индонезия 2039'!F21+(0.08*LN(1+0.5*'Ход 2039'!C27)*MAX(0,1-('Индонезия 2039'!C21+'Индонезия 2039'!F21))))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9.700000000000003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2039'!V21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2039'!B22+'Индонезия 2039'!D22+('Индонезия 2039'!C22+'Индонезия 2039'!F22+'Индонезия 2039'!G22)+(0.35*LN(1+0.6*'Ход 2039'!B28)*POWER(MAX(0,1-'Индонезия 2039'!I22/10),0.7))))</x:f>
        <x:v>9.299999999999997</x:v>
      </x:c>
      <x:c r="C22" s="42" t="n">
        <x:f>MIN(1,'Индонезия 2039'!C22+'Индонезия 2039'!F22+(0.08*LN(1+0.5*'Ход 2039'!C28)*MAX(0,1-('Индонезия 2039'!C22+'Индонезия 2039'!F22))))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9.299999999999997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2039'!V22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2039'!B23+'Индонезия 2039'!D23+('Индонезия 2039'!C23+'Индонезия 2039'!F23+'Индонезия 2039'!G23)+(0.35*LN(1+0.6*'Ход 2039'!B29)*POWER(MAX(0,1-'Индонезия 2039'!I23/10),0.7))))</x:f>
        <x:v>9.5</x:v>
      </x:c>
      <x:c r="C23" s="42" t="n">
        <x:f>MIN(1,'Индонезия 2039'!C23+'Индонезия 2039'!F23+(0.08*LN(1+0.5*'Ход 2039'!C29)*MAX(0,1-('Индонезия 2039'!C23+'Индонезия 2039'!F23))))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2039'!V23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2039'!V24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2039'!B25+'Индонезия 2039'!D25+('Индонезия 2039'!C25+'Индонезия 2039'!F25+'Индонезия 2039'!G25)+(0.35*LN(1+0.6*'Ход 2039'!B31)*POWER(MAX(0,1-'Индонезия 2039'!I25/10),0.7))))</x:f>
        <x:v>9.899999999999995</x:v>
      </x:c>
      <x:c r="C25" s="42" t="n">
        <x:f>MIN(1,'Индонезия 2039'!C25+'Индонезия 2039'!F25+(0.08*LN(1+0.5*'Ход 2039'!C31)*MAX(0,1-('Индонезия 2039'!C25+'Индонезия 2039'!F25))))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9.899999999999995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2039'!V25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2039'!B26+'Индонезия 2039'!D26+('Индонезия 2039'!C26+'Индонезия 2039'!F26+'Индонезия 2039'!G26)+(0.35*LN(1+0.6*'Ход 2039'!B32)*POWER(MAX(0,1-'Индонезия 2039'!I26/10),0.7))))</x:f>
        <x:v>10</x:v>
      </x:c>
      <x:c r="C26" s="42" t="n">
        <x:f>MIN(1,'Индонезия 2039'!C26+'Индонезия 2039'!F26+(0.08*LN(1+0.5*'Ход 2039'!C32)*MAX(0,1-('Индонезия 2039'!C26+'Индонезия 2039'!F26))))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2039'!V26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2039'!B27+'Индонезия 2039'!D27+('Индонезия 2039'!C27+'Индонезия 2039'!F27+'Индонезия 2039'!G27)+(0.35*LN(1+0.6*'Ход 2039'!B33)*POWER(MAX(0,1-'Индонезия 2039'!I27/10),0.7))))</x:f>
        <x:v>9.799999999999994</x:v>
      </x:c>
      <x:c r="C27" s="42" t="n">
        <x:f>MIN(1,'Индонезия 2039'!C27+'Индонезия 2039'!F27+(0.08*LN(1+0.5*'Ход 2039'!C33)*MAX(0,1-('Индонезия 2039'!C27+'Индонезия 2039'!F27))))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9.799999999999994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2039'!B28+'Индонезия 2039'!D28+('Индонезия 2039'!C28+'Индонезия 2039'!F28+'Индонезия 2039'!G28)+(0.35*LN(1+0.6*'Ход 2039'!B34)*POWER(MAX(0,1-'Индонезия 2039'!I28/10),0.7))))</x:f>
        <x:v>10</x:v>
      </x:c>
      <x:c r="C28" s="42" t="n">
        <x:f>MIN(1,'Индонезия 2039'!C28+'Индонезия 2039'!F28+(0.08*LN(1+0.5*'Ход 2039'!C34)*MAX(0,1-('Индонезия 2039'!C28+'Индонезия 2039'!F28))))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2039'!B29+'Индонезия 2039'!D29+('Индонезия 2039'!C29+'Индонезия 2039'!F29+'Индонезия 2039'!G29)+(0.35*LN(1+0.6*'Ход 2039'!B35)*POWER(MAX(0,1-'Индонезия 2039'!I29/10),0.7))))</x:f>
        <x:v>9.5</x:v>
      </x:c>
      <x:c r="C29" s="42" t="n">
        <x:f>MIN(1,'Индонезия 2039'!C29+'Индонезия 2039'!F29+(0.08*LN(1+0.5*'Ход 2039'!C35)*MAX(0,1-('Индонезия 2039'!C29+'Индонезия 2039'!F29))))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2039'!B30+'Индонезия 2039'!D30+('Индонезия 2039'!C30+'Индонезия 2039'!F30+'Индонезия 2039'!G30)+(0.35*LN(1+0.6*'Ход 2039'!B36)*POWER(MAX(0,1-'Индонезия 2039'!I30/10),0.7))))</x:f>
        <x:v>8.799999999999999</x:v>
      </x:c>
      <x:c r="C30" s="42" t="n">
        <x:f>MIN(1,'Индонезия 2039'!C30+'Индонезия 2039'!F30+(0.08*LN(1+0.5*'Ход 2039'!C36)*MAX(0,1-('Индонезия 2039'!C30+'Индонезия 2039'!F30))))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8.799999999999999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2039'!B31+'Индонезия 2039'!D31+('Индонезия 2039'!C31+'Индонезия 2039'!F31+'Индонезия 2039'!G31)+(0.35*LN(1+0.6*'Ход 2039'!B37)*POWER(MAX(0,1-'Индонезия 2039'!I31/10),0.7))))</x:f>
        <x:v>8.799999999999999</x:v>
      </x:c>
      <x:c r="C31" s="42" t="n">
        <x:f>MIN(1,'Индонезия 2039'!C31+'Индонезия 2039'!F31+(0.08*LN(1+0.5*'Ход 2039'!C37)*MAX(0,1-('Индонезия 2039'!C31+'Индонезия 2039'!F31))))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8.799999999999999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2039'!B32+'Индонезия 2039'!D32+('Индонезия 2039'!C32+'Индонезия 2039'!F32+'Индонезия 2039'!G32)+(0.35*LN(1+0.6*'Ход 2039'!B38)*POWER(MAX(0,1-'Индонезия 2039'!I32/10),0.7))))</x:f>
        <x:v>10</x:v>
      </x:c>
      <x:c r="C32" s="42" t="n">
        <x:f>MIN(1,'Индонезия 2039'!C32+'Индонезия 2039'!F32+(0.08*LN(1+0.5*'Ход 2039'!C38)*MAX(0,1-('Индонезия 2039'!C32+'Индонезия 2039'!F32))))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2039'!B34+'Индонезия 2039'!D34+('Индонезия 2039'!C34+'Индонезия 2039'!F34+'Индонезия 2039'!G34)+(0.35*LN(1+0.6*'Ход 2039'!B40)*POWER(MAX(0,1-'Индонезия 2039'!I34/10),0.7))))</x:f>
        <x:v>10</x:v>
      </x:c>
      <x:c r="C34" s="42" t="n">
        <x:f>MIN(1,'Индонезия 2039'!C34+'Индонезия 2039'!F34+(0.08*LN(1+0.5*'Ход 2039'!C40)*MAX(0,1-('Индонезия 2039'!C34+'Индонезия 2039'!F34))))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2039'!B35+'Индонезия 2039'!D35+('Индонезия 2039'!C35+'Индонезия 2039'!F35+'Индонезия 2039'!G35)+(0.35*LN(1+0.6*'Ход 2039'!B41)*POWER(MAX(0,1-'Индонезия 2039'!I35/10),0.7))))</x:f>
        <x:v>9.600000000000005</x:v>
      </x:c>
      <x:c r="C35" s="42" t="n">
        <x:f>MIN(1,'Индонезия 2039'!C35+'Индонезия 2039'!F35+(0.08*LN(1+0.5*'Ход 2039'!C41)*MAX(0,1-('Индонезия 2039'!C35+'Индонезия 2039'!F35))))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9.600000000000005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2039'!B36+'Индонезия 2039'!D36+('Индонезия 2039'!C36+'Индонезия 2039'!F36+'Индонезия 2039'!G36)+(0.35*LN(1+0.6*'Ход 2039'!B42)*POWER(MAX(0,1-'Индонезия 2039'!I36/10),0.7))))</x:f>
        <x:v>10</x:v>
      </x:c>
      <x:c r="C36" s="42" t="n">
        <x:f>MIN(1,'Индонезия 2039'!C36+'Индонезия 2039'!F36+(0.08*LN(1+0.5*'Ход 2039'!C42)*MAX(0,1-('Индонезия 2039'!C36+'Индонезия 2039'!F36))))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2039'!B37+'Индонезия 2039'!D37+('Индонезия 2039'!C37+'Индонезия 2039'!F37+'Индонезия 2039'!G37)+(0.35*LN(1+0.6*'Ход 2039'!B43)*POWER(MAX(0,1-'Индонезия 2039'!I37/10),0.7))))</x:f>
        <x:v>10</x:v>
      </x:c>
      <x:c r="C37" s="42" t="n">
        <x:f>MIN(1,'Индонезия 2039'!C37+'Индонезия 2039'!F37+(0.08*LN(1+0.5*'Ход 2039'!C43)*MAX(0,1-('Индонезия 2039'!C37+'Индонезия 2039'!F37))))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2039'!B38+'Индонезия 2039'!D38+('Индонезия 2039'!C38+'Индонезия 2039'!F38+'Индонезия 2039'!G38)+(0.35*LN(1+0.6*'Ход 2039'!B44)*POWER(MAX(0,1-'Индонезия 2039'!I38/10),0.7))))</x:f>
        <x:v>10</x:v>
      </x:c>
      <x:c r="C38" s="42" t="n">
        <x:f>MIN(1,'Индонезия 2039'!C38+'Индонезия 2039'!F38+(0.08*LN(1+0.5*'Ход 2039'!C44)*MAX(0,1-('Индонезия 2039'!C38+'Индонезия 2039'!F38))))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2039'!B39+'Индонезия 2039'!D39+('Индонезия 2039'!C39+'Индонезия 2039'!F39+'Индонезия 2039'!G39)+(0.35*LN(1+0.6*'Ход 2039'!B45)*POWER(MAX(0,1-'Индонезия 2039'!I39/10),0.7))))</x:f>
        <x:v>10</x:v>
      </x:c>
      <x:c r="C39" s="42" t="n">
        <x:f>MIN(1,'Индонезия 2039'!C39+'Индонезия 2039'!F39+(0.08*LN(1+0.5*'Ход 2039'!C45)*MAX(0,1-('Индонезия 2039'!C39+'Индонезия 2039'!F39))))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2039'!B40+'Индонезия 2039'!D40+('Индонезия 2039'!C40+'Индонезия 2039'!F40+'Индонезия 2039'!G40)+(0.35*LN(1+0.6*'Ход 2039'!B46)*POWER(MAX(0,1-'Индонезия 2039'!I40/10),0.7))))</x:f>
        <x:v>10</x:v>
      </x:c>
      <x:c r="C40" s="42" t="n">
        <x:f>MIN(1,'Индонезия 2039'!C40+'Индонезия 2039'!F40+(0.08*LN(1+0.5*'Ход 2039'!C46)*MAX(0,1-('Индонезия 2039'!C40+'Индонезия 2039'!F40))))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2039'!B41+'Индонезия 2039'!D41+('Индонезия 2039'!C41+'Индонезия 2039'!F41+'Индонезия 2039'!G41)+(0.35*LN(1+0.6*'Ход 2039'!B47)*POWER(MAX(0,1-'Индонезия 2039'!I41/10),0.7))))</x:f>
        <x:v>10</x:v>
      </x:c>
      <x:c r="C41" s="42" t="n">
        <x:f>MIN(1,'Индонезия 2039'!C41+'Индонезия 2039'!F41+(0.08*LN(1+0.5*'Ход 2039'!C47)*MAX(0,1-('Индонезия 2039'!C41+'Индонезия 2039'!F41))))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2039'!B42+'Индонезия 2039'!D42+('Индонезия 2039'!C42+'Индонезия 2039'!F42+'Индонезия 2039'!G42)+(0.35*LN(1+0.6*'Ход 2039'!B48)*POWER(MAX(0,1-'Индонезия 2039'!I42/10),0.7))))</x:f>
        <x:v>9.899999999999995</x:v>
      </x:c>
      <x:c r="C42" s="42" t="n">
        <x:f>MIN(1,'Индонезия 2039'!C42+'Индонезия 2039'!F42+(0.08*LN(1+0.5*'Ход 2039'!C48)*MAX(0,1-('Индонезия 2039'!C42+'Индонезия 2039'!F42))))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9.899999999999995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2039'!B44+'Индонезия 2039'!D44+('Индонезия 2039'!C44+'Индонезия 2039'!F44+'Индонезия 2039'!G44)+(0.35*LN(1+0.6*'Ход 2039'!B50)*POWER(MAX(0,1-'Индонезия 2039'!I44/10),0.7))))</x:f>
        <x:v>9.299999999999997</x:v>
      </x:c>
      <x:c r="C44" s="42" t="n">
        <x:f>MIN(1,'Индонезия 2039'!C44+'Индонезия 2039'!F44+(0.08*LN(1+0.5*'Ход 2039'!C50)*MAX(0,1-('Индонезия 2039'!C44+'Индонезия 2039'!F44))))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9.299999999999997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2039'!B45+'Индонезия 2039'!D45+('Индонезия 2039'!C45+'Индонезия 2039'!F45+'Индонезия 2039'!G45)+(0.35*LN(1+0.6*'Ход 2039'!B51)*POWER(MAX(0,1-'Индонезия 2039'!I45/10),0.7))))</x:f>
        <x:v>9.299999999999997</x:v>
      </x:c>
      <x:c r="C45" s="42" t="n">
        <x:f>MIN(1,'Индонезия 2039'!C45+'Индонезия 2039'!F45+(0.08*LN(1+0.5*'Ход 2039'!C51)*MAX(0,1-('Индонезия 2039'!C45+'Индонезия 2039'!F45))))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9.299999999999997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2039'!B46+'Индонезия 2039'!D46+('Индонезия 2039'!C46+'Индонезия 2039'!F46+'Индонезия 2039'!G46)+(0.35*LN(1+0.6*'Ход 2039'!B52)*POWER(MAX(0,1-'Индонезия 2039'!I46/10),0.7))))</x:f>
        <x:v>9.299999999999997</x:v>
      </x:c>
      <x:c r="C46" s="42" t="n">
        <x:f>MIN(1,'Индонезия 2039'!C46+'Индонезия 2039'!F46+(0.08*LN(1+0.5*'Ход 2039'!C52)*MAX(0,1-('Индонезия 2039'!C46+'Индонезия 2039'!F46))))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9.299999999999997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2039'!B47+'Индонезия 2039'!D47+('Индонезия 2039'!C47+'Индонезия 2039'!F47+'Индонезия 2039'!G47)+(0.35*LN(1+0.6*'Ход 2039'!B53)*POWER(MAX(0,1-'Индонезия 2039'!I47/10),0.7))))</x:f>
        <x:v>9.100000000000005</x:v>
      </x:c>
      <x:c r="C47" s="42" t="n">
        <x:f>MIN(1,'Индонезия 2039'!C47+'Индонезия 2039'!F47+(0.08*LN(1+0.5*'Ход 2039'!C53)*MAX(0,1-('Индонезия 2039'!C47+'Индонезия 2039'!F47))))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9.100000000000005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2039'!B48+'Индонезия 2039'!D48+('Индонезия 2039'!C48+'Индонезия 2039'!F48+'Индонезия 2039'!G48)+(0.35*LN(1+0.6*'Ход 2039'!B54)*POWER(MAX(0,1-'Индонезия 2039'!I48/10),0.7))))</x:f>
        <x:v>9.600000000000005</x:v>
      </x:c>
      <x:c r="C48" s="42" t="n">
        <x:f>MIN(1,'Индонезия 2039'!C48+'Индонезия 2039'!F48+(0.08*LN(1+0.5*'Ход 2039'!C54)*MAX(0,1-('Индонезия 2039'!C48+'Индонезия 2039'!F48))))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9.600000000000005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2039'!B49+'Индонезия 2039'!D49+('Индонезия 2039'!C49+'Индонезия 2039'!F49+'Индонезия 2039'!G49)+(0.35*LN(1+0.6*'Ход 2039'!B55)*POWER(MAX(0,1-'Индонезия 2039'!I49/10),0.7))))</x:f>
        <x:v>10</x:v>
      </x:c>
      <x:c r="C49" s="42" t="n">
        <x:f>MIN(1,'Индонезия 2039'!C49+'Индонезия 2039'!F49+(0.08*LN(1+0.5*'Ход 2039'!C55)*MAX(0,1-('Индонезия 2039'!C49+'Индонезия 2039'!F49))))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2039'!B50+'Индонезия 2039'!D50+('Индонезия 2039'!C50+'Индонезия 2039'!F50+'Индонезия 2039'!G50)+(0.35*LN(1+0.6*'Ход 2039'!B56)*POWER(MAX(0,1-'Индонезия 2039'!I50/10),0.7))))</x:f>
        <x:v>10</x:v>
      </x:c>
      <x:c r="C50" s="42" t="n">
        <x:f>MIN(1,'Индонезия 2039'!C50+'Индонезия 2039'!F50+(0.08*LN(1+0.5*'Ход 2039'!C56)*MAX(0,1-('Индонезия 2039'!C50+'Индонезия 2039'!F50))))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2039'!B51+'Индонезия 2039'!D51+('Индонезия 2039'!C51+'Индонезия 2039'!F51+'Индонезия 2039'!G51)+(0.35*LN(1+0.6*'Ход 2039'!B57)*POWER(MAX(0,1-'Индонезия 2039'!I51/10),0.7))))</x:f>
        <x:v>10</x:v>
      </x:c>
      <x:c r="C51" s="42" t="n">
        <x:f>MIN(1,'Индонезия 2039'!C51+'Индонезия 2039'!F51+(0.08*LN(1+0.5*'Ход 2039'!C57)*MAX(0,1-('Индонезия 2039'!C51+'Индонезия 2039'!F51))))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2039'!B53+'Индонезия 2039'!D53+('Индонезия 2039'!C53+'Индонезия 2039'!F53+'Индонезия 2039'!G53)+(0.35*LN(1+0.6*'Ход 2039'!B59)*POWER(MAX(0,1-'Индонезия 2039'!I53/10),0.7))))</x:f>
        <x:v>9.5</x:v>
      </x:c>
      <x:c r="C53" s="42" t="n">
        <x:f>MIN(1,'Индонезия 2039'!C53+'Индонезия 2039'!F53+(0.08*LN(1+0.5*'Ход 2039'!C59)*MAX(0,1-('Индонезия 2039'!C53+'Индонезия 2039'!F53))))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2039'!B54+'Индонезия 2039'!D54+('Индонезия 2039'!C54+'Индонезия 2039'!F54+'Индонезия 2039'!G54)+(0.35*LN(1+0.6*'Ход 2039'!B60)*POWER(MAX(0,1-'Индонезия 2039'!I54/10),0.7))))</x:f>
        <x:v>9.5</x:v>
      </x:c>
      <x:c r="C54" s="42" t="n">
        <x:f>MIN(1,'Индонезия 2039'!C54+'Индонезия 2039'!F54+(0.08*LN(1+0.5*'Ход 2039'!C60)*MAX(0,1-('Индонезия 2039'!C54+'Индонезия 2039'!F54))))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2039'!B55+'Индонезия 2039'!D55+('Индонезия 2039'!C55+'Индонезия 2039'!F55+'Индонезия 2039'!G55)+(0.35*LN(1+0.6*'Ход 2039'!B61)*POWER(MAX(0,1-'Индонезия 2039'!I55/10),0.7))))</x:f>
        <x:v>8.3</x:v>
      </x:c>
      <x:c r="C55" s="42" t="n">
        <x:f>MIN(1,'Индонезия 2039'!C55+'Индонезия 2039'!F55+(0.08*LN(1+0.5*'Ход 2039'!C61)*MAX(0,1-('Индонезия 2039'!C55+'Индонезия 2039'!F55))))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8.3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3" hidden="0" customWidth="1"/>
    <x:col min="3" max="3" width="13" hidden="0" customWidth="1"/>
    <x:col min="7" max="7" width="25" hidden="0" customWidth="1"/>
    <x:col min="8" max="8" width="32" hidden="0" customWidth="1"/>
    <x:col min="9" max="9" width="13" hidden="0" customWidth="1"/>
    <x:col min="10" max="10" width="18" hidden="0" customWidth="1"/>
    <x:col min="11" max="11" width="16" hidden="0" customWidth="1"/>
    <x:col min="12" max="12" width="17" hidden="0" customWidth="1"/>
    <x:col min="13" max="13" width="13" hidden="0" customWidth="1"/>
    <x:col min="14" max="14" width="16" hidden="0" customWidth="1"/>
    <x:col min="15" max="15" width="18" hidden="0" customWidth="1"/>
    <x:col min="16" max="16" width="18" hidden="0" customWidth="1"/>
    <x:col min="17" max="17" width="18" hidden="0" customWidth="1"/>
    <x:col min="18" max="18" width="15" hidden="0" customWidth="1"/>
    <x:col min="19" max="19" width="17" hidden="0" customWidth="1"/>
    <x:col min="20" max="20" width="15" hidden="0" customWidth="1"/>
    <x:col min="21" max="21" width="14" hidden="0" customWidth="1"/>
  </x:cols>
  <x:sheetData>
    <x:row r="1">
      <x:c r="A1" s="72" t="str">
        <x:v>ХОД 2040 — РАСПРЕДЕЛЕНИЕ ОЧКОВ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  <x:c r="U1" s="72"/>
    </x:row>
    <x:row r="2">
      <x:c r="A2" s="72"/>
      <x:c r="B2" s="72"/>
      <x:c r="C2" s="72"/>
      <x:c r="D2" s="72"/>
      <x:c r="E2" s="72"/>
      <x:c r="F2" s="72"/>
      <x:c r="G2" s="72"/>
      <x:c r="H2" s="72"/>
      <x:c r="I2" s="72"/>
      <x:c r="J2" s="72"/>
      <x:c r="K2" s="72"/>
      <x:c r="L2" s="72"/>
      <x:c r="M2" s="72"/>
      <x:c r="N2" s="72"/>
      <x:c r="O2" s="72"/>
      <x:c r="P2" s="72"/>
      <x:c r="Q2" s="72"/>
      <x:c r="R2" s="72"/>
      <x:c r="S2" s="72"/>
      <x:c r="T2" s="72"/>
      <x:c r="U2" s="72"/>
    </x:row>
    <x:row r="3">
      <x:c r="A3" s="13" t="str">
        <x:v>Жёлтые ячейки — ввод игрока.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</x:row>
    <x:row r="5">
      <x:c r="A5" s="56" t="str">
        <x:v>ОЧКИ ТРАНСФОРМАЦИИ</x:v>
      </x:c>
      <x:c r="B5" s="56"/>
      <x:c r="C5" s="56"/>
      <x:c r="D5" s="42"/>
      <x:c r="E5" s="56" t="str">
        <x:v>ОЧКИ ИИ</x:v>
      </x:c>
      <x:c r="F5" s="56"/>
      <x:c r="G5" s="56"/>
      <x:c r="H5" s="42"/>
      <x:c r="I5" s="56" t="str">
        <x:v>ОЧКИ НАУКИ</x:v>
      </x:c>
      <x:c r="J5" s="56"/>
      <x:c r="K5" s="56"/>
      <x:c r="L5" s="42"/>
      <x:c r="M5" s="56" t="str">
        <x:v>ВНЕШНЕПОЛИТИЧЕСКИЕ ОЧКИ</x:v>
      </x:c>
      <x:c r="N5" s="56"/>
      <x:c r="O5" s="56"/>
      <x:c r="P5" s="42"/>
      <x:c r="Q5" s="42"/>
      <x:c r="R5" s="42"/>
      <x:c r="S5" s="42"/>
      <x:c r="T5" s="42"/>
      <x:c r="U5" s="42"/>
    </x:row>
    <x:row r="6">
      <x:c r="A6" s="42" t="str">
        <x:v>Доступно</x:v>
      </x:c>
      <x:c r="B6" s="42" t="n">
        <x:f>'Индонезия 2040'!U6</x:f>
        <x:v>98.17518359477867</x:v>
      </x:c>
      <x:c r="C6" s="42"/>
      <x:c r="D6" s="42"/>
      <x:c r="E6" s="42" t="str">
        <x:v>Доступно</x:v>
      </x:c>
      <x:c r="F6" s="42" t="n">
        <x:f>'Индонезия 2040'!K6</x:f>
        <x:v>83.08266902372246</x:v>
      </x:c>
      <x:c r="G6" s="42"/>
      <x:c r="H6" s="42"/>
      <x:c r="I6" s="42" t="str">
        <x:v>Доступно</x:v>
      </x:c>
      <x:c r="J6" s="42" t="n">
        <x:f>'Индонезия 2040'!N6</x:f>
        <x:v>76.5844962914008</x:v>
      </x:c>
      <x:c r="K6" s="42"/>
      <x:c r="L6" s="42"/>
      <x:c r="M6" s="42" t="str">
        <x:v>Доступно</x:v>
      </x:c>
      <x:c r="N6" s="42" t="n">
        <x:f>'Индонезия 2040'!Q6</x:f>
        <x:v>88.18020952055086</x:v>
      </x:c>
      <x:c r="O6" s="42"/>
      <x:c r="P6" s="42"/>
      <x:c r="Q6" s="42"/>
      <x:c r="R6" s="42"/>
      <x:c r="S6" s="42"/>
      <x:c r="T6" s="42"/>
      <x:c r="U6" s="42"/>
    </x:row>
    <x:row r="7">
      <x:c r="A7" s="42" t="str">
        <x:v>Распределено</x:v>
      </x:c>
      <x:c r="B7" s="42" t="n">
        <x:f>SUM(B14:C14)+SUM(B15:C15)+SUM(B16:C16)+SUM(B17:C17)+SUM(B18:C18)+SUM(B19:C19)+SUM(B20:C20)+SUM(B21:C21)+SUM(B22:C22)+SUM(B23:C23)+SUM(B25:C25)+SUM(B26:C26)+SUM(B27:C27)+SUM(B28:C28)+SUM(B29:C29)+SUM(B31:C31)+SUM(B32:C32)+SUM(B33:C33)+SUM(B34:C34)+SUM(B35:C35)+SUM(B36:C36)+SUM(B37:C37)+SUM(B38:C38)+SUM(B40:C40)+SUM(B41:C41)+SUM(B42:C42)+SUM(B43:C43)+SUM(B44:C44)+SUM(B45:C45)+SUM(B46:C46)+SUM(B47:C47)+SUM(B48:C48)+SUM(B50:C50)+SUM(B51:C51)+SUM(B52:C52)+SUM(B53:C53)+SUM(B54:C54)+SUM(B55:C55)+SUM(B56:C56)+SUM(B57:C57)+SUM(B59:C59)+SUM(B60:C60)+SUM(B61:C61)</x:f>
        <x:v>0</x:v>
      </x:c>
      <x:c r="C7" s="42"/>
      <x:c r="D7" s="42"/>
      <x:c r="E7" s="42" t="str">
        <x:v>Распределено</x:v>
      </x:c>
      <x:c r="F7" s="42" t="n">
        <x:f>SUM(H13:H20)</x:f>
        <x:v>0</x:v>
      </x:c>
      <x:c r="G7" s="42"/>
      <x:c r="H7" s="42"/>
      <x:c r="I7" s="42" t="str">
        <x:v>Распределено</x:v>
      </x:c>
      <x:c r="J7" s="42" t="n">
        <x:f>SUM(I29:I38)</x:f>
        <x:v>0</x:v>
      </x:c>
      <x:c r="K7" s="42"/>
      <x:c r="L7" s="42"/>
      <x:c r="M7" s="42" t="str">
        <x:v>Распределено</x:v>
      </x:c>
      <x:c r="N7" s="42" t="n">
        <x:f>SUM(N13:Q28)+J24</x:f>
        <x:v>0</x:v>
      </x:c>
      <x:c r="O7" s="42"/>
      <x:c r="P7" s="42"/>
      <x:c r="Q7" s="42"/>
      <x:c r="R7" s="42"/>
      <x:c r="S7" s="42"/>
      <x:c r="T7" s="42"/>
      <x:c r="U7" s="42"/>
    </x:row>
    <x:row r="8">
      <x:c r="A8" s="42" t="str">
        <x:v>Остаток</x:v>
      </x:c>
      <x:c r="B8" s="42" t="n">
        <x:f>B6-B7</x:f>
        <x:v>98.17518359477867</x:v>
      </x:c>
      <x:c r="C8" s="42" t="str">
        <x:f>IF(B8&lt;0,"ПРЕВЫШЕНИЕ","OK")</x:f>
        <x:v>OK</x:v>
      </x:c>
      <x:c r="D8" s="42"/>
      <x:c r="E8" s="42" t="str">
        <x:v>Остаток</x:v>
      </x:c>
      <x:c r="F8" s="42" t="n">
        <x:f>F6-F7</x:f>
        <x:v>83.08266902372246</x:v>
      </x:c>
      <x:c r="G8" s="42" t="str">
        <x:f>IF(F8&lt;0,"ПРЕВЫШЕНИЕ","OK")</x:f>
        <x:v>OK</x:v>
      </x:c>
      <x:c r="H8" s="42"/>
      <x:c r="I8" s="42" t="str">
        <x:v>Остаток</x:v>
      </x:c>
      <x:c r="J8" s="42" t="n">
        <x:f>J6-J7</x:f>
        <x:v>76.5844962914008</x:v>
      </x:c>
      <x:c r="K8" s="42" t="str">
        <x:f>IF(J8&lt;0,"ПРЕВЫШЕНИЕ","OK")</x:f>
        <x:v>OK</x:v>
      </x:c>
      <x:c r="L8" s="42"/>
      <x:c r="M8" s="42" t="str">
        <x:v>Остаток</x:v>
      </x:c>
      <x:c r="N8" s="42" t="n">
        <x:f>N6-N7</x:f>
        <x:v>88.18020952055086</x:v>
      </x:c>
      <x:c r="O8" s="42" t="str">
        <x:f>IF(N8&lt;0,"ПРЕВЫШЕНИЕ","OK")</x:f>
        <x:v>OK</x:v>
      </x:c>
      <x:c r="P8" s="42"/>
      <x:c r="Q8" s="42"/>
      <x:c r="R8" s="42"/>
      <x:c r="S8" s="42"/>
      <x:c r="T8" s="42"/>
      <x:c r="U8" s="42"/>
    </x:row>
    <x:row r="9">
      <x:c r="A9" s="42"/>
      <x:c r="B9" s="42"/>
      <x:c r="C9" s="42"/>
      <x:c r="D9" s="42"/>
      <x:c r="E9" s="42"/>
      <x:c r="F9" s="42"/>
      <x:c r="G9" s="42"/>
      <x:c r="H9" s="42"/>
      <x:c r="I9" s="42"/>
      <x:c r="J9" s="42"/>
      <x:c r="K9" s="42"/>
      <x:c r="L9" s="42"/>
      <x:c r="M9" s="42"/>
      <x:c r="N9" s="42"/>
      <x:c r="O9" s="42"/>
      <x:c r="P9" s="42"/>
      <x:c r="Q9" s="42"/>
      <x:c r="R9" s="42"/>
      <x:c r="S9" s="42"/>
      <x:c r="T9" s="42"/>
      <x:c r="U9" s="42"/>
    </x:row>
    <x:row r="10">
      <x:c r="A10" s="42"/>
      <x:c r="B10" s="42"/>
      <x:c r="C10" s="42"/>
      <x:c r="D10" s="42"/>
      <x:c r="E10" s="42"/>
      <x:c r="F10" s="42"/>
      <x:c r="G10" s="42"/>
      <x:c r="H10" s="42"/>
      <x:c r="I10" s="42"/>
      <x:c r="J10" s="42"/>
      <x:c r="K10" s="42"/>
      <x:c r="L10" s="42"/>
      <x:c r="M10" s="42"/>
      <x:c r="N10" s="42"/>
      <x:c r="O10" s="42"/>
      <x:c r="P10" s="42"/>
      <x:c r="Q10" s="42"/>
      <x:c r="R10" s="42"/>
      <x:c r="S10" s="42"/>
      <x:c r="T10" s="42"/>
      <x:c r="U10" s="42"/>
    </x:row>
    <x:row r="11">
      <x:c r="A11" s="73" t="str">
        <x:v>1. РАСПРЕДЕЛЕНИЕ ОЧКОВ ТРАНСФОРМАЦИИ</x:v>
      </x:c>
      <x:c r="B11" s="73"/>
      <x:c r="C11" s="73"/>
      <x:c r="D11" s="42"/>
      <x:c r="E11" s="42"/>
      <x:c r="F11" s="42"/>
      <x:c r="G11" s="73" t="str">
        <x:v>2. РАСПРЕДЕЛЕНИЕ ОЧКОВ ИИ</x:v>
      </x:c>
      <x:c r="H11" s="73"/>
      <x:c r="I11" s="42"/>
      <x:c r="J11" s="42"/>
      <x:c r="K11" s="42"/>
      <x:c r="L11" s="42" t="str">
        <x:v>4. РАСПРЕДЕЛЕНИЕ ВНЕШНЕПОЛИТИЧЕСКИХ ОЧКОВ</x:v>
      </x:c>
      <x:c r="M11" s="42"/>
      <x:c r="N11" s="42"/>
      <x:c r="O11" s="42"/>
      <x:c r="P11" s="42"/>
      <x:c r="Q11" s="42"/>
      <x:c r="R11" s="42"/>
      <x:c r="S11" s="42"/>
      <x:c r="T11" s="42"/>
      <x:c r="U11" s="42"/>
    </x:row>
    <x:row r="12">
      <x:c r="A12" s="42" t="str">
        <x:v>Ресурс</x:v>
      </x:c>
      <x:c r="B12" s="42" t="str">
        <x:v>В значение</x:v>
      </x:c>
      <x:c r="C12" s="42" t="str">
        <x:v>В прирост</x:v>
      </x:c>
      <x:c r="D12" s="42"/>
      <x:c r="E12" s="42"/>
      <x:c r="F12" s="42"/>
      <x:c r="G12" s="42" t="str">
        <x:v>Сфера</x:v>
      </x:c>
      <x:c r="H12" s="42" t="str">
        <x:v>Очки ИИ в прирост</x:v>
      </x:c>
      <x:c r="I12" s="42"/>
      <x:c r="J12" s="42"/>
      <x:c r="K12" s="42"/>
      <x:c r="L12" s="42" t="str">
        <x:v>Страна</x:v>
      </x:c>
      <x:c r="M12" s="42" t="str">
        <x:v>Текущий код отношений</x:v>
      </x:c>
      <x:c r="N12" s="42" t="str">
        <x:v>Улучшение отношений</x:v>
      </x:c>
      <x:c r="O12" s="42" t="str">
        <x:v>Вклад в войну Ареса</x:v>
      </x:c>
      <x:c r="P12" s="42" t="str">
        <x:v>Вклад в войну Афины</x:v>
      </x:c>
      <x:c r="Q12" s="42" t="str">
        <x:v>Вклад в войну Аполлона</x:v>
      </x:c>
      <x:c r="R12" s="42" t="str">
        <x:v>Шанс улучшения</x:v>
      </x:c>
      <x:c r="S12" s="42" t="str">
        <x:v>Шанс без изменений</x:v>
      </x:c>
      <x:c r="T12" s="42" t="str">
        <x:v>Шанс ухудшения</x:v>
      </x:c>
      <x:c r="U12" s="42" t="str">
        <x:v>Бросок 0–100</x:v>
      </x:c>
    </x:row>
    <x:row r="13">
      <x:c r="A13" s="42" t="str">
        <x:v>I. Материально-физическая и вычислительная база</x:v>
      </x:c>
      <x:c r="B13" s="64"/>
      <x:c r="C13" s="64"/>
      <x:c r="D13" s="42"/>
      <x:c r="E13" s="42"/>
      <x:c r="F13" s="42"/>
      <x:c r="G13" s="42" t="str">
        <x:v>Производство</x:v>
      </x:c>
      <x:c r="H13" s="64" t="n">
        <x:v>0</x:v>
      </x:c>
      <x:c r="I13" s="42"/>
      <x:c r="J13" s="42"/>
      <x:c r="K13" s="42"/>
      <x:c r="L13" s="42" t="str">
        <x:v>Россия</x:v>
      </x:c>
      <x:c r="M13" s="42" t="n">
        <x:f>'Индонезия 2040'!V11</x:f>
        <x:v>2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74" t="n">
        <x:f>IF(M13&gt;=5,0,MIN(0.75,(0.10+0.08*(IF(M13=0,0,SIGN(M13)*POWER(ABS(M13)/5,1.25))))+0.50*(MIN(1,LN(1+N13)/LN(41)))*((5-M13)/10)))</x:f>
        <x:v>0.12544866332054563</x:v>
      </x:c>
      <x:c r="S13" s="74" t="n">
        <x:f>MAX(0,1-R13-T13)</x:f>
        <x:v>0.8</x:v>
      </x:c>
      <x:c r="T13" s="74" t="n">
        <x:f>IF(M13&lt;=-5,0,MAX(0,(0.10-0.08*(IF(M13=0,0,SIGN(M13)*POWER(ABS(M13)/5,1.25))))*(1-0.85*(MIN(1,LN(1+N13)/LN(41))))))</x:f>
        <x:v>0.07455133667945438</x:v>
      </x:c>
      <x:c r="U13" s="42" t="n">
        <x:f>RANDBETWEEN(0,100)</x:f>
        <x:v>23</x:v>
      </x:c>
    </x:row>
    <x:row r="14">
      <x:c r="A14" s="42" t="str">
        <x:v>Минерально-сырьевые ресурсы</x:v>
      </x:c>
      <x:c r="B14" s="64" t="n">
        <x:v>0</x:v>
      </x:c>
      <x:c r="C14" s="64" t="n">
        <x:v>0</x:v>
      </x:c>
      <x:c r="D14" s="42"/>
      <x:c r="E14" s="42"/>
      <x:c r="F14" s="42"/>
      <x:c r="G14" s="42" t="str">
        <x:v>Управление</x:v>
      </x:c>
      <x:c r="H14" s="64" t="n">
        <x:v>0</x:v>
      </x:c>
      <x:c r="I14" s="42"/>
      <x:c r="J14" s="42"/>
      <x:c r="K14" s="42"/>
      <x:c r="L14" s="42" t="str">
        <x:v>США</x:v>
      </x:c>
      <x:c r="M14" s="42" t="n">
        <x:f>'Индонезия 2040'!V12</x:f>
        <x:v>2.3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74" t="n">
        <x:f>IF(M14&gt;=5,0,MIN(0.75,(0.10+0.08*(IF(M14=0,0,SIGN(M14)*POWER(ABS(M14)/5,1.25))))+0.50*(MIN(1,LN(1+N14)/LN(41)))*((5-M14)/10)))</x:f>
        <x:v>0.1303066041587433</x:v>
      </x:c>
      <x:c r="S14" s="74" t="n">
        <x:f>MAX(0,1-R14-T14)</x:f>
        <x:v>0.8</x:v>
      </x:c>
      <x:c r="T14" s="74" t="n">
        <x:f>IF(M14&lt;=-5,0,MAX(0,(0.10-0.08*(IF(M14=0,0,SIGN(M14)*POWER(ABS(M14)/5,1.25))))*(1-0.85*(MIN(1,LN(1+N14)/LN(41))))))</x:f>
        <x:v>0.06969339584125672</x:v>
      </x:c>
      <x:c r="U14" s="42" t="n">
        <x:f>RANDBETWEEN(0,100)</x:f>
        <x:v>75</x:v>
      </x:c>
    </x:row>
    <x:row r="15">
      <x:c r="A15" s="42" t="str">
        <x:v>Химические и технологические материалы</x:v>
      </x:c>
      <x:c r="B15" s="64" t="n">
        <x:v>0</x:v>
      </x:c>
      <x:c r="C15" s="64" t="n">
        <x:v>0</x:v>
      </x:c>
      <x:c r="D15" s="42"/>
      <x:c r="E15" s="42"/>
      <x:c r="F15" s="42"/>
      <x:c r="G15" s="42" t="str">
        <x:v>Познание</x:v>
      </x:c>
      <x:c r="H15" s="64" t="n">
        <x:v>0</x:v>
      </x:c>
      <x:c r="I15" s="42"/>
      <x:c r="J15" s="42"/>
      <x:c r="K15" s="42"/>
      <x:c r="L15" s="42" t="str">
        <x:v>Китай</x:v>
      </x:c>
      <x:c r="M15" s="42" t="n">
        <x:f>'Индонезия 2040'!V13</x:f>
        <x:v>2.7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74" t="n">
        <x:f>IF(M15&gt;=5,0,MIN(0.75,(0.10+0.08*(IF(M15=0,0,SIGN(M15)*POWER(ABS(M15)/5,1.25))))+0.50*(MIN(1,LN(1+N15)/LN(41)))*((5-M15)/10)))</x:f>
        <x:v>0.13703242796889645</x:v>
      </x:c>
      <x:c r="S15" s="74" t="n">
        <x:f>MAX(0,1-R15-T15)</x:f>
        <x:v>0.7999999999999999</x:v>
      </x:c>
      <x:c r="T15" s="74" t="n">
        <x:f>IF(M15&lt;=-5,0,MAX(0,(0.10-0.08*(IF(M15=0,0,SIGN(M15)*POWER(ABS(M15)/5,1.25))))*(1-0.85*(MIN(1,LN(1+N15)/LN(41))))))</x:f>
        <x:v>0.06296757203110356</x:v>
      </x:c>
      <x:c r="U15" s="42" t="n">
        <x:f>RANDBETWEEN(0,100)</x:f>
        <x:v>68</x:v>
      </x:c>
    </x:row>
    <x:row r="16">
      <x:c r="A16" s="42" t="str">
        <x:v>Энергетические ресурсы</x:v>
      </x:c>
      <x:c r="B16" s="64" t="n">
        <x:v>0</x:v>
      </x:c>
      <x:c r="C16" s="64" t="n">
        <x:v>0</x:v>
      </x:c>
      <x:c r="D16" s="42"/>
      <x:c r="E16" s="42"/>
      <x:c r="F16" s="42"/>
      <x:c r="G16" s="42" t="str">
        <x:v>Обучение</x:v>
      </x:c>
      <x:c r="H16" s="64" t="n">
        <x:v>0</x:v>
      </x:c>
      <x:c r="I16" s="42"/>
      <x:c r="J16" s="42"/>
      <x:c r="K16" s="42"/>
      <x:c r="L16" s="42" t="str">
        <x:v>Индия</x:v>
      </x:c>
      <x:c r="M16" s="42" t="n">
        <x:f>'Индонезия 2040'!V14</x:f>
        <x:v>2.3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74" t="n">
        <x:f>IF(M16&gt;=5,0,MIN(0.75,(0.10+0.08*(IF(M16=0,0,SIGN(M16)*POWER(ABS(M16)/5,1.25))))+0.50*(MIN(1,LN(1+N16)/LN(41)))*((5-M16)/10)))</x:f>
        <x:v>0.1303066041587433</x:v>
      </x:c>
      <x:c r="S16" s="74" t="n">
        <x:f>MAX(0,1-R16-T16)</x:f>
        <x:v>0.8</x:v>
      </x:c>
      <x:c r="T16" s="74" t="n">
        <x:f>IF(M16&lt;=-5,0,MAX(0,(0.10-0.08*(IF(M16=0,0,SIGN(M16)*POWER(ABS(M16)/5,1.25))))*(1-0.85*(MIN(1,LN(1+N16)/LN(41))))))</x:f>
        <x:v>0.06969339584125672</x:v>
      </x:c>
      <x:c r="U16" s="42" t="n">
        <x:f>RANDBETWEEN(0,100)</x:f>
        <x:v>79</x:v>
      </x:c>
    </x:row>
    <x:row r="17">
      <x:c r="A17" s="42" t="str">
        <x:v>Вода и ресурс отвода тепла</x:v>
      </x:c>
      <x:c r="B17" s="64" t="n">
        <x:v>0</x:v>
      </x:c>
      <x:c r="C17" s="64" t="n">
        <x:v>0</x:v>
      </x:c>
      <x:c r="D17" s="42"/>
      <x:c r="E17" s="42"/>
      <x:c r="F17" s="42"/>
      <x:c r="G17" s="42" t="str">
        <x:v>Война</x:v>
      </x:c>
      <x:c r="H17" s="64" t="n">
        <x:v>0</x:v>
      </x:c>
      <x:c r="I17" s="42"/>
      <x:c r="J17" s="42"/>
      <x:c r="K17" s="42"/>
      <x:c r="L17" s="42" t="str">
        <x:v>Великобритания</x:v>
      </x:c>
      <x:c r="M17" s="42" t="n">
        <x:f>'Индонезия 2040'!V15</x:f>
        <x:v>1.8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74" t="n">
        <x:f>IF(M17&gt;=5,0,MIN(0.75,(0.10+0.08*(IF(M17=0,0,SIGN(M17)*POWER(ABS(M17)/5,1.25))))+0.50*(MIN(1,LN(1+N17)/LN(41)))*((5-M17)/10)))</x:f>
        <x:v>0.12230838407415473</x:v>
      </x:c>
      <x:c r="S17" s="74" t="n">
        <x:f>MAX(0,1-R17-T17)</x:f>
        <x:v>0.7999999999999999</x:v>
      </x:c>
      <x:c r="T17" s="74" t="n">
        <x:f>IF(M17&lt;=-5,0,MAX(0,(0.10-0.08*(IF(M17=0,0,SIGN(M17)*POWER(ABS(M17)/5,1.25))))*(1-0.85*(MIN(1,LN(1+N17)/LN(41))))))</x:f>
        <x:v>0.07769161592584528</x:v>
      </x:c>
      <x:c r="U17" s="42" t="n">
        <x:f>RANDBETWEEN(0,100)</x:f>
        <x:v>82</x:v>
      </x:c>
    </x:row>
    <x:row r="18">
      <x:c r="A18" s="42" t="str">
        <x:v>Пространственные и природно-географические ресурсы</x:v>
      </x:c>
      <x:c r="B18" s="64" t="n">
        <x:v>0</x:v>
      </x:c>
      <x:c r="C18" s="64" t="n">
        <x:v>0</x:v>
      </x:c>
      <x:c r="D18" s="42"/>
      <x:c r="E18" s="42"/>
      <x:c r="F18" s="42"/>
      <x:c r="G18" s="42" t="str">
        <x:v>Экономика</x:v>
      </x:c>
      <x:c r="H18" s="64" t="n">
        <x:v>0</x:v>
      </x:c>
      <x:c r="I18" s="42"/>
      <x:c r="J18" s="42"/>
      <x:c r="K18" s="42"/>
      <x:c r="L18" s="42" t="str">
        <x:v>Франция</x:v>
      </x:c>
      <x:c r="M18" s="42" t="n">
        <x:f>'Индонезия 2040'!V16</x:f>
        <x:v>1.8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74" t="n">
        <x:f>IF(M18&gt;=5,0,MIN(0.75,(0.10+0.08*(IF(M18=0,0,SIGN(M18)*POWER(ABS(M18)/5,1.25))))+0.50*(MIN(1,LN(1+N18)/LN(41)))*((5-M18)/10)))</x:f>
        <x:v>0.12230838407415473</x:v>
      </x:c>
      <x:c r="S18" s="74" t="n">
        <x:f>MAX(0,1-R18-T18)</x:f>
        <x:v>0.7999999999999999</x:v>
      </x:c>
      <x:c r="T18" s="74" t="n">
        <x:f>IF(M18&lt;=-5,0,MAX(0,(0.10-0.08*(IF(M18=0,0,SIGN(M18)*POWER(ABS(M18)/5,1.25))))*(1-0.85*(MIN(1,LN(1+N18)/LN(41))))))</x:f>
        <x:v>0.07769161592584528</x:v>
      </x:c>
      <x:c r="U18" s="42" t="n">
        <x:f>RANDBETWEEN(0,100)</x:f>
        <x:v>46</x:v>
      </x:c>
    </x:row>
    <x:row r="19">
      <x:c r="A19" s="42" t="str">
        <x:v>Мощности производства полупроводников</x:v>
      </x:c>
      <x:c r="B19" s="64" t="n">
        <x:v>0</x:v>
      </x:c>
      <x:c r="C19" s="64" t="n">
        <x:v>0</x:v>
      </x:c>
      <x:c r="D19" s="42"/>
      <x:c r="E19" s="42"/>
      <x:c r="F19" s="42"/>
      <x:c r="G19" s="42" t="str">
        <x:v>Государственное управление</x:v>
      </x:c>
      <x:c r="H19" s="64" t="n">
        <x:v>0</x:v>
      </x:c>
      <x:c r="I19" s="42"/>
      <x:c r="J19" s="42"/>
      <x:c r="K19" s="42"/>
      <x:c r="L19" s="42" t="str">
        <x:v>Германия</x:v>
      </x:c>
      <x:c r="M19" s="42" t="n">
        <x:f>'Индонезия 2040'!V17</x:f>
        <x:v>1.7</x:v>
      </x:c>
      <x:c r="N19" s="64" t="n">
        <x:v>0</x:v>
      </x:c>
      <x:c r="O19" s="64" t="n">
        <x:v>0</x:v>
      </x:c>
      <x:c r="P19" s="64" t="n">
        <x:v>0</x:v>
      </x:c>
      <x:c r="Q19" s="64" t="n">
        <x:v>0</x:v>
      </x:c>
      <x:c r="R19" s="74" t="n">
        <x:f>IF(M19&gt;=5,0,MIN(0.75,(0.10+0.08*(IF(M19=0,0,SIGN(M19)*POWER(ABS(M19)/5,1.25))))+0.50*(MIN(1,LN(1+N19)/LN(41)))*((5-M19)/10)))</x:f>
        <x:v>0.12077010219012499</x:v>
      </x:c>
      <x:c r="S19" s="74" t="n">
        <x:f>MAX(0,1-R19-T19)</x:f>
        <x:v>0.8</x:v>
      </x:c>
      <x:c r="T19" s="74" t="n">
        <x:f>IF(M19&lt;=-5,0,MAX(0,(0.10-0.08*(IF(M19=0,0,SIGN(M19)*POWER(ABS(M19)/5,1.25))))*(1-0.85*(MIN(1,LN(1+N19)/LN(41))))))</x:f>
        <x:v>0.07922989780987502</x:v>
      </x:c>
      <x:c r="U19" s="42" t="n">
        <x:f>RANDBETWEEN(0,100)</x:f>
        <x:v>25</x:v>
      </x:c>
    </x:row>
    <x:row r="20">
      <x:c r="A20" s="42" t="str">
        <x:v>Вычислительные компоненты</x:v>
      </x:c>
      <x:c r="B20" s="64" t="n">
        <x:v>0</x:v>
      </x:c>
      <x:c r="C20" s="64" t="n">
        <x:v>0</x:v>
      </x:c>
      <x:c r="D20" s="42"/>
      <x:c r="E20" s="42"/>
      <x:c r="F20" s="42"/>
      <x:c r="G20" s="42" t="str">
        <x:v>Принятие ИИ</x:v>
      </x:c>
      <x:c r="H20" s="64" t="n">
        <x:v>0</x:v>
      </x:c>
      <x:c r="I20" s="42"/>
      <x:c r="J20" s="42"/>
      <x:c r="K20" s="42"/>
      <x:c r="L20" s="42" t="str">
        <x:v>Япония</x:v>
      </x:c>
      <x:c r="M20" s="42" t="n">
        <x:f>'Индонезия 2040'!V18</x:f>
        <x:v>2.9</x:v>
      </x:c>
      <x:c r="N20" s="64" t="n">
        <x:v>0</x:v>
      </x:c>
      <x:c r="O20" s="64" t="n">
        <x:v>0</x:v>
      </x:c>
      <x:c r="P20" s="64" t="n">
        <x:v>0</x:v>
      </x:c>
      <x:c r="Q20" s="64" t="n">
        <x:v>0</x:v>
      </x:c>
      <x:c r="R20" s="74" t="n">
        <x:f>IF(M20&gt;=5,0,MIN(0.75,(0.10+0.08*(IF(M20=0,0,SIGN(M20)*POWER(ABS(M20)/5,1.25))))+0.50*(MIN(1,LN(1+N20)/LN(41)))*((5-M20)/10)))</x:f>
        <x:v>0.140492536183846</x:v>
      </x:c>
      <x:c r="S20" s="74" t="n">
        <x:f>MAX(0,1-R20-T20)</x:f>
        <x:v>0.7999999999999999</x:v>
      </x:c>
      <x:c r="T20" s="74" t="n">
        <x:f>IF(M20&lt;=-5,0,MAX(0,(0.10-0.08*(IF(M20=0,0,SIGN(M20)*POWER(ABS(M20)/5,1.25))))*(1-0.85*(MIN(1,LN(1+N20)/LN(41))))))</x:f>
        <x:v>0.05950746381615402</x:v>
      </x:c>
      <x:c r="U20" s="42" t="n">
        <x:f>RANDBETWEEN(0,100)</x:f>
        <x:v>42</x:v>
      </x:c>
    </x:row>
    <x:row r="21">
      <x:c r="A21" s="42" t="str">
        <x:v>ЦОД и вычислительная инфраструктура</x:v>
      </x:c>
      <x:c r="B21" s="64" t="n">
        <x:v>0</x:v>
      </x:c>
      <x:c r="C21" s="64" t="n">
        <x:v>0</x:v>
      </x:c>
      <x:c r="D21" s="42"/>
      <x:c r="E21" s="42"/>
      <x:c r="F21" s="42"/>
      <x:c r="G21" s="42"/>
      <x:c r="H21" s="42"/>
      <x:c r="I21" s="42"/>
      <x:c r="J21" s="42"/>
      <x:c r="K21" s="42"/>
      <x:c r="L21" s="42" t="str">
        <x:v>Южная Корея</x:v>
      </x:c>
      <x:c r="M21" s="42" t="n">
        <x:f>'Индонезия 2040'!V19</x:f>
        <x:v>2.4</x:v>
      </x:c>
      <x:c r="N21" s="64" t="n">
        <x:v>0</x:v>
      </x:c>
      <x:c r="O21" s="64" t="n">
        <x:v>0</x:v>
      </x:c>
      <x:c r="P21" s="64" t="n">
        <x:v>0</x:v>
      </x:c>
      <x:c r="Q21" s="64" t="n">
        <x:v>0</x:v>
      </x:c>
      <x:c r="R21" s="74" t="n">
        <x:f>IF(M21&gt;=5,0,MIN(0.75,(0.10+0.08*(IF(M21=0,0,SIGN(M21)*POWER(ABS(M21)/5,1.25))))+0.50*(MIN(1,LN(1+N21)/LN(41)))*((5-M21)/10)))</x:f>
        <x:v>0.13196255833821044</x:v>
      </x:c>
      <x:c r="S21" s="74" t="n">
        <x:f>MAX(0,1-R21-T21)</x:f>
        <x:v>0.7999999999999999</x:v>
      </x:c>
      <x:c r="T21" s="74" t="n">
        <x:f>IF(M21&lt;=-5,0,MAX(0,(0.10-0.08*(IF(M21=0,0,SIGN(M21)*POWER(ABS(M21)/5,1.25))))*(1-0.85*(MIN(1,LN(1+N21)/LN(41))))))</x:f>
        <x:v>0.06803744166178957</x:v>
      </x:c>
      <x:c r="U21" s="42" t="n">
        <x:f>RANDBETWEEN(0,100)</x:f>
        <x:v>98</x:v>
      </x:c>
    </x:row>
    <x:row r="22">
      <x:c r="A22" s="42" t="str">
        <x:v>Сетевые ресурсы</x:v>
      </x:c>
      <x:c r="B22" s="64" t="n">
        <x:v>0</x:v>
      </x:c>
      <x:c r="C22" s="64" t="n">
        <x:v>0</x:v>
      </x:c>
      <x:c r="D22" s="42"/>
      <x:c r="E22" s="42"/>
      <x:c r="F22" s="42"/>
      <x:c r="G22" s="42" t="str">
        <x:v>ОБОРОНА — ВНЕШНЕПОЛИТИЧЕСКИЕ ОЧКИ</x:v>
      </x:c>
      <x:c r="H22" s="42"/>
      <x:c r="I22" s="42"/>
      <x:c r="J22" s="42"/>
      <x:c r="K22" s="42"/>
      <x:c r="L22" s="42" t="str">
        <x:v>Турция</x:v>
      </x:c>
      <x:c r="M22" s="42" t="n">
        <x:f>'Индонезия 2040'!V20</x:f>
        <x:v>2.5</x:v>
      </x:c>
      <x:c r="N22" s="64" t="n">
        <x:v>0</x:v>
      </x:c>
      <x:c r="O22" s="64" t="n">
        <x:v>0</x:v>
      </x:c>
      <x:c r="P22" s="64" t="n">
        <x:v>0</x:v>
      </x:c>
      <x:c r="Q22" s="64" t="n">
        <x:v>0</x:v>
      </x:c>
      <x:c r="R22" s="74" t="n">
        <x:f>IF(M22&gt;=5,0,MIN(0.75,(0.10+0.08*(IF(M22=0,0,SIGN(M22)*POWER(ABS(M22)/5,1.25))))+0.50*(MIN(1,LN(1+N22)/LN(41)))*((5-M22)/10)))</x:f>
        <x:v>0.1336358566101486</x:v>
      </x:c>
      <x:c r="S22" s="74" t="n">
        <x:f>MAX(0,1-R22-T22)</x:f>
        <x:v>0.8</x:v>
      </x:c>
      <x:c r="T22" s="74" t="n">
        <x:f>IF(M22&lt;=-5,0,MAX(0,(0.10-0.08*(IF(M22=0,0,SIGN(M22)*POWER(ABS(M22)/5,1.25))))*(1-0.85*(MIN(1,LN(1+N22)/LN(41))))))</x:f>
        <x:v>0.06636414338985142</x:v>
      </x:c>
      <x:c r="U22" s="42" t="n">
        <x:f>RANDBETWEEN(0,100)</x:f>
        <x:v>40</x:v>
      </x:c>
    </x:row>
    <x:row r="23">
      <x:c r="A23" s="42" t="str">
        <x:v>Конечные устройства</x:v>
      </x:c>
      <x:c r="B23" s="64" t="n">
        <x:v>0</x:v>
      </x:c>
      <x:c r="C23" s="64" t="n">
        <x:v>0</x:v>
      </x:c>
      <x:c r="D23" s="42"/>
      <x:c r="E23" s="42"/>
      <x:c r="F23" s="42"/>
      <x:c r="G23" s="42" t="str">
        <x:v>Защита от войны Ареса</x:v>
      </x:c>
      <x:c r="H23" s="42" t="str">
        <x:v>Защита от войны Афины</x:v>
      </x:c>
      <x:c r="I23" s="42" t="str">
        <x:v>Защита от войны Аполлона</x:v>
      </x:c>
      <x:c r="J23" s="42" t="str">
        <x:v>Всего в оборону</x:v>
      </x:c>
      <x:c r="K23" s="42"/>
      <x:c r="L23" s="42" t="str">
        <x:v>Саудовская Аравия</x:v>
      </x:c>
      <x:c r="M23" s="42" t="n">
        <x:f>'Индонезия 2040'!V21</x:f>
        <x:v>2.4</x:v>
      </x:c>
      <x:c r="N23" s="64" t="n">
        <x:v>0</x:v>
      </x:c>
      <x:c r="O23" s="64" t="n">
        <x:v>0</x:v>
      </x:c>
      <x:c r="P23" s="64" t="n">
        <x:v>0</x:v>
      </x:c>
      <x:c r="Q23" s="64" t="n">
        <x:v>0</x:v>
      </x:c>
      <x:c r="R23" s="74" t="n">
        <x:f>IF(M23&gt;=5,0,MIN(0.75,(0.10+0.08*(IF(M23=0,0,SIGN(M23)*POWER(ABS(M23)/5,1.25))))+0.50*(MIN(1,LN(1+N23)/LN(41)))*((5-M23)/10)))</x:f>
        <x:v>0.13196255833821044</x:v>
      </x:c>
      <x:c r="S23" s="74" t="n">
        <x:f>MAX(0,1-R23-T23)</x:f>
        <x:v>0.7999999999999999</x:v>
      </x:c>
      <x:c r="T23" s="74" t="n">
        <x:f>IF(M23&lt;=-5,0,MAX(0,(0.10-0.08*(IF(M23=0,0,SIGN(M23)*POWER(ABS(M23)/5,1.25))))*(1-0.85*(MIN(1,LN(1+N23)/LN(41))))))</x:f>
        <x:v>0.06803744166178957</x:v>
      </x:c>
      <x:c r="U23" s="42" t="n">
        <x:f>RANDBETWEEN(0,100)</x:f>
        <x:v>19</x:v>
      </x:c>
    </x:row>
    <x:row r="24">
      <x:c r="A24" s="42" t="str">
        <x:v>II. Программно-алгоритмический потенциал</x:v>
      </x:c>
      <x:c r="B24" s="64"/>
      <x:c r="C24" s="64"/>
      <x:c r="D24" s="42"/>
      <x:c r="E24" s="42"/>
      <x:c r="F24" s="42"/>
      <x:c r="G24" s="64" t="n">
        <x:v>0</x:v>
      </x:c>
      <x:c r="H24" s="64" t="n">
        <x:v>0</x:v>
      </x:c>
      <x:c r="I24" s="64" t="n">
        <x:v>0</x:v>
      </x:c>
      <x:c r="J24" s="42" t="n">
        <x:f>SUM(G24:I24)</x:f>
        <x:v>0</x:v>
      </x:c>
      <x:c r="K24" s="42"/>
      <x:c r="L24" s="42" t="str">
        <x:v>Иран</x:v>
      </x:c>
      <x:c r="M24" s="42" t="n">
        <x:f>'Индонезия 2040'!V22</x:f>
        <x:v>1.6</x:v>
      </x:c>
      <x:c r="N24" s="64" t="n">
        <x:v>0</x:v>
      </x:c>
      <x:c r="O24" s="64" t="n">
        <x:v>0</x:v>
      </x:c>
      <x:c r="P24" s="64" t="n">
        <x:v>0</x:v>
      </x:c>
      <x:c r="Q24" s="64" t="n">
        <x:v>0</x:v>
      </x:c>
      <x:c r="R24" s="74" t="n">
        <x:f>IF(M24&gt;=5,0,MIN(0.75,(0.10+0.08*(IF(M24=0,0,SIGN(M24)*POWER(ABS(M24)/5,1.25))))+0.50*(MIN(1,LN(1+N24)/LN(41)))*((5-M24)/10)))</x:f>
        <x:v>0.11925428783660234</x:v>
      </x:c>
      <x:c r="S24" s="74" t="n">
        <x:f>MAX(0,1-R24-T24)</x:f>
        <x:v>0.8</x:v>
      </x:c>
      <x:c r="T24" s="74" t="n">
        <x:f>IF(M24&lt;=-5,0,MAX(0,(0.10-0.08*(IF(M24=0,0,SIGN(M24)*POWER(ABS(M24)/5,1.25))))*(1-0.85*(MIN(1,LN(1+N24)/LN(41))))))</x:f>
        <x:v>0.08074571216339767</x:v>
      </x:c>
      <x:c r="U24" s="42" t="n">
        <x:f>RANDBETWEEN(0,100)</x:f>
        <x:v>48</x:v>
      </x:c>
    </x:row>
    <x:row r="25">
      <x:c r="A25" s="42" t="str">
        <x:v>Базовый программный стек вычислений</x:v>
      </x:c>
      <x:c r="B25" s="64" t="n">
        <x:v>0</x:v>
      </x:c>
      <x:c r="C25" s="64" t="n">
        <x:v>0</x:v>
      </x:c>
      <x:c r="D25" s="42"/>
      <x:c r="E25" s="42"/>
      <x:c r="F25" s="42"/>
      <x:c r="G25" s="42"/>
      <x:c r="H25" s="42"/>
      <x:c r="I25" s="42"/>
      <x:c r="J25" s="42"/>
      <x:c r="K25" s="42"/>
      <x:c r="L25" s="42" t="str">
        <x:v>Израиль</x:v>
      </x:c>
      <x:c r="M25" s="42" t="n">
        <x:f>'Индонезия 2040'!V23</x:f>
        <x:v>-1.2</x:v>
      </x:c>
      <x:c r="N25" s="64" t="n">
        <x:v>0</x:v>
      </x:c>
      <x:c r="O25" s="64" t="n">
        <x:v>0</x:v>
      </x:c>
      <x:c r="P25" s="64" t="n">
        <x:v>0</x:v>
      </x:c>
      <x:c r="Q25" s="64" t="n">
        <x:v>0</x:v>
      </x:c>
      <x:c r="R25" s="74" t="n">
        <x:f>IF(M25&gt;=5,0,MIN(0.75,(0.10+0.08*(IF(M25=0,0,SIGN(M25)*POWER(ABS(M25)/5,1.25))))+0.50*(MIN(1,LN(1+N25)/LN(41)))*((5-M25)/10)))</x:f>
        <x:v>0.08656139963553057</x:v>
      </x:c>
      <x:c r="S25" s="74" t="n">
        <x:f>MAX(0,1-R25-T25)</x:f>
        <x:v>0.8</x:v>
      </x:c>
      <x:c r="T25" s="74" t="n">
        <x:f>IF(M25&lt;=-5,0,MAX(0,(0.10-0.08*(IF(M25=0,0,SIGN(M25)*POWER(ABS(M25)/5,1.25))))*(1-0.85*(MIN(1,LN(1+N25)/LN(41))))))</x:f>
        <x:v>0.11343860036446944</x:v>
      </x:c>
      <x:c r="U25" s="42" t="n">
        <x:f>RANDBETWEEN(0,100)</x:f>
        <x:v>22</x:v>
      </x:c>
    </x:row>
    <x:row r="26">
      <x:c r="A26" s="42" t="str">
        <x:v>Стек разработки ИИ</x:v>
      </x:c>
      <x:c r="B26" s="64" t="n">
        <x:v>0</x:v>
      </x:c>
      <x:c r="C26" s="64" t="n">
        <x:v>0</x:v>
      </x:c>
      <x:c r="D26" s="42"/>
      <x:c r="E26" s="42"/>
      <x:c r="F26" s="42"/>
      <x:c r="G26" s="42"/>
      <x:c r="H26" s="42"/>
      <x:c r="I26" s="42"/>
      <x:c r="J26" s="42"/>
      <x:c r="K26" s="42"/>
      <x:c r="L26" s="42" t="str">
        <x:v>Бразилия</x:v>
      </x:c>
      <x:c r="M26" s="42" t="n">
        <x:f>'Индонезия 2040'!V24</x:f>
        <x:v>2</x:v>
      </x:c>
      <x:c r="N26" s="64" t="n">
        <x:v>0</x:v>
      </x:c>
      <x:c r="O26" s="64" t="n">
        <x:v>0</x:v>
      </x:c>
      <x:c r="P26" s="64" t="n">
        <x:v>0</x:v>
      </x:c>
      <x:c r="Q26" s="64" t="n">
        <x:v>0</x:v>
      </x:c>
      <x:c r="R26" s="74" t="n">
        <x:f>IF(M26&gt;=5,0,MIN(0.75,(0.10+0.08*(IF(M26=0,0,SIGN(M26)*POWER(ABS(M26)/5,1.25))))+0.50*(MIN(1,LN(1+N26)/LN(41)))*((5-M26)/10)))</x:f>
        <x:v>0.12544866332054563</x:v>
      </x:c>
      <x:c r="S26" s="74" t="n">
        <x:f>MAX(0,1-R26-T26)</x:f>
        <x:v>0.8</x:v>
      </x:c>
      <x:c r="T26" s="74" t="n">
        <x:f>IF(M26&lt;=-5,0,MAX(0,(0.10-0.08*(IF(M26=0,0,SIGN(M26)*POWER(ABS(M26)/5,1.25))))*(1-0.85*(MIN(1,LN(1+N26)/LN(41))))))</x:f>
        <x:v>0.07455133667945438</x:v>
      </x:c>
      <x:c r="U26" s="42" t="n">
        <x:f>RANDBETWEEN(0,100)</x:f>
        <x:v>93</x:v>
      </x:c>
    </x:row>
    <x:row r="27">
      <x:c r="A27" s="42" t="str">
        <x:v>Стек эксплуатации ИИ</x:v>
      </x:c>
      <x:c r="B27" s="64" t="n">
        <x:v>0</x:v>
      </x:c>
      <x:c r="C27" s="64" t="n">
        <x:v>0</x:v>
      </x:c>
      <x:c r="D27" s="42"/>
      <x:c r="E27" s="42"/>
      <x:c r="F27" s="42"/>
      <x:c r="G27" s="42" t="str">
        <x:v>3. РАСПРЕДЕЛЕНИЕ ОЧКОВ НАУКИ</x:v>
      </x:c>
      <x:c r="H27" s="42"/>
      <x:c r="I27" s="42"/>
      <x:c r="J27" s="42"/>
      <x:c r="K27" s="42"/>
      <x:c r="L27" s="42" t="str">
        <x:v>ОАЭ</x:v>
      </x:c>
      <x:c r="M27" s="42" t="n">
        <x:f>'Индонезия 2040'!V25</x:f>
        <x:v>2.3</x:v>
      </x:c>
      <x:c r="N27" s="64" t="n">
        <x:v>0</x:v>
      </x:c>
      <x:c r="O27" s="64" t="n">
        <x:v>0</x:v>
      </x:c>
      <x:c r="P27" s="64" t="n">
        <x:v>0</x:v>
      </x:c>
      <x:c r="Q27" s="64" t="n">
        <x:v>0</x:v>
      </x:c>
      <x:c r="R27" s="74" t="n">
        <x:f>IF(M27&gt;=5,0,MIN(0.75,(0.10+0.08*(IF(M27=0,0,SIGN(M27)*POWER(ABS(M27)/5,1.25))))+0.50*(MIN(1,LN(1+N27)/LN(41)))*((5-M27)/10)))</x:f>
        <x:v>0.1303066041587433</x:v>
      </x:c>
      <x:c r="S27" s="74" t="n">
        <x:f>MAX(0,1-R27-T27)</x:f>
        <x:v>0.8</x:v>
      </x:c>
      <x:c r="T27" s="74" t="n">
        <x:f>IF(M27&lt;=-5,0,MAX(0,(0.10-0.08*(IF(M27=0,0,SIGN(M27)*POWER(ABS(M27)/5,1.25))))*(1-0.85*(MIN(1,LN(1+N27)/LN(41))))))</x:f>
        <x:v>0.06969339584125672</x:v>
      </x:c>
      <x:c r="U27" s="42" t="n">
        <x:f>RANDBETWEEN(0,100)</x:f>
        <x:v>27</x:v>
      </x:c>
    </x:row>
    <x:row r="28">
      <x:c r="A28" s="42" t="str">
        <x:v>Математико-алгоритмические ресурсы</x:v>
      </x:c>
      <x:c r="B28" s="64" t="n">
        <x:v>0</x:v>
      </x:c>
      <x:c r="C28" s="64" t="n">
        <x:v>0</x:v>
      </x:c>
      <x:c r="D28" s="42"/>
      <x:c r="E28" s="42"/>
      <x:c r="F28" s="42"/>
      <x:c r="G28" s="42" t="str">
        <x:v>ID технологии</x:v>
      </x:c>
      <x:c r="H28" s="42" t="str">
        <x:v>Технология</x:v>
      </x:c>
      <x:c r="I28" s="42" t="str">
        <x:v>Очки науки</x:v>
      </x:c>
      <x:c r="J28" s="42" t="str">
        <x:v>Примечание</x:v>
      </x:c>
      <x:c r="K28" s="42" t="str">
        <x:v>Статус после хода</x:v>
      </x:c>
      <x:c r="L28" s="42" t="str">
        <x:v>Прочее</x:v>
      </x:c>
      <x:c r="M28" s="42" t="n">
        <x:f>'Индонезия 2040'!V26</x:f>
        <x:v>0</x:v>
      </x:c>
      <x:c r="N28" s="64" t="n">
        <x:v>0</x:v>
      </x:c>
      <x:c r="O28" s="64" t="n">
        <x:v>0</x:v>
      </x:c>
      <x:c r="P28" s="64" t="n">
        <x:v>0</x:v>
      </x:c>
      <x:c r="Q28" s="64" t="n">
        <x:v>0</x:v>
      </x:c>
      <x:c r="R28" s="74" t="n">
        <x:f>IF(M28&gt;=5,0,MIN(0.75,(0.10+0.08*(IF(M28=0,0,SIGN(M28)*POWER(ABS(M28)/5,1.25))))+0.50*(MIN(1,LN(1+N28)/LN(41)))*((5-M28)/10)))</x:f>
        <x:v>0.1</x:v>
      </x:c>
      <x:c r="S28" s="74" t="n">
        <x:f>MAX(0,1-R28-T28)</x:f>
        <x:v>0.8</x:v>
      </x:c>
      <x:c r="T28" s="74" t="n">
        <x:f>IF(M28&lt;=-5,0,MAX(0,(0.10-0.08*(IF(M28=0,0,SIGN(M28)*POWER(ABS(M28)/5,1.25))))*(1-0.85*(MIN(1,LN(1+N28)/LN(41))))))</x:f>
        <x:v>0.1</x:v>
      </x:c>
      <x:c r="U28" s="42" t="n">
        <x:f>RANDBETWEEN(0,100)</x:f>
        <x:v>47</x:v>
      </x:c>
    </x:row>
    <x:row r="29">
      <x:c r="A29" s="42" t="str">
        <x:v>Методы построения и совершенствования моделей</x:v>
      </x:c>
      <x:c r="B29" s="64" t="n">
        <x:v>0</x:v>
      </x:c>
      <x:c r="C29" s="64" t="n">
        <x:v>0</x:v>
      </x:c>
      <x:c r="D29" s="42"/>
      <x:c r="E29" s="42"/>
      <x:c r="F29" s="42"/>
      <x:c r="G29" s="64" t="str"/>
      <x:c r="H29" s="43" t="str">
        <x:f>IF(G29="","",VLOOKUP(G29,'Технологии'!$A$11:$D$50,4,FALSE))</x:f>
      </x:c>
      <x:c r="I29" s="64" t="n">
        <x:v>0</x:v>
      </x:c>
      <x:c r="J29" s="64" t="str"/>
      <x:c r="K29" s="43" t="str">
        <x:f>IF(G29="","",VLOOKUP(G29,'Технологии'!$A$11:$BF$50,58,FALSE))</x:f>
      </x:c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</x:row>
    <x:row r="30">
      <x:c r="A30" s="42" t="str">
        <x:v>III. Данные, модели и информационная безопасность</x:v>
      </x:c>
      <x:c r="B30" s="64"/>
      <x:c r="C30" s="64"/>
      <x:c r="D30" s="42"/>
      <x:c r="E30" s="42"/>
      <x:c r="F30" s="42"/>
      <x:c r="G30" s="64" t="str"/>
      <x:c r="H30" s="43" t="str">
        <x:f>IF(G30="","",VLOOKUP(G30,'Технологии'!$A$11:$D$50,4,FALSE))</x:f>
      </x:c>
      <x:c r="I30" s="64" t="n">
        <x:v>0</x:v>
      </x:c>
      <x:c r="J30" s="64" t="str"/>
      <x:c r="K30" s="43" t="str">
        <x:f>IF(G30="","",VLOOKUP(G30,'Технологии'!$A$11:$BF$50,58,FALSE))</x:f>
      </x:c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</x:row>
    <x:row r="31">
      <x:c r="A31" s="42" t="str">
        <x:v>Исходные данные</x:v>
      </x:c>
      <x:c r="B31" s="64" t="n">
        <x:v>0</x:v>
      </x:c>
      <x:c r="C31" s="64" t="n">
        <x:v>0</x:v>
      </x:c>
      <x:c r="D31" s="42"/>
      <x:c r="E31" s="42"/>
      <x:c r="F31" s="42"/>
      <x:c r="G31" s="64" t="str"/>
      <x:c r="H31" s="43" t="str">
        <x:f>IF(G31="","",VLOOKUP(G31,'Технологии'!$A$11:$D$50,4,FALSE))</x:f>
      </x:c>
      <x:c r="I31" s="64" t="n">
        <x:v>0</x:v>
      </x:c>
      <x:c r="J31" s="64" t="str"/>
      <x:c r="K31" s="43" t="str">
        <x:f>IF(G31="","",VLOOKUP(G31,'Технологии'!$A$11:$BF$50,58,FALSE))</x:f>
      </x:c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</x:row>
    <x:row r="32">
      <x:c r="A32" s="42" t="str">
        <x:v>Производные данные</x:v>
      </x:c>
      <x:c r="B32" s="64" t="n">
        <x:v>0</x:v>
      </x:c>
      <x:c r="C32" s="64" t="n">
        <x:v>0</x:v>
      </x:c>
      <x:c r="D32" s="42"/>
      <x:c r="E32" s="42"/>
      <x:c r="F32" s="42"/>
      <x:c r="G32" s="64" t="str"/>
      <x:c r="H32" s="43" t="str">
        <x:f>IF(G32="","",VLOOKUP(G32,'Технологии'!$A$11:$D$50,4,FALSE))</x:f>
      </x:c>
      <x:c r="I32" s="64" t="n">
        <x:v>0</x:v>
      </x:c>
      <x:c r="J32" s="64" t="str"/>
      <x:c r="K32" s="43" t="str">
        <x:f>IF(G32="","",VLOOKUP(G32,'Технологии'!$A$11:$BF$50,58,FALSE))</x:f>
      </x:c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</x:row>
    <x:row r="33">
      <x:c r="A33" s="42" t="str">
        <x:v>Контекстные информационные ресурсы</x:v>
      </x:c>
      <x:c r="B33" s="64" t="n">
        <x:v>0</x:v>
      </x:c>
      <x:c r="C33" s="64" t="n">
        <x:v>0</x:v>
      </x:c>
      <x:c r="D33" s="42"/>
      <x:c r="E33" s="42"/>
      <x:c r="F33" s="42"/>
      <x:c r="G33" s="64" t="str"/>
      <x:c r="H33" s="43" t="str">
        <x:f>IF(G33="","",VLOOKUP(G33,'Технологии'!$A$11:$D$50,4,FALSE))</x:f>
      </x:c>
      <x:c r="I33" s="64" t="n">
        <x:v>0</x:v>
      </x:c>
      <x:c r="J33" s="64" t="str"/>
      <x:c r="K33" s="43" t="str">
        <x:f>IF(G33="","",VLOOKUP(G33,'Технологии'!$A$11:$BF$50,58,FALSE))</x:f>
      </x:c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</x:row>
    <x:row r="34">
      <x:c r="A34" s="42" t="str">
        <x:v>Модельные ресурсы</x:v>
      </x:c>
      <x:c r="B34" s="64" t="n">
        <x:v>0</x:v>
      </x:c>
      <x:c r="C34" s="64" t="n">
        <x:v>0</x:v>
      </x:c>
      <x:c r="D34" s="42"/>
      <x:c r="E34" s="42"/>
      <x:c r="F34" s="42"/>
      <x:c r="G34" s="64" t="str"/>
      <x:c r="H34" s="43" t="str">
        <x:f>IF(G34="","",VLOOKUP(G34,'Технологии'!$A$11:$D$50,4,FALSE))</x:f>
      </x:c>
      <x:c r="I34" s="64" t="n">
        <x:v>0</x:v>
      </x:c>
      <x:c r="J34" s="64" t="str"/>
      <x:c r="K34" s="43" t="str">
        <x:f>IF(G34="","",VLOOKUP(G34,'Технологии'!$A$11:$BF$50,58,FALSE))</x:f>
      </x:c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</x:row>
    <x:row r="35">
      <x:c r="A35" s="42" t="str">
        <x:v>Ресурсы оценки</x:v>
      </x:c>
      <x:c r="B35" s="64" t="n">
        <x:v>0</x:v>
      </x:c>
      <x:c r="C35" s="64" t="n">
        <x:v>0</x:v>
      </x:c>
      <x:c r="D35" s="42"/>
      <x:c r="E35" s="42"/>
      <x:c r="F35" s="42"/>
      <x:c r="G35" s="64" t="str"/>
      <x:c r="H35" s="43" t="str">
        <x:f>IF(G35="","",VLOOKUP(G35,'Технологии'!$A$11:$D$50,4,FALSE))</x:f>
      </x:c>
      <x:c r="I35" s="64" t="n">
        <x:v>0</x:v>
      </x:c>
      <x:c r="J35" s="64" t="str"/>
      <x:c r="K35" s="43" t="str">
        <x:f>IF(G35="","",VLOOKUP(G35,'Технологии'!$A$11:$BF$50,58,FALSE))</x:f>
      </x:c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</x:row>
    <x:row r="36">
      <x:c r="A36" s="42" t="str">
        <x:v>Документационные ресурсы</x:v>
      </x:c>
      <x:c r="B36" s="64" t="n">
        <x:v>0</x:v>
      </x:c>
      <x:c r="C36" s="64" t="n">
        <x:v>0</x:v>
      </x:c>
      <x:c r="D36" s="42"/>
      <x:c r="E36" s="42"/>
      <x:c r="F36" s="42"/>
      <x:c r="G36" s="64" t="str"/>
      <x:c r="H36" s="43" t="str">
        <x:f>IF(G36="","",VLOOKUP(G36,'Технологии'!$A$11:$D$50,4,FALSE))</x:f>
      </x:c>
      <x:c r="I36" s="64" t="n">
        <x:v>0</x:v>
      </x:c>
      <x:c r="J36" s="64" t="str"/>
      <x:c r="K36" s="43" t="str">
        <x:f>IF(G36="","",VLOOKUP(G36,'Технологии'!$A$11:$BF$50,58,FALSE))</x:f>
      </x:c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</x:row>
    <x:row r="37">
      <x:c r="A37" s="42" t="str">
        <x:v>Права доступа к информационным ресурсам</x:v>
      </x:c>
      <x:c r="B37" s="64" t="n">
        <x:v>0</x:v>
      </x:c>
      <x:c r="C37" s="64" t="n">
        <x:v>0</x:v>
      </x:c>
      <x:c r="D37" s="42"/>
      <x:c r="E37" s="42"/>
      <x:c r="F37" s="42"/>
      <x:c r="G37" s="64" t="str"/>
      <x:c r="H37" s="43" t="str">
        <x:f>IF(G37="","",VLOOKUP(G37,'Технологии'!$A$11:$D$50,4,FALSE))</x:f>
      </x:c>
      <x:c r="I37" s="64" t="n">
        <x:v>0</x:v>
      </x:c>
      <x:c r="J37" s="64" t="str"/>
      <x:c r="K37" s="43" t="str">
        <x:f>IF(G37="","",VLOOKUP(G37,'Технологии'!$A$11:$BF$50,58,FALSE))</x:f>
      </x:c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</x:row>
    <x:row r="38">
      <x:c r="A38" s="42" t="str">
        <x:v>Кибербезопасностные ресурсы</x:v>
      </x:c>
      <x:c r="B38" s="64" t="n">
        <x:v>0</x:v>
      </x:c>
      <x:c r="C38" s="64" t="n">
        <x:v>0</x:v>
      </x:c>
      <x:c r="D38" s="42"/>
      <x:c r="E38" s="42"/>
      <x:c r="F38" s="42"/>
      <x:c r="G38" s="64" t="str"/>
      <x:c r="H38" s="43" t="str">
        <x:f>IF(G38="","",VLOOKUP(G38,'Технологии'!$A$11:$D$50,4,FALSE))</x:f>
      </x:c>
      <x:c r="I38" s="64" t="n">
        <x:v>0</x:v>
      </x:c>
      <x:c r="J38" s="64" t="str"/>
      <x:c r="K38" s="43" t="str">
        <x:f>IF(G38="","",VLOOKUP(G38,'Технологии'!$A$11:$BF$50,58,FALSE))</x:f>
      </x:c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</x:row>
    <x:row r="39">
      <x:c r="A39" s="42" t="str">
        <x:v>IV. Люди, организация и экономика внедрения</x:v>
      </x:c>
      <x:c r="B39" s="64"/>
      <x:c r="C39" s="64"/>
      <x:c r="D39" s="42"/>
      <x:c r="E39" s="42"/>
      <x:c r="F39" s="42"/>
      <x:c r="G39" s="42"/>
      <x:c r="H39" s="42"/>
      <x:c r="I39" s="42"/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</x:row>
    <x:row r="40">
      <x:c r="A40" s="42" t="str">
        <x:v>Квалифицированный человеческий ресурс</x:v>
      </x:c>
      <x:c r="B40" s="64" t="n">
        <x:v>0</x:v>
      </x:c>
      <x:c r="C40" s="64" t="n">
        <x:v>0</x:v>
      </x:c>
      <x:c r="D40" s="42"/>
      <x:c r="E40" s="42"/>
      <x:c r="F40" s="42"/>
      <x:c r="G40" s="42"/>
      <x:c r="H40" s="42"/>
      <x:c r="I40" s="42"/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</x:row>
    <x:row r="41">
      <x:c r="A41" s="42" t="str">
        <x:v>Предметная экспертиза</x:v>
      </x:c>
      <x:c r="B41" s="64" t="n">
        <x:v>0</x:v>
      </x:c>
      <x:c r="C41" s="64" t="n">
        <x:v>0</x:v>
      </x:c>
      <x:c r="D41" s="42"/>
      <x:c r="E41" s="42"/>
      <x:c r="F41" s="42"/>
      <x:c r="G41" s="42"/>
      <x:c r="H41" s="42"/>
      <x:c r="I41" s="42"/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</x:row>
    <x:row r="42">
      <x:c r="A42" s="42" t="str">
        <x:v>Оцифрованность деятельности</x:v>
      </x:c>
      <x:c r="B42" s="64" t="n">
        <x:v>0</x:v>
      </x:c>
      <x:c r="C42" s="64" t="n">
        <x:v>0</x:v>
      </x:c>
      <x:c r="D42" s="42"/>
      <x:c r="E42" s="42"/>
      <x:c r="F42" s="42"/>
      <x:c r="G42" s="42"/>
      <x:c r="H42" s="42"/>
      <x:c r="I42" s="42"/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</x:row>
    <x:row r="43">
      <x:c r="A43" s="42" t="str">
        <x:v>Интеграционные ресурсы</x:v>
      </x:c>
      <x:c r="B43" s="64" t="n">
        <x:v>0</x:v>
      </x:c>
      <x:c r="C43" s="64" t="n">
        <x:v>0</x:v>
      </x:c>
      <x:c r="D43" s="42"/>
      <x:c r="E43" s="42"/>
      <x:c r="F43" s="42"/>
      <x:c r="G43" s="42"/>
      <x:c r="H43" s="42"/>
      <x:c r="I43" s="4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</x:row>
    <x:row r="44">
      <x:c r="A44" s="42" t="str">
        <x:v>Организационная архитектура внедрения</x:v>
      </x:c>
      <x:c r="B44" s="64" t="n">
        <x:v>0</x:v>
      </x:c>
      <x:c r="C44" s="64" t="n">
        <x:v>0</x:v>
      </x:c>
      <x:c r="D44" s="42"/>
      <x:c r="E44" s="42"/>
      <x:c r="F44" s="42"/>
      <x:c r="G44" s="42"/>
      <x:c r="H44" s="42"/>
      <x:c r="I44" s="42"/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</x:row>
    <x:row r="45">
      <x:c r="A45" s="42" t="str">
        <x:v>Организационная способность к изменению</x:v>
      </x:c>
      <x:c r="B45" s="64" t="n">
        <x:v>0</x:v>
      </x:c>
      <x:c r="C45" s="64" t="n">
        <x:v>0</x:v>
      </x:c>
      <x:c r="D45" s="42"/>
      <x:c r="E45" s="42"/>
      <x:c r="F45" s="42"/>
      <x:c r="G45" s="42"/>
      <x:c r="H45" s="42"/>
      <x:c r="I45" s="42"/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</x:row>
    <x:row r="46">
      <x:c r="A46" s="42" t="str">
        <x:v>Финансовые ресурсы</x:v>
      </x:c>
      <x:c r="B46" s="64" t="n">
        <x:v>0</x:v>
      </x:c>
      <x:c r="C46" s="64" t="n">
        <x:v>0</x:v>
      </x:c>
      <x:c r="D46" s="42"/>
      <x:c r="E46" s="42"/>
      <x:c r="F46" s="42"/>
      <x:c r="G46" s="42"/>
      <x:c r="H46" s="42"/>
      <x:c r="I46" s="42"/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</x:row>
    <x:row r="47">
      <x:c r="A47" s="42" t="str">
        <x:v>Поставщики и рынок технологических услуг</x:v>
      </x:c>
      <x:c r="B47" s="64" t="n">
        <x:v>0</x:v>
      </x:c>
      <x:c r="C47" s="64" t="n">
        <x:v>0</x:v>
      </x:c>
      <x:c r="D47" s="42"/>
      <x:c r="E47" s="42"/>
      <x:c r="F47" s="42"/>
      <x:c r="G47" s="42"/>
      <x:c r="H47" s="42"/>
      <x:c r="I47" s="42"/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</x:row>
    <x:row r="48">
      <x:c r="A48" s="42" t="str">
        <x:v>Экономическая целесообразность</x:v>
      </x:c>
      <x:c r="B48" s="64" t="n">
        <x:v>0</x:v>
      </x:c>
      <x:c r="C48" s="64" t="n">
        <x:v>0</x:v>
      </x:c>
      <x:c r="D48" s="42"/>
      <x:c r="E48" s="42"/>
      <x:c r="F48" s="42"/>
      <x:c r="G48" s="42"/>
      <x:c r="H48" s="42"/>
      <x:c r="I48" s="42"/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</x:row>
    <x:row r="49">
      <x:c r="A49" s="42" t="str">
        <x:v>V. Правовая, институциональная и социальная среда</x:v>
      </x:c>
      <x:c r="B49" s="64"/>
      <x:c r="C49" s="64"/>
      <x:c r="D49" s="42"/>
      <x:c r="E49" s="42"/>
      <x:c r="F49" s="42"/>
      <x:c r="G49" s="42"/>
      <x:c r="H49" s="42"/>
      <x:c r="I49" s="42"/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</x:row>
    <x:row r="50">
      <x:c r="A50" s="42" t="str">
        <x:v>Правовая среда</x:v>
      </x:c>
      <x:c r="B50" s="64" t="n">
        <x:v>0</x:v>
      </x:c>
      <x:c r="C50" s="64" t="n">
        <x:v>0</x:v>
      </x:c>
      <x:c r="D50" s="42"/>
      <x:c r="E50" s="42"/>
      <x:c r="F50" s="42"/>
      <x:c r="G50" s="42"/>
      <x:c r="H50" s="42"/>
      <x:c r="I50" s="42"/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</x:row>
    <x:row r="51">
      <x:c r="A51" s="42" t="str">
        <x:v>Регуляторная и стандартная среда</x:v>
      </x:c>
      <x:c r="B51" s="64" t="n">
        <x:v>0</x:v>
      </x:c>
      <x:c r="C51" s="64" t="n">
        <x:v>0</x:v>
      </x:c>
      <x:c r="D51" s="42"/>
      <x:c r="E51" s="42"/>
      <x:c r="F51" s="42"/>
      <x:c r="G51" s="42"/>
      <x:c r="H51" s="42"/>
      <x:c r="I51" s="42"/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</x:row>
    <x:row r="52">
      <x:c r="A52" s="42" t="str">
        <x:v>Институциональная инфраструктура</x:v>
      </x:c>
      <x:c r="B52" s="64" t="n">
        <x:v>0</x:v>
      </x:c>
      <x:c r="C52" s="64" t="n">
        <x:v>0</x:v>
      </x:c>
      <x:c r="D52" s="42"/>
      <x:c r="E52" s="42"/>
      <x:c r="F52" s="42"/>
      <x:c r="G52" s="42"/>
      <x:c r="H52" s="42"/>
      <x:c r="I52" s="4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</x:row>
    <x:row r="53">
      <x:c r="A53" s="42" t="str">
        <x:v>Конкурентная и торговая среда</x:v>
      </x:c>
      <x:c r="B53" s="64" t="n">
        <x:v>0</x:v>
      </x:c>
      <x:c r="C53" s="64" t="n">
        <x:v>0</x:v>
      </x:c>
      <x:c r="D53" s="42"/>
      <x:c r="E53" s="42"/>
      <x:c r="F53" s="42"/>
      <x:c r="G53" s="42"/>
      <x:c r="H53" s="42"/>
      <x:c r="I53" s="42"/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</x:row>
    <x:row r="54">
      <x:c r="A54" s="42" t="str">
        <x:v>Социальное доверие</x:v>
      </x:c>
      <x:c r="B54" s="64" t="n">
        <x:v>0</x:v>
      </x:c>
      <x:c r="C54" s="64" t="n">
        <x:v>0</x:v>
      </x:c>
      <x:c r="D54" s="42"/>
      <x:c r="E54" s="42"/>
      <x:c r="F54" s="42"/>
      <x:c r="G54" s="42"/>
      <x:c r="H54" s="42"/>
      <x:c r="I54" s="42"/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</x:row>
    <x:row r="55">
      <x:c r="A55" s="42" t="str">
        <x:v>Готовность работников к использованию ИИ</x:v>
      </x:c>
      <x:c r="B55" s="64" t="n">
        <x:v>0</x:v>
      </x:c>
      <x:c r="C55" s="64" t="n">
        <x:v>0</x:v>
      </x:c>
      <x:c r="D55" s="42"/>
      <x:c r="E55" s="42"/>
      <x:c r="F55" s="42"/>
      <x:c r="G55" s="42"/>
      <x:c r="H55" s="42"/>
      <x:c r="I55" s="42"/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</x:row>
    <x:row r="56">
      <x:c r="A56" s="42" t="str">
        <x:v>Локальная социально-культурная применимость</x:v>
      </x:c>
      <x:c r="B56" s="64" t="n">
        <x:v>0</x:v>
      </x:c>
      <x:c r="C56" s="64" t="n">
        <x:v>0</x:v>
      </x:c>
      <x:c r="D56" s="42"/>
      <x:c r="E56" s="42"/>
      <x:c r="F56" s="42"/>
      <x:c r="G56" s="42"/>
      <x:c r="H56" s="42"/>
      <x:c r="I56" s="42"/>
      <x:c r="J56" s="42"/>
      <x:c r="K56" s="42"/>
      <x:c r="L56" s="42"/>
      <x:c r="M56" s="42"/>
      <x:c r="N56" s="42"/>
      <x:c r="O56" s="42"/>
      <x:c r="P56" s="42"/>
      <x:c r="Q56" s="42"/>
      <x:c r="R56" s="42"/>
      <x:c r="S56" s="42"/>
      <x:c r="T56" s="42"/>
      <x:c r="U56" s="42"/>
    </x:row>
    <x:row r="57">
      <x:c r="A57" s="42" t="str">
        <x:v>Система управления ИИ</x:v>
      </x:c>
      <x:c r="B57" s="64" t="n">
        <x:v>0</x:v>
      </x:c>
      <x:c r="C57" s="64" t="n">
        <x:v>0</x:v>
      </x:c>
      <x:c r="D57" s="42"/>
      <x:c r="E57" s="42"/>
      <x:c r="F57" s="42"/>
      <x:c r="G57" s="42"/>
      <x:c r="H57" s="42"/>
      <x:c r="I57" s="42"/>
      <x:c r="J57" s="42"/>
      <x:c r="K57" s="42"/>
      <x:c r="L57" s="42"/>
      <x:c r="M57" s="42"/>
      <x:c r="N57" s="42"/>
      <x:c r="O57" s="42"/>
      <x:c r="P57" s="42"/>
      <x:c r="Q57" s="42"/>
      <x:c r="R57" s="42"/>
      <x:c r="S57" s="42"/>
      <x:c r="T57" s="42"/>
      <x:c r="U57" s="42"/>
    </x:row>
    <x:row r="58">
      <x:c r="A58" s="42" t="str">
        <x:v>VI. Устойчивость жизненного цикла</x:v>
      </x:c>
      <x:c r="B58" s="64"/>
      <x:c r="C58" s="64"/>
      <x:c r="D58" s="42"/>
      <x:c r="E58" s="42"/>
      <x:c r="F58" s="42"/>
      <x:c r="G58" s="42"/>
      <x:c r="H58" s="42"/>
      <x:c r="I58" s="42"/>
      <x:c r="J58" s="42"/>
      <x:c r="K58" s="42"/>
      <x:c r="L58" s="42"/>
      <x:c r="M58" s="42"/>
      <x:c r="N58" s="42"/>
      <x:c r="O58" s="42"/>
      <x:c r="P58" s="42"/>
      <x:c r="Q58" s="42"/>
      <x:c r="R58" s="42"/>
      <x:c r="S58" s="42"/>
      <x:c r="T58" s="42"/>
      <x:c r="U58" s="42"/>
    </x:row>
    <x:row r="59">
      <x:c r="A59" s="42" t="str">
        <x:v>Поствнедренческий мониторинг</x:v>
      </x:c>
      <x:c r="B59" s="64" t="n">
        <x:v>0</x:v>
      </x:c>
      <x:c r="C59" s="64" t="n">
        <x:v>0</x:v>
      </x:c>
      <x:c r="D59" s="42"/>
      <x:c r="E59" s="42"/>
      <x:c r="F59" s="42"/>
      <x:c r="G59" s="42"/>
      <x:c r="H59" s="42"/>
      <x:c r="I59" s="42"/>
      <x:c r="J59" s="42"/>
      <x:c r="K59" s="42"/>
      <x:c r="L59" s="42"/>
      <x:c r="M59" s="42"/>
      <x:c r="N59" s="42"/>
      <x:c r="O59" s="42"/>
      <x:c r="P59" s="42"/>
      <x:c r="Q59" s="42"/>
      <x:c r="R59" s="42"/>
      <x:c r="S59" s="42"/>
      <x:c r="T59" s="42"/>
      <x:c r="U59" s="42"/>
    </x:row>
    <x:row r="60">
      <x:c r="A60" s="42" t="str">
        <x:v>Ресурс обновления и восстановления</x:v>
      </x:c>
      <x:c r="B60" s="64" t="n">
        <x:v>0</x:v>
      </x:c>
      <x:c r="C60" s="64" t="n">
        <x:v>0</x:v>
      </x:c>
      <x:c r="D60" s="42"/>
      <x:c r="E60" s="42"/>
      <x:c r="F60" s="42"/>
      <x:c r="G60" s="42"/>
      <x:c r="H60" s="42"/>
      <x:c r="I60" s="42"/>
      <x:c r="J60" s="42"/>
      <x:c r="K60" s="42"/>
      <x:c r="L60" s="42"/>
      <x:c r="M60" s="42"/>
      <x:c r="N60" s="42"/>
      <x:c r="O60" s="42"/>
      <x:c r="P60" s="42"/>
      <x:c r="Q60" s="42"/>
      <x:c r="R60" s="42"/>
      <x:c r="S60" s="42"/>
      <x:c r="T60" s="42"/>
      <x:c r="U60" s="42"/>
    </x:row>
    <x:row r="61">
      <x:c r="A61" s="42" t="str">
        <x:v>Ресурс утилизации и воспроизводства физической базы</x:v>
      </x:c>
      <x:c r="B61" s="64" t="n">
        <x:v>0</x:v>
      </x:c>
      <x:c r="C61" s="64" t="n">
        <x:v>0</x:v>
      </x:c>
      <x:c r="D61" s="42"/>
      <x:c r="E61" s="42"/>
      <x:c r="F61" s="42"/>
      <x:c r="G61" s="42"/>
      <x:c r="H61" s="42"/>
      <x:c r="I61" s="42"/>
      <x:c r="J61" s="42"/>
      <x:c r="K61" s="42"/>
      <x:c r="L61" s="42"/>
      <x:c r="M61" s="42"/>
      <x:c r="N61" s="42"/>
      <x:c r="O61" s="42"/>
      <x:c r="P61" s="42"/>
      <x:c r="Q61" s="42"/>
      <x:c r="R61" s="42"/>
      <x:c r="S61" s="42"/>
      <x:c r="T61" s="42"/>
      <x:c r="U61" s="42"/>
    </x:row>
  </x:sheetData>
  <x:mergeCells>
    <x:mergeCell ref="A1:U2"/>
    <x:mergeCell ref="A3:U3"/>
    <x:mergeCell ref="A5:C5"/>
    <x:mergeCell ref="E5:G5"/>
    <x:mergeCell ref="I5:K5"/>
    <x:mergeCell ref="M5:O5"/>
    <x:mergeCell ref="A11:C11"/>
    <x:mergeCell ref="G11:H11"/>
    <x:mergeCell ref="G22:J22"/>
    <x:mergeCell ref="G27:K27"/>
    <x:mergeCell ref="L11:U11"/>
  </x:mergeCells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FormatPr defaultRowHeight="15"/>
  <x:cols>
    <x:col min="1" max="1" width="33" hidden="0" customWidth="1"/>
    <x:col min="2" max="2" width="11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1" hidden="0" customWidth="1"/>
    <x:col min="9" max="9" width="12" hidden="0" customWidth="1"/>
    <x:col min="10" max="10" width="3" hidden="0" customWidth="1"/>
    <x:col min="11" max="11" width="24" hidden="0" customWidth="1"/>
    <x:col min="12" max="12" width="11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1" hidden="0" customWidth="1"/>
    <x:col min="19" max="19" width="12" hidden="0" customWidth="1"/>
    <x:col min="20" max="20" width="3" hidden="0" customWidth="1"/>
    <x:col min="21" max="21" width="17" hidden="0" customWidth="1"/>
    <x:col min="22" max="22" width="10" hidden="0" customWidth="1"/>
    <x:col min="23" max="23" width="24" hidden="0" customWidth="1"/>
    <x:col min="24" max="24" width="43" hidden="0" customWidth="1"/>
  </x:cols>
  <x:sheetData>
    <x:row r="1">
      <x:c r="A1" s="54" t="str">
        <x:v>ИНДОНЕЗИЯ — СОСТОЯНИЕ НА КОНЕЦ 2040 ГОДА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>
      <x:c r="A2" s="54"/>
      <x:c r="B2" s="54"/>
      <x:c r="C2" s="54"/>
      <x:c r="D2" s="54"/>
      <x:c r="E2" s="54"/>
      <x:c r="F2" s="54"/>
      <x:c r="G2" s="54"/>
      <x:c r="H2" s="54"/>
      <x:c r="I2" s="54"/>
      <x:c r="J2" s="54"/>
      <x:c r="K2" s="54"/>
      <x:c r="L2" s="54"/>
      <x:c r="M2" s="54"/>
      <x:c r="N2" s="54"/>
      <x:c r="O2" s="54"/>
      <x:c r="P2" s="54"/>
      <x:c r="Q2" s="54"/>
      <x:c r="R2" s="54"/>
      <x:c r="S2" s="54"/>
      <x:c r="T2" s="54"/>
      <x:c r="U2" s="54"/>
      <x:c r="V2" s="54"/>
      <x:c r="W2" s="54"/>
      <x:c r="X2" s="54"/>
    </x:row>
    <x:row r="3">
      <x:c r="A3" s="13" t="str">
        <x:v>Жёлтые поля заполняются вручную. Четыре колонки эффектов всегда создаются с нулём и не содержат формул.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  <x:c r="L3" s="13"/>
      <x:c r="M3" s="13"/>
      <x:c r="N3" s="13"/>
      <x:c r="O3" s="13"/>
      <x:c r="P3" s="13"/>
      <x:c r="Q3" s="13"/>
      <x:c r="R3" s="13"/>
      <x:c r="S3" s="13"/>
      <x:c r="T3" s="13"/>
      <x:c r="U3" s="13"/>
      <x:c r="V3" s="13"/>
      <x:c r="W3" s="13"/>
      <x:c r="X3" s="13"/>
    </x:row>
    <x:row r="4">
      <x:c r="A4" s="42"/>
      <x:c r="B4" s="42"/>
      <x:c r="C4" s="42"/>
      <x:c r="D4" s="42"/>
      <x:c r="E4" s="42"/>
      <x:c r="F4" s="42"/>
      <x:c r="G4" s="42"/>
      <x:c r="H4" s="42"/>
      <x:c r="I4" s="42"/>
      <x:c r="J4" s="42"/>
      <x:c r="K4" s="42"/>
      <x:c r="L4" s="42"/>
      <x:c r="M4" s="42"/>
      <x:c r="N4" s="42"/>
      <x:c r="O4" s="42"/>
      <x:c r="P4" s="42"/>
      <x:c r="Q4" s="42"/>
      <x:c r="R4" s="42"/>
      <x:c r="S4" s="42"/>
      <x:c r="T4" s="42"/>
      <x:c r="U4" s="42"/>
      <x:c r="V4" s="42"/>
      <x:c r="W4" s="42"/>
      <x:c r="X4" s="42"/>
    </x:row>
    <x:row r="5">
      <x:c r="A5" s="55" t="str">
        <x:v>1. РЕСУРСНАЯ БАЗА ИИ</x:v>
      </x:c>
      <x:c r="B5" s="55"/>
      <x:c r="C5" s="55"/>
      <x:c r="D5" s="55"/>
      <x:c r="E5" s="55"/>
      <x:c r="F5" s="55"/>
      <x:c r="G5" s="55"/>
      <x:c r="H5" s="55"/>
      <x:c r="I5" s="55"/>
      <x:c r="J5" s="42"/>
      <x:c r="K5" s="56" t="str">
        <x:v>ОЧКИ ИИ</x:v>
      </x:c>
      <x:c r="L5" s="56"/>
      <x:c r="M5" s="56"/>
      <x:c r="N5" s="56" t="str">
        <x:v>ОЧКИ НАУКИ</x:v>
      </x:c>
      <x:c r="O5" s="56"/>
      <x:c r="P5" s="56"/>
      <x:c r="Q5" s="56" t="str">
        <x:v>ВНЕШНЕПОЛИТИЧЕСКИЕ ОЧКИ</x:v>
      </x:c>
      <x:c r="R5" s="56"/>
      <x:c r="S5" s="56"/>
      <x:c r="T5" s="42"/>
      <x:c r="U5" s="56" t="str">
        <x:v>ОЧКИ ТРАНСФОРМАЦИИ</x:v>
      </x:c>
      <x:c r="V5" s="56"/>
      <x:c r="W5" s="56"/>
      <x:c r="X5" s="42"/>
    </x:row>
    <x:row r="6">
      <x:c r="A6" s="32" t="str">
        <x:v>Ресурс</x:v>
      </x:c>
      <x:c r="B6" s="32" t="str">
        <x:v>Начальное
значение</x:v>
      </x:c>
      <x:c r="C6" s="32" t="str">
        <x:v>Базовый годовой
прирост</x:v>
      </x:c>
      <x:c r="D6" s="32" t="str">
        <x:v>Постоянный эффект
на значение</x:v>
      </x:c>
      <x:c r="E6" s="32" t="str">
        <x:v>Временный эффект
на значение</x:v>
      </x:c>
      <x:c r="F6" s="32" t="str">
        <x:v>Постоянный эффект
на прирост</x:v>
      </x:c>
      <x:c r="G6" s="32" t="str">
        <x:v>Временный эффект
на прирост</x:v>
      </x:c>
      <x:c r="H6" s="32" t="str">
        <x:v>От торговли</x:v>
      </x:c>
      <x:c r="I6" s="32" t="str">
        <x:v>Реальное
значение</x:v>
      </x:c>
      <x:c r="J6" s="42"/>
      <x:c r="K6" s="57" t="n">
        <x:f>100*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/(POWER(0.55,3)+POWER((POWER(POWER((POWER(I8/10,-1.0)+POWER(I9/10,-1.0)+POWER(I10/10,-1.0)+POWER(I11/10,-1.0)+POWER(I12/10,-1.0)+POWER(I13/10,-1.0)+POWER(I14/10,-1.0)+POWER(I15/10,-1.0)+POWER(I16/10,-1.0)+POWER(I17/10,-1.0))/10,1/-1.0),0.3)*POWER(POWER((POWER(I19/10,-0.5)+POWER(I20/10,-0.5)+POWER(I21/10,-0.5)+POWER(I22/10,-0.5)+POWER(I23/10,-0.5))/5,1/-0.5),0.2)*POWER(POWER((POWER(I25/10,-0.5)+POWER(I26/10,-0.5)+POWER(I27/10,-0.5)+POWER(I28/10,-0.5)+POWER(I29/10,-0.5)+POWER(I30/10,-0.5)+POWER(I31/10,-0.5)+POWER(I32/10,-0.5))/8,1/-0.5),0.2)*POWER(POWER((POWER(I34/10,-0.25)+POWER(I35/10,-0.25)+POWER(I36/10,-0.25)+POWER(I37/10,-0.25)+POWER(I38/10,-0.25)+POWER(I39/10,-0.25)+POWER(I40/10,-0.25)+POWER(I41/10,-0.25)+POWER(I42/10,-0.25))/9,1/-0.25),0.15)*POWER(POWER((POWER(I44/10,0.25)+POWER(I45/10,0.25)+POWER(I46/10,0.25)+POWER(I47/10,0.25)+POWER(I48/10,0.25)+POWER(I49/10,0.25)+POWER(I50/10,0.25)+POWER(I51/10,0.25))/8,1/0.25),0.1)*POWER(POWER((I53/10)*(I54/10)*(I55/10),1/3),0.05)),3))</x:f>
        <x:v>83.6923573948686</x:v>
      </x:c>
      <x:c r="L6" s="57"/>
      <x:c r="M6" s="57"/>
      <x:c r="N6" s="57" t="n">
        <x:f>100*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/(POWER(0.55,2)+POWER((POWER((POWER(S13/10,0.45)*POWER(S14/10,0.25)*POWER(S12/10,0.10)*POWER(S17/10,0.10)*POWER(S16/10,0.05)*POWER(S18/10,0.05)),0.8)*POWER((POWER(I34/10,0.2)*POWER(I22/10,0.15)*POWER(I25/10,0.1)*POWER(I27/10,0.1)*POWER(I15/10,0.15)*POWER(I28/10,0.1)*POWER(I40/10,0.1)*POWER(I31/10,0.1)),0.2)),2))</x:f>
        <x:v>76.64515583294917</x:v>
      </x:c>
      <x:c r="O6" s="57"/>
      <x:c r="P6" s="57"/>
      <x:c r="Q6" s="57" t="n">
        <x:f>100*POWER(((AVERAGE(V11:V25)+5)/10),0.30)*POWER((POWER(I16/10,0.15)*POWER(I32/10,0.15)*POWER(I40/10,0.2)*POWER(I41/10,0.15)*POWER(I46/10,0.15)*POWER(I47/10,0.2)),0.30)*POWER((POWER(S12/10,0.20)*POWER(S15/10,0.20)*POWER(S16/10,0.30)*POWER(S17/10,0.30)),0.40)</x:f>
        <x:v>88.54517777788205</x:v>
      </x:c>
      <x:c r="R6" s="57"/>
      <x:c r="S6" s="57"/>
      <x:c r="T6" s="42"/>
      <x:c r="U6" s="57" t="n">
        <x:f>100*LN(1+20*(POWER((POWER(S11/10,0.2)*POWER(S12/10,0.15)*POWER(S13/10,0.1)*POWER(S14/10,0.1)*POWER(S15/10,0.05)*POWER(S16/10,0.15)*POWER(S17/10,0.15)*POWER(S18/10,0.1)),0.65)*POWER((POWER(I8/10,0.06)*POWER(I9/10,0.1)*POWER(I10/10,0.12)*POWER(I11/10,0.05)*POWER(I12/10,0.04)*POWER(I13/10,0.17)*POWER(I14/10,0.15)*POWER(I15/10,0.15)*POWER(I16/10,0.1)*POWER(I17/10,0.06)),0.35)))/LN(21)</x:f>
        <x:v>98.40671966809181</x:v>
      </x:c>
      <x:c r="V6" s="57"/>
      <x:c r="W6" s="57"/>
      <x:c r="X6" s="42"/>
    </x:row>
    <x:row r="7">
      <x:c r="A7" s="62" t="str">
        <x:v>I. Материально-физическая и вычислительная база</x:v>
      </x:c>
      <x:c r="B7" s="62"/>
      <x:c r="C7" s="62"/>
      <x:c r="D7" s="62"/>
      <x:c r="E7" s="62"/>
      <x:c r="F7" s="62"/>
      <x:c r="G7" s="62"/>
      <x:c r="H7" s="62"/>
      <x:c r="I7" s="62"/>
      <x:c r="J7" s="42"/>
      <x:c r="K7" s="57"/>
      <x:c r="L7" s="57"/>
      <x:c r="M7" s="57"/>
      <x:c r="N7" s="57"/>
      <x:c r="O7" s="57"/>
      <x:c r="P7" s="57"/>
      <x:c r="Q7" s="57"/>
      <x:c r="R7" s="57"/>
      <x:c r="S7" s="57"/>
      <x:c r="T7" s="42"/>
      <x:c r="U7" s="57"/>
      <x:c r="V7" s="57"/>
      <x:c r="W7" s="57"/>
      <x:c r="X7" s="42"/>
    </x:row>
    <x:row r="8">
      <x:c r="A8" s="42" t="str">
        <x:v>Минерально-сырьевые ресурсы</x:v>
      </x:c>
      <x:c r="B8" s="42" t="n">
        <x:f>MAX(1,MIN(10,'Индонезия 2040'!B8+'Индонезия 2040'!D8+('Индонезия 2040'!C8+'Индонезия 2040'!F8+'Индонезия 2040'!G8)+(0.35*LN(1+0.6*'Ход 2040'!B14)*POWER(MAX(0,1-'Индонезия 2040'!I8/10),0.7))))</x:f>
        <x:v>9.75000000000001</x:v>
      </x:c>
      <x:c r="C8" s="42" t="n">
        <x:f>MIN(1,'Индонезия 2040'!C8+'Индонезия 2040'!F8+(0.08*LN(1+0.5*'Ход 2040'!C14)*MAX(0,1-('Индонезия 2040'!C8+'Индонезия 2040'!F8))))</x:f>
        <x:v>0.05</x:v>
      </x:c>
      <x:c r="D8" s="64" t="n">
        <x:v>0</x:v>
      </x:c>
      <x:c r="E8" s="64" t="n">
        <x:v>0</x:v>
      </x:c>
      <x:c r="F8" s="64" t="n">
        <x:v>0</x:v>
      </x:c>
      <x:c r="G8" s="64" t="n">
        <x:v>0</x:v>
      </x:c>
      <x:c r="H8" s="42" t="n">
        <x:v>0</x:v>
      </x:c>
      <x:c r="I8" s="42" t="n">
        <x:f>MAX(1,MIN(10,B8+D8+E8+H8))</x:f>
        <x:v>9.75000000000001</x:v>
      </x:c>
      <x:c r="J8" s="42"/>
      <x:c r="K8" s="42"/>
      <x:c r="L8" s="42"/>
      <x:c r="M8" s="42"/>
      <x:c r="N8" s="42"/>
      <x:c r="O8" s="42"/>
      <x:c r="P8" s="42"/>
      <x:c r="Q8" s="42"/>
      <x:c r="R8" s="42"/>
      <x:c r="S8" s="42"/>
      <x:c r="T8" s="42"/>
      <x:c r="U8" s="42"/>
      <x:c r="V8" s="42"/>
      <x:c r="W8" s="42"/>
      <x:c r="X8" s="42"/>
    </x:row>
    <x:row r="9">
      <x:c r="A9" s="42" t="str">
        <x:v>Химические и технологические материалы</x:v>
      </x:c>
      <x:c r="B9" s="42" t="n">
        <x:f>MAX(1,MIN(10,'Индонезия 2040'!B9+'Индонезия 2040'!D9+('Индонезия 2040'!C9+'Индонезия 2040'!F9+'Индонезия 2040'!G9)+(0.35*LN(1+0.6*'Ход 2040'!B15)*POWER(MAX(0,1-'Индонезия 2040'!I9/10),0.7))))</x:f>
        <x:v>7.750000000000005</x:v>
      </x:c>
      <x:c r="C9" s="42" t="n">
        <x:f>MIN(1,'Индонезия 2040'!C9+'Индонезия 2040'!F9+(0.08*LN(1+0.5*'Ход 2040'!C15)*MAX(0,1-('Индонезия 2040'!C9+'Индонезия 2040'!F9))))</x:f>
        <x:v>0.15</x:v>
      </x:c>
      <x:c r="D9" s="64" t="n">
        <x:v>0</x:v>
      </x:c>
      <x:c r="E9" s="64" t="n">
        <x:v>0</x:v>
      </x:c>
      <x:c r="F9" s="64" t="n">
        <x:v>0</x:v>
      </x:c>
      <x:c r="G9" s="64" t="n">
        <x:v>0</x:v>
      </x:c>
      <x:c r="H9" s="42" t="n">
        <x:v>0</x:v>
      </x:c>
      <x:c r="I9" s="42" t="n">
        <x:f>MAX(1,MIN(10,B9+D9+E9+H9))</x:f>
        <x:v>7.750000000000005</x:v>
      </x:c>
      <x:c r="J9" s="42"/>
      <x:c r="K9" s="55" t="str">
        <x:v>2. СФЕРЫ ВНЕДРЕНИЯ ИИ</x:v>
      </x:c>
      <x:c r="L9" s="55"/>
      <x:c r="M9" s="55"/>
      <x:c r="N9" s="55"/>
      <x:c r="O9" s="55"/>
      <x:c r="P9" s="55"/>
      <x:c r="Q9" s="55"/>
      <x:c r="R9" s="55"/>
      <x:c r="S9" s="55"/>
      <x:c r="T9" s="42"/>
      <x:c r="U9" s="55" t="str">
        <x:v>3. МЕЖДУНАРОДНЫЕ ОТНОШЕНИЯ</x:v>
      </x:c>
      <x:c r="V9" s="55"/>
      <x:c r="W9" s="55"/>
      <x:c r="X9" s="55"/>
    </x:row>
    <x:row r="10">
      <x:c r="A10" s="42" t="str">
        <x:v>Энергетические ресурсы</x:v>
      </x:c>
      <x:c r="B10" s="42" t="n">
        <x:f>MAX(1,MIN(10,'Индонезия 2040'!B10+'Индонезия 2040'!D10+('Индонезия 2040'!C10+'Индонезия 2040'!F10+'Индонезия 2040'!G10)+(0.35*LN(1+0.6*'Ход 2040'!B16)*POWER(MAX(0,1-'Индонезия 2040'!I10/10),0.7))))</x:f>
        <x:v>9.499999999999995</x:v>
      </x:c>
      <x:c r="C10" s="42" t="n">
        <x:f>MIN(1,'Индонезия 2040'!C10+'Индонезия 2040'!F10+(0.08*LN(1+0.5*'Ход 2040'!C16)*MAX(0,1-('Индонезия 2040'!C10+'Индонезия 2040'!F10))))</x:f>
        <x:v>0.1</x:v>
      </x:c>
      <x:c r="D10" s="64" t="n">
        <x:v>0</x:v>
      </x:c>
      <x:c r="E10" s="64" t="n">
        <x:v>0</x:v>
      </x:c>
      <x:c r="F10" s="64" t="n">
        <x:v>0</x:v>
      </x:c>
      <x:c r="G10" s="64" t="n">
        <x:v>0</x:v>
      </x:c>
      <x:c r="H10" s="42" t="n">
        <x:v>0</x:v>
      </x:c>
      <x:c r="I10" s="42" t="n">
        <x:f>MAX(1,MIN(10,B10+D10+E10+H10))</x:f>
        <x:v>9.499999999999995</x:v>
      </x:c>
      <x:c r="J10" s="42"/>
      <x:c r="K10" s="32" t="str">
        <x:v>Сфера</x:v>
      </x:c>
      <x:c r="L10" s="32" t="str">
        <x:v>Начальное
значение</x:v>
      </x:c>
      <x:c r="M10" s="32" t="str">
        <x:v>Базовый годовой
прирост</x:v>
      </x:c>
      <x:c r="N10" s="32" t="str">
        <x:v>Постоянный эффект
на значение</x:v>
      </x:c>
      <x:c r="O10" s="32" t="str">
        <x:v>Временный эффект
на значение</x:v>
      </x:c>
      <x:c r="P10" s="32" t="str">
        <x:v>Постоянный эффект
на прирост</x:v>
      </x:c>
      <x:c r="Q10" s="32" t="str">
        <x:v>Временный эффект
на прирост</x:v>
      </x:c>
      <x:c r="R10" s="32" t="str">
        <x:v>От торговли</x:v>
      </x:c>
      <x:c r="S10" s="32" t="str">
        <x:v>Реальное
значение</x:v>
      </x:c>
      <x:c r="T10" s="42"/>
      <x:c r="U10" s="32" t="str">
        <x:v>Страна</x:v>
      </x:c>
      <x:c r="V10" s="32" t="str">
        <x:v>Код −5…+5</x:v>
      </x:c>
      <x:c r="W10" s="32" t="str">
        <x:v>Статус</x:v>
      </x:c>
      <x:c r="X10" s="32" t="str">
        <x:v>Краткое положение</x:v>
      </x:c>
    </x:row>
    <x:row r="11">
      <x:c r="A11" s="42" t="str">
        <x:v>Вода и ресурс отвода тепла</x:v>
      </x:c>
      <x:c r="B11" s="42" t="n">
        <x:f>MAX(1,MIN(10,'Индонезия 2040'!B11+'Индонезия 2040'!D11+('Индонезия 2040'!C11+'Индонезия 2040'!F11+'Индонезия 2040'!G11)+(0.35*LN(1+0.6*'Ход 2040'!B17)*POWER(MAX(0,1-'Индонезия 2040'!I11/10),0.7))))</x:f>
        <x:v>8.75000000000001</x:v>
      </x:c>
      <x:c r="C11" s="42" t="n">
        <x:f>MIN(1,'Индонезия 2040'!C11+'Индонезия 2040'!F11+(0.08*LN(1+0.5*'Ход 2040'!C17)*MAX(0,1-('Индонезия 2040'!C11+'Индонезия 2040'!F11))))</x:f>
        <x:v>0.05</x:v>
      </x:c>
      <x:c r="D11" s="64" t="n">
        <x:v>0</x:v>
      </x:c>
      <x:c r="E11" s="64" t="n">
        <x:v>0</x:v>
      </x:c>
      <x:c r="F11" s="64" t="n">
        <x:v>0</x:v>
      </x:c>
      <x:c r="G11" s="64" t="n">
        <x:v>0</x:v>
      </x:c>
      <x:c r="H11" s="42" t="n">
        <x:v>0</x:v>
      </x:c>
      <x:c r="I11" s="42" t="n">
        <x:f>MAX(1,MIN(10,B11+D11+E11+H11))</x:f>
        <x:v>8.75000000000001</x:v>
      </x:c>
      <x:c r="J11" s="42"/>
      <x:c r="K11" s="42" t="str">
        <x:v>Производство</x:v>
      </x:c>
      <x:c r="L11" s="42" t="n">
        <x:f>MAX(1,MIN(10,'Индонезия 2040'!L11+'Индонезия 2040'!N11+('Индонезия 2040'!M11+'Индонезия 2040'!P11+'Индонезия 2040'!Q11)))</x:f>
        <x:v>10</x:v>
      </x:c>
      <x:c r="M11" s="42" t="n">
        <x:f>MIN(1,'Индонезия 2040'!M11+'Индонезия 2040'!P11+(0.10*LN(1+0.5*'Ход 2040'!H13)*POWER(MAX(0,1-'Индонезия 2040'!S11/10),0.8)))</x:f>
        <x:v>0.35</x:v>
      </x:c>
      <x:c r="N11" s="64" t="n">
        <x:v>0</x:v>
      </x:c>
      <x:c r="O11" s="64" t="n">
        <x:v>0</x:v>
      </x:c>
      <x:c r="P11" s="64" t="n">
        <x:v>0</x:v>
      </x:c>
      <x:c r="Q11" s="64" t="n">
        <x:v>0</x:v>
      </x:c>
      <x:c r="R11" s="42" t="n">
        <x:v>0</x:v>
      </x:c>
      <x:c r="S11" s="42" t="n">
        <x:f>MAX(1,MIN(10,L11+N11+O11+R11))</x:f>
        <x:v>10</x:v>
      </x:c>
      <x:c r="T11" s="42"/>
      <x:c r="U11" s="42" t="str">
        <x:v>Россия</x:v>
      </x:c>
      <x:c r="V11" s="64" t="n">
        <x:f>'Индонезия 2040'!V11</x:f>
        <x:v>2</x:v>
      </x:c>
      <x:c r="W11" s="42" t="str">
        <x:f>IF(V11&lt;=-4.1,"Война на уничтожение",IF(V11&lt;=-3.1,"Война",IF(V11&lt;=-2.1,"Вооружённый конфликт",IF(V11&lt;=-1.1,"Конфронтация",IF(V11&lt;0,"Напряжённые отношения",IF(V11=0,"Нейтралитет",IF(V11&lt;=1,"Сотрудничество",IF(V11&lt;=2,"Партнёрство",IF(V11&lt;=3,"Стратегическое партнёрство",IF(V11&lt;=4,"Стратегический союз","Интеграция"))))))))))</x:f>
        <x:v>Партнёрство</x:v>
      </x:c>
      <x:c r="X11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12">
      <x:c r="A12" s="42" t="str">
        <x:v>Пространственные и природно-географические ресурсы</x:v>
      </x:c>
      <x:c r="B12" s="42" t="n">
        <x:f>MAX(1,MIN(10,'Индонезия 2040'!B12+'Индонезия 2040'!D12+('Индонезия 2040'!C12+'Индонезия 2040'!F12+'Индонезия 2040'!G12)+(0.35*LN(1+0.6*'Ход 2040'!B18)*POWER(MAX(0,1-'Индонезия 2040'!I12/10),0.7))))</x:f>
        <x:v>9.75000000000001</x:v>
      </x:c>
      <x:c r="C12" s="42" t="n">
        <x:f>MIN(1,'Индонезия 2040'!C12+'Индонезия 2040'!F12+(0.08*LN(1+0.5*'Ход 2040'!C18)*MAX(0,1-('Индонезия 2040'!C12+'Индонезия 2040'!F12))))</x:f>
        <x:v>0.05</x:v>
      </x:c>
      <x:c r="D12" s="64" t="n">
        <x:v>0</x:v>
      </x:c>
      <x:c r="E12" s="64" t="n">
        <x:v>0</x:v>
      </x:c>
      <x:c r="F12" s="64" t="n">
        <x:v>0</x:v>
      </x:c>
      <x:c r="G12" s="64" t="n">
        <x:v>0</x:v>
      </x:c>
      <x:c r="H12" s="42" t="n">
        <x:v>0</x:v>
      </x:c>
      <x:c r="I12" s="42" t="n">
        <x:f>MAX(1,MIN(10,B12+D12+E12+H12))</x:f>
        <x:v>9.75000000000001</x:v>
      </x:c>
      <x:c r="J12" s="42"/>
      <x:c r="K12" s="42" t="str">
        <x:v>Управление</x:v>
      </x:c>
      <x:c r="L12" s="42" t="n">
        <x:f>MAX(1,MIN(10,'Индонезия 2040'!L12+'Индонезия 2040'!N12+('Индонезия 2040'!M12+'Индонезия 2040'!P12+'Индонезия 2040'!Q12)))</x:f>
        <x:v>10</x:v>
      </x:c>
      <x:c r="M12" s="42" t="n">
        <x:f>MIN(1,'Индонезия 2040'!M12+'Индонезия 2040'!P12+(0.10*LN(1+0.5*'Ход 2040'!H14)*POWER(MAX(0,1-'Индонезия 2040'!S12/10),0.8)))</x:f>
        <x:v>0.3</x:v>
      </x:c>
      <x:c r="N12" s="64" t="n">
        <x:v>0</x:v>
      </x:c>
      <x:c r="O12" s="64" t="n">
        <x:v>0</x:v>
      </x:c>
      <x:c r="P12" s="64" t="n">
        <x:v>0</x:v>
      </x:c>
      <x:c r="Q12" s="64" t="n">
        <x:v>0</x:v>
      </x:c>
      <x:c r="R12" s="42" t="n">
        <x:v>0</x:v>
      </x:c>
      <x:c r="S12" s="42" t="n">
        <x:f>MAX(1,MIN(10,L12+N12+O12+R12))</x:f>
        <x:v>10</x:v>
      </x:c>
      <x:c r="T12" s="42"/>
      <x:c r="U12" s="42" t="str">
        <x:v>США</x:v>
      </x:c>
      <x:c r="V12" s="64" t="n">
        <x:f>'Индонезия 2040'!V12</x:f>
        <x:v>2.3</x:v>
      </x:c>
      <x:c r="W12" s="42" t="str">
        <x:f>IF(V12&lt;=-4.1,"Война на уничтожение",IF(V12&lt;=-3.1,"Война",IF(V12&lt;=-2.1,"Вооружённый конфликт",IF(V12&lt;=-1.1,"Конфронтация",IF(V12&lt;0,"Напряжённые отношения",IF(V12=0,"Нейтралитет",IF(V12&lt;=1,"Сотрудничество",IF(V12&lt;=2,"Партнёрство",IF(V12&lt;=3,"Стратегическое партнёрство",IF(V12&lt;=4,"Стратегический союз","Интеграция"))))))))))</x:f>
        <x:v>Стратегическое партнёрство</x:v>
      </x:c>
      <x:c r="X12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13">
      <x:c r="A13" s="42" t="str">
        <x:v>Мощности производства полупроводников</x:v>
      </x:c>
      <x:c r="B13" s="42" t="n">
        <x:f>MAX(1,MIN(10,'Индонезия 2040'!B13+'Индонезия 2040'!D13+('Индонезия 2040'!C13+'Индонезия 2040'!F13+'Индонезия 2040'!G13)+(0.35*LN(1+0.6*'Ход 2040'!B19)*POWER(MAX(0,1-'Индонезия 2040'!I13/10),0.7))))</x:f>
        <x:v>6.499999999999997</x:v>
      </x:c>
      <x:c r="C13" s="42" t="n">
        <x:f>MIN(1,'Индонезия 2040'!C13+'Индонезия 2040'!F13+(0.08*LN(1+0.5*'Ход 2040'!C19)*MAX(0,1-('Индонезия 2040'!C13+'Индонезия 2040'!F13))))</x:f>
        <x:v>0.3</x:v>
      </x:c>
      <x:c r="D13" s="64" t="n">
        <x:v>0</x:v>
      </x:c>
      <x:c r="E13" s="64" t="n">
        <x:v>0</x:v>
      </x:c>
      <x:c r="F13" s="64" t="n">
        <x:v>0</x:v>
      </x:c>
      <x:c r="G13" s="64" t="n">
        <x:v>0</x:v>
      </x:c>
      <x:c r="H13" s="42" t="n">
        <x:v>0</x:v>
      </x:c>
      <x:c r="I13" s="42" t="n">
        <x:f>MAX(1,MIN(10,B13+D13+E13+H13))</x:f>
        <x:v>6.499999999999997</x:v>
      </x:c>
      <x:c r="J13" s="42"/>
      <x:c r="K13" s="42" t="str">
        <x:v>Познание</x:v>
      </x:c>
      <x:c r="L13" s="42" t="n">
        <x:f>MAX(1,MIN(10,'Индонезия 2040'!L13+'Индонезия 2040'!N13+('Индонезия 2040'!M13+'Индонезия 2040'!P13+'Индонезия 2040'!Q13)))</x:f>
        <x:v>10</x:v>
      </x:c>
      <x:c r="M13" s="42" t="n">
        <x:f>MIN(1,'Индонезия 2040'!M13+'Индонезия 2040'!P13+(0.10*LN(1+0.5*'Ход 2040'!H15)*POWER(MAX(0,1-'Индонезия 2040'!S13/10),0.8)))</x:f>
        <x:v>0.3</x:v>
      </x:c>
      <x:c r="N13" s="64" t="n">
        <x:v>0</x:v>
      </x:c>
      <x:c r="O13" s="64" t="n">
        <x:v>0</x:v>
      </x:c>
      <x:c r="P13" s="64" t="n">
        <x:v>0</x:v>
      </x:c>
      <x:c r="Q13" s="64" t="n">
        <x:v>0</x:v>
      </x:c>
      <x:c r="R13" s="42" t="n">
        <x:v>0</x:v>
      </x:c>
      <x:c r="S13" s="42" t="n">
        <x:f>MAX(1,MIN(10,L13+N13+O13+R13))</x:f>
        <x:v>10</x:v>
      </x:c>
      <x:c r="T13" s="42"/>
      <x:c r="U13" s="42" t="str">
        <x:v>Китай</x:v>
      </x:c>
      <x:c r="V13" s="64" t="n">
        <x:f>'Индонезия 2040'!V13</x:f>
        <x:v>2.7</x:v>
      </x:c>
      <x:c r="W13" s="42" t="str">
        <x:f>IF(V13&lt;=-4.1,"Война на уничтожение",IF(V13&lt;=-3.1,"Война",IF(V13&lt;=-2.1,"Вооружённый конфликт",IF(V13&lt;=-1.1,"Конфронтация",IF(V13&lt;0,"Напряжённые отношения",IF(V13=0,"Нейтралитет",IF(V13&lt;=1,"Сотрудничество",IF(V13&lt;=2,"Партнёрство",IF(V13&lt;=3,"Стратегическое партнёрство",IF(V13&lt;=4,"Стратегический союз","Интеграция"))))))))))</x:f>
        <x:v>Стратегическое партнёрство</x:v>
      </x:c>
      <x:c r="X13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14">
      <x:c r="A14" s="42" t="str">
        <x:v>Вычислительные компоненты</x:v>
      </x:c>
      <x:c r="B14" s="42" t="n">
        <x:f>MAX(1,MIN(10,'Индонезия 2040'!B14+'Индонезия 2040'!D14+('Индонезия 2040'!C14+'Индонезия 2040'!F14+'Индонезия 2040'!G14)+(0.35*LN(1+0.6*'Ход 2040'!B20)*POWER(MAX(0,1-'Индонезия 2040'!I14/10),0.7))))</x:f>
        <x:v>8.499999999999998</x:v>
      </x:c>
      <x:c r="C14" s="42" t="n">
        <x:f>MIN(1,'Индонезия 2040'!C14+'Индонезия 2040'!F14+(0.08*LN(1+0.5*'Ход 2040'!C20)*MAX(0,1-('Индонезия 2040'!C14+'Индонезия 2040'!F14))))</x:f>
        <x:v>0.3</x:v>
      </x:c>
      <x:c r="D14" s="64" t="n">
        <x:v>0</x:v>
      </x:c>
      <x:c r="E14" s="64" t="n">
        <x:v>0</x:v>
      </x:c>
      <x:c r="F14" s="64" t="n">
        <x:v>0</x:v>
      </x:c>
      <x:c r="G14" s="64" t="n">
        <x:v>0</x:v>
      </x:c>
      <x:c r="H14" s="42" t="n">
        <x:v>0</x:v>
      </x:c>
      <x:c r="I14" s="42" t="n">
        <x:f>MAX(1,MIN(10,B14+D14+E14+H14))</x:f>
        <x:v>8.499999999999998</x:v>
      </x:c>
      <x:c r="J14" s="42"/>
      <x:c r="K14" s="42" t="str">
        <x:v>Обучение</x:v>
      </x:c>
      <x:c r="L14" s="42" t="n">
        <x:f>MAX(1,MIN(10,'Индонезия 2040'!L14+'Индонезия 2040'!N14+('Индонезия 2040'!M14+'Индонезия 2040'!P14+'Индонезия 2040'!Q14)))</x:f>
        <x:v>10</x:v>
      </x:c>
      <x:c r="M14" s="42" t="n">
        <x:f>MIN(1,'Индонезия 2040'!M14+'Индонезия 2040'!P14+(0.10*LN(1+0.5*'Ход 2040'!H16)*POWER(MAX(0,1-'Индонезия 2040'!S14/10),0.8)))</x:f>
        <x:v>0.35</x:v>
      </x:c>
      <x:c r="N14" s="64" t="n">
        <x:v>0</x:v>
      </x:c>
      <x:c r="O14" s="64" t="n">
        <x:v>0</x:v>
      </x:c>
      <x:c r="P14" s="64" t="n">
        <x:v>0</x:v>
      </x:c>
      <x:c r="Q14" s="64" t="n">
        <x:v>0</x:v>
      </x:c>
      <x:c r="R14" s="42" t="n">
        <x:v>0</x:v>
      </x:c>
      <x:c r="S14" s="42" t="n">
        <x:f>MAX(1,MIN(10,L14+N14+O14+R14))</x:f>
        <x:v>10</x:v>
      </x:c>
      <x:c r="T14" s="42"/>
      <x:c r="U14" s="42" t="str">
        <x:v>Индия</x:v>
      </x:c>
      <x:c r="V14" s="64" t="n">
        <x:f>'Индонезия 2040'!V14</x:f>
        <x:v>2.3</x:v>
      </x:c>
      <x:c r="W14" s="42" t="str">
        <x:f>IF(V14&lt;=-4.1,"Война на уничтожение",IF(V14&lt;=-3.1,"Война",IF(V14&lt;=-2.1,"Вооружённый конфликт",IF(V14&lt;=-1.1,"Конфронтация",IF(V14&lt;0,"Напряжённые отношения",IF(V14=0,"Нейтралитет",IF(V14&lt;=1,"Сотрудничество",IF(V14&lt;=2,"Партнёрство",IF(V14&lt;=3,"Стратегическое партнёрство",IF(V14&lt;=4,"Стратегический союз","Интеграция"))))))))))</x:f>
        <x:v>Стратегическое партнёрство</x:v>
      </x:c>
      <x:c r="X14" s="42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15">
      <x:c r="A15" s="42" t="str">
        <x:v>ЦОД и вычислительная инфраструктура</x:v>
      </x:c>
      <x:c r="B15" s="42" t="n">
        <x:f>MAX(1,MIN(10,'Индонезия 2040'!B15+'Индонезия 2040'!D15+('Индонезия 2040'!C15+'Индонезия 2040'!F15+'Индонезия 2040'!G15)+(0.35*LN(1+0.6*'Ход 2040'!B21)*POWER(MAX(0,1-'Индонезия 2040'!I15/10),0.7))))</x:f>
        <x:v>10</x:v>
      </x:c>
      <x:c r="C15" s="42" t="n">
        <x:f>MIN(1,'Индонезия 2040'!C15+'Индонезия 2040'!F15+(0.08*LN(1+0.5*'Ход 2040'!C21)*MAX(0,1-('Индонезия 2040'!C15+'Индонезия 2040'!F15))))</x:f>
        <x:v>0.35</x:v>
      </x:c>
      <x:c r="D15" s="64" t="n">
        <x:v>0</x:v>
      </x:c>
      <x:c r="E15" s="64" t="n">
        <x:v>0</x:v>
      </x:c>
      <x:c r="F15" s="64" t="n">
        <x:v>0</x:v>
      </x:c>
      <x:c r="G15" s="64" t="n">
        <x:v>0</x:v>
      </x:c>
      <x:c r="H15" s="42" t="n">
        <x:v>0</x:v>
      </x:c>
      <x:c r="I15" s="42" t="n">
        <x:f>MAX(1,MIN(10,B15+D15+E15+H15))</x:f>
        <x:v>10</x:v>
      </x:c>
      <x:c r="J15" s="42"/>
      <x:c r="K15" s="42" t="str">
        <x:v>Война</x:v>
      </x:c>
      <x:c r="L15" s="42" t="n">
        <x:f>MAX(1,MIN(10,'Индонезия 2040'!L15+'Индонезия 2040'!N15+('Индонезия 2040'!M15+'Индонезия 2040'!P15+'Индонезия 2040'!Q15)))</x:f>
        <x:v>9.25</x:v>
      </x:c>
      <x:c r="M15" s="42" t="n">
        <x:f>MIN(1,'Индонезия 2040'!M15+'Индонезия 2040'!P15+(0.10*LN(1+0.5*'Ход 2040'!H17)*POWER(MAX(0,1-'Индонезия 2040'!S15/10),0.8)))</x:f>
        <x:v>0.25</x:v>
      </x:c>
      <x:c r="N15" s="64" t="n">
        <x:v>0</x:v>
      </x:c>
      <x:c r="O15" s="64" t="n">
        <x:v>0</x:v>
      </x:c>
      <x:c r="P15" s="64" t="n">
        <x:v>0</x:v>
      </x:c>
      <x:c r="Q15" s="64" t="n">
        <x:v>0</x:v>
      </x:c>
      <x:c r="R15" s="42" t="n">
        <x:v>0</x:v>
      </x:c>
      <x:c r="S15" s="42" t="n">
        <x:f>MAX(1,MIN(10,L15+N15+O15+R15))</x:f>
        <x:v>9.25</x:v>
      </x:c>
      <x:c r="T15" s="42"/>
      <x:c r="U15" s="42" t="str">
        <x:v>Великобритания</x:v>
      </x:c>
      <x:c r="V15" s="64" t="n">
        <x:f>'Индонезия 2040'!V15</x:f>
        <x:v>1.8</x:v>
      </x:c>
      <x:c r="W15" s="42" t="str">
        <x:f>IF(V15&lt;=-4.1,"Война на уничтожение",IF(V15&lt;=-3.1,"Война",IF(V15&lt;=-2.1,"Вооружённый конфликт",IF(V15&lt;=-1.1,"Конфронтация",IF(V15&lt;0,"Напряжённые отношения",IF(V15=0,"Нейтралитет",IF(V15&lt;=1,"Сотрудничество",IF(V15&lt;=2,"Партнёрство",IF(V15&lt;=3,"Стратегическое партнёрство",IF(V15&lt;=4,"Стратегический союз","Интеграция"))))))))))</x:f>
        <x:v>Партнёрство</x:v>
      </x:c>
      <x:c r="X15" s="42" t="str">
        <x:v>Положительные торговые, инвестиционные и политические отношения без тесного военно-политического союза.</x:v>
      </x:c>
    </x:row>
    <x:row r="16">
      <x:c r="A16" s="42" t="str">
        <x:v>Сетевые ресурсы</x:v>
      </x:c>
      <x:c r="B16" s="42" t="n">
        <x:f>MAX(1,MIN(10,'Индонезия 2040'!B16+'Индонезия 2040'!D16+('Индонезия 2040'!C16+'Индонезия 2040'!F16+'Индонезия 2040'!G16)+(0.35*LN(1+0.6*'Ход 2040'!B22)*POWER(MAX(0,1-'Индонезия 2040'!I16/10),0.7))))</x:f>
        <x:v>10</x:v>
      </x:c>
      <x:c r="C16" s="42" t="n">
        <x:f>MIN(1,'Индонезия 2040'!C16+'Индонезия 2040'!F16+(0.08*LN(1+0.5*'Ход 2040'!C22)*MAX(0,1-('Индонезия 2040'!C16+'Индонезия 2040'!F16))))</x:f>
        <x:v>0.25</x:v>
      </x:c>
      <x:c r="D16" s="64" t="n">
        <x:v>0</x:v>
      </x:c>
      <x:c r="E16" s="64" t="n">
        <x:v>0</x:v>
      </x:c>
      <x:c r="F16" s="64" t="n">
        <x:v>0</x:v>
      </x:c>
      <x:c r="G16" s="64" t="n">
        <x:v>0</x:v>
      </x:c>
      <x:c r="H16" s="42" t="n">
        <x:v>0</x:v>
      </x:c>
      <x:c r="I16" s="42" t="n">
        <x:f>MAX(1,MIN(10,B16+D16+E16+H16))</x:f>
        <x:v>10</x:v>
      </x:c>
      <x:c r="J16" s="42"/>
      <x:c r="K16" s="42" t="str">
        <x:v>Экономика</x:v>
      </x:c>
      <x:c r="L16" s="42" t="n">
        <x:f>MAX(1,MIN(10,'Индонезия 2040'!L16+'Индонезия 2040'!N16+('Индонезия 2040'!M16+'Индонезия 2040'!P16+'Индонезия 2040'!Q16)))</x:f>
        <x:v>10</x:v>
      </x:c>
      <x:c r="M16" s="42" t="n">
        <x:f>MIN(1,'Индонезия 2040'!M16+'Индонезия 2040'!P16+(0.10*LN(1+0.5*'Ход 2040'!H18)*POWER(MAX(0,1-'Индонезия 2040'!S16/10),0.8)))</x:f>
        <x:v>0.35</x:v>
      </x:c>
      <x:c r="N16" s="64" t="n">
        <x:v>0</x:v>
      </x:c>
      <x:c r="O16" s="64" t="n">
        <x:v>0</x:v>
      </x:c>
      <x:c r="P16" s="64" t="n">
        <x:v>0</x:v>
      </x:c>
      <x:c r="Q16" s="64" t="n">
        <x:v>0</x:v>
      </x:c>
      <x:c r="R16" s="42" t="n">
        <x:v>0</x:v>
      </x:c>
      <x:c r="S16" s="42" t="n">
        <x:f>MAX(1,MIN(10,L16+N16+O16+R16))</x:f>
        <x:v>10</x:v>
      </x:c>
      <x:c r="T16" s="42"/>
      <x:c r="U16" s="42" t="str">
        <x:v>Франция</x:v>
      </x:c>
      <x:c r="V16" s="64" t="n">
        <x:f>'Индонезия 2040'!V16</x:f>
        <x:v>1.8</x:v>
      </x:c>
      <x:c r="W16" s="42" t="str">
        <x:f>IF(V16&lt;=-4.1,"Война на уничтожение",IF(V16&lt;=-3.1,"Война",IF(V16&lt;=-2.1,"Вооружённый конфликт",IF(V16&lt;=-1.1,"Конфронтация",IF(V16&lt;0,"Напряжённые отношения",IF(V16=0,"Нейтралитет",IF(V16&lt;=1,"Сотрудничество",IF(V16&lt;=2,"Партнёрство",IF(V16&lt;=3,"Стратегическое партнёрство",IF(V16&lt;=4,"Стратегический союз","Интеграция"))))))))))</x:f>
        <x:v>Партнёрство</x:v>
      </x:c>
      <x:c r="X16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17">
      <x:c r="A17" s="42" t="str">
        <x:v>Конечные устройства</x:v>
      </x:c>
      <x:c r="B17" s="42" t="n">
        <x:f>MAX(1,MIN(10,'Индонезия 2040'!B17+'Индонезия 2040'!D17+('Индонезия 2040'!C17+'Индонезия 2040'!F17+'Индонезия 2040'!G17)+(0.35*LN(1+0.6*'Ход 2040'!B23)*POWER(MAX(0,1-'Индонезия 2040'!I17/10),0.7))))</x:f>
        <x:v>9.999999999999993</x:v>
      </x:c>
      <x:c r="C17" s="42" t="n">
        <x:f>MIN(1,'Индонезия 2040'!C17+'Индонезия 2040'!F17+(0.08*LN(1+0.5*'Ход 2040'!C23)*MAX(0,1-('Индонезия 2040'!C17+'Индонезия 2040'!F17))))</x:f>
        <x:v>0.2</x:v>
      </x:c>
      <x:c r="D17" s="64" t="n">
        <x:v>0</x:v>
      </x:c>
      <x:c r="E17" s="64" t="n">
        <x:v>0</x:v>
      </x:c>
      <x:c r="F17" s="64" t="n">
        <x:v>0</x:v>
      </x:c>
      <x:c r="G17" s="64" t="n">
        <x:v>0</x:v>
      </x:c>
      <x:c r="H17" s="42" t="n">
        <x:v>0</x:v>
      </x:c>
      <x:c r="I17" s="42" t="n">
        <x:f>MAX(1,MIN(10,B17+D17+E17+H17))</x:f>
        <x:v>9.999999999999993</x:v>
      </x:c>
      <x:c r="J17" s="42"/>
      <x:c r="K17" s="42" t="str">
        <x:v>Государственное управление</x:v>
      </x:c>
      <x:c r="L17" s="42" t="n">
        <x:f>MAX(1,MIN(10,'Индонезия 2040'!L17+'Индонезия 2040'!N17+('Индонезия 2040'!M17+'Индонезия 2040'!P17+'Индонезия 2040'!Q17)))</x:f>
        <x:v>10</x:v>
      </x:c>
      <x:c r="M17" s="42" t="n">
        <x:f>MIN(1,'Индонезия 2040'!M17+'Индонезия 2040'!P17+(0.10*LN(1+0.5*'Ход 2040'!H19)*POWER(MAX(0,1-'Индонезия 2040'!S17/10),0.8)))</x:f>
        <x:v>0.35</x:v>
      </x:c>
      <x:c r="N17" s="64" t="n">
        <x:v>0</x:v>
      </x:c>
      <x:c r="O17" s="64" t="n">
        <x:v>0</x:v>
      </x:c>
      <x:c r="P17" s="64" t="n">
        <x:v>0</x:v>
      </x:c>
      <x:c r="Q17" s="64" t="n">
        <x:v>0</x:v>
      </x:c>
      <x:c r="R17" s="42" t="n">
        <x:v>0</x:v>
      </x:c>
      <x:c r="S17" s="42" t="n">
        <x:f>MAX(1,MIN(10,L17+N17+O17+R17))</x:f>
        <x:v>10</x:v>
      </x:c>
      <x:c r="T17" s="42"/>
      <x:c r="U17" s="42" t="str">
        <x:v>Германия</x:v>
      </x:c>
      <x:c r="V17" s="64" t="n">
        <x:f>'Индонезия 2040'!V17</x:f>
        <x:v>1.7</x:v>
      </x:c>
      <x:c r="W17" s="42" t="str">
        <x:f>IF(V17&lt;=-4.1,"Война на уничтожение",IF(V17&lt;=-3.1,"Война",IF(V17&lt;=-2.1,"Вооружённый конфликт",IF(V17&lt;=-1.1,"Конфронтация",IF(V17&lt;0,"Напряжённые отношения",IF(V17=0,"Нейтралитет",IF(V17&lt;=1,"Сотрудничество",IF(V17&lt;=2,"Партнёрство",IF(V17&lt;=3,"Стратегическое партнёрство",IF(V17&lt;=4,"Стратегический союз","Интеграция"))))))))))</x:f>
        <x:v>Партнёрство</x:v>
      </x:c>
      <x:c r="X17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18">
      <x:c r="A18" s="62" t="str">
        <x:v>II. Программно-алгоритмический потенциал</x:v>
      </x:c>
      <x:c r="B18" s="62"/>
      <x:c r="C18" s="62"/>
      <x:c r="D18" s="62"/>
      <x:c r="E18" s="62"/>
      <x:c r="F18" s="62"/>
      <x:c r="G18" s="62"/>
      <x:c r="H18" s="62"/>
      <x:c r="I18" s="62"/>
      <x:c r="J18" s="42"/>
      <x:c r="K18" s="42" t="str">
        <x:v>Принятие ИИ</x:v>
      </x:c>
      <x:c r="L18" s="42" t="n">
        <x:f>MAX(1,MIN(10,'Индонезия 2040'!L18+'Индонезия 2040'!N18+('Индонезия 2040'!M18+'Индонезия 2040'!P18+'Индонезия 2040'!Q18)))</x:f>
        <x:v>10</x:v>
      </x:c>
      <x:c r="M18" s="42" t="n">
        <x:f>MIN(1,'Индонезия 2040'!M18+'Индонезия 2040'!P18+(0.10*LN(1+0.5*'Ход 2040'!H20)*POWER(MAX(0,1-'Индонезия 2040'!S18/10),0.8)))</x:f>
        <x:v>0.2</x:v>
      </x:c>
      <x:c r="N18" s="64" t="n">
        <x:v>0</x:v>
      </x:c>
      <x:c r="O18" s="64" t="n">
        <x:v>0</x:v>
      </x:c>
      <x:c r="P18" s="64" t="n">
        <x:v>0</x:v>
      </x:c>
      <x:c r="Q18" s="64" t="n">
        <x:v>0</x:v>
      </x:c>
      <x:c r="R18" s="42" t="n">
        <x:v>0</x:v>
      </x:c>
      <x:c r="S18" s="42" t="n">
        <x:f>MAX(1,MIN(10,L18+N18+O18+R18))</x:f>
        <x:v>10</x:v>
      </x:c>
      <x:c r="T18" s="42"/>
      <x:c r="U18" s="42" t="str">
        <x:v>Япония</x:v>
      </x:c>
      <x:c r="V18" s="64" t="n">
        <x:f>'Индонезия 2040'!V18</x:f>
        <x:v>2.9</x:v>
      </x:c>
      <x:c r="W18" s="42" t="str">
        <x:f>IF(V18&lt;=-4.1,"Война на уничтожение",IF(V18&lt;=-3.1,"Война",IF(V18&lt;=-2.1,"Вооружённый конфликт",IF(V18&lt;=-1.1,"Конфронтация",IF(V18&lt;0,"Напряжённые отношения",IF(V18=0,"Нейтралитет",IF(V18&lt;=1,"Сотрудничество",IF(V18&lt;=2,"Партнёрство",IF(V18&lt;=3,"Стратегическое партнёрство",IF(V18&lt;=4,"Стратегический союз","Интеграция"))))))))))</x:f>
        <x:v>Стратегическое партнёрство</x:v>
      </x:c>
      <x:c r="X18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19">
      <x:c r="A19" s="42" t="str">
        <x:v>Базовый программный стек вычислений</x:v>
      </x:c>
      <x:c r="B19" s="42" t="n">
        <x:f>MAX(1,MIN(10,'Индонезия 2040'!B19+'Индонезия 2040'!D19+('Индонезия 2040'!C19+'Индонезия 2040'!F19+'Индонезия 2040'!G19)+(0.35*LN(1+0.6*'Ход 2040'!B25)*POWER(MAX(0,1-'Индонезия 2040'!I19/10),0.7))))</x:f>
        <x:v>9.75</x:v>
      </x:c>
      <x:c r="C19" s="42" t="n">
        <x:f>MIN(1,'Индонезия 2040'!C19+'Индонезия 2040'!F19+(0.08*LN(1+0.5*'Ход 2040'!C25)*MAX(0,1-('Индонезия 2040'!C19+'Индонезия 2040'!F19))))</x:f>
        <x:v>0.25</x:v>
      </x:c>
      <x:c r="D19" s="64" t="n">
        <x:v>0</x:v>
      </x:c>
      <x:c r="E19" s="64" t="n">
        <x:v>0</x:v>
      </x:c>
      <x:c r="F19" s="64" t="n">
        <x:v>0</x:v>
      </x:c>
      <x:c r="G19" s="64" t="n">
        <x:v>0</x:v>
      </x:c>
      <x:c r="H19" s="42" t="n">
        <x:v>0</x:v>
      </x:c>
      <x:c r="I19" s="42" t="n">
        <x:f>MAX(1,MIN(10,B19+D19+E19+H19))</x:f>
        <x:v>9.75</x:v>
      </x:c>
      <x:c r="J19" s="42"/>
      <x:c r="K19" s="42"/>
      <x:c r="L19" s="42"/>
      <x:c r="M19" s="42"/>
      <x:c r="N19" s="42"/>
      <x:c r="O19" s="42"/>
      <x:c r="P19" s="42"/>
      <x:c r="Q19" s="42"/>
      <x:c r="R19" s="42"/>
      <x:c r="S19" s="42"/>
      <x:c r="T19" s="42"/>
      <x:c r="U19" s="42" t="str">
        <x:v>Южная Корея</x:v>
      </x:c>
      <x:c r="V19" s="64" t="n">
        <x:f>'Индонезия 2040'!V19</x:f>
        <x:v>2.4</x:v>
      </x:c>
      <x:c r="W19" s="42" t="str">
        <x:f>IF(V19&lt;=-4.1,"Война на уничтожение",IF(V19&lt;=-3.1,"Война",IF(V19&lt;=-2.1,"Вооружённый конфликт",IF(V19&lt;=-1.1,"Конфронтация",IF(V19&lt;0,"Напряжённые отношения",IF(V19=0,"Нейтралитет",IF(V19&lt;=1,"Сотрудничество",IF(V19&lt;=2,"Партнёрство",IF(V19&lt;=3,"Стратегическое партнёрство",IF(V19&lt;=4,"Стратегический союз","Интеграция"))))))))))</x:f>
        <x:v>Стратегическое партнёрство</x:v>
      </x:c>
      <x:c r="X19" s="42" t="str">
        <x:v>Стратегическое партнёрство, тесные промышленные, оборонные и инвестиционные связи.</x:v>
      </x:c>
    </x:row>
    <x:row r="20">
      <x:c r="A20" s="42" t="str">
        <x:v>Стек разработки ИИ</x:v>
      </x:c>
      <x:c r="B20" s="42" t="n">
        <x:f>MAX(1,MIN(10,'Индонезия 2040'!B20+'Индонезия 2040'!D20+('Индонезия 2040'!C20+'Индонезия 2040'!F20+'Индонезия 2040'!G20)+(0.35*LN(1+0.6*'Ход 2040'!B26)*POWER(MAX(0,1-'Индонезия 2040'!I20/10),0.7))))</x:f>
        <x:v>10</x:v>
      </x:c>
      <x:c r="C20" s="42" t="n">
        <x:f>MIN(1,'Индонезия 2040'!C20+'Индонезия 2040'!F20+(0.08*LN(1+0.5*'Ход 2040'!C26)*MAX(0,1-('Индонезия 2040'!C20+'Индонезия 2040'!F20))))</x:f>
        <x:v>0.3</x:v>
      </x:c>
      <x:c r="D20" s="64" t="n">
        <x:v>0</x:v>
      </x:c>
      <x:c r="E20" s="64" t="n">
        <x:v>0</x:v>
      </x:c>
      <x:c r="F20" s="64" t="n">
        <x:v>0</x:v>
      </x:c>
      <x:c r="G20" s="64" t="n">
        <x:v>0</x:v>
      </x:c>
      <x:c r="H20" s="42" t="n">
        <x:v>0</x:v>
      </x:c>
      <x:c r="I20" s="42" t="n">
        <x:f>MAX(1,MIN(10,B20+D20+E20+H20))</x:f>
        <x:v>10</x:v>
      </x:c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 t="str">
        <x:v>Турция</x:v>
      </x:c>
      <x:c r="V20" s="64" t="n">
        <x:f>'Индонезия 2040'!V20</x:f>
        <x:v>2.5</x:v>
      </x:c>
      <x:c r="W20" s="42" t="str">
        <x:f>IF(V20&lt;=-4.1,"Война на уничтожение",IF(V20&lt;=-3.1,"Война",IF(V20&lt;=-2.1,"Вооружённый конфликт",IF(V20&lt;=-1.1,"Конфронтация",IF(V20&lt;0,"Напряжённые отношения",IF(V20=0,"Нейтралитет",IF(V20&lt;=1,"Сотрудничество",IF(V20&lt;=2,"Партнёрство",IF(V20&lt;=3,"Стратегическое партнёрство",IF(V20&lt;=4,"Стратегический союз","Интеграция"))))))))))</x:f>
        <x:v>Стратегическое партнёрство</x:v>
      </x:c>
      <x:c r="X20" s="42" t="str">
        <x:v>Тесные политические и культурные связи, развивающееся оборонное, торговое и технологическое партнёрство.</x:v>
      </x:c>
    </x:row>
    <x:row r="21">
      <x:c r="A21" s="42" t="str">
        <x:v>Стек эксплуатации ИИ</x:v>
      </x:c>
      <x:c r="B21" s="42" t="n">
        <x:f>MAX(1,MIN(10,'Индонезия 2040'!B21+'Индонезия 2040'!D21+('Индонезия 2040'!C21+'Индонезия 2040'!F21+'Индонезия 2040'!G21)+(0.35*LN(1+0.6*'Ход 2040'!B27)*POWER(MAX(0,1-'Индонезия 2040'!I21/10),0.7))))</x:f>
        <x:v>10</x:v>
      </x:c>
      <x:c r="C21" s="42" t="n">
        <x:f>MIN(1,'Индонезия 2040'!C21+'Индонезия 2040'!F21+(0.08*LN(1+0.5*'Ход 2040'!C27)*MAX(0,1-('Индонезия 2040'!C21+'Индонезия 2040'!F21))))</x:f>
        <x:v>0.3</x:v>
      </x:c>
      <x:c r="D21" s="64" t="n">
        <x:v>0</x:v>
      </x:c>
      <x:c r="E21" s="64" t="n">
        <x:v>0</x:v>
      </x:c>
      <x:c r="F21" s="64" t="n">
        <x:v>0</x:v>
      </x:c>
      <x:c r="G21" s="64" t="n">
        <x:v>0</x:v>
      </x:c>
      <x:c r="H21" s="42" t="n">
        <x:v>0</x:v>
      </x:c>
      <x:c r="I21" s="42" t="n">
        <x:f>MAX(1,MIN(10,B21+D21+E21+H21))</x:f>
        <x:v>10</x:v>
      </x:c>
      <x:c r="J21" s="42"/>
      <x:c r="K21" s="42"/>
      <x:c r="L21" s="42"/>
      <x:c r="M21" s="42"/>
      <x:c r="N21" s="42"/>
      <x:c r="O21" s="42"/>
      <x:c r="P21" s="42"/>
      <x:c r="Q21" s="42"/>
      <x:c r="R21" s="42"/>
      <x:c r="S21" s="42"/>
      <x:c r="T21" s="42"/>
      <x:c r="U21" s="42" t="str">
        <x:v>Саудовская Аравия</x:v>
      </x:c>
      <x:c r="V21" s="64" t="n">
        <x:f>'Индонезия 2040'!V21</x:f>
        <x:v>2.4</x:v>
      </x:c>
      <x:c r="W21" s="42" t="str">
        <x:f>IF(V21&lt;=-4.1,"Война на уничтожение",IF(V21&lt;=-3.1,"Война",IF(V21&lt;=-2.1,"Вооружённый конфликт",IF(V21&lt;=-1.1,"Конфронтация",IF(V21&lt;0,"Напряжённые отношения",IF(V21=0,"Нейтралитет",IF(V21&lt;=1,"Сотрудничество",IF(V21&lt;=2,"Партнёрство",IF(V21&lt;=3,"Стратегическое партнёрство",IF(V21&lt;=4,"Стратегический союз","Интеграция"))))))))))</x:f>
        <x:v>Стратегическое партнёрство</x:v>
      </x:c>
      <x:c r="X21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22">
      <x:c r="A22" s="42" t="str">
        <x:v>Математико-алгоритмические ресурсы</x:v>
      </x:c>
      <x:c r="B22" s="42" t="n">
        <x:f>MAX(1,MIN(10,'Индонезия 2040'!B22+'Индонезия 2040'!D22+('Индонезия 2040'!C22+'Индонезия 2040'!F22+'Индонезия 2040'!G22)+(0.35*LN(1+0.6*'Ход 2040'!B28)*POWER(MAX(0,1-'Индонезия 2040'!I22/10),0.7))))</x:f>
        <x:v>9.499999999999996</x:v>
      </x:c>
      <x:c r="C22" s="42" t="n">
        <x:f>MIN(1,'Индонезия 2040'!C22+'Индонезия 2040'!F22+(0.08*LN(1+0.5*'Ход 2040'!C28)*MAX(0,1-('Индонезия 2040'!C22+'Индонезия 2040'!F22))))</x:f>
        <x:v>0.2</x:v>
      </x:c>
      <x:c r="D22" s="64" t="n">
        <x:v>0</x:v>
      </x:c>
      <x:c r="E22" s="64" t="n">
        <x:v>0</x:v>
      </x:c>
      <x:c r="F22" s="64" t="n">
        <x:v>0</x:v>
      </x:c>
      <x:c r="G22" s="64" t="n">
        <x:v>0</x:v>
      </x:c>
      <x:c r="H22" s="42" t="n">
        <x:v>0</x:v>
      </x:c>
      <x:c r="I22" s="42" t="n">
        <x:f>MAX(1,MIN(10,B22+D22+E22+H22))</x:f>
        <x:v>9.499999999999996</x:v>
      </x:c>
      <x:c r="J22" s="42"/>
      <x:c r="K22" s="42"/>
      <x:c r="L22" s="42"/>
      <x:c r="M22" s="42"/>
      <x:c r="N22" s="42"/>
      <x:c r="O22" s="42"/>
      <x:c r="P22" s="42"/>
      <x:c r="Q22" s="42"/>
      <x:c r="R22" s="42"/>
      <x:c r="S22" s="42"/>
      <x:c r="T22" s="42"/>
      <x:c r="U22" s="42" t="str">
        <x:v>Иран</x:v>
      </x:c>
      <x:c r="V22" s="64" t="n">
        <x:f>'Индонезия 2040'!V22</x:f>
        <x:v>1.6</x:v>
      </x:c>
      <x:c r="W22" s="42" t="str">
        <x:f>IF(V22&lt;=-4.1,"Война на уничтожение",IF(V22&lt;=-3.1,"Война",IF(V22&lt;=-2.1,"Вооружённый конфликт",IF(V22&lt;=-1.1,"Конфронтация",IF(V22&lt;0,"Напряжённые отношения",IF(V22=0,"Нейтралитет",IF(V22&lt;=1,"Сотрудничество",IF(V22&lt;=2,"Партнёрство",IF(V22&lt;=3,"Стратегическое партнёрство",IF(V22&lt;=4,"Стратегический союз","Интеграция"))))))))))</x:f>
        <x:v>Партнёрство</x:v>
      </x:c>
      <x:c r="X22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23">
      <x:c r="A23" s="42" t="str">
        <x:v>Методы построения и совершенствования моделей</x:v>
      </x:c>
      <x:c r="B23" s="42" t="n">
        <x:f>MAX(1,MIN(10,'Индонезия 2040'!B23+'Индонезия 2040'!D23+('Индонезия 2040'!C23+'Индонезия 2040'!F23+'Индонезия 2040'!G23)+(0.35*LN(1+0.6*'Ход 2040'!B29)*POWER(MAX(0,1-'Индонезия 2040'!I23/10),0.7))))</x:f>
        <x:v>9.75</x:v>
      </x:c>
      <x:c r="C23" s="42" t="n">
        <x:f>MIN(1,'Индонезия 2040'!C23+'Индонезия 2040'!F23+(0.08*LN(1+0.5*'Ход 2040'!C29)*MAX(0,1-('Индонезия 2040'!C23+'Индонезия 2040'!F23))))</x:f>
        <x:v>0.25</x:v>
      </x:c>
      <x:c r="D23" s="64" t="n">
        <x:v>0</x:v>
      </x:c>
      <x:c r="E23" s="64" t="n">
        <x:v>0</x:v>
      </x:c>
      <x:c r="F23" s="64" t="n">
        <x:v>0</x:v>
      </x:c>
      <x:c r="G23" s="64" t="n">
        <x:v>0</x:v>
      </x:c>
      <x:c r="H23" s="42" t="n">
        <x:v>0</x:v>
      </x:c>
      <x:c r="I23" s="42" t="n">
        <x:f>MAX(1,MIN(10,B23+D23+E23+H23))</x:f>
        <x:v>9.75</x:v>
      </x:c>
      <x:c r="J23" s="42"/>
      <x:c r="K23" s="42"/>
      <x:c r="L23" s="42"/>
      <x:c r="M23" s="42"/>
      <x:c r="N23" s="42"/>
      <x:c r="O23" s="42"/>
      <x:c r="P23" s="42"/>
      <x:c r="Q23" s="42"/>
      <x:c r="R23" s="42"/>
      <x:c r="S23" s="42"/>
      <x:c r="T23" s="42"/>
      <x:c r="U23" s="42" t="str">
        <x:v>Израиль</x:v>
      </x:c>
      <x:c r="V23" s="64" t="n">
        <x:f>'Индонезия 2040'!V23</x:f>
        <x:v>-1.2</x:v>
      </x:c>
      <x:c r="W23" s="42" t="str">
        <x:f>IF(V23&lt;=-4.1,"Война на уничтожение",IF(V23&lt;=-3.1,"Война",IF(V23&lt;=-2.1,"Вооружённый конфликт",IF(V23&lt;=-1.1,"Конфронтация",IF(V23&lt;0,"Напряжённые отношения",IF(V23=0,"Нейтралитет",IF(V23&lt;=1,"Сотрудничество",IF(V23&lt;=2,"Партнёрство",IF(V23&lt;=3,"Стратегическое партнёрство",IF(V23&lt;=4,"Стратегический союз","Интеграция"))))))))))</x:f>
        <x:v>Конфронтация</x:v>
      </x:c>
      <x:c r="X23" s="42" t="str">
        <x:v>Полноценные дипломатические отношения отсутствуют; контакты ограничены прежде всего палестинским вопросом.</x:v>
      </x:c>
    </x:row>
    <x:row r="24">
      <x:c r="A24" s="62" t="str">
        <x:v>III. Данные, модели и информационная безопасность</x:v>
      </x:c>
      <x:c r="B24" s="62"/>
      <x:c r="C24" s="62"/>
      <x:c r="D24" s="62"/>
      <x:c r="E24" s="62"/>
      <x:c r="F24" s="62"/>
      <x:c r="G24" s="62"/>
      <x:c r="H24" s="62"/>
      <x:c r="I24" s="62"/>
      <x:c r="J24" s="42"/>
      <x:c r="K24" s="42"/>
      <x:c r="L24" s="42"/>
      <x:c r="M24" s="42"/>
      <x:c r="N24" s="42"/>
      <x:c r="O24" s="42"/>
      <x:c r="P24" s="42"/>
      <x:c r="Q24" s="42"/>
      <x:c r="R24" s="42"/>
      <x:c r="S24" s="42"/>
      <x:c r="T24" s="42"/>
      <x:c r="U24" s="42" t="str">
        <x:v>Бразилия</x:v>
      </x:c>
      <x:c r="V24" s="64" t="n">
        <x:f>'Индонезия 2040'!V24</x:f>
        <x:v>2</x:v>
      </x:c>
      <x:c r="W24" s="42" t="str">
        <x:f>IF(V24&lt;=-4.1,"Война на уничтожение",IF(V24&lt;=-3.1,"Война",IF(V24&lt;=-2.1,"Вооружённый конфликт",IF(V24&lt;=-1.1,"Конфронтация",IF(V24&lt;0,"Напряжённые отношения",IF(V24=0,"Нейтралитет",IF(V24&lt;=1,"Сотрудничество",IF(V24&lt;=2,"Партнёрство",IF(V24&lt;=3,"Стратегическое партнёрство",IF(V24&lt;=4,"Стратегический союз","Интеграция"))))))))))</x:f>
        <x:v>Партнёрство</x:v>
      </x:c>
      <x:c r="X24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25">
      <x:c r="A25" s="42" t="str">
        <x:v>Исходные данные</x:v>
      </x:c>
      <x:c r="B25" s="42" t="n">
        <x:f>MAX(1,MIN(10,'Индонезия 2040'!B25+'Индонезия 2040'!D25+('Индонезия 2040'!C25+'Индонезия 2040'!F25+'Индонезия 2040'!G25)+(0.35*LN(1+0.6*'Ход 2040'!B31)*POWER(MAX(0,1-'Индонезия 2040'!I25/10),0.7))))</x:f>
        <x:v>9.999999999999995</x:v>
      </x:c>
      <x:c r="C25" s="42" t="n">
        <x:f>MIN(1,'Индонезия 2040'!C25+'Индонезия 2040'!F25+(0.08*LN(1+0.5*'Ход 2040'!C31)*MAX(0,1-('Индонезия 2040'!C25+'Индонезия 2040'!F25))))</x:f>
        <x:v>0.1</x:v>
      </x:c>
      <x:c r="D25" s="64" t="n">
        <x:v>0</x:v>
      </x:c>
      <x:c r="E25" s="64" t="n">
        <x:v>0</x:v>
      </x:c>
      <x:c r="F25" s="64" t="n">
        <x:v>0</x:v>
      </x:c>
      <x:c r="G25" s="64" t="n">
        <x:v>0</x:v>
      </x:c>
      <x:c r="H25" s="42" t="n">
        <x:v>0</x:v>
      </x:c>
      <x:c r="I25" s="42" t="n">
        <x:f>MAX(1,MIN(10,B25+D25+E25+H25))</x:f>
        <x:v>9.999999999999995</x:v>
      </x:c>
      <x:c r="J25" s="42"/>
      <x:c r="K25" s="42"/>
      <x:c r="L25" s="42"/>
      <x:c r="M25" s="42"/>
      <x:c r="N25" s="42"/>
      <x:c r="O25" s="42"/>
      <x:c r="P25" s="42"/>
      <x:c r="Q25" s="42"/>
      <x:c r="R25" s="42"/>
      <x:c r="S25" s="42"/>
      <x:c r="T25" s="42"/>
      <x:c r="U25" s="42" t="str">
        <x:v>ОАЭ</x:v>
      </x:c>
      <x:c r="V25" s="64" t="n">
        <x:f>'Индонезия 2040'!V25</x:f>
        <x:v>2.3</x:v>
      </x:c>
      <x:c r="W25" s="42" t="str">
        <x:f>IF(V25&lt;=-4.1,"Война на уничтожение",IF(V25&lt;=-3.1,"Война",IF(V25&lt;=-2.1,"Вооружённый конфликт",IF(V25&lt;=-1.1,"Конфронтация",IF(V25&lt;0,"Напряжённые отношения",IF(V25=0,"Нейтралитет",IF(V25&lt;=1,"Сотрудничество",IF(V25&lt;=2,"Партнёрство",IF(V25&lt;=3,"Стратегическое партнёрство",IF(V25&lt;=4,"Стратегический союз","Интеграция"))))))))))</x:f>
        <x:v>Стратегическое партнёрство</x:v>
      </x:c>
      <x:c r="X25" s="42" t="str">
        <x:v>Развитые политические, инвестиционные и экономические связи, включая инфраструктурные и цифровые проекты.</x:v>
      </x:c>
    </x:row>
    <x:row r="26">
      <x:c r="A26" s="42" t="str">
        <x:v>Производные данные</x:v>
      </x:c>
      <x:c r="B26" s="42" t="n">
        <x:f>MAX(1,MIN(10,'Индонезия 2040'!B26+'Индонезия 2040'!D26+('Индонезия 2040'!C26+'Индонезия 2040'!F26+'Индонезия 2040'!G26)+(0.35*LN(1+0.6*'Ход 2040'!B32)*POWER(MAX(0,1-'Индонезия 2040'!I26/10),0.7))))</x:f>
        <x:v>10</x:v>
      </x:c>
      <x:c r="C26" s="42" t="n">
        <x:f>MIN(1,'Индонезия 2040'!C26+'Индонезия 2040'!F26+(0.08*LN(1+0.5*'Ход 2040'!C32)*MAX(0,1-('Индонезия 2040'!C26+'Индонезия 2040'!F26))))</x:f>
        <x:v>0.25</x:v>
      </x:c>
      <x:c r="D26" s="64" t="n">
        <x:v>0</x:v>
      </x:c>
      <x:c r="E26" s="64" t="n">
        <x:v>0</x:v>
      </x:c>
      <x:c r="F26" s="64" t="n">
        <x:v>0</x:v>
      </x:c>
      <x:c r="G26" s="64" t="n">
        <x:v>0</x:v>
      </x:c>
      <x:c r="H26" s="42" t="n">
        <x:v>0</x:v>
      </x:c>
      <x:c r="I26" s="42" t="n">
        <x:f>MAX(1,MIN(10,B26+D26+E26+H26))</x:f>
        <x:v>10</x:v>
      </x:c>
      <x:c r="J26" s="42"/>
      <x:c r="K26" s="42"/>
      <x:c r="L26" s="42"/>
      <x:c r="M26" s="42"/>
      <x:c r="N26" s="42"/>
      <x:c r="O26" s="42"/>
      <x:c r="P26" s="42"/>
      <x:c r="Q26" s="42"/>
      <x:c r="R26" s="42"/>
      <x:c r="S26" s="42"/>
      <x:c r="T26" s="42"/>
      <x:c r="U26" s="42" t="str">
        <x:v>Прочее</x:v>
      </x:c>
      <x:c r="V26" s="64" t="n">
        <x:f>'Индонезия 2040'!V26</x:f>
        <x:v>0</x:v>
      </x:c>
      <x:c r="W26" s="42" t="str">
        <x:f>IF(V26&lt;=-4.1,"Война на уничтожение",IF(V26&lt;=-3.1,"Война",IF(V26&lt;=-2.1,"Вооружённый конфликт",IF(V26&lt;=-1.1,"Конфронтация",IF(V26&lt;0,"Напряжённые отношения",IF(V26=0,"Нейтралитет",IF(V26&lt;=1,"Сотрудничество",IF(V26&lt;=2,"Партнёрство",IF(V26&lt;=3,"Стратегическое партнёрство",IF(V26&lt;=4,"Стратегический союз","Интеграция"))))))))))</x:f>
        <x:v>Нейтралитет</x:v>
      </x:c>
      <x:c r="X26" s="42" t="str">
        <x:v>Усреднённый нейтральный уровень для государств, не выделенных отдельной строкой.</x:v>
      </x:c>
    </x:row>
    <x:row r="27">
      <x:c r="A27" s="42" t="str">
        <x:v>Контекстные информационные ресурсы</x:v>
      </x:c>
      <x:c r="B27" s="42" t="n">
        <x:f>MAX(1,MIN(10,'Индонезия 2040'!B27+'Индонезия 2040'!D27+('Индонезия 2040'!C27+'Индонезия 2040'!F27+'Индонезия 2040'!G27)+(0.35*LN(1+0.6*'Ход 2040'!B33)*POWER(MAX(0,1-'Индонезия 2040'!I27/10),0.7))))</x:f>
        <x:v>9.999999999999993</x:v>
      </x:c>
      <x:c r="C27" s="42" t="n">
        <x:f>MIN(1,'Индонезия 2040'!C27+'Индонезия 2040'!F27+(0.08*LN(1+0.5*'Ход 2040'!C33)*MAX(0,1-('Индонезия 2040'!C27+'Индонезия 2040'!F27))))</x:f>
        <x:v>0.2</x:v>
      </x:c>
      <x:c r="D27" s="64" t="n">
        <x:v>0</x:v>
      </x:c>
      <x:c r="E27" s="64" t="n">
        <x:v>0</x:v>
      </x:c>
      <x:c r="F27" s="64" t="n">
        <x:v>0</x:v>
      </x:c>
      <x:c r="G27" s="64" t="n">
        <x:v>0</x:v>
      </x:c>
      <x:c r="H27" s="42" t="n">
        <x:v>0</x:v>
      </x:c>
      <x:c r="I27" s="42" t="n">
        <x:f>MAX(1,MIN(10,B27+D27+E27+H27))</x:f>
        <x:v>9.999999999999993</x:v>
      </x:c>
      <x:c r="J27" s="42"/>
      <x:c r="K27" s="42"/>
      <x:c r="L27" s="42"/>
      <x:c r="M27" s="42"/>
      <x:c r="N27" s="42"/>
      <x:c r="O27" s="42"/>
      <x:c r="P27" s="42"/>
      <x:c r="Q27" s="42"/>
      <x:c r="R27" s="42"/>
      <x:c r="S27" s="42"/>
      <x:c r="T27" s="42"/>
      <x:c r="U27" s="42"/>
      <x:c r="V27" s="42"/>
      <x:c r="W27" s="42"/>
      <x:c r="X27" s="42"/>
    </x:row>
    <x:row r="28">
      <x:c r="A28" s="42" t="str">
        <x:v>Модельные ресурсы</x:v>
      </x:c>
      <x:c r="B28" s="42" t="n">
        <x:f>MAX(1,MIN(10,'Индонезия 2040'!B28+'Индонезия 2040'!D28+('Индонезия 2040'!C28+'Индонезия 2040'!F28+'Индонезия 2040'!G28)+(0.35*LN(1+0.6*'Ход 2040'!B34)*POWER(MAX(0,1-'Индонезия 2040'!I28/10),0.7))))</x:f>
        <x:v>10</x:v>
      </x:c>
      <x:c r="C28" s="42" t="n">
        <x:f>MIN(1,'Индонезия 2040'!C28+'Индонезия 2040'!F28+(0.08*LN(1+0.5*'Ход 2040'!C34)*MAX(0,1-('Индонезия 2040'!C28+'Индонезия 2040'!F28))))</x:f>
        <x:v>0.3</x:v>
      </x:c>
      <x:c r="D28" s="64" t="n">
        <x:v>0</x:v>
      </x:c>
      <x:c r="E28" s="64" t="n">
        <x:v>0</x:v>
      </x:c>
      <x:c r="F28" s="64" t="n">
        <x:v>0</x:v>
      </x:c>
      <x:c r="G28" s="64" t="n">
        <x:v>0</x:v>
      </x:c>
      <x:c r="H28" s="42" t="n">
        <x:v>0</x:v>
      </x:c>
      <x:c r="I28" s="42" t="n">
        <x:f>MAX(1,MIN(10,B28+D28+E28+H28))</x:f>
        <x:v>10</x:v>
      </x:c>
      <x:c r="J28" s="42"/>
      <x:c r="K28" s="42"/>
      <x:c r="L28" s="42"/>
      <x:c r="M28" s="42"/>
      <x:c r="N28" s="42"/>
      <x:c r="O28" s="42"/>
      <x:c r="P28" s="42"/>
      <x:c r="Q28" s="42"/>
      <x:c r="R28" s="42"/>
      <x:c r="S28" s="42"/>
      <x:c r="T28" s="42"/>
      <x:c r="U28" s="42"/>
      <x:c r="V28" s="42"/>
      <x:c r="W28" s="42"/>
      <x:c r="X28" s="42"/>
    </x:row>
    <x:row r="29">
      <x:c r="A29" s="42" t="str">
        <x:v>Ресурсы оценки</x:v>
      </x:c>
      <x:c r="B29" s="42" t="n">
        <x:f>MAX(1,MIN(10,'Индонезия 2040'!B29+'Индонезия 2040'!D29+('Индонезия 2040'!C29+'Индонезия 2040'!F29+'Индонезия 2040'!G29)+(0.35*LN(1+0.6*'Ход 2040'!B35)*POWER(MAX(0,1-'Индонезия 2040'!I29/10),0.7))))</x:f>
        <x:v>9.75</x:v>
      </x:c>
      <x:c r="C29" s="42" t="n">
        <x:f>MIN(1,'Индонезия 2040'!C29+'Индонезия 2040'!F29+(0.08*LN(1+0.5*'Ход 2040'!C35)*MAX(0,1-('Индонезия 2040'!C29+'Индонезия 2040'!F29))))</x:f>
        <x:v>0.25</x:v>
      </x:c>
      <x:c r="D29" s="64" t="n">
        <x:v>0</x:v>
      </x:c>
      <x:c r="E29" s="64" t="n">
        <x:v>0</x:v>
      </x:c>
      <x:c r="F29" s="64" t="n">
        <x:v>0</x:v>
      </x:c>
      <x:c r="G29" s="64" t="n">
        <x:v>0</x:v>
      </x:c>
      <x:c r="H29" s="42" t="n">
        <x:v>0</x:v>
      </x:c>
      <x:c r="I29" s="42" t="n">
        <x:f>MAX(1,MIN(10,B29+D29+E29+H29))</x:f>
        <x:v>9.75</x:v>
      </x:c>
      <x:c r="J29" s="42"/>
      <x:c r="K29" s="42"/>
      <x:c r="L29" s="42"/>
      <x:c r="M29" s="42"/>
      <x:c r="N29" s="42"/>
      <x:c r="O29" s="42"/>
      <x:c r="P29" s="42"/>
      <x:c r="Q29" s="42"/>
      <x:c r="R29" s="42"/>
      <x:c r="S29" s="42"/>
      <x:c r="T29" s="42"/>
      <x:c r="U29" s="42"/>
      <x:c r="V29" s="42"/>
      <x:c r="W29" s="42"/>
      <x:c r="X29" s="42"/>
    </x:row>
    <x:row r="30">
      <x:c r="A30" s="42" t="str">
        <x:v>Документационные ресурсы</x:v>
      </x:c>
      <x:c r="B30" s="42" t="n">
        <x:f>MAX(1,MIN(10,'Индонезия 2040'!B30+'Индонезия 2040'!D30+('Индонезия 2040'!C30+'Индонезия 2040'!F30+'Индонезия 2040'!G30)+(0.35*LN(1+0.6*'Ход 2040'!B36)*POWER(MAX(0,1-'Индонезия 2040'!I30/10),0.7))))</x:f>
        <x:v>8.999999999999998</x:v>
      </x:c>
      <x:c r="C30" s="42" t="n">
        <x:f>MIN(1,'Индонезия 2040'!C30+'Индонезия 2040'!F30+(0.08*LN(1+0.5*'Ход 2040'!C36)*MAX(0,1-('Индонезия 2040'!C30+'Индонезия 2040'!F30))))</x:f>
        <x:v>0.2</x:v>
      </x:c>
      <x:c r="D30" s="64" t="n">
        <x:v>0</x:v>
      </x:c>
      <x:c r="E30" s="64" t="n">
        <x:v>0</x:v>
      </x:c>
      <x:c r="F30" s="64" t="n">
        <x:v>0</x:v>
      </x:c>
      <x:c r="G30" s="64" t="n">
        <x:v>0</x:v>
      </x:c>
      <x:c r="H30" s="42" t="n">
        <x:v>0</x:v>
      </x:c>
      <x:c r="I30" s="42" t="n">
        <x:f>MAX(1,MIN(10,B30+D30+E30+H30))</x:f>
        <x:v>8.999999999999998</x:v>
      </x:c>
      <x:c r="J30" s="42"/>
      <x:c r="K30" s="42"/>
      <x:c r="L30" s="42"/>
      <x:c r="M30" s="42"/>
      <x:c r="N30" s="42"/>
      <x:c r="O30" s="42"/>
      <x:c r="P30" s="42"/>
      <x:c r="Q30" s="42"/>
      <x:c r="R30" s="42"/>
      <x:c r="S30" s="42"/>
      <x:c r="T30" s="42"/>
      <x:c r="U30" s="42"/>
      <x:c r="V30" s="42"/>
      <x:c r="W30" s="42"/>
      <x:c r="X30" s="42"/>
    </x:row>
    <x:row r="31">
      <x:c r="A31" s="42" t="str">
        <x:v>Права доступа к информационным ресурсам</x:v>
      </x:c>
      <x:c r="B31" s="42" t="n">
        <x:f>MAX(1,MIN(10,'Индонезия 2040'!B31+'Индонезия 2040'!D31+('Индонезия 2040'!C31+'Индонезия 2040'!F31+'Индонезия 2040'!G31)+(0.35*LN(1+0.6*'Ход 2040'!B37)*POWER(MAX(0,1-'Индонезия 2040'!I31/10),0.7))))</x:f>
        <x:v>8.999999999999998</x:v>
      </x:c>
      <x:c r="C31" s="42" t="n">
        <x:f>MIN(1,'Индонезия 2040'!C31+'Индонезия 2040'!F31+(0.08*LN(1+0.5*'Ход 2040'!C37)*MAX(0,1-('Индонезия 2040'!C31+'Индонезия 2040'!F31))))</x:f>
        <x:v>0.2</x:v>
      </x:c>
      <x:c r="D31" s="64" t="n">
        <x:v>0</x:v>
      </x:c>
      <x:c r="E31" s="64" t="n">
        <x:v>0</x:v>
      </x:c>
      <x:c r="F31" s="64" t="n">
        <x:v>0</x:v>
      </x:c>
      <x:c r="G31" s="64" t="n">
        <x:v>0</x:v>
      </x:c>
      <x:c r="H31" s="42" t="n">
        <x:v>0</x:v>
      </x:c>
      <x:c r="I31" s="42" t="n">
        <x:f>MAX(1,MIN(10,B31+D31+E31+H31))</x:f>
        <x:v>8.999999999999998</x:v>
      </x:c>
      <x:c r="J31" s="42"/>
      <x:c r="K31" s="42"/>
      <x:c r="L31" s="42"/>
      <x:c r="M31" s="42"/>
      <x:c r="N31" s="42"/>
      <x:c r="O31" s="42"/>
      <x:c r="P31" s="42"/>
      <x:c r="Q31" s="42"/>
      <x:c r="R31" s="42"/>
      <x:c r="S31" s="42"/>
      <x:c r="T31" s="42"/>
      <x:c r="U31" s="42"/>
      <x:c r="V31" s="42"/>
      <x:c r="W31" s="42"/>
      <x:c r="X31" s="42"/>
    </x:row>
    <x:row r="32">
      <x:c r="A32" s="42" t="str">
        <x:v>Кибербезопасностные ресурсы</x:v>
      </x:c>
      <x:c r="B32" s="42" t="n">
        <x:f>MAX(1,MIN(10,'Индонезия 2040'!B32+'Индонезия 2040'!D32+('Индонезия 2040'!C32+'Индонезия 2040'!F32+'Индонезия 2040'!G32)+(0.35*LN(1+0.6*'Ход 2040'!B38)*POWER(MAX(0,1-'Индонезия 2040'!I32/10),0.7))))</x:f>
        <x:v>10</x:v>
      </x:c>
      <x:c r="C32" s="42" t="n">
        <x:f>MIN(1,'Индонезия 2040'!C32+'Индонезия 2040'!F32+(0.08*LN(1+0.5*'Ход 2040'!C38)*MAX(0,1-('Индонезия 2040'!C32+'Индонезия 2040'!F32))))</x:f>
        <x:v>0.25</x:v>
      </x:c>
      <x:c r="D32" s="64" t="n">
        <x:v>0</x:v>
      </x:c>
      <x:c r="E32" s="64" t="n">
        <x:v>0</x:v>
      </x:c>
      <x:c r="F32" s="64" t="n">
        <x:v>0</x:v>
      </x:c>
      <x:c r="G32" s="64" t="n">
        <x:v>0</x:v>
      </x:c>
      <x:c r="H32" s="42" t="n">
        <x:v>0</x:v>
      </x:c>
      <x:c r="I32" s="42" t="n">
        <x:f>MAX(1,MIN(10,B32+D32+E32+H32))</x:f>
        <x:v>10</x:v>
      </x:c>
      <x:c r="J32" s="42"/>
      <x:c r="K32" s="42"/>
      <x:c r="L32" s="42"/>
      <x:c r="M32" s="42"/>
      <x:c r="N32" s="42"/>
      <x:c r="O32" s="42"/>
      <x:c r="P32" s="42"/>
      <x:c r="Q32" s="42"/>
      <x:c r="R32" s="42"/>
      <x:c r="S32" s="42"/>
      <x:c r="T32" s="42"/>
      <x:c r="U32" s="42"/>
      <x:c r="V32" s="42"/>
      <x:c r="W32" s="42"/>
      <x:c r="X32" s="42"/>
    </x:row>
    <x:row r="33">
      <x:c r="A33" s="62" t="str">
        <x:v>IV. Люди, организация и экономика внедрения</x:v>
      </x:c>
      <x:c r="B33" s="62"/>
      <x:c r="C33" s="62"/>
      <x:c r="D33" s="62"/>
      <x:c r="E33" s="62"/>
      <x:c r="F33" s="62"/>
      <x:c r="G33" s="62"/>
      <x:c r="H33" s="62"/>
      <x:c r="I33" s="62"/>
      <x:c r="J33" s="42"/>
      <x:c r="K33" s="42"/>
      <x:c r="L33" s="42"/>
      <x:c r="M33" s="42"/>
      <x:c r="N33" s="42"/>
      <x:c r="O33" s="42"/>
      <x:c r="P33" s="42"/>
      <x:c r="Q33" s="42"/>
      <x:c r="R33" s="42"/>
      <x:c r="S33" s="42"/>
      <x:c r="T33" s="42"/>
      <x:c r="U33" s="42"/>
      <x:c r="V33" s="42"/>
      <x:c r="W33" s="42"/>
      <x:c r="X33" s="42"/>
    </x:row>
    <x:row r="34">
      <x:c r="A34" s="42" t="str">
        <x:v>Квалифицированный человеческий ресурс</x:v>
      </x:c>
      <x:c r="B34" s="42" t="n">
        <x:f>MAX(1,MIN(10,'Индонезия 2040'!B34+'Индонезия 2040'!D34+('Индонезия 2040'!C34+'Индонезия 2040'!F34+'Индонезия 2040'!G34)+(0.35*LN(1+0.6*'Ход 2040'!B40)*POWER(MAX(0,1-'Индонезия 2040'!I34/10),0.7))))</x:f>
        <x:v>10</x:v>
      </x:c>
      <x:c r="C34" s="42" t="n">
        <x:f>MIN(1,'Индонезия 2040'!C34+'Индонезия 2040'!F34+(0.08*LN(1+0.5*'Ход 2040'!C40)*MAX(0,1-('Индонезия 2040'!C34+'Индонезия 2040'!F34))))</x:f>
        <x:v>0.25</x:v>
      </x:c>
      <x:c r="D34" s="64" t="n">
        <x:v>0</x:v>
      </x:c>
      <x:c r="E34" s="64" t="n">
        <x:v>0</x:v>
      </x:c>
      <x:c r="F34" s="64" t="n">
        <x:v>0</x:v>
      </x:c>
      <x:c r="G34" s="64" t="n">
        <x:v>0</x:v>
      </x:c>
      <x:c r="H34" s="42" t="n">
        <x:v>0</x:v>
      </x:c>
      <x:c r="I34" s="42" t="n">
        <x:f>MAX(1,MIN(10,B34+D34+E34+H34))</x:f>
        <x:v>10</x:v>
      </x:c>
      <x:c r="J34" s="42"/>
      <x:c r="K34" s="42"/>
      <x:c r="L34" s="42"/>
      <x:c r="M34" s="42"/>
      <x:c r="N34" s="42"/>
      <x:c r="O34" s="42"/>
      <x:c r="P34" s="42"/>
      <x:c r="Q34" s="42"/>
      <x:c r="R34" s="42"/>
      <x:c r="S34" s="42"/>
      <x:c r="T34" s="42"/>
      <x:c r="U34" s="42"/>
      <x:c r="V34" s="42"/>
      <x:c r="W34" s="42"/>
      <x:c r="X34" s="42"/>
    </x:row>
    <x:row r="35">
      <x:c r="A35" s="42" t="str">
        <x:v>Предметная экспертиза</x:v>
      </x:c>
      <x:c r="B35" s="42" t="n">
        <x:f>MAX(1,MIN(10,'Индонезия 2040'!B35+'Индонезия 2040'!D35+('Индонезия 2040'!C35+'Индонезия 2040'!F35+'Индонезия 2040'!G35)+(0.35*LN(1+0.6*'Ход 2040'!B41)*POWER(MAX(0,1-'Индонезия 2040'!I35/10),0.7))))</x:f>
        <x:v>9.750000000000005</x:v>
      </x:c>
      <x:c r="C35" s="42" t="n">
        <x:f>MIN(1,'Индонезия 2040'!C35+'Индонезия 2040'!F35+(0.08*LN(1+0.5*'Ход 2040'!C41)*MAX(0,1-('Индонезия 2040'!C35+'Индонезия 2040'!F35))))</x:f>
        <x:v>0.15</x:v>
      </x:c>
      <x:c r="D35" s="64" t="n">
        <x:v>0</x:v>
      </x:c>
      <x:c r="E35" s="64" t="n">
        <x:v>0</x:v>
      </x:c>
      <x:c r="F35" s="64" t="n">
        <x:v>0</x:v>
      </x:c>
      <x:c r="G35" s="64" t="n">
        <x:v>0</x:v>
      </x:c>
      <x:c r="H35" s="42" t="n">
        <x:v>0</x:v>
      </x:c>
      <x:c r="I35" s="42" t="n">
        <x:f>MAX(1,MIN(10,B35+D35+E35+H35))</x:f>
        <x:v>9.750000000000005</x:v>
      </x:c>
      <x:c r="J35" s="42"/>
      <x:c r="K35" s="42"/>
      <x:c r="L35" s="42"/>
      <x:c r="M35" s="42"/>
      <x:c r="N35" s="42"/>
      <x:c r="O35" s="42"/>
      <x:c r="P35" s="42"/>
      <x:c r="Q35" s="42"/>
      <x:c r="R35" s="42"/>
      <x:c r="S35" s="42"/>
      <x:c r="T35" s="42"/>
      <x:c r="U35" s="42"/>
      <x:c r="V35" s="42"/>
      <x:c r="W35" s="42"/>
      <x:c r="X35" s="42"/>
    </x:row>
    <x:row r="36">
      <x:c r="A36" s="42" t="str">
        <x:v>Оцифрованность деятельности</x:v>
      </x:c>
      <x:c r="B36" s="42" t="n">
        <x:f>MAX(1,MIN(10,'Индонезия 2040'!B36+'Индонезия 2040'!D36+('Индонезия 2040'!C36+'Индонезия 2040'!F36+'Индонезия 2040'!G36)+(0.35*LN(1+0.6*'Ход 2040'!B42)*POWER(MAX(0,1-'Индонезия 2040'!I36/10),0.7))))</x:f>
        <x:v>10</x:v>
      </x:c>
      <x:c r="C36" s="42" t="n">
        <x:f>MIN(1,'Индонезия 2040'!C36+'Индонезия 2040'!F36+(0.08*LN(1+0.5*'Ход 2040'!C42)*MAX(0,1-('Индонезия 2040'!C36+'Индонезия 2040'!F36))))</x:f>
        <x:v>0.3</x:v>
      </x:c>
      <x:c r="D36" s="64" t="n">
        <x:v>0</x:v>
      </x:c>
      <x:c r="E36" s="64" t="n">
        <x:v>0</x:v>
      </x:c>
      <x:c r="F36" s="64" t="n">
        <x:v>0</x:v>
      </x:c>
      <x:c r="G36" s="64" t="n">
        <x:v>0</x:v>
      </x:c>
      <x:c r="H36" s="42" t="n">
        <x:v>0</x:v>
      </x:c>
      <x:c r="I36" s="42" t="n">
        <x:f>MAX(1,MIN(10,B36+D36+E36+H36))</x:f>
        <x:v>10</x:v>
      </x:c>
      <x:c r="J36" s="42"/>
      <x:c r="K36" s="42"/>
      <x:c r="L36" s="42"/>
      <x:c r="M36" s="42"/>
      <x:c r="N36" s="42"/>
      <x:c r="O36" s="42"/>
      <x:c r="P36" s="42"/>
      <x:c r="Q36" s="42"/>
      <x:c r="R36" s="42"/>
      <x:c r="S36" s="42"/>
      <x:c r="T36" s="42"/>
      <x:c r="U36" s="42"/>
      <x:c r="V36" s="42"/>
      <x:c r="W36" s="42"/>
      <x:c r="X36" s="42"/>
    </x:row>
    <x:row r="37">
      <x:c r="A37" s="42" t="str">
        <x:v>Интеграционные ресурсы</x:v>
      </x:c>
      <x:c r="B37" s="42" t="n">
        <x:f>MAX(1,MIN(10,'Индонезия 2040'!B37+'Индонезия 2040'!D37+('Индонезия 2040'!C37+'Индонезия 2040'!F37+'Индонезия 2040'!G37)+(0.35*LN(1+0.6*'Ход 2040'!B43)*POWER(MAX(0,1-'Индонезия 2040'!I37/10),0.7))))</x:f>
        <x:v>10</x:v>
      </x:c>
      <x:c r="C37" s="42" t="n">
        <x:f>MIN(1,'Индонезия 2040'!C37+'Индонезия 2040'!F37+(0.08*LN(1+0.5*'Ход 2040'!C43)*MAX(0,1-('Индонезия 2040'!C37+'Индонезия 2040'!F37))))</x:f>
        <x:v>0.3</x:v>
      </x:c>
      <x:c r="D37" s="64" t="n">
        <x:v>0</x:v>
      </x:c>
      <x:c r="E37" s="64" t="n">
        <x:v>0</x:v>
      </x:c>
      <x:c r="F37" s="64" t="n">
        <x:v>0</x:v>
      </x:c>
      <x:c r="G37" s="64" t="n">
        <x:v>0</x:v>
      </x:c>
      <x:c r="H37" s="42" t="n">
        <x:v>0</x:v>
      </x:c>
      <x:c r="I37" s="42" t="n">
        <x:f>MAX(1,MIN(10,B37+D37+E37+H37))</x:f>
        <x:v>10</x:v>
      </x:c>
      <x:c r="J37" s="42"/>
      <x:c r="K37" s="42"/>
      <x:c r="L37" s="42"/>
      <x:c r="M37" s="42"/>
      <x:c r="N37" s="42"/>
      <x:c r="O37" s="42"/>
      <x:c r="P37" s="42"/>
      <x:c r="Q37" s="42"/>
      <x:c r="R37" s="42"/>
      <x:c r="S37" s="42"/>
      <x:c r="T37" s="42"/>
      <x:c r="U37" s="42"/>
      <x:c r="V37" s="42"/>
      <x:c r="W37" s="42"/>
      <x:c r="X37" s="42"/>
    </x:row>
    <x:row r="38">
      <x:c r="A38" s="42" t="str">
        <x:v>Организационная архитектура внедрения</x:v>
      </x:c>
      <x:c r="B38" s="42" t="n">
        <x:f>MAX(1,MIN(10,'Индонезия 2040'!B38+'Индонезия 2040'!D38+('Индонезия 2040'!C38+'Индонезия 2040'!F38+'Индонезия 2040'!G38)+(0.35*LN(1+0.6*'Ход 2040'!B44)*POWER(MAX(0,1-'Индонезия 2040'!I38/10),0.7))))</x:f>
        <x:v>10</x:v>
      </x:c>
      <x:c r="C38" s="42" t="n">
        <x:f>MIN(1,'Индонезия 2040'!C38+'Индонезия 2040'!F38+(0.08*LN(1+0.5*'Ход 2040'!C44)*MAX(0,1-('Индонезия 2040'!C38+'Индонезия 2040'!F38))))</x:f>
        <x:v>0.25</x:v>
      </x:c>
      <x:c r="D38" s="64" t="n">
        <x:v>0</x:v>
      </x:c>
      <x:c r="E38" s="64" t="n">
        <x:v>0</x:v>
      </x:c>
      <x:c r="F38" s="64" t="n">
        <x:v>0</x:v>
      </x:c>
      <x:c r="G38" s="64" t="n">
        <x:v>0</x:v>
      </x:c>
      <x:c r="H38" s="42" t="n">
        <x:v>0</x:v>
      </x:c>
      <x:c r="I38" s="42" t="n">
        <x:f>MAX(1,MIN(10,B38+D38+E38+H38))</x:f>
        <x:v>10</x:v>
      </x:c>
      <x:c r="J38" s="42"/>
      <x:c r="K38" s="42"/>
      <x:c r="L38" s="42"/>
      <x:c r="M38" s="42"/>
      <x:c r="N38" s="42"/>
      <x:c r="O38" s="42"/>
      <x:c r="P38" s="42"/>
      <x:c r="Q38" s="42"/>
      <x:c r="R38" s="42"/>
      <x:c r="S38" s="42"/>
      <x:c r="T38" s="42"/>
      <x:c r="U38" s="42"/>
      <x:c r="V38" s="42"/>
      <x:c r="W38" s="42"/>
      <x:c r="X38" s="42"/>
    </x:row>
    <x:row r="39">
      <x:c r="A39" s="42" t="str">
        <x:v>Организационная способность к изменению</x:v>
      </x:c>
      <x:c r="B39" s="42" t="n">
        <x:f>MAX(1,MIN(10,'Индонезия 2040'!B39+'Индонезия 2040'!D39+('Индонезия 2040'!C39+'Индонезия 2040'!F39+'Индонезия 2040'!G39)+(0.35*LN(1+0.6*'Ход 2040'!B45)*POWER(MAX(0,1-'Индонезия 2040'!I39/10),0.7))))</x:f>
        <x:v>10</x:v>
      </x:c>
      <x:c r="C39" s="42" t="n">
        <x:f>MIN(1,'Индонезия 2040'!C39+'Индонезия 2040'!F39+(0.08*LN(1+0.5*'Ход 2040'!C45)*MAX(0,1-('Индонезия 2040'!C39+'Индонезия 2040'!F39))))</x:f>
        <x:v>0.25</x:v>
      </x:c>
      <x:c r="D39" s="64" t="n">
        <x:v>0</x:v>
      </x:c>
      <x:c r="E39" s="64" t="n">
        <x:v>0</x:v>
      </x:c>
      <x:c r="F39" s="64" t="n">
        <x:v>0</x:v>
      </x:c>
      <x:c r="G39" s="64" t="n">
        <x:v>0</x:v>
      </x:c>
      <x:c r="H39" s="42" t="n">
        <x:v>0</x:v>
      </x:c>
      <x:c r="I39" s="42" t="n">
        <x:f>MAX(1,MIN(10,B39+D39+E39+H39))</x:f>
        <x:v>10</x:v>
      </x:c>
      <x:c r="J39" s="42"/>
      <x:c r="K39" s="42"/>
      <x:c r="L39" s="42"/>
      <x:c r="M39" s="42"/>
      <x:c r="N39" s="42"/>
      <x:c r="O39" s="42"/>
      <x:c r="P39" s="42"/>
      <x:c r="Q39" s="42"/>
      <x:c r="R39" s="42"/>
      <x:c r="S39" s="42"/>
      <x:c r="T39" s="42"/>
      <x:c r="U39" s="42"/>
      <x:c r="V39" s="42"/>
      <x:c r="W39" s="42"/>
      <x:c r="X39" s="42"/>
    </x:row>
    <x:row r="40">
      <x:c r="A40" s="42" t="str">
        <x:v>Финансовые ресурсы</x:v>
      </x:c>
      <x:c r="B40" s="42" t="n">
        <x:f>MAX(1,MIN(10,'Индонезия 2040'!B40+'Индонезия 2040'!D40+('Индонезия 2040'!C40+'Индонезия 2040'!F40+'Индонезия 2040'!G40)+(0.35*LN(1+0.6*'Ход 2040'!B46)*POWER(MAX(0,1-'Индонезия 2040'!I40/10),0.7))))</x:f>
        <x:v>10</x:v>
      </x:c>
      <x:c r="C40" s="42" t="n">
        <x:f>MIN(1,'Индонезия 2040'!C40+'Индонезия 2040'!F40+(0.08*LN(1+0.5*'Ход 2040'!C46)*MAX(0,1-('Индонезия 2040'!C40+'Индонезия 2040'!F40))))</x:f>
        <x:v>0.25</x:v>
      </x:c>
      <x:c r="D40" s="64" t="n">
        <x:v>0</x:v>
      </x:c>
      <x:c r="E40" s="64" t="n">
        <x:v>0</x:v>
      </x:c>
      <x:c r="F40" s="64" t="n">
        <x:v>0</x:v>
      </x:c>
      <x:c r="G40" s="64" t="n">
        <x:v>0</x:v>
      </x:c>
      <x:c r="H40" s="42" t="n">
        <x:v>0</x:v>
      </x:c>
      <x:c r="I40" s="42" t="n">
        <x:f>MAX(1,MIN(10,B40+D40+E40+H40))</x:f>
        <x:v>10</x:v>
      </x:c>
      <x:c r="J40" s="42"/>
      <x:c r="K40" s="42"/>
      <x:c r="L40" s="42"/>
      <x:c r="M40" s="42"/>
      <x:c r="N40" s="42"/>
      <x:c r="O40" s="42"/>
      <x:c r="P40" s="42"/>
      <x:c r="Q40" s="42"/>
      <x:c r="R40" s="42"/>
      <x:c r="S40" s="42"/>
      <x:c r="T40" s="42"/>
      <x:c r="U40" s="42"/>
      <x:c r="V40" s="42"/>
      <x:c r="W40" s="42"/>
      <x:c r="X40" s="42"/>
    </x:row>
    <x:row r="41">
      <x:c r="A41" s="42" t="str">
        <x:v>Поставщики и рынок технологических услуг</x:v>
      </x:c>
      <x:c r="B41" s="42" t="n">
        <x:f>MAX(1,MIN(10,'Индонезия 2040'!B41+'Индонезия 2040'!D41+('Индонезия 2040'!C41+'Индонезия 2040'!F41+'Индонезия 2040'!G41)+(0.35*LN(1+0.6*'Ход 2040'!B47)*POWER(MAX(0,1-'Индонезия 2040'!I41/10),0.7))))</x:f>
        <x:v>10</x:v>
      </x:c>
      <x:c r="C41" s="42" t="n">
        <x:f>MIN(1,'Индонезия 2040'!C41+'Индонезия 2040'!F41+(0.08*LN(1+0.5*'Ход 2040'!C47)*MAX(0,1-('Индонезия 2040'!C41+'Индонезия 2040'!F41))))</x:f>
        <x:v>0.25</x:v>
      </x:c>
      <x:c r="D41" s="64" t="n">
        <x:v>0</x:v>
      </x:c>
      <x:c r="E41" s="64" t="n">
        <x:v>0</x:v>
      </x:c>
      <x:c r="F41" s="64" t="n">
        <x:v>0</x:v>
      </x:c>
      <x:c r="G41" s="64" t="n">
        <x:v>0</x:v>
      </x:c>
      <x:c r="H41" s="42" t="n">
        <x:v>0</x:v>
      </x:c>
      <x:c r="I41" s="42" t="n">
        <x:f>MAX(1,MIN(10,B41+D41+E41+H41))</x:f>
        <x:v>10</x:v>
      </x:c>
      <x:c r="J41" s="42"/>
      <x:c r="K41" s="42"/>
      <x:c r="L41" s="42"/>
      <x:c r="M41" s="42"/>
      <x:c r="N41" s="42"/>
      <x:c r="O41" s="42"/>
      <x:c r="P41" s="42"/>
      <x:c r="Q41" s="42"/>
      <x:c r="R41" s="42"/>
      <x:c r="S41" s="42"/>
      <x:c r="T41" s="42"/>
      <x:c r="U41" s="42"/>
      <x:c r="V41" s="42"/>
      <x:c r="W41" s="42"/>
      <x:c r="X41" s="42"/>
    </x:row>
    <x:row r="42">
      <x:c r="A42" s="42" t="str">
        <x:v>Экономическая целесообразность</x:v>
      </x:c>
      <x:c r="B42" s="42" t="n">
        <x:f>MAX(1,MIN(10,'Индонезия 2040'!B42+'Индонезия 2040'!D42+('Индонезия 2040'!C42+'Индонезия 2040'!F42+'Индонезия 2040'!G42)+(0.35*LN(1+0.6*'Ход 2040'!B48)*POWER(MAX(0,1-'Индонезия 2040'!I42/10),0.7))))</x:f>
        <x:v>9.999999999999995</x:v>
      </x:c>
      <x:c r="C42" s="42" t="n">
        <x:f>MIN(1,'Индонезия 2040'!C42+'Индонезия 2040'!F42+(0.08*LN(1+0.5*'Ход 2040'!C48)*MAX(0,1-('Индонезия 2040'!C42+'Индонезия 2040'!F42))))</x:f>
        <x:v>0.1</x:v>
      </x:c>
      <x:c r="D42" s="64" t="n">
        <x:v>0</x:v>
      </x:c>
      <x:c r="E42" s="64" t="n">
        <x:v>0</x:v>
      </x:c>
      <x:c r="F42" s="64" t="n">
        <x:v>0</x:v>
      </x:c>
      <x:c r="G42" s="64" t="n">
        <x:v>0</x:v>
      </x:c>
      <x:c r="H42" s="42" t="n">
        <x:v>0</x:v>
      </x:c>
      <x:c r="I42" s="42" t="n">
        <x:f>MAX(1,MIN(10,B42+D42+E42+H42))</x:f>
        <x:v>9.999999999999995</x:v>
      </x:c>
      <x:c r="J42" s="42"/>
      <x:c r="K42" s="42"/>
      <x:c r="L42" s="42"/>
      <x:c r="M42" s="42"/>
      <x:c r="N42" s="42"/>
      <x:c r="O42" s="42"/>
      <x:c r="P42" s="42"/>
      <x:c r="Q42" s="42"/>
      <x:c r="R42" s="42"/>
      <x:c r="S42" s="42"/>
      <x:c r="T42" s="42"/>
      <x:c r="U42" s="42"/>
      <x:c r="V42" s="42"/>
      <x:c r="W42" s="42"/>
      <x:c r="X42" s="42"/>
    </x:row>
    <x:row r="43">
      <x:c r="A43" s="62" t="str">
        <x:v>V. Правовая, институциональная и социальная среда</x:v>
      </x:c>
      <x:c r="B43" s="62"/>
      <x:c r="C43" s="62"/>
      <x:c r="D43" s="62"/>
      <x:c r="E43" s="62"/>
      <x:c r="F43" s="62"/>
      <x:c r="G43" s="62"/>
      <x:c r="H43" s="62"/>
      <x:c r="I43" s="62"/>
      <x:c r="J43" s="42"/>
      <x:c r="K43" s="42"/>
      <x:c r="L43" s="42"/>
      <x:c r="M43" s="42"/>
      <x:c r="N43" s="42"/>
      <x:c r="O43" s="42"/>
      <x:c r="P43" s="42"/>
      <x:c r="Q43" s="42"/>
      <x:c r="R43" s="42"/>
      <x:c r="S43" s="42"/>
      <x:c r="T43" s="42"/>
      <x:c r="U43" s="42"/>
      <x:c r="V43" s="42"/>
      <x:c r="W43" s="42"/>
      <x:c r="X43" s="42"/>
    </x:row>
    <x:row r="44">
      <x:c r="A44" s="42" t="str">
        <x:v>Правовая среда</x:v>
      </x:c>
      <x:c r="B44" s="42" t="n">
        <x:f>MAX(1,MIN(10,'Индонезия 2040'!B44+'Индонезия 2040'!D44+('Индонезия 2040'!C44+'Индонезия 2040'!F44+'Индонезия 2040'!G44)+(0.35*LN(1+0.6*'Ход 2040'!B50)*POWER(MAX(0,1-'Индонезия 2040'!I44/10),0.7))))</x:f>
        <x:v>9.499999999999996</x:v>
      </x:c>
      <x:c r="C44" s="42" t="n">
        <x:f>MIN(1,'Индонезия 2040'!C44+'Индонезия 2040'!F44+(0.08*LN(1+0.5*'Ход 2040'!C50)*MAX(0,1-('Индонезия 2040'!C44+'Индонезия 2040'!F44))))</x:f>
        <x:v>0.2</x:v>
      </x:c>
      <x:c r="D44" s="64" t="n">
        <x:v>0</x:v>
      </x:c>
      <x:c r="E44" s="64" t="n">
        <x:v>0</x:v>
      </x:c>
      <x:c r="F44" s="64" t="n">
        <x:v>0</x:v>
      </x:c>
      <x:c r="G44" s="64" t="n">
        <x:v>0</x:v>
      </x:c>
      <x:c r="H44" s="42" t="n">
        <x:v>0</x:v>
      </x:c>
      <x:c r="I44" s="42" t="n">
        <x:f>MAX(1,MIN(10,B44+D44+E44+H44))</x:f>
        <x:v>9.499999999999996</x:v>
      </x:c>
      <x:c r="J44" s="42"/>
      <x:c r="K44" s="42"/>
      <x:c r="L44" s="42"/>
      <x:c r="M44" s="42"/>
      <x:c r="N44" s="42"/>
      <x:c r="O44" s="42"/>
      <x:c r="P44" s="42"/>
      <x:c r="Q44" s="42"/>
      <x:c r="R44" s="42"/>
      <x:c r="S44" s="42"/>
      <x:c r="T44" s="42"/>
      <x:c r="U44" s="42"/>
      <x:c r="V44" s="42"/>
      <x:c r="W44" s="42"/>
      <x:c r="X44" s="42"/>
    </x:row>
    <x:row r="45">
      <x:c r="A45" s="42" t="str">
        <x:v>Регуляторная и стандартная среда</x:v>
      </x:c>
      <x:c r="B45" s="42" t="n">
        <x:f>MAX(1,MIN(10,'Индонезия 2040'!B45+'Индонезия 2040'!D45+('Индонезия 2040'!C45+'Индонезия 2040'!F45+'Индонезия 2040'!G45)+(0.35*LN(1+0.6*'Ход 2040'!B51)*POWER(MAX(0,1-'Индонезия 2040'!I45/10),0.7))))</x:f>
        <x:v>9.499999999999996</x:v>
      </x:c>
      <x:c r="C45" s="42" t="n">
        <x:f>MIN(1,'Индонезия 2040'!C45+'Индонезия 2040'!F45+(0.08*LN(1+0.5*'Ход 2040'!C51)*MAX(0,1-('Индонезия 2040'!C45+'Индонезия 2040'!F45))))</x:f>
        <x:v>0.2</x:v>
      </x:c>
      <x:c r="D45" s="64" t="n">
        <x:v>0</x:v>
      </x:c>
      <x:c r="E45" s="64" t="n">
        <x:v>0</x:v>
      </x:c>
      <x:c r="F45" s="64" t="n">
        <x:v>0</x:v>
      </x:c>
      <x:c r="G45" s="64" t="n">
        <x:v>0</x:v>
      </x:c>
      <x:c r="H45" s="42" t="n">
        <x:v>0</x:v>
      </x:c>
      <x:c r="I45" s="42" t="n">
        <x:f>MAX(1,MIN(10,B45+D45+E45+H45))</x:f>
        <x:v>9.499999999999996</x:v>
      </x:c>
      <x:c r="J45" s="42"/>
      <x:c r="K45" s="42"/>
      <x:c r="L45" s="42"/>
      <x:c r="M45" s="42"/>
      <x:c r="N45" s="42"/>
      <x:c r="O45" s="42"/>
      <x:c r="P45" s="42"/>
      <x:c r="Q45" s="42"/>
      <x:c r="R45" s="42"/>
      <x:c r="S45" s="42"/>
      <x:c r="T45" s="42"/>
      <x:c r="U45" s="42"/>
      <x:c r="V45" s="42"/>
      <x:c r="W45" s="42"/>
      <x:c r="X45" s="42"/>
    </x:row>
    <x:row r="46">
      <x:c r="A46" s="42" t="str">
        <x:v>Институциональная инфраструктура</x:v>
      </x:c>
      <x:c r="B46" s="42" t="n">
        <x:f>MAX(1,MIN(10,'Индонезия 2040'!B46+'Индонезия 2040'!D46+('Индонезия 2040'!C46+'Индонезия 2040'!F46+'Индонезия 2040'!G46)+(0.35*LN(1+0.6*'Ход 2040'!B52)*POWER(MAX(0,1-'Индонезия 2040'!I46/10),0.7))))</x:f>
        <x:v>9.499999999999996</x:v>
      </x:c>
      <x:c r="C46" s="42" t="n">
        <x:f>MIN(1,'Индонезия 2040'!C46+'Индонезия 2040'!F46+(0.08*LN(1+0.5*'Ход 2040'!C52)*MAX(0,1-('Индонезия 2040'!C46+'Индонезия 2040'!F46))))</x:f>
        <x:v>0.2</x:v>
      </x:c>
      <x:c r="D46" s="64" t="n">
        <x:v>0</x:v>
      </x:c>
      <x:c r="E46" s="64" t="n">
        <x:v>0</x:v>
      </x:c>
      <x:c r="F46" s="64" t="n">
        <x:v>0</x:v>
      </x:c>
      <x:c r="G46" s="64" t="n">
        <x:v>0</x:v>
      </x:c>
      <x:c r="H46" s="42" t="n">
        <x:v>0</x:v>
      </x:c>
      <x:c r="I46" s="42" t="n">
        <x:f>MAX(1,MIN(10,B46+D46+E46+H46))</x:f>
        <x:v>9.499999999999996</x:v>
      </x:c>
      <x:c r="J46" s="42"/>
      <x:c r="K46" s="42"/>
      <x:c r="L46" s="42"/>
      <x:c r="M46" s="42"/>
      <x:c r="N46" s="42"/>
      <x:c r="O46" s="42"/>
      <x:c r="P46" s="42"/>
      <x:c r="Q46" s="42"/>
      <x:c r="R46" s="42"/>
      <x:c r="S46" s="42"/>
      <x:c r="T46" s="42"/>
      <x:c r="U46" s="42"/>
      <x:c r="V46" s="42"/>
      <x:c r="W46" s="42"/>
      <x:c r="X46" s="42"/>
    </x:row>
    <x:row r="47">
      <x:c r="A47" s="42" t="str">
        <x:v>Конкурентная и торговая среда</x:v>
      </x:c>
      <x:c r="B47" s="42" t="n">
        <x:f>MAX(1,MIN(10,'Индонезия 2040'!B47+'Индонезия 2040'!D47+('Индонезия 2040'!C47+'Индонезия 2040'!F47+'Индонезия 2040'!G47)+(0.35*LN(1+0.6*'Ход 2040'!B53)*POWER(MAX(0,1-'Индонезия 2040'!I47/10),0.7))))</x:f>
        <x:v>9.250000000000005</x:v>
      </x:c>
      <x:c r="C47" s="42" t="n">
        <x:f>MIN(1,'Индонезия 2040'!C47+'Индонезия 2040'!F47+(0.08*LN(1+0.5*'Ход 2040'!C53)*MAX(0,1-('Индонезия 2040'!C47+'Индонезия 2040'!F47))))</x:f>
        <x:v>0.15</x:v>
      </x:c>
      <x:c r="D47" s="64" t="n">
        <x:v>0</x:v>
      </x:c>
      <x:c r="E47" s="64" t="n">
        <x:v>0</x:v>
      </x:c>
      <x:c r="F47" s="64" t="n">
        <x:v>0</x:v>
      </x:c>
      <x:c r="G47" s="64" t="n">
        <x:v>0</x:v>
      </x:c>
      <x:c r="H47" s="42" t="n">
        <x:v>0</x:v>
      </x:c>
      <x:c r="I47" s="42" t="n">
        <x:f>MAX(1,MIN(10,B47+D47+E47+H47))</x:f>
        <x:v>9.250000000000005</x:v>
      </x:c>
      <x:c r="J47" s="42"/>
      <x:c r="K47" s="42"/>
      <x:c r="L47" s="42"/>
      <x:c r="M47" s="42"/>
      <x:c r="N47" s="42"/>
      <x:c r="O47" s="42"/>
      <x:c r="P47" s="42"/>
      <x:c r="Q47" s="42"/>
      <x:c r="R47" s="42"/>
      <x:c r="S47" s="42"/>
      <x:c r="T47" s="42"/>
      <x:c r="U47" s="42"/>
      <x:c r="V47" s="42"/>
      <x:c r="W47" s="42"/>
      <x:c r="X47" s="42"/>
    </x:row>
    <x:row r="48">
      <x:c r="A48" s="42" t="str">
        <x:v>Социальное доверие</x:v>
      </x:c>
      <x:c r="B48" s="42" t="n">
        <x:f>MAX(1,MIN(10,'Индонезия 2040'!B48+'Индонезия 2040'!D48+('Индонезия 2040'!C48+'Индонезия 2040'!F48+'Индонезия 2040'!G48)+(0.35*LN(1+0.6*'Ход 2040'!B54)*POWER(MAX(0,1-'Индонезия 2040'!I48/10),0.7))))</x:f>
        <x:v>9.750000000000005</x:v>
      </x:c>
      <x:c r="C48" s="42" t="n">
        <x:f>MIN(1,'Индонезия 2040'!C48+'Индонезия 2040'!F48+(0.08*LN(1+0.5*'Ход 2040'!C54)*MAX(0,1-('Индонезия 2040'!C48+'Индонезия 2040'!F48))))</x:f>
        <x:v>0.15</x:v>
      </x:c>
      <x:c r="D48" s="64" t="n">
        <x:v>0</x:v>
      </x:c>
      <x:c r="E48" s="64" t="n">
        <x:v>0</x:v>
      </x:c>
      <x:c r="F48" s="64" t="n">
        <x:v>0</x:v>
      </x:c>
      <x:c r="G48" s="64" t="n">
        <x:v>0</x:v>
      </x:c>
      <x:c r="H48" s="42" t="n">
        <x:v>0</x:v>
      </x:c>
      <x:c r="I48" s="42" t="n">
        <x:f>MAX(1,MIN(10,B48+D48+E48+H48))</x:f>
        <x:v>9.750000000000005</x:v>
      </x:c>
      <x:c r="J48" s="42"/>
      <x:c r="K48" s="42"/>
      <x:c r="L48" s="42"/>
      <x:c r="M48" s="42"/>
      <x:c r="N48" s="42"/>
      <x:c r="O48" s="42"/>
      <x:c r="P48" s="42"/>
      <x:c r="Q48" s="42"/>
      <x:c r="R48" s="42"/>
      <x:c r="S48" s="42"/>
      <x:c r="T48" s="42"/>
      <x:c r="U48" s="42"/>
      <x:c r="V48" s="42"/>
      <x:c r="W48" s="42"/>
      <x:c r="X48" s="42"/>
    </x:row>
    <x:row r="49">
      <x:c r="A49" s="42" t="str">
        <x:v>Готовность работников к использованию ИИ</x:v>
      </x:c>
      <x:c r="B49" s="42" t="n">
        <x:f>MAX(1,MIN(10,'Индонезия 2040'!B49+'Индонезия 2040'!D49+('Индонезия 2040'!C49+'Индонезия 2040'!F49+'Индонезия 2040'!G49)+(0.35*LN(1+0.6*'Ход 2040'!B55)*POWER(MAX(0,1-'Индонезия 2040'!I49/10),0.7))))</x:f>
        <x:v>10</x:v>
      </x:c>
      <x:c r="C49" s="42" t="n">
        <x:f>MIN(1,'Индонезия 2040'!C49+'Индонезия 2040'!F49+(0.08*LN(1+0.5*'Ход 2040'!C55)*MAX(0,1-('Индонезия 2040'!C49+'Индонезия 2040'!F49))))</x:f>
        <x:v>0.3</x:v>
      </x:c>
      <x:c r="D49" s="64" t="n">
        <x:v>0</x:v>
      </x:c>
      <x:c r="E49" s="64" t="n">
        <x:v>0</x:v>
      </x:c>
      <x:c r="F49" s="64" t="n">
        <x:v>0</x:v>
      </x:c>
      <x:c r="G49" s="64" t="n">
        <x:v>0</x:v>
      </x:c>
      <x:c r="H49" s="42" t="n">
        <x:v>0</x:v>
      </x:c>
      <x:c r="I49" s="42" t="n">
        <x:f>MAX(1,MIN(10,B49+D49+E49+H49))</x:f>
        <x:v>10</x:v>
      </x:c>
      <x:c r="J49" s="42"/>
      <x:c r="K49" s="42"/>
      <x:c r="L49" s="42"/>
      <x:c r="M49" s="42"/>
      <x:c r="N49" s="42"/>
      <x:c r="O49" s="42"/>
      <x:c r="P49" s="42"/>
      <x:c r="Q49" s="42"/>
      <x:c r="R49" s="42"/>
      <x:c r="S49" s="42"/>
      <x:c r="T49" s="42"/>
      <x:c r="U49" s="42"/>
      <x:c r="V49" s="42"/>
      <x:c r="W49" s="42"/>
      <x:c r="X49" s="42"/>
    </x:row>
    <x:row r="50">
      <x:c r="A50" s="42" t="str">
        <x:v>Локальная социально-культурная применимость</x:v>
      </x:c>
      <x:c r="B50" s="42" t="n">
        <x:f>MAX(1,MIN(10,'Индонезия 2040'!B50+'Индонезия 2040'!D50+('Индонезия 2040'!C50+'Индонезия 2040'!F50+'Индонезия 2040'!G50)+(0.35*LN(1+0.6*'Ход 2040'!B56)*POWER(MAX(0,1-'Индонезия 2040'!I50/10),0.7))))</x:f>
        <x:v>10</x:v>
      </x:c>
      <x:c r="C50" s="42" t="n">
        <x:f>MIN(1,'Индонезия 2040'!C50+'Индонезия 2040'!F50+(0.08*LN(1+0.5*'Ход 2040'!C56)*MAX(0,1-('Индонезия 2040'!C50+'Индонезия 2040'!F50))))</x:f>
        <x:v>0</x:v>
      </x:c>
      <x:c r="D50" s="64" t="n">
        <x:v>0</x:v>
      </x:c>
      <x:c r="E50" s="64" t="n">
        <x:v>0</x:v>
      </x:c>
      <x:c r="F50" s="64" t="n">
        <x:v>0</x:v>
      </x:c>
      <x:c r="G50" s="64" t="n">
        <x:v>0</x:v>
      </x:c>
      <x:c r="H50" s="42" t="n">
        <x:v>0</x:v>
      </x:c>
      <x:c r="I50" s="42" t="n">
        <x:f>MAX(1,MIN(10,B50+D50+E50+H50))</x:f>
        <x:v>10</x:v>
      </x:c>
      <x:c r="J50" s="42"/>
      <x:c r="K50" s="42"/>
      <x:c r="L50" s="42"/>
      <x:c r="M50" s="42"/>
      <x:c r="N50" s="42"/>
      <x:c r="O50" s="42"/>
      <x:c r="P50" s="42"/>
      <x:c r="Q50" s="42"/>
      <x:c r="R50" s="42"/>
      <x:c r="S50" s="42"/>
      <x:c r="T50" s="42"/>
      <x:c r="U50" s="42"/>
      <x:c r="V50" s="42"/>
      <x:c r="W50" s="42"/>
      <x:c r="X50" s="42"/>
    </x:row>
    <x:row r="51">
      <x:c r="A51" s="42" t="str">
        <x:v>Система управления ИИ</x:v>
      </x:c>
      <x:c r="B51" s="42" t="n">
        <x:f>MAX(1,MIN(10,'Индонезия 2040'!B51+'Индонезия 2040'!D51+('Индонезия 2040'!C51+'Индонезия 2040'!F51+'Индонезия 2040'!G51)+(0.35*LN(1+0.6*'Ход 2040'!B57)*POWER(MAX(0,1-'Индонезия 2040'!I51/10),0.7))))</x:f>
        <x:v>10</x:v>
      </x:c>
      <x:c r="C51" s="42" t="n">
        <x:f>MIN(1,'Индонезия 2040'!C51+'Индонезия 2040'!F51+(0.08*LN(1+0.5*'Ход 2040'!C57)*MAX(0,1-('Индонезия 2040'!C51+'Индонезия 2040'!F51))))</x:f>
        <x:v>0.25</x:v>
      </x:c>
      <x:c r="D51" s="64" t="n">
        <x:v>0</x:v>
      </x:c>
      <x:c r="E51" s="64" t="n">
        <x:v>0</x:v>
      </x:c>
      <x:c r="F51" s="64" t="n">
        <x:v>0</x:v>
      </x:c>
      <x:c r="G51" s="64" t="n">
        <x:v>0</x:v>
      </x:c>
      <x:c r="H51" s="42" t="n">
        <x:v>0</x:v>
      </x:c>
      <x:c r="I51" s="42" t="n">
        <x:f>MAX(1,MIN(10,B51+D51+E51+H51))</x:f>
        <x:v>10</x:v>
      </x:c>
      <x:c r="J51" s="42"/>
      <x:c r="K51" s="42"/>
      <x:c r="L51" s="42"/>
      <x:c r="M51" s="42"/>
      <x:c r="N51" s="42"/>
      <x:c r="O51" s="42"/>
      <x:c r="P51" s="42"/>
      <x:c r="Q51" s="42"/>
      <x:c r="R51" s="42"/>
      <x:c r="S51" s="42"/>
      <x:c r="T51" s="42"/>
      <x:c r="U51" s="42"/>
      <x:c r="V51" s="42"/>
      <x:c r="W51" s="42"/>
      <x:c r="X51" s="42"/>
    </x:row>
    <x:row r="52">
      <x:c r="A52" s="62" t="str">
        <x:v>VI. Устойчивость жизненного цикла</x:v>
      </x:c>
      <x:c r="B52" s="62"/>
      <x:c r="C52" s="62"/>
      <x:c r="D52" s="62"/>
      <x:c r="E52" s="62"/>
      <x:c r="F52" s="62"/>
      <x:c r="G52" s="62"/>
      <x:c r="H52" s="62"/>
      <x:c r="I52" s="62"/>
      <x:c r="J52" s="42"/>
      <x:c r="K52" s="42"/>
      <x:c r="L52" s="42"/>
      <x:c r="M52" s="42"/>
      <x:c r="N52" s="42"/>
      <x:c r="O52" s="42"/>
      <x:c r="P52" s="42"/>
      <x:c r="Q52" s="42"/>
      <x:c r="R52" s="42"/>
      <x:c r="S52" s="42"/>
      <x:c r="T52" s="42"/>
      <x:c r="U52" s="42"/>
      <x:c r="V52" s="42"/>
      <x:c r="W52" s="42"/>
      <x:c r="X52" s="42"/>
    </x:row>
    <x:row r="53">
      <x:c r="A53" s="42" t="str">
        <x:v>Поствнедренческий мониторинг</x:v>
      </x:c>
      <x:c r="B53" s="42" t="n">
        <x:f>MAX(1,MIN(10,'Индонезия 2040'!B53+'Индонезия 2040'!D53+('Индонезия 2040'!C53+'Индонезия 2040'!F53+'Индонезия 2040'!G53)+(0.35*LN(1+0.6*'Ход 2040'!B59)*POWER(MAX(0,1-'Индонезия 2040'!I53/10),0.7))))</x:f>
        <x:v>9.75</x:v>
      </x:c>
      <x:c r="C53" s="42" t="n">
        <x:f>MIN(1,'Индонезия 2040'!C53+'Индонезия 2040'!F53+(0.08*LN(1+0.5*'Ход 2040'!C59)*MAX(0,1-('Индонезия 2040'!C53+'Индонезия 2040'!F53))))</x:f>
        <x:v>0.25</x:v>
      </x:c>
      <x:c r="D53" s="64" t="n">
        <x:v>0</x:v>
      </x:c>
      <x:c r="E53" s="64" t="n">
        <x:v>0</x:v>
      </x:c>
      <x:c r="F53" s="64" t="n">
        <x:v>0</x:v>
      </x:c>
      <x:c r="G53" s="64" t="n">
        <x:v>0</x:v>
      </x:c>
      <x:c r="H53" s="42" t="n">
        <x:v>0</x:v>
      </x:c>
      <x:c r="I53" s="42" t="n">
        <x:f>MAX(1,MIN(10,B53+D53+E53+H53))</x:f>
        <x:v>9.75</x:v>
      </x:c>
      <x:c r="J53" s="42"/>
      <x:c r="K53" s="42"/>
      <x:c r="L53" s="42"/>
      <x:c r="M53" s="42"/>
      <x:c r="N53" s="42"/>
      <x:c r="O53" s="42"/>
      <x:c r="P53" s="42"/>
      <x:c r="Q53" s="42"/>
      <x:c r="R53" s="42"/>
      <x:c r="S53" s="42"/>
      <x:c r="T53" s="42"/>
      <x:c r="U53" s="42"/>
      <x:c r="V53" s="42"/>
      <x:c r="W53" s="42"/>
      <x:c r="X53" s="42"/>
    </x:row>
    <x:row r="54">
      <x:c r="A54" s="42" t="str">
        <x:v>Ресурс обновления и восстановления</x:v>
      </x:c>
      <x:c r="B54" s="42" t="n">
        <x:f>MAX(1,MIN(10,'Индонезия 2040'!B54+'Индонезия 2040'!D54+('Индонезия 2040'!C54+'Индонезия 2040'!F54+'Индонезия 2040'!G54)+(0.35*LN(1+0.6*'Ход 2040'!B60)*POWER(MAX(0,1-'Индонезия 2040'!I54/10),0.7))))</x:f>
        <x:v>9.75</x:v>
      </x:c>
      <x:c r="C54" s="42" t="n">
        <x:f>MIN(1,'Индонезия 2040'!C54+'Индонезия 2040'!F54+(0.08*LN(1+0.5*'Ход 2040'!C60)*MAX(0,1-('Индонезия 2040'!C54+'Индонезия 2040'!F54))))</x:f>
        <x:v>0.25</x:v>
      </x:c>
      <x:c r="D54" s="64" t="n">
        <x:v>0</x:v>
      </x:c>
      <x:c r="E54" s="64" t="n">
        <x:v>0</x:v>
      </x:c>
      <x:c r="F54" s="64" t="n">
        <x:v>0</x:v>
      </x:c>
      <x:c r="G54" s="64" t="n">
        <x:v>0</x:v>
      </x:c>
      <x:c r="H54" s="42" t="n">
        <x:v>0</x:v>
      </x:c>
      <x:c r="I54" s="42" t="n">
        <x:f>MAX(1,MIN(10,B54+D54+E54+H54))</x:f>
        <x:v>9.75</x:v>
      </x:c>
      <x:c r="J54" s="42"/>
      <x:c r="K54" s="42"/>
      <x:c r="L54" s="42"/>
      <x:c r="M54" s="42"/>
      <x:c r="N54" s="42"/>
      <x:c r="O54" s="42"/>
      <x:c r="P54" s="42"/>
      <x:c r="Q54" s="42"/>
      <x:c r="R54" s="42"/>
      <x:c r="S54" s="42"/>
      <x:c r="T54" s="42"/>
      <x:c r="U54" s="42"/>
      <x:c r="V54" s="42"/>
      <x:c r="W54" s="42"/>
      <x:c r="X54" s="42"/>
    </x:row>
    <x:row r="55">
      <x:c r="A55" s="42" t="str">
        <x:v>Ресурс утилизации и воспроизводства физической базы</x:v>
      </x:c>
      <x:c r="B55" s="42" t="n">
        <x:f>MAX(1,MIN(10,'Индонезия 2040'!B55+'Индонезия 2040'!D55+('Индонезия 2040'!C55+'Индонезия 2040'!F55+'Индонезия 2040'!G55)+(0.35*LN(1+0.6*'Ход 2040'!B61)*POWER(MAX(0,1-'Индонезия 2040'!I55/10),0.7))))</x:f>
        <x:v>8.5</x:v>
      </x:c>
      <x:c r="C55" s="42" t="n">
        <x:f>MIN(1,'Индонезия 2040'!C55+'Индонезия 2040'!F55+(0.08*LN(1+0.5*'Ход 2040'!C61)*MAX(0,1-('Индонезия 2040'!C55+'Индонезия 2040'!F55))))</x:f>
        <x:v>0.2</x:v>
      </x:c>
      <x:c r="D55" s="64" t="n">
        <x:v>0</x:v>
      </x:c>
      <x:c r="E55" s="64" t="n">
        <x:v>0</x:v>
      </x:c>
      <x:c r="F55" s="64" t="n">
        <x:v>0</x:v>
      </x:c>
      <x:c r="G55" s="64" t="n">
        <x:v>0</x:v>
      </x:c>
      <x:c r="H55" s="42" t="n">
        <x:v>0</x:v>
      </x:c>
      <x:c r="I55" s="42" t="n">
        <x:f>MAX(1,MIN(10,B55+D55+E55+H55))</x:f>
        <x:v>8.5</x:v>
      </x:c>
      <x:c r="J55" s="42"/>
      <x:c r="K55" s="42"/>
      <x:c r="L55" s="42"/>
      <x:c r="M55" s="42"/>
      <x:c r="N55" s="42"/>
      <x:c r="O55" s="42"/>
      <x:c r="P55" s="42"/>
      <x:c r="Q55" s="42"/>
      <x:c r="R55" s="42"/>
      <x:c r="S55" s="42"/>
      <x:c r="T55" s="42"/>
      <x:c r="U55" s="42"/>
      <x:c r="V55" s="42"/>
      <x:c r="W55" s="42"/>
      <x:c r="X55" s="42"/>
    </x:row>
  </x:sheetData>
  <x:mergeCells>
    <x:mergeCell ref="A1:X2"/>
    <x:mergeCell ref="A3:X3"/>
    <x:mergeCell ref="K5:M5"/>
    <x:mergeCell ref="K6:M7"/>
    <x:mergeCell ref="N5:P5"/>
    <x:mergeCell ref="N6:P7"/>
    <x:mergeCell ref="Q5:S5"/>
    <x:mergeCell ref="Q6:S7"/>
    <x:mergeCell ref="U5:W5"/>
    <x:mergeCell ref="U6:W7"/>
    <x:mergeCell ref="A5:I5"/>
    <x:mergeCell ref="K9:S9"/>
    <x:mergeCell ref="U9:X9"/>
  </x:mergeCells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38" hidden="0" customWidth="1"/>
    <x:col min="4" max="4" width="70" hidden="0" customWidth="1"/>
  </x:cols>
  <x:sheetData>
    <x:row r="1">
      <x:c r="A1" s="86" t="str">
        <x:v>ИНДОНЕЗИЯ 2026 — МЕТОДИКА СТАРТОВОЙ КАЛИБРОВКИ</x:v>
      </x:c>
      <x:c r="B1" s="86"/>
      <x:c r="C1" s="86"/>
      <x:c r="D1" s="86"/>
    </x:row>
    <x:row r="2">
      <x:c r="A2" s="42"/>
      <x:c r="B2" s="42"/>
      <x:c r="C2" s="42"/>
      <x:c r="D2" s="42"/>
    </x:row>
    <x:row r="3">
      <x:c r="A3" s="42" t="str">
        <x:v>Стартовые значения 43 ресурсов и 8 общественных процессов перенесены без изменения из согласованной сравнительной матрицы 16 стран. Базовые годовые приросты добавлены только для динамики 2026–2040. Профиль Индонезии отражает крупную природно-ресурсную, энергетическую и пространственную базу, огромный внутренний цифровой рынок и высокую социально-культурную применимость ИИ при слабой собственной полупроводниковой, компонентной и frontier-AI базе. Дипломатия соответствует согласованной направленной матрице 16×16.</x:v>
      </x:c>
      <x:c r="B3" s="42"/>
      <x:c r="C3" s="42"/>
      <x:c r="D3" s="42"/>
    </x:row>
    <x:row r="4">
      <x:c r="A4" s="42"/>
      <x:c r="B4" s="42"/>
      <x:c r="C4" s="42"/>
      <x:c r="D4" s="42"/>
    </x:row>
    <x:row r="5">
      <x:c r="A5" s="85" t="str">
        <x:v>Блок</x:v>
      </x:c>
      <x:c r="B5" s="85" t="str">
        <x:v>Логика / фактический якорь</x:v>
      </x:c>
      <x:c r="C5" s="85" t="str">
        <x:v>Источник</x:v>
      </x:c>
      <x:c r="D5" s="85" t="str">
        <x:v>URL</x:v>
      </x:c>
    </x:row>
    <x:row r="6">
      <x:c r="A6" s="42" t="str">
        <x:v>Природные ресурсы</x:v>
      </x:c>
      <x:c r="B6" s="42" t="str">
        <x:v>Индонезия располагает крупными запасами никеля и других критически важных минералов, значительными земельными и морскими ресурсами.</x:v>
      </x:c>
      <x:c r="C6" s="42" t="str">
        <x:v>Indonesia Ministry of Energy and Mineral Resources</x:v>
      </x:c>
      <x:c r="D6" s="42" t="str">
        <x:v>https://www.esdm.go.id/en/</x:v>
      </x:c>
    </x:row>
    <x:row r="7">
      <x:c r="A7" s="42" t="str">
        <x:v>Цифровая экономика</x:v>
      </x:c>
      <x:c r="B7" s="42" t="str">
        <x:v>Крупнейший цифровой рынок Юго-Восточной Азии поддерживает быстрое распространение платформ, финтеха и ИИ-сервисов.</x:v>
      </x:c>
      <x:c r="C7" s="42" t="str">
        <x:v>Indonesia Ministry of Communication and Digital Affairs</x:v>
      </x:c>
      <x:c r="D7" s="42" t="str">
        <x:v>https://www.komdigi.go.id/</x:v>
      </x:c>
    </x:row>
    <x:row r="8">
      <x:c r="A8" s="42" t="str">
        <x:v>Инновационная система</x:v>
      </x:c>
      <x:c r="B8" s="42" t="str">
        <x:v>Инновационная база быстро растёт, но по глубине научно-технологической и компонентной экосистемы страна пока уступает ведущим экономикам.</x:v>
      </x:c>
      <x:c r="C8" s="42" t="str">
        <x:v>WIPO — Global Innovation Index</x:v>
      </x:c>
      <x:c r="D8" s="42" t="str">
        <x:v>https://www.wipo.int/global_innovation_index/en/</x:v>
      </x:c>
    </x:row>
    <x:row r="9">
      <x:c r="A9" s="42" t="str">
        <x:v>ЦОД и сети</x:v>
      </x:c>
      <x:c r="B9" s="42" t="str">
        <x:v>Быстро расширяются телеком-сети, облачная инфраструктура и рынок дата-центров, чему способствует масштаб внутреннего спроса.</x:v>
      </x:c>
      <x:c r="C9" s="42" t="str">
        <x:v>Indonesia Ministry of Communication and Digital Affairs</x:v>
      </x:c>
      <x:c r="D9" s="42" t="str">
        <x:v>https://www.komdigi.go.id/</x:v>
      </x:c>
    </x:row>
    <x:row r="10">
      <x:c r="A10" s="42" t="str">
        <x:v>Кадры и образование</x:v>
      </x:c>
      <x:c r="B10" s="42" t="str">
        <x:v>Большое молодое население создаёт значительный потенциал цифровых кадров, хотя дефицит высококвалифицированных AI-специалистов сохраняется.</x:v>
      </x:c>
      <x:c r="C10" s="42" t="str">
        <x:v>World Bank — Indonesia</x:v>
      </x:c>
      <x:c r="D10" s="42" t="str">
        <x:v>https://www.worldbank.org/en/country/indonesia</x:v>
      </x:c>
    </x:row>
    <x:row r="11">
      <x:c r="A11" s="42" t="str">
        <x:v>Государственная цифровизация</x:v>
      </x:c>
      <x:c r="B11" s="42" t="str">
        <x:v>Национальные программы цифровой трансформации и интеграции госуслуг ускоряют внедрение данных и ИИ в государственном секторе.</x:v>
      </x:c>
      <x:c r="C11" s="42" t="str">
        <x:v>Government of Indonesia</x:v>
      </x:c>
      <x:c r="D11" s="42" t="str">
        <x:v>https://indonesia.go.id/</x:v>
      </x:c>
    </x:row>
    <x:row r="12">
      <x:c r="A12" s="42"/>
      <x:c r="B12" s="42"/>
      <x:c r="C12" s="42"/>
      <x:c r="D12" s="42"/>
    </x:row>
    <x:row r="13">
      <x:c r="A13" s="42"/>
      <x:c r="B13" s="42"/>
      <x:c r="C13" s="42"/>
      <x:c r="D13" s="42"/>
    </x:row>
    <x:row r="14">
      <x:c r="A14" s="42" t="str">
        <x:v>Ресурс</x:v>
      </x:c>
      <x:c r="B14" s="42" t="str">
        <x:v>Стартовая оценка</x:v>
      </x:c>
      <x:c r="C14" s="42" t="str">
        <x:v>Базовый годовой прирост</x:v>
      </x:c>
      <x:c r="D14" s="42"/>
    </x:row>
    <x:row r="15">
      <x:c r="A15" s="42" t="str">
        <x:v>Минерально-сырьевые ресурсы</x:v>
      </x:c>
      <x:c r="B15" s="42" t="n">
        <x:v>9</x:v>
      </x:c>
      <x:c r="C15" s="42" t="n">
        <x:v>0.05</x:v>
      </x:c>
      <x:c r="D15" s="42"/>
    </x:row>
    <x:row r="16">
      <x:c r="A16" s="42" t="str">
        <x:v>Химические и технологические материалы</x:v>
      </x:c>
      <x:c r="B16" s="42" t="n">
        <x:v>5.5</x:v>
      </x:c>
      <x:c r="C16" s="42" t="n">
        <x:v>0.15</x:v>
      </x:c>
      <x:c r="D16" s="42"/>
    </x:row>
    <x:row r="17">
      <x:c r="A17" s="42" t="str">
        <x:v>Энергетические ресурсы</x:v>
      </x:c>
      <x:c r="B17" s="42" t="n">
        <x:v>8</x:v>
      </x:c>
      <x:c r="C17" s="42" t="n">
        <x:v>0.1</x:v>
      </x:c>
      <x:c r="D17" s="42"/>
    </x:row>
    <x:row r="18">
      <x:c r="A18" s="42" t="str">
        <x:v>Вода и ресурс отвода тепла</x:v>
      </x:c>
      <x:c r="B18" s="42" t="n">
        <x:v>8</x:v>
      </x:c>
      <x:c r="C18" s="42" t="n">
        <x:v>0.05</x:v>
      </x:c>
      <x:c r="D18" s="42"/>
    </x:row>
    <x:row r="19">
      <x:c r="A19" s="42" t="str">
        <x:v>Пространственные и природно-географические ресурсы</x:v>
      </x:c>
      <x:c r="B19" s="42" t="n">
        <x:v>9</x:v>
      </x:c>
      <x:c r="C19" s="42" t="n">
        <x:v>0.05</x:v>
      </x:c>
      <x:c r="D19" s="42"/>
    </x:row>
    <x:row r="20">
      <x:c r="A20" s="85" t="str">
        <x:v>Мощности производства полупроводников</x:v>
      </x:c>
      <x:c r="B20" s="85" t="n">
        <x:v>2</x:v>
      </x:c>
      <x:c r="C20" s="85" t="n">
        <x:v>0.3</x:v>
      </x:c>
      <x:c r="D20" s="42"/>
    </x:row>
    <x:row r="21">
      <x:c r="A21" s="42" t="str">
        <x:v>Вычислительные компоненты</x:v>
      </x:c>
      <x:c r="B21" s="42" t="n">
        <x:v>4</x:v>
      </x:c>
      <x:c r="C21" s="42" t="n">
        <x:v>0.3</x:v>
      </x:c>
      <x:c r="D21" s="42"/>
    </x:row>
    <x:row r="22">
      <x:c r="A22" s="42" t="str">
        <x:v>ЦОД и вычислительная инфраструктура</x:v>
      </x:c>
      <x:c r="B22" s="42" t="n">
        <x:v>6.5</x:v>
      </x:c>
      <x:c r="C22" s="42" t="n">
        <x:v>0.35</x:v>
      </x:c>
      <x:c r="D22" s="42"/>
    </x:row>
    <x:row r="23">
      <x:c r="A23" s="42" t="str">
        <x:v>Сетевые ресурсы</x:v>
      </x:c>
      <x:c r="B23" s="42" t="n">
        <x:v>7</x:v>
      </x:c>
      <x:c r="C23" s="42" t="n">
        <x:v>0.25</x:v>
      </x:c>
      <x:c r="D23" s="42"/>
    </x:row>
    <x:row r="24">
      <x:c r="A24" s="42" t="str">
        <x:v>Конечные устройства</x:v>
      </x:c>
      <x:c r="B24" s="42" t="n">
        <x:v>7</x:v>
      </x:c>
      <x:c r="C24" s="42" t="n">
        <x:v>0.2</x:v>
      </x:c>
      <x:c r="D24" s="42"/>
    </x:row>
    <x:row r="25">
      <x:c r="A25" s="42" t="str">
        <x:v>Базовый программный стек вычислений</x:v>
      </x:c>
      <x:c r="B25" s="42" t="n">
        <x:v>6</x:v>
      </x:c>
      <x:c r="C25" s="42" t="n">
        <x:v>0.25</x:v>
      </x:c>
      <x:c r="D25" s="42"/>
    </x:row>
    <x:row r="26">
      <x:c r="A26" s="42" t="str">
        <x:v>Стек разработки ИИ</x:v>
      </x:c>
      <x:c r="B26" s="42" t="n">
        <x:v>6</x:v>
      </x:c>
      <x:c r="C26" s="42" t="n">
        <x:v>0.3</x:v>
      </x:c>
      <x:c r="D26" s="42"/>
    </x:row>
    <x:row r="27">
      <x:c r="A27" s="42" t="str">
        <x:v>Стек эксплуатации ИИ</x:v>
      </x:c>
      <x:c r="B27" s="42" t="n">
        <x:v>5.5</x:v>
      </x:c>
      <x:c r="C27" s="42" t="n">
        <x:v>0.3</x:v>
      </x:c>
      <x:c r="D27" s="42"/>
    </x:row>
    <x:row r="28">
      <x:c r="A28" s="42" t="str">
        <x:v>Математико-алгоритмические ресурсы</x:v>
      </x:c>
      <x:c r="B28" s="42" t="n">
        <x:v>6.5</x:v>
      </x:c>
      <x:c r="C28" s="42" t="n">
        <x:v>0.2</x:v>
      </x:c>
      <x:c r="D28" s="42"/>
    </x:row>
    <x:row r="29">
      <x:c r="A29" s="42" t="str">
        <x:v>Методы построения и совершенствования моделей</x:v>
      </x:c>
      <x:c r="B29" s="42" t="n">
        <x:v>6</x:v>
      </x:c>
      <x:c r="C29" s="42" t="n">
        <x:v>0.25</x:v>
      </x:c>
      <x:c r="D29" s="42"/>
    </x:row>
    <x:row r="30">
      <x:c r="A30" s="42" t="str">
        <x:v>Исходные данные</x:v>
      </x:c>
      <x:c r="B30" s="42" t="n">
        <x:v>8.5</x:v>
      </x:c>
      <x:c r="C30" s="42" t="n">
        <x:v>0.1</x:v>
      </x:c>
      <x:c r="D30" s="42"/>
    </x:row>
    <x:row r="31">
      <x:c r="A31" s="42" t="str">
        <x:v>Производные данные</x:v>
      </x:c>
      <x:c r="B31" s="42" t="n">
        <x:v>6.5</x:v>
      </x:c>
      <x:c r="C31" s="42" t="n">
        <x:v>0.25</x:v>
      </x:c>
      <x:c r="D31" s="42"/>
    </x:row>
    <x:row r="32">
      <x:c r="A32" s="42" t="str">
        <x:v>Контекстные информационные ресурсы</x:v>
      </x:c>
      <x:c r="B32" s="42" t="n">
        <x:v>7</x:v>
      </x:c>
      <x:c r="C32" s="42" t="n">
        <x:v>0.2</x:v>
      </x:c>
      <x:c r="D32" s="42"/>
    </x:row>
    <x:row r="33">
      <x:c r="A33" s="42" t="str">
        <x:v>Модельные ресурсы</x:v>
      </x:c>
      <x:c r="B33" s="42" t="n">
        <x:v>6</x:v>
      </x:c>
      <x:c r="C33" s="42" t="n">
        <x:v>0.3</x:v>
      </x:c>
      <x:c r="D33" s="42"/>
    </x:row>
    <x:row r="34">
      <x:c r="A34" s="42" t="str">
        <x:v>Ресурсы оценки</x:v>
      </x:c>
      <x:c r="B34" s="42" t="n">
        <x:v>6</x:v>
      </x:c>
      <x:c r="C34" s="42" t="n">
        <x:v>0.25</x:v>
      </x:c>
      <x:c r="D34" s="42"/>
    </x:row>
    <x:row r="35">
      <x:c r="A35" s="42" t="str">
        <x:v>Документационные ресурсы</x:v>
      </x:c>
      <x:c r="B35" s="42" t="n">
        <x:v>6</x:v>
      </x:c>
      <x:c r="C35" s="42" t="n">
        <x:v>0.2</x:v>
      </x:c>
      <x:c r="D35" s="42"/>
    </x:row>
    <x:row r="36">
      <x:c r="A36" s="42" t="str">
        <x:v>Права доступа к информационным ресурсам</x:v>
      </x:c>
      <x:c r="B36" s="42" t="n">
        <x:v>6</x:v>
      </x:c>
      <x:c r="C36" s="42" t="n">
        <x:v>0.2</x:v>
      </x:c>
      <x:c r="D36" s="42"/>
    </x:row>
    <x:row r="37">
      <x:c r="A37" s="42" t="str">
        <x:v>Кибербезопасностные ресурсы</x:v>
      </x:c>
      <x:c r="B37" s="42" t="n">
        <x:v>6.5</x:v>
      </x:c>
      <x:c r="C37" s="42" t="n">
        <x:v>0.25</x:v>
      </x:c>
      <x:c r="D37" s="42"/>
    </x:row>
    <x:row r="38">
      <x:c r="A38" s="42" t="str">
        <x:v>Квалифицированный человеческий ресурс</x:v>
      </x:c>
      <x:c r="B38" s="42" t="n">
        <x:v>7.5</x:v>
      </x:c>
      <x:c r="C38" s="42" t="n">
        <x:v>0.25</x:v>
      </x:c>
      <x:c r="D38" s="42"/>
    </x:row>
    <x:row r="39">
      <x:c r="A39" s="42" t="str">
        <x:v>Предметная экспертиза</x:v>
      </x:c>
      <x:c r="B39" s="42" t="n">
        <x:v>7.5</x:v>
      </x:c>
      <x:c r="C39" s="42" t="n">
        <x:v>0.15</x:v>
      </x:c>
      <x:c r="D39" s="42"/>
    </x:row>
    <x:row r="40">
      <x:c r="A40" s="42" t="str">
        <x:v>Оцифрованность деятельности</x:v>
      </x:c>
      <x:c r="B40" s="42" t="n">
        <x:v>7.5</x:v>
      </x:c>
      <x:c r="C40" s="42" t="n">
        <x:v>0.3</x:v>
      </x:c>
      <x:c r="D40" s="42"/>
    </x:row>
    <x:row r="41">
      <x:c r="A41" s="42" t="str">
        <x:v>Интеграционные ресурсы</x:v>
      </x:c>
      <x:c r="B41" s="42" t="n">
        <x:v>6.5</x:v>
      </x:c>
      <x:c r="C41" s="42" t="n">
        <x:v>0.3</x:v>
      </x:c>
      <x:c r="D41" s="42"/>
    </x:row>
    <x:row r="42">
      <x:c r="A42" s="42" t="str">
        <x:v>Организационная архитектура внедрения</x:v>
      </x:c>
      <x:c r="B42" s="42" t="n">
        <x:v>6.5</x:v>
      </x:c>
      <x:c r="C42" s="42" t="n">
        <x:v>0.25</x:v>
      </x:c>
      <x:c r="D42" s="42"/>
    </x:row>
    <x:row r="43">
      <x:c r="A43" s="42" t="str">
        <x:v>Организационная способность к изменению</x:v>
      </x:c>
      <x:c r="B43" s="42" t="n">
        <x:v>7.5</x:v>
      </x:c>
      <x:c r="C43" s="42" t="n">
        <x:v>0.25</x:v>
      </x:c>
      <x:c r="D43" s="42"/>
    </x:row>
    <x:row r="44">
      <x:c r="A44" s="42" t="str">
        <x:v>Финансовые ресурсы</x:v>
      </x:c>
      <x:c r="B44" s="42" t="n">
        <x:v>7</x:v>
      </x:c>
      <x:c r="C44" s="42" t="n">
        <x:v>0.25</x:v>
      </x:c>
      <x:c r="D44" s="42"/>
    </x:row>
    <x:row r="45">
      <x:c r="A45" s="42" t="str">
        <x:v>Поставщики и рынок технологических услуг</x:v>
      </x:c>
      <x:c r="B45" s="42" t="n">
        <x:v>7</x:v>
      </x:c>
      <x:c r="C45" s="42" t="n">
        <x:v>0.25</x:v>
      </x:c>
      <x:c r="D45" s="42"/>
    </x:row>
    <x:row r="46">
      <x:c r="A46" s="42" t="str">
        <x:v>Экономическая целесообразность</x:v>
      </x:c>
      <x:c r="B46" s="42" t="n">
        <x:v>8.5</x:v>
      </x:c>
      <x:c r="C46" s="42" t="n">
        <x:v>0.1</x:v>
      </x:c>
      <x:c r="D46" s="42"/>
    </x:row>
    <x:row r="47">
      <x:c r="A47" s="42" t="str">
        <x:v>Правовая среда</x:v>
      </x:c>
      <x:c r="B47" s="42" t="n">
        <x:v>6.5</x:v>
      </x:c>
      <x:c r="C47" s="42" t="n">
        <x:v>0.2</x:v>
      </x:c>
      <x:c r="D47" s="42"/>
    </x:row>
    <x:row r="48">
      <x:c r="A48" s="42" t="str">
        <x:v>Регуляторная и стандартная среда</x:v>
      </x:c>
      <x:c r="B48" s="42" t="n">
        <x:v>6.5</x:v>
      </x:c>
      <x:c r="C48" s="42" t="n">
        <x:v>0.2</x:v>
      </x:c>
      <x:c r="D48" s="42"/>
    </x:row>
    <x:row r="49">
      <x:c r="A49" s="42" t="str">
        <x:v>Институциональная инфраструктура</x:v>
      </x:c>
      <x:c r="B49" s="42" t="n">
        <x:v>6.5</x:v>
      </x:c>
      <x:c r="C49" s="42" t="n">
        <x:v>0.2</x:v>
      </x:c>
      <x:c r="D49" s="42"/>
    </x:row>
    <x:row r="50">
      <x:c r="A50" s="42" t="str">
        <x:v>Конкурентная и торговая среда</x:v>
      </x:c>
      <x:c r="B50" s="42" t="n">
        <x:v>7</x:v>
      </x:c>
      <x:c r="C50" s="42" t="n">
        <x:v>0.15</x:v>
      </x:c>
      <x:c r="D50" s="42"/>
    </x:row>
    <x:row r="51">
      <x:c r="A51" s="42" t="str">
        <x:v>Социальное доверие</x:v>
      </x:c>
      <x:c r="B51" s="42" t="n">
        <x:v>7.5</x:v>
      </x:c>
      <x:c r="C51" s="42" t="n">
        <x:v>0.15</x:v>
      </x:c>
      <x:c r="D51" s="42"/>
    </x:row>
    <x:row r="52">
      <x:c r="A52" s="42" t="str">
        <x:v>Готовность работников к использованию ИИ</x:v>
      </x:c>
      <x:c r="B52" s="42" t="n">
        <x:v>8</x:v>
      </x:c>
      <x:c r="C52" s="42" t="n">
        <x:v>0.3</x:v>
      </x:c>
      <x:c r="D52" s="42"/>
    </x:row>
    <x:row r="53">
      <x:c r="A53" s="42" t="str">
        <x:v>Локальная социально-культурная применимость</x:v>
      </x:c>
      <x:c r="B53" s="42" t="n">
        <x:v>10</x:v>
      </x:c>
      <x:c r="C53" s="42" t="n">
        <x:v>0</x:v>
      </x:c>
      <x:c r="D53" s="42"/>
    </x:row>
    <x:row r="54">
      <x:c r="A54" s="42" t="str">
        <x:v>Система управления ИИ</x:v>
      </x:c>
      <x:c r="B54" s="42" t="n">
        <x:v>6.5</x:v>
      </x:c>
      <x:c r="C54" s="42" t="n">
        <x:v>0.25</x:v>
      </x:c>
      <x:c r="D54" s="42"/>
    </x:row>
    <x:row r="55">
      <x:c r="A55" s="42" t="str">
        <x:v>Поствнедренческий мониторинг</x:v>
      </x:c>
      <x:c r="B55" s="42" t="n">
        <x:v>6</x:v>
      </x:c>
      <x:c r="C55" s="42" t="n">
        <x:v>0.25</x:v>
      </x:c>
      <x:c r="D55" s="42"/>
    </x:row>
    <x:row r="56">
      <x:c r="A56" s="42" t="str">
        <x:v>Ресурс обновления и восстановления</x:v>
      </x:c>
      <x:c r="B56" s="42" t="n">
        <x:v>6</x:v>
      </x:c>
      <x:c r="C56" s="42" t="n">
        <x:v>0.25</x:v>
      </x:c>
      <x:c r="D56" s="42"/>
    </x:row>
    <x:row r="57">
      <x:c r="A57" s="42" t="str">
        <x:v>Ресурс утилизации и воспроизводства физической базы</x:v>
      </x:c>
      <x:c r="B57" s="42" t="n">
        <x:v>5.5</x:v>
      </x:c>
      <x:c r="C57" s="42" t="n">
        <x:v>0.2</x:v>
      </x:c>
      <x:c r="D57" s="42"/>
    </x:row>
    <x:row r="58">
      <x:c r="A58" s="42"/>
      <x:c r="B58" s="42"/>
      <x:c r="C58" s="42"/>
      <x:c r="D58" s="42"/>
    </x:row>
    <x:row r="59">
      <x:c r="A59" s="42"/>
      <x:c r="B59" s="42"/>
      <x:c r="C59" s="42"/>
      <x:c r="D59" s="42"/>
    </x:row>
    <x:row r="60">
      <x:c r="A60" s="42" t="str">
        <x:v>Сфера внедрения ИИ</x:v>
      </x:c>
      <x:c r="B60" s="42" t="str">
        <x:v>Стартовая оценка</x:v>
      </x:c>
      <x:c r="C60" s="42" t="str">
        <x:v>Базовый годовой прирост</x:v>
      </x:c>
      <x:c r="D60" s="42"/>
    </x:row>
    <x:row r="61">
      <x:c r="A61" s="42" t="str">
        <x:v>Производство</x:v>
      </x:c>
      <x:c r="B61" s="42" t="n">
        <x:v>6.5</x:v>
      </x:c>
      <x:c r="C61" s="42" t="n">
        <x:v>0.35</x:v>
      </x:c>
      <x:c r="D61" s="42"/>
    </x:row>
    <x:row r="62">
      <x:c r="A62" s="42" t="str">
        <x:v>Управление</x:v>
      </x:c>
      <x:c r="B62" s="42" t="n">
        <x:v>6.5</x:v>
      </x:c>
      <x:c r="C62" s="42" t="n">
        <x:v>0.3</x:v>
      </x:c>
      <x:c r="D62" s="42"/>
    </x:row>
    <x:row r="63">
      <x:c r="A63" s="42" t="str">
        <x:v>Познание</x:v>
      </x:c>
      <x:c r="B63" s="42" t="n">
        <x:v>6.5</x:v>
      </x:c>
      <x:c r="C63" s="42" t="n">
        <x:v>0.3</x:v>
      </x:c>
      <x:c r="D63" s="42"/>
    </x:row>
    <x:row r="64">
      <x:c r="A64" s="42" t="str">
        <x:v>Обучение</x:v>
      </x:c>
      <x:c r="B64" s="42" t="n">
        <x:v>6.5</x:v>
      </x:c>
      <x:c r="C64" s="42" t="n">
        <x:v>0.35</x:v>
      </x:c>
      <x:c r="D64" s="42"/>
    </x:row>
    <x:row r="65">
      <x:c r="A65" s="85" t="str">
        <x:v>Война</x:v>
      </x:c>
      <x:c r="B65" s="85" t="n">
        <x:v>5.5</x:v>
      </x:c>
      <x:c r="C65" s="85" t="n">
        <x:v>0.25</x:v>
      </x:c>
      <x:c r="D65" s="42"/>
    </x:row>
    <x:row r="66">
      <x:c r="A66" s="42" t="str">
        <x:v>Экономика</x:v>
      </x:c>
      <x:c r="B66" s="42" t="n">
        <x:v>7.5</x:v>
      </x:c>
      <x:c r="C66" s="42" t="n">
        <x:v>0.35</x:v>
      </x:c>
      <x:c r="D66" s="42"/>
    </x:row>
    <x:row r="67">
      <x:c r="A67" s="42" t="str">
        <x:v>Государственное управление</x:v>
      </x:c>
      <x:c r="B67" s="42" t="n">
        <x:v>7.5</x:v>
      </x:c>
      <x:c r="C67" s="42" t="n">
        <x:v>0.35</x:v>
      </x:c>
      <x:c r="D67" s="42"/>
    </x:row>
    <x:row r="68">
      <x:c r="A68" s="42" t="str">
        <x:v>Принятие ИИ</x:v>
      </x:c>
      <x:c r="B68" s="42" t="n">
        <x:v>9</x:v>
      </x:c>
      <x:c r="C68" s="42" t="n">
        <x:v>0.2</x:v>
      </x:c>
      <x:c r="D68" s="42"/>
    </x:row>
    <x:row r="69">
      <x:c r="A69" s="42"/>
      <x:c r="B69" s="42"/>
      <x:c r="C69" s="42"/>
      <x:c r="D69" s="42"/>
    </x:row>
    <x:row r="70">
      <x:c r="A70" s="42"/>
      <x:c r="B70" s="42"/>
      <x:c r="C70" s="42"/>
      <x:c r="D70" s="42"/>
    </x:row>
    <x:row r="71">
      <x:c r="A71" s="42" t="str">
        <x:v>Страна</x:v>
      </x:c>
      <x:c r="B71" s="42" t="str">
        <x:v>Код отношений</x:v>
      </x:c>
      <x:c r="C71" s="42" t="str">
        <x:v>Статус</x:v>
      </x:c>
      <x:c r="D71" s="42" t="str">
        <x:v>Логика стартовой оценки</x:v>
      </x:c>
    </x:row>
    <x:row r="72">
      <x:c r="A72" s="42" t="str">
        <x:v>Россия</x:v>
      </x:c>
      <x:c r="B72" s="42" t="n">
        <x:v>2</x:v>
      </x:c>
      <x:c r="C72" s="42" t="str">
        <x:v>Партнёрство</x:v>
      </x:c>
      <x:c r="D72" s="42" t="str">
        <x:v>Положительные политические и торговые отношения, взаимодействие по линии Глобального Юга и многосторонних форматов.</x:v>
      </x:c>
    </x:row>
    <x:row r="73">
      <x:c r="A73" s="42" t="str">
        <x:v>США</x:v>
      </x:c>
      <x:c r="B73" s="42" t="n">
        <x:v>2.3</x:v>
      </x:c>
      <x:c r="C73" s="42" t="str">
        <x:v>Стратегическое партнёрство</x:v>
      </x:c>
      <x:c r="D73" s="42" t="str">
        <x:v>Развитое стратегическое, экономическое и оборонное сотрудничество при сохранении внешнеполитической самостоятельности Индонезии.</x:v>
      </x:c>
    </x:row>
    <x:row r="74">
      <x:c r="A74" s="42" t="str">
        <x:v>Китай</x:v>
      </x:c>
      <x:c r="B74" s="42" t="n">
        <x:v>2.7</x:v>
      </x:c>
      <x:c r="C74" s="42" t="str">
        <x:v>Стратегическое партнёрство</x:v>
      </x:c>
      <x:c r="D74" s="42" t="str">
        <x:v>Очень тесные торговые, инвестиционные и инфраструктурные связи при осторожном балансировании по вопросам Южно-Китайского моря.</x:v>
      </x:c>
    </x:row>
    <x:row r="75">
      <x:c r="A75" s="85" t="str">
        <x:v>Индия</x:v>
      </x:c>
      <x:c r="B75" s="85" t="n">
        <x:v>2.3</x:v>
      </x:c>
      <x:c r="C75" s="85" t="str">
        <x:v>Стратегическое партнёрство</x:v>
      </x:c>
      <x:c r="D75" s="85" t="str">
        <x:v>Крупное стратегическое партнёрство в Индо-Тихоокеанском регионе, торговля, морская безопасность и взаимодействие стран Глобального Юга.</x:v>
      </x:c>
    </x:row>
    <x:row r="76">
      <x:c r="A76" s="42" t="str">
        <x:v>Великобритания</x:v>
      </x:c>
      <x:c r="B76" s="42" t="n">
        <x:v>1.8</x:v>
      </x:c>
      <x:c r="C76" s="42" t="str">
        <x:v>Партнёрство</x:v>
      </x:c>
      <x:c r="D76" s="42" t="str">
        <x:v>Положительные торговые, инвестиционные и политические отношения без тесного военно-политического союза.</x:v>
      </x:c>
    </x:row>
    <x:row r="77">
      <x:c r="A77" s="42" t="str">
        <x:v>Франция</x:v>
      </x:c>
      <x:c r="B77" s="42" t="n">
        <x:v>1.8</x:v>
      </x:c>
      <x:c r="C77" s="42" t="str">
        <x:v>Партнёрство</x:v>
      </x:c>
      <x:c r="D77" s="42" t="str">
        <x:v>Развивающиеся оборонные, технологические и экономические связи и растущее взаимодействие в Индо-Тихоокеанском регионе.</x:v>
      </x:c>
    </x:row>
    <x:row r="78">
      <x:c r="A78" s="42" t="str">
        <x:v>Германия</x:v>
      </x:c>
      <x:c r="B78" s="42" t="n">
        <x:v>1.7</x:v>
      </x:c>
      <x:c r="C78" s="42" t="str">
        <x:v>Партнёрство</x:v>
      </x:c>
      <x:c r="D78" s="42" t="str">
        <x:v>Положительные промышленные, инвестиционные и климатические связи, сотрудничество в энергетическом переходе.</x:v>
      </x:c>
    </x:row>
    <x:row r="79">
      <x:c r="A79" s="42" t="str">
        <x:v>Япония</x:v>
      </x:c>
      <x:c r="B79" s="42" t="n">
        <x:v>2.9</x:v>
      </x:c>
      <x:c r="C79" s="42" t="str">
        <x:v>Стратегическое партнёрство</x:v>
      </x:c>
      <x:c r="D79" s="42" t="str">
        <x:v>Очень тесное стратегическое и экономическое партнёрство, крупные инфраструктурные инвестиции и многолетние промышленные связи.</x:v>
      </x:c>
    </x:row>
    <x:row r="80">
      <x:c r="A80" s="42" t="str">
        <x:v>Южная Корея</x:v>
      </x:c>
      <x:c r="B80" s="42" t="n">
        <x:v>2.4</x:v>
      </x:c>
      <x:c r="C80" s="42" t="str">
        <x:v>Стратегическое партнёрство</x:v>
      </x:c>
      <x:c r="D80" s="42" t="str">
        <x:v>Стратегическое партнёрство, тесные промышленные, оборонные и инвестиционные связи.</x:v>
      </x:c>
    </x:row>
    <x:row r="81">
      <x:c r="A81" s="42" t="str">
        <x:v>Турция</x:v>
      </x:c>
      <x:c r="B81" s="42" t="n">
        <x:v>2.5</x:v>
      </x:c>
      <x:c r="C81" s="42" t="str">
        <x:v>Стратегическое партнёрство</x:v>
      </x:c>
      <x:c r="D81" s="42" t="str">
        <x:v>Тесные политические и культурные связи, развивающееся оборонное, торговое и технологическое партнёрство.</x:v>
      </x:c>
    </x:row>
    <x:row r="82">
      <x:c r="A82" s="42" t="str">
        <x:v>Саудовская Аравия</x:v>
      </x:c>
      <x:c r="B82" s="42" t="n">
        <x:v>2.4</x:v>
      </x:c>
      <x:c r="C82" s="42" t="str">
        <x:v>Стратегическое партнёрство</x:v>
      </x:c>
      <x:c r="D82" s="42" t="str">
        <x:v>Сильные религиозно-культурные, инвестиционные и торговые связи, взаимодействие в исламских международных институтах.</x:v>
      </x:c>
    </x:row>
    <x:row r="83">
      <x:c r="A83" s="42" t="str">
        <x:v>Иран</x:v>
      </x:c>
      <x:c r="B83" s="42" t="n">
        <x:v>1.6</x:v>
      </x:c>
      <x:c r="C83" s="42" t="str">
        <x:v>Партнёрство</x:v>
      </x:c>
      <x:c r="D83" s="42" t="str">
        <x:v>Положительные политические, торговые и религиозно-культурные отношения без тесного военно-политического союза.</x:v>
      </x:c>
    </x:row>
    <x:row r="84">
      <x:c r="A84" s="42" t="str">
        <x:v>Израиль</x:v>
      </x:c>
      <x:c r="B84" s="42" t="n">
        <x:v>-1.2</x:v>
      </x:c>
      <x:c r="C84" s="42" t="str">
        <x:v>Конфронтация</x:v>
      </x:c>
      <x:c r="D84" s="42" t="str">
        <x:v>Полноценные дипломатические отношения отсутствуют; контакты ограничены прежде всего палестинским вопросом.</x:v>
      </x:c>
    </x:row>
    <x:row r="85">
      <x:c r="A85" s="42" t="str">
        <x:v>Бразилия</x:v>
      </x:c>
      <x:c r="B85" s="42" t="n">
        <x:v>2</x:v>
      </x:c>
      <x:c r="C85" s="42" t="str">
        <x:v>Партнёрство</x:v>
      </x:c>
      <x:c r="D85" s="42" t="str">
        <x:v>Позитивное взаимодействие крупных стран Глобального Юга, сотрудничество в G20, торговле и многосторонних форматах.</x:v>
      </x:c>
    </x:row>
    <x:row r="86">
      <x:c r="A86" s="42" t="str">
        <x:v>ОАЭ</x:v>
      </x:c>
      <x:c r="B86" s="42" t="n">
        <x:v>2.3</x:v>
      </x:c>
      <x:c r="C86" s="42" t="str">
        <x:v>Стратегическое партнёрство</x:v>
      </x:c>
      <x:c r="D86" s="42" t="str">
        <x:v>Развитые политические, инвестиционные и экономические связи, включая инфраструктурные и цифровые проекты.</x:v>
      </x:c>
    </x:row>
    <x:row r="87">
      <x:c r="A87" s="42" t="str">
        <x:v>Прочее</x:v>
      </x:c>
      <x:c r="B87" s="42" t="n">
        <x:v>0</x:v>
      </x:c>
      <x:c r="C87" s="42" t="str">
        <x:v>Нейтралитет</x:v>
      </x:c>
      <x:c r="D87" s="42" t="str">
        <x:v>Усреднённый нейтральный уровень для государств, не выделенных отдельной строкой.</x:v>
      </x:c>
    </x:row>
    <x:row r="88">
      <x:c r="A88" s="42"/>
      <x:c r="B88" s="42"/>
      <x:c r="C88" s="42"/>
      <x:c r="D88" s="42"/>
    </x:row>
    <x:row r="89">
      <x:c r="A89" s="42"/>
      <x:c r="B89" s="42"/>
      <x:c r="C89" s="42"/>
      <x:c r="D89" s="42"/>
    </x:row>
    <x:row r="90">
      <x:c r="A90" s="42"/>
      <x:c r="B90" s="42"/>
      <x:c r="C90" s="42"/>
      <x:c r="D90" s="42"/>
    </x:row>
    <x:row r="91">
      <x:c r="A91" s="42"/>
      <x:c r="B91" s="42"/>
      <x:c r="C91" s="42"/>
      <x:c r="D91" s="42"/>
    </x:row>
  </x:sheetData>
  <x:mergeCells>
    <x:mergeCell ref="A1:D1"/>
    <x:mergeCell ref="A3:D3"/>
  </x:mergeCells>
  <x:pageMargins left="0.7" right="0.7" top="0.75" bottom="0.75" header="0.3" footer="0.3"/>
</x:worksheet>
</file>