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49c60d14a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ологии" sheetId="1" r:id="R78205ced72274a54"/>
    <x:sheet xmlns:r="http://schemas.openxmlformats.org/officeDocument/2006/relationships" name="Иран 2026" sheetId="2" r:id="Rf9deafc5e61d4115"/>
    <x:sheet xmlns:r="http://schemas.openxmlformats.org/officeDocument/2006/relationships" name="Ход 2026" sheetId="3" r:id="R93a4327c736a413b"/>
    <x:sheet xmlns:r="http://schemas.openxmlformats.org/officeDocument/2006/relationships" name="Иран 2027" sheetId="4" r:id="R64799d501d494140"/>
    <x:sheet xmlns:r="http://schemas.openxmlformats.org/officeDocument/2006/relationships" name="Ход 2027" sheetId="5" r:id="R7a68ce45d3964ee1"/>
    <x:sheet xmlns:r="http://schemas.openxmlformats.org/officeDocument/2006/relationships" name="Иран 2028" sheetId="6" r:id="Rcab1f0297fd545d7"/>
    <x:sheet xmlns:r="http://schemas.openxmlformats.org/officeDocument/2006/relationships" name="Ход 2028" sheetId="7" r:id="Rbaca94e482d84674"/>
    <x:sheet xmlns:r="http://schemas.openxmlformats.org/officeDocument/2006/relationships" name="Иран 2029" sheetId="8" r:id="Ra99737af09ba428f"/>
    <x:sheet xmlns:r="http://schemas.openxmlformats.org/officeDocument/2006/relationships" name="Ход 2029" sheetId="9" r:id="R45c746b9f28e4622"/>
    <x:sheet xmlns:r="http://schemas.openxmlformats.org/officeDocument/2006/relationships" name="Иран 2030" sheetId="10" r:id="R070356d1319345d7"/>
    <x:sheet xmlns:r="http://schemas.openxmlformats.org/officeDocument/2006/relationships" name="Ход 2030" sheetId="11" r:id="R501aa0248df74e64"/>
    <x:sheet xmlns:r="http://schemas.openxmlformats.org/officeDocument/2006/relationships" name="Иран 2031" sheetId="12" r:id="R4ee61ef3a6794a1a"/>
    <x:sheet xmlns:r="http://schemas.openxmlformats.org/officeDocument/2006/relationships" name="Ход 2031" sheetId="13" r:id="R2d86ba63d5814de4"/>
    <x:sheet xmlns:r="http://schemas.openxmlformats.org/officeDocument/2006/relationships" name="Иран 2032" sheetId="14" r:id="R52be9069cb214053"/>
    <x:sheet xmlns:r="http://schemas.openxmlformats.org/officeDocument/2006/relationships" name="Ход 2032" sheetId="15" r:id="Rb98d06b3471e4b6e"/>
    <x:sheet xmlns:r="http://schemas.openxmlformats.org/officeDocument/2006/relationships" name="Иран 2033" sheetId="16" r:id="R6c863e700d194ae3"/>
    <x:sheet xmlns:r="http://schemas.openxmlformats.org/officeDocument/2006/relationships" name="Ход 2033" sheetId="17" r:id="Rfa89d90feda046f1"/>
    <x:sheet xmlns:r="http://schemas.openxmlformats.org/officeDocument/2006/relationships" name="Иран 2034" sheetId="18" r:id="Rf6af960671fc4ef7"/>
    <x:sheet xmlns:r="http://schemas.openxmlformats.org/officeDocument/2006/relationships" name="Ход 2034" sheetId="19" r:id="R8f0f2278ca6a4ccf"/>
    <x:sheet xmlns:r="http://schemas.openxmlformats.org/officeDocument/2006/relationships" name="Иран 2035" sheetId="20" r:id="R4bfd0ced0f6b43c1"/>
    <x:sheet xmlns:r="http://schemas.openxmlformats.org/officeDocument/2006/relationships" name="Ход 2035" sheetId="21" r:id="Rfc3d3cb889304fc1"/>
    <x:sheet xmlns:r="http://schemas.openxmlformats.org/officeDocument/2006/relationships" name="Иран 2036" sheetId="22" r:id="R3454d0fc499947b9"/>
    <x:sheet xmlns:r="http://schemas.openxmlformats.org/officeDocument/2006/relationships" name="Ход 2036" sheetId="23" r:id="R52b6d32041eb490e"/>
    <x:sheet xmlns:r="http://schemas.openxmlformats.org/officeDocument/2006/relationships" name="Иран 2037" sheetId="24" r:id="Re727ddb62351477d"/>
    <x:sheet xmlns:r="http://schemas.openxmlformats.org/officeDocument/2006/relationships" name="Ход 2037" sheetId="25" r:id="Rc72ddd2608c0454b"/>
    <x:sheet xmlns:r="http://schemas.openxmlformats.org/officeDocument/2006/relationships" name="Иран 2038" sheetId="26" r:id="R777dfc7b74394ecc"/>
    <x:sheet xmlns:r="http://schemas.openxmlformats.org/officeDocument/2006/relationships" name="Ход 2038" sheetId="27" r:id="R6e9df29dabf04fbf"/>
    <x:sheet xmlns:r="http://schemas.openxmlformats.org/officeDocument/2006/relationships" name="Иран 2039" sheetId="28" r:id="R610e5c0ce45044ef"/>
    <x:sheet xmlns:r="http://schemas.openxmlformats.org/officeDocument/2006/relationships" name="Ход 2039" sheetId="29" r:id="R125f425f76024ef7"/>
    <x:sheet xmlns:r="http://schemas.openxmlformats.org/officeDocument/2006/relationships" name="Иран 2040" sheetId="30" r:id="Rf1b12e42d8484ab1"/>
    <x:sheet xmlns:r="http://schemas.openxmlformats.org/officeDocument/2006/relationships" name="Ход 2040" sheetId="31" r:id="Rd48c37a29d194e15"/>
    <x:sheet xmlns:r="http://schemas.openxmlformats.org/officeDocument/2006/relationships" name="Иран конец 2040" sheetId="32" r:id="R4b964efa773a4529"/>
    <x:sheet xmlns:r="http://schemas.openxmlformats.org/officeDocument/2006/relationships" name="Эффекты технологий" sheetId="33" r:id="Ra1199863de764909"/>
  </x:sheets>
</x:workbook>
</file>

<file path=xl/sharedStrings.xml><?xml version="1.0" encoding="utf-8"?>
<x:sst xmlns:x="http://schemas.openxmlformats.org/spreadsheetml/2006/main">
  <x:si>
    <x:t xml:space="preserve">ДЕРЕВО ТЕХНОЛОГИЙ — 15 ХОДОВ</x:t>
  </x:si>
  <x:si>
    <x:t xml:space="preserve"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x:t>
  </x:si>
  <x:si>
    <x:t xml:space="preserve">ВСЕГО ТЕХНОЛОГИЙ</x:t>
  </x:si>
  <x:si>
    <x:t xml:space="preserve">ОСНОВНЫХ ВЕТВЕЙ</x:t>
  </x:si>
  <x:si>
    <x:t xml:space="preserve">МЕЖВЕТВЕВЫХ</x:t>
  </x:si>
  <x:si>
    <x:t xml:space="preserve">СТАРТОВО ОТКРЫТО</x:t>
  </x:si>
  <x:si>
    <x:t xml:space="preserve">ID</x:t>
  </x:si>
  <x:si>
    <x:t xml:space="preserve">Ветвь</x:t>
  </x:si>
  <x:si>
    <x:t xml:space="preserve">Уровень</x:t>
  </x:si>
  <x:si>
    <x:t xml:space="preserve">Технология</x:t>
  </x:si>
  <x:si>
    <x:t xml:space="preserve">Цена науки</x:t>
  </x:si>
  <x:si>
    <x:t xml:space="preserve">Требование 1</x:t>
  </x:si>
  <x:si>
    <x:t xml:space="preserve">Требование 2</x:t>
  </x:si>
  <x:si>
    <x:t xml:space="preserve">Требование 3</x:t>
  </x:si>
  <x:si>
    <x:t xml:space="preserve">Суть</x:t>
  </x:si>
  <x:si>
    <x:t xml:space="preserve">Игровой эффект</x:t>
  </x:si>
  <x:si>
    <x:t xml:space="preserve">Вложено 2026</x:t>
  </x:si>
  <x:si>
    <x:t xml:space="preserve">Вложено 2027</x:t>
  </x:si>
  <x:si>
    <x:t xml:space="preserve">Вложено 2028</x:t>
  </x:si>
  <x:si>
    <x:t xml:space="preserve">Вложено 2029</x:t>
  </x:si>
  <x:si>
    <x:t xml:space="preserve">Вложено 2030</x:t>
  </x:si>
  <x:si>
    <x:t xml:space="preserve">Вложено 2031</x:t>
  </x:si>
  <x:si>
    <x:t xml:space="preserve">Вложено 2032</x:t>
  </x:si>
  <x:si>
    <x:t xml:space="preserve">Вложено 2033</x:t>
  </x:si>
  <x:si>
    <x:t xml:space="preserve">Вложено 2034</x:t>
  </x:si>
  <x:si>
    <x:t xml:space="preserve">Вложено 2035</x:t>
  </x:si>
  <x:si>
    <x:t xml:space="preserve">Вложено 2036</x:t>
  </x:si>
  <x:si>
    <x:t xml:space="preserve">Вложено 2037</x:t>
  </x:si>
  <x:si>
    <x:t xml:space="preserve">Вложено 2038</x:t>
  </x:si>
  <x:si>
    <x:t xml:space="preserve">Вложено 2039</x:t>
  </x:si>
  <x:si>
    <x:t xml:space="preserve">Вложено 2040</x:t>
  </x:si>
  <x:si>
    <x:t xml:space="preserve">Накоплено всего</x:t>
  </x:si>
  <x:si>
    <x:t xml:space="preserve">Осталось</x:t>
  </x:si>
  <x:si>
    <x:t xml:space="preserve">Текущий статус</x:t>
  </x:si>
  <x:si>
    <x:t xml:space="preserve">Σ 2026</x:t>
  </x:si>
  <x:si>
    <x:t xml:space="preserve">Σ 2027</x:t>
  </x:si>
  <x:si>
    <x:t xml:space="preserve">Σ 2028</x:t>
  </x:si>
  <x:si>
    <x:t xml:space="preserve">Σ 2029</x:t>
  </x:si>
  <x:si>
    <x:t xml:space="preserve">Σ 2030</x:t>
  </x:si>
  <x:si>
    <x:t xml:space="preserve">Σ 2031</x:t>
  </x:si>
  <x:si>
    <x:t xml:space="preserve">Σ 2032</x:t>
  </x:si>
  <x:si>
    <x:t xml:space="preserve">Σ 2033</x:t>
  </x:si>
  <x:si>
    <x:t xml:space="preserve">Σ 2034</x:t>
  </x:si>
  <x:si>
    <x:t xml:space="preserve">Σ 2035</x:t>
  </x:si>
  <x:si>
    <x:t xml:space="preserve">Σ 2036</x:t>
  </x:si>
  <x:si>
    <x:t xml:space="preserve">Σ 2037</x:t>
  </x:si>
  <x:si>
    <x:t xml:space="preserve">Σ 2038</x:t>
  </x:si>
  <x:si>
    <x:t xml:space="preserve">Σ 2039</x:t>
  </x:si>
  <x:si>
    <x:t xml:space="preserve">Σ 2040</x:t>
  </x:si>
  <x:si>
    <x:t xml:space="preserve">Статус 2026</x:t>
  </x:si>
  <x:si>
    <x:t xml:space="preserve">Статус 2027</x:t>
  </x:si>
  <x:si>
    <x:t xml:space="preserve">Статус 2028</x:t>
  </x:si>
  <x:si>
    <x:t xml:space="preserve">Статус 2029</x:t>
  </x:si>
  <x:si>
    <x:t xml:space="preserve">Статус 2030</x:t>
  </x:si>
  <x:si>
    <x:t xml:space="preserve">Статус 2031</x:t>
  </x:si>
  <x:si>
    <x:t xml:space="preserve">Статус 2032</x:t>
  </x:si>
  <x:si>
    <x:t xml:space="preserve">Статус 2033</x:t>
  </x:si>
  <x:si>
    <x:t xml:space="preserve">Статус 2034</x:t>
  </x:si>
  <x:si>
    <x:t xml:space="preserve">Статус 2035</x:t>
  </x:si>
  <x:si>
    <x:t xml:space="preserve">Статус 2036</x:t>
  </x:si>
  <x:si>
    <x:t xml:space="preserve">Статус 2037</x:t>
  </x:si>
  <x:si>
    <x:t xml:space="preserve">Статус 2038</x:t>
  </x:si>
  <x:si>
    <x:t xml:space="preserve">Статус 2039</x:t>
  </x:si>
  <x:si>
    <x:t xml:space="preserve">Статус 2040</x:t>
  </x:si>
  <x:si>
    <x:t xml:space="preserve">Год изучения</x:t>
  </x:si>
  <x:si>
    <x:t xml:space="preserve">Эффект с года</x:t>
  </x:si>
  <x:si>
    <x:t xml:space="preserve">C1</x:t>
  </x:si>
  <x:si>
    <x:t xml:space="preserve">Вычисления и аппаратная база</x:t>
  </x:si>
  <x:si>
    <x:t xml:space="preserve">I</x:t>
  </x:si>
  <x:si>
    <x:t xml:space="preserve">GPU-узлы с тензорными ядрами</x:t>
  </x:si>
  <x:si>
    <x:t xml:space="preserve">Технология означает освоение серверных узлов на графических процессорах, выполняющих матричные операции при обучении и применении нейросетей. Государство получает доступ к относительно универсальной аппаратной базе, которую можно использовать для разных моделей без изготовления собственного процессора. Такой шаг повышает вычислительный потенциал и создаёт основу для специализированных ускорителей и крупных кластеров. На первом уровне инфраструктура достаточно ограничена, поэтому отдельный ресурсный штраф не вводится.</x:t>
  </x:si>
  <x:si>
    <x:t xml:space="preserve">+ Вычислительные компоненты: +0,20</x:t>
  </x:si>
  <x:si>
    <x:t xml:space="preserve">C2</x:t>
  </x:si>
  <x:si>
    <x:t xml:space="preserve">II</x:t>
  </x:si>
  <x:si>
    <x:t xml:space="preserve">ASIC-ускорители с памятью HBM</x:t>
  </x:si>
  <x:si>
    <x:t xml:space="preserve">Специализированные интегральные схемы ASIC разрабатываются под определённые нейросетевые операции, а память HBM обеспечивает высокую пропускную способность доступа к данным. Вместе с аппаратурой развиваются драйверы, компиляторы и программные библиотеки. Выигрыш состоит в повышении производительности и лучшей согласованности программной и аппаратной частей. Производство таких ускорителей требует дополнительных металлов и редких материалов, поэтому технология уменьшает доступный сырьевой ресурс.</x:t>
  </x:si>
  <x:si>
    <x:t xml:space="preserve">+ Вычислительные компоненты: +0,30; + Базовый программный стек вычислений: +0,20; − Минерально-сырьевые ресурсы: -0,15</x:t>
  </x:si>
  <x:si>
    <x:t xml:space="preserve">C3</x:t>
  </x:si>
  <x:si>
    <x:t xml:space="preserve">Чиплетная компоновка ИИ-процессоров 2.5D/3D</x:t>
  </x:si>
  <x:si>
    <x:t xml:space="preserve">Вместо одного большого кристалла процессор собирается из нескольких функциональных чиплетов, соединённых высокоплотной подложкой или многослойной компоновкой. Это позволяет комбинировать вычислительные блоки, память и ввод-вывод, а также развивать передовые производственные процессы. Технология даёт сразу три промышленных преимущества, но нуждается в более сложных производственных линиях и материальной базе. Сырьевой штраф здесь больше, чем у C2, отражая масштаб и сложность развёртывания.</x:t>
  </x:si>
  <x:si>
    <x:t xml:space="preserve">+ Мощности производства полупроводников: +0,40; + Вычислительные компоненты: +0,20; + Химические и технологические материалы: +0,20; − Минерально-сырьевые ресурсы: -0,40</x:t>
  </x:si>
  <x:si>
    <x:t xml:space="preserve">C4</x:t>
  </x:si>
  <x:si>
    <x:t xml:space="preserve">III</x:t>
  </x:si>
  <x:si>
    <x:t xml:space="preserve">Гетерогенные вычислительные кластеры</x:t>
  </x:si>
  <x:si>
    <x:t xml:space="preserve">Кластер объединяет центральные процессоры, графические ускорители и специализированные ASIC в общую систему с распределённым управлением вычислениями. Основную роль играют планировщики задач, высокоскоростные соединения и согласованное использование памяти и ресурсов. Государство получает не просто отдельные чипы, а инфраструктуру промышленного масштаба. Такая концентрация оборудования увеличивает потребление электроэнергии и потребность в охлаждении, из-за чего появляются два постоянных ресурсных штрафа.</x:t>
  </x:si>
  <x:si>
    <x:t xml:space="preserve">+ ЦОД и вычислительная инфраструктура: +0,40; + Стек эксплуатации ИИ: +0,20; + Сетевые ресурсы: +0,20; + Вычислительные компоненты: +0,20; − Энергетические ресурсы: -0,25; − Вода и ресурс отвода тепла: -0,20</x:t>
  </x:si>
  <x:si>
    <x:t xml:space="preserve">C5</x:t>
  </x:si>
  <x:si>
    <x:t xml:space="preserve">IV</x:t>
  </x:si>
  <x:si>
    <x:t xml:space="preserve">Распределённые ЦОД с оптическими магистралями</x:t>
  </x:si>
  <x:si>
    <x:t xml:space="preserve">Географически разделённые вычислительные центры связываются оптическими каналами высокой пропускной способности и могут совместно предоставлять вычисления для обучения и эксплуатации моделей. Такая архитектура повышает устойчивость инфраструктуры и даёт преимущество в борьбе за цифровые потоки, что отражено бонусом к защите от войны Афины. Однако страна вынуждена размещать новые площадки, создавать энергоузлы и охлаждение, прокладывать сетевые магистрали. Поэтому увеличение цифровой устойчивости оплачивается тремя материальными ограничениями.</x:t>
  </x:si>
  <x:si>
    <x:t xml:space="preserve">+ Сетевые ресурсы: +0,50; + ЦОД и вычислительная инфраструктура: +0,35; + Интеграционные ресурсы: +0,25; + Стек эксплуатации ИИ: +0,20; + Защита от войны Афины: +15%; − Энергетические ресурсы: -0,35; − Вода и ресурс отвода тепла: -0,25; − Пространственные и природно-географические ресурсы: -0,20</x:t>
  </x:si>
  <x:si>
    <x:t xml:space="preserve">C6</x:t>
  </x:si>
  <x:si>
    <x:t xml:space="preserve">V</x:t>
  </x:si>
  <x:si>
    <x:t xml:space="preserve">Фотонно-нейроморфные вычислительные комплексы</x:t>
  </x:si>
  <x:si>
    <x:t xml:space="preserve">Высший уровень ветви объединяет исследования новых принципов аппаратной обработки информации: фотонных вычислительных элементов, нейроморфных структур и их интеграции с обычными процессорами. В игровом мире это дорогостоящие комплексы, которые расширяют как вычислительную базу, так и возможности создания моделей. Исследования ветви M становятся эффективнее. Несмотря на потенциальную экономичность отдельных операций, массовое изготовление и развёртывание инфраструктуры остаётся чрезвычайно материалоёмким и создаёт четыре вида ресурсной нагрузки.</x:t>
  </x:si>
  <x:si>
    <x:t xml:space="preserve">+ Вычислительные компоненты: +0,50; + Математико-алгоритмические ресурсы: +0,35; + Мощности производства полупроводников: +0,35; + Модельные ресурсы: +0,25; + Прирост ЦОД и вычислительной инфраструктуры: +0,10/год; + Эффективность науки для ветви M: +10%; − Минерально-сырьевые ресурсы: -0,45; − Энергетические ресурсы: -0,50; − Вода и ресурс отвода тепла: -0,40; − Пространственные и природно-географические ресурсы: -0,30</x:t>
  </x:si>
  <x:si>
    <x:t xml:space="preserve">M1</x:t>
  </x:si>
  <x:si>
    <x:t xml:space="preserve">Модели и алгоритмы</x:t>
  </x:si>
  <x:si>
    <x:t xml:space="preserve">Обучение нейросетей со смешанной точностью и адаптивными оптимизаторами</x:t>
  </x:si>
  <x:si>
    <x:t xml:space="preserve">Смешанная точность использует числовые представления разной разрядности для ускорения обучения без обязательного перехода к более мощному оборудованию. Адаптивные оптимизаторы изменяют величину шагов обучения для разных параметров нейросети. Вместе эти приёмы повышают технологическую культуру разработки моделей и позволяют эффективнее использовать имеющиеся ресурсы. Это базовое алгоритмическое усовершенствование: оно даёт один положительный эффект и ещё не требует дополнительного штрафа к ресурсам страны.</x:t>
  </x:si>
  <x:si>
    <x:t xml:space="preserve">+ Методы построения и совершенствования моделей: +0,20</x:t>
  </x:si>
  <x:si>
    <x:t xml:space="preserve">M2</x:t>
  </x:si>
  <x:si>
    <x:t xml:space="preserve">Мультимодальные трансформеры с перекрёстным вниманием</x:t>
  </x:si>
  <x:si>
    <x:t xml:space="preserve">Мультимодальный трансформер объединяет текст, изображения, звук и другие виды информации в одной модели. Механизмы перекрёстного внимания позволяют связывать представления разных модальностей. Страна получает более богатые модельные ресурсы и средство воздействия на информационные смыслы, поэтому усиливается атака в войне Аполлона. Обучение и обслуживание таких систем требуют дополнительной вычислительной мощности и электроэнергии, что выражено небольшим энергетическим штрафом.</x:t>
  </x:si>
  <x:si>
    <x:t xml:space="preserve">+ Модельные ресурсы: +0,30; + Атака в войне Аполлона: +10%; − Энергетические ресурсы: -0,15</x:t>
  </x:si>
  <x:si>
    <x:t xml:space="preserve">M3</x:t>
  </x:si>
  <x:si>
    <x:t xml:space="preserve">Нейросетевые модели рассуждения с поиском и проверкой решений</x:t>
  </x:si>
  <x:si>
    <x:t xml:space="preserve">Модель не ограничивается однократной генерацией ответа: она предлагает несколько вариантов решения, выполняет поиск по альтернативам и применяет процедуры проверки. Такой подход полезен в сложных задачах планирования и анализа, где результат можно оценивать по внешним критериям. Технология одновременно улучшает методическую базу, познание и оценку моделей. Плата за это - дополнительные вычисления при каждом сложном запросе, а значит, повышенная энергетическая нагрузка.</x:t>
  </x:si>
  <x:si>
    <x:t xml:space="preserve">+ Методы построения и совершенствования моделей: +0,30; + Прирост сферы «Познание»: +0,08/год; + Ресурсы оценки: +0,20; − Энергетические ресурсы: -0,25</x:t>
  </x:si>
  <x:si>
    <x:t xml:space="preserve">M4</x:t>
  </x:si>
  <x:si>
    <x:t xml:space="preserve">Непрерывное обучение нейросетей с адаптерами и буферами воспроизведения</x:t>
  </x:si>
  <x:si>
    <x:t xml:space="preserve">Адаптеры позволяют обновлять отдельные части модели, а буферы воспроизведения - повторно использовать прошлые данные, уменьшая риск забывания ранее освоенных задач. Такие модели быстрее приспосабливаются к изменяющейся среде и полезны для управленческих процессов. Постоянные обновления требуют непрерывной оценки качества, дополнительных вычислений и контроля безопасности. Поэтому технология увеличивает четыре показателя, но одновременно нагружает энергосистему и усложняет защиту модельного контура.</x:t>
  </x:si>
  <x:si>
    <x:t xml:space="preserve">+ Модельные ресурсы: +0,40; прирост +0,08/год; + Методы построения и совершенствования моделей: +0,20; + Прирост сферы «Управление»: +0,05/год; + Ресурсы оценки: +0,20; − Энергетические ресурсы: -0,25; − Кибербезопасностные ресурсы: -0,15</x:t>
  </x:si>
  <x:si>
    <x:t xml:space="preserve">M5</x:t>
  </x:si>
  <x:si>
    <x:t xml:space="preserve">Латентные модели мира с причинным и контрфактическим прогнозированием</x:t>
  </x:si>
  <x:si>
    <x:t xml:space="preserve">Модель мира строит внутреннее представление изменений среды и позволяет проверять альтернативные сценарии: что произошло бы при другом решении. Это расширяет возможности прогноза, управления и разработки стратегий в условиях неопределённости. Бонус к войне Афины отражает преимущество в борьбе за информационные потоки и принятие решений. При этом сложность модели повышает ресурсопотребление, а чрезмерная опора на непрозрачные прогнозы может снижать общественное доверие.</x:t>
  </x:si>
  <x:si>
    <x:t xml:space="preserve">+ Сфера «Познание»: +0,30; прирост +0,10/год; + Модельные ресурсы: +0,25; + Прирост сферы «Государственное управление»: +0,08/год; + Математико-алгоритмические ресурсы: +0,20; + Атака в войне Афины: +10%; − Энергетические ресурсы: -0,30; − Вода и ресурс отвода тепла: -0,20; − Социальное доверие: -0,15</x:t>
  </x:si>
  <x:si>
    <x:t xml:space="preserve">M6</x:t>
  </x:si>
  <x:si>
    <x:t xml:space="preserve">Автоматизированный поиск архитектур и самообновление нейросетей</x:t>
  </x:si>
  <x:si>
    <x:t xml:space="preserve">Исследовательский контур самостоятельно предлагает новые архитектуры нейросетей, обучает кандидатов, сравнивает результаты и обновляет наиболее успешные модели. Человек определяет цели и границы экспериментов, но большая часть технического перебора автоматизирована. Это ускоряет развитие моделей и смежных агентных исследований. Вместе с тем поиск требует больших вычислительных серий, охлаждения и финансирования; повышение автономности экспериментов также усиливает проблему общественного контроля.</x:t>
  </x:si>
  <x:si>
    <x:t xml:space="preserve">+ Прирост методов построения и совершенствования моделей: +0,15/год; + Прирост модельных ресурсов: +0,10/год; + Математико-алгоритмические ресурсы: +0,25; + Ресурсы оценки: +0,20; + Прирост сферы «Познание»: +0,08/год; + Эффективность науки для ветвей M, A, X: +15%; − Энергетические ресурсы: -0,40; − Вода и ресурс отвода тепла: -0,25; − Финансовые ресурсы: -0,20; − Социальное доверие: -0,20</x:t>
  </x:si>
  <x:si>
    <x:t xml:space="preserve">D1</x:t>
  </x:si>
  <x:si>
    <x:t xml:space="preserve">Данные и знания</x:t>
  </x:si>
  <x:si>
    <x:t xml:space="preserve">Унифицированные API и схемы обмена данными</x:t>
  </x:si>
  <x:si>
    <x:t xml:space="preserve">Разные информационные системы начинают описывать данные в согласованных форматах и обмениваться ими через документированные программные интерфейсы. Это снижает стоимость подключения новых источников и облегчает передачу информации между ведомствами и организациями. Выигрыш направлен прежде всего на интеграционные ресурсы: объём данных сам по себе ещё не возрастает, но существующие массивы становятся совместимее. Первый шаг не предполагает заметного дополнительного постоянного расхода ресурсов.</x:t>
  </x:si>
  <x:si>
    <x:t xml:space="preserve">+ Интеграционные ресурсы: +0,20</x:t>
  </x:si>
  <x:si>
    <x:t xml:space="preserve">D2</x:t>
  </x:si>
  <x:si>
    <x:t xml:space="preserve">Генерация синтетических данных диффузионными и генеративно-состязательными моделями</x:t>
  </x:si>
  <x:si>
    <x:t xml:space="preserve">Генеративные методы создают новые искусственные наблюдения, изображения и сценарии на основе структуры исходных данных. Они помогают расширять редкие обучающие выборки и проверять модели на нестандартных ситуациях. Вместе с ростом производных данных развиваются методы оценки их качества. Однако широкое появление синтетических материалов затрудняет проверку происхождения информации и может уменьшать доверие к цифровому контенту.</x:t>
  </x:si>
  <x:si>
    <x:t xml:space="preserve">+ Производные данные: +0,30; прирост +0,10/год; + Ресурсы оценки: +0,20; − Социальное доверие: -0,10</x:t>
  </x:si>
  <x:si>
    <x:t xml:space="preserve">D3</x:t>
  </x:si>
  <x:si>
    <x:t xml:space="preserve">Графовые базы знаний на RDF/OWL с семантическими запросами</x:t>
  </x:si>
  <x:si>
    <x:t xml:space="preserve">Факты описываются как связи между сущностями, а онтологии задают смысл классов и отношений. Машина получает возможность искать не только совпадающие слова, но и содержательные зависимости между объектами. Это улучшает контекстные ресурсы и ускоряет познание. Создание графа требует разметки, согласования терминов и постоянного сопровождения, поэтому технология создаёт дополнительные финансовые обязательства.</x:t>
  </x:si>
  <x:si>
    <x:t xml:space="preserve">+ Контекстные информационные ресурсы: +0,30; + Прирост сферы «Познание»: +0,05/год; + Документационные ресурсы: +0,20; − Финансовые ресурсы: -0,15</x:t>
  </x:si>
  <x:si>
    <x:t xml:space="preserve">D4</x:t>
  </x:si>
  <x:si>
    <x:t xml:space="preserve">Системы RAG с проверкой происхождения и цитированием источников</x:t>
  </x:si>
  <x:si>
    <x:t xml:space="preserve">Система извлекает относящиеся к запросу фрагменты из контролируемых источников и передаёт их языковой модели вместе с указанием происхождения. Дополнительная проверка помогает снизить долю неподтверждённых ответов и обеспечивает прослеживаемость используемых документов. Такие инструменты особенно полезны для государственных справочных и аналитических задач. Новые индексы, подключения и поисковые сервисы увеличивают вычислительную нагрузку и поверхность возможных атак.</x:t>
  </x:si>
  <x:si>
    <x:t xml:space="preserve">+ Документационные ресурсы: +0,30; + Права доступа к информационным ресурсам: +0,20; + Прирост сферы «Государственное управление»: +0,05/год; + Ресурсы оценки: +0,20; − Энергетические ресурсы: -0,20; − Кибербезопасностные ресурсы: -0,15</x:t>
  </x:si>
  <x:si>
    <x:t xml:space="preserve">D5</x:t>
  </x:si>
  <x:si>
    <x:t xml:space="preserve">Федеративные каталоги данных и машиночитаемые онтологии</x:t>
  </x:si>
  <x:si>
    <x:t xml:space="preserve">Независимые организации сохраняют собственные хранилища, но подключают их к общей системе описания, поиска и интерпретации данных. Каталоги и онтологии позволяют находить совместимые источники без обязательного объединения всех массивов в одной точке. Государство лучше контролирует информационные смыслы и контекст, поэтому получает защиту от войны Аполлона. Федерация требует устойчивого финансирования, энергоснабжения и сложной политики безопасности.</x:t>
  </x:si>
  <x:si>
    <x:t xml:space="preserve">+ Контекстные информационные ресурсы: +0,50; прирост +0,10/год; + Интеграционные ресурсы: +0,30; + Документационные ресурсы: +0,20; + Прирост сферы «Государственное управление»: +0,08/год; + Защита от войны Аполлона: +15%; − Финансовые ресурсы: -0,25; − Кибербезопасностные ресурсы: -0,20; − Энергетические ресурсы: -0,20</x:t>
  </x:si>
  <x:si>
    <x:t xml:space="preserve">D6</x:t>
  </x:si>
  <x:si>
    <x:t xml:space="preserve">Автоматизированные конвейеры очистки, разметки и контроля происхождения данных</x:t>
  </x:si>
  <x:si>
    <x:t xml:space="preserve">Конвейер автоматически обнаруживает дефекты данных, выполняет разметку, проверяет согласованность и записывает происхождение каждой версии набора. Он связывает сбор, подготовку и контроль качества в воспроизводимый жизненный цикл. Это увеличивает ежегодный приток пригодных данных и облегчает их использование в ИИ. Высокая степень автоматизации создаёт постоянные инфраструктурные издержки, а ошибочные операции над крупными массивами могут подрывать доверие к результатам.</x:t>
  </x:si>
  <x:si>
    <x:t xml:space="preserve">+ Прирост исходных данных: +0,10/год; + Прирост производных данных: +0,15/год; + Прирост ресурсов оценки: +0,10/год; + Документационные ресурсы: +0,20; + Контекстные информационные ресурсы: +0,30; + Прирост сферы «Принятие ИИ»: +0,05/год; − Финансовые ресурсы: -0,20; − Энергетические ресурсы: -0,25; − Вода и ресурс отвода тепла: -0,15; − Социальное доверие: -0,15</x:t>
  </x:si>
  <x:si>
    <x:t xml:space="preserve">A1</x:t>
  </x:si>
  <x:si>
    <x:t xml:space="preserve">Агенты и автономные системы</x:t>
  </x:si>
  <x:si>
    <x:t xml:space="preserve">Программные ИИ-агенты с вызовом внешних инструментов через API</x:t>
  </x:si>
  <x:si>
    <x:t xml:space="preserve">Агент получает возможность не только отвечать на запросы, но и вызывать разрешённые программные инструменты: поиск, расчёты, запросы к базам данных и другие функции. Человек сохраняет контроль над задачей и границами действий. Даже такая ограниченная инструментальная автономия повышает производительность управленческой работы, поэтому технология добавляет ежегодный прирост соответствующей сферы. На этом уровне риск ограничен и отдельный постоянный штраф не вводится.</x:t>
  </x:si>
  <x:si>
    <x:t xml:space="preserve">+ Прирост сферы «Управление»: +0,05/год</x:t>
  </x:si>
  <x:si>
    <x:t xml:space="preserve">A2</x:t>
  </x:si>
  <x:si>
    <x:t xml:space="preserve">Агенты бизнес-процессов с управлением состояниями и BPMN-маршрутами</x:t>
  </x:si>
  <x:si>
    <x:t xml:space="preserve">В отличие от отдельного помощника, агент встраивается в описанный бизнес-процесс и проходит его шаги с сохранением состояния, ролей и условий перехода. BPMN-маршруты задают наблюдаемую структуру исполнения. Такая интеграция улучшает организационную архитектуру и цифровизацию, но расширяет число систем, к которым ИИ должен обращаться. Поэтому появляется небольшой штраф к кибербезопасностному ресурсу.</x:t>
  </x:si>
  <x:si>
    <x:t xml:space="preserve">+ Организационная архитектура внедрения: +0,30; прирост +0,08/год; + Оцифрованность деятельности: +0,20; − Кибербезопасностные ресурсы: -0,15</x:t>
  </x:si>
  <x:si>
    <x:t xml:space="preserve">A3</x:t>
  </x:si>
  <x:si>
    <x:t xml:space="preserve">Многоагентная маршрутизация задач с распределением ролей</x:t>
  </x:si>
  <x:si>
    <x:t xml:space="preserve">Система распределяет общую задачу между несколькими агентами: планировщиком, исполнителями, проверяющим и координатором. Передача промежуточных результатов позволяет решать более сложные задачи и быстрее направлять потоки данных и поручений. Бонус к войне Афины отражает преимущество в управлении информационными взаимодействиями. Вместе с тем усложняется разграничение полномочий, и страна несёт штраф к ресурсам контроля доступа.</x:t>
  </x:si>
  <x:si>
    <x:t xml:space="preserve">+ Прирост сферы «Управление»: +0,08/год; + Организационная архитектура внедрения: +0,20; + Атака в войне Афины: +10%; − Права доступа к информационным ресурсам: -0,20</x:t>
  </x:si>
  <x:si>
    <x:t xml:space="preserve">A4</x:t>
  </x:si>
  <x:si>
    <x:t xml:space="preserve">Автономное исполнение регламентов с анализом бизнес-процессов</x:t>
  </x:si>
  <x:si>
    <x:t xml:space="preserve">Агенты анализируют журналы исполнения процессов, находят повторяющиеся операции и выполняют заранее определённые регламенты с минимальным участием человека. Возрастает скорость организационных изменений и экономическая отдача от цифровизации. Вместе с тем автоматизация привычных функций может вызывать недоверие и сопротивление работников, особенно если способы пересмотра решений недостаточно понятны. Эти социальные издержки представлены двумя отрицательными эффектами.</x:t>
  </x:si>
  <x:si>
    <x:t xml:space="preserve">+ Организационная способность к изменению: +0,40; + Прирост сферы «Экономика»: +0,08/год; + Оцифрованность деятельности: +0,20; + Прирост сферы «Принятие ИИ»: +0,05/год; − Социальное доверие: -0,15; − Готовность работников к использованию ИИ: -0,15</x:t>
  </x:si>
  <x:si>
    <x:t xml:space="preserve">A5</x:t>
  </x:si>
  <x:si>
    <x:t xml:space="preserve">Государственные ИИ-агенты с транзакционным доступом к реестрам</x:t>
  </x:si>
  <x:si>
    <x:t xml:space="preserve">Агенты подключаются к государственным информационным системам и могут выполнять разрешённые операции с реестрами, заявлениями и документами. Это ускоряет предоставление услуг, координацию ведомств и подготовку управленческих решений. Международное взаимодействие также становится эффективнее. Высокие полномочия агентов создают значительные риски несанкционированных операций, нарушения разграничения доступа и снижения доверия граждан, поэтому технология требует существенных институциональных издержек.</x:t>
  </x:si>
  <x:si>
    <x:t xml:space="preserve">+ Прирост сферы «Государственное управление»: +0,12/год; + Прирост сферы «Управление»: +0,08/год; + Система управления ИИ: +0,30; + Документационные ресурсы: +0,20; + Эффективность улучшения дипломатических отношений: +10%; − Кибербезопасностные ресурсы: -0,25; − Права доступа к информационным ресурсам: -0,20; − Социальное доверие: -0,15</x:t>
  </x:si>
  <x:si>
    <x:t xml:space="preserve">A6</x:t>
  </x:si>
  <x:si>
    <x:t xml:space="preserve">Агентные контуры стратегического планирования с цифровыми двойниками</x:t>
  </x:si>
  <x:si>
    <x:t xml:space="preserve">Цифровые двойники государственных и экономических процессов позволяют агентам моделировать последствия альтернативных решений, распределять задачи и координировать исполнение. Страна получает стратегическое преимущество в управлении потоками и смыслами, отражённое бонусами к двум видам войны. Однако глубокая автоматизация делает государство зависимым от сложной системы полномочий и алгоритмов. Возникают риски кибератак, непрозрачности и технологической инерции при изменении управленческой архитектуры.</x:t>
  </x:si>
  <x:si>
    <x:t xml:space="preserve">+ Сфера «Управление»: +0,40; + Сфера «Государственное управление»: +0,30; + Сфера «Познание»: +0,25; + Прирост сферы «Экономика»: +0,10/год; + Атака в войне Афины: +15%; + Атака в войне Аполлона: +15%; − Кибербезопасностные ресурсы: -0,30; − Права доступа к информационным ресурсам: -0,25; − Социальное доверие: -0,20; − Организационная способность к изменению: -0,15</x:t>
  </x:si>
  <x:si>
    <x:t xml:space="preserve">R1</x:t>
  </x:si>
  <x:si>
    <x:t xml:space="preserve">Физический ИИ и робототехника</x:t>
  </x:si>
  <x:si>
    <x:t xml:space="preserve">Машинное зрение для промышленного контроля качества</x:t>
  </x:si>
  <x:si>
    <x:t xml:space="preserve">Камеры и алгоритмы компьютерного зрения автоматически выявляют дефекты изделий, измеряют параметры и фиксируют состояние производственных процессов. Возникают цифровые данные о ранее слабо наблюдаемых операциях. Это первый шаг к физическому ИИ: он ещё не передаёт машинам самостоятельное управление материальными объектами, но создаёт информационную основу для роботизации. Поэтому технология даёт один эффект на цифровизацию без дополнительных ресурсных штрафов.</x:t>
  </x:si>
  <x:si>
    <x:t xml:space="preserve">+ Оцифрованность деятельности: +0,20</x:t>
  </x:si>
  <x:si>
    <x:t xml:space="preserve">R2</x:t>
  </x:si>
  <x:si>
    <x:t xml:space="preserve">Роботы-манипуляторы с силомоментным управлением</x:t>
  </x:si>
  <x:si>
    <x:t xml:space="preserve">Манипуляторы используют датчики усилия, положения и обратную связь для захвата предметов, сборки деталей и выполнения точных операций. Они могут работать с изменяющимися объектами и взаимодействовать с людьми на производстве. Технология непосредственно повышает производство и создаёт опыт использования интеллектуальных машин работниками. Постоянная эксплуатация приводов, сенсоров и контроллеров требует дополнительных энергетических ресурсов.</x:t>
  </x:si>
  <x:si>
    <x:t xml:space="preserve">+ Сфера «Производство»: +0,30; прирост +0,08/год; + Готовность работников к использованию ИИ: +0,20; − Энергетические ресурсы: -0,15</x:t>
  </x:si>
  <x:si>
    <x:t xml:space="preserve">R3</x:t>
  </x:si>
  <x:si>
    <x:t xml:space="preserve">Автономная логистика с SLAM и многороботной маршрутизацией</x:t>
  </x:si>
  <x:si>
    <x:t xml:space="preserve">Мобильные роботы строят карту окружающей среды, оценивают своё положение и совместно планируют маршруты. Такие системы могут управлять складской, производственной и частью транспортной логистики. Выигрыш проявляется в экономике и управлении потоками, что дополнительно усиливает защиту в войне Афины. Для массового развёртывания требуется перестройка площадок, терминалов и транспортных коридоров, поэтому уменьшается доступный пространственный ресурс.</x:t>
  </x:si>
  <x:si>
    <x:t xml:space="preserve">+ Прирост сферы «Экономика»: +0,08/год; + Сетевые ресурсы: +0,20; + Защита от войны Афины: +10%; − Пространственные и природно-географические ресурсы: -0,20</x:t>
  </x:si>
  <x:si>
    <x:t xml:space="preserve">R4</x:t>
  </x:si>
  <x:si>
    <x:t xml:space="preserve">Автономные мобильные роботизированные комплексы с коллективным управлением</x:t>
  </x:si>
  <x:si>
    <x:t xml:space="preserve">Несколько мобильных платформ координируют движение и действия через общие каналы связи и алгоритмы коллективного управления. Такие машины применимы в промышленной среде, мониторинге территории и материально-пространственных операциях. Именно поэтому технология повышает атаку в войне Ареса. Производство мобильных платформ требует металлов, электроники и аккумуляторов, а эксплуатация - постоянного энергоснабжения, что приводит к двум материальным штрафам.</x:t>
  </x:si>
  <x:si>
    <x:t xml:space="preserve">+ Прирост сферы «Война»: +0,08/год; + Сфера «Производство»: +0,20; + Сетевые ресурсы: +0,20; + Атака в войне Ареса: +15%; − Минерально-сырьевые ресурсы: -0,20; − Энергетические ресурсы: -0,30</x:t>
  </x:si>
  <x:si>
    <x:t xml:space="preserve">R5</x:t>
  </x:si>
  <x:si>
    <x:t xml:space="preserve">Универсальные роботы с моделями «изображение - язык - действие» (VLA)</x:t>
  </x:si>
  <x:si>
    <x:t xml:space="preserve">Модель VLA связывает зрительное восприятие и языковую инструкцию с последовательностью физических действий робота. Один комплекс способен переобучаться на разные операции вместо выполнения единственной жёстко запрограммированной задачи. Это ускоряет производство, цифровизацию и распространение ИИ. Но массовое внедрение требует новых машин, энергии и специалистов по их настройке; на переходном этапе спрос на квалификацию может опережать предложение.</x:t>
  </x:si>
  <x:si>
    <x:t xml:space="preserve">+ Прирост сферы «Производство»: +0,12/год; + Готовность работников к использованию ИИ: +0,20; + Прирост сферы «Принятие ИИ»: +0,05/год; + Оцифрованность деятельности: +0,25; + Прирост сферы «Экономика»: +0,05/год; − Минерально-сырьевые ресурсы: -0,30; − Энергетические ресурсы: -0,25; − Квалифицированный человеческий ресурс: -0,15</x:t>
  </x:si>
  <x:si>
    <x:t xml:space="preserve">R6</x:t>
  </x:si>
  <x:si>
    <x:t xml:space="preserve">Автономные производственные линии с цифровыми двойниками</x:t>
  </x:si>
  <x:si>
    <x:t xml:space="preserve">Производственная линия объединяет роботизированные участки, датчики, планирование и цифровой двойник для контроля полного технологического цикла. Система самостоятельно обнаруживает отклонения, перестраивает операции и формирует цифровое описание процесса. Страна получает крупный прирост промышленного потенциала и более результативные вложения в материальную базу. Однако построение автоматизированных комплексов требует оборудования, энергии, воды, площадок и сырья; поэтому на высшем уровне возникают четыре ресурсных штрафа.</x:t>
  </x:si>
  <x:si>
    <x:t xml:space="preserve">+ Сфера «Производство»: +0,50; прирост +0,15/год; + Организационная архитектура внедрения: +0,30; + Оцифрованность деятельности: +0,30; + Квалифицированный человеческий ресурс: +0,20; + Прирост сферы «Экономика»: +0,10/год; + Эффективность трансформации в ресурсах группы I: +15%; − Минерально-сырьевые ресурсы: -0,45; − Энергетические ресурсы: -0,40; − Вода и ресурс отвода тепла: -0,30; − Пространственные и природно-географические ресурсы: -0,25</x:t>
  </x:si>
  <x:si>
    <x:t xml:space="preserve">S1</x:t>
  </x:si>
  <x:si>
    <x:t xml:space="preserve">Надёжность, безопасность и контроль</x:t>
  </x:si>
  <x:si>
    <x:t xml:space="preserve">Автоматизированные наборы тестов и бенчмарков качества ИИ</x:t>
  </x:si>
  <x:si>
    <x:t xml:space="preserve">Создаются наборы эталонных задач, автоматические проверки и процедуры повторяемого сравнения ИИ-моделей. Разработчик может измерять качество после обучения и перед внедрением, не полагаясь только на отдельные удачные примеры. Страна получает более развитые ресурсы оценки и основу для дальнейшей безопасности. Базовое тестирование не меняет другие показатели и не даёт самостоятельного ресурсного штрафа.</x:t>
  </x:si>
  <x:si>
    <x:t xml:space="preserve">+ Ресурсы оценки: +0,30</x:t>
  </x:si>
  <x:si>
    <x:t xml:space="preserve">S2</x:t>
  </x:si>
  <x:si>
    <x:t xml:space="preserve">Интерпретация решений нейросетей на основе SHAP и концептуальных признаков</x:t>
  </x:si>
  <x:si>
    <x:t xml:space="preserve">Методы объяснения выявляют влияние входных признаков на результат модели, а концептуальные представления связывают вычислительные факторы с понятными человеку категориями. Это помогает документировать решения и повышает доверие к внедрению. В игровой модели дополнительное требование интерпретируемости слегка ограничивает выбор сложных и непрозрачных моделей, что представлено небольшим отрицательным эффектом на модельные ресурсы.</x:t>
  </x:si>
  <x:si>
    <x:t xml:space="preserve">+ Документационные ресурсы: +0,20; + Социальное доверие: +0,20; − Модельные ресурсы: -0,10</x:t>
  </x:si>
  <x:si>
    <x:t xml:space="preserve">S3</x:t>
  </x:si>
  <x:si>
    <x:t xml:space="preserve">Защищённый MLOps с подписанными моделями и контролем цепочки поставок</x:t>
  </x:si>
  <x:si>
    <x:t xml:space="preserve">Модели, контейнеры и другие компоненты инфраструктуры получают проверяемое происхождение, цифровые подписи и контролируемые процедуры выпуска. Развёртывание становится воспроизводимым и менее уязвимым к подмене артефактов. Государство укрепляет кибербезопасность и цифровую защиту, включая войну Афины. Постоянное сопровождение защищённых конвейеров требует дополнительного финансирования, что отражено небольшим финансовым штрафом.</x:t>
  </x:si>
  <x:si>
    <x:t xml:space="preserve">+ Кибербезопасностные ресурсы: +0,30; + Стек эксплуатации ИИ: +0,20; + Защита от войны Афины: +10%; − Финансовые ресурсы: -0,15</x:t>
  </x:si>
  <x:si>
    <x:t xml:space="preserve">S4</x:t>
  </x:si>
  <x:si>
    <x:t xml:space="preserve">Автоматизированное adversarial-тестирование и red teaming моделей</x:t>
  </x:si>
  <x:si>
    <x:t xml:space="preserve">Система автоматически создаёт сложные, нестандартные и потенциально враждебные сценарии взаимодействия с моделью, выявляя ошибки, небезопасные ответы и обходы ограничений. Выводы превращаются в отчёты и требования к доработке. Это улучшает оценку и защищает от смысловых атак, что соответствует бонусу в войне Аполлона. Многочисленные стресс-тесты создают заметную вычислительную и энергетическую нагрузку.</x:t>
  </x:si>
  <x:si>
    <x:t xml:space="preserve">+ Ресурсы оценки: +0,40; + Прирост кибербезопасностных ресурсов: +0,08/год; + Документационные ресурсы: +0,20; + Защита от войны Аполлона: +10%; − Энергетические ресурсы: -0,15; − Вычислительные компоненты: -0,10</x:t>
  </x:si>
  <x:si>
    <x:t xml:space="preserve">S5</x:t>
  </x:si>
  <x:si>
    <x:t xml:space="preserve">Мониторинг и ограничение действий автономных ИИ-агентов</x:t>
  </x:si>
  <x:si>
    <x:t xml:space="preserve">Во время работы агента специальные механизмы проверяют запросы к инструментам, ограничения полномочий и допустимость принимаемых решений. При опасном действии система может потребовать подтверждение, заменить операцию или остановить исполнение. Это повышает безопасность и готовность общества к агентному ИИ, усиливая две формы внешнеполитической защиты. Плата состоит в сопровождении контрольной инфраструктуры, дополнительных вычислениях и снижении организационной гибкости.</x:t>
  </x:si>
  <x:si>
    <x:t xml:space="preserve">+ Система управления ИИ: +0,40; + Прирост сферы «Принятие ИИ»: +0,08/год; + Ресурсы оценки: +0,20; + Защита от войны Афины: +10%; + Защита от войны Аполлона: +10%; − Финансовые ресурсы: -0,25; − Организационная способность к изменению: -0,15; − Энергетические ресурсы: -0,10</x:t>
  </x:si>
  <x:si>
    <x:t xml:space="preserve">S6</x:t>
  </x:si>
  <x:si>
    <x:t xml:space="preserve">Формальная верификация политик и протоколов автономных ИИ-систем</x:t>
  </x:si>
  <x:si>
    <x:t xml:space="preserve">Формальные методы задают правила доступа, допустимые последовательности действий и условия безопасности в виде проверяемых спецификаций. Верифицируются прежде всего политики и протоколы агентной системы, а не все возможные свойства нейросети. Государство получает сильный контур контроля и дополнительные гарантии во всех трёх видах войны. Однако создание доказательств, проверка обновлений и обязательная сертификация дороги и могут замедлять организационные изменения.</x:t>
  </x:si>
  <x:si>
    <x:t xml:space="preserve">+ Система управления ИИ: +0,50; + Регуляторная и стандартная среда: +0,30; + Прирост социального доверия: +0,10/год; + Защита от войны Ареса: +10%; + Защита от войны Афины: +10%; + Защита от войны Аполлона: +10%; − Финансовые ресурсы: -0,35; − Энергетические ресурсы: -0,20; − Вычислительные компоненты: -0,20; − Организационная способность к изменению: -0,15</x:t>
  </x:si>
  <x:si>
    <x:t xml:space="preserve">X1</x:t>
  </x:si>
  <x:si>
    <x:t xml:space="preserve">Межветвевые</x:t>
  </x:si>
  <x:si>
    <x:t xml:space="preserve">Мультиагентные конвейеры генерации и проверки научных гипотез</x:t>
  </x:si>
  <x:si>
    <x:t xml:space="preserve">Научные агенты предлагают гипотезы, подбирают литературу и данные, проектируют проверки и оценивают результаты. Исследователь сохраняет ответственность за корректность методов, а ИИ ускоряет рутинные и поисковые этапы работы. Для создания конвейера одновременно нужны достаточно развитые модели, проверяемый доступ к знаниям и многоагентная координация. Технология даёт один, но широкий стратегический эффект - увеличение результативности вложенных очков науки.</x:t>
  </x:si>
  <x:si>
    <x:t xml:space="preserve">+ Эффективность науки во всех направлениях: +15%</x:t>
  </x:si>
  <x:si>
    <x:t xml:space="preserve">X2</x:t>
  </x:si>
  <x:si>
    <x:t xml:space="preserve">Национальная платформа инференса ИИ с маршрутизацией моделей через API</x:t>
  </x:si>
  <x:si>
    <x:t xml:space="preserve">Платформа объединяет вычислительные мощности, маршрутизацию запросов к разным моделям, учёт доступа и типовые программные интерфейсы для организаций. Это снижает порог подключения ИИ к экономике и государственным услугам. Необходимы развитые кластеры, инфраструктура данных и защищённая эксплуатация. Чем больше пользователей и задач обслуживается, тем выше совокупная потребность в электроэнергии.</x:t>
  </x:si>
  <x:si>
    <x:t xml:space="preserve">+ Прирост сферы «Принятие ИИ»: +0,10/год; + Эффективность вложения очков ИИ в сферы: +10%; − Энергетические ресурсы: -0,20</x:t>
  </x:si>
  <x:si>
    <x:t xml:space="preserve">X3</x:t>
  </x:si>
  <x:si>
    <x:t xml:space="preserve">Межведомственный контур транзакционных ИИ-агентов</x:t>
  </x:si>
  <x:si>
    <x:t xml:space="preserve">Государственные ИИ-агенты могут координировать разрешённые операции между разными ведомствами, пользуясь согласованными каталогами данных и механизмами контроля действий. Это создаёт единый цифровой контур обработки сложных задач и усиливает международную координацию. Одновременно растут последствия ошибок разграничения полномочий и несанкционированного доступа к сведениям. Поэтому стратегическая выгода сопровождается штрафами к правам доступа и общественному доверию.</x:t>
  </x:si>
  <x:si>
    <x:t xml:space="preserve">+ Сфера «Государственное управление»: +0,50; прирост +0,12/год; + Эффективность улучшения дипломатических отношений: +15%; + Защита от войны Аполлона: +10%; − Права доступа к информационным ресурсам: -0,30; − Социальное доверие: -0,25</x:t>
  </x:si>
  <x:si>
    <x:t xml:space="preserve">X4</x:t>
  </x:si>
  <x:si>
    <x:t xml:space="preserve">V+</x:t>
  </x:si>
  <x:si>
    <x:t xml:space="preserve">Замкнутый контур автоматизированного исследования и развёртывания моделей ИИ</x:t>
  </x:si>
  <x:si>
    <x:t xml:space="preserve">Система объединяет постановку исследовательской задачи, автоматический поиск архитектуры, обучение, оценку безопасности и контролируемое развёртывание модели. Результаты очередного цикла используются для выбора следующего направления развития, формируя самоускоряющийся исследовательский контур. Это самая дорогая межветвевая технология, доступная только после ведущих достижений в моделях, агентах и контроле. Она открывает специальные игровые карты, но создаёт высокую энергетическую нагрузку и новые системные риски.</x:t>
  </x:si>
  <x:si>
    <x:t xml:space="preserve">+ Эффективность науки во всех направлениях: +25%; + Прирост методов построения и совершенствования моделей: +0,10/год; + Прирост модельных ресурсов: +0,10/год; + Доступ к картам технологических прорывов и рисков; − Энергетические ресурсы: -0,40; − Кибербезопасностные ресурсы: -0,30; − Социальное доверие: -0,25</x:t>
  </x:si>
  <x:si>
    <x:t xml:space="preserve">Жёлтые поля заполняются вручную. Четыре колонки эффектов всегда создаются с нулём и не содержат формул.</x:t>
  </x:si>
  <x:si>
    <x:t xml:space="preserve">1. РЕСУРСНАЯ БАЗА ИИ</x:t>
  </x:si>
  <x:si>
    <x:t xml:space="preserve">ОЧКИ ИИ</x:t>
  </x:si>
  <x:si>
    <x:t xml:space="preserve">ОЧКИ НАУКИ</x:t>
  </x:si>
  <x:si>
    <x:t xml:space="preserve">ВНЕШНЕПОЛИТИЧЕСКИЕ ОЧКИ</x:t>
  </x:si>
  <x:si>
    <x:t xml:space="preserve">ОЧКИ ТРАНСФОРМАЦИИ</x:t>
  </x:si>
  <x:si>
    <x:t xml:space="preserve">Ресурс</x:t>
  </x:si>
  <x:si>
    <x:t xml:space="preserve">Начальное
значение</x:t>
  </x:si>
  <x:si>
    <x:t xml:space="preserve">Базовый годовой
прирост</x:t>
  </x:si>
  <x:si>
    <x:t xml:space="preserve">Постоянный эффект
на значение</x:t>
  </x:si>
  <x:si>
    <x:t xml:space="preserve">Временный эффект
на значение</x:t>
  </x:si>
  <x:si>
    <x:t xml:space="preserve">Постоянный эффект
на прирост</x:t>
  </x:si>
  <x:si>
    <x:t xml:space="preserve">Временный эффект
на прирост</x:t>
  </x:si>
  <x:si>
    <x:t xml:space="preserve">От торговли</x:t>
  </x:si>
  <x:si>
    <x:t xml:space="preserve">Реальное
значение</x:t>
  </x:si>
  <x:si>
    <x:t xml:space="preserve">От науки</x:t>
  </x:si>
  <x:si>
    <x:t xml:space="preserve">I. Материально-физическая и вычислительная база</x:t>
  </x:si>
  <x:si>
    <x:t xml:space="preserve">Минерально-сырьевые ресурсы</x:t>
  </x:si>
  <x:si>
    <x:t xml:space="preserve">Химические и технологические материалы</x:t>
  </x:si>
  <x:si>
    <x:t xml:space="preserve">2. СФЕРЫ ВНЕДРЕНИЯ ИИ</x:t>
  </x:si>
  <x:si>
    <x:t xml:space="preserve">3. МЕЖДУНАРОДНЫЕ ОТНОШЕНИЯ</x:t>
  </x:si>
  <x:si>
    <x:t xml:space="preserve">Энергетические ресурсы</x:t>
  </x:si>
  <x:si>
    <x:t xml:space="preserve">Сфера</x:t>
  </x:si>
  <x:si>
    <x:t xml:space="preserve">Страна</x:t>
  </x:si>
  <x:si>
    <x:t xml:space="preserve">Код −5…+5</x:t>
  </x:si>
  <x:si>
    <x:t xml:space="preserve">Статус</x:t>
  </x:si>
  <x:si>
    <x:t xml:space="preserve">Краткое положение</x:t>
  </x:si>
  <x:si>
    <x:t xml:space="preserve">Вода и ресурс отвода тепла</x:t>
  </x:si>
  <x:si>
    <x:t xml:space="preserve">Производство</x:t>
  </x:si>
  <x:si>
    <x:t xml:space="preserve">Пространственные и природно-географические ресурсы</x:t>
  </x:si>
  <x:si>
    <x:t xml:space="preserve">Управление</x:t>
  </x:si>
  <x:si>
    <x:t xml:space="preserve">Мощности производства полупроводников</x:t>
  </x:si>
  <x:si>
    <x:t xml:space="preserve">Познание</x:t>
  </x:si>
  <x:si>
    <x:t xml:space="preserve">Вычислительные компоненты</x:t>
  </x:si>
  <x:si>
    <x:t xml:space="preserve">Обучение</x:t>
  </x:si>
  <x:si>
    <x:t xml:space="preserve">ЦОД и вычислительная инфраструктура</x:t>
  </x:si>
  <x:si>
    <x:t xml:space="preserve">Война</x:t>
  </x:si>
  <x:si>
    <x:t xml:space="preserve">Сетевые ресурсы</x:t>
  </x:si>
  <x:si>
    <x:t xml:space="preserve">Экономика</x:t>
  </x:si>
  <x:si>
    <x:t xml:space="preserve">Конечные устройства</x:t>
  </x:si>
  <x:si>
    <x:t xml:space="preserve">Государственное управление</x:t>
  </x:si>
  <x:si>
    <x:t xml:space="preserve">II. Программно-алгоритмический потенциал</x:t>
  </x:si>
  <x:si>
    <x:t xml:space="preserve">Принятие ИИ</x:t>
  </x:si>
  <x:si>
    <x:t xml:space="preserve">Базовый программный стек вычислений</x:t>
  </x:si>
  <x:si>
    <x:t xml:space="preserve">Стек разработки ИИ</x:t>
  </x:si>
  <x:si>
    <x:t xml:space="preserve">Стек эксплуатации ИИ</x:t>
  </x:si>
  <x:si>
    <x:t xml:space="preserve">Математико-алгоритмические ресурсы</x:t>
  </x:si>
  <x:si>
    <x:t xml:space="preserve">Методы построения и совершенствования моделей</x:t>
  </x:si>
  <x:si>
    <x:t xml:space="preserve">III. Данные, модели и информационная безопасность</x:t>
  </x:si>
  <x:si>
    <x:t xml:space="preserve">Исходные данные</x:t>
  </x:si>
  <x:si>
    <x:t xml:space="preserve">Производные данные</x:t>
  </x:si>
  <x:si>
    <x:t xml:space="preserve">Контекстные информационные ресурсы</x:t>
  </x:si>
  <x:si>
    <x:t xml:space="preserve">Модельные ресурсы</x:t>
  </x:si>
  <x:si>
    <x:t xml:space="preserve">Ресурсы оценки</x:t>
  </x:si>
  <x:si>
    <x:t xml:space="preserve">Документационные ресурсы</x:t>
  </x:si>
  <x:si>
    <x:t xml:space="preserve">Права доступа к информационным ресурсам</x:t>
  </x:si>
  <x:si>
    <x:t xml:space="preserve">Кибербезопасностные ресурсы</x:t>
  </x:si>
  <x:si>
    <x:t xml:space="preserve">IV. Люди, организация и экономика внедрения</x:t>
  </x:si>
  <x:si>
    <x:t xml:space="preserve">Квалифицированный человеческий ресурс</x:t>
  </x:si>
  <x:si>
    <x:t xml:space="preserve">Предметная экспертиза</x:t>
  </x:si>
  <x:si>
    <x:t xml:space="preserve">Оцифрованность деятельности</x:t>
  </x:si>
  <x:si>
    <x:t xml:space="preserve">Интеграционные ресурсы</x:t>
  </x:si>
  <x:si>
    <x:t xml:space="preserve">Организационная архитектура внедрения</x:t>
  </x:si>
  <x:si>
    <x:t xml:space="preserve">Организационная способность к изменению</x:t>
  </x:si>
  <x:si>
    <x:t xml:space="preserve">Финансовые ресурсы</x:t>
  </x:si>
  <x:si>
    <x:t xml:space="preserve">Поставщики и рынок технологических услуг</x:t>
  </x:si>
  <x:si>
    <x:t xml:space="preserve">Экономическая целесообразность</x:t>
  </x:si>
  <x:si>
    <x:t xml:space="preserve">V. Правовая, институциональная и социальная среда</x:t>
  </x:si>
  <x:si>
    <x:t xml:space="preserve">Правовая среда</x:t>
  </x:si>
  <x:si>
    <x:t xml:space="preserve">Регуляторная и стандартная среда</x:t>
  </x:si>
  <x:si>
    <x:t xml:space="preserve">Институциональная инфраструктура</x:t>
  </x:si>
  <x:si>
    <x:t xml:space="preserve">Конкурентная и торговая среда</x:t>
  </x:si>
  <x:si>
    <x:t xml:space="preserve">Социальное доверие</x:t>
  </x:si>
  <x:si>
    <x:t xml:space="preserve">Готовность работников к использованию ИИ</x:t>
  </x:si>
  <x:si>
    <x:t xml:space="preserve">Локальная социально-культурная применимость</x:t>
  </x:si>
  <x:si>
    <x:t xml:space="preserve">Система управления ИИ</x:t>
  </x:si>
  <x:si>
    <x:t xml:space="preserve">VI. Устойчивость жизненного цикла</x:t>
  </x:si>
  <x:si>
    <x:t xml:space="preserve">Поствнедренческий мониторинг</x:t>
  </x:si>
  <x:si>
    <x:t xml:space="preserve">Ресурс обновления и восстановления</x:t>
  </x:si>
  <x:si>
    <x:t xml:space="preserve">Ресурс утилизации и воспроизводства физической базы</x:t>
  </x:si>
  <x:si>
    <x:t xml:space="preserve">ХОД 2026 — РАСПРЕДЕЛЕНИЕ ОЧКОВ</x:t>
  </x:si>
  <x:si>
    <x:t xml:space="preserve">Жёлтые ячейки — ввод игрока.</x:t>
  </x:si>
  <x:si>
    <x:t xml:space="preserve">Доступно</x:t>
  </x:si>
  <x:si>
    <x:t xml:space="preserve">Распределено</x:t>
  </x:si>
  <x:si>
    <x:t xml:space="preserve">Остаток</x:t>
  </x:si>
  <x:si>
    <x:t xml:space="preserve">1. РАСПРЕДЕЛЕНИЕ ОЧКОВ ТРАНСФОРМАЦИИ</x:t>
  </x:si>
  <x:si>
    <x:t xml:space="preserve">2. РАСПРЕДЕЛЕНИЕ ОЧКОВ ИИ</x:t>
  </x:si>
  <x:si>
    <x:t xml:space="preserve">4. РАСПРЕДЕЛЕНИЕ ВНЕШНЕПОЛИТИЧЕСКИХ ОЧКОВ</x:t>
  </x:si>
  <x:si>
    <x:t xml:space="preserve">В значение</x:t>
  </x:si>
  <x:si>
    <x:t xml:space="preserve">В прирост</x:t>
  </x:si>
  <x:si>
    <x:t xml:space="preserve">Очки ИИ в прирост</x:t>
  </x:si>
  <x:si>
    <x:t xml:space="preserve">Текущий код отношений</x:t>
  </x:si>
  <x:si>
    <x:t xml:space="preserve">Улучшение отношений</x:t>
  </x:si>
  <x:si>
    <x:t xml:space="preserve">Вклад в войну Ареса</x:t>
  </x:si>
  <x:si>
    <x:t xml:space="preserve">Вклад в войну Афины</x:t>
  </x:si>
  <x:si>
    <x:t xml:space="preserve">Вклад в войну Аполлона</x:t>
  </x:si>
  <x:si>
    <x:t xml:space="preserve">ОБОРОНА — ВНЕШНЕПОЛИТИЧЕСКИЕ ОЧКИ</x:t>
  </x:si>
  <x:si>
    <x:t xml:space="preserve">Защита от войны Ареса</x:t>
  </x:si>
  <x:si>
    <x:t xml:space="preserve">Защита от войны Афины</x:t>
  </x:si>
  <x:si>
    <x:t xml:space="preserve">Защита от войны Аполлона</x:t>
  </x:si>
  <x:si>
    <x:t xml:space="preserve">Всего в оборону</x:t>
  </x:si>
  <x:si>
    <x:t xml:space="preserve">Эффект науки</x:t>
  </x:si>
  <x:si>
    <x:t xml:space="preserve">Защита с бонусом</x:t>
  </x:si>
  <x:si>
    <x:t xml:space="preserve">3. РАСПРЕДЕЛЕНИЕ ОЧКОВ НАУКИ</x:t>
  </x:si>
  <x:si>
    <x:t xml:space="preserve">ID технологии</x:t>
  </x:si>
  <x:si>
    <x:t xml:space="preserve">Очки науки</x:t>
  </x:si>
  <x:si>
    <x:t xml:space="preserve">Примечание</x:t>
  </x:si>
  <x:si>
    <x:t xml:space="preserve">Статус после хода</x:t>
  </x:si>
  <x:si>
    <x:t xml:space="preserve">Итого вложено</x:t>
  </x:si>
  <x:si>
    <x:t xml:space="preserve">Атака с бонусом</x:t>
  </x:si>
  <x:si>
    <x:t xml:space="preserve">ХОД 2027 — РАСПРЕДЕЛЕНИЕ ОЧКОВ</x:t>
  </x:si>
  <x:si>
    <x:t xml:space="preserve">ХОД 2028 — РАСПРЕДЕЛЕНИЕ ОЧКОВ</x:t>
  </x:si>
  <x:si>
    <x:t xml:space="preserve">ХОД 2029 — РАСПРЕДЕЛЕНИЕ ОЧКОВ</x:t>
  </x:si>
  <x:si>
    <x:t xml:space="preserve">ХОД 2030 — РАСПРЕДЕЛЕНИЕ ОЧКОВ</x:t>
  </x:si>
  <x:si>
    <x:t xml:space="preserve">ХОД 2031 — РАСПРЕДЕЛЕНИЕ ОЧКОВ</x:t>
  </x:si>
  <x:si>
    <x:t xml:space="preserve">ХОД 2032 — РАСПРЕДЕЛЕНИЕ ОЧКОВ</x:t>
  </x:si>
  <x:si>
    <x:t xml:space="preserve">ХОД 2033 — РАСПРЕДЕЛЕНИЕ ОЧКОВ</x:t>
  </x:si>
  <x:si>
    <x:t xml:space="preserve">ХОД 2034 — РАСПРЕДЕЛЕНИЕ ОЧКОВ</x:t>
  </x:si>
  <x:si>
    <x:t xml:space="preserve">ХОД 2035 — РАСПРЕДЕЛЕНИЕ ОЧКОВ</x:t>
  </x:si>
  <x:si>
    <x:t xml:space="preserve">ХОД 2036 — РАСПРЕДЕЛЕНИЕ ОЧКОВ</x:t>
  </x:si>
  <x:si>
    <x:t xml:space="preserve">ХОД 2037 — РАСПРЕДЕЛЕНИЕ ОЧКОВ</x:t>
  </x:si>
  <x:si>
    <x:t xml:space="preserve">ХОД 2038 — РАСПРЕДЕЛЕНИЕ ОЧКОВ</x:t>
  </x:si>
  <x:si>
    <x:t xml:space="preserve">ХОД 2039 — РАСПРЕДЕЛЕНИЕ ОЧКОВ</x:t>
  </x:si>
  <x:si>
    <x:t xml:space="preserve">ХОД 2040 — РАСПРЕДЕЛЕНИЕ ОЧКОВ</x:t>
  </x:si>
  <x:si>
    <x:t xml:space="preserve">Шанс улучшения</x:t>
  </x:si>
  <x:si>
    <x:t xml:space="preserve">Шанс без изменений</x:t>
  </x:si>
  <x:si>
    <x:t xml:space="preserve">Шанс ухудшения</x:t>
  </x:si>
  <x:si>
    <x:t xml:space="preserve">Бросок 0–100</x:t>
  </x:si>
  <x:si>
    <x:t xml:space="preserve">ЭФФЕКТЫ ИЗУЧЕННЫХ ТЕХНОЛОГИЙ</x:t>
  </x:si>
  <x:si>
    <x:t xml:space="preserve">Значения и штрафы складываются. Изучение в году t даёт эффекты с года t+1. Проценты — доли от вложений.</x:t>
  </x:si>
  <x:si>
    <x:t xml:space="preserve">СУММАРНЫЕ БОНУСЫ ПО ГОДАМ</x:t>
  </x:si>
  <x:si>
    <x:t xml:space="preserve">Направление</x:t>
  </x:si>
  <x:si>
    <x:t xml:space="preserve">Наука все</x:t>
  </x:si>
  <x:si>
    <x:t xml:space="preserve">Наука M</x:t>
  </x:si>
  <x:si>
    <x:t xml:space="preserve">Наука M/A/X</x:t>
  </x:si>
  <x:si>
    <x:t xml:space="preserve">ИИ</x:t>
  </x:si>
  <x:si>
    <x:t xml:space="preserve">Дипломатия</x:t>
  </x:si>
  <x:si>
    <x:t xml:space="preserve">Трансформация</x:t>
  </x:si>
  <x:si>
    <x:t xml:space="preserve">Атака Ареса</x:t>
  </x:si>
  <x:si>
    <x:t xml:space="preserve">Атака Афины</x:t>
  </x:si>
  <x:si>
    <x:t xml:space="preserve">Атака Аполлона</x:t>
  </x:si>
  <x:si>
    <x:t xml:space="preserve">Защита Ареса</x:t>
  </x:si>
  <x:si>
    <x:t xml:space="preserve">Защита Афины</x:t>
  </x:si>
  <x:si>
    <x:t xml:space="preserve">Защита Аполлона</x:t>
  </x:si>
  <x:si>
    <x:t xml:space="preserve">Карты прорывов</x:t>
  </x:si>
  <x:si>
    <x:t xml:space="preserve">Код</x:t>
  </x:si>
  <x:si>
    <x:t xml:space="preserve">Компонент</x:t>
  </x:si>
  <x:si>
    <x:t xml:space="preserve">Тип эффекта</x:t>
  </x:si>
  <x:si>
    <x:t xml:space="preserve">Значение</x:t>
  </x:si>
  <x:si>
    <x:t xml:space="preserve">С года</x:t>
  </x:si>
  <x:si>
    <x:t xml:space="preserve">Эффект из рулбука</x:t>
  </x:si>
  <x:si>
    <x:t xml:space="preserve">Вычислительные компоненты: +0,20</x:t>
  </x:si>
  <x:si>
    <x:t xml:space="preserve">Вычислительные компоненты: +0,30</x:t>
  </x:si>
  <x:si>
    <x:t xml:space="preserve">Базовый программный стек вычислений: +0,20</x:t>
  </x:si>
  <x:si>
    <x:t xml:space="preserve">Минерально-сырьевые ресурсы: -0,15</x:t>
  </x:si>
  <x:si>
    <x:t xml:space="preserve">Мощности производства полупроводников: +0,40</x:t>
  </x:si>
  <x:si>
    <x:t xml:space="preserve">Химические и технологические материалы: +0,20</x:t>
  </x:si>
  <x:si>
    <x:t xml:space="preserve">Минерально-сырьевые ресурсы: -0,40</x:t>
  </x:si>
  <x:si>
    <x:t xml:space="preserve">ЦОД и вычислительная инфраструктура: +0,40</x:t>
  </x:si>
  <x:si>
    <x:t xml:space="preserve">Стек эксплуатации ИИ: +0,20</x:t>
  </x:si>
  <x:si>
    <x:t xml:space="preserve">Сетевые ресурсы: +0,20</x:t>
  </x:si>
  <x:si>
    <x:t xml:space="preserve">Энергетические ресурсы: -0,25</x:t>
  </x:si>
  <x:si>
    <x:t xml:space="preserve">Вода и ресурс отвода тепла: -0,20</x:t>
  </x:si>
  <x:si>
    <x:t xml:space="preserve">Сетевые ресурсы: +0,50</x:t>
  </x:si>
  <x:si>
    <x:t xml:space="preserve">ЦОД и вычислительная инфраструктура: +0,35</x:t>
  </x:si>
  <x:si>
    <x:t xml:space="preserve">Интеграционные ресурсы: +0,25</x:t>
  </x:si>
  <x:si>
    <x:t xml:space="preserve">Модификатор</x:t>
  </x:si>
  <x:si>
    <x:t xml:space="preserve">Защита от войны Афины: +15%</x:t>
  </x:si>
  <x:si>
    <x:t xml:space="preserve">Энергетические ресурсы: -0,35</x:t>
  </x:si>
  <x:si>
    <x:t xml:space="preserve">Вода и ресурс отвода тепла: -0,25</x:t>
  </x:si>
  <x:si>
    <x:t xml:space="preserve">Пространственные и природно-географические ресурсы: -0,20</x:t>
  </x:si>
  <x:si>
    <x:t xml:space="preserve">Вычислительные компоненты: +0,50</x:t>
  </x:si>
  <x:si>
    <x:t xml:space="preserve">Математико-алгоритмические ресурсы: +0,35</x:t>
  </x:si>
  <x:si>
    <x:t xml:space="preserve">Мощности производства полупроводников: +0,35</x:t>
  </x:si>
  <x:si>
    <x:t xml:space="preserve">Модельные ресурсы: +0,25</x:t>
  </x:si>
  <x:si>
    <x:t xml:space="preserve">Прирост</x:t>
  </x:si>
  <x:si>
    <x:t xml:space="preserve">Прирост ЦОД и вычислительной инфраструктуры: +0,10/год</x:t>
  </x:si>
  <x:si>
    <x:t xml:space="preserve">Эффективность науки для ветви M: +10%</x:t>
  </x:si>
  <x:si>
    <x:t xml:space="preserve">Минерально-сырьевые ресурсы: -0,45</x:t>
  </x:si>
  <x:si>
    <x:t xml:space="preserve">Энергетические ресурсы: -0,50</x:t>
  </x:si>
  <x:si>
    <x:t xml:space="preserve">Вода и ресурс отвода тепла: -0,40</x:t>
  </x:si>
  <x:si>
    <x:t xml:space="preserve">Пространственные и природно-географические ресурсы: -0,30</x:t>
  </x:si>
  <x:si>
    <x:t xml:space="preserve">Методы построения и совершенствования моделей: +0,20</x:t>
  </x:si>
  <x:si>
    <x:t xml:space="preserve">Модельные ресурсы: +0,30</x:t>
  </x:si>
  <x:si>
    <x:t xml:space="preserve">Атака в войне Аполлона: +10%</x:t>
  </x:si>
  <x:si>
    <x:t xml:space="preserve">Энергетические ресурсы: -0,15</x:t>
  </x:si>
  <x:si>
    <x:t xml:space="preserve">Методы построения и совершенствования моделей: +0,30</x:t>
  </x:si>
  <x:si>
    <x:t xml:space="preserve">Прирост сферы «Познание»: +0,08/год</x:t>
  </x:si>
  <x:si>
    <x:t xml:space="preserve">Ресурсы оценки: +0,20</x:t>
  </x:si>
  <x:si>
    <x:t xml:space="preserve">Модельные ресурсы: +0,40; прирост +0,08/год</x:t>
  </x:si>
  <x:si>
    <x:t xml:space="preserve">Прирост сферы «Управление»: +0,05/год</x:t>
  </x:si>
  <x:si>
    <x:t xml:space="preserve">Кибербезопасностные ресурсы: -0,15</x:t>
  </x:si>
  <x:si>
    <x:t xml:space="preserve">Сфера «Познание»: +0,30; прирост +0,10/год</x:t>
  </x:si>
  <x:si>
    <x:t xml:space="preserve">Прирост сферы «Государственное управление»: +0,08/год</x:t>
  </x:si>
  <x:si>
    <x:t xml:space="preserve">Математико-алгоритмические ресурсы: +0,20</x:t>
  </x:si>
  <x:si>
    <x:t xml:space="preserve">Атака в войне Афины: +10%</x:t>
  </x:si>
  <x:si>
    <x:t xml:space="preserve">Энергетические ресурсы: -0,30</x:t>
  </x:si>
  <x:si>
    <x:t xml:space="preserve">Социальное доверие: -0,15</x:t>
  </x:si>
  <x:si>
    <x:t xml:space="preserve">Прирост методов построения и совершенствования моделей: +0,15/год</x:t>
  </x:si>
  <x:si>
    <x:t xml:space="preserve">Прирост модельных ресурсов: +0,10/год</x:t>
  </x:si>
  <x:si>
    <x:t xml:space="preserve">Математико-алгоритмические ресурсы: +0,25</x:t>
  </x:si>
  <x:si>
    <x:t xml:space="preserve">Эффективность науки для ветвей M, A, X: +15%</x:t>
  </x:si>
  <x:si>
    <x:t xml:space="preserve">Энергетические ресурсы: -0,40</x:t>
  </x:si>
  <x:si>
    <x:t xml:space="preserve">Финансовые ресурсы: -0,20</x:t>
  </x:si>
  <x:si>
    <x:t xml:space="preserve">Социальное доверие: -0,20</x:t>
  </x:si>
  <x:si>
    <x:t xml:space="preserve">Интеграционные ресурсы: +0,20</x:t>
  </x:si>
  <x:si>
    <x:t xml:space="preserve">Производные данные: +0,30; прирост +0,10/год</x:t>
  </x:si>
  <x:si>
    <x:t xml:space="preserve">Социальное доверие: -0,10</x:t>
  </x:si>
  <x:si>
    <x:t xml:space="preserve">Контекстные информационные ресурсы: +0,30</x:t>
  </x:si>
  <x:si>
    <x:t xml:space="preserve">Прирост сферы «Познание»: +0,05/год</x:t>
  </x:si>
  <x:si>
    <x:t xml:space="preserve">Документационные ресурсы: +0,20</x:t>
  </x:si>
  <x:si>
    <x:t xml:space="preserve">Финансовые ресурсы: -0,15</x:t>
  </x:si>
  <x:si>
    <x:t xml:space="preserve">Документационные ресурсы: +0,30</x:t>
  </x:si>
  <x:si>
    <x:t xml:space="preserve">Права доступа к информационным ресурсам: +0,20</x:t>
  </x:si>
  <x:si>
    <x:t xml:space="preserve">Прирост сферы «Государственное управление»: +0,05/год</x:t>
  </x:si>
  <x:si>
    <x:t xml:space="preserve">Энергетические ресурсы: -0,20</x:t>
  </x:si>
  <x:si>
    <x:t xml:space="preserve">Контекстные информационные ресурсы: +0,50; прирост +0,10/год</x:t>
  </x:si>
  <x:si>
    <x:t xml:space="preserve">Интеграционные ресурсы: +0,30</x:t>
  </x:si>
  <x:si>
    <x:t xml:space="preserve">Защита от войны Аполлона: +15%</x:t>
  </x:si>
  <x:si>
    <x:t xml:space="preserve">Финансовые ресурсы: -0,25</x:t>
  </x:si>
  <x:si>
    <x:t xml:space="preserve">Кибербезопасностные ресурсы: -0,20</x:t>
  </x:si>
  <x:si>
    <x:t xml:space="preserve">Прирост исходных данных: +0,10/год</x:t>
  </x:si>
  <x:si>
    <x:t xml:space="preserve">Прирост производных данных: +0,15/год</x:t>
  </x:si>
  <x:si>
    <x:t xml:space="preserve">Прирост ресурсов оценки: +0,10/год</x:t>
  </x:si>
  <x:si>
    <x:t xml:space="preserve">Прирост сферы «Принятие ИИ»: +0,05/год</x:t>
  </x:si>
  <x:si>
    <x:t xml:space="preserve">Вода и ресурс отвода тепла: -0,15</x:t>
  </x:si>
  <x:si>
    <x:t xml:space="preserve">Организационная архитектура внедрения: +0,30; прирост +0,08/год</x:t>
  </x:si>
  <x:si>
    <x:t xml:space="preserve">Оцифрованность деятельности: +0,20</x:t>
  </x:si>
  <x:si>
    <x:t xml:space="preserve">Прирост сферы «Управление»: +0,08/год</x:t>
  </x:si>
  <x:si>
    <x:t xml:space="preserve">Организационная архитектура внедрения: +0,20</x:t>
  </x:si>
  <x:si>
    <x:t xml:space="preserve">Права доступа к информационным ресурсам: -0,20</x:t>
  </x:si>
  <x:si>
    <x:t xml:space="preserve">Организационная способность к изменению: +0,40</x:t>
  </x:si>
  <x:si>
    <x:t xml:space="preserve">Прирост сферы «Экономика»: +0,08/год</x:t>
  </x:si>
  <x:si>
    <x:t xml:space="preserve">Готовность работников к использованию ИИ: -0,15</x:t>
  </x:si>
  <x:si>
    <x:t xml:space="preserve">Прирост сферы «Государственное управление»: +0,12/год</x:t>
  </x:si>
  <x:si>
    <x:t xml:space="preserve">Система управления ИИ: +0,30</x:t>
  </x:si>
  <x:si>
    <x:t xml:space="preserve">Эффективность улучшения дипломатических отношений: +10%</x:t>
  </x:si>
  <x:si>
    <x:t xml:space="preserve">Кибербезопасностные ресурсы: -0,25</x:t>
  </x:si>
  <x:si>
    <x:t xml:space="preserve">Сфера «Управление»: +0,40</x:t>
  </x:si>
  <x:si>
    <x:t xml:space="preserve">Сфера «Государственное управление»: +0,30</x:t>
  </x:si>
  <x:si>
    <x:t xml:space="preserve">Сфера «Познание»: +0,25</x:t>
  </x:si>
  <x:si>
    <x:t xml:space="preserve">Прирост сферы «Экономика»: +0,10/год</x:t>
  </x:si>
  <x:si>
    <x:t xml:space="preserve">Атака в войне Афины: +15%</x:t>
  </x:si>
  <x:si>
    <x:t xml:space="preserve">Атака в войне Аполлона: +15%</x:t>
  </x:si>
  <x:si>
    <x:t xml:space="preserve">Кибербезопасностные ресурсы: -0,30</x:t>
  </x:si>
  <x:si>
    <x:t xml:space="preserve">Права доступа к информационным ресурсам: -0,25</x:t>
  </x:si>
  <x:si>
    <x:t xml:space="preserve">Организационная способность к изменению: -0,15</x:t>
  </x:si>
  <x:si>
    <x:t xml:space="preserve">Сфера «Производство»: +0,30; прирост +0,08/год</x:t>
  </x:si>
  <x:si>
    <x:t xml:space="preserve">Готовность работников к использованию ИИ: +0,20</x:t>
  </x:si>
  <x:si>
    <x:t xml:space="preserve">Защита от войны Афины: +10%</x:t>
  </x:si>
  <x:si>
    <x:t xml:space="preserve">Прирост сферы «Война»: +0,08/год</x:t>
  </x:si>
  <x:si>
    <x:t xml:space="preserve">Сфера «Производство»: +0,20</x:t>
  </x:si>
  <x:si>
    <x:t xml:space="preserve">Атака в войне Ареса: +15%</x:t>
  </x:si>
  <x:si>
    <x:t xml:space="preserve">Минерально-сырьевые ресурсы: -0,20</x:t>
  </x:si>
  <x:si>
    <x:t xml:space="preserve">Прирост сферы «Производство»: +0,12/год</x:t>
  </x:si>
  <x:si>
    <x:t xml:space="preserve">Оцифрованность деятельности: +0,25</x:t>
  </x:si>
  <x:si>
    <x:t xml:space="preserve">Прирост сферы «Экономика»: +0,05/год</x:t>
  </x:si>
  <x:si>
    <x:t xml:space="preserve">Минерально-сырьевые ресурсы: -0,30</x:t>
  </x:si>
  <x:si>
    <x:t xml:space="preserve">Квалифицированный человеческий ресурс: -0,15</x:t>
  </x:si>
  <x:si>
    <x:t xml:space="preserve">Сфера «Производство»: +0,50; прирост +0,15/год</x:t>
  </x:si>
  <x:si>
    <x:t xml:space="preserve">Организационная архитектура внедрения: +0,30</x:t>
  </x:si>
  <x:si>
    <x:t xml:space="preserve">Оцифрованность деятельности: +0,30</x:t>
  </x:si>
  <x:si>
    <x:t xml:space="preserve">Квалифицированный человеческий ресурс: +0,20</x:t>
  </x:si>
  <x:si>
    <x:t xml:space="preserve">Эффективность трансформации в ресурсах группы I: +15%</x:t>
  </x:si>
  <x:si>
    <x:t xml:space="preserve">Вода и ресурс отвода тепла: -0,30</x:t>
  </x:si>
  <x:si>
    <x:t xml:space="preserve">Пространственные и природно-географические ресурсы: -0,25</x:t>
  </x:si>
  <x:si>
    <x:t xml:space="preserve">Ресурсы оценки: +0,30</x:t>
  </x:si>
  <x:si>
    <x:t xml:space="preserve">Социальное доверие: +0,20</x:t>
  </x:si>
  <x:si>
    <x:t xml:space="preserve">Модельные ресурсы: -0,10</x:t>
  </x:si>
  <x:si>
    <x:t xml:space="preserve">Кибербезопасностные ресурсы: +0,30</x:t>
  </x:si>
  <x:si>
    <x:t xml:space="preserve">Ресурсы оценки: +0,40</x:t>
  </x:si>
  <x:si>
    <x:t xml:space="preserve">Прирост кибербезопасностных ресурсов: +0,08/год</x:t>
  </x:si>
  <x:si>
    <x:t xml:space="preserve">Защита от войны Аполлона: +10%</x:t>
  </x:si>
  <x:si>
    <x:t xml:space="preserve">Вычислительные компоненты: -0,10</x:t>
  </x:si>
  <x:si>
    <x:t xml:space="preserve">Система управления ИИ: +0,40</x:t>
  </x:si>
  <x:si>
    <x:t xml:space="preserve">Прирост сферы «Принятие ИИ»: +0,08/год</x:t>
  </x:si>
  <x:si>
    <x:t xml:space="preserve">Энергетические ресурсы: -0,10</x:t>
  </x:si>
  <x:si>
    <x:t xml:space="preserve">Система управления ИИ: +0,50</x:t>
  </x:si>
  <x:si>
    <x:t xml:space="preserve">Регуляторная и стандартная среда: +0,30</x:t>
  </x:si>
  <x:si>
    <x:t xml:space="preserve">Прирост социального доверия: +0,10/год</x:t>
  </x:si>
  <x:si>
    <x:t xml:space="preserve">Защита от войны Ареса: +10%</x:t>
  </x:si>
  <x:si>
    <x:t xml:space="preserve">Финансовые ресурсы: -0,35</x:t>
  </x:si>
  <x:si>
    <x:t xml:space="preserve">Вычислительные компоненты: -0,20</x:t>
  </x:si>
  <x:si>
    <x:t xml:space="preserve">Эффективность науки во всех направлениях: +15%</x:t>
  </x:si>
  <x:si>
    <x:t xml:space="preserve">Прирост сферы «Принятие ИИ»: +0,10/год</x:t>
  </x:si>
  <x:si>
    <x:t xml:space="preserve">Эффективность вложения очков ИИ в сферы: +10%</x:t>
  </x:si>
  <x:si>
    <x:t xml:space="preserve">Сфера «Государственное управление»: +0,50; прирост +0,12/год</x:t>
  </x:si>
  <x:si>
    <x:t xml:space="preserve">Эффективность улучшения дипломатических отношений: +15%</x:t>
  </x:si>
  <x:si>
    <x:t xml:space="preserve">Права доступа к информационным ресурсам: -0,30</x:t>
  </x:si>
  <x:si>
    <x:t xml:space="preserve">Социальное доверие: -0,25</x:t>
  </x:si>
  <x:si>
    <x:t xml:space="preserve">Эффективность науки во всех направлениях: +25%</x:t>
  </x:si>
  <x:si>
    <x:t xml:space="preserve">Прирост методов построения и совершенствования моделей: +0,10/год</x:t>
  </x:si>
  <x:si>
    <x:t xml:space="preserve">Доступ</x:t>
  </x:si>
  <x:si>
    <x:t xml:space="preserve">Доступ к картам технологических прорывов и рисков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</x:si>
</x:sst>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0.0%"/>
    <x:numFmt numFmtId="166" formatCode="0.00;[Red]\-0.00;0.0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8"/>
      <x:name val="Carlito"/>
    </x:font>
    <x:font>
      <x:b/>
      <x:sz val="8"/>
      <x:color rgb="FF777777"/>
      <x:name val="Carlito"/>
    </x:font>
    <x:font>
      <x:b/>
      <x:sz val="12"/>
      <x:color rgb="FFFFFFFF"/>
      <x:name val="Carlito"/>
    </x:font>
    <x:font>
      <x:sz val="11"/>
      <x:name val="Carlito"/>
    </x:font>
    <x:font>
      <x:b/>
      <x:sz val="10"/>
      <x:color rgb="FFFFFFFF"/>
      <x:name val="Arial"/>
      <x:family val="2"/>
    </x:font>
    <x:font>
      <x:b/>
      <x:sz val="10"/>
      <x:color rgb="FF176576"/>
      <x:name val="Arial"/>
      <x:family val="2"/>
    </x:font>
    <x:font>
      <x:b/>
      <x:sz val="14"/>
      <x:color rgb="FF19374B"/>
      <x:name val="Arial"/>
      <x:family val="2"/>
    </x:font>
    <x:font>
      <x:sz val="10"/>
      <x:color rgb="FF536574"/>
      <x:name val="Arial"/>
      <x:family val="2"/>
    </x:font>
    <x:font>
      <x:b/>
      <x:sz val="11"/>
      <x:color rgb="FFFFFFFF"/>
      <x:name val="Arial"/>
      <x:family val="2"/>
    </x:font>
    <x:font>
      <x:sz val="10"/>
      <x:color rgb="FF253441"/>
      <x:name val="Arial"/>
      <x:family val="2"/>
    </x:font>
    <x:font>
      <x:b/>
      <x:sz val="10"/>
      <x:color rgb="FF26778A"/>
      <x:name val="Arial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5A9BD2"/>
      </x:patternFill>
    </x:fill>
    <x:fill>
      <x:patternFill patternType="solid">
        <x:fgColor rgb="FFE8F4F7"/>
      </x:patternFill>
    </x:fill>
    <x:fill>
      <x:patternFill patternType="solid">
        <x:fgColor rgb="FF163044"/>
      </x:patternFill>
    </x:fill>
    <x:fill>
      <x:patternFill patternType="solid">
        <x:fgColor rgb="FF26778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D8E4EA"/>
      </x:bottom>
      <x:diagonal/>
    </x:border>
  </x:borders>
  <x:cellStyleXfs count="2">
    <x:xf numFmtId="0" fontId="0" fillId="0" borderId="0"/>
    <x:xf numFmtId="0" fontId="7" fillId="0" borderId="0"/>
  </x:cellStyleXfs>
  <x:cellXfs count="39">
    <x:xf numFmtId="0" fontId="0" fillId="0" borderId="0" xfId="0"/>
    <x:xf numFmtId="0" fontId="3" fillId="6" borderId="0" xfId="1" applyFont="1" applyFill="1" applyAlignment="1">
      <x:alignment wrapText="1"/>
    </x:xf>
    <x:xf numFmtId="0" fontId="5" fillId="7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0" fillId="7" borderId="0" xfId="1" applyFont="1" applyFill="1" applyAlignment="1">
      <x:alignment wrapText="1"/>
    </x:xf>
    <x:xf numFmtId="0" fontId="0" fillId="5" borderId="0" xfId="1" applyFont="1" applyFill="1" applyAlignment="1">
      <x:alignment wrapText="1"/>
    </x:xf>
    <x:xf numFmtId="0" fontId="0" fillId="8" borderId="0" xfId="1" applyFont="1" applyFill="1" applyAlignment="1">
      <x:alignment wrapText="1"/>
    </x:xf>
    <x:xf numFmtId="0" fontId="0" fillId="9" borderId="0" xfId="1" applyFont="1" applyFill="1" applyAlignment="1">
      <x:alignment wrapText="1"/>
    </x:xf>
    <x:xf numFmtId="165" fontId="0" fillId="0" borderId="0" xfId="1" applyNumberFormat="1" applyFont="1" applyAlignment="1">
      <x:alignment wrapText="1"/>
    </x:xf>
    <x:xf numFmtId="0" fontId="8" fillId="10" borderId="0" xfId="0" applyFont="1" applyFill="1" applyAlignment="1">
      <x:alignment vertical="center" wrapText="1"/>
    </x:xf>
    <x:xf numFmtId="166" fontId="0" fillId="0" borderId="0" xfId="0" applyNumberFormat="1" applyAlignment="1">
      <x:alignment wrapText="1"/>
    </x:xf>
    <x:xf numFmtId="9" fontId="0" fillId="11" borderId="0" xfId="0" applyNumberFormat="1" applyFill="1" applyAlignment="1">
      <x:alignment wrapText="1"/>
    </x:xf>
    <x:xf numFmtId="0" fontId="0" fillId="11" borderId="0" xfId="0" applyFill="1" applyAlignment="1">
      <x:alignment wrapText="1"/>
    </x:xf>
    <x:xf numFmtId="0" fontId="9" fillId="11" borderId="0" xfId="0" applyFont="1" applyFill="1" applyAlignment="1">
      <x:alignment wrapText="1"/>
    </x:xf>
    <x:xf numFmtId="0" fontId="10" fillId="0" borderId="0" xfId="0" applyFont="1"/>
    <x:xf numFmtId="0" fontId="11" fillId="0" borderId="0" xfId="0" applyFont="1"/>
    <x:xf numFmtId="0" fontId="8" fillId="12" borderId="0" xfId="0" applyFont="1" applyFill="1" applyAlignment="1">
      <x:alignment vertical="center"/>
    </x:xf>
    <x:xf numFmtId="0" fontId="12" fillId="13" borderId="0" xfId="0" applyFont="1" applyFill="1"/>
    <x:xf numFmtId="0" fontId="13" fillId="0" borderId="0" xfId="0" applyFont="1"/>
    <x:xf numFmtId="0" fontId="14" fillId="0" borderId="0" xfId="0" applyFont="1"/>
    <x:xf numFmtId="166" fontId="13" fillId="0" borderId="0" xfId="0" applyNumberFormat="1" applyFont="1"/>
    <x:xf numFmtId="166" fontId="0" fillId="0" borderId="0" xfId="0" applyNumberFormat="1"/>
    <x:xf numFmtId="9" fontId="0" fillId="0" borderId="0" xfId="0" applyNumberFormat="1"/>
    <x:xf numFmtId="1" fontId="0" fillId="0" borderId="0" xfId="0" applyNumberFormat="1"/>
    <x:xf numFmtId="0" fontId="14" fillId="0" borderId="1" xfId="0" applyFont="1" applyBorder="1"/>
    <x:xf numFmtId="0" fontId="13" fillId="0" borderId="1" xfId="0" applyFont="1" applyBorder="1"/>
    <x:xf numFmtId="166" fontId="13" fillId="0" borderId="1" xfId="0" applyNumberFormat="1" applyFont="1" applyBorder="1"/>
    <x:xf numFmtId="0" fontId="8" fillId="12" borderId="0" xfId="0" applyFont="1" applyFill="1" applyAlignment="1">
      <x:alignment wrapText="1"/>
    </x:xf>
    <x:xf numFmtId="0" fontId="4" fillId="5" borderId="0" xfId="1" applyFont="1" applyFill="1" applyAlignment="1">
      <x:alignment horizontal="center"/>
    </x:xf>
    <x:xf numFmtId="0" fontId="1" fillId="2" borderId="0" xfId="1" applyFont="1" applyFill="1" applyAlignment="1">
      <x:alignment horizontal="center" vertical="center"/>
    </x:xf>
    <x:xf numFmtId="0" fontId="2" fillId="3" borderId="0" xfId="1" applyFont="1" applyFill="1" applyAlignment="1">
      <x:alignment horizontal="center" wrapText="1"/>
    </x:xf>
    <x:xf numFmtId="0" fontId="3" fillId="4" borderId="0" xfId="1" applyFont="1" applyFill="1" applyAlignment="1">
      <x:alignment horizontal="center"/>
    </x:xf>
    <x:xf numFmtId="0" fontId="6" fillId="4" borderId="0" xfId="1" applyFont="1" applyFill="1" applyAlignment="1">
      <x:alignment wrapText="1"/>
    </x:xf>
    <x:xf numFmtId="0" fontId="1" fillId="2" borderId="0" xfId="1" applyFont="1" applyFill="1" applyAlignment="1">
      <x:alignment horizontal="center" vertical="center" wrapText="1"/>
    </x:xf>
    <x:xf numFmtId="0" fontId="3" fillId="4" borderId="0" xfId="1" applyFont="1" applyFill="1" applyAlignment="1">
      <x:alignment horizontal="center" wrapText="1"/>
    </x:xf>
    <x:xf numFmtId="164" fontId="4" fillId="5" borderId="0" xfId="1" applyNumberFormat="1" applyFont="1" applyFill="1" applyAlignment="1">
      <x:alignment horizontal="center" wrapText="1"/>
    </x:xf>
    <x:xf numFmtId="0" fontId="1" fillId="2" borderId="0" xfId="1" applyFont="1" applyFill="1" applyAlignment="1">
      <x:alignment horizontal="center" wrapText="1"/>
    </x:xf>
    <x:xf numFmtId="0" fontId="3" fillId="4" borderId="0" xfId="1" applyFont="1" applyFill="1" applyAlignment="1">
      <x:alignment wrapText="1"/>
    </x:xf>
    <x:xf numFmtId="0" fontId="0" fillId="0" borderId="0" xfId="1" applyFont="1" applyAlignment="1">
      <x:alignment wrapText="1"/>
    </x:xf>
  </x:cellXfs>
  <x:cellStyles count="2">
    <x:cellStyle name="Normal" xfId="1"/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a8edbe9e74090" /><Relationship Type="http://schemas.openxmlformats.org/officeDocument/2006/relationships/theme" Target="/xl/theme/theme1.xml" Id="R4b18e68220fb46f8" /><Relationship Type="http://schemas.openxmlformats.org/officeDocument/2006/relationships/sharedStrings" Target="/xl/sharedStrings.xml" Id="R2aa56592967d463c" /><Relationship Type="http://schemas.openxmlformats.org/officeDocument/2006/relationships/worksheet" Target="/xl/worksheets/sheet1.xml" Id="R78205ced72274a54" /><Relationship Type="http://schemas.openxmlformats.org/officeDocument/2006/relationships/worksheet" Target="/xl/worksheets/sheet2.xml" Id="Rf9deafc5e61d4115" /><Relationship Type="http://schemas.openxmlformats.org/officeDocument/2006/relationships/worksheet" Target="/xl/worksheets/sheet3.xml" Id="R93a4327c736a413b" /><Relationship Type="http://schemas.openxmlformats.org/officeDocument/2006/relationships/worksheet" Target="/xl/worksheets/sheet4.xml" Id="R64799d501d494140" /><Relationship Type="http://schemas.openxmlformats.org/officeDocument/2006/relationships/worksheet" Target="/xl/worksheets/sheet5.xml" Id="R7a68ce45d3964ee1" /><Relationship Type="http://schemas.openxmlformats.org/officeDocument/2006/relationships/worksheet" Target="/xl/worksheets/sheet6.xml" Id="Rcab1f0297fd545d7" /><Relationship Type="http://schemas.openxmlformats.org/officeDocument/2006/relationships/worksheet" Target="/xl/worksheets/sheet7.xml" Id="Rbaca94e482d84674" /><Relationship Type="http://schemas.openxmlformats.org/officeDocument/2006/relationships/worksheet" Target="/xl/worksheets/sheet8.xml" Id="Ra99737af09ba428f" /><Relationship Type="http://schemas.openxmlformats.org/officeDocument/2006/relationships/worksheet" Target="/xl/worksheets/sheet9.xml" Id="R45c746b9f28e4622" /><Relationship Type="http://schemas.openxmlformats.org/officeDocument/2006/relationships/worksheet" Target="/xl/worksheets/sheet10.xml" Id="R070356d1319345d7" /><Relationship Type="http://schemas.openxmlformats.org/officeDocument/2006/relationships/worksheet" Target="/xl/worksheets/sheet11.xml" Id="R501aa0248df74e64" /><Relationship Type="http://schemas.openxmlformats.org/officeDocument/2006/relationships/worksheet" Target="/xl/worksheets/sheet12.xml" Id="R4ee61ef3a6794a1a" /><Relationship Type="http://schemas.openxmlformats.org/officeDocument/2006/relationships/worksheet" Target="/xl/worksheets/sheet13.xml" Id="R2d86ba63d5814de4" /><Relationship Type="http://schemas.openxmlformats.org/officeDocument/2006/relationships/worksheet" Target="/xl/worksheets/sheet14.xml" Id="R52be9069cb214053" /><Relationship Type="http://schemas.openxmlformats.org/officeDocument/2006/relationships/worksheet" Target="/xl/worksheets/sheet15.xml" Id="Rb98d06b3471e4b6e" /><Relationship Type="http://schemas.openxmlformats.org/officeDocument/2006/relationships/worksheet" Target="/xl/worksheets/sheet16.xml" Id="R6c863e700d194ae3" /><Relationship Type="http://schemas.openxmlformats.org/officeDocument/2006/relationships/worksheet" Target="/xl/worksheets/sheet17.xml" Id="Rfa89d90feda046f1" /><Relationship Type="http://schemas.openxmlformats.org/officeDocument/2006/relationships/worksheet" Target="/xl/worksheets/sheet18.xml" Id="Rf6af960671fc4ef7" /><Relationship Type="http://schemas.openxmlformats.org/officeDocument/2006/relationships/worksheet" Target="/xl/worksheets/sheet19.xml" Id="R8f0f2278ca6a4ccf" /><Relationship Type="http://schemas.openxmlformats.org/officeDocument/2006/relationships/worksheet" Target="/xl/worksheets/sheet20.xml" Id="R4bfd0ced0f6b43c1" /><Relationship Type="http://schemas.openxmlformats.org/officeDocument/2006/relationships/worksheet" Target="/xl/worksheets/sheet21.xml" Id="Rfc3d3cb889304fc1" /><Relationship Type="http://schemas.openxmlformats.org/officeDocument/2006/relationships/worksheet" Target="/xl/worksheets/sheet22.xml" Id="R3454d0fc499947b9" /><Relationship Type="http://schemas.openxmlformats.org/officeDocument/2006/relationships/worksheet" Target="/xl/worksheets/sheet23.xml" Id="R52b6d32041eb490e" /><Relationship Type="http://schemas.openxmlformats.org/officeDocument/2006/relationships/worksheet" Target="/xl/worksheets/sheet24.xml" Id="Re727ddb62351477d" /><Relationship Type="http://schemas.openxmlformats.org/officeDocument/2006/relationships/worksheet" Target="/xl/worksheets/sheet25.xml" Id="Rc72ddd2608c0454b" /><Relationship Type="http://schemas.openxmlformats.org/officeDocument/2006/relationships/worksheet" Target="/xl/worksheets/sheet26.xml" Id="R777dfc7b74394ecc" /><Relationship Type="http://schemas.openxmlformats.org/officeDocument/2006/relationships/worksheet" Target="/xl/worksheets/sheet27.xml" Id="R6e9df29dabf04fbf" /><Relationship Type="http://schemas.openxmlformats.org/officeDocument/2006/relationships/worksheet" Target="/xl/worksheets/sheet28.xml" Id="R610e5c0ce45044ef" /><Relationship Type="http://schemas.openxmlformats.org/officeDocument/2006/relationships/worksheet" Target="/xl/worksheets/sheet29.xml" Id="R125f425f76024ef7" /><Relationship Type="http://schemas.openxmlformats.org/officeDocument/2006/relationships/worksheet" Target="/xl/worksheets/sheet30.xml" Id="Rf1b12e42d8484ab1" /><Relationship Type="http://schemas.openxmlformats.org/officeDocument/2006/relationships/worksheet" Target="/xl/worksheets/sheet31.xml" Id="Rd48c37a29d194e15" /><Relationship Type="http://schemas.openxmlformats.org/officeDocument/2006/relationships/worksheet" Target="/xl/worksheets/sheet32.xml" Id="R4b964efa773a4529" /><Relationship Type="http://schemas.openxmlformats.org/officeDocument/2006/relationships/worksheet" Target="/xl/worksheets/sheet33.xml" Id="Ra1199863de7649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8" customWidth="1"/>
    <x:col min="2" max="2" width="24" customWidth="1"/>
    <x:col min="3" max="3" width="9" customWidth="1"/>
    <x:col min="4" max="4" width="31" customWidth="1"/>
    <x:col min="5" max="8" width="11" customWidth="1"/>
    <x:col min="9" max="9" width="42" customWidth="1"/>
    <x:col min="10" max="10" width="48" customWidth="1"/>
    <x:col min="11" max="25" width="11" customWidth="1"/>
    <x:col min="26" max="26" width="13" customWidth="1"/>
    <x:col min="27" max="27" width="11" customWidth="1"/>
    <x:col min="28" max="28" width="15" customWidth="1"/>
    <x:col min="29" max="58" width="3" customWidth="1"/>
    <x:col min="59" max="60" width="15" customWidth="1"/>
  </x:cols>
  <x:sheetData>
    <x:row r="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</x:row>
    <x:row r="3" ht="14.399999618530273">
      <x:c r="A3" s="30" t="s">
        <x:v>1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</x:row>
    <x:row r="5">
      <x:c r="A5" s="31" t="s">
        <x:v>2</x:v>
      </x:c>
      <x:c r="B5" s="31"/>
      <x:c r="C5" s="31"/>
      <x:c r="E5" s="31" t="s">
        <x:v>3</x:v>
      </x:c>
      <x:c r="F5" s="31"/>
      <x:c r="G5" s="31"/>
      <x:c r="I5" s="31" t="s">
        <x:v>4</x:v>
      </x:c>
      <x:c r="J5" s="31"/>
      <x:c r="K5" s="31"/>
      <x:c r="M5" s="31" t="s">
        <x:v>5</x:v>
      </x:c>
      <x:c r="N5" s="31"/>
    </x:row>
    <x:row r="6">
      <x:c r="A6" s="28">
        <x:v>40</x:v>
      </x:c>
      <x:c r="B6" s="28"/>
      <x:c r="C6" s="28"/>
      <x:c r="E6" s="28">
        <x:v>6</x:v>
      </x:c>
      <x:c r="F6" s="28"/>
      <x:c r="G6" s="28"/>
      <x:c r="I6" s="28">
        <x:v>4</x:v>
      </x:c>
      <x:c r="J6" s="28"/>
      <x:c r="K6" s="28"/>
      <x:c r="M6" s="28">
        <x:v>6</x:v>
      </x:c>
      <x:c r="N6" s="28"/>
    </x:row>
    <x:row r="7">
      <x:c r="A7" s="28"/>
      <x:c r="B7" s="28"/>
      <x:c r="C7" s="28"/>
      <x:c r="E7" s="28"/>
      <x:c r="F7" s="28"/>
      <x:c r="G7" s="28"/>
      <x:c r="I7" s="28"/>
      <x:c r="J7" s="28"/>
      <x:c r="K7" s="28"/>
      <x:c r="M7" s="28"/>
      <x:c r="N7" s="28"/>
    </x:row>
    <x:row r="10" ht="41.400001525878906">
      <x:c r="A10" s="1" t="s">
        <x:v>6</x:v>
      </x:c>
      <x:c r="B10" s="1" t="s">
        <x:v>7</x:v>
      </x:c>
      <x:c r="C10" s="1" t="s">
        <x:v>8</x:v>
      </x:c>
      <x:c r="D10" s="1" t="s">
        <x:v>9</x:v>
      </x:c>
      <x:c r="E10" s="1" t="s">
        <x:v>10</x:v>
      </x:c>
      <x:c r="F10" s="1" t="s">
        <x:v>11</x:v>
      </x:c>
      <x:c r="G10" s="1" t="s">
        <x:v>12</x:v>
      </x:c>
      <x:c r="H10" s="1" t="s">
        <x:v>13</x:v>
      </x:c>
      <x:c r="I10" s="1" t="s">
        <x:v>14</x:v>
      </x:c>
      <x:c r="J10" s="1" t="s">
        <x:v>15</x:v>
      </x:c>
      <x:c r="K10" s="1" t="s">
        <x:v>16</x:v>
      </x:c>
      <x:c r="L10" s="1" t="s">
        <x:v>17</x:v>
      </x:c>
      <x:c r="M10" s="1" t="s">
        <x:v>18</x:v>
      </x:c>
      <x:c r="N10" s="1" t="s">
        <x:v>19</x:v>
      </x:c>
      <x:c r="O10" s="1" t="s">
        <x:v>20</x:v>
      </x:c>
      <x:c r="P10" s="1" t="s">
        <x:v>21</x:v>
      </x:c>
      <x:c r="Q10" s="1" t="s">
        <x:v>22</x:v>
      </x:c>
      <x:c r="R10" s="1" t="s">
        <x:v>23</x:v>
      </x:c>
      <x:c r="S10" s="1" t="s">
        <x:v>24</x:v>
      </x:c>
      <x:c r="T10" s="1" t="s">
        <x:v>25</x:v>
      </x:c>
      <x:c r="U10" s="1" t="s">
        <x:v>26</x:v>
      </x:c>
      <x:c r="V10" s="1" t="s">
        <x:v>27</x:v>
      </x:c>
      <x:c r="W10" s="1" t="s">
        <x:v>28</x:v>
      </x:c>
      <x:c r="X10" s="1" t="s">
        <x:v>29</x:v>
      </x:c>
      <x:c r="Y10" s="1" t="s">
        <x:v>30</x:v>
      </x:c>
      <x:c r="Z10" s="1" t="s">
        <x:v>31</x:v>
      </x:c>
      <x:c r="AA10" s="1" t="s">
        <x:v>32</x:v>
      </x:c>
      <x:c r="AB10" s="1" t="s">
        <x:v>33</x:v>
      </x:c>
      <x:c r="AC10" s="2" t="s">
        <x:v>34</x:v>
      </x:c>
      <x:c r="AD10" s="2" t="s">
        <x:v>35</x:v>
      </x:c>
      <x:c r="AE10" s="2" t="s">
        <x:v>36</x:v>
      </x:c>
      <x:c r="AF10" s="2" t="s">
        <x:v>37</x:v>
      </x:c>
      <x:c r="AG10" s="2" t="s">
        <x:v>38</x:v>
      </x:c>
      <x:c r="AH10" s="2" t="s">
        <x:v>39</x:v>
      </x:c>
      <x:c r="AI10" s="2" t="s">
        <x:v>40</x:v>
      </x:c>
      <x:c r="AJ10" s="2" t="s">
        <x:v>41</x:v>
      </x:c>
      <x:c r="AK10" s="2" t="s">
        <x:v>42</x:v>
      </x:c>
      <x:c r="AL10" s="2" t="s">
        <x:v>43</x:v>
      </x:c>
      <x:c r="AM10" s="2" t="s">
        <x:v>44</x:v>
      </x:c>
      <x:c r="AN10" s="2" t="s">
        <x:v>45</x:v>
      </x:c>
      <x:c r="AO10" s="2" t="s">
        <x:v>46</x:v>
      </x:c>
      <x:c r="AP10" s="2" t="s">
        <x:v>47</x:v>
      </x:c>
      <x:c r="AQ10" s="2" t="s">
        <x:v>48</x:v>
      </x:c>
      <x:c r="AR10" s="2" t="s">
        <x:v>49</x:v>
      </x:c>
      <x:c r="AS10" s="2" t="s">
        <x:v>50</x:v>
      </x:c>
      <x:c r="AT10" s="2" t="s">
        <x:v>51</x:v>
      </x:c>
      <x:c r="AU10" s="2" t="s">
        <x:v>52</x:v>
      </x:c>
      <x:c r="AV10" s="2" t="s">
        <x:v>53</x:v>
      </x:c>
      <x:c r="AW10" s="2" t="s">
        <x:v>54</x:v>
      </x:c>
      <x:c r="AX10" s="2" t="s">
        <x:v>55</x:v>
      </x:c>
      <x:c r="AY10" s="2" t="s">
        <x:v>56</x:v>
      </x:c>
      <x:c r="AZ10" s="2" t="s">
        <x:v>57</x:v>
      </x:c>
      <x:c r="BA10" s="2" t="s">
        <x:v>58</x:v>
      </x:c>
      <x:c r="BB10" s="2" t="s">
        <x:v>59</x:v>
      </x:c>
      <x:c r="BC10" s="2" t="s">
        <x:v>60</x:v>
      </x:c>
      <x:c r="BD10" s="2" t="s">
        <x:v>61</x:v>
      </x:c>
      <x:c r="BE10" s="2" t="s">
        <x:v>62</x:v>
      </x:c>
      <x:c r="BF10" s="2" t="s">
        <x:v>63</x:v>
      </x:c>
      <x:c r="BG10" s="27" t="s">
        <x:v>64</x:v>
      </x:c>
      <x:c r="BH10" s="27" t="s">
        <x:v>65</x:v>
      </x:c>
    </x:row>
    <x:row r="11" ht="193.1999969482422">
      <x:c r="A11" s="3" t="s">
        <x:v>66</x:v>
      </x:c>
      <x:c r="B11" s="3" t="s">
        <x:v>67</x:v>
      </x:c>
      <x:c r="C11" s="3" t="s">
        <x:v>68</x:v>
      </x:c>
      <x:c r="D11" s="3" t="s">
        <x:v>69</x:v>
      </x:c>
      <x:c r="E11" s="3">
        <x:v>20</x:v>
      </x:c>
      <x:c r="F11" s="3"/>
      <x:c r="G11" s="3"/>
      <x:c r="H11" s="3"/>
      <x:c r="I11" s="3" t="s">
        <x:v>70</x:v>
      </x:c>
      <x:c r="J11" s="3" t="s">
        <x:v>71</x:v>
      </x:c>
      <x:c r="K11" s="4" t="n">
        <x:f>SUMIF('Ход 2026'!$G$29:$G$38,$A11,'Ход 2026'!$I$29:$I$38)*(1+'Эффекты технологий'!J$7)</x:f>
        <x:v>0</x:v>
      </x:c>
      <x:c r="L11" s="4" t="n">
        <x:f>SUMIF('Ход 2027'!$G$29:$G$38,$A11,'Ход 2027'!$I$29:$I$38)*(1+'Эффекты технологий'!K$7)</x:f>
        <x:v>0</x:v>
      </x:c>
      <x:c r="M11" s="4" t="n">
        <x:f>SUMIF('Ход 2028'!$G$29:$G$38,$A11,'Ход 2028'!$I$29:$I$38)*(1+'Эффекты технологий'!L$7)</x:f>
        <x:v>0</x:v>
      </x:c>
      <x:c r="N11" s="4" t="n">
        <x:f>SUMIF('Ход 2029'!$G$29:$G$38,$A11,'Ход 2029'!$I$29:$I$38)*(1+'Эффекты технологий'!M$7)</x:f>
        <x:v>0</x:v>
      </x:c>
      <x:c r="O11" s="4" t="n">
        <x:f>SUMIF('Ход 2030'!$G$29:$G$38,$A11,'Ход 2030'!$I$29:$I$38)*(1+'Эффекты технологий'!N$7)</x:f>
        <x:v>0</x:v>
      </x:c>
      <x:c r="P11" s="4" t="n">
        <x:f>SUMIF('Ход 2031'!$G$29:$G$38,$A11,'Ход 2031'!$I$29:$I$38)*(1+'Эффекты технологий'!O$7)</x:f>
        <x:v>0</x:v>
      </x:c>
      <x:c r="Q11" s="4" t="n">
        <x:f>SUMIF('Ход 2032'!$G$29:$G$38,$A11,'Ход 2032'!$I$29:$I$38)*(1+'Эффекты технологий'!P$7)</x:f>
        <x:v>0</x:v>
      </x:c>
      <x:c r="R11" s="4" t="n">
        <x:f>SUMIF('Ход 2033'!$G$29:$G$38,$A11,'Ход 2033'!$I$29:$I$38)*(1+'Эффекты технологий'!Q$7)</x:f>
        <x:v>0</x:v>
      </x:c>
      <x:c r="S11" s="4" t="n">
        <x:f>SUMIF('Ход 2034'!$G$29:$G$38,$A11,'Ход 2034'!$I$29:$I$38)*(1+'Эффекты технологий'!R$7)</x:f>
        <x:v>0</x:v>
      </x:c>
      <x:c r="T11" s="4" t="n">
        <x:f>SUMIF('Ход 2035'!$G$29:$G$38,$A11,'Ход 2035'!$I$29:$I$38)*(1+'Эффекты технологий'!S$7)</x:f>
        <x:v>0</x:v>
      </x:c>
      <x:c r="U11" s="4" t="n">
        <x:f>SUMIF('Ход 2036'!$G$29:$G$38,$A11,'Ход 2036'!$I$29:$I$38)*(1+'Эффекты технологий'!T$7)</x:f>
        <x:v>0</x:v>
      </x:c>
      <x:c r="V11" s="4" t="n">
        <x:f>SUMIF('Ход 2037'!$G$29:$G$38,$A11,'Ход 2037'!$I$29:$I$38)*(1+'Эффекты технологий'!U$7)</x:f>
        <x:v>0</x:v>
      </x:c>
      <x:c r="W11" s="4" t="n">
        <x:f>SUMIF('Ход 2038'!$G$29:$G$38,$A11,'Ход 2038'!$I$29:$I$38)*(1+'Эффекты технологий'!V$7)</x:f>
        <x:v>0</x:v>
      </x:c>
      <x:c r="X11" s="4" t="n">
        <x:f>SUMIF('Ход 2039'!$G$29:$G$38,$A11,'Ход 2039'!$I$29:$I$38)*(1+'Эффекты технологий'!W$7)</x:f>
        <x:v>0</x:v>
      </x:c>
      <x:c r="Y11" s="4" t="n">
        <x:f>SUMIF('Ход 2040'!$G$29:$G$38,$A11,'Ход 2040'!$I$29:$I$38)*(1+'Эффекты технологий'!X$7)</x:f>
        <x:v>0</x:v>
      </x:c>
      <x:c r="Z11" s="5" t="n">
        <x:f t="shared" ref="Z11:Z50" si="0">SUM(K11:Y11)</x:f>
        <x:v>0</x:v>
      </x:c>
      <x:c r="AA11" s="5" t="n">
        <x:f t="shared" ref="AA11:AA50" si="1">MAX(0,E11-Z11)</x:f>
        <x:v>20</x:v>
      </x:c>
      <x:c r="AB11" s="3" t="str">
        <x:f t="shared" ref="AB11:AB50" si="2">BF11</x:f>
        <x:v>ОТКРЫТО</x:v>
      </x:c>
      <x:c r="AC11" t="n">
        <x:f>SUM($K11:K11)</x:f>
        <x:v>0</x:v>
      </x:c>
      <x:c r="AD11" t="n">
        <x:f>SUM($K11:L11)</x:f>
        <x:v>0</x:v>
      </x:c>
      <x:c r="AE11" t="n">
        <x:f>SUM($K11:M11)</x:f>
        <x:v>0</x:v>
      </x:c>
      <x:c r="AF11" t="n">
        <x:f>SUM($K11:N11)</x:f>
        <x:v>0</x:v>
      </x:c>
      <x:c r="AG11" t="n">
        <x:f>SUM($K11:O11)</x:f>
        <x:v>0</x:v>
      </x:c>
      <x:c r="AH11" t="n">
        <x:f>SUM($K11:P11)</x:f>
        <x:v>0</x:v>
      </x:c>
      <x:c r="AI11" t="n">
        <x:f>SUM($K11:Q11)</x:f>
        <x:v>0</x:v>
      </x:c>
      <x:c r="AJ11" t="n">
        <x:f>SUM($K11:R11)</x:f>
        <x:v>0</x:v>
      </x:c>
      <x:c r="AK11" t="n">
        <x:f>SUM($K11:S11)</x:f>
        <x:v>0</x:v>
      </x:c>
      <x:c r="AL11" t="n">
        <x:f>SUM($K11:T11)</x:f>
        <x:v>0</x:v>
      </x:c>
      <x:c r="AM11" t="n">
        <x:f>SUM($K11:U11)</x:f>
        <x:v>0</x:v>
      </x:c>
      <x:c r="AN11" t="n">
        <x:f>SUM($K11:V11)</x:f>
        <x:v>0</x:v>
      </x:c>
      <x:c r="AO11" t="n">
        <x:f>SUM($K11:W11)</x:f>
        <x:v>0</x:v>
      </x:c>
      <x:c r="AP11" t="n">
        <x:f>SUM($K11:X11)</x:f>
        <x:v>0</x:v>
      </x:c>
      <x:c r="AQ11" t="n">
        <x:f>SUM($K11:Y11)</x:f>
        <x:v>0</x:v>
      </x:c>
      <x:c r="AR11" t="str">
        <x:f t="shared" ref="AR11:AR50" si="3">IF(AND(AC11&gt;=$E11,TRUE),"ИЗУЧЕНО",IF(TRUE,"ОТКРЫТО","ЗАКРЫТО"))</x:f>
        <x:v>ОТКРЫТО</x:v>
      </x:c>
      <x:c r="AS11" t="str">
        <x:f t="shared" ref="AS11:AS50" si="4">IF(AND(AD11&gt;=$E11,TRUE),"ИЗУЧЕНО",IF(TRUE,"ОТКРЫТО","ЗАКРЫТО"))</x:f>
        <x:v>ОТКРЫТО</x:v>
      </x:c>
      <x:c r="AT11" t="str">
        <x:f t="shared" ref="AT11:AT50" si="5">IF(AND(AE11&gt;=$E11,TRUE),"ИЗУЧЕНО",IF(TRUE,"ОТКРЫТО","ЗАКРЫТО"))</x:f>
        <x:v>ОТКРЫТО</x:v>
      </x:c>
      <x:c r="AU11" t="str">
        <x:f t="shared" ref="AU11:AU50" si="6">IF(AND(AF11&gt;=$E11,TRUE),"ИЗУЧЕНО",IF(TRUE,"ОТКРЫТО","ЗАКРЫТО"))</x:f>
        <x:v>ОТКРЫТО</x:v>
      </x:c>
      <x:c r="AV11" t="str">
        <x:f t="shared" ref="AV11:AV50" si="7">IF(AND(AG11&gt;=$E11,TRUE),"ИЗУЧЕНО",IF(TRUE,"ОТКРЫТО","ЗАКРЫТО"))</x:f>
        <x:v>ОТКРЫТО</x:v>
      </x:c>
      <x:c r="AW11" t="str">
        <x:f t="shared" ref="AW11:AW50" si="8">IF(AND(AH11&gt;=$E11,TRUE),"ИЗУЧЕНО",IF(TRUE,"ОТКРЫТО","ЗАКРЫТО"))</x:f>
        <x:v>ОТКРЫТО</x:v>
      </x:c>
      <x:c r="AX11" t="str">
        <x:f t="shared" ref="AX11:AX50" si="9">IF(AND(AI11&gt;=$E11,TRUE),"ИЗУЧЕНО",IF(TRUE,"ОТКРЫТО","ЗАКРЫТО"))</x:f>
        <x:v>ОТКРЫТО</x:v>
      </x:c>
      <x:c r="AY11" t="str">
        <x:f t="shared" ref="AY11:AY50" si="10">IF(AND(AJ11&gt;=$E11,TRUE),"ИЗУЧЕНО",IF(TRUE,"ОТКРЫТО","ЗАКРЫТО"))</x:f>
        <x:v>ОТКРЫТО</x:v>
      </x:c>
      <x:c r="AZ11" t="str">
        <x:f t="shared" ref="AZ11:AZ50" si="11">IF(AND(AK11&gt;=$E11,TRUE),"ИЗУЧЕНО",IF(TRUE,"ОТКРЫТО","ЗАКРЫТО"))</x:f>
        <x:v>ОТКРЫТО</x:v>
      </x:c>
      <x:c r="BA11" t="str">
        <x:f t="shared" ref="BA11:BA50" si="12">IF(AND(AL11&gt;=$E11,TRUE),"ИЗУЧЕНО",IF(TRUE,"ОТКРЫТО","ЗАКРЫТО"))</x:f>
        <x:v>ОТКРЫТО</x:v>
      </x:c>
      <x:c r="BB11" t="str">
        <x:f t="shared" ref="BB11:BB50" si="13">IF(AND(AM11&gt;=$E11,TRUE),"ИЗУЧЕНО",IF(TRUE,"ОТКРЫТО","ЗАКРЫТО"))</x:f>
        <x:v>ОТКРЫТО</x:v>
      </x:c>
      <x:c r="BC11" t="str">
        <x:f t="shared" ref="BC11:BC50" si="14">IF(AND(AN11&gt;=$E11,TRUE),"ИЗУЧЕНО",IF(TRUE,"ОТКРЫТО","ЗАКРЫТО"))</x:f>
        <x:v>ОТКРЫТО</x:v>
      </x:c>
      <x:c r="BD11" t="str">
        <x:f t="shared" ref="BD11:BD50" si="15">IF(AND(AO11&gt;=$E11,TRUE),"ИЗУЧЕНО",IF(TRUE,"ОТКРЫТО","ЗАКРЫТО"))</x:f>
        <x:v>ОТКРЫТО</x:v>
      </x:c>
      <x:c r="BE11" t="str">
        <x:f t="shared" ref="BE11:BE50" si="16">IF(AND(AP11&gt;=$E11,TRUE),"ИЗУЧЕНО",IF(TRUE,"ОТКРЫТО","ЗАКРЫТО"))</x:f>
        <x:v>ОТКРЫТО</x:v>
      </x:c>
      <x:c r="BF11" t="str">
        <x:f t="shared" ref="BF11:BF50" si="17">IF(AND(AQ11&gt;=$E11,TRUE),"ИЗУЧЕНО",IF(TRUE,"ОТКРЫТО","ЗАКРЫТО"))</x:f>
        <x:v>ОТКРЫТО</x:v>
      </x:c>
      <x:c r="BG11" t="str">
        <x:f t="shared" ref="BG11:BG50" si="18">IFERROR(2025+MATCH("ИЗУЧЕНО",AR11:BF11,0),"")</x:f>
      </x:c>
      <x:c r="BH11" t="str">
        <x:f t="shared" ref="BH11:BH50" si="19">IF(BG11="","",BG11+1)</x:f>
      </x:c>
    </x:row>
    <x:row r="12" ht="193.1999969482422">
      <x:c r="A12" s="3" t="s">
        <x:v>72</x:v>
      </x:c>
      <x:c r="B12" s="3" t="s">
        <x:v>67</x:v>
      </x:c>
      <x:c r="C12" s="3" t="s">
        <x:v>73</x:v>
      </x:c>
      <x:c r="D12" s="3" t="s">
        <x:v>74</x:v>
      </x:c>
      <x:c r="E12" s="3">
        <x:v>40</x:v>
      </x:c>
      <x:c r="F12" s="3" t="s">
        <x:v>66</x:v>
      </x:c>
      <x:c r="G12" s="3"/>
      <x:c r="H12" s="3"/>
      <x:c r="I12" s="3" t="s">
        <x:v>75</x:v>
      </x:c>
      <x:c r="J12" s="3" t="s">
        <x:v>76</x:v>
      </x:c>
      <x:c r="K12" s="4" t="n">
        <x:f>SUMIF('Ход 2026'!$G$29:$G$38,$A12,'Ход 2026'!$I$29:$I$38)*(1+'Эффекты технологий'!J$7)</x:f>
        <x:v>0</x:v>
      </x:c>
      <x:c r="L12" s="4" t="n">
        <x:f>SUMIF('Ход 2027'!$G$29:$G$38,$A12,'Ход 2027'!$I$29:$I$38)*(1+'Эффекты технологий'!K$7)</x:f>
        <x:v>0</x:v>
      </x:c>
      <x:c r="M12" s="4" t="n">
        <x:f>SUMIF('Ход 2028'!$G$29:$G$38,$A12,'Ход 2028'!$I$29:$I$38)*(1+'Эффекты технологий'!L$7)</x:f>
        <x:v>0</x:v>
      </x:c>
      <x:c r="N12" s="4" t="n">
        <x:f>SUMIF('Ход 2029'!$G$29:$G$38,$A12,'Ход 2029'!$I$29:$I$38)*(1+'Эффекты технологий'!M$7)</x:f>
        <x:v>0</x:v>
      </x:c>
      <x:c r="O12" s="4" t="n">
        <x:f>SUMIF('Ход 2030'!$G$29:$G$38,$A12,'Ход 2030'!$I$29:$I$38)*(1+'Эффекты технологий'!N$7)</x:f>
        <x:v>0</x:v>
      </x:c>
      <x:c r="P12" s="4" t="n">
        <x:f>SUMIF('Ход 2031'!$G$29:$G$38,$A12,'Ход 2031'!$I$29:$I$38)*(1+'Эффекты технологий'!O$7)</x:f>
        <x:v>0</x:v>
      </x:c>
      <x:c r="Q12" s="4" t="n">
        <x:f>SUMIF('Ход 2032'!$G$29:$G$38,$A12,'Ход 2032'!$I$29:$I$38)*(1+'Эффекты технологий'!P$7)</x:f>
        <x:v>0</x:v>
      </x:c>
      <x:c r="R12" s="4" t="n">
        <x:f>SUMIF('Ход 2033'!$G$29:$G$38,$A12,'Ход 2033'!$I$29:$I$38)*(1+'Эффекты технологий'!Q$7)</x:f>
        <x:v>0</x:v>
      </x:c>
      <x:c r="S12" s="4" t="n">
        <x:f>SUMIF('Ход 2034'!$G$29:$G$38,$A12,'Ход 2034'!$I$29:$I$38)*(1+'Эффекты технологий'!R$7)</x:f>
        <x:v>0</x:v>
      </x:c>
      <x:c r="T12" s="4" t="n">
        <x:f>SUMIF('Ход 2035'!$G$29:$G$38,$A12,'Ход 2035'!$I$29:$I$38)*(1+'Эффекты технологий'!S$7)</x:f>
        <x:v>0</x:v>
      </x:c>
      <x:c r="U12" s="4" t="n">
        <x:f>SUMIF('Ход 2036'!$G$29:$G$38,$A12,'Ход 2036'!$I$29:$I$38)*(1+'Эффекты технологий'!T$7)</x:f>
        <x:v>0</x:v>
      </x:c>
      <x:c r="V12" s="4" t="n">
        <x:f>SUMIF('Ход 2037'!$G$29:$G$38,$A12,'Ход 2037'!$I$29:$I$38)*(1+'Эффекты технологий'!U$7)</x:f>
        <x:v>0</x:v>
      </x:c>
      <x:c r="W12" s="4" t="n">
        <x:f>SUMIF('Ход 2038'!$G$29:$G$38,$A12,'Ход 2038'!$I$29:$I$38)*(1+'Эффекты технологий'!V$7)</x:f>
        <x:v>0</x:v>
      </x:c>
      <x:c r="X12" s="4" t="n">
        <x:f>SUMIF('Ход 2039'!$G$29:$G$38,$A12,'Ход 2039'!$I$29:$I$38)*(1+'Эффекты технологий'!W$7)</x:f>
        <x:v>0</x:v>
      </x:c>
      <x:c r="Y12" s="4" t="n">
        <x:f>SUMIF('Ход 2040'!$G$29:$G$38,$A12,'Ход 2040'!$I$29:$I$38)*(1+'Эффекты технологий'!X$7)</x:f>
        <x:v>0</x:v>
      </x:c>
      <x:c r="Z12" s="5" t="n">
        <x:f t="shared" si="0">SUM(K12:Y12)</x:f>
        <x:v>0</x:v>
      </x:c>
      <x:c r="AA12" s="5" t="n">
        <x:f t="shared" si="1">MAX(0,E12-Z12)</x:f>
        <x:v>40</x:v>
      </x:c>
      <x:c r="AB12" s="3" t="str">
        <x:f t="shared" si="2">BF12</x:f>
        <x:v>ОТКРЫТО</x:v>
      </x:c>
      <x:c r="AC12" t="n">
        <x:f>SUM($K12:K12)</x:f>
        <x:v>0</x:v>
      </x:c>
      <x:c r="AD12" t="n">
        <x:f>SUM($K12:L12)</x:f>
        <x:v>0</x:v>
      </x:c>
      <x:c r="AE12" t="n">
        <x:f>SUM($K12:M12)</x:f>
        <x:v>0</x:v>
      </x:c>
      <x:c r="AF12" t="n">
        <x:f>SUM($K12:N12)</x:f>
        <x:v>0</x:v>
      </x:c>
      <x:c r="AG12" t="n">
        <x:f>SUM($K12:O12)</x:f>
        <x:v>0</x:v>
      </x:c>
      <x:c r="AH12" t="n">
        <x:f>SUM($K12:P12)</x:f>
        <x:v>0</x:v>
      </x:c>
      <x:c r="AI12" t="n">
        <x:f>SUM($K12:Q12)</x:f>
        <x:v>0</x:v>
      </x:c>
      <x:c r="AJ12" t="n">
        <x:f>SUM($K12:R12)</x:f>
        <x:v>0</x:v>
      </x:c>
      <x:c r="AK12" t="n">
        <x:f>SUM($K12:S12)</x:f>
        <x:v>0</x:v>
      </x:c>
      <x:c r="AL12" t="n">
        <x:f>SUM($K12:T12)</x:f>
        <x:v>0</x:v>
      </x:c>
      <x:c r="AM12" t="n">
        <x:f>SUM($K12:U12)</x:f>
        <x:v>0</x:v>
      </x:c>
      <x:c r="AN12" t="n">
        <x:f>SUM($K12:V12)</x:f>
        <x:v>0</x:v>
      </x:c>
      <x:c r="AO12" t="n">
        <x:f>SUM($K12:W12)</x:f>
        <x:v>0</x:v>
      </x:c>
      <x:c r="AP12" t="n">
        <x:f>SUM($K12:X12)</x:f>
        <x:v>0</x:v>
      </x:c>
      <x:c r="AQ12" t="n">
        <x:f>SUM($K12:Y12)</x:f>
        <x:v>0</x:v>
      </x:c>
      <x:c r="AR12" t="str">
        <x:f t="shared" si="3">IF(AND(AC12&gt;=$E12,TRUE),"ИЗУЧЕНО",IF(TRUE,"ОТКРЫТО","ЗАКРЫТО"))</x:f>
        <x:v>ОТКРЫТО</x:v>
      </x:c>
      <x:c r="AS12" t="str">
        <x:f t="shared" si="4">IF(AND(AD12&gt;=$E12,TRUE),"ИЗУЧЕНО",IF(TRUE,"ОТКРЫТО","ЗАКРЫТО"))</x:f>
        <x:v>ОТКРЫТО</x:v>
      </x:c>
      <x:c r="AT12" t="str">
        <x:f t="shared" si="5">IF(AND(AE12&gt;=$E12,TRUE),"ИЗУЧЕНО",IF(TRUE,"ОТКРЫТО","ЗАКРЫТО"))</x:f>
        <x:v>ОТКРЫТО</x:v>
      </x:c>
      <x:c r="AU12" t="str">
        <x:f t="shared" si="6">IF(AND(AF12&gt;=$E12,TRUE),"ИЗУЧЕНО",IF(TRUE,"ОТКРЫТО","ЗАКРЫТО"))</x:f>
        <x:v>ОТКРЫТО</x:v>
      </x:c>
      <x:c r="AV12" t="str">
        <x:f t="shared" si="7">IF(AND(AG12&gt;=$E12,TRUE),"ИЗУЧЕНО",IF(TRUE,"ОТКРЫТО","ЗАКРЫТО"))</x:f>
        <x:v>ОТКРЫТО</x:v>
      </x:c>
      <x:c r="AW12" t="str">
        <x:f t="shared" si="8">IF(AND(AH12&gt;=$E12,TRUE),"ИЗУЧЕНО",IF(TRUE,"ОТКРЫТО","ЗАКРЫТО"))</x:f>
        <x:v>ОТКРЫТО</x:v>
      </x:c>
      <x:c r="AX12" t="str">
        <x:f t="shared" si="9">IF(AND(AI12&gt;=$E12,TRUE),"ИЗУЧЕНО",IF(TRUE,"ОТКРЫТО","ЗАКРЫТО"))</x:f>
        <x:v>ОТКРЫТО</x:v>
      </x:c>
      <x:c r="AY12" t="str">
        <x:f t="shared" si="10">IF(AND(AJ12&gt;=$E12,TRUE),"ИЗУЧЕНО",IF(TRUE,"ОТКРЫТО","ЗАКРЫТО"))</x:f>
        <x:v>ОТКРЫТО</x:v>
      </x:c>
      <x:c r="AZ12" t="str">
        <x:f t="shared" si="11">IF(AND(AK12&gt;=$E12,TRUE),"ИЗУЧЕНО",IF(TRUE,"ОТКРЫТО","ЗАКРЫТО"))</x:f>
        <x:v>ОТКРЫТО</x:v>
      </x:c>
      <x:c r="BA12" t="str">
        <x:f t="shared" si="12">IF(AND(AL12&gt;=$E12,TRUE),"ИЗУЧЕНО",IF(TRUE,"ОТКРЫТО","ЗАКРЫТО"))</x:f>
        <x:v>ОТКРЫТО</x:v>
      </x:c>
      <x:c r="BB12" t="str">
        <x:f t="shared" si="13">IF(AND(AM12&gt;=$E12,TRUE),"ИЗУЧЕНО",IF(TRUE,"ОТКРЫТО","ЗАКРЫТО"))</x:f>
        <x:v>ОТКРЫТО</x:v>
      </x:c>
      <x:c r="BC12" t="str">
        <x:f t="shared" si="14">IF(AND(AN12&gt;=$E12,TRUE),"ИЗУЧЕНО",IF(TRUE,"ОТКРЫТО","ЗАКРЫТО"))</x:f>
        <x:v>ОТКРЫТО</x:v>
      </x:c>
      <x:c r="BD12" t="str">
        <x:f t="shared" si="15">IF(AND(AO12&gt;=$E12,TRUE),"ИЗУЧЕНО",IF(TRUE,"ОТКРЫТО","ЗАКРЫТО"))</x:f>
        <x:v>ОТКРЫТО</x:v>
      </x:c>
      <x:c r="BE12" t="str">
        <x:f t="shared" si="16">IF(AND(AP12&gt;=$E12,TRUE),"ИЗУЧЕНО",IF(TRUE,"ОТКРЫТО","ЗАКРЫТО"))</x:f>
        <x:v>ОТКРЫТО</x:v>
      </x:c>
      <x:c r="BF12" t="str">
        <x:f t="shared" si="17">IF(AND(AQ12&gt;=$E12,TRUE),"ИЗУЧЕНО",IF(TRUE,"ОТКРЫТО","ЗАКРЫТО"))</x:f>
        <x:v>ОТКРЫТО</x:v>
      </x:c>
      <x:c r="BG12" t="str">
        <x:f t="shared" si="18">IFERROR(2025+MATCH("ИЗУЧЕНО",AR12:BF12,0),"")</x:f>
      </x:c>
      <x:c r="BH12" t="str">
        <x:f t="shared" si="19">IF(BG12="","",BG12+1)</x:f>
      </x:c>
    </x:row>
    <x:row r="13" ht="179.39999389648438">
      <x:c r="A13" s="3" t="s">
        <x:v>77</x:v>
      </x:c>
      <x:c r="B13" s="3" t="s">
        <x:v>67</x:v>
      </x:c>
      <x:c r="C13" s="3" t="s">
        <x:v>73</x:v>
      </x:c>
      <x:c r="D13" s="3" t="s">
        <x:v>78</x:v>
      </x:c>
      <x:c r="E13" s="3">
        <x:v>45</x:v>
      </x:c>
      <x:c r="F13" s="3" t="s">
        <x:v>66</x:v>
      </x:c>
      <x:c r="G13" s="3"/>
      <x:c r="H13" s="3"/>
      <x:c r="I13" s="3" t="s">
        <x:v>79</x:v>
      </x:c>
      <x:c r="J13" s="3" t="s">
        <x:v>80</x:v>
      </x:c>
      <x:c r="K13" s="4" t="n">
        <x:f>SUMIF('Ход 2026'!$G$29:$G$38,$A13,'Ход 2026'!$I$29:$I$38)*(1+'Эффекты технологий'!J$7)</x:f>
        <x:v>0</x:v>
      </x:c>
      <x:c r="L13" s="4" t="n">
        <x:f>SUMIF('Ход 2027'!$G$29:$G$38,$A13,'Ход 2027'!$I$29:$I$38)*(1+'Эффекты технологий'!K$7)</x:f>
        <x:v>0</x:v>
      </x:c>
      <x:c r="M13" s="4" t="n">
        <x:f>SUMIF('Ход 2028'!$G$29:$G$38,$A13,'Ход 2028'!$I$29:$I$38)*(1+'Эффекты технологий'!L$7)</x:f>
        <x:v>0</x:v>
      </x:c>
      <x:c r="N13" s="4" t="n">
        <x:f>SUMIF('Ход 2029'!$G$29:$G$38,$A13,'Ход 2029'!$I$29:$I$38)*(1+'Эффекты технологий'!M$7)</x:f>
        <x:v>0</x:v>
      </x:c>
      <x:c r="O13" s="4" t="n">
        <x:f>SUMIF('Ход 2030'!$G$29:$G$38,$A13,'Ход 2030'!$I$29:$I$38)*(1+'Эффекты технологий'!N$7)</x:f>
        <x:v>0</x:v>
      </x:c>
      <x:c r="P13" s="4" t="n">
        <x:f>SUMIF('Ход 2031'!$G$29:$G$38,$A13,'Ход 2031'!$I$29:$I$38)*(1+'Эффекты технологий'!O$7)</x:f>
        <x:v>0</x:v>
      </x:c>
      <x:c r="Q13" s="4" t="n">
        <x:f>SUMIF('Ход 2032'!$G$29:$G$38,$A13,'Ход 2032'!$I$29:$I$38)*(1+'Эффекты технологий'!P$7)</x:f>
        <x:v>0</x:v>
      </x:c>
      <x:c r="R13" s="4" t="n">
        <x:f>SUMIF('Ход 2033'!$G$29:$G$38,$A13,'Ход 2033'!$I$29:$I$38)*(1+'Эффекты технологий'!Q$7)</x:f>
        <x:v>0</x:v>
      </x:c>
      <x:c r="S13" s="4" t="n">
        <x:f>SUMIF('Ход 2034'!$G$29:$G$38,$A13,'Ход 2034'!$I$29:$I$38)*(1+'Эффекты технологий'!R$7)</x:f>
        <x:v>0</x:v>
      </x:c>
      <x:c r="T13" s="4" t="n">
        <x:f>SUMIF('Ход 2035'!$G$29:$G$38,$A13,'Ход 2035'!$I$29:$I$38)*(1+'Эффекты технологий'!S$7)</x:f>
        <x:v>0</x:v>
      </x:c>
      <x:c r="U13" s="4" t="n">
        <x:f>SUMIF('Ход 2036'!$G$29:$G$38,$A13,'Ход 2036'!$I$29:$I$38)*(1+'Эффекты технологий'!T$7)</x:f>
        <x:v>0</x:v>
      </x:c>
      <x:c r="V13" s="4" t="n">
        <x:f>SUMIF('Ход 2037'!$G$29:$G$38,$A13,'Ход 2037'!$I$29:$I$38)*(1+'Эффекты технологий'!U$7)</x:f>
        <x:v>0</x:v>
      </x:c>
      <x:c r="W13" s="4" t="n">
        <x:f>SUMIF('Ход 2038'!$G$29:$G$38,$A13,'Ход 2038'!$I$29:$I$38)*(1+'Эффекты технологий'!V$7)</x:f>
        <x:v>0</x:v>
      </x:c>
      <x:c r="X13" s="4" t="n">
        <x:f>SUMIF('Ход 2039'!$G$29:$G$38,$A13,'Ход 2039'!$I$29:$I$38)*(1+'Эффекты технологий'!W$7)</x:f>
        <x:v>0</x:v>
      </x:c>
      <x:c r="Y13" s="4" t="n">
        <x:f>SUMIF('Ход 2040'!$G$29:$G$38,$A13,'Ход 2040'!$I$29:$I$38)*(1+'Эффекты технологий'!X$7)</x:f>
        <x:v>0</x:v>
      </x:c>
      <x:c r="Z13" s="5" t="n">
        <x:f t="shared" si="0">SUM(K13:Y13)</x:f>
        <x:v>0</x:v>
      </x:c>
      <x:c r="AA13" s="5" t="n">
        <x:f t="shared" si="1">MAX(0,E13-Z13)</x:f>
        <x:v>45</x:v>
      </x:c>
      <x:c r="AB13" s="3" t="str">
        <x:f t="shared" si="2">BF13</x:f>
        <x:v>ОТКРЫТО</x:v>
      </x:c>
      <x:c r="AC13" t="n">
        <x:f>SUM($K13:K13)</x:f>
        <x:v>0</x:v>
      </x:c>
      <x:c r="AD13" t="n">
        <x:f>SUM($K13:L13)</x:f>
        <x:v>0</x:v>
      </x:c>
      <x:c r="AE13" t="n">
        <x:f>SUM($K13:M13)</x:f>
        <x:v>0</x:v>
      </x:c>
      <x:c r="AF13" t="n">
        <x:f>SUM($K13:N13)</x:f>
        <x:v>0</x:v>
      </x:c>
      <x:c r="AG13" t="n">
        <x:f>SUM($K13:O13)</x:f>
        <x:v>0</x:v>
      </x:c>
      <x:c r="AH13" t="n">
        <x:f>SUM($K13:P13)</x:f>
        <x:v>0</x:v>
      </x:c>
      <x:c r="AI13" t="n">
        <x:f>SUM($K13:Q13)</x:f>
        <x:v>0</x:v>
      </x:c>
      <x:c r="AJ13" t="n">
        <x:f>SUM($K13:R13)</x:f>
        <x:v>0</x:v>
      </x:c>
      <x:c r="AK13" t="n">
        <x:f>SUM($K13:S13)</x:f>
        <x:v>0</x:v>
      </x:c>
      <x:c r="AL13" t="n">
        <x:f>SUM($K13:T13)</x:f>
        <x:v>0</x:v>
      </x:c>
      <x:c r="AM13" t="n">
        <x:f>SUM($K13:U13)</x:f>
        <x:v>0</x:v>
      </x:c>
      <x:c r="AN13" t="n">
        <x:f>SUM($K13:V13)</x:f>
        <x:v>0</x:v>
      </x:c>
      <x:c r="AO13" t="n">
        <x:f>SUM($K13:W13)</x:f>
        <x:v>0</x:v>
      </x:c>
      <x:c r="AP13" t="n">
        <x:f>SUM($K13:X13)</x:f>
        <x:v>0</x:v>
      </x:c>
      <x:c r="AQ13" t="n">
        <x:f>SUM($K13:Y13)</x:f>
        <x:v>0</x:v>
      </x:c>
      <x:c r="AR13" t="str">
        <x:f t="shared" si="3">IF(AND(AC13&gt;=$E13,TRUE),"ИЗУЧЕНО",IF(TRUE,"ОТКРЫТО","ЗАКРЫТО"))</x:f>
        <x:v>ОТКРЫТО</x:v>
      </x:c>
      <x:c r="AS13" t="str">
        <x:f t="shared" si="4">IF(AND(AD13&gt;=$E13,TRUE),"ИЗУЧЕНО",IF(TRUE,"ОТКРЫТО","ЗАКРЫТО"))</x:f>
        <x:v>ОТКРЫТО</x:v>
      </x:c>
      <x:c r="AT13" t="str">
        <x:f t="shared" si="5">IF(AND(AE13&gt;=$E13,TRUE),"ИЗУЧЕНО",IF(TRUE,"ОТКРЫТО","ЗАКРЫТО"))</x:f>
        <x:v>ОТКРЫТО</x:v>
      </x:c>
      <x:c r="AU13" t="str">
        <x:f t="shared" si="6">IF(AND(AF13&gt;=$E13,TRUE),"ИЗУЧЕНО",IF(TRUE,"ОТКРЫТО","ЗАКРЫТО"))</x:f>
        <x:v>ОТКРЫТО</x:v>
      </x:c>
      <x:c r="AV13" t="str">
        <x:f t="shared" si="7">IF(AND(AG13&gt;=$E13,TRUE),"ИЗУЧЕНО",IF(TRUE,"ОТКРЫТО","ЗАКРЫТО"))</x:f>
        <x:v>ОТКРЫТО</x:v>
      </x:c>
      <x:c r="AW13" t="str">
        <x:f t="shared" si="8">IF(AND(AH13&gt;=$E13,TRUE),"ИЗУЧЕНО",IF(TRUE,"ОТКРЫТО","ЗАКРЫТО"))</x:f>
        <x:v>ОТКРЫТО</x:v>
      </x:c>
      <x:c r="AX13" t="str">
        <x:f t="shared" si="9">IF(AND(AI13&gt;=$E13,TRUE),"ИЗУЧЕНО",IF(TRUE,"ОТКРЫТО","ЗАКРЫТО"))</x:f>
        <x:v>ОТКРЫТО</x:v>
      </x:c>
      <x:c r="AY13" t="str">
        <x:f t="shared" si="10">IF(AND(AJ13&gt;=$E13,TRUE),"ИЗУЧЕНО",IF(TRUE,"ОТКРЫТО","ЗАКРЫТО"))</x:f>
        <x:v>ОТКРЫТО</x:v>
      </x:c>
      <x:c r="AZ13" t="str">
        <x:f t="shared" si="11">IF(AND(AK13&gt;=$E13,TRUE),"ИЗУЧЕНО",IF(TRUE,"ОТКРЫТО","ЗАКРЫТО"))</x:f>
        <x:v>ОТКРЫТО</x:v>
      </x:c>
      <x:c r="BA13" t="str">
        <x:f t="shared" si="12">IF(AND(AL13&gt;=$E13,TRUE),"ИЗУЧЕНО",IF(TRUE,"ОТКРЫТО","ЗАКРЫТО"))</x:f>
        <x:v>ОТКРЫТО</x:v>
      </x:c>
      <x:c r="BB13" t="str">
        <x:f t="shared" si="13">IF(AND(AM13&gt;=$E13,TRUE),"ИЗУЧЕНО",IF(TRUE,"ОТКРЫТО","ЗАКРЫТО"))</x:f>
        <x:v>ОТКРЫТО</x:v>
      </x:c>
      <x:c r="BC13" t="str">
        <x:f t="shared" si="14">IF(AND(AN13&gt;=$E13,TRUE),"ИЗУЧЕНО",IF(TRUE,"ОТКРЫТО","ЗАКРЫТО"))</x:f>
        <x:v>ОТКРЫТО</x:v>
      </x:c>
      <x:c r="BD13" t="str">
        <x:f t="shared" si="15">IF(AND(AO13&gt;=$E13,TRUE),"ИЗУЧЕНО",IF(TRUE,"ОТКРЫТО","ЗАКРЫТО"))</x:f>
        <x:v>ОТКРЫТО</x:v>
      </x:c>
      <x:c r="BE13" t="str">
        <x:f t="shared" si="16">IF(AND(AP13&gt;=$E13,TRUE),"ИЗУЧЕНО",IF(TRUE,"ОТКРЫТО","ЗАКРЫТО"))</x:f>
        <x:v>ОТКРЫТО</x:v>
      </x:c>
      <x:c r="BF13" t="str">
        <x:f t="shared" si="17">IF(AND(AQ13&gt;=$E13,TRUE),"ИЗУЧЕНО",IF(TRUE,"ОТКРЫТО","ЗАКРЫТО"))</x:f>
        <x:v>ОТКРЫТО</x:v>
      </x:c>
      <x:c r="BG13" t="str">
        <x:f t="shared" si="18">IFERROR(2025+MATCH("ИЗУЧЕНО",AR13:BF13,0),"")</x:f>
      </x:c>
      <x:c r="BH13" t="str">
        <x:f t="shared" si="19">IF(BG13="","",BG13+1)</x:f>
      </x:c>
    </x:row>
    <x:row r="14" ht="193.1999969482422">
      <x:c r="A14" s="3" t="s">
        <x:v>81</x:v>
      </x:c>
      <x:c r="B14" s="3" t="s">
        <x:v>67</x:v>
      </x:c>
      <x:c r="C14" s="3" t="s">
        <x:v>82</x:v>
      </x:c>
      <x:c r="D14" s="3" t="s">
        <x:v>83</x:v>
      </x:c>
      <x:c r="E14" s="3">
        <x:v>65</x:v>
      </x:c>
      <x:c r="F14" s="3" t="s">
        <x:v>72</x:v>
      </x:c>
      <x:c r="G14" s="3" t="s">
        <x:v>77</x:v>
      </x:c>
      <x:c r="H14" s="3"/>
      <x:c r="I14" s="3" t="s">
        <x:v>84</x:v>
      </x:c>
      <x:c r="J14" s="3" t="s">
        <x:v>85</x:v>
      </x:c>
      <x:c r="K14" s="4" t="n">
        <x:f>SUMIF('Ход 2026'!$G$29:$G$38,$A14,'Ход 2026'!$I$29:$I$38)*(1+'Эффекты технологий'!J$7)</x:f>
        <x:v>0</x:v>
      </x:c>
      <x:c r="L14" s="4" t="n">
        <x:f>SUMIF('Ход 2027'!$G$29:$G$38,$A14,'Ход 2027'!$I$29:$I$38)*(1+'Эффекты технологий'!K$7)</x:f>
        <x:v>0</x:v>
      </x:c>
      <x:c r="M14" s="4" t="n">
        <x:f>SUMIF('Ход 2028'!$G$29:$G$38,$A14,'Ход 2028'!$I$29:$I$38)*(1+'Эффекты технологий'!L$7)</x:f>
        <x:v>0</x:v>
      </x:c>
      <x:c r="N14" s="4" t="n">
        <x:f>SUMIF('Ход 2029'!$G$29:$G$38,$A14,'Ход 2029'!$I$29:$I$38)*(1+'Эффекты технологий'!M$7)</x:f>
        <x:v>0</x:v>
      </x:c>
      <x:c r="O14" s="4" t="n">
        <x:f>SUMIF('Ход 2030'!$G$29:$G$38,$A14,'Ход 2030'!$I$29:$I$38)*(1+'Эффекты технологий'!N$7)</x:f>
        <x:v>0</x:v>
      </x:c>
      <x:c r="P14" s="4" t="n">
        <x:f>SUMIF('Ход 2031'!$G$29:$G$38,$A14,'Ход 2031'!$I$29:$I$38)*(1+'Эффекты технологий'!O$7)</x:f>
        <x:v>0</x:v>
      </x:c>
      <x:c r="Q14" s="4" t="n">
        <x:f>SUMIF('Ход 2032'!$G$29:$G$38,$A14,'Ход 2032'!$I$29:$I$38)*(1+'Эффекты технологий'!P$7)</x:f>
        <x:v>0</x:v>
      </x:c>
      <x:c r="R14" s="4" t="n">
        <x:f>SUMIF('Ход 2033'!$G$29:$G$38,$A14,'Ход 2033'!$I$29:$I$38)*(1+'Эффекты технологий'!Q$7)</x:f>
        <x:v>0</x:v>
      </x:c>
      <x:c r="S14" s="4" t="n">
        <x:f>SUMIF('Ход 2034'!$G$29:$G$38,$A14,'Ход 2034'!$I$29:$I$38)*(1+'Эффекты технологий'!R$7)</x:f>
        <x:v>0</x:v>
      </x:c>
      <x:c r="T14" s="4" t="n">
        <x:f>SUMIF('Ход 2035'!$G$29:$G$38,$A14,'Ход 2035'!$I$29:$I$38)*(1+'Эффекты технологий'!S$7)</x:f>
        <x:v>0</x:v>
      </x:c>
      <x:c r="U14" s="4" t="n">
        <x:f>SUMIF('Ход 2036'!$G$29:$G$38,$A14,'Ход 2036'!$I$29:$I$38)*(1+'Эффекты технологий'!T$7)</x:f>
        <x:v>0</x:v>
      </x:c>
      <x:c r="V14" s="4" t="n">
        <x:f>SUMIF('Ход 2037'!$G$29:$G$38,$A14,'Ход 2037'!$I$29:$I$38)*(1+'Эффекты технологий'!U$7)</x:f>
        <x:v>0</x:v>
      </x:c>
      <x:c r="W14" s="4" t="n">
        <x:f>SUMIF('Ход 2038'!$G$29:$G$38,$A14,'Ход 2038'!$I$29:$I$38)*(1+'Эффекты технологий'!V$7)</x:f>
        <x:v>0</x:v>
      </x:c>
      <x:c r="X14" s="4" t="n">
        <x:f>SUMIF('Ход 2039'!$G$29:$G$38,$A14,'Ход 2039'!$I$29:$I$38)*(1+'Эффекты технологий'!W$7)</x:f>
        <x:v>0</x:v>
      </x:c>
      <x:c r="Y14" s="4" t="n">
        <x:f>SUMIF('Ход 2040'!$G$29:$G$38,$A14,'Ход 2040'!$I$29:$I$38)*(1+'Эффекты технологий'!X$7)</x:f>
        <x:v>0</x:v>
      </x:c>
      <x:c r="Z14" s="5" t="n">
        <x:f t="shared" si="0">SUM(K14:Y14)</x:f>
        <x:v>0</x:v>
      </x:c>
      <x:c r="AA14" s="5" t="n">
        <x:f t="shared" si="1">MAX(0,E14-Z14)</x:f>
        <x:v>65</x:v>
      </x:c>
      <x:c r="AB14" s="3" t="str">
        <x:f t="shared" si="2">BF14</x:f>
        <x:v>ОТКРЫТО</x:v>
      </x:c>
      <x:c r="AC14" t="n">
        <x:f>SUM($K14:K14)</x:f>
        <x:v>0</x:v>
      </x:c>
      <x:c r="AD14" t="n">
        <x:f>SUM($K14:L14)</x:f>
        <x:v>0</x:v>
      </x:c>
      <x:c r="AE14" t="n">
        <x:f>SUM($K14:M14)</x:f>
        <x:v>0</x:v>
      </x:c>
      <x:c r="AF14" t="n">
        <x:f>SUM($K14:N14)</x:f>
        <x:v>0</x:v>
      </x:c>
      <x:c r="AG14" t="n">
        <x:f>SUM($K14:O14)</x:f>
        <x:v>0</x:v>
      </x:c>
      <x:c r="AH14" t="n">
        <x:f>SUM($K14:P14)</x:f>
        <x:v>0</x:v>
      </x:c>
      <x:c r="AI14" t="n">
        <x:f>SUM($K14:Q14)</x:f>
        <x:v>0</x:v>
      </x:c>
      <x:c r="AJ14" t="n">
        <x:f>SUM($K14:R14)</x:f>
        <x:v>0</x:v>
      </x:c>
      <x:c r="AK14" t="n">
        <x:f>SUM($K14:S14)</x:f>
        <x:v>0</x:v>
      </x:c>
      <x:c r="AL14" t="n">
        <x:f>SUM($K14:T14)</x:f>
        <x:v>0</x:v>
      </x:c>
      <x:c r="AM14" t="n">
        <x:f>SUM($K14:U14)</x:f>
        <x:v>0</x:v>
      </x:c>
      <x:c r="AN14" t="n">
        <x:f>SUM($K14:V14)</x:f>
        <x:v>0</x:v>
      </x:c>
      <x:c r="AO14" t="n">
        <x:f>SUM($K14:W14)</x:f>
        <x:v>0</x:v>
      </x:c>
      <x:c r="AP14" t="n">
        <x:f>SUM($K14:X14)</x:f>
        <x:v>0</x:v>
      </x:c>
      <x:c r="AQ14" t="n">
        <x:f>SUM($K14:Y14)</x:f>
        <x:v>0</x:v>
      </x:c>
      <x:c r="AR14" t="str">
        <x:f t="shared" si="3">IF(AND(AC14&gt;=$E14,TRUE),"ИЗУЧЕНО",IF(TRUE,"ОТКРЫТО","ЗАКРЫТО"))</x:f>
        <x:v>ОТКРЫТО</x:v>
      </x:c>
      <x:c r="AS14" t="str">
        <x:f t="shared" si="4">IF(AND(AD14&gt;=$E14,TRUE),"ИЗУЧЕНО",IF(TRUE,"ОТКРЫТО","ЗАКРЫТО"))</x:f>
        <x:v>ОТКРЫТО</x:v>
      </x:c>
      <x:c r="AT14" t="str">
        <x:f t="shared" si="5">IF(AND(AE14&gt;=$E14,TRUE),"ИЗУЧЕНО",IF(TRUE,"ОТКРЫТО","ЗАКРЫТО"))</x:f>
        <x:v>ОТКРЫТО</x:v>
      </x:c>
      <x:c r="AU14" t="str">
        <x:f t="shared" si="6">IF(AND(AF14&gt;=$E14,TRUE),"ИЗУЧЕНО",IF(TRUE,"ОТКРЫТО","ЗАКРЫТО"))</x:f>
        <x:v>ОТКРЫТО</x:v>
      </x:c>
      <x:c r="AV14" t="str">
        <x:f t="shared" si="7">IF(AND(AG14&gt;=$E14,TRUE),"ИЗУЧЕНО",IF(TRUE,"ОТКРЫТО","ЗАКРЫТО"))</x:f>
        <x:v>ОТКРЫТО</x:v>
      </x:c>
      <x:c r="AW14" t="str">
        <x:f t="shared" si="8">IF(AND(AH14&gt;=$E14,TRUE),"ИЗУЧЕНО",IF(TRUE,"ОТКРЫТО","ЗАКРЫТО"))</x:f>
        <x:v>ОТКРЫТО</x:v>
      </x:c>
      <x:c r="AX14" t="str">
        <x:f t="shared" si="9">IF(AND(AI14&gt;=$E14,TRUE),"ИЗУЧЕНО",IF(TRUE,"ОТКРЫТО","ЗАКРЫТО"))</x:f>
        <x:v>ОТКРЫТО</x:v>
      </x:c>
      <x:c r="AY14" t="str">
        <x:f t="shared" si="10">IF(AND(AJ14&gt;=$E14,TRUE),"ИЗУЧЕНО",IF(TRUE,"ОТКРЫТО","ЗАКРЫТО"))</x:f>
        <x:v>ОТКРЫТО</x:v>
      </x:c>
      <x:c r="AZ14" t="str">
        <x:f t="shared" si="11">IF(AND(AK14&gt;=$E14,TRUE),"ИЗУЧЕНО",IF(TRUE,"ОТКРЫТО","ЗАКРЫТО"))</x:f>
        <x:v>ОТКРЫТО</x:v>
      </x:c>
      <x:c r="BA14" t="str">
        <x:f t="shared" si="12">IF(AND(AL14&gt;=$E14,TRUE),"ИЗУЧЕНО",IF(TRUE,"ОТКРЫТО","ЗАКРЫТО"))</x:f>
        <x:v>ОТКРЫТО</x:v>
      </x:c>
      <x:c r="BB14" t="str">
        <x:f t="shared" si="13">IF(AND(AM14&gt;=$E14,TRUE),"ИЗУЧЕНО",IF(TRUE,"ОТКРЫТО","ЗАКРЫТО"))</x:f>
        <x:v>ОТКРЫТО</x:v>
      </x:c>
      <x:c r="BC14" t="str">
        <x:f t="shared" si="14">IF(AND(AN14&gt;=$E14,TRUE),"ИЗУЧЕНО",IF(TRUE,"ОТКРЫТО","ЗАКРЫТО"))</x:f>
        <x:v>ОТКРЫТО</x:v>
      </x:c>
      <x:c r="BD14" t="str">
        <x:f t="shared" si="15">IF(AND(AO14&gt;=$E14,TRUE),"ИЗУЧЕНО",IF(TRUE,"ОТКРЫТО","ЗАКРЫТО"))</x:f>
        <x:v>ОТКРЫТО</x:v>
      </x:c>
      <x:c r="BE14" t="str">
        <x:f t="shared" si="16">IF(AND(AP14&gt;=$E14,TRUE),"ИЗУЧЕНО",IF(TRUE,"ОТКРЫТО","ЗАКРЫТО"))</x:f>
        <x:v>ОТКРЫТО</x:v>
      </x:c>
      <x:c r="BF14" t="str">
        <x:f t="shared" si="17">IF(AND(AQ14&gt;=$E14,TRUE),"ИЗУЧЕНО",IF(TRUE,"ОТКРЫТО","ЗАКРЫТО"))</x:f>
        <x:v>ОТКРЫТО</x:v>
      </x:c>
      <x:c r="BG14" t="str">
        <x:f t="shared" si="18">IFERROR(2025+MATCH("ИЗУЧЕНО",AR14:BF14,0),"")</x:f>
      </x:c>
      <x:c r="BH14" t="str">
        <x:f t="shared" si="19">IF(BG14="","",BG14+1)</x:f>
      </x:c>
    </x:row>
    <x:row r="15" ht="207">
      <x:c r="A15" s="3" t="s">
        <x:v>86</x:v>
      </x:c>
      <x:c r="B15" s="3" t="s">
        <x:v>67</x:v>
      </x:c>
      <x:c r="C15" s="3" t="s">
        <x:v>87</x:v>
      </x:c>
      <x:c r="D15" s="3" t="s">
        <x:v>88</x:v>
      </x:c>
      <x:c r="E15" s="3">
        <x:v>100</x:v>
      </x:c>
      <x:c r="F15" s="3" t="s">
        <x:v>81</x:v>
      </x:c>
      <x:c r="G15" s="3"/>
      <x:c r="H15" s="3"/>
      <x:c r="I15" s="3" t="s">
        <x:v>89</x:v>
      </x:c>
      <x:c r="J15" s="3" t="s">
        <x:v>90</x:v>
      </x:c>
      <x:c r="K15" s="4" t="n">
        <x:f>SUMIF('Ход 2026'!$G$29:$G$38,$A15,'Ход 2026'!$I$29:$I$38)*(1+'Эффекты технологий'!J$7)</x:f>
        <x:v>0</x:v>
      </x:c>
      <x:c r="L15" s="4" t="n">
        <x:f>SUMIF('Ход 2027'!$G$29:$G$38,$A15,'Ход 2027'!$I$29:$I$38)*(1+'Эффекты технологий'!K$7)</x:f>
        <x:v>0</x:v>
      </x:c>
      <x:c r="M15" s="4" t="n">
        <x:f>SUMIF('Ход 2028'!$G$29:$G$38,$A15,'Ход 2028'!$I$29:$I$38)*(1+'Эффекты технологий'!L$7)</x:f>
        <x:v>0</x:v>
      </x:c>
      <x:c r="N15" s="4" t="n">
        <x:f>SUMIF('Ход 2029'!$G$29:$G$38,$A15,'Ход 2029'!$I$29:$I$38)*(1+'Эффекты технологий'!M$7)</x:f>
        <x:v>0</x:v>
      </x:c>
      <x:c r="O15" s="4" t="n">
        <x:f>SUMIF('Ход 2030'!$G$29:$G$38,$A15,'Ход 2030'!$I$29:$I$38)*(1+'Эффекты технологий'!N$7)</x:f>
        <x:v>0</x:v>
      </x:c>
      <x:c r="P15" s="4" t="n">
        <x:f>SUMIF('Ход 2031'!$G$29:$G$38,$A15,'Ход 2031'!$I$29:$I$38)*(1+'Эффекты технологий'!O$7)</x:f>
        <x:v>0</x:v>
      </x:c>
      <x:c r="Q15" s="4" t="n">
        <x:f>SUMIF('Ход 2032'!$G$29:$G$38,$A15,'Ход 2032'!$I$29:$I$38)*(1+'Эффекты технологий'!P$7)</x:f>
        <x:v>0</x:v>
      </x:c>
      <x:c r="R15" s="4" t="n">
        <x:f>SUMIF('Ход 2033'!$G$29:$G$38,$A15,'Ход 2033'!$I$29:$I$38)*(1+'Эффекты технологий'!Q$7)</x:f>
        <x:v>0</x:v>
      </x:c>
      <x:c r="S15" s="4" t="n">
        <x:f>SUMIF('Ход 2034'!$G$29:$G$38,$A15,'Ход 2034'!$I$29:$I$38)*(1+'Эффекты технологий'!R$7)</x:f>
        <x:v>0</x:v>
      </x:c>
      <x:c r="T15" s="4" t="n">
        <x:f>SUMIF('Ход 2035'!$G$29:$G$38,$A15,'Ход 2035'!$I$29:$I$38)*(1+'Эффекты технологий'!S$7)</x:f>
        <x:v>0</x:v>
      </x:c>
      <x:c r="U15" s="4" t="n">
        <x:f>SUMIF('Ход 2036'!$G$29:$G$38,$A15,'Ход 2036'!$I$29:$I$38)*(1+'Эффекты технологий'!T$7)</x:f>
        <x:v>0</x:v>
      </x:c>
      <x:c r="V15" s="4" t="n">
        <x:f>SUMIF('Ход 2037'!$G$29:$G$38,$A15,'Ход 2037'!$I$29:$I$38)*(1+'Эффекты технологий'!U$7)</x:f>
        <x:v>0</x:v>
      </x:c>
      <x:c r="W15" s="4" t="n">
        <x:f>SUMIF('Ход 2038'!$G$29:$G$38,$A15,'Ход 2038'!$I$29:$I$38)*(1+'Эффекты технологий'!V$7)</x:f>
        <x:v>0</x:v>
      </x:c>
      <x:c r="X15" s="4" t="n">
        <x:f>SUMIF('Ход 2039'!$G$29:$G$38,$A15,'Ход 2039'!$I$29:$I$38)*(1+'Эффекты технологий'!W$7)</x:f>
        <x:v>0</x:v>
      </x:c>
      <x:c r="Y15" s="4" t="n">
        <x:f>SUMIF('Ход 2040'!$G$29:$G$38,$A15,'Ход 2040'!$I$29:$I$38)*(1+'Эффекты технологий'!X$7)</x:f>
        <x:v>0</x:v>
      </x:c>
      <x:c r="Z15" s="5" t="n">
        <x:f t="shared" si="0">SUM(K15:Y15)</x:f>
        <x:v>0</x:v>
      </x:c>
      <x:c r="AA15" s="5" t="n">
        <x:f t="shared" si="1">MAX(0,E15-Z15)</x:f>
        <x:v>100</x:v>
      </x:c>
      <x:c r="AB15" s="3" t="str">
        <x:f t="shared" si="2">BF15</x:f>
        <x:v>ОТКРЫТО</x:v>
      </x:c>
      <x:c r="AC15" t="n">
        <x:f>SUM($K15:K15)</x:f>
        <x:v>0</x:v>
      </x:c>
      <x:c r="AD15" t="n">
        <x:f>SUM($K15:L15)</x:f>
        <x:v>0</x:v>
      </x:c>
      <x:c r="AE15" t="n">
        <x:f>SUM($K15:M15)</x:f>
        <x:v>0</x:v>
      </x:c>
      <x:c r="AF15" t="n">
        <x:f>SUM($K15:N15)</x:f>
        <x:v>0</x:v>
      </x:c>
      <x:c r="AG15" t="n">
        <x:f>SUM($K15:O15)</x:f>
        <x:v>0</x:v>
      </x:c>
      <x:c r="AH15" t="n">
        <x:f>SUM($K15:P15)</x:f>
        <x:v>0</x:v>
      </x:c>
      <x:c r="AI15" t="n">
        <x:f>SUM($K15:Q15)</x:f>
        <x:v>0</x:v>
      </x:c>
      <x:c r="AJ15" t="n">
        <x:f>SUM($K15:R15)</x:f>
        <x:v>0</x:v>
      </x:c>
      <x:c r="AK15" t="n">
        <x:f>SUM($K15:S15)</x:f>
        <x:v>0</x:v>
      </x:c>
      <x:c r="AL15" t="n">
        <x:f>SUM($K15:T15)</x:f>
        <x:v>0</x:v>
      </x:c>
      <x:c r="AM15" t="n">
        <x:f>SUM($K15:U15)</x:f>
        <x:v>0</x:v>
      </x:c>
      <x:c r="AN15" t="n">
        <x:f>SUM($K15:V15)</x:f>
        <x:v>0</x:v>
      </x:c>
      <x:c r="AO15" t="n">
        <x:f>SUM($K15:W15)</x:f>
        <x:v>0</x:v>
      </x:c>
      <x:c r="AP15" t="n">
        <x:f>SUM($K15:X15)</x:f>
        <x:v>0</x:v>
      </x:c>
      <x:c r="AQ15" t="n">
        <x:f>SUM($K15:Y15)</x:f>
        <x:v>0</x:v>
      </x:c>
      <x:c r="AR15" t="str">
        <x:f t="shared" si="3">IF(AND(AC15&gt;=$E15,TRUE),"ИЗУЧЕНО",IF(TRUE,"ОТКРЫТО","ЗАКРЫТО"))</x:f>
        <x:v>ОТКРЫТО</x:v>
      </x:c>
      <x:c r="AS15" t="str">
        <x:f t="shared" si="4">IF(AND(AD15&gt;=$E15,TRUE),"ИЗУЧЕНО",IF(TRUE,"ОТКРЫТО","ЗАКРЫТО"))</x:f>
        <x:v>ОТКРЫТО</x:v>
      </x:c>
      <x:c r="AT15" t="str">
        <x:f t="shared" si="5">IF(AND(AE15&gt;=$E15,TRUE),"ИЗУЧЕНО",IF(TRUE,"ОТКРЫТО","ЗАКРЫТО"))</x:f>
        <x:v>ОТКРЫТО</x:v>
      </x:c>
      <x:c r="AU15" t="str">
        <x:f t="shared" si="6">IF(AND(AF15&gt;=$E15,TRUE),"ИЗУЧЕНО",IF(TRUE,"ОТКРЫТО","ЗАКРЫТО"))</x:f>
        <x:v>ОТКРЫТО</x:v>
      </x:c>
      <x:c r="AV15" t="str">
        <x:f t="shared" si="7">IF(AND(AG15&gt;=$E15,TRUE),"ИЗУЧЕНО",IF(TRUE,"ОТКРЫТО","ЗАКРЫТО"))</x:f>
        <x:v>ОТКРЫТО</x:v>
      </x:c>
      <x:c r="AW15" t="str">
        <x:f t="shared" si="8">IF(AND(AH15&gt;=$E15,TRUE),"ИЗУЧЕНО",IF(TRUE,"ОТКРЫТО","ЗАКРЫТО"))</x:f>
        <x:v>ОТКРЫТО</x:v>
      </x:c>
      <x:c r="AX15" t="str">
        <x:f t="shared" si="9">IF(AND(AI15&gt;=$E15,TRUE),"ИЗУЧЕНО",IF(TRUE,"ОТКРЫТО","ЗАКРЫТО"))</x:f>
        <x:v>ОТКРЫТО</x:v>
      </x:c>
      <x:c r="AY15" t="str">
        <x:f t="shared" si="10">IF(AND(AJ15&gt;=$E15,TRUE),"ИЗУЧЕНО",IF(TRUE,"ОТКРЫТО","ЗАКРЫТО"))</x:f>
        <x:v>ОТКРЫТО</x:v>
      </x:c>
      <x:c r="AZ15" t="str">
        <x:f t="shared" si="11">IF(AND(AK15&gt;=$E15,TRUE),"ИЗУЧЕНО",IF(TRUE,"ОТКРЫТО","ЗАКРЫТО"))</x:f>
        <x:v>ОТКРЫТО</x:v>
      </x:c>
      <x:c r="BA15" t="str">
        <x:f t="shared" si="12">IF(AND(AL15&gt;=$E15,TRUE),"ИЗУЧЕНО",IF(TRUE,"ОТКРЫТО","ЗАКРЫТО"))</x:f>
        <x:v>ОТКРЫТО</x:v>
      </x:c>
      <x:c r="BB15" t="str">
        <x:f t="shared" si="13">IF(AND(AM15&gt;=$E15,TRUE),"ИЗУЧЕНО",IF(TRUE,"ОТКРЫТО","ЗАКРЫТО"))</x:f>
        <x:v>ОТКРЫТО</x:v>
      </x:c>
      <x:c r="BC15" t="str">
        <x:f t="shared" si="14">IF(AND(AN15&gt;=$E15,TRUE),"ИЗУЧЕНО",IF(TRUE,"ОТКРЫТО","ЗАКРЫТО"))</x:f>
        <x:v>ОТКРЫТО</x:v>
      </x:c>
      <x:c r="BD15" t="str">
        <x:f t="shared" si="15">IF(AND(AO15&gt;=$E15,TRUE),"ИЗУЧЕНО",IF(TRUE,"ОТКРЫТО","ЗАКРЫТО"))</x:f>
        <x:v>ОТКРЫТО</x:v>
      </x:c>
      <x:c r="BE15" t="str">
        <x:f t="shared" si="16">IF(AND(AP15&gt;=$E15,TRUE),"ИЗУЧЕНО",IF(TRUE,"ОТКРЫТО","ЗАКРЫТО"))</x:f>
        <x:v>ОТКРЫТО</x:v>
      </x:c>
      <x:c r="BF15" t="str">
        <x:f t="shared" si="17">IF(AND(AQ15&gt;=$E15,TRUE),"ИЗУЧЕНО",IF(TRUE,"ОТКРЫТО","ЗАКРЫТО"))</x:f>
        <x:v>ОТКРЫТО</x:v>
      </x:c>
      <x:c r="BG15" t="str">
        <x:f t="shared" si="18">IFERROR(2025+MATCH("ИЗУЧЕНО",AR15:BF15,0),"")</x:f>
      </x:c>
      <x:c r="BH15" t="str">
        <x:f t="shared" si="19">IF(BG15="","",BG15+1)</x:f>
      </x:c>
    </x:row>
    <x:row r="16" ht="220.8000030517578">
      <x:c r="A16" s="3" t="s">
        <x:v>91</x:v>
      </x:c>
      <x:c r="B16" s="3" t="s">
        <x:v>67</x:v>
      </x:c>
      <x:c r="C16" s="3" t="s">
        <x:v>92</x:v>
      </x:c>
      <x:c r="D16" s="3" t="s">
        <x:v>93</x:v>
      </x:c>
      <x:c r="E16" s="3">
        <x:v>150</x:v>
      </x:c>
      <x:c r="F16" s="3" t="s">
        <x:v>86</x:v>
      </x:c>
      <x:c r="G16" s="3"/>
      <x:c r="H16" s="3"/>
      <x:c r="I16" s="3" t="s">
        <x:v>94</x:v>
      </x:c>
      <x:c r="J16" s="3" t="s">
        <x:v>95</x:v>
      </x:c>
      <x:c r="K16" s="4" t="n">
        <x:f>SUMIF('Ход 2026'!$G$29:$G$38,$A16,'Ход 2026'!$I$29:$I$38)*(1+'Эффекты технологий'!J$7)</x:f>
        <x:v>0</x:v>
      </x:c>
      <x:c r="L16" s="4" t="n">
        <x:f>SUMIF('Ход 2027'!$G$29:$G$38,$A16,'Ход 2027'!$I$29:$I$38)*(1+'Эффекты технологий'!K$7)</x:f>
        <x:v>0</x:v>
      </x:c>
      <x:c r="M16" s="4" t="n">
        <x:f>SUMIF('Ход 2028'!$G$29:$G$38,$A16,'Ход 2028'!$I$29:$I$38)*(1+'Эффекты технологий'!L$7)</x:f>
        <x:v>0</x:v>
      </x:c>
      <x:c r="N16" s="4" t="n">
        <x:f>SUMIF('Ход 2029'!$G$29:$G$38,$A16,'Ход 2029'!$I$29:$I$38)*(1+'Эффекты технологий'!M$7)</x:f>
        <x:v>0</x:v>
      </x:c>
      <x:c r="O16" s="4" t="n">
        <x:f>SUMIF('Ход 2030'!$G$29:$G$38,$A16,'Ход 2030'!$I$29:$I$38)*(1+'Эффекты технологий'!N$7)</x:f>
        <x:v>0</x:v>
      </x:c>
      <x:c r="P16" s="4" t="n">
        <x:f>SUMIF('Ход 2031'!$G$29:$G$38,$A16,'Ход 2031'!$I$29:$I$38)*(1+'Эффекты технологий'!O$7)</x:f>
        <x:v>0</x:v>
      </x:c>
      <x:c r="Q16" s="4" t="n">
        <x:f>SUMIF('Ход 2032'!$G$29:$G$38,$A16,'Ход 2032'!$I$29:$I$38)*(1+'Эффекты технологий'!P$7)</x:f>
        <x:v>0</x:v>
      </x:c>
      <x:c r="R16" s="4" t="n">
        <x:f>SUMIF('Ход 2033'!$G$29:$G$38,$A16,'Ход 2033'!$I$29:$I$38)*(1+'Эффекты технологий'!Q$7)</x:f>
        <x:v>0</x:v>
      </x:c>
      <x:c r="S16" s="4" t="n">
        <x:f>SUMIF('Ход 2034'!$G$29:$G$38,$A16,'Ход 2034'!$I$29:$I$38)*(1+'Эффекты технологий'!R$7)</x:f>
        <x:v>0</x:v>
      </x:c>
      <x:c r="T16" s="4" t="n">
        <x:f>SUMIF('Ход 2035'!$G$29:$G$38,$A16,'Ход 2035'!$I$29:$I$38)*(1+'Эффекты технологий'!S$7)</x:f>
        <x:v>0</x:v>
      </x:c>
      <x:c r="U16" s="4" t="n">
        <x:f>SUMIF('Ход 2036'!$G$29:$G$38,$A16,'Ход 2036'!$I$29:$I$38)*(1+'Эффекты технологий'!T$7)</x:f>
        <x:v>0</x:v>
      </x:c>
      <x:c r="V16" s="4" t="n">
        <x:f>SUMIF('Ход 2037'!$G$29:$G$38,$A16,'Ход 2037'!$I$29:$I$38)*(1+'Эффекты технологий'!U$7)</x:f>
        <x:v>0</x:v>
      </x:c>
      <x:c r="W16" s="4" t="n">
        <x:f>SUMIF('Ход 2038'!$G$29:$G$38,$A16,'Ход 2038'!$I$29:$I$38)*(1+'Эффекты технологий'!V$7)</x:f>
        <x:v>0</x:v>
      </x:c>
      <x:c r="X16" s="4" t="n">
        <x:f>SUMIF('Ход 2039'!$G$29:$G$38,$A16,'Ход 2039'!$I$29:$I$38)*(1+'Эффекты технологий'!W$7)</x:f>
        <x:v>0</x:v>
      </x:c>
      <x:c r="Y16" s="4" t="n">
        <x:f>SUMIF('Ход 2040'!$G$29:$G$38,$A16,'Ход 2040'!$I$29:$I$38)*(1+'Эффекты технологий'!X$7)</x:f>
        <x:v>0</x:v>
      </x:c>
      <x:c r="Z16" s="5" t="n">
        <x:f t="shared" si="0">SUM(K16:Y16)</x:f>
        <x:v>0</x:v>
      </x:c>
      <x:c r="AA16" s="5" t="n">
        <x:f t="shared" si="1">MAX(0,E16-Z16)</x:f>
        <x:v>150</x:v>
      </x:c>
      <x:c r="AB16" s="3" t="str">
        <x:f t="shared" si="2">BF16</x:f>
        <x:v>ОТКРЫТО</x:v>
      </x:c>
      <x:c r="AC16" t="n">
        <x:f>SUM($K16:K16)</x:f>
        <x:v>0</x:v>
      </x:c>
      <x:c r="AD16" t="n">
        <x:f>SUM($K16:L16)</x:f>
        <x:v>0</x:v>
      </x:c>
      <x:c r="AE16" t="n">
        <x:f>SUM($K16:M16)</x:f>
        <x:v>0</x:v>
      </x:c>
      <x:c r="AF16" t="n">
        <x:f>SUM($K16:N16)</x:f>
        <x:v>0</x:v>
      </x:c>
      <x:c r="AG16" t="n">
        <x:f>SUM($K16:O16)</x:f>
        <x:v>0</x:v>
      </x:c>
      <x:c r="AH16" t="n">
        <x:f>SUM($K16:P16)</x:f>
        <x:v>0</x:v>
      </x:c>
      <x:c r="AI16" t="n">
        <x:f>SUM($K16:Q16)</x:f>
        <x:v>0</x:v>
      </x:c>
      <x:c r="AJ16" t="n">
        <x:f>SUM($K16:R16)</x:f>
        <x:v>0</x:v>
      </x:c>
      <x:c r="AK16" t="n">
        <x:f>SUM($K16:S16)</x:f>
        <x:v>0</x:v>
      </x:c>
      <x:c r="AL16" t="n">
        <x:f>SUM($K16:T16)</x:f>
        <x:v>0</x:v>
      </x:c>
      <x:c r="AM16" t="n">
        <x:f>SUM($K16:U16)</x:f>
        <x:v>0</x:v>
      </x:c>
      <x:c r="AN16" t="n">
        <x:f>SUM($K16:V16)</x:f>
        <x:v>0</x:v>
      </x:c>
      <x:c r="AO16" t="n">
        <x:f>SUM($K16:W16)</x:f>
        <x:v>0</x:v>
      </x:c>
      <x:c r="AP16" t="n">
        <x:f>SUM($K16:X16)</x:f>
        <x:v>0</x:v>
      </x:c>
      <x:c r="AQ16" t="n">
        <x:f>SUM($K16:Y16)</x:f>
        <x:v>0</x:v>
      </x:c>
      <x:c r="AR16" t="str">
        <x:f t="shared" si="3">IF(AND(AC16&gt;=$E16,TRUE),"ИЗУЧЕНО",IF(TRUE,"ОТКРЫТО","ЗАКРЫТО"))</x:f>
        <x:v>ОТКРЫТО</x:v>
      </x:c>
      <x:c r="AS16" t="str">
        <x:f t="shared" si="4">IF(AND(AD16&gt;=$E16,TRUE),"ИЗУЧЕНО",IF(TRUE,"ОТКРЫТО","ЗАКРЫТО"))</x:f>
        <x:v>ОТКРЫТО</x:v>
      </x:c>
      <x:c r="AT16" t="str">
        <x:f t="shared" si="5">IF(AND(AE16&gt;=$E16,TRUE),"ИЗУЧЕНО",IF(TRUE,"ОТКРЫТО","ЗАКРЫТО"))</x:f>
        <x:v>ОТКРЫТО</x:v>
      </x:c>
      <x:c r="AU16" t="str">
        <x:f t="shared" si="6">IF(AND(AF16&gt;=$E16,TRUE),"ИЗУЧЕНО",IF(TRUE,"ОТКРЫТО","ЗАКРЫТО"))</x:f>
        <x:v>ОТКРЫТО</x:v>
      </x:c>
      <x:c r="AV16" t="str">
        <x:f t="shared" si="7">IF(AND(AG16&gt;=$E16,TRUE),"ИЗУЧЕНО",IF(TRUE,"ОТКРЫТО","ЗАКРЫТО"))</x:f>
        <x:v>ОТКРЫТО</x:v>
      </x:c>
      <x:c r="AW16" t="str">
        <x:f t="shared" si="8">IF(AND(AH16&gt;=$E16,TRUE),"ИЗУЧЕНО",IF(TRUE,"ОТКРЫТО","ЗАКРЫТО"))</x:f>
        <x:v>ОТКРЫТО</x:v>
      </x:c>
      <x:c r="AX16" t="str">
        <x:f t="shared" si="9">IF(AND(AI16&gt;=$E16,TRUE),"ИЗУЧЕНО",IF(TRUE,"ОТКРЫТО","ЗАКРЫТО"))</x:f>
        <x:v>ОТКРЫТО</x:v>
      </x:c>
      <x:c r="AY16" t="str">
        <x:f t="shared" si="10">IF(AND(AJ16&gt;=$E16,TRUE),"ИЗУЧЕНО",IF(TRUE,"ОТКРЫТО","ЗАКРЫТО"))</x:f>
        <x:v>ОТКРЫТО</x:v>
      </x:c>
      <x:c r="AZ16" t="str">
        <x:f t="shared" si="11">IF(AND(AK16&gt;=$E16,TRUE),"ИЗУЧЕНО",IF(TRUE,"ОТКРЫТО","ЗАКРЫТО"))</x:f>
        <x:v>ОТКРЫТО</x:v>
      </x:c>
      <x:c r="BA16" t="str">
        <x:f t="shared" si="12">IF(AND(AL16&gt;=$E16,TRUE),"ИЗУЧЕНО",IF(TRUE,"ОТКРЫТО","ЗАКРЫТО"))</x:f>
        <x:v>ОТКРЫТО</x:v>
      </x:c>
      <x:c r="BB16" t="str">
        <x:f t="shared" si="13">IF(AND(AM16&gt;=$E16,TRUE),"ИЗУЧЕНО",IF(TRUE,"ОТКРЫТО","ЗАКРЫТО"))</x:f>
        <x:v>ОТКРЫТО</x:v>
      </x:c>
      <x:c r="BC16" t="str">
        <x:f t="shared" si="14">IF(AND(AN16&gt;=$E16,TRUE),"ИЗУЧЕНО",IF(TRUE,"ОТКРЫТО","ЗАКРЫТО"))</x:f>
        <x:v>ОТКРЫТО</x:v>
      </x:c>
      <x:c r="BD16" t="str">
        <x:f t="shared" si="15">IF(AND(AO16&gt;=$E16,TRUE),"ИЗУЧЕНО",IF(TRUE,"ОТКРЫТО","ЗАКРЫТО"))</x:f>
        <x:v>ОТКРЫТО</x:v>
      </x:c>
      <x:c r="BE16" t="str">
        <x:f t="shared" si="16">IF(AND(AP16&gt;=$E16,TRUE),"ИЗУЧЕНО",IF(TRUE,"ОТКРЫТО","ЗАКРЫТО"))</x:f>
        <x:v>ОТКРЫТО</x:v>
      </x:c>
      <x:c r="BF16" t="str">
        <x:f t="shared" si="17">IF(AND(AQ16&gt;=$E16,TRUE),"ИЗУЧЕНО",IF(TRUE,"ОТКРЫТО","ЗАКРЫТО"))</x:f>
        <x:v>ОТКРЫТО</x:v>
      </x:c>
      <x:c r="BG16" t="str">
        <x:f t="shared" si="18">IFERROR(2025+MATCH("ИЗУЧЕНО",AR16:BF16,0),"")</x:f>
      </x:c>
      <x:c r="BH16" t="str">
        <x:f t="shared" si="19">IF(BG16="","",BG16+1)</x:f>
      </x:c>
    </x:row>
    <x:row r="17" ht="193.1999969482422">
      <x:c r="A17" s="3" t="s">
        <x:v>96</x:v>
      </x:c>
      <x:c r="B17" s="3" t="s">
        <x:v>97</x:v>
      </x:c>
      <x:c r="C17" s="3" t="s">
        <x:v>68</x:v>
      </x:c>
      <x:c r="D17" s="3" t="s">
        <x:v>98</x:v>
      </x:c>
      <x:c r="E17" s="3">
        <x:v>20</x:v>
      </x:c>
      <x:c r="F17" s="3"/>
      <x:c r="G17" s="3"/>
      <x:c r="H17" s="3"/>
      <x:c r="I17" s="3" t="s">
        <x:v>99</x:v>
      </x:c>
      <x:c r="J17" s="3" t="s">
        <x:v>100</x:v>
      </x:c>
      <x:c r="K17" s="4" t="n">
        <x:f>SUMIF('Ход 2026'!$G$29:$G$38,$A17,'Ход 2026'!$I$29:$I$38)*(1+'Эффекты технологий'!J$7+'Эффекты технологий'!J$8+'Эффекты технологий'!J$9)</x:f>
        <x:v>0</x:v>
      </x:c>
      <x:c r="L17" s="4" t="n">
        <x:f>SUMIF('Ход 2027'!$G$29:$G$38,$A17,'Ход 2027'!$I$29:$I$38)*(1+'Эффекты технологий'!K$7+'Эффекты технологий'!K$8+'Эффекты технологий'!K$9)</x:f>
        <x:v>0</x:v>
      </x:c>
      <x:c r="M17" s="4" t="n">
        <x:f>SUMIF('Ход 2028'!$G$29:$G$38,$A17,'Ход 2028'!$I$29:$I$38)*(1+'Эффекты технологий'!L$7+'Эффекты технологий'!L$8+'Эффекты технологий'!L$9)</x:f>
        <x:v>0</x:v>
      </x:c>
      <x:c r="N17" s="4" t="n">
        <x:f>SUMIF('Ход 2029'!$G$29:$G$38,$A17,'Ход 2029'!$I$29:$I$38)*(1+'Эффекты технологий'!M$7+'Эффекты технологий'!M$8+'Эффекты технологий'!M$9)</x:f>
        <x:v>0</x:v>
      </x:c>
      <x:c r="O17" s="4" t="n">
        <x:f>SUMIF('Ход 2030'!$G$29:$G$38,$A17,'Ход 2030'!$I$29:$I$38)*(1+'Эффекты технологий'!N$7+'Эффекты технологий'!N$8+'Эффекты технологий'!N$9)</x:f>
        <x:v>0</x:v>
      </x:c>
      <x:c r="P17" s="4" t="n">
        <x:f>SUMIF('Ход 2031'!$G$29:$G$38,$A17,'Ход 2031'!$I$29:$I$38)*(1+'Эффекты технологий'!O$7+'Эффекты технологий'!O$8+'Эффекты технологий'!O$9)</x:f>
        <x:v>0</x:v>
      </x:c>
      <x:c r="Q17" s="4" t="n">
        <x:f>SUMIF('Ход 2032'!$G$29:$G$38,$A17,'Ход 2032'!$I$29:$I$38)*(1+'Эффекты технологий'!P$7+'Эффекты технологий'!P$8+'Эффекты технологий'!P$9)</x:f>
        <x:v>0</x:v>
      </x:c>
      <x:c r="R17" s="4" t="n">
        <x:f>SUMIF('Ход 2033'!$G$29:$G$38,$A17,'Ход 2033'!$I$29:$I$38)*(1+'Эффекты технологий'!Q$7+'Эффекты технологий'!Q$8+'Эффекты технологий'!Q$9)</x:f>
        <x:v>0</x:v>
      </x:c>
      <x:c r="S17" s="4" t="n">
        <x:f>SUMIF('Ход 2034'!$G$29:$G$38,$A17,'Ход 2034'!$I$29:$I$38)*(1+'Эффекты технологий'!R$7+'Эффекты технологий'!R$8+'Эффекты технологий'!R$9)</x:f>
        <x:v>0</x:v>
      </x:c>
      <x:c r="T17" s="4" t="n">
        <x:f>SUMIF('Ход 2035'!$G$29:$G$38,$A17,'Ход 2035'!$I$29:$I$38)*(1+'Эффекты технологий'!S$7+'Эффекты технологий'!S$8+'Эффекты технологий'!S$9)</x:f>
        <x:v>0</x:v>
      </x:c>
      <x:c r="U17" s="4" t="n">
        <x:f>SUMIF('Ход 2036'!$G$29:$G$38,$A17,'Ход 2036'!$I$29:$I$38)*(1+'Эффекты технологий'!T$7+'Эффекты технологий'!T$8+'Эффекты технологий'!T$9)</x:f>
        <x:v>0</x:v>
      </x:c>
      <x:c r="V17" s="4" t="n">
        <x:f>SUMIF('Ход 2037'!$G$29:$G$38,$A17,'Ход 2037'!$I$29:$I$38)*(1+'Эффекты технологий'!U$7+'Эффекты технологий'!U$8+'Эффекты технологий'!U$9)</x:f>
        <x:v>0</x:v>
      </x:c>
      <x:c r="W17" s="4" t="n">
        <x:f>SUMIF('Ход 2038'!$G$29:$G$38,$A17,'Ход 2038'!$I$29:$I$38)*(1+'Эффекты технологий'!V$7+'Эффекты технологий'!V$8+'Эффекты технологий'!V$9)</x:f>
        <x:v>0</x:v>
      </x:c>
      <x:c r="X17" s="4" t="n">
        <x:f>SUMIF('Ход 2039'!$G$29:$G$38,$A17,'Ход 2039'!$I$29:$I$38)*(1+'Эффекты технологий'!W$7+'Эффекты технологий'!W$8+'Эффекты технологий'!W$9)</x:f>
        <x:v>0</x:v>
      </x:c>
      <x:c r="Y17" s="4" t="n">
        <x:f>SUMIF('Ход 2040'!$G$29:$G$38,$A17,'Ход 2040'!$I$29:$I$38)*(1+'Эффекты технологий'!X$7+'Эффекты технологий'!X$8+'Эффекты технологий'!X$9)</x:f>
        <x:v>0</x:v>
      </x:c>
      <x:c r="Z17" s="5" t="n">
        <x:f t="shared" si="0">SUM(K17:Y17)</x:f>
        <x:v>0</x:v>
      </x:c>
      <x:c r="AA17" s="5" t="n">
        <x:f t="shared" si="1">MAX(0,E17-Z17)</x:f>
        <x:v>20</x:v>
      </x:c>
      <x:c r="AB17" s="3" t="str">
        <x:f t="shared" si="2">BF17</x:f>
        <x:v>ОТКРЫТО</x:v>
      </x:c>
      <x:c r="AC17" t="n">
        <x:f>SUM($K17:K17)</x:f>
        <x:v>0</x:v>
      </x:c>
      <x:c r="AD17" t="n">
        <x:f>SUM($K17:L17)</x:f>
        <x:v>0</x:v>
      </x:c>
      <x:c r="AE17" t="n">
        <x:f>SUM($K17:M17)</x:f>
        <x:v>0</x:v>
      </x:c>
      <x:c r="AF17" t="n">
        <x:f>SUM($K17:N17)</x:f>
        <x:v>0</x:v>
      </x:c>
      <x:c r="AG17" t="n">
        <x:f>SUM($K17:O17)</x:f>
        <x:v>0</x:v>
      </x:c>
      <x:c r="AH17" t="n">
        <x:f>SUM($K17:P17)</x:f>
        <x:v>0</x:v>
      </x:c>
      <x:c r="AI17" t="n">
        <x:f>SUM($K17:Q17)</x:f>
        <x:v>0</x:v>
      </x:c>
      <x:c r="AJ17" t="n">
        <x:f>SUM($K17:R17)</x:f>
        <x:v>0</x:v>
      </x:c>
      <x:c r="AK17" t="n">
        <x:f>SUM($K17:S17)</x:f>
        <x:v>0</x:v>
      </x:c>
      <x:c r="AL17" t="n">
        <x:f>SUM($K17:T17)</x:f>
        <x:v>0</x:v>
      </x:c>
      <x:c r="AM17" t="n">
        <x:f>SUM($K17:U17)</x:f>
        <x:v>0</x:v>
      </x:c>
      <x:c r="AN17" t="n">
        <x:f>SUM($K17:V17)</x:f>
        <x:v>0</x:v>
      </x:c>
      <x:c r="AO17" t="n">
        <x:f>SUM($K17:W17)</x:f>
        <x:v>0</x:v>
      </x:c>
      <x:c r="AP17" t="n">
        <x:f>SUM($K17:X17)</x:f>
        <x:v>0</x:v>
      </x:c>
      <x:c r="AQ17" t="n">
        <x:f>SUM($K17:Y17)</x:f>
        <x:v>0</x:v>
      </x:c>
      <x:c r="AR17" t="str">
        <x:f t="shared" si="3">IF(AND(AC17&gt;=$E17,TRUE),"ИЗУЧЕНО",IF(TRUE,"ОТКРЫТО","ЗАКРЫТО"))</x:f>
        <x:v>ОТКРЫТО</x:v>
      </x:c>
      <x:c r="AS17" t="str">
        <x:f t="shared" si="4">IF(AND(AD17&gt;=$E17,TRUE),"ИЗУЧЕНО",IF(TRUE,"ОТКРЫТО","ЗАКРЫТО"))</x:f>
        <x:v>ОТКРЫТО</x:v>
      </x:c>
      <x:c r="AT17" t="str">
        <x:f t="shared" si="5">IF(AND(AE17&gt;=$E17,TRUE),"ИЗУЧЕНО",IF(TRUE,"ОТКРЫТО","ЗАКРЫТО"))</x:f>
        <x:v>ОТКРЫТО</x:v>
      </x:c>
      <x:c r="AU17" t="str">
        <x:f t="shared" si="6">IF(AND(AF17&gt;=$E17,TRUE),"ИЗУЧЕНО",IF(TRUE,"ОТКРЫТО","ЗАКРЫТО"))</x:f>
        <x:v>ОТКРЫТО</x:v>
      </x:c>
      <x:c r="AV17" t="str">
        <x:f t="shared" si="7">IF(AND(AG17&gt;=$E17,TRUE),"ИЗУЧЕНО",IF(TRUE,"ОТКРЫТО","ЗАКРЫТО"))</x:f>
        <x:v>ОТКРЫТО</x:v>
      </x:c>
      <x:c r="AW17" t="str">
        <x:f t="shared" si="8">IF(AND(AH17&gt;=$E17,TRUE),"ИЗУЧЕНО",IF(TRUE,"ОТКРЫТО","ЗАКРЫТО"))</x:f>
        <x:v>ОТКРЫТО</x:v>
      </x:c>
      <x:c r="AX17" t="str">
        <x:f t="shared" si="9">IF(AND(AI17&gt;=$E17,TRUE),"ИЗУЧЕНО",IF(TRUE,"ОТКРЫТО","ЗАКРЫТО"))</x:f>
        <x:v>ОТКРЫТО</x:v>
      </x:c>
      <x:c r="AY17" t="str">
        <x:f t="shared" si="10">IF(AND(AJ17&gt;=$E17,TRUE),"ИЗУЧЕНО",IF(TRUE,"ОТКРЫТО","ЗАКРЫТО"))</x:f>
        <x:v>ОТКРЫТО</x:v>
      </x:c>
      <x:c r="AZ17" t="str">
        <x:f t="shared" si="11">IF(AND(AK17&gt;=$E17,TRUE),"ИЗУЧЕНО",IF(TRUE,"ОТКРЫТО","ЗАКРЫТО"))</x:f>
        <x:v>ОТКРЫТО</x:v>
      </x:c>
      <x:c r="BA17" t="str">
        <x:f t="shared" si="12">IF(AND(AL17&gt;=$E17,TRUE),"ИЗУЧЕНО",IF(TRUE,"ОТКРЫТО","ЗАКРЫТО"))</x:f>
        <x:v>ОТКРЫТО</x:v>
      </x:c>
      <x:c r="BB17" t="str">
        <x:f t="shared" si="13">IF(AND(AM17&gt;=$E17,TRUE),"ИЗУЧЕНО",IF(TRUE,"ОТКРЫТО","ЗАКРЫТО"))</x:f>
        <x:v>ОТКРЫТО</x:v>
      </x:c>
      <x:c r="BC17" t="str">
        <x:f t="shared" si="14">IF(AND(AN17&gt;=$E17,TRUE),"ИЗУЧЕНО",IF(TRUE,"ОТКРЫТО","ЗАКРЫТО"))</x:f>
        <x:v>ОТКРЫТО</x:v>
      </x:c>
      <x:c r="BD17" t="str">
        <x:f t="shared" si="15">IF(AND(AO17&gt;=$E17,TRUE),"ИЗУЧЕНО",IF(TRUE,"ОТКРЫТО","ЗАКРЫТО"))</x:f>
        <x:v>ОТКРЫТО</x:v>
      </x:c>
      <x:c r="BE17" t="str">
        <x:f t="shared" si="16">IF(AND(AP17&gt;=$E17,TRUE),"ИЗУЧЕНО",IF(TRUE,"ОТКРЫТО","ЗАКРЫТО"))</x:f>
        <x:v>ОТКРЫТО</x:v>
      </x:c>
      <x:c r="BF17" t="str">
        <x:f t="shared" si="17">IF(AND(AQ17&gt;=$E17,TRUE),"ИЗУЧЕНО",IF(TRUE,"ОТКРЫТО","ЗАКРЫТО"))</x:f>
        <x:v>ОТКРЫТО</x:v>
      </x:c>
      <x:c r="BG17" t="str">
        <x:f t="shared" si="18">IFERROR(2025+MATCH("ИЗУЧЕНО",AR17:BF17,0),"")</x:f>
      </x:c>
      <x:c r="BH17" t="str">
        <x:f t="shared" si="19">IF(BG17="","",BG17+1)</x:f>
      </x:c>
    </x:row>
    <x:row r="18" ht="179.39999389648438">
      <x:c r="A18" s="3" t="s">
        <x:v>101</x:v>
      </x:c>
      <x:c r="B18" s="3" t="s">
        <x:v>97</x:v>
      </x:c>
      <x:c r="C18" s="3" t="s">
        <x:v>73</x:v>
      </x:c>
      <x:c r="D18" s="3" t="s">
        <x:v>102</x:v>
      </x:c>
      <x:c r="E18" s="3">
        <x:v>40</x:v>
      </x:c>
      <x:c r="F18" s="3" t="s">
        <x:v>96</x:v>
      </x:c>
      <x:c r="G18" s="3"/>
      <x:c r="H18" s="3"/>
      <x:c r="I18" s="3" t="s">
        <x:v>103</x:v>
      </x:c>
      <x:c r="J18" s="3" t="s">
        <x:v>104</x:v>
      </x:c>
      <x:c r="K18" s="4" t="n">
        <x:f>SUMIF('Ход 2026'!$G$29:$G$38,$A18,'Ход 2026'!$I$29:$I$38)*(1+'Эффекты технологий'!J$7+'Эффекты технологий'!J$8+'Эффекты технологий'!J$9)</x:f>
        <x:v>0</x:v>
      </x:c>
      <x:c r="L18" s="4" t="n">
        <x:f>SUMIF('Ход 2027'!$G$29:$G$38,$A18,'Ход 2027'!$I$29:$I$38)*(1+'Эффекты технологий'!K$7+'Эффекты технологий'!K$8+'Эффекты технологий'!K$9)</x:f>
        <x:v>0</x:v>
      </x:c>
      <x:c r="M18" s="4" t="n">
        <x:f>SUMIF('Ход 2028'!$G$29:$G$38,$A18,'Ход 2028'!$I$29:$I$38)*(1+'Эффекты технологий'!L$7+'Эффекты технологий'!L$8+'Эффекты технологий'!L$9)</x:f>
        <x:v>0</x:v>
      </x:c>
      <x:c r="N18" s="4" t="n">
        <x:f>SUMIF('Ход 2029'!$G$29:$G$38,$A18,'Ход 2029'!$I$29:$I$38)*(1+'Эффекты технологий'!M$7+'Эффекты технологий'!M$8+'Эффекты технологий'!M$9)</x:f>
        <x:v>0</x:v>
      </x:c>
      <x:c r="O18" s="4" t="n">
        <x:f>SUMIF('Ход 2030'!$G$29:$G$38,$A18,'Ход 2030'!$I$29:$I$38)*(1+'Эффекты технологий'!N$7+'Эффекты технологий'!N$8+'Эффекты технологий'!N$9)</x:f>
        <x:v>0</x:v>
      </x:c>
      <x:c r="P18" s="4" t="n">
        <x:f>SUMIF('Ход 2031'!$G$29:$G$38,$A18,'Ход 2031'!$I$29:$I$38)*(1+'Эффекты технологий'!O$7+'Эффекты технологий'!O$8+'Эффекты технологий'!O$9)</x:f>
        <x:v>0</x:v>
      </x:c>
      <x:c r="Q18" s="4" t="n">
        <x:f>SUMIF('Ход 2032'!$G$29:$G$38,$A18,'Ход 2032'!$I$29:$I$38)*(1+'Эффекты технологий'!P$7+'Эффекты технологий'!P$8+'Эффекты технологий'!P$9)</x:f>
        <x:v>0</x:v>
      </x:c>
      <x:c r="R18" s="4" t="n">
        <x:f>SUMIF('Ход 2033'!$G$29:$G$38,$A18,'Ход 2033'!$I$29:$I$38)*(1+'Эффекты технологий'!Q$7+'Эффекты технологий'!Q$8+'Эффекты технологий'!Q$9)</x:f>
        <x:v>0</x:v>
      </x:c>
      <x:c r="S18" s="4" t="n">
        <x:f>SUMIF('Ход 2034'!$G$29:$G$38,$A18,'Ход 2034'!$I$29:$I$38)*(1+'Эффекты технологий'!R$7+'Эффекты технологий'!R$8+'Эффекты технологий'!R$9)</x:f>
        <x:v>0</x:v>
      </x:c>
      <x:c r="T18" s="4" t="n">
        <x:f>SUMIF('Ход 2035'!$G$29:$G$38,$A18,'Ход 2035'!$I$29:$I$38)*(1+'Эффекты технологий'!S$7+'Эффекты технологий'!S$8+'Эффекты технологий'!S$9)</x:f>
        <x:v>0</x:v>
      </x:c>
      <x:c r="U18" s="4" t="n">
        <x:f>SUMIF('Ход 2036'!$G$29:$G$38,$A18,'Ход 2036'!$I$29:$I$38)*(1+'Эффекты технологий'!T$7+'Эффекты технологий'!T$8+'Эффекты технологий'!T$9)</x:f>
        <x:v>0</x:v>
      </x:c>
      <x:c r="V18" s="4" t="n">
        <x:f>SUMIF('Ход 2037'!$G$29:$G$38,$A18,'Ход 2037'!$I$29:$I$38)*(1+'Эффекты технологий'!U$7+'Эффекты технологий'!U$8+'Эффекты технологий'!U$9)</x:f>
        <x:v>0</x:v>
      </x:c>
      <x:c r="W18" s="4" t="n">
        <x:f>SUMIF('Ход 2038'!$G$29:$G$38,$A18,'Ход 2038'!$I$29:$I$38)*(1+'Эффекты технологий'!V$7+'Эффекты технологий'!V$8+'Эффекты технологий'!V$9)</x:f>
        <x:v>0</x:v>
      </x:c>
      <x:c r="X18" s="4" t="n">
        <x:f>SUMIF('Ход 2039'!$G$29:$G$38,$A18,'Ход 2039'!$I$29:$I$38)*(1+'Эффекты технологий'!W$7+'Эффекты технологий'!W$8+'Эффекты технологий'!W$9)</x:f>
        <x:v>0</x:v>
      </x:c>
      <x:c r="Y18" s="4" t="n">
        <x:f>SUMIF('Ход 2040'!$G$29:$G$38,$A18,'Ход 2040'!$I$29:$I$38)*(1+'Эффекты технологий'!X$7+'Эффекты технологий'!X$8+'Эффекты технологий'!X$9)</x:f>
        <x:v>0</x:v>
      </x:c>
      <x:c r="Z18" s="5" t="n">
        <x:f t="shared" si="0">SUM(K18:Y18)</x:f>
        <x:v>0</x:v>
      </x:c>
      <x:c r="AA18" s="5" t="n">
        <x:f t="shared" si="1">MAX(0,E18-Z18)</x:f>
        <x:v>40</x:v>
      </x:c>
      <x:c r="AB18" s="3" t="str">
        <x:f t="shared" si="2">BF18</x:f>
        <x:v>ОТКРЫТО</x:v>
      </x:c>
      <x:c r="AC18" t="n">
        <x:f>SUM($K18:K18)</x:f>
        <x:v>0</x:v>
      </x:c>
      <x:c r="AD18" t="n">
        <x:f>SUM($K18:L18)</x:f>
        <x:v>0</x:v>
      </x:c>
      <x:c r="AE18" t="n">
        <x:f>SUM($K18:M18)</x:f>
        <x:v>0</x:v>
      </x:c>
      <x:c r="AF18" t="n">
        <x:f>SUM($K18:N18)</x:f>
        <x:v>0</x:v>
      </x:c>
      <x:c r="AG18" t="n">
        <x:f>SUM($K18:O18)</x:f>
        <x:v>0</x:v>
      </x:c>
      <x:c r="AH18" t="n">
        <x:f>SUM($K18:P18)</x:f>
        <x:v>0</x:v>
      </x:c>
      <x:c r="AI18" t="n">
        <x:f>SUM($K18:Q18)</x:f>
        <x:v>0</x:v>
      </x:c>
      <x:c r="AJ18" t="n">
        <x:f>SUM($K18:R18)</x:f>
        <x:v>0</x:v>
      </x:c>
      <x:c r="AK18" t="n">
        <x:f>SUM($K18:S18)</x:f>
        <x:v>0</x:v>
      </x:c>
      <x:c r="AL18" t="n">
        <x:f>SUM($K18:T18)</x:f>
        <x:v>0</x:v>
      </x:c>
      <x:c r="AM18" t="n">
        <x:f>SUM($K18:U18)</x:f>
        <x:v>0</x:v>
      </x:c>
      <x:c r="AN18" t="n">
        <x:f>SUM($K18:V18)</x:f>
        <x:v>0</x:v>
      </x:c>
      <x:c r="AO18" t="n">
        <x:f>SUM($K18:W18)</x:f>
        <x:v>0</x:v>
      </x:c>
      <x:c r="AP18" t="n">
        <x:f>SUM($K18:X18)</x:f>
        <x:v>0</x:v>
      </x:c>
      <x:c r="AQ18" t="n">
        <x:f>SUM($K18:Y18)</x:f>
        <x:v>0</x:v>
      </x:c>
      <x:c r="AR18" t="str">
        <x:f t="shared" si="3">IF(AND(AC18&gt;=$E18,TRUE),"ИЗУЧЕНО",IF(TRUE,"ОТКРЫТО","ЗАКРЫТО"))</x:f>
        <x:v>ОТКРЫТО</x:v>
      </x:c>
      <x:c r="AS18" t="str">
        <x:f t="shared" si="4">IF(AND(AD18&gt;=$E18,TRUE),"ИЗУЧЕНО",IF(TRUE,"ОТКРЫТО","ЗАКРЫТО"))</x:f>
        <x:v>ОТКРЫТО</x:v>
      </x:c>
      <x:c r="AT18" t="str">
        <x:f t="shared" si="5">IF(AND(AE18&gt;=$E18,TRUE),"ИЗУЧЕНО",IF(TRUE,"ОТКРЫТО","ЗАКРЫТО"))</x:f>
        <x:v>ОТКРЫТО</x:v>
      </x:c>
      <x:c r="AU18" t="str">
        <x:f t="shared" si="6">IF(AND(AF18&gt;=$E18,TRUE),"ИЗУЧЕНО",IF(TRUE,"ОТКРЫТО","ЗАКРЫТО"))</x:f>
        <x:v>ОТКРЫТО</x:v>
      </x:c>
      <x:c r="AV18" t="str">
        <x:f t="shared" si="7">IF(AND(AG18&gt;=$E18,TRUE),"ИЗУЧЕНО",IF(TRUE,"ОТКРЫТО","ЗАКРЫТО"))</x:f>
        <x:v>ОТКРЫТО</x:v>
      </x:c>
      <x:c r="AW18" t="str">
        <x:f t="shared" si="8">IF(AND(AH18&gt;=$E18,TRUE),"ИЗУЧЕНО",IF(TRUE,"ОТКРЫТО","ЗАКРЫТО"))</x:f>
        <x:v>ОТКРЫТО</x:v>
      </x:c>
      <x:c r="AX18" t="str">
        <x:f t="shared" si="9">IF(AND(AI18&gt;=$E18,TRUE),"ИЗУЧЕНО",IF(TRUE,"ОТКРЫТО","ЗАКРЫТО"))</x:f>
        <x:v>ОТКРЫТО</x:v>
      </x:c>
      <x:c r="AY18" t="str">
        <x:f t="shared" si="10">IF(AND(AJ18&gt;=$E18,TRUE),"ИЗУЧЕНО",IF(TRUE,"ОТКРЫТО","ЗАКРЫТО"))</x:f>
        <x:v>ОТКРЫТО</x:v>
      </x:c>
      <x:c r="AZ18" t="str">
        <x:f t="shared" si="11">IF(AND(AK18&gt;=$E18,TRUE),"ИЗУЧЕНО",IF(TRUE,"ОТКРЫТО","ЗАКРЫТО"))</x:f>
        <x:v>ОТКРЫТО</x:v>
      </x:c>
      <x:c r="BA18" t="str">
        <x:f t="shared" si="12">IF(AND(AL18&gt;=$E18,TRUE),"ИЗУЧЕНО",IF(TRUE,"ОТКРЫТО","ЗАКРЫТО"))</x:f>
        <x:v>ОТКРЫТО</x:v>
      </x:c>
      <x:c r="BB18" t="str">
        <x:f t="shared" si="13">IF(AND(AM18&gt;=$E18,TRUE),"ИЗУЧЕНО",IF(TRUE,"ОТКРЫТО","ЗАКРЫТО"))</x:f>
        <x:v>ОТКРЫТО</x:v>
      </x:c>
      <x:c r="BC18" t="str">
        <x:f t="shared" si="14">IF(AND(AN18&gt;=$E18,TRUE),"ИЗУЧЕНО",IF(TRUE,"ОТКРЫТО","ЗАКРЫТО"))</x:f>
        <x:v>ОТКРЫТО</x:v>
      </x:c>
      <x:c r="BD18" t="str">
        <x:f t="shared" si="15">IF(AND(AO18&gt;=$E18,TRUE),"ИЗУЧЕНО",IF(TRUE,"ОТКРЫТО","ЗАКРЫТО"))</x:f>
        <x:v>ОТКРЫТО</x:v>
      </x:c>
      <x:c r="BE18" t="str">
        <x:f t="shared" si="16">IF(AND(AP18&gt;=$E18,TRUE),"ИЗУЧЕНО",IF(TRUE,"ОТКРЫТО","ЗАКРЫТО"))</x:f>
        <x:v>ОТКРЫТО</x:v>
      </x:c>
      <x:c r="BF18" t="str">
        <x:f t="shared" si="17">IF(AND(AQ18&gt;=$E18,TRUE),"ИЗУЧЕНО",IF(TRUE,"ОТКРЫТО","ЗАКРЫТО"))</x:f>
        <x:v>ОТКРЫТО</x:v>
      </x:c>
      <x:c r="BG18" t="str">
        <x:f t="shared" si="18">IFERROR(2025+MATCH("ИЗУЧЕНО",AR18:BF18,0),"")</x:f>
      </x:c>
      <x:c r="BH18" t="str">
        <x:f t="shared" si="19">IF(BG18="","",BG18+1)</x:f>
      </x:c>
    </x:row>
    <x:row r="19" ht="179.39999389648438">
      <x:c r="A19" s="3" t="s">
        <x:v>105</x:v>
      </x:c>
      <x:c r="B19" s="3" t="s">
        <x:v>97</x:v>
      </x:c>
      <x:c r="C19" s="3" t="s">
        <x:v>73</x:v>
      </x:c>
      <x:c r="D19" s="3" t="s">
        <x:v>106</x:v>
      </x:c>
      <x:c r="E19" s="3">
        <x:v>45</x:v>
      </x:c>
      <x:c r="F19" s="3" t="s">
        <x:v>96</x:v>
      </x:c>
      <x:c r="G19" s="3"/>
      <x:c r="H19" s="3"/>
      <x:c r="I19" s="3" t="s">
        <x:v>107</x:v>
      </x:c>
      <x:c r="J19" s="3" t="s">
        <x:v>108</x:v>
      </x:c>
      <x:c r="K19" s="4" t="n">
        <x:f>SUMIF('Ход 2026'!$G$29:$G$38,$A19,'Ход 2026'!$I$29:$I$38)*(1+'Эффекты технологий'!J$7+'Эффекты технологий'!J$8+'Эффекты технологий'!J$9)</x:f>
        <x:v>0</x:v>
      </x:c>
      <x:c r="L19" s="4" t="n">
        <x:f>SUMIF('Ход 2027'!$G$29:$G$38,$A19,'Ход 2027'!$I$29:$I$38)*(1+'Эффекты технологий'!K$7+'Эффекты технологий'!K$8+'Эффекты технологий'!K$9)</x:f>
        <x:v>0</x:v>
      </x:c>
      <x:c r="M19" s="4" t="n">
        <x:f>SUMIF('Ход 2028'!$G$29:$G$38,$A19,'Ход 2028'!$I$29:$I$38)*(1+'Эффекты технологий'!L$7+'Эффекты технологий'!L$8+'Эффекты технологий'!L$9)</x:f>
        <x:v>0</x:v>
      </x:c>
      <x:c r="N19" s="4" t="n">
        <x:f>SUMIF('Ход 2029'!$G$29:$G$38,$A19,'Ход 2029'!$I$29:$I$38)*(1+'Эффекты технологий'!M$7+'Эффекты технологий'!M$8+'Эффекты технологий'!M$9)</x:f>
        <x:v>0</x:v>
      </x:c>
      <x:c r="O19" s="4" t="n">
        <x:f>SUMIF('Ход 2030'!$G$29:$G$38,$A19,'Ход 2030'!$I$29:$I$38)*(1+'Эффекты технологий'!N$7+'Эффекты технологий'!N$8+'Эффекты технологий'!N$9)</x:f>
        <x:v>0</x:v>
      </x:c>
      <x:c r="P19" s="4" t="n">
        <x:f>SUMIF('Ход 2031'!$G$29:$G$38,$A19,'Ход 2031'!$I$29:$I$38)*(1+'Эффекты технологий'!O$7+'Эффекты технологий'!O$8+'Эффекты технологий'!O$9)</x:f>
        <x:v>0</x:v>
      </x:c>
      <x:c r="Q19" s="4" t="n">
        <x:f>SUMIF('Ход 2032'!$G$29:$G$38,$A19,'Ход 2032'!$I$29:$I$38)*(1+'Эффекты технологий'!P$7+'Эффекты технологий'!P$8+'Эффекты технологий'!P$9)</x:f>
        <x:v>0</x:v>
      </x:c>
      <x:c r="R19" s="4" t="n">
        <x:f>SUMIF('Ход 2033'!$G$29:$G$38,$A19,'Ход 2033'!$I$29:$I$38)*(1+'Эффекты технологий'!Q$7+'Эффекты технологий'!Q$8+'Эффекты технологий'!Q$9)</x:f>
        <x:v>0</x:v>
      </x:c>
      <x:c r="S19" s="4" t="n">
        <x:f>SUMIF('Ход 2034'!$G$29:$G$38,$A19,'Ход 2034'!$I$29:$I$38)*(1+'Эффекты технологий'!R$7+'Эффекты технологий'!R$8+'Эффекты технологий'!R$9)</x:f>
        <x:v>0</x:v>
      </x:c>
      <x:c r="T19" s="4" t="n">
        <x:f>SUMIF('Ход 2035'!$G$29:$G$38,$A19,'Ход 2035'!$I$29:$I$38)*(1+'Эффекты технологий'!S$7+'Эффекты технологий'!S$8+'Эффекты технологий'!S$9)</x:f>
        <x:v>0</x:v>
      </x:c>
      <x:c r="U19" s="4" t="n">
        <x:f>SUMIF('Ход 2036'!$G$29:$G$38,$A19,'Ход 2036'!$I$29:$I$38)*(1+'Эффекты технологий'!T$7+'Эффекты технологий'!T$8+'Эффекты технологий'!T$9)</x:f>
        <x:v>0</x:v>
      </x:c>
      <x:c r="V19" s="4" t="n">
        <x:f>SUMIF('Ход 2037'!$G$29:$G$38,$A19,'Ход 2037'!$I$29:$I$38)*(1+'Эффекты технологий'!U$7+'Эффекты технологий'!U$8+'Эффекты технологий'!U$9)</x:f>
        <x:v>0</x:v>
      </x:c>
      <x:c r="W19" s="4" t="n">
        <x:f>SUMIF('Ход 2038'!$G$29:$G$38,$A19,'Ход 2038'!$I$29:$I$38)*(1+'Эффекты технологий'!V$7+'Эффекты технологий'!V$8+'Эффекты технологий'!V$9)</x:f>
        <x:v>0</x:v>
      </x:c>
      <x:c r="X19" s="4" t="n">
        <x:f>SUMIF('Ход 2039'!$G$29:$G$38,$A19,'Ход 2039'!$I$29:$I$38)*(1+'Эффекты технологий'!W$7+'Эффекты технологий'!W$8+'Эффекты технологий'!W$9)</x:f>
        <x:v>0</x:v>
      </x:c>
      <x:c r="Y19" s="4" t="n">
        <x:f>SUMIF('Ход 2040'!$G$29:$G$38,$A19,'Ход 2040'!$I$29:$I$38)*(1+'Эффекты технологий'!X$7+'Эффекты технологий'!X$8+'Эффекты технологий'!X$9)</x:f>
        <x:v>0</x:v>
      </x:c>
      <x:c r="Z19" s="5" t="n">
        <x:f t="shared" si="0">SUM(K19:Y19)</x:f>
        <x:v>0</x:v>
      </x:c>
      <x:c r="AA19" s="5" t="n">
        <x:f t="shared" si="1">MAX(0,E19-Z19)</x:f>
        <x:v>45</x:v>
      </x:c>
      <x:c r="AB19" s="3" t="str">
        <x:f t="shared" si="2">BF19</x:f>
        <x:v>ОТКРЫТО</x:v>
      </x:c>
      <x:c r="AC19" t="n">
        <x:f>SUM($K19:K19)</x:f>
        <x:v>0</x:v>
      </x:c>
      <x:c r="AD19" t="n">
        <x:f>SUM($K19:L19)</x:f>
        <x:v>0</x:v>
      </x:c>
      <x:c r="AE19" t="n">
        <x:f>SUM($K19:M19)</x:f>
        <x:v>0</x:v>
      </x:c>
      <x:c r="AF19" t="n">
        <x:f>SUM($K19:N19)</x:f>
        <x:v>0</x:v>
      </x:c>
      <x:c r="AG19" t="n">
        <x:f>SUM($K19:O19)</x:f>
        <x:v>0</x:v>
      </x:c>
      <x:c r="AH19" t="n">
        <x:f>SUM($K19:P19)</x:f>
        <x:v>0</x:v>
      </x:c>
      <x:c r="AI19" t="n">
        <x:f>SUM($K19:Q19)</x:f>
        <x:v>0</x:v>
      </x:c>
      <x:c r="AJ19" t="n">
        <x:f>SUM($K19:R19)</x:f>
        <x:v>0</x:v>
      </x:c>
      <x:c r="AK19" t="n">
        <x:f>SUM($K19:S19)</x:f>
        <x:v>0</x:v>
      </x:c>
      <x:c r="AL19" t="n">
        <x:f>SUM($K19:T19)</x:f>
        <x:v>0</x:v>
      </x:c>
      <x:c r="AM19" t="n">
        <x:f>SUM($K19:U19)</x:f>
        <x:v>0</x:v>
      </x:c>
      <x:c r="AN19" t="n">
        <x:f>SUM($K19:V19)</x:f>
        <x:v>0</x:v>
      </x:c>
      <x:c r="AO19" t="n">
        <x:f>SUM($K19:W19)</x:f>
        <x:v>0</x:v>
      </x:c>
      <x:c r="AP19" t="n">
        <x:f>SUM($K19:X19)</x:f>
        <x:v>0</x:v>
      </x:c>
      <x:c r="AQ19" t="n">
        <x:f>SUM($K19:Y19)</x:f>
        <x:v>0</x:v>
      </x:c>
      <x:c r="AR19" t="str">
        <x:f t="shared" si="3">IF(AND(AC19&gt;=$E19,TRUE),"ИЗУЧЕНО",IF(TRUE,"ОТКРЫТО","ЗАКРЫТО"))</x:f>
        <x:v>ОТКРЫТО</x:v>
      </x:c>
      <x:c r="AS19" t="str">
        <x:f t="shared" si="4">IF(AND(AD19&gt;=$E19,TRUE),"ИЗУЧЕНО",IF(TRUE,"ОТКРЫТО","ЗАКРЫТО"))</x:f>
        <x:v>ОТКРЫТО</x:v>
      </x:c>
      <x:c r="AT19" t="str">
        <x:f t="shared" si="5">IF(AND(AE19&gt;=$E19,TRUE),"ИЗУЧЕНО",IF(TRUE,"ОТКРЫТО","ЗАКРЫТО"))</x:f>
        <x:v>ОТКРЫТО</x:v>
      </x:c>
      <x:c r="AU19" t="str">
        <x:f t="shared" si="6">IF(AND(AF19&gt;=$E19,TRUE),"ИЗУЧЕНО",IF(TRUE,"ОТКРЫТО","ЗАКРЫТО"))</x:f>
        <x:v>ОТКРЫТО</x:v>
      </x:c>
      <x:c r="AV19" t="str">
        <x:f t="shared" si="7">IF(AND(AG19&gt;=$E19,TRUE),"ИЗУЧЕНО",IF(TRUE,"ОТКРЫТО","ЗАКРЫТО"))</x:f>
        <x:v>ОТКРЫТО</x:v>
      </x:c>
      <x:c r="AW19" t="str">
        <x:f t="shared" si="8">IF(AND(AH19&gt;=$E19,TRUE),"ИЗУЧЕНО",IF(TRUE,"ОТКРЫТО","ЗАКРЫТО"))</x:f>
        <x:v>ОТКРЫТО</x:v>
      </x:c>
      <x:c r="AX19" t="str">
        <x:f t="shared" si="9">IF(AND(AI19&gt;=$E19,TRUE),"ИЗУЧЕНО",IF(TRUE,"ОТКРЫТО","ЗАКРЫТО"))</x:f>
        <x:v>ОТКРЫТО</x:v>
      </x:c>
      <x:c r="AY19" t="str">
        <x:f t="shared" si="10">IF(AND(AJ19&gt;=$E19,TRUE),"ИЗУЧЕНО",IF(TRUE,"ОТКРЫТО","ЗАКРЫТО"))</x:f>
        <x:v>ОТКРЫТО</x:v>
      </x:c>
      <x:c r="AZ19" t="str">
        <x:f t="shared" si="11">IF(AND(AK19&gt;=$E19,TRUE),"ИЗУЧЕНО",IF(TRUE,"ОТКРЫТО","ЗАКРЫТО"))</x:f>
        <x:v>ОТКРЫТО</x:v>
      </x:c>
      <x:c r="BA19" t="str">
        <x:f t="shared" si="12">IF(AND(AL19&gt;=$E19,TRUE),"ИЗУЧЕНО",IF(TRUE,"ОТКРЫТО","ЗАКРЫТО"))</x:f>
        <x:v>ОТКРЫТО</x:v>
      </x:c>
      <x:c r="BB19" t="str">
        <x:f t="shared" si="13">IF(AND(AM19&gt;=$E19,TRUE),"ИЗУЧЕНО",IF(TRUE,"ОТКРЫТО","ЗАКРЫТО"))</x:f>
        <x:v>ОТКРЫТО</x:v>
      </x:c>
      <x:c r="BC19" t="str">
        <x:f t="shared" si="14">IF(AND(AN19&gt;=$E19,TRUE),"ИЗУЧЕНО",IF(TRUE,"ОТКРЫТО","ЗАКРЫТО"))</x:f>
        <x:v>ОТКРЫТО</x:v>
      </x:c>
      <x:c r="BD19" t="str">
        <x:f t="shared" si="15">IF(AND(AO19&gt;=$E19,TRUE),"ИЗУЧЕНО",IF(TRUE,"ОТКРЫТО","ЗАКРЫТО"))</x:f>
        <x:v>ОТКРЫТО</x:v>
      </x:c>
      <x:c r="BE19" t="str">
        <x:f t="shared" si="16">IF(AND(AP19&gt;=$E19,TRUE),"ИЗУЧЕНО",IF(TRUE,"ОТКРЫТО","ЗАКРЫТО"))</x:f>
        <x:v>ОТКРЫТО</x:v>
      </x:c>
      <x:c r="BF19" t="str">
        <x:f t="shared" si="17">IF(AND(AQ19&gt;=$E19,TRUE),"ИЗУЧЕНО",IF(TRUE,"ОТКРЫТО","ЗАКРЫТО"))</x:f>
        <x:v>ОТКРЫТО</x:v>
      </x:c>
      <x:c r="BG19" t="str">
        <x:f t="shared" si="18">IFERROR(2025+MATCH("ИЗУЧЕНО",AR19:BF19,0),"")</x:f>
      </x:c>
      <x:c r="BH19" t="str">
        <x:f t="shared" si="19">IF(BG19="","",BG19+1)</x:f>
      </x:c>
    </x:row>
    <x:row r="20" ht="179.39999389648438">
      <x:c r="A20" s="3" t="s">
        <x:v>109</x:v>
      </x:c>
      <x:c r="B20" s="3" t="s">
        <x:v>97</x:v>
      </x:c>
      <x:c r="C20" s="3" t="s">
        <x:v>82</x:v>
      </x:c>
      <x:c r="D20" s="3" t="s">
        <x:v>110</x:v>
      </x:c>
      <x:c r="E20" s="3">
        <x:v>65</x:v>
      </x:c>
      <x:c r="F20" s="3" t="s">
        <x:v>101</x:v>
      </x:c>
      <x:c r="G20" s="3" t="s">
        <x:v>105</x:v>
      </x:c>
      <x:c r="H20" s="3"/>
      <x:c r="I20" s="3" t="s">
        <x:v>111</x:v>
      </x:c>
      <x:c r="J20" s="3" t="s">
        <x:v>112</x:v>
      </x:c>
      <x:c r="K20" s="4" t="n">
        <x:f>SUMIF('Ход 2026'!$G$29:$G$38,$A20,'Ход 2026'!$I$29:$I$38)*(1+'Эффекты технологий'!J$7+'Эффекты технологий'!J$8+'Эффекты технологий'!J$9)</x:f>
        <x:v>0</x:v>
      </x:c>
      <x:c r="L20" s="4" t="n">
        <x:f>SUMIF('Ход 2027'!$G$29:$G$38,$A20,'Ход 2027'!$I$29:$I$38)*(1+'Эффекты технологий'!K$7+'Эффекты технологий'!K$8+'Эффекты технологий'!K$9)</x:f>
        <x:v>0</x:v>
      </x:c>
      <x:c r="M20" s="4" t="n">
        <x:f>SUMIF('Ход 2028'!$G$29:$G$38,$A20,'Ход 2028'!$I$29:$I$38)*(1+'Эффекты технологий'!L$7+'Эффекты технологий'!L$8+'Эффекты технологий'!L$9)</x:f>
        <x:v>0</x:v>
      </x:c>
      <x:c r="N20" s="4" t="n">
        <x:f>SUMIF('Ход 2029'!$G$29:$G$38,$A20,'Ход 2029'!$I$29:$I$38)*(1+'Эффекты технологий'!M$7+'Эффекты технологий'!M$8+'Эффекты технологий'!M$9)</x:f>
        <x:v>0</x:v>
      </x:c>
      <x:c r="O20" s="4" t="n">
        <x:f>SUMIF('Ход 2030'!$G$29:$G$38,$A20,'Ход 2030'!$I$29:$I$38)*(1+'Эффекты технологий'!N$7+'Эффекты технологий'!N$8+'Эффекты технологий'!N$9)</x:f>
        <x:v>0</x:v>
      </x:c>
      <x:c r="P20" s="4" t="n">
        <x:f>SUMIF('Ход 2031'!$G$29:$G$38,$A20,'Ход 2031'!$I$29:$I$38)*(1+'Эффекты технологий'!O$7+'Эффекты технологий'!O$8+'Эффекты технологий'!O$9)</x:f>
        <x:v>0</x:v>
      </x:c>
      <x:c r="Q20" s="4" t="n">
        <x:f>SUMIF('Ход 2032'!$G$29:$G$38,$A20,'Ход 2032'!$I$29:$I$38)*(1+'Эффекты технологий'!P$7+'Эффекты технологий'!P$8+'Эффекты технологий'!P$9)</x:f>
        <x:v>0</x:v>
      </x:c>
      <x:c r="R20" s="4" t="n">
        <x:f>SUMIF('Ход 2033'!$G$29:$G$38,$A20,'Ход 2033'!$I$29:$I$38)*(1+'Эффекты технологий'!Q$7+'Эффекты технологий'!Q$8+'Эффекты технологий'!Q$9)</x:f>
        <x:v>0</x:v>
      </x:c>
      <x:c r="S20" s="4" t="n">
        <x:f>SUMIF('Ход 2034'!$G$29:$G$38,$A20,'Ход 2034'!$I$29:$I$38)*(1+'Эффекты технологий'!R$7+'Эффекты технологий'!R$8+'Эффекты технологий'!R$9)</x:f>
        <x:v>0</x:v>
      </x:c>
      <x:c r="T20" s="4" t="n">
        <x:f>SUMIF('Ход 2035'!$G$29:$G$38,$A20,'Ход 2035'!$I$29:$I$38)*(1+'Эффекты технологий'!S$7+'Эффекты технологий'!S$8+'Эффекты технологий'!S$9)</x:f>
        <x:v>0</x:v>
      </x:c>
      <x:c r="U20" s="4" t="n">
        <x:f>SUMIF('Ход 2036'!$G$29:$G$38,$A20,'Ход 2036'!$I$29:$I$38)*(1+'Эффекты технологий'!T$7+'Эффекты технологий'!T$8+'Эффекты технологий'!T$9)</x:f>
        <x:v>0</x:v>
      </x:c>
      <x:c r="V20" s="4" t="n">
        <x:f>SUMIF('Ход 2037'!$G$29:$G$38,$A20,'Ход 2037'!$I$29:$I$38)*(1+'Эффекты технологий'!U$7+'Эффекты технологий'!U$8+'Эффекты технологий'!U$9)</x:f>
        <x:v>0</x:v>
      </x:c>
      <x:c r="W20" s="4" t="n">
        <x:f>SUMIF('Ход 2038'!$G$29:$G$38,$A20,'Ход 2038'!$I$29:$I$38)*(1+'Эффекты технологий'!V$7+'Эффекты технологий'!V$8+'Эффекты технологий'!V$9)</x:f>
        <x:v>0</x:v>
      </x:c>
      <x:c r="X20" s="4" t="n">
        <x:f>SUMIF('Ход 2039'!$G$29:$G$38,$A20,'Ход 2039'!$I$29:$I$38)*(1+'Эффекты технологий'!W$7+'Эффекты технологий'!W$8+'Эффекты технологий'!W$9)</x:f>
        <x:v>0</x:v>
      </x:c>
      <x:c r="Y20" s="4" t="n">
        <x:f>SUMIF('Ход 2040'!$G$29:$G$38,$A20,'Ход 2040'!$I$29:$I$38)*(1+'Эффекты технологий'!X$7+'Эффекты технологий'!X$8+'Эффекты технологий'!X$9)</x:f>
        <x:v>0</x:v>
      </x:c>
      <x:c r="Z20" s="5" t="n">
        <x:f t="shared" si="0">SUM(K20:Y20)</x:f>
        <x:v>0</x:v>
      </x:c>
      <x:c r="AA20" s="5" t="n">
        <x:f t="shared" si="1">MAX(0,E20-Z20)</x:f>
        <x:v>65</x:v>
      </x:c>
      <x:c r="AB20" s="3" t="str">
        <x:f t="shared" si="2">BF20</x:f>
        <x:v>ОТКРЫТО</x:v>
      </x:c>
      <x:c r="AC20" t="n">
        <x:f>SUM($K20:K20)</x:f>
        <x:v>0</x:v>
      </x:c>
      <x:c r="AD20" t="n">
        <x:f>SUM($K20:L20)</x:f>
        <x:v>0</x:v>
      </x:c>
      <x:c r="AE20" t="n">
        <x:f>SUM($K20:M20)</x:f>
        <x:v>0</x:v>
      </x:c>
      <x:c r="AF20" t="n">
        <x:f>SUM($K20:N20)</x:f>
        <x:v>0</x:v>
      </x:c>
      <x:c r="AG20" t="n">
        <x:f>SUM($K20:O20)</x:f>
        <x:v>0</x:v>
      </x:c>
      <x:c r="AH20" t="n">
        <x:f>SUM($K20:P20)</x:f>
        <x:v>0</x:v>
      </x:c>
      <x:c r="AI20" t="n">
        <x:f>SUM($K20:Q20)</x:f>
        <x:v>0</x:v>
      </x:c>
      <x:c r="AJ20" t="n">
        <x:f>SUM($K20:R20)</x:f>
        <x:v>0</x:v>
      </x:c>
      <x:c r="AK20" t="n">
        <x:f>SUM($K20:S20)</x:f>
        <x:v>0</x:v>
      </x:c>
      <x:c r="AL20" t="n">
        <x:f>SUM($K20:T20)</x:f>
        <x:v>0</x:v>
      </x:c>
      <x:c r="AM20" t="n">
        <x:f>SUM($K20:U20)</x:f>
        <x:v>0</x:v>
      </x:c>
      <x:c r="AN20" t="n">
        <x:f>SUM($K20:V20)</x:f>
        <x:v>0</x:v>
      </x:c>
      <x:c r="AO20" t="n">
        <x:f>SUM($K20:W20)</x:f>
        <x:v>0</x:v>
      </x:c>
      <x:c r="AP20" t="n">
        <x:f>SUM($K20:X20)</x:f>
        <x:v>0</x:v>
      </x:c>
      <x:c r="AQ20" t="n">
        <x:f>SUM($K20:Y20)</x:f>
        <x:v>0</x:v>
      </x:c>
      <x:c r="AR20" t="str">
        <x:f t="shared" si="3">IF(AND(AC20&gt;=$E20,TRUE),"ИЗУЧЕНО",IF(TRUE,"ОТКРЫТО","ЗАКРЫТО"))</x:f>
        <x:v>ОТКРЫТО</x:v>
      </x:c>
      <x:c r="AS20" t="str">
        <x:f t="shared" si="4">IF(AND(AD20&gt;=$E20,TRUE),"ИЗУЧЕНО",IF(TRUE,"ОТКРЫТО","ЗАКРЫТО"))</x:f>
        <x:v>ОТКРЫТО</x:v>
      </x:c>
      <x:c r="AT20" t="str">
        <x:f t="shared" si="5">IF(AND(AE20&gt;=$E20,TRUE),"ИЗУЧЕНО",IF(TRUE,"ОТКРЫТО","ЗАКРЫТО"))</x:f>
        <x:v>ОТКРЫТО</x:v>
      </x:c>
      <x:c r="AU20" t="str">
        <x:f t="shared" si="6">IF(AND(AF20&gt;=$E20,TRUE),"ИЗУЧЕНО",IF(TRUE,"ОТКРЫТО","ЗАКРЫТО"))</x:f>
        <x:v>ОТКРЫТО</x:v>
      </x:c>
      <x:c r="AV20" t="str">
        <x:f t="shared" si="7">IF(AND(AG20&gt;=$E20,TRUE),"ИЗУЧЕНО",IF(TRUE,"ОТКРЫТО","ЗАКРЫТО"))</x:f>
        <x:v>ОТКРЫТО</x:v>
      </x:c>
      <x:c r="AW20" t="str">
        <x:f t="shared" si="8">IF(AND(AH20&gt;=$E20,TRUE),"ИЗУЧЕНО",IF(TRUE,"ОТКРЫТО","ЗАКРЫТО"))</x:f>
        <x:v>ОТКРЫТО</x:v>
      </x:c>
      <x:c r="AX20" t="str">
        <x:f t="shared" si="9">IF(AND(AI20&gt;=$E20,TRUE),"ИЗУЧЕНО",IF(TRUE,"ОТКРЫТО","ЗАКРЫТО"))</x:f>
        <x:v>ОТКРЫТО</x:v>
      </x:c>
      <x:c r="AY20" t="str">
        <x:f t="shared" si="10">IF(AND(AJ20&gt;=$E20,TRUE),"ИЗУЧЕНО",IF(TRUE,"ОТКРЫТО","ЗАКРЫТО"))</x:f>
        <x:v>ОТКРЫТО</x:v>
      </x:c>
      <x:c r="AZ20" t="str">
        <x:f t="shared" si="11">IF(AND(AK20&gt;=$E20,TRUE),"ИЗУЧЕНО",IF(TRUE,"ОТКРЫТО","ЗАКРЫТО"))</x:f>
        <x:v>ОТКРЫТО</x:v>
      </x:c>
      <x:c r="BA20" t="str">
        <x:f t="shared" si="12">IF(AND(AL20&gt;=$E20,TRUE),"ИЗУЧЕНО",IF(TRUE,"ОТКРЫТО","ЗАКРЫТО"))</x:f>
        <x:v>ОТКРЫТО</x:v>
      </x:c>
      <x:c r="BB20" t="str">
        <x:f t="shared" si="13">IF(AND(AM20&gt;=$E20,TRUE),"ИЗУЧЕНО",IF(TRUE,"ОТКРЫТО","ЗАКРЫТО"))</x:f>
        <x:v>ОТКРЫТО</x:v>
      </x:c>
      <x:c r="BC20" t="str">
        <x:f t="shared" si="14">IF(AND(AN20&gt;=$E20,TRUE),"ИЗУЧЕНО",IF(TRUE,"ОТКРЫТО","ЗАКРЫТО"))</x:f>
        <x:v>ОТКРЫТО</x:v>
      </x:c>
      <x:c r="BD20" t="str">
        <x:f t="shared" si="15">IF(AND(AO20&gt;=$E20,TRUE),"ИЗУЧЕНО",IF(TRUE,"ОТКРЫТО","ЗАКРЫТО"))</x:f>
        <x:v>ОТКРЫТО</x:v>
      </x:c>
      <x:c r="BE20" t="str">
        <x:f t="shared" si="16">IF(AND(AP20&gt;=$E20,TRUE),"ИЗУЧЕНО",IF(TRUE,"ОТКРЫТО","ЗАКРЫТО"))</x:f>
        <x:v>ОТКРЫТО</x:v>
      </x:c>
      <x:c r="BF20" t="str">
        <x:f t="shared" si="17">IF(AND(AQ20&gt;=$E20,TRUE),"ИЗУЧЕНО",IF(TRUE,"ОТКРЫТО","ЗАКРЫТО"))</x:f>
        <x:v>ОТКРЫТО</x:v>
      </x:c>
      <x:c r="BG20" t="str">
        <x:f t="shared" si="18">IFERROR(2025+MATCH("ИЗУЧЕНО",AR20:BF20,0),"")</x:f>
      </x:c>
      <x:c r="BH20" t="str">
        <x:f t="shared" si="19">IF(BG20="","",BG20+1)</x:f>
      </x:c>
    </x:row>
    <x:row r="21" ht="179.39999389648438">
      <x:c r="A21" s="3" t="s">
        <x:v>113</x:v>
      </x:c>
      <x:c r="B21" s="3" t="s">
        <x:v>97</x:v>
      </x:c>
      <x:c r="C21" s="3" t="s">
        <x:v>87</x:v>
      </x:c>
      <x:c r="D21" s="3" t="s">
        <x:v>114</x:v>
      </x:c>
      <x:c r="E21" s="3">
        <x:v>100</x:v>
      </x:c>
      <x:c r="F21" s="3" t="s">
        <x:v>109</x:v>
      </x:c>
      <x:c r="G21" s="3"/>
      <x:c r="H21" s="3"/>
      <x:c r="I21" s="3" t="s">
        <x:v>115</x:v>
      </x:c>
      <x:c r="J21" s="3" t="s">
        <x:v>116</x:v>
      </x:c>
      <x:c r="K21" s="4" t="n">
        <x:f>SUMIF('Ход 2026'!$G$29:$G$38,$A21,'Ход 2026'!$I$29:$I$38)*(1+'Эффекты технологий'!J$7+'Эффекты технологий'!J$8+'Эффекты технологий'!J$9)</x:f>
        <x:v>0</x:v>
      </x:c>
      <x:c r="L21" s="4" t="n">
        <x:f>SUMIF('Ход 2027'!$G$29:$G$38,$A21,'Ход 2027'!$I$29:$I$38)*(1+'Эффекты технологий'!K$7+'Эффекты технологий'!K$8+'Эффекты технологий'!K$9)</x:f>
        <x:v>0</x:v>
      </x:c>
      <x:c r="M21" s="4" t="n">
        <x:f>SUMIF('Ход 2028'!$G$29:$G$38,$A21,'Ход 2028'!$I$29:$I$38)*(1+'Эффекты технологий'!L$7+'Эффекты технологий'!L$8+'Эффекты технологий'!L$9)</x:f>
        <x:v>0</x:v>
      </x:c>
      <x:c r="N21" s="4" t="n">
        <x:f>SUMIF('Ход 2029'!$G$29:$G$38,$A21,'Ход 2029'!$I$29:$I$38)*(1+'Эффекты технологий'!M$7+'Эффекты технологий'!M$8+'Эффекты технологий'!M$9)</x:f>
        <x:v>0</x:v>
      </x:c>
      <x:c r="O21" s="4" t="n">
        <x:f>SUMIF('Ход 2030'!$G$29:$G$38,$A21,'Ход 2030'!$I$29:$I$38)*(1+'Эффекты технологий'!N$7+'Эффекты технологий'!N$8+'Эффекты технологий'!N$9)</x:f>
        <x:v>0</x:v>
      </x:c>
      <x:c r="P21" s="4" t="n">
        <x:f>SUMIF('Ход 2031'!$G$29:$G$38,$A21,'Ход 2031'!$I$29:$I$38)*(1+'Эффекты технологий'!O$7+'Эффекты технологий'!O$8+'Эффекты технологий'!O$9)</x:f>
        <x:v>0</x:v>
      </x:c>
      <x:c r="Q21" s="4" t="n">
        <x:f>SUMIF('Ход 2032'!$G$29:$G$38,$A21,'Ход 2032'!$I$29:$I$38)*(1+'Эффекты технологий'!P$7+'Эффекты технологий'!P$8+'Эффекты технологий'!P$9)</x:f>
        <x:v>0</x:v>
      </x:c>
      <x:c r="R21" s="4" t="n">
        <x:f>SUMIF('Ход 2033'!$G$29:$G$38,$A21,'Ход 2033'!$I$29:$I$38)*(1+'Эффекты технологий'!Q$7+'Эффекты технологий'!Q$8+'Эффекты технологий'!Q$9)</x:f>
        <x:v>0</x:v>
      </x:c>
      <x:c r="S21" s="4" t="n">
        <x:f>SUMIF('Ход 2034'!$G$29:$G$38,$A21,'Ход 2034'!$I$29:$I$38)*(1+'Эффекты технологий'!R$7+'Эффекты технологий'!R$8+'Эффекты технологий'!R$9)</x:f>
        <x:v>0</x:v>
      </x:c>
      <x:c r="T21" s="4" t="n">
        <x:f>SUMIF('Ход 2035'!$G$29:$G$38,$A21,'Ход 2035'!$I$29:$I$38)*(1+'Эффекты технологий'!S$7+'Эффекты технологий'!S$8+'Эффекты технологий'!S$9)</x:f>
        <x:v>0</x:v>
      </x:c>
      <x:c r="U21" s="4" t="n">
        <x:f>SUMIF('Ход 2036'!$G$29:$G$38,$A21,'Ход 2036'!$I$29:$I$38)*(1+'Эффекты технологий'!T$7+'Эффекты технологий'!T$8+'Эффекты технологий'!T$9)</x:f>
        <x:v>0</x:v>
      </x:c>
      <x:c r="V21" s="4" t="n">
        <x:f>SUMIF('Ход 2037'!$G$29:$G$38,$A21,'Ход 2037'!$I$29:$I$38)*(1+'Эффекты технологий'!U$7+'Эффекты технологий'!U$8+'Эффекты технологий'!U$9)</x:f>
        <x:v>0</x:v>
      </x:c>
      <x:c r="W21" s="4" t="n">
        <x:f>SUMIF('Ход 2038'!$G$29:$G$38,$A21,'Ход 2038'!$I$29:$I$38)*(1+'Эффекты технологий'!V$7+'Эффекты технологий'!V$8+'Эффекты технологий'!V$9)</x:f>
        <x:v>0</x:v>
      </x:c>
      <x:c r="X21" s="4" t="n">
        <x:f>SUMIF('Ход 2039'!$G$29:$G$38,$A21,'Ход 2039'!$I$29:$I$38)*(1+'Эффекты технологий'!W$7+'Эффекты технологий'!W$8+'Эффекты технологий'!W$9)</x:f>
        <x:v>0</x:v>
      </x:c>
      <x:c r="Y21" s="4" t="n">
        <x:f>SUMIF('Ход 2040'!$G$29:$G$38,$A21,'Ход 2040'!$I$29:$I$38)*(1+'Эффекты технологий'!X$7+'Эффекты технологий'!X$8+'Эффекты технологий'!X$9)</x:f>
        <x:v>0</x:v>
      </x:c>
      <x:c r="Z21" s="5" t="n">
        <x:f t="shared" si="0">SUM(K21:Y21)</x:f>
        <x:v>0</x:v>
      </x:c>
      <x:c r="AA21" s="5" t="n">
        <x:f t="shared" si="1">MAX(0,E21-Z21)</x:f>
        <x:v>100</x:v>
      </x:c>
      <x:c r="AB21" s="3" t="str">
        <x:f t="shared" si="2">BF21</x:f>
        <x:v>ОТКРЫТО</x:v>
      </x:c>
      <x:c r="AC21" t="n">
        <x:f>SUM($K21:K21)</x:f>
        <x:v>0</x:v>
      </x:c>
      <x:c r="AD21" t="n">
        <x:f>SUM($K21:L21)</x:f>
        <x:v>0</x:v>
      </x:c>
      <x:c r="AE21" t="n">
        <x:f>SUM($K21:M21)</x:f>
        <x:v>0</x:v>
      </x:c>
      <x:c r="AF21" t="n">
        <x:f>SUM($K21:N21)</x:f>
        <x:v>0</x:v>
      </x:c>
      <x:c r="AG21" t="n">
        <x:f>SUM($K21:O21)</x:f>
        <x:v>0</x:v>
      </x:c>
      <x:c r="AH21" t="n">
        <x:f>SUM($K21:P21)</x:f>
        <x:v>0</x:v>
      </x:c>
      <x:c r="AI21" t="n">
        <x:f>SUM($K21:Q21)</x:f>
        <x:v>0</x:v>
      </x:c>
      <x:c r="AJ21" t="n">
        <x:f>SUM($K21:R21)</x:f>
        <x:v>0</x:v>
      </x:c>
      <x:c r="AK21" t="n">
        <x:f>SUM($K21:S21)</x:f>
        <x:v>0</x:v>
      </x:c>
      <x:c r="AL21" t="n">
        <x:f>SUM($K21:T21)</x:f>
        <x:v>0</x:v>
      </x:c>
      <x:c r="AM21" t="n">
        <x:f>SUM($K21:U21)</x:f>
        <x:v>0</x:v>
      </x:c>
      <x:c r="AN21" t="n">
        <x:f>SUM($K21:V21)</x:f>
        <x:v>0</x:v>
      </x:c>
      <x:c r="AO21" t="n">
        <x:f>SUM($K21:W21)</x:f>
        <x:v>0</x:v>
      </x:c>
      <x:c r="AP21" t="n">
        <x:f>SUM($K21:X21)</x:f>
        <x:v>0</x:v>
      </x:c>
      <x:c r="AQ21" t="n">
        <x:f>SUM($K21:Y21)</x:f>
        <x:v>0</x:v>
      </x:c>
      <x:c r="AR21" t="str">
        <x:f t="shared" si="3">IF(AND(AC21&gt;=$E21,TRUE),"ИЗУЧЕНО",IF(TRUE,"ОТКРЫТО","ЗАКРЫТО"))</x:f>
        <x:v>ОТКРЫТО</x:v>
      </x:c>
      <x:c r="AS21" t="str">
        <x:f t="shared" si="4">IF(AND(AD21&gt;=$E21,TRUE),"ИЗУЧЕНО",IF(TRUE,"ОТКРЫТО","ЗАКРЫТО"))</x:f>
        <x:v>ОТКРЫТО</x:v>
      </x:c>
      <x:c r="AT21" t="str">
        <x:f t="shared" si="5">IF(AND(AE21&gt;=$E21,TRUE),"ИЗУЧЕНО",IF(TRUE,"ОТКРЫТО","ЗАКРЫТО"))</x:f>
        <x:v>ОТКРЫТО</x:v>
      </x:c>
      <x:c r="AU21" t="str">
        <x:f t="shared" si="6">IF(AND(AF21&gt;=$E21,TRUE),"ИЗУЧЕНО",IF(TRUE,"ОТКРЫТО","ЗАКРЫТО"))</x:f>
        <x:v>ОТКРЫТО</x:v>
      </x:c>
      <x:c r="AV21" t="str">
        <x:f t="shared" si="7">IF(AND(AG21&gt;=$E21,TRUE),"ИЗУЧЕНО",IF(TRUE,"ОТКРЫТО","ЗАКРЫТО"))</x:f>
        <x:v>ОТКРЫТО</x:v>
      </x:c>
      <x:c r="AW21" t="str">
        <x:f t="shared" si="8">IF(AND(AH21&gt;=$E21,TRUE),"ИЗУЧЕНО",IF(TRUE,"ОТКРЫТО","ЗАКРЫТО"))</x:f>
        <x:v>ОТКРЫТО</x:v>
      </x:c>
      <x:c r="AX21" t="str">
        <x:f t="shared" si="9">IF(AND(AI21&gt;=$E21,TRUE),"ИЗУЧЕНО",IF(TRUE,"ОТКРЫТО","ЗАКРЫТО"))</x:f>
        <x:v>ОТКРЫТО</x:v>
      </x:c>
      <x:c r="AY21" t="str">
        <x:f t="shared" si="10">IF(AND(AJ21&gt;=$E21,TRUE),"ИЗУЧЕНО",IF(TRUE,"ОТКРЫТО","ЗАКРЫТО"))</x:f>
        <x:v>ОТКРЫТО</x:v>
      </x:c>
      <x:c r="AZ21" t="str">
        <x:f t="shared" si="11">IF(AND(AK21&gt;=$E21,TRUE),"ИЗУЧЕНО",IF(TRUE,"ОТКРЫТО","ЗАКРЫТО"))</x:f>
        <x:v>ОТКРЫТО</x:v>
      </x:c>
      <x:c r="BA21" t="str">
        <x:f t="shared" si="12">IF(AND(AL21&gt;=$E21,TRUE),"ИЗУЧЕНО",IF(TRUE,"ОТКРЫТО","ЗАКРЫТО"))</x:f>
        <x:v>ОТКРЫТО</x:v>
      </x:c>
      <x:c r="BB21" t="str">
        <x:f t="shared" si="13">IF(AND(AM21&gt;=$E21,TRUE),"ИЗУЧЕНО",IF(TRUE,"ОТКРЫТО","ЗАКРЫТО"))</x:f>
        <x:v>ОТКРЫТО</x:v>
      </x:c>
      <x:c r="BC21" t="str">
        <x:f t="shared" si="14">IF(AND(AN21&gt;=$E21,TRUE),"ИЗУЧЕНО",IF(TRUE,"ОТКРЫТО","ЗАКРЫТО"))</x:f>
        <x:v>ОТКРЫТО</x:v>
      </x:c>
      <x:c r="BD21" t="str">
        <x:f t="shared" si="15">IF(AND(AO21&gt;=$E21,TRUE),"ИЗУЧЕНО",IF(TRUE,"ОТКРЫТО","ЗАКРЫТО"))</x:f>
        <x:v>ОТКРЫТО</x:v>
      </x:c>
      <x:c r="BE21" t="str">
        <x:f t="shared" si="16">IF(AND(AP21&gt;=$E21,TRUE),"ИЗУЧЕНО",IF(TRUE,"ОТКРЫТО","ЗАКРЫТО"))</x:f>
        <x:v>ОТКРЫТО</x:v>
      </x:c>
      <x:c r="BF21" t="str">
        <x:f t="shared" si="17">IF(AND(AQ21&gt;=$E21,TRUE),"ИЗУЧЕНО",IF(TRUE,"ОТКРЫТО","ЗАКРЫТО"))</x:f>
        <x:v>ОТКРЫТО</x:v>
      </x:c>
      <x:c r="BG21" t="str">
        <x:f t="shared" si="18">IFERROR(2025+MATCH("ИЗУЧЕНО",AR21:BF21,0),"")</x:f>
      </x:c>
      <x:c r="BH21" t="str">
        <x:f t="shared" si="19">IF(BG21="","",BG21+1)</x:f>
      </x:c>
    </x:row>
    <x:row r="22" ht="179.39999389648438">
      <x:c r="A22" s="3" t="s">
        <x:v>117</x:v>
      </x:c>
      <x:c r="B22" s="3" t="s">
        <x:v>97</x:v>
      </x:c>
      <x:c r="C22" s="3" t="s">
        <x:v>92</x:v>
      </x:c>
      <x:c r="D22" s="3" t="s">
        <x:v>118</x:v>
      </x:c>
      <x:c r="E22" s="3">
        <x:v>155</x:v>
      </x:c>
      <x:c r="F22" s="3" t="s">
        <x:v>113</x:v>
      </x:c>
      <x:c r="G22" s="3"/>
      <x:c r="H22" s="3"/>
      <x:c r="I22" s="3" t="s">
        <x:v>119</x:v>
      </x:c>
      <x:c r="J22" s="3" t="s">
        <x:v>120</x:v>
      </x:c>
      <x:c r="K22" s="4" t="n">
        <x:f>SUMIF('Ход 2026'!$G$29:$G$38,$A22,'Ход 2026'!$I$29:$I$38)*(1+'Эффекты технологий'!J$7+'Эффекты технологий'!J$8+'Эффекты технологий'!J$9)</x:f>
        <x:v>0</x:v>
      </x:c>
      <x:c r="L22" s="4" t="n">
        <x:f>SUMIF('Ход 2027'!$G$29:$G$38,$A22,'Ход 2027'!$I$29:$I$38)*(1+'Эффекты технологий'!K$7+'Эффекты технологий'!K$8+'Эффекты технологий'!K$9)</x:f>
        <x:v>0</x:v>
      </x:c>
      <x:c r="M22" s="4" t="n">
        <x:f>SUMIF('Ход 2028'!$G$29:$G$38,$A22,'Ход 2028'!$I$29:$I$38)*(1+'Эффекты технологий'!L$7+'Эффекты технологий'!L$8+'Эффекты технологий'!L$9)</x:f>
        <x:v>0</x:v>
      </x:c>
      <x:c r="N22" s="4" t="n">
        <x:f>SUMIF('Ход 2029'!$G$29:$G$38,$A22,'Ход 2029'!$I$29:$I$38)*(1+'Эффекты технологий'!M$7+'Эффекты технологий'!M$8+'Эффекты технологий'!M$9)</x:f>
        <x:v>0</x:v>
      </x:c>
      <x:c r="O22" s="4" t="n">
        <x:f>SUMIF('Ход 2030'!$G$29:$G$38,$A22,'Ход 2030'!$I$29:$I$38)*(1+'Эффекты технологий'!N$7+'Эффекты технологий'!N$8+'Эффекты технологий'!N$9)</x:f>
        <x:v>0</x:v>
      </x:c>
      <x:c r="P22" s="4" t="n">
        <x:f>SUMIF('Ход 2031'!$G$29:$G$38,$A22,'Ход 2031'!$I$29:$I$38)*(1+'Эффекты технологий'!O$7+'Эффекты технологий'!O$8+'Эффекты технологий'!O$9)</x:f>
        <x:v>0</x:v>
      </x:c>
      <x:c r="Q22" s="4" t="n">
        <x:f>SUMIF('Ход 2032'!$G$29:$G$38,$A22,'Ход 2032'!$I$29:$I$38)*(1+'Эффекты технологий'!P$7+'Эффекты технологий'!P$8+'Эффекты технологий'!P$9)</x:f>
        <x:v>0</x:v>
      </x:c>
      <x:c r="R22" s="4" t="n">
        <x:f>SUMIF('Ход 2033'!$G$29:$G$38,$A22,'Ход 2033'!$I$29:$I$38)*(1+'Эффекты технологий'!Q$7+'Эффекты технологий'!Q$8+'Эффекты технологий'!Q$9)</x:f>
        <x:v>0</x:v>
      </x:c>
      <x:c r="S22" s="4" t="n">
        <x:f>SUMIF('Ход 2034'!$G$29:$G$38,$A22,'Ход 2034'!$I$29:$I$38)*(1+'Эффекты технологий'!R$7+'Эффекты технологий'!R$8+'Эффекты технологий'!R$9)</x:f>
        <x:v>0</x:v>
      </x:c>
      <x:c r="T22" s="4" t="n">
        <x:f>SUMIF('Ход 2035'!$G$29:$G$38,$A22,'Ход 2035'!$I$29:$I$38)*(1+'Эффекты технологий'!S$7+'Эффекты технологий'!S$8+'Эффекты технологий'!S$9)</x:f>
        <x:v>0</x:v>
      </x:c>
      <x:c r="U22" s="4" t="n">
        <x:f>SUMIF('Ход 2036'!$G$29:$G$38,$A22,'Ход 2036'!$I$29:$I$38)*(1+'Эффекты технологий'!T$7+'Эффекты технологий'!T$8+'Эффекты технологий'!T$9)</x:f>
        <x:v>0</x:v>
      </x:c>
      <x:c r="V22" s="4" t="n">
        <x:f>SUMIF('Ход 2037'!$G$29:$G$38,$A22,'Ход 2037'!$I$29:$I$38)*(1+'Эффекты технологий'!U$7+'Эффекты технологий'!U$8+'Эффекты технологий'!U$9)</x:f>
        <x:v>0</x:v>
      </x:c>
      <x:c r="W22" s="4" t="n">
        <x:f>SUMIF('Ход 2038'!$G$29:$G$38,$A22,'Ход 2038'!$I$29:$I$38)*(1+'Эффекты технологий'!V$7+'Эффекты технологий'!V$8+'Эффекты технологий'!V$9)</x:f>
        <x:v>0</x:v>
      </x:c>
      <x:c r="X22" s="4" t="n">
        <x:f>SUMIF('Ход 2039'!$G$29:$G$38,$A22,'Ход 2039'!$I$29:$I$38)*(1+'Эффекты технологий'!W$7+'Эффекты технологий'!W$8+'Эффекты технологий'!W$9)</x:f>
        <x:v>0</x:v>
      </x:c>
      <x:c r="Y22" s="4" t="n">
        <x:f>SUMIF('Ход 2040'!$G$29:$G$38,$A22,'Ход 2040'!$I$29:$I$38)*(1+'Эффекты технологий'!X$7+'Эффекты технологий'!X$8+'Эффекты технологий'!X$9)</x:f>
        <x:v>0</x:v>
      </x:c>
      <x:c r="Z22" s="5" t="n">
        <x:f t="shared" si="0">SUM(K22:Y22)</x:f>
        <x:v>0</x:v>
      </x:c>
      <x:c r="AA22" s="5" t="n">
        <x:f t="shared" si="1">MAX(0,E22-Z22)</x:f>
        <x:v>155</x:v>
      </x:c>
      <x:c r="AB22" s="3" t="str">
        <x:f t="shared" si="2">BF22</x:f>
        <x:v>ОТКРЫТО</x:v>
      </x:c>
      <x:c r="AC22" t="n">
        <x:f>SUM($K22:K22)</x:f>
        <x:v>0</x:v>
      </x:c>
      <x:c r="AD22" t="n">
        <x:f>SUM($K22:L22)</x:f>
        <x:v>0</x:v>
      </x:c>
      <x:c r="AE22" t="n">
        <x:f>SUM($K22:M22)</x:f>
        <x:v>0</x:v>
      </x:c>
      <x:c r="AF22" t="n">
        <x:f>SUM($K22:N22)</x:f>
        <x:v>0</x:v>
      </x:c>
      <x:c r="AG22" t="n">
        <x:f>SUM($K22:O22)</x:f>
        <x:v>0</x:v>
      </x:c>
      <x:c r="AH22" t="n">
        <x:f>SUM($K22:P22)</x:f>
        <x:v>0</x:v>
      </x:c>
      <x:c r="AI22" t="n">
        <x:f>SUM($K22:Q22)</x:f>
        <x:v>0</x:v>
      </x:c>
      <x:c r="AJ22" t="n">
        <x:f>SUM($K22:R22)</x:f>
        <x:v>0</x:v>
      </x:c>
      <x:c r="AK22" t="n">
        <x:f>SUM($K22:S22)</x:f>
        <x:v>0</x:v>
      </x:c>
      <x:c r="AL22" t="n">
        <x:f>SUM($K22:T22)</x:f>
        <x:v>0</x:v>
      </x:c>
      <x:c r="AM22" t="n">
        <x:f>SUM($K22:U22)</x:f>
        <x:v>0</x:v>
      </x:c>
      <x:c r="AN22" t="n">
        <x:f>SUM($K22:V22)</x:f>
        <x:v>0</x:v>
      </x:c>
      <x:c r="AO22" t="n">
        <x:f>SUM($K22:W22)</x:f>
        <x:v>0</x:v>
      </x:c>
      <x:c r="AP22" t="n">
        <x:f>SUM($K22:X22)</x:f>
        <x:v>0</x:v>
      </x:c>
      <x:c r="AQ22" t="n">
        <x:f>SUM($K22:Y22)</x:f>
        <x:v>0</x:v>
      </x:c>
      <x:c r="AR22" t="str">
        <x:f t="shared" si="3">IF(AND(AC22&gt;=$E22,TRUE),"ИЗУЧЕНО",IF(TRUE,"ОТКРЫТО","ЗАКРЫТО"))</x:f>
        <x:v>ОТКРЫТО</x:v>
      </x:c>
      <x:c r="AS22" t="str">
        <x:f t="shared" si="4">IF(AND(AD22&gt;=$E22,TRUE),"ИЗУЧЕНО",IF(TRUE,"ОТКРЫТО","ЗАКРЫТО"))</x:f>
        <x:v>ОТКРЫТО</x:v>
      </x:c>
      <x:c r="AT22" t="str">
        <x:f t="shared" si="5">IF(AND(AE22&gt;=$E22,TRUE),"ИЗУЧЕНО",IF(TRUE,"ОТКРЫТО","ЗАКРЫТО"))</x:f>
        <x:v>ОТКРЫТО</x:v>
      </x:c>
      <x:c r="AU22" t="str">
        <x:f t="shared" si="6">IF(AND(AF22&gt;=$E22,TRUE),"ИЗУЧЕНО",IF(TRUE,"ОТКРЫТО","ЗАКРЫТО"))</x:f>
        <x:v>ОТКРЫТО</x:v>
      </x:c>
      <x:c r="AV22" t="str">
        <x:f t="shared" si="7">IF(AND(AG22&gt;=$E22,TRUE),"ИЗУЧЕНО",IF(TRUE,"ОТКРЫТО","ЗАКРЫТО"))</x:f>
        <x:v>ОТКРЫТО</x:v>
      </x:c>
      <x:c r="AW22" t="str">
        <x:f t="shared" si="8">IF(AND(AH22&gt;=$E22,TRUE),"ИЗУЧЕНО",IF(TRUE,"ОТКРЫТО","ЗАКРЫТО"))</x:f>
        <x:v>ОТКРЫТО</x:v>
      </x:c>
      <x:c r="AX22" t="str">
        <x:f t="shared" si="9">IF(AND(AI22&gt;=$E22,TRUE),"ИЗУЧЕНО",IF(TRUE,"ОТКРЫТО","ЗАКРЫТО"))</x:f>
        <x:v>ОТКРЫТО</x:v>
      </x:c>
      <x:c r="AY22" t="str">
        <x:f t="shared" si="10">IF(AND(AJ22&gt;=$E22,TRUE),"ИЗУЧЕНО",IF(TRUE,"ОТКРЫТО","ЗАКРЫТО"))</x:f>
        <x:v>ОТКРЫТО</x:v>
      </x:c>
      <x:c r="AZ22" t="str">
        <x:f t="shared" si="11">IF(AND(AK22&gt;=$E22,TRUE),"ИЗУЧЕНО",IF(TRUE,"ОТКРЫТО","ЗАКРЫТО"))</x:f>
        <x:v>ОТКРЫТО</x:v>
      </x:c>
      <x:c r="BA22" t="str">
        <x:f t="shared" si="12">IF(AND(AL22&gt;=$E22,TRUE),"ИЗУЧЕНО",IF(TRUE,"ОТКРЫТО","ЗАКРЫТО"))</x:f>
        <x:v>ОТКРЫТО</x:v>
      </x:c>
      <x:c r="BB22" t="str">
        <x:f t="shared" si="13">IF(AND(AM22&gt;=$E22,TRUE),"ИЗУЧЕНО",IF(TRUE,"ОТКРЫТО","ЗАКРЫТО"))</x:f>
        <x:v>ОТКРЫТО</x:v>
      </x:c>
      <x:c r="BC22" t="str">
        <x:f t="shared" si="14">IF(AND(AN22&gt;=$E22,TRUE),"ИЗУЧЕНО",IF(TRUE,"ОТКРЫТО","ЗАКРЫТО"))</x:f>
        <x:v>ОТКРЫТО</x:v>
      </x:c>
      <x:c r="BD22" t="str">
        <x:f t="shared" si="15">IF(AND(AO22&gt;=$E22,TRUE),"ИЗУЧЕНО",IF(TRUE,"ОТКРЫТО","ЗАКРЫТО"))</x:f>
        <x:v>ОТКРЫТО</x:v>
      </x:c>
      <x:c r="BE22" t="str">
        <x:f t="shared" si="16">IF(AND(AP22&gt;=$E22,TRUE),"ИЗУЧЕНО",IF(TRUE,"ОТКРЫТО","ЗАКРЫТО"))</x:f>
        <x:v>ОТКРЫТО</x:v>
      </x:c>
      <x:c r="BF22" t="str">
        <x:f t="shared" si="17">IF(AND(AQ22&gt;=$E22,TRUE),"ИЗУЧЕНО",IF(TRUE,"ОТКРЫТО","ЗАКРЫТО"))</x:f>
        <x:v>ОТКРЫТО</x:v>
      </x:c>
      <x:c r="BG22" t="str">
        <x:f t="shared" si="18">IFERROR(2025+MATCH("ИЗУЧЕНО",AR22:BF22,0),"")</x:f>
      </x:c>
      <x:c r="BH22" t="str">
        <x:f t="shared" si="19">IF(BG22="","",BG22+1)</x:f>
      </x:c>
    </x:row>
    <x:row r="23" ht="179.39999389648438">
      <x:c r="A23" s="3" t="s">
        <x:v>121</x:v>
      </x:c>
      <x:c r="B23" s="3" t="s">
        <x:v>122</x:v>
      </x:c>
      <x:c r="C23" s="3" t="s">
        <x:v>68</x:v>
      </x:c>
      <x:c r="D23" s="3" t="s">
        <x:v>123</x:v>
      </x:c>
      <x:c r="E23" s="3">
        <x:v>20</x:v>
      </x:c>
      <x:c r="F23" s="3"/>
      <x:c r="G23" s="3"/>
      <x:c r="H23" s="3"/>
      <x:c r="I23" s="3" t="s">
        <x:v>124</x:v>
      </x:c>
      <x:c r="J23" s="3" t="s">
        <x:v>125</x:v>
      </x:c>
      <x:c r="K23" s="4" t="n">
        <x:f>SUMIF('Ход 2026'!$G$29:$G$38,$A23,'Ход 2026'!$I$29:$I$38)*(1+'Эффекты технологий'!J$7)</x:f>
        <x:v>0</x:v>
      </x:c>
      <x:c r="L23" s="4" t="n">
        <x:f>SUMIF('Ход 2027'!$G$29:$G$38,$A23,'Ход 2027'!$I$29:$I$38)*(1+'Эффекты технологий'!K$7)</x:f>
        <x:v>0</x:v>
      </x:c>
      <x:c r="M23" s="4" t="n">
        <x:f>SUMIF('Ход 2028'!$G$29:$G$38,$A23,'Ход 2028'!$I$29:$I$38)*(1+'Эффекты технологий'!L$7)</x:f>
        <x:v>0</x:v>
      </x:c>
      <x:c r="N23" s="4" t="n">
        <x:f>SUMIF('Ход 2029'!$G$29:$G$38,$A23,'Ход 2029'!$I$29:$I$38)*(1+'Эффекты технологий'!M$7)</x:f>
        <x:v>0</x:v>
      </x:c>
      <x:c r="O23" s="4" t="n">
        <x:f>SUMIF('Ход 2030'!$G$29:$G$38,$A23,'Ход 2030'!$I$29:$I$38)*(1+'Эффекты технологий'!N$7)</x:f>
        <x:v>0</x:v>
      </x:c>
      <x:c r="P23" s="4" t="n">
        <x:f>SUMIF('Ход 2031'!$G$29:$G$38,$A23,'Ход 2031'!$I$29:$I$38)*(1+'Эффекты технологий'!O$7)</x:f>
        <x:v>0</x:v>
      </x:c>
      <x:c r="Q23" s="4" t="n">
        <x:f>SUMIF('Ход 2032'!$G$29:$G$38,$A23,'Ход 2032'!$I$29:$I$38)*(1+'Эффекты технологий'!P$7)</x:f>
        <x:v>0</x:v>
      </x:c>
      <x:c r="R23" s="4" t="n">
        <x:f>SUMIF('Ход 2033'!$G$29:$G$38,$A23,'Ход 2033'!$I$29:$I$38)*(1+'Эффекты технологий'!Q$7)</x:f>
        <x:v>0</x:v>
      </x:c>
      <x:c r="S23" s="4" t="n">
        <x:f>SUMIF('Ход 2034'!$G$29:$G$38,$A23,'Ход 2034'!$I$29:$I$38)*(1+'Эффекты технологий'!R$7)</x:f>
        <x:v>0</x:v>
      </x:c>
      <x:c r="T23" s="4" t="n">
        <x:f>SUMIF('Ход 2035'!$G$29:$G$38,$A23,'Ход 2035'!$I$29:$I$38)*(1+'Эффекты технологий'!S$7)</x:f>
        <x:v>0</x:v>
      </x:c>
      <x:c r="U23" s="4" t="n">
        <x:f>SUMIF('Ход 2036'!$G$29:$G$38,$A23,'Ход 2036'!$I$29:$I$38)*(1+'Эффекты технологий'!T$7)</x:f>
        <x:v>0</x:v>
      </x:c>
      <x:c r="V23" s="4" t="n">
        <x:f>SUMIF('Ход 2037'!$G$29:$G$38,$A23,'Ход 2037'!$I$29:$I$38)*(1+'Эффекты технологий'!U$7)</x:f>
        <x:v>0</x:v>
      </x:c>
      <x:c r="W23" s="4" t="n">
        <x:f>SUMIF('Ход 2038'!$G$29:$G$38,$A23,'Ход 2038'!$I$29:$I$38)*(1+'Эффекты технологий'!V$7)</x:f>
        <x:v>0</x:v>
      </x:c>
      <x:c r="X23" s="4" t="n">
        <x:f>SUMIF('Ход 2039'!$G$29:$G$38,$A23,'Ход 2039'!$I$29:$I$38)*(1+'Эффекты технологий'!W$7)</x:f>
        <x:v>0</x:v>
      </x:c>
      <x:c r="Y23" s="4" t="n">
        <x:f>SUMIF('Ход 2040'!$G$29:$G$38,$A23,'Ход 2040'!$I$29:$I$38)*(1+'Эффекты технологий'!X$7)</x:f>
        <x:v>0</x:v>
      </x:c>
      <x:c r="Z23" s="5" t="n">
        <x:f t="shared" si="0">SUM(K23:Y23)</x:f>
        <x:v>0</x:v>
      </x:c>
      <x:c r="AA23" s="5" t="n">
        <x:f t="shared" si="1">MAX(0,E23-Z23)</x:f>
        <x:v>20</x:v>
      </x:c>
      <x:c r="AB23" s="3" t="str">
        <x:f t="shared" si="2">BF23</x:f>
        <x:v>ОТКРЫТО</x:v>
      </x:c>
      <x:c r="AC23" t="n">
        <x:f>SUM($K23:K23)</x:f>
        <x:v>0</x:v>
      </x:c>
      <x:c r="AD23" t="n">
        <x:f>SUM($K23:L23)</x:f>
        <x:v>0</x:v>
      </x:c>
      <x:c r="AE23" t="n">
        <x:f>SUM($K23:M23)</x:f>
        <x:v>0</x:v>
      </x:c>
      <x:c r="AF23" t="n">
        <x:f>SUM($K23:N23)</x:f>
        <x:v>0</x:v>
      </x:c>
      <x:c r="AG23" t="n">
        <x:f>SUM($K23:O23)</x:f>
        <x:v>0</x:v>
      </x:c>
      <x:c r="AH23" t="n">
        <x:f>SUM($K23:P23)</x:f>
        <x:v>0</x:v>
      </x:c>
      <x:c r="AI23" t="n">
        <x:f>SUM($K23:Q23)</x:f>
        <x:v>0</x:v>
      </x:c>
      <x:c r="AJ23" t="n">
        <x:f>SUM($K23:R23)</x:f>
        <x:v>0</x:v>
      </x:c>
      <x:c r="AK23" t="n">
        <x:f>SUM($K23:S23)</x:f>
        <x:v>0</x:v>
      </x:c>
      <x:c r="AL23" t="n">
        <x:f>SUM($K23:T23)</x:f>
        <x:v>0</x:v>
      </x:c>
      <x:c r="AM23" t="n">
        <x:f>SUM($K23:U23)</x:f>
        <x:v>0</x:v>
      </x:c>
      <x:c r="AN23" t="n">
        <x:f>SUM($K23:V23)</x:f>
        <x:v>0</x:v>
      </x:c>
      <x:c r="AO23" t="n">
        <x:f>SUM($K23:W23)</x:f>
        <x:v>0</x:v>
      </x:c>
      <x:c r="AP23" t="n">
        <x:f>SUM($K23:X23)</x:f>
        <x:v>0</x:v>
      </x:c>
      <x:c r="AQ23" t="n">
        <x:f>SUM($K23:Y23)</x:f>
        <x:v>0</x:v>
      </x:c>
      <x:c r="AR23" t="str">
        <x:f t="shared" si="3">IF(AND(AC23&gt;=$E23,TRUE),"ИЗУЧЕНО",IF(TRUE,"ОТКРЫТО","ЗАКРЫТО"))</x:f>
        <x:v>ОТКРЫТО</x:v>
      </x:c>
      <x:c r="AS23" t="str">
        <x:f t="shared" si="4">IF(AND(AD23&gt;=$E23,TRUE),"ИЗУЧЕНО",IF(TRUE,"ОТКРЫТО","ЗАКРЫТО"))</x:f>
        <x:v>ОТКРЫТО</x:v>
      </x:c>
      <x:c r="AT23" t="str">
        <x:f t="shared" si="5">IF(AND(AE23&gt;=$E23,TRUE),"ИЗУЧЕНО",IF(TRUE,"ОТКРЫТО","ЗАКРЫТО"))</x:f>
        <x:v>ОТКРЫТО</x:v>
      </x:c>
      <x:c r="AU23" t="str">
        <x:f t="shared" si="6">IF(AND(AF23&gt;=$E23,TRUE),"ИЗУЧЕНО",IF(TRUE,"ОТКРЫТО","ЗАКРЫТО"))</x:f>
        <x:v>ОТКРЫТО</x:v>
      </x:c>
      <x:c r="AV23" t="str">
        <x:f t="shared" si="7">IF(AND(AG23&gt;=$E23,TRUE),"ИЗУЧЕНО",IF(TRUE,"ОТКРЫТО","ЗАКРЫТО"))</x:f>
        <x:v>ОТКРЫТО</x:v>
      </x:c>
      <x:c r="AW23" t="str">
        <x:f t="shared" si="8">IF(AND(AH23&gt;=$E23,TRUE),"ИЗУЧЕНО",IF(TRUE,"ОТКРЫТО","ЗАКРЫТО"))</x:f>
        <x:v>ОТКРЫТО</x:v>
      </x:c>
      <x:c r="AX23" t="str">
        <x:f t="shared" si="9">IF(AND(AI23&gt;=$E23,TRUE),"ИЗУЧЕНО",IF(TRUE,"ОТКРЫТО","ЗАКРЫТО"))</x:f>
        <x:v>ОТКРЫТО</x:v>
      </x:c>
      <x:c r="AY23" t="str">
        <x:f t="shared" si="10">IF(AND(AJ23&gt;=$E23,TRUE),"ИЗУЧЕНО",IF(TRUE,"ОТКРЫТО","ЗАКРЫТО"))</x:f>
        <x:v>ОТКРЫТО</x:v>
      </x:c>
      <x:c r="AZ23" t="str">
        <x:f t="shared" si="11">IF(AND(AK23&gt;=$E23,TRUE),"ИЗУЧЕНО",IF(TRUE,"ОТКРЫТО","ЗАКРЫТО"))</x:f>
        <x:v>ОТКРЫТО</x:v>
      </x:c>
      <x:c r="BA23" t="str">
        <x:f t="shared" si="12">IF(AND(AL23&gt;=$E23,TRUE),"ИЗУЧЕНО",IF(TRUE,"ОТКРЫТО","ЗАКРЫТО"))</x:f>
        <x:v>ОТКРЫТО</x:v>
      </x:c>
      <x:c r="BB23" t="str">
        <x:f t="shared" si="13">IF(AND(AM23&gt;=$E23,TRUE),"ИЗУЧЕНО",IF(TRUE,"ОТКРЫТО","ЗАКРЫТО"))</x:f>
        <x:v>ОТКРЫТО</x:v>
      </x:c>
      <x:c r="BC23" t="str">
        <x:f t="shared" si="14">IF(AND(AN23&gt;=$E23,TRUE),"ИЗУЧЕНО",IF(TRUE,"ОТКРЫТО","ЗАКРЫТО"))</x:f>
        <x:v>ОТКРЫТО</x:v>
      </x:c>
      <x:c r="BD23" t="str">
        <x:f t="shared" si="15">IF(AND(AO23&gt;=$E23,TRUE),"ИЗУЧЕНО",IF(TRUE,"ОТКРЫТО","ЗАКРЫТО"))</x:f>
        <x:v>ОТКРЫТО</x:v>
      </x:c>
      <x:c r="BE23" t="str">
        <x:f t="shared" si="16">IF(AND(AP23&gt;=$E23,TRUE),"ИЗУЧЕНО",IF(TRUE,"ОТКРЫТО","ЗАКРЫТО"))</x:f>
        <x:v>ОТКРЫТО</x:v>
      </x:c>
      <x:c r="BF23" t="str">
        <x:f t="shared" si="17">IF(AND(AQ23&gt;=$E23,TRUE),"ИЗУЧЕНО",IF(TRUE,"ОТКРЫТО","ЗАКРЫТО"))</x:f>
        <x:v>ОТКРЫТО</x:v>
      </x:c>
      <x:c r="BG23" t="str">
        <x:f t="shared" si="18">IFERROR(2025+MATCH("ИЗУЧЕНО",AR23:BF23,0),"")</x:f>
      </x:c>
      <x:c r="BH23" t="str">
        <x:f t="shared" si="19">IF(BG23="","",BG23+1)</x:f>
      </x:c>
    </x:row>
    <x:row r="24" ht="165.60000610351562">
      <x:c r="A24" s="3" t="s">
        <x:v>126</x:v>
      </x:c>
      <x:c r="B24" s="3" t="s">
        <x:v>122</x:v>
      </x:c>
      <x:c r="C24" s="3" t="s">
        <x:v>73</x:v>
      </x:c>
      <x:c r="D24" s="3" t="s">
        <x:v>127</x:v>
      </x:c>
      <x:c r="E24" s="3">
        <x:v>35</x:v>
      </x:c>
      <x:c r="F24" s="3" t="s">
        <x:v>121</x:v>
      </x:c>
      <x:c r="G24" s="3"/>
      <x:c r="H24" s="3"/>
      <x:c r="I24" s="3" t="s">
        <x:v>128</x:v>
      </x:c>
      <x:c r="J24" s="3" t="s">
        <x:v>129</x:v>
      </x:c>
      <x:c r="K24" s="4" t="n">
        <x:f>SUMIF('Ход 2026'!$G$29:$G$38,$A24,'Ход 2026'!$I$29:$I$38)*(1+'Эффекты технологий'!J$7)</x:f>
        <x:v>0</x:v>
      </x:c>
      <x:c r="L24" s="4" t="n">
        <x:f>SUMIF('Ход 2027'!$G$29:$G$38,$A24,'Ход 2027'!$I$29:$I$38)*(1+'Эффекты технологий'!K$7)</x:f>
        <x:v>0</x:v>
      </x:c>
      <x:c r="M24" s="4" t="n">
        <x:f>SUMIF('Ход 2028'!$G$29:$G$38,$A24,'Ход 2028'!$I$29:$I$38)*(1+'Эффекты технологий'!L$7)</x:f>
        <x:v>0</x:v>
      </x:c>
      <x:c r="N24" s="4" t="n">
        <x:f>SUMIF('Ход 2029'!$G$29:$G$38,$A24,'Ход 2029'!$I$29:$I$38)*(1+'Эффекты технологий'!M$7)</x:f>
        <x:v>0</x:v>
      </x:c>
      <x:c r="O24" s="4" t="n">
        <x:f>SUMIF('Ход 2030'!$G$29:$G$38,$A24,'Ход 2030'!$I$29:$I$38)*(1+'Эффекты технологий'!N$7)</x:f>
        <x:v>0</x:v>
      </x:c>
      <x:c r="P24" s="4" t="n">
        <x:f>SUMIF('Ход 2031'!$G$29:$G$38,$A24,'Ход 2031'!$I$29:$I$38)*(1+'Эффекты технологий'!O$7)</x:f>
        <x:v>0</x:v>
      </x:c>
      <x:c r="Q24" s="4" t="n">
        <x:f>SUMIF('Ход 2032'!$G$29:$G$38,$A24,'Ход 2032'!$I$29:$I$38)*(1+'Эффекты технологий'!P$7)</x:f>
        <x:v>0</x:v>
      </x:c>
      <x:c r="R24" s="4" t="n">
        <x:f>SUMIF('Ход 2033'!$G$29:$G$38,$A24,'Ход 2033'!$I$29:$I$38)*(1+'Эффекты технологий'!Q$7)</x:f>
        <x:v>0</x:v>
      </x:c>
      <x:c r="S24" s="4" t="n">
        <x:f>SUMIF('Ход 2034'!$G$29:$G$38,$A24,'Ход 2034'!$I$29:$I$38)*(1+'Эффекты технологий'!R$7)</x:f>
        <x:v>0</x:v>
      </x:c>
      <x:c r="T24" s="4" t="n">
        <x:f>SUMIF('Ход 2035'!$G$29:$G$38,$A24,'Ход 2035'!$I$29:$I$38)*(1+'Эффекты технологий'!S$7)</x:f>
        <x:v>0</x:v>
      </x:c>
      <x:c r="U24" s="4" t="n">
        <x:f>SUMIF('Ход 2036'!$G$29:$G$38,$A24,'Ход 2036'!$I$29:$I$38)*(1+'Эффекты технологий'!T$7)</x:f>
        <x:v>0</x:v>
      </x:c>
      <x:c r="V24" s="4" t="n">
        <x:f>SUMIF('Ход 2037'!$G$29:$G$38,$A24,'Ход 2037'!$I$29:$I$38)*(1+'Эффекты технологий'!U$7)</x:f>
        <x:v>0</x:v>
      </x:c>
      <x:c r="W24" s="4" t="n">
        <x:f>SUMIF('Ход 2038'!$G$29:$G$38,$A24,'Ход 2038'!$I$29:$I$38)*(1+'Эффекты технологий'!V$7)</x:f>
        <x:v>0</x:v>
      </x:c>
      <x:c r="X24" s="4" t="n">
        <x:f>SUMIF('Ход 2039'!$G$29:$G$38,$A24,'Ход 2039'!$I$29:$I$38)*(1+'Эффекты технологий'!W$7)</x:f>
        <x:v>0</x:v>
      </x:c>
      <x:c r="Y24" s="4" t="n">
        <x:f>SUMIF('Ход 2040'!$G$29:$G$38,$A24,'Ход 2040'!$I$29:$I$38)*(1+'Эффекты технологий'!X$7)</x:f>
        <x:v>0</x:v>
      </x:c>
      <x:c r="Z24" s="5" t="n">
        <x:f t="shared" si="0">SUM(K24:Y24)</x:f>
        <x:v>0</x:v>
      </x:c>
      <x:c r="AA24" s="5" t="n">
        <x:f t="shared" si="1">MAX(0,E24-Z24)</x:f>
        <x:v>35</x:v>
      </x:c>
      <x:c r="AB24" s="3" t="str">
        <x:f t="shared" si="2">BF24</x:f>
        <x:v>ОТКРЫТО</x:v>
      </x:c>
      <x:c r="AC24" t="n">
        <x:f>SUM($K24:K24)</x:f>
        <x:v>0</x:v>
      </x:c>
      <x:c r="AD24" t="n">
        <x:f>SUM($K24:L24)</x:f>
        <x:v>0</x:v>
      </x:c>
      <x:c r="AE24" t="n">
        <x:f>SUM($K24:M24)</x:f>
        <x:v>0</x:v>
      </x:c>
      <x:c r="AF24" t="n">
        <x:f>SUM($K24:N24)</x:f>
        <x:v>0</x:v>
      </x:c>
      <x:c r="AG24" t="n">
        <x:f>SUM($K24:O24)</x:f>
        <x:v>0</x:v>
      </x:c>
      <x:c r="AH24" t="n">
        <x:f>SUM($K24:P24)</x:f>
        <x:v>0</x:v>
      </x:c>
      <x:c r="AI24" t="n">
        <x:f>SUM($K24:Q24)</x:f>
        <x:v>0</x:v>
      </x:c>
      <x:c r="AJ24" t="n">
        <x:f>SUM($K24:R24)</x:f>
        <x:v>0</x:v>
      </x:c>
      <x:c r="AK24" t="n">
        <x:f>SUM($K24:S24)</x:f>
        <x:v>0</x:v>
      </x:c>
      <x:c r="AL24" t="n">
        <x:f>SUM($K24:T24)</x:f>
        <x:v>0</x:v>
      </x:c>
      <x:c r="AM24" t="n">
        <x:f>SUM($K24:U24)</x:f>
        <x:v>0</x:v>
      </x:c>
      <x:c r="AN24" t="n">
        <x:f>SUM($K24:V24)</x:f>
        <x:v>0</x:v>
      </x:c>
      <x:c r="AO24" t="n">
        <x:f>SUM($K24:W24)</x:f>
        <x:v>0</x:v>
      </x:c>
      <x:c r="AP24" t="n">
        <x:f>SUM($K24:X24)</x:f>
        <x:v>0</x:v>
      </x:c>
      <x:c r="AQ24" t="n">
        <x:f>SUM($K24:Y24)</x:f>
        <x:v>0</x:v>
      </x:c>
      <x:c r="AR24" t="str">
        <x:f t="shared" si="3">IF(AND(AC24&gt;=$E24,TRUE),"ИЗУЧЕНО",IF(TRUE,"ОТКРЫТО","ЗАКРЫТО"))</x:f>
        <x:v>ОТКРЫТО</x:v>
      </x:c>
      <x:c r="AS24" t="str">
        <x:f t="shared" si="4">IF(AND(AD24&gt;=$E24,TRUE),"ИЗУЧЕНО",IF(TRUE,"ОТКРЫТО","ЗАКРЫТО"))</x:f>
        <x:v>ОТКРЫТО</x:v>
      </x:c>
      <x:c r="AT24" t="str">
        <x:f t="shared" si="5">IF(AND(AE24&gt;=$E24,TRUE),"ИЗУЧЕНО",IF(TRUE,"ОТКРЫТО","ЗАКРЫТО"))</x:f>
        <x:v>ОТКРЫТО</x:v>
      </x:c>
      <x:c r="AU24" t="str">
        <x:f t="shared" si="6">IF(AND(AF24&gt;=$E24,TRUE),"ИЗУЧЕНО",IF(TRUE,"ОТКРЫТО","ЗАКРЫТО"))</x:f>
        <x:v>ОТКРЫТО</x:v>
      </x:c>
      <x:c r="AV24" t="str">
        <x:f t="shared" si="7">IF(AND(AG24&gt;=$E24,TRUE),"ИЗУЧЕНО",IF(TRUE,"ОТКРЫТО","ЗАКРЫТО"))</x:f>
        <x:v>ОТКРЫТО</x:v>
      </x:c>
      <x:c r="AW24" t="str">
        <x:f t="shared" si="8">IF(AND(AH24&gt;=$E24,TRUE),"ИЗУЧЕНО",IF(TRUE,"ОТКРЫТО","ЗАКРЫТО"))</x:f>
        <x:v>ОТКРЫТО</x:v>
      </x:c>
      <x:c r="AX24" t="str">
        <x:f t="shared" si="9">IF(AND(AI24&gt;=$E24,TRUE),"ИЗУЧЕНО",IF(TRUE,"ОТКРЫТО","ЗАКРЫТО"))</x:f>
        <x:v>ОТКРЫТО</x:v>
      </x:c>
      <x:c r="AY24" t="str">
        <x:f t="shared" si="10">IF(AND(AJ24&gt;=$E24,TRUE),"ИЗУЧЕНО",IF(TRUE,"ОТКРЫТО","ЗАКРЫТО"))</x:f>
        <x:v>ОТКРЫТО</x:v>
      </x:c>
      <x:c r="AZ24" t="str">
        <x:f t="shared" si="11">IF(AND(AK24&gt;=$E24,TRUE),"ИЗУЧЕНО",IF(TRUE,"ОТКРЫТО","ЗАКРЫТО"))</x:f>
        <x:v>ОТКРЫТО</x:v>
      </x:c>
      <x:c r="BA24" t="str">
        <x:f t="shared" si="12">IF(AND(AL24&gt;=$E24,TRUE),"ИЗУЧЕНО",IF(TRUE,"ОТКРЫТО","ЗАКРЫТО"))</x:f>
        <x:v>ОТКРЫТО</x:v>
      </x:c>
      <x:c r="BB24" t="str">
        <x:f t="shared" si="13">IF(AND(AM24&gt;=$E24,TRUE),"ИЗУЧЕНО",IF(TRUE,"ОТКРЫТО","ЗАКРЫТО"))</x:f>
        <x:v>ОТКРЫТО</x:v>
      </x:c>
      <x:c r="BC24" t="str">
        <x:f t="shared" si="14">IF(AND(AN24&gt;=$E24,TRUE),"ИЗУЧЕНО",IF(TRUE,"ОТКРЫТО","ЗАКРЫТО"))</x:f>
        <x:v>ОТКРЫТО</x:v>
      </x:c>
      <x:c r="BD24" t="str">
        <x:f t="shared" si="15">IF(AND(AO24&gt;=$E24,TRUE),"ИЗУЧЕНО",IF(TRUE,"ОТКРЫТО","ЗАКРЫТО"))</x:f>
        <x:v>ОТКРЫТО</x:v>
      </x:c>
      <x:c r="BE24" t="str">
        <x:f t="shared" si="16">IF(AND(AP24&gt;=$E24,TRUE),"ИЗУЧЕНО",IF(TRUE,"ОТКРЫТО","ЗАКРЫТО"))</x:f>
        <x:v>ОТКРЫТО</x:v>
      </x:c>
      <x:c r="BF24" t="str">
        <x:f t="shared" si="17">IF(AND(AQ24&gt;=$E24,TRUE),"ИЗУЧЕНО",IF(TRUE,"ОТКРЫТО","ЗАКРЫТО"))</x:f>
        <x:v>ОТКРЫТО</x:v>
      </x:c>
      <x:c r="BG24" t="str">
        <x:f t="shared" si="18">IFERROR(2025+MATCH("ИЗУЧЕНО",AR24:BF24,0),"")</x:f>
      </x:c>
      <x:c r="BH24" t="str">
        <x:f t="shared" si="19">IF(BG24="","",BG24+1)</x:f>
      </x:c>
    </x:row>
    <x:row r="25" ht="151.8000030517578">
      <x:c r="A25" s="3" t="s">
        <x:v>130</x:v>
      </x:c>
      <x:c r="B25" s="3" t="s">
        <x:v>122</x:v>
      </x:c>
      <x:c r="C25" s="3" t="s">
        <x:v>73</x:v>
      </x:c>
      <x:c r="D25" s="3" t="s">
        <x:v>131</x:v>
      </x:c>
      <x:c r="E25" s="3">
        <x:v>40</x:v>
      </x:c>
      <x:c r="F25" s="3" t="s">
        <x:v>121</x:v>
      </x:c>
      <x:c r="G25" s="3"/>
      <x:c r="H25" s="3"/>
      <x:c r="I25" s="3" t="s">
        <x:v>132</x:v>
      </x:c>
      <x:c r="J25" s="3" t="s">
        <x:v>133</x:v>
      </x:c>
      <x:c r="K25" s="4" t="n">
        <x:f>SUMIF('Ход 2026'!$G$29:$G$38,$A25,'Ход 2026'!$I$29:$I$38)*(1+'Эффекты технологий'!J$7)</x:f>
        <x:v>0</x:v>
      </x:c>
      <x:c r="L25" s="4" t="n">
        <x:f>SUMIF('Ход 2027'!$G$29:$G$38,$A25,'Ход 2027'!$I$29:$I$38)*(1+'Эффекты технологий'!K$7)</x:f>
        <x:v>0</x:v>
      </x:c>
      <x:c r="M25" s="4" t="n">
        <x:f>SUMIF('Ход 2028'!$G$29:$G$38,$A25,'Ход 2028'!$I$29:$I$38)*(1+'Эффекты технологий'!L$7)</x:f>
        <x:v>0</x:v>
      </x:c>
      <x:c r="N25" s="4" t="n">
        <x:f>SUMIF('Ход 2029'!$G$29:$G$38,$A25,'Ход 2029'!$I$29:$I$38)*(1+'Эффекты технологий'!M$7)</x:f>
        <x:v>0</x:v>
      </x:c>
      <x:c r="O25" s="4" t="n">
        <x:f>SUMIF('Ход 2030'!$G$29:$G$38,$A25,'Ход 2030'!$I$29:$I$38)*(1+'Эффекты технологий'!N$7)</x:f>
        <x:v>0</x:v>
      </x:c>
      <x:c r="P25" s="4" t="n">
        <x:f>SUMIF('Ход 2031'!$G$29:$G$38,$A25,'Ход 2031'!$I$29:$I$38)*(1+'Эффекты технологий'!O$7)</x:f>
        <x:v>0</x:v>
      </x:c>
      <x:c r="Q25" s="4" t="n">
        <x:f>SUMIF('Ход 2032'!$G$29:$G$38,$A25,'Ход 2032'!$I$29:$I$38)*(1+'Эффекты технологий'!P$7)</x:f>
        <x:v>0</x:v>
      </x:c>
      <x:c r="R25" s="4" t="n">
        <x:f>SUMIF('Ход 2033'!$G$29:$G$38,$A25,'Ход 2033'!$I$29:$I$38)*(1+'Эффекты технологий'!Q$7)</x:f>
        <x:v>0</x:v>
      </x:c>
      <x:c r="S25" s="4" t="n">
        <x:f>SUMIF('Ход 2034'!$G$29:$G$38,$A25,'Ход 2034'!$I$29:$I$38)*(1+'Эффекты технологий'!R$7)</x:f>
        <x:v>0</x:v>
      </x:c>
      <x:c r="T25" s="4" t="n">
        <x:f>SUMIF('Ход 2035'!$G$29:$G$38,$A25,'Ход 2035'!$I$29:$I$38)*(1+'Эффекты технологий'!S$7)</x:f>
        <x:v>0</x:v>
      </x:c>
      <x:c r="U25" s="4" t="n">
        <x:f>SUMIF('Ход 2036'!$G$29:$G$38,$A25,'Ход 2036'!$I$29:$I$38)*(1+'Эффекты технологий'!T$7)</x:f>
        <x:v>0</x:v>
      </x:c>
      <x:c r="V25" s="4" t="n">
        <x:f>SUMIF('Ход 2037'!$G$29:$G$38,$A25,'Ход 2037'!$I$29:$I$38)*(1+'Эффекты технологий'!U$7)</x:f>
        <x:v>0</x:v>
      </x:c>
      <x:c r="W25" s="4" t="n">
        <x:f>SUMIF('Ход 2038'!$G$29:$G$38,$A25,'Ход 2038'!$I$29:$I$38)*(1+'Эффекты технологий'!V$7)</x:f>
        <x:v>0</x:v>
      </x:c>
      <x:c r="X25" s="4" t="n">
        <x:f>SUMIF('Ход 2039'!$G$29:$G$38,$A25,'Ход 2039'!$I$29:$I$38)*(1+'Эффекты технологий'!W$7)</x:f>
        <x:v>0</x:v>
      </x:c>
      <x:c r="Y25" s="4" t="n">
        <x:f>SUMIF('Ход 2040'!$G$29:$G$38,$A25,'Ход 2040'!$I$29:$I$38)*(1+'Эффекты технологий'!X$7)</x:f>
        <x:v>0</x:v>
      </x:c>
      <x:c r="Z25" s="5" t="n">
        <x:f t="shared" si="0">SUM(K25:Y25)</x:f>
        <x:v>0</x:v>
      </x:c>
      <x:c r="AA25" s="5" t="n">
        <x:f t="shared" si="1">MAX(0,E25-Z25)</x:f>
        <x:v>40</x:v>
      </x:c>
      <x:c r="AB25" s="3" t="str">
        <x:f t="shared" si="2">BF25</x:f>
        <x:v>ОТКРЫТО</x:v>
      </x:c>
      <x:c r="AC25" t="n">
        <x:f>SUM($K25:K25)</x:f>
        <x:v>0</x:v>
      </x:c>
      <x:c r="AD25" t="n">
        <x:f>SUM($K25:L25)</x:f>
        <x:v>0</x:v>
      </x:c>
      <x:c r="AE25" t="n">
        <x:f>SUM($K25:M25)</x:f>
        <x:v>0</x:v>
      </x:c>
      <x:c r="AF25" t="n">
        <x:f>SUM($K25:N25)</x:f>
        <x:v>0</x:v>
      </x:c>
      <x:c r="AG25" t="n">
        <x:f>SUM($K25:O25)</x:f>
        <x:v>0</x:v>
      </x:c>
      <x:c r="AH25" t="n">
        <x:f>SUM($K25:P25)</x:f>
        <x:v>0</x:v>
      </x:c>
      <x:c r="AI25" t="n">
        <x:f>SUM($K25:Q25)</x:f>
        <x:v>0</x:v>
      </x:c>
      <x:c r="AJ25" t="n">
        <x:f>SUM($K25:R25)</x:f>
        <x:v>0</x:v>
      </x:c>
      <x:c r="AK25" t="n">
        <x:f>SUM($K25:S25)</x:f>
        <x:v>0</x:v>
      </x:c>
      <x:c r="AL25" t="n">
        <x:f>SUM($K25:T25)</x:f>
        <x:v>0</x:v>
      </x:c>
      <x:c r="AM25" t="n">
        <x:f>SUM($K25:U25)</x:f>
        <x:v>0</x:v>
      </x:c>
      <x:c r="AN25" t="n">
        <x:f>SUM($K25:V25)</x:f>
        <x:v>0</x:v>
      </x:c>
      <x:c r="AO25" t="n">
        <x:f>SUM($K25:W25)</x:f>
        <x:v>0</x:v>
      </x:c>
      <x:c r="AP25" t="n">
        <x:f>SUM($K25:X25)</x:f>
        <x:v>0</x:v>
      </x:c>
      <x:c r="AQ25" t="n">
        <x:f>SUM($K25:Y25)</x:f>
        <x:v>0</x:v>
      </x:c>
      <x:c r="AR25" t="str">
        <x:f t="shared" si="3">IF(AND(AC25&gt;=$E25,TRUE),"ИЗУЧЕНО",IF(TRUE,"ОТКРЫТО","ЗАКРЫТО"))</x:f>
        <x:v>ОТКРЫТО</x:v>
      </x:c>
      <x:c r="AS25" t="str">
        <x:f t="shared" si="4">IF(AND(AD25&gt;=$E25,TRUE),"ИЗУЧЕНО",IF(TRUE,"ОТКРЫТО","ЗАКРЫТО"))</x:f>
        <x:v>ОТКРЫТО</x:v>
      </x:c>
      <x:c r="AT25" t="str">
        <x:f t="shared" si="5">IF(AND(AE25&gt;=$E25,TRUE),"ИЗУЧЕНО",IF(TRUE,"ОТКРЫТО","ЗАКРЫТО"))</x:f>
        <x:v>ОТКРЫТО</x:v>
      </x:c>
      <x:c r="AU25" t="str">
        <x:f t="shared" si="6">IF(AND(AF25&gt;=$E25,TRUE),"ИЗУЧЕНО",IF(TRUE,"ОТКРЫТО","ЗАКРЫТО"))</x:f>
        <x:v>ОТКРЫТО</x:v>
      </x:c>
      <x:c r="AV25" t="str">
        <x:f t="shared" si="7">IF(AND(AG25&gt;=$E25,TRUE),"ИЗУЧЕНО",IF(TRUE,"ОТКРЫТО","ЗАКРЫТО"))</x:f>
        <x:v>ОТКРЫТО</x:v>
      </x:c>
      <x:c r="AW25" t="str">
        <x:f t="shared" si="8">IF(AND(AH25&gt;=$E25,TRUE),"ИЗУЧЕНО",IF(TRUE,"ОТКРЫТО","ЗАКРЫТО"))</x:f>
        <x:v>ОТКРЫТО</x:v>
      </x:c>
      <x:c r="AX25" t="str">
        <x:f t="shared" si="9">IF(AND(AI25&gt;=$E25,TRUE),"ИЗУЧЕНО",IF(TRUE,"ОТКРЫТО","ЗАКРЫТО"))</x:f>
        <x:v>ОТКРЫТО</x:v>
      </x:c>
      <x:c r="AY25" t="str">
        <x:f t="shared" si="10">IF(AND(AJ25&gt;=$E25,TRUE),"ИЗУЧЕНО",IF(TRUE,"ОТКРЫТО","ЗАКРЫТО"))</x:f>
        <x:v>ОТКРЫТО</x:v>
      </x:c>
      <x:c r="AZ25" t="str">
        <x:f t="shared" si="11">IF(AND(AK25&gt;=$E25,TRUE),"ИЗУЧЕНО",IF(TRUE,"ОТКРЫТО","ЗАКРЫТО"))</x:f>
        <x:v>ОТКРЫТО</x:v>
      </x:c>
      <x:c r="BA25" t="str">
        <x:f t="shared" si="12">IF(AND(AL25&gt;=$E25,TRUE),"ИЗУЧЕНО",IF(TRUE,"ОТКРЫТО","ЗАКРЫТО"))</x:f>
        <x:v>ОТКРЫТО</x:v>
      </x:c>
      <x:c r="BB25" t="str">
        <x:f t="shared" si="13">IF(AND(AM25&gt;=$E25,TRUE),"ИЗУЧЕНО",IF(TRUE,"ОТКРЫТО","ЗАКРЫТО"))</x:f>
        <x:v>ОТКРЫТО</x:v>
      </x:c>
      <x:c r="BC25" t="str">
        <x:f t="shared" si="14">IF(AND(AN25&gt;=$E25,TRUE),"ИЗУЧЕНО",IF(TRUE,"ОТКРЫТО","ЗАКРЫТО"))</x:f>
        <x:v>ОТКРЫТО</x:v>
      </x:c>
      <x:c r="BD25" t="str">
        <x:f t="shared" si="15">IF(AND(AO25&gt;=$E25,TRUE),"ИЗУЧЕНО",IF(TRUE,"ОТКРЫТО","ЗАКРЫТО"))</x:f>
        <x:v>ОТКРЫТО</x:v>
      </x:c>
      <x:c r="BE25" t="str">
        <x:f t="shared" si="16">IF(AND(AP25&gt;=$E25,TRUE),"ИЗУЧЕНО",IF(TRUE,"ОТКРЫТО","ЗАКРЫТО"))</x:f>
        <x:v>ОТКРЫТО</x:v>
      </x:c>
      <x:c r="BF25" t="str">
        <x:f t="shared" si="17">IF(AND(AQ25&gt;=$E25,TRUE),"ИЗУЧЕНО",IF(TRUE,"ОТКРЫТО","ЗАКРЫТО"))</x:f>
        <x:v>ОТКРЫТО</x:v>
      </x:c>
      <x:c r="BG25" t="str">
        <x:f t="shared" si="18">IFERROR(2025+MATCH("ИЗУЧЕНО",AR25:BF25,0),"")</x:f>
      </x:c>
      <x:c r="BH25" t="str">
        <x:f t="shared" si="19">IF(BG25="","",BG25+1)</x:f>
      </x:c>
    </x:row>
    <x:row r="26" ht="179.39999389648438">
      <x:c r="A26" s="3" t="s">
        <x:v>134</x:v>
      </x:c>
      <x:c r="B26" s="3" t="s">
        <x:v>122</x:v>
      </x:c>
      <x:c r="C26" s="3" t="s">
        <x:v>82</x:v>
      </x:c>
      <x:c r="D26" s="3" t="s">
        <x:v>135</x:v>
      </x:c>
      <x:c r="E26" s="3">
        <x:v>60</x:v>
      </x:c>
      <x:c r="F26" s="3" t="s">
        <x:v>126</x:v>
      </x:c>
      <x:c r="G26" s="3" t="s">
        <x:v>130</x:v>
      </x:c>
      <x:c r="H26" s="3"/>
      <x:c r="I26" s="3" t="s">
        <x:v>136</x:v>
      </x:c>
      <x:c r="J26" s="3" t="s">
        <x:v>137</x:v>
      </x:c>
      <x:c r="K26" s="4" t="n">
        <x:f>SUMIF('Ход 2026'!$G$29:$G$38,$A26,'Ход 2026'!$I$29:$I$38)*(1+'Эффекты технологий'!J$7)</x:f>
        <x:v>0</x:v>
      </x:c>
      <x:c r="L26" s="4" t="n">
        <x:f>SUMIF('Ход 2027'!$G$29:$G$38,$A26,'Ход 2027'!$I$29:$I$38)*(1+'Эффекты технологий'!K$7)</x:f>
        <x:v>0</x:v>
      </x:c>
      <x:c r="M26" s="4" t="n">
        <x:f>SUMIF('Ход 2028'!$G$29:$G$38,$A26,'Ход 2028'!$I$29:$I$38)*(1+'Эффекты технологий'!L$7)</x:f>
        <x:v>0</x:v>
      </x:c>
      <x:c r="N26" s="4" t="n">
        <x:f>SUMIF('Ход 2029'!$G$29:$G$38,$A26,'Ход 2029'!$I$29:$I$38)*(1+'Эффекты технологий'!M$7)</x:f>
        <x:v>0</x:v>
      </x:c>
      <x:c r="O26" s="4" t="n">
        <x:f>SUMIF('Ход 2030'!$G$29:$G$38,$A26,'Ход 2030'!$I$29:$I$38)*(1+'Эффекты технологий'!N$7)</x:f>
        <x:v>0</x:v>
      </x:c>
      <x:c r="P26" s="4" t="n">
        <x:f>SUMIF('Ход 2031'!$G$29:$G$38,$A26,'Ход 2031'!$I$29:$I$38)*(1+'Эффекты технологий'!O$7)</x:f>
        <x:v>0</x:v>
      </x:c>
      <x:c r="Q26" s="4" t="n">
        <x:f>SUMIF('Ход 2032'!$G$29:$G$38,$A26,'Ход 2032'!$I$29:$I$38)*(1+'Эффекты технологий'!P$7)</x:f>
        <x:v>0</x:v>
      </x:c>
      <x:c r="R26" s="4" t="n">
        <x:f>SUMIF('Ход 2033'!$G$29:$G$38,$A26,'Ход 2033'!$I$29:$I$38)*(1+'Эффекты технологий'!Q$7)</x:f>
        <x:v>0</x:v>
      </x:c>
      <x:c r="S26" s="4" t="n">
        <x:f>SUMIF('Ход 2034'!$G$29:$G$38,$A26,'Ход 2034'!$I$29:$I$38)*(1+'Эффекты технологий'!R$7)</x:f>
        <x:v>0</x:v>
      </x:c>
      <x:c r="T26" s="4" t="n">
        <x:f>SUMIF('Ход 2035'!$G$29:$G$38,$A26,'Ход 2035'!$I$29:$I$38)*(1+'Эффекты технологий'!S$7)</x:f>
        <x:v>0</x:v>
      </x:c>
      <x:c r="U26" s="4" t="n">
        <x:f>SUMIF('Ход 2036'!$G$29:$G$38,$A26,'Ход 2036'!$I$29:$I$38)*(1+'Эффекты технологий'!T$7)</x:f>
        <x:v>0</x:v>
      </x:c>
      <x:c r="V26" s="4" t="n">
        <x:f>SUMIF('Ход 2037'!$G$29:$G$38,$A26,'Ход 2037'!$I$29:$I$38)*(1+'Эффекты технологий'!U$7)</x:f>
        <x:v>0</x:v>
      </x:c>
      <x:c r="W26" s="4" t="n">
        <x:f>SUMIF('Ход 2038'!$G$29:$G$38,$A26,'Ход 2038'!$I$29:$I$38)*(1+'Эффекты технологий'!V$7)</x:f>
        <x:v>0</x:v>
      </x:c>
      <x:c r="X26" s="4" t="n">
        <x:f>SUMIF('Ход 2039'!$G$29:$G$38,$A26,'Ход 2039'!$I$29:$I$38)*(1+'Эффекты технологий'!W$7)</x:f>
        <x:v>0</x:v>
      </x:c>
      <x:c r="Y26" s="4" t="n">
        <x:f>SUMIF('Ход 2040'!$G$29:$G$38,$A26,'Ход 2040'!$I$29:$I$38)*(1+'Эффекты технологий'!X$7)</x:f>
        <x:v>0</x:v>
      </x:c>
      <x:c r="Z26" s="5" t="n">
        <x:f t="shared" si="0">SUM(K26:Y26)</x:f>
        <x:v>0</x:v>
      </x:c>
      <x:c r="AA26" s="5" t="n">
        <x:f t="shared" si="1">MAX(0,E26-Z26)</x:f>
        <x:v>60</x:v>
      </x:c>
      <x:c r="AB26" s="3" t="str">
        <x:f t="shared" si="2">BF26</x:f>
        <x:v>ОТКРЫТО</x:v>
      </x:c>
      <x:c r="AC26" t="n">
        <x:f>SUM($K26:K26)</x:f>
        <x:v>0</x:v>
      </x:c>
      <x:c r="AD26" t="n">
        <x:f>SUM($K26:L26)</x:f>
        <x:v>0</x:v>
      </x:c>
      <x:c r="AE26" t="n">
        <x:f>SUM($K26:M26)</x:f>
        <x:v>0</x:v>
      </x:c>
      <x:c r="AF26" t="n">
        <x:f>SUM($K26:N26)</x:f>
        <x:v>0</x:v>
      </x:c>
      <x:c r="AG26" t="n">
        <x:f>SUM($K26:O26)</x:f>
        <x:v>0</x:v>
      </x:c>
      <x:c r="AH26" t="n">
        <x:f>SUM($K26:P26)</x:f>
        <x:v>0</x:v>
      </x:c>
      <x:c r="AI26" t="n">
        <x:f>SUM($K26:Q26)</x:f>
        <x:v>0</x:v>
      </x:c>
      <x:c r="AJ26" t="n">
        <x:f>SUM($K26:R26)</x:f>
        <x:v>0</x:v>
      </x:c>
      <x:c r="AK26" t="n">
        <x:f>SUM($K26:S26)</x:f>
        <x:v>0</x:v>
      </x:c>
      <x:c r="AL26" t="n">
        <x:f>SUM($K26:T26)</x:f>
        <x:v>0</x:v>
      </x:c>
      <x:c r="AM26" t="n">
        <x:f>SUM($K26:U26)</x:f>
        <x:v>0</x:v>
      </x:c>
      <x:c r="AN26" t="n">
        <x:f>SUM($K26:V26)</x:f>
        <x:v>0</x:v>
      </x:c>
      <x:c r="AO26" t="n">
        <x:f>SUM($K26:W26)</x:f>
        <x:v>0</x:v>
      </x:c>
      <x:c r="AP26" t="n">
        <x:f>SUM($K26:X26)</x:f>
        <x:v>0</x:v>
      </x:c>
      <x:c r="AQ26" t="n">
        <x:f>SUM($K26:Y26)</x:f>
        <x:v>0</x:v>
      </x:c>
      <x:c r="AR26" t="str">
        <x:f t="shared" si="3">IF(AND(AC26&gt;=$E26,TRUE),"ИЗУЧЕНО",IF(TRUE,"ОТКРЫТО","ЗАКРЫТО"))</x:f>
        <x:v>ОТКРЫТО</x:v>
      </x:c>
      <x:c r="AS26" t="str">
        <x:f t="shared" si="4">IF(AND(AD26&gt;=$E26,TRUE),"ИЗУЧЕНО",IF(TRUE,"ОТКРЫТО","ЗАКРЫТО"))</x:f>
        <x:v>ОТКРЫТО</x:v>
      </x:c>
      <x:c r="AT26" t="str">
        <x:f t="shared" si="5">IF(AND(AE26&gt;=$E26,TRUE),"ИЗУЧЕНО",IF(TRUE,"ОТКРЫТО","ЗАКРЫТО"))</x:f>
        <x:v>ОТКРЫТО</x:v>
      </x:c>
      <x:c r="AU26" t="str">
        <x:f t="shared" si="6">IF(AND(AF26&gt;=$E26,TRUE),"ИЗУЧЕНО",IF(TRUE,"ОТКРЫТО","ЗАКРЫТО"))</x:f>
        <x:v>ОТКРЫТО</x:v>
      </x:c>
      <x:c r="AV26" t="str">
        <x:f t="shared" si="7">IF(AND(AG26&gt;=$E26,TRUE),"ИЗУЧЕНО",IF(TRUE,"ОТКРЫТО","ЗАКРЫТО"))</x:f>
        <x:v>ОТКРЫТО</x:v>
      </x:c>
      <x:c r="AW26" t="str">
        <x:f t="shared" si="8">IF(AND(AH26&gt;=$E26,TRUE),"ИЗУЧЕНО",IF(TRUE,"ОТКРЫТО","ЗАКРЫТО"))</x:f>
        <x:v>ОТКРЫТО</x:v>
      </x:c>
      <x:c r="AX26" t="str">
        <x:f t="shared" si="9">IF(AND(AI26&gt;=$E26,TRUE),"ИЗУЧЕНО",IF(TRUE,"ОТКРЫТО","ЗАКРЫТО"))</x:f>
        <x:v>ОТКРЫТО</x:v>
      </x:c>
      <x:c r="AY26" t="str">
        <x:f t="shared" si="10">IF(AND(AJ26&gt;=$E26,TRUE),"ИЗУЧЕНО",IF(TRUE,"ОТКРЫТО","ЗАКРЫТО"))</x:f>
        <x:v>ОТКРЫТО</x:v>
      </x:c>
      <x:c r="AZ26" t="str">
        <x:f t="shared" si="11">IF(AND(AK26&gt;=$E26,TRUE),"ИЗУЧЕНО",IF(TRUE,"ОТКРЫТО","ЗАКРЫТО"))</x:f>
        <x:v>ОТКРЫТО</x:v>
      </x:c>
      <x:c r="BA26" t="str">
        <x:f t="shared" si="12">IF(AND(AL26&gt;=$E26,TRUE),"ИЗУЧЕНО",IF(TRUE,"ОТКРЫТО","ЗАКРЫТО"))</x:f>
        <x:v>ОТКРЫТО</x:v>
      </x:c>
      <x:c r="BB26" t="str">
        <x:f t="shared" si="13">IF(AND(AM26&gt;=$E26,TRUE),"ИЗУЧЕНО",IF(TRUE,"ОТКРЫТО","ЗАКРЫТО"))</x:f>
        <x:v>ОТКРЫТО</x:v>
      </x:c>
      <x:c r="BC26" t="str">
        <x:f t="shared" si="14">IF(AND(AN26&gt;=$E26,TRUE),"ИЗУЧЕНО",IF(TRUE,"ОТКРЫТО","ЗАКРЫТО"))</x:f>
        <x:v>ОТКРЫТО</x:v>
      </x:c>
      <x:c r="BD26" t="str">
        <x:f t="shared" si="15">IF(AND(AO26&gt;=$E26,TRUE),"ИЗУЧЕНО",IF(TRUE,"ОТКРЫТО","ЗАКРЫТО"))</x:f>
        <x:v>ОТКРЫТО</x:v>
      </x:c>
      <x:c r="BE26" t="str">
        <x:f t="shared" si="16">IF(AND(AP26&gt;=$E26,TRUE),"ИЗУЧЕНО",IF(TRUE,"ОТКРЫТО","ЗАКРЫТО"))</x:f>
        <x:v>ОТКРЫТО</x:v>
      </x:c>
      <x:c r="BF26" t="str">
        <x:f t="shared" si="17">IF(AND(AQ26&gt;=$E26,TRUE),"ИЗУЧЕНО",IF(TRUE,"ОТКРЫТО","ЗАКРЫТО"))</x:f>
        <x:v>ОТКРЫТО</x:v>
      </x:c>
      <x:c r="BG26" t="str">
        <x:f t="shared" si="18">IFERROR(2025+MATCH("ИЗУЧЕНО",AR26:BF26,0),"")</x:f>
      </x:c>
      <x:c r="BH26" t="str">
        <x:f t="shared" si="19">IF(BG26="","",BG26+1)</x:f>
      </x:c>
    </x:row>
    <x:row r="27" ht="165.60000610351562">
      <x:c r="A27" s="3" t="s">
        <x:v>138</x:v>
      </x:c>
      <x:c r="B27" s="3" t="s">
        <x:v>122</x:v>
      </x:c>
      <x:c r="C27" s="3" t="s">
        <x:v>87</x:v>
      </x:c>
      <x:c r="D27" s="3" t="s">
        <x:v>139</x:v>
      </x:c>
      <x:c r="E27" s="3">
        <x:v>95</x:v>
      </x:c>
      <x:c r="F27" s="3" t="s">
        <x:v>134</x:v>
      </x:c>
      <x:c r="G27" s="3"/>
      <x:c r="H27" s="3"/>
      <x:c r="I27" s="3" t="s">
        <x:v>140</x:v>
      </x:c>
      <x:c r="J27" s="3" t="s">
        <x:v>141</x:v>
      </x:c>
      <x:c r="K27" s="4" t="n">
        <x:f>SUMIF('Ход 2026'!$G$29:$G$38,$A27,'Ход 2026'!$I$29:$I$38)*(1+'Эффекты технологий'!J$7)</x:f>
        <x:v>0</x:v>
      </x:c>
      <x:c r="L27" s="4" t="n">
        <x:f>SUMIF('Ход 2027'!$G$29:$G$38,$A27,'Ход 2027'!$I$29:$I$38)*(1+'Эффекты технологий'!K$7)</x:f>
        <x:v>0</x:v>
      </x:c>
      <x:c r="M27" s="4" t="n">
        <x:f>SUMIF('Ход 2028'!$G$29:$G$38,$A27,'Ход 2028'!$I$29:$I$38)*(1+'Эффекты технологий'!L$7)</x:f>
        <x:v>0</x:v>
      </x:c>
      <x:c r="N27" s="4" t="n">
        <x:f>SUMIF('Ход 2029'!$G$29:$G$38,$A27,'Ход 2029'!$I$29:$I$38)*(1+'Эффекты технологий'!M$7)</x:f>
        <x:v>0</x:v>
      </x:c>
      <x:c r="O27" s="4" t="n">
        <x:f>SUMIF('Ход 2030'!$G$29:$G$38,$A27,'Ход 2030'!$I$29:$I$38)*(1+'Эффекты технологий'!N$7)</x:f>
        <x:v>0</x:v>
      </x:c>
      <x:c r="P27" s="4" t="n">
        <x:f>SUMIF('Ход 2031'!$G$29:$G$38,$A27,'Ход 2031'!$I$29:$I$38)*(1+'Эффекты технологий'!O$7)</x:f>
        <x:v>0</x:v>
      </x:c>
      <x:c r="Q27" s="4" t="n">
        <x:f>SUMIF('Ход 2032'!$G$29:$G$38,$A27,'Ход 2032'!$I$29:$I$38)*(1+'Эффекты технологий'!P$7)</x:f>
        <x:v>0</x:v>
      </x:c>
      <x:c r="R27" s="4" t="n">
        <x:f>SUMIF('Ход 2033'!$G$29:$G$38,$A27,'Ход 2033'!$I$29:$I$38)*(1+'Эффекты технологий'!Q$7)</x:f>
        <x:v>0</x:v>
      </x:c>
      <x:c r="S27" s="4" t="n">
        <x:f>SUMIF('Ход 2034'!$G$29:$G$38,$A27,'Ход 2034'!$I$29:$I$38)*(1+'Эффекты технологий'!R$7)</x:f>
        <x:v>0</x:v>
      </x:c>
      <x:c r="T27" s="4" t="n">
        <x:f>SUMIF('Ход 2035'!$G$29:$G$38,$A27,'Ход 2035'!$I$29:$I$38)*(1+'Эффекты технологий'!S$7)</x:f>
        <x:v>0</x:v>
      </x:c>
      <x:c r="U27" s="4" t="n">
        <x:f>SUMIF('Ход 2036'!$G$29:$G$38,$A27,'Ход 2036'!$I$29:$I$38)*(1+'Эффекты технологий'!T$7)</x:f>
        <x:v>0</x:v>
      </x:c>
      <x:c r="V27" s="4" t="n">
        <x:f>SUMIF('Ход 2037'!$G$29:$G$38,$A27,'Ход 2037'!$I$29:$I$38)*(1+'Эффекты технологий'!U$7)</x:f>
        <x:v>0</x:v>
      </x:c>
      <x:c r="W27" s="4" t="n">
        <x:f>SUMIF('Ход 2038'!$G$29:$G$38,$A27,'Ход 2038'!$I$29:$I$38)*(1+'Эффекты технологий'!V$7)</x:f>
        <x:v>0</x:v>
      </x:c>
      <x:c r="X27" s="4" t="n">
        <x:f>SUMIF('Ход 2039'!$G$29:$G$38,$A27,'Ход 2039'!$I$29:$I$38)*(1+'Эффекты технологий'!W$7)</x:f>
        <x:v>0</x:v>
      </x:c>
      <x:c r="Y27" s="4" t="n">
        <x:f>SUMIF('Ход 2040'!$G$29:$G$38,$A27,'Ход 2040'!$I$29:$I$38)*(1+'Эффекты технологий'!X$7)</x:f>
        <x:v>0</x:v>
      </x:c>
      <x:c r="Z27" s="5" t="n">
        <x:f t="shared" si="0">SUM(K27:Y27)</x:f>
        <x:v>0</x:v>
      </x:c>
      <x:c r="AA27" s="5" t="n">
        <x:f t="shared" si="1">MAX(0,E27-Z27)</x:f>
        <x:v>95</x:v>
      </x:c>
      <x:c r="AB27" s="3" t="str">
        <x:f t="shared" si="2">BF27</x:f>
        <x:v>ОТКРЫТО</x:v>
      </x:c>
      <x:c r="AC27" t="n">
        <x:f>SUM($K27:K27)</x:f>
        <x:v>0</x:v>
      </x:c>
      <x:c r="AD27" t="n">
        <x:f>SUM($K27:L27)</x:f>
        <x:v>0</x:v>
      </x:c>
      <x:c r="AE27" t="n">
        <x:f>SUM($K27:M27)</x:f>
        <x:v>0</x:v>
      </x:c>
      <x:c r="AF27" t="n">
        <x:f>SUM($K27:N27)</x:f>
        <x:v>0</x:v>
      </x:c>
      <x:c r="AG27" t="n">
        <x:f>SUM($K27:O27)</x:f>
        <x:v>0</x:v>
      </x:c>
      <x:c r="AH27" t="n">
        <x:f>SUM($K27:P27)</x:f>
        <x:v>0</x:v>
      </x:c>
      <x:c r="AI27" t="n">
        <x:f>SUM($K27:Q27)</x:f>
        <x:v>0</x:v>
      </x:c>
      <x:c r="AJ27" t="n">
        <x:f>SUM($K27:R27)</x:f>
        <x:v>0</x:v>
      </x:c>
      <x:c r="AK27" t="n">
        <x:f>SUM($K27:S27)</x:f>
        <x:v>0</x:v>
      </x:c>
      <x:c r="AL27" t="n">
        <x:f>SUM($K27:T27)</x:f>
        <x:v>0</x:v>
      </x:c>
      <x:c r="AM27" t="n">
        <x:f>SUM($K27:U27)</x:f>
        <x:v>0</x:v>
      </x:c>
      <x:c r="AN27" t="n">
        <x:f>SUM($K27:V27)</x:f>
        <x:v>0</x:v>
      </x:c>
      <x:c r="AO27" t="n">
        <x:f>SUM($K27:W27)</x:f>
        <x:v>0</x:v>
      </x:c>
      <x:c r="AP27" t="n">
        <x:f>SUM($K27:X27)</x:f>
        <x:v>0</x:v>
      </x:c>
      <x:c r="AQ27" t="n">
        <x:f>SUM($K27:Y27)</x:f>
        <x:v>0</x:v>
      </x:c>
      <x:c r="AR27" t="str">
        <x:f t="shared" si="3">IF(AND(AC27&gt;=$E27,TRUE),"ИЗУЧЕНО",IF(TRUE,"ОТКРЫТО","ЗАКРЫТО"))</x:f>
        <x:v>ОТКРЫТО</x:v>
      </x:c>
      <x:c r="AS27" t="str">
        <x:f t="shared" si="4">IF(AND(AD27&gt;=$E27,TRUE),"ИЗУЧЕНО",IF(TRUE,"ОТКРЫТО","ЗАКРЫТО"))</x:f>
        <x:v>ОТКРЫТО</x:v>
      </x:c>
      <x:c r="AT27" t="str">
        <x:f t="shared" si="5">IF(AND(AE27&gt;=$E27,TRUE),"ИЗУЧЕНО",IF(TRUE,"ОТКРЫТО","ЗАКРЫТО"))</x:f>
        <x:v>ОТКРЫТО</x:v>
      </x:c>
      <x:c r="AU27" t="str">
        <x:f t="shared" si="6">IF(AND(AF27&gt;=$E27,TRUE),"ИЗУЧЕНО",IF(TRUE,"ОТКРЫТО","ЗАКРЫТО"))</x:f>
        <x:v>ОТКРЫТО</x:v>
      </x:c>
      <x:c r="AV27" t="str">
        <x:f t="shared" si="7">IF(AND(AG27&gt;=$E27,TRUE),"ИЗУЧЕНО",IF(TRUE,"ОТКРЫТО","ЗАКРЫТО"))</x:f>
        <x:v>ОТКРЫТО</x:v>
      </x:c>
      <x:c r="AW27" t="str">
        <x:f t="shared" si="8">IF(AND(AH27&gt;=$E27,TRUE),"ИЗУЧЕНО",IF(TRUE,"ОТКРЫТО","ЗАКРЫТО"))</x:f>
        <x:v>ОТКРЫТО</x:v>
      </x:c>
      <x:c r="AX27" t="str">
        <x:f t="shared" si="9">IF(AND(AI27&gt;=$E27,TRUE),"ИЗУЧЕНО",IF(TRUE,"ОТКРЫТО","ЗАКРЫТО"))</x:f>
        <x:v>ОТКРЫТО</x:v>
      </x:c>
      <x:c r="AY27" t="str">
        <x:f t="shared" si="10">IF(AND(AJ27&gt;=$E27,TRUE),"ИЗУЧЕНО",IF(TRUE,"ОТКРЫТО","ЗАКРЫТО"))</x:f>
        <x:v>ОТКРЫТО</x:v>
      </x:c>
      <x:c r="AZ27" t="str">
        <x:f t="shared" si="11">IF(AND(AK27&gt;=$E27,TRUE),"ИЗУЧЕНО",IF(TRUE,"ОТКРЫТО","ЗАКРЫТО"))</x:f>
        <x:v>ОТКРЫТО</x:v>
      </x:c>
      <x:c r="BA27" t="str">
        <x:f t="shared" si="12">IF(AND(AL27&gt;=$E27,TRUE),"ИЗУЧЕНО",IF(TRUE,"ОТКРЫТО","ЗАКРЫТО"))</x:f>
        <x:v>ОТКРЫТО</x:v>
      </x:c>
      <x:c r="BB27" t="str">
        <x:f t="shared" si="13">IF(AND(AM27&gt;=$E27,TRUE),"ИЗУЧЕНО",IF(TRUE,"ОТКРЫТО","ЗАКРЫТО"))</x:f>
        <x:v>ОТКРЫТО</x:v>
      </x:c>
      <x:c r="BC27" t="str">
        <x:f t="shared" si="14">IF(AND(AN27&gt;=$E27,TRUE),"ИЗУЧЕНО",IF(TRUE,"ОТКРЫТО","ЗАКРЫТО"))</x:f>
        <x:v>ОТКРЫТО</x:v>
      </x:c>
      <x:c r="BD27" t="str">
        <x:f t="shared" si="15">IF(AND(AO27&gt;=$E27,TRUE),"ИЗУЧЕНО",IF(TRUE,"ОТКРЫТО","ЗАКРЫТО"))</x:f>
        <x:v>ОТКРЫТО</x:v>
      </x:c>
      <x:c r="BE27" t="str">
        <x:f t="shared" si="16">IF(AND(AP27&gt;=$E27,TRUE),"ИЗУЧЕНО",IF(TRUE,"ОТКРЫТО","ЗАКРЫТО"))</x:f>
        <x:v>ОТКРЫТО</x:v>
      </x:c>
      <x:c r="BF27" t="str">
        <x:f t="shared" si="17">IF(AND(AQ27&gt;=$E27,TRUE),"ИЗУЧЕНО",IF(TRUE,"ОТКРЫТО","ЗАКРЫТО"))</x:f>
        <x:v>ОТКРЫТО</x:v>
      </x:c>
      <x:c r="BG27" t="str">
        <x:f t="shared" si="18">IFERROR(2025+MATCH("ИЗУЧЕНО",AR27:BF27,0),"")</x:f>
      </x:c>
      <x:c r="BH27" t="str">
        <x:f t="shared" si="19">IF(BG27="","",BG27+1)</x:f>
      </x:c>
    </x:row>
    <x:row r="28" ht="165.60000610351562">
      <x:c r="A28" s="3" t="s">
        <x:v>142</x:v>
      </x:c>
      <x:c r="B28" s="3" t="s">
        <x:v>122</x:v>
      </x:c>
      <x:c r="C28" s="3" t="s">
        <x:v>92</x:v>
      </x:c>
      <x:c r="D28" s="3" t="s">
        <x:v>143</x:v>
      </x:c>
      <x:c r="E28" s="3">
        <x:v>140</x:v>
      </x:c>
      <x:c r="F28" s="3" t="s">
        <x:v>138</x:v>
      </x:c>
      <x:c r="G28" s="3"/>
      <x:c r="H28" s="3"/>
      <x:c r="I28" s="3" t="s">
        <x:v>144</x:v>
      </x:c>
      <x:c r="J28" s="3" t="s">
        <x:v>145</x:v>
      </x:c>
      <x:c r="K28" s="4" t="n">
        <x:f>SUMIF('Ход 2026'!$G$29:$G$38,$A28,'Ход 2026'!$I$29:$I$38)*(1+'Эффекты технологий'!J$7)</x:f>
        <x:v>0</x:v>
      </x:c>
      <x:c r="L28" s="4" t="n">
        <x:f>SUMIF('Ход 2027'!$G$29:$G$38,$A28,'Ход 2027'!$I$29:$I$38)*(1+'Эффекты технологий'!K$7)</x:f>
        <x:v>0</x:v>
      </x:c>
      <x:c r="M28" s="4" t="n">
        <x:f>SUMIF('Ход 2028'!$G$29:$G$38,$A28,'Ход 2028'!$I$29:$I$38)*(1+'Эффекты технологий'!L$7)</x:f>
        <x:v>0</x:v>
      </x:c>
      <x:c r="N28" s="4" t="n">
        <x:f>SUMIF('Ход 2029'!$G$29:$G$38,$A28,'Ход 2029'!$I$29:$I$38)*(1+'Эффекты технологий'!M$7)</x:f>
        <x:v>0</x:v>
      </x:c>
      <x:c r="O28" s="4" t="n">
        <x:f>SUMIF('Ход 2030'!$G$29:$G$38,$A28,'Ход 2030'!$I$29:$I$38)*(1+'Эффекты технологий'!N$7)</x:f>
        <x:v>0</x:v>
      </x:c>
      <x:c r="P28" s="4" t="n">
        <x:f>SUMIF('Ход 2031'!$G$29:$G$38,$A28,'Ход 2031'!$I$29:$I$38)*(1+'Эффекты технологий'!O$7)</x:f>
        <x:v>0</x:v>
      </x:c>
      <x:c r="Q28" s="4" t="n">
        <x:f>SUMIF('Ход 2032'!$G$29:$G$38,$A28,'Ход 2032'!$I$29:$I$38)*(1+'Эффекты технологий'!P$7)</x:f>
        <x:v>0</x:v>
      </x:c>
      <x:c r="R28" s="4" t="n">
        <x:f>SUMIF('Ход 2033'!$G$29:$G$38,$A28,'Ход 2033'!$I$29:$I$38)*(1+'Эффекты технологий'!Q$7)</x:f>
        <x:v>0</x:v>
      </x:c>
      <x:c r="S28" s="4" t="n">
        <x:f>SUMIF('Ход 2034'!$G$29:$G$38,$A28,'Ход 2034'!$I$29:$I$38)*(1+'Эффекты технологий'!R$7)</x:f>
        <x:v>0</x:v>
      </x:c>
      <x:c r="T28" s="4" t="n">
        <x:f>SUMIF('Ход 2035'!$G$29:$G$38,$A28,'Ход 2035'!$I$29:$I$38)*(1+'Эффекты технологий'!S$7)</x:f>
        <x:v>0</x:v>
      </x:c>
      <x:c r="U28" s="4" t="n">
        <x:f>SUMIF('Ход 2036'!$G$29:$G$38,$A28,'Ход 2036'!$I$29:$I$38)*(1+'Эффекты технологий'!T$7)</x:f>
        <x:v>0</x:v>
      </x:c>
      <x:c r="V28" s="4" t="n">
        <x:f>SUMIF('Ход 2037'!$G$29:$G$38,$A28,'Ход 2037'!$I$29:$I$38)*(1+'Эффекты технологий'!U$7)</x:f>
        <x:v>0</x:v>
      </x:c>
      <x:c r="W28" s="4" t="n">
        <x:f>SUMIF('Ход 2038'!$G$29:$G$38,$A28,'Ход 2038'!$I$29:$I$38)*(1+'Эффекты технологий'!V$7)</x:f>
        <x:v>0</x:v>
      </x:c>
      <x:c r="X28" s="4" t="n">
        <x:f>SUMIF('Ход 2039'!$G$29:$G$38,$A28,'Ход 2039'!$I$29:$I$38)*(1+'Эффекты технологий'!W$7)</x:f>
        <x:v>0</x:v>
      </x:c>
      <x:c r="Y28" s="4" t="n">
        <x:f>SUMIF('Ход 2040'!$G$29:$G$38,$A28,'Ход 2040'!$I$29:$I$38)*(1+'Эффекты технологий'!X$7)</x:f>
        <x:v>0</x:v>
      </x:c>
      <x:c r="Z28" s="5" t="n">
        <x:f t="shared" si="0">SUM(K28:Y28)</x:f>
        <x:v>0</x:v>
      </x:c>
      <x:c r="AA28" s="5" t="n">
        <x:f t="shared" si="1">MAX(0,E28-Z28)</x:f>
        <x:v>140</x:v>
      </x:c>
      <x:c r="AB28" s="3" t="str">
        <x:f t="shared" si="2">BF28</x:f>
        <x:v>ОТКРЫТО</x:v>
      </x:c>
      <x:c r="AC28" t="n">
        <x:f>SUM($K28:K28)</x:f>
        <x:v>0</x:v>
      </x:c>
      <x:c r="AD28" t="n">
        <x:f>SUM($K28:L28)</x:f>
        <x:v>0</x:v>
      </x:c>
      <x:c r="AE28" t="n">
        <x:f>SUM($K28:M28)</x:f>
        <x:v>0</x:v>
      </x:c>
      <x:c r="AF28" t="n">
        <x:f>SUM($K28:N28)</x:f>
        <x:v>0</x:v>
      </x:c>
      <x:c r="AG28" t="n">
        <x:f>SUM($K28:O28)</x:f>
        <x:v>0</x:v>
      </x:c>
      <x:c r="AH28" t="n">
        <x:f>SUM($K28:P28)</x:f>
        <x:v>0</x:v>
      </x:c>
      <x:c r="AI28" t="n">
        <x:f>SUM($K28:Q28)</x:f>
        <x:v>0</x:v>
      </x:c>
      <x:c r="AJ28" t="n">
        <x:f>SUM($K28:R28)</x:f>
        <x:v>0</x:v>
      </x:c>
      <x:c r="AK28" t="n">
        <x:f>SUM($K28:S28)</x:f>
        <x:v>0</x:v>
      </x:c>
      <x:c r="AL28" t="n">
        <x:f>SUM($K28:T28)</x:f>
        <x:v>0</x:v>
      </x:c>
      <x:c r="AM28" t="n">
        <x:f>SUM($K28:U28)</x:f>
        <x:v>0</x:v>
      </x:c>
      <x:c r="AN28" t="n">
        <x:f>SUM($K28:V28)</x:f>
        <x:v>0</x:v>
      </x:c>
      <x:c r="AO28" t="n">
        <x:f>SUM($K28:W28)</x:f>
        <x:v>0</x:v>
      </x:c>
      <x:c r="AP28" t="n">
        <x:f>SUM($K28:X28)</x:f>
        <x:v>0</x:v>
      </x:c>
      <x:c r="AQ28" t="n">
        <x:f>SUM($K28:Y28)</x:f>
        <x:v>0</x:v>
      </x:c>
      <x:c r="AR28" t="str">
        <x:f t="shared" si="3">IF(AND(AC28&gt;=$E28,TRUE),"ИЗУЧЕНО",IF(TRUE,"ОТКРЫТО","ЗАКРЫТО"))</x:f>
        <x:v>ОТКРЫТО</x:v>
      </x:c>
      <x:c r="AS28" t="str">
        <x:f t="shared" si="4">IF(AND(AD28&gt;=$E28,TRUE),"ИЗУЧЕНО",IF(TRUE,"ОТКРЫТО","ЗАКРЫТО"))</x:f>
        <x:v>ОТКРЫТО</x:v>
      </x:c>
      <x:c r="AT28" t="str">
        <x:f t="shared" si="5">IF(AND(AE28&gt;=$E28,TRUE),"ИЗУЧЕНО",IF(TRUE,"ОТКРЫТО","ЗАКРЫТО"))</x:f>
        <x:v>ОТКРЫТО</x:v>
      </x:c>
      <x:c r="AU28" t="str">
        <x:f t="shared" si="6">IF(AND(AF28&gt;=$E28,TRUE),"ИЗУЧЕНО",IF(TRUE,"ОТКРЫТО","ЗАКРЫТО"))</x:f>
        <x:v>ОТКРЫТО</x:v>
      </x:c>
      <x:c r="AV28" t="str">
        <x:f t="shared" si="7">IF(AND(AG28&gt;=$E28,TRUE),"ИЗУЧЕНО",IF(TRUE,"ОТКРЫТО","ЗАКРЫТО"))</x:f>
        <x:v>ОТКРЫТО</x:v>
      </x:c>
      <x:c r="AW28" t="str">
        <x:f t="shared" si="8">IF(AND(AH28&gt;=$E28,TRUE),"ИЗУЧЕНО",IF(TRUE,"ОТКРЫТО","ЗАКРЫТО"))</x:f>
        <x:v>ОТКРЫТО</x:v>
      </x:c>
      <x:c r="AX28" t="str">
        <x:f t="shared" si="9">IF(AND(AI28&gt;=$E28,TRUE),"ИЗУЧЕНО",IF(TRUE,"ОТКРЫТО","ЗАКРЫТО"))</x:f>
        <x:v>ОТКРЫТО</x:v>
      </x:c>
      <x:c r="AY28" t="str">
        <x:f t="shared" si="10">IF(AND(AJ28&gt;=$E28,TRUE),"ИЗУЧЕНО",IF(TRUE,"ОТКРЫТО","ЗАКРЫТО"))</x:f>
        <x:v>ОТКРЫТО</x:v>
      </x:c>
      <x:c r="AZ28" t="str">
        <x:f t="shared" si="11">IF(AND(AK28&gt;=$E28,TRUE),"ИЗУЧЕНО",IF(TRUE,"ОТКРЫТО","ЗАКРЫТО"))</x:f>
        <x:v>ОТКРЫТО</x:v>
      </x:c>
      <x:c r="BA28" t="str">
        <x:f t="shared" si="12">IF(AND(AL28&gt;=$E28,TRUE),"ИЗУЧЕНО",IF(TRUE,"ОТКРЫТО","ЗАКРЫТО"))</x:f>
        <x:v>ОТКРЫТО</x:v>
      </x:c>
      <x:c r="BB28" t="str">
        <x:f t="shared" si="13">IF(AND(AM28&gt;=$E28,TRUE),"ИЗУЧЕНО",IF(TRUE,"ОТКРЫТО","ЗАКРЫТО"))</x:f>
        <x:v>ОТКРЫТО</x:v>
      </x:c>
      <x:c r="BC28" t="str">
        <x:f t="shared" si="14">IF(AND(AN28&gt;=$E28,TRUE),"ИЗУЧЕНО",IF(TRUE,"ОТКРЫТО","ЗАКРЫТО"))</x:f>
        <x:v>ОТКРЫТО</x:v>
      </x:c>
      <x:c r="BD28" t="str">
        <x:f t="shared" si="15">IF(AND(AO28&gt;=$E28,TRUE),"ИЗУЧЕНО",IF(TRUE,"ОТКРЫТО","ЗАКРЫТО"))</x:f>
        <x:v>ОТКРЫТО</x:v>
      </x:c>
      <x:c r="BE28" t="str">
        <x:f t="shared" si="16">IF(AND(AP28&gt;=$E28,TRUE),"ИЗУЧЕНО",IF(TRUE,"ОТКРЫТО","ЗАКРЫТО"))</x:f>
        <x:v>ОТКРЫТО</x:v>
      </x:c>
      <x:c r="BF28" t="str">
        <x:f t="shared" si="17">IF(AND(AQ28&gt;=$E28,TRUE),"ИЗУЧЕНО",IF(TRUE,"ОТКРЫТО","ЗАКРЫТО"))</x:f>
        <x:v>ОТКРЫТО</x:v>
      </x:c>
      <x:c r="BG28" t="str">
        <x:f t="shared" si="18">IFERROR(2025+MATCH("ИЗУЧЕНО",AR28:BF28,0),"")</x:f>
      </x:c>
      <x:c r="BH28" t="str">
        <x:f t="shared" si="19">IF(BG28="","",BG28+1)</x:f>
      </x:c>
    </x:row>
    <x:row r="29" ht="179.39999389648438">
      <x:c r="A29" s="3" t="s">
        <x:v>146</x:v>
      </x:c>
      <x:c r="B29" s="3" t="s">
        <x:v>147</x:v>
      </x:c>
      <x:c r="C29" s="3" t="s">
        <x:v>68</x:v>
      </x:c>
      <x:c r="D29" s="3" t="s">
        <x:v>148</x:v>
      </x:c>
      <x:c r="E29" s="3">
        <x:v>20</x:v>
      </x:c>
      <x:c r="F29" s="3"/>
      <x:c r="G29" s="3"/>
      <x:c r="H29" s="3"/>
      <x:c r="I29" s="3" t="s">
        <x:v>149</x:v>
      </x:c>
      <x:c r="J29" s="3" t="s">
        <x:v>150</x:v>
      </x:c>
      <x:c r="K29" s="4" t="n">
        <x:f>SUMIF('Ход 2026'!$G$29:$G$38,$A29,'Ход 2026'!$I$29:$I$38)*(1+'Эффекты технологий'!J$7+'Эффекты технологий'!J$9)</x:f>
        <x:v>0</x:v>
      </x:c>
      <x:c r="L29" s="4" t="n">
        <x:f>SUMIF('Ход 2027'!$G$29:$G$38,$A29,'Ход 2027'!$I$29:$I$38)*(1+'Эффекты технологий'!K$7+'Эффекты технологий'!K$9)</x:f>
        <x:v>0</x:v>
      </x:c>
      <x:c r="M29" s="4" t="n">
        <x:f>SUMIF('Ход 2028'!$G$29:$G$38,$A29,'Ход 2028'!$I$29:$I$38)*(1+'Эффекты технологий'!L$7+'Эффекты технологий'!L$9)</x:f>
        <x:v>0</x:v>
      </x:c>
      <x:c r="N29" s="4" t="n">
        <x:f>SUMIF('Ход 2029'!$G$29:$G$38,$A29,'Ход 2029'!$I$29:$I$38)*(1+'Эффекты технологий'!M$7+'Эффекты технологий'!M$9)</x:f>
        <x:v>0</x:v>
      </x:c>
      <x:c r="O29" s="4" t="n">
        <x:f>SUMIF('Ход 2030'!$G$29:$G$38,$A29,'Ход 2030'!$I$29:$I$38)*(1+'Эффекты технологий'!N$7+'Эффекты технологий'!N$9)</x:f>
        <x:v>0</x:v>
      </x:c>
      <x:c r="P29" s="4" t="n">
        <x:f>SUMIF('Ход 2031'!$G$29:$G$38,$A29,'Ход 2031'!$I$29:$I$38)*(1+'Эффекты технологий'!O$7+'Эффекты технологий'!O$9)</x:f>
        <x:v>0</x:v>
      </x:c>
      <x:c r="Q29" s="4" t="n">
        <x:f>SUMIF('Ход 2032'!$G$29:$G$38,$A29,'Ход 2032'!$I$29:$I$38)*(1+'Эффекты технологий'!P$7+'Эффекты технологий'!P$9)</x:f>
        <x:v>0</x:v>
      </x:c>
      <x:c r="R29" s="4" t="n">
        <x:f>SUMIF('Ход 2033'!$G$29:$G$38,$A29,'Ход 2033'!$I$29:$I$38)*(1+'Эффекты технологий'!Q$7+'Эффекты технологий'!Q$9)</x:f>
        <x:v>0</x:v>
      </x:c>
      <x:c r="S29" s="4" t="n">
        <x:f>SUMIF('Ход 2034'!$G$29:$G$38,$A29,'Ход 2034'!$I$29:$I$38)*(1+'Эффекты технологий'!R$7+'Эффекты технологий'!R$9)</x:f>
        <x:v>0</x:v>
      </x:c>
      <x:c r="T29" s="4" t="n">
        <x:f>SUMIF('Ход 2035'!$G$29:$G$38,$A29,'Ход 2035'!$I$29:$I$38)*(1+'Эффекты технологий'!S$7+'Эффекты технологий'!S$9)</x:f>
        <x:v>0</x:v>
      </x:c>
      <x:c r="U29" s="4" t="n">
        <x:f>SUMIF('Ход 2036'!$G$29:$G$38,$A29,'Ход 2036'!$I$29:$I$38)*(1+'Эффекты технологий'!T$7+'Эффекты технологий'!T$9)</x:f>
        <x:v>0</x:v>
      </x:c>
      <x:c r="V29" s="4" t="n">
        <x:f>SUMIF('Ход 2037'!$G$29:$G$38,$A29,'Ход 2037'!$I$29:$I$38)*(1+'Эффекты технологий'!U$7+'Эффекты технологий'!U$9)</x:f>
        <x:v>0</x:v>
      </x:c>
      <x:c r="W29" s="4" t="n">
        <x:f>SUMIF('Ход 2038'!$G$29:$G$38,$A29,'Ход 2038'!$I$29:$I$38)*(1+'Эффекты технологий'!V$7+'Эффекты технологий'!V$9)</x:f>
        <x:v>0</x:v>
      </x:c>
      <x:c r="X29" s="4" t="n">
        <x:f>SUMIF('Ход 2039'!$G$29:$G$38,$A29,'Ход 2039'!$I$29:$I$38)*(1+'Эффекты технологий'!W$7+'Эффекты технологий'!W$9)</x:f>
        <x:v>0</x:v>
      </x:c>
      <x:c r="Y29" s="4" t="n">
        <x:f>SUMIF('Ход 2040'!$G$29:$G$38,$A29,'Ход 2040'!$I$29:$I$38)*(1+'Эффекты технологий'!X$7+'Эффекты технологий'!X$9)</x:f>
        <x:v>0</x:v>
      </x:c>
      <x:c r="Z29" s="5" t="n">
        <x:f t="shared" si="0">SUM(K29:Y29)</x:f>
        <x:v>0</x:v>
      </x:c>
      <x:c r="AA29" s="5" t="n">
        <x:f t="shared" si="1">MAX(0,E29-Z29)</x:f>
        <x:v>20</x:v>
      </x:c>
      <x:c r="AB29" s="3" t="str">
        <x:f t="shared" si="2">BF29</x:f>
        <x:v>ОТКРЫТО</x:v>
      </x:c>
      <x:c r="AC29" t="n">
        <x:f>SUM($K29:K29)</x:f>
        <x:v>0</x:v>
      </x:c>
      <x:c r="AD29" t="n">
        <x:f>SUM($K29:L29)</x:f>
        <x:v>0</x:v>
      </x:c>
      <x:c r="AE29" t="n">
        <x:f>SUM($K29:M29)</x:f>
        <x:v>0</x:v>
      </x:c>
      <x:c r="AF29" t="n">
        <x:f>SUM($K29:N29)</x:f>
        <x:v>0</x:v>
      </x:c>
      <x:c r="AG29" t="n">
        <x:f>SUM($K29:O29)</x:f>
        <x:v>0</x:v>
      </x:c>
      <x:c r="AH29" t="n">
        <x:f>SUM($K29:P29)</x:f>
        <x:v>0</x:v>
      </x:c>
      <x:c r="AI29" t="n">
        <x:f>SUM($K29:Q29)</x:f>
        <x:v>0</x:v>
      </x:c>
      <x:c r="AJ29" t="n">
        <x:f>SUM($K29:R29)</x:f>
        <x:v>0</x:v>
      </x:c>
      <x:c r="AK29" t="n">
        <x:f>SUM($K29:S29)</x:f>
        <x:v>0</x:v>
      </x:c>
      <x:c r="AL29" t="n">
        <x:f>SUM($K29:T29)</x:f>
        <x:v>0</x:v>
      </x:c>
      <x:c r="AM29" t="n">
        <x:f>SUM($K29:U29)</x:f>
        <x:v>0</x:v>
      </x:c>
      <x:c r="AN29" t="n">
        <x:f>SUM($K29:V29)</x:f>
        <x:v>0</x:v>
      </x:c>
      <x:c r="AO29" t="n">
        <x:f>SUM($K29:W29)</x:f>
        <x:v>0</x:v>
      </x:c>
      <x:c r="AP29" t="n">
        <x:f>SUM($K29:X29)</x:f>
        <x:v>0</x:v>
      </x:c>
      <x:c r="AQ29" t="n">
        <x:f>SUM($K29:Y29)</x:f>
        <x:v>0</x:v>
      </x:c>
      <x:c r="AR29" t="str">
        <x:f t="shared" si="3">IF(AND(AC29&gt;=$E29,TRUE),"ИЗУЧЕНО",IF(TRUE,"ОТКРЫТО","ЗАКРЫТО"))</x:f>
        <x:v>ОТКРЫТО</x:v>
      </x:c>
      <x:c r="AS29" t="str">
        <x:f t="shared" si="4">IF(AND(AD29&gt;=$E29,TRUE),"ИЗУЧЕНО",IF(TRUE,"ОТКРЫТО","ЗАКРЫТО"))</x:f>
        <x:v>ОТКРЫТО</x:v>
      </x:c>
      <x:c r="AT29" t="str">
        <x:f t="shared" si="5">IF(AND(AE29&gt;=$E29,TRUE),"ИЗУЧЕНО",IF(TRUE,"ОТКРЫТО","ЗАКРЫТО"))</x:f>
        <x:v>ОТКРЫТО</x:v>
      </x:c>
      <x:c r="AU29" t="str">
        <x:f t="shared" si="6">IF(AND(AF29&gt;=$E29,TRUE),"ИЗУЧЕНО",IF(TRUE,"ОТКРЫТО","ЗАКРЫТО"))</x:f>
        <x:v>ОТКРЫТО</x:v>
      </x:c>
      <x:c r="AV29" t="str">
        <x:f t="shared" si="7">IF(AND(AG29&gt;=$E29,TRUE),"ИЗУЧЕНО",IF(TRUE,"ОТКРЫТО","ЗАКРЫТО"))</x:f>
        <x:v>ОТКРЫТО</x:v>
      </x:c>
      <x:c r="AW29" t="str">
        <x:f t="shared" si="8">IF(AND(AH29&gt;=$E29,TRUE),"ИЗУЧЕНО",IF(TRUE,"ОТКРЫТО","ЗАКРЫТО"))</x:f>
        <x:v>ОТКРЫТО</x:v>
      </x:c>
      <x:c r="AX29" t="str">
        <x:f t="shared" si="9">IF(AND(AI29&gt;=$E29,TRUE),"ИЗУЧЕНО",IF(TRUE,"ОТКРЫТО","ЗАКРЫТО"))</x:f>
        <x:v>ОТКРЫТО</x:v>
      </x:c>
      <x:c r="AY29" t="str">
        <x:f t="shared" si="10">IF(AND(AJ29&gt;=$E29,TRUE),"ИЗУЧЕНО",IF(TRUE,"ОТКРЫТО","ЗАКРЫТО"))</x:f>
        <x:v>ОТКРЫТО</x:v>
      </x:c>
      <x:c r="AZ29" t="str">
        <x:f t="shared" si="11">IF(AND(AK29&gt;=$E29,TRUE),"ИЗУЧЕНО",IF(TRUE,"ОТКРЫТО","ЗАКРЫТО"))</x:f>
        <x:v>ОТКРЫТО</x:v>
      </x:c>
      <x:c r="BA29" t="str">
        <x:f t="shared" si="12">IF(AND(AL29&gt;=$E29,TRUE),"ИЗУЧЕНО",IF(TRUE,"ОТКРЫТО","ЗАКРЫТО"))</x:f>
        <x:v>ОТКРЫТО</x:v>
      </x:c>
      <x:c r="BB29" t="str">
        <x:f t="shared" si="13">IF(AND(AM29&gt;=$E29,TRUE),"ИЗУЧЕНО",IF(TRUE,"ОТКРЫТО","ЗАКРЫТО"))</x:f>
        <x:v>ОТКРЫТО</x:v>
      </x:c>
      <x:c r="BC29" t="str">
        <x:f t="shared" si="14">IF(AND(AN29&gt;=$E29,TRUE),"ИЗУЧЕНО",IF(TRUE,"ОТКРЫТО","ЗАКРЫТО"))</x:f>
        <x:v>ОТКРЫТО</x:v>
      </x:c>
      <x:c r="BD29" t="str">
        <x:f t="shared" si="15">IF(AND(AO29&gt;=$E29,TRUE),"ИЗУЧЕНО",IF(TRUE,"ОТКРЫТО","ЗАКРЫТО"))</x:f>
        <x:v>ОТКРЫТО</x:v>
      </x:c>
      <x:c r="BE29" t="str">
        <x:f t="shared" si="16">IF(AND(AP29&gt;=$E29,TRUE),"ИЗУЧЕНО",IF(TRUE,"ОТКРЫТО","ЗАКРЫТО"))</x:f>
        <x:v>ОТКРЫТО</x:v>
      </x:c>
      <x:c r="BF29" t="str">
        <x:f t="shared" si="17">IF(AND(AQ29&gt;=$E29,TRUE),"ИЗУЧЕНО",IF(TRUE,"ОТКРЫТО","ЗАКРЫТО"))</x:f>
        <x:v>ОТКРЫТО</x:v>
      </x:c>
      <x:c r="BG29" t="str">
        <x:f t="shared" si="18">IFERROR(2025+MATCH("ИЗУЧЕНО",AR29:BF29,0),"")</x:f>
      </x:c>
      <x:c r="BH29" t="str">
        <x:f t="shared" si="19">IF(BG29="","",BG29+1)</x:f>
      </x:c>
    </x:row>
    <x:row r="30" ht="138">
      <x:c r="A30" s="3" t="s">
        <x:v>151</x:v>
      </x:c>
      <x:c r="B30" s="3" t="s">
        <x:v>147</x:v>
      </x:c>
      <x:c r="C30" s="3" t="s">
        <x:v>73</x:v>
      </x:c>
      <x:c r="D30" s="3" t="s">
        <x:v>152</x:v>
      </x:c>
      <x:c r="E30" s="3">
        <x:v>35</x:v>
      </x:c>
      <x:c r="F30" s="3" t="s">
        <x:v>146</x:v>
      </x:c>
      <x:c r="G30" s="3"/>
      <x:c r="H30" s="3"/>
      <x:c r="I30" s="3" t="s">
        <x:v>153</x:v>
      </x:c>
      <x:c r="J30" s="3" t="s">
        <x:v>154</x:v>
      </x:c>
      <x:c r="K30" s="4" t="n">
        <x:f>SUMIF('Ход 2026'!$G$29:$G$38,$A30,'Ход 2026'!$I$29:$I$38)*(1+'Эффекты технологий'!J$7+'Эффекты технологий'!J$9)</x:f>
        <x:v>0</x:v>
      </x:c>
      <x:c r="L30" s="4" t="n">
        <x:f>SUMIF('Ход 2027'!$G$29:$G$38,$A30,'Ход 2027'!$I$29:$I$38)*(1+'Эффекты технологий'!K$7+'Эффекты технологий'!K$9)</x:f>
        <x:v>0</x:v>
      </x:c>
      <x:c r="M30" s="4" t="n">
        <x:f>SUMIF('Ход 2028'!$G$29:$G$38,$A30,'Ход 2028'!$I$29:$I$38)*(1+'Эффекты технологий'!L$7+'Эффекты технологий'!L$9)</x:f>
        <x:v>0</x:v>
      </x:c>
      <x:c r="N30" s="4" t="n">
        <x:f>SUMIF('Ход 2029'!$G$29:$G$38,$A30,'Ход 2029'!$I$29:$I$38)*(1+'Эффекты технологий'!M$7+'Эффекты технологий'!M$9)</x:f>
        <x:v>0</x:v>
      </x:c>
      <x:c r="O30" s="4" t="n">
        <x:f>SUMIF('Ход 2030'!$G$29:$G$38,$A30,'Ход 2030'!$I$29:$I$38)*(1+'Эффекты технологий'!N$7+'Эффекты технологий'!N$9)</x:f>
        <x:v>0</x:v>
      </x:c>
      <x:c r="P30" s="4" t="n">
        <x:f>SUMIF('Ход 2031'!$G$29:$G$38,$A30,'Ход 2031'!$I$29:$I$38)*(1+'Эффекты технологий'!O$7+'Эффекты технологий'!O$9)</x:f>
        <x:v>0</x:v>
      </x:c>
      <x:c r="Q30" s="4" t="n">
        <x:f>SUMIF('Ход 2032'!$G$29:$G$38,$A30,'Ход 2032'!$I$29:$I$38)*(1+'Эффекты технологий'!P$7+'Эффекты технологий'!P$9)</x:f>
        <x:v>0</x:v>
      </x:c>
      <x:c r="R30" s="4" t="n">
        <x:f>SUMIF('Ход 2033'!$G$29:$G$38,$A30,'Ход 2033'!$I$29:$I$38)*(1+'Эффекты технологий'!Q$7+'Эффекты технологий'!Q$9)</x:f>
        <x:v>0</x:v>
      </x:c>
      <x:c r="S30" s="4" t="n">
        <x:f>SUMIF('Ход 2034'!$G$29:$G$38,$A30,'Ход 2034'!$I$29:$I$38)*(1+'Эффекты технологий'!R$7+'Эффекты технологий'!R$9)</x:f>
        <x:v>0</x:v>
      </x:c>
      <x:c r="T30" s="4" t="n">
        <x:f>SUMIF('Ход 2035'!$G$29:$G$38,$A30,'Ход 2035'!$I$29:$I$38)*(1+'Эффекты технологий'!S$7+'Эффекты технологий'!S$9)</x:f>
        <x:v>0</x:v>
      </x:c>
      <x:c r="U30" s="4" t="n">
        <x:f>SUMIF('Ход 2036'!$G$29:$G$38,$A30,'Ход 2036'!$I$29:$I$38)*(1+'Эффекты технологий'!T$7+'Эффекты технологий'!T$9)</x:f>
        <x:v>0</x:v>
      </x:c>
      <x:c r="V30" s="4" t="n">
        <x:f>SUMIF('Ход 2037'!$G$29:$G$38,$A30,'Ход 2037'!$I$29:$I$38)*(1+'Эффекты технологий'!U$7+'Эффекты технологий'!U$9)</x:f>
        <x:v>0</x:v>
      </x:c>
      <x:c r="W30" s="4" t="n">
        <x:f>SUMIF('Ход 2038'!$G$29:$G$38,$A30,'Ход 2038'!$I$29:$I$38)*(1+'Эффекты технологий'!V$7+'Эффекты технологий'!V$9)</x:f>
        <x:v>0</x:v>
      </x:c>
      <x:c r="X30" s="4" t="n">
        <x:f>SUMIF('Ход 2039'!$G$29:$G$38,$A30,'Ход 2039'!$I$29:$I$38)*(1+'Эффекты технологий'!W$7+'Эффекты технологий'!W$9)</x:f>
        <x:v>0</x:v>
      </x:c>
      <x:c r="Y30" s="4" t="n">
        <x:f>SUMIF('Ход 2040'!$G$29:$G$38,$A30,'Ход 2040'!$I$29:$I$38)*(1+'Эффекты технологий'!X$7+'Эффекты технологий'!X$9)</x:f>
        <x:v>0</x:v>
      </x:c>
      <x:c r="Z30" s="5" t="n">
        <x:f t="shared" si="0">SUM(K30:Y30)</x:f>
        <x:v>0</x:v>
      </x:c>
      <x:c r="AA30" s="5" t="n">
        <x:f t="shared" si="1">MAX(0,E30-Z30)</x:f>
        <x:v>35</x:v>
      </x:c>
      <x:c r="AB30" s="3" t="str">
        <x:f t="shared" si="2">BF30</x:f>
        <x:v>ОТКРЫТО</x:v>
      </x:c>
      <x:c r="AC30" t="n">
        <x:f>SUM($K30:K30)</x:f>
        <x:v>0</x:v>
      </x:c>
      <x:c r="AD30" t="n">
        <x:f>SUM($K30:L30)</x:f>
        <x:v>0</x:v>
      </x:c>
      <x:c r="AE30" t="n">
        <x:f>SUM($K30:M30)</x:f>
        <x:v>0</x:v>
      </x:c>
      <x:c r="AF30" t="n">
        <x:f>SUM($K30:N30)</x:f>
        <x:v>0</x:v>
      </x:c>
      <x:c r="AG30" t="n">
        <x:f>SUM($K30:O30)</x:f>
        <x:v>0</x:v>
      </x:c>
      <x:c r="AH30" t="n">
        <x:f>SUM($K30:P30)</x:f>
        <x:v>0</x:v>
      </x:c>
      <x:c r="AI30" t="n">
        <x:f>SUM($K30:Q30)</x:f>
        <x:v>0</x:v>
      </x:c>
      <x:c r="AJ30" t="n">
        <x:f>SUM($K30:R30)</x:f>
        <x:v>0</x:v>
      </x:c>
      <x:c r="AK30" t="n">
        <x:f>SUM($K30:S30)</x:f>
        <x:v>0</x:v>
      </x:c>
      <x:c r="AL30" t="n">
        <x:f>SUM($K30:T30)</x:f>
        <x:v>0</x:v>
      </x:c>
      <x:c r="AM30" t="n">
        <x:f>SUM($K30:U30)</x:f>
        <x:v>0</x:v>
      </x:c>
      <x:c r="AN30" t="n">
        <x:f>SUM($K30:V30)</x:f>
        <x:v>0</x:v>
      </x:c>
      <x:c r="AO30" t="n">
        <x:f>SUM($K30:W30)</x:f>
        <x:v>0</x:v>
      </x:c>
      <x:c r="AP30" t="n">
        <x:f>SUM($K30:X30)</x:f>
        <x:v>0</x:v>
      </x:c>
      <x:c r="AQ30" t="n">
        <x:f>SUM($K30:Y30)</x:f>
        <x:v>0</x:v>
      </x:c>
      <x:c r="AR30" t="str">
        <x:f t="shared" si="3">IF(AND(AC30&gt;=$E30,TRUE),"ИЗУЧЕНО",IF(TRUE,"ОТКРЫТО","ЗАКРЫТО"))</x:f>
        <x:v>ОТКРЫТО</x:v>
      </x:c>
      <x:c r="AS30" t="str">
        <x:f t="shared" si="4">IF(AND(AD30&gt;=$E30,TRUE),"ИЗУЧЕНО",IF(TRUE,"ОТКРЫТО","ЗАКРЫТО"))</x:f>
        <x:v>ОТКРЫТО</x:v>
      </x:c>
      <x:c r="AT30" t="str">
        <x:f t="shared" si="5">IF(AND(AE30&gt;=$E30,TRUE),"ИЗУЧЕНО",IF(TRUE,"ОТКРЫТО","ЗАКРЫТО"))</x:f>
        <x:v>ОТКРЫТО</x:v>
      </x:c>
      <x:c r="AU30" t="str">
        <x:f t="shared" si="6">IF(AND(AF30&gt;=$E30,TRUE),"ИЗУЧЕНО",IF(TRUE,"ОТКРЫТО","ЗАКРЫТО"))</x:f>
        <x:v>ОТКРЫТО</x:v>
      </x:c>
      <x:c r="AV30" t="str">
        <x:f t="shared" si="7">IF(AND(AG30&gt;=$E30,TRUE),"ИЗУЧЕНО",IF(TRUE,"ОТКРЫТО","ЗАКРЫТО"))</x:f>
        <x:v>ОТКРЫТО</x:v>
      </x:c>
      <x:c r="AW30" t="str">
        <x:f t="shared" si="8">IF(AND(AH30&gt;=$E30,TRUE),"ИЗУЧЕНО",IF(TRUE,"ОТКРЫТО","ЗАКРЫТО"))</x:f>
        <x:v>ОТКРЫТО</x:v>
      </x:c>
      <x:c r="AX30" t="str">
        <x:f t="shared" si="9">IF(AND(AI30&gt;=$E30,TRUE),"ИЗУЧЕНО",IF(TRUE,"ОТКРЫТО","ЗАКРЫТО"))</x:f>
        <x:v>ОТКРЫТО</x:v>
      </x:c>
      <x:c r="AY30" t="str">
        <x:f t="shared" si="10">IF(AND(AJ30&gt;=$E30,TRUE),"ИЗУЧЕНО",IF(TRUE,"ОТКРЫТО","ЗАКРЫТО"))</x:f>
        <x:v>ОТКРЫТО</x:v>
      </x:c>
      <x:c r="AZ30" t="str">
        <x:f t="shared" si="11">IF(AND(AK30&gt;=$E30,TRUE),"ИЗУЧЕНО",IF(TRUE,"ОТКРЫТО","ЗАКРЫТО"))</x:f>
        <x:v>ОТКРЫТО</x:v>
      </x:c>
      <x:c r="BA30" t="str">
        <x:f t="shared" si="12">IF(AND(AL30&gt;=$E30,TRUE),"ИЗУЧЕНО",IF(TRUE,"ОТКРЫТО","ЗАКРЫТО"))</x:f>
        <x:v>ОТКРЫТО</x:v>
      </x:c>
      <x:c r="BB30" t="str">
        <x:f t="shared" si="13">IF(AND(AM30&gt;=$E30,TRUE),"ИЗУЧЕНО",IF(TRUE,"ОТКРЫТО","ЗАКРЫТО"))</x:f>
        <x:v>ОТКРЫТО</x:v>
      </x:c>
      <x:c r="BC30" t="str">
        <x:f t="shared" si="14">IF(AND(AN30&gt;=$E30,TRUE),"ИЗУЧЕНО",IF(TRUE,"ОТКРЫТО","ЗАКРЫТО"))</x:f>
        <x:v>ОТКРЫТО</x:v>
      </x:c>
      <x:c r="BD30" t="str">
        <x:f t="shared" si="15">IF(AND(AO30&gt;=$E30,TRUE),"ИЗУЧЕНО",IF(TRUE,"ОТКРЫТО","ЗАКРЫТО"))</x:f>
        <x:v>ОТКРЫТО</x:v>
      </x:c>
      <x:c r="BE30" t="str">
        <x:f t="shared" si="16">IF(AND(AP30&gt;=$E30,TRUE),"ИЗУЧЕНО",IF(TRUE,"ОТКРЫТО","ЗАКРЫТО"))</x:f>
        <x:v>ОТКРЫТО</x:v>
      </x:c>
      <x:c r="BF30" t="str">
        <x:f t="shared" si="17">IF(AND(AQ30&gt;=$E30,TRUE),"ИЗУЧЕНО",IF(TRUE,"ОТКРЫТО","ЗАКРЫТО"))</x:f>
        <x:v>ОТКРЫТО</x:v>
      </x:c>
      <x:c r="BG30" t="str">
        <x:f t="shared" si="18">IFERROR(2025+MATCH("ИЗУЧЕНО",AR30:BF30,0),"")</x:f>
      </x:c>
      <x:c r="BH30" t="str">
        <x:f t="shared" si="19">IF(BG30="","",BG30+1)</x:f>
      </x:c>
    </x:row>
    <x:row r="31" ht="165.60000610351562">
      <x:c r="A31" s="3" t="s">
        <x:v>155</x:v>
      </x:c>
      <x:c r="B31" s="3" t="s">
        <x:v>147</x:v>
      </x:c>
      <x:c r="C31" s="3" t="s">
        <x:v>82</x:v>
      </x:c>
      <x:c r="D31" s="3" t="s">
        <x:v>156</x:v>
      </x:c>
      <x:c r="E31" s="3">
        <x:v>55</x:v>
      </x:c>
      <x:c r="F31" s="3" t="s">
        <x:v>151</x:v>
      </x:c>
      <x:c r="G31" s="3"/>
      <x:c r="H31" s="3"/>
      <x:c r="I31" s="3" t="s">
        <x:v>157</x:v>
      </x:c>
      <x:c r="J31" s="3" t="s">
        <x:v>158</x:v>
      </x:c>
      <x:c r="K31" s="4" t="n">
        <x:f>SUMIF('Ход 2026'!$G$29:$G$38,$A31,'Ход 2026'!$I$29:$I$38)*(1+'Эффекты технологий'!J$7+'Эффекты технологий'!J$9)</x:f>
        <x:v>0</x:v>
      </x:c>
      <x:c r="L31" s="4" t="n">
        <x:f>SUMIF('Ход 2027'!$G$29:$G$38,$A31,'Ход 2027'!$I$29:$I$38)*(1+'Эффекты технологий'!K$7+'Эффекты технологий'!K$9)</x:f>
        <x:v>0</x:v>
      </x:c>
      <x:c r="M31" s="4" t="n">
        <x:f>SUMIF('Ход 2028'!$G$29:$G$38,$A31,'Ход 2028'!$I$29:$I$38)*(1+'Эффекты технологий'!L$7+'Эффекты технологий'!L$9)</x:f>
        <x:v>0</x:v>
      </x:c>
      <x:c r="N31" s="4" t="n">
        <x:f>SUMIF('Ход 2029'!$G$29:$G$38,$A31,'Ход 2029'!$I$29:$I$38)*(1+'Эффекты технологий'!M$7+'Эффекты технологий'!M$9)</x:f>
        <x:v>0</x:v>
      </x:c>
      <x:c r="O31" s="4" t="n">
        <x:f>SUMIF('Ход 2030'!$G$29:$G$38,$A31,'Ход 2030'!$I$29:$I$38)*(1+'Эффекты технологий'!N$7+'Эффекты технологий'!N$9)</x:f>
        <x:v>0</x:v>
      </x:c>
      <x:c r="P31" s="4" t="n">
        <x:f>SUMIF('Ход 2031'!$G$29:$G$38,$A31,'Ход 2031'!$I$29:$I$38)*(1+'Эффекты технологий'!O$7+'Эффекты технологий'!O$9)</x:f>
        <x:v>0</x:v>
      </x:c>
      <x:c r="Q31" s="4" t="n">
        <x:f>SUMIF('Ход 2032'!$G$29:$G$38,$A31,'Ход 2032'!$I$29:$I$38)*(1+'Эффекты технологий'!P$7+'Эффекты технологий'!P$9)</x:f>
        <x:v>0</x:v>
      </x:c>
      <x:c r="R31" s="4" t="n">
        <x:f>SUMIF('Ход 2033'!$G$29:$G$38,$A31,'Ход 2033'!$I$29:$I$38)*(1+'Эффекты технологий'!Q$7+'Эффекты технологий'!Q$9)</x:f>
        <x:v>0</x:v>
      </x:c>
      <x:c r="S31" s="4" t="n">
        <x:f>SUMIF('Ход 2034'!$G$29:$G$38,$A31,'Ход 2034'!$I$29:$I$38)*(1+'Эффекты технологий'!R$7+'Эффекты технологий'!R$9)</x:f>
        <x:v>0</x:v>
      </x:c>
      <x:c r="T31" s="4" t="n">
        <x:f>SUMIF('Ход 2035'!$G$29:$G$38,$A31,'Ход 2035'!$I$29:$I$38)*(1+'Эффекты технологий'!S$7+'Эффекты технологий'!S$9)</x:f>
        <x:v>0</x:v>
      </x:c>
      <x:c r="U31" s="4" t="n">
        <x:f>SUMIF('Ход 2036'!$G$29:$G$38,$A31,'Ход 2036'!$I$29:$I$38)*(1+'Эффекты технологий'!T$7+'Эффекты технологий'!T$9)</x:f>
        <x:v>0</x:v>
      </x:c>
      <x:c r="V31" s="4" t="n">
        <x:f>SUMIF('Ход 2037'!$G$29:$G$38,$A31,'Ход 2037'!$I$29:$I$38)*(1+'Эффекты технологий'!U$7+'Эффекты технологий'!U$9)</x:f>
        <x:v>0</x:v>
      </x:c>
      <x:c r="W31" s="4" t="n">
        <x:f>SUMIF('Ход 2038'!$G$29:$G$38,$A31,'Ход 2038'!$I$29:$I$38)*(1+'Эффекты технологий'!V$7+'Эффекты технологий'!V$9)</x:f>
        <x:v>0</x:v>
      </x:c>
      <x:c r="X31" s="4" t="n">
        <x:f>SUMIF('Ход 2039'!$G$29:$G$38,$A31,'Ход 2039'!$I$29:$I$38)*(1+'Эффекты технологий'!W$7+'Эффекты технологий'!W$9)</x:f>
        <x:v>0</x:v>
      </x:c>
      <x:c r="Y31" s="4" t="n">
        <x:f>SUMIF('Ход 2040'!$G$29:$G$38,$A31,'Ход 2040'!$I$29:$I$38)*(1+'Эффекты технологий'!X$7+'Эффекты технологий'!X$9)</x:f>
        <x:v>0</x:v>
      </x:c>
      <x:c r="Z31" s="5" t="n">
        <x:f t="shared" si="0">SUM(K31:Y31)</x:f>
        <x:v>0</x:v>
      </x:c>
      <x:c r="AA31" s="5" t="n">
        <x:f t="shared" si="1">MAX(0,E31-Z31)</x:f>
        <x:v>55</x:v>
      </x:c>
      <x:c r="AB31" s="3" t="str">
        <x:f t="shared" si="2">BF31</x:f>
        <x:v>ОТКРЫТО</x:v>
      </x:c>
      <x:c r="AC31" t="n">
        <x:f>SUM($K31:K31)</x:f>
        <x:v>0</x:v>
      </x:c>
      <x:c r="AD31" t="n">
        <x:f>SUM($K31:L31)</x:f>
        <x:v>0</x:v>
      </x:c>
      <x:c r="AE31" t="n">
        <x:f>SUM($K31:M31)</x:f>
        <x:v>0</x:v>
      </x:c>
      <x:c r="AF31" t="n">
        <x:f>SUM($K31:N31)</x:f>
        <x:v>0</x:v>
      </x:c>
      <x:c r="AG31" t="n">
        <x:f>SUM($K31:O31)</x:f>
        <x:v>0</x:v>
      </x:c>
      <x:c r="AH31" t="n">
        <x:f>SUM($K31:P31)</x:f>
        <x:v>0</x:v>
      </x:c>
      <x:c r="AI31" t="n">
        <x:f>SUM($K31:Q31)</x:f>
        <x:v>0</x:v>
      </x:c>
      <x:c r="AJ31" t="n">
        <x:f>SUM($K31:R31)</x:f>
        <x:v>0</x:v>
      </x:c>
      <x:c r="AK31" t="n">
        <x:f>SUM($K31:S31)</x:f>
        <x:v>0</x:v>
      </x:c>
      <x:c r="AL31" t="n">
        <x:f>SUM($K31:T31)</x:f>
        <x:v>0</x:v>
      </x:c>
      <x:c r="AM31" t="n">
        <x:f>SUM($K31:U31)</x:f>
        <x:v>0</x:v>
      </x:c>
      <x:c r="AN31" t="n">
        <x:f>SUM($K31:V31)</x:f>
        <x:v>0</x:v>
      </x:c>
      <x:c r="AO31" t="n">
        <x:f>SUM($K31:W31)</x:f>
        <x:v>0</x:v>
      </x:c>
      <x:c r="AP31" t="n">
        <x:f>SUM($K31:X31)</x:f>
        <x:v>0</x:v>
      </x:c>
      <x:c r="AQ31" t="n">
        <x:f>SUM($K31:Y31)</x:f>
        <x:v>0</x:v>
      </x:c>
      <x:c r="AR31" t="str">
        <x:f t="shared" si="3">IF(AND(AC31&gt;=$E31,TRUE),"ИЗУЧЕНО",IF(TRUE,"ОТКРЫТО","ЗАКРЫТО"))</x:f>
        <x:v>ОТКРЫТО</x:v>
      </x:c>
      <x:c r="AS31" t="str">
        <x:f t="shared" si="4">IF(AND(AD31&gt;=$E31,TRUE),"ИЗУЧЕНО",IF(TRUE,"ОТКРЫТО","ЗАКРЫТО"))</x:f>
        <x:v>ОТКРЫТО</x:v>
      </x:c>
      <x:c r="AT31" t="str">
        <x:f t="shared" si="5">IF(AND(AE31&gt;=$E31,TRUE),"ИЗУЧЕНО",IF(TRUE,"ОТКРЫТО","ЗАКРЫТО"))</x:f>
        <x:v>ОТКРЫТО</x:v>
      </x:c>
      <x:c r="AU31" t="str">
        <x:f t="shared" si="6">IF(AND(AF31&gt;=$E31,TRUE),"ИЗУЧЕНО",IF(TRUE,"ОТКРЫТО","ЗАКРЫТО"))</x:f>
        <x:v>ОТКРЫТО</x:v>
      </x:c>
      <x:c r="AV31" t="str">
        <x:f t="shared" si="7">IF(AND(AG31&gt;=$E31,TRUE),"ИЗУЧЕНО",IF(TRUE,"ОТКРЫТО","ЗАКРЫТО"))</x:f>
        <x:v>ОТКРЫТО</x:v>
      </x:c>
      <x:c r="AW31" t="str">
        <x:f t="shared" si="8">IF(AND(AH31&gt;=$E31,TRUE),"ИЗУЧЕНО",IF(TRUE,"ОТКРЫТО","ЗАКРЫТО"))</x:f>
        <x:v>ОТКРЫТО</x:v>
      </x:c>
      <x:c r="AX31" t="str">
        <x:f t="shared" si="9">IF(AND(AI31&gt;=$E31,TRUE),"ИЗУЧЕНО",IF(TRUE,"ОТКРЫТО","ЗАКРЫТО"))</x:f>
        <x:v>ОТКРЫТО</x:v>
      </x:c>
      <x:c r="AY31" t="str">
        <x:f t="shared" si="10">IF(AND(AJ31&gt;=$E31,TRUE),"ИЗУЧЕНО",IF(TRUE,"ОТКРЫТО","ЗАКРЫТО"))</x:f>
        <x:v>ОТКРЫТО</x:v>
      </x:c>
      <x:c r="AZ31" t="str">
        <x:f t="shared" si="11">IF(AND(AK31&gt;=$E31,TRUE),"ИЗУЧЕНО",IF(TRUE,"ОТКРЫТО","ЗАКРЫТО"))</x:f>
        <x:v>ОТКРЫТО</x:v>
      </x:c>
      <x:c r="BA31" t="str">
        <x:f t="shared" si="12">IF(AND(AL31&gt;=$E31,TRUE),"ИЗУЧЕНО",IF(TRUE,"ОТКРЫТО","ЗАКРЫТО"))</x:f>
        <x:v>ОТКРЫТО</x:v>
      </x:c>
      <x:c r="BB31" t="str">
        <x:f t="shared" si="13">IF(AND(AM31&gt;=$E31,TRUE),"ИЗУЧЕНО",IF(TRUE,"ОТКРЫТО","ЗАКРЫТО"))</x:f>
        <x:v>ОТКРЫТО</x:v>
      </x:c>
      <x:c r="BC31" t="str">
        <x:f t="shared" si="14">IF(AND(AN31&gt;=$E31,TRUE),"ИЗУЧЕНО",IF(TRUE,"ОТКРЫТО","ЗАКРЫТО"))</x:f>
        <x:v>ОТКРЫТО</x:v>
      </x:c>
      <x:c r="BD31" t="str">
        <x:f t="shared" si="15">IF(AND(AO31&gt;=$E31,TRUE),"ИЗУЧЕНО",IF(TRUE,"ОТКРЫТО","ЗАКРЫТО"))</x:f>
        <x:v>ОТКРЫТО</x:v>
      </x:c>
      <x:c r="BE31" t="str">
        <x:f t="shared" si="16">IF(AND(AP31&gt;=$E31,TRUE),"ИЗУЧЕНО",IF(TRUE,"ОТКРЫТО","ЗАКРЫТО"))</x:f>
        <x:v>ОТКРЫТО</x:v>
      </x:c>
      <x:c r="BF31" t="str">
        <x:f t="shared" si="17">IF(AND(AQ31&gt;=$E31,TRUE),"ИЗУЧЕНО",IF(TRUE,"ОТКРЫТО","ЗАКРЫТО"))</x:f>
        <x:v>ОТКРЫТО</x:v>
      </x:c>
      <x:c r="BG31" t="str">
        <x:f t="shared" si="18">IFERROR(2025+MATCH("ИЗУЧЕНО",AR31:BF31,0),"")</x:f>
      </x:c>
      <x:c r="BH31" t="str">
        <x:f t="shared" si="19">IF(BG31="","",BG31+1)</x:f>
      </x:c>
    </x:row>
    <x:row r="32" ht="179.39999389648438">
      <x:c r="A32" s="3" t="s">
        <x:v>159</x:v>
      </x:c>
      <x:c r="B32" s="3" t="s">
        <x:v>147</x:v>
      </x:c>
      <x:c r="C32" s="3" t="s">
        <x:v>82</x:v>
      </x:c>
      <x:c r="D32" s="3" t="s">
        <x:v>160</x:v>
      </x:c>
      <x:c r="E32" s="3">
        <x:v>70</x:v>
      </x:c>
      <x:c r="F32" s="3" t="s">
        <x:v>155</x:v>
      </x:c>
      <x:c r="G32" s="3"/>
      <x:c r="H32" s="3"/>
      <x:c r="I32" s="3" t="s">
        <x:v>161</x:v>
      </x:c>
      <x:c r="J32" s="3" t="s">
        <x:v>162</x:v>
      </x:c>
      <x:c r="K32" s="4" t="n">
        <x:f>SUMIF('Ход 2026'!$G$29:$G$38,$A32,'Ход 2026'!$I$29:$I$38)*(1+'Эффекты технологий'!J$7+'Эффекты технологий'!J$9)</x:f>
        <x:v>0</x:v>
      </x:c>
      <x:c r="L32" s="4" t="n">
        <x:f>SUMIF('Ход 2027'!$G$29:$G$38,$A32,'Ход 2027'!$I$29:$I$38)*(1+'Эффекты технологий'!K$7+'Эффекты технологий'!K$9)</x:f>
        <x:v>0</x:v>
      </x:c>
      <x:c r="M32" s="4" t="n">
        <x:f>SUMIF('Ход 2028'!$G$29:$G$38,$A32,'Ход 2028'!$I$29:$I$38)*(1+'Эффекты технологий'!L$7+'Эффекты технологий'!L$9)</x:f>
        <x:v>0</x:v>
      </x:c>
      <x:c r="N32" s="4" t="n">
        <x:f>SUMIF('Ход 2029'!$G$29:$G$38,$A32,'Ход 2029'!$I$29:$I$38)*(1+'Эффекты технологий'!M$7+'Эффекты технологий'!M$9)</x:f>
        <x:v>0</x:v>
      </x:c>
      <x:c r="O32" s="4" t="n">
        <x:f>SUMIF('Ход 2030'!$G$29:$G$38,$A32,'Ход 2030'!$I$29:$I$38)*(1+'Эффекты технологий'!N$7+'Эффекты технологий'!N$9)</x:f>
        <x:v>0</x:v>
      </x:c>
      <x:c r="P32" s="4" t="n">
        <x:f>SUMIF('Ход 2031'!$G$29:$G$38,$A32,'Ход 2031'!$I$29:$I$38)*(1+'Эффекты технологий'!O$7+'Эффекты технологий'!O$9)</x:f>
        <x:v>0</x:v>
      </x:c>
      <x:c r="Q32" s="4" t="n">
        <x:f>SUMIF('Ход 2032'!$G$29:$G$38,$A32,'Ход 2032'!$I$29:$I$38)*(1+'Эффекты технологий'!P$7+'Эффекты технологий'!P$9)</x:f>
        <x:v>0</x:v>
      </x:c>
      <x:c r="R32" s="4" t="n">
        <x:f>SUMIF('Ход 2033'!$G$29:$G$38,$A32,'Ход 2033'!$I$29:$I$38)*(1+'Эффекты технологий'!Q$7+'Эффекты технологий'!Q$9)</x:f>
        <x:v>0</x:v>
      </x:c>
      <x:c r="S32" s="4" t="n">
        <x:f>SUMIF('Ход 2034'!$G$29:$G$38,$A32,'Ход 2034'!$I$29:$I$38)*(1+'Эффекты технологий'!R$7+'Эффекты технологий'!R$9)</x:f>
        <x:v>0</x:v>
      </x:c>
      <x:c r="T32" s="4" t="n">
        <x:f>SUMIF('Ход 2035'!$G$29:$G$38,$A32,'Ход 2035'!$I$29:$I$38)*(1+'Эффекты технологий'!S$7+'Эффекты технологий'!S$9)</x:f>
        <x:v>0</x:v>
      </x:c>
      <x:c r="U32" s="4" t="n">
        <x:f>SUMIF('Ход 2036'!$G$29:$G$38,$A32,'Ход 2036'!$I$29:$I$38)*(1+'Эффекты технологий'!T$7+'Эффекты технологий'!T$9)</x:f>
        <x:v>0</x:v>
      </x:c>
      <x:c r="V32" s="4" t="n">
        <x:f>SUMIF('Ход 2037'!$G$29:$G$38,$A32,'Ход 2037'!$I$29:$I$38)*(1+'Эффекты технологий'!U$7+'Эффекты технологий'!U$9)</x:f>
        <x:v>0</x:v>
      </x:c>
      <x:c r="W32" s="4" t="n">
        <x:f>SUMIF('Ход 2038'!$G$29:$G$38,$A32,'Ход 2038'!$I$29:$I$38)*(1+'Эффекты технологий'!V$7+'Эффекты технологий'!V$9)</x:f>
        <x:v>0</x:v>
      </x:c>
      <x:c r="X32" s="4" t="n">
        <x:f>SUMIF('Ход 2039'!$G$29:$G$38,$A32,'Ход 2039'!$I$29:$I$38)*(1+'Эффекты технологий'!W$7+'Эффекты технологий'!W$9)</x:f>
        <x:v>0</x:v>
      </x:c>
      <x:c r="Y32" s="4" t="n">
        <x:f>SUMIF('Ход 2040'!$G$29:$G$38,$A32,'Ход 2040'!$I$29:$I$38)*(1+'Эффекты технологий'!X$7+'Эффекты технологий'!X$9)</x:f>
        <x:v>0</x:v>
      </x:c>
      <x:c r="Z32" s="5" t="n">
        <x:f t="shared" si="0">SUM(K32:Y32)</x:f>
        <x:v>0</x:v>
      </x:c>
      <x:c r="AA32" s="5" t="n">
        <x:f t="shared" si="1">MAX(0,E32-Z32)</x:f>
        <x:v>70</x:v>
      </x:c>
      <x:c r="AB32" s="3" t="str">
        <x:f t="shared" si="2">BF32</x:f>
        <x:v>ОТКРЫТО</x:v>
      </x:c>
      <x:c r="AC32" t="n">
        <x:f>SUM($K32:K32)</x:f>
        <x:v>0</x:v>
      </x:c>
      <x:c r="AD32" t="n">
        <x:f>SUM($K32:L32)</x:f>
        <x:v>0</x:v>
      </x:c>
      <x:c r="AE32" t="n">
        <x:f>SUM($K32:M32)</x:f>
        <x:v>0</x:v>
      </x:c>
      <x:c r="AF32" t="n">
        <x:f>SUM($K32:N32)</x:f>
        <x:v>0</x:v>
      </x:c>
      <x:c r="AG32" t="n">
        <x:f>SUM($K32:O32)</x:f>
        <x:v>0</x:v>
      </x:c>
      <x:c r="AH32" t="n">
        <x:f>SUM($K32:P32)</x:f>
        <x:v>0</x:v>
      </x:c>
      <x:c r="AI32" t="n">
        <x:f>SUM($K32:Q32)</x:f>
        <x:v>0</x:v>
      </x:c>
      <x:c r="AJ32" t="n">
        <x:f>SUM($K32:R32)</x:f>
        <x:v>0</x:v>
      </x:c>
      <x:c r="AK32" t="n">
        <x:f>SUM($K32:S32)</x:f>
        <x:v>0</x:v>
      </x:c>
      <x:c r="AL32" t="n">
        <x:f>SUM($K32:T32)</x:f>
        <x:v>0</x:v>
      </x:c>
      <x:c r="AM32" t="n">
        <x:f>SUM($K32:U32)</x:f>
        <x:v>0</x:v>
      </x:c>
      <x:c r="AN32" t="n">
        <x:f>SUM($K32:V32)</x:f>
        <x:v>0</x:v>
      </x:c>
      <x:c r="AO32" t="n">
        <x:f>SUM($K32:W32)</x:f>
        <x:v>0</x:v>
      </x:c>
      <x:c r="AP32" t="n">
        <x:f>SUM($K32:X32)</x:f>
        <x:v>0</x:v>
      </x:c>
      <x:c r="AQ32" t="n">
        <x:f>SUM($K32:Y32)</x:f>
        <x:v>0</x:v>
      </x:c>
      <x:c r="AR32" t="str">
        <x:f t="shared" si="3">IF(AND(AC32&gt;=$E32,TRUE),"ИЗУЧЕНО",IF(TRUE,"ОТКРЫТО","ЗАКРЫТО"))</x:f>
        <x:v>ОТКРЫТО</x:v>
      </x:c>
      <x:c r="AS32" t="str">
        <x:f t="shared" si="4">IF(AND(AD32&gt;=$E32,TRUE),"ИЗУЧЕНО",IF(TRUE,"ОТКРЫТО","ЗАКРЫТО"))</x:f>
        <x:v>ОТКРЫТО</x:v>
      </x:c>
      <x:c r="AT32" t="str">
        <x:f t="shared" si="5">IF(AND(AE32&gt;=$E32,TRUE),"ИЗУЧЕНО",IF(TRUE,"ОТКРЫТО","ЗАКРЫТО"))</x:f>
        <x:v>ОТКРЫТО</x:v>
      </x:c>
      <x:c r="AU32" t="str">
        <x:f t="shared" si="6">IF(AND(AF32&gt;=$E32,TRUE),"ИЗУЧЕНО",IF(TRUE,"ОТКРЫТО","ЗАКРЫТО"))</x:f>
        <x:v>ОТКРЫТО</x:v>
      </x:c>
      <x:c r="AV32" t="str">
        <x:f t="shared" si="7">IF(AND(AG32&gt;=$E32,TRUE),"ИЗУЧЕНО",IF(TRUE,"ОТКРЫТО","ЗАКРЫТО"))</x:f>
        <x:v>ОТКРЫТО</x:v>
      </x:c>
      <x:c r="AW32" t="str">
        <x:f t="shared" si="8">IF(AND(AH32&gt;=$E32,TRUE),"ИЗУЧЕНО",IF(TRUE,"ОТКРЫТО","ЗАКРЫТО"))</x:f>
        <x:v>ОТКРЫТО</x:v>
      </x:c>
      <x:c r="AX32" t="str">
        <x:f t="shared" si="9">IF(AND(AI32&gt;=$E32,TRUE),"ИЗУЧЕНО",IF(TRUE,"ОТКРЫТО","ЗАКРЫТО"))</x:f>
        <x:v>ОТКРЫТО</x:v>
      </x:c>
      <x:c r="AY32" t="str">
        <x:f t="shared" si="10">IF(AND(AJ32&gt;=$E32,TRUE),"ИЗУЧЕНО",IF(TRUE,"ОТКРЫТО","ЗАКРЫТО"))</x:f>
        <x:v>ОТКРЫТО</x:v>
      </x:c>
      <x:c r="AZ32" t="str">
        <x:f t="shared" si="11">IF(AND(AK32&gt;=$E32,TRUE),"ИЗУЧЕНО",IF(TRUE,"ОТКРЫТО","ЗАКРЫТО"))</x:f>
        <x:v>ОТКРЫТО</x:v>
      </x:c>
      <x:c r="BA32" t="str">
        <x:f t="shared" si="12">IF(AND(AL32&gt;=$E32,TRUE),"ИЗУЧЕНО",IF(TRUE,"ОТКРЫТО","ЗАКРЫТО"))</x:f>
        <x:v>ОТКРЫТО</x:v>
      </x:c>
      <x:c r="BB32" t="str">
        <x:f t="shared" si="13">IF(AND(AM32&gt;=$E32,TRUE),"ИЗУЧЕНО",IF(TRUE,"ОТКРЫТО","ЗАКРЫТО"))</x:f>
        <x:v>ОТКРЫТО</x:v>
      </x:c>
      <x:c r="BC32" t="str">
        <x:f t="shared" si="14">IF(AND(AN32&gt;=$E32,TRUE),"ИЗУЧЕНО",IF(TRUE,"ОТКРЫТО","ЗАКРЫТО"))</x:f>
        <x:v>ОТКРЫТО</x:v>
      </x:c>
      <x:c r="BD32" t="str">
        <x:f t="shared" si="15">IF(AND(AO32&gt;=$E32,TRUE),"ИЗУЧЕНО",IF(TRUE,"ОТКРЫТО","ЗАКРЫТО"))</x:f>
        <x:v>ОТКРЫТО</x:v>
      </x:c>
      <x:c r="BE32" t="str">
        <x:f t="shared" si="16">IF(AND(AP32&gt;=$E32,TRUE),"ИЗУЧЕНО",IF(TRUE,"ОТКРЫТО","ЗАКРЫТО"))</x:f>
        <x:v>ОТКРЫТО</x:v>
      </x:c>
      <x:c r="BF32" t="str">
        <x:f t="shared" si="17">IF(AND(AQ32&gt;=$E32,TRUE),"ИЗУЧЕНО",IF(TRUE,"ОТКРЫТО","ЗАКРЫТО"))</x:f>
        <x:v>ОТКРЫТО</x:v>
      </x:c>
      <x:c r="BG32" t="str">
        <x:f t="shared" si="18">IFERROR(2025+MATCH("ИЗУЧЕНО",AR32:BF32,0),"")</x:f>
      </x:c>
      <x:c r="BH32" t="str">
        <x:f t="shared" si="19">IF(BG32="","",BG32+1)</x:f>
      </x:c>
    </x:row>
    <x:row r="33" ht="179.39999389648438">
      <x:c r="A33" s="3" t="s">
        <x:v>163</x:v>
      </x:c>
      <x:c r="B33" s="3" t="s">
        <x:v>147</x:v>
      </x:c>
      <x:c r="C33" s="3" t="s">
        <x:v>87</x:v>
      </x:c>
      <x:c r="D33" s="3" t="s">
        <x:v>164</x:v>
      </x:c>
      <x:c r="E33" s="3">
        <x:v>105</x:v>
      </x:c>
      <x:c r="F33" s="3" t="s">
        <x:v>159</x:v>
      </x:c>
      <x:c r="G33" s="3"/>
      <x:c r="H33" s="3"/>
      <x:c r="I33" s="3" t="s">
        <x:v>165</x:v>
      </x:c>
      <x:c r="J33" s="3" t="s">
        <x:v>166</x:v>
      </x:c>
      <x:c r="K33" s="4" t="n">
        <x:f>SUMIF('Ход 2026'!$G$29:$G$38,$A33,'Ход 2026'!$I$29:$I$38)*(1+'Эффекты технологий'!J$7+'Эффекты технологий'!J$9)</x:f>
        <x:v>0</x:v>
      </x:c>
      <x:c r="L33" s="4" t="n">
        <x:f>SUMIF('Ход 2027'!$G$29:$G$38,$A33,'Ход 2027'!$I$29:$I$38)*(1+'Эффекты технологий'!K$7+'Эффекты технологий'!K$9)</x:f>
        <x:v>0</x:v>
      </x:c>
      <x:c r="M33" s="4" t="n">
        <x:f>SUMIF('Ход 2028'!$G$29:$G$38,$A33,'Ход 2028'!$I$29:$I$38)*(1+'Эффекты технологий'!L$7+'Эффекты технологий'!L$9)</x:f>
        <x:v>0</x:v>
      </x:c>
      <x:c r="N33" s="4" t="n">
        <x:f>SUMIF('Ход 2029'!$G$29:$G$38,$A33,'Ход 2029'!$I$29:$I$38)*(1+'Эффекты технологий'!M$7+'Эффекты технологий'!M$9)</x:f>
        <x:v>0</x:v>
      </x:c>
      <x:c r="O33" s="4" t="n">
        <x:f>SUMIF('Ход 2030'!$G$29:$G$38,$A33,'Ход 2030'!$I$29:$I$38)*(1+'Эффекты технологий'!N$7+'Эффекты технологий'!N$9)</x:f>
        <x:v>0</x:v>
      </x:c>
      <x:c r="P33" s="4" t="n">
        <x:f>SUMIF('Ход 2031'!$G$29:$G$38,$A33,'Ход 2031'!$I$29:$I$38)*(1+'Эффекты технологий'!O$7+'Эффекты технологий'!O$9)</x:f>
        <x:v>0</x:v>
      </x:c>
      <x:c r="Q33" s="4" t="n">
        <x:f>SUMIF('Ход 2032'!$G$29:$G$38,$A33,'Ход 2032'!$I$29:$I$38)*(1+'Эффекты технологий'!P$7+'Эффекты технологий'!P$9)</x:f>
        <x:v>0</x:v>
      </x:c>
      <x:c r="R33" s="4" t="n">
        <x:f>SUMIF('Ход 2033'!$G$29:$G$38,$A33,'Ход 2033'!$I$29:$I$38)*(1+'Эффекты технологий'!Q$7+'Эффекты технологий'!Q$9)</x:f>
        <x:v>0</x:v>
      </x:c>
      <x:c r="S33" s="4" t="n">
        <x:f>SUMIF('Ход 2034'!$G$29:$G$38,$A33,'Ход 2034'!$I$29:$I$38)*(1+'Эффекты технологий'!R$7+'Эффекты технологий'!R$9)</x:f>
        <x:v>0</x:v>
      </x:c>
      <x:c r="T33" s="4" t="n">
        <x:f>SUMIF('Ход 2035'!$G$29:$G$38,$A33,'Ход 2035'!$I$29:$I$38)*(1+'Эффекты технологий'!S$7+'Эффекты технологий'!S$9)</x:f>
        <x:v>0</x:v>
      </x:c>
      <x:c r="U33" s="4" t="n">
        <x:f>SUMIF('Ход 2036'!$G$29:$G$38,$A33,'Ход 2036'!$I$29:$I$38)*(1+'Эффекты технологий'!T$7+'Эффекты технологий'!T$9)</x:f>
        <x:v>0</x:v>
      </x:c>
      <x:c r="V33" s="4" t="n">
        <x:f>SUMIF('Ход 2037'!$G$29:$G$38,$A33,'Ход 2037'!$I$29:$I$38)*(1+'Эффекты технологий'!U$7+'Эффекты технологий'!U$9)</x:f>
        <x:v>0</x:v>
      </x:c>
      <x:c r="W33" s="4" t="n">
        <x:f>SUMIF('Ход 2038'!$G$29:$G$38,$A33,'Ход 2038'!$I$29:$I$38)*(1+'Эффекты технологий'!V$7+'Эффекты технологий'!V$9)</x:f>
        <x:v>0</x:v>
      </x:c>
      <x:c r="X33" s="4" t="n">
        <x:f>SUMIF('Ход 2039'!$G$29:$G$38,$A33,'Ход 2039'!$I$29:$I$38)*(1+'Эффекты технологий'!W$7+'Эффекты технологий'!W$9)</x:f>
        <x:v>0</x:v>
      </x:c>
      <x:c r="Y33" s="4" t="n">
        <x:f>SUMIF('Ход 2040'!$G$29:$G$38,$A33,'Ход 2040'!$I$29:$I$38)*(1+'Эффекты технологий'!X$7+'Эффекты технологий'!X$9)</x:f>
        <x:v>0</x:v>
      </x:c>
      <x:c r="Z33" s="5" t="n">
        <x:f t="shared" si="0">SUM(K33:Y33)</x:f>
        <x:v>0</x:v>
      </x:c>
      <x:c r="AA33" s="5" t="n">
        <x:f t="shared" si="1">MAX(0,E33-Z33)</x:f>
        <x:v>105</x:v>
      </x:c>
      <x:c r="AB33" s="3" t="str">
        <x:f t="shared" si="2">BF33</x:f>
        <x:v>ОТКРЫТО</x:v>
      </x:c>
      <x:c r="AC33" t="n">
        <x:f>SUM($K33:K33)</x:f>
        <x:v>0</x:v>
      </x:c>
      <x:c r="AD33" t="n">
        <x:f>SUM($K33:L33)</x:f>
        <x:v>0</x:v>
      </x:c>
      <x:c r="AE33" t="n">
        <x:f>SUM($K33:M33)</x:f>
        <x:v>0</x:v>
      </x:c>
      <x:c r="AF33" t="n">
        <x:f>SUM($K33:N33)</x:f>
        <x:v>0</x:v>
      </x:c>
      <x:c r="AG33" t="n">
        <x:f>SUM($K33:O33)</x:f>
        <x:v>0</x:v>
      </x:c>
      <x:c r="AH33" t="n">
        <x:f>SUM($K33:P33)</x:f>
        <x:v>0</x:v>
      </x:c>
      <x:c r="AI33" t="n">
        <x:f>SUM($K33:Q33)</x:f>
        <x:v>0</x:v>
      </x:c>
      <x:c r="AJ33" t="n">
        <x:f>SUM($K33:R33)</x:f>
        <x:v>0</x:v>
      </x:c>
      <x:c r="AK33" t="n">
        <x:f>SUM($K33:S33)</x:f>
        <x:v>0</x:v>
      </x:c>
      <x:c r="AL33" t="n">
        <x:f>SUM($K33:T33)</x:f>
        <x:v>0</x:v>
      </x:c>
      <x:c r="AM33" t="n">
        <x:f>SUM($K33:U33)</x:f>
        <x:v>0</x:v>
      </x:c>
      <x:c r="AN33" t="n">
        <x:f>SUM($K33:V33)</x:f>
        <x:v>0</x:v>
      </x:c>
      <x:c r="AO33" t="n">
        <x:f>SUM($K33:W33)</x:f>
        <x:v>0</x:v>
      </x:c>
      <x:c r="AP33" t="n">
        <x:f>SUM($K33:X33)</x:f>
        <x:v>0</x:v>
      </x:c>
      <x:c r="AQ33" t="n">
        <x:f>SUM($K33:Y33)</x:f>
        <x:v>0</x:v>
      </x:c>
      <x:c r="AR33" t="str">
        <x:f t="shared" si="3">IF(AND(AC33&gt;=$E33,TRUE),"ИЗУЧЕНО",IF(TRUE,"ОТКРЫТО","ЗАКРЫТО"))</x:f>
        <x:v>ОТКРЫТО</x:v>
      </x:c>
      <x:c r="AS33" t="str">
        <x:f t="shared" si="4">IF(AND(AD33&gt;=$E33,TRUE),"ИЗУЧЕНО",IF(TRUE,"ОТКРЫТО","ЗАКРЫТО"))</x:f>
        <x:v>ОТКРЫТО</x:v>
      </x:c>
      <x:c r="AT33" t="str">
        <x:f t="shared" si="5">IF(AND(AE33&gt;=$E33,TRUE),"ИЗУЧЕНО",IF(TRUE,"ОТКРЫТО","ЗАКРЫТО"))</x:f>
        <x:v>ОТКРЫТО</x:v>
      </x:c>
      <x:c r="AU33" t="str">
        <x:f t="shared" si="6">IF(AND(AF33&gt;=$E33,TRUE),"ИЗУЧЕНО",IF(TRUE,"ОТКРЫТО","ЗАКРЫТО"))</x:f>
        <x:v>ОТКРЫТО</x:v>
      </x:c>
      <x:c r="AV33" t="str">
        <x:f t="shared" si="7">IF(AND(AG33&gt;=$E33,TRUE),"ИЗУЧЕНО",IF(TRUE,"ОТКРЫТО","ЗАКРЫТО"))</x:f>
        <x:v>ОТКРЫТО</x:v>
      </x:c>
      <x:c r="AW33" t="str">
        <x:f t="shared" si="8">IF(AND(AH33&gt;=$E33,TRUE),"ИЗУЧЕНО",IF(TRUE,"ОТКРЫТО","ЗАКРЫТО"))</x:f>
        <x:v>ОТКРЫТО</x:v>
      </x:c>
      <x:c r="AX33" t="str">
        <x:f t="shared" si="9">IF(AND(AI33&gt;=$E33,TRUE),"ИЗУЧЕНО",IF(TRUE,"ОТКРЫТО","ЗАКРЫТО"))</x:f>
        <x:v>ОТКРЫТО</x:v>
      </x:c>
      <x:c r="AY33" t="str">
        <x:f t="shared" si="10">IF(AND(AJ33&gt;=$E33,TRUE),"ИЗУЧЕНО",IF(TRUE,"ОТКРЫТО","ЗАКРЫТО"))</x:f>
        <x:v>ОТКРЫТО</x:v>
      </x:c>
      <x:c r="AZ33" t="str">
        <x:f t="shared" si="11">IF(AND(AK33&gt;=$E33,TRUE),"ИЗУЧЕНО",IF(TRUE,"ОТКРЫТО","ЗАКРЫТО"))</x:f>
        <x:v>ОТКРЫТО</x:v>
      </x:c>
      <x:c r="BA33" t="str">
        <x:f t="shared" si="12">IF(AND(AL33&gt;=$E33,TRUE),"ИЗУЧЕНО",IF(TRUE,"ОТКРЫТО","ЗАКРЫТО"))</x:f>
        <x:v>ОТКРЫТО</x:v>
      </x:c>
      <x:c r="BB33" t="str">
        <x:f t="shared" si="13">IF(AND(AM33&gt;=$E33,TRUE),"ИЗУЧЕНО",IF(TRUE,"ОТКРЫТО","ЗАКРЫТО"))</x:f>
        <x:v>ОТКРЫТО</x:v>
      </x:c>
      <x:c r="BC33" t="str">
        <x:f t="shared" si="14">IF(AND(AN33&gt;=$E33,TRUE),"ИЗУЧЕНО",IF(TRUE,"ОТКРЫТО","ЗАКРЫТО"))</x:f>
        <x:v>ОТКРЫТО</x:v>
      </x:c>
      <x:c r="BD33" t="str">
        <x:f t="shared" si="15">IF(AND(AO33&gt;=$E33,TRUE),"ИЗУЧЕНО",IF(TRUE,"ОТКРЫТО","ЗАКРЫТО"))</x:f>
        <x:v>ОТКРЫТО</x:v>
      </x:c>
      <x:c r="BE33" t="str">
        <x:f t="shared" si="16">IF(AND(AP33&gt;=$E33,TRUE),"ИЗУЧЕНО",IF(TRUE,"ОТКРЫТО","ЗАКРЫТО"))</x:f>
        <x:v>ОТКРЫТО</x:v>
      </x:c>
      <x:c r="BF33" t="str">
        <x:f t="shared" si="17">IF(AND(AQ33&gt;=$E33,TRUE),"ИЗУЧЕНО",IF(TRUE,"ОТКРЫТО","ЗАКРЫТО"))</x:f>
        <x:v>ОТКРЫТО</x:v>
      </x:c>
      <x:c r="BG33" t="str">
        <x:f t="shared" si="18">IFERROR(2025+MATCH("ИЗУЧЕНО",AR33:BF33,0),"")</x:f>
      </x:c>
      <x:c r="BH33" t="str">
        <x:f t="shared" si="19">IF(BG33="","",BG33+1)</x:f>
      </x:c>
    </x:row>
    <x:row r="34" ht="179.39999389648438">
      <x:c r="A34" s="3" t="s">
        <x:v>167</x:v>
      </x:c>
      <x:c r="B34" s="3" t="s">
        <x:v>147</x:v>
      </x:c>
      <x:c r="C34" s="3" t="s">
        <x:v>92</x:v>
      </x:c>
      <x:c r="D34" s="3" t="s">
        <x:v>168</x:v>
      </x:c>
      <x:c r="E34" s="3">
        <x:v>155</x:v>
      </x:c>
      <x:c r="F34" s="3" t="s">
        <x:v>163</x:v>
      </x:c>
      <x:c r="G34" s="3"/>
      <x:c r="H34" s="3"/>
      <x:c r="I34" s="3" t="s">
        <x:v>169</x:v>
      </x:c>
      <x:c r="J34" s="3" t="s">
        <x:v>170</x:v>
      </x:c>
      <x:c r="K34" s="4" t="n">
        <x:f>SUMIF('Ход 2026'!$G$29:$G$38,$A34,'Ход 2026'!$I$29:$I$38)*(1+'Эффекты технологий'!J$7+'Эффекты технологий'!J$9)</x:f>
        <x:v>0</x:v>
      </x:c>
      <x:c r="L34" s="4" t="n">
        <x:f>SUMIF('Ход 2027'!$G$29:$G$38,$A34,'Ход 2027'!$I$29:$I$38)*(1+'Эффекты технологий'!K$7+'Эффекты технологий'!K$9)</x:f>
        <x:v>0</x:v>
      </x:c>
      <x:c r="M34" s="4" t="n">
        <x:f>SUMIF('Ход 2028'!$G$29:$G$38,$A34,'Ход 2028'!$I$29:$I$38)*(1+'Эффекты технологий'!L$7+'Эффекты технологий'!L$9)</x:f>
        <x:v>0</x:v>
      </x:c>
      <x:c r="N34" s="4" t="n">
        <x:f>SUMIF('Ход 2029'!$G$29:$G$38,$A34,'Ход 2029'!$I$29:$I$38)*(1+'Эффекты технологий'!M$7+'Эффекты технологий'!M$9)</x:f>
        <x:v>0</x:v>
      </x:c>
      <x:c r="O34" s="4" t="n">
        <x:f>SUMIF('Ход 2030'!$G$29:$G$38,$A34,'Ход 2030'!$I$29:$I$38)*(1+'Эффекты технологий'!N$7+'Эффекты технологий'!N$9)</x:f>
        <x:v>0</x:v>
      </x:c>
      <x:c r="P34" s="4" t="n">
        <x:f>SUMIF('Ход 2031'!$G$29:$G$38,$A34,'Ход 2031'!$I$29:$I$38)*(1+'Эффекты технологий'!O$7+'Эффекты технологий'!O$9)</x:f>
        <x:v>0</x:v>
      </x:c>
      <x:c r="Q34" s="4" t="n">
        <x:f>SUMIF('Ход 2032'!$G$29:$G$38,$A34,'Ход 2032'!$I$29:$I$38)*(1+'Эффекты технологий'!P$7+'Эффекты технологий'!P$9)</x:f>
        <x:v>0</x:v>
      </x:c>
      <x:c r="R34" s="4" t="n">
        <x:f>SUMIF('Ход 2033'!$G$29:$G$38,$A34,'Ход 2033'!$I$29:$I$38)*(1+'Эффекты технологий'!Q$7+'Эффекты технологий'!Q$9)</x:f>
        <x:v>0</x:v>
      </x:c>
      <x:c r="S34" s="4" t="n">
        <x:f>SUMIF('Ход 2034'!$G$29:$G$38,$A34,'Ход 2034'!$I$29:$I$38)*(1+'Эффекты технологий'!R$7+'Эффекты технологий'!R$9)</x:f>
        <x:v>0</x:v>
      </x:c>
      <x:c r="T34" s="4" t="n">
        <x:f>SUMIF('Ход 2035'!$G$29:$G$38,$A34,'Ход 2035'!$I$29:$I$38)*(1+'Эффекты технологий'!S$7+'Эффекты технологий'!S$9)</x:f>
        <x:v>0</x:v>
      </x:c>
      <x:c r="U34" s="4" t="n">
        <x:f>SUMIF('Ход 2036'!$G$29:$G$38,$A34,'Ход 2036'!$I$29:$I$38)*(1+'Эффекты технологий'!T$7+'Эффекты технологий'!T$9)</x:f>
        <x:v>0</x:v>
      </x:c>
      <x:c r="V34" s="4" t="n">
        <x:f>SUMIF('Ход 2037'!$G$29:$G$38,$A34,'Ход 2037'!$I$29:$I$38)*(1+'Эффекты технологий'!U$7+'Эффекты технологий'!U$9)</x:f>
        <x:v>0</x:v>
      </x:c>
      <x:c r="W34" s="4" t="n">
        <x:f>SUMIF('Ход 2038'!$G$29:$G$38,$A34,'Ход 2038'!$I$29:$I$38)*(1+'Эффекты технологий'!V$7+'Эффекты технологий'!V$9)</x:f>
        <x:v>0</x:v>
      </x:c>
      <x:c r="X34" s="4" t="n">
        <x:f>SUMIF('Ход 2039'!$G$29:$G$38,$A34,'Ход 2039'!$I$29:$I$38)*(1+'Эффекты технологий'!W$7+'Эффекты технологий'!W$9)</x:f>
        <x:v>0</x:v>
      </x:c>
      <x:c r="Y34" s="4" t="n">
        <x:f>SUMIF('Ход 2040'!$G$29:$G$38,$A34,'Ход 2040'!$I$29:$I$38)*(1+'Эффекты технологий'!X$7+'Эффекты технологий'!X$9)</x:f>
        <x:v>0</x:v>
      </x:c>
      <x:c r="Z34" s="5" t="n">
        <x:f t="shared" si="0">SUM(K34:Y34)</x:f>
        <x:v>0</x:v>
      </x:c>
      <x:c r="AA34" s="5" t="n">
        <x:f t="shared" si="1">MAX(0,E34-Z34)</x:f>
        <x:v>155</x:v>
      </x:c>
      <x:c r="AB34" s="3" t="str">
        <x:f t="shared" si="2">BF34</x:f>
        <x:v>ОТКРЫТО</x:v>
      </x:c>
      <x:c r="AC34" t="n">
        <x:f>SUM($K34:K34)</x:f>
        <x:v>0</x:v>
      </x:c>
      <x:c r="AD34" t="n">
        <x:f>SUM($K34:L34)</x:f>
        <x:v>0</x:v>
      </x:c>
      <x:c r="AE34" t="n">
        <x:f>SUM($K34:M34)</x:f>
        <x:v>0</x:v>
      </x:c>
      <x:c r="AF34" t="n">
        <x:f>SUM($K34:N34)</x:f>
        <x:v>0</x:v>
      </x:c>
      <x:c r="AG34" t="n">
        <x:f>SUM($K34:O34)</x:f>
        <x:v>0</x:v>
      </x:c>
      <x:c r="AH34" t="n">
        <x:f>SUM($K34:P34)</x:f>
        <x:v>0</x:v>
      </x:c>
      <x:c r="AI34" t="n">
        <x:f>SUM($K34:Q34)</x:f>
        <x:v>0</x:v>
      </x:c>
      <x:c r="AJ34" t="n">
        <x:f>SUM($K34:R34)</x:f>
        <x:v>0</x:v>
      </x:c>
      <x:c r="AK34" t="n">
        <x:f>SUM($K34:S34)</x:f>
        <x:v>0</x:v>
      </x:c>
      <x:c r="AL34" t="n">
        <x:f>SUM($K34:T34)</x:f>
        <x:v>0</x:v>
      </x:c>
      <x:c r="AM34" t="n">
        <x:f>SUM($K34:U34)</x:f>
        <x:v>0</x:v>
      </x:c>
      <x:c r="AN34" t="n">
        <x:f>SUM($K34:V34)</x:f>
        <x:v>0</x:v>
      </x:c>
      <x:c r="AO34" t="n">
        <x:f>SUM($K34:W34)</x:f>
        <x:v>0</x:v>
      </x:c>
      <x:c r="AP34" t="n">
        <x:f>SUM($K34:X34)</x:f>
        <x:v>0</x:v>
      </x:c>
      <x:c r="AQ34" t="n">
        <x:f>SUM($K34:Y34)</x:f>
        <x:v>0</x:v>
      </x:c>
      <x:c r="AR34" t="str">
        <x:f t="shared" si="3">IF(AND(AC34&gt;=$E34,TRUE),"ИЗУЧЕНО",IF(TRUE,"ОТКРЫТО","ЗАКРЫТО"))</x:f>
        <x:v>ОТКРЫТО</x:v>
      </x:c>
      <x:c r="AS34" t="str">
        <x:f t="shared" si="4">IF(AND(AD34&gt;=$E34,TRUE),"ИЗУЧЕНО",IF(TRUE,"ОТКРЫТО","ЗАКРЫТО"))</x:f>
        <x:v>ОТКРЫТО</x:v>
      </x:c>
      <x:c r="AT34" t="str">
        <x:f t="shared" si="5">IF(AND(AE34&gt;=$E34,TRUE),"ИЗУЧЕНО",IF(TRUE,"ОТКРЫТО","ЗАКРЫТО"))</x:f>
        <x:v>ОТКРЫТО</x:v>
      </x:c>
      <x:c r="AU34" t="str">
        <x:f t="shared" si="6">IF(AND(AF34&gt;=$E34,TRUE),"ИЗУЧЕНО",IF(TRUE,"ОТКРЫТО","ЗАКРЫТО"))</x:f>
        <x:v>ОТКРЫТО</x:v>
      </x:c>
      <x:c r="AV34" t="str">
        <x:f t="shared" si="7">IF(AND(AG34&gt;=$E34,TRUE),"ИЗУЧЕНО",IF(TRUE,"ОТКРЫТО","ЗАКРЫТО"))</x:f>
        <x:v>ОТКРЫТО</x:v>
      </x:c>
      <x:c r="AW34" t="str">
        <x:f t="shared" si="8">IF(AND(AH34&gt;=$E34,TRUE),"ИЗУЧЕНО",IF(TRUE,"ОТКРЫТО","ЗАКРЫТО"))</x:f>
        <x:v>ОТКРЫТО</x:v>
      </x:c>
      <x:c r="AX34" t="str">
        <x:f t="shared" si="9">IF(AND(AI34&gt;=$E34,TRUE),"ИЗУЧЕНО",IF(TRUE,"ОТКРЫТО","ЗАКРЫТО"))</x:f>
        <x:v>ОТКРЫТО</x:v>
      </x:c>
      <x:c r="AY34" t="str">
        <x:f t="shared" si="10">IF(AND(AJ34&gt;=$E34,TRUE),"ИЗУЧЕНО",IF(TRUE,"ОТКРЫТО","ЗАКРЫТО"))</x:f>
        <x:v>ОТКРЫТО</x:v>
      </x:c>
      <x:c r="AZ34" t="str">
        <x:f t="shared" si="11">IF(AND(AK34&gt;=$E34,TRUE),"ИЗУЧЕНО",IF(TRUE,"ОТКРЫТО","ЗАКРЫТО"))</x:f>
        <x:v>ОТКРЫТО</x:v>
      </x:c>
      <x:c r="BA34" t="str">
        <x:f t="shared" si="12">IF(AND(AL34&gt;=$E34,TRUE),"ИЗУЧЕНО",IF(TRUE,"ОТКРЫТО","ЗАКРЫТО"))</x:f>
        <x:v>ОТКРЫТО</x:v>
      </x:c>
      <x:c r="BB34" t="str">
        <x:f t="shared" si="13">IF(AND(AM34&gt;=$E34,TRUE),"ИЗУЧЕНО",IF(TRUE,"ОТКРЫТО","ЗАКРЫТО"))</x:f>
        <x:v>ОТКРЫТО</x:v>
      </x:c>
      <x:c r="BC34" t="str">
        <x:f t="shared" si="14">IF(AND(AN34&gt;=$E34,TRUE),"ИЗУЧЕНО",IF(TRUE,"ОТКРЫТО","ЗАКРЫТО"))</x:f>
        <x:v>ОТКРЫТО</x:v>
      </x:c>
      <x:c r="BD34" t="str">
        <x:f t="shared" si="15">IF(AND(AO34&gt;=$E34,TRUE),"ИЗУЧЕНО",IF(TRUE,"ОТКРЫТО","ЗАКРЫТО"))</x:f>
        <x:v>ОТКРЫТО</x:v>
      </x:c>
      <x:c r="BE34" t="str">
        <x:f t="shared" si="16">IF(AND(AP34&gt;=$E34,TRUE),"ИЗУЧЕНО",IF(TRUE,"ОТКРЫТО","ЗАКРЫТО"))</x:f>
        <x:v>ОТКРЫТО</x:v>
      </x:c>
      <x:c r="BF34" t="str">
        <x:f t="shared" si="17">IF(AND(AQ34&gt;=$E34,TRUE),"ИЗУЧЕНО",IF(TRUE,"ОТКРЫТО","ЗАКРЫТО"))</x:f>
        <x:v>ОТКРЫТО</x:v>
      </x:c>
      <x:c r="BG34" t="str">
        <x:f t="shared" si="18">IFERROR(2025+MATCH("ИЗУЧЕНО",AR34:BF34,0),"")</x:f>
      </x:c>
      <x:c r="BH34" t="str">
        <x:f t="shared" si="19">IF(BG34="","",BG34+1)</x:f>
      </x:c>
    </x:row>
    <x:row r="35" ht="165.60000610351562">
      <x:c r="A35" s="3" t="s">
        <x:v>171</x:v>
      </x:c>
      <x:c r="B35" s="3" t="s">
        <x:v>172</x:v>
      </x:c>
      <x:c r="C35" s="3" t="s">
        <x:v>68</x:v>
      </x:c>
      <x:c r="D35" s="3" t="s">
        <x:v>173</x:v>
      </x:c>
      <x:c r="E35" s="3">
        <x:v>20</x:v>
      </x:c>
      <x:c r="F35" s="3"/>
      <x:c r="G35" s="3"/>
      <x:c r="H35" s="3"/>
      <x:c r="I35" s="3" t="s">
        <x:v>174</x:v>
      </x:c>
      <x:c r="J35" s="3" t="s">
        <x:v>175</x:v>
      </x:c>
      <x:c r="K35" s="4" t="n">
        <x:f>SUMIF('Ход 2026'!$G$29:$G$38,$A35,'Ход 2026'!$I$29:$I$38)*(1+'Эффекты технологий'!J$7)</x:f>
        <x:v>0</x:v>
      </x:c>
      <x:c r="L35" s="4" t="n">
        <x:f>SUMIF('Ход 2027'!$G$29:$G$38,$A35,'Ход 2027'!$I$29:$I$38)*(1+'Эффекты технологий'!K$7)</x:f>
        <x:v>0</x:v>
      </x:c>
      <x:c r="M35" s="4" t="n">
        <x:f>SUMIF('Ход 2028'!$G$29:$G$38,$A35,'Ход 2028'!$I$29:$I$38)*(1+'Эффекты технологий'!L$7)</x:f>
        <x:v>0</x:v>
      </x:c>
      <x:c r="N35" s="4" t="n">
        <x:f>SUMIF('Ход 2029'!$G$29:$G$38,$A35,'Ход 2029'!$I$29:$I$38)*(1+'Эффекты технологий'!M$7)</x:f>
        <x:v>0</x:v>
      </x:c>
      <x:c r="O35" s="4" t="n">
        <x:f>SUMIF('Ход 2030'!$G$29:$G$38,$A35,'Ход 2030'!$I$29:$I$38)*(1+'Эффекты технологий'!N$7)</x:f>
        <x:v>0</x:v>
      </x:c>
      <x:c r="P35" s="4" t="n">
        <x:f>SUMIF('Ход 2031'!$G$29:$G$38,$A35,'Ход 2031'!$I$29:$I$38)*(1+'Эффекты технологий'!O$7)</x:f>
        <x:v>0</x:v>
      </x:c>
      <x:c r="Q35" s="4" t="n">
        <x:f>SUMIF('Ход 2032'!$G$29:$G$38,$A35,'Ход 2032'!$I$29:$I$38)*(1+'Эффекты технологий'!P$7)</x:f>
        <x:v>0</x:v>
      </x:c>
      <x:c r="R35" s="4" t="n">
        <x:f>SUMIF('Ход 2033'!$G$29:$G$38,$A35,'Ход 2033'!$I$29:$I$38)*(1+'Эффекты технологий'!Q$7)</x:f>
        <x:v>0</x:v>
      </x:c>
      <x:c r="S35" s="4" t="n">
        <x:f>SUMIF('Ход 2034'!$G$29:$G$38,$A35,'Ход 2034'!$I$29:$I$38)*(1+'Эффекты технологий'!R$7)</x:f>
        <x:v>0</x:v>
      </x:c>
      <x:c r="T35" s="4" t="n">
        <x:f>SUMIF('Ход 2035'!$G$29:$G$38,$A35,'Ход 2035'!$I$29:$I$38)*(1+'Эффекты технологий'!S$7)</x:f>
        <x:v>0</x:v>
      </x:c>
      <x:c r="U35" s="4" t="n">
        <x:f>SUMIF('Ход 2036'!$G$29:$G$38,$A35,'Ход 2036'!$I$29:$I$38)*(1+'Эффекты технологий'!T$7)</x:f>
        <x:v>0</x:v>
      </x:c>
      <x:c r="V35" s="4" t="n">
        <x:f>SUMIF('Ход 2037'!$G$29:$G$38,$A35,'Ход 2037'!$I$29:$I$38)*(1+'Эффекты технологий'!U$7)</x:f>
        <x:v>0</x:v>
      </x:c>
      <x:c r="W35" s="4" t="n">
        <x:f>SUMIF('Ход 2038'!$G$29:$G$38,$A35,'Ход 2038'!$I$29:$I$38)*(1+'Эффекты технологий'!V$7)</x:f>
        <x:v>0</x:v>
      </x:c>
      <x:c r="X35" s="4" t="n">
        <x:f>SUMIF('Ход 2039'!$G$29:$G$38,$A35,'Ход 2039'!$I$29:$I$38)*(1+'Эффекты технологий'!W$7)</x:f>
        <x:v>0</x:v>
      </x:c>
      <x:c r="Y35" s="4" t="n">
        <x:f>SUMIF('Ход 2040'!$G$29:$G$38,$A35,'Ход 2040'!$I$29:$I$38)*(1+'Эффекты технологий'!X$7)</x:f>
        <x:v>0</x:v>
      </x:c>
      <x:c r="Z35" s="5" t="n">
        <x:f t="shared" si="0">SUM(K35:Y35)</x:f>
        <x:v>0</x:v>
      </x:c>
      <x:c r="AA35" s="5" t="n">
        <x:f t="shared" si="1">MAX(0,E35-Z35)</x:f>
        <x:v>20</x:v>
      </x:c>
      <x:c r="AB35" s="3" t="str">
        <x:f t="shared" si="2">BF35</x:f>
        <x:v>ОТКРЫТО</x:v>
      </x:c>
      <x:c r="AC35" t="n">
        <x:f>SUM($K35:K35)</x:f>
        <x:v>0</x:v>
      </x:c>
      <x:c r="AD35" t="n">
        <x:f>SUM($K35:L35)</x:f>
        <x:v>0</x:v>
      </x:c>
      <x:c r="AE35" t="n">
        <x:f>SUM($K35:M35)</x:f>
        <x:v>0</x:v>
      </x:c>
      <x:c r="AF35" t="n">
        <x:f>SUM($K35:N35)</x:f>
        <x:v>0</x:v>
      </x:c>
      <x:c r="AG35" t="n">
        <x:f>SUM($K35:O35)</x:f>
        <x:v>0</x:v>
      </x:c>
      <x:c r="AH35" t="n">
        <x:f>SUM($K35:P35)</x:f>
        <x:v>0</x:v>
      </x:c>
      <x:c r="AI35" t="n">
        <x:f>SUM($K35:Q35)</x:f>
        <x:v>0</x:v>
      </x:c>
      <x:c r="AJ35" t="n">
        <x:f>SUM($K35:R35)</x:f>
        <x:v>0</x:v>
      </x:c>
      <x:c r="AK35" t="n">
        <x:f>SUM($K35:S35)</x:f>
        <x:v>0</x:v>
      </x:c>
      <x:c r="AL35" t="n">
        <x:f>SUM($K35:T35)</x:f>
        <x:v>0</x:v>
      </x:c>
      <x:c r="AM35" t="n">
        <x:f>SUM($K35:U35)</x:f>
        <x:v>0</x:v>
      </x:c>
      <x:c r="AN35" t="n">
        <x:f>SUM($K35:V35)</x:f>
        <x:v>0</x:v>
      </x:c>
      <x:c r="AO35" t="n">
        <x:f>SUM($K35:W35)</x:f>
        <x:v>0</x:v>
      </x:c>
      <x:c r="AP35" t="n">
        <x:f>SUM($K35:X35)</x:f>
        <x:v>0</x:v>
      </x:c>
      <x:c r="AQ35" t="n">
        <x:f>SUM($K35:Y35)</x:f>
        <x:v>0</x:v>
      </x:c>
      <x:c r="AR35" t="str">
        <x:f t="shared" si="3">IF(AND(AC35&gt;=$E35,TRUE),"ИЗУЧЕНО",IF(TRUE,"ОТКРЫТО","ЗАКРЫТО"))</x:f>
        <x:v>ОТКРЫТО</x:v>
      </x:c>
      <x:c r="AS35" t="str">
        <x:f t="shared" si="4">IF(AND(AD35&gt;=$E35,TRUE),"ИЗУЧЕНО",IF(TRUE,"ОТКРЫТО","ЗАКРЫТО"))</x:f>
        <x:v>ОТКРЫТО</x:v>
      </x:c>
      <x:c r="AT35" t="str">
        <x:f t="shared" si="5">IF(AND(AE35&gt;=$E35,TRUE),"ИЗУЧЕНО",IF(TRUE,"ОТКРЫТО","ЗАКРЫТО"))</x:f>
        <x:v>ОТКРЫТО</x:v>
      </x:c>
      <x:c r="AU35" t="str">
        <x:f t="shared" si="6">IF(AND(AF35&gt;=$E35,TRUE),"ИЗУЧЕНО",IF(TRUE,"ОТКРЫТО","ЗАКРЫТО"))</x:f>
        <x:v>ОТКРЫТО</x:v>
      </x:c>
      <x:c r="AV35" t="str">
        <x:f t="shared" si="7">IF(AND(AG35&gt;=$E35,TRUE),"ИЗУЧЕНО",IF(TRUE,"ОТКРЫТО","ЗАКРЫТО"))</x:f>
        <x:v>ОТКРЫТО</x:v>
      </x:c>
      <x:c r="AW35" t="str">
        <x:f t="shared" si="8">IF(AND(AH35&gt;=$E35,TRUE),"ИЗУЧЕНО",IF(TRUE,"ОТКРЫТО","ЗАКРЫТО"))</x:f>
        <x:v>ОТКРЫТО</x:v>
      </x:c>
      <x:c r="AX35" t="str">
        <x:f t="shared" si="9">IF(AND(AI35&gt;=$E35,TRUE),"ИЗУЧЕНО",IF(TRUE,"ОТКРЫТО","ЗАКРЫТО"))</x:f>
        <x:v>ОТКРЫТО</x:v>
      </x:c>
      <x:c r="AY35" t="str">
        <x:f t="shared" si="10">IF(AND(AJ35&gt;=$E35,TRUE),"ИЗУЧЕНО",IF(TRUE,"ОТКРЫТО","ЗАКРЫТО"))</x:f>
        <x:v>ОТКРЫТО</x:v>
      </x:c>
      <x:c r="AZ35" t="str">
        <x:f t="shared" si="11">IF(AND(AK35&gt;=$E35,TRUE),"ИЗУЧЕНО",IF(TRUE,"ОТКРЫТО","ЗАКРЫТО"))</x:f>
        <x:v>ОТКРЫТО</x:v>
      </x:c>
      <x:c r="BA35" t="str">
        <x:f t="shared" si="12">IF(AND(AL35&gt;=$E35,TRUE),"ИЗУЧЕНО",IF(TRUE,"ОТКРЫТО","ЗАКРЫТО"))</x:f>
        <x:v>ОТКРЫТО</x:v>
      </x:c>
      <x:c r="BB35" t="str">
        <x:f t="shared" si="13">IF(AND(AM35&gt;=$E35,TRUE),"ИЗУЧЕНО",IF(TRUE,"ОТКРЫТО","ЗАКРЫТО"))</x:f>
        <x:v>ОТКРЫТО</x:v>
      </x:c>
      <x:c r="BC35" t="str">
        <x:f t="shared" si="14">IF(AND(AN35&gt;=$E35,TRUE),"ИЗУЧЕНО",IF(TRUE,"ОТКРЫТО","ЗАКРЫТО"))</x:f>
        <x:v>ОТКРЫТО</x:v>
      </x:c>
      <x:c r="BD35" t="str">
        <x:f t="shared" si="15">IF(AND(AO35&gt;=$E35,TRUE),"ИЗУЧЕНО",IF(TRUE,"ОТКРЫТО","ЗАКРЫТО"))</x:f>
        <x:v>ОТКРЫТО</x:v>
      </x:c>
      <x:c r="BE35" t="str">
        <x:f t="shared" si="16">IF(AND(AP35&gt;=$E35,TRUE),"ИЗУЧЕНО",IF(TRUE,"ОТКРЫТО","ЗАКРЫТО"))</x:f>
        <x:v>ОТКРЫТО</x:v>
      </x:c>
      <x:c r="BF35" t="str">
        <x:f t="shared" si="17">IF(AND(AQ35&gt;=$E35,TRUE),"ИЗУЧЕНО",IF(TRUE,"ОТКРЫТО","ЗАКРЫТО"))</x:f>
        <x:v>ОТКРЫТО</x:v>
      </x:c>
      <x:c r="BG35" t="str">
        <x:f t="shared" si="18">IFERROR(2025+MATCH("ИЗУЧЕНО",AR35:BF35,0),"")</x:f>
      </x:c>
      <x:c r="BH35" t="str">
        <x:f t="shared" si="19">IF(BG35="","",BG35+1)</x:f>
      </x:c>
    </x:row>
    <x:row r="36" ht="165.60000610351562">
      <x:c r="A36" s="3" t="s">
        <x:v>176</x:v>
      </x:c>
      <x:c r="B36" s="3" t="s">
        <x:v>172</x:v>
      </x:c>
      <x:c r="C36" s="3" t="s">
        <x:v>73</x:v>
      </x:c>
      <x:c r="D36" s="3" t="s">
        <x:v>177</x:v>
      </x:c>
      <x:c r="E36" s="3">
        <x:v>40</x:v>
      </x:c>
      <x:c r="F36" s="3" t="s">
        <x:v>171</x:v>
      </x:c>
      <x:c r="G36" s="3"/>
      <x:c r="H36" s="3"/>
      <x:c r="I36" s="3" t="s">
        <x:v>178</x:v>
      </x:c>
      <x:c r="J36" s="3" t="s">
        <x:v>179</x:v>
      </x:c>
      <x:c r="K36" s="4" t="n">
        <x:f>SUMIF('Ход 2026'!$G$29:$G$38,$A36,'Ход 2026'!$I$29:$I$38)*(1+'Эффекты технологий'!J$7)</x:f>
        <x:v>0</x:v>
      </x:c>
      <x:c r="L36" s="4" t="n">
        <x:f>SUMIF('Ход 2027'!$G$29:$G$38,$A36,'Ход 2027'!$I$29:$I$38)*(1+'Эффекты технологий'!K$7)</x:f>
        <x:v>0</x:v>
      </x:c>
      <x:c r="M36" s="4" t="n">
        <x:f>SUMIF('Ход 2028'!$G$29:$G$38,$A36,'Ход 2028'!$I$29:$I$38)*(1+'Эффекты технологий'!L$7)</x:f>
        <x:v>0</x:v>
      </x:c>
      <x:c r="N36" s="4" t="n">
        <x:f>SUMIF('Ход 2029'!$G$29:$G$38,$A36,'Ход 2029'!$I$29:$I$38)*(1+'Эффекты технологий'!M$7)</x:f>
        <x:v>0</x:v>
      </x:c>
      <x:c r="O36" s="4" t="n">
        <x:f>SUMIF('Ход 2030'!$G$29:$G$38,$A36,'Ход 2030'!$I$29:$I$38)*(1+'Эффекты технологий'!N$7)</x:f>
        <x:v>0</x:v>
      </x:c>
      <x:c r="P36" s="4" t="n">
        <x:f>SUMIF('Ход 2031'!$G$29:$G$38,$A36,'Ход 2031'!$I$29:$I$38)*(1+'Эффекты технологий'!O$7)</x:f>
        <x:v>0</x:v>
      </x:c>
      <x:c r="Q36" s="4" t="n">
        <x:f>SUMIF('Ход 2032'!$G$29:$G$38,$A36,'Ход 2032'!$I$29:$I$38)*(1+'Эффекты технологий'!P$7)</x:f>
        <x:v>0</x:v>
      </x:c>
      <x:c r="R36" s="4" t="n">
        <x:f>SUMIF('Ход 2033'!$G$29:$G$38,$A36,'Ход 2033'!$I$29:$I$38)*(1+'Эффекты технологий'!Q$7)</x:f>
        <x:v>0</x:v>
      </x:c>
      <x:c r="S36" s="4" t="n">
        <x:f>SUMIF('Ход 2034'!$G$29:$G$38,$A36,'Ход 2034'!$I$29:$I$38)*(1+'Эффекты технологий'!R$7)</x:f>
        <x:v>0</x:v>
      </x:c>
      <x:c r="T36" s="4" t="n">
        <x:f>SUMIF('Ход 2035'!$G$29:$G$38,$A36,'Ход 2035'!$I$29:$I$38)*(1+'Эффекты технологий'!S$7)</x:f>
        <x:v>0</x:v>
      </x:c>
      <x:c r="U36" s="4" t="n">
        <x:f>SUMIF('Ход 2036'!$G$29:$G$38,$A36,'Ход 2036'!$I$29:$I$38)*(1+'Эффекты технологий'!T$7)</x:f>
        <x:v>0</x:v>
      </x:c>
      <x:c r="V36" s="4" t="n">
        <x:f>SUMIF('Ход 2037'!$G$29:$G$38,$A36,'Ход 2037'!$I$29:$I$38)*(1+'Эффекты технологий'!U$7)</x:f>
        <x:v>0</x:v>
      </x:c>
      <x:c r="W36" s="4" t="n">
        <x:f>SUMIF('Ход 2038'!$G$29:$G$38,$A36,'Ход 2038'!$I$29:$I$38)*(1+'Эффекты технологий'!V$7)</x:f>
        <x:v>0</x:v>
      </x:c>
      <x:c r="X36" s="4" t="n">
        <x:f>SUMIF('Ход 2039'!$G$29:$G$38,$A36,'Ход 2039'!$I$29:$I$38)*(1+'Эффекты технологий'!W$7)</x:f>
        <x:v>0</x:v>
      </x:c>
      <x:c r="Y36" s="4" t="n">
        <x:f>SUMIF('Ход 2040'!$G$29:$G$38,$A36,'Ход 2040'!$I$29:$I$38)*(1+'Эффекты технологий'!X$7)</x:f>
        <x:v>0</x:v>
      </x:c>
      <x:c r="Z36" s="5" t="n">
        <x:f t="shared" si="0">SUM(K36:Y36)</x:f>
        <x:v>0</x:v>
      </x:c>
      <x:c r="AA36" s="5" t="n">
        <x:f t="shared" si="1">MAX(0,E36-Z36)</x:f>
        <x:v>40</x:v>
      </x:c>
      <x:c r="AB36" s="3" t="str">
        <x:f t="shared" si="2">BF36</x:f>
        <x:v>ОТКРЫТО</x:v>
      </x:c>
      <x:c r="AC36" t="n">
        <x:f>SUM($K36:K36)</x:f>
        <x:v>0</x:v>
      </x:c>
      <x:c r="AD36" t="n">
        <x:f>SUM($K36:L36)</x:f>
        <x:v>0</x:v>
      </x:c>
      <x:c r="AE36" t="n">
        <x:f>SUM($K36:M36)</x:f>
        <x:v>0</x:v>
      </x:c>
      <x:c r="AF36" t="n">
        <x:f>SUM($K36:N36)</x:f>
        <x:v>0</x:v>
      </x:c>
      <x:c r="AG36" t="n">
        <x:f>SUM($K36:O36)</x:f>
        <x:v>0</x:v>
      </x:c>
      <x:c r="AH36" t="n">
        <x:f>SUM($K36:P36)</x:f>
        <x:v>0</x:v>
      </x:c>
      <x:c r="AI36" t="n">
        <x:f>SUM($K36:Q36)</x:f>
        <x:v>0</x:v>
      </x:c>
      <x:c r="AJ36" t="n">
        <x:f>SUM($K36:R36)</x:f>
        <x:v>0</x:v>
      </x:c>
      <x:c r="AK36" t="n">
        <x:f>SUM($K36:S36)</x:f>
        <x:v>0</x:v>
      </x:c>
      <x:c r="AL36" t="n">
        <x:f>SUM($K36:T36)</x:f>
        <x:v>0</x:v>
      </x:c>
      <x:c r="AM36" t="n">
        <x:f>SUM($K36:U36)</x:f>
        <x:v>0</x:v>
      </x:c>
      <x:c r="AN36" t="n">
        <x:f>SUM($K36:V36)</x:f>
        <x:v>0</x:v>
      </x:c>
      <x:c r="AO36" t="n">
        <x:f>SUM($K36:W36)</x:f>
        <x:v>0</x:v>
      </x:c>
      <x:c r="AP36" t="n">
        <x:f>SUM($K36:X36)</x:f>
        <x:v>0</x:v>
      </x:c>
      <x:c r="AQ36" t="n">
        <x:f>SUM($K36:Y36)</x:f>
        <x:v>0</x:v>
      </x:c>
      <x:c r="AR36" t="str">
        <x:f t="shared" si="3">IF(AND(AC36&gt;=$E36,TRUE),"ИЗУЧЕНО",IF(TRUE,"ОТКРЫТО","ЗАКРЫТО"))</x:f>
        <x:v>ОТКРЫТО</x:v>
      </x:c>
      <x:c r="AS36" t="str">
        <x:f t="shared" si="4">IF(AND(AD36&gt;=$E36,TRUE),"ИЗУЧЕНО",IF(TRUE,"ОТКРЫТО","ЗАКРЫТО"))</x:f>
        <x:v>ОТКРЫТО</x:v>
      </x:c>
      <x:c r="AT36" t="str">
        <x:f t="shared" si="5">IF(AND(AE36&gt;=$E36,TRUE),"ИЗУЧЕНО",IF(TRUE,"ОТКРЫТО","ЗАКРЫТО"))</x:f>
        <x:v>ОТКРЫТО</x:v>
      </x:c>
      <x:c r="AU36" t="str">
        <x:f t="shared" si="6">IF(AND(AF36&gt;=$E36,TRUE),"ИЗУЧЕНО",IF(TRUE,"ОТКРЫТО","ЗАКРЫТО"))</x:f>
        <x:v>ОТКРЫТО</x:v>
      </x:c>
      <x:c r="AV36" t="str">
        <x:f t="shared" si="7">IF(AND(AG36&gt;=$E36,TRUE),"ИЗУЧЕНО",IF(TRUE,"ОТКРЫТО","ЗАКРЫТО"))</x:f>
        <x:v>ОТКРЫТО</x:v>
      </x:c>
      <x:c r="AW36" t="str">
        <x:f t="shared" si="8">IF(AND(AH36&gt;=$E36,TRUE),"ИЗУЧЕНО",IF(TRUE,"ОТКРЫТО","ЗАКРЫТО"))</x:f>
        <x:v>ОТКРЫТО</x:v>
      </x:c>
      <x:c r="AX36" t="str">
        <x:f t="shared" si="9">IF(AND(AI36&gt;=$E36,TRUE),"ИЗУЧЕНО",IF(TRUE,"ОТКРЫТО","ЗАКРЫТО"))</x:f>
        <x:v>ОТКРЫТО</x:v>
      </x:c>
      <x:c r="AY36" t="str">
        <x:f t="shared" si="10">IF(AND(AJ36&gt;=$E36,TRUE),"ИЗУЧЕНО",IF(TRUE,"ОТКРЫТО","ЗАКРЫТО"))</x:f>
        <x:v>ОТКРЫТО</x:v>
      </x:c>
      <x:c r="AZ36" t="str">
        <x:f t="shared" si="11">IF(AND(AK36&gt;=$E36,TRUE),"ИЗУЧЕНО",IF(TRUE,"ОТКРЫТО","ЗАКРЫТО"))</x:f>
        <x:v>ОТКРЫТО</x:v>
      </x:c>
      <x:c r="BA36" t="str">
        <x:f t="shared" si="12">IF(AND(AL36&gt;=$E36,TRUE),"ИЗУЧЕНО",IF(TRUE,"ОТКРЫТО","ЗАКРЫТО"))</x:f>
        <x:v>ОТКРЫТО</x:v>
      </x:c>
      <x:c r="BB36" t="str">
        <x:f t="shared" si="13">IF(AND(AM36&gt;=$E36,TRUE),"ИЗУЧЕНО",IF(TRUE,"ОТКРЫТО","ЗАКРЫТО"))</x:f>
        <x:v>ОТКРЫТО</x:v>
      </x:c>
      <x:c r="BC36" t="str">
        <x:f t="shared" si="14">IF(AND(AN36&gt;=$E36,TRUE),"ИЗУЧЕНО",IF(TRUE,"ОТКРЫТО","ЗАКРЫТО"))</x:f>
        <x:v>ОТКРЫТО</x:v>
      </x:c>
      <x:c r="BD36" t="str">
        <x:f t="shared" si="15">IF(AND(AO36&gt;=$E36,TRUE),"ИЗУЧЕНО",IF(TRUE,"ОТКРЫТО","ЗАКРЫТО"))</x:f>
        <x:v>ОТКРЫТО</x:v>
      </x:c>
      <x:c r="BE36" t="str">
        <x:f t="shared" si="16">IF(AND(AP36&gt;=$E36,TRUE),"ИЗУЧЕНО",IF(TRUE,"ОТКРЫТО","ЗАКРЫТО"))</x:f>
        <x:v>ОТКРЫТО</x:v>
      </x:c>
      <x:c r="BF36" t="str">
        <x:f t="shared" si="17">IF(AND(AQ36&gt;=$E36,TRUE),"ИЗУЧЕНО",IF(TRUE,"ОТКРЫТО","ЗАКРЫТО"))</x:f>
        <x:v>ОТКРЫТО</x:v>
      </x:c>
      <x:c r="BG36" t="str">
        <x:f t="shared" si="18">IFERROR(2025+MATCH("ИЗУЧЕНО",AR36:BF36,0),"")</x:f>
      </x:c>
      <x:c r="BH36" t="str">
        <x:f t="shared" si="19">IF(BG36="","",BG36+1)</x:f>
      </x:c>
    </x:row>
    <x:row r="37" ht="179.39999389648438">
      <x:c r="A37" s="3" t="s">
        <x:v>180</x:v>
      </x:c>
      <x:c r="B37" s="3" t="s">
        <x:v>172</x:v>
      </x:c>
      <x:c r="C37" s="3" t="s">
        <x:v>73</x:v>
      </x:c>
      <x:c r="D37" s="3" t="s">
        <x:v>181</x:v>
      </x:c>
      <x:c r="E37" s="3">
        <x:v>45</x:v>
      </x:c>
      <x:c r="F37" s="3" t="s">
        <x:v>171</x:v>
      </x:c>
      <x:c r="G37" s="3"/>
      <x:c r="H37" s="3"/>
      <x:c r="I37" s="3" t="s">
        <x:v>182</x:v>
      </x:c>
      <x:c r="J37" s="3" t="s">
        <x:v>183</x:v>
      </x:c>
      <x:c r="K37" s="4" t="n">
        <x:f>SUMIF('Ход 2026'!$G$29:$G$38,$A37,'Ход 2026'!$I$29:$I$38)*(1+'Эффекты технологий'!J$7)</x:f>
        <x:v>0</x:v>
      </x:c>
      <x:c r="L37" s="4" t="n">
        <x:f>SUMIF('Ход 2027'!$G$29:$G$38,$A37,'Ход 2027'!$I$29:$I$38)*(1+'Эффекты технологий'!K$7)</x:f>
        <x:v>0</x:v>
      </x:c>
      <x:c r="M37" s="4" t="n">
        <x:f>SUMIF('Ход 2028'!$G$29:$G$38,$A37,'Ход 2028'!$I$29:$I$38)*(1+'Эффекты технологий'!L$7)</x:f>
        <x:v>0</x:v>
      </x:c>
      <x:c r="N37" s="4" t="n">
        <x:f>SUMIF('Ход 2029'!$G$29:$G$38,$A37,'Ход 2029'!$I$29:$I$38)*(1+'Эффекты технологий'!M$7)</x:f>
        <x:v>0</x:v>
      </x:c>
      <x:c r="O37" s="4" t="n">
        <x:f>SUMIF('Ход 2030'!$G$29:$G$38,$A37,'Ход 2030'!$I$29:$I$38)*(1+'Эффекты технологий'!N$7)</x:f>
        <x:v>0</x:v>
      </x:c>
      <x:c r="P37" s="4" t="n">
        <x:f>SUMIF('Ход 2031'!$G$29:$G$38,$A37,'Ход 2031'!$I$29:$I$38)*(1+'Эффекты технологий'!O$7)</x:f>
        <x:v>0</x:v>
      </x:c>
      <x:c r="Q37" s="4" t="n">
        <x:f>SUMIF('Ход 2032'!$G$29:$G$38,$A37,'Ход 2032'!$I$29:$I$38)*(1+'Эффекты технологий'!P$7)</x:f>
        <x:v>0</x:v>
      </x:c>
      <x:c r="R37" s="4" t="n">
        <x:f>SUMIF('Ход 2033'!$G$29:$G$38,$A37,'Ход 2033'!$I$29:$I$38)*(1+'Эффекты технологий'!Q$7)</x:f>
        <x:v>0</x:v>
      </x:c>
      <x:c r="S37" s="4" t="n">
        <x:f>SUMIF('Ход 2034'!$G$29:$G$38,$A37,'Ход 2034'!$I$29:$I$38)*(1+'Эффекты технологий'!R$7)</x:f>
        <x:v>0</x:v>
      </x:c>
      <x:c r="T37" s="4" t="n">
        <x:f>SUMIF('Ход 2035'!$G$29:$G$38,$A37,'Ход 2035'!$I$29:$I$38)*(1+'Эффекты технологий'!S$7)</x:f>
        <x:v>0</x:v>
      </x:c>
      <x:c r="U37" s="4" t="n">
        <x:f>SUMIF('Ход 2036'!$G$29:$G$38,$A37,'Ход 2036'!$I$29:$I$38)*(1+'Эффекты технологий'!T$7)</x:f>
        <x:v>0</x:v>
      </x:c>
      <x:c r="V37" s="4" t="n">
        <x:f>SUMIF('Ход 2037'!$G$29:$G$38,$A37,'Ход 2037'!$I$29:$I$38)*(1+'Эффекты технологий'!U$7)</x:f>
        <x:v>0</x:v>
      </x:c>
      <x:c r="W37" s="4" t="n">
        <x:f>SUMIF('Ход 2038'!$G$29:$G$38,$A37,'Ход 2038'!$I$29:$I$38)*(1+'Эффекты технологий'!V$7)</x:f>
        <x:v>0</x:v>
      </x:c>
      <x:c r="X37" s="4" t="n">
        <x:f>SUMIF('Ход 2039'!$G$29:$G$38,$A37,'Ход 2039'!$I$29:$I$38)*(1+'Эффекты технологий'!W$7)</x:f>
        <x:v>0</x:v>
      </x:c>
      <x:c r="Y37" s="4" t="n">
        <x:f>SUMIF('Ход 2040'!$G$29:$G$38,$A37,'Ход 2040'!$I$29:$I$38)*(1+'Эффекты технологий'!X$7)</x:f>
        <x:v>0</x:v>
      </x:c>
      <x:c r="Z37" s="5" t="n">
        <x:f t="shared" si="0">SUM(K37:Y37)</x:f>
        <x:v>0</x:v>
      </x:c>
      <x:c r="AA37" s="5" t="n">
        <x:f t="shared" si="1">MAX(0,E37-Z37)</x:f>
        <x:v>45</x:v>
      </x:c>
      <x:c r="AB37" s="3" t="str">
        <x:f t="shared" si="2">BF37</x:f>
        <x:v>ОТКРЫТО</x:v>
      </x:c>
      <x:c r="AC37" t="n">
        <x:f>SUM($K37:K37)</x:f>
        <x:v>0</x:v>
      </x:c>
      <x:c r="AD37" t="n">
        <x:f>SUM($K37:L37)</x:f>
        <x:v>0</x:v>
      </x:c>
      <x:c r="AE37" t="n">
        <x:f>SUM($K37:M37)</x:f>
        <x:v>0</x:v>
      </x:c>
      <x:c r="AF37" t="n">
        <x:f>SUM($K37:N37)</x:f>
        <x:v>0</x:v>
      </x:c>
      <x:c r="AG37" t="n">
        <x:f>SUM($K37:O37)</x:f>
        <x:v>0</x:v>
      </x:c>
      <x:c r="AH37" t="n">
        <x:f>SUM($K37:P37)</x:f>
        <x:v>0</x:v>
      </x:c>
      <x:c r="AI37" t="n">
        <x:f>SUM($K37:Q37)</x:f>
        <x:v>0</x:v>
      </x:c>
      <x:c r="AJ37" t="n">
        <x:f>SUM($K37:R37)</x:f>
        <x:v>0</x:v>
      </x:c>
      <x:c r="AK37" t="n">
        <x:f>SUM($K37:S37)</x:f>
        <x:v>0</x:v>
      </x:c>
      <x:c r="AL37" t="n">
        <x:f>SUM($K37:T37)</x:f>
        <x:v>0</x:v>
      </x:c>
      <x:c r="AM37" t="n">
        <x:f>SUM($K37:U37)</x:f>
        <x:v>0</x:v>
      </x:c>
      <x:c r="AN37" t="n">
        <x:f>SUM($K37:V37)</x:f>
        <x:v>0</x:v>
      </x:c>
      <x:c r="AO37" t="n">
        <x:f>SUM($K37:W37)</x:f>
        <x:v>0</x:v>
      </x:c>
      <x:c r="AP37" t="n">
        <x:f>SUM($K37:X37)</x:f>
        <x:v>0</x:v>
      </x:c>
      <x:c r="AQ37" t="n">
        <x:f>SUM($K37:Y37)</x:f>
        <x:v>0</x:v>
      </x:c>
      <x:c r="AR37" t="str">
        <x:f t="shared" si="3">IF(AND(AC37&gt;=$E37,TRUE),"ИЗУЧЕНО",IF(TRUE,"ОТКРЫТО","ЗАКРЫТО"))</x:f>
        <x:v>ОТКРЫТО</x:v>
      </x:c>
      <x:c r="AS37" t="str">
        <x:f t="shared" si="4">IF(AND(AD37&gt;=$E37,TRUE),"ИЗУЧЕНО",IF(TRUE,"ОТКРЫТО","ЗАКРЫТО"))</x:f>
        <x:v>ОТКРЫТО</x:v>
      </x:c>
      <x:c r="AT37" t="str">
        <x:f t="shared" si="5">IF(AND(AE37&gt;=$E37,TRUE),"ИЗУЧЕНО",IF(TRUE,"ОТКРЫТО","ЗАКРЫТО"))</x:f>
        <x:v>ОТКРЫТО</x:v>
      </x:c>
      <x:c r="AU37" t="str">
        <x:f t="shared" si="6">IF(AND(AF37&gt;=$E37,TRUE),"ИЗУЧЕНО",IF(TRUE,"ОТКРЫТО","ЗАКРЫТО"))</x:f>
        <x:v>ОТКРЫТО</x:v>
      </x:c>
      <x:c r="AV37" t="str">
        <x:f t="shared" si="7">IF(AND(AG37&gt;=$E37,TRUE),"ИЗУЧЕНО",IF(TRUE,"ОТКРЫТО","ЗАКРЫТО"))</x:f>
        <x:v>ОТКРЫТО</x:v>
      </x:c>
      <x:c r="AW37" t="str">
        <x:f t="shared" si="8">IF(AND(AH37&gt;=$E37,TRUE),"ИЗУЧЕНО",IF(TRUE,"ОТКРЫТО","ЗАКРЫТО"))</x:f>
        <x:v>ОТКРЫТО</x:v>
      </x:c>
      <x:c r="AX37" t="str">
        <x:f t="shared" si="9">IF(AND(AI37&gt;=$E37,TRUE),"ИЗУЧЕНО",IF(TRUE,"ОТКРЫТО","ЗАКРЫТО"))</x:f>
        <x:v>ОТКРЫТО</x:v>
      </x:c>
      <x:c r="AY37" t="str">
        <x:f t="shared" si="10">IF(AND(AJ37&gt;=$E37,TRUE),"ИЗУЧЕНО",IF(TRUE,"ОТКРЫТО","ЗАКРЫТО"))</x:f>
        <x:v>ОТКРЫТО</x:v>
      </x:c>
      <x:c r="AZ37" t="str">
        <x:f t="shared" si="11">IF(AND(AK37&gt;=$E37,TRUE),"ИЗУЧЕНО",IF(TRUE,"ОТКРЫТО","ЗАКРЫТО"))</x:f>
        <x:v>ОТКРЫТО</x:v>
      </x:c>
      <x:c r="BA37" t="str">
        <x:f t="shared" si="12">IF(AND(AL37&gt;=$E37,TRUE),"ИЗУЧЕНО",IF(TRUE,"ОТКРЫТО","ЗАКРЫТО"))</x:f>
        <x:v>ОТКРЫТО</x:v>
      </x:c>
      <x:c r="BB37" t="str">
        <x:f t="shared" si="13">IF(AND(AM37&gt;=$E37,TRUE),"ИЗУЧЕНО",IF(TRUE,"ОТКРЫТО","ЗАКРЫТО"))</x:f>
        <x:v>ОТКРЫТО</x:v>
      </x:c>
      <x:c r="BC37" t="str">
        <x:f t="shared" si="14">IF(AND(AN37&gt;=$E37,TRUE),"ИЗУЧЕНО",IF(TRUE,"ОТКРЫТО","ЗАКРЫТО"))</x:f>
        <x:v>ОТКРЫТО</x:v>
      </x:c>
      <x:c r="BD37" t="str">
        <x:f t="shared" si="15">IF(AND(AO37&gt;=$E37,TRUE),"ИЗУЧЕНО",IF(TRUE,"ОТКРЫТО","ЗАКРЫТО"))</x:f>
        <x:v>ОТКРЫТО</x:v>
      </x:c>
      <x:c r="BE37" t="str">
        <x:f t="shared" si="16">IF(AND(AP37&gt;=$E37,TRUE),"ИЗУЧЕНО",IF(TRUE,"ОТКРЫТО","ЗАКРЫТО"))</x:f>
        <x:v>ОТКРЫТО</x:v>
      </x:c>
      <x:c r="BF37" t="str">
        <x:f t="shared" si="17">IF(AND(AQ37&gt;=$E37,TRUE),"ИЗУЧЕНО",IF(TRUE,"ОТКРЫТО","ЗАКРЫТО"))</x:f>
        <x:v>ОТКРЫТО</x:v>
      </x:c>
      <x:c r="BG37" t="str">
        <x:f t="shared" si="18">IFERROR(2025+MATCH("ИЗУЧЕНО",AR37:BF37,0),"")</x:f>
      </x:c>
      <x:c r="BH37" t="str">
        <x:f t="shared" si="19">IF(BG37="","",BG37+1)</x:f>
      </x:c>
    </x:row>
    <x:row r="38" ht="151.8000030517578">
      <x:c r="A38" s="3" t="s">
        <x:v>184</x:v>
      </x:c>
      <x:c r="B38" s="3" t="s">
        <x:v>172</x:v>
      </x:c>
      <x:c r="C38" s="3" t="s">
        <x:v>82</x:v>
      </x:c>
      <x:c r="D38" s="3" t="s">
        <x:v>185</x:v>
      </x:c>
      <x:c r="E38" s="3">
        <x:v>70</x:v>
      </x:c>
      <x:c r="F38" s="3" t="s">
        <x:v>176</x:v>
      </x:c>
      <x:c r="G38" s="3" t="s">
        <x:v>180</x:v>
      </x:c>
      <x:c r="H38" s="3"/>
      <x:c r="I38" s="3" t="s">
        <x:v>186</x:v>
      </x:c>
      <x:c r="J38" s="3" t="s">
        <x:v>187</x:v>
      </x:c>
      <x:c r="K38" s="4" t="n">
        <x:f>SUMIF('Ход 2026'!$G$29:$G$38,$A38,'Ход 2026'!$I$29:$I$38)*(1+'Эффекты технологий'!J$7)</x:f>
        <x:v>0</x:v>
      </x:c>
      <x:c r="L38" s="4" t="n">
        <x:f>SUMIF('Ход 2027'!$G$29:$G$38,$A38,'Ход 2027'!$I$29:$I$38)*(1+'Эффекты технологий'!K$7)</x:f>
        <x:v>0</x:v>
      </x:c>
      <x:c r="M38" s="4" t="n">
        <x:f>SUMIF('Ход 2028'!$G$29:$G$38,$A38,'Ход 2028'!$I$29:$I$38)*(1+'Эффекты технологий'!L$7)</x:f>
        <x:v>0</x:v>
      </x:c>
      <x:c r="N38" s="4" t="n">
        <x:f>SUMIF('Ход 2029'!$G$29:$G$38,$A38,'Ход 2029'!$I$29:$I$38)*(1+'Эффекты технологий'!M$7)</x:f>
        <x:v>0</x:v>
      </x:c>
      <x:c r="O38" s="4" t="n">
        <x:f>SUMIF('Ход 2030'!$G$29:$G$38,$A38,'Ход 2030'!$I$29:$I$38)*(1+'Эффекты технологий'!N$7)</x:f>
        <x:v>0</x:v>
      </x:c>
      <x:c r="P38" s="4" t="n">
        <x:f>SUMIF('Ход 2031'!$G$29:$G$38,$A38,'Ход 2031'!$I$29:$I$38)*(1+'Эффекты технологий'!O$7)</x:f>
        <x:v>0</x:v>
      </x:c>
      <x:c r="Q38" s="4" t="n">
        <x:f>SUMIF('Ход 2032'!$G$29:$G$38,$A38,'Ход 2032'!$I$29:$I$38)*(1+'Эффекты технологий'!P$7)</x:f>
        <x:v>0</x:v>
      </x:c>
      <x:c r="R38" s="4" t="n">
        <x:f>SUMIF('Ход 2033'!$G$29:$G$38,$A38,'Ход 2033'!$I$29:$I$38)*(1+'Эффекты технологий'!Q$7)</x:f>
        <x:v>0</x:v>
      </x:c>
      <x:c r="S38" s="4" t="n">
        <x:f>SUMIF('Ход 2034'!$G$29:$G$38,$A38,'Ход 2034'!$I$29:$I$38)*(1+'Эффекты технологий'!R$7)</x:f>
        <x:v>0</x:v>
      </x:c>
      <x:c r="T38" s="4" t="n">
        <x:f>SUMIF('Ход 2035'!$G$29:$G$38,$A38,'Ход 2035'!$I$29:$I$38)*(1+'Эффекты технологий'!S$7)</x:f>
        <x:v>0</x:v>
      </x:c>
      <x:c r="U38" s="4" t="n">
        <x:f>SUMIF('Ход 2036'!$G$29:$G$38,$A38,'Ход 2036'!$I$29:$I$38)*(1+'Эффекты технологий'!T$7)</x:f>
        <x:v>0</x:v>
      </x:c>
      <x:c r="V38" s="4" t="n">
        <x:f>SUMIF('Ход 2037'!$G$29:$G$38,$A38,'Ход 2037'!$I$29:$I$38)*(1+'Эффекты технологий'!U$7)</x:f>
        <x:v>0</x:v>
      </x:c>
      <x:c r="W38" s="4" t="n">
        <x:f>SUMIF('Ход 2038'!$G$29:$G$38,$A38,'Ход 2038'!$I$29:$I$38)*(1+'Эффекты технологий'!V$7)</x:f>
        <x:v>0</x:v>
      </x:c>
      <x:c r="X38" s="4" t="n">
        <x:f>SUMIF('Ход 2039'!$G$29:$G$38,$A38,'Ход 2039'!$I$29:$I$38)*(1+'Эффекты технологий'!W$7)</x:f>
        <x:v>0</x:v>
      </x:c>
      <x:c r="Y38" s="4" t="n">
        <x:f>SUMIF('Ход 2040'!$G$29:$G$38,$A38,'Ход 2040'!$I$29:$I$38)*(1+'Эффекты технологий'!X$7)</x:f>
        <x:v>0</x:v>
      </x:c>
      <x:c r="Z38" s="5" t="n">
        <x:f t="shared" si="0">SUM(K38:Y38)</x:f>
        <x:v>0</x:v>
      </x:c>
      <x:c r="AA38" s="5" t="n">
        <x:f t="shared" si="1">MAX(0,E38-Z38)</x:f>
        <x:v>70</x:v>
      </x:c>
      <x:c r="AB38" s="3" t="str">
        <x:f t="shared" si="2">BF38</x:f>
        <x:v>ОТКРЫТО</x:v>
      </x:c>
      <x:c r="AC38" t="n">
        <x:f>SUM($K38:K38)</x:f>
        <x:v>0</x:v>
      </x:c>
      <x:c r="AD38" t="n">
        <x:f>SUM($K38:L38)</x:f>
        <x:v>0</x:v>
      </x:c>
      <x:c r="AE38" t="n">
        <x:f>SUM($K38:M38)</x:f>
        <x:v>0</x:v>
      </x:c>
      <x:c r="AF38" t="n">
        <x:f>SUM($K38:N38)</x:f>
        <x:v>0</x:v>
      </x:c>
      <x:c r="AG38" t="n">
        <x:f>SUM($K38:O38)</x:f>
        <x:v>0</x:v>
      </x:c>
      <x:c r="AH38" t="n">
        <x:f>SUM($K38:P38)</x:f>
        <x:v>0</x:v>
      </x:c>
      <x:c r="AI38" t="n">
        <x:f>SUM($K38:Q38)</x:f>
        <x:v>0</x:v>
      </x:c>
      <x:c r="AJ38" t="n">
        <x:f>SUM($K38:R38)</x:f>
        <x:v>0</x:v>
      </x:c>
      <x:c r="AK38" t="n">
        <x:f>SUM($K38:S38)</x:f>
        <x:v>0</x:v>
      </x:c>
      <x:c r="AL38" t="n">
        <x:f>SUM($K38:T38)</x:f>
        <x:v>0</x:v>
      </x:c>
      <x:c r="AM38" t="n">
        <x:f>SUM($K38:U38)</x:f>
        <x:v>0</x:v>
      </x:c>
      <x:c r="AN38" t="n">
        <x:f>SUM($K38:V38)</x:f>
        <x:v>0</x:v>
      </x:c>
      <x:c r="AO38" t="n">
        <x:f>SUM($K38:W38)</x:f>
        <x:v>0</x:v>
      </x:c>
      <x:c r="AP38" t="n">
        <x:f>SUM($K38:X38)</x:f>
        <x:v>0</x:v>
      </x:c>
      <x:c r="AQ38" t="n">
        <x:f>SUM($K38:Y38)</x:f>
        <x:v>0</x:v>
      </x:c>
      <x:c r="AR38" t="str">
        <x:f t="shared" si="3">IF(AND(AC38&gt;=$E38,TRUE),"ИЗУЧЕНО",IF(TRUE,"ОТКРЫТО","ЗАКРЫТО"))</x:f>
        <x:v>ОТКРЫТО</x:v>
      </x:c>
      <x:c r="AS38" t="str">
        <x:f t="shared" si="4">IF(AND(AD38&gt;=$E38,TRUE),"ИЗУЧЕНО",IF(TRUE,"ОТКРЫТО","ЗАКРЫТО"))</x:f>
        <x:v>ОТКРЫТО</x:v>
      </x:c>
      <x:c r="AT38" t="str">
        <x:f t="shared" si="5">IF(AND(AE38&gt;=$E38,TRUE),"ИЗУЧЕНО",IF(TRUE,"ОТКРЫТО","ЗАКРЫТО"))</x:f>
        <x:v>ОТКРЫТО</x:v>
      </x:c>
      <x:c r="AU38" t="str">
        <x:f t="shared" si="6">IF(AND(AF38&gt;=$E38,TRUE),"ИЗУЧЕНО",IF(TRUE,"ОТКРЫТО","ЗАКРЫТО"))</x:f>
        <x:v>ОТКРЫТО</x:v>
      </x:c>
      <x:c r="AV38" t="str">
        <x:f t="shared" si="7">IF(AND(AG38&gt;=$E38,TRUE),"ИЗУЧЕНО",IF(TRUE,"ОТКРЫТО","ЗАКРЫТО"))</x:f>
        <x:v>ОТКРЫТО</x:v>
      </x:c>
      <x:c r="AW38" t="str">
        <x:f t="shared" si="8">IF(AND(AH38&gt;=$E38,TRUE),"ИЗУЧЕНО",IF(TRUE,"ОТКРЫТО","ЗАКРЫТО"))</x:f>
        <x:v>ОТКРЫТО</x:v>
      </x:c>
      <x:c r="AX38" t="str">
        <x:f t="shared" si="9">IF(AND(AI38&gt;=$E38,TRUE),"ИЗУЧЕНО",IF(TRUE,"ОТКРЫТО","ЗАКРЫТО"))</x:f>
        <x:v>ОТКРЫТО</x:v>
      </x:c>
      <x:c r="AY38" t="str">
        <x:f t="shared" si="10">IF(AND(AJ38&gt;=$E38,TRUE),"ИЗУЧЕНО",IF(TRUE,"ОТКРЫТО","ЗАКРЫТО"))</x:f>
        <x:v>ОТКРЫТО</x:v>
      </x:c>
      <x:c r="AZ38" t="str">
        <x:f t="shared" si="11">IF(AND(AK38&gt;=$E38,TRUE),"ИЗУЧЕНО",IF(TRUE,"ОТКРЫТО","ЗАКРЫТО"))</x:f>
        <x:v>ОТКРЫТО</x:v>
      </x:c>
      <x:c r="BA38" t="str">
        <x:f t="shared" si="12">IF(AND(AL38&gt;=$E38,TRUE),"ИЗУЧЕНО",IF(TRUE,"ОТКРЫТО","ЗАКРЫТО"))</x:f>
        <x:v>ОТКРЫТО</x:v>
      </x:c>
      <x:c r="BB38" t="str">
        <x:f t="shared" si="13">IF(AND(AM38&gt;=$E38,TRUE),"ИЗУЧЕНО",IF(TRUE,"ОТКРЫТО","ЗАКРЫТО"))</x:f>
        <x:v>ОТКРЫТО</x:v>
      </x:c>
      <x:c r="BC38" t="str">
        <x:f t="shared" si="14">IF(AND(AN38&gt;=$E38,TRUE),"ИЗУЧЕНО",IF(TRUE,"ОТКРЫТО","ЗАКРЫТО"))</x:f>
        <x:v>ОТКРЫТО</x:v>
      </x:c>
      <x:c r="BD38" t="str">
        <x:f t="shared" si="15">IF(AND(AO38&gt;=$E38,TRUE),"ИЗУЧЕНО",IF(TRUE,"ОТКРЫТО","ЗАКРЫТО"))</x:f>
        <x:v>ОТКРЫТО</x:v>
      </x:c>
      <x:c r="BE38" t="str">
        <x:f t="shared" si="16">IF(AND(AP38&gt;=$E38,TRUE),"ИЗУЧЕНО",IF(TRUE,"ОТКРЫТО","ЗАКРЫТО"))</x:f>
        <x:v>ОТКРЫТО</x:v>
      </x:c>
      <x:c r="BF38" t="str">
        <x:f t="shared" si="17">IF(AND(AQ38&gt;=$E38,TRUE),"ИЗУЧЕНО",IF(TRUE,"ОТКРЫТО","ЗАКРЫТО"))</x:f>
        <x:v>ОТКРЫТО</x:v>
      </x:c>
      <x:c r="BG38" t="str">
        <x:f t="shared" si="18">IFERROR(2025+MATCH("ИЗУЧЕНО",AR38:BF38,0),"")</x:f>
      </x:c>
      <x:c r="BH38" t="str">
        <x:f t="shared" si="19">IF(BG38="","",BG38+1)</x:f>
      </x:c>
    </x:row>
    <x:row r="39" ht="165.60000610351562">
      <x:c r="A39" s="3" t="s">
        <x:v>188</x:v>
      </x:c>
      <x:c r="B39" s="3" t="s">
        <x:v>172</x:v>
      </x:c>
      <x:c r="C39" s="3" t="s">
        <x:v>87</x:v>
      </x:c>
      <x:c r="D39" s="3" t="s">
        <x:v>189</x:v>
      </x:c>
      <x:c r="E39" s="3">
        <x:v>105</x:v>
      </x:c>
      <x:c r="F39" s="3" t="s">
        <x:v>184</x:v>
      </x:c>
      <x:c r="G39" s="3"/>
      <x:c r="H39" s="3"/>
      <x:c r="I39" s="3" t="s">
        <x:v>190</x:v>
      </x:c>
      <x:c r="J39" s="3" t="s">
        <x:v>191</x:v>
      </x:c>
      <x:c r="K39" s="4" t="n">
        <x:f>SUMIF('Ход 2026'!$G$29:$G$38,$A39,'Ход 2026'!$I$29:$I$38)*(1+'Эффекты технологий'!J$7)</x:f>
        <x:v>0</x:v>
      </x:c>
      <x:c r="L39" s="4" t="n">
        <x:f>SUMIF('Ход 2027'!$G$29:$G$38,$A39,'Ход 2027'!$I$29:$I$38)*(1+'Эффекты технологий'!K$7)</x:f>
        <x:v>0</x:v>
      </x:c>
      <x:c r="M39" s="4" t="n">
        <x:f>SUMIF('Ход 2028'!$G$29:$G$38,$A39,'Ход 2028'!$I$29:$I$38)*(1+'Эффекты технологий'!L$7)</x:f>
        <x:v>0</x:v>
      </x:c>
      <x:c r="N39" s="4" t="n">
        <x:f>SUMIF('Ход 2029'!$G$29:$G$38,$A39,'Ход 2029'!$I$29:$I$38)*(1+'Эффекты технологий'!M$7)</x:f>
        <x:v>0</x:v>
      </x:c>
      <x:c r="O39" s="4" t="n">
        <x:f>SUMIF('Ход 2030'!$G$29:$G$38,$A39,'Ход 2030'!$I$29:$I$38)*(1+'Эффекты технологий'!N$7)</x:f>
        <x:v>0</x:v>
      </x:c>
      <x:c r="P39" s="4" t="n">
        <x:f>SUMIF('Ход 2031'!$G$29:$G$38,$A39,'Ход 2031'!$I$29:$I$38)*(1+'Эффекты технологий'!O$7)</x:f>
        <x:v>0</x:v>
      </x:c>
      <x:c r="Q39" s="4" t="n">
        <x:f>SUMIF('Ход 2032'!$G$29:$G$38,$A39,'Ход 2032'!$I$29:$I$38)*(1+'Эффекты технологий'!P$7)</x:f>
        <x:v>0</x:v>
      </x:c>
      <x:c r="R39" s="4" t="n">
        <x:f>SUMIF('Ход 2033'!$G$29:$G$38,$A39,'Ход 2033'!$I$29:$I$38)*(1+'Эффекты технологий'!Q$7)</x:f>
        <x:v>0</x:v>
      </x:c>
      <x:c r="S39" s="4" t="n">
        <x:f>SUMIF('Ход 2034'!$G$29:$G$38,$A39,'Ход 2034'!$I$29:$I$38)*(1+'Эффекты технологий'!R$7)</x:f>
        <x:v>0</x:v>
      </x:c>
      <x:c r="T39" s="4" t="n">
        <x:f>SUMIF('Ход 2035'!$G$29:$G$38,$A39,'Ход 2035'!$I$29:$I$38)*(1+'Эффекты технологий'!S$7)</x:f>
        <x:v>0</x:v>
      </x:c>
      <x:c r="U39" s="4" t="n">
        <x:f>SUMIF('Ход 2036'!$G$29:$G$38,$A39,'Ход 2036'!$I$29:$I$38)*(1+'Эффекты технологий'!T$7)</x:f>
        <x:v>0</x:v>
      </x:c>
      <x:c r="V39" s="4" t="n">
        <x:f>SUMIF('Ход 2037'!$G$29:$G$38,$A39,'Ход 2037'!$I$29:$I$38)*(1+'Эффекты технологий'!U$7)</x:f>
        <x:v>0</x:v>
      </x:c>
      <x:c r="W39" s="4" t="n">
        <x:f>SUMIF('Ход 2038'!$G$29:$G$38,$A39,'Ход 2038'!$I$29:$I$38)*(1+'Эффекты технологий'!V$7)</x:f>
        <x:v>0</x:v>
      </x:c>
      <x:c r="X39" s="4" t="n">
        <x:f>SUMIF('Ход 2039'!$G$29:$G$38,$A39,'Ход 2039'!$I$29:$I$38)*(1+'Эффекты технологий'!W$7)</x:f>
        <x:v>0</x:v>
      </x:c>
      <x:c r="Y39" s="4" t="n">
        <x:f>SUMIF('Ход 2040'!$G$29:$G$38,$A39,'Ход 2040'!$I$29:$I$38)*(1+'Эффекты технологий'!X$7)</x:f>
        <x:v>0</x:v>
      </x:c>
      <x:c r="Z39" s="5" t="n">
        <x:f t="shared" si="0">SUM(K39:Y39)</x:f>
        <x:v>0</x:v>
      </x:c>
      <x:c r="AA39" s="5" t="n">
        <x:f t="shared" si="1">MAX(0,E39-Z39)</x:f>
        <x:v>105</x:v>
      </x:c>
      <x:c r="AB39" s="3" t="str">
        <x:f t="shared" si="2">BF39</x:f>
        <x:v>ОТКРЫТО</x:v>
      </x:c>
      <x:c r="AC39" t="n">
        <x:f>SUM($K39:K39)</x:f>
        <x:v>0</x:v>
      </x:c>
      <x:c r="AD39" t="n">
        <x:f>SUM($K39:L39)</x:f>
        <x:v>0</x:v>
      </x:c>
      <x:c r="AE39" t="n">
        <x:f>SUM($K39:M39)</x:f>
        <x:v>0</x:v>
      </x:c>
      <x:c r="AF39" t="n">
        <x:f>SUM($K39:N39)</x:f>
        <x:v>0</x:v>
      </x:c>
      <x:c r="AG39" t="n">
        <x:f>SUM($K39:O39)</x:f>
        <x:v>0</x:v>
      </x:c>
      <x:c r="AH39" t="n">
        <x:f>SUM($K39:P39)</x:f>
        <x:v>0</x:v>
      </x:c>
      <x:c r="AI39" t="n">
        <x:f>SUM($K39:Q39)</x:f>
        <x:v>0</x:v>
      </x:c>
      <x:c r="AJ39" t="n">
        <x:f>SUM($K39:R39)</x:f>
        <x:v>0</x:v>
      </x:c>
      <x:c r="AK39" t="n">
        <x:f>SUM($K39:S39)</x:f>
        <x:v>0</x:v>
      </x:c>
      <x:c r="AL39" t="n">
        <x:f>SUM($K39:T39)</x:f>
        <x:v>0</x:v>
      </x:c>
      <x:c r="AM39" t="n">
        <x:f>SUM($K39:U39)</x:f>
        <x:v>0</x:v>
      </x:c>
      <x:c r="AN39" t="n">
        <x:f>SUM($K39:V39)</x:f>
        <x:v>0</x:v>
      </x:c>
      <x:c r="AO39" t="n">
        <x:f>SUM($K39:W39)</x:f>
        <x:v>0</x:v>
      </x:c>
      <x:c r="AP39" t="n">
        <x:f>SUM($K39:X39)</x:f>
        <x:v>0</x:v>
      </x:c>
      <x:c r="AQ39" t="n">
        <x:f>SUM($K39:Y39)</x:f>
        <x:v>0</x:v>
      </x:c>
      <x:c r="AR39" t="str">
        <x:f t="shared" si="3">IF(AND(AC39&gt;=$E39,TRUE),"ИЗУЧЕНО",IF(TRUE,"ОТКРЫТО","ЗАКРЫТО"))</x:f>
        <x:v>ОТКРЫТО</x:v>
      </x:c>
      <x:c r="AS39" t="str">
        <x:f t="shared" si="4">IF(AND(AD39&gt;=$E39,TRUE),"ИЗУЧЕНО",IF(TRUE,"ОТКРЫТО","ЗАКРЫТО"))</x:f>
        <x:v>ОТКРЫТО</x:v>
      </x:c>
      <x:c r="AT39" t="str">
        <x:f t="shared" si="5">IF(AND(AE39&gt;=$E39,TRUE),"ИЗУЧЕНО",IF(TRUE,"ОТКРЫТО","ЗАКРЫТО"))</x:f>
        <x:v>ОТКРЫТО</x:v>
      </x:c>
      <x:c r="AU39" t="str">
        <x:f t="shared" si="6">IF(AND(AF39&gt;=$E39,TRUE),"ИЗУЧЕНО",IF(TRUE,"ОТКРЫТО","ЗАКРЫТО"))</x:f>
        <x:v>ОТКРЫТО</x:v>
      </x:c>
      <x:c r="AV39" t="str">
        <x:f t="shared" si="7">IF(AND(AG39&gt;=$E39,TRUE),"ИЗУЧЕНО",IF(TRUE,"ОТКРЫТО","ЗАКРЫТО"))</x:f>
        <x:v>ОТКРЫТО</x:v>
      </x:c>
      <x:c r="AW39" t="str">
        <x:f t="shared" si="8">IF(AND(AH39&gt;=$E39,TRUE),"ИЗУЧЕНО",IF(TRUE,"ОТКРЫТО","ЗАКРЫТО"))</x:f>
        <x:v>ОТКРЫТО</x:v>
      </x:c>
      <x:c r="AX39" t="str">
        <x:f t="shared" si="9">IF(AND(AI39&gt;=$E39,TRUE),"ИЗУЧЕНО",IF(TRUE,"ОТКРЫТО","ЗАКРЫТО"))</x:f>
        <x:v>ОТКРЫТО</x:v>
      </x:c>
      <x:c r="AY39" t="str">
        <x:f t="shared" si="10">IF(AND(AJ39&gt;=$E39,TRUE),"ИЗУЧЕНО",IF(TRUE,"ОТКРЫТО","ЗАКРЫТО"))</x:f>
        <x:v>ОТКРЫТО</x:v>
      </x:c>
      <x:c r="AZ39" t="str">
        <x:f t="shared" si="11">IF(AND(AK39&gt;=$E39,TRUE),"ИЗУЧЕНО",IF(TRUE,"ОТКРЫТО","ЗАКРЫТО"))</x:f>
        <x:v>ОТКРЫТО</x:v>
      </x:c>
      <x:c r="BA39" t="str">
        <x:f t="shared" si="12">IF(AND(AL39&gt;=$E39,TRUE),"ИЗУЧЕНО",IF(TRUE,"ОТКРЫТО","ЗАКРЫТО"))</x:f>
        <x:v>ОТКРЫТО</x:v>
      </x:c>
      <x:c r="BB39" t="str">
        <x:f t="shared" si="13">IF(AND(AM39&gt;=$E39,TRUE),"ИЗУЧЕНО",IF(TRUE,"ОТКРЫТО","ЗАКРЫТО"))</x:f>
        <x:v>ОТКРЫТО</x:v>
      </x:c>
      <x:c r="BC39" t="str">
        <x:f t="shared" si="14">IF(AND(AN39&gt;=$E39,TRUE),"ИЗУЧЕНО",IF(TRUE,"ОТКРЫТО","ЗАКРЫТО"))</x:f>
        <x:v>ОТКРЫТО</x:v>
      </x:c>
      <x:c r="BD39" t="str">
        <x:f t="shared" si="15">IF(AND(AO39&gt;=$E39,TRUE),"ИЗУЧЕНО",IF(TRUE,"ОТКРЫТО","ЗАКРЫТО"))</x:f>
        <x:v>ОТКРЫТО</x:v>
      </x:c>
      <x:c r="BE39" t="str">
        <x:f t="shared" si="16">IF(AND(AP39&gt;=$E39,TRUE),"ИЗУЧЕНО",IF(TRUE,"ОТКРЫТО","ЗАКРЫТО"))</x:f>
        <x:v>ОТКРЫТО</x:v>
      </x:c>
      <x:c r="BF39" t="str">
        <x:f t="shared" si="17">IF(AND(AQ39&gt;=$E39,TRUE),"ИЗУЧЕНО",IF(TRUE,"ОТКРЫТО","ЗАКРЫТО"))</x:f>
        <x:v>ОТКРЫТО</x:v>
      </x:c>
      <x:c r="BG39" t="str">
        <x:f t="shared" si="18">IFERROR(2025+MATCH("ИЗУЧЕНО",AR39:BF39,0),"")</x:f>
      </x:c>
      <x:c r="BH39" t="str">
        <x:f t="shared" si="19">IF(BG39="","",BG39+1)</x:f>
      </x:c>
    </x:row>
    <x:row r="40" ht="193.1999969482422">
      <x:c r="A40" s="3" t="s">
        <x:v>192</x:v>
      </x:c>
      <x:c r="B40" s="3" t="s">
        <x:v>172</x:v>
      </x:c>
      <x:c r="C40" s="3" t="s">
        <x:v>92</x:v>
      </x:c>
      <x:c r="D40" s="3" t="s">
        <x:v>193</x:v>
      </x:c>
      <x:c r="E40" s="3">
        <x:v>150</x:v>
      </x:c>
      <x:c r="F40" s="3" t="s">
        <x:v>188</x:v>
      </x:c>
      <x:c r="G40" s="3"/>
      <x:c r="H40" s="3"/>
      <x:c r="I40" s="3" t="s">
        <x:v>194</x:v>
      </x:c>
      <x:c r="J40" s="3" t="s">
        <x:v>195</x:v>
      </x:c>
      <x:c r="K40" s="4" t="n">
        <x:f>SUMIF('Ход 2026'!$G$29:$G$38,$A40,'Ход 2026'!$I$29:$I$38)*(1+'Эффекты технологий'!J$7)</x:f>
        <x:v>0</x:v>
      </x:c>
      <x:c r="L40" s="4" t="n">
        <x:f>SUMIF('Ход 2027'!$G$29:$G$38,$A40,'Ход 2027'!$I$29:$I$38)*(1+'Эффекты технологий'!K$7)</x:f>
        <x:v>0</x:v>
      </x:c>
      <x:c r="M40" s="4" t="n">
        <x:f>SUMIF('Ход 2028'!$G$29:$G$38,$A40,'Ход 2028'!$I$29:$I$38)*(1+'Эффекты технологий'!L$7)</x:f>
        <x:v>0</x:v>
      </x:c>
      <x:c r="N40" s="4" t="n">
        <x:f>SUMIF('Ход 2029'!$G$29:$G$38,$A40,'Ход 2029'!$I$29:$I$38)*(1+'Эффекты технологий'!M$7)</x:f>
        <x:v>0</x:v>
      </x:c>
      <x:c r="O40" s="4" t="n">
        <x:f>SUMIF('Ход 2030'!$G$29:$G$38,$A40,'Ход 2030'!$I$29:$I$38)*(1+'Эффекты технологий'!N$7)</x:f>
        <x:v>0</x:v>
      </x:c>
      <x:c r="P40" s="4" t="n">
        <x:f>SUMIF('Ход 2031'!$G$29:$G$38,$A40,'Ход 2031'!$I$29:$I$38)*(1+'Эффекты технологий'!O$7)</x:f>
        <x:v>0</x:v>
      </x:c>
      <x:c r="Q40" s="4" t="n">
        <x:f>SUMIF('Ход 2032'!$G$29:$G$38,$A40,'Ход 2032'!$I$29:$I$38)*(1+'Эффекты технологий'!P$7)</x:f>
        <x:v>0</x:v>
      </x:c>
      <x:c r="R40" s="4" t="n">
        <x:f>SUMIF('Ход 2033'!$G$29:$G$38,$A40,'Ход 2033'!$I$29:$I$38)*(1+'Эффекты технологий'!Q$7)</x:f>
        <x:v>0</x:v>
      </x:c>
      <x:c r="S40" s="4" t="n">
        <x:f>SUMIF('Ход 2034'!$G$29:$G$38,$A40,'Ход 2034'!$I$29:$I$38)*(1+'Эффекты технологий'!R$7)</x:f>
        <x:v>0</x:v>
      </x:c>
      <x:c r="T40" s="4" t="n">
        <x:f>SUMIF('Ход 2035'!$G$29:$G$38,$A40,'Ход 2035'!$I$29:$I$38)*(1+'Эффекты технологий'!S$7)</x:f>
        <x:v>0</x:v>
      </x:c>
      <x:c r="U40" s="4" t="n">
        <x:f>SUMIF('Ход 2036'!$G$29:$G$38,$A40,'Ход 2036'!$I$29:$I$38)*(1+'Эффекты технологий'!T$7)</x:f>
        <x:v>0</x:v>
      </x:c>
      <x:c r="V40" s="4" t="n">
        <x:f>SUMIF('Ход 2037'!$G$29:$G$38,$A40,'Ход 2037'!$I$29:$I$38)*(1+'Эффекты технологий'!U$7)</x:f>
        <x:v>0</x:v>
      </x:c>
      <x:c r="W40" s="4" t="n">
        <x:f>SUMIF('Ход 2038'!$G$29:$G$38,$A40,'Ход 2038'!$I$29:$I$38)*(1+'Эффекты технологий'!V$7)</x:f>
        <x:v>0</x:v>
      </x:c>
      <x:c r="X40" s="4" t="n">
        <x:f>SUMIF('Ход 2039'!$G$29:$G$38,$A40,'Ход 2039'!$I$29:$I$38)*(1+'Эффекты технологий'!W$7)</x:f>
        <x:v>0</x:v>
      </x:c>
      <x:c r="Y40" s="4" t="n">
        <x:f>SUMIF('Ход 2040'!$G$29:$G$38,$A40,'Ход 2040'!$I$29:$I$38)*(1+'Эффекты технологий'!X$7)</x:f>
        <x:v>0</x:v>
      </x:c>
      <x:c r="Z40" s="5" t="n">
        <x:f t="shared" si="0">SUM(K40:Y40)</x:f>
        <x:v>0</x:v>
      </x:c>
      <x:c r="AA40" s="5" t="n">
        <x:f t="shared" si="1">MAX(0,E40-Z40)</x:f>
        <x:v>150</x:v>
      </x:c>
      <x:c r="AB40" s="3" t="str">
        <x:f t="shared" si="2">BF40</x:f>
        <x:v>ОТКРЫТО</x:v>
      </x:c>
      <x:c r="AC40" t="n">
        <x:f>SUM($K40:K40)</x:f>
        <x:v>0</x:v>
      </x:c>
      <x:c r="AD40" t="n">
        <x:f>SUM($K40:L40)</x:f>
        <x:v>0</x:v>
      </x:c>
      <x:c r="AE40" t="n">
        <x:f>SUM($K40:M40)</x:f>
        <x:v>0</x:v>
      </x:c>
      <x:c r="AF40" t="n">
        <x:f>SUM($K40:N40)</x:f>
        <x:v>0</x:v>
      </x:c>
      <x:c r="AG40" t="n">
        <x:f>SUM($K40:O40)</x:f>
        <x:v>0</x:v>
      </x:c>
      <x:c r="AH40" t="n">
        <x:f>SUM($K40:P40)</x:f>
        <x:v>0</x:v>
      </x:c>
      <x:c r="AI40" t="n">
        <x:f>SUM($K40:Q40)</x:f>
        <x:v>0</x:v>
      </x:c>
      <x:c r="AJ40" t="n">
        <x:f>SUM($K40:R40)</x:f>
        <x:v>0</x:v>
      </x:c>
      <x:c r="AK40" t="n">
        <x:f>SUM($K40:S40)</x:f>
        <x:v>0</x:v>
      </x:c>
      <x:c r="AL40" t="n">
        <x:f>SUM($K40:T40)</x:f>
        <x:v>0</x:v>
      </x:c>
      <x:c r="AM40" t="n">
        <x:f>SUM($K40:U40)</x:f>
        <x:v>0</x:v>
      </x:c>
      <x:c r="AN40" t="n">
        <x:f>SUM($K40:V40)</x:f>
        <x:v>0</x:v>
      </x:c>
      <x:c r="AO40" t="n">
        <x:f>SUM($K40:W40)</x:f>
        <x:v>0</x:v>
      </x:c>
      <x:c r="AP40" t="n">
        <x:f>SUM($K40:X40)</x:f>
        <x:v>0</x:v>
      </x:c>
      <x:c r="AQ40" t="n">
        <x:f>SUM($K40:Y40)</x:f>
        <x:v>0</x:v>
      </x:c>
      <x:c r="AR40" t="str">
        <x:f t="shared" si="3">IF(AND(AC40&gt;=$E40,TRUE),"ИЗУЧЕНО",IF(TRUE,"ОТКРЫТО","ЗАКРЫТО"))</x:f>
        <x:v>ОТКРЫТО</x:v>
      </x:c>
      <x:c r="AS40" t="str">
        <x:f t="shared" si="4">IF(AND(AD40&gt;=$E40,TRUE),"ИЗУЧЕНО",IF(TRUE,"ОТКРЫТО","ЗАКРЫТО"))</x:f>
        <x:v>ОТКРЫТО</x:v>
      </x:c>
      <x:c r="AT40" t="str">
        <x:f t="shared" si="5">IF(AND(AE40&gt;=$E40,TRUE),"ИЗУЧЕНО",IF(TRUE,"ОТКРЫТО","ЗАКРЫТО"))</x:f>
        <x:v>ОТКРЫТО</x:v>
      </x:c>
      <x:c r="AU40" t="str">
        <x:f t="shared" si="6">IF(AND(AF40&gt;=$E40,TRUE),"ИЗУЧЕНО",IF(TRUE,"ОТКРЫТО","ЗАКРЫТО"))</x:f>
        <x:v>ОТКРЫТО</x:v>
      </x:c>
      <x:c r="AV40" t="str">
        <x:f t="shared" si="7">IF(AND(AG40&gt;=$E40,TRUE),"ИЗУЧЕНО",IF(TRUE,"ОТКРЫТО","ЗАКРЫТО"))</x:f>
        <x:v>ОТКРЫТО</x:v>
      </x:c>
      <x:c r="AW40" t="str">
        <x:f t="shared" si="8">IF(AND(AH40&gt;=$E40,TRUE),"ИЗУЧЕНО",IF(TRUE,"ОТКРЫТО","ЗАКРЫТО"))</x:f>
        <x:v>ОТКРЫТО</x:v>
      </x:c>
      <x:c r="AX40" t="str">
        <x:f t="shared" si="9">IF(AND(AI40&gt;=$E40,TRUE),"ИЗУЧЕНО",IF(TRUE,"ОТКРЫТО","ЗАКРЫТО"))</x:f>
        <x:v>ОТКРЫТО</x:v>
      </x:c>
      <x:c r="AY40" t="str">
        <x:f t="shared" si="10">IF(AND(AJ40&gt;=$E40,TRUE),"ИЗУЧЕНО",IF(TRUE,"ОТКРЫТО","ЗАКРЫТО"))</x:f>
        <x:v>ОТКРЫТО</x:v>
      </x:c>
      <x:c r="AZ40" t="str">
        <x:f t="shared" si="11">IF(AND(AK40&gt;=$E40,TRUE),"ИЗУЧЕНО",IF(TRUE,"ОТКРЫТО","ЗАКРЫТО"))</x:f>
        <x:v>ОТКРЫТО</x:v>
      </x:c>
      <x:c r="BA40" t="str">
        <x:f t="shared" si="12">IF(AND(AL40&gt;=$E40,TRUE),"ИЗУЧЕНО",IF(TRUE,"ОТКРЫТО","ЗАКРЫТО"))</x:f>
        <x:v>ОТКРЫТО</x:v>
      </x:c>
      <x:c r="BB40" t="str">
        <x:f t="shared" si="13">IF(AND(AM40&gt;=$E40,TRUE),"ИЗУЧЕНО",IF(TRUE,"ОТКРЫТО","ЗАКРЫТО"))</x:f>
        <x:v>ОТКРЫТО</x:v>
      </x:c>
      <x:c r="BC40" t="str">
        <x:f t="shared" si="14">IF(AND(AN40&gt;=$E40,TRUE),"ИЗУЧЕНО",IF(TRUE,"ОТКРЫТО","ЗАКРЫТО"))</x:f>
        <x:v>ОТКРЫТО</x:v>
      </x:c>
      <x:c r="BD40" t="str">
        <x:f t="shared" si="15">IF(AND(AO40&gt;=$E40,TRUE),"ИЗУЧЕНО",IF(TRUE,"ОТКРЫТО","ЗАКРЫТО"))</x:f>
        <x:v>ОТКРЫТО</x:v>
      </x:c>
      <x:c r="BE40" t="str">
        <x:f t="shared" si="16">IF(AND(AP40&gt;=$E40,TRUE),"ИЗУЧЕНО",IF(TRUE,"ОТКРЫТО","ЗАКРЫТО"))</x:f>
        <x:v>ОТКРЫТО</x:v>
      </x:c>
      <x:c r="BF40" t="str">
        <x:f t="shared" si="17">IF(AND(AQ40&gt;=$E40,TRUE),"ИЗУЧЕНО",IF(TRUE,"ОТКРЫТО","ЗАКРЫТО"))</x:f>
        <x:v>ОТКРЫТО</x:v>
      </x:c>
      <x:c r="BG40" t="str">
        <x:f t="shared" si="18">IFERROR(2025+MATCH("ИЗУЧЕНО",AR40:BF40,0),"")</x:f>
      </x:c>
      <x:c r="BH40" t="str">
        <x:f t="shared" si="19">IF(BG40="","",BG40+1)</x:f>
      </x:c>
    </x:row>
    <x:row r="41" ht="151.8000030517578">
      <x:c r="A41" s="3" t="s">
        <x:v>196</x:v>
      </x:c>
      <x:c r="B41" s="3" t="s">
        <x:v>197</x:v>
      </x:c>
      <x:c r="C41" s="3" t="s">
        <x:v>68</x:v>
      </x:c>
      <x:c r="D41" s="3" t="s">
        <x:v>198</x:v>
      </x:c>
      <x:c r="E41" s="3">
        <x:v>20</x:v>
      </x:c>
      <x:c r="F41" s="3"/>
      <x:c r="G41" s="3"/>
      <x:c r="H41" s="3"/>
      <x:c r="I41" s="3" t="s">
        <x:v>199</x:v>
      </x:c>
      <x:c r="J41" s="3" t="s">
        <x:v>200</x:v>
      </x:c>
      <x:c r="K41" s="4" t="n">
        <x:f>SUMIF('Ход 2026'!$G$29:$G$38,$A41,'Ход 2026'!$I$29:$I$38)*(1+'Эффекты технологий'!J$7)</x:f>
        <x:v>0</x:v>
      </x:c>
      <x:c r="L41" s="4" t="n">
        <x:f>SUMIF('Ход 2027'!$G$29:$G$38,$A41,'Ход 2027'!$I$29:$I$38)*(1+'Эффекты технологий'!K$7)</x:f>
        <x:v>0</x:v>
      </x:c>
      <x:c r="M41" s="4" t="n">
        <x:f>SUMIF('Ход 2028'!$G$29:$G$38,$A41,'Ход 2028'!$I$29:$I$38)*(1+'Эффекты технологий'!L$7)</x:f>
        <x:v>0</x:v>
      </x:c>
      <x:c r="N41" s="4" t="n">
        <x:f>SUMIF('Ход 2029'!$G$29:$G$38,$A41,'Ход 2029'!$I$29:$I$38)*(1+'Эффекты технологий'!M$7)</x:f>
        <x:v>0</x:v>
      </x:c>
      <x:c r="O41" s="4" t="n">
        <x:f>SUMIF('Ход 2030'!$G$29:$G$38,$A41,'Ход 2030'!$I$29:$I$38)*(1+'Эффекты технологий'!N$7)</x:f>
        <x:v>0</x:v>
      </x:c>
      <x:c r="P41" s="4" t="n">
        <x:f>SUMIF('Ход 2031'!$G$29:$G$38,$A41,'Ход 2031'!$I$29:$I$38)*(1+'Эффекты технологий'!O$7)</x:f>
        <x:v>0</x:v>
      </x:c>
      <x:c r="Q41" s="4" t="n">
        <x:f>SUMIF('Ход 2032'!$G$29:$G$38,$A41,'Ход 2032'!$I$29:$I$38)*(1+'Эффекты технологий'!P$7)</x:f>
        <x:v>0</x:v>
      </x:c>
      <x:c r="R41" s="4" t="n">
        <x:f>SUMIF('Ход 2033'!$G$29:$G$38,$A41,'Ход 2033'!$I$29:$I$38)*(1+'Эффекты технологий'!Q$7)</x:f>
        <x:v>0</x:v>
      </x:c>
      <x:c r="S41" s="4" t="n">
        <x:f>SUMIF('Ход 2034'!$G$29:$G$38,$A41,'Ход 2034'!$I$29:$I$38)*(1+'Эффекты технологий'!R$7)</x:f>
        <x:v>0</x:v>
      </x:c>
      <x:c r="T41" s="4" t="n">
        <x:f>SUMIF('Ход 2035'!$G$29:$G$38,$A41,'Ход 2035'!$I$29:$I$38)*(1+'Эффекты технологий'!S$7)</x:f>
        <x:v>0</x:v>
      </x:c>
      <x:c r="U41" s="4" t="n">
        <x:f>SUMIF('Ход 2036'!$G$29:$G$38,$A41,'Ход 2036'!$I$29:$I$38)*(1+'Эффекты технологий'!T$7)</x:f>
        <x:v>0</x:v>
      </x:c>
      <x:c r="V41" s="4" t="n">
        <x:f>SUMIF('Ход 2037'!$G$29:$G$38,$A41,'Ход 2037'!$I$29:$I$38)*(1+'Эффекты технологий'!U$7)</x:f>
        <x:v>0</x:v>
      </x:c>
      <x:c r="W41" s="4" t="n">
        <x:f>SUMIF('Ход 2038'!$G$29:$G$38,$A41,'Ход 2038'!$I$29:$I$38)*(1+'Эффекты технологий'!V$7)</x:f>
        <x:v>0</x:v>
      </x:c>
      <x:c r="X41" s="4" t="n">
        <x:f>SUMIF('Ход 2039'!$G$29:$G$38,$A41,'Ход 2039'!$I$29:$I$38)*(1+'Эффекты технологий'!W$7)</x:f>
        <x:v>0</x:v>
      </x:c>
      <x:c r="Y41" s="4" t="n">
        <x:f>SUMIF('Ход 2040'!$G$29:$G$38,$A41,'Ход 2040'!$I$29:$I$38)*(1+'Эффекты технологий'!X$7)</x:f>
        <x:v>0</x:v>
      </x:c>
      <x:c r="Z41" s="5" t="n">
        <x:f t="shared" si="0">SUM(K41:Y41)</x:f>
        <x:v>0</x:v>
      </x:c>
      <x:c r="AA41" s="5" t="n">
        <x:f t="shared" si="1">MAX(0,E41-Z41)</x:f>
        <x:v>20</x:v>
      </x:c>
      <x:c r="AB41" s="3" t="str">
        <x:f t="shared" si="2">BF41</x:f>
        <x:v>ОТКРЫТО</x:v>
      </x:c>
      <x:c r="AC41" t="n">
        <x:f>SUM($K41:K41)</x:f>
        <x:v>0</x:v>
      </x:c>
      <x:c r="AD41" t="n">
        <x:f>SUM($K41:L41)</x:f>
        <x:v>0</x:v>
      </x:c>
      <x:c r="AE41" t="n">
        <x:f>SUM($K41:M41)</x:f>
        <x:v>0</x:v>
      </x:c>
      <x:c r="AF41" t="n">
        <x:f>SUM($K41:N41)</x:f>
        <x:v>0</x:v>
      </x:c>
      <x:c r="AG41" t="n">
        <x:f>SUM($K41:O41)</x:f>
        <x:v>0</x:v>
      </x:c>
      <x:c r="AH41" t="n">
        <x:f>SUM($K41:P41)</x:f>
        <x:v>0</x:v>
      </x:c>
      <x:c r="AI41" t="n">
        <x:f>SUM($K41:Q41)</x:f>
        <x:v>0</x:v>
      </x:c>
      <x:c r="AJ41" t="n">
        <x:f>SUM($K41:R41)</x:f>
        <x:v>0</x:v>
      </x:c>
      <x:c r="AK41" t="n">
        <x:f>SUM($K41:S41)</x:f>
        <x:v>0</x:v>
      </x:c>
      <x:c r="AL41" t="n">
        <x:f>SUM($K41:T41)</x:f>
        <x:v>0</x:v>
      </x:c>
      <x:c r="AM41" t="n">
        <x:f>SUM($K41:U41)</x:f>
        <x:v>0</x:v>
      </x:c>
      <x:c r="AN41" t="n">
        <x:f>SUM($K41:V41)</x:f>
        <x:v>0</x:v>
      </x:c>
      <x:c r="AO41" t="n">
        <x:f>SUM($K41:W41)</x:f>
        <x:v>0</x:v>
      </x:c>
      <x:c r="AP41" t="n">
        <x:f>SUM($K41:X41)</x:f>
        <x:v>0</x:v>
      </x:c>
      <x:c r="AQ41" t="n">
        <x:f>SUM($K41:Y41)</x:f>
        <x:v>0</x:v>
      </x:c>
      <x:c r="AR41" t="str">
        <x:f t="shared" si="3">IF(AND(AC41&gt;=$E41,TRUE),"ИЗУЧЕНО",IF(TRUE,"ОТКРЫТО","ЗАКРЫТО"))</x:f>
        <x:v>ОТКРЫТО</x:v>
      </x:c>
      <x:c r="AS41" t="str">
        <x:f t="shared" si="4">IF(AND(AD41&gt;=$E41,TRUE),"ИЗУЧЕНО",IF(TRUE,"ОТКРЫТО","ЗАКРЫТО"))</x:f>
        <x:v>ОТКРЫТО</x:v>
      </x:c>
      <x:c r="AT41" t="str">
        <x:f t="shared" si="5">IF(AND(AE41&gt;=$E41,TRUE),"ИЗУЧЕНО",IF(TRUE,"ОТКРЫТО","ЗАКРЫТО"))</x:f>
        <x:v>ОТКРЫТО</x:v>
      </x:c>
      <x:c r="AU41" t="str">
        <x:f t="shared" si="6">IF(AND(AF41&gt;=$E41,TRUE),"ИЗУЧЕНО",IF(TRUE,"ОТКРЫТО","ЗАКРЫТО"))</x:f>
        <x:v>ОТКРЫТО</x:v>
      </x:c>
      <x:c r="AV41" t="str">
        <x:f t="shared" si="7">IF(AND(AG41&gt;=$E41,TRUE),"ИЗУЧЕНО",IF(TRUE,"ОТКРЫТО","ЗАКРЫТО"))</x:f>
        <x:v>ОТКРЫТО</x:v>
      </x:c>
      <x:c r="AW41" t="str">
        <x:f t="shared" si="8">IF(AND(AH41&gt;=$E41,TRUE),"ИЗУЧЕНО",IF(TRUE,"ОТКРЫТО","ЗАКРЫТО"))</x:f>
        <x:v>ОТКРЫТО</x:v>
      </x:c>
      <x:c r="AX41" t="str">
        <x:f t="shared" si="9">IF(AND(AI41&gt;=$E41,TRUE),"ИЗУЧЕНО",IF(TRUE,"ОТКРЫТО","ЗАКРЫТО"))</x:f>
        <x:v>ОТКРЫТО</x:v>
      </x:c>
      <x:c r="AY41" t="str">
        <x:f t="shared" si="10">IF(AND(AJ41&gt;=$E41,TRUE),"ИЗУЧЕНО",IF(TRUE,"ОТКРЫТО","ЗАКРЫТО"))</x:f>
        <x:v>ОТКРЫТО</x:v>
      </x:c>
      <x:c r="AZ41" t="str">
        <x:f t="shared" si="11">IF(AND(AK41&gt;=$E41,TRUE),"ИЗУЧЕНО",IF(TRUE,"ОТКРЫТО","ЗАКРЫТО"))</x:f>
        <x:v>ОТКРЫТО</x:v>
      </x:c>
      <x:c r="BA41" t="str">
        <x:f t="shared" si="12">IF(AND(AL41&gt;=$E41,TRUE),"ИЗУЧЕНО",IF(TRUE,"ОТКРЫТО","ЗАКРЫТО"))</x:f>
        <x:v>ОТКРЫТО</x:v>
      </x:c>
      <x:c r="BB41" t="str">
        <x:f t="shared" si="13">IF(AND(AM41&gt;=$E41,TRUE),"ИЗУЧЕНО",IF(TRUE,"ОТКРЫТО","ЗАКРЫТО"))</x:f>
        <x:v>ОТКРЫТО</x:v>
      </x:c>
      <x:c r="BC41" t="str">
        <x:f t="shared" si="14">IF(AND(AN41&gt;=$E41,TRUE),"ИЗУЧЕНО",IF(TRUE,"ОТКРЫТО","ЗАКРЫТО"))</x:f>
        <x:v>ОТКРЫТО</x:v>
      </x:c>
      <x:c r="BD41" t="str">
        <x:f t="shared" si="15">IF(AND(AO41&gt;=$E41,TRUE),"ИЗУЧЕНО",IF(TRUE,"ОТКРЫТО","ЗАКРЫТО"))</x:f>
        <x:v>ОТКРЫТО</x:v>
      </x:c>
      <x:c r="BE41" t="str">
        <x:f t="shared" si="16">IF(AND(AP41&gt;=$E41,TRUE),"ИЗУЧЕНО",IF(TRUE,"ОТКРЫТО","ЗАКРЫТО"))</x:f>
        <x:v>ОТКРЫТО</x:v>
      </x:c>
      <x:c r="BF41" t="str">
        <x:f t="shared" si="17">IF(AND(AQ41&gt;=$E41,TRUE),"ИЗУЧЕНО",IF(TRUE,"ОТКРЫТО","ЗАКРЫТО"))</x:f>
        <x:v>ОТКРЫТО</x:v>
      </x:c>
      <x:c r="BG41" t="str">
        <x:f t="shared" si="18">IFERROR(2025+MATCH("ИЗУЧЕНО",AR41:BF41,0),"")</x:f>
      </x:c>
      <x:c r="BH41" t="str">
        <x:f t="shared" si="19">IF(BG41="","",BG41+1)</x:f>
      </x:c>
    </x:row>
    <x:row r="42" ht="165.60000610351562">
      <x:c r="A42" s="3" t="s">
        <x:v>201</x:v>
      </x:c>
      <x:c r="B42" s="3" t="s">
        <x:v>197</x:v>
      </x:c>
      <x:c r="C42" s="3" t="s">
        <x:v>73</x:v>
      </x:c>
      <x:c r="D42" s="3" t="s">
        <x:v>202</x:v>
      </x:c>
      <x:c r="E42" s="3">
        <x:v>35</x:v>
      </x:c>
      <x:c r="F42" s="3" t="s">
        <x:v>196</x:v>
      </x:c>
      <x:c r="G42" s="3"/>
      <x:c r="H42" s="3"/>
      <x:c r="I42" s="3" t="s">
        <x:v>203</x:v>
      </x:c>
      <x:c r="J42" s="3" t="s">
        <x:v>204</x:v>
      </x:c>
      <x:c r="K42" s="4" t="n">
        <x:f>SUMIF('Ход 2026'!$G$29:$G$38,$A42,'Ход 2026'!$I$29:$I$38)*(1+'Эффекты технологий'!J$7)</x:f>
        <x:v>0</x:v>
      </x:c>
      <x:c r="L42" s="4" t="n">
        <x:f>SUMIF('Ход 2027'!$G$29:$G$38,$A42,'Ход 2027'!$I$29:$I$38)*(1+'Эффекты технологий'!K$7)</x:f>
        <x:v>0</x:v>
      </x:c>
      <x:c r="M42" s="4" t="n">
        <x:f>SUMIF('Ход 2028'!$G$29:$G$38,$A42,'Ход 2028'!$I$29:$I$38)*(1+'Эффекты технологий'!L$7)</x:f>
        <x:v>0</x:v>
      </x:c>
      <x:c r="N42" s="4" t="n">
        <x:f>SUMIF('Ход 2029'!$G$29:$G$38,$A42,'Ход 2029'!$I$29:$I$38)*(1+'Эффекты технологий'!M$7)</x:f>
        <x:v>0</x:v>
      </x:c>
      <x:c r="O42" s="4" t="n">
        <x:f>SUMIF('Ход 2030'!$G$29:$G$38,$A42,'Ход 2030'!$I$29:$I$38)*(1+'Эффекты технологий'!N$7)</x:f>
        <x:v>0</x:v>
      </x:c>
      <x:c r="P42" s="4" t="n">
        <x:f>SUMIF('Ход 2031'!$G$29:$G$38,$A42,'Ход 2031'!$I$29:$I$38)*(1+'Эффекты технологий'!O$7)</x:f>
        <x:v>0</x:v>
      </x:c>
      <x:c r="Q42" s="4" t="n">
        <x:f>SUMIF('Ход 2032'!$G$29:$G$38,$A42,'Ход 2032'!$I$29:$I$38)*(1+'Эффекты технологий'!P$7)</x:f>
        <x:v>0</x:v>
      </x:c>
      <x:c r="R42" s="4" t="n">
        <x:f>SUMIF('Ход 2033'!$G$29:$G$38,$A42,'Ход 2033'!$I$29:$I$38)*(1+'Эффекты технологий'!Q$7)</x:f>
        <x:v>0</x:v>
      </x:c>
      <x:c r="S42" s="4" t="n">
        <x:f>SUMIF('Ход 2034'!$G$29:$G$38,$A42,'Ход 2034'!$I$29:$I$38)*(1+'Эффекты технологий'!R$7)</x:f>
        <x:v>0</x:v>
      </x:c>
      <x:c r="T42" s="4" t="n">
        <x:f>SUMIF('Ход 2035'!$G$29:$G$38,$A42,'Ход 2035'!$I$29:$I$38)*(1+'Эффекты технологий'!S$7)</x:f>
        <x:v>0</x:v>
      </x:c>
      <x:c r="U42" s="4" t="n">
        <x:f>SUMIF('Ход 2036'!$G$29:$G$38,$A42,'Ход 2036'!$I$29:$I$38)*(1+'Эффекты технологий'!T$7)</x:f>
        <x:v>0</x:v>
      </x:c>
      <x:c r="V42" s="4" t="n">
        <x:f>SUMIF('Ход 2037'!$G$29:$G$38,$A42,'Ход 2037'!$I$29:$I$38)*(1+'Эффекты технологий'!U$7)</x:f>
        <x:v>0</x:v>
      </x:c>
      <x:c r="W42" s="4" t="n">
        <x:f>SUMIF('Ход 2038'!$G$29:$G$38,$A42,'Ход 2038'!$I$29:$I$38)*(1+'Эффекты технологий'!V$7)</x:f>
        <x:v>0</x:v>
      </x:c>
      <x:c r="X42" s="4" t="n">
        <x:f>SUMIF('Ход 2039'!$G$29:$G$38,$A42,'Ход 2039'!$I$29:$I$38)*(1+'Эффекты технологий'!W$7)</x:f>
        <x:v>0</x:v>
      </x:c>
      <x:c r="Y42" s="4" t="n">
        <x:f>SUMIF('Ход 2040'!$G$29:$G$38,$A42,'Ход 2040'!$I$29:$I$38)*(1+'Эффекты технологий'!X$7)</x:f>
        <x:v>0</x:v>
      </x:c>
      <x:c r="Z42" s="5" t="n">
        <x:f t="shared" si="0">SUM(K42:Y42)</x:f>
        <x:v>0</x:v>
      </x:c>
      <x:c r="AA42" s="5" t="n">
        <x:f t="shared" si="1">MAX(0,E42-Z42)</x:f>
        <x:v>35</x:v>
      </x:c>
      <x:c r="AB42" s="3" t="str">
        <x:f t="shared" si="2">BF42</x:f>
        <x:v>ОТКРЫТО</x:v>
      </x:c>
      <x:c r="AC42" t="n">
        <x:f>SUM($K42:K42)</x:f>
        <x:v>0</x:v>
      </x:c>
      <x:c r="AD42" t="n">
        <x:f>SUM($K42:L42)</x:f>
        <x:v>0</x:v>
      </x:c>
      <x:c r="AE42" t="n">
        <x:f>SUM($K42:M42)</x:f>
        <x:v>0</x:v>
      </x:c>
      <x:c r="AF42" t="n">
        <x:f>SUM($K42:N42)</x:f>
        <x:v>0</x:v>
      </x:c>
      <x:c r="AG42" t="n">
        <x:f>SUM($K42:O42)</x:f>
        <x:v>0</x:v>
      </x:c>
      <x:c r="AH42" t="n">
        <x:f>SUM($K42:P42)</x:f>
        <x:v>0</x:v>
      </x:c>
      <x:c r="AI42" t="n">
        <x:f>SUM($K42:Q42)</x:f>
        <x:v>0</x:v>
      </x:c>
      <x:c r="AJ42" t="n">
        <x:f>SUM($K42:R42)</x:f>
        <x:v>0</x:v>
      </x:c>
      <x:c r="AK42" t="n">
        <x:f>SUM($K42:S42)</x:f>
        <x:v>0</x:v>
      </x:c>
      <x:c r="AL42" t="n">
        <x:f>SUM($K42:T42)</x:f>
        <x:v>0</x:v>
      </x:c>
      <x:c r="AM42" t="n">
        <x:f>SUM($K42:U42)</x:f>
        <x:v>0</x:v>
      </x:c>
      <x:c r="AN42" t="n">
        <x:f>SUM($K42:V42)</x:f>
        <x:v>0</x:v>
      </x:c>
      <x:c r="AO42" t="n">
        <x:f>SUM($K42:W42)</x:f>
        <x:v>0</x:v>
      </x:c>
      <x:c r="AP42" t="n">
        <x:f>SUM($K42:X42)</x:f>
        <x:v>0</x:v>
      </x:c>
      <x:c r="AQ42" t="n">
        <x:f>SUM($K42:Y42)</x:f>
        <x:v>0</x:v>
      </x:c>
      <x:c r="AR42" t="str">
        <x:f t="shared" si="3">IF(AND(AC42&gt;=$E42,TRUE),"ИЗУЧЕНО",IF(TRUE,"ОТКРЫТО","ЗАКРЫТО"))</x:f>
        <x:v>ОТКРЫТО</x:v>
      </x:c>
      <x:c r="AS42" t="str">
        <x:f t="shared" si="4">IF(AND(AD42&gt;=$E42,TRUE),"ИЗУЧЕНО",IF(TRUE,"ОТКРЫТО","ЗАКРЫТО"))</x:f>
        <x:v>ОТКРЫТО</x:v>
      </x:c>
      <x:c r="AT42" t="str">
        <x:f t="shared" si="5">IF(AND(AE42&gt;=$E42,TRUE),"ИЗУЧЕНО",IF(TRUE,"ОТКРЫТО","ЗАКРЫТО"))</x:f>
        <x:v>ОТКРЫТО</x:v>
      </x:c>
      <x:c r="AU42" t="str">
        <x:f t="shared" si="6">IF(AND(AF42&gt;=$E42,TRUE),"ИЗУЧЕНО",IF(TRUE,"ОТКРЫТО","ЗАКРЫТО"))</x:f>
        <x:v>ОТКРЫТО</x:v>
      </x:c>
      <x:c r="AV42" t="str">
        <x:f t="shared" si="7">IF(AND(AG42&gt;=$E42,TRUE),"ИЗУЧЕНО",IF(TRUE,"ОТКРЫТО","ЗАКРЫТО"))</x:f>
        <x:v>ОТКРЫТО</x:v>
      </x:c>
      <x:c r="AW42" t="str">
        <x:f t="shared" si="8">IF(AND(AH42&gt;=$E42,TRUE),"ИЗУЧЕНО",IF(TRUE,"ОТКРЫТО","ЗАКРЫТО"))</x:f>
        <x:v>ОТКРЫТО</x:v>
      </x:c>
      <x:c r="AX42" t="str">
        <x:f t="shared" si="9">IF(AND(AI42&gt;=$E42,TRUE),"ИЗУЧЕНО",IF(TRUE,"ОТКРЫТО","ЗАКРЫТО"))</x:f>
        <x:v>ОТКРЫТО</x:v>
      </x:c>
      <x:c r="AY42" t="str">
        <x:f t="shared" si="10">IF(AND(AJ42&gt;=$E42,TRUE),"ИЗУЧЕНО",IF(TRUE,"ОТКРЫТО","ЗАКРЫТО"))</x:f>
        <x:v>ОТКРЫТО</x:v>
      </x:c>
      <x:c r="AZ42" t="str">
        <x:f t="shared" si="11">IF(AND(AK42&gt;=$E42,TRUE),"ИЗУЧЕНО",IF(TRUE,"ОТКРЫТО","ЗАКРЫТО"))</x:f>
        <x:v>ОТКРЫТО</x:v>
      </x:c>
      <x:c r="BA42" t="str">
        <x:f t="shared" si="12">IF(AND(AL42&gt;=$E42,TRUE),"ИЗУЧЕНО",IF(TRUE,"ОТКРЫТО","ЗАКРЫТО"))</x:f>
        <x:v>ОТКРЫТО</x:v>
      </x:c>
      <x:c r="BB42" t="str">
        <x:f t="shared" si="13">IF(AND(AM42&gt;=$E42,TRUE),"ИЗУЧЕНО",IF(TRUE,"ОТКРЫТО","ЗАКРЫТО"))</x:f>
        <x:v>ОТКРЫТО</x:v>
      </x:c>
      <x:c r="BC42" t="str">
        <x:f t="shared" si="14">IF(AND(AN42&gt;=$E42,TRUE),"ИЗУЧЕНО",IF(TRUE,"ОТКРЫТО","ЗАКРЫТО"))</x:f>
        <x:v>ОТКРЫТО</x:v>
      </x:c>
      <x:c r="BD42" t="str">
        <x:f t="shared" si="15">IF(AND(AO42&gt;=$E42,TRUE),"ИЗУЧЕНО",IF(TRUE,"ОТКРЫТО","ЗАКРЫТО"))</x:f>
        <x:v>ОТКРЫТО</x:v>
      </x:c>
      <x:c r="BE42" t="str">
        <x:f t="shared" si="16">IF(AND(AP42&gt;=$E42,TRUE),"ИЗУЧЕНО",IF(TRUE,"ОТКРЫТО","ЗАКРЫТО"))</x:f>
        <x:v>ОТКРЫТО</x:v>
      </x:c>
      <x:c r="BF42" t="str">
        <x:f t="shared" si="17">IF(AND(AQ42&gt;=$E42,TRUE),"ИЗУЧЕНО",IF(TRUE,"ОТКРЫТО","ЗАКРЫТО"))</x:f>
        <x:v>ОТКРЫТО</x:v>
      </x:c>
      <x:c r="BG42" t="str">
        <x:f t="shared" si="18">IFERROR(2025+MATCH("ИЗУЧЕНО",AR42:BF42,0),"")</x:f>
      </x:c>
      <x:c r="BH42" t="str">
        <x:f t="shared" si="19">IF(BG42="","",BG42+1)</x:f>
      </x:c>
    </x:row>
    <x:row r="43" ht="165.60000610351562">
      <x:c r="A43" s="3" t="s">
        <x:v>205</x:v>
      </x:c>
      <x:c r="B43" s="3" t="s">
        <x:v>197</x:v>
      </x:c>
      <x:c r="C43" s="3" t="s">
        <x:v>73</x:v>
      </x:c>
      <x:c r="D43" s="3" t="s">
        <x:v>206</x:v>
      </x:c>
      <x:c r="E43" s="3">
        <x:v>40</x:v>
      </x:c>
      <x:c r="F43" s="3" t="s">
        <x:v>196</x:v>
      </x:c>
      <x:c r="G43" s="3"/>
      <x:c r="H43" s="3"/>
      <x:c r="I43" s="3" t="s">
        <x:v>207</x:v>
      </x:c>
      <x:c r="J43" s="3" t="s">
        <x:v>208</x:v>
      </x:c>
      <x:c r="K43" s="4" t="n">
        <x:f>SUMIF('Ход 2026'!$G$29:$G$38,$A43,'Ход 2026'!$I$29:$I$38)*(1+'Эффекты технологий'!J$7)</x:f>
        <x:v>0</x:v>
      </x:c>
      <x:c r="L43" s="4" t="n">
        <x:f>SUMIF('Ход 2027'!$G$29:$G$38,$A43,'Ход 2027'!$I$29:$I$38)*(1+'Эффекты технологий'!K$7)</x:f>
        <x:v>0</x:v>
      </x:c>
      <x:c r="M43" s="4" t="n">
        <x:f>SUMIF('Ход 2028'!$G$29:$G$38,$A43,'Ход 2028'!$I$29:$I$38)*(1+'Эффекты технологий'!L$7)</x:f>
        <x:v>0</x:v>
      </x:c>
      <x:c r="N43" s="4" t="n">
        <x:f>SUMIF('Ход 2029'!$G$29:$G$38,$A43,'Ход 2029'!$I$29:$I$38)*(1+'Эффекты технологий'!M$7)</x:f>
        <x:v>0</x:v>
      </x:c>
      <x:c r="O43" s="4" t="n">
        <x:f>SUMIF('Ход 2030'!$G$29:$G$38,$A43,'Ход 2030'!$I$29:$I$38)*(1+'Эффекты технологий'!N$7)</x:f>
        <x:v>0</x:v>
      </x:c>
      <x:c r="P43" s="4" t="n">
        <x:f>SUMIF('Ход 2031'!$G$29:$G$38,$A43,'Ход 2031'!$I$29:$I$38)*(1+'Эффекты технологий'!O$7)</x:f>
        <x:v>0</x:v>
      </x:c>
      <x:c r="Q43" s="4" t="n">
        <x:f>SUMIF('Ход 2032'!$G$29:$G$38,$A43,'Ход 2032'!$I$29:$I$38)*(1+'Эффекты технологий'!P$7)</x:f>
        <x:v>0</x:v>
      </x:c>
      <x:c r="R43" s="4" t="n">
        <x:f>SUMIF('Ход 2033'!$G$29:$G$38,$A43,'Ход 2033'!$I$29:$I$38)*(1+'Эффекты технологий'!Q$7)</x:f>
        <x:v>0</x:v>
      </x:c>
      <x:c r="S43" s="4" t="n">
        <x:f>SUMIF('Ход 2034'!$G$29:$G$38,$A43,'Ход 2034'!$I$29:$I$38)*(1+'Эффекты технологий'!R$7)</x:f>
        <x:v>0</x:v>
      </x:c>
      <x:c r="T43" s="4" t="n">
        <x:f>SUMIF('Ход 2035'!$G$29:$G$38,$A43,'Ход 2035'!$I$29:$I$38)*(1+'Эффекты технологий'!S$7)</x:f>
        <x:v>0</x:v>
      </x:c>
      <x:c r="U43" s="4" t="n">
        <x:f>SUMIF('Ход 2036'!$G$29:$G$38,$A43,'Ход 2036'!$I$29:$I$38)*(1+'Эффекты технологий'!T$7)</x:f>
        <x:v>0</x:v>
      </x:c>
      <x:c r="V43" s="4" t="n">
        <x:f>SUMIF('Ход 2037'!$G$29:$G$38,$A43,'Ход 2037'!$I$29:$I$38)*(1+'Эффекты технологий'!U$7)</x:f>
        <x:v>0</x:v>
      </x:c>
      <x:c r="W43" s="4" t="n">
        <x:f>SUMIF('Ход 2038'!$G$29:$G$38,$A43,'Ход 2038'!$I$29:$I$38)*(1+'Эффекты технологий'!V$7)</x:f>
        <x:v>0</x:v>
      </x:c>
      <x:c r="X43" s="4" t="n">
        <x:f>SUMIF('Ход 2039'!$G$29:$G$38,$A43,'Ход 2039'!$I$29:$I$38)*(1+'Эффекты технологий'!W$7)</x:f>
        <x:v>0</x:v>
      </x:c>
      <x:c r="Y43" s="4" t="n">
        <x:f>SUMIF('Ход 2040'!$G$29:$G$38,$A43,'Ход 2040'!$I$29:$I$38)*(1+'Эффекты технологий'!X$7)</x:f>
        <x:v>0</x:v>
      </x:c>
      <x:c r="Z43" s="5" t="n">
        <x:f t="shared" si="0">SUM(K43:Y43)</x:f>
        <x:v>0</x:v>
      </x:c>
      <x:c r="AA43" s="5" t="n">
        <x:f t="shared" si="1">MAX(0,E43-Z43)</x:f>
        <x:v>40</x:v>
      </x:c>
      <x:c r="AB43" s="3" t="str">
        <x:f t="shared" si="2">BF43</x:f>
        <x:v>ОТКРЫТО</x:v>
      </x:c>
      <x:c r="AC43" t="n">
        <x:f>SUM($K43:K43)</x:f>
        <x:v>0</x:v>
      </x:c>
      <x:c r="AD43" t="n">
        <x:f>SUM($K43:L43)</x:f>
        <x:v>0</x:v>
      </x:c>
      <x:c r="AE43" t="n">
        <x:f>SUM($K43:M43)</x:f>
        <x:v>0</x:v>
      </x:c>
      <x:c r="AF43" t="n">
        <x:f>SUM($K43:N43)</x:f>
        <x:v>0</x:v>
      </x:c>
      <x:c r="AG43" t="n">
        <x:f>SUM($K43:O43)</x:f>
        <x:v>0</x:v>
      </x:c>
      <x:c r="AH43" t="n">
        <x:f>SUM($K43:P43)</x:f>
        <x:v>0</x:v>
      </x:c>
      <x:c r="AI43" t="n">
        <x:f>SUM($K43:Q43)</x:f>
        <x:v>0</x:v>
      </x:c>
      <x:c r="AJ43" t="n">
        <x:f>SUM($K43:R43)</x:f>
        <x:v>0</x:v>
      </x:c>
      <x:c r="AK43" t="n">
        <x:f>SUM($K43:S43)</x:f>
        <x:v>0</x:v>
      </x:c>
      <x:c r="AL43" t="n">
        <x:f>SUM($K43:T43)</x:f>
        <x:v>0</x:v>
      </x:c>
      <x:c r="AM43" t="n">
        <x:f>SUM($K43:U43)</x:f>
        <x:v>0</x:v>
      </x:c>
      <x:c r="AN43" t="n">
        <x:f>SUM($K43:V43)</x:f>
        <x:v>0</x:v>
      </x:c>
      <x:c r="AO43" t="n">
        <x:f>SUM($K43:W43)</x:f>
        <x:v>0</x:v>
      </x:c>
      <x:c r="AP43" t="n">
        <x:f>SUM($K43:X43)</x:f>
        <x:v>0</x:v>
      </x:c>
      <x:c r="AQ43" t="n">
        <x:f>SUM($K43:Y43)</x:f>
        <x:v>0</x:v>
      </x:c>
      <x:c r="AR43" t="str">
        <x:f t="shared" si="3">IF(AND(AC43&gt;=$E43,TRUE),"ИЗУЧЕНО",IF(TRUE,"ОТКРЫТО","ЗАКРЫТО"))</x:f>
        <x:v>ОТКРЫТО</x:v>
      </x:c>
      <x:c r="AS43" t="str">
        <x:f t="shared" si="4">IF(AND(AD43&gt;=$E43,TRUE),"ИЗУЧЕНО",IF(TRUE,"ОТКРЫТО","ЗАКРЫТО"))</x:f>
        <x:v>ОТКРЫТО</x:v>
      </x:c>
      <x:c r="AT43" t="str">
        <x:f t="shared" si="5">IF(AND(AE43&gt;=$E43,TRUE),"ИЗУЧЕНО",IF(TRUE,"ОТКРЫТО","ЗАКРЫТО"))</x:f>
        <x:v>ОТКРЫТО</x:v>
      </x:c>
      <x:c r="AU43" t="str">
        <x:f t="shared" si="6">IF(AND(AF43&gt;=$E43,TRUE),"ИЗУЧЕНО",IF(TRUE,"ОТКРЫТО","ЗАКРЫТО"))</x:f>
        <x:v>ОТКРЫТО</x:v>
      </x:c>
      <x:c r="AV43" t="str">
        <x:f t="shared" si="7">IF(AND(AG43&gt;=$E43,TRUE),"ИЗУЧЕНО",IF(TRUE,"ОТКРЫТО","ЗАКРЫТО"))</x:f>
        <x:v>ОТКРЫТО</x:v>
      </x:c>
      <x:c r="AW43" t="str">
        <x:f t="shared" si="8">IF(AND(AH43&gt;=$E43,TRUE),"ИЗУЧЕНО",IF(TRUE,"ОТКРЫТО","ЗАКРЫТО"))</x:f>
        <x:v>ОТКРЫТО</x:v>
      </x:c>
      <x:c r="AX43" t="str">
        <x:f t="shared" si="9">IF(AND(AI43&gt;=$E43,TRUE),"ИЗУЧЕНО",IF(TRUE,"ОТКРЫТО","ЗАКРЫТО"))</x:f>
        <x:v>ОТКРЫТО</x:v>
      </x:c>
      <x:c r="AY43" t="str">
        <x:f t="shared" si="10">IF(AND(AJ43&gt;=$E43,TRUE),"ИЗУЧЕНО",IF(TRUE,"ОТКРЫТО","ЗАКРЫТО"))</x:f>
        <x:v>ОТКРЫТО</x:v>
      </x:c>
      <x:c r="AZ43" t="str">
        <x:f t="shared" si="11">IF(AND(AK43&gt;=$E43,TRUE),"ИЗУЧЕНО",IF(TRUE,"ОТКРЫТО","ЗАКРЫТО"))</x:f>
        <x:v>ОТКРЫТО</x:v>
      </x:c>
      <x:c r="BA43" t="str">
        <x:f t="shared" si="12">IF(AND(AL43&gt;=$E43,TRUE),"ИЗУЧЕНО",IF(TRUE,"ОТКРЫТО","ЗАКРЫТО"))</x:f>
        <x:v>ОТКРЫТО</x:v>
      </x:c>
      <x:c r="BB43" t="str">
        <x:f t="shared" si="13">IF(AND(AM43&gt;=$E43,TRUE),"ИЗУЧЕНО",IF(TRUE,"ОТКРЫТО","ЗАКРЫТО"))</x:f>
        <x:v>ОТКРЫТО</x:v>
      </x:c>
      <x:c r="BC43" t="str">
        <x:f t="shared" si="14">IF(AND(AN43&gt;=$E43,TRUE),"ИЗУЧЕНО",IF(TRUE,"ОТКРЫТО","ЗАКРЫТО"))</x:f>
        <x:v>ОТКРЫТО</x:v>
      </x:c>
      <x:c r="BD43" t="str">
        <x:f t="shared" si="15">IF(AND(AO43&gt;=$E43,TRUE),"ИЗУЧЕНО",IF(TRUE,"ОТКРЫТО","ЗАКРЫТО"))</x:f>
        <x:v>ОТКРЫТО</x:v>
      </x:c>
      <x:c r="BE43" t="str">
        <x:f t="shared" si="16">IF(AND(AP43&gt;=$E43,TRUE),"ИЗУЧЕНО",IF(TRUE,"ОТКРЫТО","ЗАКРЫТО"))</x:f>
        <x:v>ОТКРЫТО</x:v>
      </x:c>
      <x:c r="BF43" t="str">
        <x:f t="shared" si="17">IF(AND(AQ43&gt;=$E43,TRUE),"ИЗУЧЕНО",IF(TRUE,"ОТКРЫТО","ЗАКРЫТО"))</x:f>
        <x:v>ОТКРЫТО</x:v>
      </x:c>
      <x:c r="BG43" t="str">
        <x:f t="shared" si="18">IFERROR(2025+MATCH("ИЗУЧЕНО",AR43:BF43,0),"")</x:f>
      </x:c>
      <x:c r="BH43" t="str">
        <x:f t="shared" si="19">IF(BG43="","",BG43+1)</x:f>
      </x:c>
    </x:row>
    <x:row r="44" ht="151.8000030517578">
      <x:c r="A44" s="3" t="s">
        <x:v>209</x:v>
      </x:c>
      <x:c r="B44" s="3" t="s">
        <x:v>197</x:v>
      </x:c>
      <x:c r="C44" s="3" t="s">
        <x:v>82</x:v>
      </x:c>
      <x:c r="D44" s="3" t="s">
        <x:v>210</x:v>
      </x:c>
      <x:c r="E44" s="3">
        <x:v>65</x:v>
      </x:c>
      <x:c r="F44" s="3" t="s">
        <x:v>201</x:v>
      </x:c>
      <x:c r="G44" s="3" t="s">
        <x:v>205</x:v>
      </x:c>
      <x:c r="H44" s="3"/>
      <x:c r="I44" s="3" t="s">
        <x:v>211</x:v>
      </x:c>
      <x:c r="J44" s="3" t="s">
        <x:v>212</x:v>
      </x:c>
      <x:c r="K44" s="4" t="n">
        <x:f>SUMIF('Ход 2026'!$G$29:$G$38,$A44,'Ход 2026'!$I$29:$I$38)*(1+'Эффекты технологий'!J$7)</x:f>
        <x:v>0</x:v>
      </x:c>
      <x:c r="L44" s="4" t="n">
        <x:f>SUMIF('Ход 2027'!$G$29:$G$38,$A44,'Ход 2027'!$I$29:$I$38)*(1+'Эффекты технологий'!K$7)</x:f>
        <x:v>0</x:v>
      </x:c>
      <x:c r="M44" s="4" t="n">
        <x:f>SUMIF('Ход 2028'!$G$29:$G$38,$A44,'Ход 2028'!$I$29:$I$38)*(1+'Эффекты технологий'!L$7)</x:f>
        <x:v>0</x:v>
      </x:c>
      <x:c r="N44" s="4" t="n">
        <x:f>SUMIF('Ход 2029'!$G$29:$G$38,$A44,'Ход 2029'!$I$29:$I$38)*(1+'Эффекты технологий'!M$7)</x:f>
        <x:v>0</x:v>
      </x:c>
      <x:c r="O44" s="4" t="n">
        <x:f>SUMIF('Ход 2030'!$G$29:$G$38,$A44,'Ход 2030'!$I$29:$I$38)*(1+'Эффекты технологий'!N$7)</x:f>
        <x:v>0</x:v>
      </x:c>
      <x:c r="P44" s="4" t="n">
        <x:f>SUMIF('Ход 2031'!$G$29:$G$38,$A44,'Ход 2031'!$I$29:$I$38)*(1+'Эффекты технологий'!O$7)</x:f>
        <x:v>0</x:v>
      </x:c>
      <x:c r="Q44" s="4" t="n">
        <x:f>SUMIF('Ход 2032'!$G$29:$G$38,$A44,'Ход 2032'!$I$29:$I$38)*(1+'Эффекты технологий'!P$7)</x:f>
        <x:v>0</x:v>
      </x:c>
      <x:c r="R44" s="4" t="n">
        <x:f>SUMIF('Ход 2033'!$G$29:$G$38,$A44,'Ход 2033'!$I$29:$I$38)*(1+'Эффекты технологий'!Q$7)</x:f>
        <x:v>0</x:v>
      </x:c>
      <x:c r="S44" s="4" t="n">
        <x:f>SUMIF('Ход 2034'!$G$29:$G$38,$A44,'Ход 2034'!$I$29:$I$38)*(1+'Эффекты технологий'!R$7)</x:f>
        <x:v>0</x:v>
      </x:c>
      <x:c r="T44" s="4" t="n">
        <x:f>SUMIF('Ход 2035'!$G$29:$G$38,$A44,'Ход 2035'!$I$29:$I$38)*(1+'Эффекты технологий'!S$7)</x:f>
        <x:v>0</x:v>
      </x:c>
      <x:c r="U44" s="4" t="n">
        <x:f>SUMIF('Ход 2036'!$G$29:$G$38,$A44,'Ход 2036'!$I$29:$I$38)*(1+'Эффекты технологий'!T$7)</x:f>
        <x:v>0</x:v>
      </x:c>
      <x:c r="V44" s="4" t="n">
        <x:f>SUMIF('Ход 2037'!$G$29:$G$38,$A44,'Ход 2037'!$I$29:$I$38)*(1+'Эффекты технологий'!U$7)</x:f>
        <x:v>0</x:v>
      </x:c>
      <x:c r="W44" s="4" t="n">
        <x:f>SUMIF('Ход 2038'!$G$29:$G$38,$A44,'Ход 2038'!$I$29:$I$38)*(1+'Эффекты технологий'!V$7)</x:f>
        <x:v>0</x:v>
      </x:c>
      <x:c r="X44" s="4" t="n">
        <x:f>SUMIF('Ход 2039'!$G$29:$G$38,$A44,'Ход 2039'!$I$29:$I$38)*(1+'Эффекты технологий'!W$7)</x:f>
        <x:v>0</x:v>
      </x:c>
      <x:c r="Y44" s="4" t="n">
        <x:f>SUMIF('Ход 2040'!$G$29:$G$38,$A44,'Ход 2040'!$I$29:$I$38)*(1+'Эффекты технологий'!X$7)</x:f>
        <x:v>0</x:v>
      </x:c>
      <x:c r="Z44" s="5" t="n">
        <x:f t="shared" si="0">SUM(K44:Y44)</x:f>
        <x:v>0</x:v>
      </x:c>
      <x:c r="AA44" s="5" t="n">
        <x:f t="shared" si="1">MAX(0,E44-Z44)</x:f>
        <x:v>65</x:v>
      </x:c>
      <x:c r="AB44" s="3" t="str">
        <x:f t="shared" si="2">BF44</x:f>
        <x:v>ОТКРЫТО</x:v>
      </x:c>
      <x:c r="AC44" t="n">
        <x:f>SUM($K44:K44)</x:f>
        <x:v>0</x:v>
      </x:c>
      <x:c r="AD44" t="n">
        <x:f>SUM($K44:L44)</x:f>
        <x:v>0</x:v>
      </x:c>
      <x:c r="AE44" t="n">
        <x:f>SUM($K44:M44)</x:f>
        <x:v>0</x:v>
      </x:c>
      <x:c r="AF44" t="n">
        <x:f>SUM($K44:N44)</x:f>
        <x:v>0</x:v>
      </x:c>
      <x:c r="AG44" t="n">
        <x:f>SUM($K44:O44)</x:f>
        <x:v>0</x:v>
      </x:c>
      <x:c r="AH44" t="n">
        <x:f>SUM($K44:P44)</x:f>
        <x:v>0</x:v>
      </x:c>
      <x:c r="AI44" t="n">
        <x:f>SUM($K44:Q44)</x:f>
        <x:v>0</x:v>
      </x:c>
      <x:c r="AJ44" t="n">
        <x:f>SUM($K44:R44)</x:f>
        <x:v>0</x:v>
      </x:c>
      <x:c r="AK44" t="n">
        <x:f>SUM($K44:S44)</x:f>
        <x:v>0</x:v>
      </x:c>
      <x:c r="AL44" t="n">
        <x:f>SUM($K44:T44)</x:f>
        <x:v>0</x:v>
      </x:c>
      <x:c r="AM44" t="n">
        <x:f>SUM($K44:U44)</x:f>
        <x:v>0</x:v>
      </x:c>
      <x:c r="AN44" t="n">
        <x:f>SUM($K44:V44)</x:f>
        <x:v>0</x:v>
      </x:c>
      <x:c r="AO44" t="n">
        <x:f>SUM($K44:W44)</x:f>
        <x:v>0</x:v>
      </x:c>
      <x:c r="AP44" t="n">
        <x:f>SUM($K44:X44)</x:f>
        <x:v>0</x:v>
      </x:c>
      <x:c r="AQ44" t="n">
        <x:f>SUM($K44:Y44)</x:f>
        <x:v>0</x:v>
      </x:c>
      <x:c r="AR44" t="str">
        <x:f t="shared" si="3">IF(AND(AC44&gt;=$E44,TRUE),"ИЗУЧЕНО",IF(TRUE,"ОТКРЫТО","ЗАКРЫТО"))</x:f>
        <x:v>ОТКРЫТО</x:v>
      </x:c>
      <x:c r="AS44" t="str">
        <x:f t="shared" si="4">IF(AND(AD44&gt;=$E44,TRUE),"ИЗУЧЕНО",IF(TRUE,"ОТКРЫТО","ЗАКРЫТО"))</x:f>
        <x:v>ОТКРЫТО</x:v>
      </x:c>
      <x:c r="AT44" t="str">
        <x:f t="shared" si="5">IF(AND(AE44&gt;=$E44,TRUE),"ИЗУЧЕНО",IF(TRUE,"ОТКРЫТО","ЗАКРЫТО"))</x:f>
        <x:v>ОТКРЫТО</x:v>
      </x:c>
      <x:c r="AU44" t="str">
        <x:f t="shared" si="6">IF(AND(AF44&gt;=$E44,TRUE),"ИЗУЧЕНО",IF(TRUE,"ОТКРЫТО","ЗАКРЫТО"))</x:f>
        <x:v>ОТКРЫТО</x:v>
      </x:c>
      <x:c r="AV44" t="str">
        <x:f t="shared" si="7">IF(AND(AG44&gt;=$E44,TRUE),"ИЗУЧЕНО",IF(TRUE,"ОТКРЫТО","ЗАКРЫТО"))</x:f>
        <x:v>ОТКРЫТО</x:v>
      </x:c>
      <x:c r="AW44" t="str">
        <x:f t="shared" si="8">IF(AND(AH44&gt;=$E44,TRUE),"ИЗУЧЕНО",IF(TRUE,"ОТКРЫТО","ЗАКРЫТО"))</x:f>
        <x:v>ОТКРЫТО</x:v>
      </x:c>
      <x:c r="AX44" t="str">
        <x:f t="shared" si="9">IF(AND(AI44&gt;=$E44,TRUE),"ИЗУЧЕНО",IF(TRUE,"ОТКРЫТО","ЗАКРЫТО"))</x:f>
        <x:v>ОТКРЫТО</x:v>
      </x:c>
      <x:c r="AY44" t="str">
        <x:f t="shared" si="10">IF(AND(AJ44&gt;=$E44,TRUE),"ИЗУЧЕНО",IF(TRUE,"ОТКРЫТО","ЗАКРЫТО"))</x:f>
        <x:v>ОТКРЫТО</x:v>
      </x:c>
      <x:c r="AZ44" t="str">
        <x:f t="shared" si="11">IF(AND(AK44&gt;=$E44,TRUE),"ИЗУЧЕНО",IF(TRUE,"ОТКРЫТО","ЗАКРЫТО"))</x:f>
        <x:v>ОТКРЫТО</x:v>
      </x:c>
      <x:c r="BA44" t="str">
        <x:f t="shared" si="12">IF(AND(AL44&gt;=$E44,TRUE),"ИЗУЧЕНО",IF(TRUE,"ОТКРЫТО","ЗАКРЫТО"))</x:f>
        <x:v>ОТКРЫТО</x:v>
      </x:c>
      <x:c r="BB44" t="str">
        <x:f t="shared" si="13">IF(AND(AM44&gt;=$E44,TRUE),"ИЗУЧЕНО",IF(TRUE,"ОТКРЫТО","ЗАКРЫТО"))</x:f>
        <x:v>ОТКРЫТО</x:v>
      </x:c>
      <x:c r="BC44" t="str">
        <x:f t="shared" si="14">IF(AND(AN44&gt;=$E44,TRUE),"ИЗУЧЕНО",IF(TRUE,"ОТКРЫТО","ЗАКРЫТО"))</x:f>
        <x:v>ОТКРЫТО</x:v>
      </x:c>
      <x:c r="BD44" t="str">
        <x:f t="shared" si="15">IF(AND(AO44&gt;=$E44,TRUE),"ИЗУЧЕНО",IF(TRUE,"ОТКРЫТО","ЗАКРЫТО"))</x:f>
        <x:v>ОТКРЫТО</x:v>
      </x:c>
      <x:c r="BE44" t="str">
        <x:f t="shared" si="16">IF(AND(AP44&gt;=$E44,TRUE),"ИЗУЧЕНО",IF(TRUE,"ОТКРЫТО","ЗАКРЫТО"))</x:f>
        <x:v>ОТКРЫТО</x:v>
      </x:c>
      <x:c r="BF44" t="str">
        <x:f t="shared" si="17">IF(AND(AQ44&gt;=$E44,TRUE),"ИЗУЧЕНО",IF(TRUE,"ОТКРЫТО","ЗАКРЫТО"))</x:f>
        <x:v>ОТКРЫТО</x:v>
      </x:c>
      <x:c r="BG44" t="str">
        <x:f t="shared" si="18">IFERROR(2025+MATCH("ИЗУЧЕНО",AR44:BF44,0),"")</x:f>
      </x:c>
      <x:c r="BH44" t="str">
        <x:f t="shared" si="19">IF(BG44="","",BG44+1)</x:f>
      </x:c>
    </x:row>
    <x:row r="45" ht="179.39999389648438">
      <x:c r="A45" s="3" t="s">
        <x:v>213</x:v>
      </x:c>
      <x:c r="B45" s="3" t="s">
        <x:v>197</x:v>
      </x:c>
      <x:c r="C45" s="3" t="s">
        <x:v>87</x:v>
      </x:c>
      <x:c r="D45" s="3" t="s">
        <x:v>214</x:v>
      </x:c>
      <x:c r="E45" s="3">
        <x:v>100</x:v>
      </x:c>
      <x:c r="F45" s="3" t="s">
        <x:v>209</x:v>
      </x:c>
      <x:c r="G45" s="3"/>
      <x:c r="H45" s="3"/>
      <x:c r="I45" s="3" t="s">
        <x:v>215</x:v>
      </x:c>
      <x:c r="J45" s="3" t="s">
        <x:v>216</x:v>
      </x:c>
      <x:c r="K45" s="4" t="n">
        <x:f>SUMIF('Ход 2026'!$G$29:$G$38,$A45,'Ход 2026'!$I$29:$I$38)*(1+'Эффекты технологий'!J$7)</x:f>
        <x:v>0</x:v>
      </x:c>
      <x:c r="L45" s="4" t="n">
        <x:f>SUMIF('Ход 2027'!$G$29:$G$38,$A45,'Ход 2027'!$I$29:$I$38)*(1+'Эффекты технологий'!K$7)</x:f>
        <x:v>0</x:v>
      </x:c>
      <x:c r="M45" s="4" t="n">
        <x:f>SUMIF('Ход 2028'!$G$29:$G$38,$A45,'Ход 2028'!$I$29:$I$38)*(1+'Эффекты технологий'!L$7)</x:f>
        <x:v>0</x:v>
      </x:c>
      <x:c r="N45" s="4" t="n">
        <x:f>SUMIF('Ход 2029'!$G$29:$G$38,$A45,'Ход 2029'!$I$29:$I$38)*(1+'Эффекты технологий'!M$7)</x:f>
        <x:v>0</x:v>
      </x:c>
      <x:c r="O45" s="4" t="n">
        <x:f>SUMIF('Ход 2030'!$G$29:$G$38,$A45,'Ход 2030'!$I$29:$I$38)*(1+'Эффекты технологий'!N$7)</x:f>
        <x:v>0</x:v>
      </x:c>
      <x:c r="P45" s="4" t="n">
        <x:f>SUMIF('Ход 2031'!$G$29:$G$38,$A45,'Ход 2031'!$I$29:$I$38)*(1+'Эффекты технологий'!O$7)</x:f>
        <x:v>0</x:v>
      </x:c>
      <x:c r="Q45" s="4" t="n">
        <x:f>SUMIF('Ход 2032'!$G$29:$G$38,$A45,'Ход 2032'!$I$29:$I$38)*(1+'Эффекты технологий'!P$7)</x:f>
        <x:v>0</x:v>
      </x:c>
      <x:c r="R45" s="4" t="n">
        <x:f>SUMIF('Ход 2033'!$G$29:$G$38,$A45,'Ход 2033'!$I$29:$I$38)*(1+'Эффекты технологий'!Q$7)</x:f>
        <x:v>0</x:v>
      </x:c>
      <x:c r="S45" s="4" t="n">
        <x:f>SUMIF('Ход 2034'!$G$29:$G$38,$A45,'Ход 2034'!$I$29:$I$38)*(1+'Эффекты технологий'!R$7)</x:f>
        <x:v>0</x:v>
      </x:c>
      <x:c r="T45" s="4" t="n">
        <x:f>SUMIF('Ход 2035'!$G$29:$G$38,$A45,'Ход 2035'!$I$29:$I$38)*(1+'Эффекты технологий'!S$7)</x:f>
        <x:v>0</x:v>
      </x:c>
      <x:c r="U45" s="4" t="n">
        <x:f>SUMIF('Ход 2036'!$G$29:$G$38,$A45,'Ход 2036'!$I$29:$I$38)*(1+'Эффекты технологий'!T$7)</x:f>
        <x:v>0</x:v>
      </x:c>
      <x:c r="V45" s="4" t="n">
        <x:f>SUMIF('Ход 2037'!$G$29:$G$38,$A45,'Ход 2037'!$I$29:$I$38)*(1+'Эффекты технологий'!U$7)</x:f>
        <x:v>0</x:v>
      </x:c>
      <x:c r="W45" s="4" t="n">
        <x:f>SUMIF('Ход 2038'!$G$29:$G$38,$A45,'Ход 2038'!$I$29:$I$38)*(1+'Эффекты технологий'!V$7)</x:f>
        <x:v>0</x:v>
      </x:c>
      <x:c r="X45" s="4" t="n">
        <x:f>SUMIF('Ход 2039'!$G$29:$G$38,$A45,'Ход 2039'!$I$29:$I$38)*(1+'Эффекты технологий'!W$7)</x:f>
        <x:v>0</x:v>
      </x:c>
      <x:c r="Y45" s="4" t="n">
        <x:f>SUMIF('Ход 2040'!$G$29:$G$38,$A45,'Ход 2040'!$I$29:$I$38)*(1+'Эффекты технологий'!X$7)</x:f>
        <x:v>0</x:v>
      </x:c>
      <x:c r="Z45" s="5" t="n">
        <x:f t="shared" si="0">SUM(K45:Y45)</x:f>
        <x:v>0</x:v>
      </x:c>
      <x:c r="AA45" s="5" t="n">
        <x:f t="shared" si="1">MAX(0,E45-Z45)</x:f>
        <x:v>100</x:v>
      </x:c>
      <x:c r="AB45" s="3" t="str">
        <x:f t="shared" si="2">BF45</x:f>
        <x:v>ОТКРЫТО</x:v>
      </x:c>
      <x:c r="AC45" t="n">
        <x:f>SUM($K45:K45)</x:f>
        <x:v>0</x:v>
      </x:c>
      <x:c r="AD45" t="n">
        <x:f>SUM($K45:L45)</x:f>
        <x:v>0</x:v>
      </x:c>
      <x:c r="AE45" t="n">
        <x:f>SUM($K45:M45)</x:f>
        <x:v>0</x:v>
      </x:c>
      <x:c r="AF45" t="n">
        <x:f>SUM($K45:N45)</x:f>
        <x:v>0</x:v>
      </x:c>
      <x:c r="AG45" t="n">
        <x:f>SUM($K45:O45)</x:f>
        <x:v>0</x:v>
      </x:c>
      <x:c r="AH45" t="n">
        <x:f>SUM($K45:P45)</x:f>
        <x:v>0</x:v>
      </x:c>
      <x:c r="AI45" t="n">
        <x:f>SUM($K45:Q45)</x:f>
        <x:v>0</x:v>
      </x:c>
      <x:c r="AJ45" t="n">
        <x:f>SUM($K45:R45)</x:f>
        <x:v>0</x:v>
      </x:c>
      <x:c r="AK45" t="n">
        <x:f>SUM($K45:S45)</x:f>
        <x:v>0</x:v>
      </x:c>
      <x:c r="AL45" t="n">
        <x:f>SUM($K45:T45)</x:f>
        <x:v>0</x:v>
      </x:c>
      <x:c r="AM45" t="n">
        <x:f>SUM($K45:U45)</x:f>
        <x:v>0</x:v>
      </x:c>
      <x:c r="AN45" t="n">
        <x:f>SUM($K45:V45)</x:f>
        <x:v>0</x:v>
      </x:c>
      <x:c r="AO45" t="n">
        <x:f>SUM($K45:W45)</x:f>
        <x:v>0</x:v>
      </x:c>
      <x:c r="AP45" t="n">
        <x:f>SUM($K45:X45)</x:f>
        <x:v>0</x:v>
      </x:c>
      <x:c r="AQ45" t="n">
        <x:f>SUM($K45:Y45)</x:f>
        <x:v>0</x:v>
      </x:c>
      <x:c r="AR45" t="str">
        <x:f t="shared" si="3">IF(AND(AC45&gt;=$E45,TRUE),"ИЗУЧЕНО",IF(TRUE,"ОТКРЫТО","ЗАКРЫТО"))</x:f>
        <x:v>ОТКРЫТО</x:v>
      </x:c>
      <x:c r="AS45" t="str">
        <x:f t="shared" si="4">IF(AND(AD45&gt;=$E45,TRUE),"ИЗУЧЕНО",IF(TRUE,"ОТКРЫТО","ЗАКРЫТО"))</x:f>
        <x:v>ОТКРЫТО</x:v>
      </x:c>
      <x:c r="AT45" t="str">
        <x:f t="shared" si="5">IF(AND(AE45&gt;=$E45,TRUE),"ИЗУЧЕНО",IF(TRUE,"ОТКРЫТО","ЗАКРЫТО"))</x:f>
        <x:v>ОТКРЫТО</x:v>
      </x:c>
      <x:c r="AU45" t="str">
        <x:f t="shared" si="6">IF(AND(AF45&gt;=$E45,TRUE),"ИЗУЧЕНО",IF(TRUE,"ОТКРЫТО","ЗАКРЫТО"))</x:f>
        <x:v>ОТКРЫТО</x:v>
      </x:c>
      <x:c r="AV45" t="str">
        <x:f t="shared" si="7">IF(AND(AG45&gt;=$E45,TRUE),"ИЗУЧЕНО",IF(TRUE,"ОТКРЫТО","ЗАКРЫТО"))</x:f>
        <x:v>ОТКРЫТО</x:v>
      </x:c>
      <x:c r="AW45" t="str">
        <x:f t="shared" si="8">IF(AND(AH45&gt;=$E45,TRUE),"ИЗУЧЕНО",IF(TRUE,"ОТКРЫТО","ЗАКРЫТО"))</x:f>
        <x:v>ОТКРЫТО</x:v>
      </x:c>
      <x:c r="AX45" t="str">
        <x:f t="shared" si="9">IF(AND(AI45&gt;=$E45,TRUE),"ИЗУЧЕНО",IF(TRUE,"ОТКРЫТО","ЗАКРЫТО"))</x:f>
        <x:v>ОТКРЫТО</x:v>
      </x:c>
      <x:c r="AY45" t="str">
        <x:f t="shared" si="10">IF(AND(AJ45&gt;=$E45,TRUE),"ИЗУЧЕНО",IF(TRUE,"ОТКРЫТО","ЗАКРЫТО"))</x:f>
        <x:v>ОТКРЫТО</x:v>
      </x:c>
      <x:c r="AZ45" t="str">
        <x:f t="shared" si="11">IF(AND(AK45&gt;=$E45,TRUE),"ИЗУЧЕНО",IF(TRUE,"ОТКРЫТО","ЗАКРЫТО"))</x:f>
        <x:v>ОТКРЫТО</x:v>
      </x:c>
      <x:c r="BA45" t="str">
        <x:f t="shared" si="12">IF(AND(AL45&gt;=$E45,TRUE),"ИЗУЧЕНО",IF(TRUE,"ОТКРЫТО","ЗАКРЫТО"))</x:f>
        <x:v>ОТКРЫТО</x:v>
      </x:c>
      <x:c r="BB45" t="str">
        <x:f t="shared" si="13">IF(AND(AM45&gt;=$E45,TRUE),"ИЗУЧЕНО",IF(TRUE,"ОТКРЫТО","ЗАКРЫТО"))</x:f>
        <x:v>ОТКРЫТО</x:v>
      </x:c>
      <x:c r="BC45" t="str">
        <x:f t="shared" si="14">IF(AND(AN45&gt;=$E45,TRUE),"ИЗУЧЕНО",IF(TRUE,"ОТКРЫТО","ЗАКРЫТО"))</x:f>
        <x:v>ОТКРЫТО</x:v>
      </x:c>
      <x:c r="BD45" t="str">
        <x:f t="shared" si="15">IF(AND(AO45&gt;=$E45,TRUE),"ИЗУЧЕНО",IF(TRUE,"ОТКРЫТО","ЗАКРЫТО"))</x:f>
        <x:v>ОТКРЫТО</x:v>
      </x:c>
      <x:c r="BE45" t="str">
        <x:f t="shared" si="16">IF(AND(AP45&gt;=$E45,TRUE),"ИЗУЧЕНО",IF(TRUE,"ОТКРЫТО","ЗАКРЫТО"))</x:f>
        <x:v>ОТКРЫТО</x:v>
      </x:c>
      <x:c r="BF45" t="str">
        <x:f t="shared" si="17">IF(AND(AQ45&gt;=$E45,TRUE),"ИЗУЧЕНО",IF(TRUE,"ОТКРЫТО","ЗАКРЫТО"))</x:f>
        <x:v>ОТКРЫТО</x:v>
      </x:c>
      <x:c r="BG45" t="str">
        <x:f t="shared" si="18">IFERROR(2025+MATCH("ИЗУЧЕНО",AR45:BF45,0),"")</x:f>
      </x:c>
      <x:c r="BH45" t="str">
        <x:f t="shared" si="19">IF(BG45="","",BG45+1)</x:f>
      </x:c>
    </x:row>
    <x:row r="46" ht="165.60000610351562">
      <x:c r="A46" s="3" t="s">
        <x:v>217</x:v>
      </x:c>
      <x:c r="B46" s="3" t="s">
        <x:v>197</x:v>
      </x:c>
      <x:c r="C46" s="3" t="s">
        <x:v>92</x:v>
      </x:c>
      <x:c r="D46" s="3" t="s">
        <x:v>218</x:v>
      </x:c>
      <x:c r="E46" s="3">
        <x:v>150</x:v>
      </x:c>
      <x:c r="F46" s="3" t="s">
        <x:v>213</x:v>
      </x:c>
      <x:c r="G46" s="3"/>
      <x:c r="H46" s="3"/>
      <x:c r="I46" s="3" t="s">
        <x:v>219</x:v>
      </x:c>
      <x:c r="J46" s="3" t="s">
        <x:v>220</x:v>
      </x:c>
      <x:c r="K46" s="4" t="n">
        <x:f>SUMIF('Ход 2026'!$G$29:$G$38,$A46,'Ход 2026'!$I$29:$I$38)*(1+'Эффекты технологий'!J$7)</x:f>
        <x:v>0</x:v>
      </x:c>
      <x:c r="L46" s="4" t="n">
        <x:f>SUMIF('Ход 2027'!$G$29:$G$38,$A46,'Ход 2027'!$I$29:$I$38)*(1+'Эффекты технологий'!K$7)</x:f>
        <x:v>0</x:v>
      </x:c>
      <x:c r="M46" s="4" t="n">
        <x:f>SUMIF('Ход 2028'!$G$29:$G$38,$A46,'Ход 2028'!$I$29:$I$38)*(1+'Эффекты технологий'!L$7)</x:f>
        <x:v>0</x:v>
      </x:c>
      <x:c r="N46" s="4" t="n">
        <x:f>SUMIF('Ход 2029'!$G$29:$G$38,$A46,'Ход 2029'!$I$29:$I$38)*(1+'Эффекты технологий'!M$7)</x:f>
        <x:v>0</x:v>
      </x:c>
      <x:c r="O46" s="4" t="n">
        <x:f>SUMIF('Ход 2030'!$G$29:$G$38,$A46,'Ход 2030'!$I$29:$I$38)*(1+'Эффекты технологий'!N$7)</x:f>
        <x:v>0</x:v>
      </x:c>
      <x:c r="P46" s="4" t="n">
        <x:f>SUMIF('Ход 2031'!$G$29:$G$38,$A46,'Ход 2031'!$I$29:$I$38)*(1+'Эффекты технологий'!O$7)</x:f>
        <x:v>0</x:v>
      </x:c>
      <x:c r="Q46" s="4" t="n">
        <x:f>SUMIF('Ход 2032'!$G$29:$G$38,$A46,'Ход 2032'!$I$29:$I$38)*(1+'Эффекты технологий'!P$7)</x:f>
        <x:v>0</x:v>
      </x:c>
      <x:c r="R46" s="4" t="n">
        <x:f>SUMIF('Ход 2033'!$G$29:$G$38,$A46,'Ход 2033'!$I$29:$I$38)*(1+'Эффекты технологий'!Q$7)</x:f>
        <x:v>0</x:v>
      </x:c>
      <x:c r="S46" s="4" t="n">
        <x:f>SUMIF('Ход 2034'!$G$29:$G$38,$A46,'Ход 2034'!$I$29:$I$38)*(1+'Эффекты технологий'!R$7)</x:f>
        <x:v>0</x:v>
      </x:c>
      <x:c r="T46" s="4" t="n">
        <x:f>SUMIF('Ход 2035'!$G$29:$G$38,$A46,'Ход 2035'!$I$29:$I$38)*(1+'Эффекты технологий'!S$7)</x:f>
        <x:v>0</x:v>
      </x:c>
      <x:c r="U46" s="4" t="n">
        <x:f>SUMIF('Ход 2036'!$G$29:$G$38,$A46,'Ход 2036'!$I$29:$I$38)*(1+'Эффекты технологий'!T$7)</x:f>
        <x:v>0</x:v>
      </x:c>
      <x:c r="V46" s="4" t="n">
        <x:f>SUMIF('Ход 2037'!$G$29:$G$38,$A46,'Ход 2037'!$I$29:$I$38)*(1+'Эффекты технологий'!U$7)</x:f>
        <x:v>0</x:v>
      </x:c>
      <x:c r="W46" s="4" t="n">
        <x:f>SUMIF('Ход 2038'!$G$29:$G$38,$A46,'Ход 2038'!$I$29:$I$38)*(1+'Эффекты технологий'!V$7)</x:f>
        <x:v>0</x:v>
      </x:c>
      <x:c r="X46" s="4" t="n">
        <x:f>SUMIF('Ход 2039'!$G$29:$G$38,$A46,'Ход 2039'!$I$29:$I$38)*(1+'Эффекты технологий'!W$7)</x:f>
        <x:v>0</x:v>
      </x:c>
      <x:c r="Y46" s="4" t="n">
        <x:f>SUMIF('Ход 2040'!$G$29:$G$38,$A46,'Ход 2040'!$I$29:$I$38)*(1+'Эффекты технологий'!X$7)</x:f>
        <x:v>0</x:v>
      </x:c>
      <x:c r="Z46" s="5" t="n">
        <x:f t="shared" si="0">SUM(K46:Y46)</x:f>
        <x:v>0</x:v>
      </x:c>
      <x:c r="AA46" s="5" t="n">
        <x:f t="shared" si="1">MAX(0,E46-Z46)</x:f>
        <x:v>150</x:v>
      </x:c>
      <x:c r="AB46" s="3" t="str">
        <x:f t="shared" si="2">BF46</x:f>
        <x:v>ОТКРЫТО</x:v>
      </x:c>
      <x:c r="AC46" t="n">
        <x:f>SUM($K46:K46)</x:f>
        <x:v>0</x:v>
      </x:c>
      <x:c r="AD46" t="n">
        <x:f>SUM($K46:L46)</x:f>
        <x:v>0</x:v>
      </x:c>
      <x:c r="AE46" t="n">
        <x:f>SUM($K46:M46)</x:f>
        <x:v>0</x:v>
      </x:c>
      <x:c r="AF46" t="n">
        <x:f>SUM($K46:N46)</x:f>
        <x:v>0</x:v>
      </x:c>
      <x:c r="AG46" t="n">
        <x:f>SUM($K46:O46)</x:f>
        <x:v>0</x:v>
      </x:c>
      <x:c r="AH46" t="n">
        <x:f>SUM($K46:P46)</x:f>
        <x:v>0</x:v>
      </x:c>
      <x:c r="AI46" t="n">
        <x:f>SUM($K46:Q46)</x:f>
        <x:v>0</x:v>
      </x:c>
      <x:c r="AJ46" t="n">
        <x:f>SUM($K46:R46)</x:f>
        <x:v>0</x:v>
      </x:c>
      <x:c r="AK46" t="n">
        <x:f>SUM($K46:S46)</x:f>
        <x:v>0</x:v>
      </x:c>
      <x:c r="AL46" t="n">
        <x:f>SUM($K46:T46)</x:f>
        <x:v>0</x:v>
      </x:c>
      <x:c r="AM46" t="n">
        <x:f>SUM($K46:U46)</x:f>
        <x:v>0</x:v>
      </x:c>
      <x:c r="AN46" t="n">
        <x:f>SUM($K46:V46)</x:f>
        <x:v>0</x:v>
      </x:c>
      <x:c r="AO46" t="n">
        <x:f>SUM($K46:W46)</x:f>
        <x:v>0</x:v>
      </x:c>
      <x:c r="AP46" t="n">
        <x:f>SUM($K46:X46)</x:f>
        <x:v>0</x:v>
      </x:c>
      <x:c r="AQ46" t="n">
        <x:f>SUM($K46:Y46)</x:f>
        <x:v>0</x:v>
      </x:c>
      <x:c r="AR46" t="str">
        <x:f t="shared" si="3">IF(AND(AC46&gt;=$E46,TRUE),"ИЗУЧЕНО",IF(TRUE,"ОТКРЫТО","ЗАКРЫТО"))</x:f>
        <x:v>ОТКРЫТО</x:v>
      </x:c>
      <x:c r="AS46" t="str">
        <x:f t="shared" si="4">IF(AND(AD46&gt;=$E46,TRUE),"ИЗУЧЕНО",IF(TRUE,"ОТКРЫТО","ЗАКРЫТО"))</x:f>
        <x:v>ОТКРЫТО</x:v>
      </x:c>
      <x:c r="AT46" t="str">
        <x:f t="shared" si="5">IF(AND(AE46&gt;=$E46,TRUE),"ИЗУЧЕНО",IF(TRUE,"ОТКРЫТО","ЗАКРЫТО"))</x:f>
        <x:v>ОТКРЫТО</x:v>
      </x:c>
      <x:c r="AU46" t="str">
        <x:f t="shared" si="6">IF(AND(AF46&gt;=$E46,TRUE),"ИЗУЧЕНО",IF(TRUE,"ОТКРЫТО","ЗАКРЫТО"))</x:f>
        <x:v>ОТКРЫТО</x:v>
      </x:c>
      <x:c r="AV46" t="str">
        <x:f t="shared" si="7">IF(AND(AG46&gt;=$E46,TRUE),"ИЗУЧЕНО",IF(TRUE,"ОТКРЫТО","ЗАКРЫТО"))</x:f>
        <x:v>ОТКРЫТО</x:v>
      </x:c>
      <x:c r="AW46" t="str">
        <x:f t="shared" si="8">IF(AND(AH46&gt;=$E46,TRUE),"ИЗУЧЕНО",IF(TRUE,"ОТКРЫТО","ЗАКРЫТО"))</x:f>
        <x:v>ОТКРЫТО</x:v>
      </x:c>
      <x:c r="AX46" t="str">
        <x:f t="shared" si="9">IF(AND(AI46&gt;=$E46,TRUE),"ИЗУЧЕНО",IF(TRUE,"ОТКРЫТО","ЗАКРЫТО"))</x:f>
        <x:v>ОТКРЫТО</x:v>
      </x:c>
      <x:c r="AY46" t="str">
        <x:f t="shared" si="10">IF(AND(AJ46&gt;=$E46,TRUE),"ИЗУЧЕНО",IF(TRUE,"ОТКРЫТО","ЗАКРЫТО"))</x:f>
        <x:v>ОТКРЫТО</x:v>
      </x:c>
      <x:c r="AZ46" t="str">
        <x:f t="shared" si="11">IF(AND(AK46&gt;=$E46,TRUE),"ИЗУЧЕНО",IF(TRUE,"ОТКРЫТО","ЗАКРЫТО"))</x:f>
        <x:v>ОТКРЫТО</x:v>
      </x:c>
      <x:c r="BA46" t="str">
        <x:f t="shared" si="12">IF(AND(AL46&gt;=$E46,TRUE),"ИЗУЧЕНО",IF(TRUE,"ОТКРЫТО","ЗАКРЫТО"))</x:f>
        <x:v>ОТКРЫТО</x:v>
      </x:c>
      <x:c r="BB46" t="str">
        <x:f t="shared" si="13">IF(AND(AM46&gt;=$E46,TRUE),"ИЗУЧЕНО",IF(TRUE,"ОТКРЫТО","ЗАКРЫТО"))</x:f>
        <x:v>ОТКРЫТО</x:v>
      </x:c>
      <x:c r="BC46" t="str">
        <x:f t="shared" si="14">IF(AND(AN46&gt;=$E46,TRUE),"ИЗУЧЕНО",IF(TRUE,"ОТКРЫТО","ЗАКРЫТО"))</x:f>
        <x:v>ОТКРЫТО</x:v>
      </x:c>
      <x:c r="BD46" t="str">
        <x:f t="shared" si="15">IF(AND(AO46&gt;=$E46,TRUE),"ИЗУЧЕНО",IF(TRUE,"ОТКРЫТО","ЗАКРЫТО"))</x:f>
        <x:v>ОТКРЫТО</x:v>
      </x:c>
      <x:c r="BE46" t="str">
        <x:f t="shared" si="16">IF(AND(AP46&gt;=$E46,TRUE),"ИЗУЧЕНО",IF(TRUE,"ОТКРЫТО","ЗАКРЫТО"))</x:f>
        <x:v>ОТКРЫТО</x:v>
      </x:c>
      <x:c r="BF46" t="str">
        <x:f t="shared" si="17">IF(AND(AQ46&gt;=$E46,TRUE),"ИЗУЧЕНО",IF(TRUE,"ОТКРЫТО","ЗАКРЫТО"))</x:f>
        <x:v>ОТКРЫТО</x:v>
      </x:c>
      <x:c r="BG46" t="str">
        <x:f t="shared" si="18">IFERROR(2025+MATCH("ИЗУЧЕНО",AR46:BF46,0),"")</x:f>
      </x:c>
      <x:c r="BH46" t="str">
        <x:f t="shared" si="19">IF(BG46="","",BG46+1)</x:f>
      </x:c>
    </x:row>
    <x:row r="47" ht="165.60000610351562">
      <x:c r="A47" s="3" t="s">
        <x:v>221</x:v>
      </x:c>
      <x:c r="B47" s="3" t="s">
        <x:v>222</x:v>
      </x:c>
      <x:c r="C47" s="3" t="s">
        <x:v>87</x:v>
      </x:c>
      <x:c r="D47" s="3" t="s">
        <x:v>223</x:v>
      </x:c>
      <x:c r="E47" s="3">
        <x:v>100</x:v>
      </x:c>
      <x:c r="F47" s="3" t="s">
        <x:v>109</x:v>
      </x:c>
      <x:c r="G47" s="3" t="s">
        <x:v>134</x:v>
      </x:c>
      <x:c r="H47" s="3" t="s">
        <x:v>155</x:v>
      </x:c>
      <x:c r="I47" s="3" t="s">
        <x:v>224</x:v>
      </x:c>
      <x:c r="J47" s="3" t="s">
        <x:v>225</x:v>
      </x:c>
      <x:c r="K47" s="4" t="n">
        <x:f>SUMIF('Ход 2026'!$G$29:$G$38,$A47,'Ход 2026'!$I$29:$I$38)*(1+'Эффекты технологий'!J$7+'Эффекты технологий'!J$9)</x:f>
        <x:v>0</x:v>
      </x:c>
      <x:c r="L47" s="4" t="n">
        <x:f>SUMIF('Ход 2027'!$G$29:$G$38,$A47,'Ход 2027'!$I$29:$I$38)*(1+'Эффекты технологий'!K$7+'Эффекты технологий'!K$9)</x:f>
        <x:v>0</x:v>
      </x:c>
      <x:c r="M47" s="4" t="n">
        <x:f>SUMIF('Ход 2028'!$G$29:$G$38,$A47,'Ход 2028'!$I$29:$I$38)*(1+'Эффекты технологий'!L$7+'Эффекты технологий'!L$9)</x:f>
        <x:v>0</x:v>
      </x:c>
      <x:c r="N47" s="4" t="n">
        <x:f>SUMIF('Ход 2029'!$G$29:$G$38,$A47,'Ход 2029'!$I$29:$I$38)*(1+'Эффекты технологий'!M$7+'Эффекты технологий'!M$9)</x:f>
        <x:v>0</x:v>
      </x:c>
      <x:c r="O47" s="4" t="n">
        <x:f>SUMIF('Ход 2030'!$G$29:$G$38,$A47,'Ход 2030'!$I$29:$I$38)*(1+'Эффекты технологий'!N$7+'Эффекты технологий'!N$9)</x:f>
        <x:v>0</x:v>
      </x:c>
      <x:c r="P47" s="4" t="n">
        <x:f>SUMIF('Ход 2031'!$G$29:$G$38,$A47,'Ход 2031'!$I$29:$I$38)*(1+'Эффекты технологий'!O$7+'Эффекты технологий'!O$9)</x:f>
        <x:v>0</x:v>
      </x:c>
      <x:c r="Q47" s="4" t="n">
        <x:f>SUMIF('Ход 2032'!$G$29:$G$38,$A47,'Ход 2032'!$I$29:$I$38)*(1+'Эффекты технологий'!P$7+'Эффекты технологий'!P$9)</x:f>
        <x:v>0</x:v>
      </x:c>
      <x:c r="R47" s="4" t="n">
        <x:f>SUMIF('Ход 2033'!$G$29:$G$38,$A47,'Ход 2033'!$I$29:$I$38)*(1+'Эффекты технологий'!Q$7+'Эффекты технологий'!Q$9)</x:f>
        <x:v>0</x:v>
      </x:c>
      <x:c r="S47" s="4" t="n">
        <x:f>SUMIF('Ход 2034'!$G$29:$G$38,$A47,'Ход 2034'!$I$29:$I$38)*(1+'Эффекты технологий'!R$7+'Эффекты технологий'!R$9)</x:f>
        <x:v>0</x:v>
      </x:c>
      <x:c r="T47" s="4" t="n">
        <x:f>SUMIF('Ход 2035'!$G$29:$G$38,$A47,'Ход 2035'!$I$29:$I$38)*(1+'Эффекты технологий'!S$7+'Эффекты технологий'!S$9)</x:f>
        <x:v>0</x:v>
      </x:c>
      <x:c r="U47" s="4" t="n">
        <x:f>SUMIF('Ход 2036'!$G$29:$G$38,$A47,'Ход 2036'!$I$29:$I$38)*(1+'Эффекты технологий'!T$7+'Эффекты технологий'!T$9)</x:f>
        <x:v>0</x:v>
      </x:c>
      <x:c r="V47" s="4" t="n">
        <x:f>SUMIF('Ход 2037'!$G$29:$G$38,$A47,'Ход 2037'!$I$29:$I$38)*(1+'Эффекты технологий'!U$7+'Эффекты технологий'!U$9)</x:f>
        <x:v>0</x:v>
      </x:c>
      <x:c r="W47" s="4" t="n">
        <x:f>SUMIF('Ход 2038'!$G$29:$G$38,$A47,'Ход 2038'!$I$29:$I$38)*(1+'Эффекты технологий'!V$7+'Эффекты технологий'!V$9)</x:f>
        <x:v>0</x:v>
      </x:c>
      <x:c r="X47" s="4" t="n">
        <x:f>SUMIF('Ход 2039'!$G$29:$G$38,$A47,'Ход 2039'!$I$29:$I$38)*(1+'Эффекты технологий'!W$7+'Эффекты технологий'!W$9)</x:f>
        <x:v>0</x:v>
      </x:c>
      <x:c r="Y47" s="4" t="n">
        <x:f>SUMIF('Ход 2040'!$G$29:$G$38,$A47,'Ход 2040'!$I$29:$I$38)*(1+'Эффекты технологий'!X$7+'Эффекты технологий'!X$9)</x:f>
        <x:v>0</x:v>
      </x:c>
      <x:c r="Z47" s="5" t="n">
        <x:f t="shared" si="0">SUM(K47:Y47)</x:f>
        <x:v>0</x:v>
      </x:c>
      <x:c r="AA47" s="5" t="n">
        <x:f t="shared" si="1">MAX(0,E47-Z47)</x:f>
        <x:v>100</x:v>
      </x:c>
      <x:c r="AB47" s="3" t="str">
        <x:f t="shared" si="2">BF47</x:f>
        <x:v>ОТКРЫТО</x:v>
      </x:c>
      <x:c r="AC47" t="n">
        <x:f>SUM($K47:K47)</x:f>
        <x:v>0</x:v>
      </x:c>
      <x:c r="AD47" t="n">
        <x:f>SUM($K47:L47)</x:f>
        <x:v>0</x:v>
      </x:c>
      <x:c r="AE47" t="n">
        <x:f>SUM($K47:M47)</x:f>
        <x:v>0</x:v>
      </x:c>
      <x:c r="AF47" t="n">
        <x:f>SUM($K47:N47)</x:f>
        <x:v>0</x:v>
      </x:c>
      <x:c r="AG47" t="n">
        <x:f>SUM($K47:O47)</x:f>
        <x:v>0</x:v>
      </x:c>
      <x:c r="AH47" t="n">
        <x:f>SUM($K47:P47)</x:f>
        <x:v>0</x:v>
      </x:c>
      <x:c r="AI47" t="n">
        <x:f>SUM($K47:Q47)</x:f>
        <x:v>0</x:v>
      </x:c>
      <x:c r="AJ47" t="n">
        <x:f>SUM($K47:R47)</x:f>
        <x:v>0</x:v>
      </x:c>
      <x:c r="AK47" t="n">
        <x:f>SUM($K47:S47)</x:f>
        <x:v>0</x:v>
      </x:c>
      <x:c r="AL47" t="n">
        <x:f>SUM($K47:T47)</x:f>
        <x:v>0</x:v>
      </x:c>
      <x:c r="AM47" t="n">
        <x:f>SUM($K47:U47)</x:f>
        <x:v>0</x:v>
      </x:c>
      <x:c r="AN47" t="n">
        <x:f>SUM($K47:V47)</x:f>
        <x:v>0</x:v>
      </x:c>
      <x:c r="AO47" t="n">
        <x:f>SUM($K47:W47)</x:f>
        <x:v>0</x:v>
      </x:c>
      <x:c r="AP47" t="n">
        <x:f>SUM($K47:X47)</x:f>
        <x:v>0</x:v>
      </x:c>
      <x:c r="AQ47" t="n">
        <x:f>SUM($K47:Y47)</x:f>
        <x:v>0</x:v>
      </x:c>
      <x:c r="AR47" t="str">
        <x:f t="shared" si="3">IF(AND(AC47&gt;=$E47,TRUE),"ИЗУЧЕНО",IF(TRUE,"ОТКРЫТО","ЗАКРЫТО"))</x:f>
        <x:v>ОТКРЫТО</x:v>
      </x:c>
      <x:c r="AS47" t="str">
        <x:f t="shared" si="4">IF(AND(AD47&gt;=$E47,TRUE),"ИЗУЧЕНО",IF(TRUE,"ОТКРЫТО","ЗАКРЫТО"))</x:f>
        <x:v>ОТКРЫТО</x:v>
      </x:c>
      <x:c r="AT47" t="str">
        <x:f t="shared" si="5">IF(AND(AE47&gt;=$E47,TRUE),"ИЗУЧЕНО",IF(TRUE,"ОТКРЫТО","ЗАКРЫТО"))</x:f>
        <x:v>ОТКРЫТО</x:v>
      </x:c>
      <x:c r="AU47" t="str">
        <x:f t="shared" si="6">IF(AND(AF47&gt;=$E47,TRUE),"ИЗУЧЕНО",IF(TRUE,"ОТКРЫТО","ЗАКРЫТО"))</x:f>
        <x:v>ОТКРЫТО</x:v>
      </x:c>
      <x:c r="AV47" t="str">
        <x:f t="shared" si="7">IF(AND(AG47&gt;=$E47,TRUE),"ИЗУЧЕНО",IF(TRUE,"ОТКРЫТО","ЗАКРЫТО"))</x:f>
        <x:v>ОТКРЫТО</x:v>
      </x:c>
      <x:c r="AW47" t="str">
        <x:f t="shared" si="8">IF(AND(AH47&gt;=$E47,TRUE),"ИЗУЧЕНО",IF(TRUE,"ОТКРЫТО","ЗАКРЫТО"))</x:f>
        <x:v>ОТКРЫТО</x:v>
      </x:c>
      <x:c r="AX47" t="str">
        <x:f t="shared" si="9">IF(AND(AI47&gt;=$E47,TRUE),"ИЗУЧЕНО",IF(TRUE,"ОТКРЫТО","ЗАКРЫТО"))</x:f>
        <x:v>ОТКРЫТО</x:v>
      </x:c>
      <x:c r="AY47" t="str">
        <x:f t="shared" si="10">IF(AND(AJ47&gt;=$E47,TRUE),"ИЗУЧЕНО",IF(TRUE,"ОТКРЫТО","ЗАКРЫТО"))</x:f>
        <x:v>ОТКРЫТО</x:v>
      </x:c>
      <x:c r="AZ47" t="str">
        <x:f t="shared" si="11">IF(AND(AK47&gt;=$E47,TRUE),"ИЗУЧЕНО",IF(TRUE,"ОТКРЫТО","ЗАКРЫТО"))</x:f>
        <x:v>ОТКРЫТО</x:v>
      </x:c>
      <x:c r="BA47" t="str">
        <x:f t="shared" si="12">IF(AND(AL47&gt;=$E47,TRUE),"ИЗУЧЕНО",IF(TRUE,"ОТКРЫТО","ЗАКРЫТО"))</x:f>
        <x:v>ОТКРЫТО</x:v>
      </x:c>
      <x:c r="BB47" t="str">
        <x:f t="shared" si="13">IF(AND(AM47&gt;=$E47,TRUE),"ИЗУЧЕНО",IF(TRUE,"ОТКРЫТО","ЗАКРЫТО"))</x:f>
        <x:v>ОТКРЫТО</x:v>
      </x:c>
      <x:c r="BC47" t="str">
        <x:f t="shared" si="14">IF(AND(AN47&gt;=$E47,TRUE),"ИЗУЧЕНО",IF(TRUE,"ОТКРЫТО","ЗАКРЫТО"))</x:f>
        <x:v>ОТКРЫТО</x:v>
      </x:c>
      <x:c r="BD47" t="str">
        <x:f t="shared" si="15">IF(AND(AO47&gt;=$E47,TRUE),"ИЗУЧЕНО",IF(TRUE,"ОТКРЫТО","ЗАКРЫТО"))</x:f>
        <x:v>ОТКРЫТО</x:v>
      </x:c>
      <x:c r="BE47" t="str">
        <x:f t="shared" si="16">IF(AND(AP47&gt;=$E47,TRUE),"ИЗУЧЕНО",IF(TRUE,"ОТКРЫТО","ЗАКРЫТО"))</x:f>
        <x:v>ОТКРЫТО</x:v>
      </x:c>
      <x:c r="BF47" t="str">
        <x:f t="shared" si="17">IF(AND(AQ47&gt;=$E47,TRUE),"ИЗУЧЕНО",IF(TRUE,"ОТКРЫТО","ЗАКРЫТО"))</x:f>
        <x:v>ОТКРЫТО</x:v>
      </x:c>
      <x:c r="BG47" t="str">
        <x:f t="shared" si="18">IFERROR(2025+MATCH("ИЗУЧЕНО",AR47:BF47,0),"")</x:f>
      </x:c>
      <x:c r="BH47" t="str">
        <x:f t="shared" si="19">IF(BG47="","",BG47+1)</x:f>
      </x:c>
    </x:row>
    <x:row r="48" ht="151.8000030517578">
      <x:c r="A48" s="3" t="s">
        <x:v>226</x:v>
      </x:c>
      <x:c r="B48" s="3" t="s">
        <x:v>222</x:v>
      </x:c>
      <x:c r="C48" s="3" t="s">
        <x:v>87</x:v>
      </x:c>
      <x:c r="D48" s="3" t="s">
        <x:v>227</x:v>
      </x:c>
      <x:c r="E48" s="3">
        <x:v>110</x:v>
      </x:c>
      <x:c r="F48" s="3" t="s">
        <x:v>81</x:v>
      </x:c>
      <x:c r="G48" s="3" t="s">
        <x:v>134</x:v>
      </x:c>
      <x:c r="H48" s="3" t="s">
        <x:v>205</x:v>
      </x:c>
      <x:c r="I48" s="3" t="s">
        <x:v>228</x:v>
      </x:c>
      <x:c r="J48" s="3" t="s">
        <x:v>229</x:v>
      </x:c>
      <x:c r="K48" s="4" t="n">
        <x:f>SUMIF('Ход 2026'!$G$29:$G$38,$A48,'Ход 2026'!$I$29:$I$38)*(1+'Эффекты технологий'!J$7+'Эффекты технологий'!J$9)</x:f>
        <x:v>0</x:v>
      </x:c>
      <x:c r="L48" s="4" t="n">
        <x:f>SUMIF('Ход 2027'!$G$29:$G$38,$A48,'Ход 2027'!$I$29:$I$38)*(1+'Эффекты технологий'!K$7+'Эффекты технологий'!K$9)</x:f>
        <x:v>0</x:v>
      </x:c>
      <x:c r="M48" s="4" t="n">
        <x:f>SUMIF('Ход 2028'!$G$29:$G$38,$A48,'Ход 2028'!$I$29:$I$38)*(1+'Эффекты технологий'!L$7+'Эффекты технологий'!L$9)</x:f>
        <x:v>0</x:v>
      </x:c>
      <x:c r="N48" s="4" t="n">
        <x:f>SUMIF('Ход 2029'!$G$29:$G$38,$A48,'Ход 2029'!$I$29:$I$38)*(1+'Эффекты технологий'!M$7+'Эффекты технологий'!M$9)</x:f>
        <x:v>0</x:v>
      </x:c>
      <x:c r="O48" s="4" t="n">
        <x:f>SUMIF('Ход 2030'!$G$29:$G$38,$A48,'Ход 2030'!$I$29:$I$38)*(1+'Эффекты технологий'!N$7+'Эффекты технологий'!N$9)</x:f>
        <x:v>0</x:v>
      </x:c>
      <x:c r="P48" s="4" t="n">
        <x:f>SUMIF('Ход 2031'!$G$29:$G$38,$A48,'Ход 2031'!$I$29:$I$38)*(1+'Эффекты технологий'!O$7+'Эффекты технологий'!O$9)</x:f>
        <x:v>0</x:v>
      </x:c>
      <x:c r="Q48" s="4" t="n">
        <x:f>SUMIF('Ход 2032'!$G$29:$G$38,$A48,'Ход 2032'!$I$29:$I$38)*(1+'Эффекты технологий'!P$7+'Эффекты технологий'!P$9)</x:f>
        <x:v>0</x:v>
      </x:c>
      <x:c r="R48" s="4" t="n">
        <x:f>SUMIF('Ход 2033'!$G$29:$G$38,$A48,'Ход 2033'!$I$29:$I$38)*(1+'Эффекты технологий'!Q$7+'Эффекты технологий'!Q$9)</x:f>
        <x:v>0</x:v>
      </x:c>
      <x:c r="S48" s="4" t="n">
        <x:f>SUMIF('Ход 2034'!$G$29:$G$38,$A48,'Ход 2034'!$I$29:$I$38)*(1+'Эффекты технологий'!R$7+'Эффекты технологий'!R$9)</x:f>
        <x:v>0</x:v>
      </x:c>
      <x:c r="T48" s="4" t="n">
        <x:f>SUMIF('Ход 2035'!$G$29:$G$38,$A48,'Ход 2035'!$I$29:$I$38)*(1+'Эффекты технологий'!S$7+'Эффекты технологий'!S$9)</x:f>
        <x:v>0</x:v>
      </x:c>
      <x:c r="U48" s="4" t="n">
        <x:f>SUMIF('Ход 2036'!$G$29:$G$38,$A48,'Ход 2036'!$I$29:$I$38)*(1+'Эффекты технологий'!T$7+'Эффекты технологий'!T$9)</x:f>
        <x:v>0</x:v>
      </x:c>
      <x:c r="V48" s="4" t="n">
        <x:f>SUMIF('Ход 2037'!$G$29:$G$38,$A48,'Ход 2037'!$I$29:$I$38)*(1+'Эффекты технологий'!U$7+'Эффекты технологий'!U$9)</x:f>
        <x:v>0</x:v>
      </x:c>
      <x:c r="W48" s="4" t="n">
        <x:f>SUMIF('Ход 2038'!$G$29:$G$38,$A48,'Ход 2038'!$I$29:$I$38)*(1+'Эффекты технологий'!V$7+'Эффекты технологий'!V$9)</x:f>
        <x:v>0</x:v>
      </x:c>
      <x:c r="X48" s="4" t="n">
        <x:f>SUMIF('Ход 2039'!$G$29:$G$38,$A48,'Ход 2039'!$I$29:$I$38)*(1+'Эффекты технологий'!W$7+'Эффекты технологий'!W$9)</x:f>
        <x:v>0</x:v>
      </x:c>
      <x:c r="Y48" s="4" t="n">
        <x:f>SUMIF('Ход 2040'!$G$29:$G$38,$A48,'Ход 2040'!$I$29:$I$38)*(1+'Эффекты технологий'!X$7+'Эффекты технологий'!X$9)</x:f>
        <x:v>0</x:v>
      </x:c>
      <x:c r="Z48" s="5" t="n">
        <x:f t="shared" si="0">SUM(K48:Y48)</x:f>
        <x:v>0</x:v>
      </x:c>
      <x:c r="AA48" s="5" t="n">
        <x:f t="shared" si="1">MAX(0,E48-Z48)</x:f>
        <x:v>110</x:v>
      </x:c>
      <x:c r="AB48" s="3" t="str">
        <x:f t="shared" si="2">BF48</x:f>
        <x:v>ОТКРЫТО</x:v>
      </x:c>
      <x:c r="AC48" t="n">
        <x:f>SUM($K48:K48)</x:f>
        <x:v>0</x:v>
      </x:c>
      <x:c r="AD48" t="n">
        <x:f>SUM($K48:L48)</x:f>
        <x:v>0</x:v>
      </x:c>
      <x:c r="AE48" t="n">
        <x:f>SUM($K48:M48)</x:f>
        <x:v>0</x:v>
      </x:c>
      <x:c r="AF48" t="n">
        <x:f>SUM($K48:N48)</x:f>
        <x:v>0</x:v>
      </x:c>
      <x:c r="AG48" t="n">
        <x:f>SUM($K48:O48)</x:f>
        <x:v>0</x:v>
      </x:c>
      <x:c r="AH48" t="n">
        <x:f>SUM($K48:P48)</x:f>
        <x:v>0</x:v>
      </x:c>
      <x:c r="AI48" t="n">
        <x:f>SUM($K48:Q48)</x:f>
        <x:v>0</x:v>
      </x:c>
      <x:c r="AJ48" t="n">
        <x:f>SUM($K48:R48)</x:f>
        <x:v>0</x:v>
      </x:c>
      <x:c r="AK48" t="n">
        <x:f>SUM($K48:S48)</x:f>
        <x:v>0</x:v>
      </x:c>
      <x:c r="AL48" t="n">
        <x:f>SUM($K48:T48)</x:f>
        <x:v>0</x:v>
      </x:c>
      <x:c r="AM48" t="n">
        <x:f>SUM($K48:U48)</x:f>
        <x:v>0</x:v>
      </x:c>
      <x:c r="AN48" t="n">
        <x:f>SUM($K48:V48)</x:f>
        <x:v>0</x:v>
      </x:c>
      <x:c r="AO48" t="n">
        <x:f>SUM($K48:W48)</x:f>
        <x:v>0</x:v>
      </x:c>
      <x:c r="AP48" t="n">
        <x:f>SUM($K48:X48)</x:f>
        <x:v>0</x:v>
      </x:c>
      <x:c r="AQ48" t="n">
        <x:f>SUM($K48:Y48)</x:f>
        <x:v>0</x:v>
      </x:c>
      <x:c r="AR48" t="str">
        <x:f t="shared" si="3">IF(AND(AC48&gt;=$E48,TRUE),"ИЗУЧЕНО",IF(TRUE,"ОТКРЫТО","ЗАКРЫТО"))</x:f>
        <x:v>ОТКРЫТО</x:v>
      </x:c>
      <x:c r="AS48" t="str">
        <x:f t="shared" si="4">IF(AND(AD48&gt;=$E48,TRUE),"ИЗУЧЕНО",IF(TRUE,"ОТКРЫТО","ЗАКРЫТО"))</x:f>
        <x:v>ОТКРЫТО</x:v>
      </x:c>
      <x:c r="AT48" t="str">
        <x:f t="shared" si="5">IF(AND(AE48&gt;=$E48,TRUE),"ИЗУЧЕНО",IF(TRUE,"ОТКРЫТО","ЗАКРЫТО"))</x:f>
        <x:v>ОТКРЫТО</x:v>
      </x:c>
      <x:c r="AU48" t="str">
        <x:f t="shared" si="6">IF(AND(AF48&gt;=$E48,TRUE),"ИЗУЧЕНО",IF(TRUE,"ОТКРЫТО","ЗАКРЫТО"))</x:f>
        <x:v>ОТКРЫТО</x:v>
      </x:c>
      <x:c r="AV48" t="str">
        <x:f t="shared" si="7">IF(AND(AG48&gt;=$E48,TRUE),"ИЗУЧЕНО",IF(TRUE,"ОТКРЫТО","ЗАКРЫТО"))</x:f>
        <x:v>ОТКРЫТО</x:v>
      </x:c>
      <x:c r="AW48" t="str">
        <x:f t="shared" si="8">IF(AND(AH48&gt;=$E48,TRUE),"ИЗУЧЕНО",IF(TRUE,"ОТКРЫТО","ЗАКРЫТО"))</x:f>
        <x:v>ОТКРЫТО</x:v>
      </x:c>
      <x:c r="AX48" t="str">
        <x:f t="shared" si="9">IF(AND(AI48&gt;=$E48,TRUE),"ИЗУЧЕНО",IF(TRUE,"ОТКРЫТО","ЗАКРЫТО"))</x:f>
        <x:v>ОТКРЫТО</x:v>
      </x:c>
      <x:c r="AY48" t="str">
        <x:f t="shared" si="10">IF(AND(AJ48&gt;=$E48,TRUE),"ИЗУЧЕНО",IF(TRUE,"ОТКРЫТО","ЗАКРЫТО"))</x:f>
        <x:v>ОТКРЫТО</x:v>
      </x:c>
      <x:c r="AZ48" t="str">
        <x:f t="shared" si="11">IF(AND(AK48&gt;=$E48,TRUE),"ИЗУЧЕНО",IF(TRUE,"ОТКРЫТО","ЗАКРЫТО"))</x:f>
        <x:v>ОТКРЫТО</x:v>
      </x:c>
      <x:c r="BA48" t="str">
        <x:f t="shared" si="12">IF(AND(AL48&gt;=$E48,TRUE),"ИЗУЧЕНО",IF(TRUE,"ОТКРЫТО","ЗАКРЫТО"))</x:f>
        <x:v>ОТКРЫТО</x:v>
      </x:c>
      <x:c r="BB48" t="str">
        <x:f t="shared" si="13">IF(AND(AM48&gt;=$E48,TRUE),"ИЗУЧЕНО",IF(TRUE,"ОТКРЫТО","ЗАКРЫТО"))</x:f>
        <x:v>ОТКРЫТО</x:v>
      </x:c>
      <x:c r="BC48" t="str">
        <x:f t="shared" si="14">IF(AND(AN48&gt;=$E48,TRUE),"ИЗУЧЕНО",IF(TRUE,"ОТКРЫТО","ЗАКРЫТО"))</x:f>
        <x:v>ОТКРЫТО</x:v>
      </x:c>
      <x:c r="BD48" t="str">
        <x:f t="shared" si="15">IF(AND(AO48&gt;=$E48,TRUE),"ИЗУЧЕНО",IF(TRUE,"ОТКРЫТО","ЗАКРЫТО"))</x:f>
        <x:v>ОТКРЫТО</x:v>
      </x:c>
      <x:c r="BE48" t="str">
        <x:f t="shared" si="16">IF(AND(AP48&gt;=$E48,TRUE),"ИЗУЧЕНО",IF(TRUE,"ОТКРЫТО","ЗАКРЫТО"))</x:f>
        <x:v>ОТКРЫТО</x:v>
      </x:c>
      <x:c r="BF48" t="str">
        <x:f t="shared" si="17">IF(AND(AQ48&gt;=$E48,TRUE),"ИЗУЧЕНО",IF(TRUE,"ОТКРЫТО","ЗАКРЫТО"))</x:f>
        <x:v>ОТКРЫТО</x:v>
      </x:c>
      <x:c r="BG48" t="str">
        <x:f t="shared" si="18">IFERROR(2025+MATCH("ИЗУЧЕНО",AR48:BF48,0),"")</x:f>
      </x:c>
      <x:c r="BH48" t="str">
        <x:f t="shared" si="19">IF(BG48="","",BG48+1)</x:f>
      </x:c>
    </x:row>
    <x:row r="49" ht="179.39999389648438">
      <x:c r="A49" s="3" t="s">
        <x:v>230</x:v>
      </x:c>
      <x:c r="B49" s="3" t="s">
        <x:v>222</x:v>
      </x:c>
      <x:c r="C49" s="3" t="s">
        <x:v>92</x:v>
      </x:c>
      <x:c r="D49" s="3" t="s">
        <x:v>231</x:v>
      </x:c>
      <x:c r="E49" s="3">
        <x:v>140</x:v>
      </x:c>
      <x:c r="F49" s="3" t="s">
        <x:v>163</x:v>
      </x:c>
      <x:c r="G49" s="3" t="s">
        <x:v>138</x:v>
      </x:c>
      <x:c r="H49" s="3" t="s">
        <x:v>213</x:v>
      </x:c>
      <x:c r="I49" s="3" t="s">
        <x:v>232</x:v>
      </x:c>
      <x:c r="J49" s="3" t="s">
        <x:v>233</x:v>
      </x:c>
      <x:c r="K49" s="4" t="n">
        <x:f>SUMIF('Ход 2026'!$G$29:$G$38,$A49,'Ход 2026'!$I$29:$I$38)*(1+'Эффекты технологий'!J$7+'Эффекты технологий'!J$9)</x:f>
        <x:v>0</x:v>
      </x:c>
      <x:c r="L49" s="4" t="n">
        <x:f>SUMIF('Ход 2027'!$G$29:$G$38,$A49,'Ход 2027'!$I$29:$I$38)*(1+'Эффекты технологий'!K$7+'Эффекты технологий'!K$9)</x:f>
        <x:v>0</x:v>
      </x:c>
      <x:c r="M49" s="4" t="n">
        <x:f>SUMIF('Ход 2028'!$G$29:$G$38,$A49,'Ход 2028'!$I$29:$I$38)*(1+'Эффекты технологий'!L$7+'Эффекты технологий'!L$9)</x:f>
        <x:v>0</x:v>
      </x:c>
      <x:c r="N49" s="4" t="n">
        <x:f>SUMIF('Ход 2029'!$G$29:$G$38,$A49,'Ход 2029'!$I$29:$I$38)*(1+'Эффекты технологий'!M$7+'Эффекты технологий'!M$9)</x:f>
        <x:v>0</x:v>
      </x:c>
      <x:c r="O49" s="4" t="n">
        <x:f>SUMIF('Ход 2030'!$G$29:$G$38,$A49,'Ход 2030'!$I$29:$I$38)*(1+'Эффекты технологий'!N$7+'Эффекты технологий'!N$9)</x:f>
        <x:v>0</x:v>
      </x:c>
      <x:c r="P49" s="4" t="n">
        <x:f>SUMIF('Ход 2031'!$G$29:$G$38,$A49,'Ход 2031'!$I$29:$I$38)*(1+'Эффекты технологий'!O$7+'Эффекты технологий'!O$9)</x:f>
        <x:v>0</x:v>
      </x:c>
      <x:c r="Q49" s="4" t="n">
        <x:f>SUMIF('Ход 2032'!$G$29:$G$38,$A49,'Ход 2032'!$I$29:$I$38)*(1+'Эффекты технологий'!P$7+'Эффекты технологий'!P$9)</x:f>
        <x:v>0</x:v>
      </x:c>
      <x:c r="R49" s="4" t="n">
        <x:f>SUMIF('Ход 2033'!$G$29:$G$38,$A49,'Ход 2033'!$I$29:$I$38)*(1+'Эффекты технологий'!Q$7+'Эффекты технологий'!Q$9)</x:f>
        <x:v>0</x:v>
      </x:c>
      <x:c r="S49" s="4" t="n">
        <x:f>SUMIF('Ход 2034'!$G$29:$G$38,$A49,'Ход 2034'!$I$29:$I$38)*(1+'Эффекты технологий'!R$7+'Эффекты технологий'!R$9)</x:f>
        <x:v>0</x:v>
      </x:c>
      <x:c r="T49" s="4" t="n">
        <x:f>SUMIF('Ход 2035'!$G$29:$G$38,$A49,'Ход 2035'!$I$29:$I$38)*(1+'Эффекты технологий'!S$7+'Эффекты технологий'!S$9)</x:f>
        <x:v>0</x:v>
      </x:c>
      <x:c r="U49" s="4" t="n">
        <x:f>SUMIF('Ход 2036'!$G$29:$G$38,$A49,'Ход 2036'!$I$29:$I$38)*(1+'Эффекты технологий'!T$7+'Эффекты технологий'!T$9)</x:f>
        <x:v>0</x:v>
      </x:c>
      <x:c r="V49" s="4" t="n">
        <x:f>SUMIF('Ход 2037'!$G$29:$G$38,$A49,'Ход 2037'!$I$29:$I$38)*(1+'Эффекты технологий'!U$7+'Эффекты технологий'!U$9)</x:f>
        <x:v>0</x:v>
      </x:c>
      <x:c r="W49" s="4" t="n">
        <x:f>SUMIF('Ход 2038'!$G$29:$G$38,$A49,'Ход 2038'!$I$29:$I$38)*(1+'Эффекты технологий'!V$7+'Эффекты технологий'!V$9)</x:f>
        <x:v>0</x:v>
      </x:c>
      <x:c r="X49" s="4" t="n">
        <x:f>SUMIF('Ход 2039'!$G$29:$G$38,$A49,'Ход 2039'!$I$29:$I$38)*(1+'Эффекты технологий'!W$7+'Эффекты технологий'!W$9)</x:f>
        <x:v>0</x:v>
      </x:c>
      <x:c r="Y49" s="4" t="n">
        <x:f>SUMIF('Ход 2040'!$G$29:$G$38,$A49,'Ход 2040'!$I$29:$I$38)*(1+'Эффекты технологий'!X$7+'Эффекты технологий'!X$9)</x:f>
        <x:v>0</x:v>
      </x:c>
      <x:c r="Z49" s="5" t="n">
        <x:f t="shared" si="0">SUM(K49:Y49)</x:f>
        <x:v>0</x:v>
      </x:c>
      <x:c r="AA49" s="5" t="n">
        <x:f t="shared" si="1">MAX(0,E49-Z49)</x:f>
        <x:v>140</x:v>
      </x:c>
      <x:c r="AB49" s="3" t="str">
        <x:f t="shared" si="2">BF49</x:f>
        <x:v>ОТКРЫТО</x:v>
      </x:c>
      <x:c r="AC49" t="n">
        <x:f>SUM($K49:K49)</x:f>
        <x:v>0</x:v>
      </x:c>
      <x:c r="AD49" t="n">
        <x:f>SUM($K49:L49)</x:f>
        <x:v>0</x:v>
      </x:c>
      <x:c r="AE49" t="n">
        <x:f>SUM($K49:M49)</x:f>
        <x:v>0</x:v>
      </x:c>
      <x:c r="AF49" t="n">
        <x:f>SUM($K49:N49)</x:f>
        <x:v>0</x:v>
      </x:c>
      <x:c r="AG49" t="n">
        <x:f>SUM($K49:O49)</x:f>
        <x:v>0</x:v>
      </x:c>
      <x:c r="AH49" t="n">
        <x:f>SUM($K49:P49)</x:f>
        <x:v>0</x:v>
      </x:c>
      <x:c r="AI49" t="n">
        <x:f>SUM($K49:Q49)</x:f>
        <x:v>0</x:v>
      </x:c>
      <x:c r="AJ49" t="n">
        <x:f>SUM($K49:R49)</x:f>
        <x:v>0</x:v>
      </x:c>
      <x:c r="AK49" t="n">
        <x:f>SUM($K49:S49)</x:f>
        <x:v>0</x:v>
      </x:c>
      <x:c r="AL49" t="n">
        <x:f>SUM($K49:T49)</x:f>
        <x:v>0</x:v>
      </x:c>
      <x:c r="AM49" t="n">
        <x:f>SUM($K49:U49)</x:f>
        <x:v>0</x:v>
      </x:c>
      <x:c r="AN49" t="n">
        <x:f>SUM($K49:V49)</x:f>
        <x:v>0</x:v>
      </x:c>
      <x:c r="AO49" t="n">
        <x:f>SUM($K49:W49)</x:f>
        <x:v>0</x:v>
      </x:c>
      <x:c r="AP49" t="n">
        <x:f>SUM($K49:X49)</x:f>
        <x:v>0</x:v>
      </x:c>
      <x:c r="AQ49" t="n">
        <x:f>SUM($K49:Y49)</x:f>
        <x:v>0</x:v>
      </x:c>
      <x:c r="AR49" t="str">
        <x:f t="shared" si="3">IF(AND(AC49&gt;=$E49,TRUE),"ИЗУЧЕНО",IF(TRUE,"ОТКРЫТО","ЗАКРЫТО"))</x:f>
        <x:v>ОТКРЫТО</x:v>
      </x:c>
      <x:c r="AS49" t="str">
        <x:f t="shared" si="4">IF(AND(AD49&gt;=$E49,TRUE),"ИЗУЧЕНО",IF(TRUE,"ОТКРЫТО","ЗАКРЫТО"))</x:f>
        <x:v>ОТКРЫТО</x:v>
      </x:c>
      <x:c r="AT49" t="str">
        <x:f t="shared" si="5">IF(AND(AE49&gt;=$E49,TRUE),"ИЗУЧЕНО",IF(TRUE,"ОТКРЫТО","ЗАКРЫТО"))</x:f>
        <x:v>ОТКРЫТО</x:v>
      </x:c>
      <x:c r="AU49" t="str">
        <x:f t="shared" si="6">IF(AND(AF49&gt;=$E49,TRUE),"ИЗУЧЕНО",IF(TRUE,"ОТКРЫТО","ЗАКРЫТО"))</x:f>
        <x:v>ОТКРЫТО</x:v>
      </x:c>
      <x:c r="AV49" t="str">
        <x:f t="shared" si="7">IF(AND(AG49&gt;=$E49,TRUE),"ИЗУЧЕНО",IF(TRUE,"ОТКРЫТО","ЗАКРЫТО"))</x:f>
        <x:v>ОТКРЫТО</x:v>
      </x:c>
      <x:c r="AW49" t="str">
        <x:f t="shared" si="8">IF(AND(AH49&gt;=$E49,TRUE),"ИЗУЧЕНО",IF(TRUE,"ОТКРЫТО","ЗАКРЫТО"))</x:f>
        <x:v>ОТКРЫТО</x:v>
      </x:c>
      <x:c r="AX49" t="str">
        <x:f t="shared" si="9">IF(AND(AI49&gt;=$E49,TRUE),"ИЗУЧЕНО",IF(TRUE,"ОТКРЫТО","ЗАКРЫТО"))</x:f>
        <x:v>ОТКРЫТО</x:v>
      </x:c>
      <x:c r="AY49" t="str">
        <x:f t="shared" si="10">IF(AND(AJ49&gt;=$E49,TRUE),"ИЗУЧЕНО",IF(TRUE,"ОТКРЫТО","ЗАКРЫТО"))</x:f>
        <x:v>ОТКРЫТО</x:v>
      </x:c>
      <x:c r="AZ49" t="str">
        <x:f t="shared" si="11">IF(AND(AK49&gt;=$E49,TRUE),"ИЗУЧЕНО",IF(TRUE,"ОТКРЫТО","ЗАКРЫТО"))</x:f>
        <x:v>ОТКРЫТО</x:v>
      </x:c>
      <x:c r="BA49" t="str">
        <x:f t="shared" si="12">IF(AND(AL49&gt;=$E49,TRUE),"ИЗУЧЕНО",IF(TRUE,"ОТКРЫТО","ЗАКРЫТО"))</x:f>
        <x:v>ОТКРЫТО</x:v>
      </x:c>
      <x:c r="BB49" t="str">
        <x:f t="shared" si="13">IF(AND(AM49&gt;=$E49,TRUE),"ИЗУЧЕНО",IF(TRUE,"ОТКРЫТО","ЗАКРЫТО"))</x:f>
        <x:v>ОТКРЫТО</x:v>
      </x:c>
      <x:c r="BC49" t="str">
        <x:f t="shared" si="14">IF(AND(AN49&gt;=$E49,TRUE),"ИЗУЧЕНО",IF(TRUE,"ОТКРЫТО","ЗАКРЫТО"))</x:f>
        <x:v>ОТКРЫТО</x:v>
      </x:c>
      <x:c r="BD49" t="str">
        <x:f t="shared" si="15">IF(AND(AO49&gt;=$E49,TRUE),"ИЗУЧЕНО",IF(TRUE,"ОТКРЫТО","ЗАКРЫТО"))</x:f>
        <x:v>ОТКРЫТО</x:v>
      </x:c>
      <x:c r="BE49" t="str">
        <x:f t="shared" si="16">IF(AND(AP49&gt;=$E49,TRUE),"ИЗУЧЕНО",IF(TRUE,"ОТКРЫТО","ЗАКРЫТО"))</x:f>
        <x:v>ОТКРЫТО</x:v>
      </x:c>
      <x:c r="BF49" t="str">
        <x:f t="shared" si="17">IF(AND(AQ49&gt;=$E49,TRUE),"ИЗУЧЕНО",IF(TRUE,"ОТКРЫТО","ЗАКРЫТО"))</x:f>
        <x:v>ОТКРЫТО</x:v>
      </x:c>
      <x:c r="BG49" t="str">
        <x:f t="shared" si="18">IFERROR(2025+MATCH("ИЗУЧЕНО",AR49:BF49,0),"")</x:f>
      </x:c>
      <x:c r="BH49" t="str">
        <x:f t="shared" si="19">IF(BG49="","",BG49+1)</x:f>
      </x:c>
    </x:row>
    <x:row r="50" ht="193.1999969482422">
      <x:c r="A50" s="3" t="s">
        <x:v>234</x:v>
      </x:c>
      <x:c r="B50" s="3" t="s">
        <x:v>222</x:v>
      </x:c>
      <x:c r="C50" s="3" t="s">
        <x:v>235</x:v>
      </x:c>
      <x:c r="D50" s="3" t="s">
        <x:v>236</x:v>
      </x:c>
      <x:c r="E50" s="3">
        <x:v>190</x:v>
      </x:c>
      <x:c r="F50" s="3" t="s">
        <x:v>117</x:v>
      </x:c>
      <x:c r="G50" s="3" t="s">
        <x:v>167</x:v>
      </x:c>
      <x:c r="H50" s="3" t="s">
        <x:v>217</x:v>
      </x:c>
      <x:c r="I50" s="3" t="s">
        <x:v>237</x:v>
      </x:c>
      <x:c r="J50" s="3" t="s">
        <x:v>238</x:v>
      </x:c>
      <x:c r="K50" s="4" t="n">
        <x:f>SUMIF('Ход 2026'!$G$29:$G$38,$A50,'Ход 2026'!$I$29:$I$38)*(1+'Эффекты технологий'!J$7+'Эффекты технологий'!J$9)</x:f>
        <x:v>0</x:v>
      </x:c>
      <x:c r="L50" s="4" t="n">
        <x:f>SUMIF('Ход 2027'!$G$29:$G$38,$A50,'Ход 2027'!$I$29:$I$38)*(1+'Эффекты технологий'!K$7+'Эффекты технологий'!K$9)</x:f>
        <x:v>0</x:v>
      </x:c>
      <x:c r="M50" s="4" t="n">
        <x:f>SUMIF('Ход 2028'!$G$29:$G$38,$A50,'Ход 2028'!$I$29:$I$38)*(1+'Эффекты технологий'!L$7+'Эффекты технологий'!L$9)</x:f>
        <x:v>0</x:v>
      </x:c>
      <x:c r="N50" s="4" t="n">
        <x:f>SUMIF('Ход 2029'!$G$29:$G$38,$A50,'Ход 2029'!$I$29:$I$38)*(1+'Эффекты технологий'!M$7+'Эффекты технологий'!M$9)</x:f>
        <x:v>0</x:v>
      </x:c>
      <x:c r="O50" s="4" t="n">
        <x:f>SUMIF('Ход 2030'!$G$29:$G$38,$A50,'Ход 2030'!$I$29:$I$38)*(1+'Эффекты технологий'!N$7+'Эффекты технологий'!N$9)</x:f>
        <x:v>0</x:v>
      </x:c>
      <x:c r="P50" s="4" t="n">
        <x:f>SUMIF('Ход 2031'!$G$29:$G$38,$A50,'Ход 2031'!$I$29:$I$38)*(1+'Эффекты технологий'!O$7+'Эффекты технологий'!O$9)</x:f>
        <x:v>0</x:v>
      </x:c>
      <x:c r="Q50" s="4" t="n">
        <x:f>SUMIF('Ход 2032'!$G$29:$G$38,$A50,'Ход 2032'!$I$29:$I$38)*(1+'Эффекты технологий'!P$7+'Эффекты технологий'!P$9)</x:f>
        <x:v>0</x:v>
      </x:c>
      <x:c r="R50" s="4" t="n">
        <x:f>SUMIF('Ход 2033'!$G$29:$G$38,$A50,'Ход 2033'!$I$29:$I$38)*(1+'Эффекты технологий'!Q$7+'Эффекты технологий'!Q$9)</x:f>
        <x:v>0</x:v>
      </x:c>
      <x:c r="S50" s="4" t="n">
        <x:f>SUMIF('Ход 2034'!$G$29:$G$38,$A50,'Ход 2034'!$I$29:$I$38)*(1+'Эффекты технологий'!R$7+'Эффекты технологий'!R$9)</x:f>
        <x:v>0</x:v>
      </x:c>
      <x:c r="T50" s="4" t="n">
        <x:f>SUMIF('Ход 2035'!$G$29:$G$38,$A50,'Ход 2035'!$I$29:$I$38)*(1+'Эффекты технологий'!S$7+'Эффекты технологий'!S$9)</x:f>
        <x:v>0</x:v>
      </x:c>
      <x:c r="U50" s="4" t="n">
        <x:f>SUMIF('Ход 2036'!$G$29:$G$38,$A50,'Ход 2036'!$I$29:$I$38)*(1+'Эффекты технологий'!T$7+'Эффекты технологий'!T$9)</x:f>
        <x:v>0</x:v>
      </x:c>
      <x:c r="V50" s="4" t="n">
        <x:f>SUMIF('Ход 2037'!$G$29:$G$38,$A50,'Ход 2037'!$I$29:$I$38)*(1+'Эффекты технологий'!U$7+'Эффекты технологий'!U$9)</x:f>
        <x:v>0</x:v>
      </x:c>
      <x:c r="W50" s="4" t="n">
        <x:f>SUMIF('Ход 2038'!$G$29:$G$38,$A50,'Ход 2038'!$I$29:$I$38)*(1+'Эффекты технологий'!V$7+'Эффекты технологий'!V$9)</x:f>
        <x:v>0</x:v>
      </x:c>
      <x:c r="X50" s="4" t="n">
        <x:f>SUMIF('Ход 2039'!$G$29:$G$38,$A50,'Ход 2039'!$I$29:$I$38)*(1+'Эффекты технологий'!W$7+'Эффекты технологий'!W$9)</x:f>
        <x:v>0</x:v>
      </x:c>
      <x:c r="Y50" s="4" t="n">
        <x:f>SUMIF('Ход 2040'!$G$29:$G$38,$A50,'Ход 2040'!$I$29:$I$38)*(1+'Эффекты технологий'!X$7+'Эффекты технологий'!X$9)</x:f>
        <x:v>0</x:v>
      </x:c>
      <x:c r="Z50" s="5" t="n">
        <x:f t="shared" si="0">SUM(K50:Y50)</x:f>
        <x:v>0</x:v>
      </x:c>
      <x:c r="AA50" s="5" t="n">
        <x:f t="shared" si="1">MAX(0,E50-Z50)</x:f>
        <x:v>190</x:v>
      </x:c>
      <x:c r="AB50" s="3" t="str">
        <x:f t="shared" si="2">BF50</x:f>
        <x:v>ОТКРЫТО</x:v>
      </x:c>
      <x:c r="AC50" t="n">
        <x:f>SUM($K50:K50)</x:f>
        <x:v>0</x:v>
      </x:c>
      <x:c r="AD50" t="n">
        <x:f>SUM($K50:L50)</x:f>
        <x:v>0</x:v>
      </x:c>
      <x:c r="AE50" t="n">
        <x:f>SUM($K50:M50)</x:f>
        <x:v>0</x:v>
      </x:c>
      <x:c r="AF50" t="n">
        <x:f>SUM($K50:N50)</x:f>
        <x:v>0</x:v>
      </x:c>
      <x:c r="AG50" t="n">
        <x:f>SUM($K50:O50)</x:f>
        <x:v>0</x:v>
      </x:c>
      <x:c r="AH50" t="n">
        <x:f>SUM($K50:P50)</x:f>
        <x:v>0</x:v>
      </x:c>
      <x:c r="AI50" t="n">
        <x:f>SUM($K50:Q50)</x:f>
        <x:v>0</x:v>
      </x:c>
      <x:c r="AJ50" t="n">
        <x:f>SUM($K50:R50)</x:f>
        <x:v>0</x:v>
      </x:c>
      <x:c r="AK50" t="n">
        <x:f>SUM($K50:S50)</x:f>
        <x:v>0</x:v>
      </x:c>
      <x:c r="AL50" t="n">
        <x:f>SUM($K50:T50)</x:f>
        <x:v>0</x:v>
      </x:c>
      <x:c r="AM50" t="n">
        <x:f>SUM($K50:U50)</x:f>
        <x:v>0</x:v>
      </x:c>
      <x:c r="AN50" t="n">
        <x:f>SUM($K50:V50)</x:f>
        <x:v>0</x:v>
      </x:c>
      <x:c r="AO50" t="n">
        <x:f>SUM($K50:W50)</x:f>
        <x:v>0</x:v>
      </x:c>
      <x:c r="AP50" t="n">
        <x:f>SUM($K50:X50)</x:f>
        <x:v>0</x:v>
      </x:c>
      <x:c r="AQ50" t="n">
        <x:f>SUM($K50:Y50)</x:f>
        <x:v>0</x:v>
      </x:c>
      <x:c r="AR50" t="str">
        <x:f t="shared" si="3">IF(AND(AC50&gt;=$E50,TRUE),"ИЗУЧЕНО",IF(TRUE,"ОТКРЫТО","ЗАКРЫТО"))</x:f>
        <x:v>ОТКРЫТО</x:v>
      </x:c>
      <x:c r="AS50" t="str">
        <x:f t="shared" si="4">IF(AND(AD50&gt;=$E50,TRUE),"ИЗУЧЕНО",IF(TRUE,"ОТКРЫТО","ЗАКРЫТО"))</x:f>
        <x:v>ОТКРЫТО</x:v>
      </x:c>
      <x:c r="AT50" t="str">
        <x:f t="shared" si="5">IF(AND(AE50&gt;=$E50,TRUE),"ИЗУЧЕНО",IF(TRUE,"ОТКРЫТО","ЗАКРЫТО"))</x:f>
        <x:v>ОТКРЫТО</x:v>
      </x:c>
      <x:c r="AU50" t="str">
        <x:f t="shared" si="6">IF(AND(AF50&gt;=$E50,TRUE),"ИЗУЧЕНО",IF(TRUE,"ОТКРЫТО","ЗАКРЫТО"))</x:f>
        <x:v>ОТКРЫТО</x:v>
      </x:c>
      <x:c r="AV50" t="str">
        <x:f t="shared" si="7">IF(AND(AG50&gt;=$E50,TRUE),"ИЗУЧЕНО",IF(TRUE,"ОТКРЫТО","ЗАКРЫТО"))</x:f>
        <x:v>ОТКРЫТО</x:v>
      </x:c>
      <x:c r="AW50" t="str">
        <x:f t="shared" si="8">IF(AND(AH50&gt;=$E50,TRUE),"ИЗУЧЕНО",IF(TRUE,"ОТКРЫТО","ЗАКРЫТО"))</x:f>
        <x:v>ОТКРЫТО</x:v>
      </x:c>
      <x:c r="AX50" t="str">
        <x:f t="shared" si="9">IF(AND(AI50&gt;=$E50,TRUE),"ИЗУЧЕНО",IF(TRUE,"ОТКРЫТО","ЗАКРЫТО"))</x:f>
        <x:v>ОТКРЫТО</x:v>
      </x:c>
      <x:c r="AY50" t="str">
        <x:f t="shared" si="10">IF(AND(AJ50&gt;=$E50,TRUE),"ИЗУЧЕНО",IF(TRUE,"ОТКРЫТО","ЗАКРЫТО"))</x:f>
        <x:v>ОТКРЫТО</x:v>
      </x:c>
      <x:c r="AZ50" t="str">
        <x:f t="shared" si="11">IF(AND(AK50&gt;=$E50,TRUE),"ИЗУЧЕНО",IF(TRUE,"ОТКРЫТО","ЗАКРЫТО"))</x:f>
        <x:v>ОТКРЫТО</x:v>
      </x:c>
      <x:c r="BA50" t="str">
        <x:f t="shared" si="12">IF(AND(AL50&gt;=$E50,TRUE),"ИЗУЧЕНО",IF(TRUE,"ОТКРЫТО","ЗАКРЫТО"))</x:f>
        <x:v>ОТКРЫТО</x:v>
      </x:c>
      <x:c r="BB50" t="str">
        <x:f t="shared" si="13">IF(AND(AM50&gt;=$E50,TRUE),"ИЗУЧЕНО",IF(TRUE,"ОТКРЫТО","ЗАКРЫТО"))</x:f>
        <x:v>ОТКРЫТО</x:v>
      </x:c>
      <x:c r="BC50" t="str">
        <x:f t="shared" si="14">IF(AND(AN50&gt;=$E50,TRUE),"ИЗУЧЕНО",IF(TRUE,"ОТКРЫТО","ЗАКРЫТО"))</x:f>
        <x:v>ОТКРЫТО</x:v>
      </x:c>
      <x:c r="BD50" t="str">
        <x:f t="shared" si="15">IF(AND(AO50&gt;=$E50,TRUE),"ИЗУЧЕНО",IF(TRUE,"ОТКРЫТО","ЗАКРЫТО"))</x:f>
        <x:v>ОТКРЫТО</x:v>
      </x:c>
      <x:c r="BE50" t="str">
        <x:f t="shared" si="16">IF(AND(AP50&gt;=$E50,TRUE),"ИЗУЧЕНО",IF(TRUE,"ОТКРЫТО","ЗАКРЫТО"))</x:f>
        <x:v>ОТКРЫТО</x:v>
      </x:c>
      <x:c r="BF50" t="str">
        <x:f t="shared" si="17">IF(AND(AQ50&gt;=$E50,TRUE),"ИЗУЧЕНО",IF(TRUE,"ОТКРЫТО","ЗАКРЫТО"))</x:f>
        <x:v>ОТКРЫТО</x:v>
      </x:c>
      <x:c r="BG50" t="str">
        <x:f t="shared" si="18">IFERROR(2025+MATCH("ИЗУЧЕНО",AR50:BF50,0),"")</x:f>
      </x:c>
      <x:c r="BH50" t="str">
        <x:f t="shared" si="19">IF(BG50="","",BG50+1)</x:f>
      </x:c>
    </x:row>
  </x:sheetData>
  <x:mergeCells>
    <x:mergeCell ref="A6:C7"/>
    <x:mergeCell ref="E6:G7"/>
    <x:mergeCell ref="I6:K7"/>
    <x:mergeCell ref="M6:N7"/>
    <x:mergeCell ref="A1:AB2"/>
    <x:mergeCell ref="A3:AB3"/>
    <x:mergeCell ref="A5:C5"/>
    <x:mergeCell ref="E5:G5"/>
    <x:mergeCell ref="I5:K5"/>
    <x:mergeCell ref="M5:N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2026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56.32833374959453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75.48571433288244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53.94360226668576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81.42535425674403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7"/>
      <x:c r="E7" s="7"/>
      <x:c r="F7" s="7"/>
      <x:c r="G7" s="7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v>8</x:v>
      </x:c>
      <x:c r="C8" s="3" t="n"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8</x:v>
      </x:c>
      <x:c r="J8" s="10" t="n">
        <x:f>SUMIFS('Эффекты технологий'!$J$25:$J$240,'Эффекты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v>7</x:v>
      </x:c>
      <x:c r="C9" s="3" t="n"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7</x:v>
      </x:c>
      <x:c r="J9" s="10" t="n">
        <x:f>SUMIFS('Эффекты технологий'!$J$25:$J$240,'Эффекты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v>9.5</x:v>
      </x:c>
      <x:c r="C10" s="3" t="n"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9.5</x:v>
      </x:c>
      <x:c r="J10" s="10" t="n">
        <x:f>SUMIFS('Эффекты технологий'!$J$25:$J$240,'Эффекты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 t="s">
        <x:v>265</x:v>
      </x:c>
    </x:row>
    <x:row r="11" ht="27.600000381469727">
      <x:c r="A11" s="3" t="s">
        <x:v>266</x:v>
      </x:c>
      <x:c r="B11" s="3" t="n">
        <x:v>3.5</x:v>
      </x:c>
      <x:c r="C11" s="3" t="n"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3.5</x:v>
      </x:c>
      <x:c r="J11" s="10" t="n">
        <x:f>SUMIFS('Эффекты технологий'!$J$25:$J$240,'Эффекты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v>5.5</x:v>
      </x:c>
      <x:c r="M11" s="3" t="n"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5.5</x:v>
      </x:c>
      <x:c r="T11" s="10" t="n">
        <x:f>SUMIFS('Эффекты технологий'!$J$25:$J$240,'Эффекты технологий'!$C$25:$C$240,$K11,'Эффекты технологий'!$D$25:$D$240,"Значение")</x:f>
        <x:v>0</x:v>
      </x:c>
      <x:c r="U11" s="3" t="str">
        <x:v>Россия</x:v>
      </x:c>
      <x:c r="V11" s="3" t="n"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v>8</x:v>
      </x:c>
      <x:c r="C12" s="3" t="n"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</x:v>
      </x:c>
      <x:c r="J12" s="10" t="n">
        <x:f>SUMIFS('Эффекты технологий'!$J$25:$J$240,'Эффекты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v>5.5</x:v>
      </x:c>
      <x:c r="M12" s="3" t="n"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5.5</x:v>
      </x:c>
      <x:c r="T12" s="10" t="n">
        <x:f>SUMIFS('Эффекты технологий'!$J$25:$J$240,'Эффекты технологий'!$C$25:$C$240,$K12,'Эффекты технологий'!$D$25:$D$240,"Значение")</x:f>
        <x:v>0</x:v>
      </x:c>
      <x:c r="U12" s="3" t="str">
        <x:v>США</x:v>
      </x:c>
      <x:c r="V12" s="3" t="n"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v>2</x:v>
      </x:c>
      <x:c r="C13" s="3" t="n"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2</x:v>
      </x:c>
      <x:c r="J13" s="10" t="n">
        <x:f>SUMIFS('Эффекты технологий'!$J$25:$J$240,'Эффекты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v>7</x:v>
      </x:c>
      <x:c r="M13" s="3" t="n"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7</x:v>
      </x:c>
      <x:c r="T13" s="10" t="n">
        <x:f>SUMIFS('Эффекты технологий'!$J$25:$J$240,'Эффекты технологий'!$C$25:$C$240,$K13,'Эффекты технологий'!$D$25:$D$240,"Значение")</x:f>
        <x:v>0</x:v>
      </x:c>
      <x:c r="U13" s="3" t="str">
        <x:v>Китай</x:v>
      </x:c>
      <x:c r="V13" s="3" t="n"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 ht="27.600000381469727">
      <x:c r="A14" s="3" t="s">
        <x:v>272</x:v>
      </x:c>
      <x:c r="B14" s="3" t="n">
        <x:v>3</x:v>
      </x:c>
      <x:c r="C14" s="3" t="n"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3</x:v>
      </x:c>
      <x:c r="J14" s="10" t="n">
        <x:f>SUMIFS('Эффекты технологий'!$J$25:$J$240,'Эффекты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v>6.5</x:v>
      </x:c>
      <x:c r="M14" s="3" t="n"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6.5</x:v>
      </x:c>
      <x:c r="T14" s="10" t="n">
        <x:f>SUMIFS('Эффекты технологий'!$J$25:$J$240,'Эффекты технологий'!$C$25:$C$240,$K14,'Эффекты технологий'!$D$25:$D$240,"Значение")</x:f>
        <x:v>0</x:v>
      </x:c>
      <x:c r="U14" s="3" t="str">
        <x:v>Индия</x:v>
      </x:c>
      <x:c r="V14" s="3" t="n"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v>4.5</x:v>
      </x:c>
      <x:c r="C15" s="3" t="n"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4.5</x:v>
      </x:c>
      <x:c r="J15" s="10" t="n">
        <x:f>SUMIFS('Эффекты технологий'!$J$25:$J$240,'Эффекты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v>7</x:v>
      </x:c>
      <x:c r="M15" s="3" t="n"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7</x:v>
      </x:c>
      <x:c r="T15" s="10" t="n">
        <x:f>SUMIFS('Эффекты технологий'!$J$25:$J$240,'Эффекты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3" t="n"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 ht="41.400001525878906">
      <x:c r="A16" s="3" t="s">
        <x:v>276</x:v>
      </x:c>
      <x:c r="B16" s="3" t="n">
        <x:v>5.5</x:v>
      </x:c>
      <x:c r="C16" s="3" t="n"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5.5</x:v>
      </x:c>
      <x:c r="J16" s="10" t="n">
        <x:f>SUMIFS('Эффекты технологий'!$J$25:$J$240,'Эффекты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v>5.5</x:v>
      </x:c>
      <x:c r="M16" s="3" t="n"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5.5</x:v>
      </x:c>
      <x:c r="T16" s="10" t="n">
        <x:f>SUMIFS('Эффекты технологий'!$J$25:$J$240,'Эффекты технологий'!$C$25:$C$240,$K16,'Эффекты технологий'!$D$25:$D$240,"Значение")</x:f>
        <x:v>0</x:v>
      </x:c>
      <x:c r="U16" s="3" t="str">
        <x:v>Франция</x:v>
      </x:c>
      <x:c r="V16" s="3" t="n"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41.400001525878906">
      <x:c r="A17" s="3" t="s">
        <x:v>278</x:v>
      </x:c>
      <x:c r="B17" s="3" t="n">
        <x:v>5</x:v>
      </x:c>
      <x:c r="C17" s="3" t="n"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5</x:v>
      </x:c>
      <x:c r="J17" s="10" t="n">
        <x:f>SUMIFS('Эффекты технологий'!$J$25:$J$240,'Эффекты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v>6.5</x:v>
      </x:c>
      <x:c r="M17" s="3" t="n"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6.5</x:v>
      </x:c>
      <x:c r="T17" s="10" t="n">
        <x:f>SUMIFS('Эффекты технологий'!$J$25:$J$240,'Эффекты технологий'!$C$25:$C$240,$K17,'Эффекты технологий'!$D$25:$D$240,"Значение")</x:f>
        <x:v>0</x:v>
      </x:c>
      <x:c r="U17" s="3" t="str">
        <x:v>Германия</x:v>
      </x:c>
      <x:c r="V17" s="3" t="n"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41.400001525878906">
      <x:c r="A18" s="6" t="s">
        <x:v>280</x:v>
      </x:c>
      <x:c r="B18" s="6"/>
      <x:c r="C18" s="6"/>
      <x:c r="D18" s="7"/>
      <x:c r="E18" s="7"/>
      <x:c r="F18" s="7"/>
      <x:c r="G18" s="7"/>
      <x:c r="H18" s="6"/>
      <x:c r="I18" s="6"/>
      <x:c r="J18" s="3"/>
      <x:c r="K18" s="3" t="s">
        <x:v>281</x:v>
      </x:c>
      <x:c r="L18" s="3" t="n">
        <x:v>6.5</x:v>
      </x:c>
      <x:c r="M18" s="3" t="n"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6.5</x:v>
      </x:c>
      <x:c r="T18" s="10" t="n">
        <x:f>SUMIFS('Эффекты технологий'!$J$25:$J$240,'Эффекты технологий'!$C$25:$C$240,$K18,'Эффекты технологий'!$D$25:$D$240,"Значение")</x:f>
        <x:v>0</x:v>
      </x:c>
      <x:c r="U18" s="3" t="str">
        <x:v>Япония</x:v>
      </x:c>
      <x:c r="V18" s="3" t="n"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41.400001525878906">
      <x:c r="A19" s="3" t="s">
        <x:v>282</x:v>
      </x:c>
      <x:c r="B19" s="3" t="n">
        <x:v>5.5</x:v>
      </x:c>
      <x:c r="C19" s="3" t="n"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5.5</x:v>
      </x:c>
      <x:c r="J19" s="10" t="n">
        <x:f>SUMIFS('Эффекты технологий'!$J$25:$J$240,'Эффекты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3" t="n"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v>5.5</x:v>
      </x:c>
      <x:c r="C20" s="3" t="n"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5.5</x:v>
      </x:c>
      <x:c r="J20" s="10" t="n">
        <x:f>SUMIFS('Эффекты технологий'!$J$25:$J$240,'Эффекты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3" t="n"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v>5</x:v>
      </x:c>
      <x:c r="C21" s="3" t="n"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5</x:v>
      </x:c>
      <x:c r="J21" s="10" t="n">
        <x:f>SUMIFS('Эффекты технологий'!$J$25:$J$240,'Эффекты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3" t="n"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41.400001525878906">
      <x:c r="A22" s="3" t="s">
        <x:v>285</x:v>
      </x:c>
      <x:c r="B22" s="3" t="n">
        <x:v>8</x:v>
      </x:c>
      <x:c r="C22" s="3" t="n"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</x:v>
      </x:c>
      <x:c r="J22" s="10" t="n">
        <x:f>SUMIFS('Эффекты технологий'!$J$25:$J$240,'Эффекты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3" t="n"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v>6.5</x:v>
      </x:c>
      <x:c r="C23" s="3" t="n"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6.5</x:v>
      </x:c>
      <x:c r="J23" s="10" t="n">
        <x:f>SUMIFS('Эффекты технологий'!$J$25:$J$240,'Эффекты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3" t="n"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7"/>
      <x:c r="E24" s="7"/>
      <x:c r="F24" s="7"/>
      <x:c r="G24" s="7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3" t="n"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 ht="27.600000381469727">
      <x:c r="A25" s="3" t="s">
        <x:v>288</x:v>
      </x:c>
      <x:c r="B25" s="3" t="n">
        <x:v>7</x:v>
      </x:c>
      <x:c r="C25" s="3" t="n"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7</x:v>
      </x:c>
      <x:c r="J25" s="10" t="n">
        <x:f>SUMIFS('Эффекты технологий'!$J$25:$J$240,'Эффекты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3" t="n"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 ht="27.600000381469727">
      <x:c r="A26" s="3" t="s">
        <x:v>289</x:v>
      </x:c>
      <x:c r="B26" s="3" t="n">
        <x:v>5.5</x:v>
      </x:c>
      <x:c r="C26" s="3" t="n"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5.5</x:v>
      </x:c>
      <x:c r="J26" s="10" t="n">
        <x:f>SUMIFS('Эффекты технологий'!$J$25:$J$240,'Эффекты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3" t="n"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v>6</x:v>
      </x:c>
      <x:c r="C27" s="3" t="n"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6</x:v>
      </x:c>
      <x:c r="J27" s="10" t="n">
        <x:f>SUMIFS('Эффекты технологий'!$J$25:$J$240,'Эффекты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v>5.5</x:v>
      </x:c>
      <x:c r="C28" s="3" t="n"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5.5</x:v>
      </x:c>
      <x:c r="J28" s="10" t="n">
        <x:f>SUMIFS('Эффекты технологий'!$J$25:$J$240,'Эффекты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v>5.5</x:v>
      </x:c>
      <x:c r="C29" s="3" t="n"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5.5</x:v>
      </x:c>
      <x:c r="J29" s="10" t="n">
        <x:f>SUMIFS('Эффекты технологий'!$J$25:$J$240,'Эффекты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v>5.5</x:v>
      </x:c>
      <x:c r="C30" s="3" t="n"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5.5</x:v>
      </x:c>
      <x:c r="J30" s="10" t="n">
        <x:f>SUMIFS('Эффекты технологий'!$J$25:$J$240,'Эффекты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v>5.5</x:v>
      </x:c>
      <x:c r="C31" s="3" t="n"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5.5</x:v>
      </x:c>
      <x:c r="J31" s="10" t="n">
        <x:f>SUMIFS('Эффекты технологий'!$J$25:$J$240,'Эффекты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v>7.5</x:v>
      </x:c>
      <x:c r="C32" s="3" t="n"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7.5</x:v>
      </x:c>
      <x:c r="J32" s="10" t="n">
        <x:f>SUMIFS('Эффекты технологий'!$J$25:$J$240,'Эффекты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7"/>
      <x:c r="E33" s="7"/>
      <x:c r="F33" s="7"/>
      <x:c r="G33" s="7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v>7.5</x:v>
      </x:c>
      <x:c r="C34" s="3" t="n"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7.5</x:v>
      </x:c>
      <x:c r="J34" s="10" t="n">
        <x:f>SUMIFS('Эффекты технологий'!$J$25:$J$240,'Эффекты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v>8</x:v>
      </x:c>
      <x:c r="C35" s="3" t="n"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8</x:v>
      </x:c>
      <x:c r="J35" s="10" t="n">
        <x:f>SUMIFS('Эффекты технологий'!$J$25:$J$240,'Эффекты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v>6.5</x:v>
      </x:c>
      <x:c r="C36" s="3" t="n"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6.5</x:v>
      </x:c>
      <x:c r="J36" s="10" t="n">
        <x:f>SUMIFS('Эффекты технологий'!$J$25:$J$240,'Эффекты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v>5</x:v>
      </x:c>
      <x:c r="C37" s="3" t="n"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5</x:v>
      </x:c>
      <x:c r="J37" s="10" t="n">
        <x:f>SUMIFS('Эффекты технологий'!$J$25:$J$240,'Эффекты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v>5.5</x:v>
      </x:c>
      <x:c r="C38" s="3" t="n"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5.5</x:v>
      </x:c>
      <x:c r="J38" s="10" t="n">
        <x:f>SUMIFS('Эффекты технологий'!$J$25:$J$240,'Эффекты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v>6</x:v>
      </x:c>
      <x:c r="C39" s="3" t="n"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6</x:v>
      </x:c>
      <x:c r="J39" s="10" t="n">
        <x:f>SUMIFS('Эффекты технологий'!$J$25:$J$240,'Эффекты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v>4.5</x:v>
      </x:c>
      <x:c r="C40" s="3" t="n"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4.5</x:v>
      </x:c>
      <x:c r="J40" s="10" t="n">
        <x:f>SUMIFS('Эффекты технологий'!$J$25:$J$240,'Эффекты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v>5</x:v>
      </x:c>
      <x:c r="C41" s="3" t="n"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5</x:v>
      </x:c>
      <x:c r="J41" s="10" t="n">
        <x:f>SUMIFS('Эффекты технологий'!$J$25:$J$240,'Эффекты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v>7</x:v>
      </x:c>
      <x:c r="C42" s="3" t="n"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7</x:v>
      </x:c>
      <x:c r="J42" s="10" t="n">
        <x:f>SUMIFS('Эффекты технологий'!$J$25:$J$240,'Эффекты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7"/>
      <x:c r="E43" s="7"/>
      <x:c r="F43" s="7"/>
      <x:c r="G43" s="7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v>4</x:v>
      </x:c>
      <x:c r="C44" s="3" t="n"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4</x:v>
      </x:c>
      <x:c r="J44" s="10" t="n">
        <x:f>SUMIFS('Эффекты технологий'!$J$25:$J$240,'Эффекты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v>5</x:v>
      </x:c>
      <x:c r="C45" s="3" t="n"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5</x:v>
      </x:c>
      <x:c r="J45" s="10" t="n">
        <x:f>SUMIFS('Эффекты технологий'!$J$25:$J$240,'Эффекты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v>5</x:v>
      </x:c>
      <x:c r="C46" s="3" t="n"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5</x:v>
      </x:c>
      <x:c r="J46" s="10" t="n">
        <x:f>SUMIFS('Эффекты технологий'!$J$25:$J$240,'Эффекты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v>2.5</x:v>
      </x:c>
      <x:c r="C47" s="3" t="n"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2.5</x:v>
      </x:c>
      <x:c r="J47" s="10" t="n">
        <x:f>SUMIFS('Эффекты технологий'!$J$25:$J$240,'Эффекты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v>5.5</x:v>
      </x:c>
      <x:c r="C48" s="3" t="n"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5.5</x:v>
      </x:c>
      <x:c r="J48" s="10" t="n">
        <x:f>SUMIFS('Эффекты технологий'!$J$25:$J$240,'Эффекты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v>6.5</x:v>
      </x:c>
      <x:c r="C49" s="3" t="n"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6.5</x:v>
      </x:c>
      <x:c r="J49" s="10" t="n">
        <x:f>SUMIFS('Эффекты технологий'!$J$25:$J$240,'Эффекты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v>9</x:v>
      </x:c>
      <x:c r="C50" s="3" t="n"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</x:v>
      </x:c>
      <x:c r="J50" s="10" t="n">
        <x:f>SUMIFS('Эффекты технологий'!$J$25:$J$240,'Эффекты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v>6</x:v>
      </x:c>
      <x:c r="C51" s="3" t="n"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6</x:v>
      </x:c>
      <x:c r="J51" s="10" t="n">
        <x:f>SUMIFS('Эффекты технологий'!$J$25:$J$240,'Эффекты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7"/>
      <x:c r="E52" s="7"/>
      <x:c r="F52" s="7"/>
      <x:c r="G52" s="7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v>5.5</x:v>
      </x:c>
      <x:c r="C53" s="3" t="n"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5.5</x:v>
      </x:c>
      <x:c r="J53" s="10" t="n">
        <x:f>SUMIFS('Эффекты технологий'!$J$25:$J$240,'Эффекты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v>5</x:v>
      </x:c>
      <x:c r="C54" s="3" t="n"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5</x:v>
      </x:c>
      <x:c r="J54" s="10" t="n">
        <x:f>SUMIFS('Эффекты технологий'!$J$25:$J$240,'Эффекты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v>5.5</x:v>
      </x:c>
      <x:c r="C55" s="3" t="n"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5.5</x:v>
      </x:c>
      <x:c r="J55" s="10" t="n">
        <x:f>SUMIFS('Эффекты технологий'!$J$25:$J$240,'Эффекты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319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2026'!U6</x:f>
        <x:v>81.42535425674403</x:v>
      </x:c>
      <x:c r="C6" s="3"/>
      <x:c r="D6" s="3"/>
      <x:c r="E6" s="3" t="s">
        <x:v>321</x:v>
      </x:c>
      <x:c r="F6" s="3" t="n">
        <x:f>'Иран 2026'!K6</x:f>
        <x:v>56.32833374959453</x:v>
      </x:c>
      <x:c r="G6" s="3"/>
      <x:c r="H6" s="3"/>
      <x:c r="I6" s="3" t="s">
        <x:v>321</x:v>
      </x:c>
      <x:c r="J6" s="3" t="n">
        <x:f>'Иран 2026'!N6</x:f>
        <x:v>75.48571433288244</x:v>
      </x:c>
      <x:c r="K6" s="3"/>
      <x:c r="L6" s="3"/>
      <x:c r="M6" s="3" t="s">
        <x:v>321</x:v>
      </x:c>
      <x:c r="N6" s="3" t="n">
        <x:f>'Иран 2026'!Q6</x:f>
        <x:v>53.94360226668576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81.42535425674403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56.32833374959453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75.48571433288244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53.94360226668576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2026'!V11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2026'!V12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2026'!V13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2026'!V14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2026'!V15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2026'!V16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2026'!V17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2026'!V18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2026'!V19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2026'!V20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2026'!V21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2026'!V22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технологий'!J$16</x:f>
        <x:v>0</x:v>
      </x:c>
      <x:c r="H25" s="11" t="n">
        <x:f>'Эффекты технологий'!J$17</x:f>
        <x:v>0</x:v>
      </x:c>
      <x:c r="I25" s="11" t="n">
        <x:f>'Эффекты технологий'!J$18</x:f>
        <x:v>0</x:v>
      </x:c>
      <x:c r="J25" s="12"/>
      <x:c r="K25" s="3"/>
      <x:c r="L25" s="3" t="str">
        <x:v>Бразилия</x:v>
      </x:c>
      <x:c r="M25" s="3" t="n">
        <x:f>'Иран 2026'!V23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2026'!V24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2026'!V25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2026'!V26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IF(G29="","",VLOOKUP(G29,Технологии!$A$11:$BF$50,44,FALSE))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IF(G30="","",VLOOKUP(G30,Технологии!$A$11:$BF$50,44,FALSE))</x:f>
      </x:c>
      <x:c r="L30" s="3"/>
      <x:c r="M30" s="3"/>
      <x:c r="N30" s="12" t="s">
        <x:v>340</x:v>
      </x:c>
      <x:c r="O30" s="11" t="n">
        <x:f>'Эффекты технологий'!J$13</x:f>
        <x:v>0</x:v>
      </x:c>
      <x:c r="P30" s="11" t="n">
        <x:f>'Эффекты технологий'!J$14</x:f>
        <x:v>0</x:v>
      </x:c>
      <x:c r="Q30" s="11" t="n">
        <x:f>'Эффекты технологий'!J$15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IF(G31="","",VLOOKUP(G31,Технологии!$A$11:$BF$50,44,FALSE))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IF(G32="","",VLOOKUP(G32,Технологии!$A$11:$BF$50,44,FALSE))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IF(G33="","",VLOOKUP(G33,Технологии!$A$11:$BF$50,44,FALSE))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IF(G34="","",VLOOKUP(G34,Технологии!$A$11:$BF$50,44,FALSE))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IF(G35="","",VLOOKUP(G35,Технологии!$A$11:$BF$50,44,FALSE))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IF(G36="","",VLOOKUP(G36,Технологии!$A$11:$BF$50,44,FALSE))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IF(G37="","",VLOOKUP(G37,Технологии!$A$11:$BF$50,44,FALSE))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IF(G38="","",VLOOKUP(G38,Технологии!$A$11:$BF$50,44,FALSE))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2027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59.3205539323666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77.5866905690979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55.16087181874368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82.65705665635338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2026'!B8+'Иран 2026'!D8+('Иран 2026'!C8+'Иран 2026'!F8+'Иран 2026'!G8)+(0.35*LN(1+0.6*('Ход 2026'!B14*(1+'Эффекты технологий'!J$12)))*POWER(MAX(0,1-'Иран 2026'!I8/10),0.7))))</x:f>
        <x:v>8.1</x:v>
      </x:c>
      <x:c r="C8" s="3" t="n">
        <x:f>MIN(1,(MIN(1,'Иран 2026'!C8+'Иран 2026'!F8+(0.08*LN(1+0.5*('Ход 2026'!C14*(1+'Эффекты технологий'!J$12)))*MAX(0,1-('Иран 2026'!C8+'Иран 2026'!F8)))))+(SUMIFS('Эффекты технологий'!$K$25:$K$240,'Эффекты технологий'!$C$25:$C$240,$A8,'Эффекты технологий'!$D$25:$D$240,"Прирост")-SUMIFS('Эффекты технологий'!$J$25:$J$240,'Эффекты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8.1</x:v>
      </x:c>
      <x:c r="J8" s="10" t="n">
        <x:f>SUMIFS('Эффекты технологий'!$K$25:$K$240,'Эффекты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2026'!B9+'Иран 2026'!D9+('Иран 2026'!C9+'Иран 2026'!F9+'Иран 2026'!G9)+(0.35*LN(1+0.6*('Ход 2026'!B15*(1+'Эффекты технологий'!J$12)))*POWER(MAX(0,1-'Иран 2026'!I9/10),0.7))))</x:f>
        <x:v>7.1</x:v>
      </x:c>
      <x:c r="C9" s="3" t="n">
        <x:f>MIN(1,(MIN(1,'Иран 2026'!C9+'Иран 2026'!F9+(0.08*LN(1+0.5*('Ход 2026'!C15*(1+'Эффекты технологий'!J$12)))*MAX(0,1-('Иран 2026'!C9+'Иран 2026'!F9)))))+(SUMIFS('Эффекты технологий'!$K$25:$K$240,'Эффекты технологий'!$C$25:$C$240,$A9,'Эффекты технологий'!$D$25:$D$240,"Прирост")-SUMIFS('Эффекты технологий'!$J$25:$J$240,'Эффекты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7.1</x:v>
      </x:c>
      <x:c r="J9" s="10" t="n">
        <x:f>SUMIFS('Эффекты технологий'!$K$25:$K$240,'Эффекты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2026'!B10+'Иран 2026'!D10+('Иран 2026'!C10+'Иран 2026'!F10+'Иран 2026'!G10)+(0.35*LN(1+0.6*('Ход 2026'!B16*(1+'Эффекты технологий'!J$12)))*POWER(MAX(0,1-'Иран 2026'!I10/10),0.7))))</x:f>
        <x:v>9.55</x:v>
      </x:c>
      <x:c r="C10" s="3" t="n">
        <x:f>MIN(1,(MIN(1,'Иран 2026'!C10+'Иран 2026'!F10+(0.08*LN(1+0.5*('Ход 2026'!C16*(1+'Эффекты технологий'!J$12)))*MAX(0,1-('Иран 2026'!C10+'Иран 2026'!F10)))))+(SUMIFS('Эффекты технологий'!$K$25:$K$240,'Эффекты технологий'!$C$25:$C$240,$A10,'Эффекты технологий'!$D$25:$D$240,"Прирост")-SUMIFS('Эффекты технологий'!$J$25:$J$240,'Эффекты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9.55</x:v>
      </x:c>
      <x:c r="J10" s="10" t="n">
        <x:f>SUMIFS('Эффекты технологий'!$K$25:$K$240,'Эффекты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2026'!B11+'Иран 2026'!D11+('Иран 2026'!C11+'Иран 2026'!F11+'Иран 2026'!G11)+(0.35*LN(1+0.6*('Ход 2026'!B17*(1+'Эффекты технологий'!J$12)))*POWER(MAX(0,1-'Иран 2026'!I11/10),0.7))))</x:f>
        <x:v>3.55</x:v>
      </x:c>
      <x:c r="C11" s="3" t="n">
        <x:f>MIN(1,(MIN(1,'Иран 2026'!C11+'Иран 2026'!F11+(0.08*LN(1+0.5*('Ход 2026'!C17*(1+'Эффекты технологий'!J$12)))*MAX(0,1-('Иран 2026'!C11+'Иран 2026'!F11)))))+(SUMIFS('Эффекты технологий'!$K$25:$K$240,'Эффекты технологий'!$C$25:$C$240,$A11,'Эффекты технологий'!$D$25:$D$240,"Прирост")-SUMIFS('Эффекты технологий'!$J$25:$J$240,'Эффекты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3.55</x:v>
      </x:c>
      <x:c r="J11" s="10" t="n">
        <x:f>SUMIFS('Эффекты технологий'!$K$25:$K$240,'Эффекты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2026'!L11+'Иран 2026'!N11+('Иран 2026'!M11+'Иран 2026'!P11+'Иран 2026'!Q11)))</x:f>
        <x:v>5.75</x:v>
      </x:c>
      <x:c r="M11" s="3" t="n">
        <x:f>MIN(1,(MIN(1,'Иран 2026'!M11+'Иран 2026'!P11+(0.1*LN(1+0.5*('Ход 2026'!H13*(1+'Эффекты технологий'!J$10)))*POWER(MAX(0,1-'Иран 2026'!S11/10),0.8))))+(SUMIFS('Эффекты технологий'!$K$25:$K$240,'Эффекты технологий'!$C$25:$C$240,$K11,'Эффекты технологий'!$D$25:$D$240,"Прирост")-SUMIFS('Эффекты технологий'!$J$25:$J$240,'Эффекты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5.75</x:v>
      </x:c>
      <x:c r="T11" s="10" t="n">
        <x:f>SUMIFS('Эффекты технологий'!$K$25:$K$240,'Эффекты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2026'!V11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2026'!B12+'Иран 2026'!D12+('Иран 2026'!C12+'Иран 2026'!F12+'Иран 2026'!G12)+(0.35*LN(1+0.6*('Ход 2026'!B18*(1+'Эффекты технологий'!J$12)))*POWER(MAX(0,1-'Иран 2026'!I12/10),0.7))))</x:f>
        <x:v>8.05</x:v>
      </x:c>
      <x:c r="C12" s="3" t="n">
        <x:f>MIN(1,(MIN(1,'Иран 2026'!C12+'Иран 2026'!F12+(0.08*LN(1+0.5*('Ход 2026'!C18*(1+'Эффекты технологий'!J$12)))*MAX(0,1-('Иран 2026'!C12+'Иран 2026'!F12)))))+(SUMIFS('Эффекты технологий'!$K$25:$K$240,'Эффекты технологий'!$C$25:$C$240,$A12,'Эффекты технологий'!$D$25:$D$240,"Прирост")-SUMIFS('Эффекты технологий'!$J$25:$J$240,'Эффекты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8.05</x:v>
      </x:c>
      <x:c r="J12" s="10" t="n">
        <x:f>SUMIFS('Эффекты технологий'!$K$25:$K$240,'Эффекты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2026'!L12+'Иран 2026'!N12+('Иран 2026'!M12+'Иран 2026'!P12+'Иран 2026'!Q12)))</x:f>
        <x:v>5.75</x:v>
      </x:c>
      <x:c r="M12" s="3" t="n">
        <x:f>MIN(1,(MIN(1,'Иран 2026'!M12+'Иран 2026'!P12+(0.1*LN(1+0.5*('Ход 2026'!H14*(1+'Эффекты технологий'!J$10)))*POWER(MAX(0,1-'Иран 2026'!S12/10),0.8))))+(SUMIFS('Эффекты технологий'!$K$25:$K$240,'Эффекты технологий'!$C$25:$C$240,$K12,'Эффекты технологий'!$D$25:$D$240,"Прирост")-SUMIFS('Эффекты технологий'!$J$25:$J$240,'Эффекты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5.75</x:v>
      </x:c>
      <x:c r="T12" s="10" t="n">
        <x:f>SUMIFS('Эффекты технологий'!$K$25:$K$240,'Эффекты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2026'!V12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2026'!B13+'Иран 2026'!D13+('Иран 2026'!C13+'Иран 2026'!F13+'Иран 2026'!G13)+(0.35*LN(1+0.6*('Ход 2026'!B19*(1+'Эффекты технологий'!J$12)))*POWER(MAX(0,1-'Иран 2026'!I13/10),0.7))))</x:f>
        <x:v>2.2</x:v>
      </x:c>
      <x:c r="C13" s="3" t="n">
        <x:f>MIN(1,(MIN(1,'Иран 2026'!C13+'Иран 2026'!F13+(0.08*LN(1+0.5*('Ход 2026'!C19*(1+'Эффекты технологий'!J$12)))*MAX(0,1-('Иран 2026'!C13+'Иран 2026'!F13)))))+(SUMIFS('Эффекты технологий'!$K$25:$K$240,'Эффекты технологий'!$C$25:$C$240,$A13,'Эффекты технологий'!$D$25:$D$240,"Прирост")-SUMIFS('Эффекты технологий'!$J$25:$J$240,'Эффекты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2.2</x:v>
      </x:c>
      <x:c r="J13" s="10" t="n">
        <x:f>SUMIFS('Эффекты технологий'!$K$25:$K$240,'Эффекты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2026'!L13+'Иран 2026'!N13+('Иран 2026'!M13+'Иран 2026'!P13+'Иран 2026'!Q13)))</x:f>
        <x:v>7.2</x:v>
      </x:c>
      <x:c r="M13" s="3" t="n">
        <x:f>MIN(1,(MIN(1,'Иран 2026'!M13+'Иран 2026'!P13+(0.1*LN(1+0.5*('Ход 2026'!H15*(1+'Эффекты технологий'!J$10)))*POWER(MAX(0,1-'Иран 2026'!S13/10),0.8))))+(SUMIFS('Эффекты технологий'!$K$25:$K$240,'Эффекты технологий'!$C$25:$C$240,$K13,'Эффекты технологий'!$D$25:$D$240,"Прирост")-SUMIFS('Эффекты технологий'!$J$25:$J$240,'Эффекты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7.2</x:v>
      </x:c>
      <x:c r="T13" s="10" t="n">
        <x:f>SUMIFS('Эффекты технологий'!$K$25:$K$240,'Эффекты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2026'!V13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2026'!B14+'Иран 2026'!D14+('Иран 2026'!C14+'Иран 2026'!F14+'Иран 2026'!G14)+(0.35*LN(1+0.6*('Ход 2026'!B20*(1+'Эффекты технологий'!J$12)))*POWER(MAX(0,1-'Иран 2026'!I14/10),0.7))))</x:f>
        <x:v>3.2</x:v>
      </x:c>
      <x:c r="C14" s="3" t="n">
        <x:f>MIN(1,(MIN(1,'Иран 2026'!C14+'Иран 2026'!F14+(0.08*LN(1+0.5*('Ход 2026'!C20*(1+'Эффекты технологий'!J$12)))*MAX(0,1-('Иран 2026'!C14+'Иран 2026'!F14)))))+(SUMIFS('Эффекты технологий'!$K$25:$K$240,'Эффекты технологий'!$C$25:$C$240,$A14,'Эффекты технологий'!$D$25:$D$240,"Прирост")-SUMIFS('Эффекты технологий'!$J$25:$J$240,'Эффекты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3.2</x:v>
      </x:c>
      <x:c r="J14" s="10" t="n">
        <x:f>SUMIFS('Эффекты технологий'!$K$25:$K$240,'Эффекты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2026'!L14+'Иран 2026'!N14+('Иран 2026'!M14+'Иран 2026'!P14+'Иран 2026'!Q14)))</x:f>
        <x:v>6.75</x:v>
      </x:c>
      <x:c r="M14" s="3" t="n">
        <x:f>MIN(1,(MIN(1,'Иран 2026'!M14+'Иран 2026'!P14+(0.1*LN(1+0.5*('Ход 2026'!H16*(1+'Эффекты технологий'!J$10)))*POWER(MAX(0,1-'Иран 2026'!S14/10),0.8))))+(SUMIFS('Эффекты технологий'!$K$25:$K$240,'Эффекты технологий'!$C$25:$C$240,$K14,'Эффекты технологий'!$D$25:$D$240,"Прирост")-SUMIFS('Эффекты технологий'!$J$25:$J$240,'Эффекты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6.75</x:v>
      </x:c>
      <x:c r="T14" s="10" t="n">
        <x:f>SUMIFS('Эффекты технологий'!$K$25:$K$240,'Эффекты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2026'!V14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2026'!B15+'Иран 2026'!D15+('Иран 2026'!C15+'Иран 2026'!F15+'Иран 2026'!G15)+(0.35*LN(1+0.6*('Ход 2026'!B21*(1+'Эффекты технологий'!J$12)))*POWER(MAX(0,1-'Иран 2026'!I15/10),0.7))))</x:f>
        <x:v>4.75</x:v>
      </x:c>
      <x:c r="C15" s="3" t="n">
        <x:f>MIN(1,(MIN(1,'Иран 2026'!C15+'Иран 2026'!F15+(0.08*LN(1+0.5*('Ход 2026'!C21*(1+'Эффекты технологий'!J$12)))*MAX(0,1-('Иран 2026'!C15+'Иран 2026'!F15)))))+(SUMIFS('Эффекты технологий'!$K$25:$K$240,'Эффекты технологий'!$C$25:$C$240,$A15,'Эффекты технологий'!$D$25:$D$240,"Прирост")-SUMIFS('Эффекты технологий'!$J$25:$J$240,'Эффекты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4.75</x:v>
      </x:c>
      <x:c r="J15" s="10" t="n">
        <x:f>SUMIFS('Эффекты технологий'!$K$25:$K$240,'Эффекты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2026'!L15+'Иран 2026'!N15+('Иран 2026'!M15+'Иран 2026'!P15+'Иран 2026'!Q15)))</x:f>
        <x:v>7.2</x:v>
      </x:c>
      <x:c r="M15" s="3" t="n">
        <x:f>MIN(1,(MIN(1,'Иран 2026'!M15+'Иран 2026'!P15+(0.1*LN(1+0.5*('Ход 2026'!H17*(1+'Эффекты технологий'!J$10)))*POWER(MAX(0,1-'Иран 2026'!S15/10),0.8))))+(SUMIFS('Эффекты технологий'!$K$25:$K$240,'Эффекты технологий'!$C$25:$C$240,$K15,'Эффекты технологий'!$D$25:$D$240,"Прирост")-SUMIFS('Эффекты технологий'!$J$25:$J$240,'Эффекты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7.2</x:v>
      </x:c>
      <x:c r="T15" s="10" t="n">
        <x:f>SUMIFS('Эффекты технологий'!$K$25:$K$240,'Эффекты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2026'!V15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2026'!B16+'Иран 2026'!D16+('Иран 2026'!C16+'Иран 2026'!F16+'Иран 2026'!G16)+(0.35*LN(1+0.6*('Ход 2026'!B22*(1+'Эффекты технологий'!J$12)))*POWER(MAX(0,1-'Иран 2026'!I16/10),0.7))))</x:f>
        <x:v>5.7</x:v>
      </x:c>
      <x:c r="C16" s="3" t="n">
        <x:f>MIN(1,(MIN(1,'Иран 2026'!C16+'Иран 2026'!F16+(0.08*LN(1+0.5*('Ход 2026'!C22*(1+'Эффекты технологий'!J$12)))*MAX(0,1-('Иран 2026'!C16+'Иран 2026'!F16)))))+(SUMIFS('Эффекты технологий'!$K$25:$K$240,'Эффекты технологий'!$C$25:$C$240,$A16,'Эффекты технологий'!$D$25:$D$240,"Прирост")-SUMIFS('Эффекты технологий'!$J$25:$J$240,'Эффекты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5.7</x:v>
      </x:c>
      <x:c r="J16" s="10" t="n">
        <x:f>SUMIFS('Эффекты технологий'!$K$25:$K$240,'Эффекты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2026'!L16+'Иран 2026'!N16+('Иран 2026'!M16+'Иран 2026'!P16+'Иран 2026'!Q16)))</x:f>
        <x:v>5.75</x:v>
      </x:c>
      <x:c r="M16" s="3" t="n">
        <x:f>MIN(1,(MIN(1,'Иран 2026'!M16+'Иран 2026'!P16+(0.1*LN(1+0.5*('Ход 2026'!H18*(1+'Эффекты технологий'!J$10)))*POWER(MAX(0,1-'Иран 2026'!S16/10),0.8))))+(SUMIFS('Эффекты технологий'!$K$25:$K$240,'Эффекты технологий'!$C$25:$C$240,$K16,'Эффекты технологий'!$D$25:$D$240,"Прирост")-SUMIFS('Эффекты технологий'!$J$25:$J$240,'Эффекты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5.75</x:v>
      </x:c>
      <x:c r="T16" s="10" t="n">
        <x:f>SUMIFS('Эффекты технологий'!$K$25:$K$240,'Эффекты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2026'!V16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2026'!B17+'Иран 2026'!D17+('Иран 2026'!C17+'Иран 2026'!F17+'Иран 2026'!G17)+(0.35*LN(1+0.6*('Ход 2026'!B23*(1+'Эффекты технологий'!J$12)))*POWER(MAX(0,1-'Иран 2026'!I17/10),0.7))))</x:f>
        <x:v>5.15</x:v>
      </x:c>
      <x:c r="C17" s="3" t="n">
        <x:f>MIN(1,(MIN(1,'Иран 2026'!C17+'Иран 2026'!F17+(0.08*LN(1+0.5*('Ход 2026'!C23*(1+'Эффекты технологий'!J$12)))*MAX(0,1-('Иран 2026'!C17+'Иран 2026'!F17)))))+(SUMIFS('Эффекты технологий'!$K$25:$K$240,'Эффекты технологий'!$C$25:$C$240,$A17,'Эффекты технологий'!$D$25:$D$240,"Прирост")-SUMIFS('Эффекты технологий'!$J$25:$J$240,'Эффекты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5.15</x:v>
      </x:c>
      <x:c r="J17" s="10" t="n">
        <x:f>SUMIFS('Эффекты технологий'!$K$25:$K$240,'Эффекты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2026'!L17+'Иран 2026'!N17+('Иран 2026'!M17+'Иран 2026'!P17+'Иран 2026'!Q17)))</x:f>
        <x:v>6.75</x:v>
      </x:c>
      <x:c r="M17" s="3" t="n">
        <x:f>MIN(1,(MIN(1,'Иран 2026'!M17+'Иран 2026'!P17+(0.1*LN(1+0.5*('Ход 2026'!H19*(1+'Эффекты технологий'!J$10)))*POWER(MAX(0,1-'Иран 2026'!S17/10),0.8))))+(SUMIFS('Эффекты технологий'!$K$25:$K$240,'Эффекты технологий'!$C$25:$C$240,$K17,'Эффекты технологий'!$D$25:$D$240,"Прирост")-SUMIFS('Эффекты технологий'!$J$25:$J$240,'Эффекты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6.75</x:v>
      </x:c>
      <x:c r="T17" s="10" t="n">
        <x:f>SUMIFS('Эффекты технологий'!$K$25:$K$240,'Эффекты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2026'!V17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2026'!L18+'Иран 2026'!N18+('Иран 2026'!M18+'Иран 2026'!P18+'Иран 2026'!Q18)))</x:f>
        <x:v>6.75</x:v>
      </x:c>
      <x:c r="M18" s="3" t="n">
        <x:f>MIN(1,(MIN(1,'Иран 2026'!M18+'Иран 2026'!P18+(0.1*LN(1+0.5*('Ход 2026'!H20*(1+'Эффекты технологий'!J$10)))*POWER(MAX(0,1-'Иран 2026'!S18/10),0.8))))+(SUMIFS('Эффекты технологий'!$K$25:$K$240,'Эффекты технологий'!$C$25:$C$240,$K18,'Эффекты технологий'!$D$25:$D$240,"Прирост")-SUMIFS('Эффекты технологий'!$J$25:$J$240,'Эффекты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6.75</x:v>
      </x:c>
      <x:c r="T18" s="10" t="n">
        <x:f>SUMIFS('Эффекты технологий'!$K$25:$K$240,'Эффекты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2026'!V18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2026'!B19+'Иран 2026'!D19+('Иран 2026'!C19+'Иран 2026'!F19+'Иран 2026'!G19)+(0.35*LN(1+0.6*'Ход 2026'!B25)*POWER(MAX(0,1-'Иран 2026'!I19/10),0.7))))</x:f>
        <x:v>5.7</x:v>
      </x:c>
      <x:c r="C19" s="3" t="n">
        <x:f>MIN(1,(MIN(1,'Иран 2026'!C19+'Иран 2026'!F19+(0.08*LN(1+0.5*'Ход 2026'!C25)*MAX(0,1-('Иран 2026'!C19+'Иран 2026'!F19)))))+(SUMIFS('Эффекты технологий'!$K$25:$K$240,'Эффекты технологий'!$C$25:$C$240,$A19,'Эффекты технологий'!$D$25:$D$240,"Прирост")-SUMIFS('Эффекты технологий'!$J$25:$J$240,'Эффекты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5.7</x:v>
      </x:c>
      <x:c r="J19" s="10" t="n">
        <x:f>SUMIFS('Эффекты технологий'!$K$25:$K$240,'Эффекты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2026'!V19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2026'!B20+'Иран 2026'!D20+('Иран 2026'!C20+'Иран 2026'!F20+'Иран 2026'!G20)+(0.35*LN(1+0.6*'Ход 2026'!B26)*POWER(MAX(0,1-'Иран 2026'!I20/10),0.7))))</x:f>
        <x:v>5.75</x:v>
      </x:c>
      <x:c r="C20" s="3" t="n">
        <x:f>MIN(1,(MIN(1,'Иран 2026'!C20+'Иран 2026'!F20+(0.08*LN(1+0.5*'Ход 2026'!C26)*MAX(0,1-('Иран 2026'!C20+'Иран 2026'!F20)))))+(SUMIFS('Эффекты технологий'!$K$25:$K$240,'Эффекты технологий'!$C$25:$C$240,$A20,'Эффекты технологий'!$D$25:$D$240,"Прирост")-SUMIFS('Эффекты технологий'!$J$25:$J$240,'Эффекты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5.75</x:v>
      </x:c>
      <x:c r="J20" s="10" t="n">
        <x:f>SUMIFS('Эффекты технологий'!$K$25:$K$240,'Эффекты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2026'!V20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2026'!B21+'Иран 2026'!D21+('Иран 2026'!C21+'Иран 2026'!F21+'Иран 2026'!G21)+(0.35*LN(1+0.6*'Ход 2026'!B27)*POWER(MAX(0,1-'Иран 2026'!I21/10),0.7))))</x:f>
        <x:v>5.2</x:v>
      </x:c>
      <x:c r="C21" s="3" t="n">
        <x:f>MIN(1,(MIN(1,'Иран 2026'!C21+'Иран 2026'!F21+(0.08*LN(1+0.5*'Ход 2026'!C27)*MAX(0,1-('Иран 2026'!C21+'Иран 2026'!F21)))))+(SUMIFS('Эффекты технологий'!$K$25:$K$240,'Эффекты технологий'!$C$25:$C$240,$A21,'Эффекты технологий'!$D$25:$D$240,"Прирост")-SUMIFS('Эффекты технологий'!$J$25:$J$240,'Эффекты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5.2</x:v>
      </x:c>
      <x:c r="J21" s="10" t="n">
        <x:f>SUMIFS('Эффекты технологий'!$K$25:$K$240,'Эффекты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2026'!V21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2026'!B22+'Иран 2026'!D22+('Иран 2026'!C22+'Иран 2026'!F22+'Иран 2026'!G22)+(0.35*LN(1+0.6*'Ход 2026'!B28)*POWER(MAX(0,1-'Иран 2026'!I22/10),0.7))))</x:f>
        <x:v>8.1</x:v>
      </x:c>
      <x:c r="C22" s="3" t="n">
        <x:f>MIN(1,(MIN(1,'Иран 2026'!C22+'Иран 2026'!F22+(0.08*LN(1+0.5*'Ход 2026'!C28)*MAX(0,1-('Иран 2026'!C22+'Иран 2026'!F22)))))+(SUMIFS('Эффекты технологий'!$K$25:$K$240,'Эффекты технологий'!$C$25:$C$240,$A22,'Эффекты технологий'!$D$25:$D$240,"Прирост")-SUMIFS('Эффекты технологий'!$J$25:$J$240,'Эффекты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8.1</x:v>
      </x:c>
      <x:c r="J22" s="10" t="n">
        <x:f>SUMIFS('Эффекты технологий'!$K$25:$K$240,'Эффекты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2026'!V22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2026'!B23+'Иран 2026'!D23+('Иран 2026'!C23+'Иран 2026'!F23+'Иран 2026'!G23)+(0.35*LN(1+0.6*'Ход 2026'!B29)*POWER(MAX(0,1-'Иран 2026'!I23/10),0.7))))</x:f>
        <x:v>6.7</x:v>
      </x:c>
      <x:c r="C23" s="3" t="n">
        <x:f>MIN(1,(MIN(1,'Иран 2026'!C23+'Иран 2026'!F23+(0.08*LN(1+0.5*'Ход 2026'!C29)*MAX(0,1-('Иран 2026'!C23+'Иран 2026'!F23)))))+(SUMIFS('Эффекты технологий'!$K$25:$K$240,'Эффекты технологий'!$C$25:$C$240,$A23,'Эффекты технологий'!$D$25:$D$240,"Прирост")-SUMIFS('Эффекты технологий'!$J$25:$J$240,'Эффекты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6.7</x:v>
      </x:c>
      <x:c r="J23" s="10" t="n">
        <x:f>SUMIFS('Эффекты технологий'!$K$25:$K$240,'Эффекты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2026'!V23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2026'!V24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2026'!B25+'Иран 2026'!D25+('Иран 2026'!C25+'Иран 2026'!F25+'Иран 2026'!G25)+(0.35*LN(1+0.6*'Ход 2026'!B31)*POWER(MAX(0,1-'Иран 2026'!I25/10),0.7))))</x:f>
        <x:v>7.1</x:v>
      </x:c>
      <x:c r="C25" s="3" t="n">
        <x:f>MIN(1,(MIN(1,'Иран 2026'!C25+'Иран 2026'!F25+(0.08*LN(1+0.5*'Ход 2026'!C31)*MAX(0,1-('Иран 2026'!C25+'Иран 2026'!F25)))))+(SUMIFS('Эффекты технологий'!$K$25:$K$240,'Эффекты технологий'!$C$25:$C$240,$A25,'Эффекты технологий'!$D$25:$D$240,"Прирост")-SUMIFS('Эффекты технологий'!$J$25:$J$240,'Эффекты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7.1</x:v>
      </x:c>
      <x:c r="J25" s="10" t="n">
        <x:f>SUMIFS('Эффекты технологий'!$K$25:$K$240,'Эффекты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2026'!V25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2026'!B26+'Иран 2026'!D26+('Иран 2026'!C26+'Иран 2026'!F26+'Иран 2026'!G26)+(0.35*LN(1+0.6*'Ход 2026'!B32)*POWER(MAX(0,1-'Иран 2026'!I26/10),0.7))))</x:f>
        <x:v>5.7</x:v>
      </x:c>
      <x:c r="C26" s="3" t="n">
        <x:f>MIN(1,(MIN(1,'Иран 2026'!C26+'Иран 2026'!F26+(0.08*LN(1+0.5*'Ход 2026'!C32)*MAX(0,1-('Иран 2026'!C26+'Иран 2026'!F26)))))+(SUMIFS('Эффекты технологий'!$K$25:$K$240,'Эффекты технологий'!$C$25:$C$240,$A26,'Эффекты технологий'!$D$25:$D$240,"Прирост")-SUMIFS('Эффекты технологий'!$J$25:$J$240,'Эффекты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5.7</x:v>
      </x:c>
      <x:c r="J26" s="10" t="n">
        <x:f>SUMIFS('Эффекты технологий'!$K$25:$K$240,'Эффекты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2026'!V26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2026'!B27+'Иран 2026'!D27+('Иран 2026'!C27+'Иран 2026'!F27+'Иран 2026'!G27)+(0.35*LN(1+0.6*'Ход 2026'!B33)*POWER(MAX(0,1-'Иран 2026'!I27/10),0.7))))</x:f>
        <x:v>6.15</x:v>
      </x:c>
      <x:c r="C27" s="3" t="n">
        <x:f>MIN(1,(MIN(1,'Иран 2026'!C27+'Иран 2026'!F27+(0.08*LN(1+0.5*'Ход 2026'!C33)*MAX(0,1-('Иран 2026'!C27+'Иран 2026'!F27)))))+(SUMIFS('Эффекты технологий'!$K$25:$K$240,'Эффекты технологий'!$C$25:$C$240,$A27,'Эффекты технологий'!$D$25:$D$240,"Прирост")-SUMIFS('Эффекты технологий'!$J$25:$J$240,'Эффекты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6.15</x:v>
      </x:c>
      <x:c r="J27" s="10" t="n">
        <x:f>SUMIFS('Эффекты технологий'!$K$25:$K$240,'Эффекты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2026'!B28+'Иран 2026'!D28+('Иран 2026'!C28+'Иран 2026'!F28+'Иран 2026'!G28)+(0.35*LN(1+0.6*'Ход 2026'!B34)*POWER(MAX(0,1-'Иран 2026'!I28/10),0.7))))</x:f>
        <x:v>5.7</x:v>
      </x:c>
      <x:c r="C28" s="3" t="n">
        <x:f>MIN(1,(MIN(1,'Иран 2026'!C28+'Иран 2026'!F28+(0.08*LN(1+0.5*'Ход 2026'!C34)*MAX(0,1-('Иран 2026'!C28+'Иран 2026'!F28)))))+(SUMIFS('Эффекты технологий'!$K$25:$K$240,'Эффекты технологий'!$C$25:$C$240,$A28,'Эффекты технологий'!$D$25:$D$240,"Прирост")-SUMIFS('Эффекты технологий'!$J$25:$J$240,'Эффекты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5.7</x:v>
      </x:c>
      <x:c r="J28" s="10" t="n">
        <x:f>SUMIFS('Эффекты технологий'!$K$25:$K$240,'Эффекты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2026'!B29+'Иран 2026'!D29+('Иран 2026'!C29+'Иран 2026'!F29+'Иран 2026'!G29)+(0.35*LN(1+0.6*'Ход 2026'!B35)*POWER(MAX(0,1-'Иран 2026'!I29/10),0.7))))</x:f>
        <x:v>5.7</x:v>
      </x:c>
      <x:c r="C29" s="3" t="n">
        <x:f>MIN(1,(MIN(1,'Иран 2026'!C29+'Иран 2026'!F29+(0.08*LN(1+0.5*'Ход 2026'!C35)*MAX(0,1-('Иран 2026'!C29+'Иран 2026'!F29)))))+(SUMIFS('Эффекты технологий'!$K$25:$K$240,'Эффекты технологий'!$C$25:$C$240,$A29,'Эффекты технологий'!$D$25:$D$240,"Прирост")-SUMIFS('Эффекты технологий'!$J$25:$J$240,'Эффекты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5.7</x:v>
      </x:c>
      <x:c r="J29" s="10" t="n">
        <x:f>SUMIFS('Эффекты технологий'!$K$25:$K$240,'Эффекты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2026'!B30+'Иран 2026'!D30+('Иран 2026'!C30+'Иран 2026'!F30+'Иран 2026'!G30)+(0.35*LN(1+0.6*'Ход 2026'!B36)*POWER(MAX(0,1-'Иран 2026'!I30/10),0.7))))</x:f>
        <x:v>5.65</x:v>
      </x:c>
      <x:c r="C30" s="3" t="n">
        <x:f>MIN(1,(MIN(1,'Иран 2026'!C30+'Иран 2026'!F30+(0.08*LN(1+0.5*'Ход 2026'!C36)*MAX(0,1-('Иран 2026'!C30+'Иран 2026'!F30)))))+(SUMIFS('Эффекты технологий'!$K$25:$K$240,'Эффекты технологий'!$C$25:$C$240,$A30,'Эффекты технологий'!$D$25:$D$240,"Прирост")-SUMIFS('Эффекты технологий'!$J$25:$J$240,'Эффекты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5.65</x:v>
      </x:c>
      <x:c r="J30" s="10" t="n">
        <x:f>SUMIFS('Эффекты технологий'!$K$25:$K$240,'Эффекты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2026'!B31+'Иран 2026'!D31+('Иран 2026'!C31+'Иран 2026'!F31+'Иран 2026'!G31)+(0.35*LN(1+0.6*'Ход 2026'!B37)*POWER(MAX(0,1-'Иран 2026'!I31/10),0.7))))</x:f>
        <x:v>5.65</x:v>
      </x:c>
      <x:c r="C31" s="3" t="n">
        <x:f>MIN(1,(MIN(1,'Иран 2026'!C31+'Иран 2026'!F31+(0.08*LN(1+0.5*'Ход 2026'!C37)*MAX(0,1-('Иран 2026'!C31+'Иран 2026'!F31)))))+(SUMIFS('Эффекты технологий'!$K$25:$K$240,'Эффекты технологий'!$C$25:$C$240,$A31,'Эффекты технологий'!$D$25:$D$240,"Прирост")-SUMIFS('Эффекты технологий'!$J$25:$J$240,'Эффекты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5.65</x:v>
      </x:c>
      <x:c r="J31" s="10" t="n">
        <x:f>SUMIFS('Эффекты технологий'!$K$25:$K$240,'Эффекты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2026'!B32+'Иран 2026'!D32+('Иран 2026'!C32+'Иран 2026'!F32+'Иран 2026'!G32)+(0.35*LN(1+0.6*'Ход 2026'!B38)*POWER(MAX(0,1-'Иран 2026'!I32/10),0.7))))</x:f>
        <x:v>7.7</x:v>
      </x:c>
      <x:c r="C32" s="3" t="n">
        <x:f>MIN(1,(MIN(1,'Иран 2026'!C32+'Иран 2026'!F32+(0.08*LN(1+0.5*'Ход 2026'!C38)*MAX(0,1-('Иран 2026'!C32+'Иран 2026'!F32)))))+(SUMIFS('Эффекты технологий'!$K$25:$K$240,'Эффекты технологий'!$C$25:$C$240,$A32,'Эффекты технологий'!$D$25:$D$240,"Прирост")-SUMIFS('Эффекты технологий'!$J$25:$J$240,'Эффекты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7.7</x:v>
      </x:c>
      <x:c r="J32" s="10" t="n">
        <x:f>SUMIFS('Эффекты технологий'!$K$25:$K$240,'Эффекты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2026'!B34+'Иран 2026'!D34+('Иран 2026'!C34+'Иран 2026'!F34+'Иран 2026'!G34)+(0.35*LN(1+0.6*'Ход 2026'!B40)*POWER(MAX(0,1-'Иран 2026'!I34/10),0.7))))</x:f>
        <x:v>7.7</x:v>
      </x:c>
      <x:c r="C34" s="3" t="n">
        <x:f>MIN(1,(MIN(1,'Иран 2026'!C34+'Иран 2026'!F34+(0.08*LN(1+0.5*'Ход 2026'!C40)*MAX(0,1-('Иран 2026'!C34+'Иран 2026'!F34)))))+(SUMIFS('Эффекты технологий'!$K$25:$K$240,'Эффекты технологий'!$C$25:$C$240,$A34,'Эффекты технологий'!$D$25:$D$240,"Прирост")-SUMIFS('Эффекты технологий'!$J$25:$J$240,'Эффекты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7.7</x:v>
      </x:c>
      <x:c r="J34" s="10" t="n">
        <x:f>SUMIFS('Эффекты технологий'!$K$25:$K$240,'Эффекты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2026'!B35+'Иран 2026'!D35+('Иран 2026'!C35+'Иран 2026'!F35+'Иран 2026'!G35)+(0.35*LN(1+0.6*'Ход 2026'!B41)*POWER(MAX(0,1-'Иран 2026'!I35/10),0.7))))</x:f>
        <x:v>8.1</x:v>
      </x:c>
      <x:c r="C35" s="3" t="n">
        <x:f>MIN(1,(MIN(1,'Иран 2026'!C35+'Иран 2026'!F35+(0.08*LN(1+0.5*'Ход 2026'!C41)*MAX(0,1-('Иран 2026'!C35+'Иран 2026'!F35)))))+(SUMIFS('Эффекты технологий'!$K$25:$K$240,'Эффекты технологий'!$C$25:$C$240,$A35,'Эффекты технологий'!$D$25:$D$240,"Прирост")-SUMIFS('Эффекты технологий'!$J$25:$J$240,'Эффекты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8.1</x:v>
      </x:c>
      <x:c r="J35" s="10" t="n">
        <x:f>SUMIFS('Эффекты технологий'!$K$25:$K$240,'Эффекты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2026'!B36+'Иран 2026'!D36+('Иран 2026'!C36+'Иран 2026'!F36+'Иран 2026'!G36)+(0.35*LN(1+0.6*'Ход 2026'!B42)*POWER(MAX(0,1-'Иран 2026'!I36/10),0.7))))</x:f>
        <x:v>6.7</x:v>
      </x:c>
      <x:c r="C36" s="3" t="n">
        <x:f>MIN(1,(MIN(1,'Иран 2026'!C36+'Иран 2026'!F36+(0.08*LN(1+0.5*'Ход 2026'!C42)*MAX(0,1-('Иран 2026'!C36+'Иран 2026'!F36)))))+(SUMIFS('Эффекты технологий'!$K$25:$K$240,'Эффекты технологий'!$C$25:$C$240,$A36,'Эффекты технологий'!$D$25:$D$240,"Прирост")-SUMIFS('Эффекты технологий'!$J$25:$J$240,'Эффекты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6.7</x:v>
      </x:c>
      <x:c r="J36" s="10" t="n">
        <x:f>SUMIFS('Эффекты технологий'!$K$25:$K$240,'Эффекты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2026'!B37+'Иран 2026'!D37+('Иран 2026'!C37+'Иран 2026'!F37+'Иран 2026'!G37)+(0.35*LN(1+0.6*'Ход 2026'!B43)*POWER(MAX(0,1-'Иран 2026'!I37/10),0.7))))</x:f>
        <x:v>5.2</x:v>
      </x:c>
      <x:c r="C37" s="3" t="n">
        <x:f>MIN(1,(MIN(1,'Иран 2026'!C37+'Иран 2026'!F37+(0.08*LN(1+0.5*'Ход 2026'!C43)*MAX(0,1-('Иран 2026'!C37+'Иран 2026'!F37)))))+(SUMIFS('Эффекты технологий'!$K$25:$K$240,'Эффекты технологий'!$C$25:$C$240,$A37,'Эффекты технологий'!$D$25:$D$240,"Прирост")-SUMIFS('Эффекты технологий'!$J$25:$J$240,'Эффекты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5.2</x:v>
      </x:c>
      <x:c r="J37" s="10" t="n">
        <x:f>SUMIFS('Эффекты технологий'!$K$25:$K$240,'Эффекты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2026'!B38+'Иран 2026'!D38+('Иран 2026'!C38+'Иран 2026'!F38+'Иран 2026'!G38)+(0.35*LN(1+0.6*'Ход 2026'!B44)*POWER(MAX(0,1-'Иран 2026'!I38/10),0.7))))</x:f>
        <x:v>5.7</x:v>
      </x:c>
      <x:c r="C38" s="3" t="n">
        <x:f>MIN(1,(MIN(1,'Иран 2026'!C38+'Иран 2026'!F38+(0.08*LN(1+0.5*'Ход 2026'!C44)*MAX(0,1-('Иран 2026'!C38+'Иран 2026'!F38)))))+(SUMIFS('Эффекты технологий'!$K$25:$K$240,'Эффекты технологий'!$C$25:$C$240,$A38,'Эффекты технологий'!$D$25:$D$240,"Прирост")-SUMIFS('Эффекты технологий'!$J$25:$J$240,'Эффекты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5.7</x:v>
      </x:c>
      <x:c r="J38" s="10" t="n">
        <x:f>SUMIFS('Эффекты технологий'!$K$25:$K$240,'Эффекты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2026'!B39+'Иран 2026'!D39+('Иран 2026'!C39+'Иран 2026'!F39+'Иран 2026'!G39)+(0.35*LN(1+0.6*'Ход 2026'!B45)*POWER(MAX(0,1-'Иран 2026'!I39/10),0.7))))</x:f>
        <x:v>6.2</x:v>
      </x:c>
      <x:c r="C39" s="3" t="n">
        <x:f>MIN(1,(MIN(1,'Иран 2026'!C39+'Иран 2026'!F39+(0.08*LN(1+0.5*'Ход 2026'!C45)*MAX(0,1-('Иран 2026'!C39+'Иран 2026'!F39)))))+(SUMIFS('Эффекты технологий'!$K$25:$K$240,'Эффекты технологий'!$C$25:$C$240,$A39,'Эффекты технологий'!$D$25:$D$240,"Прирост")-SUMIFS('Эффекты технологий'!$J$25:$J$240,'Эффекты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6.2</x:v>
      </x:c>
      <x:c r="J39" s="10" t="n">
        <x:f>SUMIFS('Эффекты технологий'!$K$25:$K$240,'Эффекты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2026'!B40+'Иран 2026'!D40+('Иран 2026'!C40+'Иран 2026'!F40+'Иран 2026'!G40)+(0.35*LN(1+0.6*'Ход 2026'!B46)*POWER(MAX(0,1-'Иран 2026'!I40/10),0.7))))</x:f>
        <x:v>4.65</x:v>
      </x:c>
      <x:c r="C40" s="3" t="n">
        <x:f>MIN(1,(MIN(1,'Иран 2026'!C40+'Иран 2026'!F40+(0.08*LN(1+0.5*'Ход 2026'!C46)*MAX(0,1-('Иран 2026'!C40+'Иран 2026'!F40)))))+(SUMIFS('Эффекты технологий'!$K$25:$K$240,'Эффекты технологий'!$C$25:$C$240,$A40,'Эффекты технологий'!$D$25:$D$240,"Прирост")-SUMIFS('Эффекты технологий'!$J$25:$J$240,'Эффекты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4.65</x:v>
      </x:c>
      <x:c r="J40" s="10" t="n">
        <x:f>SUMIFS('Эффекты технологий'!$K$25:$K$240,'Эффекты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2026'!B41+'Иран 2026'!D41+('Иран 2026'!C41+'Иран 2026'!F41+'Иран 2026'!G41)+(0.35*LN(1+0.6*'Ход 2026'!B47)*POWER(MAX(0,1-'Иран 2026'!I41/10),0.7))))</x:f>
        <x:v>5.2</x:v>
      </x:c>
      <x:c r="C41" s="3" t="n">
        <x:f>MIN(1,(MIN(1,'Иран 2026'!C41+'Иран 2026'!F41+(0.08*LN(1+0.5*'Ход 2026'!C47)*MAX(0,1-('Иран 2026'!C41+'Иран 2026'!F41)))))+(SUMIFS('Эффекты технологий'!$K$25:$K$240,'Эффекты технологий'!$C$25:$C$240,$A41,'Эффекты технологий'!$D$25:$D$240,"Прирост")-SUMIFS('Эффекты технологий'!$J$25:$J$240,'Эффекты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5.2</x:v>
      </x:c>
      <x:c r="J41" s="10" t="n">
        <x:f>SUMIFS('Эффекты технологий'!$K$25:$K$240,'Эффекты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2026'!B42+'Иран 2026'!D42+('Иран 2026'!C42+'Иран 2026'!F42+'Иран 2026'!G42)+(0.35*LN(1+0.6*'Ход 2026'!B48)*POWER(MAX(0,1-'Иран 2026'!I42/10),0.7))))</x:f>
        <x:v>7.1</x:v>
      </x:c>
      <x:c r="C42" s="3" t="n">
        <x:f>MIN(1,(MIN(1,'Иран 2026'!C42+'Иран 2026'!F42+(0.08*LN(1+0.5*'Ход 2026'!C48)*MAX(0,1-('Иран 2026'!C42+'Иран 2026'!F42)))))+(SUMIFS('Эффекты технологий'!$K$25:$K$240,'Эффекты технологий'!$C$25:$C$240,$A42,'Эффекты технологий'!$D$25:$D$240,"Прирост")-SUMIFS('Эффекты технологий'!$J$25:$J$240,'Эффекты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7.1</x:v>
      </x:c>
      <x:c r="J42" s="10" t="n">
        <x:f>SUMIFS('Эффекты технологий'!$K$25:$K$240,'Эффекты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2026'!B44+'Иран 2026'!D44+('Иран 2026'!C44+'Иран 2026'!F44+'Иран 2026'!G44)+(0.35*LN(1+0.6*'Ход 2026'!B50)*POWER(MAX(0,1-'Иран 2026'!I44/10),0.7))))</x:f>
        <x:v>4.1</x:v>
      </x:c>
      <x:c r="C44" s="3" t="n">
        <x:f>MIN(1,(MIN(1,'Иран 2026'!C44+'Иран 2026'!F44+(0.08*LN(1+0.5*'Ход 2026'!C50)*MAX(0,1-('Иран 2026'!C44+'Иран 2026'!F44)))))+(SUMIFS('Эффекты технологий'!$K$25:$K$240,'Эффекты технологий'!$C$25:$C$240,$A44,'Эффекты технологий'!$D$25:$D$240,"Прирост")-SUMIFS('Эффекты технологий'!$J$25:$J$240,'Эффекты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4.1</x:v>
      </x:c>
      <x:c r="J44" s="10" t="n">
        <x:f>SUMIFS('Эффекты технологий'!$K$25:$K$240,'Эффекты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2026'!B45+'Иран 2026'!D45+('Иран 2026'!C45+'Иран 2026'!F45+'Иран 2026'!G45)+(0.35*LN(1+0.6*'Ход 2026'!B51)*POWER(MAX(0,1-'Иран 2026'!I45/10),0.7))))</x:f>
        <x:v>5.15</x:v>
      </x:c>
      <x:c r="C45" s="3" t="n">
        <x:f>MIN(1,(MIN(1,'Иран 2026'!C45+'Иран 2026'!F45+(0.08*LN(1+0.5*'Ход 2026'!C51)*MAX(0,1-('Иран 2026'!C45+'Иран 2026'!F45)))))+(SUMIFS('Эффекты технологий'!$K$25:$K$240,'Эффекты технологий'!$C$25:$C$240,$A45,'Эффекты технологий'!$D$25:$D$240,"Прирост")-SUMIFS('Эффекты технологий'!$J$25:$J$240,'Эффекты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5.15</x:v>
      </x:c>
      <x:c r="J45" s="10" t="n">
        <x:f>SUMIFS('Эффекты технологий'!$K$25:$K$240,'Эффекты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2026'!B46+'Иран 2026'!D46+('Иран 2026'!C46+'Иран 2026'!F46+'Иран 2026'!G46)+(0.35*LN(1+0.6*'Ход 2026'!B52)*POWER(MAX(0,1-'Иран 2026'!I46/10),0.7))))</x:f>
        <x:v>5.15</x:v>
      </x:c>
      <x:c r="C46" s="3" t="n">
        <x:f>MIN(1,(MIN(1,'Иран 2026'!C46+'Иран 2026'!F46+(0.08*LN(1+0.5*'Ход 2026'!C52)*MAX(0,1-('Иран 2026'!C46+'Иран 2026'!F46)))))+(SUMIFS('Эффекты технологий'!$K$25:$K$240,'Эффекты технологий'!$C$25:$C$240,$A46,'Эффекты технологий'!$D$25:$D$240,"Прирост")-SUMIFS('Эффекты технологий'!$J$25:$J$240,'Эффекты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5.15</x:v>
      </x:c>
      <x:c r="J46" s="10" t="n">
        <x:f>SUMIFS('Эффекты технологий'!$K$25:$K$240,'Эффекты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2026'!B47+'Иран 2026'!D47+('Иран 2026'!C47+'Иран 2026'!F47+'Иран 2026'!G47)+(0.35*LN(1+0.6*'Ход 2026'!B53)*POWER(MAX(0,1-'Иран 2026'!I47/10),0.7))))</x:f>
        <x:v>2.45</x:v>
      </x:c>
      <x:c r="C47" s="3" t="n">
        <x:f>MIN(1,(MIN(1,'Иран 2026'!C47+'Иран 2026'!F47+(0.08*LN(1+0.5*'Ход 2026'!C53)*MAX(0,1-('Иран 2026'!C47+'Иран 2026'!F47)))))+(SUMIFS('Эффекты технологий'!$K$25:$K$240,'Эффекты технологий'!$C$25:$C$240,$A47,'Эффекты технологий'!$D$25:$D$240,"Прирост")-SUMIFS('Эффекты технологий'!$J$25:$J$240,'Эффекты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2.45</x:v>
      </x:c>
      <x:c r="J47" s="10" t="n">
        <x:f>SUMIFS('Эффекты технологий'!$K$25:$K$240,'Эффекты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2026'!B48+'Иран 2026'!D48+('Иран 2026'!C48+'Иран 2026'!F48+'Иран 2026'!G48)+(0.35*LN(1+0.6*'Ход 2026'!B54)*POWER(MAX(0,1-'Иран 2026'!I48/10),0.7))))</x:f>
        <x:v>5.6</x:v>
      </x:c>
      <x:c r="C48" s="3" t="n">
        <x:f>MIN(1,(MIN(1,'Иран 2026'!C48+'Иран 2026'!F48+(0.08*LN(1+0.5*'Ход 2026'!C54)*MAX(0,1-('Иран 2026'!C48+'Иран 2026'!F48)))))+(SUMIFS('Эффекты технологий'!$K$25:$K$240,'Эффекты технологий'!$C$25:$C$240,$A48,'Эффекты технологий'!$D$25:$D$240,"Прирост")-SUMIFS('Эффекты технологий'!$J$25:$J$240,'Эффекты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5.6</x:v>
      </x:c>
      <x:c r="J48" s="10" t="n">
        <x:f>SUMIFS('Эффекты технологий'!$K$25:$K$240,'Эффекты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2026'!B49+'Иран 2026'!D49+('Иран 2026'!C49+'Иран 2026'!F49+'Иран 2026'!G49)+(0.35*LN(1+0.6*'Ход 2026'!B55)*POWER(MAX(0,1-'Иран 2026'!I49/10),0.7))))</x:f>
        <x:v>6.75</x:v>
      </x:c>
      <x:c r="C49" s="3" t="n">
        <x:f>MIN(1,(MIN(1,'Иран 2026'!C49+'Иран 2026'!F49+(0.08*LN(1+0.5*'Ход 2026'!C55)*MAX(0,1-('Иран 2026'!C49+'Иран 2026'!F49)))))+(SUMIFS('Эффекты технологий'!$K$25:$K$240,'Эффекты технологий'!$C$25:$C$240,$A49,'Эффекты технологий'!$D$25:$D$240,"Прирост")-SUMIFS('Эффекты технологий'!$J$25:$J$240,'Эффекты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6.75</x:v>
      </x:c>
      <x:c r="J49" s="10" t="n">
        <x:f>SUMIFS('Эффекты технологий'!$K$25:$K$240,'Эффекты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2026'!B50+'Иран 2026'!D50+('Иран 2026'!C50+'Иран 2026'!F50+'Иран 2026'!G50)+(0.35*LN(1+0.6*'Ход 2026'!B56)*POWER(MAX(0,1-'Иран 2026'!I50/10),0.7))))</x:f>
        <x:v>9.05</x:v>
      </x:c>
      <x:c r="C50" s="3" t="n">
        <x:f>MIN(1,(MIN(1,'Иран 2026'!C50+'Иран 2026'!F50+(0.08*LN(1+0.5*'Ход 2026'!C56)*MAX(0,1-('Иран 2026'!C50+'Иран 2026'!F50)))))+(SUMIFS('Эффекты технологий'!$K$25:$K$240,'Эффекты технологий'!$C$25:$C$240,$A50,'Эффекты технологий'!$D$25:$D$240,"Прирост")-SUMIFS('Эффекты технологий'!$J$25:$J$240,'Эффекты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9.05</x:v>
      </x:c>
      <x:c r="J50" s="10" t="n">
        <x:f>SUMIFS('Эффекты технологий'!$K$25:$K$240,'Эффекты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2026'!B51+'Иран 2026'!D51+('Иран 2026'!C51+'Иран 2026'!F51+'Иран 2026'!G51)+(0.35*LN(1+0.6*'Ход 2026'!B57)*POWER(MAX(0,1-'Иран 2026'!I51/10),0.7))))</x:f>
        <x:v>6.2</x:v>
      </x:c>
      <x:c r="C51" s="3" t="n">
        <x:f>MIN(1,(MIN(1,'Иран 2026'!C51+'Иран 2026'!F51+(0.08*LN(1+0.5*'Ход 2026'!C57)*MAX(0,1-('Иран 2026'!C51+'Иран 2026'!F51)))))+(SUMIFS('Эффекты технологий'!$K$25:$K$240,'Эффекты технологий'!$C$25:$C$240,$A51,'Эффекты технологий'!$D$25:$D$240,"Прирост")-SUMIFS('Эффекты технологий'!$J$25:$J$240,'Эффекты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6.2</x:v>
      </x:c>
      <x:c r="J51" s="10" t="n">
        <x:f>SUMIFS('Эффекты технологий'!$K$25:$K$240,'Эффекты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2026'!B53+'Иран 2026'!D53+('Иран 2026'!C53+'Иран 2026'!F53+'Иран 2026'!G53)+(0.35*LN(1+0.6*'Ход 2026'!B59)*POWER(MAX(0,1-'Иран 2026'!I53/10),0.7))))</x:f>
        <x:v>5.7</x:v>
      </x:c>
      <x:c r="C53" s="3" t="n">
        <x:f>MIN(1,(MIN(1,'Иран 2026'!C53+'Иран 2026'!F53+(0.08*LN(1+0.5*'Ход 2026'!C59)*MAX(0,1-('Иран 2026'!C53+'Иран 2026'!F53)))))+(SUMIFS('Эффекты технологий'!$K$25:$K$240,'Эффекты технологий'!$C$25:$C$240,$A53,'Эффекты технологий'!$D$25:$D$240,"Прирост")-SUMIFS('Эффекты технологий'!$J$25:$J$240,'Эффекты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5.7</x:v>
      </x:c>
      <x:c r="J53" s="10" t="n">
        <x:f>SUMIFS('Эффекты технологий'!$K$25:$K$240,'Эффекты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2026'!B54+'Иран 2026'!D54+('Иран 2026'!C54+'Иран 2026'!F54+'Иран 2026'!G54)+(0.35*LN(1+0.6*'Ход 2026'!B60)*POWER(MAX(0,1-'Иран 2026'!I54/10),0.7))))</x:f>
        <x:v>5.2</x:v>
      </x:c>
      <x:c r="C54" s="3" t="n">
        <x:f>MIN(1,(MIN(1,'Иран 2026'!C54+'Иран 2026'!F54+(0.08*LN(1+0.5*'Ход 2026'!C60)*MAX(0,1-('Иран 2026'!C54+'Иран 2026'!F54)))))+(SUMIFS('Эффекты технологий'!$K$25:$K$240,'Эффекты технологий'!$C$25:$C$240,$A54,'Эффекты технологий'!$D$25:$D$240,"Прирост")-SUMIFS('Эффекты технологий'!$J$25:$J$240,'Эффекты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5.2</x:v>
      </x:c>
      <x:c r="J54" s="10" t="n">
        <x:f>SUMIFS('Эффекты технологий'!$K$25:$K$240,'Эффекты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2026'!B55+'Иран 2026'!D55+('Иран 2026'!C55+'Иран 2026'!F55+'Иран 2026'!G55)+(0.35*LN(1+0.6*'Ход 2026'!B61)*POWER(MAX(0,1-'Иран 2026'!I55/10),0.7))))</x:f>
        <x:v>5.65</x:v>
      </x:c>
      <x:c r="C55" s="3" t="n">
        <x:f>MIN(1,(MIN(1,'Иран 2026'!C55+'Иран 2026'!F55+(0.08*LN(1+0.5*'Ход 2026'!C61)*MAX(0,1-('Иран 2026'!C55+'Иран 2026'!F55)))))+(SUMIFS('Эффекты технологий'!$K$25:$K$240,'Эффекты технологий'!$C$25:$C$240,$A55,'Эффекты технологий'!$D$25:$D$240,"Прирост")-SUMIFS('Эффекты технологий'!$J$25:$J$240,'Эффекты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5.65</x:v>
      </x:c>
      <x:c r="J55" s="10" t="n">
        <x:f>SUMIFS('Эффекты технологий'!$K$25:$K$240,'Эффекты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349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2027'!U6</x:f>
        <x:v>82.65705665635338</x:v>
      </x:c>
      <x:c r="C6" s="3"/>
      <x:c r="D6" s="3"/>
      <x:c r="E6" s="3" t="s">
        <x:v>321</x:v>
      </x:c>
      <x:c r="F6" s="3" t="n">
        <x:f>'Иран 2027'!K6</x:f>
        <x:v>59.3205539323666</x:v>
      </x:c>
      <x:c r="G6" s="3"/>
      <x:c r="H6" s="3"/>
      <x:c r="I6" s="3" t="s">
        <x:v>321</x:v>
      </x:c>
      <x:c r="J6" s="3" t="n">
        <x:f>'Иран 2027'!N6</x:f>
        <x:v>77.5866905690979</x:v>
      </x:c>
      <x:c r="K6" s="3"/>
      <x:c r="L6" s="3"/>
      <x:c r="M6" s="3" t="s">
        <x:v>321</x:v>
      </x:c>
      <x:c r="N6" s="3" t="n">
        <x:f>'Иран 2027'!Q6</x:f>
        <x:v>55.16087181874368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82.65705665635338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59.3205539323666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77.5866905690979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55.16087181874368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2027'!V11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2027'!V12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2027'!V13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2027'!V14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2027'!V15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2027'!V16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2027'!V17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2027'!V18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2027'!V19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2027'!V20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2027'!V21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2027'!V22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технологий'!K$16</x:f>
        <x:v>0</x:v>
      </x:c>
      <x:c r="H25" s="11" t="n">
        <x:f>'Эффекты технологий'!K$17</x:f>
        <x:v>0</x:v>
      </x:c>
      <x:c r="I25" s="11" t="n">
        <x:f>'Эффекты технологий'!K$18</x:f>
        <x:v>0</x:v>
      </x:c>
      <x:c r="J25" s="12"/>
      <x:c r="K25" s="3"/>
      <x:c r="L25" s="3" t="str">
        <x:v>Бразилия</x:v>
      </x:c>
      <x:c r="M25" s="3" t="n">
        <x:f>'Иран 2027'!V23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2027'!V24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2027'!V25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2027'!V26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IF(G29="","",VLOOKUP(G29,Технологии!$A$11:$BF$50,45,FALSE))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IF(G30="","",VLOOKUP(G30,Технологии!$A$11:$BF$50,45,FALSE))</x:f>
      </x:c>
      <x:c r="L30" s="3"/>
      <x:c r="M30" s="3"/>
      <x:c r="N30" s="12" t="s">
        <x:v>340</x:v>
      </x:c>
      <x:c r="O30" s="11" t="n">
        <x:f>'Эффекты технологий'!K$13</x:f>
        <x:v>0</x:v>
      </x:c>
      <x:c r="P30" s="11" t="n">
        <x:f>'Эффекты технологий'!K$14</x:f>
        <x:v>0</x:v>
      </x:c>
      <x:c r="Q30" s="11" t="n">
        <x:f>'Эффекты технологий'!K$15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IF(G31="","",VLOOKUP(G31,Технологии!$A$11:$BF$50,45,FALSE))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IF(G32="","",VLOOKUP(G32,Технологии!$A$11:$BF$50,45,FALSE))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IF(G33="","",VLOOKUP(G33,Технологии!$A$11:$BF$50,45,FALSE))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IF(G34="","",VLOOKUP(G34,Технологии!$A$11:$BF$50,45,FALSE))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IF(G35="","",VLOOKUP(G35,Технологии!$A$11:$BF$50,45,FALSE))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IF(G36="","",VLOOKUP(G36,Технологии!$A$11:$BF$50,45,FALSE))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IF(G37="","",VLOOKUP(G37,Технологии!$A$11:$BF$50,45,FALSE))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IF(G38="","",VLOOKUP(G38,Технологии!$A$11:$BF$50,45,FALSE))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2028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62.1488305162082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79.59086645898249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56.355826733228604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83.83456386593191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2027'!B8+'Иран 2027'!D8+('Иран 2027'!C8+'Иран 2027'!F8+'Иран 2027'!G8)+(0.35*LN(1+0.6*('Ход 2027'!B14*(1+'Эффекты технологий'!K$12)))*POWER(MAX(0,1-'Иран 2027'!I8/10),0.7))))</x:f>
        <x:v>8.2</x:v>
      </x:c>
      <x:c r="C8" s="3" t="n">
        <x:f>MIN(1,(MIN(1,'Иран 2027'!C8+'Иран 2027'!F8+(0.08*LN(1+0.5*('Ход 2027'!C14*(1+'Эффекты технологий'!K$12)))*MAX(0,1-('Иран 2027'!C8+'Иран 2027'!F8)))))+(SUMIFS('Эффекты технологий'!$L$25:$L$240,'Эффекты технологий'!$C$25:$C$240,$A8,'Эффекты технологий'!$D$25:$D$240,"Прирост")-SUMIFS('Эффекты технологий'!$K$25:$K$240,'Эффекты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8.2</x:v>
      </x:c>
      <x:c r="J8" s="10" t="n">
        <x:f>SUMIFS('Эффекты технологий'!$L$25:$L$240,'Эффекты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2027'!B9+'Иран 2027'!D9+('Иран 2027'!C9+'Иран 2027'!F9+'Иран 2027'!G9)+(0.35*LN(1+0.6*('Ход 2027'!B15*(1+'Эффекты технологий'!K$12)))*POWER(MAX(0,1-'Иран 2027'!I9/10),0.7))))</x:f>
        <x:v>7.199999999999999</x:v>
      </x:c>
      <x:c r="C9" s="3" t="n">
        <x:f>MIN(1,(MIN(1,'Иран 2027'!C9+'Иран 2027'!F9+(0.08*LN(1+0.5*('Ход 2027'!C15*(1+'Эффекты технологий'!K$12)))*MAX(0,1-('Иран 2027'!C9+'Иран 2027'!F9)))))+(SUMIFS('Эффекты технологий'!$L$25:$L$240,'Эффекты технологий'!$C$25:$C$240,$A9,'Эффекты технологий'!$D$25:$D$240,"Прирост")-SUMIFS('Эффекты технологий'!$K$25:$K$240,'Эффекты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7.199999999999999</x:v>
      </x:c>
      <x:c r="J9" s="10" t="n">
        <x:f>SUMIFS('Эффекты технологий'!$L$25:$L$240,'Эффекты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2027'!B10+'Иран 2027'!D10+('Иран 2027'!C10+'Иран 2027'!F10+'Иран 2027'!G10)+(0.35*LN(1+0.6*('Ход 2027'!B16*(1+'Эффекты технологий'!K$12)))*POWER(MAX(0,1-'Иран 2027'!I10/10),0.7))))</x:f>
        <x:v>9.600000000000001</x:v>
      </x:c>
      <x:c r="C10" s="3" t="n">
        <x:f>MIN(1,(MIN(1,'Иран 2027'!C10+'Иран 2027'!F10+(0.08*LN(1+0.5*('Ход 2027'!C16*(1+'Эффекты технологий'!K$12)))*MAX(0,1-('Иран 2027'!C10+'Иран 2027'!F10)))))+(SUMIFS('Эффекты технологий'!$L$25:$L$240,'Эффекты технологий'!$C$25:$C$240,$A10,'Эффекты технологий'!$D$25:$D$240,"Прирост")-SUMIFS('Эффекты технологий'!$K$25:$K$240,'Эффекты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9.600000000000001</x:v>
      </x:c>
      <x:c r="J10" s="10" t="n">
        <x:f>SUMIFS('Эффекты технологий'!$L$25:$L$240,'Эффекты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2027'!B11+'Иран 2027'!D11+('Иран 2027'!C11+'Иран 2027'!F11+'Иран 2027'!G11)+(0.35*LN(1+0.6*('Ход 2027'!B17*(1+'Эффекты технологий'!K$12)))*POWER(MAX(0,1-'Иран 2027'!I11/10),0.7))))</x:f>
        <x:v>3.5999999999999996</x:v>
      </x:c>
      <x:c r="C11" s="3" t="n">
        <x:f>MIN(1,(MIN(1,'Иран 2027'!C11+'Иран 2027'!F11+(0.08*LN(1+0.5*('Ход 2027'!C17*(1+'Эффекты технологий'!K$12)))*MAX(0,1-('Иран 2027'!C11+'Иран 2027'!F11)))))+(SUMIFS('Эффекты технологий'!$L$25:$L$240,'Эффекты технологий'!$C$25:$C$240,$A11,'Эффекты технологий'!$D$25:$D$240,"Прирост")-SUMIFS('Эффекты технологий'!$K$25:$K$240,'Эффекты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3.5999999999999996</x:v>
      </x:c>
      <x:c r="J11" s="10" t="n">
        <x:f>SUMIFS('Эффекты технологий'!$L$25:$L$240,'Эффекты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2027'!L11+'Иран 2027'!N11+('Иран 2027'!M11+'Иран 2027'!P11+'Иран 2027'!Q11)))</x:f>
        <x:v>6</x:v>
      </x:c>
      <x:c r="M11" s="3" t="n">
        <x:f>MIN(1,(MIN(1,'Иран 2027'!M11+'Иран 2027'!P11+(0.1*LN(1+0.5*('Ход 2027'!H13*(1+'Эффекты технологий'!K$10)))*POWER(MAX(0,1-'Иран 2027'!S11/10),0.8))))+(SUMIFS('Эффекты технологий'!$L$25:$L$240,'Эффекты технологий'!$C$25:$C$240,$K11,'Эффекты технологий'!$D$25:$D$240,"Прирост")-SUMIFS('Эффекты технологий'!$K$25:$K$240,'Эффекты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6</x:v>
      </x:c>
      <x:c r="T11" s="10" t="n">
        <x:f>SUMIFS('Эффекты технологий'!$L$25:$L$240,'Эффекты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2027'!V11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2027'!B12+'Иран 2027'!D12+('Иран 2027'!C12+'Иран 2027'!F12+'Иран 2027'!G12)+(0.35*LN(1+0.6*('Ход 2027'!B18*(1+'Эффекты технологий'!K$12)))*POWER(MAX(0,1-'Иран 2027'!I12/10),0.7))))</x:f>
        <x:v>8.100000000000001</x:v>
      </x:c>
      <x:c r="C12" s="3" t="n">
        <x:f>MIN(1,(MIN(1,'Иран 2027'!C12+'Иран 2027'!F12+(0.08*LN(1+0.5*('Ход 2027'!C18*(1+'Эффекты технологий'!K$12)))*MAX(0,1-('Иран 2027'!C12+'Иран 2027'!F12)))))+(SUMIFS('Эффекты технологий'!$L$25:$L$240,'Эффекты технологий'!$C$25:$C$240,$A12,'Эффекты технологий'!$D$25:$D$240,"Прирост")-SUMIFS('Эффекты технологий'!$K$25:$K$240,'Эффекты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8.100000000000001</x:v>
      </x:c>
      <x:c r="J12" s="10" t="n">
        <x:f>SUMIFS('Эффекты технологий'!$L$25:$L$240,'Эффекты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2027'!L12+'Иран 2027'!N12+('Иран 2027'!M12+'Иран 2027'!P12+'Иран 2027'!Q12)))</x:f>
        <x:v>6</x:v>
      </x:c>
      <x:c r="M12" s="3" t="n">
        <x:f>MIN(1,(MIN(1,'Иран 2027'!M12+'Иран 2027'!P12+(0.1*LN(1+0.5*('Ход 2027'!H14*(1+'Эффекты технологий'!K$10)))*POWER(MAX(0,1-'Иран 2027'!S12/10),0.8))))+(SUMIFS('Эффекты технологий'!$L$25:$L$240,'Эффекты технологий'!$C$25:$C$240,$K12,'Эффекты технологий'!$D$25:$D$240,"Прирост")-SUMIFS('Эффекты технологий'!$K$25:$K$240,'Эффекты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6</x:v>
      </x:c>
      <x:c r="T12" s="10" t="n">
        <x:f>SUMIFS('Эффекты технологий'!$L$25:$L$240,'Эффекты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2027'!V12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2027'!B13+'Иран 2027'!D13+('Иран 2027'!C13+'Иран 2027'!F13+'Иран 2027'!G13)+(0.35*LN(1+0.6*('Ход 2027'!B19*(1+'Эффекты технологий'!K$12)))*POWER(MAX(0,1-'Иран 2027'!I13/10),0.7))))</x:f>
        <x:v>2.4000000000000004</x:v>
      </x:c>
      <x:c r="C13" s="3" t="n">
        <x:f>MIN(1,(MIN(1,'Иран 2027'!C13+'Иран 2027'!F13+(0.08*LN(1+0.5*('Ход 2027'!C19*(1+'Эффекты технологий'!K$12)))*MAX(0,1-('Иран 2027'!C13+'Иран 2027'!F13)))))+(SUMIFS('Эффекты технологий'!$L$25:$L$240,'Эффекты технологий'!$C$25:$C$240,$A13,'Эффекты технологий'!$D$25:$D$240,"Прирост")-SUMIFS('Эффекты технологий'!$K$25:$K$240,'Эффекты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2.4000000000000004</x:v>
      </x:c>
      <x:c r="J13" s="10" t="n">
        <x:f>SUMIFS('Эффекты технологий'!$L$25:$L$240,'Эффекты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2027'!L13+'Иран 2027'!N13+('Иран 2027'!M13+'Иран 2027'!P13+'Иран 2027'!Q13)))</x:f>
        <x:v>7.4</x:v>
      </x:c>
      <x:c r="M13" s="3" t="n">
        <x:f>MIN(1,(MIN(1,'Иран 2027'!M13+'Иран 2027'!P13+(0.1*LN(1+0.5*('Ход 2027'!H15*(1+'Эффекты технологий'!K$10)))*POWER(MAX(0,1-'Иран 2027'!S13/10),0.8))))+(SUMIFS('Эффекты технологий'!$L$25:$L$240,'Эффекты технологий'!$C$25:$C$240,$K13,'Эффекты технологий'!$D$25:$D$240,"Прирост")-SUMIFS('Эффекты технологий'!$K$25:$K$240,'Эффекты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7.4</x:v>
      </x:c>
      <x:c r="T13" s="10" t="n">
        <x:f>SUMIFS('Эффекты технологий'!$L$25:$L$240,'Эффекты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2027'!V13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2027'!B14+'Иран 2027'!D14+('Иран 2027'!C14+'Иран 2027'!F14+'Иран 2027'!G14)+(0.35*LN(1+0.6*('Ход 2027'!B20*(1+'Эффекты технологий'!K$12)))*POWER(MAX(0,1-'Иран 2027'!I14/10),0.7))))</x:f>
        <x:v>3.4000000000000004</x:v>
      </x:c>
      <x:c r="C14" s="3" t="n">
        <x:f>MIN(1,(MIN(1,'Иран 2027'!C14+'Иран 2027'!F14+(0.08*LN(1+0.5*('Ход 2027'!C20*(1+'Эффекты технологий'!K$12)))*MAX(0,1-('Иран 2027'!C14+'Иран 2027'!F14)))))+(SUMIFS('Эффекты технологий'!$L$25:$L$240,'Эффекты технологий'!$C$25:$C$240,$A14,'Эффекты технологий'!$D$25:$D$240,"Прирост")-SUMIFS('Эффекты технологий'!$K$25:$K$240,'Эффекты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3.4000000000000004</x:v>
      </x:c>
      <x:c r="J14" s="10" t="n">
        <x:f>SUMIFS('Эффекты технологий'!$L$25:$L$240,'Эффекты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2027'!L14+'Иран 2027'!N14+('Иран 2027'!M14+'Иран 2027'!P14+'Иран 2027'!Q14)))</x:f>
        <x:v>7</x:v>
      </x:c>
      <x:c r="M14" s="3" t="n">
        <x:f>MIN(1,(MIN(1,'Иран 2027'!M14+'Иран 2027'!P14+(0.1*LN(1+0.5*('Ход 2027'!H16*(1+'Эффекты технологий'!K$10)))*POWER(MAX(0,1-'Иран 2027'!S14/10),0.8))))+(SUMIFS('Эффекты технологий'!$L$25:$L$240,'Эффекты технологий'!$C$25:$C$240,$K14,'Эффекты технологий'!$D$25:$D$240,"Прирост")-SUMIFS('Эффекты технологий'!$K$25:$K$240,'Эффекты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7</x:v>
      </x:c>
      <x:c r="T14" s="10" t="n">
        <x:f>SUMIFS('Эффекты технологий'!$L$25:$L$240,'Эффекты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2027'!V14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2027'!B15+'Иран 2027'!D15+('Иран 2027'!C15+'Иран 2027'!F15+'Иран 2027'!G15)+(0.35*LN(1+0.6*('Ход 2027'!B21*(1+'Эффекты технологий'!K$12)))*POWER(MAX(0,1-'Иран 2027'!I15/10),0.7))))</x:f>
        <x:v>5</x:v>
      </x:c>
      <x:c r="C15" s="3" t="n">
        <x:f>MIN(1,(MIN(1,'Иран 2027'!C15+'Иран 2027'!F15+(0.08*LN(1+0.5*('Ход 2027'!C21*(1+'Эффекты технологий'!K$12)))*MAX(0,1-('Иран 2027'!C15+'Иран 2027'!F15)))))+(SUMIFS('Эффекты технологий'!$L$25:$L$240,'Эффекты технологий'!$C$25:$C$240,$A15,'Эффекты технологий'!$D$25:$D$240,"Прирост")-SUMIFS('Эффекты технологий'!$K$25:$K$240,'Эффекты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5</x:v>
      </x:c>
      <x:c r="J15" s="10" t="n">
        <x:f>SUMIFS('Эффекты технологий'!$L$25:$L$240,'Эффекты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2027'!L15+'Иран 2027'!N15+('Иран 2027'!M15+'Иран 2027'!P15+'Иран 2027'!Q15)))</x:f>
        <x:v>7.4</x:v>
      </x:c>
      <x:c r="M15" s="3" t="n">
        <x:f>MIN(1,(MIN(1,'Иран 2027'!M15+'Иран 2027'!P15+(0.1*LN(1+0.5*('Ход 2027'!H17*(1+'Эффекты технологий'!K$10)))*POWER(MAX(0,1-'Иран 2027'!S15/10),0.8))))+(SUMIFS('Эффекты технологий'!$L$25:$L$240,'Эффекты технологий'!$C$25:$C$240,$K15,'Эффекты технологий'!$D$25:$D$240,"Прирост")-SUMIFS('Эффекты технологий'!$K$25:$K$240,'Эффекты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7.4</x:v>
      </x:c>
      <x:c r="T15" s="10" t="n">
        <x:f>SUMIFS('Эффекты технологий'!$L$25:$L$240,'Эффекты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2027'!V15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2027'!B16+'Иран 2027'!D16+('Иран 2027'!C16+'Иран 2027'!F16+'Иран 2027'!G16)+(0.35*LN(1+0.6*('Ход 2027'!B22*(1+'Эффекты технологий'!K$12)))*POWER(MAX(0,1-'Иран 2027'!I16/10),0.7))))</x:f>
        <x:v>5.9</x:v>
      </x:c>
      <x:c r="C16" s="3" t="n">
        <x:f>MIN(1,(MIN(1,'Иран 2027'!C16+'Иран 2027'!F16+(0.08*LN(1+0.5*('Ход 2027'!C22*(1+'Эффекты технологий'!K$12)))*MAX(0,1-('Иран 2027'!C16+'Иран 2027'!F16)))))+(SUMIFS('Эффекты технологий'!$L$25:$L$240,'Эффекты технологий'!$C$25:$C$240,$A16,'Эффекты технологий'!$D$25:$D$240,"Прирост")-SUMIFS('Эффекты технологий'!$K$25:$K$240,'Эффекты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5.9</x:v>
      </x:c>
      <x:c r="J16" s="10" t="n">
        <x:f>SUMIFS('Эффекты технологий'!$L$25:$L$240,'Эффекты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2027'!L16+'Иран 2027'!N16+('Иран 2027'!M16+'Иран 2027'!P16+'Иран 2027'!Q16)))</x:f>
        <x:v>6</x:v>
      </x:c>
      <x:c r="M16" s="3" t="n">
        <x:f>MIN(1,(MIN(1,'Иран 2027'!M16+'Иран 2027'!P16+(0.1*LN(1+0.5*('Ход 2027'!H18*(1+'Эффекты технологий'!K$10)))*POWER(MAX(0,1-'Иран 2027'!S16/10),0.8))))+(SUMIFS('Эффекты технологий'!$L$25:$L$240,'Эффекты технологий'!$C$25:$C$240,$K16,'Эффекты технологий'!$D$25:$D$240,"Прирост")-SUMIFS('Эффекты технологий'!$K$25:$K$240,'Эффекты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6</x:v>
      </x:c>
      <x:c r="T16" s="10" t="n">
        <x:f>SUMIFS('Эффекты технологий'!$L$25:$L$240,'Эффекты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2027'!V16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2027'!B17+'Иран 2027'!D17+('Иран 2027'!C17+'Иран 2027'!F17+'Иран 2027'!G17)+(0.35*LN(1+0.6*('Ход 2027'!B23*(1+'Эффекты технологий'!K$12)))*POWER(MAX(0,1-'Иран 2027'!I17/10),0.7))))</x:f>
        <x:v>5.300000000000001</x:v>
      </x:c>
      <x:c r="C17" s="3" t="n">
        <x:f>MIN(1,(MIN(1,'Иран 2027'!C17+'Иран 2027'!F17+(0.08*LN(1+0.5*('Ход 2027'!C23*(1+'Эффекты технологий'!K$12)))*MAX(0,1-('Иран 2027'!C17+'Иран 2027'!F17)))))+(SUMIFS('Эффекты технологий'!$L$25:$L$240,'Эффекты технологий'!$C$25:$C$240,$A17,'Эффекты технологий'!$D$25:$D$240,"Прирост")-SUMIFS('Эффекты технологий'!$K$25:$K$240,'Эффекты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5.300000000000001</x:v>
      </x:c>
      <x:c r="J17" s="10" t="n">
        <x:f>SUMIFS('Эффекты технологий'!$L$25:$L$240,'Эффекты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2027'!L17+'Иран 2027'!N17+('Иран 2027'!M17+'Иран 2027'!P17+'Иран 2027'!Q17)))</x:f>
        <x:v>7</x:v>
      </x:c>
      <x:c r="M17" s="3" t="n">
        <x:f>MIN(1,(MIN(1,'Иран 2027'!M17+'Иран 2027'!P17+(0.1*LN(1+0.5*('Ход 2027'!H19*(1+'Эффекты технологий'!K$10)))*POWER(MAX(0,1-'Иран 2027'!S17/10),0.8))))+(SUMIFS('Эффекты технологий'!$L$25:$L$240,'Эффекты технологий'!$C$25:$C$240,$K17,'Эффекты технологий'!$D$25:$D$240,"Прирост")-SUMIFS('Эффекты технологий'!$K$25:$K$240,'Эффекты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7</x:v>
      </x:c>
      <x:c r="T17" s="10" t="n">
        <x:f>SUMIFS('Эффекты технологий'!$L$25:$L$240,'Эффекты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2027'!V17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2027'!L18+'Иран 2027'!N18+('Иран 2027'!M18+'Иран 2027'!P18+'Иран 2027'!Q18)))</x:f>
        <x:v>7</x:v>
      </x:c>
      <x:c r="M18" s="3" t="n">
        <x:f>MIN(1,(MIN(1,'Иран 2027'!M18+'Иран 2027'!P18+(0.1*LN(1+0.5*('Ход 2027'!H20*(1+'Эффекты технологий'!K$10)))*POWER(MAX(0,1-'Иран 2027'!S18/10),0.8))))+(SUMIFS('Эффекты технологий'!$L$25:$L$240,'Эффекты технологий'!$C$25:$C$240,$K18,'Эффекты технологий'!$D$25:$D$240,"Прирост")-SUMIFS('Эффекты технологий'!$K$25:$K$240,'Эффекты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7</x:v>
      </x:c>
      <x:c r="T18" s="10" t="n">
        <x:f>SUMIFS('Эффекты технологий'!$L$25:$L$240,'Эффекты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2027'!V18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2027'!B19+'Иран 2027'!D19+('Иран 2027'!C19+'Иран 2027'!F19+'Иран 2027'!G19)+(0.35*LN(1+0.6*'Ход 2027'!B25)*POWER(MAX(0,1-'Иран 2027'!I19/10),0.7))))</x:f>
        <x:v>5.9</x:v>
      </x:c>
      <x:c r="C19" s="3" t="n">
        <x:f>MIN(1,(MIN(1,'Иран 2027'!C19+'Иран 2027'!F19+(0.08*LN(1+0.5*'Ход 2027'!C25)*MAX(0,1-('Иран 2027'!C19+'Иран 2027'!F19)))))+(SUMIFS('Эффекты технологий'!$L$25:$L$240,'Эффекты технологий'!$C$25:$C$240,$A19,'Эффекты технологий'!$D$25:$D$240,"Прирост")-SUMIFS('Эффекты технологий'!$K$25:$K$240,'Эффекты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5.9</x:v>
      </x:c>
      <x:c r="J19" s="10" t="n">
        <x:f>SUMIFS('Эффекты технологий'!$L$25:$L$240,'Эффекты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2027'!V19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2027'!B20+'Иран 2027'!D20+('Иран 2027'!C20+'Иран 2027'!F20+'Иран 2027'!G20)+(0.35*LN(1+0.6*'Ход 2027'!B26)*POWER(MAX(0,1-'Иран 2027'!I20/10),0.7))))</x:f>
        <x:v>6</x:v>
      </x:c>
      <x:c r="C20" s="3" t="n">
        <x:f>MIN(1,(MIN(1,'Иран 2027'!C20+'Иран 2027'!F20+(0.08*LN(1+0.5*'Ход 2027'!C26)*MAX(0,1-('Иран 2027'!C20+'Иран 2027'!F20)))))+(SUMIFS('Эффекты технологий'!$L$25:$L$240,'Эффекты технологий'!$C$25:$C$240,$A20,'Эффекты технологий'!$D$25:$D$240,"Прирост")-SUMIFS('Эффекты технологий'!$K$25:$K$240,'Эффекты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6</x:v>
      </x:c>
      <x:c r="J20" s="10" t="n">
        <x:f>SUMIFS('Эффекты технологий'!$L$25:$L$240,'Эффекты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2027'!V20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2027'!B21+'Иран 2027'!D21+('Иран 2027'!C21+'Иран 2027'!F21+'Иран 2027'!G21)+(0.35*LN(1+0.6*'Ход 2027'!B27)*POWER(MAX(0,1-'Иран 2027'!I21/10),0.7))))</x:f>
        <x:v>5.4</x:v>
      </x:c>
      <x:c r="C21" s="3" t="n">
        <x:f>MIN(1,(MIN(1,'Иран 2027'!C21+'Иран 2027'!F21+(0.08*LN(1+0.5*'Ход 2027'!C27)*MAX(0,1-('Иран 2027'!C21+'Иран 2027'!F21)))))+(SUMIFS('Эффекты технологий'!$L$25:$L$240,'Эффекты технологий'!$C$25:$C$240,$A21,'Эффекты технологий'!$D$25:$D$240,"Прирост")-SUMIFS('Эффекты технологий'!$K$25:$K$240,'Эффекты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5.4</x:v>
      </x:c>
      <x:c r="J21" s="10" t="n">
        <x:f>SUMIFS('Эффекты технологий'!$L$25:$L$240,'Эффекты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2027'!V21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2027'!B22+'Иран 2027'!D22+('Иран 2027'!C22+'Иран 2027'!F22+'Иран 2027'!G22)+(0.35*LN(1+0.6*'Ход 2027'!B28)*POWER(MAX(0,1-'Иран 2027'!I22/10),0.7))))</x:f>
        <x:v>8.2</x:v>
      </x:c>
      <x:c r="C22" s="3" t="n">
        <x:f>MIN(1,(MIN(1,'Иран 2027'!C22+'Иран 2027'!F22+(0.08*LN(1+0.5*'Ход 2027'!C28)*MAX(0,1-('Иран 2027'!C22+'Иран 2027'!F22)))))+(SUMIFS('Эффекты технологий'!$L$25:$L$240,'Эффекты технологий'!$C$25:$C$240,$A22,'Эффекты технологий'!$D$25:$D$240,"Прирост")-SUMIFS('Эффекты технологий'!$K$25:$K$240,'Эффекты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8.2</x:v>
      </x:c>
      <x:c r="J22" s="10" t="n">
        <x:f>SUMIFS('Эффекты технологий'!$L$25:$L$240,'Эффекты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2027'!V22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2027'!B23+'Иран 2027'!D23+('Иран 2027'!C23+'Иран 2027'!F23+'Иран 2027'!G23)+(0.35*LN(1+0.6*'Ход 2027'!B29)*POWER(MAX(0,1-'Иран 2027'!I23/10),0.7))))</x:f>
        <x:v>6.9</x:v>
      </x:c>
      <x:c r="C23" s="3" t="n">
        <x:f>MIN(1,(MIN(1,'Иран 2027'!C23+'Иран 2027'!F23+(0.08*LN(1+0.5*'Ход 2027'!C29)*MAX(0,1-('Иран 2027'!C23+'Иран 2027'!F23)))))+(SUMIFS('Эффекты технологий'!$L$25:$L$240,'Эффекты технологий'!$C$25:$C$240,$A23,'Эффекты технологий'!$D$25:$D$240,"Прирост")-SUMIFS('Эффекты технологий'!$K$25:$K$240,'Эффекты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6.9</x:v>
      </x:c>
      <x:c r="J23" s="10" t="n">
        <x:f>SUMIFS('Эффекты технологий'!$L$25:$L$240,'Эффекты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2027'!V23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2027'!V24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2027'!B25+'Иран 2027'!D25+('Иран 2027'!C25+'Иран 2027'!F25+'Иран 2027'!G25)+(0.35*LN(1+0.6*'Ход 2027'!B31)*POWER(MAX(0,1-'Иран 2027'!I25/10),0.7))))</x:f>
        <x:v>7.199999999999999</x:v>
      </x:c>
      <x:c r="C25" s="3" t="n">
        <x:f>MIN(1,(MIN(1,'Иран 2027'!C25+'Иран 2027'!F25+(0.08*LN(1+0.5*'Ход 2027'!C31)*MAX(0,1-('Иран 2027'!C25+'Иран 2027'!F25)))))+(SUMIFS('Эффекты технологий'!$L$25:$L$240,'Эффекты технологий'!$C$25:$C$240,$A25,'Эффекты технологий'!$D$25:$D$240,"Прирост")-SUMIFS('Эффекты технологий'!$K$25:$K$240,'Эффекты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7.199999999999999</x:v>
      </x:c>
      <x:c r="J25" s="10" t="n">
        <x:f>SUMIFS('Эффекты технологий'!$L$25:$L$240,'Эффекты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2027'!V25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2027'!B26+'Иран 2027'!D26+('Иран 2027'!C26+'Иран 2027'!F26+'Иран 2027'!G26)+(0.35*LN(1+0.6*'Ход 2027'!B32)*POWER(MAX(0,1-'Иран 2027'!I26/10),0.7))))</x:f>
        <x:v>5.9</x:v>
      </x:c>
      <x:c r="C26" s="3" t="n">
        <x:f>MIN(1,(MIN(1,'Иран 2027'!C26+'Иран 2027'!F26+(0.08*LN(1+0.5*'Ход 2027'!C32)*MAX(0,1-('Иран 2027'!C26+'Иран 2027'!F26)))))+(SUMIFS('Эффекты технологий'!$L$25:$L$240,'Эффекты технологий'!$C$25:$C$240,$A26,'Эффекты технологий'!$D$25:$D$240,"Прирост")-SUMIFS('Эффекты технологий'!$K$25:$K$240,'Эффекты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5.9</x:v>
      </x:c>
      <x:c r="J26" s="10" t="n">
        <x:f>SUMIFS('Эффекты технологий'!$L$25:$L$240,'Эффекты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2027'!V26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2027'!B27+'Иран 2027'!D27+('Иран 2027'!C27+'Иран 2027'!F27+'Иран 2027'!G27)+(0.35*LN(1+0.6*'Ход 2027'!B33)*POWER(MAX(0,1-'Иран 2027'!I27/10),0.7))))</x:f>
        <x:v>6.300000000000001</x:v>
      </x:c>
      <x:c r="C27" s="3" t="n">
        <x:f>MIN(1,(MIN(1,'Иран 2027'!C27+'Иран 2027'!F27+(0.08*LN(1+0.5*'Ход 2027'!C33)*MAX(0,1-('Иран 2027'!C27+'Иран 2027'!F27)))))+(SUMIFS('Эффекты технологий'!$L$25:$L$240,'Эффекты технологий'!$C$25:$C$240,$A27,'Эффекты технологий'!$D$25:$D$240,"Прирост")-SUMIFS('Эффекты технологий'!$K$25:$K$240,'Эффекты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6.300000000000001</x:v>
      </x:c>
      <x:c r="J27" s="10" t="n">
        <x:f>SUMIFS('Эффекты технологий'!$L$25:$L$240,'Эффекты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2027'!B28+'Иран 2027'!D28+('Иран 2027'!C28+'Иран 2027'!F28+'Иран 2027'!G28)+(0.35*LN(1+0.6*'Ход 2027'!B34)*POWER(MAX(0,1-'Иран 2027'!I28/10),0.7))))</x:f>
        <x:v>5.9</x:v>
      </x:c>
      <x:c r="C28" s="3" t="n">
        <x:f>MIN(1,(MIN(1,'Иран 2027'!C28+'Иран 2027'!F28+(0.08*LN(1+0.5*'Ход 2027'!C34)*MAX(0,1-('Иран 2027'!C28+'Иран 2027'!F28)))))+(SUMIFS('Эффекты технологий'!$L$25:$L$240,'Эффекты технологий'!$C$25:$C$240,$A28,'Эффекты технологий'!$D$25:$D$240,"Прирост")-SUMIFS('Эффекты технологий'!$K$25:$K$240,'Эффекты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5.9</x:v>
      </x:c>
      <x:c r="J28" s="10" t="n">
        <x:f>SUMIFS('Эффекты технологий'!$L$25:$L$240,'Эффекты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2027'!B29+'Иран 2027'!D29+('Иран 2027'!C29+'Иран 2027'!F29+'Иран 2027'!G29)+(0.35*LN(1+0.6*'Ход 2027'!B35)*POWER(MAX(0,1-'Иран 2027'!I29/10),0.7))))</x:f>
        <x:v>5.9</x:v>
      </x:c>
      <x:c r="C29" s="3" t="n">
        <x:f>MIN(1,(MIN(1,'Иран 2027'!C29+'Иран 2027'!F29+(0.08*LN(1+0.5*'Ход 2027'!C35)*MAX(0,1-('Иран 2027'!C29+'Иран 2027'!F29)))))+(SUMIFS('Эффекты технологий'!$L$25:$L$240,'Эффекты технологий'!$C$25:$C$240,$A29,'Эффекты технологий'!$D$25:$D$240,"Прирост")-SUMIFS('Эффекты технологий'!$K$25:$K$240,'Эффекты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5.9</x:v>
      </x:c>
      <x:c r="J29" s="10" t="n">
        <x:f>SUMIFS('Эффекты технологий'!$L$25:$L$240,'Эффекты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2027'!B30+'Иран 2027'!D30+('Иран 2027'!C30+'Иран 2027'!F30+'Иран 2027'!G30)+(0.35*LN(1+0.6*'Ход 2027'!B36)*POWER(MAX(0,1-'Иран 2027'!I30/10),0.7))))</x:f>
        <x:v>5.800000000000001</x:v>
      </x:c>
      <x:c r="C30" s="3" t="n">
        <x:f>MIN(1,(MIN(1,'Иран 2027'!C30+'Иран 2027'!F30+(0.08*LN(1+0.5*'Ход 2027'!C36)*MAX(0,1-('Иран 2027'!C30+'Иран 2027'!F30)))))+(SUMIFS('Эффекты технологий'!$L$25:$L$240,'Эффекты технологий'!$C$25:$C$240,$A30,'Эффекты технологий'!$D$25:$D$240,"Прирост")-SUMIFS('Эффекты технологий'!$K$25:$K$240,'Эффекты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5.800000000000001</x:v>
      </x:c>
      <x:c r="J30" s="10" t="n">
        <x:f>SUMIFS('Эффекты технологий'!$L$25:$L$240,'Эффекты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2027'!B31+'Иран 2027'!D31+('Иран 2027'!C31+'Иран 2027'!F31+'Иран 2027'!G31)+(0.35*LN(1+0.6*'Ход 2027'!B37)*POWER(MAX(0,1-'Иран 2027'!I31/10),0.7))))</x:f>
        <x:v>5.800000000000001</x:v>
      </x:c>
      <x:c r="C31" s="3" t="n">
        <x:f>MIN(1,(MIN(1,'Иран 2027'!C31+'Иран 2027'!F31+(0.08*LN(1+0.5*'Ход 2027'!C37)*MAX(0,1-('Иран 2027'!C31+'Иран 2027'!F31)))))+(SUMIFS('Эффекты технологий'!$L$25:$L$240,'Эффекты технологий'!$C$25:$C$240,$A31,'Эффекты технологий'!$D$25:$D$240,"Прирост")-SUMIFS('Эффекты технологий'!$K$25:$K$240,'Эффекты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5.800000000000001</x:v>
      </x:c>
      <x:c r="J31" s="10" t="n">
        <x:f>SUMIFS('Эффекты технологий'!$L$25:$L$240,'Эффекты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2027'!B32+'Иран 2027'!D32+('Иран 2027'!C32+'Иран 2027'!F32+'Иран 2027'!G32)+(0.35*LN(1+0.6*'Ход 2027'!B38)*POWER(MAX(0,1-'Иран 2027'!I32/10),0.7))))</x:f>
        <x:v>7.9</x:v>
      </x:c>
      <x:c r="C32" s="3" t="n">
        <x:f>MIN(1,(MIN(1,'Иран 2027'!C32+'Иран 2027'!F32+(0.08*LN(1+0.5*'Ход 2027'!C38)*MAX(0,1-('Иран 2027'!C32+'Иран 2027'!F32)))))+(SUMIFS('Эффекты технологий'!$L$25:$L$240,'Эффекты технологий'!$C$25:$C$240,$A32,'Эффекты технологий'!$D$25:$D$240,"Прирост")-SUMIFS('Эффекты технологий'!$K$25:$K$240,'Эффекты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7.9</x:v>
      </x:c>
      <x:c r="J32" s="10" t="n">
        <x:f>SUMIFS('Эффекты технологий'!$L$25:$L$240,'Эффекты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2027'!B34+'Иран 2027'!D34+('Иран 2027'!C34+'Иран 2027'!F34+'Иран 2027'!G34)+(0.35*LN(1+0.6*'Ход 2027'!B40)*POWER(MAX(0,1-'Иран 2027'!I34/10),0.7))))</x:f>
        <x:v>7.9</x:v>
      </x:c>
      <x:c r="C34" s="3" t="n">
        <x:f>MIN(1,(MIN(1,'Иран 2027'!C34+'Иран 2027'!F34+(0.08*LN(1+0.5*'Ход 2027'!C40)*MAX(0,1-('Иран 2027'!C34+'Иран 2027'!F34)))))+(SUMIFS('Эффекты технологий'!$L$25:$L$240,'Эффекты технологий'!$C$25:$C$240,$A34,'Эффекты технологий'!$D$25:$D$240,"Прирост")-SUMIFS('Эффекты технологий'!$K$25:$K$240,'Эффекты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7.9</x:v>
      </x:c>
      <x:c r="J34" s="10" t="n">
        <x:f>SUMIFS('Эффекты технологий'!$L$25:$L$240,'Эффекты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2027'!B35+'Иран 2027'!D35+('Иран 2027'!C35+'Иран 2027'!F35+'Иран 2027'!G35)+(0.35*LN(1+0.6*'Ход 2027'!B41)*POWER(MAX(0,1-'Иран 2027'!I35/10),0.7))))</x:f>
        <x:v>8.2</x:v>
      </x:c>
      <x:c r="C35" s="3" t="n">
        <x:f>MIN(1,(MIN(1,'Иран 2027'!C35+'Иран 2027'!F35+(0.08*LN(1+0.5*'Ход 2027'!C41)*MAX(0,1-('Иран 2027'!C35+'Иран 2027'!F35)))))+(SUMIFS('Эффекты технологий'!$L$25:$L$240,'Эффекты технологий'!$C$25:$C$240,$A35,'Эффекты технологий'!$D$25:$D$240,"Прирост")-SUMIFS('Эффекты технологий'!$K$25:$K$240,'Эффекты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8.2</x:v>
      </x:c>
      <x:c r="J35" s="10" t="n">
        <x:f>SUMIFS('Эффекты технологий'!$L$25:$L$240,'Эффекты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2027'!B36+'Иран 2027'!D36+('Иран 2027'!C36+'Иран 2027'!F36+'Иран 2027'!G36)+(0.35*LN(1+0.6*'Ход 2027'!B42)*POWER(MAX(0,1-'Иран 2027'!I36/10),0.7))))</x:f>
        <x:v>6.9</x:v>
      </x:c>
      <x:c r="C36" s="3" t="n">
        <x:f>MIN(1,(MIN(1,'Иран 2027'!C36+'Иран 2027'!F36+(0.08*LN(1+0.5*'Ход 2027'!C42)*MAX(0,1-('Иран 2027'!C36+'Иран 2027'!F36)))))+(SUMIFS('Эффекты технологий'!$L$25:$L$240,'Эффекты технологий'!$C$25:$C$240,$A36,'Эффекты технологий'!$D$25:$D$240,"Прирост")-SUMIFS('Эффекты технологий'!$K$25:$K$240,'Эффекты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6.9</x:v>
      </x:c>
      <x:c r="J36" s="10" t="n">
        <x:f>SUMIFS('Эффекты технологий'!$L$25:$L$240,'Эффекты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2027'!B37+'Иран 2027'!D37+('Иран 2027'!C37+'Иран 2027'!F37+'Иран 2027'!G37)+(0.35*LN(1+0.6*'Ход 2027'!B43)*POWER(MAX(0,1-'Иран 2027'!I37/10),0.7))))</x:f>
        <x:v>5.4</x:v>
      </x:c>
      <x:c r="C37" s="3" t="n">
        <x:f>MIN(1,(MIN(1,'Иран 2027'!C37+'Иран 2027'!F37+(0.08*LN(1+0.5*'Ход 2027'!C43)*MAX(0,1-('Иран 2027'!C37+'Иран 2027'!F37)))))+(SUMIFS('Эффекты технологий'!$L$25:$L$240,'Эффекты технологий'!$C$25:$C$240,$A37,'Эффекты технологий'!$D$25:$D$240,"Прирост")-SUMIFS('Эффекты технологий'!$K$25:$K$240,'Эффекты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5.4</x:v>
      </x:c>
      <x:c r="J37" s="10" t="n">
        <x:f>SUMIFS('Эффекты технологий'!$L$25:$L$240,'Эффекты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2027'!B38+'Иран 2027'!D38+('Иран 2027'!C38+'Иран 2027'!F38+'Иран 2027'!G38)+(0.35*LN(1+0.6*'Ход 2027'!B44)*POWER(MAX(0,1-'Иран 2027'!I38/10),0.7))))</x:f>
        <x:v>5.9</x:v>
      </x:c>
      <x:c r="C38" s="3" t="n">
        <x:f>MIN(1,(MIN(1,'Иран 2027'!C38+'Иран 2027'!F38+(0.08*LN(1+0.5*'Ход 2027'!C44)*MAX(0,1-('Иран 2027'!C38+'Иран 2027'!F38)))))+(SUMIFS('Эффекты технологий'!$L$25:$L$240,'Эффекты технологий'!$C$25:$C$240,$A38,'Эффекты технологий'!$D$25:$D$240,"Прирост")-SUMIFS('Эффекты технологий'!$K$25:$K$240,'Эффекты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5.9</x:v>
      </x:c>
      <x:c r="J38" s="10" t="n">
        <x:f>SUMIFS('Эффекты технологий'!$L$25:$L$240,'Эффекты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2027'!B39+'Иран 2027'!D39+('Иран 2027'!C39+'Иран 2027'!F39+'Иран 2027'!G39)+(0.35*LN(1+0.6*'Ход 2027'!B45)*POWER(MAX(0,1-'Иран 2027'!I39/10),0.7))))</x:f>
        <x:v>6.4</x:v>
      </x:c>
      <x:c r="C39" s="3" t="n">
        <x:f>MIN(1,(MIN(1,'Иран 2027'!C39+'Иран 2027'!F39+(0.08*LN(1+0.5*'Ход 2027'!C45)*MAX(0,1-('Иран 2027'!C39+'Иран 2027'!F39)))))+(SUMIFS('Эффекты технологий'!$L$25:$L$240,'Эффекты технологий'!$C$25:$C$240,$A39,'Эффекты технологий'!$D$25:$D$240,"Прирост")-SUMIFS('Эффекты технологий'!$K$25:$K$240,'Эффекты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6.4</x:v>
      </x:c>
      <x:c r="J39" s="10" t="n">
        <x:f>SUMIFS('Эффекты технологий'!$L$25:$L$240,'Эффекты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2027'!B40+'Иран 2027'!D40+('Иран 2027'!C40+'Иран 2027'!F40+'Иран 2027'!G40)+(0.35*LN(1+0.6*'Ход 2027'!B46)*POWER(MAX(0,1-'Иран 2027'!I40/10),0.7))))</x:f>
        <x:v>4.800000000000001</x:v>
      </x:c>
      <x:c r="C40" s="3" t="n">
        <x:f>MIN(1,(MIN(1,'Иран 2027'!C40+'Иран 2027'!F40+(0.08*LN(1+0.5*'Ход 2027'!C46)*MAX(0,1-('Иран 2027'!C40+'Иран 2027'!F40)))))+(SUMIFS('Эффекты технологий'!$L$25:$L$240,'Эффекты технологий'!$C$25:$C$240,$A40,'Эффекты технологий'!$D$25:$D$240,"Прирост")-SUMIFS('Эффекты технологий'!$K$25:$K$240,'Эффекты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4.800000000000001</x:v>
      </x:c>
      <x:c r="J40" s="10" t="n">
        <x:f>SUMIFS('Эффекты технологий'!$L$25:$L$240,'Эффекты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2027'!B41+'Иран 2027'!D41+('Иран 2027'!C41+'Иран 2027'!F41+'Иран 2027'!G41)+(0.35*LN(1+0.6*'Ход 2027'!B47)*POWER(MAX(0,1-'Иран 2027'!I41/10),0.7))))</x:f>
        <x:v>5.4</x:v>
      </x:c>
      <x:c r="C41" s="3" t="n">
        <x:f>MIN(1,(MIN(1,'Иран 2027'!C41+'Иран 2027'!F41+(0.08*LN(1+0.5*'Ход 2027'!C47)*MAX(0,1-('Иран 2027'!C41+'Иран 2027'!F41)))))+(SUMIFS('Эффекты технологий'!$L$25:$L$240,'Эффекты технологий'!$C$25:$C$240,$A41,'Эффекты технологий'!$D$25:$D$240,"Прирост")-SUMIFS('Эффекты технологий'!$K$25:$K$240,'Эффекты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5.4</x:v>
      </x:c>
      <x:c r="J41" s="10" t="n">
        <x:f>SUMIFS('Эффекты технологий'!$L$25:$L$240,'Эффекты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2027'!B42+'Иран 2027'!D42+('Иран 2027'!C42+'Иран 2027'!F42+'Иран 2027'!G42)+(0.35*LN(1+0.6*'Ход 2027'!B48)*POWER(MAX(0,1-'Иран 2027'!I42/10),0.7))))</x:f>
        <x:v>7.199999999999999</x:v>
      </x:c>
      <x:c r="C42" s="3" t="n">
        <x:f>MIN(1,(MIN(1,'Иран 2027'!C42+'Иран 2027'!F42+(0.08*LN(1+0.5*'Ход 2027'!C48)*MAX(0,1-('Иран 2027'!C42+'Иран 2027'!F42)))))+(SUMIFS('Эффекты технологий'!$L$25:$L$240,'Эффекты технологий'!$C$25:$C$240,$A42,'Эффекты технологий'!$D$25:$D$240,"Прирост")-SUMIFS('Эффекты технологий'!$K$25:$K$240,'Эффекты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7.199999999999999</x:v>
      </x:c>
      <x:c r="J42" s="10" t="n">
        <x:f>SUMIFS('Эффекты технологий'!$L$25:$L$240,'Эффекты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2027'!B44+'Иран 2027'!D44+('Иран 2027'!C44+'Иран 2027'!F44+'Иран 2027'!G44)+(0.35*LN(1+0.6*'Ход 2027'!B50)*POWER(MAX(0,1-'Иран 2027'!I44/10),0.7))))</x:f>
        <x:v>4.199999999999999</x:v>
      </x:c>
      <x:c r="C44" s="3" t="n">
        <x:f>MIN(1,(MIN(1,'Иран 2027'!C44+'Иран 2027'!F44+(0.08*LN(1+0.5*'Ход 2027'!C50)*MAX(0,1-('Иран 2027'!C44+'Иран 2027'!F44)))))+(SUMIFS('Эффекты технологий'!$L$25:$L$240,'Эффекты технологий'!$C$25:$C$240,$A44,'Эффекты технологий'!$D$25:$D$240,"Прирост")-SUMIFS('Эффекты технологий'!$K$25:$K$240,'Эффекты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4.199999999999999</x:v>
      </x:c>
      <x:c r="J44" s="10" t="n">
        <x:f>SUMIFS('Эффекты технологий'!$L$25:$L$240,'Эффекты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2027'!B45+'Иран 2027'!D45+('Иран 2027'!C45+'Иран 2027'!F45+'Иран 2027'!G45)+(0.35*LN(1+0.6*'Ход 2027'!B51)*POWER(MAX(0,1-'Иран 2027'!I45/10),0.7))))</x:f>
        <x:v>5.300000000000001</x:v>
      </x:c>
      <x:c r="C45" s="3" t="n">
        <x:f>MIN(1,(MIN(1,'Иран 2027'!C45+'Иран 2027'!F45+(0.08*LN(1+0.5*'Ход 2027'!C51)*MAX(0,1-('Иран 2027'!C45+'Иран 2027'!F45)))))+(SUMIFS('Эффекты технологий'!$L$25:$L$240,'Эффекты технологий'!$C$25:$C$240,$A45,'Эффекты технологий'!$D$25:$D$240,"Прирост")-SUMIFS('Эффекты технологий'!$K$25:$K$240,'Эффекты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5.300000000000001</x:v>
      </x:c>
      <x:c r="J45" s="10" t="n">
        <x:f>SUMIFS('Эффекты технологий'!$L$25:$L$240,'Эффекты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2027'!B46+'Иран 2027'!D46+('Иран 2027'!C46+'Иран 2027'!F46+'Иран 2027'!G46)+(0.35*LN(1+0.6*'Ход 2027'!B52)*POWER(MAX(0,1-'Иран 2027'!I46/10),0.7))))</x:f>
        <x:v>5.300000000000001</x:v>
      </x:c>
      <x:c r="C46" s="3" t="n">
        <x:f>MIN(1,(MIN(1,'Иран 2027'!C46+'Иран 2027'!F46+(0.08*LN(1+0.5*'Ход 2027'!C52)*MAX(0,1-('Иран 2027'!C46+'Иран 2027'!F46)))))+(SUMIFS('Эффекты технологий'!$L$25:$L$240,'Эффекты технологий'!$C$25:$C$240,$A46,'Эффекты технологий'!$D$25:$D$240,"Прирост")-SUMIFS('Эффекты технологий'!$K$25:$K$240,'Эффекты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5.300000000000001</x:v>
      </x:c>
      <x:c r="J46" s="10" t="n">
        <x:f>SUMIFS('Эффекты технологий'!$L$25:$L$240,'Эффекты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2027'!B47+'Иран 2027'!D47+('Иран 2027'!C47+'Иран 2027'!F47+'Иран 2027'!G47)+(0.35*LN(1+0.6*'Ход 2027'!B53)*POWER(MAX(0,1-'Иран 2027'!I47/10),0.7))))</x:f>
        <x:v>2.4000000000000004</x:v>
      </x:c>
      <x:c r="C47" s="3" t="n">
        <x:f>MIN(1,(MIN(1,'Иран 2027'!C47+'Иран 2027'!F47+(0.08*LN(1+0.5*'Ход 2027'!C53)*MAX(0,1-('Иран 2027'!C47+'Иран 2027'!F47)))))+(SUMIFS('Эффекты технологий'!$L$25:$L$240,'Эффекты технологий'!$C$25:$C$240,$A47,'Эффекты технологий'!$D$25:$D$240,"Прирост")-SUMIFS('Эффекты технологий'!$K$25:$K$240,'Эффекты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2.4000000000000004</x:v>
      </x:c>
      <x:c r="J47" s="10" t="n">
        <x:f>SUMIFS('Эффекты технологий'!$L$25:$L$240,'Эффекты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2027'!B48+'Иран 2027'!D48+('Иран 2027'!C48+'Иран 2027'!F48+'Иран 2027'!G48)+(0.35*LN(1+0.6*'Ход 2027'!B54)*POWER(MAX(0,1-'Иран 2027'!I48/10),0.7))))</x:f>
        <x:v>5.699999999999999</x:v>
      </x:c>
      <x:c r="C48" s="3" t="n">
        <x:f>MIN(1,(MIN(1,'Иран 2027'!C48+'Иран 2027'!F48+(0.08*LN(1+0.5*'Ход 2027'!C54)*MAX(0,1-('Иран 2027'!C48+'Иран 2027'!F48)))))+(SUMIFS('Эффекты технологий'!$L$25:$L$240,'Эффекты технологий'!$C$25:$C$240,$A48,'Эффекты технологий'!$D$25:$D$240,"Прирост")-SUMIFS('Эффекты технологий'!$K$25:$K$240,'Эффекты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5.699999999999999</x:v>
      </x:c>
      <x:c r="J48" s="10" t="n">
        <x:f>SUMIFS('Эффекты технологий'!$L$25:$L$240,'Эффекты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2027'!B49+'Иран 2027'!D49+('Иран 2027'!C49+'Иран 2027'!F49+'Иран 2027'!G49)+(0.35*LN(1+0.6*'Ход 2027'!B55)*POWER(MAX(0,1-'Иран 2027'!I49/10),0.7))))</x:f>
        <x:v>7</x:v>
      </x:c>
      <x:c r="C49" s="3" t="n">
        <x:f>MIN(1,(MIN(1,'Иран 2027'!C49+'Иран 2027'!F49+(0.08*LN(1+0.5*'Ход 2027'!C55)*MAX(0,1-('Иран 2027'!C49+'Иран 2027'!F49)))))+(SUMIFS('Эффекты технологий'!$L$25:$L$240,'Эффекты технологий'!$C$25:$C$240,$A49,'Эффекты технологий'!$D$25:$D$240,"Прирост")-SUMIFS('Эффекты технологий'!$K$25:$K$240,'Эффекты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7</x:v>
      </x:c>
      <x:c r="J49" s="10" t="n">
        <x:f>SUMIFS('Эффекты технологий'!$L$25:$L$240,'Эффекты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2027'!B50+'Иран 2027'!D50+('Иран 2027'!C50+'Иран 2027'!F50+'Иран 2027'!G50)+(0.35*LN(1+0.6*'Ход 2027'!B56)*POWER(MAX(0,1-'Иран 2027'!I50/10),0.7))))</x:f>
        <x:v>9.100000000000001</x:v>
      </x:c>
      <x:c r="C50" s="3" t="n">
        <x:f>MIN(1,(MIN(1,'Иран 2027'!C50+'Иран 2027'!F50+(0.08*LN(1+0.5*'Ход 2027'!C56)*MAX(0,1-('Иран 2027'!C50+'Иран 2027'!F50)))))+(SUMIFS('Эффекты технологий'!$L$25:$L$240,'Эффекты технологий'!$C$25:$C$240,$A50,'Эффекты технологий'!$D$25:$D$240,"Прирост")-SUMIFS('Эффекты технологий'!$K$25:$K$240,'Эффекты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9.100000000000001</x:v>
      </x:c>
      <x:c r="J50" s="10" t="n">
        <x:f>SUMIFS('Эффекты технологий'!$L$25:$L$240,'Эффекты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2027'!B51+'Иран 2027'!D51+('Иран 2027'!C51+'Иран 2027'!F51+'Иран 2027'!G51)+(0.35*LN(1+0.6*'Ход 2027'!B57)*POWER(MAX(0,1-'Иран 2027'!I51/10),0.7))))</x:f>
        <x:v>6.4</x:v>
      </x:c>
      <x:c r="C51" s="3" t="n">
        <x:f>MIN(1,(MIN(1,'Иран 2027'!C51+'Иран 2027'!F51+(0.08*LN(1+0.5*'Ход 2027'!C57)*MAX(0,1-('Иран 2027'!C51+'Иран 2027'!F51)))))+(SUMIFS('Эффекты технологий'!$L$25:$L$240,'Эффекты технологий'!$C$25:$C$240,$A51,'Эффекты технологий'!$D$25:$D$240,"Прирост")-SUMIFS('Эффекты технологий'!$K$25:$K$240,'Эффекты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6.4</x:v>
      </x:c>
      <x:c r="J51" s="10" t="n">
        <x:f>SUMIFS('Эффекты технологий'!$L$25:$L$240,'Эффекты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2027'!B53+'Иран 2027'!D53+('Иран 2027'!C53+'Иран 2027'!F53+'Иран 2027'!G53)+(0.35*LN(1+0.6*'Ход 2027'!B59)*POWER(MAX(0,1-'Иран 2027'!I53/10),0.7))))</x:f>
        <x:v>5.9</x:v>
      </x:c>
      <x:c r="C53" s="3" t="n">
        <x:f>MIN(1,(MIN(1,'Иран 2027'!C53+'Иран 2027'!F53+(0.08*LN(1+0.5*'Ход 2027'!C59)*MAX(0,1-('Иран 2027'!C53+'Иран 2027'!F53)))))+(SUMIFS('Эффекты технологий'!$L$25:$L$240,'Эффекты технологий'!$C$25:$C$240,$A53,'Эффекты технологий'!$D$25:$D$240,"Прирост")-SUMIFS('Эффекты технологий'!$K$25:$K$240,'Эффекты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5.9</x:v>
      </x:c>
      <x:c r="J53" s="10" t="n">
        <x:f>SUMIFS('Эффекты технологий'!$L$25:$L$240,'Эффекты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2027'!B54+'Иран 2027'!D54+('Иран 2027'!C54+'Иран 2027'!F54+'Иран 2027'!G54)+(0.35*LN(1+0.6*'Ход 2027'!B60)*POWER(MAX(0,1-'Иран 2027'!I54/10),0.7))))</x:f>
        <x:v>5.4</x:v>
      </x:c>
      <x:c r="C54" s="3" t="n">
        <x:f>MIN(1,(MIN(1,'Иран 2027'!C54+'Иран 2027'!F54+(0.08*LN(1+0.5*'Ход 2027'!C60)*MAX(0,1-('Иран 2027'!C54+'Иран 2027'!F54)))))+(SUMIFS('Эффекты технологий'!$L$25:$L$240,'Эффекты технологий'!$C$25:$C$240,$A54,'Эффекты технологий'!$D$25:$D$240,"Прирост")-SUMIFS('Эффекты технологий'!$K$25:$K$240,'Эффекты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5.4</x:v>
      </x:c>
      <x:c r="J54" s="10" t="n">
        <x:f>SUMIFS('Эффекты технологий'!$L$25:$L$240,'Эффекты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2027'!B55+'Иран 2027'!D55+('Иран 2027'!C55+'Иран 2027'!F55+'Иран 2027'!G55)+(0.35*LN(1+0.6*'Ход 2027'!B61)*POWER(MAX(0,1-'Иран 2027'!I55/10),0.7))))</x:f>
        <x:v>5.800000000000001</x:v>
      </x:c>
      <x:c r="C55" s="3" t="n">
        <x:f>MIN(1,(MIN(1,'Иран 2027'!C55+'Иран 2027'!F55+(0.08*LN(1+0.5*'Ход 2027'!C61)*MAX(0,1-('Иран 2027'!C55+'Иран 2027'!F55)))))+(SUMIFS('Эффекты технологий'!$L$25:$L$240,'Эффекты технологий'!$C$25:$C$240,$A55,'Эффекты технологий'!$D$25:$D$240,"Прирост")-SUMIFS('Эффекты технологий'!$K$25:$K$240,'Эффекты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5.800000000000001</x:v>
      </x:c>
      <x:c r="J55" s="10" t="n">
        <x:f>SUMIFS('Эффекты технологий'!$L$25:$L$240,'Эффекты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350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2028'!U6</x:f>
        <x:v>83.83456386593191</x:v>
      </x:c>
      <x:c r="C6" s="3"/>
      <x:c r="D6" s="3"/>
      <x:c r="E6" s="3" t="s">
        <x:v>321</x:v>
      </x:c>
      <x:c r="F6" s="3" t="n">
        <x:f>'Иран 2028'!K6</x:f>
        <x:v>62.1488305162082</x:v>
      </x:c>
      <x:c r="G6" s="3"/>
      <x:c r="H6" s="3"/>
      <x:c r="I6" s="3" t="s">
        <x:v>321</x:v>
      </x:c>
      <x:c r="J6" s="3" t="n">
        <x:f>'Иран 2028'!N6</x:f>
        <x:v>79.59086645898249</x:v>
      </x:c>
      <x:c r="K6" s="3"/>
      <x:c r="L6" s="3"/>
      <x:c r="M6" s="3" t="s">
        <x:v>321</x:v>
      </x:c>
      <x:c r="N6" s="3" t="n">
        <x:f>'Иран 2028'!Q6</x:f>
        <x:v>56.355826733228604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83.83456386593191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62.1488305162082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79.59086645898249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56.355826733228604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2028'!V11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2028'!V12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2028'!V13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2028'!V14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2028'!V15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2028'!V16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2028'!V17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2028'!V18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2028'!V19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2028'!V20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2028'!V21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2028'!V22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технологий'!L$16</x:f>
        <x:v>0</x:v>
      </x:c>
      <x:c r="H25" s="11" t="n">
        <x:f>'Эффекты технологий'!L$17</x:f>
        <x:v>0</x:v>
      </x:c>
      <x:c r="I25" s="11" t="n">
        <x:f>'Эффекты технологий'!L$18</x:f>
        <x:v>0</x:v>
      </x:c>
      <x:c r="J25" s="12"/>
      <x:c r="K25" s="3"/>
      <x:c r="L25" s="3" t="str">
        <x:v>Бразилия</x:v>
      </x:c>
      <x:c r="M25" s="3" t="n">
        <x:f>'Иран 2028'!V23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2028'!V24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2028'!V25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2028'!V26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IF(G29="","",VLOOKUP(G29,Технологии!$A$11:$BF$50,46,FALSE))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IF(G30="","",VLOOKUP(G30,Технологии!$A$11:$BF$50,46,FALSE))</x:f>
      </x:c>
      <x:c r="L30" s="3"/>
      <x:c r="M30" s="3"/>
      <x:c r="N30" s="12" t="s">
        <x:v>340</x:v>
      </x:c>
      <x:c r="O30" s="11" t="n">
        <x:f>'Эффекты технологий'!L$13</x:f>
        <x:v>0</x:v>
      </x:c>
      <x:c r="P30" s="11" t="n">
        <x:f>'Эффекты технологий'!L$14</x:f>
        <x:v>0</x:v>
      </x:c>
      <x:c r="Q30" s="11" t="n">
        <x:f>'Эффекты технологий'!L$15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IF(G31="","",VLOOKUP(G31,Технологии!$A$11:$BF$50,46,FALSE))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IF(G32="","",VLOOKUP(G32,Технологии!$A$11:$BF$50,46,FALSE))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IF(G33="","",VLOOKUP(G33,Технологии!$A$11:$BF$50,46,FALSE))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IF(G34="","",VLOOKUP(G34,Технологии!$A$11:$BF$50,46,FALSE))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IF(G35="","",VLOOKUP(G35,Технологии!$A$11:$BF$50,46,FALSE))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IF(G36="","",VLOOKUP(G36,Технологии!$A$11:$BF$50,46,FALSE))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IF(G37="","",VLOOKUP(G37,Технологии!$A$11:$BF$50,46,FALSE))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IF(G38="","",VLOOKUP(G38,Технологии!$A$11:$BF$50,46,FALSE))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2029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64.82219129688808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81.50220371196052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57.52934622054276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84.96320916672887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2028'!B8+'Иран 2028'!D8+('Иран 2028'!C8+'Иран 2028'!F8+'Иран 2028'!G8)+(0.35*LN(1+0.6*('Ход 2028'!B14*(1+'Эффекты технологий'!L$12)))*POWER(MAX(0,1-'Иран 2028'!I8/10),0.7))))</x:f>
        <x:v>8.299999999999999</x:v>
      </x:c>
      <x:c r="C8" s="3" t="n">
        <x:f>MIN(1,(MIN(1,'Иран 2028'!C8+'Иран 2028'!F8+(0.08*LN(1+0.5*('Ход 2028'!C14*(1+'Эффекты технологий'!L$12)))*MAX(0,1-('Иран 2028'!C8+'Иран 2028'!F8)))))+(SUMIFS('Эффекты технологий'!$M$25:$M$240,'Эффекты технологий'!$C$25:$C$240,$A8,'Эффекты технологий'!$D$25:$D$240,"Прирост")-SUMIFS('Эффекты технологий'!$L$25:$L$240,'Эффекты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8.299999999999999</x:v>
      </x:c>
      <x:c r="J8" s="10" t="n">
        <x:f>SUMIFS('Эффекты технологий'!$M$25:$M$240,'Эффекты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2028'!B9+'Иран 2028'!D9+('Иран 2028'!C9+'Иран 2028'!F9+'Иран 2028'!G9)+(0.35*LN(1+0.6*('Ход 2028'!B15*(1+'Эффекты технологий'!L$12)))*POWER(MAX(0,1-'Иран 2028'!I9/10),0.7))))</x:f>
        <x:v>7.299999999999999</x:v>
      </x:c>
      <x:c r="C9" s="3" t="n">
        <x:f>MIN(1,(MIN(1,'Иран 2028'!C9+'Иран 2028'!F9+(0.08*LN(1+0.5*('Ход 2028'!C15*(1+'Эффекты технологий'!L$12)))*MAX(0,1-('Иран 2028'!C9+'Иран 2028'!F9)))))+(SUMIFS('Эффекты технологий'!$M$25:$M$240,'Эффекты технологий'!$C$25:$C$240,$A9,'Эффекты технологий'!$D$25:$D$240,"Прирост")-SUMIFS('Эффекты технологий'!$L$25:$L$240,'Эффекты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7.299999999999999</x:v>
      </x:c>
      <x:c r="J9" s="10" t="n">
        <x:f>SUMIFS('Эффекты технологий'!$M$25:$M$240,'Эффекты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2028'!B10+'Иран 2028'!D10+('Иран 2028'!C10+'Иран 2028'!F10+'Иран 2028'!G10)+(0.35*LN(1+0.6*('Ход 2028'!B16*(1+'Эффекты технологий'!L$12)))*POWER(MAX(0,1-'Иран 2028'!I10/10),0.7))))</x:f>
        <x:v>9.650000000000002</x:v>
      </x:c>
      <x:c r="C10" s="3" t="n">
        <x:f>MIN(1,(MIN(1,'Иран 2028'!C10+'Иран 2028'!F10+(0.08*LN(1+0.5*('Ход 2028'!C16*(1+'Эффекты технологий'!L$12)))*MAX(0,1-('Иран 2028'!C10+'Иран 2028'!F10)))))+(SUMIFS('Эффекты технологий'!$M$25:$M$240,'Эффекты технологий'!$C$25:$C$240,$A10,'Эффекты технологий'!$D$25:$D$240,"Прирост")-SUMIFS('Эффекты технологий'!$L$25:$L$240,'Эффекты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9.650000000000002</x:v>
      </x:c>
      <x:c r="J10" s="10" t="n">
        <x:f>SUMIFS('Эффекты технологий'!$M$25:$M$240,'Эффекты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2028'!B11+'Иран 2028'!D11+('Иран 2028'!C11+'Иран 2028'!F11+'Иран 2028'!G11)+(0.35*LN(1+0.6*('Ход 2028'!B17*(1+'Эффекты технологий'!L$12)))*POWER(MAX(0,1-'Иран 2028'!I11/10),0.7))))</x:f>
        <x:v>3.6499999999999995</x:v>
      </x:c>
      <x:c r="C11" s="3" t="n">
        <x:f>MIN(1,(MIN(1,'Иран 2028'!C11+'Иран 2028'!F11+(0.08*LN(1+0.5*('Ход 2028'!C17*(1+'Эффекты технологий'!L$12)))*MAX(0,1-('Иран 2028'!C11+'Иран 2028'!F11)))))+(SUMIFS('Эффекты технологий'!$M$25:$M$240,'Эффекты технологий'!$C$25:$C$240,$A11,'Эффекты технологий'!$D$25:$D$240,"Прирост")-SUMIFS('Эффекты технологий'!$L$25:$L$240,'Эффекты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3.6499999999999995</x:v>
      </x:c>
      <x:c r="J11" s="10" t="n">
        <x:f>SUMIFS('Эффекты технологий'!$M$25:$M$240,'Эффекты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2028'!L11+'Иран 2028'!N11+('Иран 2028'!M11+'Иран 2028'!P11+'Иран 2028'!Q11)))</x:f>
        <x:v>6.25</x:v>
      </x:c>
      <x:c r="M11" s="3" t="n">
        <x:f>MIN(1,(MIN(1,'Иран 2028'!M11+'Иран 2028'!P11+(0.1*LN(1+0.5*('Ход 2028'!H13*(1+'Эффекты технологий'!L$10)))*POWER(MAX(0,1-'Иран 2028'!S11/10),0.8))))+(SUMIFS('Эффекты технологий'!$M$25:$M$240,'Эффекты технологий'!$C$25:$C$240,$K11,'Эффекты технологий'!$D$25:$D$240,"Прирост")-SUMIFS('Эффекты технологий'!$L$25:$L$240,'Эффекты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6.25</x:v>
      </x:c>
      <x:c r="T11" s="10" t="n">
        <x:f>SUMIFS('Эффекты технологий'!$M$25:$M$240,'Эффекты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2028'!V11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2028'!B12+'Иран 2028'!D12+('Иран 2028'!C12+'Иран 2028'!F12+'Иран 2028'!G12)+(0.35*LN(1+0.6*('Ход 2028'!B18*(1+'Эффекты технологий'!L$12)))*POWER(MAX(0,1-'Иран 2028'!I12/10),0.7))))</x:f>
        <x:v>8.150000000000002</x:v>
      </x:c>
      <x:c r="C12" s="3" t="n">
        <x:f>MIN(1,(MIN(1,'Иран 2028'!C12+'Иран 2028'!F12+(0.08*LN(1+0.5*('Ход 2028'!C18*(1+'Эффекты технологий'!L$12)))*MAX(0,1-('Иран 2028'!C12+'Иран 2028'!F12)))))+(SUMIFS('Эффекты технологий'!$M$25:$M$240,'Эффекты технологий'!$C$25:$C$240,$A12,'Эффекты технологий'!$D$25:$D$240,"Прирост")-SUMIFS('Эффекты технологий'!$L$25:$L$240,'Эффекты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8.150000000000002</x:v>
      </x:c>
      <x:c r="J12" s="10" t="n">
        <x:f>SUMIFS('Эффекты технологий'!$M$25:$M$240,'Эффекты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2028'!L12+'Иран 2028'!N12+('Иран 2028'!M12+'Иран 2028'!P12+'Иран 2028'!Q12)))</x:f>
        <x:v>6.25</x:v>
      </x:c>
      <x:c r="M12" s="3" t="n">
        <x:f>MIN(1,(MIN(1,'Иран 2028'!M12+'Иран 2028'!P12+(0.1*LN(1+0.5*('Ход 2028'!H14*(1+'Эффекты технологий'!L$10)))*POWER(MAX(0,1-'Иран 2028'!S12/10),0.8))))+(SUMIFS('Эффекты технологий'!$M$25:$M$240,'Эффекты технологий'!$C$25:$C$240,$K12,'Эффекты технологий'!$D$25:$D$240,"Прирост")-SUMIFS('Эффекты технологий'!$L$25:$L$240,'Эффекты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6.25</x:v>
      </x:c>
      <x:c r="T12" s="10" t="n">
        <x:f>SUMIFS('Эффекты технологий'!$M$25:$M$240,'Эффекты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2028'!V12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2028'!B13+'Иран 2028'!D13+('Иран 2028'!C13+'Иран 2028'!F13+'Иран 2028'!G13)+(0.35*LN(1+0.6*('Ход 2028'!B19*(1+'Эффекты технологий'!L$12)))*POWER(MAX(0,1-'Иран 2028'!I13/10),0.7))))</x:f>
        <x:v>2.6000000000000005</x:v>
      </x:c>
      <x:c r="C13" s="3" t="n">
        <x:f>MIN(1,(MIN(1,'Иран 2028'!C13+'Иран 2028'!F13+(0.08*LN(1+0.5*('Ход 2028'!C19*(1+'Эффекты технологий'!L$12)))*MAX(0,1-('Иран 2028'!C13+'Иран 2028'!F13)))))+(SUMIFS('Эффекты технологий'!$M$25:$M$240,'Эффекты технологий'!$C$25:$C$240,$A13,'Эффекты технологий'!$D$25:$D$240,"Прирост")-SUMIFS('Эффекты технологий'!$L$25:$L$240,'Эффекты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2.6000000000000005</x:v>
      </x:c>
      <x:c r="J13" s="10" t="n">
        <x:f>SUMIFS('Эффекты технологий'!$M$25:$M$240,'Эффекты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2028'!L13+'Иран 2028'!N13+('Иран 2028'!M13+'Иран 2028'!P13+'Иран 2028'!Q13)))</x:f>
        <x:v>7.6000000000000005</x:v>
      </x:c>
      <x:c r="M13" s="3" t="n">
        <x:f>MIN(1,(MIN(1,'Иран 2028'!M13+'Иран 2028'!P13+(0.1*LN(1+0.5*('Ход 2028'!H15*(1+'Эффекты технологий'!L$10)))*POWER(MAX(0,1-'Иран 2028'!S13/10),0.8))))+(SUMIFS('Эффекты технологий'!$M$25:$M$240,'Эффекты технологий'!$C$25:$C$240,$K13,'Эффекты технологий'!$D$25:$D$240,"Прирост")-SUMIFS('Эффекты технологий'!$L$25:$L$240,'Эффекты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7.6000000000000005</x:v>
      </x:c>
      <x:c r="T13" s="10" t="n">
        <x:f>SUMIFS('Эффекты технологий'!$M$25:$M$240,'Эффекты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2028'!V13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2028'!B14+'Иран 2028'!D14+('Иран 2028'!C14+'Иран 2028'!F14+'Иран 2028'!G14)+(0.35*LN(1+0.6*('Ход 2028'!B20*(1+'Эффекты технологий'!L$12)))*POWER(MAX(0,1-'Иран 2028'!I14/10),0.7))))</x:f>
        <x:v>3.6000000000000005</x:v>
      </x:c>
      <x:c r="C14" s="3" t="n">
        <x:f>MIN(1,(MIN(1,'Иран 2028'!C14+'Иран 2028'!F14+(0.08*LN(1+0.5*('Ход 2028'!C20*(1+'Эффекты технологий'!L$12)))*MAX(0,1-('Иран 2028'!C14+'Иран 2028'!F14)))))+(SUMIFS('Эффекты технологий'!$M$25:$M$240,'Эффекты технологий'!$C$25:$C$240,$A14,'Эффекты технологий'!$D$25:$D$240,"Прирост")-SUMIFS('Эффекты технологий'!$L$25:$L$240,'Эффекты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3.6000000000000005</x:v>
      </x:c>
      <x:c r="J14" s="10" t="n">
        <x:f>SUMIFS('Эффекты технологий'!$M$25:$M$240,'Эффекты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2028'!L14+'Иран 2028'!N14+('Иран 2028'!M14+'Иран 2028'!P14+'Иран 2028'!Q14)))</x:f>
        <x:v>7.25</x:v>
      </x:c>
      <x:c r="M14" s="3" t="n">
        <x:f>MIN(1,(MIN(1,'Иран 2028'!M14+'Иран 2028'!P14+(0.1*LN(1+0.5*('Ход 2028'!H16*(1+'Эффекты технологий'!L$10)))*POWER(MAX(0,1-'Иран 2028'!S14/10),0.8))))+(SUMIFS('Эффекты технологий'!$M$25:$M$240,'Эффекты технологий'!$C$25:$C$240,$K14,'Эффекты технологий'!$D$25:$D$240,"Прирост")-SUMIFS('Эффекты технологий'!$L$25:$L$240,'Эффекты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7.25</x:v>
      </x:c>
      <x:c r="T14" s="10" t="n">
        <x:f>SUMIFS('Эффекты технологий'!$M$25:$M$240,'Эффекты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2028'!V14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2028'!B15+'Иран 2028'!D15+('Иран 2028'!C15+'Иран 2028'!F15+'Иран 2028'!G15)+(0.35*LN(1+0.6*('Ход 2028'!B21*(1+'Эффекты технологий'!L$12)))*POWER(MAX(0,1-'Иран 2028'!I15/10),0.7))))</x:f>
        <x:v>5.25</x:v>
      </x:c>
      <x:c r="C15" s="3" t="n">
        <x:f>MIN(1,(MIN(1,'Иран 2028'!C15+'Иран 2028'!F15+(0.08*LN(1+0.5*('Ход 2028'!C21*(1+'Эффекты технологий'!L$12)))*MAX(0,1-('Иран 2028'!C15+'Иран 2028'!F15)))))+(SUMIFS('Эффекты технологий'!$M$25:$M$240,'Эффекты технологий'!$C$25:$C$240,$A15,'Эффекты технологий'!$D$25:$D$240,"Прирост")-SUMIFS('Эффекты технологий'!$L$25:$L$240,'Эффекты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5.25</x:v>
      </x:c>
      <x:c r="J15" s="10" t="n">
        <x:f>SUMIFS('Эффекты технологий'!$M$25:$M$240,'Эффекты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2028'!L15+'Иран 2028'!N15+('Иран 2028'!M15+'Иран 2028'!P15+'Иран 2028'!Q15)))</x:f>
        <x:v>7.6000000000000005</x:v>
      </x:c>
      <x:c r="M15" s="3" t="n">
        <x:f>MIN(1,(MIN(1,'Иран 2028'!M15+'Иран 2028'!P15+(0.1*LN(1+0.5*('Ход 2028'!H17*(1+'Эффекты технологий'!L$10)))*POWER(MAX(0,1-'Иран 2028'!S15/10),0.8))))+(SUMIFS('Эффекты технологий'!$M$25:$M$240,'Эффекты технологий'!$C$25:$C$240,$K15,'Эффекты технологий'!$D$25:$D$240,"Прирост")-SUMIFS('Эффекты технологий'!$L$25:$L$240,'Эффекты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7.6000000000000005</x:v>
      </x:c>
      <x:c r="T15" s="10" t="n">
        <x:f>SUMIFS('Эффекты технологий'!$M$25:$M$240,'Эффекты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2028'!V15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2028'!B16+'Иран 2028'!D16+('Иран 2028'!C16+'Иран 2028'!F16+'Иран 2028'!G16)+(0.35*LN(1+0.6*('Ход 2028'!B22*(1+'Эффекты технологий'!L$12)))*POWER(MAX(0,1-'Иран 2028'!I16/10),0.7))))</x:f>
        <x:v>6.1000000000000005</x:v>
      </x:c>
      <x:c r="C16" s="3" t="n">
        <x:f>MIN(1,(MIN(1,'Иран 2028'!C16+'Иран 2028'!F16+(0.08*LN(1+0.5*('Ход 2028'!C22*(1+'Эффекты технологий'!L$12)))*MAX(0,1-('Иран 2028'!C16+'Иран 2028'!F16)))))+(SUMIFS('Эффекты технологий'!$M$25:$M$240,'Эффекты технологий'!$C$25:$C$240,$A16,'Эффекты технологий'!$D$25:$D$240,"Прирост")-SUMIFS('Эффекты технологий'!$L$25:$L$240,'Эффекты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6.1000000000000005</x:v>
      </x:c>
      <x:c r="J16" s="10" t="n">
        <x:f>SUMIFS('Эффекты технологий'!$M$25:$M$240,'Эффекты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2028'!L16+'Иран 2028'!N16+('Иран 2028'!M16+'Иран 2028'!P16+'Иран 2028'!Q16)))</x:f>
        <x:v>6.25</x:v>
      </x:c>
      <x:c r="M16" s="3" t="n">
        <x:f>MIN(1,(MIN(1,'Иран 2028'!M16+'Иран 2028'!P16+(0.1*LN(1+0.5*('Ход 2028'!H18*(1+'Эффекты технологий'!L$10)))*POWER(MAX(0,1-'Иран 2028'!S16/10),0.8))))+(SUMIFS('Эффекты технологий'!$M$25:$M$240,'Эффекты технологий'!$C$25:$C$240,$K16,'Эффекты технологий'!$D$25:$D$240,"Прирост")-SUMIFS('Эффекты технологий'!$L$25:$L$240,'Эффекты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6.25</x:v>
      </x:c>
      <x:c r="T16" s="10" t="n">
        <x:f>SUMIFS('Эффекты технологий'!$M$25:$M$240,'Эффекты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2028'!V16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2028'!B17+'Иран 2028'!D17+('Иран 2028'!C17+'Иран 2028'!F17+'Иран 2028'!G17)+(0.35*LN(1+0.6*('Ход 2028'!B23*(1+'Эффекты технологий'!L$12)))*POWER(MAX(0,1-'Иран 2028'!I17/10),0.7))))</x:f>
        <x:v>5.450000000000001</x:v>
      </x:c>
      <x:c r="C17" s="3" t="n">
        <x:f>MIN(1,(MIN(1,'Иран 2028'!C17+'Иран 2028'!F17+(0.08*LN(1+0.5*('Ход 2028'!C23*(1+'Эффекты технологий'!L$12)))*MAX(0,1-('Иран 2028'!C17+'Иран 2028'!F17)))))+(SUMIFS('Эффекты технологий'!$M$25:$M$240,'Эффекты технологий'!$C$25:$C$240,$A17,'Эффекты технологий'!$D$25:$D$240,"Прирост")-SUMIFS('Эффекты технологий'!$L$25:$L$240,'Эффекты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5.450000000000001</x:v>
      </x:c>
      <x:c r="J17" s="10" t="n">
        <x:f>SUMIFS('Эффекты технологий'!$M$25:$M$240,'Эффекты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2028'!L17+'Иран 2028'!N17+('Иран 2028'!M17+'Иран 2028'!P17+'Иран 2028'!Q17)))</x:f>
        <x:v>7.25</x:v>
      </x:c>
      <x:c r="M17" s="3" t="n">
        <x:f>MIN(1,(MIN(1,'Иран 2028'!M17+'Иран 2028'!P17+(0.1*LN(1+0.5*('Ход 2028'!H19*(1+'Эффекты технологий'!L$10)))*POWER(MAX(0,1-'Иран 2028'!S17/10),0.8))))+(SUMIFS('Эффекты технологий'!$M$25:$M$240,'Эффекты технологий'!$C$25:$C$240,$K17,'Эффекты технологий'!$D$25:$D$240,"Прирост")-SUMIFS('Эффекты технологий'!$L$25:$L$240,'Эффекты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7.25</x:v>
      </x:c>
      <x:c r="T17" s="10" t="n">
        <x:f>SUMIFS('Эффекты технологий'!$M$25:$M$240,'Эффекты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2028'!V17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2028'!L18+'Иран 2028'!N18+('Иран 2028'!M18+'Иран 2028'!P18+'Иран 2028'!Q18)))</x:f>
        <x:v>7.25</x:v>
      </x:c>
      <x:c r="M18" s="3" t="n">
        <x:f>MIN(1,(MIN(1,'Иран 2028'!M18+'Иран 2028'!P18+(0.1*LN(1+0.5*('Ход 2028'!H20*(1+'Эффекты технологий'!L$10)))*POWER(MAX(0,1-'Иран 2028'!S18/10),0.8))))+(SUMIFS('Эффекты технологий'!$M$25:$M$240,'Эффекты технологий'!$C$25:$C$240,$K18,'Эффекты технологий'!$D$25:$D$240,"Прирост")-SUMIFS('Эффекты технологий'!$L$25:$L$240,'Эффекты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7.25</x:v>
      </x:c>
      <x:c r="T18" s="10" t="n">
        <x:f>SUMIFS('Эффекты технологий'!$M$25:$M$240,'Эффекты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2028'!V18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2028'!B19+'Иран 2028'!D19+('Иран 2028'!C19+'Иран 2028'!F19+'Иран 2028'!G19)+(0.35*LN(1+0.6*'Ход 2028'!B25)*POWER(MAX(0,1-'Иран 2028'!I19/10),0.7))))</x:f>
        <x:v>6.1000000000000005</x:v>
      </x:c>
      <x:c r="C19" s="3" t="n">
        <x:f>MIN(1,(MIN(1,'Иран 2028'!C19+'Иран 2028'!F19+(0.08*LN(1+0.5*'Ход 2028'!C25)*MAX(0,1-('Иран 2028'!C19+'Иран 2028'!F19)))))+(SUMIFS('Эффекты технологий'!$M$25:$M$240,'Эффекты технологий'!$C$25:$C$240,$A19,'Эффекты технологий'!$D$25:$D$240,"Прирост")-SUMIFS('Эффекты технологий'!$L$25:$L$240,'Эффекты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6.1000000000000005</x:v>
      </x:c>
      <x:c r="J19" s="10" t="n">
        <x:f>SUMIFS('Эффекты технологий'!$M$25:$M$240,'Эффекты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2028'!V19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2028'!B20+'Иран 2028'!D20+('Иран 2028'!C20+'Иран 2028'!F20+'Иран 2028'!G20)+(0.35*LN(1+0.6*'Ход 2028'!B26)*POWER(MAX(0,1-'Иран 2028'!I20/10),0.7))))</x:f>
        <x:v>6.25</x:v>
      </x:c>
      <x:c r="C20" s="3" t="n">
        <x:f>MIN(1,(MIN(1,'Иран 2028'!C20+'Иран 2028'!F20+(0.08*LN(1+0.5*'Ход 2028'!C26)*MAX(0,1-('Иран 2028'!C20+'Иран 2028'!F20)))))+(SUMIFS('Эффекты технологий'!$M$25:$M$240,'Эффекты технологий'!$C$25:$C$240,$A20,'Эффекты технологий'!$D$25:$D$240,"Прирост")-SUMIFS('Эффекты технологий'!$L$25:$L$240,'Эффекты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6.25</x:v>
      </x:c>
      <x:c r="J20" s="10" t="n">
        <x:f>SUMIFS('Эффекты технологий'!$M$25:$M$240,'Эффекты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2028'!V20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2028'!B21+'Иран 2028'!D21+('Иран 2028'!C21+'Иран 2028'!F21+'Иран 2028'!G21)+(0.35*LN(1+0.6*'Ход 2028'!B27)*POWER(MAX(0,1-'Иран 2028'!I21/10),0.7))))</x:f>
        <x:v>5.6000000000000005</x:v>
      </x:c>
      <x:c r="C21" s="3" t="n">
        <x:f>MIN(1,(MIN(1,'Иран 2028'!C21+'Иран 2028'!F21+(0.08*LN(1+0.5*'Ход 2028'!C27)*MAX(0,1-('Иран 2028'!C21+'Иран 2028'!F21)))))+(SUMIFS('Эффекты технологий'!$M$25:$M$240,'Эффекты технологий'!$C$25:$C$240,$A21,'Эффекты технологий'!$D$25:$D$240,"Прирост")-SUMIFS('Эффекты технологий'!$L$25:$L$240,'Эффекты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5.6000000000000005</x:v>
      </x:c>
      <x:c r="J21" s="10" t="n">
        <x:f>SUMIFS('Эффекты технологий'!$M$25:$M$240,'Эффекты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2028'!V21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2028'!B22+'Иран 2028'!D22+('Иран 2028'!C22+'Иран 2028'!F22+'Иран 2028'!G22)+(0.35*LN(1+0.6*'Ход 2028'!B28)*POWER(MAX(0,1-'Иран 2028'!I22/10),0.7))))</x:f>
        <x:v>8.299999999999999</x:v>
      </x:c>
      <x:c r="C22" s="3" t="n">
        <x:f>MIN(1,(MIN(1,'Иран 2028'!C22+'Иран 2028'!F22+(0.08*LN(1+0.5*'Ход 2028'!C28)*MAX(0,1-('Иран 2028'!C22+'Иран 2028'!F22)))))+(SUMIFS('Эффекты технологий'!$M$25:$M$240,'Эффекты технологий'!$C$25:$C$240,$A22,'Эффекты технологий'!$D$25:$D$240,"Прирост")-SUMIFS('Эффекты технологий'!$L$25:$L$240,'Эффекты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8.299999999999999</x:v>
      </x:c>
      <x:c r="J22" s="10" t="n">
        <x:f>SUMIFS('Эффекты технологий'!$M$25:$M$240,'Эффекты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2028'!V22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2028'!B23+'Иран 2028'!D23+('Иран 2028'!C23+'Иран 2028'!F23+'Иран 2028'!G23)+(0.35*LN(1+0.6*'Ход 2028'!B29)*POWER(MAX(0,1-'Иран 2028'!I23/10),0.7))))</x:f>
        <x:v>7.1000000000000005</x:v>
      </x:c>
      <x:c r="C23" s="3" t="n">
        <x:f>MIN(1,(MIN(1,'Иран 2028'!C23+'Иран 2028'!F23+(0.08*LN(1+0.5*'Ход 2028'!C29)*MAX(0,1-('Иран 2028'!C23+'Иран 2028'!F23)))))+(SUMIFS('Эффекты технологий'!$M$25:$M$240,'Эффекты технологий'!$C$25:$C$240,$A23,'Эффекты технологий'!$D$25:$D$240,"Прирост")-SUMIFS('Эффекты технологий'!$L$25:$L$240,'Эффекты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7.1000000000000005</x:v>
      </x:c>
      <x:c r="J23" s="10" t="n">
        <x:f>SUMIFS('Эффекты технологий'!$M$25:$M$240,'Эффекты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2028'!V23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2028'!V24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2028'!B25+'Иран 2028'!D25+('Иран 2028'!C25+'Иран 2028'!F25+'Иран 2028'!G25)+(0.35*LN(1+0.6*'Ход 2028'!B31)*POWER(MAX(0,1-'Иран 2028'!I25/10),0.7))))</x:f>
        <x:v>7.299999999999999</x:v>
      </x:c>
      <x:c r="C25" s="3" t="n">
        <x:f>MIN(1,(MIN(1,'Иран 2028'!C25+'Иран 2028'!F25+(0.08*LN(1+0.5*'Ход 2028'!C31)*MAX(0,1-('Иран 2028'!C25+'Иран 2028'!F25)))))+(SUMIFS('Эффекты технологий'!$M$25:$M$240,'Эффекты технологий'!$C$25:$C$240,$A25,'Эффекты технологий'!$D$25:$D$240,"Прирост")-SUMIFS('Эффекты технологий'!$L$25:$L$240,'Эффекты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7.299999999999999</x:v>
      </x:c>
      <x:c r="J25" s="10" t="n">
        <x:f>SUMIFS('Эффекты технологий'!$M$25:$M$240,'Эффекты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2028'!V25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2028'!B26+'Иран 2028'!D26+('Иран 2028'!C26+'Иран 2028'!F26+'Иран 2028'!G26)+(0.35*LN(1+0.6*'Ход 2028'!B32)*POWER(MAX(0,1-'Иран 2028'!I26/10),0.7))))</x:f>
        <x:v>6.1000000000000005</x:v>
      </x:c>
      <x:c r="C26" s="3" t="n">
        <x:f>MIN(1,(MIN(1,'Иран 2028'!C26+'Иран 2028'!F26+(0.08*LN(1+0.5*'Ход 2028'!C32)*MAX(0,1-('Иран 2028'!C26+'Иран 2028'!F26)))))+(SUMIFS('Эффекты технологий'!$M$25:$M$240,'Эффекты технологий'!$C$25:$C$240,$A26,'Эффекты технологий'!$D$25:$D$240,"Прирост")-SUMIFS('Эффекты технологий'!$L$25:$L$240,'Эффекты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6.1000000000000005</x:v>
      </x:c>
      <x:c r="J26" s="10" t="n">
        <x:f>SUMIFS('Эффекты технологий'!$M$25:$M$240,'Эффекты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2028'!V26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2028'!B27+'Иран 2028'!D27+('Иран 2028'!C27+'Иран 2028'!F27+'Иран 2028'!G27)+(0.35*LN(1+0.6*'Ход 2028'!B33)*POWER(MAX(0,1-'Иран 2028'!I27/10),0.7))))</x:f>
        <x:v>6.450000000000001</x:v>
      </x:c>
      <x:c r="C27" s="3" t="n">
        <x:f>MIN(1,(MIN(1,'Иран 2028'!C27+'Иран 2028'!F27+(0.08*LN(1+0.5*'Ход 2028'!C33)*MAX(0,1-('Иран 2028'!C27+'Иран 2028'!F27)))))+(SUMIFS('Эффекты технологий'!$M$25:$M$240,'Эффекты технологий'!$C$25:$C$240,$A27,'Эффекты технологий'!$D$25:$D$240,"Прирост")-SUMIFS('Эффекты технологий'!$L$25:$L$240,'Эффекты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6.450000000000001</x:v>
      </x:c>
      <x:c r="J27" s="10" t="n">
        <x:f>SUMIFS('Эффекты технологий'!$M$25:$M$240,'Эффекты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2028'!B28+'Иран 2028'!D28+('Иран 2028'!C28+'Иран 2028'!F28+'Иран 2028'!G28)+(0.35*LN(1+0.6*'Ход 2028'!B34)*POWER(MAX(0,1-'Иран 2028'!I28/10),0.7))))</x:f>
        <x:v>6.1000000000000005</x:v>
      </x:c>
      <x:c r="C28" s="3" t="n">
        <x:f>MIN(1,(MIN(1,'Иран 2028'!C28+'Иран 2028'!F28+(0.08*LN(1+0.5*'Ход 2028'!C34)*MAX(0,1-('Иран 2028'!C28+'Иран 2028'!F28)))))+(SUMIFS('Эффекты технологий'!$M$25:$M$240,'Эффекты технологий'!$C$25:$C$240,$A28,'Эффекты технологий'!$D$25:$D$240,"Прирост")-SUMIFS('Эффекты технологий'!$L$25:$L$240,'Эффекты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6.1000000000000005</x:v>
      </x:c>
      <x:c r="J28" s="10" t="n">
        <x:f>SUMIFS('Эффекты технологий'!$M$25:$M$240,'Эффекты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2028'!B29+'Иран 2028'!D29+('Иран 2028'!C29+'Иран 2028'!F29+'Иран 2028'!G29)+(0.35*LN(1+0.6*'Ход 2028'!B35)*POWER(MAX(0,1-'Иран 2028'!I29/10),0.7))))</x:f>
        <x:v>6.1000000000000005</x:v>
      </x:c>
      <x:c r="C29" s="3" t="n">
        <x:f>MIN(1,(MIN(1,'Иран 2028'!C29+'Иран 2028'!F29+(0.08*LN(1+0.5*'Ход 2028'!C35)*MAX(0,1-('Иран 2028'!C29+'Иран 2028'!F29)))))+(SUMIFS('Эффекты технологий'!$M$25:$M$240,'Эффекты технологий'!$C$25:$C$240,$A29,'Эффекты технологий'!$D$25:$D$240,"Прирост")-SUMIFS('Эффекты технологий'!$L$25:$L$240,'Эффекты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6.1000000000000005</x:v>
      </x:c>
      <x:c r="J29" s="10" t="n">
        <x:f>SUMIFS('Эффекты технологий'!$M$25:$M$240,'Эффекты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2028'!B30+'Иран 2028'!D30+('Иран 2028'!C30+'Иран 2028'!F30+'Иран 2028'!G30)+(0.35*LN(1+0.6*'Ход 2028'!B36)*POWER(MAX(0,1-'Иран 2028'!I30/10),0.7))))</x:f>
        <x:v>5.950000000000001</x:v>
      </x:c>
      <x:c r="C30" s="3" t="n">
        <x:f>MIN(1,(MIN(1,'Иран 2028'!C30+'Иран 2028'!F30+(0.08*LN(1+0.5*'Ход 2028'!C36)*MAX(0,1-('Иран 2028'!C30+'Иран 2028'!F30)))))+(SUMIFS('Эффекты технологий'!$M$25:$M$240,'Эффекты технологий'!$C$25:$C$240,$A30,'Эффекты технологий'!$D$25:$D$240,"Прирост")-SUMIFS('Эффекты технологий'!$L$25:$L$240,'Эффекты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5.950000000000001</x:v>
      </x:c>
      <x:c r="J30" s="10" t="n">
        <x:f>SUMIFS('Эффекты технологий'!$M$25:$M$240,'Эффекты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2028'!B31+'Иран 2028'!D31+('Иран 2028'!C31+'Иран 2028'!F31+'Иран 2028'!G31)+(0.35*LN(1+0.6*'Ход 2028'!B37)*POWER(MAX(0,1-'Иран 2028'!I31/10),0.7))))</x:f>
        <x:v>5.950000000000001</x:v>
      </x:c>
      <x:c r="C31" s="3" t="n">
        <x:f>MIN(1,(MIN(1,'Иран 2028'!C31+'Иран 2028'!F31+(0.08*LN(1+0.5*'Ход 2028'!C37)*MAX(0,1-('Иран 2028'!C31+'Иран 2028'!F31)))))+(SUMIFS('Эффекты технологий'!$M$25:$M$240,'Эффекты технологий'!$C$25:$C$240,$A31,'Эффекты технологий'!$D$25:$D$240,"Прирост")-SUMIFS('Эффекты технологий'!$L$25:$L$240,'Эффекты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5.950000000000001</x:v>
      </x:c>
      <x:c r="J31" s="10" t="n">
        <x:f>SUMIFS('Эффекты технологий'!$M$25:$M$240,'Эффекты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2028'!B32+'Иран 2028'!D32+('Иран 2028'!C32+'Иран 2028'!F32+'Иран 2028'!G32)+(0.35*LN(1+0.6*'Ход 2028'!B38)*POWER(MAX(0,1-'Иран 2028'!I32/10),0.7))))</x:f>
        <x:v>8.1</x:v>
      </x:c>
      <x:c r="C32" s="3" t="n">
        <x:f>MIN(1,(MIN(1,'Иран 2028'!C32+'Иран 2028'!F32+(0.08*LN(1+0.5*'Ход 2028'!C38)*MAX(0,1-('Иран 2028'!C32+'Иран 2028'!F32)))))+(SUMIFS('Эффекты технологий'!$M$25:$M$240,'Эффекты технологий'!$C$25:$C$240,$A32,'Эффекты технологий'!$D$25:$D$240,"Прирост")-SUMIFS('Эффекты технологий'!$L$25:$L$240,'Эффекты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8.1</x:v>
      </x:c>
      <x:c r="J32" s="10" t="n">
        <x:f>SUMIFS('Эффекты технологий'!$M$25:$M$240,'Эффекты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2028'!B34+'Иран 2028'!D34+('Иран 2028'!C34+'Иран 2028'!F34+'Иран 2028'!G34)+(0.35*LN(1+0.6*'Ход 2028'!B40)*POWER(MAX(0,1-'Иран 2028'!I34/10),0.7))))</x:f>
        <x:v>8.1</x:v>
      </x:c>
      <x:c r="C34" s="3" t="n">
        <x:f>MIN(1,(MIN(1,'Иран 2028'!C34+'Иран 2028'!F34+(0.08*LN(1+0.5*'Ход 2028'!C40)*MAX(0,1-('Иран 2028'!C34+'Иран 2028'!F34)))))+(SUMIFS('Эффекты технологий'!$M$25:$M$240,'Эффекты технологий'!$C$25:$C$240,$A34,'Эффекты технологий'!$D$25:$D$240,"Прирост")-SUMIFS('Эффекты технологий'!$L$25:$L$240,'Эффекты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8.1</x:v>
      </x:c>
      <x:c r="J34" s="10" t="n">
        <x:f>SUMIFS('Эффекты технологий'!$M$25:$M$240,'Эффекты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2028'!B35+'Иран 2028'!D35+('Иран 2028'!C35+'Иран 2028'!F35+'Иран 2028'!G35)+(0.35*LN(1+0.6*'Ход 2028'!B41)*POWER(MAX(0,1-'Иран 2028'!I35/10),0.7))))</x:f>
        <x:v>8.299999999999999</x:v>
      </x:c>
      <x:c r="C35" s="3" t="n">
        <x:f>MIN(1,(MIN(1,'Иран 2028'!C35+'Иран 2028'!F35+(0.08*LN(1+0.5*'Ход 2028'!C41)*MAX(0,1-('Иран 2028'!C35+'Иран 2028'!F35)))))+(SUMIFS('Эффекты технологий'!$M$25:$M$240,'Эффекты технологий'!$C$25:$C$240,$A35,'Эффекты технологий'!$D$25:$D$240,"Прирост")-SUMIFS('Эффекты технологий'!$L$25:$L$240,'Эффекты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8.299999999999999</x:v>
      </x:c>
      <x:c r="J35" s="10" t="n">
        <x:f>SUMIFS('Эффекты технологий'!$M$25:$M$240,'Эффекты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2028'!B36+'Иран 2028'!D36+('Иран 2028'!C36+'Иран 2028'!F36+'Иран 2028'!G36)+(0.35*LN(1+0.6*'Ход 2028'!B42)*POWER(MAX(0,1-'Иран 2028'!I36/10),0.7))))</x:f>
        <x:v>7.1000000000000005</x:v>
      </x:c>
      <x:c r="C36" s="3" t="n">
        <x:f>MIN(1,(MIN(1,'Иран 2028'!C36+'Иран 2028'!F36+(0.08*LN(1+0.5*'Ход 2028'!C42)*MAX(0,1-('Иран 2028'!C36+'Иран 2028'!F36)))))+(SUMIFS('Эффекты технологий'!$M$25:$M$240,'Эффекты технологий'!$C$25:$C$240,$A36,'Эффекты технологий'!$D$25:$D$240,"Прирост")-SUMIFS('Эффекты технологий'!$L$25:$L$240,'Эффекты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7.1000000000000005</x:v>
      </x:c>
      <x:c r="J36" s="10" t="n">
        <x:f>SUMIFS('Эффекты технологий'!$M$25:$M$240,'Эффекты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2028'!B37+'Иран 2028'!D37+('Иран 2028'!C37+'Иран 2028'!F37+'Иран 2028'!G37)+(0.35*LN(1+0.6*'Ход 2028'!B43)*POWER(MAX(0,1-'Иран 2028'!I37/10),0.7))))</x:f>
        <x:v>5.6000000000000005</x:v>
      </x:c>
      <x:c r="C37" s="3" t="n">
        <x:f>MIN(1,(MIN(1,'Иран 2028'!C37+'Иран 2028'!F37+(0.08*LN(1+0.5*'Ход 2028'!C43)*MAX(0,1-('Иран 2028'!C37+'Иран 2028'!F37)))))+(SUMIFS('Эффекты технологий'!$M$25:$M$240,'Эффекты технологий'!$C$25:$C$240,$A37,'Эффекты технологий'!$D$25:$D$240,"Прирост")-SUMIFS('Эффекты технологий'!$L$25:$L$240,'Эффекты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5.6000000000000005</x:v>
      </x:c>
      <x:c r="J37" s="10" t="n">
        <x:f>SUMIFS('Эффекты технологий'!$M$25:$M$240,'Эффекты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2028'!B38+'Иран 2028'!D38+('Иран 2028'!C38+'Иран 2028'!F38+'Иран 2028'!G38)+(0.35*LN(1+0.6*'Ход 2028'!B44)*POWER(MAX(0,1-'Иран 2028'!I38/10),0.7))))</x:f>
        <x:v>6.1000000000000005</x:v>
      </x:c>
      <x:c r="C38" s="3" t="n">
        <x:f>MIN(1,(MIN(1,'Иран 2028'!C38+'Иран 2028'!F38+(0.08*LN(1+0.5*'Ход 2028'!C44)*MAX(0,1-('Иран 2028'!C38+'Иран 2028'!F38)))))+(SUMIFS('Эффекты технологий'!$M$25:$M$240,'Эффекты технологий'!$C$25:$C$240,$A38,'Эффекты технологий'!$D$25:$D$240,"Прирост")-SUMIFS('Эффекты технологий'!$L$25:$L$240,'Эффекты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6.1000000000000005</x:v>
      </x:c>
      <x:c r="J38" s="10" t="n">
        <x:f>SUMIFS('Эффекты технологий'!$M$25:$M$240,'Эффекты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2028'!B39+'Иран 2028'!D39+('Иран 2028'!C39+'Иран 2028'!F39+'Иран 2028'!G39)+(0.35*LN(1+0.6*'Ход 2028'!B45)*POWER(MAX(0,1-'Иран 2028'!I39/10),0.7))))</x:f>
        <x:v>6.6000000000000005</x:v>
      </x:c>
      <x:c r="C39" s="3" t="n">
        <x:f>MIN(1,(MIN(1,'Иран 2028'!C39+'Иран 2028'!F39+(0.08*LN(1+0.5*'Ход 2028'!C45)*MAX(0,1-('Иран 2028'!C39+'Иран 2028'!F39)))))+(SUMIFS('Эффекты технологий'!$M$25:$M$240,'Эффекты технологий'!$C$25:$C$240,$A39,'Эффекты технологий'!$D$25:$D$240,"Прирост")-SUMIFS('Эффекты технологий'!$L$25:$L$240,'Эффекты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6.6000000000000005</x:v>
      </x:c>
      <x:c r="J39" s="10" t="n">
        <x:f>SUMIFS('Эффекты технологий'!$M$25:$M$240,'Эффекты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2028'!B40+'Иран 2028'!D40+('Иран 2028'!C40+'Иран 2028'!F40+'Иран 2028'!G40)+(0.35*LN(1+0.6*'Ход 2028'!B46)*POWER(MAX(0,1-'Иран 2028'!I40/10),0.7))))</x:f>
        <x:v>4.950000000000001</x:v>
      </x:c>
      <x:c r="C40" s="3" t="n">
        <x:f>MIN(1,(MIN(1,'Иран 2028'!C40+'Иран 2028'!F40+(0.08*LN(1+0.5*'Ход 2028'!C46)*MAX(0,1-('Иран 2028'!C40+'Иран 2028'!F40)))))+(SUMIFS('Эффекты технологий'!$M$25:$M$240,'Эффекты технологий'!$C$25:$C$240,$A40,'Эффекты технологий'!$D$25:$D$240,"Прирост")-SUMIFS('Эффекты технологий'!$L$25:$L$240,'Эффекты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4.950000000000001</x:v>
      </x:c>
      <x:c r="J40" s="10" t="n">
        <x:f>SUMIFS('Эффекты технологий'!$M$25:$M$240,'Эффекты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2028'!B41+'Иран 2028'!D41+('Иран 2028'!C41+'Иран 2028'!F41+'Иран 2028'!G41)+(0.35*LN(1+0.6*'Ход 2028'!B47)*POWER(MAX(0,1-'Иран 2028'!I41/10),0.7))))</x:f>
        <x:v>5.6000000000000005</x:v>
      </x:c>
      <x:c r="C41" s="3" t="n">
        <x:f>MIN(1,(MIN(1,'Иран 2028'!C41+'Иран 2028'!F41+(0.08*LN(1+0.5*'Ход 2028'!C47)*MAX(0,1-('Иран 2028'!C41+'Иран 2028'!F41)))))+(SUMIFS('Эффекты технологий'!$M$25:$M$240,'Эффекты технологий'!$C$25:$C$240,$A41,'Эффекты технологий'!$D$25:$D$240,"Прирост")-SUMIFS('Эффекты технологий'!$L$25:$L$240,'Эффекты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5.6000000000000005</x:v>
      </x:c>
      <x:c r="J41" s="10" t="n">
        <x:f>SUMIFS('Эффекты технологий'!$M$25:$M$240,'Эффекты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2028'!B42+'Иран 2028'!D42+('Иран 2028'!C42+'Иран 2028'!F42+'Иран 2028'!G42)+(0.35*LN(1+0.6*'Ход 2028'!B48)*POWER(MAX(0,1-'Иран 2028'!I42/10),0.7))))</x:f>
        <x:v>7.299999999999999</x:v>
      </x:c>
      <x:c r="C42" s="3" t="n">
        <x:f>MIN(1,(MIN(1,'Иран 2028'!C42+'Иран 2028'!F42+(0.08*LN(1+0.5*'Ход 2028'!C48)*MAX(0,1-('Иран 2028'!C42+'Иран 2028'!F42)))))+(SUMIFS('Эффекты технологий'!$M$25:$M$240,'Эффекты технологий'!$C$25:$C$240,$A42,'Эффекты технологий'!$D$25:$D$240,"Прирост")-SUMIFS('Эффекты технологий'!$L$25:$L$240,'Эффекты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7.299999999999999</x:v>
      </x:c>
      <x:c r="J42" s="10" t="n">
        <x:f>SUMIFS('Эффекты технологий'!$M$25:$M$240,'Эффекты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2028'!B44+'Иран 2028'!D44+('Иран 2028'!C44+'Иран 2028'!F44+'Иран 2028'!G44)+(0.35*LN(1+0.6*'Ход 2028'!B50)*POWER(MAX(0,1-'Иран 2028'!I44/10),0.7))))</x:f>
        <x:v>4.299999999999999</x:v>
      </x:c>
      <x:c r="C44" s="3" t="n">
        <x:f>MIN(1,(MIN(1,'Иран 2028'!C44+'Иран 2028'!F44+(0.08*LN(1+0.5*'Ход 2028'!C50)*MAX(0,1-('Иран 2028'!C44+'Иран 2028'!F44)))))+(SUMIFS('Эффекты технологий'!$M$25:$M$240,'Эффекты технологий'!$C$25:$C$240,$A44,'Эффекты технологий'!$D$25:$D$240,"Прирост")-SUMIFS('Эффекты технологий'!$L$25:$L$240,'Эффекты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4.299999999999999</x:v>
      </x:c>
      <x:c r="J44" s="10" t="n">
        <x:f>SUMIFS('Эффекты технологий'!$M$25:$M$240,'Эффекты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2028'!B45+'Иран 2028'!D45+('Иран 2028'!C45+'Иран 2028'!F45+'Иран 2028'!G45)+(0.35*LN(1+0.6*'Ход 2028'!B51)*POWER(MAX(0,1-'Иран 2028'!I45/10),0.7))))</x:f>
        <x:v>5.450000000000001</x:v>
      </x:c>
      <x:c r="C45" s="3" t="n">
        <x:f>MIN(1,(MIN(1,'Иран 2028'!C45+'Иран 2028'!F45+(0.08*LN(1+0.5*'Ход 2028'!C51)*MAX(0,1-('Иран 2028'!C45+'Иран 2028'!F45)))))+(SUMIFS('Эффекты технологий'!$M$25:$M$240,'Эффекты технологий'!$C$25:$C$240,$A45,'Эффекты технологий'!$D$25:$D$240,"Прирост")-SUMIFS('Эффекты технологий'!$L$25:$L$240,'Эффекты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5.450000000000001</x:v>
      </x:c>
      <x:c r="J45" s="10" t="n">
        <x:f>SUMIFS('Эффекты технологий'!$M$25:$M$240,'Эффекты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2028'!B46+'Иран 2028'!D46+('Иран 2028'!C46+'Иран 2028'!F46+'Иран 2028'!G46)+(0.35*LN(1+0.6*'Ход 2028'!B52)*POWER(MAX(0,1-'Иран 2028'!I46/10),0.7))))</x:f>
        <x:v>5.450000000000001</x:v>
      </x:c>
      <x:c r="C46" s="3" t="n">
        <x:f>MIN(1,(MIN(1,'Иран 2028'!C46+'Иран 2028'!F46+(0.08*LN(1+0.5*'Ход 2028'!C52)*MAX(0,1-('Иран 2028'!C46+'Иран 2028'!F46)))))+(SUMIFS('Эффекты технологий'!$M$25:$M$240,'Эффекты технологий'!$C$25:$C$240,$A46,'Эффекты технологий'!$D$25:$D$240,"Прирост")-SUMIFS('Эффекты технологий'!$L$25:$L$240,'Эффекты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5.450000000000001</x:v>
      </x:c>
      <x:c r="J46" s="10" t="n">
        <x:f>SUMIFS('Эффекты технологий'!$M$25:$M$240,'Эффекты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2028'!B47+'Иран 2028'!D47+('Иран 2028'!C47+'Иран 2028'!F47+'Иран 2028'!G47)+(0.35*LN(1+0.6*'Ход 2028'!B53)*POWER(MAX(0,1-'Иран 2028'!I47/10),0.7))))</x:f>
        <x:v>2.3500000000000005</x:v>
      </x:c>
      <x:c r="C47" s="3" t="n">
        <x:f>MIN(1,(MIN(1,'Иран 2028'!C47+'Иран 2028'!F47+(0.08*LN(1+0.5*'Ход 2028'!C53)*MAX(0,1-('Иран 2028'!C47+'Иран 2028'!F47)))))+(SUMIFS('Эффекты технологий'!$M$25:$M$240,'Эффекты технологий'!$C$25:$C$240,$A47,'Эффекты технологий'!$D$25:$D$240,"Прирост")-SUMIFS('Эффекты технологий'!$L$25:$L$240,'Эффекты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2.3500000000000005</x:v>
      </x:c>
      <x:c r="J47" s="10" t="n">
        <x:f>SUMIFS('Эффекты технологий'!$M$25:$M$240,'Эффекты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2028'!B48+'Иран 2028'!D48+('Иран 2028'!C48+'Иран 2028'!F48+'Иран 2028'!G48)+(0.35*LN(1+0.6*'Ход 2028'!B54)*POWER(MAX(0,1-'Иран 2028'!I48/10),0.7))))</x:f>
        <x:v>5.799999999999999</x:v>
      </x:c>
      <x:c r="C48" s="3" t="n">
        <x:f>MIN(1,(MIN(1,'Иран 2028'!C48+'Иран 2028'!F48+(0.08*LN(1+0.5*'Ход 2028'!C54)*MAX(0,1-('Иран 2028'!C48+'Иран 2028'!F48)))))+(SUMIFS('Эффекты технологий'!$M$25:$M$240,'Эффекты технологий'!$C$25:$C$240,$A48,'Эффекты технологий'!$D$25:$D$240,"Прирост")-SUMIFS('Эффекты технологий'!$L$25:$L$240,'Эффекты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5.799999999999999</x:v>
      </x:c>
      <x:c r="J48" s="10" t="n">
        <x:f>SUMIFS('Эффекты технологий'!$M$25:$M$240,'Эффекты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2028'!B49+'Иран 2028'!D49+('Иран 2028'!C49+'Иран 2028'!F49+'Иран 2028'!G49)+(0.35*LN(1+0.6*'Ход 2028'!B55)*POWER(MAX(0,1-'Иран 2028'!I49/10),0.7))))</x:f>
        <x:v>7.25</x:v>
      </x:c>
      <x:c r="C49" s="3" t="n">
        <x:f>MIN(1,(MIN(1,'Иран 2028'!C49+'Иран 2028'!F49+(0.08*LN(1+0.5*'Ход 2028'!C55)*MAX(0,1-('Иран 2028'!C49+'Иран 2028'!F49)))))+(SUMIFS('Эффекты технологий'!$M$25:$M$240,'Эффекты технологий'!$C$25:$C$240,$A49,'Эффекты технологий'!$D$25:$D$240,"Прирост")-SUMIFS('Эффекты технологий'!$L$25:$L$240,'Эффекты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7.25</x:v>
      </x:c>
      <x:c r="J49" s="10" t="n">
        <x:f>SUMIFS('Эффекты технологий'!$M$25:$M$240,'Эффекты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2028'!B50+'Иран 2028'!D50+('Иран 2028'!C50+'Иран 2028'!F50+'Иран 2028'!G50)+(0.35*LN(1+0.6*'Ход 2028'!B56)*POWER(MAX(0,1-'Иран 2028'!I50/10),0.7))))</x:f>
        <x:v>9.150000000000002</x:v>
      </x:c>
      <x:c r="C50" s="3" t="n">
        <x:f>MIN(1,(MIN(1,'Иран 2028'!C50+'Иран 2028'!F50+(0.08*LN(1+0.5*'Ход 2028'!C56)*MAX(0,1-('Иран 2028'!C50+'Иран 2028'!F50)))))+(SUMIFS('Эффекты технологий'!$M$25:$M$240,'Эффекты технологий'!$C$25:$C$240,$A50,'Эффекты технологий'!$D$25:$D$240,"Прирост")-SUMIFS('Эффекты технологий'!$L$25:$L$240,'Эффекты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9.150000000000002</x:v>
      </x:c>
      <x:c r="J50" s="10" t="n">
        <x:f>SUMIFS('Эффекты технологий'!$M$25:$M$240,'Эффекты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2028'!B51+'Иран 2028'!D51+('Иран 2028'!C51+'Иран 2028'!F51+'Иран 2028'!G51)+(0.35*LN(1+0.6*'Ход 2028'!B57)*POWER(MAX(0,1-'Иран 2028'!I51/10),0.7))))</x:f>
        <x:v>6.6000000000000005</x:v>
      </x:c>
      <x:c r="C51" s="3" t="n">
        <x:f>MIN(1,(MIN(1,'Иран 2028'!C51+'Иран 2028'!F51+(0.08*LN(1+0.5*'Ход 2028'!C57)*MAX(0,1-('Иран 2028'!C51+'Иран 2028'!F51)))))+(SUMIFS('Эффекты технологий'!$M$25:$M$240,'Эффекты технологий'!$C$25:$C$240,$A51,'Эффекты технологий'!$D$25:$D$240,"Прирост")-SUMIFS('Эффекты технологий'!$L$25:$L$240,'Эффекты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6.6000000000000005</x:v>
      </x:c>
      <x:c r="J51" s="10" t="n">
        <x:f>SUMIFS('Эффекты технологий'!$M$25:$M$240,'Эффекты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2028'!B53+'Иран 2028'!D53+('Иран 2028'!C53+'Иран 2028'!F53+'Иран 2028'!G53)+(0.35*LN(1+0.6*'Ход 2028'!B59)*POWER(MAX(0,1-'Иран 2028'!I53/10),0.7))))</x:f>
        <x:v>6.1000000000000005</x:v>
      </x:c>
      <x:c r="C53" s="3" t="n">
        <x:f>MIN(1,(MIN(1,'Иран 2028'!C53+'Иран 2028'!F53+(0.08*LN(1+0.5*'Ход 2028'!C59)*MAX(0,1-('Иран 2028'!C53+'Иран 2028'!F53)))))+(SUMIFS('Эффекты технологий'!$M$25:$M$240,'Эффекты технологий'!$C$25:$C$240,$A53,'Эффекты технологий'!$D$25:$D$240,"Прирост")-SUMIFS('Эффекты технологий'!$L$25:$L$240,'Эффекты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6.1000000000000005</x:v>
      </x:c>
      <x:c r="J53" s="10" t="n">
        <x:f>SUMIFS('Эффекты технологий'!$M$25:$M$240,'Эффекты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2028'!B54+'Иран 2028'!D54+('Иран 2028'!C54+'Иран 2028'!F54+'Иран 2028'!G54)+(0.35*LN(1+0.6*'Ход 2028'!B60)*POWER(MAX(0,1-'Иран 2028'!I54/10),0.7))))</x:f>
        <x:v>5.6000000000000005</x:v>
      </x:c>
      <x:c r="C54" s="3" t="n">
        <x:f>MIN(1,(MIN(1,'Иран 2028'!C54+'Иран 2028'!F54+(0.08*LN(1+0.5*'Ход 2028'!C60)*MAX(0,1-('Иран 2028'!C54+'Иран 2028'!F54)))))+(SUMIFS('Эффекты технологий'!$M$25:$M$240,'Эффекты технологий'!$C$25:$C$240,$A54,'Эффекты технологий'!$D$25:$D$240,"Прирост")-SUMIFS('Эффекты технологий'!$L$25:$L$240,'Эффекты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5.6000000000000005</x:v>
      </x:c>
      <x:c r="J54" s="10" t="n">
        <x:f>SUMIFS('Эффекты технологий'!$M$25:$M$240,'Эффекты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2028'!B55+'Иран 2028'!D55+('Иран 2028'!C55+'Иран 2028'!F55+'Иран 2028'!G55)+(0.35*LN(1+0.6*'Ход 2028'!B61)*POWER(MAX(0,1-'Иран 2028'!I55/10),0.7))))</x:f>
        <x:v>5.950000000000001</x:v>
      </x:c>
      <x:c r="C55" s="3" t="n">
        <x:f>MIN(1,(MIN(1,'Иран 2028'!C55+'Иран 2028'!F55+(0.08*LN(1+0.5*'Ход 2028'!C61)*MAX(0,1-('Иран 2028'!C55+'Иран 2028'!F55)))))+(SUMIFS('Эффекты технологий'!$M$25:$M$240,'Эффекты технологий'!$C$25:$C$240,$A55,'Эффекты технологий'!$D$25:$D$240,"Прирост")-SUMIFS('Эффекты технологий'!$L$25:$L$240,'Эффекты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5.950000000000001</x:v>
      </x:c>
      <x:c r="J55" s="10" t="n">
        <x:f>SUMIFS('Эффекты технологий'!$M$25:$M$240,'Эффекты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351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2029'!U6</x:f>
        <x:v>84.96320916672887</x:v>
      </x:c>
      <x:c r="C6" s="3"/>
      <x:c r="D6" s="3"/>
      <x:c r="E6" s="3" t="s">
        <x:v>321</x:v>
      </x:c>
      <x:c r="F6" s="3" t="n">
        <x:f>'Иран 2029'!K6</x:f>
        <x:v>64.82219129688808</x:v>
      </x:c>
      <x:c r="G6" s="3"/>
      <x:c r="H6" s="3"/>
      <x:c r="I6" s="3" t="s">
        <x:v>321</x:v>
      </x:c>
      <x:c r="J6" s="3" t="n">
        <x:f>'Иран 2029'!N6</x:f>
        <x:v>81.50220371196052</x:v>
      </x:c>
      <x:c r="K6" s="3"/>
      <x:c r="L6" s="3"/>
      <x:c r="M6" s="3" t="s">
        <x:v>321</x:v>
      </x:c>
      <x:c r="N6" s="3" t="n">
        <x:f>'Иран 2029'!Q6</x:f>
        <x:v>57.52934622054276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84.96320916672887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64.82219129688808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81.50220371196052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57.52934622054276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2029'!V11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2029'!V12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2029'!V13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2029'!V14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2029'!V15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2029'!V16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2029'!V17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2029'!V18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2029'!V19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2029'!V20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2029'!V21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2029'!V22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технологий'!M$16</x:f>
        <x:v>0</x:v>
      </x:c>
      <x:c r="H25" s="11" t="n">
        <x:f>'Эффекты технологий'!M$17</x:f>
        <x:v>0</x:v>
      </x:c>
      <x:c r="I25" s="11" t="n">
        <x:f>'Эффекты технологий'!M$18</x:f>
        <x:v>0</x:v>
      </x:c>
      <x:c r="J25" s="12"/>
      <x:c r="K25" s="3"/>
      <x:c r="L25" s="3" t="str">
        <x:v>Бразилия</x:v>
      </x:c>
      <x:c r="M25" s="3" t="n">
        <x:f>'Иран 2029'!V23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2029'!V24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2029'!V25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2029'!V26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IF(G29="","",VLOOKUP(G29,Технологии!$A$11:$BF$50,47,FALSE))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IF(G30="","",VLOOKUP(G30,Технологии!$A$11:$BF$50,47,FALSE))</x:f>
      </x:c>
      <x:c r="L30" s="3"/>
      <x:c r="M30" s="3"/>
      <x:c r="N30" s="12" t="s">
        <x:v>340</x:v>
      </x:c>
      <x:c r="O30" s="11" t="n">
        <x:f>'Эффекты технологий'!M$13</x:f>
        <x:v>0</x:v>
      </x:c>
      <x:c r="P30" s="11" t="n">
        <x:f>'Эффекты технологий'!M$14</x:f>
        <x:v>0</x:v>
      </x:c>
      <x:c r="Q30" s="11" t="n">
        <x:f>'Эффекты технологий'!M$15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IF(G31="","",VLOOKUP(G31,Технологии!$A$11:$BF$50,47,FALSE))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IF(G32="","",VLOOKUP(G32,Технологии!$A$11:$BF$50,47,FALSE))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IF(G33="","",VLOOKUP(G33,Технологии!$A$11:$BF$50,47,FALSE))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IF(G34="","",VLOOKUP(G34,Технологии!$A$11:$BF$50,47,FALSE))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IF(G35="","",VLOOKUP(G35,Технологии!$A$11:$BF$50,47,FALSE))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IF(G36="","",VLOOKUP(G36,Технологии!$A$11:$BF$50,47,FALSE))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IF(G37="","",VLOOKUP(G37,Технологии!$A$11:$BF$50,47,FALSE))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IF(G38="","",VLOOKUP(G38,Технологии!$A$11:$BF$50,47,FALSE))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2030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67.34880935075431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83.3246905139741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58.68221020604639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86.04746870274894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2029'!B8+'Иран 2029'!D8+('Иран 2029'!C8+'Иран 2029'!F8+'Иран 2029'!G8)+(0.35*LN(1+0.6*('Ход 2029'!B14*(1+'Эффекты технологий'!M$12)))*POWER(MAX(0,1-'Иран 2029'!I8/10),0.7))))</x:f>
        <x:v>8.399999999999999</x:v>
      </x:c>
      <x:c r="C8" s="3" t="n">
        <x:f>MIN(1,(MIN(1,'Иран 2029'!C8+'Иран 2029'!F8+(0.08*LN(1+0.5*('Ход 2029'!C14*(1+'Эффекты технологий'!M$12)))*MAX(0,1-('Иран 2029'!C8+'Иран 2029'!F8)))))+(SUMIFS('Эффекты технологий'!$N$25:$N$240,'Эффекты технологий'!$C$25:$C$240,$A8,'Эффекты технологий'!$D$25:$D$240,"Прирост")-SUMIFS('Эффекты технологий'!$M$25:$M$240,'Эффекты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8.399999999999999</x:v>
      </x:c>
      <x:c r="J8" s="10" t="n">
        <x:f>SUMIFS('Эффекты технологий'!$N$25:$N$240,'Эффекты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2029'!B9+'Иран 2029'!D9+('Иран 2029'!C9+'Иран 2029'!F9+'Иран 2029'!G9)+(0.35*LN(1+0.6*('Ход 2029'!B15*(1+'Эффекты технологий'!M$12)))*POWER(MAX(0,1-'Иран 2029'!I9/10),0.7))))</x:f>
        <x:v>7.399999999999999</x:v>
      </x:c>
      <x:c r="C9" s="3" t="n">
        <x:f>MIN(1,(MIN(1,'Иран 2029'!C9+'Иран 2029'!F9+(0.08*LN(1+0.5*('Ход 2029'!C15*(1+'Эффекты технологий'!M$12)))*MAX(0,1-('Иран 2029'!C9+'Иран 2029'!F9)))))+(SUMIFS('Эффекты технологий'!$N$25:$N$240,'Эффекты технологий'!$C$25:$C$240,$A9,'Эффекты технологий'!$D$25:$D$240,"Прирост")-SUMIFS('Эффекты технологий'!$M$25:$M$240,'Эффекты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7.399999999999999</x:v>
      </x:c>
      <x:c r="J9" s="10" t="n">
        <x:f>SUMIFS('Эффекты технологий'!$N$25:$N$240,'Эффекты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2029'!B10+'Иран 2029'!D10+('Иран 2029'!C10+'Иран 2029'!F10+'Иран 2029'!G10)+(0.35*LN(1+0.6*('Ход 2029'!B16*(1+'Эффекты технологий'!M$12)))*POWER(MAX(0,1-'Иран 2029'!I10/10),0.7))))</x:f>
        <x:v>9.700000000000003</x:v>
      </x:c>
      <x:c r="C10" s="3" t="n">
        <x:f>MIN(1,(MIN(1,'Иран 2029'!C10+'Иран 2029'!F10+(0.08*LN(1+0.5*('Ход 2029'!C16*(1+'Эффекты технологий'!M$12)))*MAX(0,1-('Иран 2029'!C10+'Иран 2029'!F10)))))+(SUMIFS('Эффекты технологий'!$N$25:$N$240,'Эффекты технологий'!$C$25:$C$240,$A10,'Эффекты технологий'!$D$25:$D$240,"Прирост")-SUMIFS('Эффекты технологий'!$M$25:$M$240,'Эффекты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9.700000000000003</x:v>
      </x:c>
      <x:c r="J10" s="10" t="n">
        <x:f>SUMIFS('Эффекты технологий'!$N$25:$N$240,'Эффекты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2029'!B11+'Иран 2029'!D11+('Иран 2029'!C11+'Иран 2029'!F11+'Иран 2029'!G11)+(0.35*LN(1+0.6*('Ход 2029'!B17*(1+'Эффекты технологий'!M$12)))*POWER(MAX(0,1-'Иран 2029'!I11/10),0.7))))</x:f>
        <x:v>3.6999999999999993</x:v>
      </x:c>
      <x:c r="C11" s="3" t="n">
        <x:f>MIN(1,(MIN(1,'Иран 2029'!C11+'Иран 2029'!F11+(0.08*LN(1+0.5*('Ход 2029'!C17*(1+'Эффекты технологий'!M$12)))*MAX(0,1-('Иран 2029'!C11+'Иран 2029'!F11)))))+(SUMIFS('Эффекты технологий'!$N$25:$N$240,'Эффекты технологий'!$C$25:$C$240,$A11,'Эффекты технологий'!$D$25:$D$240,"Прирост")-SUMIFS('Эффекты технологий'!$M$25:$M$240,'Эффекты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3.6999999999999993</x:v>
      </x:c>
      <x:c r="J11" s="10" t="n">
        <x:f>SUMIFS('Эффекты технологий'!$N$25:$N$240,'Эффекты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2029'!L11+'Иран 2029'!N11+('Иран 2029'!M11+'Иран 2029'!P11+'Иран 2029'!Q11)))</x:f>
        <x:v>6.5</x:v>
      </x:c>
      <x:c r="M11" s="3" t="n">
        <x:f>MIN(1,(MIN(1,'Иран 2029'!M11+'Иран 2029'!P11+(0.1*LN(1+0.5*('Ход 2029'!H13*(1+'Эффекты технологий'!M$10)))*POWER(MAX(0,1-'Иран 2029'!S11/10),0.8))))+(SUMIFS('Эффекты технологий'!$N$25:$N$240,'Эффекты технологий'!$C$25:$C$240,$K11,'Эффекты технологий'!$D$25:$D$240,"Прирост")-SUMIFS('Эффекты технологий'!$M$25:$M$240,'Эффекты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6.5</x:v>
      </x:c>
      <x:c r="T11" s="10" t="n">
        <x:f>SUMIFS('Эффекты технологий'!$N$25:$N$240,'Эффекты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2029'!V11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2029'!B12+'Иран 2029'!D12+('Иран 2029'!C12+'Иран 2029'!F12+'Иран 2029'!G12)+(0.35*LN(1+0.6*('Ход 2029'!B18*(1+'Эффекты технологий'!M$12)))*POWER(MAX(0,1-'Иран 2029'!I12/10),0.7))))</x:f>
        <x:v>8.200000000000003</x:v>
      </x:c>
      <x:c r="C12" s="3" t="n">
        <x:f>MIN(1,(MIN(1,'Иран 2029'!C12+'Иран 2029'!F12+(0.08*LN(1+0.5*('Ход 2029'!C18*(1+'Эффекты технологий'!M$12)))*MAX(0,1-('Иран 2029'!C12+'Иран 2029'!F12)))))+(SUMIFS('Эффекты технологий'!$N$25:$N$240,'Эффекты технологий'!$C$25:$C$240,$A12,'Эффекты технологий'!$D$25:$D$240,"Прирост")-SUMIFS('Эффекты технологий'!$M$25:$M$240,'Эффекты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8.200000000000003</x:v>
      </x:c>
      <x:c r="J12" s="10" t="n">
        <x:f>SUMIFS('Эффекты технологий'!$N$25:$N$240,'Эффекты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2029'!L12+'Иран 2029'!N12+('Иран 2029'!M12+'Иран 2029'!P12+'Иран 2029'!Q12)))</x:f>
        <x:v>6.5</x:v>
      </x:c>
      <x:c r="M12" s="3" t="n">
        <x:f>MIN(1,(MIN(1,'Иран 2029'!M12+'Иран 2029'!P12+(0.1*LN(1+0.5*('Ход 2029'!H14*(1+'Эффекты технологий'!M$10)))*POWER(MAX(0,1-'Иран 2029'!S12/10),0.8))))+(SUMIFS('Эффекты технологий'!$N$25:$N$240,'Эффекты технологий'!$C$25:$C$240,$K12,'Эффекты технологий'!$D$25:$D$240,"Прирост")-SUMIFS('Эффекты технологий'!$M$25:$M$240,'Эффекты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6.5</x:v>
      </x:c>
      <x:c r="T12" s="10" t="n">
        <x:f>SUMIFS('Эффекты технологий'!$N$25:$N$240,'Эффекты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2029'!V12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2029'!B13+'Иран 2029'!D13+('Иран 2029'!C13+'Иран 2029'!F13+'Иран 2029'!G13)+(0.35*LN(1+0.6*('Ход 2029'!B19*(1+'Эффекты технологий'!M$12)))*POWER(MAX(0,1-'Иран 2029'!I13/10),0.7))))</x:f>
        <x:v>2.8000000000000007</x:v>
      </x:c>
      <x:c r="C13" s="3" t="n">
        <x:f>MIN(1,(MIN(1,'Иран 2029'!C13+'Иран 2029'!F13+(0.08*LN(1+0.5*('Ход 2029'!C19*(1+'Эффекты технологий'!M$12)))*MAX(0,1-('Иран 2029'!C13+'Иран 2029'!F13)))))+(SUMIFS('Эффекты технологий'!$N$25:$N$240,'Эффекты технологий'!$C$25:$C$240,$A13,'Эффекты технологий'!$D$25:$D$240,"Прирост")-SUMIFS('Эффекты технологий'!$M$25:$M$240,'Эффекты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2.8000000000000007</x:v>
      </x:c>
      <x:c r="J13" s="10" t="n">
        <x:f>SUMIFS('Эффекты технологий'!$N$25:$N$240,'Эффекты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2029'!L13+'Иран 2029'!N13+('Иран 2029'!M13+'Иран 2029'!P13+'Иран 2029'!Q13)))</x:f>
        <x:v>7.800000000000001</x:v>
      </x:c>
      <x:c r="M13" s="3" t="n">
        <x:f>MIN(1,(MIN(1,'Иран 2029'!M13+'Иран 2029'!P13+(0.1*LN(1+0.5*('Ход 2029'!H15*(1+'Эффекты технологий'!M$10)))*POWER(MAX(0,1-'Иран 2029'!S13/10),0.8))))+(SUMIFS('Эффекты технологий'!$N$25:$N$240,'Эффекты технологий'!$C$25:$C$240,$K13,'Эффекты технологий'!$D$25:$D$240,"Прирост")-SUMIFS('Эффекты технологий'!$M$25:$M$240,'Эффекты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7.800000000000001</x:v>
      </x:c>
      <x:c r="T13" s="10" t="n">
        <x:f>SUMIFS('Эффекты технологий'!$N$25:$N$240,'Эффекты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2029'!V13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2029'!B14+'Иран 2029'!D14+('Иран 2029'!C14+'Иран 2029'!F14+'Иран 2029'!G14)+(0.35*LN(1+0.6*('Ход 2029'!B20*(1+'Эффекты технологий'!M$12)))*POWER(MAX(0,1-'Иран 2029'!I14/10),0.7))))</x:f>
        <x:v>3.8000000000000007</x:v>
      </x:c>
      <x:c r="C14" s="3" t="n">
        <x:f>MIN(1,(MIN(1,'Иран 2029'!C14+'Иран 2029'!F14+(0.08*LN(1+0.5*('Ход 2029'!C20*(1+'Эффекты технологий'!M$12)))*MAX(0,1-('Иран 2029'!C14+'Иран 2029'!F14)))))+(SUMIFS('Эффекты технологий'!$N$25:$N$240,'Эффекты технологий'!$C$25:$C$240,$A14,'Эффекты технологий'!$D$25:$D$240,"Прирост")-SUMIFS('Эффекты технологий'!$M$25:$M$240,'Эффекты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3.8000000000000007</x:v>
      </x:c>
      <x:c r="J14" s="10" t="n">
        <x:f>SUMIFS('Эффекты технологий'!$N$25:$N$240,'Эффекты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2029'!L14+'Иран 2029'!N14+('Иран 2029'!M14+'Иран 2029'!P14+'Иран 2029'!Q14)))</x:f>
        <x:v>7.5</x:v>
      </x:c>
      <x:c r="M14" s="3" t="n">
        <x:f>MIN(1,(MIN(1,'Иран 2029'!M14+'Иран 2029'!P14+(0.1*LN(1+0.5*('Ход 2029'!H16*(1+'Эффекты технологий'!M$10)))*POWER(MAX(0,1-'Иран 2029'!S14/10),0.8))))+(SUMIFS('Эффекты технологий'!$N$25:$N$240,'Эффекты технологий'!$C$25:$C$240,$K14,'Эффекты технологий'!$D$25:$D$240,"Прирост")-SUMIFS('Эффекты технологий'!$M$25:$M$240,'Эффекты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7.5</x:v>
      </x:c>
      <x:c r="T14" s="10" t="n">
        <x:f>SUMIFS('Эффекты технологий'!$N$25:$N$240,'Эффекты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2029'!V14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2029'!B15+'Иран 2029'!D15+('Иран 2029'!C15+'Иран 2029'!F15+'Иран 2029'!G15)+(0.35*LN(1+0.6*('Ход 2029'!B21*(1+'Эффекты технологий'!M$12)))*POWER(MAX(0,1-'Иран 2029'!I15/10),0.7))))</x:f>
        <x:v>5.5</x:v>
      </x:c>
      <x:c r="C15" s="3" t="n">
        <x:f>MIN(1,(MIN(1,'Иран 2029'!C15+'Иран 2029'!F15+(0.08*LN(1+0.5*('Ход 2029'!C21*(1+'Эффекты технологий'!M$12)))*MAX(0,1-('Иран 2029'!C15+'Иран 2029'!F15)))))+(SUMIFS('Эффекты технологий'!$N$25:$N$240,'Эффекты технологий'!$C$25:$C$240,$A15,'Эффекты технологий'!$D$25:$D$240,"Прирост")-SUMIFS('Эффекты технологий'!$M$25:$M$240,'Эффекты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5.5</x:v>
      </x:c>
      <x:c r="J15" s="10" t="n">
        <x:f>SUMIFS('Эффекты технологий'!$N$25:$N$240,'Эффекты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2029'!L15+'Иран 2029'!N15+('Иран 2029'!M15+'Иран 2029'!P15+'Иран 2029'!Q15)))</x:f>
        <x:v>7.800000000000001</x:v>
      </x:c>
      <x:c r="M15" s="3" t="n">
        <x:f>MIN(1,(MIN(1,'Иран 2029'!M15+'Иран 2029'!P15+(0.1*LN(1+0.5*('Ход 2029'!H17*(1+'Эффекты технологий'!M$10)))*POWER(MAX(0,1-'Иран 2029'!S15/10),0.8))))+(SUMIFS('Эффекты технологий'!$N$25:$N$240,'Эффекты технологий'!$C$25:$C$240,$K15,'Эффекты технологий'!$D$25:$D$240,"Прирост")-SUMIFS('Эффекты технологий'!$M$25:$M$240,'Эффекты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7.800000000000001</x:v>
      </x:c>
      <x:c r="T15" s="10" t="n">
        <x:f>SUMIFS('Эффекты технологий'!$N$25:$N$240,'Эффекты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2029'!V15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2029'!B16+'Иран 2029'!D16+('Иран 2029'!C16+'Иран 2029'!F16+'Иран 2029'!G16)+(0.35*LN(1+0.6*('Ход 2029'!B22*(1+'Эффекты технологий'!M$12)))*POWER(MAX(0,1-'Иран 2029'!I16/10),0.7))))</x:f>
        <x:v>6.300000000000001</x:v>
      </x:c>
      <x:c r="C16" s="3" t="n">
        <x:f>MIN(1,(MIN(1,'Иран 2029'!C16+'Иран 2029'!F16+(0.08*LN(1+0.5*('Ход 2029'!C22*(1+'Эффекты технологий'!M$12)))*MAX(0,1-('Иран 2029'!C16+'Иран 2029'!F16)))))+(SUMIFS('Эффекты технологий'!$N$25:$N$240,'Эффекты технологий'!$C$25:$C$240,$A16,'Эффекты технологий'!$D$25:$D$240,"Прирост")-SUMIFS('Эффекты технологий'!$M$25:$M$240,'Эффекты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6.300000000000001</x:v>
      </x:c>
      <x:c r="J16" s="10" t="n">
        <x:f>SUMIFS('Эффекты технологий'!$N$25:$N$240,'Эффекты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2029'!L16+'Иран 2029'!N16+('Иран 2029'!M16+'Иран 2029'!P16+'Иран 2029'!Q16)))</x:f>
        <x:v>6.5</x:v>
      </x:c>
      <x:c r="M16" s="3" t="n">
        <x:f>MIN(1,(MIN(1,'Иран 2029'!M16+'Иран 2029'!P16+(0.1*LN(1+0.5*('Ход 2029'!H18*(1+'Эффекты технологий'!M$10)))*POWER(MAX(0,1-'Иран 2029'!S16/10),0.8))))+(SUMIFS('Эффекты технологий'!$N$25:$N$240,'Эффекты технологий'!$C$25:$C$240,$K16,'Эффекты технологий'!$D$25:$D$240,"Прирост")-SUMIFS('Эффекты технологий'!$M$25:$M$240,'Эффекты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6.5</x:v>
      </x:c>
      <x:c r="T16" s="10" t="n">
        <x:f>SUMIFS('Эффекты технологий'!$N$25:$N$240,'Эффекты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2029'!V16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2029'!B17+'Иран 2029'!D17+('Иран 2029'!C17+'Иран 2029'!F17+'Иран 2029'!G17)+(0.35*LN(1+0.6*('Ход 2029'!B23*(1+'Эффекты технологий'!M$12)))*POWER(MAX(0,1-'Иран 2029'!I17/10),0.7))))</x:f>
        <x:v>5.600000000000001</x:v>
      </x:c>
      <x:c r="C17" s="3" t="n">
        <x:f>MIN(1,(MIN(1,'Иран 2029'!C17+'Иран 2029'!F17+(0.08*LN(1+0.5*('Ход 2029'!C23*(1+'Эффекты технологий'!M$12)))*MAX(0,1-('Иран 2029'!C17+'Иран 2029'!F17)))))+(SUMIFS('Эффекты технологий'!$N$25:$N$240,'Эффекты технологий'!$C$25:$C$240,$A17,'Эффекты технологий'!$D$25:$D$240,"Прирост")-SUMIFS('Эффекты технологий'!$M$25:$M$240,'Эффекты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5.600000000000001</x:v>
      </x:c>
      <x:c r="J17" s="10" t="n">
        <x:f>SUMIFS('Эффекты технологий'!$N$25:$N$240,'Эффекты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2029'!L17+'Иран 2029'!N17+('Иран 2029'!M17+'Иран 2029'!P17+'Иран 2029'!Q17)))</x:f>
        <x:v>7.5</x:v>
      </x:c>
      <x:c r="M17" s="3" t="n">
        <x:f>MIN(1,(MIN(1,'Иран 2029'!M17+'Иран 2029'!P17+(0.1*LN(1+0.5*('Ход 2029'!H19*(1+'Эффекты технологий'!M$10)))*POWER(MAX(0,1-'Иран 2029'!S17/10),0.8))))+(SUMIFS('Эффекты технологий'!$N$25:$N$240,'Эффекты технологий'!$C$25:$C$240,$K17,'Эффекты технологий'!$D$25:$D$240,"Прирост")-SUMIFS('Эффекты технологий'!$M$25:$M$240,'Эффекты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7.5</x:v>
      </x:c>
      <x:c r="T17" s="10" t="n">
        <x:f>SUMIFS('Эффекты технологий'!$N$25:$N$240,'Эффекты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2029'!V17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2029'!L18+'Иран 2029'!N18+('Иран 2029'!M18+'Иран 2029'!P18+'Иран 2029'!Q18)))</x:f>
        <x:v>7.5</x:v>
      </x:c>
      <x:c r="M18" s="3" t="n">
        <x:f>MIN(1,(MIN(1,'Иран 2029'!M18+'Иран 2029'!P18+(0.1*LN(1+0.5*('Ход 2029'!H20*(1+'Эффекты технологий'!M$10)))*POWER(MAX(0,1-'Иран 2029'!S18/10),0.8))))+(SUMIFS('Эффекты технологий'!$N$25:$N$240,'Эффекты технологий'!$C$25:$C$240,$K18,'Эффекты технологий'!$D$25:$D$240,"Прирост")-SUMIFS('Эффекты технологий'!$M$25:$M$240,'Эффекты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7.5</x:v>
      </x:c>
      <x:c r="T18" s="10" t="n">
        <x:f>SUMIFS('Эффекты технологий'!$N$25:$N$240,'Эффекты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2029'!V18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2029'!B19+'Иран 2029'!D19+('Иран 2029'!C19+'Иран 2029'!F19+'Иран 2029'!G19)+(0.35*LN(1+0.6*'Ход 2029'!B25)*POWER(MAX(0,1-'Иран 2029'!I19/10),0.7))))</x:f>
        <x:v>6.300000000000001</x:v>
      </x:c>
      <x:c r="C19" s="3" t="n">
        <x:f>MIN(1,(MIN(1,'Иран 2029'!C19+'Иран 2029'!F19+(0.08*LN(1+0.5*'Ход 2029'!C25)*MAX(0,1-('Иран 2029'!C19+'Иран 2029'!F19)))))+(SUMIFS('Эффекты технологий'!$N$25:$N$240,'Эффекты технологий'!$C$25:$C$240,$A19,'Эффекты технологий'!$D$25:$D$240,"Прирост")-SUMIFS('Эффекты технологий'!$M$25:$M$240,'Эффекты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6.300000000000001</x:v>
      </x:c>
      <x:c r="J19" s="10" t="n">
        <x:f>SUMIFS('Эффекты технологий'!$N$25:$N$240,'Эффекты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2029'!V19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2029'!B20+'Иран 2029'!D20+('Иран 2029'!C20+'Иран 2029'!F20+'Иран 2029'!G20)+(0.35*LN(1+0.6*'Ход 2029'!B26)*POWER(MAX(0,1-'Иран 2029'!I20/10),0.7))))</x:f>
        <x:v>6.5</x:v>
      </x:c>
      <x:c r="C20" s="3" t="n">
        <x:f>MIN(1,(MIN(1,'Иран 2029'!C20+'Иран 2029'!F20+(0.08*LN(1+0.5*'Ход 2029'!C26)*MAX(0,1-('Иран 2029'!C20+'Иран 2029'!F20)))))+(SUMIFS('Эффекты технологий'!$N$25:$N$240,'Эффекты технологий'!$C$25:$C$240,$A20,'Эффекты технологий'!$D$25:$D$240,"Прирост")-SUMIFS('Эффекты технологий'!$M$25:$M$240,'Эффекты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6.5</x:v>
      </x:c>
      <x:c r="J20" s="10" t="n">
        <x:f>SUMIFS('Эффекты технологий'!$N$25:$N$240,'Эффекты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2029'!V20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2029'!B21+'Иран 2029'!D21+('Иран 2029'!C21+'Иран 2029'!F21+'Иран 2029'!G21)+(0.35*LN(1+0.6*'Ход 2029'!B27)*POWER(MAX(0,1-'Иран 2029'!I21/10),0.7))))</x:f>
        <x:v>5.800000000000001</x:v>
      </x:c>
      <x:c r="C21" s="3" t="n">
        <x:f>MIN(1,(MIN(1,'Иран 2029'!C21+'Иран 2029'!F21+(0.08*LN(1+0.5*'Ход 2029'!C27)*MAX(0,1-('Иран 2029'!C21+'Иран 2029'!F21)))))+(SUMIFS('Эффекты технологий'!$N$25:$N$240,'Эффекты технологий'!$C$25:$C$240,$A21,'Эффекты технологий'!$D$25:$D$240,"Прирост")-SUMIFS('Эффекты технологий'!$M$25:$M$240,'Эффекты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5.800000000000001</x:v>
      </x:c>
      <x:c r="J21" s="10" t="n">
        <x:f>SUMIFS('Эффекты технологий'!$N$25:$N$240,'Эффекты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2029'!V21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2029'!B22+'Иран 2029'!D22+('Иран 2029'!C22+'Иран 2029'!F22+'Иран 2029'!G22)+(0.35*LN(1+0.6*'Ход 2029'!B28)*POWER(MAX(0,1-'Иран 2029'!I22/10),0.7))))</x:f>
        <x:v>8.399999999999999</x:v>
      </x:c>
      <x:c r="C22" s="3" t="n">
        <x:f>MIN(1,(MIN(1,'Иран 2029'!C22+'Иран 2029'!F22+(0.08*LN(1+0.5*'Ход 2029'!C28)*MAX(0,1-('Иран 2029'!C22+'Иран 2029'!F22)))))+(SUMIFS('Эффекты технологий'!$N$25:$N$240,'Эффекты технологий'!$C$25:$C$240,$A22,'Эффекты технологий'!$D$25:$D$240,"Прирост")-SUMIFS('Эффекты технологий'!$M$25:$M$240,'Эффекты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8.399999999999999</x:v>
      </x:c>
      <x:c r="J22" s="10" t="n">
        <x:f>SUMIFS('Эффекты технологий'!$N$25:$N$240,'Эффекты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2029'!V22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2029'!B23+'Иран 2029'!D23+('Иран 2029'!C23+'Иран 2029'!F23+'Иран 2029'!G23)+(0.35*LN(1+0.6*'Ход 2029'!B29)*POWER(MAX(0,1-'Иран 2029'!I23/10),0.7))))</x:f>
        <x:v>7.300000000000001</x:v>
      </x:c>
      <x:c r="C23" s="3" t="n">
        <x:f>MIN(1,(MIN(1,'Иран 2029'!C23+'Иран 2029'!F23+(0.08*LN(1+0.5*'Ход 2029'!C29)*MAX(0,1-('Иран 2029'!C23+'Иран 2029'!F23)))))+(SUMIFS('Эффекты технологий'!$N$25:$N$240,'Эффекты технологий'!$C$25:$C$240,$A23,'Эффекты технологий'!$D$25:$D$240,"Прирост")-SUMIFS('Эффекты технологий'!$M$25:$M$240,'Эффекты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7.300000000000001</x:v>
      </x:c>
      <x:c r="J23" s="10" t="n">
        <x:f>SUMIFS('Эффекты технологий'!$N$25:$N$240,'Эффекты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2029'!V23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2029'!V24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2029'!B25+'Иран 2029'!D25+('Иран 2029'!C25+'Иран 2029'!F25+'Иран 2029'!G25)+(0.35*LN(1+0.6*'Ход 2029'!B31)*POWER(MAX(0,1-'Иран 2029'!I25/10),0.7))))</x:f>
        <x:v>7.399999999999999</x:v>
      </x:c>
      <x:c r="C25" s="3" t="n">
        <x:f>MIN(1,(MIN(1,'Иран 2029'!C25+'Иран 2029'!F25+(0.08*LN(1+0.5*'Ход 2029'!C31)*MAX(0,1-('Иран 2029'!C25+'Иран 2029'!F25)))))+(SUMIFS('Эффекты технологий'!$N$25:$N$240,'Эффекты технологий'!$C$25:$C$240,$A25,'Эффекты технологий'!$D$25:$D$240,"Прирост")-SUMIFS('Эффекты технологий'!$M$25:$M$240,'Эффекты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7.399999999999999</x:v>
      </x:c>
      <x:c r="J25" s="10" t="n">
        <x:f>SUMIFS('Эффекты технологий'!$N$25:$N$240,'Эффекты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2029'!V25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2029'!B26+'Иран 2029'!D26+('Иран 2029'!C26+'Иран 2029'!F26+'Иран 2029'!G26)+(0.35*LN(1+0.6*'Ход 2029'!B32)*POWER(MAX(0,1-'Иран 2029'!I26/10),0.7))))</x:f>
        <x:v>6.300000000000001</x:v>
      </x:c>
      <x:c r="C26" s="3" t="n">
        <x:f>MIN(1,(MIN(1,'Иран 2029'!C26+'Иран 2029'!F26+(0.08*LN(1+0.5*'Ход 2029'!C32)*MAX(0,1-('Иран 2029'!C26+'Иран 2029'!F26)))))+(SUMIFS('Эффекты технологий'!$N$25:$N$240,'Эффекты технологий'!$C$25:$C$240,$A26,'Эффекты технологий'!$D$25:$D$240,"Прирост")-SUMIFS('Эффекты технологий'!$M$25:$M$240,'Эффекты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6.300000000000001</x:v>
      </x:c>
      <x:c r="J26" s="10" t="n">
        <x:f>SUMIFS('Эффекты технологий'!$N$25:$N$240,'Эффекты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2029'!V26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2029'!B27+'Иран 2029'!D27+('Иран 2029'!C27+'Иран 2029'!F27+'Иран 2029'!G27)+(0.35*LN(1+0.6*'Ход 2029'!B33)*POWER(MAX(0,1-'Иран 2029'!I27/10),0.7))))</x:f>
        <x:v>6.600000000000001</x:v>
      </x:c>
      <x:c r="C27" s="3" t="n">
        <x:f>MIN(1,(MIN(1,'Иран 2029'!C27+'Иран 2029'!F27+(0.08*LN(1+0.5*'Ход 2029'!C33)*MAX(0,1-('Иран 2029'!C27+'Иран 2029'!F27)))))+(SUMIFS('Эффекты технологий'!$N$25:$N$240,'Эффекты технологий'!$C$25:$C$240,$A27,'Эффекты технологий'!$D$25:$D$240,"Прирост")-SUMIFS('Эффекты технологий'!$M$25:$M$240,'Эффекты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6.600000000000001</x:v>
      </x:c>
      <x:c r="J27" s="10" t="n">
        <x:f>SUMIFS('Эффекты технологий'!$N$25:$N$240,'Эффекты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2029'!B28+'Иран 2029'!D28+('Иран 2029'!C28+'Иран 2029'!F28+'Иран 2029'!G28)+(0.35*LN(1+0.6*'Ход 2029'!B34)*POWER(MAX(0,1-'Иран 2029'!I28/10),0.7))))</x:f>
        <x:v>6.300000000000001</x:v>
      </x:c>
      <x:c r="C28" s="3" t="n">
        <x:f>MIN(1,(MIN(1,'Иран 2029'!C28+'Иран 2029'!F28+(0.08*LN(1+0.5*'Ход 2029'!C34)*MAX(0,1-('Иран 2029'!C28+'Иран 2029'!F28)))))+(SUMIFS('Эффекты технологий'!$N$25:$N$240,'Эффекты технологий'!$C$25:$C$240,$A28,'Эффекты технологий'!$D$25:$D$240,"Прирост")-SUMIFS('Эффекты технологий'!$M$25:$M$240,'Эффекты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6.300000000000001</x:v>
      </x:c>
      <x:c r="J28" s="10" t="n">
        <x:f>SUMIFS('Эффекты технологий'!$N$25:$N$240,'Эффекты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2029'!B29+'Иран 2029'!D29+('Иран 2029'!C29+'Иран 2029'!F29+'Иран 2029'!G29)+(0.35*LN(1+0.6*'Ход 2029'!B35)*POWER(MAX(0,1-'Иран 2029'!I29/10),0.7))))</x:f>
        <x:v>6.300000000000001</x:v>
      </x:c>
      <x:c r="C29" s="3" t="n">
        <x:f>MIN(1,(MIN(1,'Иран 2029'!C29+'Иран 2029'!F29+(0.08*LN(1+0.5*'Ход 2029'!C35)*MAX(0,1-('Иран 2029'!C29+'Иран 2029'!F29)))))+(SUMIFS('Эффекты технологий'!$N$25:$N$240,'Эффекты технологий'!$C$25:$C$240,$A29,'Эффекты технологий'!$D$25:$D$240,"Прирост")-SUMIFS('Эффекты технологий'!$M$25:$M$240,'Эффекты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6.300000000000001</x:v>
      </x:c>
      <x:c r="J29" s="10" t="n">
        <x:f>SUMIFS('Эффекты технологий'!$N$25:$N$240,'Эффекты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2029'!B30+'Иран 2029'!D30+('Иран 2029'!C30+'Иран 2029'!F30+'Иран 2029'!G30)+(0.35*LN(1+0.6*'Ход 2029'!B36)*POWER(MAX(0,1-'Иран 2029'!I30/10),0.7))))</x:f>
        <x:v>6.100000000000001</x:v>
      </x:c>
      <x:c r="C30" s="3" t="n">
        <x:f>MIN(1,(MIN(1,'Иран 2029'!C30+'Иран 2029'!F30+(0.08*LN(1+0.5*'Ход 2029'!C36)*MAX(0,1-('Иран 2029'!C30+'Иран 2029'!F30)))))+(SUMIFS('Эффекты технологий'!$N$25:$N$240,'Эффекты технологий'!$C$25:$C$240,$A30,'Эффекты технологий'!$D$25:$D$240,"Прирост")-SUMIFS('Эффекты технологий'!$M$25:$M$240,'Эффекты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6.100000000000001</x:v>
      </x:c>
      <x:c r="J30" s="10" t="n">
        <x:f>SUMIFS('Эффекты технологий'!$N$25:$N$240,'Эффекты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2029'!B31+'Иран 2029'!D31+('Иран 2029'!C31+'Иран 2029'!F31+'Иран 2029'!G31)+(0.35*LN(1+0.6*'Ход 2029'!B37)*POWER(MAX(0,1-'Иран 2029'!I31/10),0.7))))</x:f>
        <x:v>6.100000000000001</x:v>
      </x:c>
      <x:c r="C31" s="3" t="n">
        <x:f>MIN(1,(MIN(1,'Иран 2029'!C31+'Иран 2029'!F31+(0.08*LN(1+0.5*'Ход 2029'!C37)*MAX(0,1-('Иран 2029'!C31+'Иран 2029'!F31)))))+(SUMIFS('Эффекты технологий'!$N$25:$N$240,'Эффекты технологий'!$C$25:$C$240,$A31,'Эффекты технологий'!$D$25:$D$240,"Прирост")-SUMIFS('Эффекты технологий'!$M$25:$M$240,'Эффекты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6.100000000000001</x:v>
      </x:c>
      <x:c r="J31" s="10" t="n">
        <x:f>SUMIFS('Эффекты технологий'!$N$25:$N$240,'Эффекты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2029'!B32+'Иран 2029'!D32+('Иран 2029'!C32+'Иран 2029'!F32+'Иран 2029'!G32)+(0.35*LN(1+0.6*'Ход 2029'!B38)*POWER(MAX(0,1-'Иран 2029'!I32/10),0.7))))</x:f>
        <x:v>8.299999999999999</x:v>
      </x:c>
      <x:c r="C32" s="3" t="n">
        <x:f>MIN(1,(MIN(1,'Иран 2029'!C32+'Иран 2029'!F32+(0.08*LN(1+0.5*'Ход 2029'!C38)*MAX(0,1-('Иран 2029'!C32+'Иран 2029'!F32)))))+(SUMIFS('Эффекты технологий'!$N$25:$N$240,'Эффекты технологий'!$C$25:$C$240,$A32,'Эффекты технологий'!$D$25:$D$240,"Прирост")-SUMIFS('Эффекты технологий'!$M$25:$M$240,'Эффекты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8.299999999999999</x:v>
      </x:c>
      <x:c r="J32" s="10" t="n">
        <x:f>SUMIFS('Эффекты технологий'!$N$25:$N$240,'Эффекты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2029'!B34+'Иран 2029'!D34+('Иран 2029'!C34+'Иран 2029'!F34+'Иран 2029'!G34)+(0.35*LN(1+0.6*'Ход 2029'!B40)*POWER(MAX(0,1-'Иран 2029'!I34/10),0.7))))</x:f>
        <x:v>8.299999999999999</x:v>
      </x:c>
      <x:c r="C34" s="3" t="n">
        <x:f>MIN(1,(MIN(1,'Иран 2029'!C34+'Иран 2029'!F34+(0.08*LN(1+0.5*'Ход 2029'!C40)*MAX(0,1-('Иран 2029'!C34+'Иран 2029'!F34)))))+(SUMIFS('Эффекты технологий'!$N$25:$N$240,'Эффекты технологий'!$C$25:$C$240,$A34,'Эффекты технологий'!$D$25:$D$240,"Прирост")-SUMIFS('Эффекты технологий'!$M$25:$M$240,'Эффекты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8.299999999999999</x:v>
      </x:c>
      <x:c r="J34" s="10" t="n">
        <x:f>SUMIFS('Эффекты технологий'!$N$25:$N$240,'Эффекты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2029'!B35+'Иран 2029'!D35+('Иран 2029'!C35+'Иран 2029'!F35+'Иран 2029'!G35)+(0.35*LN(1+0.6*'Ход 2029'!B41)*POWER(MAX(0,1-'Иран 2029'!I35/10),0.7))))</x:f>
        <x:v>8.399999999999999</x:v>
      </x:c>
      <x:c r="C35" s="3" t="n">
        <x:f>MIN(1,(MIN(1,'Иран 2029'!C35+'Иран 2029'!F35+(0.08*LN(1+0.5*'Ход 2029'!C41)*MAX(0,1-('Иран 2029'!C35+'Иран 2029'!F35)))))+(SUMIFS('Эффекты технологий'!$N$25:$N$240,'Эффекты технологий'!$C$25:$C$240,$A35,'Эффекты технологий'!$D$25:$D$240,"Прирост")-SUMIFS('Эффекты технологий'!$M$25:$M$240,'Эффекты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8.399999999999999</x:v>
      </x:c>
      <x:c r="J35" s="10" t="n">
        <x:f>SUMIFS('Эффекты технологий'!$N$25:$N$240,'Эффекты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2029'!B36+'Иран 2029'!D36+('Иран 2029'!C36+'Иран 2029'!F36+'Иран 2029'!G36)+(0.35*LN(1+0.6*'Ход 2029'!B42)*POWER(MAX(0,1-'Иран 2029'!I36/10),0.7))))</x:f>
        <x:v>7.300000000000001</x:v>
      </x:c>
      <x:c r="C36" s="3" t="n">
        <x:f>MIN(1,(MIN(1,'Иран 2029'!C36+'Иран 2029'!F36+(0.08*LN(1+0.5*'Ход 2029'!C42)*MAX(0,1-('Иран 2029'!C36+'Иран 2029'!F36)))))+(SUMIFS('Эффекты технологий'!$N$25:$N$240,'Эффекты технологий'!$C$25:$C$240,$A36,'Эффекты технологий'!$D$25:$D$240,"Прирост")-SUMIFS('Эффекты технологий'!$M$25:$M$240,'Эффекты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7.300000000000001</x:v>
      </x:c>
      <x:c r="J36" s="10" t="n">
        <x:f>SUMIFS('Эффекты технологий'!$N$25:$N$240,'Эффекты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2029'!B37+'Иран 2029'!D37+('Иран 2029'!C37+'Иран 2029'!F37+'Иран 2029'!G37)+(0.35*LN(1+0.6*'Ход 2029'!B43)*POWER(MAX(0,1-'Иран 2029'!I37/10),0.7))))</x:f>
        <x:v>5.800000000000001</x:v>
      </x:c>
      <x:c r="C37" s="3" t="n">
        <x:f>MIN(1,(MIN(1,'Иран 2029'!C37+'Иран 2029'!F37+(0.08*LN(1+0.5*'Ход 2029'!C43)*MAX(0,1-('Иран 2029'!C37+'Иран 2029'!F37)))))+(SUMIFS('Эффекты технологий'!$N$25:$N$240,'Эффекты технологий'!$C$25:$C$240,$A37,'Эффекты технологий'!$D$25:$D$240,"Прирост")-SUMIFS('Эффекты технологий'!$M$25:$M$240,'Эффекты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5.800000000000001</x:v>
      </x:c>
      <x:c r="J37" s="10" t="n">
        <x:f>SUMIFS('Эффекты технологий'!$N$25:$N$240,'Эффекты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2029'!B38+'Иран 2029'!D38+('Иран 2029'!C38+'Иран 2029'!F38+'Иран 2029'!G38)+(0.35*LN(1+0.6*'Ход 2029'!B44)*POWER(MAX(0,1-'Иран 2029'!I38/10),0.7))))</x:f>
        <x:v>6.300000000000001</x:v>
      </x:c>
      <x:c r="C38" s="3" t="n">
        <x:f>MIN(1,(MIN(1,'Иран 2029'!C38+'Иран 2029'!F38+(0.08*LN(1+0.5*'Ход 2029'!C44)*MAX(0,1-('Иран 2029'!C38+'Иран 2029'!F38)))))+(SUMIFS('Эффекты технологий'!$N$25:$N$240,'Эффекты технологий'!$C$25:$C$240,$A38,'Эффекты технологий'!$D$25:$D$240,"Прирост")-SUMIFS('Эффекты технологий'!$M$25:$M$240,'Эффекты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6.300000000000001</x:v>
      </x:c>
      <x:c r="J38" s="10" t="n">
        <x:f>SUMIFS('Эффекты технологий'!$N$25:$N$240,'Эффекты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2029'!B39+'Иран 2029'!D39+('Иран 2029'!C39+'Иран 2029'!F39+'Иран 2029'!G39)+(0.35*LN(1+0.6*'Ход 2029'!B45)*POWER(MAX(0,1-'Иран 2029'!I39/10),0.7))))</x:f>
        <x:v>6.800000000000001</x:v>
      </x:c>
      <x:c r="C39" s="3" t="n">
        <x:f>MIN(1,(MIN(1,'Иран 2029'!C39+'Иран 2029'!F39+(0.08*LN(1+0.5*'Ход 2029'!C45)*MAX(0,1-('Иран 2029'!C39+'Иран 2029'!F39)))))+(SUMIFS('Эффекты технологий'!$N$25:$N$240,'Эффекты технологий'!$C$25:$C$240,$A39,'Эффекты технологий'!$D$25:$D$240,"Прирост")-SUMIFS('Эффекты технологий'!$M$25:$M$240,'Эффекты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6.800000000000001</x:v>
      </x:c>
      <x:c r="J39" s="10" t="n">
        <x:f>SUMIFS('Эффекты технологий'!$N$25:$N$240,'Эффекты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2029'!B40+'Иран 2029'!D40+('Иран 2029'!C40+'Иран 2029'!F40+'Иран 2029'!G40)+(0.35*LN(1+0.6*'Ход 2029'!B46)*POWER(MAX(0,1-'Иран 2029'!I40/10),0.7))))</x:f>
        <x:v>5.100000000000001</x:v>
      </x:c>
      <x:c r="C40" s="3" t="n">
        <x:f>MIN(1,(MIN(1,'Иран 2029'!C40+'Иран 2029'!F40+(0.08*LN(1+0.5*'Ход 2029'!C46)*MAX(0,1-('Иран 2029'!C40+'Иран 2029'!F40)))))+(SUMIFS('Эффекты технологий'!$N$25:$N$240,'Эффекты технологий'!$C$25:$C$240,$A40,'Эффекты технологий'!$D$25:$D$240,"Прирост")-SUMIFS('Эффекты технологий'!$M$25:$M$240,'Эффекты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5.100000000000001</x:v>
      </x:c>
      <x:c r="J40" s="10" t="n">
        <x:f>SUMIFS('Эффекты технологий'!$N$25:$N$240,'Эффекты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2029'!B41+'Иран 2029'!D41+('Иран 2029'!C41+'Иран 2029'!F41+'Иран 2029'!G41)+(0.35*LN(1+0.6*'Ход 2029'!B47)*POWER(MAX(0,1-'Иран 2029'!I41/10),0.7))))</x:f>
        <x:v>5.800000000000001</x:v>
      </x:c>
      <x:c r="C41" s="3" t="n">
        <x:f>MIN(1,(MIN(1,'Иран 2029'!C41+'Иран 2029'!F41+(0.08*LN(1+0.5*'Ход 2029'!C47)*MAX(0,1-('Иран 2029'!C41+'Иран 2029'!F41)))))+(SUMIFS('Эффекты технологий'!$N$25:$N$240,'Эффекты технологий'!$C$25:$C$240,$A41,'Эффекты технологий'!$D$25:$D$240,"Прирост")-SUMIFS('Эффекты технологий'!$M$25:$M$240,'Эффекты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5.800000000000001</x:v>
      </x:c>
      <x:c r="J41" s="10" t="n">
        <x:f>SUMIFS('Эффекты технологий'!$N$25:$N$240,'Эффекты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2029'!B42+'Иран 2029'!D42+('Иран 2029'!C42+'Иран 2029'!F42+'Иран 2029'!G42)+(0.35*LN(1+0.6*'Ход 2029'!B48)*POWER(MAX(0,1-'Иран 2029'!I42/10),0.7))))</x:f>
        <x:v>7.399999999999999</x:v>
      </x:c>
      <x:c r="C42" s="3" t="n">
        <x:f>MIN(1,(MIN(1,'Иран 2029'!C42+'Иран 2029'!F42+(0.08*LN(1+0.5*'Ход 2029'!C48)*MAX(0,1-('Иран 2029'!C42+'Иран 2029'!F42)))))+(SUMIFS('Эффекты технологий'!$N$25:$N$240,'Эффекты технологий'!$C$25:$C$240,$A42,'Эффекты технологий'!$D$25:$D$240,"Прирост")-SUMIFS('Эффекты технологий'!$M$25:$M$240,'Эффекты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7.399999999999999</x:v>
      </x:c>
      <x:c r="J42" s="10" t="n">
        <x:f>SUMIFS('Эффекты технологий'!$N$25:$N$240,'Эффекты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2029'!B44+'Иран 2029'!D44+('Иран 2029'!C44+'Иран 2029'!F44+'Иран 2029'!G44)+(0.35*LN(1+0.6*'Ход 2029'!B50)*POWER(MAX(0,1-'Иран 2029'!I44/10),0.7))))</x:f>
        <x:v>4.399999999999999</x:v>
      </x:c>
      <x:c r="C44" s="3" t="n">
        <x:f>MIN(1,(MIN(1,'Иран 2029'!C44+'Иран 2029'!F44+(0.08*LN(1+0.5*'Ход 2029'!C50)*MAX(0,1-('Иран 2029'!C44+'Иран 2029'!F44)))))+(SUMIFS('Эффекты технологий'!$N$25:$N$240,'Эффекты технологий'!$C$25:$C$240,$A44,'Эффекты технологий'!$D$25:$D$240,"Прирост")-SUMIFS('Эффекты технологий'!$M$25:$M$240,'Эффекты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4.399999999999999</x:v>
      </x:c>
      <x:c r="J44" s="10" t="n">
        <x:f>SUMIFS('Эффекты технологий'!$N$25:$N$240,'Эффекты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2029'!B45+'Иран 2029'!D45+('Иран 2029'!C45+'Иран 2029'!F45+'Иран 2029'!G45)+(0.35*LN(1+0.6*'Ход 2029'!B51)*POWER(MAX(0,1-'Иран 2029'!I45/10),0.7))))</x:f>
        <x:v>5.600000000000001</x:v>
      </x:c>
      <x:c r="C45" s="3" t="n">
        <x:f>MIN(1,(MIN(1,'Иран 2029'!C45+'Иран 2029'!F45+(0.08*LN(1+0.5*'Ход 2029'!C51)*MAX(0,1-('Иран 2029'!C45+'Иран 2029'!F45)))))+(SUMIFS('Эффекты технологий'!$N$25:$N$240,'Эффекты технологий'!$C$25:$C$240,$A45,'Эффекты технологий'!$D$25:$D$240,"Прирост")-SUMIFS('Эффекты технологий'!$M$25:$M$240,'Эффекты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5.600000000000001</x:v>
      </x:c>
      <x:c r="J45" s="10" t="n">
        <x:f>SUMIFS('Эффекты технологий'!$N$25:$N$240,'Эффекты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2029'!B46+'Иран 2029'!D46+('Иран 2029'!C46+'Иран 2029'!F46+'Иран 2029'!G46)+(0.35*LN(1+0.6*'Ход 2029'!B52)*POWER(MAX(0,1-'Иран 2029'!I46/10),0.7))))</x:f>
        <x:v>5.600000000000001</x:v>
      </x:c>
      <x:c r="C46" s="3" t="n">
        <x:f>MIN(1,(MIN(1,'Иран 2029'!C46+'Иран 2029'!F46+(0.08*LN(1+0.5*'Ход 2029'!C52)*MAX(0,1-('Иран 2029'!C46+'Иран 2029'!F46)))))+(SUMIFS('Эффекты технологий'!$N$25:$N$240,'Эффекты технологий'!$C$25:$C$240,$A46,'Эффекты технологий'!$D$25:$D$240,"Прирост")-SUMIFS('Эффекты технологий'!$M$25:$M$240,'Эффекты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5.600000000000001</x:v>
      </x:c>
      <x:c r="J46" s="10" t="n">
        <x:f>SUMIFS('Эффекты технологий'!$N$25:$N$240,'Эффекты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2029'!B47+'Иран 2029'!D47+('Иран 2029'!C47+'Иран 2029'!F47+'Иран 2029'!G47)+(0.35*LN(1+0.6*'Ход 2029'!B53)*POWER(MAX(0,1-'Иран 2029'!I47/10),0.7))))</x:f>
        <x:v>2.3000000000000007</x:v>
      </x:c>
      <x:c r="C47" s="3" t="n">
        <x:f>MIN(1,(MIN(1,'Иран 2029'!C47+'Иран 2029'!F47+(0.08*LN(1+0.5*'Ход 2029'!C53)*MAX(0,1-('Иран 2029'!C47+'Иран 2029'!F47)))))+(SUMIFS('Эффекты технологий'!$N$25:$N$240,'Эффекты технологий'!$C$25:$C$240,$A47,'Эффекты технологий'!$D$25:$D$240,"Прирост")-SUMIFS('Эффекты технологий'!$M$25:$M$240,'Эффекты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2.3000000000000007</x:v>
      </x:c>
      <x:c r="J47" s="10" t="n">
        <x:f>SUMIFS('Эффекты технологий'!$N$25:$N$240,'Эффекты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2029'!B48+'Иран 2029'!D48+('Иран 2029'!C48+'Иран 2029'!F48+'Иран 2029'!G48)+(0.35*LN(1+0.6*'Ход 2029'!B54)*POWER(MAX(0,1-'Иран 2029'!I48/10),0.7))))</x:f>
        <x:v>5.899999999999999</x:v>
      </x:c>
      <x:c r="C48" s="3" t="n">
        <x:f>MIN(1,(MIN(1,'Иран 2029'!C48+'Иран 2029'!F48+(0.08*LN(1+0.5*'Ход 2029'!C54)*MAX(0,1-('Иран 2029'!C48+'Иран 2029'!F48)))))+(SUMIFS('Эффекты технологий'!$N$25:$N$240,'Эффекты технологий'!$C$25:$C$240,$A48,'Эффекты технологий'!$D$25:$D$240,"Прирост")-SUMIFS('Эффекты технологий'!$M$25:$M$240,'Эффекты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5.899999999999999</x:v>
      </x:c>
      <x:c r="J48" s="10" t="n">
        <x:f>SUMIFS('Эффекты технологий'!$N$25:$N$240,'Эффекты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2029'!B49+'Иран 2029'!D49+('Иран 2029'!C49+'Иран 2029'!F49+'Иран 2029'!G49)+(0.35*LN(1+0.6*'Ход 2029'!B55)*POWER(MAX(0,1-'Иран 2029'!I49/10),0.7))))</x:f>
        <x:v>7.5</x:v>
      </x:c>
      <x:c r="C49" s="3" t="n">
        <x:f>MIN(1,(MIN(1,'Иран 2029'!C49+'Иран 2029'!F49+(0.08*LN(1+0.5*'Ход 2029'!C55)*MAX(0,1-('Иран 2029'!C49+'Иран 2029'!F49)))))+(SUMIFS('Эффекты технологий'!$N$25:$N$240,'Эффекты технологий'!$C$25:$C$240,$A49,'Эффекты технологий'!$D$25:$D$240,"Прирост")-SUMIFS('Эффекты технологий'!$M$25:$M$240,'Эффекты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7.5</x:v>
      </x:c>
      <x:c r="J49" s="10" t="n">
        <x:f>SUMIFS('Эффекты технологий'!$N$25:$N$240,'Эффекты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2029'!B50+'Иран 2029'!D50+('Иран 2029'!C50+'Иран 2029'!F50+'Иран 2029'!G50)+(0.35*LN(1+0.6*'Ход 2029'!B56)*POWER(MAX(0,1-'Иран 2029'!I50/10),0.7))))</x:f>
        <x:v>9.200000000000003</x:v>
      </x:c>
      <x:c r="C50" s="3" t="n">
        <x:f>MIN(1,(MIN(1,'Иран 2029'!C50+'Иран 2029'!F50+(0.08*LN(1+0.5*'Ход 2029'!C56)*MAX(0,1-('Иран 2029'!C50+'Иран 2029'!F50)))))+(SUMIFS('Эффекты технологий'!$N$25:$N$240,'Эффекты технологий'!$C$25:$C$240,$A50,'Эффекты технологий'!$D$25:$D$240,"Прирост")-SUMIFS('Эффекты технологий'!$M$25:$M$240,'Эффекты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9.200000000000003</x:v>
      </x:c>
      <x:c r="J50" s="10" t="n">
        <x:f>SUMIFS('Эффекты технологий'!$N$25:$N$240,'Эффекты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2029'!B51+'Иран 2029'!D51+('Иран 2029'!C51+'Иран 2029'!F51+'Иран 2029'!G51)+(0.35*LN(1+0.6*'Ход 2029'!B57)*POWER(MAX(0,1-'Иран 2029'!I51/10),0.7))))</x:f>
        <x:v>6.800000000000001</x:v>
      </x:c>
      <x:c r="C51" s="3" t="n">
        <x:f>MIN(1,(MIN(1,'Иран 2029'!C51+'Иран 2029'!F51+(0.08*LN(1+0.5*'Ход 2029'!C57)*MAX(0,1-('Иран 2029'!C51+'Иран 2029'!F51)))))+(SUMIFS('Эффекты технологий'!$N$25:$N$240,'Эффекты технологий'!$C$25:$C$240,$A51,'Эффекты технологий'!$D$25:$D$240,"Прирост")-SUMIFS('Эффекты технологий'!$M$25:$M$240,'Эффекты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6.800000000000001</x:v>
      </x:c>
      <x:c r="J51" s="10" t="n">
        <x:f>SUMIFS('Эффекты технологий'!$N$25:$N$240,'Эффекты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2029'!B53+'Иран 2029'!D53+('Иран 2029'!C53+'Иран 2029'!F53+'Иран 2029'!G53)+(0.35*LN(1+0.6*'Ход 2029'!B59)*POWER(MAX(0,1-'Иран 2029'!I53/10),0.7))))</x:f>
        <x:v>6.300000000000001</x:v>
      </x:c>
      <x:c r="C53" s="3" t="n">
        <x:f>MIN(1,(MIN(1,'Иран 2029'!C53+'Иран 2029'!F53+(0.08*LN(1+0.5*'Ход 2029'!C59)*MAX(0,1-('Иран 2029'!C53+'Иран 2029'!F53)))))+(SUMIFS('Эффекты технологий'!$N$25:$N$240,'Эффекты технологий'!$C$25:$C$240,$A53,'Эффекты технологий'!$D$25:$D$240,"Прирост")-SUMIFS('Эффекты технологий'!$M$25:$M$240,'Эффекты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6.300000000000001</x:v>
      </x:c>
      <x:c r="J53" s="10" t="n">
        <x:f>SUMIFS('Эффекты технологий'!$N$25:$N$240,'Эффекты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2029'!B54+'Иран 2029'!D54+('Иран 2029'!C54+'Иран 2029'!F54+'Иран 2029'!G54)+(0.35*LN(1+0.6*'Ход 2029'!B60)*POWER(MAX(0,1-'Иран 2029'!I54/10),0.7))))</x:f>
        <x:v>5.800000000000001</x:v>
      </x:c>
      <x:c r="C54" s="3" t="n">
        <x:f>MIN(1,(MIN(1,'Иран 2029'!C54+'Иран 2029'!F54+(0.08*LN(1+0.5*'Ход 2029'!C60)*MAX(0,1-('Иран 2029'!C54+'Иран 2029'!F54)))))+(SUMIFS('Эффекты технологий'!$N$25:$N$240,'Эффекты технологий'!$C$25:$C$240,$A54,'Эффекты технологий'!$D$25:$D$240,"Прирост")-SUMIFS('Эффекты технологий'!$M$25:$M$240,'Эффекты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5.800000000000001</x:v>
      </x:c>
      <x:c r="J54" s="10" t="n">
        <x:f>SUMIFS('Эффекты технологий'!$N$25:$N$240,'Эффекты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2029'!B55+'Иран 2029'!D55+('Иран 2029'!C55+'Иран 2029'!F55+'Иран 2029'!G55)+(0.35*LN(1+0.6*'Ход 2029'!B61)*POWER(MAX(0,1-'Иран 2029'!I55/10),0.7))))</x:f>
        <x:v>6.100000000000001</x:v>
      </x:c>
      <x:c r="C55" s="3" t="n">
        <x:f>MIN(1,(MIN(1,'Иран 2029'!C55+'Иран 2029'!F55+(0.08*LN(1+0.5*'Ход 2029'!C61)*MAX(0,1-('Иран 2029'!C55+'Иран 2029'!F55)))))+(SUMIFS('Эффекты технологий'!$N$25:$N$240,'Эффекты технологий'!$C$25:$C$240,$A55,'Эффекты технологий'!$D$25:$D$240,"Прирост")-SUMIFS('Эффекты технологий'!$M$25:$M$240,'Эффекты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6.100000000000001</x:v>
      </x:c>
      <x:c r="J55" s="10" t="n">
        <x:f>SUMIFS('Эффекты технологий'!$N$25:$N$240,'Эффекты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352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2030'!U6</x:f>
        <x:v>86.04746870274894</x:v>
      </x:c>
      <x:c r="C6" s="3"/>
      <x:c r="D6" s="3"/>
      <x:c r="E6" s="3" t="s">
        <x:v>321</x:v>
      </x:c>
      <x:c r="F6" s="3" t="n">
        <x:f>'Иран 2030'!K6</x:f>
        <x:v>67.34880935075431</x:v>
      </x:c>
      <x:c r="G6" s="3"/>
      <x:c r="H6" s="3"/>
      <x:c r="I6" s="3" t="s">
        <x:v>321</x:v>
      </x:c>
      <x:c r="J6" s="3" t="n">
        <x:f>'Иран 2030'!N6</x:f>
        <x:v>83.3246905139741</x:v>
      </x:c>
      <x:c r="K6" s="3"/>
      <x:c r="L6" s="3"/>
      <x:c r="M6" s="3" t="s">
        <x:v>321</x:v>
      </x:c>
      <x:c r="N6" s="3" t="n">
        <x:f>'Иран 2030'!Q6</x:f>
        <x:v>58.68221020604639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86.04746870274894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67.34880935075431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83.3246905139741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58.68221020604639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2030'!V11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2030'!V12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2030'!V13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2030'!V14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2030'!V15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2030'!V16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2030'!V17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2030'!V18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2030'!V19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2030'!V20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2030'!V21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2030'!V22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технологий'!N$16</x:f>
        <x:v>0</x:v>
      </x:c>
      <x:c r="H25" s="11" t="n">
        <x:f>'Эффекты технологий'!N$17</x:f>
        <x:v>0</x:v>
      </x:c>
      <x:c r="I25" s="11" t="n">
        <x:f>'Эффекты технологий'!N$18</x:f>
        <x:v>0</x:v>
      </x:c>
      <x:c r="J25" s="12"/>
      <x:c r="K25" s="3"/>
      <x:c r="L25" s="3" t="str">
        <x:v>Бразилия</x:v>
      </x:c>
      <x:c r="M25" s="3" t="n">
        <x:f>'Иран 2030'!V23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2030'!V24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2030'!V25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2030'!V26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IF(G29="","",VLOOKUP(G29,Технологии!$A$11:$BF$50,48,FALSE))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IF(G30="","",VLOOKUP(G30,Технологии!$A$11:$BF$50,48,FALSE))</x:f>
      </x:c>
      <x:c r="L30" s="3"/>
      <x:c r="M30" s="3"/>
      <x:c r="N30" s="12" t="s">
        <x:v>340</x:v>
      </x:c>
      <x:c r="O30" s="11" t="n">
        <x:f>'Эффекты технологий'!N$13</x:f>
        <x:v>0</x:v>
      </x:c>
      <x:c r="P30" s="11" t="n">
        <x:f>'Эффекты технологий'!N$14</x:f>
        <x:v>0</x:v>
      </x:c>
      <x:c r="Q30" s="11" t="n">
        <x:f>'Эффекты технологий'!N$15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IF(G31="","",VLOOKUP(G31,Технологии!$A$11:$BF$50,48,FALSE))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IF(G32="","",VLOOKUP(G32,Технологии!$A$11:$BF$50,48,FALSE))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IF(G33="","",VLOOKUP(G33,Технологии!$A$11:$BF$50,48,FALSE))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IF(G34="","",VLOOKUP(G34,Технологии!$A$11:$BF$50,48,FALSE))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IF(G35="","",VLOOKUP(G35,Технологии!$A$11:$BF$50,48,FALSE))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IF(G36="","",VLOOKUP(G36,Технологии!$A$11:$BF$50,48,FALSE))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IF(G37="","",VLOOKUP(G37,Технологии!$A$11:$BF$50,48,FALSE))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IF(G38="","",VLOOKUP(G38,Технологии!$A$11:$BF$50,48,FALSE))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2031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69.73631279917805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85.06229666703925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59.81511060848604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87.09115441100249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2030'!B8+'Иран 2030'!D8+('Иран 2030'!C8+'Иран 2030'!F8+'Иран 2030'!G8)+(0.35*LN(1+0.6*('Ход 2030'!B14*(1+'Эффекты технологий'!N$12)))*POWER(MAX(0,1-'Иран 2030'!I8/10),0.7))))</x:f>
        <x:v>8.499999999999998</x:v>
      </x:c>
      <x:c r="C8" s="3" t="n">
        <x:f>MIN(1,(MIN(1,'Иран 2030'!C8+'Иран 2030'!F8+(0.08*LN(1+0.5*('Ход 2030'!C14*(1+'Эффекты технологий'!N$12)))*MAX(0,1-('Иран 2030'!C8+'Иран 2030'!F8)))))+(SUMIFS('Эффекты технологий'!$O$25:$O$240,'Эффекты технологий'!$C$25:$C$240,$A8,'Эффекты технологий'!$D$25:$D$240,"Прирост")-SUMIFS('Эффекты технологий'!$N$25:$N$240,'Эффекты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8.499999999999998</x:v>
      </x:c>
      <x:c r="J8" s="10" t="n">
        <x:f>SUMIFS('Эффекты технологий'!$O$25:$O$240,'Эффекты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2030'!B9+'Иран 2030'!D9+('Иран 2030'!C9+'Иран 2030'!F9+'Иран 2030'!G9)+(0.35*LN(1+0.6*('Ход 2030'!B15*(1+'Эффекты технологий'!N$12)))*POWER(MAX(0,1-'Иран 2030'!I9/10),0.7))))</x:f>
        <x:v>7.499999999999998</x:v>
      </x:c>
      <x:c r="C9" s="3" t="n">
        <x:f>MIN(1,(MIN(1,'Иран 2030'!C9+'Иран 2030'!F9+(0.08*LN(1+0.5*('Ход 2030'!C15*(1+'Эффекты технологий'!N$12)))*MAX(0,1-('Иран 2030'!C9+'Иран 2030'!F9)))))+(SUMIFS('Эффекты технологий'!$O$25:$O$240,'Эффекты технологий'!$C$25:$C$240,$A9,'Эффекты технологий'!$D$25:$D$240,"Прирост")-SUMIFS('Эффекты технологий'!$N$25:$N$240,'Эффекты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7.499999999999998</x:v>
      </x:c>
      <x:c r="J9" s="10" t="n">
        <x:f>SUMIFS('Эффекты технологий'!$O$25:$O$240,'Эффекты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2030'!B10+'Иран 2030'!D10+('Иран 2030'!C10+'Иран 2030'!F10+'Иран 2030'!G10)+(0.35*LN(1+0.6*('Ход 2030'!B16*(1+'Эффекты технологий'!N$12)))*POWER(MAX(0,1-'Иран 2030'!I10/10),0.7))))</x:f>
        <x:v>9.750000000000004</x:v>
      </x:c>
      <x:c r="C10" s="3" t="n">
        <x:f>MIN(1,(MIN(1,'Иран 2030'!C10+'Иран 2030'!F10+(0.08*LN(1+0.5*('Ход 2030'!C16*(1+'Эффекты технологий'!N$12)))*MAX(0,1-('Иран 2030'!C10+'Иран 2030'!F10)))))+(SUMIFS('Эффекты технологий'!$O$25:$O$240,'Эффекты технологий'!$C$25:$C$240,$A10,'Эффекты технологий'!$D$25:$D$240,"Прирост")-SUMIFS('Эффекты технологий'!$N$25:$N$240,'Эффекты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9.750000000000004</x:v>
      </x:c>
      <x:c r="J10" s="10" t="n">
        <x:f>SUMIFS('Эффекты технологий'!$O$25:$O$240,'Эффекты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2030'!B11+'Иран 2030'!D11+('Иран 2030'!C11+'Иран 2030'!F11+'Иран 2030'!G11)+(0.35*LN(1+0.6*('Ход 2030'!B17*(1+'Эффекты технологий'!N$12)))*POWER(MAX(0,1-'Иран 2030'!I11/10),0.7))))</x:f>
        <x:v>3.749999999999999</x:v>
      </x:c>
      <x:c r="C11" s="3" t="n">
        <x:f>MIN(1,(MIN(1,'Иран 2030'!C11+'Иран 2030'!F11+(0.08*LN(1+0.5*('Ход 2030'!C17*(1+'Эффекты технологий'!N$12)))*MAX(0,1-('Иран 2030'!C11+'Иран 2030'!F11)))))+(SUMIFS('Эффекты технологий'!$O$25:$O$240,'Эффекты технологий'!$C$25:$C$240,$A11,'Эффекты технологий'!$D$25:$D$240,"Прирост")-SUMIFS('Эффекты технологий'!$N$25:$N$240,'Эффекты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3.749999999999999</x:v>
      </x:c>
      <x:c r="J11" s="10" t="n">
        <x:f>SUMIFS('Эффекты технологий'!$O$25:$O$240,'Эффекты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2030'!L11+'Иран 2030'!N11+('Иран 2030'!M11+'Иран 2030'!P11+'Иран 2030'!Q11)))</x:f>
        <x:v>6.75</x:v>
      </x:c>
      <x:c r="M11" s="3" t="n">
        <x:f>MIN(1,(MIN(1,'Иран 2030'!M11+'Иран 2030'!P11+(0.1*LN(1+0.5*('Ход 2030'!H13*(1+'Эффекты технологий'!N$10)))*POWER(MAX(0,1-'Иран 2030'!S11/10),0.8))))+(SUMIFS('Эффекты технологий'!$O$25:$O$240,'Эффекты технологий'!$C$25:$C$240,$K11,'Эффекты технологий'!$D$25:$D$240,"Прирост")-SUMIFS('Эффекты технологий'!$N$25:$N$240,'Эффекты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6.75</x:v>
      </x:c>
      <x:c r="T11" s="10" t="n">
        <x:f>SUMIFS('Эффекты технологий'!$O$25:$O$240,'Эффекты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2030'!V11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2030'!B12+'Иран 2030'!D12+('Иран 2030'!C12+'Иран 2030'!F12+'Иран 2030'!G12)+(0.35*LN(1+0.6*('Ход 2030'!B18*(1+'Эффекты технологий'!N$12)))*POWER(MAX(0,1-'Иран 2030'!I12/10),0.7))))</x:f>
        <x:v>8.250000000000004</x:v>
      </x:c>
      <x:c r="C12" s="3" t="n">
        <x:f>MIN(1,(MIN(1,'Иран 2030'!C12+'Иран 2030'!F12+(0.08*LN(1+0.5*('Ход 2030'!C18*(1+'Эффекты технологий'!N$12)))*MAX(0,1-('Иран 2030'!C12+'Иран 2030'!F12)))))+(SUMIFS('Эффекты технологий'!$O$25:$O$240,'Эффекты технологий'!$C$25:$C$240,$A12,'Эффекты технологий'!$D$25:$D$240,"Прирост")-SUMIFS('Эффекты технологий'!$N$25:$N$240,'Эффекты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8.250000000000004</x:v>
      </x:c>
      <x:c r="J12" s="10" t="n">
        <x:f>SUMIFS('Эффекты технологий'!$O$25:$O$240,'Эффекты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2030'!L12+'Иран 2030'!N12+('Иран 2030'!M12+'Иран 2030'!P12+'Иран 2030'!Q12)))</x:f>
        <x:v>6.75</x:v>
      </x:c>
      <x:c r="M12" s="3" t="n">
        <x:f>MIN(1,(MIN(1,'Иран 2030'!M12+'Иран 2030'!P12+(0.1*LN(1+0.5*('Ход 2030'!H14*(1+'Эффекты технологий'!N$10)))*POWER(MAX(0,1-'Иран 2030'!S12/10),0.8))))+(SUMIFS('Эффекты технологий'!$O$25:$O$240,'Эффекты технологий'!$C$25:$C$240,$K12,'Эффекты технологий'!$D$25:$D$240,"Прирост")-SUMIFS('Эффекты технологий'!$N$25:$N$240,'Эффекты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6.75</x:v>
      </x:c>
      <x:c r="T12" s="10" t="n">
        <x:f>SUMIFS('Эффекты технологий'!$O$25:$O$240,'Эффекты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2030'!V12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2030'!B13+'Иран 2030'!D13+('Иран 2030'!C13+'Иран 2030'!F13+'Иран 2030'!G13)+(0.35*LN(1+0.6*('Ход 2030'!B19*(1+'Эффекты технологий'!N$12)))*POWER(MAX(0,1-'Иран 2030'!I13/10),0.7))))</x:f>
        <x:v>3.000000000000001</x:v>
      </x:c>
      <x:c r="C13" s="3" t="n">
        <x:f>MIN(1,(MIN(1,'Иран 2030'!C13+'Иран 2030'!F13+(0.08*LN(1+0.5*('Ход 2030'!C19*(1+'Эффекты технологий'!N$12)))*MAX(0,1-('Иран 2030'!C13+'Иран 2030'!F13)))))+(SUMIFS('Эффекты технологий'!$O$25:$O$240,'Эффекты технологий'!$C$25:$C$240,$A13,'Эффекты технологий'!$D$25:$D$240,"Прирост")-SUMIFS('Эффекты технологий'!$N$25:$N$240,'Эффекты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3.000000000000001</x:v>
      </x:c>
      <x:c r="J13" s="10" t="n">
        <x:f>SUMIFS('Эффекты технологий'!$O$25:$O$240,'Эффекты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2030'!L13+'Иран 2030'!N13+('Иран 2030'!M13+'Иран 2030'!P13+'Иран 2030'!Q13)))</x:f>
        <x:v>8</x:v>
      </x:c>
      <x:c r="M13" s="3" t="n">
        <x:f>MIN(1,(MIN(1,'Иран 2030'!M13+'Иран 2030'!P13+(0.1*LN(1+0.5*('Ход 2030'!H15*(1+'Эффекты технологий'!N$10)))*POWER(MAX(0,1-'Иран 2030'!S13/10),0.8))))+(SUMIFS('Эффекты технологий'!$O$25:$O$240,'Эффекты технологий'!$C$25:$C$240,$K13,'Эффекты технологий'!$D$25:$D$240,"Прирост")-SUMIFS('Эффекты технологий'!$N$25:$N$240,'Эффекты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</x:v>
      </x:c>
      <x:c r="T13" s="10" t="n">
        <x:f>SUMIFS('Эффекты технологий'!$O$25:$O$240,'Эффекты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2030'!V13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2030'!B14+'Иран 2030'!D14+('Иран 2030'!C14+'Иран 2030'!F14+'Иран 2030'!G14)+(0.35*LN(1+0.6*('Ход 2030'!B20*(1+'Эффекты технологий'!N$12)))*POWER(MAX(0,1-'Иран 2030'!I14/10),0.7))))</x:f>
        <x:v>4.000000000000001</x:v>
      </x:c>
      <x:c r="C14" s="3" t="n">
        <x:f>MIN(1,(MIN(1,'Иран 2030'!C14+'Иран 2030'!F14+(0.08*LN(1+0.5*('Ход 2030'!C20*(1+'Эффекты технологий'!N$12)))*MAX(0,1-('Иран 2030'!C14+'Иран 2030'!F14)))))+(SUMIFS('Эффекты технологий'!$O$25:$O$240,'Эффекты технологий'!$C$25:$C$240,$A14,'Эффекты технологий'!$D$25:$D$240,"Прирост")-SUMIFS('Эффекты технологий'!$N$25:$N$240,'Эффекты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4.000000000000001</x:v>
      </x:c>
      <x:c r="J14" s="10" t="n">
        <x:f>SUMIFS('Эффекты технологий'!$O$25:$O$240,'Эффекты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2030'!L14+'Иран 2030'!N14+('Иран 2030'!M14+'Иран 2030'!P14+'Иран 2030'!Q14)))</x:f>
        <x:v>7.75</x:v>
      </x:c>
      <x:c r="M14" s="3" t="n">
        <x:f>MIN(1,(MIN(1,'Иран 2030'!M14+'Иран 2030'!P14+(0.1*LN(1+0.5*('Ход 2030'!H16*(1+'Эффекты технологий'!N$10)))*POWER(MAX(0,1-'Иран 2030'!S14/10),0.8))))+(SUMIFS('Эффекты технологий'!$O$25:$O$240,'Эффекты технологий'!$C$25:$C$240,$K14,'Эффекты технологий'!$D$25:$D$240,"Прирост")-SUMIFS('Эффекты технологий'!$N$25:$N$240,'Эффекты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7.75</x:v>
      </x:c>
      <x:c r="T14" s="10" t="n">
        <x:f>SUMIFS('Эффекты технологий'!$O$25:$O$240,'Эффекты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2030'!V14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2030'!B15+'Иран 2030'!D15+('Иран 2030'!C15+'Иран 2030'!F15+'Иран 2030'!G15)+(0.35*LN(1+0.6*('Ход 2030'!B21*(1+'Эффекты технологий'!N$12)))*POWER(MAX(0,1-'Иран 2030'!I15/10),0.7))))</x:f>
        <x:v>5.75</x:v>
      </x:c>
      <x:c r="C15" s="3" t="n">
        <x:f>MIN(1,(MIN(1,'Иран 2030'!C15+'Иран 2030'!F15+(0.08*LN(1+0.5*('Ход 2030'!C21*(1+'Эффекты технологий'!N$12)))*MAX(0,1-('Иран 2030'!C15+'Иран 2030'!F15)))))+(SUMIFS('Эффекты технологий'!$O$25:$O$240,'Эффекты технологий'!$C$25:$C$240,$A15,'Эффекты технологий'!$D$25:$D$240,"Прирост")-SUMIFS('Эффекты технологий'!$N$25:$N$240,'Эффекты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5.75</x:v>
      </x:c>
      <x:c r="J15" s="10" t="n">
        <x:f>SUMIFS('Эффекты технологий'!$O$25:$O$240,'Эффекты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2030'!L15+'Иран 2030'!N15+('Иран 2030'!M15+'Иран 2030'!P15+'Иран 2030'!Q15)))</x:f>
        <x:v>8</x:v>
      </x:c>
      <x:c r="M15" s="3" t="n">
        <x:f>MIN(1,(MIN(1,'Иран 2030'!M15+'Иран 2030'!P15+(0.1*LN(1+0.5*('Ход 2030'!H17*(1+'Эффекты технологий'!N$10)))*POWER(MAX(0,1-'Иран 2030'!S15/10),0.8))))+(SUMIFS('Эффекты технологий'!$O$25:$O$240,'Эффекты технологий'!$C$25:$C$240,$K15,'Эффекты технологий'!$D$25:$D$240,"Прирост")-SUMIFS('Эффекты технологий'!$N$25:$N$240,'Эффекты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</x:v>
      </x:c>
      <x:c r="T15" s="10" t="n">
        <x:f>SUMIFS('Эффекты технологий'!$O$25:$O$240,'Эффекты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2030'!V15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2030'!B16+'Иран 2030'!D16+('Иран 2030'!C16+'Иран 2030'!F16+'Иран 2030'!G16)+(0.35*LN(1+0.6*('Ход 2030'!B22*(1+'Эффекты технологий'!N$12)))*POWER(MAX(0,1-'Иран 2030'!I16/10),0.7))))</x:f>
        <x:v>6.500000000000001</x:v>
      </x:c>
      <x:c r="C16" s="3" t="n">
        <x:f>MIN(1,(MIN(1,'Иран 2030'!C16+'Иран 2030'!F16+(0.08*LN(1+0.5*('Ход 2030'!C22*(1+'Эффекты технологий'!N$12)))*MAX(0,1-('Иран 2030'!C16+'Иран 2030'!F16)))))+(SUMIFS('Эффекты технологий'!$O$25:$O$240,'Эффекты технологий'!$C$25:$C$240,$A16,'Эффекты технологий'!$D$25:$D$240,"Прирост")-SUMIFS('Эффекты технологий'!$N$25:$N$240,'Эффекты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6.500000000000001</x:v>
      </x:c>
      <x:c r="J16" s="10" t="n">
        <x:f>SUMIFS('Эффекты технологий'!$O$25:$O$240,'Эффекты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2030'!L16+'Иран 2030'!N16+('Иран 2030'!M16+'Иран 2030'!P16+'Иран 2030'!Q16)))</x:f>
        <x:v>6.75</x:v>
      </x:c>
      <x:c r="M16" s="3" t="n">
        <x:f>MIN(1,(MIN(1,'Иран 2030'!M16+'Иран 2030'!P16+(0.1*LN(1+0.5*('Ход 2030'!H18*(1+'Эффекты технологий'!N$10)))*POWER(MAX(0,1-'Иран 2030'!S16/10),0.8))))+(SUMIFS('Эффекты технологий'!$O$25:$O$240,'Эффекты технологий'!$C$25:$C$240,$K16,'Эффекты технологий'!$D$25:$D$240,"Прирост")-SUMIFS('Эффекты технологий'!$N$25:$N$240,'Эффекты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6.75</x:v>
      </x:c>
      <x:c r="T16" s="10" t="n">
        <x:f>SUMIFS('Эффекты технологий'!$O$25:$O$240,'Эффекты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2030'!V16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2030'!B17+'Иран 2030'!D17+('Иран 2030'!C17+'Иран 2030'!F17+'Иран 2030'!G17)+(0.35*LN(1+0.6*('Ход 2030'!B23*(1+'Эффекты технологий'!N$12)))*POWER(MAX(0,1-'Иран 2030'!I17/10),0.7))))</x:f>
        <x:v>5.750000000000002</x:v>
      </x:c>
      <x:c r="C17" s="3" t="n">
        <x:f>MIN(1,(MIN(1,'Иран 2030'!C17+'Иран 2030'!F17+(0.08*LN(1+0.5*('Ход 2030'!C23*(1+'Эффекты технологий'!N$12)))*MAX(0,1-('Иран 2030'!C17+'Иран 2030'!F17)))))+(SUMIFS('Эффекты технологий'!$O$25:$O$240,'Эффекты технологий'!$C$25:$C$240,$A17,'Эффекты технологий'!$D$25:$D$240,"Прирост")-SUMIFS('Эффекты технологий'!$N$25:$N$240,'Эффекты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5.750000000000002</x:v>
      </x:c>
      <x:c r="J17" s="10" t="n">
        <x:f>SUMIFS('Эффекты технологий'!$O$25:$O$240,'Эффекты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2030'!L17+'Иран 2030'!N17+('Иран 2030'!M17+'Иран 2030'!P17+'Иран 2030'!Q17)))</x:f>
        <x:v>7.75</x:v>
      </x:c>
      <x:c r="M17" s="3" t="n">
        <x:f>MIN(1,(MIN(1,'Иран 2030'!M17+'Иран 2030'!P17+(0.1*LN(1+0.5*('Ход 2030'!H19*(1+'Эффекты технологий'!N$10)))*POWER(MAX(0,1-'Иран 2030'!S17/10),0.8))))+(SUMIFS('Эффекты технологий'!$O$25:$O$240,'Эффекты технологий'!$C$25:$C$240,$K17,'Эффекты технологий'!$D$25:$D$240,"Прирост")-SUMIFS('Эффекты технологий'!$N$25:$N$240,'Эффекты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7.75</x:v>
      </x:c>
      <x:c r="T17" s="10" t="n">
        <x:f>SUMIFS('Эффекты технологий'!$O$25:$O$240,'Эффекты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2030'!V17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2030'!L18+'Иран 2030'!N18+('Иран 2030'!M18+'Иран 2030'!P18+'Иран 2030'!Q18)))</x:f>
        <x:v>7.75</x:v>
      </x:c>
      <x:c r="M18" s="3" t="n">
        <x:f>MIN(1,(MIN(1,'Иран 2030'!M18+'Иран 2030'!P18+(0.1*LN(1+0.5*('Ход 2030'!H20*(1+'Эффекты технологий'!N$10)))*POWER(MAX(0,1-'Иран 2030'!S18/10),0.8))))+(SUMIFS('Эффекты технологий'!$O$25:$O$240,'Эффекты технологий'!$C$25:$C$240,$K18,'Эффекты технологий'!$D$25:$D$240,"Прирост")-SUMIFS('Эффекты технологий'!$N$25:$N$240,'Эффекты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7.75</x:v>
      </x:c>
      <x:c r="T18" s="10" t="n">
        <x:f>SUMIFS('Эффекты технологий'!$O$25:$O$240,'Эффекты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2030'!V18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2030'!B19+'Иран 2030'!D19+('Иран 2030'!C19+'Иран 2030'!F19+'Иран 2030'!G19)+(0.35*LN(1+0.6*'Ход 2030'!B25)*POWER(MAX(0,1-'Иран 2030'!I19/10),0.7))))</x:f>
        <x:v>6.500000000000001</x:v>
      </x:c>
      <x:c r="C19" s="3" t="n">
        <x:f>MIN(1,(MIN(1,'Иран 2030'!C19+'Иран 2030'!F19+(0.08*LN(1+0.5*'Ход 2030'!C25)*MAX(0,1-('Иран 2030'!C19+'Иран 2030'!F19)))))+(SUMIFS('Эффекты технологий'!$O$25:$O$240,'Эффекты технологий'!$C$25:$C$240,$A19,'Эффекты технологий'!$D$25:$D$240,"Прирост")-SUMIFS('Эффекты технологий'!$N$25:$N$240,'Эффекты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6.500000000000001</x:v>
      </x:c>
      <x:c r="J19" s="10" t="n">
        <x:f>SUMIFS('Эффекты технологий'!$O$25:$O$240,'Эффекты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2030'!V19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2030'!B20+'Иран 2030'!D20+('Иран 2030'!C20+'Иран 2030'!F20+'Иран 2030'!G20)+(0.35*LN(1+0.6*'Ход 2030'!B26)*POWER(MAX(0,1-'Иран 2030'!I20/10),0.7))))</x:f>
        <x:v>6.75</x:v>
      </x:c>
      <x:c r="C20" s="3" t="n">
        <x:f>MIN(1,(MIN(1,'Иран 2030'!C20+'Иран 2030'!F20+(0.08*LN(1+0.5*'Ход 2030'!C26)*MAX(0,1-('Иран 2030'!C20+'Иран 2030'!F20)))))+(SUMIFS('Эффекты технологий'!$O$25:$O$240,'Эффекты технологий'!$C$25:$C$240,$A20,'Эффекты технологий'!$D$25:$D$240,"Прирост")-SUMIFS('Эффекты технологий'!$N$25:$N$240,'Эффекты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6.75</x:v>
      </x:c>
      <x:c r="J20" s="10" t="n">
        <x:f>SUMIFS('Эффекты технологий'!$O$25:$O$240,'Эффекты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2030'!V20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2030'!B21+'Иран 2030'!D21+('Иран 2030'!C21+'Иран 2030'!F21+'Иран 2030'!G21)+(0.35*LN(1+0.6*'Ход 2030'!B27)*POWER(MAX(0,1-'Иран 2030'!I21/10),0.7))))</x:f>
        <x:v>6.000000000000001</x:v>
      </x:c>
      <x:c r="C21" s="3" t="n">
        <x:f>MIN(1,(MIN(1,'Иран 2030'!C21+'Иран 2030'!F21+(0.08*LN(1+0.5*'Ход 2030'!C27)*MAX(0,1-('Иран 2030'!C21+'Иран 2030'!F21)))))+(SUMIFS('Эффекты технологий'!$O$25:$O$240,'Эффекты технологий'!$C$25:$C$240,$A21,'Эффекты технологий'!$D$25:$D$240,"Прирост")-SUMIFS('Эффекты технологий'!$N$25:$N$240,'Эффекты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6.000000000000001</x:v>
      </x:c>
      <x:c r="J21" s="10" t="n">
        <x:f>SUMIFS('Эффекты технологий'!$O$25:$O$240,'Эффекты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2030'!V21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2030'!B22+'Иран 2030'!D22+('Иран 2030'!C22+'Иран 2030'!F22+'Иран 2030'!G22)+(0.35*LN(1+0.6*'Ход 2030'!B28)*POWER(MAX(0,1-'Иран 2030'!I22/10),0.7))))</x:f>
        <x:v>8.499999999999998</x:v>
      </x:c>
      <x:c r="C22" s="3" t="n">
        <x:f>MIN(1,(MIN(1,'Иран 2030'!C22+'Иран 2030'!F22+(0.08*LN(1+0.5*'Ход 2030'!C28)*MAX(0,1-('Иран 2030'!C22+'Иран 2030'!F22)))))+(SUMIFS('Эффекты технологий'!$O$25:$O$240,'Эффекты технологий'!$C$25:$C$240,$A22,'Эффекты технологий'!$D$25:$D$240,"Прирост")-SUMIFS('Эффекты технологий'!$N$25:$N$240,'Эффекты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8.499999999999998</x:v>
      </x:c>
      <x:c r="J22" s="10" t="n">
        <x:f>SUMIFS('Эффекты технологий'!$O$25:$O$240,'Эффекты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2030'!V22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2030'!B23+'Иран 2030'!D23+('Иран 2030'!C23+'Иран 2030'!F23+'Иран 2030'!G23)+(0.35*LN(1+0.6*'Ход 2030'!B29)*POWER(MAX(0,1-'Иран 2030'!I23/10),0.7))))</x:f>
        <x:v>7.500000000000001</x:v>
      </x:c>
      <x:c r="C23" s="3" t="n">
        <x:f>MIN(1,(MIN(1,'Иран 2030'!C23+'Иран 2030'!F23+(0.08*LN(1+0.5*'Ход 2030'!C29)*MAX(0,1-('Иран 2030'!C23+'Иран 2030'!F23)))))+(SUMIFS('Эффекты технологий'!$O$25:$O$240,'Эффекты технологий'!$C$25:$C$240,$A23,'Эффекты технологий'!$D$25:$D$240,"Прирост")-SUMIFS('Эффекты технологий'!$N$25:$N$240,'Эффекты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7.500000000000001</x:v>
      </x:c>
      <x:c r="J23" s="10" t="n">
        <x:f>SUMIFS('Эффекты технологий'!$O$25:$O$240,'Эффекты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2030'!V23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2030'!V24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2030'!B25+'Иран 2030'!D25+('Иран 2030'!C25+'Иран 2030'!F25+'Иран 2030'!G25)+(0.35*LN(1+0.6*'Ход 2030'!B31)*POWER(MAX(0,1-'Иран 2030'!I25/10),0.7))))</x:f>
        <x:v>7.499999999999998</x:v>
      </x:c>
      <x:c r="C25" s="3" t="n">
        <x:f>MIN(1,(MIN(1,'Иран 2030'!C25+'Иран 2030'!F25+(0.08*LN(1+0.5*'Ход 2030'!C31)*MAX(0,1-('Иран 2030'!C25+'Иран 2030'!F25)))))+(SUMIFS('Эффекты технологий'!$O$25:$O$240,'Эффекты технологий'!$C$25:$C$240,$A25,'Эффекты технологий'!$D$25:$D$240,"Прирост")-SUMIFS('Эффекты технологий'!$N$25:$N$240,'Эффекты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7.499999999999998</x:v>
      </x:c>
      <x:c r="J25" s="10" t="n">
        <x:f>SUMIFS('Эффекты технологий'!$O$25:$O$240,'Эффекты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2030'!V25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2030'!B26+'Иран 2030'!D26+('Иран 2030'!C26+'Иран 2030'!F26+'Иран 2030'!G26)+(0.35*LN(1+0.6*'Ход 2030'!B32)*POWER(MAX(0,1-'Иран 2030'!I26/10),0.7))))</x:f>
        <x:v>6.500000000000001</x:v>
      </x:c>
      <x:c r="C26" s="3" t="n">
        <x:f>MIN(1,(MIN(1,'Иран 2030'!C26+'Иран 2030'!F26+(0.08*LN(1+0.5*'Ход 2030'!C32)*MAX(0,1-('Иран 2030'!C26+'Иран 2030'!F26)))))+(SUMIFS('Эффекты технологий'!$O$25:$O$240,'Эффекты технологий'!$C$25:$C$240,$A26,'Эффекты технологий'!$D$25:$D$240,"Прирост")-SUMIFS('Эффекты технологий'!$N$25:$N$240,'Эффекты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6.500000000000001</x:v>
      </x:c>
      <x:c r="J26" s="10" t="n">
        <x:f>SUMIFS('Эффекты технологий'!$O$25:$O$240,'Эффекты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2030'!V26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2030'!B27+'Иран 2030'!D27+('Иран 2030'!C27+'Иран 2030'!F27+'Иран 2030'!G27)+(0.35*LN(1+0.6*'Ход 2030'!B33)*POWER(MAX(0,1-'Иран 2030'!I27/10),0.7))))</x:f>
        <x:v>6.750000000000002</x:v>
      </x:c>
      <x:c r="C27" s="3" t="n">
        <x:f>MIN(1,(MIN(1,'Иран 2030'!C27+'Иран 2030'!F27+(0.08*LN(1+0.5*'Ход 2030'!C33)*MAX(0,1-('Иран 2030'!C27+'Иран 2030'!F27)))))+(SUMIFS('Эффекты технологий'!$O$25:$O$240,'Эффекты технологий'!$C$25:$C$240,$A27,'Эффекты технологий'!$D$25:$D$240,"Прирост")-SUMIFS('Эффекты технологий'!$N$25:$N$240,'Эффекты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6.750000000000002</x:v>
      </x:c>
      <x:c r="J27" s="10" t="n">
        <x:f>SUMIFS('Эффекты технологий'!$O$25:$O$240,'Эффекты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2030'!B28+'Иран 2030'!D28+('Иран 2030'!C28+'Иран 2030'!F28+'Иран 2030'!G28)+(0.35*LN(1+0.6*'Ход 2030'!B34)*POWER(MAX(0,1-'Иран 2030'!I28/10),0.7))))</x:f>
        <x:v>6.500000000000001</x:v>
      </x:c>
      <x:c r="C28" s="3" t="n">
        <x:f>MIN(1,(MIN(1,'Иран 2030'!C28+'Иран 2030'!F28+(0.08*LN(1+0.5*'Ход 2030'!C34)*MAX(0,1-('Иран 2030'!C28+'Иран 2030'!F28)))))+(SUMIFS('Эффекты технологий'!$O$25:$O$240,'Эффекты технологий'!$C$25:$C$240,$A28,'Эффекты технологий'!$D$25:$D$240,"Прирост")-SUMIFS('Эффекты технологий'!$N$25:$N$240,'Эффекты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6.500000000000001</x:v>
      </x:c>
      <x:c r="J28" s="10" t="n">
        <x:f>SUMIFS('Эффекты технологий'!$O$25:$O$240,'Эффекты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2030'!B29+'Иран 2030'!D29+('Иран 2030'!C29+'Иран 2030'!F29+'Иран 2030'!G29)+(0.35*LN(1+0.6*'Ход 2030'!B35)*POWER(MAX(0,1-'Иран 2030'!I29/10),0.7))))</x:f>
        <x:v>6.500000000000001</x:v>
      </x:c>
      <x:c r="C29" s="3" t="n">
        <x:f>MIN(1,(MIN(1,'Иран 2030'!C29+'Иран 2030'!F29+(0.08*LN(1+0.5*'Ход 2030'!C35)*MAX(0,1-('Иран 2030'!C29+'Иран 2030'!F29)))))+(SUMIFS('Эффекты технологий'!$O$25:$O$240,'Эффекты технологий'!$C$25:$C$240,$A29,'Эффекты технологий'!$D$25:$D$240,"Прирост")-SUMIFS('Эффекты технологий'!$N$25:$N$240,'Эффекты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6.500000000000001</x:v>
      </x:c>
      <x:c r="J29" s="10" t="n">
        <x:f>SUMIFS('Эффекты технологий'!$O$25:$O$240,'Эффекты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2030'!B30+'Иран 2030'!D30+('Иран 2030'!C30+'Иран 2030'!F30+'Иран 2030'!G30)+(0.35*LN(1+0.6*'Ход 2030'!B36)*POWER(MAX(0,1-'Иран 2030'!I30/10),0.7))))</x:f>
        <x:v>6.250000000000002</x:v>
      </x:c>
      <x:c r="C30" s="3" t="n">
        <x:f>MIN(1,(MIN(1,'Иран 2030'!C30+'Иран 2030'!F30+(0.08*LN(1+0.5*'Ход 2030'!C36)*MAX(0,1-('Иран 2030'!C30+'Иран 2030'!F30)))))+(SUMIFS('Эффекты технологий'!$O$25:$O$240,'Эффекты технологий'!$C$25:$C$240,$A30,'Эффекты технологий'!$D$25:$D$240,"Прирост")-SUMIFS('Эффекты технологий'!$N$25:$N$240,'Эффекты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6.250000000000002</x:v>
      </x:c>
      <x:c r="J30" s="10" t="n">
        <x:f>SUMIFS('Эффекты технологий'!$O$25:$O$240,'Эффекты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2030'!B31+'Иран 2030'!D31+('Иран 2030'!C31+'Иран 2030'!F31+'Иран 2030'!G31)+(0.35*LN(1+0.6*'Ход 2030'!B37)*POWER(MAX(0,1-'Иран 2030'!I31/10),0.7))))</x:f>
        <x:v>6.250000000000002</x:v>
      </x:c>
      <x:c r="C31" s="3" t="n">
        <x:f>MIN(1,(MIN(1,'Иран 2030'!C31+'Иран 2030'!F31+(0.08*LN(1+0.5*'Ход 2030'!C37)*MAX(0,1-('Иран 2030'!C31+'Иран 2030'!F31)))))+(SUMIFS('Эффекты технологий'!$O$25:$O$240,'Эффекты технологий'!$C$25:$C$240,$A31,'Эффекты технологий'!$D$25:$D$240,"Прирост")-SUMIFS('Эффекты технологий'!$N$25:$N$240,'Эффекты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6.250000000000002</x:v>
      </x:c>
      <x:c r="J31" s="10" t="n">
        <x:f>SUMIFS('Эффекты технологий'!$O$25:$O$240,'Эффекты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2030'!B32+'Иран 2030'!D32+('Иран 2030'!C32+'Иран 2030'!F32+'Иран 2030'!G32)+(0.35*LN(1+0.6*'Ход 2030'!B38)*POWER(MAX(0,1-'Иран 2030'!I32/10),0.7))))</x:f>
        <x:v>8.499999999999998</x:v>
      </x:c>
      <x:c r="C32" s="3" t="n">
        <x:f>MIN(1,(MIN(1,'Иран 2030'!C32+'Иран 2030'!F32+(0.08*LN(1+0.5*'Ход 2030'!C38)*MAX(0,1-('Иран 2030'!C32+'Иран 2030'!F32)))))+(SUMIFS('Эффекты технологий'!$O$25:$O$240,'Эффекты технологий'!$C$25:$C$240,$A32,'Эффекты технологий'!$D$25:$D$240,"Прирост")-SUMIFS('Эффекты технологий'!$N$25:$N$240,'Эффекты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8.499999999999998</x:v>
      </x:c>
      <x:c r="J32" s="10" t="n">
        <x:f>SUMIFS('Эффекты технологий'!$O$25:$O$240,'Эффекты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2030'!B34+'Иран 2030'!D34+('Иран 2030'!C34+'Иран 2030'!F34+'Иран 2030'!G34)+(0.35*LN(1+0.6*'Ход 2030'!B40)*POWER(MAX(0,1-'Иран 2030'!I34/10),0.7))))</x:f>
        <x:v>8.499999999999998</x:v>
      </x:c>
      <x:c r="C34" s="3" t="n">
        <x:f>MIN(1,(MIN(1,'Иран 2030'!C34+'Иран 2030'!F34+(0.08*LN(1+0.5*'Ход 2030'!C40)*MAX(0,1-('Иран 2030'!C34+'Иран 2030'!F34)))))+(SUMIFS('Эффекты технологий'!$O$25:$O$240,'Эффекты технологий'!$C$25:$C$240,$A34,'Эффекты технологий'!$D$25:$D$240,"Прирост")-SUMIFS('Эффекты технологий'!$N$25:$N$240,'Эффекты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8.499999999999998</x:v>
      </x:c>
      <x:c r="J34" s="10" t="n">
        <x:f>SUMIFS('Эффекты технологий'!$O$25:$O$240,'Эффекты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2030'!B35+'Иран 2030'!D35+('Иран 2030'!C35+'Иран 2030'!F35+'Иран 2030'!G35)+(0.35*LN(1+0.6*'Ход 2030'!B41)*POWER(MAX(0,1-'Иран 2030'!I35/10),0.7))))</x:f>
        <x:v>8.499999999999998</x:v>
      </x:c>
      <x:c r="C35" s="3" t="n">
        <x:f>MIN(1,(MIN(1,'Иран 2030'!C35+'Иран 2030'!F35+(0.08*LN(1+0.5*'Ход 2030'!C41)*MAX(0,1-('Иран 2030'!C35+'Иран 2030'!F35)))))+(SUMIFS('Эффекты технологий'!$O$25:$O$240,'Эффекты технологий'!$C$25:$C$240,$A35,'Эффекты технологий'!$D$25:$D$240,"Прирост")-SUMIFS('Эффекты технологий'!$N$25:$N$240,'Эффекты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8.499999999999998</x:v>
      </x:c>
      <x:c r="J35" s="10" t="n">
        <x:f>SUMIFS('Эффекты технологий'!$O$25:$O$240,'Эффекты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2030'!B36+'Иран 2030'!D36+('Иран 2030'!C36+'Иран 2030'!F36+'Иран 2030'!G36)+(0.35*LN(1+0.6*'Ход 2030'!B42)*POWER(MAX(0,1-'Иран 2030'!I36/10),0.7))))</x:f>
        <x:v>7.500000000000001</x:v>
      </x:c>
      <x:c r="C36" s="3" t="n">
        <x:f>MIN(1,(MIN(1,'Иран 2030'!C36+'Иран 2030'!F36+(0.08*LN(1+0.5*'Ход 2030'!C42)*MAX(0,1-('Иран 2030'!C36+'Иран 2030'!F36)))))+(SUMIFS('Эффекты технологий'!$O$25:$O$240,'Эффекты технологий'!$C$25:$C$240,$A36,'Эффекты технологий'!$D$25:$D$240,"Прирост")-SUMIFS('Эффекты технологий'!$N$25:$N$240,'Эффекты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7.500000000000001</x:v>
      </x:c>
      <x:c r="J36" s="10" t="n">
        <x:f>SUMIFS('Эффекты технологий'!$O$25:$O$240,'Эффекты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2030'!B37+'Иран 2030'!D37+('Иран 2030'!C37+'Иран 2030'!F37+'Иран 2030'!G37)+(0.35*LN(1+0.6*'Ход 2030'!B43)*POWER(MAX(0,1-'Иран 2030'!I37/10),0.7))))</x:f>
        <x:v>6.000000000000001</x:v>
      </x:c>
      <x:c r="C37" s="3" t="n">
        <x:f>MIN(1,(MIN(1,'Иран 2030'!C37+'Иран 2030'!F37+(0.08*LN(1+0.5*'Ход 2030'!C43)*MAX(0,1-('Иран 2030'!C37+'Иран 2030'!F37)))))+(SUMIFS('Эффекты технологий'!$O$25:$O$240,'Эффекты технологий'!$C$25:$C$240,$A37,'Эффекты технологий'!$D$25:$D$240,"Прирост")-SUMIFS('Эффекты технологий'!$N$25:$N$240,'Эффекты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6.000000000000001</x:v>
      </x:c>
      <x:c r="J37" s="10" t="n">
        <x:f>SUMIFS('Эффекты технологий'!$O$25:$O$240,'Эффекты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2030'!B38+'Иран 2030'!D38+('Иран 2030'!C38+'Иран 2030'!F38+'Иран 2030'!G38)+(0.35*LN(1+0.6*'Ход 2030'!B44)*POWER(MAX(0,1-'Иран 2030'!I38/10),0.7))))</x:f>
        <x:v>6.500000000000001</x:v>
      </x:c>
      <x:c r="C38" s="3" t="n">
        <x:f>MIN(1,(MIN(1,'Иран 2030'!C38+'Иран 2030'!F38+(0.08*LN(1+0.5*'Ход 2030'!C44)*MAX(0,1-('Иран 2030'!C38+'Иран 2030'!F38)))))+(SUMIFS('Эффекты технологий'!$O$25:$O$240,'Эффекты технологий'!$C$25:$C$240,$A38,'Эффекты технологий'!$D$25:$D$240,"Прирост")-SUMIFS('Эффекты технологий'!$N$25:$N$240,'Эффекты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6.500000000000001</x:v>
      </x:c>
      <x:c r="J38" s="10" t="n">
        <x:f>SUMIFS('Эффекты технологий'!$O$25:$O$240,'Эффекты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2030'!B39+'Иран 2030'!D39+('Иран 2030'!C39+'Иран 2030'!F39+'Иран 2030'!G39)+(0.35*LN(1+0.6*'Ход 2030'!B45)*POWER(MAX(0,1-'Иран 2030'!I39/10),0.7))))</x:f>
        <x:v>7.000000000000001</x:v>
      </x:c>
      <x:c r="C39" s="3" t="n">
        <x:f>MIN(1,(MIN(1,'Иран 2030'!C39+'Иран 2030'!F39+(0.08*LN(1+0.5*'Ход 2030'!C45)*MAX(0,1-('Иран 2030'!C39+'Иран 2030'!F39)))))+(SUMIFS('Эффекты технологий'!$O$25:$O$240,'Эффекты технологий'!$C$25:$C$240,$A39,'Эффекты технологий'!$D$25:$D$240,"Прирост")-SUMIFS('Эффекты технологий'!$N$25:$N$240,'Эффекты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7.000000000000001</x:v>
      </x:c>
      <x:c r="J39" s="10" t="n">
        <x:f>SUMIFS('Эффекты технологий'!$O$25:$O$240,'Эффекты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2030'!B40+'Иран 2030'!D40+('Иран 2030'!C40+'Иран 2030'!F40+'Иран 2030'!G40)+(0.35*LN(1+0.6*'Ход 2030'!B46)*POWER(MAX(0,1-'Иран 2030'!I40/10),0.7))))</x:f>
        <x:v>5.250000000000002</x:v>
      </x:c>
      <x:c r="C40" s="3" t="n">
        <x:f>MIN(1,(MIN(1,'Иран 2030'!C40+'Иран 2030'!F40+(0.08*LN(1+0.5*'Ход 2030'!C46)*MAX(0,1-('Иран 2030'!C40+'Иран 2030'!F40)))))+(SUMIFS('Эффекты технологий'!$O$25:$O$240,'Эффекты технологий'!$C$25:$C$240,$A40,'Эффекты технологий'!$D$25:$D$240,"Прирост")-SUMIFS('Эффекты технологий'!$N$25:$N$240,'Эффекты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5.250000000000002</x:v>
      </x:c>
      <x:c r="J40" s="10" t="n">
        <x:f>SUMIFS('Эффекты технологий'!$O$25:$O$240,'Эффекты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2030'!B41+'Иран 2030'!D41+('Иран 2030'!C41+'Иран 2030'!F41+'Иран 2030'!G41)+(0.35*LN(1+0.6*'Ход 2030'!B47)*POWER(MAX(0,1-'Иран 2030'!I41/10),0.7))))</x:f>
        <x:v>6.000000000000001</x:v>
      </x:c>
      <x:c r="C41" s="3" t="n">
        <x:f>MIN(1,(MIN(1,'Иран 2030'!C41+'Иран 2030'!F41+(0.08*LN(1+0.5*'Ход 2030'!C47)*MAX(0,1-('Иран 2030'!C41+'Иран 2030'!F41)))))+(SUMIFS('Эффекты технологий'!$O$25:$O$240,'Эффекты технологий'!$C$25:$C$240,$A41,'Эффекты технологий'!$D$25:$D$240,"Прирост")-SUMIFS('Эффекты технологий'!$N$25:$N$240,'Эффекты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6.000000000000001</x:v>
      </x:c>
      <x:c r="J41" s="10" t="n">
        <x:f>SUMIFS('Эффекты технологий'!$O$25:$O$240,'Эффекты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2030'!B42+'Иран 2030'!D42+('Иран 2030'!C42+'Иран 2030'!F42+'Иран 2030'!G42)+(0.35*LN(1+0.6*'Ход 2030'!B48)*POWER(MAX(0,1-'Иран 2030'!I42/10),0.7))))</x:f>
        <x:v>7.499999999999998</x:v>
      </x:c>
      <x:c r="C42" s="3" t="n">
        <x:f>MIN(1,(MIN(1,'Иран 2030'!C42+'Иран 2030'!F42+(0.08*LN(1+0.5*'Ход 2030'!C48)*MAX(0,1-('Иран 2030'!C42+'Иран 2030'!F42)))))+(SUMIFS('Эффекты технологий'!$O$25:$O$240,'Эффекты технологий'!$C$25:$C$240,$A42,'Эффекты технологий'!$D$25:$D$240,"Прирост")-SUMIFS('Эффекты технологий'!$N$25:$N$240,'Эффекты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7.499999999999998</x:v>
      </x:c>
      <x:c r="J42" s="10" t="n">
        <x:f>SUMIFS('Эффекты технологий'!$O$25:$O$240,'Эффекты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2030'!B44+'Иран 2030'!D44+('Иран 2030'!C44+'Иран 2030'!F44+'Иран 2030'!G44)+(0.35*LN(1+0.6*'Ход 2030'!B50)*POWER(MAX(0,1-'Иран 2030'!I44/10),0.7))))</x:f>
        <x:v>4.499999999999998</x:v>
      </x:c>
      <x:c r="C44" s="3" t="n">
        <x:f>MIN(1,(MIN(1,'Иран 2030'!C44+'Иран 2030'!F44+(0.08*LN(1+0.5*'Ход 2030'!C50)*MAX(0,1-('Иран 2030'!C44+'Иран 2030'!F44)))))+(SUMIFS('Эффекты технологий'!$O$25:$O$240,'Эффекты технологий'!$C$25:$C$240,$A44,'Эффекты технологий'!$D$25:$D$240,"Прирост")-SUMIFS('Эффекты технологий'!$N$25:$N$240,'Эффекты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4.499999999999998</x:v>
      </x:c>
      <x:c r="J44" s="10" t="n">
        <x:f>SUMIFS('Эффекты технологий'!$O$25:$O$240,'Эффекты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2030'!B45+'Иран 2030'!D45+('Иран 2030'!C45+'Иран 2030'!F45+'Иран 2030'!G45)+(0.35*LN(1+0.6*'Ход 2030'!B51)*POWER(MAX(0,1-'Иран 2030'!I45/10),0.7))))</x:f>
        <x:v>5.750000000000002</x:v>
      </x:c>
      <x:c r="C45" s="3" t="n">
        <x:f>MIN(1,(MIN(1,'Иран 2030'!C45+'Иран 2030'!F45+(0.08*LN(1+0.5*'Ход 2030'!C51)*MAX(0,1-('Иран 2030'!C45+'Иран 2030'!F45)))))+(SUMIFS('Эффекты технологий'!$O$25:$O$240,'Эффекты технологий'!$C$25:$C$240,$A45,'Эффекты технологий'!$D$25:$D$240,"Прирост")-SUMIFS('Эффекты технологий'!$N$25:$N$240,'Эффекты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5.750000000000002</x:v>
      </x:c>
      <x:c r="J45" s="10" t="n">
        <x:f>SUMIFS('Эффекты технологий'!$O$25:$O$240,'Эффекты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2030'!B46+'Иран 2030'!D46+('Иран 2030'!C46+'Иран 2030'!F46+'Иран 2030'!G46)+(0.35*LN(1+0.6*'Ход 2030'!B52)*POWER(MAX(0,1-'Иран 2030'!I46/10),0.7))))</x:f>
        <x:v>5.750000000000002</x:v>
      </x:c>
      <x:c r="C46" s="3" t="n">
        <x:f>MIN(1,(MIN(1,'Иран 2030'!C46+'Иран 2030'!F46+(0.08*LN(1+0.5*'Ход 2030'!C52)*MAX(0,1-('Иран 2030'!C46+'Иран 2030'!F46)))))+(SUMIFS('Эффекты технологий'!$O$25:$O$240,'Эффекты технологий'!$C$25:$C$240,$A46,'Эффекты технологий'!$D$25:$D$240,"Прирост")-SUMIFS('Эффекты технологий'!$N$25:$N$240,'Эффекты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5.750000000000002</x:v>
      </x:c>
      <x:c r="J46" s="10" t="n">
        <x:f>SUMIFS('Эффекты технологий'!$O$25:$O$240,'Эффекты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2030'!B47+'Иран 2030'!D47+('Иран 2030'!C47+'Иран 2030'!F47+'Иран 2030'!G47)+(0.35*LN(1+0.6*'Ход 2030'!B53)*POWER(MAX(0,1-'Иран 2030'!I47/10),0.7))))</x:f>
        <x:v>2.250000000000001</x:v>
      </x:c>
      <x:c r="C47" s="3" t="n">
        <x:f>MIN(1,(MIN(1,'Иран 2030'!C47+'Иран 2030'!F47+(0.08*LN(1+0.5*'Ход 2030'!C53)*MAX(0,1-('Иран 2030'!C47+'Иран 2030'!F47)))))+(SUMIFS('Эффекты технологий'!$O$25:$O$240,'Эффекты технологий'!$C$25:$C$240,$A47,'Эффекты технологий'!$D$25:$D$240,"Прирост")-SUMIFS('Эффекты технологий'!$N$25:$N$240,'Эффекты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2.250000000000001</x:v>
      </x:c>
      <x:c r="J47" s="10" t="n">
        <x:f>SUMIFS('Эффекты технологий'!$O$25:$O$240,'Эффекты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2030'!B48+'Иран 2030'!D48+('Иран 2030'!C48+'Иран 2030'!F48+'Иран 2030'!G48)+(0.35*LN(1+0.6*'Ход 2030'!B54)*POWER(MAX(0,1-'Иран 2030'!I48/10),0.7))))</x:f>
        <x:v>5.999999999999998</x:v>
      </x:c>
      <x:c r="C48" s="3" t="n">
        <x:f>MIN(1,(MIN(1,'Иран 2030'!C48+'Иран 2030'!F48+(0.08*LN(1+0.5*'Ход 2030'!C54)*MAX(0,1-('Иран 2030'!C48+'Иран 2030'!F48)))))+(SUMIFS('Эффекты технологий'!$O$25:$O$240,'Эффекты технологий'!$C$25:$C$240,$A48,'Эффекты технологий'!$D$25:$D$240,"Прирост")-SUMIFS('Эффекты технологий'!$N$25:$N$240,'Эффекты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5.999999999999998</x:v>
      </x:c>
      <x:c r="J48" s="10" t="n">
        <x:f>SUMIFS('Эффекты технологий'!$O$25:$O$240,'Эффекты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2030'!B49+'Иран 2030'!D49+('Иран 2030'!C49+'Иран 2030'!F49+'Иран 2030'!G49)+(0.35*LN(1+0.6*'Ход 2030'!B55)*POWER(MAX(0,1-'Иран 2030'!I49/10),0.7))))</x:f>
        <x:v>7.75</x:v>
      </x:c>
      <x:c r="C49" s="3" t="n">
        <x:f>MIN(1,(MIN(1,'Иран 2030'!C49+'Иран 2030'!F49+(0.08*LN(1+0.5*'Ход 2030'!C55)*MAX(0,1-('Иран 2030'!C49+'Иран 2030'!F49)))))+(SUMIFS('Эффекты технологий'!$O$25:$O$240,'Эффекты технологий'!$C$25:$C$240,$A49,'Эффекты технологий'!$D$25:$D$240,"Прирост")-SUMIFS('Эффекты технологий'!$N$25:$N$240,'Эффекты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7.75</x:v>
      </x:c>
      <x:c r="J49" s="10" t="n">
        <x:f>SUMIFS('Эффекты технологий'!$O$25:$O$240,'Эффекты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2030'!B50+'Иран 2030'!D50+('Иран 2030'!C50+'Иран 2030'!F50+'Иран 2030'!G50)+(0.35*LN(1+0.6*'Ход 2030'!B56)*POWER(MAX(0,1-'Иран 2030'!I50/10),0.7))))</x:f>
        <x:v>9.250000000000004</x:v>
      </x:c>
      <x:c r="C50" s="3" t="n">
        <x:f>MIN(1,(MIN(1,'Иран 2030'!C50+'Иран 2030'!F50+(0.08*LN(1+0.5*'Ход 2030'!C56)*MAX(0,1-('Иран 2030'!C50+'Иран 2030'!F50)))))+(SUMIFS('Эффекты технологий'!$O$25:$O$240,'Эффекты технологий'!$C$25:$C$240,$A50,'Эффекты технологий'!$D$25:$D$240,"Прирост")-SUMIFS('Эффекты технологий'!$N$25:$N$240,'Эффекты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9.250000000000004</x:v>
      </x:c>
      <x:c r="J50" s="10" t="n">
        <x:f>SUMIFS('Эффекты технологий'!$O$25:$O$240,'Эффекты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2030'!B51+'Иран 2030'!D51+('Иран 2030'!C51+'Иран 2030'!F51+'Иран 2030'!G51)+(0.35*LN(1+0.6*'Ход 2030'!B57)*POWER(MAX(0,1-'Иран 2030'!I51/10),0.7))))</x:f>
        <x:v>7.000000000000001</x:v>
      </x:c>
      <x:c r="C51" s="3" t="n">
        <x:f>MIN(1,(MIN(1,'Иран 2030'!C51+'Иран 2030'!F51+(0.08*LN(1+0.5*'Ход 2030'!C57)*MAX(0,1-('Иран 2030'!C51+'Иран 2030'!F51)))))+(SUMIFS('Эффекты технологий'!$O$25:$O$240,'Эффекты технологий'!$C$25:$C$240,$A51,'Эффекты технологий'!$D$25:$D$240,"Прирост")-SUMIFS('Эффекты технологий'!$N$25:$N$240,'Эффекты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7.000000000000001</x:v>
      </x:c>
      <x:c r="J51" s="10" t="n">
        <x:f>SUMIFS('Эффекты технологий'!$O$25:$O$240,'Эффекты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2030'!B53+'Иран 2030'!D53+('Иран 2030'!C53+'Иран 2030'!F53+'Иран 2030'!G53)+(0.35*LN(1+0.6*'Ход 2030'!B59)*POWER(MAX(0,1-'Иран 2030'!I53/10),0.7))))</x:f>
        <x:v>6.500000000000001</x:v>
      </x:c>
      <x:c r="C53" s="3" t="n">
        <x:f>MIN(1,(MIN(1,'Иран 2030'!C53+'Иран 2030'!F53+(0.08*LN(1+0.5*'Ход 2030'!C59)*MAX(0,1-('Иран 2030'!C53+'Иран 2030'!F53)))))+(SUMIFS('Эффекты технологий'!$O$25:$O$240,'Эффекты технологий'!$C$25:$C$240,$A53,'Эффекты технологий'!$D$25:$D$240,"Прирост")-SUMIFS('Эффекты технологий'!$N$25:$N$240,'Эффекты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6.500000000000001</x:v>
      </x:c>
      <x:c r="J53" s="10" t="n">
        <x:f>SUMIFS('Эффекты технологий'!$O$25:$O$240,'Эффекты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2030'!B54+'Иран 2030'!D54+('Иран 2030'!C54+'Иран 2030'!F54+'Иран 2030'!G54)+(0.35*LN(1+0.6*'Ход 2030'!B60)*POWER(MAX(0,1-'Иран 2030'!I54/10),0.7))))</x:f>
        <x:v>6.000000000000001</x:v>
      </x:c>
      <x:c r="C54" s="3" t="n">
        <x:f>MIN(1,(MIN(1,'Иран 2030'!C54+'Иран 2030'!F54+(0.08*LN(1+0.5*'Ход 2030'!C60)*MAX(0,1-('Иран 2030'!C54+'Иран 2030'!F54)))))+(SUMIFS('Эффекты технологий'!$O$25:$O$240,'Эффекты технологий'!$C$25:$C$240,$A54,'Эффекты технологий'!$D$25:$D$240,"Прирост")-SUMIFS('Эффекты технологий'!$N$25:$N$240,'Эффекты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6.000000000000001</x:v>
      </x:c>
      <x:c r="J54" s="10" t="n">
        <x:f>SUMIFS('Эффекты технологий'!$O$25:$O$240,'Эффекты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2030'!B55+'Иран 2030'!D55+('Иран 2030'!C55+'Иран 2030'!F55+'Иран 2030'!G55)+(0.35*LN(1+0.6*'Ход 2030'!B61)*POWER(MAX(0,1-'Иран 2030'!I55/10),0.7))))</x:f>
        <x:v>6.250000000000002</x:v>
      </x:c>
      <x:c r="C55" s="3" t="n">
        <x:f>MIN(1,(MIN(1,'Иран 2030'!C55+'Иран 2030'!F55+(0.08*LN(1+0.5*'Ход 2030'!C61)*MAX(0,1-('Иран 2030'!C55+'Иран 2030'!F55)))))+(SUMIFS('Эффекты технологий'!$O$25:$O$240,'Эффекты технологий'!$C$25:$C$240,$A55,'Эффекты технологий'!$D$25:$D$240,"Прирост")-SUMIFS('Эффекты технологий'!$N$25:$N$240,'Эффекты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6.250000000000002</x:v>
      </x:c>
      <x:c r="J55" s="10" t="n">
        <x:f>SUMIFS('Эффекты технологий'!$O$25:$O$240,'Эффекты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353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2031'!U6</x:f>
        <x:v>87.09115441100249</x:v>
      </x:c>
      <x:c r="C6" s="3"/>
      <x:c r="D6" s="3"/>
      <x:c r="E6" s="3" t="s">
        <x:v>321</x:v>
      </x:c>
      <x:c r="F6" s="3" t="n">
        <x:f>'Иран 2031'!K6</x:f>
        <x:v>69.73631279917805</x:v>
      </x:c>
      <x:c r="G6" s="3"/>
      <x:c r="H6" s="3"/>
      <x:c r="I6" s="3" t="s">
        <x:v>321</x:v>
      </x:c>
      <x:c r="J6" s="3" t="n">
        <x:f>'Иран 2031'!N6</x:f>
        <x:v>85.06229666703925</x:v>
      </x:c>
      <x:c r="K6" s="3"/>
      <x:c r="L6" s="3"/>
      <x:c r="M6" s="3" t="s">
        <x:v>321</x:v>
      </x:c>
      <x:c r="N6" s="3" t="n">
        <x:f>'Иран 2031'!Q6</x:f>
        <x:v>59.81511060848604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87.09115441100249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69.73631279917805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85.06229666703925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59.81511060848604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2031'!V11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2031'!V12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2031'!V13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2031'!V14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2031'!V15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2031'!V16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2031'!V17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2031'!V18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2031'!V19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2031'!V20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2031'!V21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2031'!V22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технологий'!O$16</x:f>
        <x:v>0</x:v>
      </x:c>
      <x:c r="H25" s="11" t="n">
        <x:f>'Эффекты технологий'!O$17</x:f>
        <x:v>0</x:v>
      </x:c>
      <x:c r="I25" s="11" t="n">
        <x:f>'Эффекты технологий'!O$18</x:f>
        <x:v>0</x:v>
      </x:c>
      <x:c r="J25" s="12"/>
      <x:c r="K25" s="3"/>
      <x:c r="L25" s="3" t="str">
        <x:v>Бразилия</x:v>
      </x:c>
      <x:c r="M25" s="3" t="n">
        <x:f>'Иран 2031'!V23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2031'!V24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2031'!V25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2031'!V26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IF(G29="","",VLOOKUP(G29,Технологии!$A$11:$BF$50,49,FALSE))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IF(G30="","",VLOOKUP(G30,Технологии!$A$11:$BF$50,49,FALSE))</x:f>
      </x:c>
      <x:c r="L30" s="3"/>
      <x:c r="M30" s="3"/>
      <x:c r="N30" s="12" t="s">
        <x:v>340</x:v>
      </x:c>
      <x:c r="O30" s="11" t="n">
        <x:f>'Эффекты технологий'!O$13</x:f>
        <x:v>0</x:v>
      </x:c>
      <x:c r="P30" s="11" t="n">
        <x:f>'Эффекты технологий'!O$14</x:f>
        <x:v>0</x:v>
      </x:c>
      <x:c r="Q30" s="11" t="n">
        <x:f>'Эффекты технологий'!O$15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IF(G31="","",VLOOKUP(G31,Технологии!$A$11:$BF$50,49,FALSE))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IF(G32="","",VLOOKUP(G32,Технологии!$A$11:$BF$50,49,FALSE))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IF(G33="","",VLOOKUP(G33,Технологии!$A$11:$BF$50,49,FALSE))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IF(G34="","",VLOOKUP(G34,Технологии!$A$11:$BF$50,49,FALSE))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IF(G35="","",VLOOKUP(G35,Технологии!$A$11:$BF$50,49,FALSE))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IF(G36="","",VLOOKUP(G36,Технологии!$A$11:$BF$50,49,FALSE))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IF(G37="","",VLOOKUP(G37,Технологии!$A$11:$BF$50,49,FALSE))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IF(G38="","",VLOOKUP(G38,Технологии!$A$11:$BF$50,49,FALSE))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2032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71.99194858444295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86.71893792885152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60.92866060999931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88.09755195042764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2031'!B8+'Иран 2031'!D8+('Иран 2031'!C8+'Иран 2031'!F8+'Иран 2031'!G8)+(0.35*LN(1+0.6*('Ход 2031'!B14*(1+'Эффекты технологий'!O$12)))*POWER(MAX(0,1-'Иран 2031'!I8/10),0.7))))</x:f>
        <x:v>8.599999999999998</x:v>
      </x:c>
      <x:c r="C8" s="3" t="n">
        <x:f>MIN(1,(MIN(1,'Иран 2031'!C8+'Иран 2031'!F8+(0.08*LN(1+0.5*('Ход 2031'!C14*(1+'Эффекты технологий'!O$12)))*MAX(0,1-('Иран 2031'!C8+'Иран 2031'!F8)))))+(SUMIFS('Эффекты технологий'!$P$25:$P$240,'Эффекты технологий'!$C$25:$C$240,$A8,'Эффекты технологий'!$D$25:$D$240,"Прирост")-SUMIFS('Эффекты технологий'!$O$25:$O$240,'Эффекты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8.599999999999998</x:v>
      </x:c>
      <x:c r="J8" s="10" t="n">
        <x:f>SUMIFS('Эффекты технологий'!$P$25:$P$240,'Эффекты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2031'!B9+'Иран 2031'!D9+('Иран 2031'!C9+'Иран 2031'!F9+'Иран 2031'!G9)+(0.35*LN(1+0.6*('Ход 2031'!B15*(1+'Эффекты технологий'!O$12)))*POWER(MAX(0,1-'Иран 2031'!I9/10),0.7))))</x:f>
        <x:v>7.599999999999998</x:v>
      </x:c>
      <x:c r="C9" s="3" t="n">
        <x:f>MIN(1,(MIN(1,'Иран 2031'!C9+'Иран 2031'!F9+(0.08*LN(1+0.5*('Ход 2031'!C15*(1+'Эффекты технологий'!O$12)))*MAX(0,1-('Иран 2031'!C9+'Иран 2031'!F9)))))+(SUMIFS('Эффекты технологий'!$P$25:$P$240,'Эффекты технологий'!$C$25:$C$240,$A9,'Эффекты технологий'!$D$25:$D$240,"Прирост")-SUMIFS('Эффекты технологий'!$O$25:$O$240,'Эффекты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7.599999999999998</x:v>
      </x:c>
      <x:c r="J9" s="10" t="n">
        <x:f>SUMIFS('Эффекты технологий'!$P$25:$P$240,'Эффекты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2031'!B10+'Иран 2031'!D10+('Иран 2031'!C10+'Иран 2031'!F10+'Иран 2031'!G10)+(0.35*LN(1+0.6*('Ход 2031'!B16*(1+'Эффекты технологий'!O$12)))*POWER(MAX(0,1-'Иран 2031'!I10/10),0.7))))</x:f>
        <x:v>9.800000000000004</x:v>
      </x:c>
      <x:c r="C10" s="3" t="n">
        <x:f>MIN(1,(MIN(1,'Иран 2031'!C10+'Иран 2031'!F10+(0.08*LN(1+0.5*('Ход 2031'!C16*(1+'Эффекты технологий'!O$12)))*MAX(0,1-('Иран 2031'!C10+'Иран 2031'!F10)))))+(SUMIFS('Эффекты технологий'!$P$25:$P$240,'Эффекты технологий'!$C$25:$C$240,$A10,'Эффекты технологий'!$D$25:$D$240,"Прирост")-SUMIFS('Эффекты технологий'!$O$25:$O$240,'Эффекты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9.800000000000004</x:v>
      </x:c>
      <x:c r="J10" s="10" t="n">
        <x:f>SUMIFS('Эффекты технологий'!$P$25:$P$240,'Эффекты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2031'!B11+'Иран 2031'!D11+('Иран 2031'!C11+'Иран 2031'!F11+'Иран 2031'!G11)+(0.35*LN(1+0.6*('Ход 2031'!B17*(1+'Эффекты технологий'!O$12)))*POWER(MAX(0,1-'Иран 2031'!I11/10),0.7))))</x:f>
        <x:v>3.799999999999999</x:v>
      </x:c>
      <x:c r="C11" s="3" t="n">
        <x:f>MIN(1,(MIN(1,'Иран 2031'!C11+'Иран 2031'!F11+(0.08*LN(1+0.5*('Ход 2031'!C17*(1+'Эффекты технологий'!O$12)))*MAX(0,1-('Иран 2031'!C11+'Иран 2031'!F11)))))+(SUMIFS('Эффекты технологий'!$P$25:$P$240,'Эффекты технологий'!$C$25:$C$240,$A11,'Эффекты технологий'!$D$25:$D$240,"Прирост")-SUMIFS('Эффекты технологий'!$O$25:$O$240,'Эффекты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3.799999999999999</x:v>
      </x:c>
      <x:c r="J11" s="10" t="n">
        <x:f>SUMIFS('Эффекты технологий'!$P$25:$P$240,'Эффекты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2031'!L11+'Иран 2031'!N11+('Иран 2031'!M11+'Иран 2031'!P11+'Иран 2031'!Q11)))</x:f>
        <x:v>7</x:v>
      </x:c>
      <x:c r="M11" s="3" t="n">
        <x:f>MIN(1,(MIN(1,'Иран 2031'!M11+'Иран 2031'!P11+(0.1*LN(1+0.5*('Ход 2031'!H13*(1+'Эффекты технологий'!O$10)))*POWER(MAX(0,1-'Иран 2031'!S11/10),0.8))))+(SUMIFS('Эффекты технологий'!$P$25:$P$240,'Эффекты технологий'!$C$25:$C$240,$K11,'Эффекты технологий'!$D$25:$D$240,"Прирост")-SUMIFS('Эффекты технологий'!$O$25:$O$240,'Эффекты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7</x:v>
      </x:c>
      <x:c r="T11" s="10" t="n">
        <x:f>SUMIFS('Эффекты технологий'!$P$25:$P$240,'Эффекты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2031'!V11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2031'!B12+'Иран 2031'!D12+('Иран 2031'!C12+'Иран 2031'!F12+'Иран 2031'!G12)+(0.35*LN(1+0.6*('Ход 2031'!B18*(1+'Эффекты технологий'!O$12)))*POWER(MAX(0,1-'Иран 2031'!I12/10),0.7))))</x:f>
        <x:v>8.300000000000004</x:v>
      </x:c>
      <x:c r="C12" s="3" t="n">
        <x:f>MIN(1,(MIN(1,'Иран 2031'!C12+'Иран 2031'!F12+(0.08*LN(1+0.5*('Ход 2031'!C18*(1+'Эффекты технологий'!O$12)))*MAX(0,1-('Иран 2031'!C12+'Иран 2031'!F12)))))+(SUMIFS('Эффекты технологий'!$P$25:$P$240,'Эффекты технологий'!$C$25:$C$240,$A12,'Эффекты технологий'!$D$25:$D$240,"Прирост")-SUMIFS('Эффекты технологий'!$O$25:$O$240,'Эффекты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8.300000000000004</x:v>
      </x:c>
      <x:c r="J12" s="10" t="n">
        <x:f>SUMIFS('Эффекты технологий'!$P$25:$P$240,'Эффекты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2031'!L12+'Иран 2031'!N12+('Иран 2031'!M12+'Иран 2031'!P12+'Иран 2031'!Q12)))</x:f>
        <x:v>7</x:v>
      </x:c>
      <x:c r="M12" s="3" t="n">
        <x:f>MIN(1,(MIN(1,'Иран 2031'!M12+'Иран 2031'!P12+(0.1*LN(1+0.5*('Ход 2031'!H14*(1+'Эффекты технологий'!O$10)))*POWER(MAX(0,1-'Иран 2031'!S12/10),0.8))))+(SUMIFS('Эффекты технологий'!$P$25:$P$240,'Эффекты технологий'!$C$25:$C$240,$K12,'Эффекты технологий'!$D$25:$D$240,"Прирост")-SUMIFS('Эффекты технологий'!$O$25:$O$240,'Эффекты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7</x:v>
      </x:c>
      <x:c r="T12" s="10" t="n">
        <x:f>SUMIFS('Эффекты технологий'!$P$25:$P$240,'Эффекты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2031'!V12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2031'!B13+'Иран 2031'!D13+('Иран 2031'!C13+'Иран 2031'!F13+'Иран 2031'!G13)+(0.35*LN(1+0.6*('Ход 2031'!B19*(1+'Эффекты технологий'!O$12)))*POWER(MAX(0,1-'Иран 2031'!I13/10),0.7))))</x:f>
        <x:v>3.200000000000001</x:v>
      </x:c>
      <x:c r="C13" s="3" t="n">
        <x:f>MIN(1,(MIN(1,'Иран 2031'!C13+'Иран 2031'!F13+(0.08*LN(1+0.5*('Ход 2031'!C19*(1+'Эффекты технологий'!O$12)))*MAX(0,1-('Иран 2031'!C13+'Иран 2031'!F13)))))+(SUMIFS('Эффекты технологий'!$P$25:$P$240,'Эффекты технологий'!$C$25:$C$240,$A13,'Эффекты технологий'!$D$25:$D$240,"Прирост")-SUMIFS('Эффекты технологий'!$O$25:$O$240,'Эффекты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3.200000000000001</x:v>
      </x:c>
      <x:c r="J13" s="10" t="n">
        <x:f>SUMIFS('Эффекты технологий'!$P$25:$P$240,'Эффекты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2031'!L13+'Иран 2031'!N13+('Иран 2031'!M13+'Иран 2031'!P13+'Иран 2031'!Q13)))</x:f>
        <x:v>8.2</x:v>
      </x:c>
      <x:c r="M13" s="3" t="n">
        <x:f>MIN(1,(MIN(1,'Иран 2031'!M13+'Иран 2031'!P13+(0.1*LN(1+0.5*('Ход 2031'!H15*(1+'Эффекты технологий'!O$10)))*POWER(MAX(0,1-'Иран 2031'!S13/10),0.8))))+(SUMIFS('Эффекты технологий'!$P$25:$P$240,'Эффекты технологий'!$C$25:$C$240,$K13,'Эффекты технологий'!$D$25:$D$240,"Прирост")-SUMIFS('Эффекты технологий'!$O$25:$O$240,'Эффекты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8.2</x:v>
      </x:c>
      <x:c r="T13" s="10" t="n">
        <x:f>SUMIFS('Эффекты технологий'!$P$25:$P$240,'Эффекты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2031'!V13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2031'!B14+'Иран 2031'!D14+('Иран 2031'!C14+'Иран 2031'!F14+'Иран 2031'!G14)+(0.35*LN(1+0.6*('Ход 2031'!B20*(1+'Эффекты технологий'!O$12)))*POWER(MAX(0,1-'Иран 2031'!I14/10),0.7))))</x:f>
        <x:v>4.200000000000001</x:v>
      </x:c>
      <x:c r="C14" s="3" t="n">
        <x:f>MIN(1,(MIN(1,'Иран 2031'!C14+'Иран 2031'!F14+(0.08*LN(1+0.5*('Ход 2031'!C20*(1+'Эффекты технологий'!O$12)))*MAX(0,1-('Иран 2031'!C14+'Иран 2031'!F14)))))+(SUMIFS('Эффекты технологий'!$P$25:$P$240,'Эффекты технологий'!$C$25:$C$240,$A14,'Эффекты технологий'!$D$25:$D$240,"Прирост")-SUMIFS('Эффекты технологий'!$O$25:$O$240,'Эффекты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4.200000000000001</x:v>
      </x:c>
      <x:c r="J14" s="10" t="n">
        <x:f>SUMIFS('Эффекты технологий'!$P$25:$P$240,'Эффекты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2031'!L14+'Иран 2031'!N14+('Иран 2031'!M14+'Иран 2031'!P14+'Иран 2031'!Q14)))</x:f>
        <x:v>8</x:v>
      </x:c>
      <x:c r="M14" s="3" t="n">
        <x:f>MIN(1,(MIN(1,'Иран 2031'!M14+'Иран 2031'!P14+(0.1*LN(1+0.5*('Ход 2031'!H16*(1+'Эффекты технологий'!O$10)))*POWER(MAX(0,1-'Иран 2031'!S14/10),0.8))))+(SUMIFS('Эффекты технологий'!$P$25:$P$240,'Эффекты технологий'!$C$25:$C$240,$K14,'Эффекты технологий'!$D$25:$D$240,"Прирост")-SUMIFS('Эффекты технологий'!$O$25:$O$240,'Эффекты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8</x:v>
      </x:c>
      <x:c r="T14" s="10" t="n">
        <x:f>SUMIFS('Эффекты технологий'!$P$25:$P$240,'Эффекты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2031'!V14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2031'!B15+'Иран 2031'!D15+('Иран 2031'!C15+'Иран 2031'!F15+'Иран 2031'!G15)+(0.35*LN(1+0.6*('Ход 2031'!B21*(1+'Эффекты технологий'!O$12)))*POWER(MAX(0,1-'Иран 2031'!I15/10),0.7))))</x:f>
        <x:v>6</x:v>
      </x:c>
      <x:c r="C15" s="3" t="n">
        <x:f>MIN(1,(MIN(1,'Иран 2031'!C15+'Иран 2031'!F15+(0.08*LN(1+0.5*('Ход 2031'!C21*(1+'Эффекты технологий'!O$12)))*MAX(0,1-('Иран 2031'!C15+'Иран 2031'!F15)))))+(SUMIFS('Эффекты технологий'!$P$25:$P$240,'Эффекты технологий'!$C$25:$C$240,$A15,'Эффекты технологий'!$D$25:$D$240,"Прирост")-SUMIFS('Эффекты технологий'!$O$25:$O$240,'Эффекты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6</x:v>
      </x:c>
      <x:c r="J15" s="10" t="n">
        <x:f>SUMIFS('Эффекты технологий'!$P$25:$P$240,'Эффекты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2031'!L15+'Иран 2031'!N15+('Иран 2031'!M15+'Иран 2031'!P15+'Иран 2031'!Q15)))</x:f>
        <x:v>8.2</x:v>
      </x:c>
      <x:c r="M15" s="3" t="n">
        <x:f>MIN(1,(MIN(1,'Иран 2031'!M15+'Иран 2031'!P15+(0.1*LN(1+0.5*('Ход 2031'!H17*(1+'Эффекты технологий'!O$10)))*POWER(MAX(0,1-'Иран 2031'!S15/10),0.8))))+(SUMIFS('Эффекты технологий'!$P$25:$P$240,'Эффекты технологий'!$C$25:$C$240,$K15,'Эффекты технологий'!$D$25:$D$240,"Прирост")-SUMIFS('Эффекты технологий'!$O$25:$O$240,'Эффекты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8.2</x:v>
      </x:c>
      <x:c r="T15" s="10" t="n">
        <x:f>SUMIFS('Эффекты технологий'!$P$25:$P$240,'Эффекты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2031'!V15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2031'!B16+'Иран 2031'!D16+('Иран 2031'!C16+'Иран 2031'!F16+'Иран 2031'!G16)+(0.35*LN(1+0.6*('Ход 2031'!B22*(1+'Эффекты технологий'!O$12)))*POWER(MAX(0,1-'Иран 2031'!I16/10),0.7))))</x:f>
        <x:v>6.700000000000001</x:v>
      </x:c>
      <x:c r="C16" s="3" t="n">
        <x:f>MIN(1,(MIN(1,'Иран 2031'!C16+'Иран 2031'!F16+(0.08*LN(1+0.5*('Ход 2031'!C22*(1+'Эффекты технологий'!O$12)))*MAX(0,1-('Иран 2031'!C16+'Иран 2031'!F16)))))+(SUMIFS('Эффекты технологий'!$P$25:$P$240,'Эффекты технологий'!$C$25:$C$240,$A16,'Эффекты технологий'!$D$25:$D$240,"Прирост")-SUMIFS('Эффекты технологий'!$O$25:$O$240,'Эффекты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6.700000000000001</x:v>
      </x:c>
      <x:c r="J16" s="10" t="n">
        <x:f>SUMIFS('Эффекты технологий'!$P$25:$P$240,'Эффекты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2031'!L16+'Иран 2031'!N16+('Иран 2031'!M16+'Иран 2031'!P16+'Иран 2031'!Q16)))</x:f>
        <x:v>7</x:v>
      </x:c>
      <x:c r="M16" s="3" t="n">
        <x:f>MIN(1,(MIN(1,'Иран 2031'!M16+'Иран 2031'!P16+(0.1*LN(1+0.5*('Ход 2031'!H18*(1+'Эффекты технологий'!O$10)))*POWER(MAX(0,1-'Иран 2031'!S16/10),0.8))))+(SUMIFS('Эффекты технологий'!$P$25:$P$240,'Эффекты технологий'!$C$25:$C$240,$K16,'Эффекты технологий'!$D$25:$D$240,"Прирост")-SUMIFS('Эффекты технологий'!$O$25:$O$240,'Эффекты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7</x:v>
      </x:c>
      <x:c r="T16" s="10" t="n">
        <x:f>SUMIFS('Эффекты технологий'!$P$25:$P$240,'Эффекты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2031'!V16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2031'!B17+'Иран 2031'!D17+('Иран 2031'!C17+'Иран 2031'!F17+'Иран 2031'!G17)+(0.35*LN(1+0.6*('Ход 2031'!B23*(1+'Эффекты технологий'!O$12)))*POWER(MAX(0,1-'Иран 2031'!I17/10),0.7))))</x:f>
        <x:v>5.900000000000002</x:v>
      </x:c>
      <x:c r="C17" s="3" t="n">
        <x:f>MIN(1,(MIN(1,'Иран 2031'!C17+'Иран 2031'!F17+(0.08*LN(1+0.5*('Ход 2031'!C23*(1+'Эффекты технологий'!O$12)))*MAX(0,1-('Иран 2031'!C17+'Иран 2031'!F17)))))+(SUMIFS('Эффекты технологий'!$P$25:$P$240,'Эффекты технологий'!$C$25:$C$240,$A17,'Эффекты технологий'!$D$25:$D$240,"Прирост")-SUMIFS('Эффекты технологий'!$O$25:$O$240,'Эффекты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5.900000000000002</x:v>
      </x:c>
      <x:c r="J17" s="10" t="n">
        <x:f>SUMIFS('Эффекты технологий'!$P$25:$P$240,'Эффекты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2031'!L17+'Иран 2031'!N17+('Иран 2031'!M17+'Иран 2031'!P17+'Иран 2031'!Q17)))</x:f>
        <x:v>8</x:v>
      </x:c>
      <x:c r="M17" s="3" t="n">
        <x:f>MIN(1,(MIN(1,'Иран 2031'!M17+'Иран 2031'!P17+(0.1*LN(1+0.5*('Ход 2031'!H19*(1+'Эффекты технологий'!O$10)))*POWER(MAX(0,1-'Иран 2031'!S17/10),0.8))))+(SUMIFS('Эффекты технологий'!$P$25:$P$240,'Эффекты технологий'!$C$25:$C$240,$K17,'Эффекты технологий'!$D$25:$D$240,"Прирост")-SUMIFS('Эффекты технологий'!$O$25:$O$240,'Эффекты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8</x:v>
      </x:c>
      <x:c r="T17" s="10" t="n">
        <x:f>SUMIFS('Эффекты технологий'!$P$25:$P$240,'Эффекты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2031'!V17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2031'!L18+'Иран 2031'!N18+('Иран 2031'!M18+'Иран 2031'!P18+'Иран 2031'!Q18)))</x:f>
        <x:v>8</x:v>
      </x:c>
      <x:c r="M18" s="3" t="n">
        <x:f>MIN(1,(MIN(1,'Иран 2031'!M18+'Иран 2031'!P18+(0.1*LN(1+0.5*('Ход 2031'!H20*(1+'Эффекты технологий'!O$10)))*POWER(MAX(0,1-'Иран 2031'!S18/10),0.8))))+(SUMIFS('Эффекты технологий'!$P$25:$P$240,'Эффекты технологий'!$C$25:$C$240,$K18,'Эффекты технологий'!$D$25:$D$240,"Прирост")-SUMIFS('Эффекты технологий'!$O$25:$O$240,'Эффекты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8</x:v>
      </x:c>
      <x:c r="T18" s="10" t="n">
        <x:f>SUMIFS('Эффекты технологий'!$P$25:$P$240,'Эффекты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2031'!V18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2031'!B19+'Иран 2031'!D19+('Иран 2031'!C19+'Иран 2031'!F19+'Иран 2031'!G19)+(0.35*LN(1+0.6*'Ход 2031'!B25)*POWER(MAX(0,1-'Иран 2031'!I19/10),0.7))))</x:f>
        <x:v>6.700000000000001</x:v>
      </x:c>
      <x:c r="C19" s="3" t="n">
        <x:f>MIN(1,(MIN(1,'Иран 2031'!C19+'Иран 2031'!F19+(0.08*LN(1+0.5*'Ход 2031'!C25)*MAX(0,1-('Иран 2031'!C19+'Иран 2031'!F19)))))+(SUMIFS('Эффекты технологий'!$P$25:$P$240,'Эффекты технологий'!$C$25:$C$240,$A19,'Эффекты технологий'!$D$25:$D$240,"Прирост")-SUMIFS('Эффекты технологий'!$O$25:$O$240,'Эффекты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6.700000000000001</x:v>
      </x:c>
      <x:c r="J19" s="10" t="n">
        <x:f>SUMIFS('Эффекты технологий'!$P$25:$P$240,'Эффекты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2031'!V19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2031'!B20+'Иран 2031'!D20+('Иран 2031'!C20+'Иран 2031'!F20+'Иран 2031'!G20)+(0.35*LN(1+0.6*'Ход 2031'!B26)*POWER(MAX(0,1-'Иран 2031'!I20/10),0.7))))</x:f>
        <x:v>7</x:v>
      </x:c>
      <x:c r="C20" s="3" t="n">
        <x:f>MIN(1,(MIN(1,'Иран 2031'!C20+'Иран 2031'!F20+(0.08*LN(1+0.5*'Ход 2031'!C26)*MAX(0,1-('Иран 2031'!C20+'Иран 2031'!F20)))))+(SUMIFS('Эффекты технологий'!$P$25:$P$240,'Эффекты технологий'!$C$25:$C$240,$A20,'Эффекты технологий'!$D$25:$D$240,"Прирост")-SUMIFS('Эффекты технологий'!$O$25:$O$240,'Эффекты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7</x:v>
      </x:c>
      <x:c r="J20" s="10" t="n">
        <x:f>SUMIFS('Эффекты технологий'!$P$25:$P$240,'Эффекты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2031'!V20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2031'!B21+'Иран 2031'!D21+('Иран 2031'!C21+'Иран 2031'!F21+'Иран 2031'!G21)+(0.35*LN(1+0.6*'Ход 2031'!B27)*POWER(MAX(0,1-'Иран 2031'!I21/10),0.7))))</x:f>
        <x:v>6.200000000000001</x:v>
      </x:c>
      <x:c r="C21" s="3" t="n">
        <x:f>MIN(1,(MIN(1,'Иран 2031'!C21+'Иран 2031'!F21+(0.08*LN(1+0.5*'Ход 2031'!C27)*MAX(0,1-('Иран 2031'!C21+'Иран 2031'!F21)))))+(SUMIFS('Эффекты технологий'!$P$25:$P$240,'Эффекты технологий'!$C$25:$C$240,$A21,'Эффекты технологий'!$D$25:$D$240,"Прирост")-SUMIFS('Эффекты технологий'!$O$25:$O$240,'Эффекты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6.200000000000001</x:v>
      </x:c>
      <x:c r="J21" s="10" t="n">
        <x:f>SUMIFS('Эффекты технологий'!$P$25:$P$240,'Эффекты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2031'!V21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2031'!B22+'Иран 2031'!D22+('Иран 2031'!C22+'Иран 2031'!F22+'Иран 2031'!G22)+(0.35*LN(1+0.6*'Ход 2031'!B28)*POWER(MAX(0,1-'Иран 2031'!I22/10),0.7))))</x:f>
        <x:v>8.599999999999998</x:v>
      </x:c>
      <x:c r="C22" s="3" t="n">
        <x:f>MIN(1,(MIN(1,'Иран 2031'!C22+'Иран 2031'!F22+(0.08*LN(1+0.5*'Ход 2031'!C28)*MAX(0,1-('Иран 2031'!C22+'Иран 2031'!F22)))))+(SUMIFS('Эффекты технологий'!$P$25:$P$240,'Эффекты технологий'!$C$25:$C$240,$A22,'Эффекты технологий'!$D$25:$D$240,"Прирост")-SUMIFS('Эффекты технологий'!$O$25:$O$240,'Эффекты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8.599999999999998</x:v>
      </x:c>
      <x:c r="J22" s="10" t="n">
        <x:f>SUMIFS('Эффекты технологий'!$P$25:$P$240,'Эффекты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2031'!V22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2031'!B23+'Иран 2031'!D23+('Иран 2031'!C23+'Иран 2031'!F23+'Иран 2031'!G23)+(0.35*LN(1+0.6*'Ход 2031'!B29)*POWER(MAX(0,1-'Иран 2031'!I23/10),0.7))))</x:f>
        <x:v>7.700000000000001</x:v>
      </x:c>
      <x:c r="C23" s="3" t="n">
        <x:f>MIN(1,(MIN(1,'Иран 2031'!C23+'Иран 2031'!F23+(0.08*LN(1+0.5*'Ход 2031'!C29)*MAX(0,1-('Иран 2031'!C23+'Иран 2031'!F23)))))+(SUMIFS('Эффекты технологий'!$P$25:$P$240,'Эффекты технологий'!$C$25:$C$240,$A23,'Эффекты технологий'!$D$25:$D$240,"Прирост")-SUMIFS('Эффекты технологий'!$O$25:$O$240,'Эффекты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7.700000000000001</x:v>
      </x:c>
      <x:c r="J23" s="10" t="n">
        <x:f>SUMIFS('Эффекты технологий'!$P$25:$P$240,'Эффекты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2031'!V23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2031'!V24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2031'!B25+'Иран 2031'!D25+('Иран 2031'!C25+'Иран 2031'!F25+'Иран 2031'!G25)+(0.35*LN(1+0.6*'Ход 2031'!B31)*POWER(MAX(0,1-'Иран 2031'!I25/10),0.7))))</x:f>
        <x:v>7.599999999999998</x:v>
      </x:c>
      <x:c r="C25" s="3" t="n">
        <x:f>MIN(1,(MIN(1,'Иран 2031'!C25+'Иран 2031'!F25+(0.08*LN(1+0.5*'Ход 2031'!C31)*MAX(0,1-('Иран 2031'!C25+'Иран 2031'!F25)))))+(SUMIFS('Эффекты технологий'!$P$25:$P$240,'Эффекты технологий'!$C$25:$C$240,$A25,'Эффекты технологий'!$D$25:$D$240,"Прирост")-SUMIFS('Эффекты технологий'!$O$25:$O$240,'Эффекты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7.599999999999998</x:v>
      </x:c>
      <x:c r="J25" s="10" t="n">
        <x:f>SUMIFS('Эффекты технологий'!$P$25:$P$240,'Эффекты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2031'!V25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2031'!B26+'Иран 2031'!D26+('Иран 2031'!C26+'Иран 2031'!F26+'Иран 2031'!G26)+(0.35*LN(1+0.6*'Ход 2031'!B32)*POWER(MAX(0,1-'Иран 2031'!I26/10),0.7))))</x:f>
        <x:v>6.700000000000001</x:v>
      </x:c>
      <x:c r="C26" s="3" t="n">
        <x:f>MIN(1,(MIN(1,'Иран 2031'!C26+'Иран 2031'!F26+(0.08*LN(1+0.5*'Ход 2031'!C32)*MAX(0,1-('Иран 2031'!C26+'Иран 2031'!F26)))))+(SUMIFS('Эффекты технологий'!$P$25:$P$240,'Эффекты технологий'!$C$25:$C$240,$A26,'Эффекты технологий'!$D$25:$D$240,"Прирост")-SUMIFS('Эффекты технологий'!$O$25:$O$240,'Эффекты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6.700000000000001</x:v>
      </x:c>
      <x:c r="J26" s="10" t="n">
        <x:f>SUMIFS('Эффекты технологий'!$P$25:$P$240,'Эффекты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2031'!V26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2031'!B27+'Иран 2031'!D27+('Иран 2031'!C27+'Иран 2031'!F27+'Иран 2031'!G27)+(0.35*LN(1+0.6*'Ход 2031'!B33)*POWER(MAX(0,1-'Иран 2031'!I27/10),0.7))))</x:f>
        <x:v>6.900000000000002</x:v>
      </x:c>
      <x:c r="C27" s="3" t="n">
        <x:f>MIN(1,(MIN(1,'Иран 2031'!C27+'Иран 2031'!F27+(0.08*LN(1+0.5*'Ход 2031'!C33)*MAX(0,1-('Иран 2031'!C27+'Иран 2031'!F27)))))+(SUMIFS('Эффекты технологий'!$P$25:$P$240,'Эффекты технологий'!$C$25:$C$240,$A27,'Эффекты технологий'!$D$25:$D$240,"Прирост")-SUMIFS('Эффекты технологий'!$O$25:$O$240,'Эффекты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6.900000000000002</x:v>
      </x:c>
      <x:c r="J27" s="10" t="n">
        <x:f>SUMIFS('Эффекты технологий'!$P$25:$P$240,'Эффекты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2031'!B28+'Иран 2031'!D28+('Иран 2031'!C28+'Иран 2031'!F28+'Иран 2031'!G28)+(0.35*LN(1+0.6*'Ход 2031'!B34)*POWER(MAX(0,1-'Иран 2031'!I28/10),0.7))))</x:f>
        <x:v>6.700000000000001</x:v>
      </x:c>
      <x:c r="C28" s="3" t="n">
        <x:f>MIN(1,(MIN(1,'Иран 2031'!C28+'Иран 2031'!F28+(0.08*LN(1+0.5*'Ход 2031'!C34)*MAX(0,1-('Иран 2031'!C28+'Иран 2031'!F28)))))+(SUMIFS('Эффекты технологий'!$P$25:$P$240,'Эффекты технологий'!$C$25:$C$240,$A28,'Эффекты технологий'!$D$25:$D$240,"Прирост")-SUMIFS('Эффекты технологий'!$O$25:$O$240,'Эффекты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6.700000000000001</x:v>
      </x:c>
      <x:c r="J28" s="10" t="n">
        <x:f>SUMIFS('Эффекты технологий'!$P$25:$P$240,'Эффекты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2031'!B29+'Иран 2031'!D29+('Иран 2031'!C29+'Иран 2031'!F29+'Иран 2031'!G29)+(0.35*LN(1+0.6*'Ход 2031'!B35)*POWER(MAX(0,1-'Иран 2031'!I29/10),0.7))))</x:f>
        <x:v>6.700000000000001</x:v>
      </x:c>
      <x:c r="C29" s="3" t="n">
        <x:f>MIN(1,(MIN(1,'Иран 2031'!C29+'Иран 2031'!F29+(0.08*LN(1+0.5*'Ход 2031'!C35)*MAX(0,1-('Иран 2031'!C29+'Иран 2031'!F29)))))+(SUMIFS('Эффекты технологий'!$P$25:$P$240,'Эффекты технологий'!$C$25:$C$240,$A29,'Эффекты технологий'!$D$25:$D$240,"Прирост")-SUMIFS('Эффекты технологий'!$O$25:$O$240,'Эффекты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6.700000000000001</x:v>
      </x:c>
      <x:c r="J29" s="10" t="n">
        <x:f>SUMIFS('Эффекты технологий'!$P$25:$P$240,'Эффекты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2031'!B30+'Иран 2031'!D30+('Иран 2031'!C30+'Иран 2031'!F30+'Иран 2031'!G30)+(0.35*LN(1+0.6*'Ход 2031'!B36)*POWER(MAX(0,1-'Иран 2031'!I30/10),0.7))))</x:f>
        <x:v>6.400000000000002</x:v>
      </x:c>
      <x:c r="C30" s="3" t="n">
        <x:f>MIN(1,(MIN(1,'Иран 2031'!C30+'Иран 2031'!F30+(0.08*LN(1+0.5*'Ход 2031'!C36)*MAX(0,1-('Иран 2031'!C30+'Иран 2031'!F30)))))+(SUMIFS('Эффекты технологий'!$P$25:$P$240,'Эффекты технологий'!$C$25:$C$240,$A30,'Эффекты технологий'!$D$25:$D$240,"Прирост")-SUMIFS('Эффекты технологий'!$O$25:$O$240,'Эффекты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6.400000000000002</x:v>
      </x:c>
      <x:c r="J30" s="10" t="n">
        <x:f>SUMIFS('Эффекты технологий'!$P$25:$P$240,'Эффекты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2031'!B31+'Иран 2031'!D31+('Иран 2031'!C31+'Иран 2031'!F31+'Иран 2031'!G31)+(0.35*LN(1+0.6*'Ход 2031'!B37)*POWER(MAX(0,1-'Иран 2031'!I31/10),0.7))))</x:f>
        <x:v>6.400000000000002</x:v>
      </x:c>
      <x:c r="C31" s="3" t="n">
        <x:f>MIN(1,(MIN(1,'Иран 2031'!C31+'Иран 2031'!F31+(0.08*LN(1+0.5*'Ход 2031'!C37)*MAX(0,1-('Иран 2031'!C31+'Иран 2031'!F31)))))+(SUMIFS('Эффекты технологий'!$P$25:$P$240,'Эффекты технологий'!$C$25:$C$240,$A31,'Эффекты технологий'!$D$25:$D$240,"Прирост")-SUMIFS('Эффекты технологий'!$O$25:$O$240,'Эффекты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6.400000000000002</x:v>
      </x:c>
      <x:c r="J31" s="10" t="n">
        <x:f>SUMIFS('Эффекты технологий'!$P$25:$P$240,'Эффекты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2031'!B32+'Иран 2031'!D32+('Иран 2031'!C32+'Иран 2031'!F32+'Иран 2031'!G32)+(0.35*LN(1+0.6*'Ход 2031'!B38)*POWER(MAX(0,1-'Иран 2031'!I32/10),0.7))))</x:f>
        <x:v>8.699999999999998</x:v>
      </x:c>
      <x:c r="C32" s="3" t="n">
        <x:f>MIN(1,(MIN(1,'Иран 2031'!C32+'Иран 2031'!F32+(0.08*LN(1+0.5*'Ход 2031'!C38)*MAX(0,1-('Иран 2031'!C32+'Иран 2031'!F32)))))+(SUMIFS('Эффекты технологий'!$P$25:$P$240,'Эффекты технологий'!$C$25:$C$240,$A32,'Эффекты технологий'!$D$25:$D$240,"Прирост")-SUMIFS('Эффекты технологий'!$O$25:$O$240,'Эффекты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8.699999999999998</x:v>
      </x:c>
      <x:c r="J32" s="10" t="n">
        <x:f>SUMIFS('Эффекты технологий'!$P$25:$P$240,'Эффекты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2031'!B34+'Иран 2031'!D34+('Иран 2031'!C34+'Иран 2031'!F34+'Иран 2031'!G34)+(0.35*LN(1+0.6*'Ход 2031'!B40)*POWER(MAX(0,1-'Иран 2031'!I34/10),0.7))))</x:f>
        <x:v>8.699999999999998</x:v>
      </x:c>
      <x:c r="C34" s="3" t="n">
        <x:f>MIN(1,(MIN(1,'Иран 2031'!C34+'Иран 2031'!F34+(0.08*LN(1+0.5*'Ход 2031'!C40)*MAX(0,1-('Иран 2031'!C34+'Иран 2031'!F34)))))+(SUMIFS('Эффекты технологий'!$P$25:$P$240,'Эффекты технологий'!$C$25:$C$240,$A34,'Эффекты технологий'!$D$25:$D$240,"Прирост")-SUMIFS('Эффекты технологий'!$O$25:$O$240,'Эффекты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8.699999999999998</x:v>
      </x:c>
      <x:c r="J34" s="10" t="n">
        <x:f>SUMIFS('Эффекты технологий'!$P$25:$P$240,'Эффекты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2031'!B35+'Иран 2031'!D35+('Иран 2031'!C35+'Иран 2031'!F35+'Иран 2031'!G35)+(0.35*LN(1+0.6*'Ход 2031'!B41)*POWER(MAX(0,1-'Иран 2031'!I35/10),0.7))))</x:f>
        <x:v>8.599999999999998</x:v>
      </x:c>
      <x:c r="C35" s="3" t="n">
        <x:f>MIN(1,(MIN(1,'Иран 2031'!C35+'Иран 2031'!F35+(0.08*LN(1+0.5*'Ход 2031'!C41)*MAX(0,1-('Иран 2031'!C35+'Иран 2031'!F35)))))+(SUMIFS('Эффекты технологий'!$P$25:$P$240,'Эффекты технологий'!$C$25:$C$240,$A35,'Эффекты технологий'!$D$25:$D$240,"Прирост")-SUMIFS('Эффекты технологий'!$O$25:$O$240,'Эффекты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8.599999999999998</x:v>
      </x:c>
      <x:c r="J35" s="10" t="n">
        <x:f>SUMIFS('Эффекты технологий'!$P$25:$P$240,'Эффекты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2031'!B36+'Иран 2031'!D36+('Иран 2031'!C36+'Иран 2031'!F36+'Иран 2031'!G36)+(0.35*LN(1+0.6*'Ход 2031'!B42)*POWER(MAX(0,1-'Иран 2031'!I36/10),0.7))))</x:f>
        <x:v>7.700000000000001</x:v>
      </x:c>
      <x:c r="C36" s="3" t="n">
        <x:f>MIN(1,(MIN(1,'Иран 2031'!C36+'Иран 2031'!F36+(0.08*LN(1+0.5*'Ход 2031'!C42)*MAX(0,1-('Иран 2031'!C36+'Иран 2031'!F36)))))+(SUMIFS('Эффекты технологий'!$P$25:$P$240,'Эффекты технологий'!$C$25:$C$240,$A36,'Эффекты технологий'!$D$25:$D$240,"Прирост")-SUMIFS('Эффекты технологий'!$O$25:$O$240,'Эффекты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7.700000000000001</x:v>
      </x:c>
      <x:c r="J36" s="10" t="n">
        <x:f>SUMIFS('Эффекты технологий'!$P$25:$P$240,'Эффекты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2031'!B37+'Иран 2031'!D37+('Иран 2031'!C37+'Иран 2031'!F37+'Иран 2031'!G37)+(0.35*LN(1+0.6*'Ход 2031'!B43)*POWER(MAX(0,1-'Иран 2031'!I37/10),0.7))))</x:f>
        <x:v>6.200000000000001</x:v>
      </x:c>
      <x:c r="C37" s="3" t="n">
        <x:f>MIN(1,(MIN(1,'Иран 2031'!C37+'Иран 2031'!F37+(0.08*LN(1+0.5*'Ход 2031'!C43)*MAX(0,1-('Иран 2031'!C37+'Иран 2031'!F37)))))+(SUMIFS('Эффекты технологий'!$P$25:$P$240,'Эффекты технологий'!$C$25:$C$240,$A37,'Эффекты технологий'!$D$25:$D$240,"Прирост")-SUMIFS('Эффекты технологий'!$O$25:$O$240,'Эффекты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6.200000000000001</x:v>
      </x:c>
      <x:c r="J37" s="10" t="n">
        <x:f>SUMIFS('Эффекты технологий'!$P$25:$P$240,'Эффекты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2031'!B38+'Иран 2031'!D38+('Иран 2031'!C38+'Иран 2031'!F38+'Иран 2031'!G38)+(0.35*LN(1+0.6*'Ход 2031'!B44)*POWER(MAX(0,1-'Иран 2031'!I38/10),0.7))))</x:f>
        <x:v>6.700000000000001</x:v>
      </x:c>
      <x:c r="C38" s="3" t="n">
        <x:f>MIN(1,(MIN(1,'Иран 2031'!C38+'Иран 2031'!F38+(0.08*LN(1+0.5*'Ход 2031'!C44)*MAX(0,1-('Иран 2031'!C38+'Иран 2031'!F38)))))+(SUMIFS('Эффекты технологий'!$P$25:$P$240,'Эффекты технологий'!$C$25:$C$240,$A38,'Эффекты технологий'!$D$25:$D$240,"Прирост")-SUMIFS('Эффекты технологий'!$O$25:$O$240,'Эффекты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6.700000000000001</x:v>
      </x:c>
      <x:c r="J38" s="10" t="n">
        <x:f>SUMIFS('Эффекты технологий'!$P$25:$P$240,'Эффекты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2031'!B39+'Иран 2031'!D39+('Иран 2031'!C39+'Иран 2031'!F39+'Иран 2031'!G39)+(0.35*LN(1+0.6*'Ход 2031'!B45)*POWER(MAX(0,1-'Иран 2031'!I39/10),0.7))))</x:f>
        <x:v>7.200000000000001</x:v>
      </x:c>
      <x:c r="C39" s="3" t="n">
        <x:f>MIN(1,(MIN(1,'Иран 2031'!C39+'Иран 2031'!F39+(0.08*LN(1+0.5*'Ход 2031'!C45)*MAX(0,1-('Иран 2031'!C39+'Иран 2031'!F39)))))+(SUMIFS('Эффекты технологий'!$P$25:$P$240,'Эффекты технологий'!$C$25:$C$240,$A39,'Эффекты технологий'!$D$25:$D$240,"Прирост")-SUMIFS('Эффекты технологий'!$O$25:$O$240,'Эффекты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7.200000000000001</x:v>
      </x:c>
      <x:c r="J39" s="10" t="n">
        <x:f>SUMIFS('Эффекты технологий'!$P$25:$P$240,'Эффекты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2031'!B40+'Иран 2031'!D40+('Иран 2031'!C40+'Иран 2031'!F40+'Иран 2031'!G40)+(0.35*LN(1+0.6*'Ход 2031'!B46)*POWER(MAX(0,1-'Иран 2031'!I40/10),0.7))))</x:f>
        <x:v>5.400000000000002</x:v>
      </x:c>
      <x:c r="C40" s="3" t="n">
        <x:f>MIN(1,(MIN(1,'Иран 2031'!C40+'Иран 2031'!F40+(0.08*LN(1+0.5*'Ход 2031'!C46)*MAX(0,1-('Иран 2031'!C40+'Иран 2031'!F40)))))+(SUMIFS('Эффекты технологий'!$P$25:$P$240,'Эффекты технологий'!$C$25:$C$240,$A40,'Эффекты технологий'!$D$25:$D$240,"Прирост")-SUMIFS('Эффекты технологий'!$O$25:$O$240,'Эффекты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5.400000000000002</x:v>
      </x:c>
      <x:c r="J40" s="10" t="n">
        <x:f>SUMIFS('Эффекты технологий'!$P$25:$P$240,'Эффекты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2031'!B41+'Иран 2031'!D41+('Иран 2031'!C41+'Иран 2031'!F41+'Иран 2031'!G41)+(0.35*LN(1+0.6*'Ход 2031'!B47)*POWER(MAX(0,1-'Иран 2031'!I41/10),0.7))))</x:f>
        <x:v>6.200000000000001</x:v>
      </x:c>
      <x:c r="C41" s="3" t="n">
        <x:f>MIN(1,(MIN(1,'Иран 2031'!C41+'Иран 2031'!F41+(0.08*LN(1+0.5*'Ход 2031'!C47)*MAX(0,1-('Иран 2031'!C41+'Иран 2031'!F41)))))+(SUMIFS('Эффекты технологий'!$P$25:$P$240,'Эффекты технологий'!$C$25:$C$240,$A41,'Эффекты технологий'!$D$25:$D$240,"Прирост")-SUMIFS('Эффекты технологий'!$O$25:$O$240,'Эффекты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6.200000000000001</x:v>
      </x:c>
      <x:c r="J41" s="10" t="n">
        <x:f>SUMIFS('Эффекты технологий'!$P$25:$P$240,'Эффекты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2031'!B42+'Иран 2031'!D42+('Иран 2031'!C42+'Иран 2031'!F42+'Иран 2031'!G42)+(0.35*LN(1+0.6*'Ход 2031'!B48)*POWER(MAX(0,1-'Иран 2031'!I42/10),0.7))))</x:f>
        <x:v>7.599999999999998</x:v>
      </x:c>
      <x:c r="C42" s="3" t="n">
        <x:f>MIN(1,(MIN(1,'Иран 2031'!C42+'Иран 2031'!F42+(0.08*LN(1+0.5*'Ход 2031'!C48)*MAX(0,1-('Иран 2031'!C42+'Иран 2031'!F42)))))+(SUMIFS('Эффекты технологий'!$P$25:$P$240,'Эффекты технологий'!$C$25:$C$240,$A42,'Эффекты технологий'!$D$25:$D$240,"Прирост")-SUMIFS('Эффекты технологий'!$O$25:$O$240,'Эффекты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7.599999999999998</x:v>
      </x:c>
      <x:c r="J42" s="10" t="n">
        <x:f>SUMIFS('Эффекты технологий'!$P$25:$P$240,'Эффекты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2031'!B44+'Иран 2031'!D44+('Иран 2031'!C44+'Иран 2031'!F44+'Иран 2031'!G44)+(0.35*LN(1+0.6*'Ход 2031'!B50)*POWER(MAX(0,1-'Иран 2031'!I44/10),0.7))))</x:f>
        <x:v>4.599999999999998</x:v>
      </x:c>
      <x:c r="C44" s="3" t="n">
        <x:f>MIN(1,(MIN(1,'Иран 2031'!C44+'Иран 2031'!F44+(0.08*LN(1+0.5*'Ход 2031'!C50)*MAX(0,1-('Иран 2031'!C44+'Иран 2031'!F44)))))+(SUMIFS('Эффекты технологий'!$P$25:$P$240,'Эффекты технологий'!$C$25:$C$240,$A44,'Эффекты технологий'!$D$25:$D$240,"Прирост")-SUMIFS('Эффекты технологий'!$O$25:$O$240,'Эффекты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4.599999999999998</x:v>
      </x:c>
      <x:c r="J44" s="10" t="n">
        <x:f>SUMIFS('Эффекты технологий'!$P$25:$P$240,'Эффекты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2031'!B45+'Иран 2031'!D45+('Иран 2031'!C45+'Иран 2031'!F45+'Иран 2031'!G45)+(0.35*LN(1+0.6*'Ход 2031'!B51)*POWER(MAX(0,1-'Иран 2031'!I45/10),0.7))))</x:f>
        <x:v>5.900000000000002</x:v>
      </x:c>
      <x:c r="C45" s="3" t="n">
        <x:f>MIN(1,(MIN(1,'Иран 2031'!C45+'Иран 2031'!F45+(0.08*LN(1+0.5*'Ход 2031'!C51)*MAX(0,1-('Иран 2031'!C45+'Иран 2031'!F45)))))+(SUMIFS('Эффекты технологий'!$P$25:$P$240,'Эффекты технологий'!$C$25:$C$240,$A45,'Эффекты технологий'!$D$25:$D$240,"Прирост")-SUMIFS('Эффекты технологий'!$O$25:$O$240,'Эффекты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5.900000000000002</x:v>
      </x:c>
      <x:c r="J45" s="10" t="n">
        <x:f>SUMIFS('Эффекты технологий'!$P$25:$P$240,'Эффекты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2031'!B46+'Иран 2031'!D46+('Иран 2031'!C46+'Иран 2031'!F46+'Иран 2031'!G46)+(0.35*LN(1+0.6*'Ход 2031'!B52)*POWER(MAX(0,1-'Иран 2031'!I46/10),0.7))))</x:f>
        <x:v>5.900000000000002</x:v>
      </x:c>
      <x:c r="C46" s="3" t="n">
        <x:f>MIN(1,(MIN(1,'Иран 2031'!C46+'Иран 2031'!F46+(0.08*LN(1+0.5*'Ход 2031'!C52)*MAX(0,1-('Иран 2031'!C46+'Иран 2031'!F46)))))+(SUMIFS('Эффекты технологий'!$P$25:$P$240,'Эффекты технологий'!$C$25:$C$240,$A46,'Эффекты технологий'!$D$25:$D$240,"Прирост")-SUMIFS('Эффекты технологий'!$O$25:$O$240,'Эффекты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5.900000000000002</x:v>
      </x:c>
      <x:c r="J46" s="10" t="n">
        <x:f>SUMIFS('Эффекты технологий'!$P$25:$P$240,'Эффекты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2031'!B47+'Иран 2031'!D47+('Иран 2031'!C47+'Иран 2031'!F47+'Иран 2031'!G47)+(0.35*LN(1+0.6*'Ход 2031'!B53)*POWER(MAX(0,1-'Иран 2031'!I47/10),0.7))))</x:f>
        <x:v>2.200000000000001</x:v>
      </x:c>
      <x:c r="C47" s="3" t="n">
        <x:f>MIN(1,(MIN(1,'Иран 2031'!C47+'Иран 2031'!F47+(0.08*LN(1+0.5*'Ход 2031'!C53)*MAX(0,1-('Иран 2031'!C47+'Иран 2031'!F47)))))+(SUMIFS('Эффекты технологий'!$P$25:$P$240,'Эффекты технологий'!$C$25:$C$240,$A47,'Эффекты технологий'!$D$25:$D$240,"Прирост")-SUMIFS('Эффекты технологий'!$O$25:$O$240,'Эффекты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2.200000000000001</x:v>
      </x:c>
      <x:c r="J47" s="10" t="n">
        <x:f>SUMIFS('Эффекты технологий'!$P$25:$P$240,'Эффекты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2031'!B48+'Иран 2031'!D48+('Иран 2031'!C48+'Иран 2031'!F48+'Иран 2031'!G48)+(0.35*LN(1+0.6*'Ход 2031'!B54)*POWER(MAX(0,1-'Иран 2031'!I48/10),0.7))))</x:f>
        <x:v>6.099999999999998</x:v>
      </x:c>
      <x:c r="C48" s="3" t="n">
        <x:f>MIN(1,(MIN(1,'Иран 2031'!C48+'Иран 2031'!F48+(0.08*LN(1+0.5*'Ход 2031'!C54)*MAX(0,1-('Иран 2031'!C48+'Иран 2031'!F48)))))+(SUMIFS('Эффекты технологий'!$P$25:$P$240,'Эффекты технологий'!$C$25:$C$240,$A48,'Эффекты технологий'!$D$25:$D$240,"Прирост")-SUMIFS('Эффекты технологий'!$O$25:$O$240,'Эффекты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6.099999999999998</x:v>
      </x:c>
      <x:c r="J48" s="10" t="n">
        <x:f>SUMIFS('Эффекты технологий'!$P$25:$P$240,'Эффекты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2031'!B49+'Иран 2031'!D49+('Иран 2031'!C49+'Иран 2031'!F49+'Иран 2031'!G49)+(0.35*LN(1+0.6*'Ход 2031'!B55)*POWER(MAX(0,1-'Иран 2031'!I49/10),0.7))))</x:f>
        <x:v>8</x:v>
      </x:c>
      <x:c r="C49" s="3" t="n">
        <x:f>MIN(1,(MIN(1,'Иран 2031'!C49+'Иран 2031'!F49+(0.08*LN(1+0.5*'Ход 2031'!C55)*MAX(0,1-('Иран 2031'!C49+'Иран 2031'!F49)))))+(SUMIFS('Эффекты технологий'!$P$25:$P$240,'Эффекты технологий'!$C$25:$C$240,$A49,'Эффекты технологий'!$D$25:$D$240,"Прирост")-SUMIFS('Эффекты технологий'!$O$25:$O$240,'Эффекты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8</x:v>
      </x:c>
      <x:c r="J49" s="10" t="n">
        <x:f>SUMIFS('Эффекты технологий'!$P$25:$P$240,'Эффекты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2031'!B50+'Иран 2031'!D50+('Иран 2031'!C50+'Иран 2031'!F50+'Иран 2031'!G50)+(0.35*LN(1+0.6*'Ход 2031'!B56)*POWER(MAX(0,1-'Иран 2031'!I50/10),0.7))))</x:f>
        <x:v>9.300000000000004</x:v>
      </x:c>
      <x:c r="C50" s="3" t="n">
        <x:f>MIN(1,(MIN(1,'Иран 2031'!C50+'Иран 2031'!F50+(0.08*LN(1+0.5*'Ход 2031'!C56)*MAX(0,1-('Иран 2031'!C50+'Иран 2031'!F50)))))+(SUMIFS('Эффекты технологий'!$P$25:$P$240,'Эффекты технологий'!$C$25:$C$240,$A50,'Эффекты технологий'!$D$25:$D$240,"Прирост")-SUMIFS('Эффекты технологий'!$O$25:$O$240,'Эффекты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9.300000000000004</x:v>
      </x:c>
      <x:c r="J50" s="10" t="n">
        <x:f>SUMIFS('Эффекты технологий'!$P$25:$P$240,'Эффекты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2031'!B51+'Иран 2031'!D51+('Иран 2031'!C51+'Иран 2031'!F51+'Иран 2031'!G51)+(0.35*LN(1+0.6*'Ход 2031'!B57)*POWER(MAX(0,1-'Иран 2031'!I51/10),0.7))))</x:f>
        <x:v>7.200000000000001</x:v>
      </x:c>
      <x:c r="C51" s="3" t="n">
        <x:f>MIN(1,(MIN(1,'Иран 2031'!C51+'Иран 2031'!F51+(0.08*LN(1+0.5*'Ход 2031'!C57)*MAX(0,1-('Иран 2031'!C51+'Иран 2031'!F51)))))+(SUMIFS('Эффекты технологий'!$P$25:$P$240,'Эффекты технологий'!$C$25:$C$240,$A51,'Эффекты технологий'!$D$25:$D$240,"Прирост")-SUMIFS('Эффекты технологий'!$O$25:$O$240,'Эффекты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7.200000000000001</x:v>
      </x:c>
      <x:c r="J51" s="10" t="n">
        <x:f>SUMIFS('Эффекты технологий'!$P$25:$P$240,'Эффекты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2031'!B53+'Иран 2031'!D53+('Иран 2031'!C53+'Иран 2031'!F53+'Иран 2031'!G53)+(0.35*LN(1+0.6*'Ход 2031'!B59)*POWER(MAX(0,1-'Иран 2031'!I53/10),0.7))))</x:f>
        <x:v>6.700000000000001</x:v>
      </x:c>
      <x:c r="C53" s="3" t="n">
        <x:f>MIN(1,(MIN(1,'Иран 2031'!C53+'Иран 2031'!F53+(0.08*LN(1+0.5*'Ход 2031'!C59)*MAX(0,1-('Иран 2031'!C53+'Иран 2031'!F53)))))+(SUMIFS('Эффекты технологий'!$P$25:$P$240,'Эффекты технологий'!$C$25:$C$240,$A53,'Эффекты технологий'!$D$25:$D$240,"Прирост")-SUMIFS('Эффекты технологий'!$O$25:$O$240,'Эффекты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6.700000000000001</x:v>
      </x:c>
      <x:c r="J53" s="10" t="n">
        <x:f>SUMIFS('Эффекты технологий'!$P$25:$P$240,'Эффекты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2031'!B54+'Иран 2031'!D54+('Иран 2031'!C54+'Иран 2031'!F54+'Иран 2031'!G54)+(0.35*LN(1+0.6*'Ход 2031'!B60)*POWER(MAX(0,1-'Иран 2031'!I54/10),0.7))))</x:f>
        <x:v>6.200000000000001</x:v>
      </x:c>
      <x:c r="C54" s="3" t="n">
        <x:f>MIN(1,(MIN(1,'Иран 2031'!C54+'Иран 2031'!F54+(0.08*LN(1+0.5*'Ход 2031'!C60)*MAX(0,1-('Иран 2031'!C54+'Иран 2031'!F54)))))+(SUMIFS('Эффекты технологий'!$P$25:$P$240,'Эффекты технологий'!$C$25:$C$240,$A54,'Эффекты технологий'!$D$25:$D$240,"Прирост")-SUMIFS('Эффекты технологий'!$O$25:$O$240,'Эффекты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6.200000000000001</x:v>
      </x:c>
      <x:c r="J54" s="10" t="n">
        <x:f>SUMIFS('Эффекты технологий'!$P$25:$P$240,'Эффекты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2031'!B55+'Иран 2031'!D55+('Иран 2031'!C55+'Иран 2031'!F55+'Иран 2031'!G55)+(0.35*LN(1+0.6*'Ход 2031'!B61)*POWER(MAX(0,1-'Иран 2031'!I55/10),0.7))))</x:f>
        <x:v>6.400000000000002</x:v>
      </x:c>
      <x:c r="C55" s="3" t="n">
        <x:f>MIN(1,(MIN(1,'Иран 2031'!C55+'Иран 2031'!F55+(0.08*LN(1+0.5*'Ход 2031'!C61)*MAX(0,1-('Иран 2031'!C55+'Иран 2031'!F55)))))+(SUMIFS('Эффекты технологий'!$P$25:$P$240,'Эффекты технологий'!$C$25:$C$240,$A55,'Эффекты технологий'!$D$25:$D$240,"Прирост")-SUMIFS('Эффекты технологий'!$O$25:$O$240,'Эффекты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6.400000000000002</x:v>
      </x:c>
      <x:c r="J55" s="10" t="n">
        <x:f>SUMIFS('Эффекты технологий'!$P$25:$P$240,'Эффекты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354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2032'!U6</x:f>
        <x:v>88.09755195042764</x:v>
      </x:c>
      <x:c r="C6" s="3"/>
      <x:c r="D6" s="3"/>
      <x:c r="E6" s="3" t="s">
        <x:v>321</x:v>
      </x:c>
      <x:c r="F6" s="3" t="n">
        <x:f>'Иран 2032'!K6</x:f>
        <x:v>71.99194858444295</x:v>
      </x:c>
      <x:c r="G6" s="3"/>
      <x:c r="H6" s="3"/>
      <x:c r="I6" s="3" t="s">
        <x:v>321</x:v>
      </x:c>
      <x:c r="J6" s="3" t="n">
        <x:f>'Иран 2032'!N6</x:f>
        <x:v>86.71893792885152</x:v>
      </x:c>
      <x:c r="K6" s="3"/>
      <x:c r="L6" s="3"/>
      <x:c r="M6" s="3" t="s">
        <x:v>321</x:v>
      </x:c>
      <x:c r="N6" s="3" t="n">
        <x:f>'Иран 2032'!Q6</x:f>
        <x:v>60.92866060999931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88.09755195042764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71.99194858444295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86.71893792885152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60.92866060999931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2032'!V11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2032'!V12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2032'!V13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2032'!V14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2032'!V15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2032'!V16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2032'!V17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2032'!V18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2032'!V19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2032'!V20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2032'!V21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2032'!V22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технологий'!P$16</x:f>
        <x:v>0</x:v>
      </x:c>
      <x:c r="H25" s="11" t="n">
        <x:f>'Эффекты технологий'!P$17</x:f>
        <x:v>0</x:v>
      </x:c>
      <x:c r="I25" s="11" t="n">
        <x:f>'Эффекты технологий'!P$18</x:f>
        <x:v>0</x:v>
      </x:c>
      <x:c r="J25" s="12"/>
      <x:c r="K25" s="3"/>
      <x:c r="L25" s="3" t="str">
        <x:v>Бразилия</x:v>
      </x:c>
      <x:c r="M25" s="3" t="n">
        <x:f>'Иран 2032'!V23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2032'!V24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2032'!V25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2032'!V26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IF(G29="","",VLOOKUP(G29,Технологии!$A$11:$BF$50,50,FALSE))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IF(G30="","",VLOOKUP(G30,Технологии!$A$11:$BF$50,50,FALSE))</x:f>
      </x:c>
      <x:c r="L30" s="3"/>
      <x:c r="M30" s="3"/>
      <x:c r="N30" s="12" t="s">
        <x:v>340</x:v>
      </x:c>
      <x:c r="O30" s="11" t="n">
        <x:f>'Эффекты технологий'!P$13</x:f>
        <x:v>0</x:v>
      </x:c>
      <x:c r="P30" s="11" t="n">
        <x:f>'Эффекты технологий'!P$14</x:f>
        <x:v>0</x:v>
      </x:c>
      <x:c r="Q30" s="11" t="n">
        <x:f>'Эффекты технологий'!P$15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IF(G31="","",VLOOKUP(G31,Технологии!$A$11:$BF$50,50,FALSE))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IF(G32="","",VLOOKUP(G32,Технологии!$A$11:$BF$50,50,FALSE))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IF(G33="","",VLOOKUP(G33,Технологии!$A$11:$BF$50,50,FALSE))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IF(G34="","",VLOOKUP(G34,Технологии!$A$11:$BF$50,50,FALSE))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IF(G35="","",VLOOKUP(G35,Технологии!$A$11:$BF$50,50,FALSE))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IF(G36="","",VLOOKUP(G36,Технологии!$A$11:$BF$50,50,FALSE))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IF(G37="","",VLOOKUP(G37,Технологии!$A$11:$BF$50,50,FALSE))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IF(G38="","",VLOOKUP(G38,Технологии!$A$11:$BF$50,50,FALSE))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2033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74.12266475453977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88.29844819957121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62.02340228735921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89.06952219322636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2032'!B8+'Иран 2032'!D8+('Иран 2032'!C8+'Иран 2032'!F8+'Иран 2032'!G8)+(0.35*LN(1+0.6*('Ход 2032'!B14*(1+'Эффекты технологий'!P$12)))*POWER(MAX(0,1-'Иран 2032'!I8/10),0.7))))</x:f>
        <x:v>8.699999999999998</x:v>
      </x:c>
      <x:c r="C8" s="3" t="n">
        <x:f>MIN(1,(MIN(1,'Иран 2032'!C8+'Иран 2032'!F8+(0.08*LN(1+0.5*('Ход 2032'!C14*(1+'Эффекты технологий'!P$12)))*MAX(0,1-('Иран 2032'!C8+'Иран 2032'!F8)))))+(SUMIFS('Эффекты технологий'!$Q$25:$Q$240,'Эффекты технологий'!$C$25:$C$240,$A8,'Эффекты технологий'!$D$25:$D$240,"Прирост")-SUMIFS('Эффекты технологий'!$P$25:$P$240,'Эффекты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8.699999999999998</x:v>
      </x:c>
      <x:c r="J8" s="10" t="n">
        <x:f>SUMIFS('Эффекты технологий'!$Q$25:$Q$240,'Эффекты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2032'!B9+'Иран 2032'!D9+('Иран 2032'!C9+'Иран 2032'!F9+'Иран 2032'!G9)+(0.35*LN(1+0.6*('Ход 2032'!B15*(1+'Эффекты технологий'!P$12)))*POWER(MAX(0,1-'Иран 2032'!I9/10),0.7))))</x:f>
        <x:v>7.6999999999999975</x:v>
      </x:c>
      <x:c r="C9" s="3" t="n">
        <x:f>MIN(1,(MIN(1,'Иран 2032'!C9+'Иран 2032'!F9+(0.08*LN(1+0.5*('Ход 2032'!C15*(1+'Эффекты технологий'!P$12)))*MAX(0,1-('Иран 2032'!C9+'Иран 2032'!F9)))))+(SUMIFS('Эффекты технологий'!$Q$25:$Q$240,'Эффекты технологий'!$C$25:$C$240,$A9,'Эффекты технологий'!$D$25:$D$240,"Прирост")-SUMIFS('Эффекты технологий'!$P$25:$P$240,'Эффекты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7.6999999999999975</x:v>
      </x:c>
      <x:c r="J9" s="10" t="n">
        <x:f>SUMIFS('Эффекты технологий'!$Q$25:$Q$240,'Эффекты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2032'!B10+'Иран 2032'!D10+('Иран 2032'!C10+'Иран 2032'!F10+'Иран 2032'!G10)+(0.35*LN(1+0.6*('Ход 2032'!B16*(1+'Эффекты технологий'!P$12)))*POWER(MAX(0,1-'Иран 2032'!I10/10),0.7))))</x:f>
        <x:v>9.850000000000005</x:v>
      </x:c>
      <x:c r="C10" s="3" t="n">
        <x:f>MIN(1,(MIN(1,'Иран 2032'!C10+'Иран 2032'!F10+(0.08*LN(1+0.5*('Ход 2032'!C16*(1+'Эффекты технологий'!P$12)))*MAX(0,1-('Иран 2032'!C10+'Иран 2032'!F10)))))+(SUMIFS('Эффекты технологий'!$Q$25:$Q$240,'Эффекты технологий'!$C$25:$C$240,$A10,'Эффекты технологий'!$D$25:$D$240,"Прирост")-SUMIFS('Эффекты технологий'!$P$25:$P$240,'Эффекты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9.850000000000005</x:v>
      </x:c>
      <x:c r="J10" s="10" t="n">
        <x:f>SUMIFS('Эффекты технологий'!$Q$25:$Q$240,'Эффекты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2032'!B11+'Иран 2032'!D11+('Иран 2032'!C11+'Иран 2032'!F11+'Иран 2032'!G11)+(0.35*LN(1+0.6*('Ход 2032'!B17*(1+'Эффекты технологий'!P$12)))*POWER(MAX(0,1-'Иран 2032'!I11/10),0.7))))</x:f>
        <x:v>3.8499999999999988</x:v>
      </x:c>
      <x:c r="C11" s="3" t="n">
        <x:f>MIN(1,(MIN(1,'Иран 2032'!C11+'Иран 2032'!F11+(0.08*LN(1+0.5*('Ход 2032'!C17*(1+'Эффекты технологий'!P$12)))*MAX(0,1-('Иран 2032'!C11+'Иран 2032'!F11)))))+(SUMIFS('Эффекты технологий'!$Q$25:$Q$240,'Эффекты технологий'!$C$25:$C$240,$A11,'Эффекты технологий'!$D$25:$D$240,"Прирост")-SUMIFS('Эффекты технологий'!$P$25:$P$240,'Эффекты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3.8499999999999988</x:v>
      </x:c>
      <x:c r="J11" s="10" t="n">
        <x:f>SUMIFS('Эффекты технологий'!$Q$25:$Q$240,'Эффекты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2032'!L11+'Иран 2032'!N11+('Иран 2032'!M11+'Иран 2032'!P11+'Иран 2032'!Q11)))</x:f>
        <x:v>7.25</x:v>
      </x:c>
      <x:c r="M11" s="3" t="n">
        <x:f>MIN(1,(MIN(1,'Иран 2032'!M11+'Иран 2032'!P11+(0.1*LN(1+0.5*('Ход 2032'!H13*(1+'Эффекты технологий'!P$10)))*POWER(MAX(0,1-'Иран 2032'!S11/10),0.8))))+(SUMIFS('Эффекты технологий'!$Q$25:$Q$240,'Эффекты технологий'!$C$25:$C$240,$K11,'Эффекты технологий'!$D$25:$D$240,"Прирост")-SUMIFS('Эффекты технологий'!$P$25:$P$240,'Эффекты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7.25</x:v>
      </x:c>
      <x:c r="T11" s="10" t="n">
        <x:f>SUMIFS('Эффекты технологий'!$Q$25:$Q$240,'Эффекты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2032'!V11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2032'!B12+'Иран 2032'!D12+('Иран 2032'!C12+'Иран 2032'!F12+'Иран 2032'!G12)+(0.35*LN(1+0.6*('Ход 2032'!B18*(1+'Эффекты технологий'!P$12)))*POWER(MAX(0,1-'Иран 2032'!I12/10),0.7))))</x:f>
        <x:v>8.350000000000005</x:v>
      </x:c>
      <x:c r="C12" s="3" t="n">
        <x:f>MIN(1,(MIN(1,'Иран 2032'!C12+'Иран 2032'!F12+(0.08*LN(1+0.5*('Ход 2032'!C18*(1+'Эффекты технологий'!P$12)))*MAX(0,1-('Иран 2032'!C12+'Иран 2032'!F12)))))+(SUMIFS('Эффекты технологий'!$Q$25:$Q$240,'Эффекты технологий'!$C$25:$C$240,$A12,'Эффекты технологий'!$D$25:$D$240,"Прирост")-SUMIFS('Эффекты технологий'!$P$25:$P$240,'Эффекты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8.350000000000005</x:v>
      </x:c>
      <x:c r="J12" s="10" t="n">
        <x:f>SUMIFS('Эффекты технологий'!$Q$25:$Q$240,'Эффекты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2032'!L12+'Иран 2032'!N12+('Иран 2032'!M12+'Иран 2032'!P12+'Иран 2032'!Q12)))</x:f>
        <x:v>7.25</x:v>
      </x:c>
      <x:c r="M12" s="3" t="n">
        <x:f>MIN(1,(MIN(1,'Иран 2032'!M12+'Иран 2032'!P12+(0.1*LN(1+0.5*('Ход 2032'!H14*(1+'Эффекты технологий'!P$10)))*POWER(MAX(0,1-'Иран 2032'!S12/10),0.8))))+(SUMIFS('Эффекты технологий'!$Q$25:$Q$240,'Эффекты технологий'!$C$25:$C$240,$K12,'Эффекты технологий'!$D$25:$D$240,"Прирост")-SUMIFS('Эффекты технологий'!$P$25:$P$240,'Эффекты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7.25</x:v>
      </x:c>
      <x:c r="T12" s="10" t="n">
        <x:f>SUMIFS('Эффекты технологий'!$Q$25:$Q$240,'Эффекты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2032'!V12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2032'!B13+'Иран 2032'!D13+('Иран 2032'!C13+'Иран 2032'!F13+'Иран 2032'!G13)+(0.35*LN(1+0.6*('Ход 2032'!B19*(1+'Эффекты технологий'!P$12)))*POWER(MAX(0,1-'Иран 2032'!I13/10),0.7))))</x:f>
        <x:v>3.4000000000000012</x:v>
      </x:c>
      <x:c r="C13" s="3" t="n">
        <x:f>MIN(1,(MIN(1,'Иран 2032'!C13+'Иран 2032'!F13+(0.08*LN(1+0.5*('Ход 2032'!C19*(1+'Эффекты технологий'!P$12)))*MAX(0,1-('Иран 2032'!C13+'Иран 2032'!F13)))))+(SUMIFS('Эффекты технологий'!$Q$25:$Q$240,'Эффекты технологий'!$C$25:$C$240,$A13,'Эффекты технологий'!$D$25:$D$240,"Прирост")-SUMIFS('Эффекты технологий'!$P$25:$P$240,'Эффекты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3.4000000000000012</x:v>
      </x:c>
      <x:c r="J13" s="10" t="n">
        <x:f>SUMIFS('Эффекты технологий'!$Q$25:$Q$240,'Эффекты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2032'!L13+'Иран 2032'!N13+('Иран 2032'!M13+'Иран 2032'!P13+'Иран 2032'!Q13)))</x:f>
        <x:v>8.399999999999999</x:v>
      </x:c>
      <x:c r="M13" s="3" t="n">
        <x:f>MIN(1,(MIN(1,'Иран 2032'!M13+'Иран 2032'!P13+(0.1*LN(1+0.5*('Ход 2032'!H15*(1+'Эффекты технологий'!P$10)))*POWER(MAX(0,1-'Иран 2032'!S13/10),0.8))))+(SUMIFS('Эффекты технологий'!$Q$25:$Q$240,'Эффекты технологий'!$C$25:$C$240,$K13,'Эффекты технологий'!$D$25:$D$240,"Прирост")-SUMIFS('Эффекты технологий'!$P$25:$P$240,'Эффекты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8.399999999999999</x:v>
      </x:c>
      <x:c r="T13" s="10" t="n">
        <x:f>SUMIFS('Эффекты технологий'!$Q$25:$Q$240,'Эффекты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2032'!V13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2032'!B14+'Иран 2032'!D14+('Иран 2032'!C14+'Иран 2032'!F14+'Иран 2032'!G14)+(0.35*LN(1+0.6*('Ход 2032'!B20*(1+'Эффекты технологий'!P$12)))*POWER(MAX(0,1-'Иран 2032'!I14/10),0.7))))</x:f>
        <x:v>4.400000000000001</x:v>
      </x:c>
      <x:c r="C14" s="3" t="n">
        <x:f>MIN(1,(MIN(1,'Иран 2032'!C14+'Иран 2032'!F14+(0.08*LN(1+0.5*('Ход 2032'!C20*(1+'Эффекты технологий'!P$12)))*MAX(0,1-('Иран 2032'!C14+'Иран 2032'!F14)))))+(SUMIFS('Эффекты технологий'!$Q$25:$Q$240,'Эффекты технологий'!$C$25:$C$240,$A14,'Эффекты технологий'!$D$25:$D$240,"Прирост")-SUMIFS('Эффекты технологий'!$P$25:$P$240,'Эффекты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4.400000000000001</x:v>
      </x:c>
      <x:c r="J14" s="10" t="n">
        <x:f>SUMIFS('Эффекты технологий'!$Q$25:$Q$240,'Эффекты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2032'!L14+'Иран 2032'!N14+('Иран 2032'!M14+'Иран 2032'!P14+'Иран 2032'!Q14)))</x:f>
        <x:v>8.25</x:v>
      </x:c>
      <x:c r="M14" s="3" t="n">
        <x:f>MIN(1,(MIN(1,'Иран 2032'!M14+'Иран 2032'!P14+(0.1*LN(1+0.5*('Ход 2032'!H16*(1+'Эффекты технологий'!P$10)))*POWER(MAX(0,1-'Иран 2032'!S14/10),0.8))))+(SUMIFS('Эффекты технологий'!$Q$25:$Q$240,'Эффекты технологий'!$C$25:$C$240,$K14,'Эффекты технологий'!$D$25:$D$240,"Прирост")-SUMIFS('Эффекты технологий'!$P$25:$P$240,'Эффекты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8.25</x:v>
      </x:c>
      <x:c r="T14" s="10" t="n">
        <x:f>SUMIFS('Эффекты технологий'!$Q$25:$Q$240,'Эффекты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2032'!V14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2032'!B15+'Иран 2032'!D15+('Иран 2032'!C15+'Иран 2032'!F15+'Иран 2032'!G15)+(0.35*LN(1+0.6*('Ход 2032'!B21*(1+'Эффекты технологий'!P$12)))*POWER(MAX(0,1-'Иран 2032'!I15/10),0.7))))</x:f>
        <x:v>6.25</x:v>
      </x:c>
      <x:c r="C15" s="3" t="n">
        <x:f>MIN(1,(MIN(1,'Иран 2032'!C15+'Иран 2032'!F15+(0.08*LN(1+0.5*('Ход 2032'!C21*(1+'Эффекты технологий'!P$12)))*MAX(0,1-('Иран 2032'!C15+'Иран 2032'!F15)))))+(SUMIFS('Эффекты технологий'!$Q$25:$Q$240,'Эффекты технологий'!$C$25:$C$240,$A15,'Эффекты технологий'!$D$25:$D$240,"Прирост")-SUMIFS('Эффекты технологий'!$P$25:$P$240,'Эффекты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6.25</x:v>
      </x:c>
      <x:c r="J15" s="10" t="n">
        <x:f>SUMIFS('Эффекты технологий'!$Q$25:$Q$240,'Эффекты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2032'!L15+'Иран 2032'!N15+('Иран 2032'!M15+'Иран 2032'!P15+'Иран 2032'!Q15)))</x:f>
        <x:v>8.399999999999999</x:v>
      </x:c>
      <x:c r="M15" s="3" t="n">
        <x:f>MIN(1,(MIN(1,'Иран 2032'!M15+'Иран 2032'!P15+(0.1*LN(1+0.5*('Ход 2032'!H17*(1+'Эффекты технологий'!P$10)))*POWER(MAX(0,1-'Иран 2032'!S15/10),0.8))))+(SUMIFS('Эффекты технологий'!$Q$25:$Q$240,'Эффекты технологий'!$C$25:$C$240,$K15,'Эффекты технологий'!$D$25:$D$240,"Прирост")-SUMIFS('Эффекты технологий'!$P$25:$P$240,'Эффекты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8.399999999999999</x:v>
      </x:c>
      <x:c r="T15" s="10" t="n">
        <x:f>SUMIFS('Эффекты технологий'!$Q$25:$Q$240,'Эффекты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2032'!V15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2032'!B16+'Иран 2032'!D16+('Иран 2032'!C16+'Иран 2032'!F16+'Иран 2032'!G16)+(0.35*LN(1+0.6*('Ход 2032'!B22*(1+'Эффекты технологий'!P$12)))*POWER(MAX(0,1-'Иран 2032'!I16/10),0.7))))</x:f>
        <x:v>6.900000000000001</x:v>
      </x:c>
      <x:c r="C16" s="3" t="n">
        <x:f>MIN(1,(MIN(1,'Иран 2032'!C16+'Иран 2032'!F16+(0.08*LN(1+0.5*('Ход 2032'!C22*(1+'Эффекты технологий'!P$12)))*MAX(0,1-('Иран 2032'!C16+'Иран 2032'!F16)))))+(SUMIFS('Эффекты технологий'!$Q$25:$Q$240,'Эффекты технологий'!$C$25:$C$240,$A16,'Эффекты технологий'!$D$25:$D$240,"Прирост")-SUMIFS('Эффекты технологий'!$P$25:$P$240,'Эффекты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6.900000000000001</x:v>
      </x:c>
      <x:c r="J16" s="10" t="n">
        <x:f>SUMIFS('Эффекты технологий'!$Q$25:$Q$240,'Эффекты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2032'!L16+'Иран 2032'!N16+('Иран 2032'!M16+'Иран 2032'!P16+'Иран 2032'!Q16)))</x:f>
        <x:v>7.25</x:v>
      </x:c>
      <x:c r="M16" s="3" t="n">
        <x:f>MIN(1,(MIN(1,'Иран 2032'!M16+'Иран 2032'!P16+(0.1*LN(1+0.5*('Ход 2032'!H18*(1+'Эффекты технологий'!P$10)))*POWER(MAX(0,1-'Иран 2032'!S16/10),0.8))))+(SUMIFS('Эффекты технологий'!$Q$25:$Q$240,'Эффекты технологий'!$C$25:$C$240,$K16,'Эффекты технологий'!$D$25:$D$240,"Прирост")-SUMIFS('Эффекты технологий'!$P$25:$P$240,'Эффекты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7.25</x:v>
      </x:c>
      <x:c r="T16" s="10" t="n">
        <x:f>SUMIFS('Эффекты технологий'!$Q$25:$Q$240,'Эффекты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2032'!V16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2032'!B17+'Иран 2032'!D17+('Иран 2032'!C17+'Иран 2032'!F17+'Иран 2032'!G17)+(0.35*LN(1+0.6*('Ход 2032'!B23*(1+'Эффекты технологий'!P$12)))*POWER(MAX(0,1-'Иран 2032'!I17/10),0.7))))</x:f>
        <x:v>6.0500000000000025</x:v>
      </x:c>
      <x:c r="C17" s="3" t="n">
        <x:f>MIN(1,(MIN(1,'Иран 2032'!C17+'Иран 2032'!F17+(0.08*LN(1+0.5*('Ход 2032'!C23*(1+'Эффекты технологий'!P$12)))*MAX(0,1-('Иран 2032'!C17+'Иран 2032'!F17)))))+(SUMIFS('Эффекты технологий'!$Q$25:$Q$240,'Эффекты технологий'!$C$25:$C$240,$A17,'Эффекты технологий'!$D$25:$D$240,"Прирост")-SUMIFS('Эффекты технологий'!$P$25:$P$240,'Эффекты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6.0500000000000025</x:v>
      </x:c>
      <x:c r="J17" s="10" t="n">
        <x:f>SUMIFS('Эффекты технологий'!$Q$25:$Q$240,'Эффекты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2032'!L17+'Иран 2032'!N17+('Иран 2032'!M17+'Иран 2032'!P17+'Иран 2032'!Q17)))</x:f>
        <x:v>8.25</x:v>
      </x:c>
      <x:c r="M17" s="3" t="n">
        <x:f>MIN(1,(MIN(1,'Иран 2032'!M17+'Иран 2032'!P17+(0.1*LN(1+0.5*('Ход 2032'!H19*(1+'Эффекты технологий'!P$10)))*POWER(MAX(0,1-'Иран 2032'!S17/10),0.8))))+(SUMIFS('Эффекты технологий'!$Q$25:$Q$240,'Эффекты технологий'!$C$25:$C$240,$K17,'Эффекты технологий'!$D$25:$D$240,"Прирост")-SUMIFS('Эффекты технологий'!$P$25:$P$240,'Эффекты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8.25</x:v>
      </x:c>
      <x:c r="T17" s="10" t="n">
        <x:f>SUMIFS('Эффекты технологий'!$Q$25:$Q$240,'Эффекты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2032'!V17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2032'!L18+'Иран 2032'!N18+('Иран 2032'!M18+'Иран 2032'!P18+'Иран 2032'!Q18)))</x:f>
        <x:v>8.25</x:v>
      </x:c>
      <x:c r="M18" s="3" t="n">
        <x:f>MIN(1,(MIN(1,'Иран 2032'!M18+'Иран 2032'!P18+(0.1*LN(1+0.5*('Ход 2032'!H20*(1+'Эффекты технологий'!P$10)))*POWER(MAX(0,1-'Иран 2032'!S18/10),0.8))))+(SUMIFS('Эффекты технологий'!$Q$25:$Q$240,'Эффекты технологий'!$C$25:$C$240,$K18,'Эффекты технологий'!$D$25:$D$240,"Прирост")-SUMIFS('Эффекты технологий'!$P$25:$P$240,'Эффекты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8.25</x:v>
      </x:c>
      <x:c r="T18" s="10" t="n">
        <x:f>SUMIFS('Эффекты технологий'!$Q$25:$Q$240,'Эффекты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2032'!V18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2032'!B19+'Иран 2032'!D19+('Иран 2032'!C19+'Иран 2032'!F19+'Иран 2032'!G19)+(0.35*LN(1+0.6*'Ход 2032'!B25)*POWER(MAX(0,1-'Иран 2032'!I19/10),0.7))))</x:f>
        <x:v>6.900000000000001</x:v>
      </x:c>
      <x:c r="C19" s="3" t="n">
        <x:f>MIN(1,(MIN(1,'Иран 2032'!C19+'Иран 2032'!F19+(0.08*LN(1+0.5*'Ход 2032'!C25)*MAX(0,1-('Иран 2032'!C19+'Иран 2032'!F19)))))+(SUMIFS('Эффекты технологий'!$Q$25:$Q$240,'Эффекты технологий'!$C$25:$C$240,$A19,'Эффекты технологий'!$D$25:$D$240,"Прирост")-SUMIFS('Эффекты технологий'!$P$25:$P$240,'Эффекты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6.900000000000001</x:v>
      </x:c>
      <x:c r="J19" s="10" t="n">
        <x:f>SUMIFS('Эффекты технологий'!$Q$25:$Q$240,'Эффекты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2032'!V19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2032'!B20+'Иран 2032'!D20+('Иран 2032'!C20+'Иран 2032'!F20+'Иран 2032'!G20)+(0.35*LN(1+0.6*'Ход 2032'!B26)*POWER(MAX(0,1-'Иран 2032'!I20/10),0.7))))</x:f>
        <x:v>7.25</x:v>
      </x:c>
      <x:c r="C20" s="3" t="n">
        <x:f>MIN(1,(MIN(1,'Иран 2032'!C20+'Иран 2032'!F20+(0.08*LN(1+0.5*'Ход 2032'!C26)*MAX(0,1-('Иран 2032'!C20+'Иран 2032'!F20)))))+(SUMIFS('Эффекты технологий'!$Q$25:$Q$240,'Эффекты технологий'!$C$25:$C$240,$A20,'Эффекты технологий'!$D$25:$D$240,"Прирост")-SUMIFS('Эффекты технологий'!$P$25:$P$240,'Эффекты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7.25</x:v>
      </x:c>
      <x:c r="J20" s="10" t="n">
        <x:f>SUMIFS('Эффекты технологий'!$Q$25:$Q$240,'Эффекты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2032'!V20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2032'!B21+'Иран 2032'!D21+('Иран 2032'!C21+'Иран 2032'!F21+'Иран 2032'!G21)+(0.35*LN(1+0.6*'Ход 2032'!B27)*POWER(MAX(0,1-'Иран 2032'!I21/10),0.7))))</x:f>
        <x:v>6.400000000000001</x:v>
      </x:c>
      <x:c r="C21" s="3" t="n">
        <x:f>MIN(1,(MIN(1,'Иран 2032'!C21+'Иран 2032'!F21+(0.08*LN(1+0.5*'Ход 2032'!C27)*MAX(0,1-('Иран 2032'!C21+'Иран 2032'!F21)))))+(SUMIFS('Эффекты технологий'!$Q$25:$Q$240,'Эффекты технологий'!$C$25:$C$240,$A21,'Эффекты технологий'!$D$25:$D$240,"Прирост")-SUMIFS('Эффекты технологий'!$P$25:$P$240,'Эффекты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6.400000000000001</x:v>
      </x:c>
      <x:c r="J21" s="10" t="n">
        <x:f>SUMIFS('Эффекты технологий'!$Q$25:$Q$240,'Эффекты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2032'!V21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2032'!B22+'Иран 2032'!D22+('Иран 2032'!C22+'Иран 2032'!F22+'Иран 2032'!G22)+(0.35*LN(1+0.6*'Ход 2032'!B28)*POWER(MAX(0,1-'Иран 2032'!I22/10),0.7))))</x:f>
        <x:v>8.699999999999998</x:v>
      </x:c>
      <x:c r="C22" s="3" t="n">
        <x:f>MIN(1,(MIN(1,'Иран 2032'!C22+'Иран 2032'!F22+(0.08*LN(1+0.5*'Ход 2032'!C28)*MAX(0,1-('Иран 2032'!C22+'Иран 2032'!F22)))))+(SUMIFS('Эффекты технологий'!$Q$25:$Q$240,'Эффекты технологий'!$C$25:$C$240,$A22,'Эффекты технологий'!$D$25:$D$240,"Прирост")-SUMIFS('Эффекты технологий'!$P$25:$P$240,'Эффекты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8.699999999999998</x:v>
      </x:c>
      <x:c r="J22" s="10" t="n">
        <x:f>SUMIFS('Эффекты технологий'!$Q$25:$Q$240,'Эффекты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2032'!V22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2032'!B23+'Иран 2032'!D23+('Иран 2032'!C23+'Иран 2032'!F23+'Иран 2032'!G23)+(0.35*LN(1+0.6*'Ход 2032'!B29)*POWER(MAX(0,1-'Иран 2032'!I23/10),0.7))))</x:f>
        <x:v>7.900000000000001</x:v>
      </x:c>
      <x:c r="C23" s="3" t="n">
        <x:f>MIN(1,(MIN(1,'Иран 2032'!C23+'Иран 2032'!F23+(0.08*LN(1+0.5*'Ход 2032'!C29)*MAX(0,1-('Иран 2032'!C23+'Иран 2032'!F23)))))+(SUMIFS('Эффекты технологий'!$Q$25:$Q$240,'Эффекты технологий'!$C$25:$C$240,$A23,'Эффекты технологий'!$D$25:$D$240,"Прирост")-SUMIFS('Эффекты технологий'!$P$25:$P$240,'Эффекты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7.900000000000001</x:v>
      </x:c>
      <x:c r="J23" s="10" t="n">
        <x:f>SUMIFS('Эффекты технологий'!$Q$25:$Q$240,'Эффекты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2032'!V23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2032'!V24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2032'!B25+'Иран 2032'!D25+('Иран 2032'!C25+'Иран 2032'!F25+'Иран 2032'!G25)+(0.35*LN(1+0.6*'Ход 2032'!B31)*POWER(MAX(0,1-'Иран 2032'!I25/10),0.7))))</x:f>
        <x:v>7.6999999999999975</x:v>
      </x:c>
      <x:c r="C25" s="3" t="n">
        <x:f>MIN(1,(MIN(1,'Иран 2032'!C25+'Иран 2032'!F25+(0.08*LN(1+0.5*'Ход 2032'!C31)*MAX(0,1-('Иран 2032'!C25+'Иран 2032'!F25)))))+(SUMIFS('Эффекты технологий'!$Q$25:$Q$240,'Эффекты технологий'!$C$25:$C$240,$A25,'Эффекты технологий'!$D$25:$D$240,"Прирост")-SUMIFS('Эффекты технологий'!$P$25:$P$240,'Эффекты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7.6999999999999975</x:v>
      </x:c>
      <x:c r="J25" s="10" t="n">
        <x:f>SUMIFS('Эффекты технологий'!$Q$25:$Q$240,'Эффекты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2032'!V25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2032'!B26+'Иран 2032'!D26+('Иран 2032'!C26+'Иран 2032'!F26+'Иран 2032'!G26)+(0.35*LN(1+0.6*'Ход 2032'!B32)*POWER(MAX(0,1-'Иран 2032'!I26/10),0.7))))</x:f>
        <x:v>6.900000000000001</x:v>
      </x:c>
      <x:c r="C26" s="3" t="n">
        <x:f>MIN(1,(MIN(1,'Иран 2032'!C26+'Иран 2032'!F26+(0.08*LN(1+0.5*'Ход 2032'!C32)*MAX(0,1-('Иран 2032'!C26+'Иран 2032'!F26)))))+(SUMIFS('Эффекты технологий'!$Q$25:$Q$240,'Эффекты технологий'!$C$25:$C$240,$A26,'Эффекты технологий'!$D$25:$D$240,"Прирост")-SUMIFS('Эффекты технологий'!$P$25:$P$240,'Эффекты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6.900000000000001</x:v>
      </x:c>
      <x:c r="J26" s="10" t="n">
        <x:f>SUMIFS('Эффекты технологий'!$Q$25:$Q$240,'Эффекты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2032'!V26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2032'!B27+'Иран 2032'!D27+('Иран 2032'!C27+'Иран 2032'!F27+'Иран 2032'!G27)+(0.35*LN(1+0.6*'Ход 2032'!B33)*POWER(MAX(0,1-'Иран 2032'!I27/10),0.7))))</x:f>
        <x:v>7.0500000000000025</x:v>
      </x:c>
      <x:c r="C27" s="3" t="n">
        <x:f>MIN(1,(MIN(1,'Иран 2032'!C27+'Иран 2032'!F27+(0.08*LN(1+0.5*'Ход 2032'!C33)*MAX(0,1-('Иран 2032'!C27+'Иран 2032'!F27)))))+(SUMIFS('Эффекты технологий'!$Q$25:$Q$240,'Эффекты технологий'!$C$25:$C$240,$A27,'Эффекты технологий'!$D$25:$D$240,"Прирост")-SUMIFS('Эффекты технологий'!$P$25:$P$240,'Эффекты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7.0500000000000025</x:v>
      </x:c>
      <x:c r="J27" s="10" t="n">
        <x:f>SUMIFS('Эффекты технологий'!$Q$25:$Q$240,'Эффекты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2032'!B28+'Иран 2032'!D28+('Иран 2032'!C28+'Иран 2032'!F28+'Иран 2032'!G28)+(0.35*LN(1+0.6*'Ход 2032'!B34)*POWER(MAX(0,1-'Иран 2032'!I28/10),0.7))))</x:f>
        <x:v>6.900000000000001</x:v>
      </x:c>
      <x:c r="C28" s="3" t="n">
        <x:f>MIN(1,(MIN(1,'Иран 2032'!C28+'Иран 2032'!F28+(0.08*LN(1+0.5*'Ход 2032'!C34)*MAX(0,1-('Иран 2032'!C28+'Иран 2032'!F28)))))+(SUMIFS('Эффекты технологий'!$Q$25:$Q$240,'Эффекты технологий'!$C$25:$C$240,$A28,'Эффекты технологий'!$D$25:$D$240,"Прирост")-SUMIFS('Эффекты технологий'!$P$25:$P$240,'Эффекты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6.900000000000001</x:v>
      </x:c>
      <x:c r="J28" s="10" t="n">
        <x:f>SUMIFS('Эффекты технологий'!$Q$25:$Q$240,'Эффекты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2032'!B29+'Иран 2032'!D29+('Иран 2032'!C29+'Иран 2032'!F29+'Иран 2032'!G29)+(0.35*LN(1+0.6*'Ход 2032'!B35)*POWER(MAX(0,1-'Иран 2032'!I29/10),0.7))))</x:f>
        <x:v>6.900000000000001</x:v>
      </x:c>
      <x:c r="C29" s="3" t="n">
        <x:f>MIN(1,(MIN(1,'Иран 2032'!C29+'Иран 2032'!F29+(0.08*LN(1+0.5*'Ход 2032'!C35)*MAX(0,1-('Иран 2032'!C29+'Иран 2032'!F29)))))+(SUMIFS('Эффекты технологий'!$Q$25:$Q$240,'Эффекты технологий'!$C$25:$C$240,$A29,'Эффекты технологий'!$D$25:$D$240,"Прирост")-SUMIFS('Эффекты технологий'!$P$25:$P$240,'Эффекты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6.900000000000001</x:v>
      </x:c>
      <x:c r="J29" s="10" t="n">
        <x:f>SUMIFS('Эффекты технологий'!$Q$25:$Q$240,'Эффекты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2032'!B30+'Иран 2032'!D30+('Иран 2032'!C30+'Иран 2032'!F30+'Иран 2032'!G30)+(0.35*LN(1+0.6*'Ход 2032'!B36)*POWER(MAX(0,1-'Иран 2032'!I30/10),0.7))))</x:f>
        <x:v>6.5500000000000025</x:v>
      </x:c>
      <x:c r="C30" s="3" t="n">
        <x:f>MIN(1,(MIN(1,'Иран 2032'!C30+'Иран 2032'!F30+(0.08*LN(1+0.5*'Ход 2032'!C36)*MAX(0,1-('Иран 2032'!C30+'Иран 2032'!F30)))))+(SUMIFS('Эффекты технологий'!$Q$25:$Q$240,'Эффекты технологий'!$C$25:$C$240,$A30,'Эффекты технологий'!$D$25:$D$240,"Прирост")-SUMIFS('Эффекты технологий'!$P$25:$P$240,'Эффекты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6.5500000000000025</x:v>
      </x:c>
      <x:c r="J30" s="10" t="n">
        <x:f>SUMIFS('Эффекты технологий'!$Q$25:$Q$240,'Эффекты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2032'!B31+'Иран 2032'!D31+('Иран 2032'!C31+'Иран 2032'!F31+'Иран 2032'!G31)+(0.35*LN(1+0.6*'Ход 2032'!B37)*POWER(MAX(0,1-'Иран 2032'!I31/10),0.7))))</x:f>
        <x:v>6.5500000000000025</x:v>
      </x:c>
      <x:c r="C31" s="3" t="n">
        <x:f>MIN(1,(MIN(1,'Иран 2032'!C31+'Иран 2032'!F31+(0.08*LN(1+0.5*'Ход 2032'!C37)*MAX(0,1-('Иран 2032'!C31+'Иран 2032'!F31)))))+(SUMIFS('Эффекты технологий'!$Q$25:$Q$240,'Эффекты технологий'!$C$25:$C$240,$A31,'Эффекты технологий'!$D$25:$D$240,"Прирост")-SUMIFS('Эффекты технологий'!$P$25:$P$240,'Эффекты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6.5500000000000025</x:v>
      </x:c>
      <x:c r="J31" s="10" t="n">
        <x:f>SUMIFS('Эффекты технологий'!$Q$25:$Q$240,'Эффекты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2032'!B32+'Иран 2032'!D32+('Иран 2032'!C32+'Иран 2032'!F32+'Иран 2032'!G32)+(0.35*LN(1+0.6*'Ход 2032'!B38)*POWER(MAX(0,1-'Иран 2032'!I32/10),0.7))))</x:f>
        <x:v>8.899999999999997</x:v>
      </x:c>
      <x:c r="C32" s="3" t="n">
        <x:f>MIN(1,(MIN(1,'Иран 2032'!C32+'Иран 2032'!F32+(0.08*LN(1+0.5*'Ход 2032'!C38)*MAX(0,1-('Иран 2032'!C32+'Иран 2032'!F32)))))+(SUMIFS('Эффекты технологий'!$Q$25:$Q$240,'Эффекты технологий'!$C$25:$C$240,$A32,'Эффекты технологий'!$D$25:$D$240,"Прирост")-SUMIFS('Эффекты технологий'!$P$25:$P$240,'Эффекты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8.899999999999997</x:v>
      </x:c>
      <x:c r="J32" s="10" t="n">
        <x:f>SUMIFS('Эффекты технологий'!$Q$25:$Q$240,'Эффекты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2032'!B34+'Иран 2032'!D34+('Иран 2032'!C34+'Иран 2032'!F34+'Иран 2032'!G34)+(0.35*LN(1+0.6*'Ход 2032'!B40)*POWER(MAX(0,1-'Иран 2032'!I34/10),0.7))))</x:f>
        <x:v>8.899999999999997</x:v>
      </x:c>
      <x:c r="C34" s="3" t="n">
        <x:f>MIN(1,(MIN(1,'Иран 2032'!C34+'Иран 2032'!F34+(0.08*LN(1+0.5*'Ход 2032'!C40)*MAX(0,1-('Иран 2032'!C34+'Иран 2032'!F34)))))+(SUMIFS('Эффекты технологий'!$Q$25:$Q$240,'Эффекты технологий'!$C$25:$C$240,$A34,'Эффекты технологий'!$D$25:$D$240,"Прирост")-SUMIFS('Эффекты технологий'!$P$25:$P$240,'Эффекты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8.899999999999997</x:v>
      </x:c>
      <x:c r="J34" s="10" t="n">
        <x:f>SUMIFS('Эффекты технологий'!$Q$25:$Q$240,'Эффекты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2032'!B35+'Иран 2032'!D35+('Иран 2032'!C35+'Иран 2032'!F35+'Иран 2032'!G35)+(0.35*LN(1+0.6*'Ход 2032'!B41)*POWER(MAX(0,1-'Иран 2032'!I35/10),0.7))))</x:f>
        <x:v>8.699999999999998</x:v>
      </x:c>
      <x:c r="C35" s="3" t="n">
        <x:f>MIN(1,(MIN(1,'Иран 2032'!C35+'Иран 2032'!F35+(0.08*LN(1+0.5*'Ход 2032'!C41)*MAX(0,1-('Иран 2032'!C35+'Иран 2032'!F35)))))+(SUMIFS('Эффекты технологий'!$Q$25:$Q$240,'Эффекты технологий'!$C$25:$C$240,$A35,'Эффекты технологий'!$D$25:$D$240,"Прирост")-SUMIFS('Эффекты технологий'!$P$25:$P$240,'Эффекты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8.699999999999998</x:v>
      </x:c>
      <x:c r="J35" s="10" t="n">
        <x:f>SUMIFS('Эффекты технологий'!$Q$25:$Q$240,'Эффекты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2032'!B36+'Иран 2032'!D36+('Иран 2032'!C36+'Иран 2032'!F36+'Иран 2032'!G36)+(0.35*LN(1+0.6*'Ход 2032'!B42)*POWER(MAX(0,1-'Иран 2032'!I36/10),0.7))))</x:f>
        <x:v>7.900000000000001</x:v>
      </x:c>
      <x:c r="C36" s="3" t="n">
        <x:f>MIN(1,(MIN(1,'Иран 2032'!C36+'Иран 2032'!F36+(0.08*LN(1+0.5*'Ход 2032'!C42)*MAX(0,1-('Иран 2032'!C36+'Иран 2032'!F36)))))+(SUMIFS('Эффекты технологий'!$Q$25:$Q$240,'Эффекты технологий'!$C$25:$C$240,$A36,'Эффекты технологий'!$D$25:$D$240,"Прирост")-SUMIFS('Эффекты технологий'!$P$25:$P$240,'Эффекты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7.900000000000001</x:v>
      </x:c>
      <x:c r="J36" s="10" t="n">
        <x:f>SUMIFS('Эффекты технологий'!$Q$25:$Q$240,'Эффекты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2032'!B37+'Иран 2032'!D37+('Иран 2032'!C37+'Иран 2032'!F37+'Иран 2032'!G37)+(0.35*LN(1+0.6*'Ход 2032'!B43)*POWER(MAX(0,1-'Иран 2032'!I37/10),0.7))))</x:f>
        <x:v>6.400000000000001</x:v>
      </x:c>
      <x:c r="C37" s="3" t="n">
        <x:f>MIN(1,(MIN(1,'Иран 2032'!C37+'Иран 2032'!F37+(0.08*LN(1+0.5*'Ход 2032'!C43)*MAX(0,1-('Иран 2032'!C37+'Иран 2032'!F37)))))+(SUMIFS('Эффекты технологий'!$Q$25:$Q$240,'Эффекты технологий'!$C$25:$C$240,$A37,'Эффекты технологий'!$D$25:$D$240,"Прирост")-SUMIFS('Эффекты технологий'!$P$25:$P$240,'Эффекты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6.400000000000001</x:v>
      </x:c>
      <x:c r="J37" s="10" t="n">
        <x:f>SUMIFS('Эффекты технологий'!$Q$25:$Q$240,'Эффекты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2032'!B38+'Иран 2032'!D38+('Иран 2032'!C38+'Иран 2032'!F38+'Иран 2032'!G38)+(0.35*LN(1+0.6*'Ход 2032'!B44)*POWER(MAX(0,1-'Иран 2032'!I38/10),0.7))))</x:f>
        <x:v>6.900000000000001</x:v>
      </x:c>
      <x:c r="C38" s="3" t="n">
        <x:f>MIN(1,(MIN(1,'Иран 2032'!C38+'Иран 2032'!F38+(0.08*LN(1+0.5*'Ход 2032'!C44)*MAX(0,1-('Иран 2032'!C38+'Иран 2032'!F38)))))+(SUMIFS('Эффекты технологий'!$Q$25:$Q$240,'Эффекты технологий'!$C$25:$C$240,$A38,'Эффекты технологий'!$D$25:$D$240,"Прирост")-SUMIFS('Эффекты технологий'!$P$25:$P$240,'Эффекты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6.900000000000001</x:v>
      </x:c>
      <x:c r="J38" s="10" t="n">
        <x:f>SUMIFS('Эффекты технологий'!$Q$25:$Q$240,'Эффекты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2032'!B39+'Иран 2032'!D39+('Иран 2032'!C39+'Иран 2032'!F39+'Иран 2032'!G39)+(0.35*LN(1+0.6*'Ход 2032'!B45)*POWER(MAX(0,1-'Иран 2032'!I39/10),0.7))))</x:f>
        <x:v>7.400000000000001</x:v>
      </x:c>
      <x:c r="C39" s="3" t="n">
        <x:f>MIN(1,(MIN(1,'Иран 2032'!C39+'Иран 2032'!F39+(0.08*LN(1+0.5*'Ход 2032'!C45)*MAX(0,1-('Иран 2032'!C39+'Иран 2032'!F39)))))+(SUMIFS('Эффекты технологий'!$Q$25:$Q$240,'Эффекты технологий'!$C$25:$C$240,$A39,'Эффекты технологий'!$D$25:$D$240,"Прирост")-SUMIFS('Эффекты технологий'!$P$25:$P$240,'Эффекты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7.400000000000001</x:v>
      </x:c>
      <x:c r="J39" s="10" t="n">
        <x:f>SUMIFS('Эффекты технологий'!$Q$25:$Q$240,'Эффекты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2032'!B40+'Иран 2032'!D40+('Иран 2032'!C40+'Иран 2032'!F40+'Иран 2032'!G40)+(0.35*LN(1+0.6*'Ход 2032'!B46)*POWER(MAX(0,1-'Иран 2032'!I40/10),0.7))))</x:f>
        <x:v>5.5500000000000025</x:v>
      </x:c>
      <x:c r="C40" s="3" t="n">
        <x:f>MIN(1,(MIN(1,'Иран 2032'!C40+'Иран 2032'!F40+(0.08*LN(1+0.5*'Ход 2032'!C46)*MAX(0,1-('Иран 2032'!C40+'Иран 2032'!F40)))))+(SUMIFS('Эффекты технологий'!$Q$25:$Q$240,'Эффекты технологий'!$C$25:$C$240,$A40,'Эффекты технологий'!$D$25:$D$240,"Прирост")-SUMIFS('Эффекты технологий'!$P$25:$P$240,'Эффекты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5.5500000000000025</x:v>
      </x:c>
      <x:c r="J40" s="10" t="n">
        <x:f>SUMIFS('Эффекты технологий'!$Q$25:$Q$240,'Эффекты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2032'!B41+'Иран 2032'!D41+('Иран 2032'!C41+'Иран 2032'!F41+'Иран 2032'!G41)+(0.35*LN(1+0.6*'Ход 2032'!B47)*POWER(MAX(0,1-'Иран 2032'!I41/10),0.7))))</x:f>
        <x:v>6.400000000000001</x:v>
      </x:c>
      <x:c r="C41" s="3" t="n">
        <x:f>MIN(1,(MIN(1,'Иран 2032'!C41+'Иран 2032'!F41+(0.08*LN(1+0.5*'Ход 2032'!C47)*MAX(0,1-('Иран 2032'!C41+'Иран 2032'!F41)))))+(SUMIFS('Эффекты технологий'!$Q$25:$Q$240,'Эффекты технологий'!$C$25:$C$240,$A41,'Эффекты технологий'!$D$25:$D$240,"Прирост")-SUMIFS('Эффекты технологий'!$P$25:$P$240,'Эффекты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6.400000000000001</x:v>
      </x:c>
      <x:c r="J41" s="10" t="n">
        <x:f>SUMIFS('Эффекты технологий'!$Q$25:$Q$240,'Эффекты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2032'!B42+'Иран 2032'!D42+('Иран 2032'!C42+'Иран 2032'!F42+'Иран 2032'!G42)+(0.35*LN(1+0.6*'Ход 2032'!B48)*POWER(MAX(0,1-'Иран 2032'!I42/10),0.7))))</x:f>
        <x:v>7.6999999999999975</x:v>
      </x:c>
      <x:c r="C42" s="3" t="n">
        <x:f>MIN(1,(MIN(1,'Иран 2032'!C42+'Иран 2032'!F42+(0.08*LN(1+0.5*'Ход 2032'!C48)*MAX(0,1-('Иран 2032'!C42+'Иран 2032'!F42)))))+(SUMIFS('Эффекты технологий'!$Q$25:$Q$240,'Эффекты технологий'!$C$25:$C$240,$A42,'Эффекты технологий'!$D$25:$D$240,"Прирост")-SUMIFS('Эффекты технологий'!$P$25:$P$240,'Эффекты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7.6999999999999975</x:v>
      </x:c>
      <x:c r="J42" s="10" t="n">
        <x:f>SUMIFS('Эффекты технологий'!$Q$25:$Q$240,'Эффекты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2032'!B44+'Иран 2032'!D44+('Иран 2032'!C44+'Иран 2032'!F44+'Иран 2032'!G44)+(0.35*LN(1+0.6*'Ход 2032'!B50)*POWER(MAX(0,1-'Иран 2032'!I44/10),0.7))))</x:f>
        <x:v>4.6999999999999975</x:v>
      </x:c>
      <x:c r="C44" s="3" t="n">
        <x:f>MIN(1,(MIN(1,'Иран 2032'!C44+'Иран 2032'!F44+(0.08*LN(1+0.5*'Ход 2032'!C50)*MAX(0,1-('Иран 2032'!C44+'Иран 2032'!F44)))))+(SUMIFS('Эффекты технологий'!$Q$25:$Q$240,'Эффекты технологий'!$C$25:$C$240,$A44,'Эффекты технологий'!$D$25:$D$240,"Прирост")-SUMIFS('Эффекты технологий'!$P$25:$P$240,'Эффекты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4.6999999999999975</x:v>
      </x:c>
      <x:c r="J44" s="10" t="n">
        <x:f>SUMIFS('Эффекты технологий'!$Q$25:$Q$240,'Эффекты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2032'!B45+'Иран 2032'!D45+('Иран 2032'!C45+'Иран 2032'!F45+'Иран 2032'!G45)+(0.35*LN(1+0.6*'Ход 2032'!B51)*POWER(MAX(0,1-'Иран 2032'!I45/10),0.7))))</x:f>
        <x:v>6.0500000000000025</x:v>
      </x:c>
      <x:c r="C45" s="3" t="n">
        <x:f>MIN(1,(MIN(1,'Иран 2032'!C45+'Иран 2032'!F45+(0.08*LN(1+0.5*'Ход 2032'!C51)*MAX(0,1-('Иран 2032'!C45+'Иран 2032'!F45)))))+(SUMIFS('Эффекты технологий'!$Q$25:$Q$240,'Эффекты технологий'!$C$25:$C$240,$A45,'Эффекты технологий'!$D$25:$D$240,"Прирост")-SUMIFS('Эффекты технологий'!$P$25:$P$240,'Эффекты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6.0500000000000025</x:v>
      </x:c>
      <x:c r="J45" s="10" t="n">
        <x:f>SUMIFS('Эффекты технологий'!$Q$25:$Q$240,'Эффекты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2032'!B46+'Иран 2032'!D46+('Иран 2032'!C46+'Иран 2032'!F46+'Иран 2032'!G46)+(0.35*LN(1+0.6*'Ход 2032'!B52)*POWER(MAX(0,1-'Иран 2032'!I46/10),0.7))))</x:f>
        <x:v>6.0500000000000025</x:v>
      </x:c>
      <x:c r="C46" s="3" t="n">
        <x:f>MIN(1,(MIN(1,'Иран 2032'!C46+'Иран 2032'!F46+(0.08*LN(1+0.5*'Ход 2032'!C52)*MAX(0,1-('Иран 2032'!C46+'Иран 2032'!F46)))))+(SUMIFS('Эффекты технологий'!$Q$25:$Q$240,'Эффекты технологий'!$C$25:$C$240,$A46,'Эффекты технологий'!$D$25:$D$240,"Прирост")-SUMIFS('Эффекты технологий'!$P$25:$P$240,'Эффекты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6.0500000000000025</x:v>
      </x:c>
      <x:c r="J46" s="10" t="n">
        <x:f>SUMIFS('Эффекты технологий'!$Q$25:$Q$240,'Эффекты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2032'!B47+'Иран 2032'!D47+('Иран 2032'!C47+'Иран 2032'!F47+'Иран 2032'!G47)+(0.35*LN(1+0.6*'Ход 2032'!B53)*POWER(MAX(0,1-'Иран 2032'!I47/10),0.7))))</x:f>
        <x:v>2.1500000000000012</x:v>
      </x:c>
      <x:c r="C47" s="3" t="n">
        <x:f>MIN(1,(MIN(1,'Иран 2032'!C47+'Иран 2032'!F47+(0.08*LN(1+0.5*'Ход 2032'!C53)*MAX(0,1-('Иран 2032'!C47+'Иран 2032'!F47)))))+(SUMIFS('Эффекты технологий'!$Q$25:$Q$240,'Эффекты технологий'!$C$25:$C$240,$A47,'Эффекты технологий'!$D$25:$D$240,"Прирост")-SUMIFS('Эффекты технологий'!$P$25:$P$240,'Эффекты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2.1500000000000012</x:v>
      </x:c>
      <x:c r="J47" s="10" t="n">
        <x:f>SUMIFS('Эффекты технологий'!$Q$25:$Q$240,'Эффекты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2032'!B48+'Иран 2032'!D48+('Иран 2032'!C48+'Иран 2032'!F48+'Иран 2032'!G48)+(0.35*LN(1+0.6*'Ход 2032'!B54)*POWER(MAX(0,1-'Иран 2032'!I48/10),0.7))))</x:f>
        <x:v>6.1999999999999975</x:v>
      </x:c>
      <x:c r="C48" s="3" t="n">
        <x:f>MIN(1,(MIN(1,'Иран 2032'!C48+'Иран 2032'!F48+(0.08*LN(1+0.5*'Ход 2032'!C54)*MAX(0,1-('Иран 2032'!C48+'Иран 2032'!F48)))))+(SUMIFS('Эффекты технологий'!$Q$25:$Q$240,'Эффекты технологий'!$C$25:$C$240,$A48,'Эффекты технологий'!$D$25:$D$240,"Прирост")-SUMIFS('Эффекты технологий'!$P$25:$P$240,'Эффекты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6.1999999999999975</x:v>
      </x:c>
      <x:c r="J48" s="10" t="n">
        <x:f>SUMIFS('Эффекты технологий'!$Q$25:$Q$240,'Эффекты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2032'!B49+'Иран 2032'!D49+('Иран 2032'!C49+'Иран 2032'!F49+'Иран 2032'!G49)+(0.35*LN(1+0.6*'Ход 2032'!B55)*POWER(MAX(0,1-'Иран 2032'!I49/10),0.7))))</x:f>
        <x:v>8.25</x:v>
      </x:c>
      <x:c r="C49" s="3" t="n">
        <x:f>MIN(1,(MIN(1,'Иран 2032'!C49+'Иран 2032'!F49+(0.08*LN(1+0.5*'Ход 2032'!C55)*MAX(0,1-('Иран 2032'!C49+'Иран 2032'!F49)))))+(SUMIFS('Эффекты технологий'!$Q$25:$Q$240,'Эффекты технологий'!$C$25:$C$240,$A49,'Эффекты технологий'!$D$25:$D$240,"Прирост")-SUMIFS('Эффекты технологий'!$P$25:$P$240,'Эффекты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8.25</x:v>
      </x:c>
      <x:c r="J49" s="10" t="n">
        <x:f>SUMIFS('Эффекты технологий'!$Q$25:$Q$240,'Эффекты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2032'!B50+'Иран 2032'!D50+('Иран 2032'!C50+'Иран 2032'!F50+'Иран 2032'!G50)+(0.35*LN(1+0.6*'Ход 2032'!B56)*POWER(MAX(0,1-'Иран 2032'!I50/10),0.7))))</x:f>
        <x:v>9.350000000000005</x:v>
      </x:c>
      <x:c r="C50" s="3" t="n">
        <x:f>MIN(1,(MIN(1,'Иран 2032'!C50+'Иран 2032'!F50+(0.08*LN(1+0.5*'Ход 2032'!C56)*MAX(0,1-('Иран 2032'!C50+'Иран 2032'!F50)))))+(SUMIFS('Эффекты технологий'!$Q$25:$Q$240,'Эффекты технологий'!$C$25:$C$240,$A50,'Эффекты технологий'!$D$25:$D$240,"Прирост")-SUMIFS('Эффекты технологий'!$P$25:$P$240,'Эффекты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9.350000000000005</x:v>
      </x:c>
      <x:c r="J50" s="10" t="n">
        <x:f>SUMIFS('Эффекты технологий'!$Q$25:$Q$240,'Эффекты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2032'!B51+'Иран 2032'!D51+('Иран 2032'!C51+'Иран 2032'!F51+'Иран 2032'!G51)+(0.35*LN(1+0.6*'Ход 2032'!B57)*POWER(MAX(0,1-'Иран 2032'!I51/10),0.7))))</x:f>
        <x:v>7.400000000000001</x:v>
      </x:c>
      <x:c r="C51" s="3" t="n">
        <x:f>MIN(1,(MIN(1,'Иран 2032'!C51+'Иран 2032'!F51+(0.08*LN(1+0.5*'Ход 2032'!C57)*MAX(0,1-('Иран 2032'!C51+'Иран 2032'!F51)))))+(SUMIFS('Эффекты технологий'!$Q$25:$Q$240,'Эффекты технологий'!$C$25:$C$240,$A51,'Эффекты технологий'!$D$25:$D$240,"Прирост")-SUMIFS('Эффекты технологий'!$P$25:$P$240,'Эффекты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7.400000000000001</x:v>
      </x:c>
      <x:c r="J51" s="10" t="n">
        <x:f>SUMIFS('Эффекты технологий'!$Q$25:$Q$240,'Эффекты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2032'!B53+'Иран 2032'!D53+('Иран 2032'!C53+'Иран 2032'!F53+'Иран 2032'!G53)+(0.35*LN(1+0.6*'Ход 2032'!B59)*POWER(MAX(0,1-'Иран 2032'!I53/10),0.7))))</x:f>
        <x:v>6.900000000000001</x:v>
      </x:c>
      <x:c r="C53" s="3" t="n">
        <x:f>MIN(1,(MIN(1,'Иран 2032'!C53+'Иран 2032'!F53+(0.08*LN(1+0.5*'Ход 2032'!C59)*MAX(0,1-('Иран 2032'!C53+'Иран 2032'!F53)))))+(SUMIFS('Эффекты технологий'!$Q$25:$Q$240,'Эффекты технологий'!$C$25:$C$240,$A53,'Эффекты технологий'!$D$25:$D$240,"Прирост")-SUMIFS('Эффекты технологий'!$P$25:$P$240,'Эффекты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6.900000000000001</x:v>
      </x:c>
      <x:c r="J53" s="10" t="n">
        <x:f>SUMIFS('Эффекты технологий'!$Q$25:$Q$240,'Эффекты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2032'!B54+'Иран 2032'!D54+('Иран 2032'!C54+'Иран 2032'!F54+'Иран 2032'!G54)+(0.35*LN(1+0.6*'Ход 2032'!B60)*POWER(MAX(0,1-'Иран 2032'!I54/10),0.7))))</x:f>
        <x:v>6.400000000000001</x:v>
      </x:c>
      <x:c r="C54" s="3" t="n">
        <x:f>MIN(1,(MIN(1,'Иран 2032'!C54+'Иран 2032'!F54+(0.08*LN(1+0.5*'Ход 2032'!C60)*MAX(0,1-('Иран 2032'!C54+'Иран 2032'!F54)))))+(SUMIFS('Эффекты технологий'!$Q$25:$Q$240,'Эффекты технологий'!$C$25:$C$240,$A54,'Эффекты технологий'!$D$25:$D$240,"Прирост")-SUMIFS('Эффекты технологий'!$P$25:$P$240,'Эффекты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6.400000000000001</x:v>
      </x:c>
      <x:c r="J54" s="10" t="n">
        <x:f>SUMIFS('Эффекты технологий'!$Q$25:$Q$240,'Эффекты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2032'!B55+'Иран 2032'!D55+('Иран 2032'!C55+'Иран 2032'!F55+'Иран 2032'!G55)+(0.35*LN(1+0.6*'Ход 2032'!B61)*POWER(MAX(0,1-'Иран 2032'!I55/10),0.7))))</x:f>
        <x:v>6.5500000000000025</x:v>
      </x:c>
      <x:c r="C55" s="3" t="n">
        <x:f>MIN(1,(MIN(1,'Иран 2032'!C55+'Иран 2032'!F55+(0.08*LN(1+0.5*'Ход 2032'!C61)*MAX(0,1-('Иран 2032'!C55+'Иран 2032'!F55)))))+(SUMIFS('Эффекты технологий'!$Q$25:$Q$240,'Эффекты технологий'!$C$25:$C$240,$A55,'Эффекты технологий'!$D$25:$D$240,"Прирост")-SUMIFS('Эффекты технологий'!$P$25:$P$240,'Эффекты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6.5500000000000025</x:v>
      </x:c>
      <x:c r="J55" s="10" t="n">
        <x:f>SUMIFS('Эффекты технологий'!$Q$25:$Q$240,'Эффекты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355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2033'!U6</x:f>
        <x:v>89.06952219322636</x:v>
      </x:c>
      <x:c r="C6" s="3"/>
      <x:c r="D6" s="3"/>
      <x:c r="E6" s="3" t="s">
        <x:v>321</x:v>
      </x:c>
      <x:c r="F6" s="3" t="n">
        <x:f>'Иран 2033'!K6</x:f>
        <x:v>74.12266475453977</x:v>
      </x:c>
      <x:c r="G6" s="3"/>
      <x:c r="H6" s="3"/>
      <x:c r="I6" s="3" t="s">
        <x:v>321</x:v>
      </x:c>
      <x:c r="J6" s="3" t="n">
        <x:f>'Иран 2033'!N6</x:f>
        <x:v>88.29844819957121</x:v>
      </x:c>
      <x:c r="K6" s="3"/>
      <x:c r="L6" s="3"/>
      <x:c r="M6" s="3" t="s">
        <x:v>321</x:v>
      </x:c>
      <x:c r="N6" s="3" t="n">
        <x:f>'Иран 2033'!Q6</x:f>
        <x:v>62.02340228735921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89.06952219322636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74.12266475453977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88.29844819957121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62.02340228735921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2033'!V11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2033'!V12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2033'!V13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2033'!V14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2033'!V15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2033'!V16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2033'!V17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2033'!V18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2033'!V19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2033'!V20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2033'!V21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2033'!V22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технологий'!Q$16</x:f>
        <x:v>0</x:v>
      </x:c>
      <x:c r="H25" s="11" t="n">
        <x:f>'Эффекты технологий'!Q$17</x:f>
        <x:v>0</x:v>
      </x:c>
      <x:c r="I25" s="11" t="n">
        <x:f>'Эффекты технологий'!Q$18</x:f>
        <x:v>0</x:v>
      </x:c>
      <x:c r="J25" s="12"/>
      <x:c r="K25" s="3"/>
      <x:c r="L25" s="3" t="str">
        <x:v>Бразилия</x:v>
      </x:c>
      <x:c r="M25" s="3" t="n">
        <x:f>'Иран 2033'!V23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2033'!V24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2033'!V25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2033'!V26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IF(G29="","",VLOOKUP(G29,Технологии!$A$11:$BF$50,51,FALSE))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IF(G30="","",VLOOKUP(G30,Технологии!$A$11:$BF$50,51,FALSE))</x:f>
      </x:c>
      <x:c r="L30" s="3"/>
      <x:c r="M30" s="3"/>
      <x:c r="N30" s="12" t="s">
        <x:v>340</x:v>
      </x:c>
      <x:c r="O30" s="11" t="n">
        <x:f>'Эффекты технологий'!Q$13</x:f>
        <x:v>0</x:v>
      </x:c>
      <x:c r="P30" s="11" t="n">
        <x:f>'Эффекты технологий'!Q$14</x:f>
        <x:v>0</x:v>
      </x:c>
      <x:c r="Q30" s="11" t="n">
        <x:f>'Эффекты технологий'!Q$15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IF(G31="","",VLOOKUP(G31,Технологии!$A$11:$BF$50,51,FALSE))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IF(G32="","",VLOOKUP(G32,Технологии!$A$11:$BF$50,51,FALSE))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IF(G33="","",VLOOKUP(G33,Технологии!$A$11:$BF$50,51,FALSE))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IF(G34="","",VLOOKUP(G34,Технологии!$A$11:$BF$50,51,FALSE))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IF(G35="","",VLOOKUP(G35,Технологии!$A$11:$BF$50,51,FALSE))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IF(G36="","",VLOOKUP(G36,Технологии!$A$11:$BF$50,51,FALSE))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IF(G37="","",VLOOKUP(G37,Технологии!$A$11:$BF$50,51,FALSE))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IF(G38="","",VLOOKUP(G38,Технологии!$A$11:$BF$50,51,FALSE))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2034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76.13514774973564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89.80455832894454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63.09981288788298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90.00957774617775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2033'!B8+'Иран 2033'!D8+('Иран 2033'!C8+'Иран 2033'!F8+'Иран 2033'!G8)+(0.35*LN(1+0.6*('Ход 2033'!B14*(1+'Эффекты технологий'!Q$12)))*POWER(MAX(0,1-'Иран 2033'!I8/10),0.7))))</x:f>
        <x:v>8.799999999999997</x:v>
      </x:c>
      <x:c r="C8" s="3" t="n">
        <x:f>MIN(1,(MIN(1,'Иран 2033'!C8+'Иран 2033'!F8+(0.08*LN(1+0.5*('Ход 2033'!C14*(1+'Эффекты технологий'!Q$12)))*MAX(0,1-('Иран 2033'!C8+'Иран 2033'!F8)))))+(SUMIFS('Эффекты технологий'!$R$25:$R$240,'Эффекты технологий'!$C$25:$C$240,$A8,'Эффекты технологий'!$D$25:$D$240,"Прирост")-SUMIFS('Эффекты технологий'!$Q$25:$Q$240,'Эффекты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8.799999999999997</x:v>
      </x:c>
      <x:c r="J8" s="10" t="n">
        <x:f>SUMIFS('Эффекты технологий'!$R$25:$R$240,'Эффекты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2033'!B9+'Иран 2033'!D9+('Иран 2033'!C9+'Иран 2033'!F9+'Иран 2033'!G9)+(0.35*LN(1+0.6*('Ход 2033'!B15*(1+'Эффекты технологий'!Q$12)))*POWER(MAX(0,1-'Иран 2033'!I9/10),0.7))))</x:f>
        <x:v>7.799999999999997</x:v>
      </x:c>
      <x:c r="C9" s="3" t="n">
        <x:f>MIN(1,(MIN(1,'Иран 2033'!C9+'Иран 2033'!F9+(0.08*LN(1+0.5*('Ход 2033'!C15*(1+'Эффекты технологий'!Q$12)))*MAX(0,1-('Иран 2033'!C9+'Иран 2033'!F9)))))+(SUMIFS('Эффекты технологий'!$R$25:$R$240,'Эффекты технологий'!$C$25:$C$240,$A9,'Эффекты технологий'!$D$25:$D$240,"Прирост")-SUMIFS('Эффекты технологий'!$Q$25:$Q$240,'Эффекты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7.799999999999997</x:v>
      </x:c>
      <x:c r="J9" s="10" t="n">
        <x:f>SUMIFS('Эффекты технологий'!$R$25:$R$240,'Эффекты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2033'!B10+'Иран 2033'!D10+('Иран 2033'!C10+'Иран 2033'!F10+'Иран 2033'!G10)+(0.35*LN(1+0.6*('Ход 2033'!B16*(1+'Эффекты технологий'!Q$12)))*POWER(MAX(0,1-'Иран 2033'!I10/10),0.7))))</x:f>
        <x:v>9.900000000000006</x:v>
      </x:c>
      <x:c r="C10" s="3" t="n">
        <x:f>MIN(1,(MIN(1,'Иран 2033'!C10+'Иран 2033'!F10+(0.08*LN(1+0.5*('Ход 2033'!C16*(1+'Эффекты технологий'!Q$12)))*MAX(0,1-('Иран 2033'!C10+'Иран 2033'!F10)))))+(SUMIFS('Эффекты технологий'!$R$25:$R$240,'Эффекты технологий'!$C$25:$C$240,$A10,'Эффекты технологий'!$D$25:$D$240,"Прирост")-SUMIFS('Эффекты технологий'!$Q$25:$Q$240,'Эффекты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9.900000000000006</x:v>
      </x:c>
      <x:c r="J10" s="10" t="n">
        <x:f>SUMIFS('Эффекты технологий'!$R$25:$R$240,'Эффекты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2033'!B11+'Иран 2033'!D11+('Иран 2033'!C11+'Иран 2033'!F11+'Иран 2033'!G11)+(0.35*LN(1+0.6*('Ход 2033'!B17*(1+'Эффекты технологий'!Q$12)))*POWER(MAX(0,1-'Иран 2033'!I11/10),0.7))))</x:f>
        <x:v>3.8999999999999986</x:v>
      </x:c>
      <x:c r="C11" s="3" t="n">
        <x:f>MIN(1,(MIN(1,'Иран 2033'!C11+'Иран 2033'!F11+(0.08*LN(1+0.5*('Ход 2033'!C17*(1+'Эффекты технологий'!Q$12)))*MAX(0,1-('Иран 2033'!C11+'Иран 2033'!F11)))))+(SUMIFS('Эффекты технологий'!$R$25:$R$240,'Эффекты технологий'!$C$25:$C$240,$A11,'Эффекты технологий'!$D$25:$D$240,"Прирост")-SUMIFS('Эффекты технологий'!$Q$25:$Q$240,'Эффекты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3.8999999999999986</x:v>
      </x:c>
      <x:c r="J11" s="10" t="n">
        <x:f>SUMIFS('Эффекты технологий'!$R$25:$R$240,'Эффекты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2033'!L11+'Иран 2033'!N11+('Иран 2033'!M11+'Иран 2033'!P11+'Иран 2033'!Q11)))</x:f>
        <x:v>7.5</x:v>
      </x:c>
      <x:c r="M11" s="3" t="n">
        <x:f>MIN(1,(MIN(1,'Иран 2033'!M11+'Иран 2033'!P11+(0.1*LN(1+0.5*('Ход 2033'!H13*(1+'Эффекты технологий'!Q$10)))*POWER(MAX(0,1-'Иран 2033'!S11/10),0.8))))+(SUMIFS('Эффекты технологий'!$R$25:$R$240,'Эффекты технологий'!$C$25:$C$240,$K11,'Эффекты технологий'!$D$25:$D$240,"Прирост")-SUMIFS('Эффекты технологий'!$Q$25:$Q$240,'Эффекты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7.5</x:v>
      </x:c>
      <x:c r="T11" s="10" t="n">
        <x:f>SUMIFS('Эффекты технологий'!$R$25:$R$240,'Эффекты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2033'!V11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2033'!B12+'Иран 2033'!D12+('Иран 2033'!C12+'Иран 2033'!F12+'Иран 2033'!G12)+(0.35*LN(1+0.6*('Ход 2033'!B18*(1+'Эффекты технологий'!Q$12)))*POWER(MAX(0,1-'Иран 2033'!I12/10),0.7))))</x:f>
        <x:v>8.400000000000006</x:v>
      </x:c>
      <x:c r="C12" s="3" t="n">
        <x:f>MIN(1,(MIN(1,'Иран 2033'!C12+'Иран 2033'!F12+(0.08*LN(1+0.5*('Ход 2033'!C18*(1+'Эффекты технологий'!Q$12)))*MAX(0,1-('Иран 2033'!C12+'Иран 2033'!F12)))))+(SUMIFS('Эффекты технологий'!$R$25:$R$240,'Эффекты технологий'!$C$25:$C$240,$A12,'Эффекты технологий'!$D$25:$D$240,"Прирост")-SUMIFS('Эффекты технологий'!$Q$25:$Q$240,'Эффекты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8.400000000000006</x:v>
      </x:c>
      <x:c r="J12" s="10" t="n">
        <x:f>SUMIFS('Эффекты технологий'!$R$25:$R$240,'Эффекты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2033'!L12+'Иран 2033'!N12+('Иран 2033'!M12+'Иран 2033'!P12+'Иран 2033'!Q12)))</x:f>
        <x:v>7.5</x:v>
      </x:c>
      <x:c r="M12" s="3" t="n">
        <x:f>MIN(1,(MIN(1,'Иран 2033'!M12+'Иран 2033'!P12+(0.1*LN(1+0.5*('Ход 2033'!H14*(1+'Эффекты технологий'!Q$10)))*POWER(MAX(0,1-'Иран 2033'!S12/10),0.8))))+(SUMIFS('Эффекты технологий'!$R$25:$R$240,'Эффекты технологий'!$C$25:$C$240,$K12,'Эффекты технологий'!$D$25:$D$240,"Прирост")-SUMIFS('Эффекты технологий'!$Q$25:$Q$240,'Эффекты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7.5</x:v>
      </x:c>
      <x:c r="T12" s="10" t="n">
        <x:f>SUMIFS('Эффекты технологий'!$R$25:$R$240,'Эффекты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2033'!V12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2033'!B13+'Иран 2033'!D13+('Иран 2033'!C13+'Иран 2033'!F13+'Иран 2033'!G13)+(0.35*LN(1+0.6*('Ход 2033'!B19*(1+'Эффекты технологий'!Q$12)))*POWER(MAX(0,1-'Иран 2033'!I13/10),0.7))))</x:f>
        <x:v>3.6000000000000014</x:v>
      </x:c>
      <x:c r="C13" s="3" t="n">
        <x:f>MIN(1,(MIN(1,'Иран 2033'!C13+'Иран 2033'!F13+(0.08*LN(1+0.5*('Ход 2033'!C19*(1+'Эффекты технологий'!Q$12)))*MAX(0,1-('Иран 2033'!C13+'Иран 2033'!F13)))))+(SUMIFS('Эффекты технологий'!$R$25:$R$240,'Эффекты технологий'!$C$25:$C$240,$A13,'Эффекты технологий'!$D$25:$D$240,"Прирост")-SUMIFS('Эффекты технологий'!$Q$25:$Q$240,'Эффекты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3.6000000000000014</x:v>
      </x:c>
      <x:c r="J13" s="10" t="n">
        <x:f>SUMIFS('Эффекты технологий'!$R$25:$R$240,'Эффекты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2033'!L13+'Иран 2033'!N13+('Иран 2033'!M13+'Иран 2033'!P13+'Иран 2033'!Q13)))</x:f>
        <x:v>8.599999999999998</x:v>
      </x:c>
      <x:c r="M13" s="3" t="n">
        <x:f>MIN(1,(MIN(1,'Иран 2033'!M13+'Иран 2033'!P13+(0.1*LN(1+0.5*('Ход 2033'!H15*(1+'Эффекты технологий'!Q$10)))*POWER(MAX(0,1-'Иран 2033'!S13/10),0.8))))+(SUMIFS('Эффекты технологий'!$R$25:$R$240,'Эффекты технологий'!$C$25:$C$240,$K13,'Эффекты технологий'!$D$25:$D$240,"Прирост")-SUMIFS('Эффекты технологий'!$Q$25:$Q$240,'Эффекты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8.599999999999998</x:v>
      </x:c>
      <x:c r="T13" s="10" t="n">
        <x:f>SUMIFS('Эффекты технологий'!$R$25:$R$240,'Эффекты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2033'!V13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2033'!B14+'Иран 2033'!D14+('Иран 2033'!C14+'Иран 2033'!F14+'Иран 2033'!G14)+(0.35*LN(1+0.6*('Ход 2033'!B20*(1+'Эффекты технологий'!Q$12)))*POWER(MAX(0,1-'Иран 2033'!I14/10),0.7))))</x:f>
        <x:v>4.600000000000001</x:v>
      </x:c>
      <x:c r="C14" s="3" t="n">
        <x:f>MIN(1,(MIN(1,'Иран 2033'!C14+'Иран 2033'!F14+(0.08*LN(1+0.5*('Ход 2033'!C20*(1+'Эффекты технологий'!Q$12)))*MAX(0,1-('Иран 2033'!C14+'Иран 2033'!F14)))))+(SUMIFS('Эффекты технологий'!$R$25:$R$240,'Эффекты технологий'!$C$25:$C$240,$A14,'Эффекты технологий'!$D$25:$D$240,"Прирост")-SUMIFS('Эффекты технологий'!$Q$25:$Q$240,'Эффекты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4.600000000000001</x:v>
      </x:c>
      <x:c r="J14" s="10" t="n">
        <x:f>SUMIFS('Эффекты технологий'!$R$25:$R$240,'Эффекты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2033'!L14+'Иран 2033'!N14+('Иран 2033'!M14+'Иран 2033'!P14+'Иран 2033'!Q14)))</x:f>
        <x:v>8.5</x:v>
      </x:c>
      <x:c r="M14" s="3" t="n">
        <x:f>MIN(1,(MIN(1,'Иран 2033'!M14+'Иран 2033'!P14+(0.1*LN(1+0.5*('Ход 2033'!H16*(1+'Эффекты технологий'!Q$10)))*POWER(MAX(0,1-'Иран 2033'!S14/10),0.8))))+(SUMIFS('Эффекты технологий'!$R$25:$R$240,'Эффекты технологий'!$C$25:$C$240,$K14,'Эффекты технологий'!$D$25:$D$240,"Прирост")-SUMIFS('Эффекты технологий'!$Q$25:$Q$240,'Эффекты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8.5</x:v>
      </x:c>
      <x:c r="T14" s="10" t="n">
        <x:f>SUMIFS('Эффекты технологий'!$R$25:$R$240,'Эффекты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2033'!V14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2033'!B15+'Иран 2033'!D15+('Иран 2033'!C15+'Иран 2033'!F15+'Иран 2033'!G15)+(0.35*LN(1+0.6*('Ход 2033'!B21*(1+'Эффекты технологий'!Q$12)))*POWER(MAX(0,1-'Иран 2033'!I15/10),0.7))))</x:f>
        <x:v>6.5</x:v>
      </x:c>
      <x:c r="C15" s="3" t="n">
        <x:f>MIN(1,(MIN(1,'Иран 2033'!C15+'Иран 2033'!F15+(0.08*LN(1+0.5*('Ход 2033'!C21*(1+'Эффекты технологий'!Q$12)))*MAX(0,1-('Иран 2033'!C15+'Иран 2033'!F15)))))+(SUMIFS('Эффекты технологий'!$R$25:$R$240,'Эффекты технологий'!$C$25:$C$240,$A15,'Эффекты технологий'!$D$25:$D$240,"Прирост")-SUMIFS('Эффекты технологий'!$Q$25:$Q$240,'Эффекты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6.5</x:v>
      </x:c>
      <x:c r="J15" s="10" t="n">
        <x:f>SUMIFS('Эффекты технологий'!$R$25:$R$240,'Эффекты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2033'!L15+'Иран 2033'!N15+('Иран 2033'!M15+'Иран 2033'!P15+'Иран 2033'!Q15)))</x:f>
        <x:v>8.599999999999998</x:v>
      </x:c>
      <x:c r="M15" s="3" t="n">
        <x:f>MIN(1,(MIN(1,'Иран 2033'!M15+'Иран 2033'!P15+(0.1*LN(1+0.5*('Ход 2033'!H17*(1+'Эффекты технологий'!Q$10)))*POWER(MAX(0,1-'Иран 2033'!S15/10),0.8))))+(SUMIFS('Эффекты технологий'!$R$25:$R$240,'Эффекты технологий'!$C$25:$C$240,$K15,'Эффекты технологий'!$D$25:$D$240,"Прирост")-SUMIFS('Эффекты технологий'!$Q$25:$Q$240,'Эффекты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8.599999999999998</x:v>
      </x:c>
      <x:c r="T15" s="10" t="n">
        <x:f>SUMIFS('Эффекты технологий'!$R$25:$R$240,'Эффекты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2033'!V15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2033'!B16+'Иран 2033'!D16+('Иран 2033'!C16+'Иран 2033'!F16+'Иран 2033'!G16)+(0.35*LN(1+0.6*('Ход 2033'!B22*(1+'Эффекты технологий'!Q$12)))*POWER(MAX(0,1-'Иран 2033'!I16/10),0.7))))</x:f>
        <x:v>7.100000000000001</x:v>
      </x:c>
      <x:c r="C16" s="3" t="n">
        <x:f>MIN(1,(MIN(1,'Иран 2033'!C16+'Иран 2033'!F16+(0.08*LN(1+0.5*('Ход 2033'!C22*(1+'Эффекты технологий'!Q$12)))*MAX(0,1-('Иран 2033'!C16+'Иран 2033'!F16)))))+(SUMIFS('Эффекты технологий'!$R$25:$R$240,'Эффекты технологий'!$C$25:$C$240,$A16,'Эффекты технологий'!$D$25:$D$240,"Прирост")-SUMIFS('Эффекты технологий'!$Q$25:$Q$240,'Эффекты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7.100000000000001</x:v>
      </x:c>
      <x:c r="J16" s="10" t="n">
        <x:f>SUMIFS('Эффекты технологий'!$R$25:$R$240,'Эффекты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2033'!L16+'Иран 2033'!N16+('Иран 2033'!M16+'Иран 2033'!P16+'Иран 2033'!Q16)))</x:f>
        <x:v>7.5</x:v>
      </x:c>
      <x:c r="M16" s="3" t="n">
        <x:f>MIN(1,(MIN(1,'Иран 2033'!M16+'Иран 2033'!P16+(0.1*LN(1+0.5*('Ход 2033'!H18*(1+'Эффекты технологий'!Q$10)))*POWER(MAX(0,1-'Иран 2033'!S16/10),0.8))))+(SUMIFS('Эффекты технологий'!$R$25:$R$240,'Эффекты технологий'!$C$25:$C$240,$K16,'Эффекты технологий'!$D$25:$D$240,"Прирост")-SUMIFS('Эффекты технологий'!$Q$25:$Q$240,'Эффекты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7.5</x:v>
      </x:c>
      <x:c r="T16" s="10" t="n">
        <x:f>SUMIFS('Эффекты технологий'!$R$25:$R$240,'Эффекты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2033'!V16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2033'!B17+'Иран 2033'!D17+('Иран 2033'!C17+'Иран 2033'!F17+'Иран 2033'!G17)+(0.35*LN(1+0.6*('Ход 2033'!B23*(1+'Эффекты технологий'!Q$12)))*POWER(MAX(0,1-'Иран 2033'!I17/10),0.7))))</x:f>
        <x:v>6.200000000000003</x:v>
      </x:c>
      <x:c r="C17" s="3" t="n">
        <x:f>MIN(1,(MIN(1,'Иран 2033'!C17+'Иран 2033'!F17+(0.08*LN(1+0.5*('Ход 2033'!C23*(1+'Эффекты технологий'!Q$12)))*MAX(0,1-('Иран 2033'!C17+'Иран 2033'!F17)))))+(SUMIFS('Эффекты технологий'!$R$25:$R$240,'Эффекты технологий'!$C$25:$C$240,$A17,'Эффекты технологий'!$D$25:$D$240,"Прирост")-SUMIFS('Эффекты технологий'!$Q$25:$Q$240,'Эффекты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6.200000000000003</x:v>
      </x:c>
      <x:c r="J17" s="10" t="n">
        <x:f>SUMIFS('Эффекты технологий'!$R$25:$R$240,'Эффекты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2033'!L17+'Иран 2033'!N17+('Иран 2033'!M17+'Иран 2033'!P17+'Иран 2033'!Q17)))</x:f>
        <x:v>8.5</x:v>
      </x:c>
      <x:c r="M17" s="3" t="n">
        <x:f>MIN(1,(MIN(1,'Иран 2033'!M17+'Иран 2033'!P17+(0.1*LN(1+0.5*('Ход 2033'!H19*(1+'Эффекты технологий'!Q$10)))*POWER(MAX(0,1-'Иран 2033'!S17/10),0.8))))+(SUMIFS('Эффекты технологий'!$R$25:$R$240,'Эффекты технологий'!$C$25:$C$240,$K17,'Эффекты технологий'!$D$25:$D$240,"Прирост")-SUMIFS('Эффекты технологий'!$Q$25:$Q$240,'Эффекты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8.5</x:v>
      </x:c>
      <x:c r="T17" s="10" t="n">
        <x:f>SUMIFS('Эффекты технологий'!$R$25:$R$240,'Эффекты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2033'!V17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2033'!L18+'Иран 2033'!N18+('Иран 2033'!M18+'Иран 2033'!P18+'Иран 2033'!Q18)))</x:f>
        <x:v>8.5</x:v>
      </x:c>
      <x:c r="M18" s="3" t="n">
        <x:f>MIN(1,(MIN(1,'Иран 2033'!M18+'Иран 2033'!P18+(0.1*LN(1+0.5*('Ход 2033'!H20*(1+'Эффекты технологий'!Q$10)))*POWER(MAX(0,1-'Иран 2033'!S18/10),0.8))))+(SUMIFS('Эффекты технологий'!$R$25:$R$240,'Эффекты технологий'!$C$25:$C$240,$K18,'Эффекты технологий'!$D$25:$D$240,"Прирост")-SUMIFS('Эффекты технологий'!$Q$25:$Q$240,'Эффекты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8.5</x:v>
      </x:c>
      <x:c r="T18" s="10" t="n">
        <x:f>SUMIFS('Эффекты технологий'!$R$25:$R$240,'Эффекты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2033'!V18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2033'!B19+'Иран 2033'!D19+('Иран 2033'!C19+'Иран 2033'!F19+'Иран 2033'!G19)+(0.35*LN(1+0.6*'Ход 2033'!B25)*POWER(MAX(0,1-'Иран 2033'!I19/10),0.7))))</x:f>
        <x:v>7.100000000000001</x:v>
      </x:c>
      <x:c r="C19" s="3" t="n">
        <x:f>MIN(1,(MIN(1,'Иран 2033'!C19+'Иран 2033'!F19+(0.08*LN(1+0.5*'Ход 2033'!C25)*MAX(0,1-('Иран 2033'!C19+'Иран 2033'!F19)))))+(SUMIFS('Эффекты технологий'!$R$25:$R$240,'Эффекты технологий'!$C$25:$C$240,$A19,'Эффекты технологий'!$D$25:$D$240,"Прирост")-SUMIFS('Эффекты технологий'!$Q$25:$Q$240,'Эффекты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7.100000000000001</x:v>
      </x:c>
      <x:c r="J19" s="10" t="n">
        <x:f>SUMIFS('Эффекты технологий'!$R$25:$R$240,'Эффекты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2033'!V19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2033'!B20+'Иран 2033'!D20+('Иран 2033'!C20+'Иран 2033'!F20+'Иран 2033'!G20)+(0.35*LN(1+0.6*'Ход 2033'!B26)*POWER(MAX(0,1-'Иран 2033'!I20/10),0.7))))</x:f>
        <x:v>7.5</x:v>
      </x:c>
      <x:c r="C20" s="3" t="n">
        <x:f>MIN(1,(MIN(1,'Иран 2033'!C20+'Иран 2033'!F20+(0.08*LN(1+0.5*'Ход 2033'!C26)*MAX(0,1-('Иран 2033'!C20+'Иран 2033'!F20)))))+(SUMIFS('Эффекты технологий'!$R$25:$R$240,'Эффекты технологий'!$C$25:$C$240,$A20,'Эффекты технологий'!$D$25:$D$240,"Прирост")-SUMIFS('Эффекты технологий'!$Q$25:$Q$240,'Эффекты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7.5</x:v>
      </x:c>
      <x:c r="J20" s="10" t="n">
        <x:f>SUMIFS('Эффекты технологий'!$R$25:$R$240,'Эффекты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2033'!V20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2033'!B21+'Иран 2033'!D21+('Иран 2033'!C21+'Иран 2033'!F21+'Иран 2033'!G21)+(0.35*LN(1+0.6*'Ход 2033'!B27)*POWER(MAX(0,1-'Иран 2033'!I21/10),0.7))))</x:f>
        <x:v>6.600000000000001</x:v>
      </x:c>
      <x:c r="C21" s="3" t="n">
        <x:f>MIN(1,(MIN(1,'Иран 2033'!C21+'Иран 2033'!F21+(0.08*LN(1+0.5*'Ход 2033'!C27)*MAX(0,1-('Иран 2033'!C21+'Иран 2033'!F21)))))+(SUMIFS('Эффекты технологий'!$R$25:$R$240,'Эффекты технологий'!$C$25:$C$240,$A21,'Эффекты технологий'!$D$25:$D$240,"Прирост")-SUMIFS('Эффекты технологий'!$Q$25:$Q$240,'Эффекты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6.600000000000001</x:v>
      </x:c>
      <x:c r="J21" s="10" t="n">
        <x:f>SUMIFS('Эффекты технологий'!$R$25:$R$240,'Эффекты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2033'!V21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2033'!B22+'Иран 2033'!D22+('Иран 2033'!C22+'Иран 2033'!F22+'Иран 2033'!G22)+(0.35*LN(1+0.6*'Ход 2033'!B28)*POWER(MAX(0,1-'Иран 2033'!I22/10),0.7))))</x:f>
        <x:v>8.799999999999997</x:v>
      </x:c>
      <x:c r="C22" s="3" t="n">
        <x:f>MIN(1,(MIN(1,'Иран 2033'!C22+'Иран 2033'!F22+(0.08*LN(1+0.5*'Ход 2033'!C28)*MAX(0,1-('Иран 2033'!C22+'Иран 2033'!F22)))))+(SUMIFS('Эффекты технологий'!$R$25:$R$240,'Эффекты технологий'!$C$25:$C$240,$A22,'Эффекты технологий'!$D$25:$D$240,"Прирост")-SUMIFS('Эффекты технологий'!$Q$25:$Q$240,'Эффекты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8.799999999999997</x:v>
      </x:c>
      <x:c r="J22" s="10" t="n">
        <x:f>SUMIFS('Эффекты технологий'!$R$25:$R$240,'Эффекты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2033'!V22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2033'!B23+'Иран 2033'!D23+('Иран 2033'!C23+'Иран 2033'!F23+'Иран 2033'!G23)+(0.35*LN(1+0.6*'Ход 2033'!B29)*POWER(MAX(0,1-'Иран 2033'!I23/10),0.7))))</x:f>
        <x:v>8.100000000000001</x:v>
      </x:c>
      <x:c r="C23" s="3" t="n">
        <x:f>MIN(1,(MIN(1,'Иран 2033'!C23+'Иран 2033'!F23+(0.08*LN(1+0.5*'Ход 2033'!C29)*MAX(0,1-('Иран 2033'!C23+'Иран 2033'!F23)))))+(SUMIFS('Эффекты технологий'!$R$25:$R$240,'Эффекты технологий'!$C$25:$C$240,$A23,'Эффекты технологий'!$D$25:$D$240,"Прирост")-SUMIFS('Эффекты технологий'!$Q$25:$Q$240,'Эффекты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8.100000000000001</x:v>
      </x:c>
      <x:c r="J23" s="10" t="n">
        <x:f>SUMIFS('Эффекты технологий'!$R$25:$R$240,'Эффекты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2033'!V23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2033'!V24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2033'!B25+'Иран 2033'!D25+('Иран 2033'!C25+'Иран 2033'!F25+'Иран 2033'!G25)+(0.35*LN(1+0.6*'Ход 2033'!B31)*POWER(MAX(0,1-'Иран 2033'!I25/10),0.7))))</x:f>
        <x:v>7.799999999999997</x:v>
      </x:c>
      <x:c r="C25" s="3" t="n">
        <x:f>MIN(1,(MIN(1,'Иран 2033'!C25+'Иран 2033'!F25+(0.08*LN(1+0.5*'Ход 2033'!C31)*MAX(0,1-('Иран 2033'!C25+'Иран 2033'!F25)))))+(SUMIFS('Эффекты технологий'!$R$25:$R$240,'Эффекты технологий'!$C$25:$C$240,$A25,'Эффекты технологий'!$D$25:$D$240,"Прирост")-SUMIFS('Эффекты технологий'!$Q$25:$Q$240,'Эффекты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7.799999999999997</x:v>
      </x:c>
      <x:c r="J25" s="10" t="n">
        <x:f>SUMIFS('Эффекты технологий'!$R$25:$R$240,'Эффекты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2033'!V25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2033'!B26+'Иран 2033'!D26+('Иран 2033'!C26+'Иран 2033'!F26+'Иран 2033'!G26)+(0.35*LN(1+0.6*'Ход 2033'!B32)*POWER(MAX(0,1-'Иран 2033'!I26/10),0.7))))</x:f>
        <x:v>7.100000000000001</x:v>
      </x:c>
      <x:c r="C26" s="3" t="n">
        <x:f>MIN(1,(MIN(1,'Иран 2033'!C26+'Иран 2033'!F26+(0.08*LN(1+0.5*'Ход 2033'!C32)*MAX(0,1-('Иран 2033'!C26+'Иран 2033'!F26)))))+(SUMIFS('Эффекты технологий'!$R$25:$R$240,'Эффекты технологий'!$C$25:$C$240,$A26,'Эффекты технологий'!$D$25:$D$240,"Прирост")-SUMIFS('Эффекты технологий'!$Q$25:$Q$240,'Эффекты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7.100000000000001</x:v>
      </x:c>
      <x:c r="J26" s="10" t="n">
        <x:f>SUMIFS('Эффекты технологий'!$R$25:$R$240,'Эффекты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2033'!V26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2033'!B27+'Иран 2033'!D27+('Иран 2033'!C27+'Иран 2033'!F27+'Иран 2033'!G27)+(0.35*LN(1+0.6*'Ход 2033'!B33)*POWER(MAX(0,1-'Иран 2033'!I27/10),0.7))))</x:f>
        <x:v>7.200000000000003</x:v>
      </x:c>
      <x:c r="C27" s="3" t="n">
        <x:f>MIN(1,(MIN(1,'Иран 2033'!C27+'Иран 2033'!F27+(0.08*LN(1+0.5*'Ход 2033'!C33)*MAX(0,1-('Иран 2033'!C27+'Иран 2033'!F27)))))+(SUMIFS('Эффекты технологий'!$R$25:$R$240,'Эффекты технологий'!$C$25:$C$240,$A27,'Эффекты технологий'!$D$25:$D$240,"Прирост")-SUMIFS('Эффекты технологий'!$Q$25:$Q$240,'Эффекты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7.200000000000003</x:v>
      </x:c>
      <x:c r="J27" s="10" t="n">
        <x:f>SUMIFS('Эффекты технологий'!$R$25:$R$240,'Эффекты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2033'!B28+'Иран 2033'!D28+('Иран 2033'!C28+'Иран 2033'!F28+'Иран 2033'!G28)+(0.35*LN(1+0.6*'Ход 2033'!B34)*POWER(MAX(0,1-'Иран 2033'!I28/10),0.7))))</x:f>
        <x:v>7.100000000000001</x:v>
      </x:c>
      <x:c r="C28" s="3" t="n">
        <x:f>MIN(1,(MIN(1,'Иран 2033'!C28+'Иран 2033'!F28+(0.08*LN(1+0.5*'Ход 2033'!C34)*MAX(0,1-('Иран 2033'!C28+'Иран 2033'!F28)))))+(SUMIFS('Эффекты технологий'!$R$25:$R$240,'Эффекты технологий'!$C$25:$C$240,$A28,'Эффекты технологий'!$D$25:$D$240,"Прирост")-SUMIFS('Эффекты технологий'!$Q$25:$Q$240,'Эффекты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7.100000000000001</x:v>
      </x:c>
      <x:c r="J28" s="10" t="n">
        <x:f>SUMIFS('Эффекты технологий'!$R$25:$R$240,'Эффекты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2033'!B29+'Иран 2033'!D29+('Иран 2033'!C29+'Иран 2033'!F29+'Иран 2033'!G29)+(0.35*LN(1+0.6*'Ход 2033'!B35)*POWER(MAX(0,1-'Иран 2033'!I29/10),0.7))))</x:f>
        <x:v>7.100000000000001</x:v>
      </x:c>
      <x:c r="C29" s="3" t="n">
        <x:f>MIN(1,(MIN(1,'Иран 2033'!C29+'Иран 2033'!F29+(0.08*LN(1+0.5*'Ход 2033'!C35)*MAX(0,1-('Иран 2033'!C29+'Иран 2033'!F29)))))+(SUMIFS('Эффекты технологий'!$R$25:$R$240,'Эффекты технологий'!$C$25:$C$240,$A29,'Эффекты технологий'!$D$25:$D$240,"Прирост")-SUMIFS('Эффекты технологий'!$Q$25:$Q$240,'Эффекты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7.100000000000001</x:v>
      </x:c>
      <x:c r="J29" s="10" t="n">
        <x:f>SUMIFS('Эффекты технологий'!$R$25:$R$240,'Эффекты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2033'!B30+'Иран 2033'!D30+('Иран 2033'!C30+'Иран 2033'!F30+'Иран 2033'!G30)+(0.35*LN(1+0.6*'Ход 2033'!B36)*POWER(MAX(0,1-'Иран 2033'!I30/10),0.7))))</x:f>
        <x:v>6.700000000000003</x:v>
      </x:c>
      <x:c r="C30" s="3" t="n">
        <x:f>MIN(1,(MIN(1,'Иран 2033'!C30+'Иран 2033'!F30+(0.08*LN(1+0.5*'Ход 2033'!C36)*MAX(0,1-('Иран 2033'!C30+'Иран 2033'!F30)))))+(SUMIFS('Эффекты технологий'!$R$25:$R$240,'Эффекты технологий'!$C$25:$C$240,$A30,'Эффекты технологий'!$D$25:$D$240,"Прирост")-SUMIFS('Эффекты технологий'!$Q$25:$Q$240,'Эффекты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6.700000000000003</x:v>
      </x:c>
      <x:c r="J30" s="10" t="n">
        <x:f>SUMIFS('Эффекты технологий'!$R$25:$R$240,'Эффекты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2033'!B31+'Иран 2033'!D31+('Иран 2033'!C31+'Иран 2033'!F31+'Иран 2033'!G31)+(0.35*LN(1+0.6*'Ход 2033'!B37)*POWER(MAX(0,1-'Иран 2033'!I31/10),0.7))))</x:f>
        <x:v>6.700000000000003</x:v>
      </x:c>
      <x:c r="C31" s="3" t="n">
        <x:f>MIN(1,(MIN(1,'Иран 2033'!C31+'Иран 2033'!F31+(0.08*LN(1+0.5*'Ход 2033'!C37)*MAX(0,1-('Иран 2033'!C31+'Иран 2033'!F31)))))+(SUMIFS('Эффекты технологий'!$R$25:$R$240,'Эффекты технологий'!$C$25:$C$240,$A31,'Эффекты технологий'!$D$25:$D$240,"Прирост")-SUMIFS('Эффекты технологий'!$Q$25:$Q$240,'Эффекты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6.700000000000003</x:v>
      </x:c>
      <x:c r="J31" s="10" t="n">
        <x:f>SUMIFS('Эффекты технологий'!$R$25:$R$240,'Эффекты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2033'!B32+'Иран 2033'!D32+('Иран 2033'!C32+'Иран 2033'!F32+'Иран 2033'!G32)+(0.35*LN(1+0.6*'Ход 2033'!B38)*POWER(MAX(0,1-'Иран 2033'!I32/10),0.7))))</x:f>
        <x:v>9.099999999999996</x:v>
      </x:c>
      <x:c r="C32" s="3" t="n">
        <x:f>MIN(1,(MIN(1,'Иран 2033'!C32+'Иран 2033'!F32+(0.08*LN(1+0.5*'Ход 2033'!C38)*MAX(0,1-('Иран 2033'!C32+'Иран 2033'!F32)))))+(SUMIFS('Эффекты технологий'!$R$25:$R$240,'Эффекты технологий'!$C$25:$C$240,$A32,'Эффекты технологий'!$D$25:$D$240,"Прирост")-SUMIFS('Эффекты технологий'!$Q$25:$Q$240,'Эффекты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9.099999999999996</x:v>
      </x:c>
      <x:c r="J32" s="10" t="n">
        <x:f>SUMIFS('Эффекты технологий'!$R$25:$R$240,'Эффекты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2033'!B34+'Иран 2033'!D34+('Иран 2033'!C34+'Иран 2033'!F34+'Иран 2033'!G34)+(0.35*LN(1+0.6*'Ход 2033'!B40)*POWER(MAX(0,1-'Иран 2033'!I34/10),0.7))))</x:f>
        <x:v>9.099999999999996</x:v>
      </x:c>
      <x:c r="C34" s="3" t="n">
        <x:f>MIN(1,(MIN(1,'Иран 2033'!C34+'Иран 2033'!F34+(0.08*LN(1+0.5*'Ход 2033'!C40)*MAX(0,1-('Иран 2033'!C34+'Иран 2033'!F34)))))+(SUMIFS('Эффекты технологий'!$R$25:$R$240,'Эффекты технологий'!$C$25:$C$240,$A34,'Эффекты технологий'!$D$25:$D$240,"Прирост")-SUMIFS('Эффекты технологий'!$Q$25:$Q$240,'Эффекты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9.099999999999996</x:v>
      </x:c>
      <x:c r="J34" s="10" t="n">
        <x:f>SUMIFS('Эффекты технологий'!$R$25:$R$240,'Эффекты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2033'!B35+'Иран 2033'!D35+('Иран 2033'!C35+'Иран 2033'!F35+'Иран 2033'!G35)+(0.35*LN(1+0.6*'Ход 2033'!B41)*POWER(MAX(0,1-'Иран 2033'!I35/10),0.7))))</x:f>
        <x:v>8.799999999999997</x:v>
      </x:c>
      <x:c r="C35" s="3" t="n">
        <x:f>MIN(1,(MIN(1,'Иран 2033'!C35+'Иран 2033'!F35+(0.08*LN(1+0.5*'Ход 2033'!C41)*MAX(0,1-('Иран 2033'!C35+'Иран 2033'!F35)))))+(SUMIFS('Эффекты технологий'!$R$25:$R$240,'Эффекты технологий'!$C$25:$C$240,$A35,'Эффекты технологий'!$D$25:$D$240,"Прирост")-SUMIFS('Эффекты технологий'!$Q$25:$Q$240,'Эффекты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8.799999999999997</x:v>
      </x:c>
      <x:c r="J35" s="10" t="n">
        <x:f>SUMIFS('Эффекты технологий'!$R$25:$R$240,'Эффекты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2033'!B36+'Иран 2033'!D36+('Иран 2033'!C36+'Иран 2033'!F36+'Иран 2033'!G36)+(0.35*LN(1+0.6*'Ход 2033'!B42)*POWER(MAX(0,1-'Иран 2033'!I36/10),0.7))))</x:f>
        <x:v>8.100000000000001</x:v>
      </x:c>
      <x:c r="C36" s="3" t="n">
        <x:f>MIN(1,(MIN(1,'Иран 2033'!C36+'Иран 2033'!F36+(0.08*LN(1+0.5*'Ход 2033'!C42)*MAX(0,1-('Иран 2033'!C36+'Иран 2033'!F36)))))+(SUMIFS('Эффекты технологий'!$R$25:$R$240,'Эффекты технологий'!$C$25:$C$240,$A36,'Эффекты технологий'!$D$25:$D$240,"Прирост")-SUMIFS('Эффекты технологий'!$Q$25:$Q$240,'Эффекты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8.100000000000001</x:v>
      </x:c>
      <x:c r="J36" s="10" t="n">
        <x:f>SUMIFS('Эффекты технологий'!$R$25:$R$240,'Эффекты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2033'!B37+'Иран 2033'!D37+('Иран 2033'!C37+'Иран 2033'!F37+'Иран 2033'!G37)+(0.35*LN(1+0.6*'Ход 2033'!B43)*POWER(MAX(0,1-'Иран 2033'!I37/10),0.7))))</x:f>
        <x:v>6.600000000000001</x:v>
      </x:c>
      <x:c r="C37" s="3" t="n">
        <x:f>MIN(1,(MIN(1,'Иран 2033'!C37+'Иран 2033'!F37+(0.08*LN(1+0.5*'Ход 2033'!C43)*MAX(0,1-('Иран 2033'!C37+'Иран 2033'!F37)))))+(SUMIFS('Эффекты технологий'!$R$25:$R$240,'Эффекты технологий'!$C$25:$C$240,$A37,'Эффекты технологий'!$D$25:$D$240,"Прирост")-SUMIFS('Эффекты технологий'!$Q$25:$Q$240,'Эффекты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6.600000000000001</x:v>
      </x:c>
      <x:c r="J37" s="10" t="n">
        <x:f>SUMIFS('Эффекты технологий'!$R$25:$R$240,'Эффекты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2033'!B38+'Иран 2033'!D38+('Иран 2033'!C38+'Иран 2033'!F38+'Иран 2033'!G38)+(0.35*LN(1+0.6*'Ход 2033'!B44)*POWER(MAX(0,1-'Иран 2033'!I38/10),0.7))))</x:f>
        <x:v>7.100000000000001</x:v>
      </x:c>
      <x:c r="C38" s="3" t="n">
        <x:f>MIN(1,(MIN(1,'Иран 2033'!C38+'Иран 2033'!F38+(0.08*LN(1+0.5*'Ход 2033'!C44)*MAX(0,1-('Иран 2033'!C38+'Иран 2033'!F38)))))+(SUMIFS('Эффекты технологий'!$R$25:$R$240,'Эффекты технологий'!$C$25:$C$240,$A38,'Эффекты технологий'!$D$25:$D$240,"Прирост")-SUMIFS('Эффекты технологий'!$Q$25:$Q$240,'Эффекты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7.100000000000001</x:v>
      </x:c>
      <x:c r="J38" s="10" t="n">
        <x:f>SUMIFS('Эффекты технологий'!$R$25:$R$240,'Эффекты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2033'!B39+'Иран 2033'!D39+('Иран 2033'!C39+'Иран 2033'!F39+'Иран 2033'!G39)+(0.35*LN(1+0.6*'Ход 2033'!B45)*POWER(MAX(0,1-'Иран 2033'!I39/10),0.7))))</x:f>
        <x:v>7.600000000000001</x:v>
      </x:c>
      <x:c r="C39" s="3" t="n">
        <x:f>MIN(1,(MIN(1,'Иран 2033'!C39+'Иран 2033'!F39+(0.08*LN(1+0.5*'Ход 2033'!C45)*MAX(0,1-('Иран 2033'!C39+'Иран 2033'!F39)))))+(SUMIFS('Эффекты технологий'!$R$25:$R$240,'Эффекты технологий'!$C$25:$C$240,$A39,'Эффекты технологий'!$D$25:$D$240,"Прирост")-SUMIFS('Эффекты технологий'!$Q$25:$Q$240,'Эффекты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7.600000000000001</x:v>
      </x:c>
      <x:c r="J39" s="10" t="n">
        <x:f>SUMIFS('Эффекты технологий'!$R$25:$R$240,'Эффекты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2033'!B40+'Иран 2033'!D40+('Иран 2033'!C40+'Иран 2033'!F40+'Иран 2033'!G40)+(0.35*LN(1+0.6*'Ход 2033'!B46)*POWER(MAX(0,1-'Иран 2033'!I40/10),0.7))))</x:f>
        <x:v>5.700000000000003</x:v>
      </x:c>
      <x:c r="C40" s="3" t="n">
        <x:f>MIN(1,(MIN(1,'Иран 2033'!C40+'Иран 2033'!F40+(0.08*LN(1+0.5*'Ход 2033'!C46)*MAX(0,1-('Иран 2033'!C40+'Иран 2033'!F40)))))+(SUMIFS('Эффекты технологий'!$R$25:$R$240,'Эффекты технологий'!$C$25:$C$240,$A40,'Эффекты технологий'!$D$25:$D$240,"Прирост")-SUMIFS('Эффекты технологий'!$Q$25:$Q$240,'Эффекты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5.700000000000003</x:v>
      </x:c>
      <x:c r="J40" s="10" t="n">
        <x:f>SUMIFS('Эффекты технологий'!$R$25:$R$240,'Эффекты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2033'!B41+'Иран 2033'!D41+('Иран 2033'!C41+'Иран 2033'!F41+'Иран 2033'!G41)+(0.35*LN(1+0.6*'Ход 2033'!B47)*POWER(MAX(0,1-'Иран 2033'!I41/10),0.7))))</x:f>
        <x:v>6.600000000000001</x:v>
      </x:c>
      <x:c r="C41" s="3" t="n">
        <x:f>MIN(1,(MIN(1,'Иран 2033'!C41+'Иран 2033'!F41+(0.08*LN(1+0.5*'Ход 2033'!C47)*MAX(0,1-('Иран 2033'!C41+'Иран 2033'!F41)))))+(SUMIFS('Эффекты технологий'!$R$25:$R$240,'Эффекты технологий'!$C$25:$C$240,$A41,'Эффекты технологий'!$D$25:$D$240,"Прирост")-SUMIFS('Эффекты технологий'!$Q$25:$Q$240,'Эффекты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6.600000000000001</x:v>
      </x:c>
      <x:c r="J41" s="10" t="n">
        <x:f>SUMIFS('Эффекты технологий'!$R$25:$R$240,'Эффекты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2033'!B42+'Иран 2033'!D42+('Иран 2033'!C42+'Иран 2033'!F42+'Иран 2033'!G42)+(0.35*LN(1+0.6*'Ход 2033'!B48)*POWER(MAX(0,1-'Иран 2033'!I42/10),0.7))))</x:f>
        <x:v>7.799999999999997</x:v>
      </x:c>
      <x:c r="C42" s="3" t="n">
        <x:f>MIN(1,(MIN(1,'Иран 2033'!C42+'Иран 2033'!F42+(0.08*LN(1+0.5*'Ход 2033'!C48)*MAX(0,1-('Иран 2033'!C42+'Иран 2033'!F42)))))+(SUMIFS('Эффекты технологий'!$R$25:$R$240,'Эффекты технологий'!$C$25:$C$240,$A42,'Эффекты технологий'!$D$25:$D$240,"Прирост")-SUMIFS('Эффекты технологий'!$Q$25:$Q$240,'Эффекты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7.799999999999997</x:v>
      </x:c>
      <x:c r="J42" s="10" t="n">
        <x:f>SUMIFS('Эффекты технологий'!$R$25:$R$240,'Эффекты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2033'!B44+'Иран 2033'!D44+('Иран 2033'!C44+'Иран 2033'!F44+'Иран 2033'!G44)+(0.35*LN(1+0.6*'Ход 2033'!B50)*POWER(MAX(0,1-'Иран 2033'!I44/10),0.7))))</x:f>
        <x:v>4.799999999999997</x:v>
      </x:c>
      <x:c r="C44" s="3" t="n">
        <x:f>MIN(1,(MIN(1,'Иран 2033'!C44+'Иран 2033'!F44+(0.08*LN(1+0.5*'Ход 2033'!C50)*MAX(0,1-('Иран 2033'!C44+'Иран 2033'!F44)))))+(SUMIFS('Эффекты технологий'!$R$25:$R$240,'Эффекты технологий'!$C$25:$C$240,$A44,'Эффекты технологий'!$D$25:$D$240,"Прирост")-SUMIFS('Эффекты технологий'!$Q$25:$Q$240,'Эффекты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4.799999999999997</x:v>
      </x:c>
      <x:c r="J44" s="10" t="n">
        <x:f>SUMIFS('Эффекты технологий'!$R$25:$R$240,'Эффекты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2033'!B45+'Иран 2033'!D45+('Иран 2033'!C45+'Иран 2033'!F45+'Иран 2033'!G45)+(0.35*LN(1+0.6*'Ход 2033'!B51)*POWER(MAX(0,1-'Иран 2033'!I45/10),0.7))))</x:f>
        <x:v>6.200000000000003</x:v>
      </x:c>
      <x:c r="C45" s="3" t="n">
        <x:f>MIN(1,(MIN(1,'Иран 2033'!C45+'Иран 2033'!F45+(0.08*LN(1+0.5*'Ход 2033'!C51)*MAX(0,1-('Иран 2033'!C45+'Иран 2033'!F45)))))+(SUMIFS('Эффекты технологий'!$R$25:$R$240,'Эффекты технологий'!$C$25:$C$240,$A45,'Эффекты технологий'!$D$25:$D$240,"Прирост")-SUMIFS('Эффекты технологий'!$Q$25:$Q$240,'Эффекты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6.200000000000003</x:v>
      </x:c>
      <x:c r="J45" s="10" t="n">
        <x:f>SUMIFS('Эффекты технологий'!$R$25:$R$240,'Эффекты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2033'!B46+'Иран 2033'!D46+('Иран 2033'!C46+'Иран 2033'!F46+'Иран 2033'!G46)+(0.35*LN(1+0.6*'Ход 2033'!B52)*POWER(MAX(0,1-'Иран 2033'!I46/10),0.7))))</x:f>
        <x:v>6.200000000000003</x:v>
      </x:c>
      <x:c r="C46" s="3" t="n">
        <x:f>MIN(1,(MIN(1,'Иран 2033'!C46+'Иран 2033'!F46+(0.08*LN(1+0.5*'Ход 2033'!C52)*MAX(0,1-('Иран 2033'!C46+'Иран 2033'!F46)))))+(SUMIFS('Эффекты технологий'!$R$25:$R$240,'Эффекты технологий'!$C$25:$C$240,$A46,'Эффекты технологий'!$D$25:$D$240,"Прирост")-SUMIFS('Эффекты технологий'!$Q$25:$Q$240,'Эффекты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6.200000000000003</x:v>
      </x:c>
      <x:c r="J46" s="10" t="n">
        <x:f>SUMIFS('Эффекты технологий'!$R$25:$R$240,'Эффекты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2033'!B47+'Иран 2033'!D47+('Иран 2033'!C47+'Иран 2033'!F47+'Иран 2033'!G47)+(0.35*LN(1+0.6*'Ход 2033'!B53)*POWER(MAX(0,1-'Иран 2033'!I47/10),0.7))))</x:f>
        <x:v>2.1000000000000014</x:v>
      </x:c>
      <x:c r="C47" s="3" t="n">
        <x:f>MIN(1,(MIN(1,'Иран 2033'!C47+'Иран 2033'!F47+(0.08*LN(1+0.5*'Ход 2033'!C53)*MAX(0,1-('Иран 2033'!C47+'Иран 2033'!F47)))))+(SUMIFS('Эффекты технологий'!$R$25:$R$240,'Эффекты технологий'!$C$25:$C$240,$A47,'Эффекты технологий'!$D$25:$D$240,"Прирост")-SUMIFS('Эффекты технологий'!$Q$25:$Q$240,'Эффекты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2.1000000000000014</x:v>
      </x:c>
      <x:c r="J47" s="10" t="n">
        <x:f>SUMIFS('Эффекты технологий'!$R$25:$R$240,'Эффекты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2033'!B48+'Иран 2033'!D48+('Иран 2033'!C48+'Иран 2033'!F48+'Иран 2033'!G48)+(0.35*LN(1+0.6*'Ход 2033'!B54)*POWER(MAX(0,1-'Иран 2033'!I48/10),0.7))))</x:f>
        <x:v>6.299999999999997</x:v>
      </x:c>
      <x:c r="C48" s="3" t="n">
        <x:f>MIN(1,(MIN(1,'Иран 2033'!C48+'Иран 2033'!F48+(0.08*LN(1+0.5*'Ход 2033'!C54)*MAX(0,1-('Иран 2033'!C48+'Иран 2033'!F48)))))+(SUMIFS('Эффекты технологий'!$R$25:$R$240,'Эффекты технологий'!$C$25:$C$240,$A48,'Эффекты технологий'!$D$25:$D$240,"Прирост")-SUMIFS('Эффекты технологий'!$Q$25:$Q$240,'Эффекты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6.299999999999997</x:v>
      </x:c>
      <x:c r="J48" s="10" t="n">
        <x:f>SUMIFS('Эффекты технологий'!$R$25:$R$240,'Эффекты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2033'!B49+'Иран 2033'!D49+('Иран 2033'!C49+'Иран 2033'!F49+'Иран 2033'!G49)+(0.35*LN(1+0.6*'Ход 2033'!B55)*POWER(MAX(0,1-'Иран 2033'!I49/10),0.7))))</x:f>
        <x:v>8.5</x:v>
      </x:c>
      <x:c r="C49" s="3" t="n">
        <x:f>MIN(1,(MIN(1,'Иран 2033'!C49+'Иран 2033'!F49+(0.08*LN(1+0.5*'Ход 2033'!C55)*MAX(0,1-('Иран 2033'!C49+'Иран 2033'!F49)))))+(SUMIFS('Эффекты технологий'!$R$25:$R$240,'Эффекты технологий'!$C$25:$C$240,$A49,'Эффекты технологий'!$D$25:$D$240,"Прирост")-SUMIFS('Эффекты технологий'!$Q$25:$Q$240,'Эффекты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8.5</x:v>
      </x:c>
      <x:c r="J49" s="10" t="n">
        <x:f>SUMIFS('Эффекты технологий'!$R$25:$R$240,'Эффекты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2033'!B50+'Иран 2033'!D50+('Иран 2033'!C50+'Иран 2033'!F50+'Иран 2033'!G50)+(0.35*LN(1+0.6*'Ход 2033'!B56)*POWER(MAX(0,1-'Иран 2033'!I50/10),0.7))))</x:f>
        <x:v>9.400000000000006</x:v>
      </x:c>
      <x:c r="C50" s="3" t="n">
        <x:f>MIN(1,(MIN(1,'Иран 2033'!C50+'Иран 2033'!F50+(0.08*LN(1+0.5*'Ход 2033'!C56)*MAX(0,1-('Иран 2033'!C50+'Иран 2033'!F50)))))+(SUMIFS('Эффекты технологий'!$R$25:$R$240,'Эффекты технологий'!$C$25:$C$240,$A50,'Эффекты технологий'!$D$25:$D$240,"Прирост")-SUMIFS('Эффекты технологий'!$Q$25:$Q$240,'Эффекты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9.400000000000006</x:v>
      </x:c>
      <x:c r="J50" s="10" t="n">
        <x:f>SUMIFS('Эффекты технологий'!$R$25:$R$240,'Эффекты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2033'!B51+'Иран 2033'!D51+('Иран 2033'!C51+'Иран 2033'!F51+'Иран 2033'!G51)+(0.35*LN(1+0.6*'Ход 2033'!B57)*POWER(MAX(0,1-'Иран 2033'!I51/10),0.7))))</x:f>
        <x:v>7.600000000000001</x:v>
      </x:c>
      <x:c r="C51" s="3" t="n">
        <x:f>MIN(1,(MIN(1,'Иран 2033'!C51+'Иран 2033'!F51+(0.08*LN(1+0.5*'Ход 2033'!C57)*MAX(0,1-('Иран 2033'!C51+'Иран 2033'!F51)))))+(SUMIFS('Эффекты технологий'!$R$25:$R$240,'Эффекты технологий'!$C$25:$C$240,$A51,'Эффекты технологий'!$D$25:$D$240,"Прирост")-SUMIFS('Эффекты технологий'!$Q$25:$Q$240,'Эффекты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7.600000000000001</x:v>
      </x:c>
      <x:c r="J51" s="10" t="n">
        <x:f>SUMIFS('Эффекты технологий'!$R$25:$R$240,'Эффекты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2033'!B53+'Иран 2033'!D53+('Иран 2033'!C53+'Иран 2033'!F53+'Иран 2033'!G53)+(0.35*LN(1+0.6*'Ход 2033'!B59)*POWER(MAX(0,1-'Иран 2033'!I53/10),0.7))))</x:f>
        <x:v>7.100000000000001</x:v>
      </x:c>
      <x:c r="C53" s="3" t="n">
        <x:f>MIN(1,(MIN(1,'Иран 2033'!C53+'Иран 2033'!F53+(0.08*LN(1+0.5*'Ход 2033'!C59)*MAX(0,1-('Иран 2033'!C53+'Иран 2033'!F53)))))+(SUMIFS('Эффекты технологий'!$R$25:$R$240,'Эффекты технологий'!$C$25:$C$240,$A53,'Эффекты технологий'!$D$25:$D$240,"Прирост")-SUMIFS('Эффекты технологий'!$Q$25:$Q$240,'Эффекты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7.100000000000001</x:v>
      </x:c>
      <x:c r="J53" s="10" t="n">
        <x:f>SUMIFS('Эффекты технологий'!$R$25:$R$240,'Эффекты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2033'!B54+'Иран 2033'!D54+('Иран 2033'!C54+'Иран 2033'!F54+'Иран 2033'!G54)+(0.35*LN(1+0.6*'Ход 2033'!B60)*POWER(MAX(0,1-'Иран 2033'!I54/10),0.7))))</x:f>
        <x:v>6.600000000000001</x:v>
      </x:c>
      <x:c r="C54" s="3" t="n">
        <x:f>MIN(1,(MIN(1,'Иран 2033'!C54+'Иран 2033'!F54+(0.08*LN(1+0.5*'Ход 2033'!C60)*MAX(0,1-('Иран 2033'!C54+'Иран 2033'!F54)))))+(SUMIFS('Эффекты технологий'!$R$25:$R$240,'Эффекты технологий'!$C$25:$C$240,$A54,'Эффекты технологий'!$D$25:$D$240,"Прирост")-SUMIFS('Эффекты технологий'!$Q$25:$Q$240,'Эффекты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6.600000000000001</x:v>
      </x:c>
      <x:c r="J54" s="10" t="n">
        <x:f>SUMIFS('Эффекты технологий'!$R$25:$R$240,'Эффекты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2033'!B55+'Иран 2033'!D55+('Иран 2033'!C55+'Иран 2033'!F55+'Иран 2033'!G55)+(0.35*LN(1+0.6*'Ход 2033'!B61)*POWER(MAX(0,1-'Иран 2033'!I55/10),0.7))))</x:f>
        <x:v>6.700000000000003</x:v>
      </x:c>
      <x:c r="C55" s="3" t="n">
        <x:f>MIN(1,(MIN(1,'Иран 2033'!C55+'Иран 2033'!F55+(0.08*LN(1+0.5*'Ход 2033'!C61)*MAX(0,1-('Иран 2033'!C55+'Иран 2033'!F55)))))+(SUMIFS('Эффекты технологий'!$R$25:$R$240,'Эффекты технологий'!$C$25:$C$240,$A55,'Эффекты технологий'!$D$25:$D$240,"Прирост")-SUMIFS('Эффекты технологий'!$Q$25:$Q$240,'Эффекты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6.700000000000003</x:v>
      </x:c>
      <x:c r="J55" s="10" t="n">
        <x:f>SUMIFS('Эффекты технологий'!$R$25:$R$240,'Эффекты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356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2034'!U6</x:f>
        <x:v>90.00957774617775</x:v>
      </x:c>
      <x:c r="C6" s="3"/>
      <x:c r="D6" s="3"/>
      <x:c r="E6" s="3" t="s">
        <x:v>321</x:v>
      </x:c>
      <x:c r="F6" s="3" t="n">
        <x:f>'Иран 2034'!K6</x:f>
        <x:v>76.13514774973564</x:v>
      </x:c>
      <x:c r="G6" s="3"/>
      <x:c r="H6" s="3"/>
      <x:c r="I6" s="3" t="s">
        <x:v>321</x:v>
      </x:c>
      <x:c r="J6" s="3" t="n">
        <x:f>'Иран 2034'!N6</x:f>
        <x:v>89.80455832894454</x:v>
      </x:c>
      <x:c r="K6" s="3"/>
      <x:c r="L6" s="3"/>
      <x:c r="M6" s="3" t="s">
        <x:v>321</x:v>
      </x:c>
      <x:c r="N6" s="3" t="n">
        <x:f>'Иран 2034'!Q6</x:f>
        <x:v>63.09981288788298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90.00957774617775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76.13514774973564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89.80455832894454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63.09981288788298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2034'!V11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2034'!V12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2034'!V13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2034'!V14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2034'!V15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2034'!V16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2034'!V17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2034'!V18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2034'!V19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2034'!V20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2034'!V21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2034'!V22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технологий'!R$16</x:f>
        <x:v>0</x:v>
      </x:c>
      <x:c r="H25" s="11" t="n">
        <x:f>'Эффекты технологий'!R$17</x:f>
        <x:v>0</x:v>
      </x:c>
      <x:c r="I25" s="11" t="n">
        <x:f>'Эффекты технологий'!R$18</x:f>
        <x:v>0</x:v>
      </x:c>
      <x:c r="J25" s="12"/>
      <x:c r="K25" s="3"/>
      <x:c r="L25" s="3" t="str">
        <x:v>Бразилия</x:v>
      </x:c>
      <x:c r="M25" s="3" t="n">
        <x:f>'Иран 2034'!V23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2034'!V24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2034'!V25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2034'!V26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IF(G29="","",VLOOKUP(G29,Технологии!$A$11:$BF$50,52,FALSE))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IF(G30="","",VLOOKUP(G30,Технологии!$A$11:$BF$50,52,FALSE))</x:f>
      </x:c>
      <x:c r="L30" s="3"/>
      <x:c r="M30" s="3"/>
      <x:c r="N30" s="12" t="s">
        <x:v>340</x:v>
      </x:c>
      <x:c r="O30" s="11" t="n">
        <x:f>'Эффекты технологий'!R$13</x:f>
        <x:v>0</x:v>
      </x:c>
      <x:c r="P30" s="11" t="n">
        <x:f>'Эффекты технологий'!R$14</x:f>
        <x:v>0</x:v>
      </x:c>
      <x:c r="Q30" s="11" t="n">
        <x:f>'Эффекты технологий'!R$15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IF(G31="","",VLOOKUP(G31,Технологии!$A$11:$BF$50,52,FALSE))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IF(G32="","",VLOOKUP(G32,Технологии!$A$11:$BF$50,52,FALSE))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IF(G33="","",VLOOKUP(G33,Технологии!$A$11:$BF$50,52,FALSE))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IF(G34="","",VLOOKUP(G34,Технологии!$A$11:$BF$50,52,FALSE))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IF(G35="","",VLOOKUP(G35,Технологии!$A$11:$BF$50,52,FALSE))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IF(G36="","",VLOOKUP(G36,Технологии!$A$11:$BF$50,52,FALSE))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IF(G37="","",VLOOKUP(G37,Технологии!$A$11:$BF$50,52,FALSE))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IF(G38="","",VLOOKUP(G38,Технологии!$A$11:$BF$50,52,FALSE))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2035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78.03583566845103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91.24088045373001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64.15830996818464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90.91994185722639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2034'!B8+'Иран 2034'!D8+('Иран 2034'!C8+'Иран 2034'!F8+'Иран 2034'!G8)+(0.35*LN(1+0.6*('Ход 2034'!B14*(1+'Эффекты технологий'!R$12)))*POWER(MAX(0,1-'Иран 2034'!I8/10),0.7))))</x:f>
        <x:v>8.899999999999997</x:v>
      </x:c>
      <x:c r="C8" s="3" t="n">
        <x:f>MIN(1,(MIN(1,'Иран 2034'!C8+'Иран 2034'!F8+(0.08*LN(1+0.5*('Ход 2034'!C14*(1+'Эффекты технологий'!R$12)))*MAX(0,1-('Иран 2034'!C8+'Иран 2034'!F8)))))+(SUMIFS('Эффекты технологий'!$S$25:$S$240,'Эффекты технологий'!$C$25:$C$240,$A8,'Эффекты технологий'!$D$25:$D$240,"Прирост")-SUMIFS('Эффекты технологий'!$R$25:$R$240,'Эффекты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8.899999999999997</x:v>
      </x:c>
      <x:c r="J8" s="10" t="n">
        <x:f>SUMIFS('Эффекты технологий'!$S$25:$S$240,'Эффекты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2034'!B9+'Иран 2034'!D9+('Иран 2034'!C9+'Иран 2034'!F9+'Иран 2034'!G9)+(0.35*LN(1+0.6*('Ход 2034'!B15*(1+'Эффекты технологий'!R$12)))*POWER(MAX(0,1-'Иран 2034'!I9/10),0.7))))</x:f>
        <x:v>7.899999999999997</x:v>
      </x:c>
      <x:c r="C9" s="3" t="n">
        <x:f>MIN(1,(MIN(1,'Иран 2034'!C9+'Иран 2034'!F9+(0.08*LN(1+0.5*('Ход 2034'!C15*(1+'Эффекты технологий'!R$12)))*MAX(0,1-('Иран 2034'!C9+'Иран 2034'!F9)))))+(SUMIFS('Эффекты технологий'!$S$25:$S$240,'Эффекты технологий'!$C$25:$C$240,$A9,'Эффекты технологий'!$D$25:$D$240,"Прирост")-SUMIFS('Эффекты технологий'!$R$25:$R$240,'Эффекты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7.899999999999997</x:v>
      </x:c>
      <x:c r="J9" s="10" t="n">
        <x:f>SUMIFS('Эффекты технологий'!$S$25:$S$240,'Эффекты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2034'!B10+'Иран 2034'!D10+('Иран 2034'!C10+'Иран 2034'!F10+'Иран 2034'!G10)+(0.35*LN(1+0.6*('Ход 2034'!B16*(1+'Эффекты технологий'!R$12)))*POWER(MAX(0,1-'Иран 2034'!I10/10),0.7))))</x:f>
        <x:v>9.950000000000006</x:v>
      </x:c>
      <x:c r="C10" s="3" t="n">
        <x:f>MIN(1,(MIN(1,'Иран 2034'!C10+'Иран 2034'!F10+(0.08*LN(1+0.5*('Ход 2034'!C16*(1+'Эффекты технологий'!R$12)))*MAX(0,1-('Иран 2034'!C10+'Иран 2034'!F10)))))+(SUMIFS('Эффекты технологий'!$S$25:$S$240,'Эффекты технологий'!$C$25:$C$240,$A10,'Эффекты технологий'!$D$25:$D$240,"Прирост")-SUMIFS('Эффекты технологий'!$R$25:$R$240,'Эффекты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9.950000000000006</x:v>
      </x:c>
      <x:c r="J10" s="10" t="n">
        <x:f>SUMIFS('Эффекты технологий'!$S$25:$S$240,'Эффекты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2034'!B11+'Иран 2034'!D11+('Иран 2034'!C11+'Иран 2034'!F11+'Иран 2034'!G11)+(0.35*LN(1+0.6*('Ход 2034'!B17*(1+'Эффекты технологий'!R$12)))*POWER(MAX(0,1-'Иран 2034'!I11/10),0.7))))</x:f>
        <x:v>3.9499999999999984</x:v>
      </x:c>
      <x:c r="C11" s="3" t="n">
        <x:f>MIN(1,(MIN(1,'Иран 2034'!C11+'Иран 2034'!F11+(0.08*LN(1+0.5*('Ход 2034'!C17*(1+'Эффекты технологий'!R$12)))*MAX(0,1-('Иран 2034'!C11+'Иран 2034'!F11)))))+(SUMIFS('Эффекты технологий'!$S$25:$S$240,'Эффекты технологий'!$C$25:$C$240,$A11,'Эффекты технологий'!$D$25:$D$240,"Прирост")-SUMIFS('Эффекты технологий'!$R$25:$R$240,'Эффекты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3.9499999999999984</x:v>
      </x:c>
      <x:c r="J11" s="10" t="n">
        <x:f>SUMIFS('Эффекты технологий'!$S$25:$S$240,'Эффекты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2034'!L11+'Иран 2034'!N11+('Иран 2034'!M11+'Иран 2034'!P11+'Иран 2034'!Q11)))</x:f>
        <x:v>7.75</x:v>
      </x:c>
      <x:c r="M11" s="3" t="n">
        <x:f>MIN(1,(MIN(1,'Иран 2034'!M11+'Иран 2034'!P11+(0.1*LN(1+0.5*('Ход 2034'!H13*(1+'Эффекты технологий'!R$10)))*POWER(MAX(0,1-'Иран 2034'!S11/10),0.8))))+(SUMIFS('Эффекты технологий'!$S$25:$S$240,'Эффекты технологий'!$C$25:$C$240,$K11,'Эффекты технологий'!$D$25:$D$240,"Прирост")-SUMIFS('Эффекты технологий'!$R$25:$R$240,'Эффекты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7.75</x:v>
      </x:c>
      <x:c r="T11" s="10" t="n">
        <x:f>SUMIFS('Эффекты технологий'!$S$25:$S$240,'Эффекты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2034'!V11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2034'!B12+'Иран 2034'!D12+('Иран 2034'!C12+'Иран 2034'!F12+'Иран 2034'!G12)+(0.35*LN(1+0.6*('Ход 2034'!B18*(1+'Эффекты технологий'!R$12)))*POWER(MAX(0,1-'Иран 2034'!I12/10),0.7))))</x:f>
        <x:v>8.450000000000006</x:v>
      </x:c>
      <x:c r="C12" s="3" t="n">
        <x:f>MIN(1,(MIN(1,'Иран 2034'!C12+'Иран 2034'!F12+(0.08*LN(1+0.5*('Ход 2034'!C18*(1+'Эффекты технологий'!R$12)))*MAX(0,1-('Иран 2034'!C12+'Иран 2034'!F12)))))+(SUMIFS('Эффекты технологий'!$S$25:$S$240,'Эффекты технологий'!$C$25:$C$240,$A12,'Эффекты технологий'!$D$25:$D$240,"Прирост")-SUMIFS('Эффекты технологий'!$R$25:$R$240,'Эффекты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8.450000000000006</x:v>
      </x:c>
      <x:c r="J12" s="10" t="n">
        <x:f>SUMIFS('Эффекты технологий'!$S$25:$S$240,'Эффекты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2034'!L12+'Иран 2034'!N12+('Иран 2034'!M12+'Иран 2034'!P12+'Иран 2034'!Q12)))</x:f>
        <x:v>7.75</x:v>
      </x:c>
      <x:c r="M12" s="3" t="n">
        <x:f>MIN(1,(MIN(1,'Иран 2034'!M12+'Иран 2034'!P12+(0.1*LN(1+0.5*('Ход 2034'!H14*(1+'Эффекты технологий'!R$10)))*POWER(MAX(0,1-'Иран 2034'!S12/10),0.8))))+(SUMIFS('Эффекты технологий'!$S$25:$S$240,'Эффекты технологий'!$C$25:$C$240,$K12,'Эффекты технологий'!$D$25:$D$240,"Прирост")-SUMIFS('Эффекты технологий'!$R$25:$R$240,'Эффекты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7.75</x:v>
      </x:c>
      <x:c r="T12" s="10" t="n">
        <x:f>SUMIFS('Эффекты технологий'!$S$25:$S$240,'Эффекты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2034'!V12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2034'!B13+'Иран 2034'!D13+('Иран 2034'!C13+'Иран 2034'!F13+'Иран 2034'!G13)+(0.35*LN(1+0.6*('Ход 2034'!B19*(1+'Эффекты технологий'!R$12)))*POWER(MAX(0,1-'Иран 2034'!I13/10),0.7))))</x:f>
        <x:v>3.8000000000000016</x:v>
      </x:c>
      <x:c r="C13" s="3" t="n">
        <x:f>MIN(1,(MIN(1,'Иран 2034'!C13+'Иран 2034'!F13+(0.08*LN(1+0.5*('Ход 2034'!C19*(1+'Эффекты технологий'!R$12)))*MAX(0,1-('Иран 2034'!C13+'Иран 2034'!F13)))))+(SUMIFS('Эффекты технологий'!$S$25:$S$240,'Эффекты технологий'!$C$25:$C$240,$A13,'Эффекты технологий'!$D$25:$D$240,"Прирост")-SUMIFS('Эффекты технологий'!$R$25:$R$240,'Эффекты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3.8000000000000016</x:v>
      </x:c>
      <x:c r="J13" s="10" t="n">
        <x:f>SUMIFS('Эффекты технологий'!$S$25:$S$240,'Эффекты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2034'!L13+'Иран 2034'!N13+('Иран 2034'!M13+'Иран 2034'!P13+'Иран 2034'!Q13)))</x:f>
        <x:v>8.799999999999997</x:v>
      </x:c>
      <x:c r="M13" s="3" t="n">
        <x:f>MIN(1,(MIN(1,'Иран 2034'!M13+'Иран 2034'!P13+(0.1*LN(1+0.5*('Ход 2034'!H15*(1+'Эффекты технологий'!R$10)))*POWER(MAX(0,1-'Иран 2034'!S13/10),0.8))))+(SUMIFS('Эффекты технологий'!$S$25:$S$240,'Эффекты технологий'!$C$25:$C$240,$K13,'Эффекты технологий'!$D$25:$D$240,"Прирост")-SUMIFS('Эффекты технологий'!$R$25:$R$240,'Эффекты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8.799999999999997</x:v>
      </x:c>
      <x:c r="T13" s="10" t="n">
        <x:f>SUMIFS('Эффекты технологий'!$S$25:$S$240,'Эффекты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2034'!V13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2034'!B14+'Иран 2034'!D14+('Иран 2034'!C14+'Иран 2034'!F14+'Иран 2034'!G14)+(0.35*LN(1+0.6*('Ход 2034'!B20*(1+'Эффекты технологий'!R$12)))*POWER(MAX(0,1-'Иран 2034'!I14/10),0.7))))</x:f>
        <x:v>4.800000000000002</x:v>
      </x:c>
      <x:c r="C14" s="3" t="n">
        <x:f>MIN(1,(MIN(1,'Иран 2034'!C14+'Иран 2034'!F14+(0.08*LN(1+0.5*('Ход 2034'!C20*(1+'Эффекты технологий'!R$12)))*MAX(0,1-('Иран 2034'!C14+'Иран 2034'!F14)))))+(SUMIFS('Эффекты технологий'!$S$25:$S$240,'Эффекты технологий'!$C$25:$C$240,$A14,'Эффекты технологий'!$D$25:$D$240,"Прирост")-SUMIFS('Эффекты технологий'!$R$25:$R$240,'Эффекты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4.800000000000002</x:v>
      </x:c>
      <x:c r="J14" s="10" t="n">
        <x:f>SUMIFS('Эффекты технологий'!$S$25:$S$240,'Эффекты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2034'!L14+'Иран 2034'!N14+('Иран 2034'!M14+'Иран 2034'!P14+'Иран 2034'!Q14)))</x:f>
        <x:v>8.75</x:v>
      </x:c>
      <x:c r="M14" s="3" t="n">
        <x:f>MIN(1,(MIN(1,'Иран 2034'!M14+'Иран 2034'!P14+(0.1*LN(1+0.5*('Ход 2034'!H16*(1+'Эффекты технологий'!R$10)))*POWER(MAX(0,1-'Иран 2034'!S14/10),0.8))))+(SUMIFS('Эффекты технологий'!$S$25:$S$240,'Эффекты технологий'!$C$25:$C$240,$K14,'Эффекты технологий'!$D$25:$D$240,"Прирост")-SUMIFS('Эффекты технологий'!$R$25:$R$240,'Эффекты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8.75</x:v>
      </x:c>
      <x:c r="T14" s="10" t="n">
        <x:f>SUMIFS('Эффекты технологий'!$S$25:$S$240,'Эффекты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2034'!V14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2034'!B15+'Иран 2034'!D15+('Иран 2034'!C15+'Иран 2034'!F15+'Иран 2034'!G15)+(0.35*LN(1+0.6*('Ход 2034'!B21*(1+'Эффекты технологий'!R$12)))*POWER(MAX(0,1-'Иран 2034'!I15/10),0.7))))</x:f>
        <x:v>6.75</x:v>
      </x:c>
      <x:c r="C15" s="3" t="n">
        <x:f>MIN(1,(MIN(1,'Иран 2034'!C15+'Иран 2034'!F15+(0.08*LN(1+0.5*('Ход 2034'!C21*(1+'Эффекты технологий'!R$12)))*MAX(0,1-('Иран 2034'!C15+'Иран 2034'!F15)))))+(SUMIFS('Эффекты технологий'!$S$25:$S$240,'Эффекты технологий'!$C$25:$C$240,$A15,'Эффекты технологий'!$D$25:$D$240,"Прирост")-SUMIFS('Эффекты технологий'!$R$25:$R$240,'Эффекты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6.75</x:v>
      </x:c>
      <x:c r="J15" s="10" t="n">
        <x:f>SUMIFS('Эффекты технологий'!$S$25:$S$240,'Эффекты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2034'!L15+'Иран 2034'!N15+('Иран 2034'!M15+'Иран 2034'!P15+'Иран 2034'!Q15)))</x:f>
        <x:v>8.799999999999997</x:v>
      </x:c>
      <x:c r="M15" s="3" t="n">
        <x:f>MIN(1,(MIN(1,'Иран 2034'!M15+'Иран 2034'!P15+(0.1*LN(1+0.5*('Ход 2034'!H17*(1+'Эффекты технологий'!R$10)))*POWER(MAX(0,1-'Иран 2034'!S15/10),0.8))))+(SUMIFS('Эффекты технологий'!$S$25:$S$240,'Эффекты технологий'!$C$25:$C$240,$K15,'Эффекты технологий'!$D$25:$D$240,"Прирост")-SUMIFS('Эффекты технологий'!$R$25:$R$240,'Эффекты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8.799999999999997</x:v>
      </x:c>
      <x:c r="T15" s="10" t="n">
        <x:f>SUMIFS('Эффекты технологий'!$S$25:$S$240,'Эффекты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2034'!V15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2034'!B16+'Иран 2034'!D16+('Иран 2034'!C16+'Иран 2034'!F16+'Иран 2034'!G16)+(0.35*LN(1+0.6*('Ход 2034'!B22*(1+'Эффекты технологий'!R$12)))*POWER(MAX(0,1-'Иран 2034'!I16/10),0.7))))</x:f>
        <x:v>7.300000000000002</x:v>
      </x:c>
      <x:c r="C16" s="3" t="n">
        <x:f>MIN(1,(MIN(1,'Иран 2034'!C16+'Иран 2034'!F16+(0.08*LN(1+0.5*('Ход 2034'!C22*(1+'Эффекты технологий'!R$12)))*MAX(0,1-('Иран 2034'!C16+'Иран 2034'!F16)))))+(SUMIFS('Эффекты технологий'!$S$25:$S$240,'Эффекты технологий'!$C$25:$C$240,$A16,'Эффекты технологий'!$D$25:$D$240,"Прирост")-SUMIFS('Эффекты технологий'!$R$25:$R$240,'Эффекты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7.300000000000002</x:v>
      </x:c>
      <x:c r="J16" s="10" t="n">
        <x:f>SUMIFS('Эффекты технологий'!$S$25:$S$240,'Эффекты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2034'!L16+'Иран 2034'!N16+('Иран 2034'!M16+'Иран 2034'!P16+'Иран 2034'!Q16)))</x:f>
        <x:v>7.75</x:v>
      </x:c>
      <x:c r="M16" s="3" t="n">
        <x:f>MIN(1,(MIN(1,'Иран 2034'!M16+'Иран 2034'!P16+(0.1*LN(1+0.5*('Ход 2034'!H18*(1+'Эффекты технологий'!R$10)))*POWER(MAX(0,1-'Иран 2034'!S16/10),0.8))))+(SUMIFS('Эффекты технологий'!$S$25:$S$240,'Эффекты технологий'!$C$25:$C$240,$K16,'Эффекты технологий'!$D$25:$D$240,"Прирост")-SUMIFS('Эффекты технологий'!$R$25:$R$240,'Эффекты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7.75</x:v>
      </x:c>
      <x:c r="T16" s="10" t="n">
        <x:f>SUMIFS('Эффекты технологий'!$S$25:$S$240,'Эффекты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2034'!V16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2034'!B17+'Иран 2034'!D17+('Иран 2034'!C17+'Иран 2034'!F17+'Иран 2034'!G17)+(0.35*LN(1+0.6*('Ход 2034'!B23*(1+'Эффекты технологий'!R$12)))*POWER(MAX(0,1-'Иран 2034'!I17/10),0.7))))</x:f>
        <x:v>6.350000000000003</x:v>
      </x:c>
      <x:c r="C17" s="3" t="n">
        <x:f>MIN(1,(MIN(1,'Иран 2034'!C17+'Иран 2034'!F17+(0.08*LN(1+0.5*('Ход 2034'!C23*(1+'Эффекты технологий'!R$12)))*MAX(0,1-('Иран 2034'!C17+'Иран 2034'!F17)))))+(SUMIFS('Эффекты технологий'!$S$25:$S$240,'Эффекты технологий'!$C$25:$C$240,$A17,'Эффекты технологий'!$D$25:$D$240,"Прирост")-SUMIFS('Эффекты технологий'!$R$25:$R$240,'Эффекты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6.350000000000003</x:v>
      </x:c>
      <x:c r="J17" s="10" t="n">
        <x:f>SUMIFS('Эффекты технологий'!$S$25:$S$240,'Эффекты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2034'!L17+'Иран 2034'!N17+('Иран 2034'!M17+'Иран 2034'!P17+'Иран 2034'!Q17)))</x:f>
        <x:v>8.75</x:v>
      </x:c>
      <x:c r="M17" s="3" t="n">
        <x:f>MIN(1,(MIN(1,'Иран 2034'!M17+'Иран 2034'!P17+(0.1*LN(1+0.5*('Ход 2034'!H19*(1+'Эффекты технологий'!R$10)))*POWER(MAX(0,1-'Иран 2034'!S17/10),0.8))))+(SUMIFS('Эффекты технологий'!$S$25:$S$240,'Эффекты технологий'!$C$25:$C$240,$K17,'Эффекты технологий'!$D$25:$D$240,"Прирост")-SUMIFS('Эффекты технологий'!$R$25:$R$240,'Эффекты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8.75</x:v>
      </x:c>
      <x:c r="T17" s="10" t="n">
        <x:f>SUMIFS('Эффекты технологий'!$S$25:$S$240,'Эффекты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2034'!V17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2034'!L18+'Иран 2034'!N18+('Иран 2034'!M18+'Иран 2034'!P18+'Иран 2034'!Q18)))</x:f>
        <x:v>8.75</x:v>
      </x:c>
      <x:c r="M18" s="3" t="n">
        <x:f>MIN(1,(MIN(1,'Иран 2034'!M18+'Иран 2034'!P18+(0.1*LN(1+0.5*('Ход 2034'!H20*(1+'Эффекты технологий'!R$10)))*POWER(MAX(0,1-'Иран 2034'!S18/10),0.8))))+(SUMIFS('Эффекты технологий'!$S$25:$S$240,'Эффекты технологий'!$C$25:$C$240,$K18,'Эффекты технологий'!$D$25:$D$240,"Прирост")-SUMIFS('Эффекты технологий'!$R$25:$R$240,'Эффекты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8.75</x:v>
      </x:c>
      <x:c r="T18" s="10" t="n">
        <x:f>SUMIFS('Эффекты технологий'!$S$25:$S$240,'Эффекты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2034'!V18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2034'!B19+'Иран 2034'!D19+('Иран 2034'!C19+'Иран 2034'!F19+'Иран 2034'!G19)+(0.35*LN(1+0.6*'Ход 2034'!B25)*POWER(MAX(0,1-'Иран 2034'!I19/10),0.7))))</x:f>
        <x:v>7.300000000000002</x:v>
      </x:c>
      <x:c r="C19" s="3" t="n">
        <x:f>MIN(1,(MIN(1,'Иран 2034'!C19+'Иран 2034'!F19+(0.08*LN(1+0.5*'Ход 2034'!C25)*MAX(0,1-('Иран 2034'!C19+'Иран 2034'!F19)))))+(SUMIFS('Эффекты технологий'!$S$25:$S$240,'Эффекты технологий'!$C$25:$C$240,$A19,'Эффекты технологий'!$D$25:$D$240,"Прирост")-SUMIFS('Эффекты технологий'!$R$25:$R$240,'Эффекты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7.300000000000002</x:v>
      </x:c>
      <x:c r="J19" s="10" t="n">
        <x:f>SUMIFS('Эффекты технологий'!$S$25:$S$240,'Эффекты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2034'!V19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2034'!B20+'Иран 2034'!D20+('Иран 2034'!C20+'Иран 2034'!F20+'Иран 2034'!G20)+(0.35*LN(1+0.6*'Ход 2034'!B26)*POWER(MAX(0,1-'Иран 2034'!I20/10),0.7))))</x:f>
        <x:v>7.75</x:v>
      </x:c>
      <x:c r="C20" s="3" t="n">
        <x:f>MIN(1,(MIN(1,'Иран 2034'!C20+'Иран 2034'!F20+(0.08*LN(1+0.5*'Ход 2034'!C26)*MAX(0,1-('Иран 2034'!C20+'Иран 2034'!F20)))))+(SUMIFS('Эффекты технологий'!$S$25:$S$240,'Эффекты технологий'!$C$25:$C$240,$A20,'Эффекты технологий'!$D$25:$D$240,"Прирост")-SUMIFS('Эффекты технологий'!$R$25:$R$240,'Эффекты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7.75</x:v>
      </x:c>
      <x:c r="J20" s="10" t="n">
        <x:f>SUMIFS('Эффекты технологий'!$S$25:$S$240,'Эффекты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2034'!V20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2034'!B21+'Иран 2034'!D21+('Иран 2034'!C21+'Иран 2034'!F21+'Иран 2034'!G21)+(0.35*LN(1+0.6*'Ход 2034'!B27)*POWER(MAX(0,1-'Иран 2034'!I21/10),0.7))))</x:f>
        <x:v>6.800000000000002</x:v>
      </x:c>
      <x:c r="C21" s="3" t="n">
        <x:f>MIN(1,(MIN(1,'Иран 2034'!C21+'Иран 2034'!F21+(0.08*LN(1+0.5*'Ход 2034'!C27)*MAX(0,1-('Иран 2034'!C21+'Иран 2034'!F21)))))+(SUMIFS('Эффекты технологий'!$S$25:$S$240,'Эффекты технологий'!$C$25:$C$240,$A21,'Эффекты технологий'!$D$25:$D$240,"Прирост")-SUMIFS('Эффекты технологий'!$R$25:$R$240,'Эффекты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6.800000000000002</x:v>
      </x:c>
      <x:c r="J21" s="10" t="n">
        <x:f>SUMIFS('Эффекты технологий'!$S$25:$S$240,'Эффекты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2034'!V21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2034'!B22+'Иран 2034'!D22+('Иран 2034'!C22+'Иран 2034'!F22+'Иран 2034'!G22)+(0.35*LN(1+0.6*'Ход 2034'!B28)*POWER(MAX(0,1-'Иран 2034'!I22/10),0.7))))</x:f>
        <x:v>8.899999999999997</x:v>
      </x:c>
      <x:c r="C22" s="3" t="n">
        <x:f>MIN(1,(MIN(1,'Иран 2034'!C22+'Иран 2034'!F22+(0.08*LN(1+0.5*'Ход 2034'!C28)*MAX(0,1-('Иран 2034'!C22+'Иран 2034'!F22)))))+(SUMIFS('Эффекты технологий'!$S$25:$S$240,'Эффекты технологий'!$C$25:$C$240,$A22,'Эффекты технологий'!$D$25:$D$240,"Прирост")-SUMIFS('Эффекты технологий'!$R$25:$R$240,'Эффекты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8.899999999999997</x:v>
      </x:c>
      <x:c r="J22" s="10" t="n">
        <x:f>SUMIFS('Эффекты технологий'!$S$25:$S$240,'Эффекты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2034'!V22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2034'!B23+'Иран 2034'!D23+('Иран 2034'!C23+'Иран 2034'!F23+'Иран 2034'!G23)+(0.35*LN(1+0.6*'Ход 2034'!B29)*POWER(MAX(0,1-'Иран 2034'!I23/10),0.7))))</x:f>
        <x:v>8.3</x:v>
      </x:c>
      <x:c r="C23" s="3" t="n">
        <x:f>MIN(1,(MIN(1,'Иран 2034'!C23+'Иран 2034'!F23+(0.08*LN(1+0.5*'Ход 2034'!C29)*MAX(0,1-('Иран 2034'!C23+'Иран 2034'!F23)))))+(SUMIFS('Эффекты технологий'!$S$25:$S$240,'Эффекты технологий'!$C$25:$C$240,$A23,'Эффекты технологий'!$D$25:$D$240,"Прирост")-SUMIFS('Эффекты технологий'!$R$25:$R$240,'Эффекты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8.3</x:v>
      </x:c>
      <x:c r="J23" s="10" t="n">
        <x:f>SUMIFS('Эффекты технологий'!$S$25:$S$240,'Эффекты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2034'!V23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2034'!V24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2034'!B25+'Иран 2034'!D25+('Иран 2034'!C25+'Иран 2034'!F25+'Иран 2034'!G25)+(0.35*LN(1+0.6*'Ход 2034'!B31)*POWER(MAX(0,1-'Иран 2034'!I25/10),0.7))))</x:f>
        <x:v>7.899999999999997</x:v>
      </x:c>
      <x:c r="C25" s="3" t="n">
        <x:f>MIN(1,(MIN(1,'Иран 2034'!C25+'Иран 2034'!F25+(0.08*LN(1+0.5*'Ход 2034'!C31)*MAX(0,1-('Иран 2034'!C25+'Иран 2034'!F25)))))+(SUMIFS('Эффекты технологий'!$S$25:$S$240,'Эффекты технологий'!$C$25:$C$240,$A25,'Эффекты технологий'!$D$25:$D$240,"Прирост")-SUMIFS('Эффекты технологий'!$R$25:$R$240,'Эффекты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7.899999999999997</x:v>
      </x:c>
      <x:c r="J25" s="10" t="n">
        <x:f>SUMIFS('Эффекты технологий'!$S$25:$S$240,'Эффекты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2034'!V25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2034'!B26+'Иран 2034'!D26+('Иран 2034'!C26+'Иран 2034'!F26+'Иран 2034'!G26)+(0.35*LN(1+0.6*'Ход 2034'!B32)*POWER(MAX(0,1-'Иран 2034'!I26/10),0.7))))</x:f>
        <x:v>7.300000000000002</x:v>
      </x:c>
      <x:c r="C26" s="3" t="n">
        <x:f>MIN(1,(MIN(1,'Иран 2034'!C26+'Иран 2034'!F26+(0.08*LN(1+0.5*'Ход 2034'!C32)*MAX(0,1-('Иран 2034'!C26+'Иран 2034'!F26)))))+(SUMIFS('Эффекты технологий'!$S$25:$S$240,'Эффекты технологий'!$C$25:$C$240,$A26,'Эффекты технологий'!$D$25:$D$240,"Прирост")-SUMIFS('Эффекты технологий'!$R$25:$R$240,'Эффекты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7.300000000000002</x:v>
      </x:c>
      <x:c r="J26" s="10" t="n">
        <x:f>SUMIFS('Эффекты технологий'!$S$25:$S$240,'Эффекты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2034'!V26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2034'!B27+'Иран 2034'!D27+('Иран 2034'!C27+'Иран 2034'!F27+'Иран 2034'!G27)+(0.35*LN(1+0.6*'Ход 2034'!B33)*POWER(MAX(0,1-'Иран 2034'!I27/10),0.7))))</x:f>
        <x:v>7.350000000000003</x:v>
      </x:c>
      <x:c r="C27" s="3" t="n">
        <x:f>MIN(1,(MIN(1,'Иран 2034'!C27+'Иран 2034'!F27+(0.08*LN(1+0.5*'Ход 2034'!C33)*MAX(0,1-('Иран 2034'!C27+'Иран 2034'!F27)))))+(SUMIFS('Эффекты технологий'!$S$25:$S$240,'Эффекты технологий'!$C$25:$C$240,$A27,'Эффекты технологий'!$D$25:$D$240,"Прирост")-SUMIFS('Эффекты технологий'!$R$25:$R$240,'Эффекты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7.350000000000003</x:v>
      </x:c>
      <x:c r="J27" s="10" t="n">
        <x:f>SUMIFS('Эффекты технологий'!$S$25:$S$240,'Эффекты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2034'!B28+'Иран 2034'!D28+('Иран 2034'!C28+'Иран 2034'!F28+'Иран 2034'!G28)+(0.35*LN(1+0.6*'Ход 2034'!B34)*POWER(MAX(0,1-'Иран 2034'!I28/10),0.7))))</x:f>
        <x:v>7.300000000000002</x:v>
      </x:c>
      <x:c r="C28" s="3" t="n">
        <x:f>MIN(1,(MIN(1,'Иран 2034'!C28+'Иран 2034'!F28+(0.08*LN(1+0.5*'Ход 2034'!C34)*MAX(0,1-('Иран 2034'!C28+'Иран 2034'!F28)))))+(SUMIFS('Эффекты технологий'!$S$25:$S$240,'Эффекты технологий'!$C$25:$C$240,$A28,'Эффекты технологий'!$D$25:$D$240,"Прирост")-SUMIFS('Эффекты технологий'!$R$25:$R$240,'Эффекты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7.300000000000002</x:v>
      </x:c>
      <x:c r="J28" s="10" t="n">
        <x:f>SUMIFS('Эффекты технологий'!$S$25:$S$240,'Эффекты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2034'!B29+'Иран 2034'!D29+('Иран 2034'!C29+'Иран 2034'!F29+'Иран 2034'!G29)+(0.35*LN(1+0.6*'Ход 2034'!B35)*POWER(MAX(0,1-'Иран 2034'!I29/10),0.7))))</x:f>
        <x:v>7.300000000000002</x:v>
      </x:c>
      <x:c r="C29" s="3" t="n">
        <x:f>MIN(1,(MIN(1,'Иран 2034'!C29+'Иран 2034'!F29+(0.08*LN(1+0.5*'Ход 2034'!C35)*MAX(0,1-('Иран 2034'!C29+'Иран 2034'!F29)))))+(SUMIFS('Эффекты технологий'!$S$25:$S$240,'Эффекты технологий'!$C$25:$C$240,$A29,'Эффекты технологий'!$D$25:$D$240,"Прирост")-SUMIFS('Эффекты технологий'!$R$25:$R$240,'Эффекты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7.300000000000002</x:v>
      </x:c>
      <x:c r="J29" s="10" t="n">
        <x:f>SUMIFS('Эффекты технологий'!$S$25:$S$240,'Эффекты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2034'!B30+'Иран 2034'!D30+('Иран 2034'!C30+'Иран 2034'!F30+'Иран 2034'!G30)+(0.35*LN(1+0.6*'Ход 2034'!B36)*POWER(MAX(0,1-'Иран 2034'!I30/10),0.7))))</x:f>
        <x:v>6.850000000000003</x:v>
      </x:c>
      <x:c r="C30" s="3" t="n">
        <x:f>MIN(1,(MIN(1,'Иран 2034'!C30+'Иран 2034'!F30+(0.08*LN(1+0.5*'Ход 2034'!C36)*MAX(0,1-('Иран 2034'!C30+'Иран 2034'!F30)))))+(SUMIFS('Эффекты технологий'!$S$25:$S$240,'Эффекты технологий'!$C$25:$C$240,$A30,'Эффекты технологий'!$D$25:$D$240,"Прирост")-SUMIFS('Эффекты технологий'!$R$25:$R$240,'Эффекты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6.850000000000003</x:v>
      </x:c>
      <x:c r="J30" s="10" t="n">
        <x:f>SUMIFS('Эффекты технологий'!$S$25:$S$240,'Эффекты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2034'!B31+'Иран 2034'!D31+('Иран 2034'!C31+'Иран 2034'!F31+'Иран 2034'!G31)+(0.35*LN(1+0.6*'Ход 2034'!B37)*POWER(MAX(0,1-'Иран 2034'!I31/10),0.7))))</x:f>
        <x:v>6.850000000000003</x:v>
      </x:c>
      <x:c r="C31" s="3" t="n">
        <x:f>MIN(1,(MIN(1,'Иран 2034'!C31+'Иран 2034'!F31+(0.08*LN(1+0.5*'Ход 2034'!C37)*MAX(0,1-('Иран 2034'!C31+'Иран 2034'!F31)))))+(SUMIFS('Эффекты технологий'!$S$25:$S$240,'Эффекты технологий'!$C$25:$C$240,$A31,'Эффекты технологий'!$D$25:$D$240,"Прирост")-SUMIFS('Эффекты технологий'!$R$25:$R$240,'Эффекты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6.850000000000003</x:v>
      </x:c>
      <x:c r="J31" s="10" t="n">
        <x:f>SUMIFS('Эффекты технологий'!$S$25:$S$240,'Эффекты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2034'!B32+'Иран 2034'!D32+('Иран 2034'!C32+'Иран 2034'!F32+'Иран 2034'!G32)+(0.35*LN(1+0.6*'Ход 2034'!B38)*POWER(MAX(0,1-'Иран 2034'!I32/10),0.7))))</x:f>
        <x:v>9.299999999999995</x:v>
      </x:c>
      <x:c r="C32" s="3" t="n">
        <x:f>MIN(1,(MIN(1,'Иран 2034'!C32+'Иран 2034'!F32+(0.08*LN(1+0.5*'Ход 2034'!C38)*MAX(0,1-('Иран 2034'!C32+'Иран 2034'!F32)))))+(SUMIFS('Эффекты технологий'!$S$25:$S$240,'Эффекты технологий'!$C$25:$C$240,$A32,'Эффекты технологий'!$D$25:$D$240,"Прирост")-SUMIFS('Эффекты технологий'!$R$25:$R$240,'Эффекты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9.299999999999995</x:v>
      </x:c>
      <x:c r="J32" s="10" t="n">
        <x:f>SUMIFS('Эффекты технологий'!$S$25:$S$240,'Эффекты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2034'!B34+'Иран 2034'!D34+('Иран 2034'!C34+'Иран 2034'!F34+'Иран 2034'!G34)+(0.35*LN(1+0.6*'Ход 2034'!B40)*POWER(MAX(0,1-'Иран 2034'!I34/10),0.7))))</x:f>
        <x:v>9.299999999999995</x:v>
      </x:c>
      <x:c r="C34" s="3" t="n">
        <x:f>MIN(1,(MIN(1,'Иран 2034'!C34+'Иран 2034'!F34+(0.08*LN(1+0.5*'Ход 2034'!C40)*MAX(0,1-('Иран 2034'!C34+'Иран 2034'!F34)))))+(SUMIFS('Эффекты технологий'!$S$25:$S$240,'Эффекты технологий'!$C$25:$C$240,$A34,'Эффекты технологий'!$D$25:$D$240,"Прирост")-SUMIFS('Эффекты технологий'!$R$25:$R$240,'Эффекты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9.299999999999995</x:v>
      </x:c>
      <x:c r="J34" s="10" t="n">
        <x:f>SUMIFS('Эффекты технологий'!$S$25:$S$240,'Эффекты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2034'!B35+'Иран 2034'!D35+('Иран 2034'!C35+'Иран 2034'!F35+'Иран 2034'!G35)+(0.35*LN(1+0.6*'Ход 2034'!B41)*POWER(MAX(0,1-'Иран 2034'!I35/10),0.7))))</x:f>
        <x:v>8.899999999999997</x:v>
      </x:c>
      <x:c r="C35" s="3" t="n">
        <x:f>MIN(1,(MIN(1,'Иран 2034'!C35+'Иран 2034'!F35+(0.08*LN(1+0.5*'Ход 2034'!C41)*MAX(0,1-('Иран 2034'!C35+'Иран 2034'!F35)))))+(SUMIFS('Эффекты технологий'!$S$25:$S$240,'Эффекты технологий'!$C$25:$C$240,$A35,'Эффекты технологий'!$D$25:$D$240,"Прирост")-SUMIFS('Эффекты технологий'!$R$25:$R$240,'Эффекты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8.899999999999997</x:v>
      </x:c>
      <x:c r="J35" s="10" t="n">
        <x:f>SUMIFS('Эффекты технологий'!$S$25:$S$240,'Эффекты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2034'!B36+'Иран 2034'!D36+('Иран 2034'!C36+'Иран 2034'!F36+'Иран 2034'!G36)+(0.35*LN(1+0.6*'Ход 2034'!B42)*POWER(MAX(0,1-'Иран 2034'!I36/10),0.7))))</x:f>
        <x:v>8.3</x:v>
      </x:c>
      <x:c r="C36" s="3" t="n">
        <x:f>MIN(1,(MIN(1,'Иран 2034'!C36+'Иран 2034'!F36+(0.08*LN(1+0.5*'Ход 2034'!C42)*MAX(0,1-('Иран 2034'!C36+'Иран 2034'!F36)))))+(SUMIFS('Эффекты технологий'!$S$25:$S$240,'Эффекты технологий'!$C$25:$C$240,$A36,'Эффекты технологий'!$D$25:$D$240,"Прирост")-SUMIFS('Эффекты технологий'!$R$25:$R$240,'Эффекты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8.3</x:v>
      </x:c>
      <x:c r="J36" s="10" t="n">
        <x:f>SUMIFS('Эффекты технологий'!$S$25:$S$240,'Эффекты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2034'!B37+'Иран 2034'!D37+('Иран 2034'!C37+'Иран 2034'!F37+'Иран 2034'!G37)+(0.35*LN(1+0.6*'Ход 2034'!B43)*POWER(MAX(0,1-'Иран 2034'!I37/10),0.7))))</x:f>
        <x:v>6.800000000000002</x:v>
      </x:c>
      <x:c r="C37" s="3" t="n">
        <x:f>MIN(1,(MIN(1,'Иран 2034'!C37+'Иран 2034'!F37+(0.08*LN(1+0.5*'Ход 2034'!C43)*MAX(0,1-('Иран 2034'!C37+'Иран 2034'!F37)))))+(SUMIFS('Эффекты технологий'!$S$25:$S$240,'Эффекты технологий'!$C$25:$C$240,$A37,'Эффекты технологий'!$D$25:$D$240,"Прирост")-SUMIFS('Эффекты технологий'!$R$25:$R$240,'Эффекты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6.800000000000002</x:v>
      </x:c>
      <x:c r="J37" s="10" t="n">
        <x:f>SUMIFS('Эффекты технологий'!$S$25:$S$240,'Эффекты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2034'!B38+'Иран 2034'!D38+('Иран 2034'!C38+'Иран 2034'!F38+'Иран 2034'!G38)+(0.35*LN(1+0.6*'Ход 2034'!B44)*POWER(MAX(0,1-'Иран 2034'!I38/10),0.7))))</x:f>
        <x:v>7.300000000000002</x:v>
      </x:c>
      <x:c r="C38" s="3" t="n">
        <x:f>MIN(1,(MIN(1,'Иран 2034'!C38+'Иран 2034'!F38+(0.08*LN(1+0.5*'Ход 2034'!C44)*MAX(0,1-('Иран 2034'!C38+'Иран 2034'!F38)))))+(SUMIFS('Эффекты технологий'!$S$25:$S$240,'Эффекты технологий'!$C$25:$C$240,$A38,'Эффекты технологий'!$D$25:$D$240,"Прирост")-SUMIFS('Эффекты технологий'!$R$25:$R$240,'Эффекты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7.300000000000002</x:v>
      </x:c>
      <x:c r="J38" s="10" t="n">
        <x:f>SUMIFS('Эффекты технологий'!$S$25:$S$240,'Эффекты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2034'!B39+'Иран 2034'!D39+('Иран 2034'!C39+'Иран 2034'!F39+'Иран 2034'!G39)+(0.35*LN(1+0.6*'Ход 2034'!B45)*POWER(MAX(0,1-'Иран 2034'!I39/10),0.7))))</x:f>
        <x:v>7.800000000000002</x:v>
      </x:c>
      <x:c r="C39" s="3" t="n">
        <x:f>MIN(1,(MIN(1,'Иран 2034'!C39+'Иран 2034'!F39+(0.08*LN(1+0.5*'Ход 2034'!C45)*MAX(0,1-('Иран 2034'!C39+'Иран 2034'!F39)))))+(SUMIFS('Эффекты технологий'!$S$25:$S$240,'Эффекты технологий'!$C$25:$C$240,$A39,'Эффекты технологий'!$D$25:$D$240,"Прирост")-SUMIFS('Эффекты технологий'!$R$25:$R$240,'Эффекты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7.800000000000002</x:v>
      </x:c>
      <x:c r="J39" s="10" t="n">
        <x:f>SUMIFS('Эффекты технологий'!$S$25:$S$240,'Эффекты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2034'!B40+'Иран 2034'!D40+('Иран 2034'!C40+'Иран 2034'!F40+'Иран 2034'!G40)+(0.35*LN(1+0.6*'Ход 2034'!B46)*POWER(MAX(0,1-'Иран 2034'!I40/10),0.7))))</x:f>
        <x:v>5.850000000000003</x:v>
      </x:c>
      <x:c r="C40" s="3" t="n">
        <x:f>MIN(1,(MIN(1,'Иран 2034'!C40+'Иран 2034'!F40+(0.08*LN(1+0.5*'Ход 2034'!C46)*MAX(0,1-('Иран 2034'!C40+'Иран 2034'!F40)))))+(SUMIFS('Эффекты технологий'!$S$25:$S$240,'Эффекты технологий'!$C$25:$C$240,$A40,'Эффекты технологий'!$D$25:$D$240,"Прирост")-SUMIFS('Эффекты технологий'!$R$25:$R$240,'Эффекты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5.850000000000003</x:v>
      </x:c>
      <x:c r="J40" s="10" t="n">
        <x:f>SUMIFS('Эффекты технологий'!$S$25:$S$240,'Эффекты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2034'!B41+'Иран 2034'!D41+('Иран 2034'!C41+'Иран 2034'!F41+'Иран 2034'!G41)+(0.35*LN(1+0.6*'Ход 2034'!B47)*POWER(MAX(0,1-'Иран 2034'!I41/10),0.7))))</x:f>
        <x:v>6.800000000000002</x:v>
      </x:c>
      <x:c r="C41" s="3" t="n">
        <x:f>MIN(1,(MIN(1,'Иран 2034'!C41+'Иран 2034'!F41+(0.08*LN(1+0.5*'Ход 2034'!C47)*MAX(0,1-('Иран 2034'!C41+'Иран 2034'!F41)))))+(SUMIFS('Эффекты технологий'!$S$25:$S$240,'Эффекты технологий'!$C$25:$C$240,$A41,'Эффекты технологий'!$D$25:$D$240,"Прирост")-SUMIFS('Эффекты технологий'!$R$25:$R$240,'Эффекты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6.800000000000002</x:v>
      </x:c>
      <x:c r="J41" s="10" t="n">
        <x:f>SUMIFS('Эффекты технологий'!$S$25:$S$240,'Эффекты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2034'!B42+'Иран 2034'!D42+('Иран 2034'!C42+'Иран 2034'!F42+'Иран 2034'!G42)+(0.35*LN(1+0.6*'Ход 2034'!B48)*POWER(MAX(0,1-'Иран 2034'!I42/10),0.7))))</x:f>
        <x:v>7.899999999999997</x:v>
      </x:c>
      <x:c r="C42" s="3" t="n">
        <x:f>MIN(1,(MIN(1,'Иран 2034'!C42+'Иран 2034'!F42+(0.08*LN(1+0.5*'Ход 2034'!C48)*MAX(0,1-('Иран 2034'!C42+'Иран 2034'!F42)))))+(SUMIFS('Эффекты технологий'!$S$25:$S$240,'Эффекты технологий'!$C$25:$C$240,$A42,'Эффекты технологий'!$D$25:$D$240,"Прирост")-SUMIFS('Эффекты технологий'!$R$25:$R$240,'Эффекты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7.899999999999997</x:v>
      </x:c>
      <x:c r="J42" s="10" t="n">
        <x:f>SUMIFS('Эффекты технологий'!$S$25:$S$240,'Эффекты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2034'!B44+'Иран 2034'!D44+('Иран 2034'!C44+'Иран 2034'!F44+'Иран 2034'!G44)+(0.35*LN(1+0.6*'Ход 2034'!B50)*POWER(MAX(0,1-'Иран 2034'!I44/10),0.7))))</x:f>
        <x:v>4.899999999999997</x:v>
      </x:c>
      <x:c r="C44" s="3" t="n">
        <x:f>MIN(1,(MIN(1,'Иран 2034'!C44+'Иран 2034'!F44+(0.08*LN(1+0.5*'Ход 2034'!C50)*MAX(0,1-('Иран 2034'!C44+'Иран 2034'!F44)))))+(SUMIFS('Эффекты технологий'!$S$25:$S$240,'Эффекты технологий'!$C$25:$C$240,$A44,'Эффекты технологий'!$D$25:$D$240,"Прирост")-SUMIFS('Эффекты технологий'!$R$25:$R$240,'Эффекты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4.899999999999997</x:v>
      </x:c>
      <x:c r="J44" s="10" t="n">
        <x:f>SUMIFS('Эффекты технологий'!$S$25:$S$240,'Эффекты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2034'!B45+'Иран 2034'!D45+('Иран 2034'!C45+'Иран 2034'!F45+'Иран 2034'!G45)+(0.35*LN(1+0.6*'Ход 2034'!B51)*POWER(MAX(0,1-'Иран 2034'!I45/10),0.7))))</x:f>
        <x:v>6.350000000000003</x:v>
      </x:c>
      <x:c r="C45" s="3" t="n">
        <x:f>MIN(1,(MIN(1,'Иран 2034'!C45+'Иран 2034'!F45+(0.08*LN(1+0.5*'Ход 2034'!C51)*MAX(0,1-('Иран 2034'!C45+'Иран 2034'!F45)))))+(SUMIFS('Эффекты технологий'!$S$25:$S$240,'Эффекты технологий'!$C$25:$C$240,$A45,'Эффекты технологий'!$D$25:$D$240,"Прирост")-SUMIFS('Эффекты технологий'!$R$25:$R$240,'Эффекты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6.350000000000003</x:v>
      </x:c>
      <x:c r="J45" s="10" t="n">
        <x:f>SUMIFS('Эффекты технологий'!$S$25:$S$240,'Эффекты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2034'!B46+'Иран 2034'!D46+('Иран 2034'!C46+'Иран 2034'!F46+'Иран 2034'!G46)+(0.35*LN(1+0.6*'Ход 2034'!B52)*POWER(MAX(0,1-'Иран 2034'!I46/10),0.7))))</x:f>
        <x:v>6.350000000000003</x:v>
      </x:c>
      <x:c r="C46" s="3" t="n">
        <x:f>MIN(1,(MIN(1,'Иран 2034'!C46+'Иран 2034'!F46+(0.08*LN(1+0.5*'Ход 2034'!C52)*MAX(0,1-('Иран 2034'!C46+'Иран 2034'!F46)))))+(SUMIFS('Эффекты технологий'!$S$25:$S$240,'Эффекты технологий'!$C$25:$C$240,$A46,'Эффекты технологий'!$D$25:$D$240,"Прирост")-SUMIFS('Эффекты технологий'!$R$25:$R$240,'Эффекты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6.350000000000003</x:v>
      </x:c>
      <x:c r="J46" s="10" t="n">
        <x:f>SUMIFS('Эффекты технологий'!$S$25:$S$240,'Эффекты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2034'!B47+'Иран 2034'!D47+('Иран 2034'!C47+'Иран 2034'!F47+'Иран 2034'!G47)+(0.35*LN(1+0.6*'Ход 2034'!B53)*POWER(MAX(0,1-'Иран 2034'!I47/10),0.7))))</x:f>
        <x:v>2.0500000000000016</x:v>
      </x:c>
      <x:c r="C47" s="3" t="n">
        <x:f>MIN(1,(MIN(1,'Иран 2034'!C47+'Иран 2034'!F47+(0.08*LN(1+0.5*'Ход 2034'!C53)*MAX(0,1-('Иран 2034'!C47+'Иран 2034'!F47)))))+(SUMIFS('Эффекты технологий'!$S$25:$S$240,'Эффекты технологий'!$C$25:$C$240,$A47,'Эффекты технологий'!$D$25:$D$240,"Прирост")-SUMIFS('Эффекты технологий'!$R$25:$R$240,'Эффекты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2.0500000000000016</x:v>
      </x:c>
      <x:c r="J47" s="10" t="n">
        <x:f>SUMIFS('Эффекты технологий'!$S$25:$S$240,'Эффекты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2034'!B48+'Иран 2034'!D48+('Иран 2034'!C48+'Иран 2034'!F48+'Иран 2034'!G48)+(0.35*LN(1+0.6*'Ход 2034'!B54)*POWER(MAX(0,1-'Иран 2034'!I48/10),0.7))))</x:f>
        <x:v>6.399999999999997</x:v>
      </x:c>
      <x:c r="C48" s="3" t="n">
        <x:f>MIN(1,(MIN(1,'Иран 2034'!C48+'Иран 2034'!F48+(0.08*LN(1+0.5*'Ход 2034'!C54)*MAX(0,1-('Иран 2034'!C48+'Иран 2034'!F48)))))+(SUMIFS('Эффекты технологий'!$S$25:$S$240,'Эффекты технологий'!$C$25:$C$240,$A48,'Эффекты технологий'!$D$25:$D$240,"Прирост")-SUMIFS('Эффекты технологий'!$R$25:$R$240,'Эффекты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6.399999999999997</x:v>
      </x:c>
      <x:c r="J48" s="10" t="n">
        <x:f>SUMIFS('Эффекты технологий'!$S$25:$S$240,'Эффекты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2034'!B49+'Иран 2034'!D49+('Иран 2034'!C49+'Иран 2034'!F49+'Иран 2034'!G49)+(0.35*LN(1+0.6*'Ход 2034'!B55)*POWER(MAX(0,1-'Иран 2034'!I49/10),0.7))))</x:f>
        <x:v>8.75</x:v>
      </x:c>
      <x:c r="C49" s="3" t="n">
        <x:f>MIN(1,(MIN(1,'Иран 2034'!C49+'Иран 2034'!F49+(0.08*LN(1+0.5*'Ход 2034'!C55)*MAX(0,1-('Иран 2034'!C49+'Иран 2034'!F49)))))+(SUMIFS('Эффекты технологий'!$S$25:$S$240,'Эффекты технологий'!$C$25:$C$240,$A49,'Эффекты технологий'!$D$25:$D$240,"Прирост")-SUMIFS('Эффекты технологий'!$R$25:$R$240,'Эффекты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8.75</x:v>
      </x:c>
      <x:c r="J49" s="10" t="n">
        <x:f>SUMIFS('Эффекты технологий'!$S$25:$S$240,'Эффекты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2034'!B50+'Иран 2034'!D50+('Иран 2034'!C50+'Иран 2034'!F50+'Иран 2034'!G50)+(0.35*LN(1+0.6*'Ход 2034'!B56)*POWER(MAX(0,1-'Иран 2034'!I50/10),0.7))))</x:f>
        <x:v>9.450000000000006</x:v>
      </x:c>
      <x:c r="C50" s="3" t="n">
        <x:f>MIN(1,(MIN(1,'Иран 2034'!C50+'Иран 2034'!F50+(0.08*LN(1+0.5*'Ход 2034'!C56)*MAX(0,1-('Иран 2034'!C50+'Иран 2034'!F50)))))+(SUMIFS('Эффекты технологий'!$S$25:$S$240,'Эффекты технологий'!$C$25:$C$240,$A50,'Эффекты технологий'!$D$25:$D$240,"Прирост")-SUMIFS('Эффекты технологий'!$R$25:$R$240,'Эффекты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9.450000000000006</x:v>
      </x:c>
      <x:c r="J50" s="10" t="n">
        <x:f>SUMIFS('Эффекты технологий'!$S$25:$S$240,'Эффекты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2034'!B51+'Иран 2034'!D51+('Иран 2034'!C51+'Иран 2034'!F51+'Иран 2034'!G51)+(0.35*LN(1+0.6*'Ход 2034'!B57)*POWER(MAX(0,1-'Иран 2034'!I51/10),0.7))))</x:f>
        <x:v>7.800000000000002</x:v>
      </x:c>
      <x:c r="C51" s="3" t="n">
        <x:f>MIN(1,(MIN(1,'Иран 2034'!C51+'Иран 2034'!F51+(0.08*LN(1+0.5*'Ход 2034'!C57)*MAX(0,1-('Иран 2034'!C51+'Иран 2034'!F51)))))+(SUMIFS('Эффекты технологий'!$S$25:$S$240,'Эффекты технологий'!$C$25:$C$240,$A51,'Эффекты технологий'!$D$25:$D$240,"Прирост")-SUMIFS('Эффекты технологий'!$R$25:$R$240,'Эффекты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7.800000000000002</x:v>
      </x:c>
      <x:c r="J51" s="10" t="n">
        <x:f>SUMIFS('Эффекты технологий'!$S$25:$S$240,'Эффекты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2034'!B53+'Иран 2034'!D53+('Иран 2034'!C53+'Иран 2034'!F53+'Иран 2034'!G53)+(0.35*LN(1+0.6*'Ход 2034'!B59)*POWER(MAX(0,1-'Иран 2034'!I53/10),0.7))))</x:f>
        <x:v>7.300000000000002</x:v>
      </x:c>
      <x:c r="C53" s="3" t="n">
        <x:f>MIN(1,(MIN(1,'Иран 2034'!C53+'Иран 2034'!F53+(0.08*LN(1+0.5*'Ход 2034'!C59)*MAX(0,1-('Иран 2034'!C53+'Иран 2034'!F53)))))+(SUMIFS('Эффекты технологий'!$S$25:$S$240,'Эффекты технологий'!$C$25:$C$240,$A53,'Эффекты технологий'!$D$25:$D$240,"Прирост")-SUMIFS('Эффекты технологий'!$R$25:$R$240,'Эффекты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7.300000000000002</x:v>
      </x:c>
      <x:c r="J53" s="10" t="n">
        <x:f>SUMIFS('Эффекты технологий'!$S$25:$S$240,'Эффекты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2034'!B54+'Иран 2034'!D54+('Иран 2034'!C54+'Иран 2034'!F54+'Иран 2034'!G54)+(0.35*LN(1+0.6*'Ход 2034'!B60)*POWER(MAX(0,1-'Иран 2034'!I54/10),0.7))))</x:f>
        <x:v>6.800000000000002</x:v>
      </x:c>
      <x:c r="C54" s="3" t="n">
        <x:f>MIN(1,(MIN(1,'Иран 2034'!C54+'Иран 2034'!F54+(0.08*LN(1+0.5*'Ход 2034'!C60)*MAX(0,1-('Иран 2034'!C54+'Иран 2034'!F54)))))+(SUMIFS('Эффекты технологий'!$S$25:$S$240,'Эффекты технологий'!$C$25:$C$240,$A54,'Эффекты технологий'!$D$25:$D$240,"Прирост")-SUMIFS('Эффекты технологий'!$R$25:$R$240,'Эффекты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6.800000000000002</x:v>
      </x:c>
      <x:c r="J54" s="10" t="n">
        <x:f>SUMIFS('Эффекты технологий'!$S$25:$S$240,'Эффекты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2034'!B55+'Иран 2034'!D55+('Иран 2034'!C55+'Иран 2034'!F55+'Иран 2034'!G55)+(0.35*LN(1+0.6*'Ход 2034'!B61)*POWER(MAX(0,1-'Иран 2034'!I55/10),0.7))))</x:f>
        <x:v>6.850000000000003</x:v>
      </x:c>
      <x:c r="C55" s="3" t="n">
        <x:f>MIN(1,(MIN(1,'Иран 2034'!C55+'Иран 2034'!F55+(0.08*LN(1+0.5*'Ход 2034'!C61)*MAX(0,1-('Иран 2034'!C55+'Иран 2034'!F55)))))+(SUMIFS('Эффекты технологий'!$S$25:$S$240,'Эффекты технологий'!$C$25:$C$240,$A55,'Эффекты технологий'!$D$25:$D$240,"Прирост")-SUMIFS('Эффекты технологий'!$R$25:$R$240,'Эффекты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6.850000000000003</x:v>
      </x:c>
      <x:c r="J55" s="10" t="n">
        <x:f>SUMIFS('Эффекты технологий'!$S$25:$S$240,'Эффекты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357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2035'!U6</x:f>
        <x:v>90.91994185722639</x:v>
      </x:c>
      <x:c r="C6" s="3"/>
      <x:c r="D6" s="3"/>
      <x:c r="E6" s="3" t="s">
        <x:v>321</x:v>
      </x:c>
      <x:c r="F6" s="3" t="n">
        <x:f>'Иран 2035'!K6</x:f>
        <x:v>78.03583566845103</x:v>
      </x:c>
      <x:c r="G6" s="3"/>
      <x:c r="H6" s="3"/>
      <x:c r="I6" s="3" t="s">
        <x:v>321</x:v>
      </x:c>
      <x:c r="J6" s="3" t="n">
        <x:f>'Иран 2035'!N6</x:f>
        <x:v>91.24088045373001</x:v>
      </x:c>
      <x:c r="K6" s="3"/>
      <x:c r="L6" s="3"/>
      <x:c r="M6" s="3" t="s">
        <x:v>321</x:v>
      </x:c>
      <x:c r="N6" s="3" t="n">
        <x:f>'Иран 2035'!Q6</x:f>
        <x:v>64.15830996818464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90.91994185722639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78.03583566845103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91.24088045373001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64.15830996818464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2035'!V11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2035'!V12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2035'!V13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2035'!V14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2035'!V15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2035'!V16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2035'!V17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2035'!V18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2035'!V19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2035'!V20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2035'!V21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2035'!V22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технологий'!S$16</x:f>
        <x:v>0</x:v>
      </x:c>
      <x:c r="H25" s="11" t="n">
        <x:f>'Эффекты технологий'!S$17</x:f>
        <x:v>0</x:v>
      </x:c>
      <x:c r="I25" s="11" t="n">
        <x:f>'Эффекты технологий'!S$18</x:f>
        <x:v>0</x:v>
      </x:c>
      <x:c r="J25" s="12"/>
      <x:c r="K25" s="3"/>
      <x:c r="L25" s="3" t="str">
        <x:v>Бразилия</x:v>
      </x:c>
      <x:c r="M25" s="3" t="n">
        <x:f>'Иран 2035'!V23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2035'!V24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2035'!V25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2035'!V26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IF(G29="","",VLOOKUP(G29,Технологии!$A$11:$BF$50,53,FALSE))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IF(G30="","",VLOOKUP(G30,Технологии!$A$11:$BF$50,53,FALSE))</x:f>
      </x:c>
      <x:c r="L30" s="3"/>
      <x:c r="M30" s="3"/>
      <x:c r="N30" s="12" t="s">
        <x:v>340</x:v>
      </x:c>
      <x:c r="O30" s="11" t="n">
        <x:f>'Эффекты технологий'!S$13</x:f>
        <x:v>0</x:v>
      </x:c>
      <x:c r="P30" s="11" t="n">
        <x:f>'Эффекты технологий'!S$14</x:f>
        <x:v>0</x:v>
      </x:c>
      <x:c r="Q30" s="11" t="n">
        <x:f>'Эффекты технологий'!S$15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IF(G31="","",VLOOKUP(G31,Технологии!$A$11:$BF$50,53,FALSE))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IF(G32="","",VLOOKUP(G32,Технологии!$A$11:$BF$50,53,FALSE))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IF(G33="","",VLOOKUP(G33,Технологии!$A$11:$BF$50,53,FALSE))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IF(G34="","",VLOOKUP(G34,Технологии!$A$11:$BF$50,53,FALSE))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IF(G35="","",VLOOKUP(G35,Технологии!$A$11:$BF$50,53,FALSE))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IF(G36="","",VLOOKUP(G36,Технологии!$A$11:$BF$50,53,FALSE))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IF(G37="","",VLOOKUP(G37,Технологии!$A$11:$BF$50,53,FALSE))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IF(G38="","",VLOOKUP(G38,Технологии!$A$11:$BF$50,53,FALSE))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2036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79.83091962740343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92.6108969118327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65.1992555637754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91.8025945809483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2035'!B8+'Иран 2035'!D8+('Иран 2035'!C8+'Иран 2035'!F8+'Иран 2035'!G8)+(0.35*LN(1+0.6*('Ход 2035'!B14*(1+'Эффекты технологий'!S$12)))*POWER(MAX(0,1-'Иран 2035'!I8/10),0.7))))</x:f>
        <x:v>8.999999999999996</x:v>
      </x:c>
      <x:c r="C8" s="3" t="n">
        <x:f>MIN(1,(MIN(1,'Иран 2035'!C8+'Иран 2035'!F8+(0.08*LN(1+0.5*('Ход 2035'!C14*(1+'Эффекты технологий'!S$12)))*MAX(0,1-('Иран 2035'!C8+'Иран 2035'!F8)))))+(SUMIFS('Эффекты технологий'!$T$25:$T$240,'Эффекты технологий'!$C$25:$C$240,$A8,'Эффекты технологий'!$D$25:$D$240,"Прирост")-SUMIFS('Эффекты технологий'!$S$25:$S$240,'Эффекты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8.999999999999996</x:v>
      </x:c>
      <x:c r="J8" s="10" t="n">
        <x:f>SUMIFS('Эффекты технологий'!$T$25:$T$240,'Эффекты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2035'!B9+'Иран 2035'!D9+('Иран 2035'!C9+'Иран 2035'!F9+'Иран 2035'!G9)+(0.35*LN(1+0.6*('Ход 2035'!B15*(1+'Эффекты технологий'!S$12)))*POWER(MAX(0,1-'Иран 2035'!I9/10),0.7))))</x:f>
        <x:v>7.9999999999999964</x:v>
      </x:c>
      <x:c r="C9" s="3" t="n">
        <x:f>MIN(1,(MIN(1,'Иран 2035'!C9+'Иран 2035'!F9+(0.08*LN(1+0.5*('Ход 2035'!C15*(1+'Эффекты технологий'!S$12)))*MAX(0,1-('Иран 2035'!C9+'Иран 2035'!F9)))))+(SUMIFS('Эффекты технологий'!$T$25:$T$240,'Эффекты технологий'!$C$25:$C$240,$A9,'Эффекты технологий'!$D$25:$D$240,"Прирост")-SUMIFS('Эффекты технологий'!$S$25:$S$240,'Эффекты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7.9999999999999964</x:v>
      </x:c>
      <x:c r="J9" s="10" t="n">
        <x:f>SUMIFS('Эффекты технологий'!$T$25:$T$240,'Эффекты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2035'!B10+'Иран 2035'!D10+('Иран 2035'!C10+'Иран 2035'!F10+'Иран 2035'!G10)+(0.35*LN(1+0.6*('Ход 2035'!B16*(1+'Эффекты технологий'!S$12)))*POWER(MAX(0,1-'Иран 2035'!I10/10),0.7))))</x:f>
        <x:v>10</x:v>
      </x:c>
      <x:c r="C10" s="3" t="n">
        <x:f>MIN(1,(MIN(1,'Иран 2035'!C10+'Иран 2035'!F10+(0.08*LN(1+0.5*('Ход 2035'!C16*(1+'Эффекты технологий'!S$12)))*MAX(0,1-('Иран 2035'!C10+'Иран 2035'!F10)))))+(SUMIFS('Эффекты технологий'!$T$25:$T$240,'Эффекты технологий'!$C$25:$C$240,$A10,'Эффекты технологий'!$D$25:$D$240,"Прирост")-SUMIFS('Эффекты технологий'!$S$25:$S$240,'Эффекты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10</x:v>
      </x:c>
      <x:c r="J10" s="10" t="n">
        <x:f>SUMIFS('Эффекты технологий'!$T$25:$T$240,'Эффекты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2035'!B11+'Иран 2035'!D11+('Иран 2035'!C11+'Иран 2035'!F11+'Иран 2035'!G11)+(0.35*LN(1+0.6*('Ход 2035'!B17*(1+'Эффекты технологий'!S$12)))*POWER(MAX(0,1-'Иран 2035'!I11/10),0.7))))</x:f>
        <x:v>3.9999999999999982</x:v>
      </x:c>
      <x:c r="C11" s="3" t="n">
        <x:f>MIN(1,(MIN(1,'Иран 2035'!C11+'Иран 2035'!F11+(0.08*LN(1+0.5*('Ход 2035'!C17*(1+'Эффекты технологий'!S$12)))*MAX(0,1-('Иран 2035'!C11+'Иран 2035'!F11)))))+(SUMIFS('Эффекты технологий'!$T$25:$T$240,'Эффекты технологий'!$C$25:$C$240,$A11,'Эффекты технологий'!$D$25:$D$240,"Прирост")-SUMIFS('Эффекты технологий'!$S$25:$S$240,'Эффекты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3.9999999999999982</x:v>
      </x:c>
      <x:c r="J11" s="10" t="n">
        <x:f>SUMIFS('Эффекты технологий'!$T$25:$T$240,'Эффекты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2035'!L11+'Иран 2035'!N11+('Иран 2035'!M11+'Иран 2035'!P11+'Иран 2035'!Q11)))</x:f>
        <x:v>8</x:v>
      </x:c>
      <x:c r="M11" s="3" t="n">
        <x:f>MIN(1,(MIN(1,'Иран 2035'!M11+'Иран 2035'!P11+(0.1*LN(1+0.5*('Ход 2035'!H13*(1+'Эффекты технологий'!S$10)))*POWER(MAX(0,1-'Иран 2035'!S11/10),0.8))))+(SUMIFS('Эффекты технологий'!$T$25:$T$240,'Эффекты технологий'!$C$25:$C$240,$K11,'Эффекты технологий'!$D$25:$D$240,"Прирост")-SUMIFS('Эффекты технологий'!$S$25:$S$240,'Эффекты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8</x:v>
      </x:c>
      <x:c r="T11" s="10" t="n">
        <x:f>SUMIFS('Эффекты технологий'!$T$25:$T$240,'Эффекты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2035'!V11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2035'!B12+'Иран 2035'!D12+('Иран 2035'!C12+'Иран 2035'!F12+'Иран 2035'!G12)+(0.35*LN(1+0.6*('Ход 2035'!B18*(1+'Эффекты технологий'!S$12)))*POWER(MAX(0,1-'Иран 2035'!I12/10),0.7))))</x:f>
        <x:v>8.500000000000007</x:v>
      </x:c>
      <x:c r="C12" s="3" t="n">
        <x:f>MIN(1,(MIN(1,'Иран 2035'!C12+'Иран 2035'!F12+(0.08*LN(1+0.5*('Ход 2035'!C18*(1+'Эффекты технологий'!S$12)))*MAX(0,1-('Иран 2035'!C12+'Иран 2035'!F12)))))+(SUMIFS('Эффекты технологий'!$T$25:$T$240,'Эффекты технологий'!$C$25:$C$240,$A12,'Эффекты технологий'!$D$25:$D$240,"Прирост")-SUMIFS('Эффекты технологий'!$S$25:$S$240,'Эффекты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8.500000000000007</x:v>
      </x:c>
      <x:c r="J12" s="10" t="n">
        <x:f>SUMIFS('Эффекты технологий'!$T$25:$T$240,'Эффекты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2035'!L12+'Иран 2035'!N12+('Иран 2035'!M12+'Иран 2035'!P12+'Иран 2035'!Q12)))</x:f>
        <x:v>8</x:v>
      </x:c>
      <x:c r="M12" s="3" t="n">
        <x:f>MIN(1,(MIN(1,'Иран 2035'!M12+'Иран 2035'!P12+(0.1*LN(1+0.5*('Ход 2035'!H14*(1+'Эффекты технологий'!S$10)))*POWER(MAX(0,1-'Иран 2035'!S12/10),0.8))))+(SUMIFS('Эффекты технологий'!$T$25:$T$240,'Эффекты технологий'!$C$25:$C$240,$K12,'Эффекты технологий'!$D$25:$D$240,"Прирост")-SUMIFS('Эффекты технологий'!$S$25:$S$240,'Эффекты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8</x:v>
      </x:c>
      <x:c r="T12" s="10" t="n">
        <x:f>SUMIFS('Эффекты технологий'!$T$25:$T$240,'Эффекты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2035'!V12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2035'!B13+'Иран 2035'!D13+('Иран 2035'!C13+'Иран 2035'!F13+'Иран 2035'!G13)+(0.35*LN(1+0.6*('Ход 2035'!B19*(1+'Эффекты технологий'!S$12)))*POWER(MAX(0,1-'Иран 2035'!I13/10),0.7))))</x:f>
        <x:v>4.000000000000002</x:v>
      </x:c>
      <x:c r="C13" s="3" t="n">
        <x:f>MIN(1,(MIN(1,'Иран 2035'!C13+'Иран 2035'!F13+(0.08*LN(1+0.5*('Ход 2035'!C19*(1+'Эффекты технологий'!S$12)))*MAX(0,1-('Иран 2035'!C13+'Иран 2035'!F13)))))+(SUMIFS('Эффекты технологий'!$T$25:$T$240,'Эффекты технологий'!$C$25:$C$240,$A13,'Эффекты технологий'!$D$25:$D$240,"Прирост")-SUMIFS('Эффекты технологий'!$S$25:$S$240,'Эффекты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4.000000000000002</x:v>
      </x:c>
      <x:c r="J13" s="10" t="n">
        <x:f>SUMIFS('Эффекты технологий'!$T$25:$T$240,'Эффекты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2035'!L13+'Иран 2035'!N13+('Иран 2035'!M13+'Иран 2035'!P13+'Иран 2035'!Q13)))</x:f>
        <x:v>8.999999999999996</x:v>
      </x:c>
      <x:c r="M13" s="3" t="n">
        <x:f>MIN(1,(MIN(1,'Иран 2035'!M13+'Иран 2035'!P13+(0.1*LN(1+0.5*('Ход 2035'!H15*(1+'Эффекты технологий'!S$10)))*POWER(MAX(0,1-'Иран 2035'!S13/10),0.8))))+(SUMIFS('Эффекты технологий'!$T$25:$T$240,'Эффекты технологий'!$C$25:$C$240,$K13,'Эффекты технологий'!$D$25:$D$240,"Прирост")-SUMIFS('Эффекты технологий'!$S$25:$S$240,'Эффекты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8.999999999999996</x:v>
      </x:c>
      <x:c r="T13" s="10" t="n">
        <x:f>SUMIFS('Эффекты технологий'!$T$25:$T$240,'Эффекты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2035'!V13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2035'!B14+'Иран 2035'!D14+('Иран 2035'!C14+'Иран 2035'!F14+'Иран 2035'!G14)+(0.35*LN(1+0.6*('Ход 2035'!B20*(1+'Эффекты технологий'!S$12)))*POWER(MAX(0,1-'Иран 2035'!I14/10),0.7))))</x:f>
        <x:v>5.000000000000002</x:v>
      </x:c>
      <x:c r="C14" s="3" t="n">
        <x:f>MIN(1,(MIN(1,'Иран 2035'!C14+'Иран 2035'!F14+(0.08*LN(1+0.5*('Ход 2035'!C20*(1+'Эффекты технологий'!S$12)))*MAX(0,1-('Иран 2035'!C14+'Иран 2035'!F14)))))+(SUMIFS('Эффекты технологий'!$T$25:$T$240,'Эффекты технологий'!$C$25:$C$240,$A14,'Эффекты технологий'!$D$25:$D$240,"Прирост")-SUMIFS('Эффекты технологий'!$S$25:$S$240,'Эффекты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5.000000000000002</x:v>
      </x:c>
      <x:c r="J14" s="10" t="n">
        <x:f>SUMIFS('Эффекты технологий'!$T$25:$T$240,'Эффекты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2035'!L14+'Иран 2035'!N14+('Иран 2035'!M14+'Иран 2035'!P14+'Иран 2035'!Q14)))</x:f>
        <x:v>9</x:v>
      </x:c>
      <x:c r="M14" s="3" t="n">
        <x:f>MIN(1,(MIN(1,'Иран 2035'!M14+'Иран 2035'!P14+(0.1*LN(1+0.5*('Ход 2035'!H16*(1+'Эффекты технологий'!S$10)))*POWER(MAX(0,1-'Иран 2035'!S14/10),0.8))))+(SUMIFS('Эффекты технологий'!$T$25:$T$240,'Эффекты технологий'!$C$25:$C$240,$K14,'Эффекты технологий'!$D$25:$D$240,"Прирост")-SUMIFS('Эффекты технологий'!$S$25:$S$240,'Эффекты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9</x:v>
      </x:c>
      <x:c r="T14" s="10" t="n">
        <x:f>SUMIFS('Эффекты технологий'!$T$25:$T$240,'Эффекты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2035'!V14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2035'!B15+'Иран 2035'!D15+('Иран 2035'!C15+'Иран 2035'!F15+'Иран 2035'!G15)+(0.35*LN(1+0.6*('Ход 2035'!B21*(1+'Эффекты технологий'!S$12)))*POWER(MAX(0,1-'Иран 2035'!I15/10),0.7))))</x:f>
        <x:v>7</x:v>
      </x:c>
      <x:c r="C15" s="3" t="n">
        <x:f>MIN(1,(MIN(1,'Иран 2035'!C15+'Иран 2035'!F15+(0.08*LN(1+0.5*('Ход 2035'!C21*(1+'Эффекты технологий'!S$12)))*MAX(0,1-('Иран 2035'!C15+'Иран 2035'!F15)))))+(SUMIFS('Эффекты технологий'!$T$25:$T$240,'Эффекты технологий'!$C$25:$C$240,$A15,'Эффекты технологий'!$D$25:$D$240,"Прирост")-SUMIFS('Эффекты технологий'!$S$25:$S$240,'Эффекты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7</x:v>
      </x:c>
      <x:c r="J15" s="10" t="n">
        <x:f>SUMIFS('Эффекты технологий'!$T$25:$T$240,'Эффекты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2035'!L15+'Иран 2035'!N15+('Иран 2035'!M15+'Иран 2035'!P15+'Иран 2035'!Q15)))</x:f>
        <x:v>8.999999999999996</x:v>
      </x:c>
      <x:c r="M15" s="3" t="n">
        <x:f>MIN(1,(MIN(1,'Иран 2035'!M15+'Иран 2035'!P15+(0.1*LN(1+0.5*('Ход 2035'!H17*(1+'Эффекты технологий'!S$10)))*POWER(MAX(0,1-'Иран 2035'!S15/10),0.8))))+(SUMIFS('Эффекты технологий'!$T$25:$T$240,'Эффекты технологий'!$C$25:$C$240,$K15,'Эффекты технологий'!$D$25:$D$240,"Прирост")-SUMIFS('Эффекты технологий'!$S$25:$S$240,'Эффекты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8.999999999999996</x:v>
      </x:c>
      <x:c r="T15" s="10" t="n">
        <x:f>SUMIFS('Эффекты технологий'!$T$25:$T$240,'Эффекты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2035'!V15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2035'!B16+'Иран 2035'!D16+('Иран 2035'!C16+'Иран 2035'!F16+'Иран 2035'!G16)+(0.35*LN(1+0.6*('Ход 2035'!B22*(1+'Эффекты технологий'!S$12)))*POWER(MAX(0,1-'Иран 2035'!I16/10),0.7))))</x:f>
        <x:v>7.500000000000002</x:v>
      </x:c>
      <x:c r="C16" s="3" t="n">
        <x:f>MIN(1,(MIN(1,'Иран 2035'!C16+'Иран 2035'!F16+(0.08*LN(1+0.5*('Ход 2035'!C22*(1+'Эффекты технологий'!S$12)))*MAX(0,1-('Иран 2035'!C16+'Иран 2035'!F16)))))+(SUMIFS('Эффекты технологий'!$T$25:$T$240,'Эффекты технологий'!$C$25:$C$240,$A16,'Эффекты технологий'!$D$25:$D$240,"Прирост")-SUMIFS('Эффекты технологий'!$S$25:$S$240,'Эффекты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7.500000000000002</x:v>
      </x:c>
      <x:c r="J16" s="10" t="n">
        <x:f>SUMIFS('Эффекты технологий'!$T$25:$T$240,'Эффекты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2035'!L16+'Иран 2035'!N16+('Иран 2035'!M16+'Иран 2035'!P16+'Иран 2035'!Q16)))</x:f>
        <x:v>8</x:v>
      </x:c>
      <x:c r="M16" s="3" t="n">
        <x:f>MIN(1,(MIN(1,'Иран 2035'!M16+'Иран 2035'!P16+(0.1*LN(1+0.5*('Ход 2035'!H18*(1+'Эффекты технологий'!S$10)))*POWER(MAX(0,1-'Иран 2035'!S16/10),0.8))))+(SUMIFS('Эффекты технологий'!$T$25:$T$240,'Эффекты технологий'!$C$25:$C$240,$K16,'Эффекты технологий'!$D$25:$D$240,"Прирост")-SUMIFS('Эффекты технологий'!$S$25:$S$240,'Эффекты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8</x:v>
      </x:c>
      <x:c r="T16" s="10" t="n">
        <x:f>SUMIFS('Эффекты технологий'!$T$25:$T$240,'Эффекты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2035'!V16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2035'!B17+'Иран 2035'!D17+('Иран 2035'!C17+'Иран 2035'!F17+'Иран 2035'!G17)+(0.35*LN(1+0.6*('Ход 2035'!B23*(1+'Эффекты технологий'!S$12)))*POWER(MAX(0,1-'Иран 2035'!I17/10),0.7))))</x:f>
        <x:v>6.5000000000000036</x:v>
      </x:c>
      <x:c r="C17" s="3" t="n">
        <x:f>MIN(1,(MIN(1,'Иран 2035'!C17+'Иран 2035'!F17+(0.08*LN(1+0.5*('Ход 2035'!C23*(1+'Эффекты технологий'!S$12)))*MAX(0,1-('Иран 2035'!C17+'Иран 2035'!F17)))))+(SUMIFS('Эффекты технологий'!$T$25:$T$240,'Эффекты технологий'!$C$25:$C$240,$A17,'Эффекты технологий'!$D$25:$D$240,"Прирост")-SUMIFS('Эффекты технологий'!$S$25:$S$240,'Эффекты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6.5000000000000036</x:v>
      </x:c>
      <x:c r="J17" s="10" t="n">
        <x:f>SUMIFS('Эффекты технологий'!$T$25:$T$240,'Эффекты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2035'!L17+'Иран 2035'!N17+('Иран 2035'!M17+'Иран 2035'!P17+'Иран 2035'!Q17)))</x:f>
        <x:v>9</x:v>
      </x:c>
      <x:c r="M17" s="3" t="n">
        <x:f>MIN(1,(MIN(1,'Иран 2035'!M17+'Иран 2035'!P17+(0.1*LN(1+0.5*('Ход 2035'!H19*(1+'Эффекты технологий'!S$10)))*POWER(MAX(0,1-'Иран 2035'!S17/10),0.8))))+(SUMIFS('Эффекты технологий'!$T$25:$T$240,'Эффекты технологий'!$C$25:$C$240,$K17,'Эффекты технологий'!$D$25:$D$240,"Прирост")-SUMIFS('Эффекты технологий'!$S$25:$S$240,'Эффекты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9</x:v>
      </x:c>
      <x:c r="T17" s="10" t="n">
        <x:f>SUMIFS('Эффекты технологий'!$T$25:$T$240,'Эффекты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2035'!V17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2035'!L18+'Иран 2035'!N18+('Иран 2035'!M18+'Иран 2035'!P18+'Иран 2035'!Q18)))</x:f>
        <x:v>9</x:v>
      </x:c>
      <x:c r="M18" s="3" t="n">
        <x:f>MIN(1,(MIN(1,'Иран 2035'!M18+'Иран 2035'!P18+(0.1*LN(1+0.5*('Ход 2035'!H20*(1+'Эффекты технологий'!S$10)))*POWER(MAX(0,1-'Иран 2035'!S18/10),0.8))))+(SUMIFS('Эффекты технологий'!$T$25:$T$240,'Эффекты технологий'!$C$25:$C$240,$K18,'Эффекты технологий'!$D$25:$D$240,"Прирост")-SUMIFS('Эффекты технологий'!$S$25:$S$240,'Эффекты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9</x:v>
      </x:c>
      <x:c r="T18" s="10" t="n">
        <x:f>SUMIFS('Эффекты технологий'!$T$25:$T$240,'Эффекты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2035'!V18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2035'!B19+'Иран 2035'!D19+('Иран 2035'!C19+'Иран 2035'!F19+'Иран 2035'!G19)+(0.35*LN(1+0.6*'Ход 2035'!B25)*POWER(MAX(0,1-'Иран 2035'!I19/10),0.7))))</x:f>
        <x:v>7.500000000000002</x:v>
      </x:c>
      <x:c r="C19" s="3" t="n">
        <x:f>MIN(1,(MIN(1,'Иран 2035'!C19+'Иран 2035'!F19+(0.08*LN(1+0.5*'Ход 2035'!C25)*MAX(0,1-('Иран 2035'!C19+'Иран 2035'!F19)))))+(SUMIFS('Эффекты технологий'!$T$25:$T$240,'Эффекты технологий'!$C$25:$C$240,$A19,'Эффекты технологий'!$D$25:$D$240,"Прирост")-SUMIFS('Эффекты технологий'!$S$25:$S$240,'Эффекты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7.500000000000002</x:v>
      </x:c>
      <x:c r="J19" s="10" t="n">
        <x:f>SUMIFS('Эффекты технологий'!$T$25:$T$240,'Эффекты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2035'!V19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2035'!B20+'Иран 2035'!D20+('Иран 2035'!C20+'Иран 2035'!F20+'Иран 2035'!G20)+(0.35*LN(1+0.6*'Ход 2035'!B26)*POWER(MAX(0,1-'Иран 2035'!I20/10),0.7))))</x:f>
        <x:v>8</x:v>
      </x:c>
      <x:c r="C20" s="3" t="n">
        <x:f>MIN(1,(MIN(1,'Иран 2035'!C20+'Иран 2035'!F20+(0.08*LN(1+0.5*'Ход 2035'!C26)*MAX(0,1-('Иран 2035'!C20+'Иран 2035'!F20)))))+(SUMIFS('Эффекты технологий'!$T$25:$T$240,'Эффекты технологий'!$C$25:$C$240,$A20,'Эффекты технологий'!$D$25:$D$240,"Прирост")-SUMIFS('Эффекты технологий'!$S$25:$S$240,'Эффекты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8</x:v>
      </x:c>
      <x:c r="J20" s="10" t="n">
        <x:f>SUMIFS('Эффекты технологий'!$T$25:$T$240,'Эффекты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2035'!V20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2035'!B21+'Иран 2035'!D21+('Иран 2035'!C21+'Иран 2035'!F21+'Иран 2035'!G21)+(0.35*LN(1+0.6*'Ход 2035'!B27)*POWER(MAX(0,1-'Иран 2035'!I21/10),0.7))))</x:f>
        <x:v>7.000000000000002</x:v>
      </x:c>
      <x:c r="C21" s="3" t="n">
        <x:f>MIN(1,(MIN(1,'Иран 2035'!C21+'Иран 2035'!F21+(0.08*LN(1+0.5*'Ход 2035'!C27)*MAX(0,1-('Иран 2035'!C21+'Иран 2035'!F21)))))+(SUMIFS('Эффекты технологий'!$T$25:$T$240,'Эффекты технологий'!$C$25:$C$240,$A21,'Эффекты технологий'!$D$25:$D$240,"Прирост")-SUMIFS('Эффекты технологий'!$S$25:$S$240,'Эффекты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7.000000000000002</x:v>
      </x:c>
      <x:c r="J21" s="10" t="n">
        <x:f>SUMIFS('Эффекты технологий'!$T$25:$T$240,'Эффекты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2035'!V21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2035'!B22+'Иран 2035'!D22+('Иран 2035'!C22+'Иран 2035'!F22+'Иран 2035'!G22)+(0.35*LN(1+0.6*'Ход 2035'!B28)*POWER(MAX(0,1-'Иран 2035'!I22/10),0.7))))</x:f>
        <x:v>8.999999999999996</x:v>
      </x:c>
      <x:c r="C22" s="3" t="n">
        <x:f>MIN(1,(MIN(1,'Иран 2035'!C22+'Иран 2035'!F22+(0.08*LN(1+0.5*'Ход 2035'!C28)*MAX(0,1-('Иран 2035'!C22+'Иран 2035'!F22)))))+(SUMIFS('Эффекты технологий'!$T$25:$T$240,'Эффекты технологий'!$C$25:$C$240,$A22,'Эффекты технологий'!$D$25:$D$240,"Прирост")-SUMIFS('Эффекты технологий'!$S$25:$S$240,'Эффекты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8.999999999999996</x:v>
      </x:c>
      <x:c r="J22" s="10" t="n">
        <x:f>SUMIFS('Эффекты технологий'!$T$25:$T$240,'Эффекты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2035'!V22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2035'!B23+'Иран 2035'!D23+('Иран 2035'!C23+'Иран 2035'!F23+'Иран 2035'!G23)+(0.35*LN(1+0.6*'Ход 2035'!B29)*POWER(MAX(0,1-'Иран 2035'!I23/10),0.7))))</x:f>
        <x:v>8.5</x:v>
      </x:c>
      <x:c r="C23" s="3" t="n">
        <x:f>MIN(1,(MIN(1,'Иран 2035'!C23+'Иран 2035'!F23+(0.08*LN(1+0.5*'Ход 2035'!C29)*MAX(0,1-('Иран 2035'!C23+'Иран 2035'!F23)))))+(SUMIFS('Эффекты технологий'!$T$25:$T$240,'Эффекты технологий'!$C$25:$C$240,$A23,'Эффекты технологий'!$D$25:$D$240,"Прирост")-SUMIFS('Эффекты технологий'!$S$25:$S$240,'Эффекты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8.5</x:v>
      </x:c>
      <x:c r="J23" s="10" t="n">
        <x:f>SUMIFS('Эффекты технологий'!$T$25:$T$240,'Эффекты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2035'!V23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2035'!V24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2035'!B25+'Иран 2035'!D25+('Иран 2035'!C25+'Иран 2035'!F25+'Иран 2035'!G25)+(0.35*LN(1+0.6*'Ход 2035'!B31)*POWER(MAX(0,1-'Иран 2035'!I25/10),0.7))))</x:f>
        <x:v>7.9999999999999964</x:v>
      </x:c>
      <x:c r="C25" s="3" t="n">
        <x:f>MIN(1,(MIN(1,'Иран 2035'!C25+'Иран 2035'!F25+(0.08*LN(1+0.5*'Ход 2035'!C31)*MAX(0,1-('Иран 2035'!C25+'Иран 2035'!F25)))))+(SUMIFS('Эффекты технологий'!$T$25:$T$240,'Эффекты технологий'!$C$25:$C$240,$A25,'Эффекты технологий'!$D$25:$D$240,"Прирост")-SUMIFS('Эффекты технологий'!$S$25:$S$240,'Эффекты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7.9999999999999964</x:v>
      </x:c>
      <x:c r="J25" s="10" t="n">
        <x:f>SUMIFS('Эффекты технологий'!$T$25:$T$240,'Эффекты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2035'!V25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2035'!B26+'Иран 2035'!D26+('Иран 2035'!C26+'Иран 2035'!F26+'Иран 2035'!G26)+(0.35*LN(1+0.6*'Ход 2035'!B32)*POWER(MAX(0,1-'Иран 2035'!I26/10),0.7))))</x:f>
        <x:v>7.500000000000002</x:v>
      </x:c>
      <x:c r="C26" s="3" t="n">
        <x:f>MIN(1,(MIN(1,'Иран 2035'!C26+'Иран 2035'!F26+(0.08*LN(1+0.5*'Ход 2035'!C32)*MAX(0,1-('Иран 2035'!C26+'Иран 2035'!F26)))))+(SUMIFS('Эффекты технологий'!$T$25:$T$240,'Эффекты технологий'!$C$25:$C$240,$A26,'Эффекты технологий'!$D$25:$D$240,"Прирост")-SUMIFS('Эффекты технологий'!$S$25:$S$240,'Эффекты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7.500000000000002</x:v>
      </x:c>
      <x:c r="J26" s="10" t="n">
        <x:f>SUMIFS('Эффекты технологий'!$T$25:$T$240,'Эффекты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2035'!V26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2035'!B27+'Иран 2035'!D27+('Иран 2035'!C27+'Иран 2035'!F27+'Иран 2035'!G27)+(0.35*LN(1+0.6*'Ход 2035'!B33)*POWER(MAX(0,1-'Иран 2035'!I27/10),0.7))))</x:f>
        <x:v>7.5000000000000036</x:v>
      </x:c>
      <x:c r="C27" s="3" t="n">
        <x:f>MIN(1,(MIN(1,'Иран 2035'!C27+'Иран 2035'!F27+(0.08*LN(1+0.5*'Ход 2035'!C33)*MAX(0,1-('Иран 2035'!C27+'Иран 2035'!F27)))))+(SUMIFS('Эффекты технологий'!$T$25:$T$240,'Эффекты технологий'!$C$25:$C$240,$A27,'Эффекты технологий'!$D$25:$D$240,"Прирост")-SUMIFS('Эффекты технологий'!$S$25:$S$240,'Эффекты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7.5000000000000036</x:v>
      </x:c>
      <x:c r="J27" s="10" t="n">
        <x:f>SUMIFS('Эффекты технологий'!$T$25:$T$240,'Эффекты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2035'!B28+'Иран 2035'!D28+('Иран 2035'!C28+'Иран 2035'!F28+'Иран 2035'!G28)+(0.35*LN(1+0.6*'Ход 2035'!B34)*POWER(MAX(0,1-'Иран 2035'!I28/10),0.7))))</x:f>
        <x:v>7.500000000000002</x:v>
      </x:c>
      <x:c r="C28" s="3" t="n">
        <x:f>MIN(1,(MIN(1,'Иран 2035'!C28+'Иран 2035'!F28+(0.08*LN(1+0.5*'Ход 2035'!C34)*MAX(0,1-('Иран 2035'!C28+'Иран 2035'!F28)))))+(SUMIFS('Эффекты технологий'!$T$25:$T$240,'Эффекты технологий'!$C$25:$C$240,$A28,'Эффекты технологий'!$D$25:$D$240,"Прирост")-SUMIFS('Эффекты технологий'!$S$25:$S$240,'Эффекты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7.500000000000002</x:v>
      </x:c>
      <x:c r="J28" s="10" t="n">
        <x:f>SUMIFS('Эффекты технологий'!$T$25:$T$240,'Эффекты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2035'!B29+'Иран 2035'!D29+('Иран 2035'!C29+'Иран 2035'!F29+'Иран 2035'!G29)+(0.35*LN(1+0.6*'Ход 2035'!B35)*POWER(MAX(0,1-'Иран 2035'!I29/10),0.7))))</x:f>
        <x:v>7.500000000000002</x:v>
      </x:c>
      <x:c r="C29" s="3" t="n">
        <x:f>MIN(1,(MIN(1,'Иран 2035'!C29+'Иран 2035'!F29+(0.08*LN(1+0.5*'Ход 2035'!C35)*MAX(0,1-('Иран 2035'!C29+'Иран 2035'!F29)))))+(SUMIFS('Эффекты технологий'!$T$25:$T$240,'Эффекты технологий'!$C$25:$C$240,$A29,'Эффекты технологий'!$D$25:$D$240,"Прирост")-SUMIFS('Эффекты технологий'!$S$25:$S$240,'Эффекты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7.500000000000002</x:v>
      </x:c>
      <x:c r="J29" s="10" t="n">
        <x:f>SUMIFS('Эффекты технологий'!$T$25:$T$240,'Эффекты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2035'!B30+'Иран 2035'!D30+('Иран 2035'!C30+'Иран 2035'!F30+'Иран 2035'!G30)+(0.35*LN(1+0.6*'Ход 2035'!B36)*POWER(MAX(0,1-'Иран 2035'!I30/10),0.7))))</x:f>
        <x:v>7.0000000000000036</x:v>
      </x:c>
      <x:c r="C30" s="3" t="n">
        <x:f>MIN(1,(MIN(1,'Иран 2035'!C30+'Иран 2035'!F30+(0.08*LN(1+0.5*'Ход 2035'!C36)*MAX(0,1-('Иран 2035'!C30+'Иран 2035'!F30)))))+(SUMIFS('Эффекты технологий'!$T$25:$T$240,'Эффекты технологий'!$C$25:$C$240,$A30,'Эффекты технологий'!$D$25:$D$240,"Прирост")-SUMIFS('Эффекты технологий'!$S$25:$S$240,'Эффекты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7.0000000000000036</x:v>
      </x:c>
      <x:c r="J30" s="10" t="n">
        <x:f>SUMIFS('Эффекты технологий'!$T$25:$T$240,'Эффекты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2035'!B31+'Иран 2035'!D31+('Иран 2035'!C31+'Иран 2035'!F31+'Иран 2035'!G31)+(0.35*LN(1+0.6*'Ход 2035'!B37)*POWER(MAX(0,1-'Иран 2035'!I31/10),0.7))))</x:f>
        <x:v>7.0000000000000036</x:v>
      </x:c>
      <x:c r="C31" s="3" t="n">
        <x:f>MIN(1,(MIN(1,'Иран 2035'!C31+'Иран 2035'!F31+(0.08*LN(1+0.5*'Ход 2035'!C37)*MAX(0,1-('Иран 2035'!C31+'Иран 2035'!F31)))))+(SUMIFS('Эффекты технологий'!$T$25:$T$240,'Эффекты технологий'!$C$25:$C$240,$A31,'Эффекты технологий'!$D$25:$D$240,"Прирост")-SUMIFS('Эффекты технологий'!$S$25:$S$240,'Эффекты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7.0000000000000036</x:v>
      </x:c>
      <x:c r="J31" s="10" t="n">
        <x:f>SUMIFS('Эффекты технологий'!$T$25:$T$240,'Эффекты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2035'!B32+'Иран 2035'!D32+('Иран 2035'!C32+'Иран 2035'!F32+'Иран 2035'!G32)+(0.35*LN(1+0.6*'Ход 2035'!B38)*POWER(MAX(0,1-'Иран 2035'!I32/10),0.7))))</x:f>
        <x:v>9.499999999999995</x:v>
      </x:c>
      <x:c r="C32" s="3" t="n">
        <x:f>MIN(1,(MIN(1,'Иран 2035'!C32+'Иран 2035'!F32+(0.08*LN(1+0.5*'Ход 2035'!C38)*MAX(0,1-('Иран 2035'!C32+'Иран 2035'!F32)))))+(SUMIFS('Эффекты технологий'!$T$25:$T$240,'Эффекты технологий'!$C$25:$C$240,$A32,'Эффекты технологий'!$D$25:$D$240,"Прирост")-SUMIFS('Эффекты технологий'!$S$25:$S$240,'Эффекты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9.499999999999995</x:v>
      </x:c>
      <x:c r="J32" s="10" t="n">
        <x:f>SUMIFS('Эффекты технологий'!$T$25:$T$240,'Эффекты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2035'!B34+'Иран 2035'!D34+('Иран 2035'!C34+'Иран 2035'!F34+'Иран 2035'!G34)+(0.35*LN(1+0.6*'Ход 2035'!B40)*POWER(MAX(0,1-'Иран 2035'!I34/10),0.7))))</x:f>
        <x:v>9.499999999999995</x:v>
      </x:c>
      <x:c r="C34" s="3" t="n">
        <x:f>MIN(1,(MIN(1,'Иран 2035'!C34+'Иран 2035'!F34+(0.08*LN(1+0.5*'Ход 2035'!C40)*MAX(0,1-('Иран 2035'!C34+'Иран 2035'!F34)))))+(SUMIFS('Эффекты технологий'!$T$25:$T$240,'Эффекты технологий'!$C$25:$C$240,$A34,'Эффекты технологий'!$D$25:$D$240,"Прирост")-SUMIFS('Эффекты технологий'!$S$25:$S$240,'Эффекты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9.499999999999995</x:v>
      </x:c>
      <x:c r="J34" s="10" t="n">
        <x:f>SUMIFS('Эффекты технологий'!$T$25:$T$240,'Эффекты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2035'!B35+'Иран 2035'!D35+('Иран 2035'!C35+'Иран 2035'!F35+'Иран 2035'!G35)+(0.35*LN(1+0.6*'Ход 2035'!B41)*POWER(MAX(0,1-'Иран 2035'!I35/10),0.7))))</x:f>
        <x:v>8.999999999999996</x:v>
      </x:c>
      <x:c r="C35" s="3" t="n">
        <x:f>MIN(1,(MIN(1,'Иран 2035'!C35+'Иран 2035'!F35+(0.08*LN(1+0.5*'Ход 2035'!C41)*MAX(0,1-('Иран 2035'!C35+'Иран 2035'!F35)))))+(SUMIFS('Эффекты технологий'!$T$25:$T$240,'Эффекты технологий'!$C$25:$C$240,$A35,'Эффекты технологий'!$D$25:$D$240,"Прирост")-SUMIFS('Эффекты технологий'!$S$25:$S$240,'Эффекты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8.999999999999996</x:v>
      </x:c>
      <x:c r="J35" s="10" t="n">
        <x:f>SUMIFS('Эффекты технологий'!$T$25:$T$240,'Эффекты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2035'!B36+'Иран 2035'!D36+('Иран 2035'!C36+'Иран 2035'!F36+'Иран 2035'!G36)+(0.35*LN(1+0.6*'Ход 2035'!B42)*POWER(MAX(0,1-'Иран 2035'!I36/10),0.7))))</x:f>
        <x:v>8.5</x:v>
      </x:c>
      <x:c r="C36" s="3" t="n">
        <x:f>MIN(1,(MIN(1,'Иран 2035'!C36+'Иран 2035'!F36+(0.08*LN(1+0.5*'Ход 2035'!C42)*MAX(0,1-('Иран 2035'!C36+'Иран 2035'!F36)))))+(SUMIFS('Эффекты технологий'!$T$25:$T$240,'Эффекты технологий'!$C$25:$C$240,$A36,'Эффекты технологий'!$D$25:$D$240,"Прирост")-SUMIFS('Эффекты технологий'!$S$25:$S$240,'Эффекты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8.5</x:v>
      </x:c>
      <x:c r="J36" s="10" t="n">
        <x:f>SUMIFS('Эффекты технологий'!$T$25:$T$240,'Эффекты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2035'!B37+'Иран 2035'!D37+('Иран 2035'!C37+'Иран 2035'!F37+'Иран 2035'!G37)+(0.35*LN(1+0.6*'Ход 2035'!B43)*POWER(MAX(0,1-'Иран 2035'!I37/10),0.7))))</x:f>
        <x:v>7.000000000000002</x:v>
      </x:c>
      <x:c r="C37" s="3" t="n">
        <x:f>MIN(1,(MIN(1,'Иран 2035'!C37+'Иран 2035'!F37+(0.08*LN(1+0.5*'Ход 2035'!C43)*MAX(0,1-('Иран 2035'!C37+'Иран 2035'!F37)))))+(SUMIFS('Эффекты технологий'!$T$25:$T$240,'Эффекты технологий'!$C$25:$C$240,$A37,'Эффекты технологий'!$D$25:$D$240,"Прирост")-SUMIFS('Эффекты технологий'!$S$25:$S$240,'Эффекты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7.000000000000002</x:v>
      </x:c>
      <x:c r="J37" s="10" t="n">
        <x:f>SUMIFS('Эффекты технологий'!$T$25:$T$240,'Эффекты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2035'!B38+'Иран 2035'!D38+('Иран 2035'!C38+'Иран 2035'!F38+'Иран 2035'!G38)+(0.35*LN(1+0.6*'Ход 2035'!B44)*POWER(MAX(0,1-'Иран 2035'!I38/10),0.7))))</x:f>
        <x:v>7.500000000000002</x:v>
      </x:c>
      <x:c r="C38" s="3" t="n">
        <x:f>MIN(1,(MIN(1,'Иран 2035'!C38+'Иран 2035'!F38+(0.08*LN(1+0.5*'Ход 2035'!C44)*MAX(0,1-('Иран 2035'!C38+'Иран 2035'!F38)))))+(SUMIFS('Эффекты технологий'!$T$25:$T$240,'Эффекты технологий'!$C$25:$C$240,$A38,'Эффекты технологий'!$D$25:$D$240,"Прирост")-SUMIFS('Эффекты технологий'!$S$25:$S$240,'Эффекты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7.500000000000002</x:v>
      </x:c>
      <x:c r="J38" s="10" t="n">
        <x:f>SUMIFS('Эффекты технологий'!$T$25:$T$240,'Эффекты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2035'!B39+'Иран 2035'!D39+('Иран 2035'!C39+'Иран 2035'!F39+'Иран 2035'!G39)+(0.35*LN(1+0.6*'Ход 2035'!B45)*POWER(MAX(0,1-'Иран 2035'!I39/10),0.7))))</x:f>
        <x:v>8.000000000000002</x:v>
      </x:c>
      <x:c r="C39" s="3" t="n">
        <x:f>MIN(1,(MIN(1,'Иран 2035'!C39+'Иран 2035'!F39+(0.08*LN(1+0.5*'Ход 2035'!C45)*MAX(0,1-('Иран 2035'!C39+'Иран 2035'!F39)))))+(SUMIFS('Эффекты технологий'!$T$25:$T$240,'Эффекты технологий'!$C$25:$C$240,$A39,'Эффекты технологий'!$D$25:$D$240,"Прирост")-SUMIFS('Эффекты технологий'!$S$25:$S$240,'Эффекты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8.000000000000002</x:v>
      </x:c>
      <x:c r="J39" s="10" t="n">
        <x:f>SUMIFS('Эффекты технологий'!$T$25:$T$240,'Эффекты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2035'!B40+'Иран 2035'!D40+('Иран 2035'!C40+'Иран 2035'!F40+'Иран 2035'!G40)+(0.35*LN(1+0.6*'Ход 2035'!B46)*POWER(MAX(0,1-'Иран 2035'!I40/10),0.7))))</x:f>
        <x:v>6.0000000000000036</x:v>
      </x:c>
      <x:c r="C40" s="3" t="n">
        <x:f>MIN(1,(MIN(1,'Иран 2035'!C40+'Иран 2035'!F40+(0.08*LN(1+0.5*'Ход 2035'!C46)*MAX(0,1-('Иран 2035'!C40+'Иран 2035'!F40)))))+(SUMIFS('Эффекты технологий'!$T$25:$T$240,'Эффекты технологий'!$C$25:$C$240,$A40,'Эффекты технологий'!$D$25:$D$240,"Прирост")-SUMIFS('Эффекты технологий'!$S$25:$S$240,'Эффекты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6.0000000000000036</x:v>
      </x:c>
      <x:c r="J40" s="10" t="n">
        <x:f>SUMIFS('Эффекты технологий'!$T$25:$T$240,'Эффекты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2035'!B41+'Иран 2035'!D41+('Иран 2035'!C41+'Иран 2035'!F41+'Иран 2035'!G41)+(0.35*LN(1+0.6*'Ход 2035'!B47)*POWER(MAX(0,1-'Иран 2035'!I41/10),0.7))))</x:f>
        <x:v>7.000000000000002</x:v>
      </x:c>
      <x:c r="C41" s="3" t="n">
        <x:f>MIN(1,(MIN(1,'Иран 2035'!C41+'Иран 2035'!F41+(0.08*LN(1+0.5*'Ход 2035'!C47)*MAX(0,1-('Иран 2035'!C41+'Иран 2035'!F41)))))+(SUMIFS('Эффекты технологий'!$T$25:$T$240,'Эффекты технологий'!$C$25:$C$240,$A41,'Эффекты технологий'!$D$25:$D$240,"Прирост")-SUMIFS('Эффекты технологий'!$S$25:$S$240,'Эффекты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7.000000000000002</x:v>
      </x:c>
      <x:c r="J41" s="10" t="n">
        <x:f>SUMIFS('Эффекты технологий'!$T$25:$T$240,'Эффекты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2035'!B42+'Иран 2035'!D42+('Иран 2035'!C42+'Иран 2035'!F42+'Иран 2035'!G42)+(0.35*LN(1+0.6*'Ход 2035'!B48)*POWER(MAX(0,1-'Иран 2035'!I42/10),0.7))))</x:f>
        <x:v>7.9999999999999964</x:v>
      </x:c>
      <x:c r="C42" s="3" t="n">
        <x:f>MIN(1,(MIN(1,'Иран 2035'!C42+'Иран 2035'!F42+(0.08*LN(1+0.5*'Ход 2035'!C48)*MAX(0,1-('Иран 2035'!C42+'Иран 2035'!F42)))))+(SUMIFS('Эффекты технологий'!$T$25:$T$240,'Эффекты технологий'!$C$25:$C$240,$A42,'Эффекты технологий'!$D$25:$D$240,"Прирост")-SUMIFS('Эффекты технологий'!$S$25:$S$240,'Эффекты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7.9999999999999964</x:v>
      </x:c>
      <x:c r="J42" s="10" t="n">
        <x:f>SUMIFS('Эффекты технологий'!$T$25:$T$240,'Эффекты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2035'!B44+'Иран 2035'!D44+('Иран 2035'!C44+'Иран 2035'!F44+'Иран 2035'!G44)+(0.35*LN(1+0.6*'Ход 2035'!B50)*POWER(MAX(0,1-'Иран 2035'!I44/10),0.7))))</x:f>
        <x:v>4.9999999999999964</x:v>
      </x:c>
      <x:c r="C44" s="3" t="n">
        <x:f>MIN(1,(MIN(1,'Иран 2035'!C44+'Иран 2035'!F44+(0.08*LN(1+0.5*'Ход 2035'!C50)*MAX(0,1-('Иран 2035'!C44+'Иран 2035'!F44)))))+(SUMIFS('Эффекты технологий'!$T$25:$T$240,'Эффекты технологий'!$C$25:$C$240,$A44,'Эффекты технологий'!$D$25:$D$240,"Прирост")-SUMIFS('Эффекты технологий'!$S$25:$S$240,'Эффекты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4.9999999999999964</x:v>
      </x:c>
      <x:c r="J44" s="10" t="n">
        <x:f>SUMIFS('Эффекты технологий'!$T$25:$T$240,'Эффекты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2035'!B45+'Иран 2035'!D45+('Иран 2035'!C45+'Иран 2035'!F45+'Иран 2035'!G45)+(0.35*LN(1+0.6*'Ход 2035'!B51)*POWER(MAX(0,1-'Иран 2035'!I45/10),0.7))))</x:f>
        <x:v>6.5000000000000036</x:v>
      </x:c>
      <x:c r="C45" s="3" t="n">
        <x:f>MIN(1,(MIN(1,'Иран 2035'!C45+'Иран 2035'!F45+(0.08*LN(1+0.5*'Ход 2035'!C51)*MAX(0,1-('Иран 2035'!C45+'Иран 2035'!F45)))))+(SUMIFS('Эффекты технологий'!$T$25:$T$240,'Эффекты технологий'!$C$25:$C$240,$A45,'Эффекты технологий'!$D$25:$D$240,"Прирост")-SUMIFS('Эффекты технологий'!$S$25:$S$240,'Эффекты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6.5000000000000036</x:v>
      </x:c>
      <x:c r="J45" s="10" t="n">
        <x:f>SUMIFS('Эффекты технологий'!$T$25:$T$240,'Эффекты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2035'!B46+'Иран 2035'!D46+('Иран 2035'!C46+'Иран 2035'!F46+'Иран 2035'!G46)+(0.35*LN(1+0.6*'Ход 2035'!B52)*POWER(MAX(0,1-'Иран 2035'!I46/10),0.7))))</x:f>
        <x:v>6.5000000000000036</x:v>
      </x:c>
      <x:c r="C46" s="3" t="n">
        <x:f>MIN(1,(MIN(1,'Иран 2035'!C46+'Иран 2035'!F46+(0.08*LN(1+0.5*'Ход 2035'!C52)*MAX(0,1-('Иран 2035'!C46+'Иран 2035'!F46)))))+(SUMIFS('Эффекты технологий'!$T$25:$T$240,'Эффекты технологий'!$C$25:$C$240,$A46,'Эффекты технологий'!$D$25:$D$240,"Прирост")-SUMIFS('Эффекты технологий'!$S$25:$S$240,'Эффекты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6.5000000000000036</x:v>
      </x:c>
      <x:c r="J46" s="10" t="n">
        <x:f>SUMIFS('Эффекты технологий'!$T$25:$T$240,'Эффекты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2035'!B47+'Иран 2035'!D47+('Иран 2035'!C47+'Иран 2035'!F47+'Иран 2035'!G47)+(0.35*LN(1+0.6*'Ход 2035'!B53)*POWER(MAX(0,1-'Иран 2035'!I47/10),0.7))))</x:f>
        <x:v>2.0000000000000018</x:v>
      </x:c>
      <x:c r="C47" s="3" t="n">
        <x:f>MIN(1,(MIN(1,'Иран 2035'!C47+'Иран 2035'!F47+(0.08*LN(1+0.5*'Ход 2035'!C53)*MAX(0,1-('Иран 2035'!C47+'Иран 2035'!F47)))))+(SUMIFS('Эффекты технологий'!$T$25:$T$240,'Эффекты технологий'!$C$25:$C$240,$A47,'Эффекты технологий'!$D$25:$D$240,"Прирост")-SUMIFS('Эффекты технологий'!$S$25:$S$240,'Эффекты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2.0000000000000018</x:v>
      </x:c>
      <x:c r="J47" s="10" t="n">
        <x:f>SUMIFS('Эффекты технологий'!$T$25:$T$240,'Эффекты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2035'!B48+'Иран 2035'!D48+('Иран 2035'!C48+'Иран 2035'!F48+'Иран 2035'!G48)+(0.35*LN(1+0.6*'Ход 2035'!B54)*POWER(MAX(0,1-'Иран 2035'!I48/10),0.7))))</x:f>
        <x:v>6.4999999999999964</x:v>
      </x:c>
      <x:c r="C48" s="3" t="n">
        <x:f>MIN(1,(MIN(1,'Иран 2035'!C48+'Иран 2035'!F48+(0.08*LN(1+0.5*'Ход 2035'!C54)*MAX(0,1-('Иран 2035'!C48+'Иран 2035'!F48)))))+(SUMIFS('Эффекты технологий'!$T$25:$T$240,'Эффекты технологий'!$C$25:$C$240,$A48,'Эффекты технологий'!$D$25:$D$240,"Прирост")-SUMIFS('Эффекты технологий'!$S$25:$S$240,'Эффекты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6.4999999999999964</x:v>
      </x:c>
      <x:c r="J48" s="10" t="n">
        <x:f>SUMIFS('Эффекты технологий'!$T$25:$T$240,'Эффекты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2035'!B49+'Иран 2035'!D49+('Иран 2035'!C49+'Иран 2035'!F49+'Иран 2035'!G49)+(0.35*LN(1+0.6*'Ход 2035'!B55)*POWER(MAX(0,1-'Иран 2035'!I49/10),0.7))))</x:f>
        <x:v>9</x:v>
      </x:c>
      <x:c r="C49" s="3" t="n">
        <x:f>MIN(1,(MIN(1,'Иран 2035'!C49+'Иран 2035'!F49+(0.08*LN(1+0.5*'Ход 2035'!C55)*MAX(0,1-('Иран 2035'!C49+'Иран 2035'!F49)))))+(SUMIFS('Эффекты технологий'!$T$25:$T$240,'Эффекты технологий'!$C$25:$C$240,$A49,'Эффекты технологий'!$D$25:$D$240,"Прирост")-SUMIFS('Эффекты технологий'!$S$25:$S$240,'Эффекты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9</x:v>
      </x:c>
      <x:c r="J49" s="10" t="n">
        <x:f>SUMIFS('Эффекты технологий'!$T$25:$T$240,'Эффекты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2035'!B50+'Иран 2035'!D50+('Иран 2035'!C50+'Иран 2035'!F50+'Иран 2035'!G50)+(0.35*LN(1+0.6*'Ход 2035'!B56)*POWER(MAX(0,1-'Иран 2035'!I50/10),0.7))))</x:f>
        <x:v>9.500000000000007</x:v>
      </x:c>
      <x:c r="C50" s="3" t="n">
        <x:f>MIN(1,(MIN(1,'Иран 2035'!C50+'Иран 2035'!F50+(0.08*LN(1+0.5*'Ход 2035'!C56)*MAX(0,1-('Иран 2035'!C50+'Иран 2035'!F50)))))+(SUMIFS('Эффекты технологий'!$T$25:$T$240,'Эффекты технологий'!$C$25:$C$240,$A50,'Эффекты технологий'!$D$25:$D$240,"Прирост")-SUMIFS('Эффекты технологий'!$S$25:$S$240,'Эффекты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9.500000000000007</x:v>
      </x:c>
      <x:c r="J50" s="10" t="n">
        <x:f>SUMIFS('Эффекты технологий'!$T$25:$T$240,'Эффекты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2035'!B51+'Иран 2035'!D51+('Иран 2035'!C51+'Иран 2035'!F51+'Иран 2035'!G51)+(0.35*LN(1+0.6*'Ход 2035'!B57)*POWER(MAX(0,1-'Иран 2035'!I51/10),0.7))))</x:f>
        <x:v>8.000000000000002</x:v>
      </x:c>
      <x:c r="C51" s="3" t="n">
        <x:f>MIN(1,(MIN(1,'Иран 2035'!C51+'Иран 2035'!F51+(0.08*LN(1+0.5*'Ход 2035'!C57)*MAX(0,1-('Иран 2035'!C51+'Иран 2035'!F51)))))+(SUMIFS('Эффекты технологий'!$T$25:$T$240,'Эффекты технологий'!$C$25:$C$240,$A51,'Эффекты технологий'!$D$25:$D$240,"Прирост")-SUMIFS('Эффекты технологий'!$S$25:$S$240,'Эффекты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8.000000000000002</x:v>
      </x:c>
      <x:c r="J51" s="10" t="n">
        <x:f>SUMIFS('Эффекты технологий'!$T$25:$T$240,'Эффекты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2035'!B53+'Иран 2035'!D53+('Иран 2035'!C53+'Иран 2035'!F53+'Иран 2035'!G53)+(0.35*LN(1+0.6*'Ход 2035'!B59)*POWER(MAX(0,1-'Иран 2035'!I53/10),0.7))))</x:f>
        <x:v>7.500000000000002</x:v>
      </x:c>
      <x:c r="C53" s="3" t="n">
        <x:f>MIN(1,(MIN(1,'Иран 2035'!C53+'Иран 2035'!F53+(0.08*LN(1+0.5*'Ход 2035'!C59)*MAX(0,1-('Иран 2035'!C53+'Иран 2035'!F53)))))+(SUMIFS('Эффекты технологий'!$T$25:$T$240,'Эффекты технологий'!$C$25:$C$240,$A53,'Эффекты технологий'!$D$25:$D$240,"Прирост")-SUMIFS('Эффекты технологий'!$S$25:$S$240,'Эффекты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7.500000000000002</x:v>
      </x:c>
      <x:c r="J53" s="10" t="n">
        <x:f>SUMIFS('Эффекты технологий'!$T$25:$T$240,'Эффекты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2035'!B54+'Иран 2035'!D54+('Иран 2035'!C54+'Иран 2035'!F54+'Иран 2035'!G54)+(0.35*LN(1+0.6*'Ход 2035'!B60)*POWER(MAX(0,1-'Иран 2035'!I54/10),0.7))))</x:f>
        <x:v>7.000000000000002</x:v>
      </x:c>
      <x:c r="C54" s="3" t="n">
        <x:f>MIN(1,(MIN(1,'Иран 2035'!C54+'Иран 2035'!F54+(0.08*LN(1+0.5*'Ход 2035'!C60)*MAX(0,1-('Иран 2035'!C54+'Иран 2035'!F54)))))+(SUMIFS('Эффекты технологий'!$T$25:$T$240,'Эффекты технологий'!$C$25:$C$240,$A54,'Эффекты технологий'!$D$25:$D$240,"Прирост")-SUMIFS('Эффекты технологий'!$S$25:$S$240,'Эффекты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7.000000000000002</x:v>
      </x:c>
      <x:c r="J54" s="10" t="n">
        <x:f>SUMIFS('Эффекты технологий'!$T$25:$T$240,'Эффекты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2035'!B55+'Иран 2035'!D55+('Иран 2035'!C55+'Иран 2035'!F55+'Иран 2035'!G55)+(0.35*LN(1+0.6*'Ход 2035'!B61)*POWER(MAX(0,1-'Иран 2035'!I55/10),0.7))))</x:f>
        <x:v>7.0000000000000036</x:v>
      </x:c>
      <x:c r="C55" s="3" t="n">
        <x:f>MIN(1,(MIN(1,'Иран 2035'!C55+'Иран 2035'!F55+(0.08*LN(1+0.5*'Ход 2035'!C61)*MAX(0,1-('Иран 2035'!C55+'Иран 2035'!F55)))))+(SUMIFS('Эффекты технологий'!$T$25:$T$240,'Эффекты технологий'!$C$25:$C$240,$A55,'Эффекты технологий'!$D$25:$D$240,"Прирост")-SUMIFS('Эффекты технологий'!$S$25:$S$240,'Эффекты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7.0000000000000036</x:v>
      </x:c>
      <x:c r="J55" s="10" t="n">
        <x:f>SUMIFS('Эффекты технологий'!$T$25:$T$240,'Эффекты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358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2036'!U6</x:f>
        <x:v>91.8025945809483</x:v>
      </x:c>
      <x:c r="C6" s="3"/>
      <x:c r="D6" s="3"/>
      <x:c r="E6" s="3" t="s">
        <x:v>321</x:v>
      </x:c>
      <x:c r="F6" s="3" t="n">
        <x:f>'Иран 2036'!K6</x:f>
        <x:v>79.83091962740343</x:v>
      </x:c>
      <x:c r="G6" s="3"/>
      <x:c r="H6" s="3"/>
      <x:c r="I6" s="3" t="s">
        <x:v>321</x:v>
      </x:c>
      <x:c r="J6" s="3" t="n">
        <x:f>'Иран 2036'!N6</x:f>
        <x:v>92.6108969118327</x:v>
      </x:c>
      <x:c r="K6" s="3"/>
      <x:c r="L6" s="3"/>
      <x:c r="M6" s="3" t="s">
        <x:v>321</x:v>
      </x:c>
      <x:c r="N6" s="3" t="n">
        <x:f>'Иран 2036'!Q6</x:f>
        <x:v>65.1992555637754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91.8025945809483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79.83091962740343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92.6108969118327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65.1992555637754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2036'!V11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2036'!V12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2036'!V13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2036'!V14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2036'!V15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2036'!V16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2036'!V17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2036'!V18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2036'!V19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2036'!V20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2036'!V21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2036'!V22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технологий'!T$16</x:f>
        <x:v>0</x:v>
      </x:c>
      <x:c r="H25" s="11" t="n">
        <x:f>'Эффекты технологий'!T$17</x:f>
        <x:v>0</x:v>
      </x:c>
      <x:c r="I25" s="11" t="n">
        <x:f>'Эффекты технологий'!T$18</x:f>
        <x:v>0</x:v>
      </x:c>
      <x:c r="J25" s="12"/>
      <x:c r="K25" s="3"/>
      <x:c r="L25" s="3" t="str">
        <x:v>Бразилия</x:v>
      </x:c>
      <x:c r="M25" s="3" t="n">
        <x:f>'Иран 2036'!V23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2036'!V24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2036'!V25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2036'!V26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IF(G29="","",VLOOKUP(G29,Технологии!$A$11:$BF$50,54,FALSE))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IF(G30="","",VLOOKUP(G30,Технологии!$A$11:$BF$50,54,FALSE))</x:f>
      </x:c>
      <x:c r="L30" s="3"/>
      <x:c r="M30" s="3"/>
      <x:c r="N30" s="12" t="s">
        <x:v>340</x:v>
      </x:c>
      <x:c r="O30" s="11" t="n">
        <x:f>'Эффекты технологий'!T$13</x:f>
        <x:v>0</x:v>
      </x:c>
      <x:c r="P30" s="11" t="n">
        <x:f>'Эффекты технологий'!T$14</x:f>
        <x:v>0</x:v>
      </x:c>
      <x:c r="Q30" s="11" t="n">
        <x:f>'Эффекты технологий'!T$15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IF(G31="","",VLOOKUP(G31,Технологии!$A$11:$BF$50,54,FALSE))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IF(G32="","",VLOOKUP(G32,Технологии!$A$11:$BF$50,54,FALSE))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IF(G33="","",VLOOKUP(G33,Технологии!$A$11:$BF$50,54,FALSE))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IF(G34="","",VLOOKUP(G34,Технологии!$A$11:$BF$50,54,FALSE))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IF(G35="","",VLOOKUP(G35,Технологии!$A$11:$BF$50,54,FALSE))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IF(G36="","",VLOOKUP(G36,Технологии!$A$11:$BF$50,54,FALSE))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IF(G37="","",VLOOKUP(G37,Технологии!$A$11:$BF$50,54,FALSE))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IF(G38="","",VLOOKUP(G38,Технологии!$A$11:$BF$50,54,FALSE))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2037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81.51922976967236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93.9179529090621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66.22295951822338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92.65283881057272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2036'!B8+'Иран 2036'!D8+('Иран 2036'!C8+'Иран 2036'!F8+'Иран 2036'!G8)+(0.35*LN(1+0.6*('Ход 2036'!B14*(1+'Эффекты технологий'!T$12)))*POWER(MAX(0,1-'Иран 2036'!I8/10),0.7))))</x:f>
        <x:v>9.099999999999996</x:v>
      </x:c>
      <x:c r="C8" s="3" t="n">
        <x:f>MIN(1,(MIN(1,'Иран 2036'!C8+'Иран 2036'!F8+(0.08*LN(1+0.5*('Ход 2036'!C14*(1+'Эффекты технологий'!T$12)))*MAX(0,1-('Иран 2036'!C8+'Иран 2036'!F8)))))+(SUMIFS('Эффекты технологий'!$U$25:$U$240,'Эффекты технологий'!$C$25:$C$240,$A8,'Эффекты технологий'!$D$25:$D$240,"Прирост")-SUMIFS('Эффекты технологий'!$T$25:$T$240,'Эффекты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9.099999999999996</x:v>
      </x:c>
      <x:c r="J8" s="10" t="n">
        <x:f>SUMIFS('Эффекты технологий'!$U$25:$U$240,'Эффекты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2036'!B9+'Иран 2036'!D9+('Иран 2036'!C9+'Иран 2036'!F9+'Иран 2036'!G9)+(0.35*LN(1+0.6*('Ход 2036'!B15*(1+'Эффекты технологий'!T$12)))*POWER(MAX(0,1-'Иран 2036'!I9/10),0.7))))</x:f>
        <x:v>8.099999999999996</x:v>
      </x:c>
      <x:c r="C9" s="3" t="n">
        <x:f>MIN(1,(MIN(1,'Иран 2036'!C9+'Иран 2036'!F9+(0.08*LN(1+0.5*('Ход 2036'!C15*(1+'Эффекты технологий'!T$12)))*MAX(0,1-('Иран 2036'!C9+'Иран 2036'!F9)))))+(SUMIFS('Эффекты технологий'!$U$25:$U$240,'Эффекты технологий'!$C$25:$C$240,$A9,'Эффекты технологий'!$D$25:$D$240,"Прирост")-SUMIFS('Эффекты технологий'!$T$25:$T$240,'Эффекты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8.099999999999996</x:v>
      </x:c>
      <x:c r="J9" s="10" t="n">
        <x:f>SUMIFS('Эффекты технологий'!$U$25:$U$240,'Эффекты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2036'!B10+'Иран 2036'!D10+('Иран 2036'!C10+'Иран 2036'!F10+'Иран 2036'!G10)+(0.35*LN(1+0.6*('Ход 2036'!B16*(1+'Эффекты технологий'!T$12)))*POWER(MAX(0,1-'Иран 2036'!I10/10),0.7))))</x:f>
        <x:v>10</x:v>
      </x:c>
      <x:c r="C10" s="3" t="n">
        <x:f>MIN(1,(MIN(1,'Иран 2036'!C10+'Иран 2036'!F10+(0.08*LN(1+0.5*('Ход 2036'!C16*(1+'Эффекты технологий'!T$12)))*MAX(0,1-('Иран 2036'!C10+'Иран 2036'!F10)))))+(SUMIFS('Эффекты технологий'!$U$25:$U$240,'Эффекты технологий'!$C$25:$C$240,$A10,'Эффекты технологий'!$D$25:$D$240,"Прирост")-SUMIFS('Эффекты технологий'!$T$25:$T$240,'Эффекты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10</x:v>
      </x:c>
      <x:c r="J10" s="10" t="n">
        <x:f>SUMIFS('Эффекты технологий'!$U$25:$U$240,'Эффекты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2036'!B11+'Иран 2036'!D11+('Иран 2036'!C11+'Иран 2036'!F11+'Иран 2036'!G11)+(0.35*LN(1+0.6*('Ход 2036'!B17*(1+'Эффекты технологий'!T$12)))*POWER(MAX(0,1-'Иран 2036'!I11/10),0.7))))</x:f>
        <x:v>4.049999999999998</x:v>
      </x:c>
      <x:c r="C11" s="3" t="n">
        <x:f>MIN(1,(MIN(1,'Иран 2036'!C11+'Иран 2036'!F11+(0.08*LN(1+0.5*('Ход 2036'!C17*(1+'Эффекты технологий'!T$12)))*MAX(0,1-('Иран 2036'!C11+'Иран 2036'!F11)))))+(SUMIFS('Эффекты технологий'!$U$25:$U$240,'Эффекты технологий'!$C$25:$C$240,$A11,'Эффекты технологий'!$D$25:$D$240,"Прирост")-SUMIFS('Эффекты технологий'!$T$25:$T$240,'Эффекты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4.049999999999998</x:v>
      </x:c>
      <x:c r="J11" s="10" t="n">
        <x:f>SUMIFS('Эффекты технологий'!$U$25:$U$240,'Эффекты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2036'!L11+'Иран 2036'!N11+('Иран 2036'!M11+'Иран 2036'!P11+'Иран 2036'!Q11)))</x:f>
        <x:v>8.25</x:v>
      </x:c>
      <x:c r="M11" s="3" t="n">
        <x:f>MIN(1,(MIN(1,'Иран 2036'!M11+'Иран 2036'!P11+(0.1*LN(1+0.5*('Ход 2036'!H13*(1+'Эффекты технологий'!T$10)))*POWER(MAX(0,1-'Иран 2036'!S11/10),0.8))))+(SUMIFS('Эффекты технологий'!$U$25:$U$240,'Эффекты технологий'!$C$25:$C$240,$K11,'Эффекты технологий'!$D$25:$D$240,"Прирост")-SUMIFS('Эффекты технологий'!$T$25:$T$240,'Эффекты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8.25</x:v>
      </x:c>
      <x:c r="T11" s="10" t="n">
        <x:f>SUMIFS('Эффекты технологий'!$U$25:$U$240,'Эффекты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2036'!V11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2036'!B12+'Иран 2036'!D12+('Иран 2036'!C12+'Иран 2036'!F12+'Иран 2036'!G12)+(0.35*LN(1+0.6*('Ход 2036'!B18*(1+'Эффекты технологий'!T$12)))*POWER(MAX(0,1-'Иран 2036'!I12/10),0.7))))</x:f>
        <x:v>8.550000000000008</x:v>
      </x:c>
      <x:c r="C12" s="3" t="n">
        <x:f>MIN(1,(MIN(1,'Иран 2036'!C12+'Иран 2036'!F12+(0.08*LN(1+0.5*('Ход 2036'!C18*(1+'Эффекты технологий'!T$12)))*MAX(0,1-('Иран 2036'!C12+'Иран 2036'!F12)))))+(SUMIFS('Эффекты технологий'!$U$25:$U$240,'Эффекты технологий'!$C$25:$C$240,$A12,'Эффекты технологий'!$D$25:$D$240,"Прирост")-SUMIFS('Эффекты технологий'!$T$25:$T$240,'Эффекты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8.550000000000008</x:v>
      </x:c>
      <x:c r="J12" s="10" t="n">
        <x:f>SUMIFS('Эффекты технологий'!$U$25:$U$240,'Эффекты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2036'!L12+'Иран 2036'!N12+('Иран 2036'!M12+'Иран 2036'!P12+'Иран 2036'!Q12)))</x:f>
        <x:v>8.25</x:v>
      </x:c>
      <x:c r="M12" s="3" t="n">
        <x:f>MIN(1,(MIN(1,'Иран 2036'!M12+'Иран 2036'!P12+(0.1*LN(1+0.5*('Ход 2036'!H14*(1+'Эффекты технологий'!T$10)))*POWER(MAX(0,1-'Иран 2036'!S12/10),0.8))))+(SUMIFS('Эффекты технологий'!$U$25:$U$240,'Эффекты технологий'!$C$25:$C$240,$K12,'Эффекты технологий'!$D$25:$D$240,"Прирост")-SUMIFS('Эффекты технологий'!$T$25:$T$240,'Эффекты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8.25</x:v>
      </x:c>
      <x:c r="T12" s="10" t="n">
        <x:f>SUMIFS('Эффекты технологий'!$U$25:$U$240,'Эффекты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2036'!V12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2036'!B13+'Иран 2036'!D13+('Иран 2036'!C13+'Иран 2036'!F13+'Иран 2036'!G13)+(0.35*LN(1+0.6*('Ход 2036'!B19*(1+'Эффекты технологий'!T$12)))*POWER(MAX(0,1-'Иран 2036'!I13/10),0.7))))</x:f>
        <x:v>4.200000000000002</x:v>
      </x:c>
      <x:c r="C13" s="3" t="n">
        <x:f>MIN(1,(MIN(1,'Иран 2036'!C13+'Иран 2036'!F13+(0.08*LN(1+0.5*('Ход 2036'!C19*(1+'Эффекты технологий'!T$12)))*MAX(0,1-('Иран 2036'!C13+'Иран 2036'!F13)))))+(SUMIFS('Эффекты технологий'!$U$25:$U$240,'Эффекты технологий'!$C$25:$C$240,$A13,'Эффекты технологий'!$D$25:$D$240,"Прирост")-SUMIFS('Эффекты технологий'!$T$25:$T$240,'Эффекты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4.200000000000002</x:v>
      </x:c>
      <x:c r="J13" s="10" t="n">
        <x:f>SUMIFS('Эффекты технологий'!$U$25:$U$240,'Эффекты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2036'!L13+'Иран 2036'!N13+('Иран 2036'!M13+'Иран 2036'!P13+'Иран 2036'!Q13)))</x:f>
        <x:v>9.199999999999996</x:v>
      </x:c>
      <x:c r="M13" s="3" t="n">
        <x:f>MIN(1,(MIN(1,'Иран 2036'!M13+'Иран 2036'!P13+(0.1*LN(1+0.5*('Ход 2036'!H15*(1+'Эффекты технологий'!T$10)))*POWER(MAX(0,1-'Иран 2036'!S13/10),0.8))))+(SUMIFS('Эффекты технологий'!$U$25:$U$240,'Эффекты технологий'!$C$25:$C$240,$K13,'Эффекты технологий'!$D$25:$D$240,"Прирост")-SUMIFS('Эффекты технологий'!$T$25:$T$240,'Эффекты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9.199999999999996</x:v>
      </x:c>
      <x:c r="T13" s="10" t="n">
        <x:f>SUMIFS('Эффекты технологий'!$U$25:$U$240,'Эффекты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2036'!V13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2036'!B14+'Иран 2036'!D14+('Иран 2036'!C14+'Иран 2036'!F14+'Иран 2036'!G14)+(0.35*LN(1+0.6*('Ход 2036'!B20*(1+'Эффекты технологий'!T$12)))*POWER(MAX(0,1-'Иран 2036'!I14/10),0.7))))</x:f>
        <x:v>5.200000000000002</x:v>
      </x:c>
      <x:c r="C14" s="3" t="n">
        <x:f>MIN(1,(MIN(1,'Иран 2036'!C14+'Иран 2036'!F14+(0.08*LN(1+0.5*('Ход 2036'!C20*(1+'Эффекты технологий'!T$12)))*MAX(0,1-('Иран 2036'!C14+'Иран 2036'!F14)))))+(SUMIFS('Эффекты технологий'!$U$25:$U$240,'Эффекты технологий'!$C$25:$C$240,$A14,'Эффекты технологий'!$D$25:$D$240,"Прирост")-SUMIFS('Эффекты технологий'!$T$25:$T$240,'Эффекты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5.200000000000002</x:v>
      </x:c>
      <x:c r="J14" s="10" t="n">
        <x:f>SUMIFS('Эффекты технологий'!$U$25:$U$240,'Эффекты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2036'!L14+'Иран 2036'!N14+('Иран 2036'!M14+'Иран 2036'!P14+'Иран 2036'!Q14)))</x:f>
        <x:v>9.25</x:v>
      </x:c>
      <x:c r="M14" s="3" t="n">
        <x:f>MIN(1,(MIN(1,'Иран 2036'!M14+'Иран 2036'!P14+(0.1*LN(1+0.5*('Ход 2036'!H16*(1+'Эффекты технологий'!T$10)))*POWER(MAX(0,1-'Иран 2036'!S14/10),0.8))))+(SUMIFS('Эффекты технологий'!$U$25:$U$240,'Эффекты технологий'!$C$25:$C$240,$K14,'Эффекты технологий'!$D$25:$D$240,"Прирост")-SUMIFS('Эффекты технологий'!$T$25:$T$240,'Эффекты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9.25</x:v>
      </x:c>
      <x:c r="T14" s="10" t="n">
        <x:f>SUMIFS('Эффекты технологий'!$U$25:$U$240,'Эффекты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2036'!V14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2036'!B15+'Иран 2036'!D15+('Иран 2036'!C15+'Иран 2036'!F15+'Иран 2036'!G15)+(0.35*LN(1+0.6*('Ход 2036'!B21*(1+'Эффекты технологий'!T$12)))*POWER(MAX(0,1-'Иран 2036'!I15/10),0.7))))</x:f>
        <x:v>7.25</x:v>
      </x:c>
      <x:c r="C15" s="3" t="n">
        <x:f>MIN(1,(MIN(1,'Иран 2036'!C15+'Иран 2036'!F15+(0.08*LN(1+0.5*('Ход 2036'!C21*(1+'Эффекты технологий'!T$12)))*MAX(0,1-('Иран 2036'!C15+'Иран 2036'!F15)))))+(SUMIFS('Эффекты технологий'!$U$25:$U$240,'Эффекты технологий'!$C$25:$C$240,$A15,'Эффекты технологий'!$D$25:$D$240,"Прирост")-SUMIFS('Эффекты технологий'!$T$25:$T$240,'Эффекты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7.25</x:v>
      </x:c>
      <x:c r="J15" s="10" t="n">
        <x:f>SUMIFS('Эффекты технологий'!$U$25:$U$240,'Эффекты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2036'!L15+'Иран 2036'!N15+('Иран 2036'!M15+'Иран 2036'!P15+'Иран 2036'!Q15)))</x:f>
        <x:v>9.199999999999996</x:v>
      </x:c>
      <x:c r="M15" s="3" t="n">
        <x:f>MIN(1,(MIN(1,'Иран 2036'!M15+'Иран 2036'!P15+(0.1*LN(1+0.5*('Ход 2036'!H17*(1+'Эффекты технологий'!T$10)))*POWER(MAX(0,1-'Иран 2036'!S15/10),0.8))))+(SUMIFS('Эффекты технологий'!$U$25:$U$240,'Эффекты технологий'!$C$25:$C$240,$K15,'Эффекты технологий'!$D$25:$D$240,"Прирост")-SUMIFS('Эффекты технологий'!$T$25:$T$240,'Эффекты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9.199999999999996</x:v>
      </x:c>
      <x:c r="T15" s="10" t="n">
        <x:f>SUMIFS('Эффекты технологий'!$U$25:$U$240,'Эффекты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2036'!V15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2036'!B16+'Иран 2036'!D16+('Иран 2036'!C16+'Иран 2036'!F16+'Иран 2036'!G16)+(0.35*LN(1+0.6*('Ход 2036'!B22*(1+'Эффекты технологий'!T$12)))*POWER(MAX(0,1-'Иран 2036'!I16/10),0.7))))</x:f>
        <x:v>7.700000000000002</x:v>
      </x:c>
      <x:c r="C16" s="3" t="n">
        <x:f>MIN(1,(MIN(1,'Иран 2036'!C16+'Иран 2036'!F16+(0.08*LN(1+0.5*('Ход 2036'!C22*(1+'Эффекты технологий'!T$12)))*MAX(0,1-('Иран 2036'!C16+'Иран 2036'!F16)))))+(SUMIFS('Эффекты технологий'!$U$25:$U$240,'Эффекты технологий'!$C$25:$C$240,$A16,'Эффекты технологий'!$D$25:$D$240,"Прирост")-SUMIFS('Эффекты технологий'!$T$25:$T$240,'Эффекты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7.700000000000002</x:v>
      </x:c>
      <x:c r="J16" s="10" t="n">
        <x:f>SUMIFS('Эффекты технологий'!$U$25:$U$240,'Эффекты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2036'!L16+'Иран 2036'!N16+('Иран 2036'!M16+'Иран 2036'!P16+'Иран 2036'!Q16)))</x:f>
        <x:v>8.25</x:v>
      </x:c>
      <x:c r="M16" s="3" t="n">
        <x:f>MIN(1,(MIN(1,'Иран 2036'!M16+'Иран 2036'!P16+(0.1*LN(1+0.5*('Ход 2036'!H18*(1+'Эффекты технологий'!T$10)))*POWER(MAX(0,1-'Иран 2036'!S16/10),0.8))))+(SUMIFS('Эффекты технологий'!$U$25:$U$240,'Эффекты технологий'!$C$25:$C$240,$K16,'Эффекты технологий'!$D$25:$D$240,"Прирост")-SUMIFS('Эффекты технологий'!$T$25:$T$240,'Эффекты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8.25</x:v>
      </x:c>
      <x:c r="T16" s="10" t="n">
        <x:f>SUMIFS('Эффекты технологий'!$U$25:$U$240,'Эффекты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2036'!V16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2036'!B17+'Иран 2036'!D17+('Иран 2036'!C17+'Иран 2036'!F17+'Иран 2036'!G17)+(0.35*LN(1+0.6*('Ход 2036'!B23*(1+'Эффекты технологий'!T$12)))*POWER(MAX(0,1-'Иран 2036'!I17/10),0.7))))</x:f>
        <x:v>6.650000000000004</x:v>
      </x:c>
      <x:c r="C17" s="3" t="n">
        <x:f>MIN(1,(MIN(1,'Иран 2036'!C17+'Иран 2036'!F17+(0.08*LN(1+0.5*('Ход 2036'!C23*(1+'Эффекты технологий'!T$12)))*MAX(0,1-('Иран 2036'!C17+'Иран 2036'!F17)))))+(SUMIFS('Эффекты технологий'!$U$25:$U$240,'Эффекты технологий'!$C$25:$C$240,$A17,'Эффекты технологий'!$D$25:$D$240,"Прирост")-SUMIFS('Эффекты технологий'!$T$25:$T$240,'Эффекты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6.650000000000004</x:v>
      </x:c>
      <x:c r="J17" s="10" t="n">
        <x:f>SUMIFS('Эффекты технологий'!$U$25:$U$240,'Эффекты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2036'!L17+'Иран 2036'!N17+('Иран 2036'!M17+'Иран 2036'!P17+'Иран 2036'!Q17)))</x:f>
        <x:v>9.25</x:v>
      </x:c>
      <x:c r="M17" s="3" t="n">
        <x:f>MIN(1,(MIN(1,'Иран 2036'!M17+'Иран 2036'!P17+(0.1*LN(1+0.5*('Ход 2036'!H19*(1+'Эффекты технологий'!T$10)))*POWER(MAX(0,1-'Иран 2036'!S17/10),0.8))))+(SUMIFS('Эффекты технологий'!$U$25:$U$240,'Эффекты технологий'!$C$25:$C$240,$K17,'Эффекты технологий'!$D$25:$D$240,"Прирост")-SUMIFS('Эффекты технологий'!$T$25:$T$240,'Эффекты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9.25</x:v>
      </x:c>
      <x:c r="T17" s="10" t="n">
        <x:f>SUMIFS('Эффекты технологий'!$U$25:$U$240,'Эффекты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2036'!V17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2036'!L18+'Иран 2036'!N18+('Иран 2036'!M18+'Иран 2036'!P18+'Иран 2036'!Q18)))</x:f>
        <x:v>9.25</x:v>
      </x:c>
      <x:c r="M18" s="3" t="n">
        <x:f>MIN(1,(MIN(1,'Иран 2036'!M18+'Иран 2036'!P18+(0.1*LN(1+0.5*('Ход 2036'!H20*(1+'Эффекты технологий'!T$10)))*POWER(MAX(0,1-'Иран 2036'!S18/10),0.8))))+(SUMIFS('Эффекты технологий'!$U$25:$U$240,'Эффекты технологий'!$C$25:$C$240,$K18,'Эффекты технологий'!$D$25:$D$240,"Прирост")-SUMIFS('Эффекты технологий'!$T$25:$T$240,'Эффекты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9.25</x:v>
      </x:c>
      <x:c r="T18" s="10" t="n">
        <x:f>SUMIFS('Эффекты технологий'!$U$25:$U$240,'Эффекты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2036'!V18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2036'!B19+'Иран 2036'!D19+('Иран 2036'!C19+'Иран 2036'!F19+'Иран 2036'!G19)+(0.35*LN(1+0.6*'Ход 2036'!B25)*POWER(MAX(0,1-'Иран 2036'!I19/10),0.7))))</x:f>
        <x:v>7.700000000000002</x:v>
      </x:c>
      <x:c r="C19" s="3" t="n">
        <x:f>MIN(1,(MIN(1,'Иран 2036'!C19+'Иран 2036'!F19+(0.08*LN(1+0.5*'Ход 2036'!C25)*MAX(0,1-('Иран 2036'!C19+'Иран 2036'!F19)))))+(SUMIFS('Эффекты технологий'!$U$25:$U$240,'Эффекты технологий'!$C$25:$C$240,$A19,'Эффекты технологий'!$D$25:$D$240,"Прирост")-SUMIFS('Эффекты технологий'!$T$25:$T$240,'Эффекты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7.700000000000002</x:v>
      </x:c>
      <x:c r="J19" s="10" t="n">
        <x:f>SUMIFS('Эффекты технологий'!$U$25:$U$240,'Эффекты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2036'!V19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2036'!B20+'Иран 2036'!D20+('Иран 2036'!C20+'Иран 2036'!F20+'Иран 2036'!G20)+(0.35*LN(1+0.6*'Ход 2036'!B26)*POWER(MAX(0,1-'Иран 2036'!I20/10),0.7))))</x:f>
        <x:v>8.25</x:v>
      </x:c>
      <x:c r="C20" s="3" t="n">
        <x:f>MIN(1,(MIN(1,'Иран 2036'!C20+'Иран 2036'!F20+(0.08*LN(1+0.5*'Ход 2036'!C26)*MAX(0,1-('Иран 2036'!C20+'Иран 2036'!F20)))))+(SUMIFS('Эффекты технологий'!$U$25:$U$240,'Эффекты технологий'!$C$25:$C$240,$A20,'Эффекты технологий'!$D$25:$D$240,"Прирост")-SUMIFS('Эффекты технологий'!$T$25:$T$240,'Эффекты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8.25</x:v>
      </x:c>
      <x:c r="J20" s="10" t="n">
        <x:f>SUMIFS('Эффекты технологий'!$U$25:$U$240,'Эффекты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2036'!V20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2036'!B21+'Иран 2036'!D21+('Иран 2036'!C21+'Иран 2036'!F21+'Иран 2036'!G21)+(0.35*LN(1+0.6*'Ход 2036'!B27)*POWER(MAX(0,1-'Иран 2036'!I21/10),0.7))))</x:f>
        <x:v>7.200000000000002</x:v>
      </x:c>
      <x:c r="C21" s="3" t="n">
        <x:f>MIN(1,(MIN(1,'Иран 2036'!C21+'Иран 2036'!F21+(0.08*LN(1+0.5*'Ход 2036'!C27)*MAX(0,1-('Иран 2036'!C21+'Иран 2036'!F21)))))+(SUMIFS('Эффекты технологий'!$U$25:$U$240,'Эффекты технологий'!$C$25:$C$240,$A21,'Эффекты технологий'!$D$25:$D$240,"Прирост")-SUMIFS('Эффекты технологий'!$T$25:$T$240,'Эффекты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7.200000000000002</x:v>
      </x:c>
      <x:c r="J21" s="10" t="n">
        <x:f>SUMIFS('Эффекты технологий'!$U$25:$U$240,'Эффекты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2036'!V21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2036'!B22+'Иран 2036'!D22+('Иран 2036'!C22+'Иран 2036'!F22+'Иран 2036'!G22)+(0.35*LN(1+0.6*'Ход 2036'!B28)*POWER(MAX(0,1-'Иран 2036'!I22/10),0.7))))</x:f>
        <x:v>9.099999999999996</x:v>
      </x:c>
      <x:c r="C22" s="3" t="n">
        <x:f>MIN(1,(MIN(1,'Иран 2036'!C22+'Иран 2036'!F22+(0.08*LN(1+0.5*'Ход 2036'!C28)*MAX(0,1-('Иран 2036'!C22+'Иран 2036'!F22)))))+(SUMIFS('Эффекты технологий'!$U$25:$U$240,'Эффекты технологий'!$C$25:$C$240,$A22,'Эффекты технологий'!$D$25:$D$240,"Прирост")-SUMIFS('Эффекты технологий'!$T$25:$T$240,'Эффекты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9.099999999999996</x:v>
      </x:c>
      <x:c r="J22" s="10" t="n">
        <x:f>SUMIFS('Эффекты технологий'!$U$25:$U$240,'Эффекты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2036'!V22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2036'!B23+'Иран 2036'!D23+('Иран 2036'!C23+'Иран 2036'!F23+'Иран 2036'!G23)+(0.35*LN(1+0.6*'Ход 2036'!B29)*POWER(MAX(0,1-'Иран 2036'!I23/10),0.7))))</x:f>
        <x:v>8.7</x:v>
      </x:c>
      <x:c r="C23" s="3" t="n">
        <x:f>MIN(1,(MIN(1,'Иран 2036'!C23+'Иран 2036'!F23+(0.08*LN(1+0.5*'Ход 2036'!C29)*MAX(0,1-('Иран 2036'!C23+'Иран 2036'!F23)))))+(SUMIFS('Эффекты технологий'!$U$25:$U$240,'Эффекты технологий'!$C$25:$C$240,$A23,'Эффекты технологий'!$D$25:$D$240,"Прирост")-SUMIFS('Эффекты технологий'!$T$25:$T$240,'Эффекты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8.7</x:v>
      </x:c>
      <x:c r="J23" s="10" t="n">
        <x:f>SUMIFS('Эффекты технологий'!$U$25:$U$240,'Эффекты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2036'!V23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2036'!V24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2036'!B25+'Иран 2036'!D25+('Иран 2036'!C25+'Иран 2036'!F25+'Иран 2036'!G25)+(0.35*LN(1+0.6*'Ход 2036'!B31)*POWER(MAX(0,1-'Иран 2036'!I25/10),0.7))))</x:f>
        <x:v>8.099999999999996</x:v>
      </x:c>
      <x:c r="C25" s="3" t="n">
        <x:f>MIN(1,(MIN(1,'Иран 2036'!C25+'Иран 2036'!F25+(0.08*LN(1+0.5*'Ход 2036'!C31)*MAX(0,1-('Иран 2036'!C25+'Иран 2036'!F25)))))+(SUMIFS('Эффекты технологий'!$U$25:$U$240,'Эффекты технологий'!$C$25:$C$240,$A25,'Эффекты технологий'!$D$25:$D$240,"Прирост")-SUMIFS('Эффекты технологий'!$T$25:$T$240,'Эффекты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8.099999999999996</x:v>
      </x:c>
      <x:c r="J25" s="10" t="n">
        <x:f>SUMIFS('Эффекты технологий'!$U$25:$U$240,'Эффекты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2036'!V25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2036'!B26+'Иран 2036'!D26+('Иран 2036'!C26+'Иран 2036'!F26+'Иран 2036'!G26)+(0.35*LN(1+0.6*'Ход 2036'!B32)*POWER(MAX(0,1-'Иран 2036'!I26/10),0.7))))</x:f>
        <x:v>7.700000000000002</x:v>
      </x:c>
      <x:c r="C26" s="3" t="n">
        <x:f>MIN(1,(MIN(1,'Иран 2036'!C26+'Иран 2036'!F26+(0.08*LN(1+0.5*'Ход 2036'!C32)*MAX(0,1-('Иран 2036'!C26+'Иран 2036'!F26)))))+(SUMIFS('Эффекты технологий'!$U$25:$U$240,'Эффекты технологий'!$C$25:$C$240,$A26,'Эффекты технологий'!$D$25:$D$240,"Прирост")-SUMIFS('Эффекты технологий'!$T$25:$T$240,'Эффекты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7.700000000000002</x:v>
      </x:c>
      <x:c r="J26" s="10" t="n">
        <x:f>SUMIFS('Эффекты технологий'!$U$25:$U$240,'Эффекты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2036'!V26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2036'!B27+'Иран 2036'!D27+('Иран 2036'!C27+'Иран 2036'!F27+'Иран 2036'!G27)+(0.35*LN(1+0.6*'Ход 2036'!B33)*POWER(MAX(0,1-'Иран 2036'!I27/10),0.7))))</x:f>
        <x:v>7.650000000000004</x:v>
      </x:c>
      <x:c r="C27" s="3" t="n">
        <x:f>MIN(1,(MIN(1,'Иран 2036'!C27+'Иран 2036'!F27+(0.08*LN(1+0.5*'Ход 2036'!C33)*MAX(0,1-('Иран 2036'!C27+'Иран 2036'!F27)))))+(SUMIFS('Эффекты технологий'!$U$25:$U$240,'Эффекты технологий'!$C$25:$C$240,$A27,'Эффекты технологий'!$D$25:$D$240,"Прирост")-SUMIFS('Эффекты технологий'!$T$25:$T$240,'Эффекты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7.650000000000004</x:v>
      </x:c>
      <x:c r="J27" s="10" t="n">
        <x:f>SUMIFS('Эффекты технологий'!$U$25:$U$240,'Эффекты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2036'!B28+'Иран 2036'!D28+('Иран 2036'!C28+'Иран 2036'!F28+'Иран 2036'!G28)+(0.35*LN(1+0.6*'Ход 2036'!B34)*POWER(MAX(0,1-'Иран 2036'!I28/10),0.7))))</x:f>
        <x:v>7.700000000000002</x:v>
      </x:c>
      <x:c r="C28" s="3" t="n">
        <x:f>MIN(1,(MIN(1,'Иран 2036'!C28+'Иран 2036'!F28+(0.08*LN(1+0.5*'Ход 2036'!C34)*MAX(0,1-('Иран 2036'!C28+'Иран 2036'!F28)))))+(SUMIFS('Эффекты технологий'!$U$25:$U$240,'Эффекты технологий'!$C$25:$C$240,$A28,'Эффекты технологий'!$D$25:$D$240,"Прирост")-SUMIFS('Эффекты технологий'!$T$25:$T$240,'Эффекты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7.700000000000002</x:v>
      </x:c>
      <x:c r="J28" s="10" t="n">
        <x:f>SUMIFS('Эффекты технологий'!$U$25:$U$240,'Эффекты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2036'!B29+'Иран 2036'!D29+('Иран 2036'!C29+'Иран 2036'!F29+'Иран 2036'!G29)+(0.35*LN(1+0.6*'Ход 2036'!B35)*POWER(MAX(0,1-'Иран 2036'!I29/10),0.7))))</x:f>
        <x:v>7.700000000000002</x:v>
      </x:c>
      <x:c r="C29" s="3" t="n">
        <x:f>MIN(1,(MIN(1,'Иран 2036'!C29+'Иран 2036'!F29+(0.08*LN(1+0.5*'Ход 2036'!C35)*MAX(0,1-('Иран 2036'!C29+'Иран 2036'!F29)))))+(SUMIFS('Эффекты технологий'!$U$25:$U$240,'Эффекты технологий'!$C$25:$C$240,$A29,'Эффекты технологий'!$D$25:$D$240,"Прирост")-SUMIFS('Эффекты технологий'!$T$25:$T$240,'Эффекты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7.700000000000002</x:v>
      </x:c>
      <x:c r="J29" s="10" t="n">
        <x:f>SUMIFS('Эффекты технологий'!$U$25:$U$240,'Эффекты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2036'!B30+'Иран 2036'!D30+('Иран 2036'!C30+'Иран 2036'!F30+'Иран 2036'!G30)+(0.35*LN(1+0.6*'Ход 2036'!B36)*POWER(MAX(0,1-'Иран 2036'!I30/10),0.7))))</x:f>
        <x:v>7.150000000000004</x:v>
      </x:c>
      <x:c r="C30" s="3" t="n">
        <x:f>MIN(1,(MIN(1,'Иран 2036'!C30+'Иран 2036'!F30+(0.08*LN(1+0.5*'Ход 2036'!C36)*MAX(0,1-('Иран 2036'!C30+'Иран 2036'!F30)))))+(SUMIFS('Эффекты технологий'!$U$25:$U$240,'Эффекты технологий'!$C$25:$C$240,$A30,'Эффекты технологий'!$D$25:$D$240,"Прирост")-SUMIFS('Эффекты технологий'!$T$25:$T$240,'Эффекты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7.150000000000004</x:v>
      </x:c>
      <x:c r="J30" s="10" t="n">
        <x:f>SUMIFS('Эффекты технологий'!$U$25:$U$240,'Эффекты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2036'!B31+'Иран 2036'!D31+('Иран 2036'!C31+'Иран 2036'!F31+'Иран 2036'!G31)+(0.35*LN(1+0.6*'Ход 2036'!B37)*POWER(MAX(0,1-'Иран 2036'!I31/10),0.7))))</x:f>
        <x:v>7.150000000000004</x:v>
      </x:c>
      <x:c r="C31" s="3" t="n">
        <x:f>MIN(1,(MIN(1,'Иран 2036'!C31+'Иран 2036'!F31+(0.08*LN(1+0.5*'Ход 2036'!C37)*MAX(0,1-('Иран 2036'!C31+'Иран 2036'!F31)))))+(SUMIFS('Эффекты технологий'!$U$25:$U$240,'Эффекты технологий'!$C$25:$C$240,$A31,'Эффекты технологий'!$D$25:$D$240,"Прирост")-SUMIFS('Эффекты технологий'!$T$25:$T$240,'Эффекты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7.150000000000004</x:v>
      </x:c>
      <x:c r="J31" s="10" t="n">
        <x:f>SUMIFS('Эффекты технологий'!$U$25:$U$240,'Эффекты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2036'!B32+'Иран 2036'!D32+('Иран 2036'!C32+'Иран 2036'!F32+'Иран 2036'!G32)+(0.35*LN(1+0.6*'Ход 2036'!B38)*POWER(MAX(0,1-'Иран 2036'!I32/10),0.7))))</x:f>
        <x:v>9.699999999999994</x:v>
      </x:c>
      <x:c r="C32" s="3" t="n">
        <x:f>MIN(1,(MIN(1,'Иран 2036'!C32+'Иран 2036'!F32+(0.08*LN(1+0.5*'Ход 2036'!C38)*MAX(0,1-('Иран 2036'!C32+'Иран 2036'!F32)))))+(SUMIFS('Эффекты технологий'!$U$25:$U$240,'Эффекты технологий'!$C$25:$C$240,$A32,'Эффекты технологий'!$D$25:$D$240,"Прирост")-SUMIFS('Эффекты технологий'!$T$25:$T$240,'Эффекты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9.699999999999994</x:v>
      </x:c>
      <x:c r="J32" s="10" t="n">
        <x:f>SUMIFS('Эффекты технологий'!$U$25:$U$240,'Эффекты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2036'!B34+'Иран 2036'!D34+('Иран 2036'!C34+'Иран 2036'!F34+'Иран 2036'!G34)+(0.35*LN(1+0.6*'Ход 2036'!B40)*POWER(MAX(0,1-'Иран 2036'!I34/10),0.7))))</x:f>
        <x:v>9.699999999999994</x:v>
      </x:c>
      <x:c r="C34" s="3" t="n">
        <x:f>MIN(1,(MIN(1,'Иран 2036'!C34+'Иран 2036'!F34+(0.08*LN(1+0.5*'Ход 2036'!C40)*MAX(0,1-('Иран 2036'!C34+'Иран 2036'!F34)))))+(SUMIFS('Эффекты технологий'!$U$25:$U$240,'Эффекты технологий'!$C$25:$C$240,$A34,'Эффекты технологий'!$D$25:$D$240,"Прирост")-SUMIFS('Эффекты технологий'!$T$25:$T$240,'Эффекты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9.699999999999994</x:v>
      </x:c>
      <x:c r="J34" s="10" t="n">
        <x:f>SUMIFS('Эффекты технологий'!$U$25:$U$240,'Эффекты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2036'!B35+'Иран 2036'!D35+('Иран 2036'!C35+'Иран 2036'!F35+'Иран 2036'!G35)+(0.35*LN(1+0.6*'Ход 2036'!B41)*POWER(MAX(0,1-'Иран 2036'!I35/10),0.7))))</x:f>
        <x:v>9.099999999999996</x:v>
      </x:c>
      <x:c r="C35" s="3" t="n">
        <x:f>MIN(1,(MIN(1,'Иран 2036'!C35+'Иран 2036'!F35+(0.08*LN(1+0.5*'Ход 2036'!C41)*MAX(0,1-('Иран 2036'!C35+'Иран 2036'!F35)))))+(SUMIFS('Эффекты технологий'!$U$25:$U$240,'Эффекты технологий'!$C$25:$C$240,$A35,'Эффекты технологий'!$D$25:$D$240,"Прирост")-SUMIFS('Эффекты технологий'!$T$25:$T$240,'Эффекты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9.099999999999996</x:v>
      </x:c>
      <x:c r="J35" s="10" t="n">
        <x:f>SUMIFS('Эффекты технологий'!$U$25:$U$240,'Эффекты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2036'!B36+'Иран 2036'!D36+('Иран 2036'!C36+'Иран 2036'!F36+'Иран 2036'!G36)+(0.35*LN(1+0.6*'Ход 2036'!B42)*POWER(MAX(0,1-'Иран 2036'!I36/10),0.7))))</x:f>
        <x:v>8.7</x:v>
      </x:c>
      <x:c r="C36" s="3" t="n">
        <x:f>MIN(1,(MIN(1,'Иран 2036'!C36+'Иран 2036'!F36+(0.08*LN(1+0.5*'Ход 2036'!C42)*MAX(0,1-('Иран 2036'!C36+'Иран 2036'!F36)))))+(SUMIFS('Эффекты технологий'!$U$25:$U$240,'Эффекты технологий'!$C$25:$C$240,$A36,'Эффекты технологий'!$D$25:$D$240,"Прирост")-SUMIFS('Эффекты технологий'!$T$25:$T$240,'Эффекты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8.7</x:v>
      </x:c>
      <x:c r="J36" s="10" t="n">
        <x:f>SUMIFS('Эффекты технологий'!$U$25:$U$240,'Эффекты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2036'!B37+'Иран 2036'!D37+('Иран 2036'!C37+'Иран 2036'!F37+'Иран 2036'!G37)+(0.35*LN(1+0.6*'Ход 2036'!B43)*POWER(MAX(0,1-'Иран 2036'!I37/10),0.7))))</x:f>
        <x:v>7.200000000000002</x:v>
      </x:c>
      <x:c r="C37" s="3" t="n">
        <x:f>MIN(1,(MIN(1,'Иран 2036'!C37+'Иран 2036'!F37+(0.08*LN(1+0.5*'Ход 2036'!C43)*MAX(0,1-('Иран 2036'!C37+'Иран 2036'!F37)))))+(SUMIFS('Эффекты технологий'!$U$25:$U$240,'Эффекты технологий'!$C$25:$C$240,$A37,'Эффекты технологий'!$D$25:$D$240,"Прирост")-SUMIFS('Эффекты технологий'!$T$25:$T$240,'Эффекты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7.200000000000002</x:v>
      </x:c>
      <x:c r="J37" s="10" t="n">
        <x:f>SUMIFS('Эффекты технологий'!$U$25:$U$240,'Эффекты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2036'!B38+'Иран 2036'!D38+('Иран 2036'!C38+'Иран 2036'!F38+'Иран 2036'!G38)+(0.35*LN(1+0.6*'Ход 2036'!B44)*POWER(MAX(0,1-'Иран 2036'!I38/10),0.7))))</x:f>
        <x:v>7.700000000000002</x:v>
      </x:c>
      <x:c r="C38" s="3" t="n">
        <x:f>MIN(1,(MIN(1,'Иран 2036'!C38+'Иран 2036'!F38+(0.08*LN(1+0.5*'Ход 2036'!C44)*MAX(0,1-('Иран 2036'!C38+'Иран 2036'!F38)))))+(SUMIFS('Эффекты технологий'!$U$25:$U$240,'Эффекты технологий'!$C$25:$C$240,$A38,'Эффекты технологий'!$D$25:$D$240,"Прирост")-SUMIFS('Эффекты технологий'!$T$25:$T$240,'Эффекты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7.700000000000002</x:v>
      </x:c>
      <x:c r="J38" s="10" t="n">
        <x:f>SUMIFS('Эффекты технологий'!$U$25:$U$240,'Эффекты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2036'!B39+'Иран 2036'!D39+('Иран 2036'!C39+'Иран 2036'!F39+'Иран 2036'!G39)+(0.35*LN(1+0.6*'Ход 2036'!B45)*POWER(MAX(0,1-'Иран 2036'!I39/10),0.7))))</x:f>
        <x:v>8.200000000000001</x:v>
      </x:c>
      <x:c r="C39" s="3" t="n">
        <x:f>MIN(1,(MIN(1,'Иран 2036'!C39+'Иран 2036'!F39+(0.08*LN(1+0.5*'Ход 2036'!C45)*MAX(0,1-('Иран 2036'!C39+'Иран 2036'!F39)))))+(SUMIFS('Эффекты технологий'!$U$25:$U$240,'Эффекты технологий'!$C$25:$C$240,$A39,'Эффекты технологий'!$D$25:$D$240,"Прирост")-SUMIFS('Эффекты технологий'!$T$25:$T$240,'Эффекты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8.200000000000001</x:v>
      </x:c>
      <x:c r="J39" s="10" t="n">
        <x:f>SUMIFS('Эффекты технологий'!$U$25:$U$240,'Эффекты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2036'!B40+'Иран 2036'!D40+('Иран 2036'!C40+'Иран 2036'!F40+'Иран 2036'!G40)+(0.35*LN(1+0.6*'Ход 2036'!B46)*POWER(MAX(0,1-'Иран 2036'!I40/10),0.7))))</x:f>
        <x:v>6.150000000000004</x:v>
      </x:c>
      <x:c r="C40" s="3" t="n">
        <x:f>MIN(1,(MIN(1,'Иран 2036'!C40+'Иран 2036'!F40+(0.08*LN(1+0.5*'Ход 2036'!C46)*MAX(0,1-('Иран 2036'!C40+'Иран 2036'!F40)))))+(SUMIFS('Эффекты технологий'!$U$25:$U$240,'Эффекты технологий'!$C$25:$C$240,$A40,'Эффекты технологий'!$D$25:$D$240,"Прирост")-SUMIFS('Эффекты технологий'!$T$25:$T$240,'Эффекты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6.150000000000004</x:v>
      </x:c>
      <x:c r="J40" s="10" t="n">
        <x:f>SUMIFS('Эффекты технологий'!$U$25:$U$240,'Эффекты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2036'!B41+'Иран 2036'!D41+('Иран 2036'!C41+'Иран 2036'!F41+'Иран 2036'!G41)+(0.35*LN(1+0.6*'Ход 2036'!B47)*POWER(MAX(0,1-'Иран 2036'!I41/10),0.7))))</x:f>
        <x:v>7.200000000000002</x:v>
      </x:c>
      <x:c r="C41" s="3" t="n">
        <x:f>MIN(1,(MIN(1,'Иран 2036'!C41+'Иран 2036'!F41+(0.08*LN(1+0.5*'Ход 2036'!C47)*MAX(0,1-('Иран 2036'!C41+'Иран 2036'!F41)))))+(SUMIFS('Эффекты технологий'!$U$25:$U$240,'Эффекты технологий'!$C$25:$C$240,$A41,'Эффекты технологий'!$D$25:$D$240,"Прирост")-SUMIFS('Эффекты технологий'!$T$25:$T$240,'Эффекты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7.200000000000002</x:v>
      </x:c>
      <x:c r="J41" s="10" t="n">
        <x:f>SUMIFS('Эффекты технологий'!$U$25:$U$240,'Эффекты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2036'!B42+'Иран 2036'!D42+('Иран 2036'!C42+'Иран 2036'!F42+'Иран 2036'!G42)+(0.35*LN(1+0.6*'Ход 2036'!B48)*POWER(MAX(0,1-'Иран 2036'!I42/10),0.7))))</x:f>
        <x:v>8.099999999999996</x:v>
      </x:c>
      <x:c r="C42" s="3" t="n">
        <x:f>MIN(1,(MIN(1,'Иран 2036'!C42+'Иран 2036'!F42+(0.08*LN(1+0.5*'Ход 2036'!C48)*MAX(0,1-('Иран 2036'!C42+'Иран 2036'!F42)))))+(SUMIFS('Эффекты технологий'!$U$25:$U$240,'Эффекты технологий'!$C$25:$C$240,$A42,'Эффекты технологий'!$D$25:$D$240,"Прирост")-SUMIFS('Эффекты технологий'!$T$25:$T$240,'Эффекты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8.099999999999996</x:v>
      </x:c>
      <x:c r="J42" s="10" t="n">
        <x:f>SUMIFS('Эффекты технологий'!$U$25:$U$240,'Эффекты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2036'!B44+'Иран 2036'!D44+('Иран 2036'!C44+'Иран 2036'!F44+'Иран 2036'!G44)+(0.35*LN(1+0.6*'Ход 2036'!B50)*POWER(MAX(0,1-'Иран 2036'!I44/10),0.7))))</x:f>
        <x:v>5.099999999999996</x:v>
      </x:c>
      <x:c r="C44" s="3" t="n">
        <x:f>MIN(1,(MIN(1,'Иран 2036'!C44+'Иран 2036'!F44+(0.08*LN(1+0.5*'Ход 2036'!C50)*MAX(0,1-('Иран 2036'!C44+'Иран 2036'!F44)))))+(SUMIFS('Эффекты технологий'!$U$25:$U$240,'Эффекты технологий'!$C$25:$C$240,$A44,'Эффекты технологий'!$D$25:$D$240,"Прирост")-SUMIFS('Эффекты технологий'!$T$25:$T$240,'Эффекты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5.099999999999996</x:v>
      </x:c>
      <x:c r="J44" s="10" t="n">
        <x:f>SUMIFS('Эффекты технологий'!$U$25:$U$240,'Эффекты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2036'!B45+'Иран 2036'!D45+('Иран 2036'!C45+'Иран 2036'!F45+'Иран 2036'!G45)+(0.35*LN(1+0.6*'Ход 2036'!B51)*POWER(MAX(0,1-'Иран 2036'!I45/10),0.7))))</x:f>
        <x:v>6.650000000000004</x:v>
      </x:c>
      <x:c r="C45" s="3" t="n">
        <x:f>MIN(1,(MIN(1,'Иран 2036'!C45+'Иран 2036'!F45+(0.08*LN(1+0.5*'Ход 2036'!C51)*MAX(0,1-('Иран 2036'!C45+'Иран 2036'!F45)))))+(SUMIFS('Эффекты технологий'!$U$25:$U$240,'Эффекты технологий'!$C$25:$C$240,$A45,'Эффекты технологий'!$D$25:$D$240,"Прирост")-SUMIFS('Эффекты технологий'!$T$25:$T$240,'Эффекты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6.650000000000004</x:v>
      </x:c>
      <x:c r="J45" s="10" t="n">
        <x:f>SUMIFS('Эффекты технологий'!$U$25:$U$240,'Эффекты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2036'!B46+'Иран 2036'!D46+('Иран 2036'!C46+'Иран 2036'!F46+'Иран 2036'!G46)+(0.35*LN(1+0.6*'Ход 2036'!B52)*POWER(MAX(0,1-'Иран 2036'!I46/10),0.7))))</x:f>
        <x:v>6.650000000000004</x:v>
      </x:c>
      <x:c r="C46" s="3" t="n">
        <x:f>MIN(1,(MIN(1,'Иран 2036'!C46+'Иран 2036'!F46+(0.08*LN(1+0.5*'Ход 2036'!C52)*MAX(0,1-('Иран 2036'!C46+'Иран 2036'!F46)))))+(SUMIFS('Эффекты технологий'!$U$25:$U$240,'Эффекты технологий'!$C$25:$C$240,$A46,'Эффекты технологий'!$D$25:$D$240,"Прирост")-SUMIFS('Эффекты технологий'!$T$25:$T$240,'Эффекты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6.650000000000004</x:v>
      </x:c>
      <x:c r="J46" s="10" t="n">
        <x:f>SUMIFS('Эффекты технологий'!$U$25:$U$240,'Эффекты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2036'!B47+'Иран 2036'!D47+('Иран 2036'!C47+'Иран 2036'!F47+'Иран 2036'!G47)+(0.35*LN(1+0.6*'Ход 2036'!B53)*POWER(MAX(0,1-'Иран 2036'!I47/10),0.7))))</x:f>
        <x:v>1.9500000000000017</x:v>
      </x:c>
      <x:c r="C47" s="3" t="n">
        <x:f>MIN(1,(MIN(1,'Иран 2036'!C47+'Иран 2036'!F47+(0.08*LN(1+0.5*'Ход 2036'!C53)*MAX(0,1-('Иран 2036'!C47+'Иран 2036'!F47)))))+(SUMIFS('Эффекты технологий'!$U$25:$U$240,'Эффекты технологий'!$C$25:$C$240,$A47,'Эффекты технологий'!$D$25:$D$240,"Прирост")-SUMIFS('Эффекты технологий'!$T$25:$T$240,'Эффекты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1.9500000000000017</x:v>
      </x:c>
      <x:c r="J47" s="10" t="n">
        <x:f>SUMIFS('Эффекты технологий'!$U$25:$U$240,'Эффекты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2036'!B48+'Иран 2036'!D48+('Иран 2036'!C48+'Иран 2036'!F48+'Иран 2036'!G48)+(0.35*LN(1+0.6*'Ход 2036'!B54)*POWER(MAX(0,1-'Иран 2036'!I48/10),0.7))))</x:f>
        <x:v>6.599999999999996</x:v>
      </x:c>
      <x:c r="C48" s="3" t="n">
        <x:f>MIN(1,(MIN(1,'Иран 2036'!C48+'Иран 2036'!F48+(0.08*LN(1+0.5*'Ход 2036'!C54)*MAX(0,1-('Иран 2036'!C48+'Иран 2036'!F48)))))+(SUMIFS('Эффекты технологий'!$U$25:$U$240,'Эффекты технологий'!$C$25:$C$240,$A48,'Эффекты технологий'!$D$25:$D$240,"Прирост")-SUMIFS('Эффекты технологий'!$T$25:$T$240,'Эффекты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6.599999999999996</x:v>
      </x:c>
      <x:c r="J48" s="10" t="n">
        <x:f>SUMIFS('Эффекты технологий'!$U$25:$U$240,'Эффекты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2036'!B49+'Иран 2036'!D49+('Иран 2036'!C49+'Иран 2036'!F49+'Иран 2036'!G49)+(0.35*LN(1+0.6*'Ход 2036'!B55)*POWER(MAX(0,1-'Иран 2036'!I49/10),0.7))))</x:f>
        <x:v>9.25</x:v>
      </x:c>
      <x:c r="C49" s="3" t="n">
        <x:f>MIN(1,(MIN(1,'Иран 2036'!C49+'Иран 2036'!F49+(0.08*LN(1+0.5*'Ход 2036'!C55)*MAX(0,1-('Иран 2036'!C49+'Иран 2036'!F49)))))+(SUMIFS('Эффекты технологий'!$U$25:$U$240,'Эффекты технологий'!$C$25:$C$240,$A49,'Эффекты технологий'!$D$25:$D$240,"Прирост")-SUMIFS('Эффекты технологий'!$T$25:$T$240,'Эффекты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9.25</x:v>
      </x:c>
      <x:c r="J49" s="10" t="n">
        <x:f>SUMIFS('Эффекты технологий'!$U$25:$U$240,'Эффекты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2036'!B50+'Иран 2036'!D50+('Иран 2036'!C50+'Иран 2036'!F50+'Иран 2036'!G50)+(0.35*LN(1+0.6*'Ход 2036'!B56)*POWER(MAX(0,1-'Иран 2036'!I50/10),0.7))))</x:f>
        <x:v>9.550000000000008</x:v>
      </x:c>
      <x:c r="C50" s="3" t="n">
        <x:f>MIN(1,(MIN(1,'Иран 2036'!C50+'Иран 2036'!F50+(0.08*LN(1+0.5*'Ход 2036'!C56)*MAX(0,1-('Иран 2036'!C50+'Иран 2036'!F50)))))+(SUMIFS('Эффекты технологий'!$U$25:$U$240,'Эффекты технологий'!$C$25:$C$240,$A50,'Эффекты технологий'!$D$25:$D$240,"Прирост")-SUMIFS('Эффекты технологий'!$T$25:$T$240,'Эффекты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9.550000000000008</x:v>
      </x:c>
      <x:c r="J50" s="10" t="n">
        <x:f>SUMIFS('Эффекты технологий'!$U$25:$U$240,'Эффекты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2036'!B51+'Иран 2036'!D51+('Иран 2036'!C51+'Иран 2036'!F51+'Иран 2036'!G51)+(0.35*LN(1+0.6*'Ход 2036'!B57)*POWER(MAX(0,1-'Иран 2036'!I51/10),0.7))))</x:f>
        <x:v>8.200000000000001</x:v>
      </x:c>
      <x:c r="C51" s="3" t="n">
        <x:f>MIN(1,(MIN(1,'Иран 2036'!C51+'Иран 2036'!F51+(0.08*LN(1+0.5*'Ход 2036'!C57)*MAX(0,1-('Иран 2036'!C51+'Иран 2036'!F51)))))+(SUMIFS('Эффекты технологий'!$U$25:$U$240,'Эффекты технологий'!$C$25:$C$240,$A51,'Эффекты технологий'!$D$25:$D$240,"Прирост")-SUMIFS('Эффекты технологий'!$T$25:$T$240,'Эффекты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8.200000000000001</x:v>
      </x:c>
      <x:c r="J51" s="10" t="n">
        <x:f>SUMIFS('Эффекты технологий'!$U$25:$U$240,'Эффекты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2036'!B53+'Иран 2036'!D53+('Иран 2036'!C53+'Иран 2036'!F53+'Иран 2036'!G53)+(0.35*LN(1+0.6*'Ход 2036'!B59)*POWER(MAX(0,1-'Иран 2036'!I53/10),0.7))))</x:f>
        <x:v>7.700000000000002</x:v>
      </x:c>
      <x:c r="C53" s="3" t="n">
        <x:f>MIN(1,(MIN(1,'Иран 2036'!C53+'Иран 2036'!F53+(0.08*LN(1+0.5*'Ход 2036'!C59)*MAX(0,1-('Иран 2036'!C53+'Иран 2036'!F53)))))+(SUMIFS('Эффекты технологий'!$U$25:$U$240,'Эффекты технологий'!$C$25:$C$240,$A53,'Эффекты технологий'!$D$25:$D$240,"Прирост")-SUMIFS('Эффекты технологий'!$T$25:$T$240,'Эффекты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7.700000000000002</x:v>
      </x:c>
      <x:c r="J53" s="10" t="n">
        <x:f>SUMIFS('Эффекты технологий'!$U$25:$U$240,'Эффекты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2036'!B54+'Иран 2036'!D54+('Иран 2036'!C54+'Иран 2036'!F54+'Иран 2036'!G54)+(0.35*LN(1+0.6*'Ход 2036'!B60)*POWER(MAX(0,1-'Иран 2036'!I54/10),0.7))))</x:f>
        <x:v>7.200000000000002</x:v>
      </x:c>
      <x:c r="C54" s="3" t="n">
        <x:f>MIN(1,(MIN(1,'Иран 2036'!C54+'Иран 2036'!F54+(0.08*LN(1+0.5*'Ход 2036'!C60)*MAX(0,1-('Иран 2036'!C54+'Иран 2036'!F54)))))+(SUMIFS('Эффекты технологий'!$U$25:$U$240,'Эффекты технологий'!$C$25:$C$240,$A54,'Эффекты технологий'!$D$25:$D$240,"Прирост")-SUMIFS('Эффекты технологий'!$T$25:$T$240,'Эффекты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7.200000000000002</x:v>
      </x:c>
      <x:c r="J54" s="10" t="n">
        <x:f>SUMIFS('Эффекты технологий'!$U$25:$U$240,'Эффекты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2036'!B55+'Иран 2036'!D55+('Иран 2036'!C55+'Иран 2036'!F55+'Иран 2036'!G55)+(0.35*LN(1+0.6*'Ход 2036'!B61)*POWER(MAX(0,1-'Иран 2036'!I55/10),0.7))))</x:f>
        <x:v>7.150000000000004</x:v>
      </x:c>
      <x:c r="C55" s="3" t="n">
        <x:f>MIN(1,(MIN(1,'Иран 2036'!C55+'Иран 2036'!F55+(0.08*LN(1+0.5*'Ход 2036'!C61)*MAX(0,1-('Иран 2036'!C55+'Иран 2036'!F55)))))+(SUMIFS('Эффекты технологий'!$U$25:$U$240,'Эффекты технологий'!$C$25:$C$240,$A55,'Эффекты технологий'!$D$25:$D$240,"Прирост")-SUMIFS('Эффекты технологий'!$T$25:$T$240,'Эффекты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7.150000000000004</x:v>
      </x:c>
      <x:c r="J55" s="10" t="n">
        <x:f>SUMIFS('Эффекты технологий'!$U$25:$U$240,'Эффекты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359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2037'!U6</x:f>
        <x:v>92.65283881057272</x:v>
      </x:c>
      <x:c r="C6" s="3"/>
      <x:c r="D6" s="3"/>
      <x:c r="E6" s="3" t="s">
        <x:v>321</x:v>
      </x:c>
      <x:c r="F6" s="3" t="n">
        <x:f>'Иран 2037'!K6</x:f>
        <x:v>81.51922976967236</x:v>
      </x:c>
      <x:c r="G6" s="3"/>
      <x:c r="H6" s="3"/>
      <x:c r="I6" s="3" t="s">
        <x:v>321</x:v>
      </x:c>
      <x:c r="J6" s="3" t="n">
        <x:f>'Иран 2037'!N6</x:f>
        <x:v>93.9179529090621</x:v>
      </x:c>
      <x:c r="K6" s="3"/>
      <x:c r="L6" s="3"/>
      <x:c r="M6" s="3" t="s">
        <x:v>321</x:v>
      </x:c>
      <x:c r="N6" s="3" t="n">
        <x:f>'Иран 2037'!Q6</x:f>
        <x:v>66.22295951822338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92.65283881057272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81.51922976967236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93.9179529090621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66.22295951822338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2037'!V11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2037'!V12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2037'!V13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2037'!V14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2037'!V15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2037'!V16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2037'!V17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2037'!V18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2037'!V19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2037'!V20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2037'!V21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2037'!V22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технологий'!U$16</x:f>
        <x:v>0</x:v>
      </x:c>
      <x:c r="H25" s="11" t="n">
        <x:f>'Эффекты технологий'!U$17</x:f>
        <x:v>0</x:v>
      </x:c>
      <x:c r="I25" s="11" t="n">
        <x:f>'Эффекты технологий'!U$18</x:f>
        <x:v>0</x:v>
      </x:c>
      <x:c r="J25" s="12"/>
      <x:c r="K25" s="3"/>
      <x:c r="L25" s="3" t="str">
        <x:v>Бразилия</x:v>
      </x:c>
      <x:c r="M25" s="3" t="n">
        <x:f>'Иран 2037'!V23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2037'!V24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2037'!V25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2037'!V26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IF(G29="","",VLOOKUP(G29,Технологии!$A$11:$BF$50,55,FALSE))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IF(G30="","",VLOOKUP(G30,Технологии!$A$11:$BF$50,55,FALSE))</x:f>
      </x:c>
      <x:c r="L30" s="3"/>
      <x:c r="M30" s="3"/>
      <x:c r="N30" s="12" t="s">
        <x:v>340</x:v>
      </x:c>
      <x:c r="O30" s="11" t="n">
        <x:f>'Эффекты технологий'!U$13</x:f>
        <x:v>0</x:v>
      </x:c>
      <x:c r="P30" s="11" t="n">
        <x:f>'Эффекты технологий'!U$14</x:f>
        <x:v>0</x:v>
      </x:c>
      <x:c r="Q30" s="11" t="n">
        <x:f>'Эффекты технологий'!U$15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IF(G31="","",VLOOKUP(G31,Технологии!$A$11:$BF$50,55,FALSE))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IF(G32="","",VLOOKUP(G32,Технологии!$A$11:$BF$50,55,FALSE))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IF(G33="","",VLOOKUP(G33,Технологии!$A$11:$BF$50,55,FALSE))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IF(G34="","",VLOOKUP(G34,Технологии!$A$11:$BF$50,55,FALSE))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IF(G35="","",VLOOKUP(G35,Технологии!$A$11:$BF$50,55,FALSE))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IF(G36="","",VLOOKUP(G36,Технологии!$A$11:$BF$50,55,FALSE))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IF(G37="","",VLOOKUP(G37,Технологии!$A$11:$BF$50,55,FALSE))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IF(G38="","",VLOOKUP(G38,Технологии!$A$11:$BF$50,55,FALSE))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2038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83.11368489826525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95.16525223350169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67.22968206915984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93.47875380679997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2037'!B8+'Иран 2037'!D8+('Иран 2037'!C8+'Иран 2037'!F8+'Иран 2037'!G8)+(0.35*LN(1+0.6*('Ход 2037'!B14*(1+'Эффекты технологий'!U$12)))*POWER(MAX(0,1-'Иран 2037'!I8/10),0.7))))</x:f>
        <x:v>9.199999999999996</x:v>
      </x:c>
      <x:c r="C8" s="3" t="n">
        <x:f>MIN(1,(MIN(1,'Иран 2037'!C8+'Иран 2037'!F8+(0.08*LN(1+0.5*('Ход 2037'!C14*(1+'Эффекты технологий'!U$12)))*MAX(0,1-('Иран 2037'!C8+'Иран 2037'!F8)))))+(SUMIFS('Эффекты технологий'!$V$25:$V$240,'Эффекты технологий'!$C$25:$C$240,$A8,'Эффекты технологий'!$D$25:$D$240,"Прирост")-SUMIFS('Эффекты технологий'!$U$25:$U$240,'Эффекты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9.199999999999996</x:v>
      </x:c>
      <x:c r="J8" s="10" t="n">
        <x:f>SUMIFS('Эффекты технологий'!$V$25:$V$240,'Эффекты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2037'!B9+'Иран 2037'!D9+('Иран 2037'!C9+'Иран 2037'!F9+'Иран 2037'!G9)+(0.35*LN(1+0.6*('Ход 2037'!B15*(1+'Эффекты технологий'!U$12)))*POWER(MAX(0,1-'Иран 2037'!I9/10),0.7))))</x:f>
        <x:v>8.199999999999996</x:v>
      </x:c>
      <x:c r="C9" s="3" t="n">
        <x:f>MIN(1,(MIN(1,'Иран 2037'!C9+'Иран 2037'!F9+(0.08*LN(1+0.5*('Ход 2037'!C15*(1+'Эффекты технологий'!U$12)))*MAX(0,1-('Иран 2037'!C9+'Иран 2037'!F9)))))+(SUMIFS('Эффекты технологий'!$V$25:$V$240,'Эффекты технологий'!$C$25:$C$240,$A9,'Эффекты технологий'!$D$25:$D$240,"Прирост")-SUMIFS('Эффекты технологий'!$U$25:$U$240,'Эффекты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8.199999999999996</x:v>
      </x:c>
      <x:c r="J9" s="10" t="n">
        <x:f>SUMIFS('Эффекты технологий'!$V$25:$V$240,'Эффекты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2037'!B10+'Иран 2037'!D10+('Иран 2037'!C10+'Иран 2037'!F10+'Иран 2037'!G10)+(0.35*LN(1+0.6*('Ход 2037'!B16*(1+'Эффекты технологий'!U$12)))*POWER(MAX(0,1-'Иран 2037'!I10/10),0.7))))</x:f>
        <x:v>10</x:v>
      </x:c>
      <x:c r="C10" s="3" t="n">
        <x:f>MIN(1,(MIN(1,'Иран 2037'!C10+'Иран 2037'!F10+(0.08*LN(1+0.5*('Ход 2037'!C16*(1+'Эффекты технологий'!U$12)))*MAX(0,1-('Иран 2037'!C10+'Иран 2037'!F10)))))+(SUMIFS('Эффекты технологий'!$V$25:$V$240,'Эффекты технологий'!$C$25:$C$240,$A10,'Эффекты технологий'!$D$25:$D$240,"Прирост")-SUMIFS('Эффекты технологий'!$U$25:$U$240,'Эффекты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10</x:v>
      </x:c>
      <x:c r="J10" s="10" t="n">
        <x:f>SUMIFS('Эффекты технологий'!$V$25:$V$240,'Эффекты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2037'!B11+'Иран 2037'!D11+('Иран 2037'!C11+'Иран 2037'!F11+'Иран 2037'!G11)+(0.35*LN(1+0.6*('Ход 2037'!B17*(1+'Эффекты технологий'!U$12)))*POWER(MAX(0,1-'Иран 2037'!I11/10),0.7))))</x:f>
        <x:v>4.099999999999998</x:v>
      </x:c>
      <x:c r="C11" s="3" t="n">
        <x:f>MIN(1,(MIN(1,'Иран 2037'!C11+'Иран 2037'!F11+(0.08*LN(1+0.5*('Ход 2037'!C17*(1+'Эффекты технологий'!U$12)))*MAX(0,1-('Иран 2037'!C11+'Иран 2037'!F11)))))+(SUMIFS('Эффекты технологий'!$V$25:$V$240,'Эффекты технологий'!$C$25:$C$240,$A11,'Эффекты технологий'!$D$25:$D$240,"Прирост")-SUMIFS('Эффекты технологий'!$U$25:$U$240,'Эффекты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4.099999999999998</x:v>
      </x:c>
      <x:c r="J11" s="10" t="n">
        <x:f>SUMIFS('Эффекты технологий'!$V$25:$V$240,'Эффекты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2037'!L11+'Иран 2037'!N11+('Иран 2037'!M11+'Иран 2037'!P11+'Иран 2037'!Q11)))</x:f>
        <x:v>8.5</x:v>
      </x:c>
      <x:c r="M11" s="3" t="n">
        <x:f>MIN(1,(MIN(1,'Иран 2037'!M11+'Иран 2037'!P11+(0.1*LN(1+0.5*('Ход 2037'!H13*(1+'Эффекты технологий'!U$10)))*POWER(MAX(0,1-'Иран 2037'!S11/10),0.8))))+(SUMIFS('Эффекты технологий'!$V$25:$V$240,'Эффекты технологий'!$C$25:$C$240,$K11,'Эффекты технологий'!$D$25:$D$240,"Прирост")-SUMIFS('Эффекты технологий'!$U$25:$U$240,'Эффекты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8.5</x:v>
      </x:c>
      <x:c r="T11" s="10" t="n">
        <x:f>SUMIFS('Эффекты технологий'!$V$25:$V$240,'Эффекты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2037'!V11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2037'!B12+'Иран 2037'!D12+('Иран 2037'!C12+'Иран 2037'!F12+'Иран 2037'!G12)+(0.35*LN(1+0.6*('Ход 2037'!B18*(1+'Эффекты технологий'!U$12)))*POWER(MAX(0,1-'Иран 2037'!I12/10),0.7))))</x:f>
        <x:v>8.600000000000009</x:v>
      </x:c>
      <x:c r="C12" s="3" t="n">
        <x:f>MIN(1,(MIN(1,'Иран 2037'!C12+'Иран 2037'!F12+(0.08*LN(1+0.5*('Ход 2037'!C18*(1+'Эффекты технологий'!U$12)))*MAX(0,1-('Иран 2037'!C12+'Иран 2037'!F12)))))+(SUMIFS('Эффекты технологий'!$V$25:$V$240,'Эффекты технологий'!$C$25:$C$240,$A12,'Эффекты технологий'!$D$25:$D$240,"Прирост")-SUMIFS('Эффекты технологий'!$U$25:$U$240,'Эффекты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8.600000000000009</x:v>
      </x:c>
      <x:c r="J12" s="10" t="n">
        <x:f>SUMIFS('Эффекты технологий'!$V$25:$V$240,'Эффекты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2037'!L12+'Иран 2037'!N12+('Иран 2037'!M12+'Иран 2037'!P12+'Иран 2037'!Q12)))</x:f>
        <x:v>8.5</x:v>
      </x:c>
      <x:c r="M12" s="3" t="n">
        <x:f>MIN(1,(MIN(1,'Иран 2037'!M12+'Иран 2037'!P12+(0.1*LN(1+0.5*('Ход 2037'!H14*(1+'Эффекты технологий'!U$10)))*POWER(MAX(0,1-'Иран 2037'!S12/10),0.8))))+(SUMIFS('Эффекты технологий'!$V$25:$V$240,'Эффекты технологий'!$C$25:$C$240,$K12,'Эффекты технологий'!$D$25:$D$240,"Прирост")-SUMIFS('Эффекты технологий'!$U$25:$U$240,'Эффекты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8.5</x:v>
      </x:c>
      <x:c r="T12" s="10" t="n">
        <x:f>SUMIFS('Эффекты технологий'!$V$25:$V$240,'Эффекты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2037'!V12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2037'!B13+'Иран 2037'!D13+('Иран 2037'!C13+'Иран 2037'!F13+'Иран 2037'!G13)+(0.35*LN(1+0.6*('Ход 2037'!B19*(1+'Эффекты технологий'!U$12)))*POWER(MAX(0,1-'Иран 2037'!I13/10),0.7))))</x:f>
        <x:v>4.400000000000002</x:v>
      </x:c>
      <x:c r="C13" s="3" t="n">
        <x:f>MIN(1,(MIN(1,'Иран 2037'!C13+'Иран 2037'!F13+(0.08*LN(1+0.5*('Ход 2037'!C19*(1+'Эффекты технологий'!U$12)))*MAX(0,1-('Иран 2037'!C13+'Иран 2037'!F13)))))+(SUMIFS('Эффекты технологий'!$V$25:$V$240,'Эффекты технологий'!$C$25:$C$240,$A13,'Эффекты технологий'!$D$25:$D$240,"Прирост")-SUMIFS('Эффекты технологий'!$U$25:$U$240,'Эффекты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4.400000000000002</x:v>
      </x:c>
      <x:c r="J13" s="10" t="n">
        <x:f>SUMIFS('Эффекты технологий'!$V$25:$V$240,'Эффекты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2037'!L13+'Иран 2037'!N13+('Иран 2037'!M13+'Иран 2037'!P13+'Иран 2037'!Q13)))</x:f>
        <x:v>9.399999999999995</x:v>
      </x:c>
      <x:c r="M13" s="3" t="n">
        <x:f>MIN(1,(MIN(1,'Иран 2037'!M13+'Иран 2037'!P13+(0.1*LN(1+0.5*('Ход 2037'!H15*(1+'Эффекты технологий'!U$10)))*POWER(MAX(0,1-'Иран 2037'!S13/10),0.8))))+(SUMIFS('Эффекты технологий'!$V$25:$V$240,'Эффекты технологий'!$C$25:$C$240,$K13,'Эффекты технологий'!$D$25:$D$240,"Прирост")-SUMIFS('Эффекты технологий'!$U$25:$U$240,'Эффекты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9.399999999999995</x:v>
      </x:c>
      <x:c r="T13" s="10" t="n">
        <x:f>SUMIFS('Эффекты технологий'!$V$25:$V$240,'Эффекты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2037'!V13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2037'!B14+'Иран 2037'!D14+('Иран 2037'!C14+'Иран 2037'!F14+'Иран 2037'!G14)+(0.35*LN(1+0.6*('Ход 2037'!B20*(1+'Эффекты технологий'!U$12)))*POWER(MAX(0,1-'Иран 2037'!I14/10),0.7))))</x:f>
        <x:v>5.400000000000002</x:v>
      </x:c>
      <x:c r="C14" s="3" t="n">
        <x:f>MIN(1,(MIN(1,'Иран 2037'!C14+'Иран 2037'!F14+(0.08*LN(1+0.5*('Ход 2037'!C20*(1+'Эффекты технологий'!U$12)))*MAX(0,1-('Иран 2037'!C14+'Иран 2037'!F14)))))+(SUMIFS('Эффекты технологий'!$V$25:$V$240,'Эффекты технологий'!$C$25:$C$240,$A14,'Эффекты технологий'!$D$25:$D$240,"Прирост")-SUMIFS('Эффекты технологий'!$U$25:$U$240,'Эффекты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5.400000000000002</x:v>
      </x:c>
      <x:c r="J14" s="10" t="n">
        <x:f>SUMIFS('Эффекты технологий'!$V$25:$V$240,'Эффекты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2037'!L14+'Иран 2037'!N14+('Иран 2037'!M14+'Иран 2037'!P14+'Иран 2037'!Q14)))</x:f>
        <x:v>9.5</x:v>
      </x:c>
      <x:c r="M14" s="3" t="n">
        <x:f>MIN(1,(MIN(1,'Иран 2037'!M14+'Иран 2037'!P14+(0.1*LN(1+0.5*('Ход 2037'!H16*(1+'Эффекты технологий'!U$10)))*POWER(MAX(0,1-'Иран 2037'!S14/10),0.8))))+(SUMIFS('Эффекты технологий'!$V$25:$V$240,'Эффекты технологий'!$C$25:$C$240,$K14,'Эффекты технологий'!$D$25:$D$240,"Прирост")-SUMIFS('Эффекты технологий'!$U$25:$U$240,'Эффекты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9.5</x:v>
      </x:c>
      <x:c r="T14" s="10" t="n">
        <x:f>SUMIFS('Эффекты технологий'!$V$25:$V$240,'Эффекты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2037'!V14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2037'!B15+'Иран 2037'!D15+('Иран 2037'!C15+'Иран 2037'!F15+'Иран 2037'!G15)+(0.35*LN(1+0.6*('Ход 2037'!B21*(1+'Эффекты технологий'!U$12)))*POWER(MAX(0,1-'Иран 2037'!I15/10),0.7))))</x:f>
        <x:v>7.5</x:v>
      </x:c>
      <x:c r="C15" s="3" t="n">
        <x:f>MIN(1,(MIN(1,'Иран 2037'!C15+'Иран 2037'!F15+(0.08*LN(1+0.5*('Ход 2037'!C21*(1+'Эффекты технологий'!U$12)))*MAX(0,1-('Иран 2037'!C15+'Иран 2037'!F15)))))+(SUMIFS('Эффекты технологий'!$V$25:$V$240,'Эффекты технологий'!$C$25:$C$240,$A15,'Эффекты технологий'!$D$25:$D$240,"Прирост")-SUMIFS('Эффекты технологий'!$U$25:$U$240,'Эффекты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7.5</x:v>
      </x:c>
      <x:c r="J15" s="10" t="n">
        <x:f>SUMIFS('Эффекты технологий'!$V$25:$V$240,'Эффекты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2037'!L15+'Иран 2037'!N15+('Иран 2037'!M15+'Иран 2037'!P15+'Иран 2037'!Q15)))</x:f>
        <x:v>9.399999999999995</x:v>
      </x:c>
      <x:c r="M15" s="3" t="n">
        <x:f>MIN(1,(MIN(1,'Иран 2037'!M15+'Иран 2037'!P15+(0.1*LN(1+0.5*('Ход 2037'!H17*(1+'Эффекты технологий'!U$10)))*POWER(MAX(0,1-'Иран 2037'!S15/10),0.8))))+(SUMIFS('Эффекты технологий'!$V$25:$V$240,'Эффекты технологий'!$C$25:$C$240,$K15,'Эффекты технологий'!$D$25:$D$240,"Прирост")-SUMIFS('Эффекты технологий'!$U$25:$U$240,'Эффекты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9.399999999999995</x:v>
      </x:c>
      <x:c r="T15" s="10" t="n">
        <x:f>SUMIFS('Эффекты технологий'!$V$25:$V$240,'Эффекты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2037'!V15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2037'!B16+'Иран 2037'!D16+('Иран 2037'!C16+'Иран 2037'!F16+'Иран 2037'!G16)+(0.35*LN(1+0.6*('Ход 2037'!B22*(1+'Эффекты технологий'!U$12)))*POWER(MAX(0,1-'Иран 2037'!I16/10),0.7))))</x:f>
        <x:v>7.900000000000002</x:v>
      </x:c>
      <x:c r="C16" s="3" t="n">
        <x:f>MIN(1,(MIN(1,'Иран 2037'!C16+'Иран 2037'!F16+(0.08*LN(1+0.5*('Ход 2037'!C22*(1+'Эффекты технологий'!U$12)))*MAX(0,1-('Иран 2037'!C16+'Иран 2037'!F16)))))+(SUMIFS('Эффекты технологий'!$V$25:$V$240,'Эффекты технологий'!$C$25:$C$240,$A16,'Эффекты технологий'!$D$25:$D$240,"Прирост")-SUMIFS('Эффекты технологий'!$U$25:$U$240,'Эффекты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7.900000000000002</x:v>
      </x:c>
      <x:c r="J16" s="10" t="n">
        <x:f>SUMIFS('Эффекты технологий'!$V$25:$V$240,'Эффекты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2037'!L16+'Иран 2037'!N16+('Иран 2037'!M16+'Иран 2037'!P16+'Иран 2037'!Q16)))</x:f>
        <x:v>8.5</x:v>
      </x:c>
      <x:c r="M16" s="3" t="n">
        <x:f>MIN(1,(MIN(1,'Иран 2037'!M16+'Иран 2037'!P16+(0.1*LN(1+0.5*('Ход 2037'!H18*(1+'Эффекты технологий'!U$10)))*POWER(MAX(0,1-'Иран 2037'!S16/10),0.8))))+(SUMIFS('Эффекты технологий'!$V$25:$V$240,'Эффекты технологий'!$C$25:$C$240,$K16,'Эффекты технологий'!$D$25:$D$240,"Прирост")-SUMIFS('Эффекты технологий'!$U$25:$U$240,'Эффекты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8.5</x:v>
      </x:c>
      <x:c r="T16" s="10" t="n">
        <x:f>SUMIFS('Эффекты технологий'!$V$25:$V$240,'Эффекты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2037'!V16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2037'!B17+'Иран 2037'!D17+('Иран 2037'!C17+'Иран 2037'!F17+'Иран 2037'!G17)+(0.35*LN(1+0.6*('Ход 2037'!B23*(1+'Эффекты технологий'!U$12)))*POWER(MAX(0,1-'Иран 2037'!I17/10),0.7))))</x:f>
        <x:v>6.800000000000004</x:v>
      </x:c>
      <x:c r="C17" s="3" t="n">
        <x:f>MIN(1,(MIN(1,'Иран 2037'!C17+'Иран 2037'!F17+(0.08*LN(1+0.5*('Ход 2037'!C23*(1+'Эффекты технологий'!U$12)))*MAX(0,1-('Иран 2037'!C17+'Иран 2037'!F17)))))+(SUMIFS('Эффекты технологий'!$V$25:$V$240,'Эффекты технологий'!$C$25:$C$240,$A17,'Эффекты технологий'!$D$25:$D$240,"Прирост")-SUMIFS('Эффекты технологий'!$U$25:$U$240,'Эффекты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6.800000000000004</x:v>
      </x:c>
      <x:c r="J17" s="10" t="n">
        <x:f>SUMIFS('Эффекты технологий'!$V$25:$V$240,'Эффекты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2037'!L17+'Иран 2037'!N17+('Иран 2037'!M17+'Иран 2037'!P17+'Иран 2037'!Q17)))</x:f>
        <x:v>9.5</x:v>
      </x:c>
      <x:c r="M17" s="3" t="n">
        <x:f>MIN(1,(MIN(1,'Иран 2037'!M17+'Иран 2037'!P17+(0.1*LN(1+0.5*('Ход 2037'!H19*(1+'Эффекты технологий'!U$10)))*POWER(MAX(0,1-'Иран 2037'!S17/10),0.8))))+(SUMIFS('Эффекты технологий'!$V$25:$V$240,'Эффекты технологий'!$C$25:$C$240,$K17,'Эффекты технологий'!$D$25:$D$240,"Прирост")-SUMIFS('Эффекты технологий'!$U$25:$U$240,'Эффекты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9.5</x:v>
      </x:c>
      <x:c r="T17" s="10" t="n">
        <x:f>SUMIFS('Эффекты технологий'!$V$25:$V$240,'Эффекты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2037'!V17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2037'!L18+'Иран 2037'!N18+('Иран 2037'!M18+'Иран 2037'!P18+'Иран 2037'!Q18)))</x:f>
        <x:v>9.5</x:v>
      </x:c>
      <x:c r="M18" s="3" t="n">
        <x:f>MIN(1,(MIN(1,'Иран 2037'!M18+'Иран 2037'!P18+(0.1*LN(1+0.5*('Ход 2037'!H20*(1+'Эффекты технологий'!U$10)))*POWER(MAX(0,1-'Иран 2037'!S18/10),0.8))))+(SUMIFS('Эффекты технологий'!$V$25:$V$240,'Эффекты технологий'!$C$25:$C$240,$K18,'Эффекты технологий'!$D$25:$D$240,"Прирост")-SUMIFS('Эффекты технологий'!$U$25:$U$240,'Эффекты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9.5</x:v>
      </x:c>
      <x:c r="T18" s="10" t="n">
        <x:f>SUMIFS('Эффекты технологий'!$V$25:$V$240,'Эффекты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2037'!V18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2037'!B19+'Иран 2037'!D19+('Иран 2037'!C19+'Иран 2037'!F19+'Иран 2037'!G19)+(0.35*LN(1+0.6*'Ход 2037'!B25)*POWER(MAX(0,1-'Иран 2037'!I19/10),0.7))))</x:f>
        <x:v>7.900000000000002</x:v>
      </x:c>
      <x:c r="C19" s="3" t="n">
        <x:f>MIN(1,(MIN(1,'Иран 2037'!C19+'Иран 2037'!F19+(0.08*LN(1+0.5*'Ход 2037'!C25)*MAX(0,1-('Иран 2037'!C19+'Иран 2037'!F19)))))+(SUMIFS('Эффекты технологий'!$V$25:$V$240,'Эффекты технологий'!$C$25:$C$240,$A19,'Эффекты технологий'!$D$25:$D$240,"Прирост")-SUMIFS('Эффекты технологий'!$U$25:$U$240,'Эффекты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7.900000000000002</x:v>
      </x:c>
      <x:c r="J19" s="10" t="n">
        <x:f>SUMIFS('Эффекты технологий'!$V$25:$V$240,'Эффекты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2037'!V19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2037'!B20+'Иран 2037'!D20+('Иран 2037'!C20+'Иран 2037'!F20+'Иран 2037'!G20)+(0.35*LN(1+0.6*'Ход 2037'!B26)*POWER(MAX(0,1-'Иран 2037'!I20/10),0.7))))</x:f>
        <x:v>8.5</x:v>
      </x:c>
      <x:c r="C20" s="3" t="n">
        <x:f>MIN(1,(MIN(1,'Иран 2037'!C20+'Иран 2037'!F20+(0.08*LN(1+0.5*'Ход 2037'!C26)*MAX(0,1-('Иран 2037'!C20+'Иран 2037'!F20)))))+(SUMIFS('Эффекты технологий'!$V$25:$V$240,'Эффекты технологий'!$C$25:$C$240,$A20,'Эффекты технологий'!$D$25:$D$240,"Прирост")-SUMIFS('Эффекты технологий'!$U$25:$U$240,'Эффекты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8.5</x:v>
      </x:c>
      <x:c r="J20" s="10" t="n">
        <x:f>SUMIFS('Эффекты технологий'!$V$25:$V$240,'Эффекты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2037'!V20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2037'!B21+'Иран 2037'!D21+('Иран 2037'!C21+'Иран 2037'!F21+'Иран 2037'!G21)+(0.35*LN(1+0.6*'Ход 2037'!B27)*POWER(MAX(0,1-'Иран 2037'!I21/10),0.7))))</x:f>
        <x:v>7.400000000000002</x:v>
      </x:c>
      <x:c r="C21" s="3" t="n">
        <x:f>MIN(1,(MIN(1,'Иран 2037'!C21+'Иран 2037'!F21+(0.08*LN(1+0.5*'Ход 2037'!C27)*MAX(0,1-('Иран 2037'!C21+'Иран 2037'!F21)))))+(SUMIFS('Эффекты технологий'!$V$25:$V$240,'Эффекты технологий'!$C$25:$C$240,$A21,'Эффекты технологий'!$D$25:$D$240,"Прирост")-SUMIFS('Эффекты технологий'!$U$25:$U$240,'Эффекты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7.400000000000002</x:v>
      </x:c>
      <x:c r="J21" s="10" t="n">
        <x:f>SUMIFS('Эффекты технологий'!$V$25:$V$240,'Эффекты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2037'!V21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2037'!B22+'Иран 2037'!D22+('Иран 2037'!C22+'Иран 2037'!F22+'Иран 2037'!G22)+(0.35*LN(1+0.6*'Ход 2037'!B28)*POWER(MAX(0,1-'Иран 2037'!I22/10),0.7))))</x:f>
        <x:v>9.199999999999996</x:v>
      </x:c>
      <x:c r="C22" s="3" t="n">
        <x:f>MIN(1,(MIN(1,'Иран 2037'!C22+'Иран 2037'!F22+(0.08*LN(1+0.5*'Ход 2037'!C28)*MAX(0,1-('Иран 2037'!C22+'Иран 2037'!F22)))))+(SUMIFS('Эффекты технологий'!$V$25:$V$240,'Эффекты технологий'!$C$25:$C$240,$A22,'Эффекты технологий'!$D$25:$D$240,"Прирост")-SUMIFS('Эффекты технологий'!$U$25:$U$240,'Эффекты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9.199999999999996</x:v>
      </x:c>
      <x:c r="J22" s="10" t="n">
        <x:f>SUMIFS('Эффекты технологий'!$V$25:$V$240,'Эффекты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2037'!V22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2037'!B23+'Иран 2037'!D23+('Иран 2037'!C23+'Иран 2037'!F23+'Иран 2037'!G23)+(0.35*LN(1+0.6*'Ход 2037'!B29)*POWER(MAX(0,1-'Иран 2037'!I23/10),0.7))))</x:f>
        <x:v>8.899999999999999</x:v>
      </x:c>
      <x:c r="C23" s="3" t="n">
        <x:f>MIN(1,(MIN(1,'Иран 2037'!C23+'Иран 2037'!F23+(0.08*LN(1+0.5*'Ход 2037'!C29)*MAX(0,1-('Иран 2037'!C23+'Иран 2037'!F23)))))+(SUMIFS('Эффекты технологий'!$V$25:$V$240,'Эффекты технологий'!$C$25:$C$240,$A23,'Эффекты технологий'!$D$25:$D$240,"Прирост")-SUMIFS('Эффекты технологий'!$U$25:$U$240,'Эффекты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8.899999999999999</x:v>
      </x:c>
      <x:c r="J23" s="10" t="n">
        <x:f>SUMIFS('Эффекты технологий'!$V$25:$V$240,'Эффекты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2037'!V23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2037'!V24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2037'!B25+'Иран 2037'!D25+('Иран 2037'!C25+'Иран 2037'!F25+'Иран 2037'!G25)+(0.35*LN(1+0.6*'Ход 2037'!B31)*POWER(MAX(0,1-'Иран 2037'!I25/10),0.7))))</x:f>
        <x:v>8.199999999999996</x:v>
      </x:c>
      <x:c r="C25" s="3" t="n">
        <x:f>MIN(1,(MIN(1,'Иран 2037'!C25+'Иран 2037'!F25+(0.08*LN(1+0.5*'Ход 2037'!C31)*MAX(0,1-('Иран 2037'!C25+'Иран 2037'!F25)))))+(SUMIFS('Эффекты технологий'!$V$25:$V$240,'Эффекты технологий'!$C$25:$C$240,$A25,'Эффекты технологий'!$D$25:$D$240,"Прирост")-SUMIFS('Эффекты технологий'!$U$25:$U$240,'Эффекты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8.199999999999996</x:v>
      </x:c>
      <x:c r="J25" s="10" t="n">
        <x:f>SUMIFS('Эффекты технологий'!$V$25:$V$240,'Эффекты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2037'!V25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2037'!B26+'Иран 2037'!D26+('Иран 2037'!C26+'Иран 2037'!F26+'Иран 2037'!G26)+(0.35*LN(1+0.6*'Ход 2037'!B32)*POWER(MAX(0,1-'Иран 2037'!I26/10),0.7))))</x:f>
        <x:v>7.900000000000002</x:v>
      </x:c>
      <x:c r="C26" s="3" t="n">
        <x:f>MIN(1,(MIN(1,'Иран 2037'!C26+'Иран 2037'!F26+(0.08*LN(1+0.5*'Ход 2037'!C32)*MAX(0,1-('Иран 2037'!C26+'Иран 2037'!F26)))))+(SUMIFS('Эффекты технологий'!$V$25:$V$240,'Эффекты технологий'!$C$25:$C$240,$A26,'Эффекты технологий'!$D$25:$D$240,"Прирост")-SUMIFS('Эффекты технологий'!$U$25:$U$240,'Эффекты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7.900000000000002</x:v>
      </x:c>
      <x:c r="J26" s="10" t="n">
        <x:f>SUMIFS('Эффекты технологий'!$V$25:$V$240,'Эффекты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2037'!V26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2037'!B27+'Иран 2037'!D27+('Иран 2037'!C27+'Иран 2037'!F27+'Иран 2037'!G27)+(0.35*LN(1+0.6*'Ход 2037'!B33)*POWER(MAX(0,1-'Иран 2037'!I27/10),0.7))))</x:f>
        <x:v>7.800000000000004</x:v>
      </x:c>
      <x:c r="C27" s="3" t="n">
        <x:f>MIN(1,(MIN(1,'Иран 2037'!C27+'Иран 2037'!F27+(0.08*LN(1+0.5*'Ход 2037'!C33)*MAX(0,1-('Иран 2037'!C27+'Иран 2037'!F27)))))+(SUMIFS('Эффекты технологий'!$V$25:$V$240,'Эффекты технологий'!$C$25:$C$240,$A27,'Эффекты технологий'!$D$25:$D$240,"Прирост")-SUMIFS('Эффекты технологий'!$U$25:$U$240,'Эффекты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7.800000000000004</x:v>
      </x:c>
      <x:c r="J27" s="10" t="n">
        <x:f>SUMIFS('Эффекты технологий'!$V$25:$V$240,'Эффекты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2037'!B28+'Иран 2037'!D28+('Иран 2037'!C28+'Иран 2037'!F28+'Иран 2037'!G28)+(0.35*LN(1+0.6*'Ход 2037'!B34)*POWER(MAX(0,1-'Иран 2037'!I28/10),0.7))))</x:f>
        <x:v>7.900000000000002</x:v>
      </x:c>
      <x:c r="C28" s="3" t="n">
        <x:f>MIN(1,(MIN(1,'Иран 2037'!C28+'Иран 2037'!F28+(0.08*LN(1+0.5*'Ход 2037'!C34)*MAX(0,1-('Иран 2037'!C28+'Иран 2037'!F28)))))+(SUMIFS('Эффекты технологий'!$V$25:$V$240,'Эффекты технологий'!$C$25:$C$240,$A28,'Эффекты технологий'!$D$25:$D$240,"Прирост")-SUMIFS('Эффекты технологий'!$U$25:$U$240,'Эффекты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7.900000000000002</x:v>
      </x:c>
      <x:c r="J28" s="10" t="n">
        <x:f>SUMIFS('Эффекты технологий'!$V$25:$V$240,'Эффекты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2037'!B29+'Иран 2037'!D29+('Иран 2037'!C29+'Иран 2037'!F29+'Иран 2037'!G29)+(0.35*LN(1+0.6*'Ход 2037'!B35)*POWER(MAX(0,1-'Иран 2037'!I29/10),0.7))))</x:f>
        <x:v>7.900000000000002</x:v>
      </x:c>
      <x:c r="C29" s="3" t="n">
        <x:f>MIN(1,(MIN(1,'Иран 2037'!C29+'Иран 2037'!F29+(0.08*LN(1+0.5*'Ход 2037'!C35)*MAX(0,1-('Иран 2037'!C29+'Иран 2037'!F29)))))+(SUMIFS('Эффекты технологий'!$V$25:$V$240,'Эффекты технологий'!$C$25:$C$240,$A29,'Эффекты технологий'!$D$25:$D$240,"Прирост")-SUMIFS('Эффекты технологий'!$U$25:$U$240,'Эффекты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7.900000000000002</x:v>
      </x:c>
      <x:c r="J29" s="10" t="n">
        <x:f>SUMIFS('Эффекты технологий'!$V$25:$V$240,'Эффекты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2037'!B30+'Иран 2037'!D30+('Иран 2037'!C30+'Иран 2037'!F30+'Иран 2037'!G30)+(0.35*LN(1+0.6*'Ход 2037'!B36)*POWER(MAX(0,1-'Иран 2037'!I30/10),0.7))))</x:f>
        <x:v>7.300000000000004</x:v>
      </x:c>
      <x:c r="C30" s="3" t="n">
        <x:f>MIN(1,(MIN(1,'Иран 2037'!C30+'Иран 2037'!F30+(0.08*LN(1+0.5*'Ход 2037'!C36)*MAX(0,1-('Иран 2037'!C30+'Иран 2037'!F30)))))+(SUMIFS('Эффекты технологий'!$V$25:$V$240,'Эффекты технологий'!$C$25:$C$240,$A30,'Эффекты технологий'!$D$25:$D$240,"Прирост")-SUMIFS('Эффекты технологий'!$U$25:$U$240,'Эффекты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7.300000000000004</x:v>
      </x:c>
      <x:c r="J30" s="10" t="n">
        <x:f>SUMIFS('Эффекты технологий'!$V$25:$V$240,'Эффекты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2037'!B31+'Иран 2037'!D31+('Иран 2037'!C31+'Иран 2037'!F31+'Иран 2037'!G31)+(0.35*LN(1+0.6*'Ход 2037'!B37)*POWER(MAX(0,1-'Иран 2037'!I31/10),0.7))))</x:f>
        <x:v>7.300000000000004</x:v>
      </x:c>
      <x:c r="C31" s="3" t="n">
        <x:f>MIN(1,(MIN(1,'Иран 2037'!C31+'Иран 2037'!F31+(0.08*LN(1+0.5*'Ход 2037'!C37)*MAX(0,1-('Иран 2037'!C31+'Иран 2037'!F31)))))+(SUMIFS('Эффекты технологий'!$V$25:$V$240,'Эффекты технологий'!$C$25:$C$240,$A31,'Эффекты технологий'!$D$25:$D$240,"Прирост")-SUMIFS('Эффекты технологий'!$U$25:$U$240,'Эффекты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7.300000000000004</x:v>
      </x:c>
      <x:c r="J31" s="10" t="n">
        <x:f>SUMIFS('Эффекты технологий'!$V$25:$V$240,'Эффекты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2037'!B32+'Иран 2037'!D32+('Иран 2037'!C32+'Иран 2037'!F32+'Иран 2037'!G32)+(0.35*LN(1+0.6*'Ход 2037'!B38)*POWER(MAX(0,1-'Иран 2037'!I32/10),0.7))))</x:f>
        <x:v>9.899999999999993</x:v>
      </x:c>
      <x:c r="C32" s="3" t="n">
        <x:f>MIN(1,(MIN(1,'Иран 2037'!C32+'Иран 2037'!F32+(0.08*LN(1+0.5*'Ход 2037'!C38)*MAX(0,1-('Иран 2037'!C32+'Иран 2037'!F32)))))+(SUMIFS('Эффекты технологий'!$V$25:$V$240,'Эффекты технологий'!$C$25:$C$240,$A32,'Эффекты технологий'!$D$25:$D$240,"Прирост")-SUMIFS('Эффекты технологий'!$U$25:$U$240,'Эффекты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9.899999999999993</x:v>
      </x:c>
      <x:c r="J32" s="10" t="n">
        <x:f>SUMIFS('Эффекты технологий'!$V$25:$V$240,'Эффекты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2037'!B34+'Иран 2037'!D34+('Иран 2037'!C34+'Иран 2037'!F34+'Иран 2037'!G34)+(0.35*LN(1+0.6*'Ход 2037'!B40)*POWER(MAX(0,1-'Иран 2037'!I34/10),0.7))))</x:f>
        <x:v>9.899999999999993</x:v>
      </x:c>
      <x:c r="C34" s="3" t="n">
        <x:f>MIN(1,(MIN(1,'Иран 2037'!C34+'Иран 2037'!F34+(0.08*LN(1+0.5*'Ход 2037'!C40)*MAX(0,1-('Иран 2037'!C34+'Иран 2037'!F34)))))+(SUMIFS('Эффекты технологий'!$V$25:$V$240,'Эффекты технологий'!$C$25:$C$240,$A34,'Эффекты технологий'!$D$25:$D$240,"Прирост")-SUMIFS('Эффекты технологий'!$U$25:$U$240,'Эффекты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9.899999999999993</x:v>
      </x:c>
      <x:c r="J34" s="10" t="n">
        <x:f>SUMIFS('Эффекты технологий'!$V$25:$V$240,'Эффекты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2037'!B35+'Иран 2037'!D35+('Иран 2037'!C35+'Иран 2037'!F35+'Иран 2037'!G35)+(0.35*LN(1+0.6*'Ход 2037'!B41)*POWER(MAX(0,1-'Иран 2037'!I35/10),0.7))))</x:f>
        <x:v>9.199999999999996</x:v>
      </x:c>
      <x:c r="C35" s="3" t="n">
        <x:f>MIN(1,(MIN(1,'Иран 2037'!C35+'Иран 2037'!F35+(0.08*LN(1+0.5*'Ход 2037'!C41)*MAX(0,1-('Иран 2037'!C35+'Иран 2037'!F35)))))+(SUMIFS('Эффекты технологий'!$V$25:$V$240,'Эффекты технологий'!$C$25:$C$240,$A35,'Эффекты технологий'!$D$25:$D$240,"Прирост")-SUMIFS('Эффекты технологий'!$U$25:$U$240,'Эффекты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9.199999999999996</x:v>
      </x:c>
      <x:c r="J35" s="10" t="n">
        <x:f>SUMIFS('Эффекты технологий'!$V$25:$V$240,'Эффекты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2037'!B36+'Иран 2037'!D36+('Иран 2037'!C36+'Иран 2037'!F36+'Иран 2037'!G36)+(0.35*LN(1+0.6*'Ход 2037'!B42)*POWER(MAX(0,1-'Иран 2037'!I36/10),0.7))))</x:f>
        <x:v>8.899999999999999</x:v>
      </x:c>
      <x:c r="C36" s="3" t="n">
        <x:f>MIN(1,(MIN(1,'Иран 2037'!C36+'Иран 2037'!F36+(0.08*LN(1+0.5*'Ход 2037'!C42)*MAX(0,1-('Иран 2037'!C36+'Иран 2037'!F36)))))+(SUMIFS('Эффекты технологий'!$V$25:$V$240,'Эффекты технологий'!$C$25:$C$240,$A36,'Эффекты технологий'!$D$25:$D$240,"Прирост")-SUMIFS('Эффекты технологий'!$U$25:$U$240,'Эффекты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8.899999999999999</x:v>
      </x:c>
      <x:c r="J36" s="10" t="n">
        <x:f>SUMIFS('Эффекты технологий'!$V$25:$V$240,'Эффекты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2037'!B37+'Иран 2037'!D37+('Иран 2037'!C37+'Иран 2037'!F37+'Иран 2037'!G37)+(0.35*LN(1+0.6*'Ход 2037'!B43)*POWER(MAX(0,1-'Иран 2037'!I37/10),0.7))))</x:f>
        <x:v>7.400000000000002</x:v>
      </x:c>
      <x:c r="C37" s="3" t="n">
        <x:f>MIN(1,(MIN(1,'Иран 2037'!C37+'Иран 2037'!F37+(0.08*LN(1+0.5*'Ход 2037'!C43)*MAX(0,1-('Иран 2037'!C37+'Иран 2037'!F37)))))+(SUMIFS('Эффекты технологий'!$V$25:$V$240,'Эффекты технологий'!$C$25:$C$240,$A37,'Эффекты технологий'!$D$25:$D$240,"Прирост")-SUMIFS('Эффекты технологий'!$U$25:$U$240,'Эффекты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7.400000000000002</x:v>
      </x:c>
      <x:c r="J37" s="10" t="n">
        <x:f>SUMIFS('Эффекты технологий'!$V$25:$V$240,'Эффекты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2037'!B38+'Иран 2037'!D38+('Иран 2037'!C38+'Иран 2037'!F38+'Иран 2037'!G38)+(0.35*LN(1+0.6*'Ход 2037'!B44)*POWER(MAX(0,1-'Иран 2037'!I38/10),0.7))))</x:f>
        <x:v>7.900000000000002</x:v>
      </x:c>
      <x:c r="C38" s="3" t="n">
        <x:f>MIN(1,(MIN(1,'Иран 2037'!C38+'Иран 2037'!F38+(0.08*LN(1+0.5*'Ход 2037'!C44)*MAX(0,1-('Иран 2037'!C38+'Иран 2037'!F38)))))+(SUMIFS('Эффекты технологий'!$V$25:$V$240,'Эффекты технологий'!$C$25:$C$240,$A38,'Эффекты технологий'!$D$25:$D$240,"Прирост")-SUMIFS('Эффекты технологий'!$U$25:$U$240,'Эффекты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7.900000000000002</x:v>
      </x:c>
      <x:c r="J38" s="10" t="n">
        <x:f>SUMIFS('Эффекты технологий'!$V$25:$V$240,'Эффекты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2037'!B39+'Иран 2037'!D39+('Иран 2037'!C39+'Иран 2037'!F39+'Иран 2037'!G39)+(0.35*LN(1+0.6*'Ход 2037'!B45)*POWER(MAX(0,1-'Иран 2037'!I39/10),0.7))))</x:f>
        <x:v>8.4</x:v>
      </x:c>
      <x:c r="C39" s="3" t="n">
        <x:f>MIN(1,(MIN(1,'Иран 2037'!C39+'Иран 2037'!F39+(0.08*LN(1+0.5*'Ход 2037'!C45)*MAX(0,1-('Иран 2037'!C39+'Иран 2037'!F39)))))+(SUMIFS('Эффекты технологий'!$V$25:$V$240,'Эффекты технологий'!$C$25:$C$240,$A39,'Эффекты технологий'!$D$25:$D$240,"Прирост")-SUMIFS('Эффекты технологий'!$U$25:$U$240,'Эффекты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8.4</x:v>
      </x:c>
      <x:c r="J39" s="10" t="n">
        <x:f>SUMIFS('Эффекты технологий'!$V$25:$V$240,'Эффекты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2037'!B40+'Иран 2037'!D40+('Иран 2037'!C40+'Иран 2037'!F40+'Иран 2037'!G40)+(0.35*LN(1+0.6*'Ход 2037'!B46)*POWER(MAX(0,1-'Иран 2037'!I40/10),0.7))))</x:f>
        <x:v>6.300000000000004</x:v>
      </x:c>
      <x:c r="C40" s="3" t="n">
        <x:f>MIN(1,(MIN(1,'Иран 2037'!C40+'Иран 2037'!F40+(0.08*LN(1+0.5*'Ход 2037'!C46)*MAX(0,1-('Иран 2037'!C40+'Иран 2037'!F40)))))+(SUMIFS('Эффекты технологий'!$V$25:$V$240,'Эффекты технологий'!$C$25:$C$240,$A40,'Эффекты технологий'!$D$25:$D$240,"Прирост")-SUMIFS('Эффекты технологий'!$U$25:$U$240,'Эффекты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6.300000000000004</x:v>
      </x:c>
      <x:c r="J40" s="10" t="n">
        <x:f>SUMIFS('Эффекты технологий'!$V$25:$V$240,'Эффекты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2037'!B41+'Иран 2037'!D41+('Иран 2037'!C41+'Иран 2037'!F41+'Иран 2037'!G41)+(0.35*LN(1+0.6*'Ход 2037'!B47)*POWER(MAX(0,1-'Иран 2037'!I41/10),0.7))))</x:f>
        <x:v>7.400000000000002</x:v>
      </x:c>
      <x:c r="C41" s="3" t="n">
        <x:f>MIN(1,(MIN(1,'Иран 2037'!C41+'Иран 2037'!F41+(0.08*LN(1+0.5*'Ход 2037'!C47)*MAX(0,1-('Иран 2037'!C41+'Иран 2037'!F41)))))+(SUMIFS('Эффекты технологий'!$V$25:$V$240,'Эффекты технологий'!$C$25:$C$240,$A41,'Эффекты технологий'!$D$25:$D$240,"Прирост")-SUMIFS('Эффекты технологий'!$U$25:$U$240,'Эффекты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7.400000000000002</x:v>
      </x:c>
      <x:c r="J41" s="10" t="n">
        <x:f>SUMIFS('Эффекты технологий'!$V$25:$V$240,'Эффекты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2037'!B42+'Иран 2037'!D42+('Иран 2037'!C42+'Иран 2037'!F42+'Иран 2037'!G42)+(0.35*LN(1+0.6*'Ход 2037'!B48)*POWER(MAX(0,1-'Иран 2037'!I42/10),0.7))))</x:f>
        <x:v>8.199999999999996</x:v>
      </x:c>
      <x:c r="C42" s="3" t="n">
        <x:f>MIN(1,(MIN(1,'Иран 2037'!C42+'Иран 2037'!F42+(0.08*LN(1+0.5*'Ход 2037'!C48)*MAX(0,1-('Иран 2037'!C42+'Иран 2037'!F42)))))+(SUMIFS('Эффекты технологий'!$V$25:$V$240,'Эффекты технологий'!$C$25:$C$240,$A42,'Эффекты технологий'!$D$25:$D$240,"Прирост")-SUMIFS('Эффекты технологий'!$U$25:$U$240,'Эффекты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8.199999999999996</x:v>
      </x:c>
      <x:c r="J42" s="10" t="n">
        <x:f>SUMIFS('Эффекты технологий'!$V$25:$V$240,'Эффекты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2037'!B44+'Иран 2037'!D44+('Иран 2037'!C44+'Иран 2037'!F44+'Иран 2037'!G44)+(0.35*LN(1+0.6*'Ход 2037'!B50)*POWER(MAX(0,1-'Иран 2037'!I44/10),0.7))))</x:f>
        <x:v>5.199999999999996</x:v>
      </x:c>
      <x:c r="C44" s="3" t="n">
        <x:f>MIN(1,(MIN(1,'Иран 2037'!C44+'Иран 2037'!F44+(0.08*LN(1+0.5*'Ход 2037'!C50)*MAX(0,1-('Иран 2037'!C44+'Иран 2037'!F44)))))+(SUMIFS('Эффекты технологий'!$V$25:$V$240,'Эффекты технологий'!$C$25:$C$240,$A44,'Эффекты технологий'!$D$25:$D$240,"Прирост")-SUMIFS('Эффекты технологий'!$U$25:$U$240,'Эффекты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5.199999999999996</x:v>
      </x:c>
      <x:c r="J44" s="10" t="n">
        <x:f>SUMIFS('Эффекты технологий'!$V$25:$V$240,'Эффекты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2037'!B45+'Иран 2037'!D45+('Иран 2037'!C45+'Иран 2037'!F45+'Иран 2037'!G45)+(0.35*LN(1+0.6*'Ход 2037'!B51)*POWER(MAX(0,1-'Иран 2037'!I45/10),0.7))))</x:f>
        <x:v>6.800000000000004</x:v>
      </x:c>
      <x:c r="C45" s="3" t="n">
        <x:f>MIN(1,(MIN(1,'Иран 2037'!C45+'Иран 2037'!F45+(0.08*LN(1+0.5*'Ход 2037'!C51)*MAX(0,1-('Иран 2037'!C45+'Иран 2037'!F45)))))+(SUMIFS('Эффекты технологий'!$V$25:$V$240,'Эффекты технологий'!$C$25:$C$240,$A45,'Эффекты технологий'!$D$25:$D$240,"Прирост")-SUMIFS('Эффекты технологий'!$U$25:$U$240,'Эффекты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6.800000000000004</x:v>
      </x:c>
      <x:c r="J45" s="10" t="n">
        <x:f>SUMIFS('Эффекты технологий'!$V$25:$V$240,'Эффекты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2037'!B46+'Иран 2037'!D46+('Иран 2037'!C46+'Иран 2037'!F46+'Иран 2037'!G46)+(0.35*LN(1+0.6*'Ход 2037'!B52)*POWER(MAX(0,1-'Иран 2037'!I46/10),0.7))))</x:f>
        <x:v>6.800000000000004</x:v>
      </x:c>
      <x:c r="C46" s="3" t="n">
        <x:f>MIN(1,(MIN(1,'Иран 2037'!C46+'Иран 2037'!F46+(0.08*LN(1+0.5*'Ход 2037'!C52)*MAX(0,1-('Иран 2037'!C46+'Иран 2037'!F46)))))+(SUMIFS('Эффекты технологий'!$V$25:$V$240,'Эффекты технологий'!$C$25:$C$240,$A46,'Эффекты технологий'!$D$25:$D$240,"Прирост")-SUMIFS('Эффекты технологий'!$U$25:$U$240,'Эффекты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6.800000000000004</x:v>
      </x:c>
      <x:c r="J46" s="10" t="n">
        <x:f>SUMIFS('Эффекты технологий'!$V$25:$V$240,'Эффекты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2037'!B47+'Иран 2037'!D47+('Иран 2037'!C47+'Иран 2037'!F47+'Иран 2037'!G47)+(0.35*LN(1+0.6*'Ход 2037'!B53)*POWER(MAX(0,1-'Иран 2037'!I47/10),0.7))))</x:f>
        <x:v>1.9000000000000017</x:v>
      </x:c>
      <x:c r="C47" s="3" t="n">
        <x:f>MIN(1,(MIN(1,'Иран 2037'!C47+'Иран 2037'!F47+(0.08*LN(1+0.5*'Ход 2037'!C53)*MAX(0,1-('Иран 2037'!C47+'Иран 2037'!F47)))))+(SUMIFS('Эффекты технологий'!$V$25:$V$240,'Эффекты технологий'!$C$25:$C$240,$A47,'Эффекты технологий'!$D$25:$D$240,"Прирост")-SUMIFS('Эффекты технологий'!$U$25:$U$240,'Эффекты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1.9000000000000017</x:v>
      </x:c>
      <x:c r="J47" s="10" t="n">
        <x:f>SUMIFS('Эффекты технологий'!$V$25:$V$240,'Эффекты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2037'!B48+'Иран 2037'!D48+('Иран 2037'!C48+'Иран 2037'!F48+'Иран 2037'!G48)+(0.35*LN(1+0.6*'Ход 2037'!B54)*POWER(MAX(0,1-'Иран 2037'!I48/10),0.7))))</x:f>
        <x:v>6.699999999999996</x:v>
      </x:c>
      <x:c r="C48" s="3" t="n">
        <x:f>MIN(1,(MIN(1,'Иран 2037'!C48+'Иран 2037'!F48+(0.08*LN(1+0.5*'Ход 2037'!C54)*MAX(0,1-('Иран 2037'!C48+'Иран 2037'!F48)))))+(SUMIFS('Эффекты технологий'!$V$25:$V$240,'Эффекты технологий'!$C$25:$C$240,$A48,'Эффекты технологий'!$D$25:$D$240,"Прирост")-SUMIFS('Эффекты технологий'!$U$25:$U$240,'Эффекты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6.699999999999996</x:v>
      </x:c>
      <x:c r="J48" s="10" t="n">
        <x:f>SUMIFS('Эффекты технологий'!$V$25:$V$240,'Эффекты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2037'!B49+'Иран 2037'!D49+('Иран 2037'!C49+'Иран 2037'!F49+'Иран 2037'!G49)+(0.35*LN(1+0.6*'Ход 2037'!B55)*POWER(MAX(0,1-'Иран 2037'!I49/10),0.7))))</x:f>
        <x:v>9.5</x:v>
      </x:c>
      <x:c r="C49" s="3" t="n">
        <x:f>MIN(1,(MIN(1,'Иран 2037'!C49+'Иран 2037'!F49+(0.08*LN(1+0.5*'Ход 2037'!C55)*MAX(0,1-('Иран 2037'!C49+'Иран 2037'!F49)))))+(SUMIFS('Эффекты технологий'!$V$25:$V$240,'Эффекты технологий'!$C$25:$C$240,$A49,'Эффекты технологий'!$D$25:$D$240,"Прирост")-SUMIFS('Эффекты технологий'!$U$25:$U$240,'Эффекты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9.5</x:v>
      </x:c>
      <x:c r="J49" s="10" t="n">
        <x:f>SUMIFS('Эффекты технологий'!$V$25:$V$240,'Эффекты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2037'!B50+'Иран 2037'!D50+('Иран 2037'!C50+'Иран 2037'!F50+'Иран 2037'!G50)+(0.35*LN(1+0.6*'Ход 2037'!B56)*POWER(MAX(0,1-'Иран 2037'!I50/10),0.7))))</x:f>
        <x:v>9.600000000000009</x:v>
      </x:c>
      <x:c r="C50" s="3" t="n">
        <x:f>MIN(1,(MIN(1,'Иран 2037'!C50+'Иран 2037'!F50+(0.08*LN(1+0.5*'Ход 2037'!C56)*MAX(0,1-('Иран 2037'!C50+'Иран 2037'!F50)))))+(SUMIFS('Эффекты технологий'!$V$25:$V$240,'Эффекты технологий'!$C$25:$C$240,$A50,'Эффекты технологий'!$D$25:$D$240,"Прирост")-SUMIFS('Эффекты технологий'!$U$25:$U$240,'Эффекты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9.600000000000009</x:v>
      </x:c>
      <x:c r="J50" s="10" t="n">
        <x:f>SUMIFS('Эффекты технологий'!$V$25:$V$240,'Эффекты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2037'!B51+'Иран 2037'!D51+('Иран 2037'!C51+'Иран 2037'!F51+'Иран 2037'!G51)+(0.35*LN(1+0.6*'Ход 2037'!B57)*POWER(MAX(0,1-'Иран 2037'!I51/10),0.7))))</x:f>
        <x:v>8.4</x:v>
      </x:c>
      <x:c r="C51" s="3" t="n">
        <x:f>MIN(1,(MIN(1,'Иран 2037'!C51+'Иран 2037'!F51+(0.08*LN(1+0.5*'Ход 2037'!C57)*MAX(0,1-('Иран 2037'!C51+'Иран 2037'!F51)))))+(SUMIFS('Эффекты технологий'!$V$25:$V$240,'Эффекты технологий'!$C$25:$C$240,$A51,'Эффекты технологий'!$D$25:$D$240,"Прирост")-SUMIFS('Эффекты технологий'!$U$25:$U$240,'Эффекты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8.4</x:v>
      </x:c>
      <x:c r="J51" s="10" t="n">
        <x:f>SUMIFS('Эффекты технологий'!$V$25:$V$240,'Эффекты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2037'!B53+'Иран 2037'!D53+('Иран 2037'!C53+'Иран 2037'!F53+'Иран 2037'!G53)+(0.35*LN(1+0.6*'Ход 2037'!B59)*POWER(MAX(0,1-'Иран 2037'!I53/10),0.7))))</x:f>
        <x:v>7.900000000000002</x:v>
      </x:c>
      <x:c r="C53" s="3" t="n">
        <x:f>MIN(1,(MIN(1,'Иран 2037'!C53+'Иран 2037'!F53+(0.08*LN(1+0.5*'Ход 2037'!C59)*MAX(0,1-('Иран 2037'!C53+'Иран 2037'!F53)))))+(SUMIFS('Эффекты технологий'!$V$25:$V$240,'Эффекты технологий'!$C$25:$C$240,$A53,'Эффекты технологий'!$D$25:$D$240,"Прирост")-SUMIFS('Эффекты технологий'!$U$25:$U$240,'Эффекты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7.900000000000002</x:v>
      </x:c>
      <x:c r="J53" s="10" t="n">
        <x:f>SUMIFS('Эффекты технологий'!$V$25:$V$240,'Эффекты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2037'!B54+'Иран 2037'!D54+('Иран 2037'!C54+'Иран 2037'!F54+'Иран 2037'!G54)+(0.35*LN(1+0.6*'Ход 2037'!B60)*POWER(MAX(0,1-'Иран 2037'!I54/10),0.7))))</x:f>
        <x:v>7.400000000000002</x:v>
      </x:c>
      <x:c r="C54" s="3" t="n">
        <x:f>MIN(1,(MIN(1,'Иран 2037'!C54+'Иран 2037'!F54+(0.08*LN(1+0.5*'Ход 2037'!C60)*MAX(0,1-('Иран 2037'!C54+'Иран 2037'!F54)))))+(SUMIFS('Эффекты технологий'!$V$25:$V$240,'Эффекты технологий'!$C$25:$C$240,$A54,'Эффекты технологий'!$D$25:$D$240,"Прирост")-SUMIFS('Эффекты технологий'!$U$25:$U$240,'Эффекты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7.400000000000002</x:v>
      </x:c>
      <x:c r="J54" s="10" t="n">
        <x:f>SUMIFS('Эффекты технологий'!$V$25:$V$240,'Эффекты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2037'!B55+'Иран 2037'!D55+('Иран 2037'!C55+'Иран 2037'!F55+'Иран 2037'!G55)+(0.35*LN(1+0.6*'Ход 2037'!B61)*POWER(MAX(0,1-'Иран 2037'!I55/10),0.7))))</x:f>
        <x:v>7.300000000000004</x:v>
      </x:c>
      <x:c r="C55" s="3" t="n">
        <x:f>MIN(1,(MIN(1,'Иран 2037'!C55+'Иран 2037'!F55+(0.08*LN(1+0.5*'Ход 2037'!C61)*MAX(0,1-('Иран 2037'!C55+'Иран 2037'!F55)))))+(SUMIFS('Эффекты технологий'!$V$25:$V$240,'Эффекты технологий'!$C$25:$C$240,$A55,'Эффекты технологий'!$D$25:$D$240,"Прирост")-SUMIFS('Эффекты технологий'!$U$25:$U$240,'Эффекты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7.300000000000004</x:v>
      </x:c>
      <x:c r="J55" s="10" t="n">
        <x:f>SUMIFS('Эффекты технологий'!$V$25:$V$240,'Эффекты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360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2038'!U6</x:f>
        <x:v>93.47875380679997</x:v>
      </x:c>
      <x:c r="C6" s="3"/>
      <x:c r="D6" s="3"/>
      <x:c r="E6" s="3" t="s">
        <x:v>321</x:v>
      </x:c>
      <x:c r="F6" s="3" t="n">
        <x:f>'Иран 2038'!K6</x:f>
        <x:v>83.11368489826525</x:v>
      </x:c>
      <x:c r="G6" s="3"/>
      <x:c r="H6" s="3"/>
      <x:c r="I6" s="3" t="s">
        <x:v>321</x:v>
      </x:c>
      <x:c r="J6" s="3" t="n">
        <x:f>'Иран 2038'!N6</x:f>
        <x:v>95.16525223350169</x:v>
      </x:c>
      <x:c r="K6" s="3"/>
      <x:c r="L6" s="3"/>
      <x:c r="M6" s="3" t="s">
        <x:v>321</x:v>
      </x:c>
      <x:c r="N6" s="3" t="n">
        <x:f>'Иран 2038'!Q6</x:f>
        <x:v>67.22968206915984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93.47875380679997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83.11368489826525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95.16525223350169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67.22968206915984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2038'!V11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2038'!V12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2038'!V13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2038'!V14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2038'!V15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2038'!V16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2038'!V17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2038'!V18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2038'!V19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2038'!V20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2038'!V21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2038'!V22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технологий'!V$16</x:f>
        <x:v>0</x:v>
      </x:c>
      <x:c r="H25" s="11" t="n">
        <x:f>'Эффекты технологий'!V$17</x:f>
        <x:v>0</x:v>
      </x:c>
      <x:c r="I25" s="11" t="n">
        <x:f>'Эффекты технологий'!V$18</x:f>
        <x:v>0</x:v>
      </x:c>
      <x:c r="J25" s="12"/>
      <x:c r="K25" s="3"/>
      <x:c r="L25" s="3" t="str">
        <x:v>Бразилия</x:v>
      </x:c>
      <x:c r="M25" s="3" t="n">
        <x:f>'Иран 2038'!V23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2038'!V24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2038'!V25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2038'!V26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IF(G29="","",VLOOKUP(G29,Технологии!$A$11:$BF$50,56,FALSE))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IF(G30="","",VLOOKUP(G30,Технологии!$A$11:$BF$50,56,FALSE))</x:f>
      </x:c>
      <x:c r="L30" s="3"/>
      <x:c r="M30" s="3"/>
      <x:c r="N30" s="12" t="s">
        <x:v>340</x:v>
      </x:c>
      <x:c r="O30" s="11" t="n">
        <x:f>'Эффекты технологий'!V$13</x:f>
        <x:v>0</x:v>
      </x:c>
      <x:c r="P30" s="11" t="n">
        <x:f>'Эффекты технологий'!V$14</x:f>
        <x:v>0</x:v>
      </x:c>
      <x:c r="Q30" s="11" t="n">
        <x:f>'Эффекты технологий'!V$15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IF(G31="","",VLOOKUP(G31,Технологии!$A$11:$BF$50,56,FALSE))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IF(G32="","",VLOOKUP(G32,Технологии!$A$11:$BF$50,56,FALSE))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IF(G33="","",VLOOKUP(G33,Технологии!$A$11:$BF$50,56,FALSE))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IF(G34="","",VLOOKUP(G34,Технологии!$A$11:$BF$50,56,FALSE))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IF(G35="","",VLOOKUP(G35,Технологии!$A$11:$BF$50,56,FALSE))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IF(G36="","",VLOOKUP(G36,Технологии!$A$11:$BF$50,56,FALSE))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IF(G37="","",VLOOKUP(G37,Технологии!$A$11:$BF$50,56,FALSE))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IF(G38="","",VLOOKUP(G38,Технологии!$A$11:$BF$50,56,FALSE))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2039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84.59313468705938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96.335891976528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68.18909624282286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94.28178519689513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2038'!B8+'Иран 2038'!D8+('Иран 2038'!C8+'Иран 2038'!F8+'Иран 2038'!G8)+(0.35*LN(1+0.6*('Ход 2038'!B14*(1+'Эффекты технологий'!V$12)))*POWER(MAX(0,1-'Иран 2038'!I8/10),0.7))))</x:f>
        <x:v>9.299999999999995</x:v>
      </x:c>
      <x:c r="C8" s="3" t="n">
        <x:f>MIN(1,(MIN(1,'Иран 2038'!C8+'Иран 2038'!F8+(0.08*LN(1+0.5*('Ход 2038'!C14*(1+'Эффекты технологий'!V$12)))*MAX(0,1-('Иран 2038'!C8+'Иран 2038'!F8)))))+(SUMIFS('Эффекты технологий'!$W$25:$W$240,'Эффекты технологий'!$C$25:$C$240,$A8,'Эффекты технологий'!$D$25:$D$240,"Прирост")-SUMIFS('Эффекты технологий'!$V$25:$V$240,'Эффекты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9.299999999999995</x:v>
      </x:c>
      <x:c r="J8" s="10" t="n">
        <x:f>SUMIFS('Эффекты технологий'!$W$25:$W$240,'Эффекты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2038'!B9+'Иран 2038'!D9+('Иран 2038'!C9+'Иран 2038'!F9+'Иран 2038'!G9)+(0.35*LN(1+0.6*('Ход 2038'!B15*(1+'Эффекты технологий'!V$12)))*POWER(MAX(0,1-'Иран 2038'!I9/10),0.7))))</x:f>
        <x:v>8.299999999999995</x:v>
      </x:c>
      <x:c r="C9" s="3" t="n">
        <x:f>MIN(1,(MIN(1,'Иран 2038'!C9+'Иран 2038'!F9+(0.08*LN(1+0.5*('Ход 2038'!C15*(1+'Эффекты технологий'!V$12)))*MAX(0,1-('Иран 2038'!C9+'Иран 2038'!F9)))))+(SUMIFS('Эффекты технологий'!$W$25:$W$240,'Эффекты технологий'!$C$25:$C$240,$A9,'Эффекты технологий'!$D$25:$D$240,"Прирост")-SUMIFS('Эффекты технологий'!$V$25:$V$240,'Эффекты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8.299999999999995</x:v>
      </x:c>
      <x:c r="J9" s="10" t="n">
        <x:f>SUMIFS('Эффекты технологий'!$W$25:$W$240,'Эффекты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2038'!B10+'Иран 2038'!D10+('Иран 2038'!C10+'Иран 2038'!F10+'Иран 2038'!G10)+(0.35*LN(1+0.6*('Ход 2038'!B16*(1+'Эффекты технологий'!V$12)))*POWER(MAX(0,1-'Иран 2038'!I10/10),0.7))))</x:f>
        <x:v>10</x:v>
      </x:c>
      <x:c r="C10" s="3" t="n">
        <x:f>MIN(1,(MIN(1,'Иран 2038'!C10+'Иран 2038'!F10+(0.08*LN(1+0.5*('Ход 2038'!C16*(1+'Эффекты технологий'!V$12)))*MAX(0,1-('Иран 2038'!C10+'Иран 2038'!F10)))))+(SUMIFS('Эффекты технологий'!$W$25:$W$240,'Эффекты технологий'!$C$25:$C$240,$A10,'Эффекты технологий'!$D$25:$D$240,"Прирост")-SUMIFS('Эффекты технологий'!$V$25:$V$240,'Эффекты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10</x:v>
      </x:c>
      <x:c r="J10" s="10" t="n">
        <x:f>SUMIFS('Эффекты технологий'!$W$25:$W$240,'Эффекты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2038'!B11+'Иран 2038'!D11+('Иран 2038'!C11+'Иран 2038'!F11+'Иран 2038'!G11)+(0.35*LN(1+0.6*('Ход 2038'!B17*(1+'Эффекты технологий'!V$12)))*POWER(MAX(0,1-'Иран 2038'!I11/10),0.7))))</x:f>
        <x:v>4.149999999999998</x:v>
      </x:c>
      <x:c r="C11" s="3" t="n">
        <x:f>MIN(1,(MIN(1,'Иран 2038'!C11+'Иран 2038'!F11+(0.08*LN(1+0.5*('Ход 2038'!C17*(1+'Эффекты технологий'!V$12)))*MAX(0,1-('Иран 2038'!C11+'Иран 2038'!F11)))))+(SUMIFS('Эффекты технологий'!$W$25:$W$240,'Эффекты технологий'!$C$25:$C$240,$A11,'Эффекты технологий'!$D$25:$D$240,"Прирост")-SUMIFS('Эффекты технологий'!$V$25:$V$240,'Эффекты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4.149999999999998</x:v>
      </x:c>
      <x:c r="J11" s="10" t="n">
        <x:f>SUMIFS('Эффекты технологий'!$W$25:$W$240,'Эффекты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2038'!L11+'Иран 2038'!N11+('Иран 2038'!M11+'Иран 2038'!P11+'Иран 2038'!Q11)))</x:f>
        <x:v>8.75</x:v>
      </x:c>
      <x:c r="M11" s="3" t="n">
        <x:f>MIN(1,(MIN(1,'Иран 2038'!M11+'Иран 2038'!P11+(0.1*LN(1+0.5*('Ход 2038'!H13*(1+'Эффекты технологий'!V$10)))*POWER(MAX(0,1-'Иран 2038'!S11/10),0.8))))+(SUMIFS('Эффекты технологий'!$W$25:$W$240,'Эффекты технологий'!$C$25:$C$240,$K11,'Эффекты технологий'!$D$25:$D$240,"Прирост")-SUMIFS('Эффекты технологий'!$V$25:$V$240,'Эффекты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8.75</x:v>
      </x:c>
      <x:c r="T11" s="10" t="n">
        <x:f>SUMIFS('Эффекты технологий'!$W$25:$W$240,'Эффекты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2038'!V11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2038'!B12+'Иран 2038'!D12+('Иран 2038'!C12+'Иран 2038'!F12+'Иран 2038'!G12)+(0.35*LN(1+0.6*('Ход 2038'!B18*(1+'Эффекты технологий'!V$12)))*POWER(MAX(0,1-'Иран 2038'!I12/10),0.7))))</x:f>
        <x:v>8.65000000000001</x:v>
      </x:c>
      <x:c r="C12" s="3" t="n">
        <x:f>MIN(1,(MIN(1,'Иран 2038'!C12+'Иран 2038'!F12+(0.08*LN(1+0.5*('Ход 2038'!C18*(1+'Эффекты технологий'!V$12)))*MAX(0,1-('Иран 2038'!C12+'Иран 2038'!F12)))))+(SUMIFS('Эффекты технологий'!$W$25:$W$240,'Эффекты технологий'!$C$25:$C$240,$A12,'Эффекты технологий'!$D$25:$D$240,"Прирост")-SUMIFS('Эффекты технологий'!$V$25:$V$240,'Эффекты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8.65000000000001</x:v>
      </x:c>
      <x:c r="J12" s="10" t="n">
        <x:f>SUMIFS('Эффекты технологий'!$W$25:$W$240,'Эффекты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2038'!L12+'Иран 2038'!N12+('Иран 2038'!M12+'Иран 2038'!P12+'Иран 2038'!Q12)))</x:f>
        <x:v>8.75</x:v>
      </x:c>
      <x:c r="M12" s="3" t="n">
        <x:f>MIN(1,(MIN(1,'Иран 2038'!M12+'Иран 2038'!P12+(0.1*LN(1+0.5*('Ход 2038'!H14*(1+'Эффекты технологий'!V$10)))*POWER(MAX(0,1-'Иран 2038'!S12/10),0.8))))+(SUMIFS('Эффекты технологий'!$W$25:$W$240,'Эффекты технологий'!$C$25:$C$240,$K12,'Эффекты технологий'!$D$25:$D$240,"Прирост")-SUMIFS('Эффекты технологий'!$V$25:$V$240,'Эффекты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8.75</x:v>
      </x:c>
      <x:c r="T12" s="10" t="n">
        <x:f>SUMIFS('Эффекты технологий'!$W$25:$W$240,'Эффекты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2038'!V12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2038'!B13+'Иран 2038'!D13+('Иран 2038'!C13+'Иран 2038'!F13+'Иран 2038'!G13)+(0.35*LN(1+0.6*('Ход 2038'!B19*(1+'Эффекты технологий'!V$12)))*POWER(MAX(0,1-'Иран 2038'!I13/10),0.7))))</x:f>
        <x:v>4.600000000000002</x:v>
      </x:c>
      <x:c r="C13" s="3" t="n">
        <x:f>MIN(1,(MIN(1,'Иран 2038'!C13+'Иран 2038'!F13+(0.08*LN(1+0.5*('Ход 2038'!C19*(1+'Эффекты технологий'!V$12)))*MAX(0,1-('Иран 2038'!C13+'Иран 2038'!F13)))))+(SUMIFS('Эффекты технологий'!$W$25:$W$240,'Эффекты технологий'!$C$25:$C$240,$A13,'Эффекты технологий'!$D$25:$D$240,"Прирост")-SUMIFS('Эффекты технологий'!$V$25:$V$240,'Эффекты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4.600000000000002</x:v>
      </x:c>
      <x:c r="J13" s="10" t="n">
        <x:f>SUMIFS('Эффекты технологий'!$W$25:$W$240,'Эффекты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2038'!L13+'Иран 2038'!N13+('Иран 2038'!M13+'Иран 2038'!P13+'Иран 2038'!Q13)))</x:f>
        <x:v>9.599999999999994</x:v>
      </x:c>
      <x:c r="M13" s="3" t="n">
        <x:f>MIN(1,(MIN(1,'Иран 2038'!M13+'Иран 2038'!P13+(0.1*LN(1+0.5*('Ход 2038'!H15*(1+'Эффекты технологий'!V$10)))*POWER(MAX(0,1-'Иран 2038'!S13/10),0.8))))+(SUMIFS('Эффекты технологий'!$W$25:$W$240,'Эффекты технологий'!$C$25:$C$240,$K13,'Эффекты технологий'!$D$25:$D$240,"Прирост")-SUMIFS('Эффекты технологий'!$V$25:$V$240,'Эффекты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9.599999999999994</x:v>
      </x:c>
      <x:c r="T13" s="10" t="n">
        <x:f>SUMIFS('Эффекты технологий'!$W$25:$W$240,'Эффекты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2038'!V13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2038'!B14+'Иран 2038'!D14+('Иран 2038'!C14+'Иран 2038'!F14+'Иран 2038'!G14)+(0.35*LN(1+0.6*('Ход 2038'!B20*(1+'Эффекты технологий'!V$12)))*POWER(MAX(0,1-'Иран 2038'!I14/10),0.7))))</x:f>
        <x:v>5.600000000000002</x:v>
      </x:c>
      <x:c r="C14" s="3" t="n">
        <x:f>MIN(1,(MIN(1,'Иран 2038'!C14+'Иран 2038'!F14+(0.08*LN(1+0.5*('Ход 2038'!C20*(1+'Эффекты технологий'!V$12)))*MAX(0,1-('Иран 2038'!C14+'Иран 2038'!F14)))))+(SUMIFS('Эффекты технологий'!$W$25:$W$240,'Эффекты технологий'!$C$25:$C$240,$A14,'Эффекты технологий'!$D$25:$D$240,"Прирост")-SUMIFS('Эффекты технологий'!$V$25:$V$240,'Эффекты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5.600000000000002</x:v>
      </x:c>
      <x:c r="J14" s="10" t="n">
        <x:f>SUMIFS('Эффекты технологий'!$W$25:$W$240,'Эффекты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2038'!L14+'Иран 2038'!N14+('Иран 2038'!M14+'Иран 2038'!P14+'Иран 2038'!Q14)))</x:f>
        <x:v>9.75</x:v>
      </x:c>
      <x:c r="M14" s="3" t="n">
        <x:f>MIN(1,(MIN(1,'Иран 2038'!M14+'Иран 2038'!P14+(0.1*LN(1+0.5*('Ход 2038'!H16*(1+'Эффекты технологий'!V$10)))*POWER(MAX(0,1-'Иран 2038'!S14/10),0.8))))+(SUMIFS('Эффекты технологий'!$W$25:$W$240,'Эффекты технологий'!$C$25:$C$240,$K14,'Эффекты технологий'!$D$25:$D$240,"Прирост")-SUMIFS('Эффекты технологий'!$V$25:$V$240,'Эффекты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9.75</x:v>
      </x:c>
      <x:c r="T14" s="10" t="n">
        <x:f>SUMIFS('Эффекты технологий'!$W$25:$W$240,'Эффекты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2038'!V14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2038'!B15+'Иран 2038'!D15+('Иран 2038'!C15+'Иран 2038'!F15+'Иран 2038'!G15)+(0.35*LN(1+0.6*('Ход 2038'!B21*(1+'Эффекты технологий'!V$12)))*POWER(MAX(0,1-'Иран 2038'!I15/10),0.7))))</x:f>
        <x:v>7.75</x:v>
      </x:c>
      <x:c r="C15" s="3" t="n">
        <x:f>MIN(1,(MIN(1,'Иран 2038'!C15+'Иран 2038'!F15+(0.08*LN(1+0.5*('Ход 2038'!C21*(1+'Эффекты технологий'!V$12)))*MAX(0,1-('Иран 2038'!C15+'Иран 2038'!F15)))))+(SUMIFS('Эффекты технологий'!$W$25:$W$240,'Эффекты технологий'!$C$25:$C$240,$A15,'Эффекты технологий'!$D$25:$D$240,"Прирост")-SUMIFS('Эффекты технологий'!$V$25:$V$240,'Эффекты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7.75</x:v>
      </x:c>
      <x:c r="J15" s="10" t="n">
        <x:f>SUMIFS('Эффекты технологий'!$W$25:$W$240,'Эффекты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2038'!L15+'Иран 2038'!N15+('Иран 2038'!M15+'Иран 2038'!P15+'Иран 2038'!Q15)))</x:f>
        <x:v>9.599999999999994</x:v>
      </x:c>
      <x:c r="M15" s="3" t="n">
        <x:f>MIN(1,(MIN(1,'Иран 2038'!M15+'Иран 2038'!P15+(0.1*LN(1+0.5*('Ход 2038'!H17*(1+'Эффекты технологий'!V$10)))*POWER(MAX(0,1-'Иран 2038'!S15/10),0.8))))+(SUMIFS('Эффекты технологий'!$W$25:$W$240,'Эффекты технологий'!$C$25:$C$240,$K15,'Эффекты технологий'!$D$25:$D$240,"Прирост")-SUMIFS('Эффекты технологий'!$V$25:$V$240,'Эффекты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9.599999999999994</x:v>
      </x:c>
      <x:c r="T15" s="10" t="n">
        <x:f>SUMIFS('Эффекты технологий'!$W$25:$W$240,'Эффекты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2038'!V15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2038'!B16+'Иран 2038'!D16+('Иран 2038'!C16+'Иран 2038'!F16+'Иран 2038'!G16)+(0.35*LN(1+0.6*('Ход 2038'!B22*(1+'Эффекты технологий'!V$12)))*POWER(MAX(0,1-'Иран 2038'!I16/10),0.7))))</x:f>
        <x:v>8.100000000000001</x:v>
      </x:c>
      <x:c r="C16" s="3" t="n">
        <x:f>MIN(1,(MIN(1,'Иран 2038'!C16+'Иран 2038'!F16+(0.08*LN(1+0.5*('Ход 2038'!C22*(1+'Эффекты технологий'!V$12)))*MAX(0,1-('Иран 2038'!C16+'Иран 2038'!F16)))))+(SUMIFS('Эффекты технологий'!$W$25:$W$240,'Эффекты технологий'!$C$25:$C$240,$A16,'Эффекты технологий'!$D$25:$D$240,"Прирост")-SUMIFS('Эффекты технологий'!$V$25:$V$240,'Эффекты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8.100000000000001</x:v>
      </x:c>
      <x:c r="J16" s="10" t="n">
        <x:f>SUMIFS('Эффекты технологий'!$W$25:$W$240,'Эффекты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2038'!L16+'Иран 2038'!N16+('Иран 2038'!M16+'Иран 2038'!P16+'Иран 2038'!Q16)))</x:f>
        <x:v>8.75</x:v>
      </x:c>
      <x:c r="M16" s="3" t="n">
        <x:f>MIN(1,(MIN(1,'Иран 2038'!M16+'Иран 2038'!P16+(0.1*LN(1+0.5*('Ход 2038'!H18*(1+'Эффекты технологий'!V$10)))*POWER(MAX(0,1-'Иран 2038'!S16/10),0.8))))+(SUMIFS('Эффекты технологий'!$W$25:$W$240,'Эффекты технологий'!$C$25:$C$240,$K16,'Эффекты технологий'!$D$25:$D$240,"Прирост")-SUMIFS('Эффекты технологий'!$V$25:$V$240,'Эффекты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8.75</x:v>
      </x:c>
      <x:c r="T16" s="10" t="n">
        <x:f>SUMIFS('Эффекты технологий'!$W$25:$W$240,'Эффекты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2038'!V16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2038'!B17+'Иран 2038'!D17+('Иран 2038'!C17+'Иран 2038'!F17+'Иран 2038'!G17)+(0.35*LN(1+0.6*('Ход 2038'!B23*(1+'Эффекты технологий'!V$12)))*POWER(MAX(0,1-'Иран 2038'!I17/10),0.7))))</x:f>
        <x:v>6.950000000000005</x:v>
      </x:c>
      <x:c r="C17" s="3" t="n">
        <x:f>MIN(1,(MIN(1,'Иран 2038'!C17+'Иран 2038'!F17+(0.08*LN(1+0.5*('Ход 2038'!C23*(1+'Эффекты технологий'!V$12)))*MAX(0,1-('Иран 2038'!C17+'Иран 2038'!F17)))))+(SUMIFS('Эффекты технологий'!$W$25:$W$240,'Эффекты технологий'!$C$25:$C$240,$A17,'Эффекты технологий'!$D$25:$D$240,"Прирост")-SUMIFS('Эффекты технологий'!$V$25:$V$240,'Эффекты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6.950000000000005</x:v>
      </x:c>
      <x:c r="J17" s="10" t="n">
        <x:f>SUMIFS('Эффекты технологий'!$W$25:$W$240,'Эффекты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2038'!L17+'Иран 2038'!N17+('Иран 2038'!M17+'Иран 2038'!P17+'Иран 2038'!Q17)))</x:f>
        <x:v>9.75</x:v>
      </x:c>
      <x:c r="M17" s="3" t="n">
        <x:f>MIN(1,(MIN(1,'Иран 2038'!M17+'Иран 2038'!P17+(0.1*LN(1+0.5*('Ход 2038'!H19*(1+'Эффекты технологий'!V$10)))*POWER(MAX(0,1-'Иран 2038'!S17/10),0.8))))+(SUMIFS('Эффекты технологий'!$W$25:$W$240,'Эффекты технологий'!$C$25:$C$240,$K17,'Эффекты технологий'!$D$25:$D$240,"Прирост")-SUMIFS('Эффекты технологий'!$V$25:$V$240,'Эффекты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9.75</x:v>
      </x:c>
      <x:c r="T17" s="10" t="n">
        <x:f>SUMIFS('Эффекты технологий'!$W$25:$W$240,'Эффекты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2038'!V17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2038'!L18+'Иран 2038'!N18+('Иран 2038'!M18+'Иран 2038'!P18+'Иран 2038'!Q18)))</x:f>
        <x:v>9.75</x:v>
      </x:c>
      <x:c r="M18" s="3" t="n">
        <x:f>MIN(1,(MIN(1,'Иран 2038'!M18+'Иран 2038'!P18+(0.1*LN(1+0.5*('Ход 2038'!H20*(1+'Эффекты технологий'!V$10)))*POWER(MAX(0,1-'Иран 2038'!S18/10),0.8))))+(SUMIFS('Эффекты технологий'!$W$25:$W$240,'Эффекты технологий'!$C$25:$C$240,$K18,'Эффекты технологий'!$D$25:$D$240,"Прирост")-SUMIFS('Эффекты технологий'!$V$25:$V$240,'Эффекты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9.75</x:v>
      </x:c>
      <x:c r="T18" s="10" t="n">
        <x:f>SUMIFS('Эффекты технологий'!$W$25:$W$240,'Эффекты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2038'!V18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2038'!B19+'Иран 2038'!D19+('Иран 2038'!C19+'Иран 2038'!F19+'Иран 2038'!G19)+(0.35*LN(1+0.6*'Ход 2038'!B25)*POWER(MAX(0,1-'Иран 2038'!I19/10),0.7))))</x:f>
        <x:v>8.100000000000001</x:v>
      </x:c>
      <x:c r="C19" s="3" t="n">
        <x:f>MIN(1,(MIN(1,'Иран 2038'!C19+'Иран 2038'!F19+(0.08*LN(1+0.5*'Ход 2038'!C25)*MAX(0,1-('Иран 2038'!C19+'Иран 2038'!F19)))))+(SUMIFS('Эффекты технологий'!$W$25:$W$240,'Эффекты технологий'!$C$25:$C$240,$A19,'Эффекты технологий'!$D$25:$D$240,"Прирост")-SUMIFS('Эффекты технологий'!$V$25:$V$240,'Эффекты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8.100000000000001</x:v>
      </x:c>
      <x:c r="J19" s="10" t="n">
        <x:f>SUMIFS('Эффекты технологий'!$W$25:$W$240,'Эффекты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2038'!V19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2038'!B20+'Иран 2038'!D20+('Иран 2038'!C20+'Иран 2038'!F20+'Иран 2038'!G20)+(0.35*LN(1+0.6*'Ход 2038'!B26)*POWER(MAX(0,1-'Иран 2038'!I20/10),0.7))))</x:f>
        <x:v>8.75</x:v>
      </x:c>
      <x:c r="C20" s="3" t="n">
        <x:f>MIN(1,(MIN(1,'Иран 2038'!C20+'Иран 2038'!F20+(0.08*LN(1+0.5*'Ход 2038'!C26)*MAX(0,1-('Иран 2038'!C20+'Иран 2038'!F20)))))+(SUMIFS('Эффекты технологий'!$W$25:$W$240,'Эффекты технологий'!$C$25:$C$240,$A20,'Эффекты технологий'!$D$25:$D$240,"Прирост")-SUMIFS('Эффекты технологий'!$V$25:$V$240,'Эффекты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8.75</x:v>
      </x:c>
      <x:c r="J20" s="10" t="n">
        <x:f>SUMIFS('Эффекты технологий'!$W$25:$W$240,'Эффекты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2038'!V20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2038'!B21+'Иран 2038'!D21+('Иран 2038'!C21+'Иран 2038'!F21+'Иран 2038'!G21)+(0.35*LN(1+0.6*'Ход 2038'!B27)*POWER(MAX(0,1-'Иран 2038'!I21/10),0.7))))</x:f>
        <x:v>7.600000000000002</x:v>
      </x:c>
      <x:c r="C21" s="3" t="n">
        <x:f>MIN(1,(MIN(1,'Иран 2038'!C21+'Иран 2038'!F21+(0.08*LN(1+0.5*'Ход 2038'!C27)*MAX(0,1-('Иран 2038'!C21+'Иран 2038'!F21)))))+(SUMIFS('Эффекты технологий'!$W$25:$W$240,'Эффекты технологий'!$C$25:$C$240,$A21,'Эффекты технологий'!$D$25:$D$240,"Прирост")-SUMIFS('Эффекты технологий'!$V$25:$V$240,'Эффекты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7.600000000000002</x:v>
      </x:c>
      <x:c r="J21" s="10" t="n">
        <x:f>SUMIFS('Эффекты технологий'!$W$25:$W$240,'Эффекты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2038'!V21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2038'!B22+'Иран 2038'!D22+('Иран 2038'!C22+'Иран 2038'!F22+'Иран 2038'!G22)+(0.35*LN(1+0.6*'Ход 2038'!B28)*POWER(MAX(0,1-'Иран 2038'!I22/10),0.7))))</x:f>
        <x:v>9.299999999999995</x:v>
      </x:c>
      <x:c r="C22" s="3" t="n">
        <x:f>MIN(1,(MIN(1,'Иран 2038'!C22+'Иран 2038'!F22+(0.08*LN(1+0.5*'Ход 2038'!C28)*MAX(0,1-('Иран 2038'!C22+'Иран 2038'!F22)))))+(SUMIFS('Эффекты технологий'!$W$25:$W$240,'Эффекты технологий'!$C$25:$C$240,$A22,'Эффекты технологий'!$D$25:$D$240,"Прирост")-SUMIFS('Эффекты технологий'!$V$25:$V$240,'Эффекты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9.299999999999995</x:v>
      </x:c>
      <x:c r="J22" s="10" t="n">
        <x:f>SUMIFS('Эффекты технологий'!$W$25:$W$240,'Эффекты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2038'!V22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2038'!B23+'Иран 2038'!D23+('Иран 2038'!C23+'Иран 2038'!F23+'Иран 2038'!G23)+(0.35*LN(1+0.6*'Ход 2038'!B29)*POWER(MAX(0,1-'Иран 2038'!I23/10),0.7))))</x:f>
        <x:v>9.099999999999998</x:v>
      </x:c>
      <x:c r="C23" s="3" t="n">
        <x:f>MIN(1,(MIN(1,'Иран 2038'!C23+'Иран 2038'!F23+(0.08*LN(1+0.5*'Ход 2038'!C29)*MAX(0,1-('Иран 2038'!C23+'Иран 2038'!F23)))))+(SUMIFS('Эффекты технологий'!$W$25:$W$240,'Эффекты технологий'!$C$25:$C$240,$A23,'Эффекты технологий'!$D$25:$D$240,"Прирост")-SUMIFS('Эффекты технологий'!$V$25:$V$240,'Эффекты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9.099999999999998</x:v>
      </x:c>
      <x:c r="J23" s="10" t="n">
        <x:f>SUMIFS('Эффекты технологий'!$W$25:$W$240,'Эффекты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2038'!V23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2038'!V24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2038'!B25+'Иран 2038'!D25+('Иран 2038'!C25+'Иран 2038'!F25+'Иран 2038'!G25)+(0.35*LN(1+0.6*'Ход 2038'!B31)*POWER(MAX(0,1-'Иран 2038'!I25/10),0.7))))</x:f>
        <x:v>8.299999999999995</x:v>
      </x:c>
      <x:c r="C25" s="3" t="n">
        <x:f>MIN(1,(MIN(1,'Иран 2038'!C25+'Иран 2038'!F25+(0.08*LN(1+0.5*'Ход 2038'!C31)*MAX(0,1-('Иран 2038'!C25+'Иран 2038'!F25)))))+(SUMIFS('Эффекты технологий'!$W$25:$W$240,'Эффекты технологий'!$C$25:$C$240,$A25,'Эффекты технологий'!$D$25:$D$240,"Прирост")-SUMIFS('Эффекты технологий'!$V$25:$V$240,'Эффекты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8.299999999999995</x:v>
      </x:c>
      <x:c r="J25" s="10" t="n">
        <x:f>SUMIFS('Эффекты технологий'!$W$25:$W$240,'Эффекты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2038'!V25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2038'!B26+'Иран 2038'!D26+('Иран 2038'!C26+'Иран 2038'!F26+'Иран 2038'!G26)+(0.35*LN(1+0.6*'Ход 2038'!B32)*POWER(MAX(0,1-'Иран 2038'!I26/10),0.7))))</x:f>
        <x:v>8.100000000000001</x:v>
      </x:c>
      <x:c r="C26" s="3" t="n">
        <x:f>MIN(1,(MIN(1,'Иран 2038'!C26+'Иран 2038'!F26+(0.08*LN(1+0.5*'Ход 2038'!C32)*MAX(0,1-('Иран 2038'!C26+'Иран 2038'!F26)))))+(SUMIFS('Эффекты технологий'!$W$25:$W$240,'Эффекты технологий'!$C$25:$C$240,$A26,'Эффекты технологий'!$D$25:$D$240,"Прирост")-SUMIFS('Эффекты технологий'!$V$25:$V$240,'Эффекты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8.100000000000001</x:v>
      </x:c>
      <x:c r="J26" s="10" t="n">
        <x:f>SUMIFS('Эффекты технологий'!$W$25:$W$240,'Эффекты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2038'!V26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2038'!B27+'Иран 2038'!D27+('Иран 2038'!C27+'Иран 2038'!F27+'Иран 2038'!G27)+(0.35*LN(1+0.6*'Ход 2038'!B33)*POWER(MAX(0,1-'Иран 2038'!I27/10),0.7))))</x:f>
        <x:v>7.950000000000005</x:v>
      </x:c>
      <x:c r="C27" s="3" t="n">
        <x:f>MIN(1,(MIN(1,'Иран 2038'!C27+'Иран 2038'!F27+(0.08*LN(1+0.5*'Ход 2038'!C33)*MAX(0,1-('Иран 2038'!C27+'Иран 2038'!F27)))))+(SUMIFS('Эффекты технологий'!$W$25:$W$240,'Эффекты технологий'!$C$25:$C$240,$A27,'Эффекты технологий'!$D$25:$D$240,"Прирост")-SUMIFS('Эффекты технологий'!$V$25:$V$240,'Эффекты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7.950000000000005</x:v>
      </x:c>
      <x:c r="J27" s="10" t="n">
        <x:f>SUMIFS('Эффекты технологий'!$W$25:$W$240,'Эффекты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2038'!B28+'Иран 2038'!D28+('Иран 2038'!C28+'Иран 2038'!F28+'Иран 2038'!G28)+(0.35*LN(1+0.6*'Ход 2038'!B34)*POWER(MAX(0,1-'Иран 2038'!I28/10),0.7))))</x:f>
        <x:v>8.100000000000001</x:v>
      </x:c>
      <x:c r="C28" s="3" t="n">
        <x:f>MIN(1,(MIN(1,'Иран 2038'!C28+'Иран 2038'!F28+(0.08*LN(1+0.5*'Ход 2038'!C34)*MAX(0,1-('Иран 2038'!C28+'Иран 2038'!F28)))))+(SUMIFS('Эффекты технологий'!$W$25:$W$240,'Эффекты технологий'!$C$25:$C$240,$A28,'Эффекты технологий'!$D$25:$D$240,"Прирост")-SUMIFS('Эффекты технологий'!$V$25:$V$240,'Эффекты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8.100000000000001</x:v>
      </x:c>
      <x:c r="J28" s="10" t="n">
        <x:f>SUMIFS('Эффекты технологий'!$W$25:$W$240,'Эффекты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2038'!B29+'Иран 2038'!D29+('Иран 2038'!C29+'Иран 2038'!F29+'Иран 2038'!G29)+(0.35*LN(1+0.6*'Ход 2038'!B35)*POWER(MAX(0,1-'Иран 2038'!I29/10),0.7))))</x:f>
        <x:v>8.100000000000001</x:v>
      </x:c>
      <x:c r="C29" s="3" t="n">
        <x:f>MIN(1,(MIN(1,'Иран 2038'!C29+'Иран 2038'!F29+(0.08*LN(1+0.5*'Ход 2038'!C35)*MAX(0,1-('Иран 2038'!C29+'Иран 2038'!F29)))))+(SUMIFS('Эффекты технологий'!$W$25:$W$240,'Эффекты технологий'!$C$25:$C$240,$A29,'Эффекты технологий'!$D$25:$D$240,"Прирост")-SUMIFS('Эффекты технологий'!$V$25:$V$240,'Эффекты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8.100000000000001</x:v>
      </x:c>
      <x:c r="J29" s="10" t="n">
        <x:f>SUMIFS('Эффекты технологий'!$W$25:$W$240,'Эффекты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2038'!B30+'Иран 2038'!D30+('Иран 2038'!C30+'Иран 2038'!F30+'Иран 2038'!G30)+(0.35*LN(1+0.6*'Ход 2038'!B36)*POWER(MAX(0,1-'Иран 2038'!I30/10),0.7))))</x:f>
        <x:v>7.450000000000005</x:v>
      </x:c>
      <x:c r="C30" s="3" t="n">
        <x:f>MIN(1,(MIN(1,'Иран 2038'!C30+'Иран 2038'!F30+(0.08*LN(1+0.5*'Ход 2038'!C36)*MAX(0,1-('Иран 2038'!C30+'Иран 2038'!F30)))))+(SUMIFS('Эффекты технологий'!$W$25:$W$240,'Эффекты технологий'!$C$25:$C$240,$A30,'Эффекты технологий'!$D$25:$D$240,"Прирост")-SUMIFS('Эффекты технологий'!$V$25:$V$240,'Эффекты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7.450000000000005</x:v>
      </x:c>
      <x:c r="J30" s="10" t="n">
        <x:f>SUMIFS('Эффекты технологий'!$W$25:$W$240,'Эффекты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2038'!B31+'Иран 2038'!D31+('Иран 2038'!C31+'Иран 2038'!F31+'Иран 2038'!G31)+(0.35*LN(1+0.6*'Ход 2038'!B37)*POWER(MAX(0,1-'Иран 2038'!I31/10),0.7))))</x:f>
        <x:v>7.450000000000005</x:v>
      </x:c>
      <x:c r="C31" s="3" t="n">
        <x:f>MIN(1,(MIN(1,'Иран 2038'!C31+'Иран 2038'!F31+(0.08*LN(1+0.5*'Ход 2038'!C37)*MAX(0,1-('Иран 2038'!C31+'Иран 2038'!F31)))))+(SUMIFS('Эффекты технологий'!$W$25:$W$240,'Эффекты технологий'!$C$25:$C$240,$A31,'Эффекты технологий'!$D$25:$D$240,"Прирост")-SUMIFS('Эффекты технологий'!$V$25:$V$240,'Эффекты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7.450000000000005</x:v>
      </x:c>
      <x:c r="J31" s="10" t="n">
        <x:f>SUMIFS('Эффекты технологий'!$W$25:$W$240,'Эффекты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2038'!B32+'Иран 2038'!D32+('Иран 2038'!C32+'Иран 2038'!F32+'Иран 2038'!G32)+(0.35*LN(1+0.6*'Ход 2038'!B38)*POWER(MAX(0,1-'Иран 2038'!I32/10),0.7))))</x:f>
        <x:v>10</x:v>
      </x:c>
      <x:c r="C32" s="3" t="n">
        <x:f>MIN(1,(MIN(1,'Иран 2038'!C32+'Иран 2038'!F32+(0.08*LN(1+0.5*'Ход 2038'!C38)*MAX(0,1-('Иран 2038'!C32+'Иран 2038'!F32)))))+(SUMIFS('Эффекты технологий'!$W$25:$W$240,'Эффекты технологий'!$C$25:$C$240,$A32,'Эффекты технологий'!$D$25:$D$240,"Прирост")-SUMIFS('Эффекты технологий'!$V$25:$V$240,'Эффекты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10</x:v>
      </x:c>
      <x:c r="J32" s="10" t="n">
        <x:f>SUMIFS('Эффекты технологий'!$W$25:$W$240,'Эффекты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2038'!B34+'Иран 2038'!D34+('Иран 2038'!C34+'Иран 2038'!F34+'Иран 2038'!G34)+(0.35*LN(1+0.6*'Ход 2038'!B40)*POWER(MAX(0,1-'Иран 2038'!I34/10),0.7))))</x:f>
        <x:v>10</x:v>
      </x:c>
      <x:c r="C34" s="3" t="n">
        <x:f>MIN(1,(MIN(1,'Иран 2038'!C34+'Иран 2038'!F34+(0.08*LN(1+0.5*'Ход 2038'!C40)*MAX(0,1-('Иран 2038'!C34+'Иран 2038'!F34)))))+(SUMIFS('Эффекты технологий'!$W$25:$W$240,'Эффекты технологий'!$C$25:$C$240,$A34,'Эффекты технологий'!$D$25:$D$240,"Прирост")-SUMIFS('Эффекты технологий'!$V$25:$V$240,'Эффекты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технологий'!$W$25:$W$240,'Эффекты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2038'!B35+'Иран 2038'!D35+('Иран 2038'!C35+'Иран 2038'!F35+'Иран 2038'!G35)+(0.35*LN(1+0.6*'Ход 2038'!B41)*POWER(MAX(0,1-'Иран 2038'!I35/10),0.7))))</x:f>
        <x:v>9.299999999999995</x:v>
      </x:c>
      <x:c r="C35" s="3" t="n">
        <x:f>MIN(1,(MIN(1,'Иран 2038'!C35+'Иран 2038'!F35+(0.08*LN(1+0.5*'Ход 2038'!C41)*MAX(0,1-('Иран 2038'!C35+'Иран 2038'!F35)))))+(SUMIFS('Эффекты технологий'!$W$25:$W$240,'Эффекты технологий'!$C$25:$C$240,$A35,'Эффекты технологий'!$D$25:$D$240,"Прирост")-SUMIFS('Эффекты технологий'!$V$25:$V$240,'Эффекты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9.299999999999995</x:v>
      </x:c>
      <x:c r="J35" s="10" t="n">
        <x:f>SUMIFS('Эффекты технологий'!$W$25:$W$240,'Эффекты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2038'!B36+'Иран 2038'!D36+('Иран 2038'!C36+'Иран 2038'!F36+'Иран 2038'!G36)+(0.35*LN(1+0.6*'Ход 2038'!B42)*POWER(MAX(0,1-'Иран 2038'!I36/10),0.7))))</x:f>
        <x:v>9.099999999999998</x:v>
      </x:c>
      <x:c r="C36" s="3" t="n">
        <x:f>MIN(1,(MIN(1,'Иран 2038'!C36+'Иран 2038'!F36+(0.08*LN(1+0.5*'Ход 2038'!C42)*MAX(0,1-('Иран 2038'!C36+'Иран 2038'!F36)))))+(SUMIFS('Эффекты технологий'!$W$25:$W$240,'Эффекты технологий'!$C$25:$C$240,$A36,'Эффекты технологий'!$D$25:$D$240,"Прирост")-SUMIFS('Эффекты технологий'!$V$25:$V$240,'Эффекты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9.099999999999998</x:v>
      </x:c>
      <x:c r="J36" s="10" t="n">
        <x:f>SUMIFS('Эффекты технологий'!$W$25:$W$240,'Эффекты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2038'!B37+'Иран 2038'!D37+('Иран 2038'!C37+'Иран 2038'!F37+'Иран 2038'!G37)+(0.35*LN(1+0.6*'Ход 2038'!B43)*POWER(MAX(0,1-'Иран 2038'!I37/10),0.7))))</x:f>
        <x:v>7.600000000000002</x:v>
      </x:c>
      <x:c r="C37" s="3" t="n">
        <x:f>MIN(1,(MIN(1,'Иран 2038'!C37+'Иран 2038'!F37+(0.08*LN(1+0.5*'Ход 2038'!C43)*MAX(0,1-('Иран 2038'!C37+'Иран 2038'!F37)))))+(SUMIFS('Эффекты технологий'!$W$25:$W$240,'Эффекты технологий'!$C$25:$C$240,$A37,'Эффекты технологий'!$D$25:$D$240,"Прирост")-SUMIFS('Эффекты технологий'!$V$25:$V$240,'Эффекты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7.600000000000002</x:v>
      </x:c>
      <x:c r="J37" s="10" t="n">
        <x:f>SUMIFS('Эффекты технологий'!$W$25:$W$240,'Эффекты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2038'!B38+'Иран 2038'!D38+('Иран 2038'!C38+'Иран 2038'!F38+'Иран 2038'!G38)+(0.35*LN(1+0.6*'Ход 2038'!B44)*POWER(MAX(0,1-'Иран 2038'!I38/10),0.7))))</x:f>
        <x:v>8.100000000000001</x:v>
      </x:c>
      <x:c r="C38" s="3" t="n">
        <x:f>MIN(1,(MIN(1,'Иран 2038'!C38+'Иран 2038'!F38+(0.08*LN(1+0.5*'Ход 2038'!C44)*MAX(0,1-('Иран 2038'!C38+'Иран 2038'!F38)))))+(SUMIFS('Эффекты технологий'!$W$25:$W$240,'Эффекты технологий'!$C$25:$C$240,$A38,'Эффекты технологий'!$D$25:$D$240,"Прирост")-SUMIFS('Эффекты технологий'!$V$25:$V$240,'Эффекты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8.100000000000001</x:v>
      </x:c>
      <x:c r="J38" s="10" t="n">
        <x:f>SUMIFS('Эффекты технологий'!$W$25:$W$240,'Эффекты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2038'!B39+'Иран 2038'!D39+('Иран 2038'!C39+'Иран 2038'!F39+'Иран 2038'!G39)+(0.35*LN(1+0.6*'Ход 2038'!B45)*POWER(MAX(0,1-'Иран 2038'!I39/10),0.7))))</x:f>
        <x:v>8.6</x:v>
      </x:c>
      <x:c r="C39" s="3" t="n">
        <x:f>MIN(1,(MIN(1,'Иран 2038'!C39+'Иран 2038'!F39+(0.08*LN(1+0.5*'Ход 2038'!C45)*MAX(0,1-('Иран 2038'!C39+'Иран 2038'!F39)))))+(SUMIFS('Эффекты технологий'!$W$25:$W$240,'Эффекты технологий'!$C$25:$C$240,$A39,'Эффекты технологий'!$D$25:$D$240,"Прирост")-SUMIFS('Эффекты технологий'!$V$25:$V$240,'Эффекты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8.6</x:v>
      </x:c>
      <x:c r="J39" s="10" t="n">
        <x:f>SUMIFS('Эффекты технологий'!$W$25:$W$240,'Эффекты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2038'!B40+'Иран 2038'!D40+('Иран 2038'!C40+'Иран 2038'!F40+'Иран 2038'!G40)+(0.35*LN(1+0.6*'Ход 2038'!B46)*POWER(MAX(0,1-'Иран 2038'!I40/10),0.7))))</x:f>
        <x:v>6.450000000000005</x:v>
      </x:c>
      <x:c r="C40" s="3" t="n">
        <x:f>MIN(1,(MIN(1,'Иран 2038'!C40+'Иран 2038'!F40+(0.08*LN(1+0.5*'Ход 2038'!C46)*MAX(0,1-('Иран 2038'!C40+'Иран 2038'!F40)))))+(SUMIFS('Эффекты технологий'!$W$25:$W$240,'Эффекты технологий'!$C$25:$C$240,$A40,'Эффекты технологий'!$D$25:$D$240,"Прирост")-SUMIFS('Эффекты технологий'!$V$25:$V$240,'Эффекты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6.450000000000005</x:v>
      </x:c>
      <x:c r="J40" s="10" t="n">
        <x:f>SUMIFS('Эффекты технологий'!$W$25:$W$240,'Эффекты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2038'!B41+'Иран 2038'!D41+('Иран 2038'!C41+'Иран 2038'!F41+'Иран 2038'!G41)+(0.35*LN(1+0.6*'Ход 2038'!B47)*POWER(MAX(0,1-'Иран 2038'!I41/10),0.7))))</x:f>
        <x:v>7.600000000000002</x:v>
      </x:c>
      <x:c r="C41" s="3" t="n">
        <x:f>MIN(1,(MIN(1,'Иран 2038'!C41+'Иран 2038'!F41+(0.08*LN(1+0.5*'Ход 2038'!C47)*MAX(0,1-('Иран 2038'!C41+'Иран 2038'!F41)))))+(SUMIFS('Эффекты технологий'!$W$25:$W$240,'Эффекты технологий'!$C$25:$C$240,$A41,'Эффекты технологий'!$D$25:$D$240,"Прирост")-SUMIFS('Эффекты технологий'!$V$25:$V$240,'Эффекты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7.600000000000002</x:v>
      </x:c>
      <x:c r="J41" s="10" t="n">
        <x:f>SUMIFS('Эффекты технологий'!$W$25:$W$240,'Эффекты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2038'!B42+'Иран 2038'!D42+('Иран 2038'!C42+'Иран 2038'!F42+'Иран 2038'!G42)+(0.35*LN(1+0.6*'Ход 2038'!B48)*POWER(MAX(0,1-'Иран 2038'!I42/10),0.7))))</x:f>
        <x:v>8.299999999999995</x:v>
      </x:c>
      <x:c r="C42" s="3" t="n">
        <x:f>MIN(1,(MIN(1,'Иран 2038'!C42+'Иран 2038'!F42+(0.08*LN(1+0.5*'Ход 2038'!C48)*MAX(0,1-('Иран 2038'!C42+'Иран 2038'!F42)))))+(SUMIFS('Эффекты технологий'!$W$25:$W$240,'Эффекты технологий'!$C$25:$C$240,$A42,'Эффекты технологий'!$D$25:$D$240,"Прирост")-SUMIFS('Эффекты технологий'!$V$25:$V$240,'Эффекты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8.299999999999995</x:v>
      </x:c>
      <x:c r="J42" s="10" t="n">
        <x:f>SUMIFS('Эффекты технологий'!$W$25:$W$240,'Эффекты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2038'!B44+'Иран 2038'!D44+('Иран 2038'!C44+'Иран 2038'!F44+'Иран 2038'!G44)+(0.35*LN(1+0.6*'Ход 2038'!B50)*POWER(MAX(0,1-'Иран 2038'!I44/10),0.7))))</x:f>
        <x:v>5.299999999999995</x:v>
      </x:c>
      <x:c r="C44" s="3" t="n">
        <x:f>MIN(1,(MIN(1,'Иран 2038'!C44+'Иран 2038'!F44+(0.08*LN(1+0.5*'Ход 2038'!C50)*MAX(0,1-('Иран 2038'!C44+'Иран 2038'!F44)))))+(SUMIFS('Эффекты технологий'!$W$25:$W$240,'Эффекты технологий'!$C$25:$C$240,$A44,'Эффекты технологий'!$D$25:$D$240,"Прирост")-SUMIFS('Эффекты технологий'!$V$25:$V$240,'Эффекты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5.299999999999995</x:v>
      </x:c>
      <x:c r="J44" s="10" t="n">
        <x:f>SUMIFS('Эффекты технологий'!$W$25:$W$240,'Эффекты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2038'!B45+'Иран 2038'!D45+('Иран 2038'!C45+'Иран 2038'!F45+'Иран 2038'!G45)+(0.35*LN(1+0.6*'Ход 2038'!B51)*POWER(MAX(0,1-'Иран 2038'!I45/10),0.7))))</x:f>
        <x:v>6.950000000000005</x:v>
      </x:c>
      <x:c r="C45" s="3" t="n">
        <x:f>MIN(1,(MIN(1,'Иран 2038'!C45+'Иран 2038'!F45+(0.08*LN(1+0.5*'Ход 2038'!C51)*MAX(0,1-('Иран 2038'!C45+'Иран 2038'!F45)))))+(SUMIFS('Эффекты технологий'!$W$25:$W$240,'Эффекты технологий'!$C$25:$C$240,$A45,'Эффекты технологий'!$D$25:$D$240,"Прирост")-SUMIFS('Эффекты технологий'!$V$25:$V$240,'Эффекты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6.950000000000005</x:v>
      </x:c>
      <x:c r="J45" s="10" t="n">
        <x:f>SUMIFS('Эффекты технологий'!$W$25:$W$240,'Эффекты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2038'!B46+'Иран 2038'!D46+('Иран 2038'!C46+'Иран 2038'!F46+'Иран 2038'!G46)+(0.35*LN(1+0.6*'Ход 2038'!B52)*POWER(MAX(0,1-'Иран 2038'!I46/10),0.7))))</x:f>
        <x:v>6.950000000000005</x:v>
      </x:c>
      <x:c r="C46" s="3" t="n">
        <x:f>MIN(1,(MIN(1,'Иран 2038'!C46+'Иран 2038'!F46+(0.08*LN(1+0.5*'Ход 2038'!C52)*MAX(0,1-('Иран 2038'!C46+'Иран 2038'!F46)))))+(SUMIFS('Эффекты технологий'!$W$25:$W$240,'Эффекты технологий'!$C$25:$C$240,$A46,'Эффекты технологий'!$D$25:$D$240,"Прирост")-SUMIFS('Эффекты технологий'!$V$25:$V$240,'Эффекты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6.950000000000005</x:v>
      </x:c>
      <x:c r="J46" s="10" t="n">
        <x:f>SUMIFS('Эффекты технологий'!$W$25:$W$240,'Эффекты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2038'!B47+'Иран 2038'!D47+('Иран 2038'!C47+'Иран 2038'!F47+'Иран 2038'!G47)+(0.35*LN(1+0.6*'Ход 2038'!B53)*POWER(MAX(0,1-'Иран 2038'!I47/10),0.7))))</x:f>
        <x:v>1.8500000000000016</x:v>
      </x:c>
      <x:c r="C47" s="3" t="n">
        <x:f>MIN(1,(MIN(1,'Иран 2038'!C47+'Иран 2038'!F47+(0.08*LN(1+0.5*'Ход 2038'!C53)*MAX(0,1-('Иран 2038'!C47+'Иран 2038'!F47)))))+(SUMIFS('Эффекты технологий'!$W$25:$W$240,'Эффекты технологий'!$C$25:$C$240,$A47,'Эффекты технологий'!$D$25:$D$240,"Прирост")-SUMIFS('Эффекты технологий'!$V$25:$V$240,'Эффекты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1.8500000000000016</x:v>
      </x:c>
      <x:c r="J47" s="10" t="n">
        <x:f>SUMIFS('Эффекты технологий'!$W$25:$W$240,'Эффекты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2038'!B48+'Иран 2038'!D48+('Иран 2038'!C48+'Иран 2038'!F48+'Иран 2038'!G48)+(0.35*LN(1+0.6*'Ход 2038'!B54)*POWER(MAX(0,1-'Иран 2038'!I48/10),0.7))))</x:f>
        <x:v>6.799999999999995</x:v>
      </x:c>
      <x:c r="C48" s="3" t="n">
        <x:f>MIN(1,(MIN(1,'Иран 2038'!C48+'Иран 2038'!F48+(0.08*LN(1+0.5*'Ход 2038'!C54)*MAX(0,1-('Иран 2038'!C48+'Иран 2038'!F48)))))+(SUMIFS('Эффекты технологий'!$W$25:$W$240,'Эффекты технологий'!$C$25:$C$240,$A48,'Эффекты технологий'!$D$25:$D$240,"Прирост")-SUMIFS('Эффекты технологий'!$V$25:$V$240,'Эффекты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6.799999999999995</x:v>
      </x:c>
      <x:c r="J48" s="10" t="n">
        <x:f>SUMIFS('Эффекты технологий'!$W$25:$W$240,'Эффекты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2038'!B49+'Иран 2038'!D49+('Иран 2038'!C49+'Иран 2038'!F49+'Иран 2038'!G49)+(0.35*LN(1+0.6*'Ход 2038'!B55)*POWER(MAX(0,1-'Иран 2038'!I49/10),0.7))))</x:f>
        <x:v>9.75</x:v>
      </x:c>
      <x:c r="C49" s="3" t="n">
        <x:f>MIN(1,(MIN(1,'Иран 2038'!C49+'Иран 2038'!F49+(0.08*LN(1+0.5*'Ход 2038'!C55)*MAX(0,1-('Иран 2038'!C49+'Иран 2038'!F49)))))+(SUMIFS('Эффекты технологий'!$W$25:$W$240,'Эффекты технологий'!$C$25:$C$240,$A49,'Эффекты технологий'!$D$25:$D$240,"Прирост")-SUMIFS('Эффекты технологий'!$V$25:$V$240,'Эффекты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9.75</x:v>
      </x:c>
      <x:c r="J49" s="10" t="n">
        <x:f>SUMIFS('Эффекты технологий'!$W$25:$W$240,'Эффекты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2038'!B50+'Иран 2038'!D50+('Иран 2038'!C50+'Иран 2038'!F50+'Иран 2038'!G50)+(0.35*LN(1+0.6*'Ход 2038'!B56)*POWER(MAX(0,1-'Иран 2038'!I50/10),0.7))))</x:f>
        <x:v>9.65000000000001</x:v>
      </x:c>
      <x:c r="C50" s="3" t="n">
        <x:f>MIN(1,(MIN(1,'Иран 2038'!C50+'Иран 2038'!F50+(0.08*LN(1+0.5*'Ход 2038'!C56)*MAX(0,1-('Иран 2038'!C50+'Иран 2038'!F50)))))+(SUMIFS('Эффекты технологий'!$W$25:$W$240,'Эффекты технологий'!$C$25:$C$240,$A50,'Эффекты технологий'!$D$25:$D$240,"Прирост")-SUMIFS('Эффекты технологий'!$V$25:$V$240,'Эффекты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9.65000000000001</x:v>
      </x:c>
      <x:c r="J50" s="10" t="n">
        <x:f>SUMIFS('Эффекты технологий'!$W$25:$W$240,'Эффекты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2038'!B51+'Иран 2038'!D51+('Иран 2038'!C51+'Иран 2038'!F51+'Иран 2038'!G51)+(0.35*LN(1+0.6*'Ход 2038'!B57)*POWER(MAX(0,1-'Иран 2038'!I51/10),0.7))))</x:f>
        <x:v>8.6</x:v>
      </x:c>
      <x:c r="C51" s="3" t="n">
        <x:f>MIN(1,(MIN(1,'Иран 2038'!C51+'Иран 2038'!F51+(0.08*LN(1+0.5*'Ход 2038'!C57)*MAX(0,1-('Иран 2038'!C51+'Иран 2038'!F51)))))+(SUMIFS('Эффекты технологий'!$W$25:$W$240,'Эффекты технологий'!$C$25:$C$240,$A51,'Эффекты технологий'!$D$25:$D$240,"Прирост")-SUMIFS('Эффекты технологий'!$V$25:$V$240,'Эффекты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8.6</x:v>
      </x:c>
      <x:c r="J51" s="10" t="n">
        <x:f>SUMIFS('Эффекты технологий'!$W$25:$W$240,'Эффекты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2038'!B53+'Иран 2038'!D53+('Иран 2038'!C53+'Иран 2038'!F53+'Иран 2038'!G53)+(0.35*LN(1+0.6*'Ход 2038'!B59)*POWER(MAX(0,1-'Иран 2038'!I53/10),0.7))))</x:f>
        <x:v>8.100000000000001</x:v>
      </x:c>
      <x:c r="C53" s="3" t="n">
        <x:f>MIN(1,(MIN(1,'Иран 2038'!C53+'Иран 2038'!F53+(0.08*LN(1+0.5*'Ход 2038'!C59)*MAX(0,1-('Иран 2038'!C53+'Иран 2038'!F53)))))+(SUMIFS('Эффекты технологий'!$W$25:$W$240,'Эффекты технологий'!$C$25:$C$240,$A53,'Эффекты технологий'!$D$25:$D$240,"Прирост")-SUMIFS('Эффекты технологий'!$V$25:$V$240,'Эффекты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8.100000000000001</x:v>
      </x:c>
      <x:c r="J53" s="10" t="n">
        <x:f>SUMIFS('Эффекты технологий'!$W$25:$W$240,'Эффекты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2038'!B54+'Иран 2038'!D54+('Иран 2038'!C54+'Иран 2038'!F54+'Иран 2038'!G54)+(0.35*LN(1+0.6*'Ход 2038'!B60)*POWER(MAX(0,1-'Иран 2038'!I54/10),0.7))))</x:f>
        <x:v>7.600000000000002</x:v>
      </x:c>
      <x:c r="C54" s="3" t="n">
        <x:f>MIN(1,(MIN(1,'Иран 2038'!C54+'Иран 2038'!F54+(0.08*LN(1+0.5*'Ход 2038'!C60)*MAX(0,1-('Иран 2038'!C54+'Иран 2038'!F54)))))+(SUMIFS('Эффекты технологий'!$W$25:$W$240,'Эффекты технологий'!$C$25:$C$240,$A54,'Эффекты технологий'!$D$25:$D$240,"Прирост")-SUMIFS('Эффекты технологий'!$V$25:$V$240,'Эффекты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7.600000000000002</x:v>
      </x:c>
      <x:c r="J54" s="10" t="n">
        <x:f>SUMIFS('Эффекты технологий'!$W$25:$W$240,'Эффекты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2038'!B55+'Иран 2038'!D55+('Иран 2038'!C55+'Иран 2038'!F55+'Иран 2038'!G55)+(0.35*LN(1+0.6*'Ход 2038'!B61)*POWER(MAX(0,1-'Иран 2038'!I55/10),0.7))))</x:f>
        <x:v>7.450000000000005</x:v>
      </x:c>
      <x:c r="C55" s="3" t="n">
        <x:f>MIN(1,(MIN(1,'Иран 2038'!C55+'Иран 2038'!F55+(0.08*LN(1+0.5*'Ход 2038'!C61)*MAX(0,1-('Иран 2038'!C55+'Иран 2038'!F55)))))+(SUMIFS('Эффекты технологий'!$W$25:$W$240,'Эффекты технологий'!$C$25:$C$240,$A55,'Эффекты технологий'!$D$25:$D$240,"Прирост")-SUMIFS('Эффекты технологий'!$V$25:$V$240,'Эффекты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7.450000000000005</x:v>
      </x:c>
      <x:c r="J55" s="10" t="n">
        <x:f>SUMIFS('Эффекты технологий'!$W$25:$W$240,'Эффекты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361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2039'!U6</x:f>
        <x:v>94.28178519689513</x:v>
      </x:c>
      <x:c r="C6" s="3"/>
      <x:c r="D6" s="3"/>
      <x:c r="E6" s="3" t="s">
        <x:v>321</x:v>
      </x:c>
      <x:c r="F6" s="3" t="n">
        <x:f>'Иран 2039'!K6</x:f>
        <x:v>84.59313468705938</x:v>
      </x:c>
      <x:c r="G6" s="3"/>
      <x:c r="H6" s="3"/>
      <x:c r="I6" s="3" t="s">
        <x:v>321</x:v>
      </x:c>
      <x:c r="J6" s="3" t="n">
        <x:f>'Иран 2039'!N6</x:f>
        <x:v>96.335891976528</x:v>
      </x:c>
      <x:c r="K6" s="3"/>
      <x:c r="L6" s="3"/>
      <x:c r="M6" s="3" t="s">
        <x:v>321</x:v>
      </x:c>
      <x:c r="N6" s="3" t="n">
        <x:f>'Иран 2039'!Q6</x:f>
        <x:v>68.18909624282286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94.28178519689513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84.59313468705938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96.335891976528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68.18909624282286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2039'!V11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2039'!V12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2039'!V13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2039'!V14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2039'!V15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2039'!V16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2039'!V17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2039'!V18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2039'!V19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2039'!V20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2039'!V21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2039'!V22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технологий'!W$16</x:f>
        <x:v>0</x:v>
      </x:c>
      <x:c r="H25" s="11" t="n">
        <x:f>'Эффекты технологий'!W$17</x:f>
        <x:v>0</x:v>
      </x:c>
      <x:c r="I25" s="11" t="n">
        <x:f>'Эффекты технологий'!W$18</x:f>
        <x:v>0</x:v>
      </x:c>
      <x:c r="J25" s="12"/>
      <x:c r="K25" s="3"/>
      <x:c r="L25" s="3" t="str">
        <x:v>Бразилия</x:v>
      </x:c>
      <x:c r="M25" s="3" t="n">
        <x:f>'Иран 2039'!V23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2039'!V24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2039'!V25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2039'!V26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IF(G29="","",VLOOKUP(G29,Технологии!$A$11:$BF$50,57,FALSE))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IF(G30="","",VLOOKUP(G30,Технологии!$A$11:$BF$50,57,FALSE))</x:f>
      </x:c>
      <x:c r="L30" s="3"/>
      <x:c r="M30" s="3"/>
      <x:c r="N30" s="12" t="s">
        <x:v>340</x:v>
      </x:c>
      <x:c r="O30" s="11" t="n">
        <x:f>'Эффекты технологий'!W$13</x:f>
        <x:v>0</x:v>
      </x:c>
      <x:c r="P30" s="11" t="n">
        <x:f>'Эффекты технологий'!W$14</x:f>
        <x:v>0</x:v>
      </x:c>
      <x:c r="Q30" s="11" t="n">
        <x:f>'Эффекты технологий'!W$15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IF(G31="","",VLOOKUP(G31,Технологии!$A$11:$BF$50,57,FALSE))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IF(G32="","",VLOOKUP(G32,Технологии!$A$11:$BF$50,57,FALSE))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IF(G33="","",VLOOKUP(G33,Технологии!$A$11:$BF$50,57,FALSE))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IF(G34="","",VLOOKUP(G34,Технологии!$A$11:$BF$50,57,FALSE))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IF(G35="","",VLOOKUP(G35,Технологии!$A$11:$BF$50,57,FALSE))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IF(G36="","",VLOOKUP(G36,Технологии!$A$11:$BF$50,57,FALSE))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IF(G37="","",VLOOKUP(G37,Технологии!$A$11:$BF$50,57,FALSE))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IF(G38="","",VLOOKUP(G38,Технологии!$A$11:$BF$50,57,FALSE))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НАЧАЛО 2040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85.96546129852193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97.43466562668446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69.10101114811565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95.06324582415559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2039'!B8+'Иран 2039'!D8+('Иран 2039'!C8+'Иран 2039'!F8+'Иран 2039'!G8)+(0.35*LN(1+0.6*('Ход 2039'!B14*(1+'Эффекты технологий'!W$12)))*POWER(MAX(0,1-'Иран 2039'!I8/10),0.7))))</x:f>
        <x:v>9.399999999999995</x:v>
      </x:c>
      <x:c r="C8" s="3" t="n">
        <x:f>MIN(1,(MIN(1,'Иран 2039'!C8+'Иран 2039'!F8+(0.08*LN(1+0.5*('Ход 2039'!C14*(1+'Эффекты технологий'!W$12)))*MAX(0,1-('Иран 2039'!C8+'Иран 2039'!F8)))))+(SUMIFS('Эффекты технологий'!$X$25:$X$240,'Эффекты технологий'!$C$25:$C$240,$A8,'Эффекты технологий'!$D$25:$D$240,"Прирост")-SUMIFS('Эффекты технологий'!$W$25:$W$240,'Эффекты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9.399999999999995</x:v>
      </x:c>
      <x:c r="J8" s="10" t="n">
        <x:f>SUMIFS('Эффекты технологий'!$X$25:$X$240,'Эффекты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2039'!B9+'Иран 2039'!D9+('Иран 2039'!C9+'Иран 2039'!F9+'Иран 2039'!G9)+(0.35*LN(1+0.6*('Ход 2039'!B15*(1+'Эффекты технологий'!W$12)))*POWER(MAX(0,1-'Иран 2039'!I9/10),0.7))))</x:f>
        <x:v>8.399999999999995</x:v>
      </x:c>
      <x:c r="C9" s="3" t="n">
        <x:f>MIN(1,(MIN(1,'Иран 2039'!C9+'Иран 2039'!F9+(0.08*LN(1+0.5*('Ход 2039'!C15*(1+'Эффекты технологий'!W$12)))*MAX(0,1-('Иран 2039'!C9+'Иран 2039'!F9)))))+(SUMIFS('Эффекты технологий'!$X$25:$X$240,'Эффекты технологий'!$C$25:$C$240,$A9,'Эффекты технологий'!$D$25:$D$240,"Прирост")-SUMIFS('Эффекты технологий'!$W$25:$W$240,'Эффекты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8.399999999999995</x:v>
      </x:c>
      <x:c r="J9" s="10" t="n">
        <x:f>SUMIFS('Эффекты технологий'!$X$25:$X$240,'Эффекты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2039'!B10+'Иран 2039'!D10+('Иран 2039'!C10+'Иран 2039'!F10+'Иран 2039'!G10)+(0.35*LN(1+0.6*('Ход 2039'!B16*(1+'Эффекты технологий'!W$12)))*POWER(MAX(0,1-'Иран 2039'!I10/10),0.7))))</x:f>
        <x:v>10</x:v>
      </x:c>
      <x:c r="C10" s="3" t="n">
        <x:f>MIN(1,(MIN(1,'Иран 2039'!C10+'Иран 2039'!F10+(0.08*LN(1+0.5*('Ход 2039'!C16*(1+'Эффекты технологий'!W$12)))*MAX(0,1-('Иран 2039'!C10+'Иран 2039'!F10)))))+(SUMIFS('Эффекты технологий'!$X$25:$X$240,'Эффекты технологий'!$C$25:$C$240,$A10,'Эффекты технологий'!$D$25:$D$240,"Прирост")-SUMIFS('Эффекты технологий'!$W$25:$W$240,'Эффекты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10</x:v>
      </x:c>
      <x:c r="J10" s="10" t="n">
        <x:f>SUMIFS('Эффекты технологий'!$X$25:$X$240,'Эффекты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2039'!B11+'Иран 2039'!D11+('Иран 2039'!C11+'Иран 2039'!F11+'Иран 2039'!G11)+(0.35*LN(1+0.6*('Ход 2039'!B17*(1+'Эффекты технологий'!W$12)))*POWER(MAX(0,1-'Иран 2039'!I11/10),0.7))))</x:f>
        <x:v>4.1999999999999975</x:v>
      </x:c>
      <x:c r="C11" s="3" t="n">
        <x:f>MIN(1,(MIN(1,'Иран 2039'!C11+'Иран 2039'!F11+(0.08*LN(1+0.5*('Ход 2039'!C17*(1+'Эффекты технологий'!W$12)))*MAX(0,1-('Иран 2039'!C11+'Иран 2039'!F11)))))+(SUMIFS('Эффекты технологий'!$X$25:$X$240,'Эффекты технологий'!$C$25:$C$240,$A11,'Эффекты технологий'!$D$25:$D$240,"Прирост")-SUMIFS('Эффекты технологий'!$W$25:$W$240,'Эффекты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4.1999999999999975</x:v>
      </x:c>
      <x:c r="J11" s="10" t="n">
        <x:f>SUMIFS('Эффекты технологий'!$X$25:$X$240,'Эффекты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2039'!L11+'Иран 2039'!N11+('Иран 2039'!M11+'Иран 2039'!P11+'Иран 2039'!Q11)))</x:f>
        <x:v>9</x:v>
      </x:c>
      <x:c r="M11" s="3" t="n">
        <x:f>MIN(1,(MIN(1,'Иран 2039'!M11+'Иран 2039'!P11+(0.1*LN(1+0.5*('Ход 2039'!H13*(1+'Эффекты технологий'!W$10)))*POWER(MAX(0,1-'Иран 2039'!S11/10),0.8))))+(SUMIFS('Эффекты технологий'!$X$25:$X$240,'Эффекты технологий'!$C$25:$C$240,$K11,'Эффекты технологий'!$D$25:$D$240,"Прирост")-SUMIFS('Эффекты технологий'!$W$25:$W$240,'Эффекты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9</x:v>
      </x:c>
      <x:c r="T11" s="10" t="n">
        <x:f>SUMIFS('Эффекты технологий'!$X$25:$X$240,'Эффекты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2039'!V11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2039'!B12+'Иран 2039'!D12+('Иран 2039'!C12+'Иран 2039'!F12+'Иран 2039'!G12)+(0.35*LN(1+0.6*('Ход 2039'!B18*(1+'Эффекты технологий'!W$12)))*POWER(MAX(0,1-'Иран 2039'!I12/10),0.7))))</x:f>
        <x:v>8.70000000000001</x:v>
      </x:c>
      <x:c r="C12" s="3" t="n">
        <x:f>MIN(1,(MIN(1,'Иран 2039'!C12+'Иран 2039'!F12+(0.08*LN(1+0.5*('Ход 2039'!C18*(1+'Эффекты технологий'!W$12)))*MAX(0,1-('Иран 2039'!C12+'Иран 2039'!F12)))))+(SUMIFS('Эффекты технологий'!$X$25:$X$240,'Эффекты технологий'!$C$25:$C$240,$A12,'Эффекты технологий'!$D$25:$D$240,"Прирост")-SUMIFS('Эффекты технологий'!$W$25:$W$240,'Эффекты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8.70000000000001</x:v>
      </x:c>
      <x:c r="J12" s="10" t="n">
        <x:f>SUMIFS('Эффекты технологий'!$X$25:$X$240,'Эффекты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2039'!L12+'Иран 2039'!N12+('Иран 2039'!M12+'Иран 2039'!P12+'Иран 2039'!Q12)))</x:f>
        <x:v>9</x:v>
      </x:c>
      <x:c r="M12" s="3" t="n">
        <x:f>MIN(1,(MIN(1,'Иран 2039'!M12+'Иран 2039'!P12+(0.1*LN(1+0.5*('Ход 2039'!H14*(1+'Эффекты технологий'!W$10)))*POWER(MAX(0,1-'Иран 2039'!S12/10),0.8))))+(SUMIFS('Эффекты технологий'!$X$25:$X$240,'Эффекты технологий'!$C$25:$C$240,$K12,'Эффекты технологий'!$D$25:$D$240,"Прирост")-SUMIFS('Эффекты технологий'!$W$25:$W$240,'Эффекты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9</x:v>
      </x:c>
      <x:c r="T12" s="10" t="n">
        <x:f>SUMIFS('Эффекты технологий'!$X$25:$X$240,'Эффекты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2039'!V12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2039'!B13+'Иран 2039'!D13+('Иран 2039'!C13+'Иран 2039'!F13+'Иран 2039'!G13)+(0.35*LN(1+0.6*('Ход 2039'!B19*(1+'Эффекты технологий'!W$12)))*POWER(MAX(0,1-'Иран 2039'!I13/10),0.7))))</x:f>
        <x:v>4.8000000000000025</x:v>
      </x:c>
      <x:c r="C13" s="3" t="n">
        <x:f>MIN(1,(MIN(1,'Иран 2039'!C13+'Иран 2039'!F13+(0.08*LN(1+0.5*('Ход 2039'!C19*(1+'Эффекты технологий'!W$12)))*MAX(0,1-('Иран 2039'!C13+'Иран 2039'!F13)))))+(SUMIFS('Эффекты технологий'!$X$25:$X$240,'Эффекты технологий'!$C$25:$C$240,$A13,'Эффекты технологий'!$D$25:$D$240,"Прирост")-SUMIFS('Эффекты технологий'!$W$25:$W$240,'Эффекты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4.8000000000000025</x:v>
      </x:c>
      <x:c r="J13" s="10" t="n">
        <x:f>SUMIFS('Эффекты технологий'!$X$25:$X$240,'Эффекты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2039'!L13+'Иран 2039'!N13+('Иран 2039'!M13+'Иран 2039'!P13+'Иран 2039'!Q13)))</x:f>
        <x:v>9.799999999999994</x:v>
      </x:c>
      <x:c r="M13" s="3" t="n">
        <x:f>MIN(1,(MIN(1,'Иран 2039'!M13+'Иран 2039'!P13+(0.1*LN(1+0.5*('Ход 2039'!H15*(1+'Эффекты технологий'!W$10)))*POWER(MAX(0,1-'Иран 2039'!S13/10),0.8))))+(SUMIFS('Эффекты технологий'!$X$25:$X$240,'Эффекты технологий'!$C$25:$C$240,$K13,'Эффекты технологий'!$D$25:$D$240,"Прирост")-SUMIFS('Эффекты технологий'!$W$25:$W$240,'Эффекты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9.799999999999994</x:v>
      </x:c>
      <x:c r="T13" s="10" t="n">
        <x:f>SUMIFS('Эффекты технологий'!$X$25:$X$240,'Эффекты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2039'!V13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2039'!B14+'Иран 2039'!D14+('Иран 2039'!C14+'Иран 2039'!F14+'Иран 2039'!G14)+(0.35*LN(1+0.6*('Ход 2039'!B20*(1+'Эффекты технологий'!W$12)))*POWER(MAX(0,1-'Иран 2039'!I14/10),0.7))))</x:f>
        <x:v>5.8000000000000025</x:v>
      </x:c>
      <x:c r="C14" s="3" t="n">
        <x:f>MIN(1,(MIN(1,'Иран 2039'!C14+'Иран 2039'!F14+(0.08*LN(1+0.5*('Ход 2039'!C20*(1+'Эффекты технологий'!W$12)))*MAX(0,1-('Иран 2039'!C14+'Иран 2039'!F14)))))+(SUMIFS('Эффекты технологий'!$X$25:$X$240,'Эффекты технологий'!$C$25:$C$240,$A14,'Эффекты технологий'!$D$25:$D$240,"Прирост")-SUMIFS('Эффекты технологий'!$W$25:$W$240,'Эффекты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5.8000000000000025</x:v>
      </x:c>
      <x:c r="J14" s="10" t="n">
        <x:f>SUMIFS('Эффекты технологий'!$X$25:$X$240,'Эффекты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2039'!L14+'Иран 2039'!N14+('Иран 2039'!M14+'Иран 2039'!P14+'Иран 2039'!Q14)))</x:f>
        <x:v>10</x:v>
      </x:c>
      <x:c r="M14" s="3" t="n">
        <x:f>MIN(1,(MIN(1,'Иран 2039'!M14+'Иран 2039'!P14+(0.1*LN(1+0.5*('Ход 2039'!H16*(1+'Эффекты технологий'!W$10)))*POWER(MAX(0,1-'Иран 2039'!S14/10),0.8))))+(SUMIFS('Эффекты технологий'!$X$25:$X$240,'Эффекты технологий'!$C$25:$C$240,$K14,'Эффекты технологий'!$D$25:$D$240,"Прирост")-SUMIFS('Эффекты технологий'!$W$25:$W$240,'Эффекты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10</x:v>
      </x:c>
      <x:c r="T14" s="10" t="n">
        <x:f>SUMIFS('Эффекты технологий'!$X$25:$X$240,'Эффекты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2039'!V14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2039'!B15+'Иран 2039'!D15+('Иран 2039'!C15+'Иран 2039'!F15+'Иран 2039'!G15)+(0.35*LN(1+0.6*('Ход 2039'!B21*(1+'Эффекты технологий'!W$12)))*POWER(MAX(0,1-'Иран 2039'!I15/10),0.7))))</x:f>
        <x:v>8</x:v>
      </x:c>
      <x:c r="C15" s="3" t="n">
        <x:f>MIN(1,(MIN(1,'Иран 2039'!C15+'Иран 2039'!F15+(0.08*LN(1+0.5*('Ход 2039'!C21*(1+'Эффекты технологий'!W$12)))*MAX(0,1-('Иран 2039'!C15+'Иран 2039'!F15)))))+(SUMIFS('Эффекты технологий'!$X$25:$X$240,'Эффекты технологий'!$C$25:$C$240,$A15,'Эффекты технологий'!$D$25:$D$240,"Прирост")-SUMIFS('Эффекты технологий'!$W$25:$W$240,'Эффекты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8</x:v>
      </x:c>
      <x:c r="J15" s="10" t="n">
        <x:f>SUMIFS('Эффекты технологий'!$X$25:$X$240,'Эффекты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2039'!L15+'Иран 2039'!N15+('Иран 2039'!M15+'Иран 2039'!P15+'Иран 2039'!Q15)))</x:f>
        <x:v>9.799999999999994</x:v>
      </x:c>
      <x:c r="M15" s="3" t="n">
        <x:f>MIN(1,(MIN(1,'Иран 2039'!M15+'Иран 2039'!P15+(0.1*LN(1+0.5*('Ход 2039'!H17*(1+'Эффекты технологий'!W$10)))*POWER(MAX(0,1-'Иран 2039'!S15/10),0.8))))+(SUMIFS('Эффекты технологий'!$X$25:$X$240,'Эффекты технологий'!$C$25:$C$240,$K15,'Эффекты технологий'!$D$25:$D$240,"Прирост")-SUMIFS('Эффекты технологий'!$W$25:$W$240,'Эффекты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9.799999999999994</x:v>
      </x:c>
      <x:c r="T15" s="10" t="n">
        <x:f>SUMIFS('Эффекты технологий'!$X$25:$X$240,'Эффекты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2039'!V15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2039'!B16+'Иран 2039'!D16+('Иран 2039'!C16+'Иран 2039'!F16+'Иран 2039'!G16)+(0.35*LN(1+0.6*('Ход 2039'!B22*(1+'Эффекты технологий'!W$12)))*POWER(MAX(0,1-'Иран 2039'!I16/10),0.7))))</x:f>
        <x:v>8.3</x:v>
      </x:c>
      <x:c r="C16" s="3" t="n">
        <x:f>MIN(1,(MIN(1,'Иран 2039'!C16+'Иран 2039'!F16+(0.08*LN(1+0.5*('Ход 2039'!C22*(1+'Эффекты технологий'!W$12)))*MAX(0,1-('Иран 2039'!C16+'Иран 2039'!F16)))))+(SUMIFS('Эффекты технологий'!$X$25:$X$240,'Эффекты технологий'!$C$25:$C$240,$A16,'Эффекты технологий'!$D$25:$D$240,"Прирост")-SUMIFS('Эффекты технологий'!$W$25:$W$240,'Эффекты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8.3</x:v>
      </x:c>
      <x:c r="J16" s="10" t="n">
        <x:f>SUMIFS('Эффекты технологий'!$X$25:$X$240,'Эффекты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2039'!L16+'Иран 2039'!N16+('Иран 2039'!M16+'Иран 2039'!P16+'Иран 2039'!Q16)))</x:f>
        <x:v>9</x:v>
      </x:c>
      <x:c r="M16" s="3" t="n">
        <x:f>MIN(1,(MIN(1,'Иран 2039'!M16+'Иран 2039'!P16+(0.1*LN(1+0.5*('Ход 2039'!H18*(1+'Эффекты технологий'!W$10)))*POWER(MAX(0,1-'Иран 2039'!S16/10),0.8))))+(SUMIFS('Эффекты технологий'!$X$25:$X$240,'Эффекты технологий'!$C$25:$C$240,$K16,'Эффекты технологий'!$D$25:$D$240,"Прирост")-SUMIFS('Эффекты технологий'!$W$25:$W$240,'Эффекты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9</x:v>
      </x:c>
      <x:c r="T16" s="10" t="n">
        <x:f>SUMIFS('Эффекты технологий'!$X$25:$X$240,'Эффекты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2039'!V16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2039'!B17+'Иран 2039'!D17+('Иран 2039'!C17+'Иран 2039'!F17+'Иран 2039'!G17)+(0.35*LN(1+0.6*('Ход 2039'!B23*(1+'Эффекты технологий'!W$12)))*POWER(MAX(0,1-'Иран 2039'!I17/10),0.7))))</x:f>
        <x:v>7.100000000000005</x:v>
      </x:c>
      <x:c r="C17" s="3" t="n">
        <x:f>MIN(1,(MIN(1,'Иран 2039'!C17+'Иран 2039'!F17+(0.08*LN(1+0.5*('Ход 2039'!C23*(1+'Эффекты технологий'!W$12)))*MAX(0,1-('Иран 2039'!C17+'Иран 2039'!F17)))))+(SUMIFS('Эффекты технологий'!$X$25:$X$240,'Эффекты технологий'!$C$25:$C$240,$A17,'Эффекты технологий'!$D$25:$D$240,"Прирост")-SUMIFS('Эффекты технологий'!$W$25:$W$240,'Эффекты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7.100000000000005</x:v>
      </x:c>
      <x:c r="J17" s="10" t="n">
        <x:f>SUMIFS('Эффекты технологий'!$X$25:$X$240,'Эффекты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2039'!L17+'Иран 2039'!N17+('Иран 2039'!M17+'Иран 2039'!P17+'Иран 2039'!Q17)))</x:f>
        <x:v>10</x:v>
      </x:c>
      <x:c r="M17" s="3" t="n">
        <x:f>MIN(1,(MIN(1,'Иран 2039'!M17+'Иран 2039'!P17+(0.1*LN(1+0.5*('Ход 2039'!H19*(1+'Эффекты технологий'!W$10)))*POWER(MAX(0,1-'Иран 2039'!S17/10),0.8))))+(SUMIFS('Эффекты технологий'!$X$25:$X$240,'Эффекты технологий'!$C$25:$C$240,$K17,'Эффекты технологий'!$D$25:$D$240,"Прирост")-SUMIFS('Эффекты технологий'!$W$25:$W$240,'Эффекты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10</x:v>
      </x:c>
      <x:c r="T17" s="10" t="n">
        <x:f>SUMIFS('Эффекты технологий'!$X$25:$X$240,'Эффекты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2039'!V17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2039'!L18+'Иран 2039'!N18+('Иран 2039'!M18+'Иран 2039'!P18+'Иран 2039'!Q18)))</x:f>
        <x:v>10</x:v>
      </x:c>
      <x:c r="M18" s="3" t="n">
        <x:f>MIN(1,(MIN(1,'Иран 2039'!M18+'Иран 2039'!P18+(0.1*LN(1+0.5*('Ход 2039'!H20*(1+'Эффекты технологий'!W$10)))*POWER(MAX(0,1-'Иран 2039'!S18/10),0.8))))+(SUMIFS('Эффекты технологий'!$X$25:$X$240,'Эффекты технологий'!$C$25:$C$240,$K18,'Эффекты технологий'!$D$25:$D$240,"Прирост")-SUMIFS('Эффекты технологий'!$W$25:$W$240,'Эффекты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10</x:v>
      </x:c>
      <x:c r="T18" s="10" t="n">
        <x:f>SUMIFS('Эффекты технологий'!$X$25:$X$240,'Эффекты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2039'!V18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2039'!B19+'Иран 2039'!D19+('Иран 2039'!C19+'Иран 2039'!F19+'Иран 2039'!G19)+(0.35*LN(1+0.6*'Ход 2039'!B25)*POWER(MAX(0,1-'Иран 2039'!I19/10),0.7))))</x:f>
        <x:v>8.3</x:v>
      </x:c>
      <x:c r="C19" s="3" t="n">
        <x:f>MIN(1,(MIN(1,'Иран 2039'!C19+'Иран 2039'!F19+(0.08*LN(1+0.5*'Ход 2039'!C25)*MAX(0,1-('Иран 2039'!C19+'Иран 2039'!F19)))))+(SUMIFS('Эффекты технологий'!$X$25:$X$240,'Эффекты технологий'!$C$25:$C$240,$A19,'Эффекты технологий'!$D$25:$D$240,"Прирост")-SUMIFS('Эффекты технологий'!$W$25:$W$240,'Эффекты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8.3</x:v>
      </x:c>
      <x:c r="J19" s="10" t="n">
        <x:f>SUMIFS('Эффекты технологий'!$X$25:$X$240,'Эффекты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2039'!V19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2039'!B20+'Иран 2039'!D20+('Иран 2039'!C20+'Иран 2039'!F20+'Иран 2039'!G20)+(0.35*LN(1+0.6*'Ход 2039'!B26)*POWER(MAX(0,1-'Иран 2039'!I20/10),0.7))))</x:f>
        <x:v>9</x:v>
      </x:c>
      <x:c r="C20" s="3" t="n">
        <x:f>MIN(1,(MIN(1,'Иран 2039'!C20+'Иран 2039'!F20+(0.08*LN(1+0.5*'Ход 2039'!C26)*MAX(0,1-('Иран 2039'!C20+'Иран 2039'!F20)))))+(SUMIFS('Эффекты технологий'!$X$25:$X$240,'Эффекты технологий'!$C$25:$C$240,$A20,'Эффекты технологий'!$D$25:$D$240,"Прирост")-SUMIFS('Эффекты технологий'!$W$25:$W$240,'Эффекты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9</x:v>
      </x:c>
      <x:c r="J20" s="10" t="n">
        <x:f>SUMIFS('Эффекты технологий'!$X$25:$X$240,'Эффекты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2039'!V20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2039'!B21+'Иран 2039'!D21+('Иран 2039'!C21+'Иран 2039'!F21+'Иран 2039'!G21)+(0.35*LN(1+0.6*'Ход 2039'!B27)*POWER(MAX(0,1-'Иран 2039'!I21/10),0.7))))</x:f>
        <x:v>7.8000000000000025</x:v>
      </x:c>
      <x:c r="C21" s="3" t="n">
        <x:f>MIN(1,(MIN(1,'Иран 2039'!C21+'Иран 2039'!F21+(0.08*LN(1+0.5*'Ход 2039'!C27)*MAX(0,1-('Иран 2039'!C21+'Иран 2039'!F21)))))+(SUMIFS('Эффекты технологий'!$X$25:$X$240,'Эффекты технологий'!$C$25:$C$240,$A21,'Эффекты технологий'!$D$25:$D$240,"Прирост")-SUMIFS('Эффекты технологий'!$W$25:$W$240,'Эффекты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7.8000000000000025</x:v>
      </x:c>
      <x:c r="J21" s="10" t="n">
        <x:f>SUMIFS('Эффекты технологий'!$X$25:$X$240,'Эффекты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2039'!V21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2039'!B22+'Иран 2039'!D22+('Иран 2039'!C22+'Иран 2039'!F22+'Иран 2039'!G22)+(0.35*LN(1+0.6*'Ход 2039'!B28)*POWER(MAX(0,1-'Иран 2039'!I22/10),0.7))))</x:f>
        <x:v>9.399999999999995</x:v>
      </x:c>
      <x:c r="C22" s="3" t="n">
        <x:f>MIN(1,(MIN(1,'Иран 2039'!C22+'Иран 2039'!F22+(0.08*LN(1+0.5*'Ход 2039'!C28)*MAX(0,1-('Иран 2039'!C22+'Иран 2039'!F22)))))+(SUMIFS('Эффекты технологий'!$X$25:$X$240,'Эффекты технологий'!$C$25:$C$240,$A22,'Эффекты технологий'!$D$25:$D$240,"Прирост")-SUMIFS('Эффекты технологий'!$W$25:$W$240,'Эффекты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9.399999999999995</x:v>
      </x:c>
      <x:c r="J22" s="10" t="n">
        <x:f>SUMIFS('Эффекты технологий'!$X$25:$X$240,'Эффекты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2039'!V22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2039'!B23+'Иран 2039'!D23+('Иран 2039'!C23+'Иран 2039'!F23+'Иран 2039'!G23)+(0.35*LN(1+0.6*'Ход 2039'!B29)*POWER(MAX(0,1-'Иран 2039'!I23/10),0.7))))</x:f>
        <x:v>9.299999999999997</x:v>
      </x:c>
      <x:c r="C23" s="3" t="n">
        <x:f>MIN(1,(MIN(1,'Иран 2039'!C23+'Иран 2039'!F23+(0.08*LN(1+0.5*'Ход 2039'!C29)*MAX(0,1-('Иран 2039'!C23+'Иран 2039'!F23)))))+(SUMIFS('Эффекты технологий'!$X$25:$X$240,'Эффекты технологий'!$C$25:$C$240,$A23,'Эффекты технологий'!$D$25:$D$240,"Прирост")-SUMIFS('Эффекты технологий'!$W$25:$W$240,'Эффекты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9.299999999999997</x:v>
      </x:c>
      <x:c r="J23" s="10" t="n">
        <x:f>SUMIFS('Эффекты технологий'!$X$25:$X$240,'Эффекты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2039'!V23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2039'!V24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2039'!B25+'Иран 2039'!D25+('Иран 2039'!C25+'Иран 2039'!F25+'Иран 2039'!G25)+(0.35*LN(1+0.6*'Ход 2039'!B31)*POWER(MAX(0,1-'Иран 2039'!I25/10),0.7))))</x:f>
        <x:v>8.399999999999995</x:v>
      </x:c>
      <x:c r="C25" s="3" t="n">
        <x:f>MIN(1,(MIN(1,'Иран 2039'!C25+'Иран 2039'!F25+(0.08*LN(1+0.5*'Ход 2039'!C31)*MAX(0,1-('Иран 2039'!C25+'Иран 2039'!F25)))))+(SUMIFS('Эффекты технологий'!$X$25:$X$240,'Эффекты технологий'!$C$25:$C$240,$A25,'Эффекты технологий'!$D$25:$D$240,"Прирост")-SUMIFS('Эффекты технологий'!$W$25:$W$240,'Эффекты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8.399999999999995</x:v>
      </x:c>
      <x:c r="J25" s="10" t="n">
        <x:f>SUMIFS('Эффекты технологий'!$X$25:$X$240,'Эффекты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2039'!V25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2039'!B26+'Иран 2039'!D26+('Иран 2039'!C26+'Иран 2039'!F26+'Иран 2039'!G26)+(0.35*LN(1+0.6*'Ход 2039'!B32)*POWER(MAX(0,1-'Иран 2039'!I26/10),0.7))))</x:f>
        <x:v>8.3</x:v>
      </x:c>
      <x:c r="C26" s="3" t="n">
        <x:f>MIN(1,(MIN(1,'Иран 2039'!C26+'Иран 2039'!F26+(0.08*LN(1+0.5*'Ход 2039'!C32)*MAX(0,1-('Иран 2039'!C26+'Иран 2039'!F26)))))+(SUMIFS('Эффекты технологий'!$X$25:$X$240,'Эффекты технологий'!$C$25:$C$240,$A26,'Эффекты технологий'!$D$25:$D$240,"Прирост")-SUMIFS('Эффекты технологий'!$W$25:$W$240,'Эффекты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8.3</x:v>
      </x:c>
      <x:c r="J26" s="10" t="n">
        <x:f>SUMIFS('Эффекты технологий'!$X$25:$X$240,'Эффекты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2039'!V26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2039'!B27+'Иран 2039'!D27+('Иран 2039'!C27+'Иран 2039'!F27+'Иран 2039'!G27)+(0.35*LN(1+0.6*'Ход 2039'!B33)*POWER(MAX(0,1-'Иран 2039'!I27/10),0.7))))</x:f>
        <x:v>8.100000000000005</x:v>
      </x:c>
      <x:c r="C27" s="3" t="n">
        <x:f>MIN(1,(MIN(1,'Иран 2039'!C27+'Иран 2039'!F27+(0.08*LN(1+0.5*'Ход 2039'!C33)*MAX(0,1-('Иран 2039'!C27+'Иран 2039'!F27)))))+(SUMIFS('Эффекты технологий'!$X$25:$X$240,'Эффекты технологий'!$C$25:$C$240,$A27,'Эффекты технологий'!$D$25:$D$240,"Прирост")-SUMIFS('Эффекты технологий'!$W$25:$W$240,'Эффекты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8.100000000000005</x:v>
      </x:c>
      <x:c r="J27" s="10" t="n">
        <x:f>SUMIFS('Эффекты технологий'!$X$25:$X$240,'Эффекты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2039'!B28+'Иран 2039'!D28+('Иран 2039'!C28+'Иран 2039'!F28+'Иран 2039'!G28)+(0.35*LN(1+0.6*'Ход 2039'!B34)*POWER(MAX(0,1-'Иран 2039'!I28/10),0.7))))</x:f>
        <x:v>8.3</x:v>
      </x:c>
      <x:c r="C28" s="3" t="n">
        <x:f>MIN(1,(MIN(1,'Иран 2039'!C28+'Иран 2039'!F28+(0.08*LN(1+0.5*'Ход 2039'!C34)*MAX(0,1-('Иран 2039'!C28+'Иран 2039'!F28)))))+(SUMIFS('Эффекты технологий'!$X$25:$X$240,'Эффекты технологий'!$C$25:$C$240,$A28,'Эффекты технологий'!$D$25:$D$240,"Прирост")-SUMIFS('Эффекты технологий'!$W$25:$W$240,'Эффекты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8.3</x:v>
      </x:c>
      <x:c r="J28" s="10" t="n">
        <x:f>SUMIFS('Эффекты технологий'!$X$25:$X$240,'Эффекты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2039'!B29+'Иран 2039'!D29+('Иран 2039'!C29+'Иран 2039'!F29+'Иран 2039'!G29)+(0.35*LN(1+0.6*'Ход 2039'!B35)*POWER(MAX(0,1-'Иран 2039'!I29/10),0.7))))</x:f>
        <x:v>8.3</x:v>
      </x:c>
      <x:c r="C29" s="3" t="n">
        <x:f>MIN(1,(MIN(1,'Иран 2039'!C29+'Иран 2039'!F29+(0.08*LN(1+0.5*'Ход 2039'!C35)*MAX(0,1-('Иран 2039'!C29+'Иран 2039'!F29)))))+(SUMIFS('Эффекты технологий'!$X$25:$X$240,'Эффекты технологий'!$C$25:$C$240,$A29,'Эффекты технологий'!$D$25:$D$240,"Прирост")-SUMIFS('Эффекты технологий'!$W$25:$W$240,'Эффекты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8.3</x:v>
      </x:c>
      <x:c r="J29" s="10" t="n">
        <x:f>SUMIFS('Эффекты технологий'!$X$25:$X$240,'Эффекты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2039'!B30+'Иран 2039'!D30+('Иран 2039'!C30+'Иран 2039'!F30+'Иран 2039'!G30)+(0.35*LN(1+0.6*'Ход 2039'!B36)*POWER(MAX(0,1-'Иран 2039'!I30/10),0.7))))</x:f>
        <x:v>7.600000000000005</x:v>
      </x:c>
      <x:c r="C30" s="3" t="n">
        <x:f>MIN(1,(MIN(1,'Иран 2039'!C30+'Иран 2039'!F30+(0.08*LN(1+0.5*'Ход 2039'!C36)*MAX(0,1-('Иран 2039'!C30+'Иран 2039'!F30)))))+(SUMIFS('Эффекты технологий'!$X$25:$X$240,'Эффекты технологий'!$C$25:$C$240,$A30,'Эффекты технологий'!$D$25:$D$240,"Прирост")-SUMIFS('Эффекты технологий'!$W$25:$W$240,'Эффекты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7.600000000000005</x:v>
      </x:c>
      <x:c r="J30" s="10" t="n">
        <x:f>SUMIFS('Эффекты технологий'!$X$25:$X$240,'Эффекты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2039'!B31+'Иран 2039'!D31+('Иран 2039'!C31+'Иран 2039'!F31+'Иран 2039'!G31)+(0.35*LN(1+0.6*'Ход 2039'!B37)*POWER(MAX(0,1-'Иран 2039'!I31/10),0.7))))</x:f>
        <x:v>7.600000000000005</x:v>
      </x:c>
      <x:c r="C31" s="3" t="n">
        <x:f>MIN(1,(MIN(1,'Иран 2039'!C31+'Иран 2039'!F31+(0.08*LN(1+0.5*'Ход 2039'!C37)*MAX(0,1-('Иран 2039'!C31+'Иран 2039'!F31)))))+(SUMIFS('Эффекты технологий'!$X$25:$X$240,'Эффекты технологий'!$C$25:$C$240,$A31,'Эффекты технологий'!$D$25:$D$240,"Прирост")-SUMIFS('Эффекты технологий'!$W$25:$W$240,'Эффекты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7.600000000000005</x:v>
      </x:c>
      <x:c r="J31" s="10" t="n">
        <x:f>SUMIFS('Эффекты технологий'!$X$25:$X$240,'Эффекты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2039'!B32+'Иран 2039'!D32+('Иран 2039'!C32+'Иран 2039'!F32+'Иран 2039'!G32)+(0.35*LN(1+0.6*'Ход 2039'!B38)*POWER(MAX(0,1-'Иран 2039'!I32/10),0.7))))</x:f>
        <x:v>10</x:v>
      </x:c>
      <x:c r="C32" s="3" t="n">
        <x:f>MIN(1,(MIN(1,'Иран 2039'!C32+'Иран 2039'!F32+(0.08*LN(1+0.5*'Ход 2039'!C38)*MAX(0,1-('Иран 2039'!C32+'Иран 2039'!F32)))))+(SUMIFS('Эффекты технологий'!$X$25:$X$240,'Эффекты технологий'!$C$25:$C$240,$A32,'Эффекты технологий'!$D$25:$D$240,"Прирост")-SUMIFS('Эффекты технологий'!$W$25:$W$240,'Эффекты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10</x:v>
      </x:c>
      <x:c r="J32" s="10" t="n">
        <x:f>SUMIFS('Эффекты технологий'!$X$25:$X$240,'Эффекты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2039'!B34+'Иран 2039'!D34+('Иран 2039'!C34+'Иран 2039'!F34+'Иран 2039'!G34)+(0.35*LN(1+0.6*'Ход 2039'!B40)*POWER(MAX(0,1-'Иран 2039'!I34/10),0.7))))</x:f>
        <x:v>10</x:v>
      </x:c>
      <x:c r="C34" s="3" t="n">
        <x:f>MIN(1,(MIN(1,'Иран 2039'!C34+'Иран 2039'!F34+(0.08*LN(1+0.5*'Ход 2039'!C40)*MAX(0,1-('Иран 2039'!C34+'Иран 2039'!F34)))))+(SUMIFS('Эффекты технологий'!$X$25:$X$240,'Эффекты технологий'!$C$25:$C$240,$A34,'Эффекты технологий'!$D$25:$D$240,"Прирост")-SUMIFS('Эффекты технологий'!$W$25:$W$240,'Эффекты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технологий'!$X$25:$X$240,'Эффекты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2039'!B35+'Иран 2039'!D35+('Иран 2039'!C35+'Иран 2039'!F35+'Иран 2039'!G35)+(0.35*LN(1+0.6*'Ход 2039'!B41)*POWER(MAX(0,1-'Иран 2039'!I35/10),0.7))))</x:f>
        <x:v>9.399999999999995</x:v>
      </x:c>
      <x:c r="C35" s="3" t="n">
        <x:f>MIN(1,(MIN(1,'Иран 2039'!C35+'Иран 2039'!F35+(0.08*LN(1+0.5*'Ход 2039'!C41)*MAX(0,1-('Иран 2039'!C35+'Иран 2039'!F35)))))+(SUMIFS('Эффекты технологий'!$X$25:$X$240,'Эффекты технологий'!$C$25:$C$240,$A35,'Эффекты технологий'!$D$25:$D$240,"Прирост")-SUMIFS('Эффекты технологий'!$W$25:$W$240,'Эффекты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9.399999999999995</x:v>
      </x:c>
      <x:c r="J35" s="10" t="n">
        <x:f>SUMIFS('Эффекты технологий'!$X$25:$X$240,'Эффекты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2039'!B36+'Иран 2039'!D36+('Иран 2039'!C36+'Иран 2039'!F36+'Иран 2039'!G36)+(0.35*LN(1+0.6*'Ход 2039'!B42)*POWER(MAX(0,1-'Иран 2039'!I36/10),0.7))))</x:f>
        <x:v>9.299999999999997</x:v>
      </x:c>
      <x:c r="C36" s="3" t="n">
        <x:f>MIN(1,(MIN(1,'Иран 2039'!C36+'Иран 2039'!F36+(0.08*LN(1+0.5*'Ход 2039'!C42)*MAX(0,1-('Иран 2039'!C36+'Иран 2039'!F36)))))+(SUMIFS('Эффекты технологий'!$X$25:$X$240,'Эффекты технологий'!$C$25:$C$240,$A36,'Эффекты технологий'!$D$25:$D$240,"Прирост")-SUMIFS('Эффекты технологий'!$W$25:$W$240,'Эффекты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9.299999999999997</x:v>
      </x:c>
      <x:c r="J36" s="10" t="n">
        <x:f>SUMIFS('Эффекты технологий'!$X$25:$X$240,'Эффекты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2039'!B37+'Иран 2039'!D37+('Иран 2039'!C37+'Иран 2039'!F37+'Иран 2039'!G37)+(0.35*LN(1+0.6*'Ход 2039'!B43)*POWER(MAX(0,1-'Иран 2039'!I37/10),0.7))))</x:f>
        <x:v>7.8000000000000025</x:v>
      </x:c>
      <x:c r="C37" s="3" t="n">
        <x:f>MIN(1,(MIN(1,'Иран 2039'!C37+'Иран 2039'!F37+(0.08*LN(1+0.5*'Ход 2039'!C43)*MAX(0,1-('Иран 2039'!C37+'Иран 2039'!F37)))))+(SUMIFS('Эффекты технологий'!$X$25:$X$240,'Эффекты технологий'!$C$25:$C$240,$A37,'Эффекты технологий'!$D$25:$D$240,"Прирост")-SUMIFS('Эффекты технологий'!$W$25:$W$240,'Эффекты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7.8000000000000025</x:v>
      </x:c>
      <x:c r="J37" s="10" t="n">
        <x:f>SUMIFS('Эффекты технологий'!$X$25:$X$240,'Эффекты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2039'!B38+'Иран 2039'!D38+('Иран 2039'!C38+'Иран 2039'!F38+'Иран 2039'!G38)+(0.35*LN(1+0.6*'Ход 2039'!B44)*POWER(MAX(0,1-'Иран 2039'!I38/10),0.7))))</x:f>
        <x:v>8.3</x:v>
      </x:c>
      <x:c r="C38" s="3" t="n">
        <x:f>MIN(1,(MIN(1,'Иран 2039'!C38+'Иран 2039'!F38+(0.08*LN(1+0.5*'Ход 2039'!C44)*MAX(0,1-('Иран 2039'!C38+'Иран 2039'!F38)))))+(SUMIFS('Эффекты технологий'!$X$25:$X$240,'Эффекты технологий'!$C$25:$C$240,$A38,'Эффекты технологий'!$D$25:$D$240,"Прирост")-SUMIFS('Эффекты технологий'!$W$25:$W$240,'Эффекты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8.3</x:v>
      </x:c>
      <x:c r="J38" s="10" t="n">
        <x:f>SUMIFS('Эффекты технологий'!$X$25:$X$240,'Эффекты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2039'!B39+'Иран 2039'!D39+('Иран 2039'!C39+'Иран 2039'!F39+'Иран 2039'!G39)+(0.35*LN(1+0.6*'Ход 2039'!B45)*POWER(MAX(0,1-'Иран 2039'!I39/10),0.7))))</x:f>
        <x:v>8.799999999999999</x:v>
      </x:c>
      <x:c r="C39" s="3" t="n">
        <x:f>MIN(1,(MIN(1,'Иран 2039'!C39+'Иран 2039'!F39+(0.08*LN(1+0.5*'Ход 2039'!C45)*MAX(0,1-('Иран 2039'!C39+'Иран 2039'!F39)))))+(SUMIFS('Эффекты технологий'!$X$25:$X$240,'Эффекты технологий'!$C$25:$C$240,$A39,'Эффекты технологий'!$D$25:$D$240,"Прирост")-SUMIFS('Эффекты технологий'!$W$25:$W$240,'Эффекты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8.799999999999999</x:v>
      </x:c>
      <x:c r="J39" s="10" t="n">
        <x:f>SUMIFS('Эффекты технологий'!$X$25:$X$240,'Эффекты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2039'!B40+'Иран 2039'!D40+('Иран 2039'!C40+'Иран 2039'!F40+'Иран 2039'!G40)+(0.35*LN(1+0.6*'Ход 2039'!B46)*POWER(MAX(0,1-'Иран 2039'!I40/10),0.7))))</x:f>
        <x:v>6.600000000000005</x:v>
      </x:c>
      <x:c r="C40" s="3" t="n">
        <x:f>MIN(1,(MIN(1,'Иран 2039'!C40+'Иран 2039'!F40+(0.08*LN(1+0.5*'Ход 2039'!C46)*MAX(0,1-('Иран 2039'!C40+'Иран 2039'!F40)))))+(SUMIFS('Эффекты технологий'!$X$25:$X$240,'Эффекты технологий'!$C$25:$C$240,$A40,'Эффекты технологий'!$D$25:$D$240,"Прирост")-SUMIFS('Эффекты технологий'!$W$25:$W$240,'Эффекты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6.600000000000005</x:v>
      </x:c>
      <x:c r="J40" s="10" t="n">
        <x:f>SUMIFS('Эффекты технологий'!$X$25:$X$240,'Эффекты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2039'!B41+'Иран 2039'!D41+('Иран 2039'!C41+'Иран 2039'!F41+'Иран 2039'!G41)+(0.35*LN(1+0.6*'Ход 2039'!B47)*POWER(MAX(0,1-'Иран 2039'!I41/10),0.7))))</x:f>
        <x:v>7.8000000000000025</x:v>
      </x:c>
      <x:c r="C41" s="3" t="n">
        <x:f>MIN(1,(MIN(1,'Иран 2039'!C41+'Иран 2039'!F41+(0.08*LN(1+0.5*'Ход 2039'!C47)*MAX(0,1-('Иран 2039'!C41+'Иран 2039'!F41)))))+(SUMIFS('Эффекты технологий'!$X$25:$X$240,'Эффекты технологий'!$C$25:$C$240,$A41,'Эффекты технологий'!$D$25:$D$240,"Прирост")-SUMIFS('Эффекты технологий'!$W$25:$W$240,'Эффекты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7.8000000000000025</x:v>
      </x:c>
      <x:c r="J41" s="10" t="n">
        <x:f>SUMIFS('Эффекты технологий'!$X$25:$X$240,'Эффекты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2039'!B42+'Иран 2039'!D42+('Иран 2039'!C42+'Иран 2039'!F42+'Иран 2039'!G42)+(0.35*LN(1+0.6*'Ход 2039'!B48)*POWER(MAX(0,1-'Иран 2039'!I42/10),0.7))))</x:f>
        <x:v>8.399999999999995</x:v>
      </x:c>
      <x:c r="C42" s="3" t="n">
        <x:f>MIN(1,(MIN(1,'Иран 2039'!C42+'Иран 2039'!F42+(0.08*LN(1+0.5*'Ход 2039'!C48)*MAX(0,1-('Иран 2039'!C42+'Иран 2039'!F42)))))+(SUMIFS('Эффекты технологий'!$X$25:$X$240,'Эффекты технологий'!$C$25:$C$240,$A42,'Эффекты технологий'!$D$25:$D$240,"Прирост")-SUMIFS('Эффекты технологий'!$W$25:$W$240,'Эффекты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8.399999999999995</x:v>
      </x:c>
      <x:c r="J42" s="10" t="n">
        <x:f>SUMIFS('Эффекты технологий'!$X$25:$X$240,'Эффекты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2039'!B44+'Иран 2039'!D44+('Иран 2039'!C44+'Иран 2039'!F44+'Иран 2039'!G44)+(0.35*LN(1+0.6*'Ход 2039'!B50)*POWER(MAX(0,1-'Иран 2039'!I44/10),0.7))))</x:f>
        <x:v>5.399999999999995</x:v>
      </x:c>
      <x:c r="C44" s="3" t="n">
        <x:f>MIN(1,(MIN(1,'Иран 2039'!C44+'Иран 2039'!F44+(0.08*LN(1+0.5*'Ход 2039'!C50)*MAX(0,1-('Иран 2039'!C44+'Иран 2039'!F44)))))+(SUMIFS('Эффекты технологий'!$X$25:$X$240,'Эффекты технологий'!$C$25:$C$240,$A44,'Эффекты технологий'!$D$25:$D$240,"Прирост")-SUMIFS('Эффекты технологий'!$W$25:$W$240,'Эффекты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5.399999999999995</x:v>
      </x:c>
      <x:c r="J44" s="10" t="n">
        <x:f>SUMIFS('Эффекты технологий'!$X$25:$X$240,'Эффекты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2039'!B45+'Иран 2039'!D45+('Иран 2039'!C45+'Иран 2039'!F45+'Иран 2039'!G45)+(0.35*LN(1+0.6*'Ход 2039'!B51)*POWER(MAX(0,1-'Иран 2039'!I45/10),0.7))))</x:f>
        <x:v>7.100000000000005</x:v>
      </x:c>
      <x:c r="C45" s="3" t="n">
        <x:f>MIN(1,(MIN(1,'Иран 2039'!C45+'Иран 2039'!F45+(0.08*LN(1+0.5*'Ход 2039'!C51)*MAX(0,1-('Иран 2039'!C45+'Иран 2039'!F45)))))+(SUMIFS('Эффекты технологий'!$X$25:$X$240,'Эффекты технологий'!$C$25:$C$240,$A45,'Эффекты технологий'!$D$25:$D$240,"Прирост")-SUMIFS('Эффекты технологий'!$W$25:$W$240,'Эффекты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7.100000000000005</x:v>
      </x:c>
      <x:c r="J45" s="10" t="n">
        <x:f>SUMIFS('Эффекты технологий'!$X$25:$X$240,'Эффекты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2039'!B46+'Иран 2039'!D46+('Иран 2039'!C46+'Иран 2039'!F46+'Иран 2039'!G46)+(0.35*LN(1+0.6*'Ход 2039'!B52)*POWER(MAX(0,1-'Иран 2039'!I46/10),0.7))))</x:f>
        <x:v>7.100000000000005</x:v>
      </x:c>
      <x:c r="C46" s="3" t="n">
        <x:f>MIN(1,(MIN(1,'Иран 2039'!C46+'Иран 2039'!F46+(0.08*LN(1+0.5*'Ход 2039'!C52)*MAX(0,1-('Иран 2039'!C46+'Иран 2039'!F46)))))+(SUMIFS('Эффекты технологий'!$X$25:$X$240,'Эффекты технологий'!$C$25:$C$240,$A46,'Эффекты технологий'!$D$25:$D$240,"Прирост")-SUMIFS('Эффекты технологий'!$W$25:$W$240,'Эффекты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7.100000000000005</x:v>
      </x:c>
      <x:c r="J46" s="10" t="n">
        <x:f>SUMIFS('Эффекты технологий'!$X$25:$X$240,'Эффекты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2039'!B47+'Иран 2039'!D47+('Иран 2039'!C47+'Иран 2039'!F47+'Иран 2039'!G47)+(0.35*LN(1+0.6*'Ход 2039'!B53)*POWER(MAX(0,1-'Иран 2039'!I47/10),0.7))))</x:f>
        <x:v>1.8000000000000016</x:v>
      </x:c>
      <x:c r="C47" s="3" t="n">
        <x:f>MIN(1,(MIN(1,'Иран 2039'!C47+'Иран 2039'!F47+(0.08*LN(1+0.5*'Ход 2039'!C53)*MAX(0,1-('Иран 2039'!C47+'Иран 2039'!F47)))))+(SUMIFS('Эффекты технологий'!$X$25:$X$240,'Эффекты технологий'!$C$25:$C$240,$A47,'Эффекты технологий'!$D$25:$D$240,"Прирост")-SUMIFS('Эффекты технологий'!$W$25:$W$240,'Эффекты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1.8000000000000016</x:v>
      </x:c>
      <x:c r="J47" s="10" t="n">
        <x:f>SUMIFS('Эффекты технологий'!$X$25:$X$240,'Эффекты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2039'!B48+'Иран 2039'!D48+('Иран 2039'!C48+'Иран 2039'!F48+'Иран 2039'!G48)+(0.35*LN(1+0.6*'Ход 2039'!B54)*POWER(MAX(0,1-'Иран 2039'!I48/10),0.7))))</x:f>
        <x:v>6.899999999999995</x:v>
      </x:c>
      <x:c r="C48" s="3" t="n">
        <x:f>MIN(1,(MIN(1,'Иран 2039'!C48+'Иран 2039'!F48+(0.08*LN(1+0.5*'Ход 2039'!C54)*MAX(0,1-('Иран 2039'!C48+'Иран 2039'!F48)))))+(SUMIFS('Эффекты технологий'!$X$25:$X$240,'Эффекты технологий'!$C$25:$C$240,$A48,'Эффекты технологий'!$D$25:$D$240,"Прирост")-SUMIFS('Эффекты технологий'!$W$25:$W$240,'Эффекты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6.899999999999995</x:v>
      </x:c>
      <x:c r="J48" s="10" t="n">
        <x:f>SUMIFS('Эффекты технологий'!$X$25:$X$240,'Эффекты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2039'!B49+'Иран 2039'!D49+('Иран 2039'!C49+'Иран 2039'!F49+'Иран 2039'!G49)+(0.35*LN(1+0.6*'Ход 2039'!B55)*POWER(MAX(0,1-'Иран 2039'!I49/10),0.7))))</x:f>
        <x:v>10</x:v>
      </x:c>
      <x:c r="C49" s="3" t="n">
        <x:f>MIN(1,(MIN(1,'Иран 2039'!C49+'Иран 2039'!F49+(0.08*LN(1+0.5*'Ход 2039'!C55)*MAX(0,1-('Иран 2039'!C49+'Иран 2039'!F49)))))+(SUMIFS('Эффекты технологий'!$X$25:$X$240,'Эффекты технологий'!$C$25:$C$240,$A49,'Эффекты технологий'!$D$25:$D$240,"Прирост")-SUMIFS('Эффекты технологий'!$W$25:$W$240,'Эффекты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10</x:v>
      </x:c>
      <x:c r="J49" s="10" t="n">
        <x:f>SUMIFS('Эффекты технологий'!$X$25:$X$240,'Эффекты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2039'!B50+'Иран 2039'!D50+('Иран 2039'!C50+'Иран 2039'!F50+'Иран 2039'!G50)+(0.35*LN(1+0.6*'Ход 2039'!B56)*POWER(MAX(0,1-'Иран 2039'!I50/10),0.7))))</x:f>
        <x:v>9.70000000000001</x:v>
      </x:c>
      <x:c r="C50" s="3" t="n">
        <x:f>MIN(1,(MIN(1,'Иран 2039'!C50+'Иран 2039'!F50+(0.08*LN(1+0.5*'Ход 2039'!C56)*MAX(0,1-('Иран 2039'!C50+'Иран 2039'!F50)))))+(SUMIFS('Эффекты технологий'!$X$25:$X$240,'Эффекты технологий'!$C$25:$C$240,$A50,'Эффекты технологий'!$D$25:$D$240,"Прирост")-SUMIFS('Эффекты технологий'!$W$25:$W$240,'Эффекты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9.70000000000001</x:v>
      </x:c>
      <x:c r="J50" s="10" t="n">
        <x:f>SUMIFS('Эффекты технологий'!$X$25:$X$240,'Эффекты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2039'!B51+'Иран 2039'!D51+('Иран 2039'!C51+'Иран 2039'!F51+'Иран 2039'!G51)+(0.35*LN(1+0.6*'Ход 2039'!B57)*POWER(MAX(0,1-'Иран 2039'!I51/10),0.7))))</x:f>
        <x:v>8.799999999999999</x:v>
      </x:c>
      <x:c r="C51" s="3" t="n">
        <x:f>MIN(1,(MIN(1,'Иран 2039'!C51+'Иран 2039'!F51+(0.08*LN(1+0.5*'Ход 2039'!C57)*MAX(0,1-('Иран 2039'!C51+'Иран 2039'!F51)))))+(SUMIFS('Эффекты технологий'!$X$25:$X$240,'Эффекты технологий'!$C$25:$C$240,$A51,'Эффекты технологий'!$D$25:$D$240,"Прирост")-SUMIFS('Эффекты технологий'!$W$25:$W$240,'Эффекты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8.799999999999999</x:v>
      </x:c>
      <x:c r="J51" s="10" t="n">
        <x:f>SUMIFS('Эффекты технологий'!$X$25:$X$240,'Эффекты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2039'!B53+'Иран 2039'!D53+('Иран 2039'!C53+'Иран 2039'!F53+'Иран 2039'!G53)+(0.35*LN(1+0.6*'Ход 2039'!B59)*POWER(MAX(0,1-'Иран 2039'!I53/10),0.7))))</x:f>
        <x:v>8.3</x:v>
      </x:c>
      <x:c r="C53" s="3" t="n">
        <x:f>MIN(1,(MIN(1,'Иран 2039'!C53+'Иран 2039'!F53+(0.08*LN(1+0.5*'Ход 2039'!C59)*MAX(0,1-('Иран 2039'!C53+'Иран 2039'!F53)))))+(SUMIFS('Эффекты технологий'!$X$25:$X$240,'Эффекты технологий'!$C$25:$C$240,$A53,'Эффекты технологий'!$D$25:$D$240,"Прирост")-SUMIFS('Эффекты технологий'!$W$25:$W$240,'Эффекты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8.3</x:v>
      </x:c>
      <x:c r="J53" s="10" t="n">
        <x:f>SUMIFS('Эффекты технологий'!$X$25:$X$240,'Эффекты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2039'!B54+'Иран 2039'!D54+('Иран 2039'!C54+'Иран 2039'!F54+'Иран 2039'!G54)+(0.35*LN(1+0.6*'Ход 2039'!B60)*POWER(MAX(0,1-'Иран 2039'!I54/10),0.7))))</x:f>
        <x:v>7.8000000000000025</x:v>
      </x:c>
      <x:c r="C54" s="3" t="n">
        <x:f>MIN(1,(MIN(1,'Иран 2039'!C54+'Иран 2039'!F54+(0.08*LN(1+0.5*'Ход 2039'!C60)*MAX(0,1-('Иран 2039'!C54+'Иран 2039'!F54)))))+(SUMIFS('Эффекты технологий'!$X$25:$X$240,'Эффекты технологий'!$C$25:$C$240,$A54,'Эффекты технологий'!$D$25:$D$240,"Прирост")-SUMIFS('Эффекты технологий'!$W$25:$W$240,'Эффекты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7.8000000000000025</x:v>
      </x:c>
      <x:c r="J54" s="10" t="n">
        <x:f>SUMIFS('Эффекты технологий'!$X$25:$X$240,'Эффекты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2039'!B55+'Иран 2039'!D55+('Иран 2039'!C55+'Иран 2039'!F55+'Иран 2039'!G55)+(0.35*LN(1+0.6*'Ход 2039'!B61)*POWER(MAX(0,1-'Иран 2039'!I55/10),0.7))))</x:f>
        <x:v>7.600000000000005</x:v>
      </x:c>
      <x:c r="C55" s="3" t="n">
        <x:f>MIN(1,(MIN(1,'Иран 2039'!C55+'Иран 2039'!F55+(0.08*LN(1+0.5*'Ход 2039'!C61)*MAX(0,1-('Иран 2039'!C55+'Иран 2039'!F55)))))+(SUMIFS('Эффекты технологий'!$X$25:$X$240,'Эффекты технологий'!$C$25:$C$240,$A55,'Эффекты технологий'!$D$25:$D$240,"Прирост")-SUMIFS('Эффекты технологий'!$W$25:$W$240,'Эффекты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7.600000000000005</x:v>
      </x:c>
      <x:c r="J55" s="10" t="n">
        <x:f>SUMIFS('Эффекты технологий'!$X$25:$X$240,'Эффекты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362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'Иран 2040'!U6</x:f>
        <x:v>95.06324582415559</x:v>
      </x:c>
      <x:c r="C6" s="3"/>
      <x:c r="D6" s="3"/>
      <x:c r="E6" s="3" t="s">
        <x:v>321</x:v>
      </x:c>
      <x:c r="F6" s="3" t="n">
        <x:f>'Иран 2040'!K6</x:f>
        <x:v>85.96546129852193</x:v>
      </x:c>
      <x:c r="G6" s="3"/>
      <x:c r="H6" s="3"/>
      <x:c r="I6" s="3" t="s">
        <x:v>321</x:v>
      </x:c>
      <x:c r="J6" s="3" t="n">
        <x:f>'Иран 2040'!N6</x:f>
        <x:v>97.43466562668446</x:v>
      </x:c>
      <x:c r="K6" s="3"/>
      <x:c r="L6" s="3"/>
      <x:c r="M6" s="3" t="s">
        <x:v>321</x:v>
      </x:c>
      <x:c r="N6" s="3" t="n">
        <x:f>'Иран 2040'!Q6</x:f>
        <x:v>69.10101114811565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95.06324582415559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85.96546129852193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97.43466562668446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69.10101114811565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 t="s">
        <x:v>363</x:v>
      </x:c>
      <x:c r="S12" s="3" t="s">
        <x:v>364</x:v>
      </x:c>
      <x:c r="T12" s="3" t="s">
        <x:v>365</x:v>
      </x:c>
      <x:c r="U12" s="3" t="s">
        <x:v>366</x:v>
      </x:c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'Иран 2040'!V11</x:f>
        <x:v>3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>
        <x:v>8.2238012692185156E-2</x:v>
      </x:c>
      <x:c r="S13" s="8" t="n">
        <x:f t="shared" ref="S13:S28" si="0">MAX(0,1-R13-T13)</x:f>
        <x:v>0.8</x:v>
      </x:c>
      <x:c r="T13" s="8">
        <x:v>0.11776198730781486</x:v>
      </x:c>
      <x:c r="U13" s="3" t="n">
        <x:f t="shared" ref="U13:U28" ca="1" si="1">RANDBETWEEN(0,100)</x:f>
        <x:v>61</x:v>
      </x:c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'Иран 2040'!V12</x:f>
        <x:v>-2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>
        <x:v>0.14049253618384597</x:v>
      </x:c>
      <x:c r="S14" s="8" t="n">
        <x:f t="shared" si="0">MAX(0,1-R14-T14)</x:f>
        <x:v>0.8</x:v>
      </x:c>
      <x:c r="T14" s="8">
        <x:v>5.9507463816154037E-2</x:v>
      </x:c>
      <x:c r="U14" s="3" t="n">
        <x:f t="shared" ca="1" si="1">RANDBETWEEN(0,100)</x:f>
        <x:v>3</x:v>
      </x:c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'Иран 2040'!V13</x:f>
        <x:v>3.2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>
        <x:v>0.1387547572345661</x:v>
      </x:c>
      <x:c r="S15" s="8" t="n">
        <x:f t="shared" si="0">MAX(0,1-R15-T15)</x:f>
        <x:v>0.8</x:v>
      </x:c>
      <x:c r="T15" s="8">
        <x:v>6.1245242765433902E-2</x:v>
      </x:c>
      <x:c r="U15" s="3" t="n">
        <x:f t="shared" ca="1" si="1">RANDBETWEEN(0,100)</x:f>
        <x:v>33</x:v>
      </x:c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'Иран 2040'!V14</x:f>
        <x:v>1.8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>
        <x:v>7.7691615925845281E-2</x:v>
      </x:c>
      <x:c r="S16" s="8" t="n">
        <x:f t="shared" si="0">MAX(0,1-R16-T16)</x:f>
        <x:v>0.8</x:v>
      </x:c>
      <x:c r="T16" s="8">
        <x:v>0.12230838407415473</x:v>
      </x:c>
      <x:c r="U16" s="3" t="n">
        <x:f t="shared" ca="1" si="1">RANDBETWEEN(0,100)</x:f>
        <x:v>88</x:v>
      </x:c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'Иран 2040'!V15</x:f>
        <x:v>-1.4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>
        <x:v>8.3705631783712708E-2</x:v>
      </x:c>
      <x:c r="S17" s="8" t="n">
        <x:f t="shared" si="0">MAX(0,1-R17-T17)</x:f>
        <x:v>0.8</x:v>
      </x:c>
      <x:c r="T17" s="8">
        <x:v>0.1162943682162873</x:v>
      </x:c>
      <x:c r="U17" s="3" t="n">
        <x:f t="shared" ca="1" si="1">RANDBETWEEN(0,100)</x:f>
        <x:v>87</x:v>
      </x:c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'Иран 2040'!V16</x:f>
        <x:v>-1.1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>
        <x:v>7.9229897809875022E-2</x:v>
      </x:c>
      <x:c r="S18" s="8" t="n">
        <x:f t="shared" si="0">MAX(0,1-R18-T18)</x:f>
        <x:v>0.8</x:v>
      </x:c>
      <x:c r="T18" s="8">
        <x:v>0.12077010219012499</x:v>
      </x:c>
      <x:c r="U18" s="3" t="n">
        <x:f t="shared" ca="1" si="1">RANDBETWEEN(0,100)</x:f>
        <x:v>20</x:v>
      </x:c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'Иран 2040'!V17</x:f>
        <x:v>-1.1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>
        <x:v>8.5147256811077682E-2</x:v>
      </x:c>
      <x:c r="S19" s="8" t="n">
        <x:f t="shared" si="0">MAX(0,1-R19-T19)</x:f>
        <x:v>0.7999999999999999</x:v>
      </x:c>
      <x:c r="T19" s="8">
        <x:v>0.11485274318892233</x:v>
      </x:c>
      <x:c r="U19" s="3" t="n">
        <x:f t="shared" ca="1" si="1">RANDBETWEEN(0,100)</x:f>
        <x:v>53</x:v>
      </x:c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'Иран 2040'!V18</x:f>
        <x:v>0.4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>
        <x:v>8.656139963553057E-2</x:v>
      </x:c>
      <x:c r="S20" s="8" t="n">
        <x:f t="shared" si="0">MAX(0,1-R20-T20)</x:f>
        <x:v>0.8</x:v>
      </x:c>
      <x:c r="T20" s="8">
        <x:v>0.11343860036446944</x:v>
      </x:c>
      <x:c r="U20" s="3" t="n">
        <x:f t="shared" ca="1" si="1">RANDBETWEEN(0,100)</x:f>
        <x:v>30</x:v>
      </x:c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Южная Корея</x:v>
      </x:c>
      <x:c r="M21" s="3" t="n">
        <x:f>'Иран 2040'!V19</x:f>
        <x:v>0.2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>
        <x:v>0.11485274318892233</x:v>
      </x:c>
      <x:c r="S21" s="8" t="n">
        <x:f t="shared" si="0">MAX(0,1-R21-T21)</x:f>
        <x:v>0.7999999999999999</x:v>
      </x:c>
      <x:c r="T21" s="8">
        <x:v>8.5147256811077682E-2</x:v>
      </x:c>
      <x:c r="U21" s="3" t="n">
        <x:f t="shared" ca="1" si="1">RANDBETWEEN(0,100)</x:f>
        <x:v>74</x:v>
      </x:c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Турция</x:v>
      </x:c>
      <x:c r="M22" s="3" t="n">
        <x:f>'Иран 2040'!V20</x:f>
        <x:v>1.3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>
        <x:v>0.11343860036446944</x:v>
      </x:c>
      <x:c r="S22" s="8" t="n">
        <x:f t="shared" si="0">MAX(0,1-R22-T22)</x:f>
        <x:v>0.8</x:v>
      </x:c>
      <x:c r="T22" s="8">
        <x:v>8.656139963553057E-2</x:v>
      </x:c>
      <x:c r="U22" s="3" t="n">
        <x:f t="shared" ca="1" si="1">RANDBETWEEN(0,100)</x:f>
        <x:v>19</x:v>
      </x:c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Саудовская Аравия</x:v>
      </x:c>
      <x:c r="M23" s="3" t="n">
        <x:f>'Иран 2040'!V21</x:f>
        <x:v>1.1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>
        <x:v>0.13703242796889645</x:v>
      </x:c>
      <x:c r="S23" s="8" t="n">
        <x:f t="shared" si="0">MAX(0,1-R23-T23)</x:f>
        <x:v>0.7999999999999999</x:v>
      </x:c>
      <x:c r="T23" s="8">
        <x:v>6.2967572031103564E-2</x:v>
      </x:c>
      <x:c r="U23" s="3" t="n">
        <x:f t="shared" ca="1" si="1">RANDBETWEEN(0,100)</x:f>
        <x:v>11</x:v>
      </x:c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'Иран 2040'!V22</x:f>
        <x:v>-4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>
        <x:v>9.8568916494400138E-2</x:v>
      </x:c>
      <x:c r="S24" s="8" t="n">
        <x:f t="shared" si="0">MAX(0,1-R24-T24)</x:f>
        <x:v>0.8</x:v>
      </x:c>
      <x:c r="T24" s="8">
        <x:v>0.10143108350559987</x:v>
      </x:c>
      <x:c r="U24" s="3" t="n">
        <x:f t="shared" ca="1" si="1">RANDBETWEEN(0,100)</x:f>
        <x:v>91</x:v>
      </x:c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технологий'!X$16</x:f>
        <x:v>0</x:v>
      </x:c>
      <x:c r="H25" s="11" t="n">
        <x:f>'Эффекты технологий'!X$17</x:f>
        <x:v>0</x:v>
      </x:c>
      <x:c r="I25" s="11" t="n">
        <x:f>'Эффекты технологий'!X$18</x:f>
        <x:v>0</x:v>
      </x:c>
      <x:c r="J25" s="12"/>
      <x:c r="K25" s="3"/>
      <x:c r="L25" s="3" t="str">
        <x:v>Бразилия</x:v>
      </x:c>
      <x:c r="M25" s="3" t="n">
        <x:f>'Иран 2040'!V23</x:f>
        <x:v>2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>
        <x:v>0.12077010219012499</x:v>
      </x:c>
      <x:c r="S25" s="8" t="n">
        <x:f t="shared" si="0">MAX(0,1-R25-T25)</x:f>
        <x:v>0.8</x:v>
      </x:c>
      <x:c r="T25" s="8">
        <x:v>7.9229897809875022E-2</x:v>
      </x:c>
      <x:c r="U25" s="3" t="n">
        <x:f t="shared" ca="1" si="1">RANDBETWEEN(0,100)</x:f>
        <x:v>67</x:v>
      </x:c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'Иран 2040'!V24</x:f>
        <x:v>1.2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>
        <x:v>0.12230838407415473</x:v>
      </x:c>
      <x:c r="S26" s="8" t="n">
        <x:f t="shared" si="0">MAX(0,1-R26-T26)</x:f>
        <x:v>0.7999999999999999</x:v>
      </x:c>
      <x:c r="T26" s="8">
        <x:v>7.7691615925845281E-2</x:v>
      </x:c>
      <x:c r="U26" s="3" t="n">
        <x:f t="shared" ca="1" si="1">RANDBETWEEN(0,100)</x:f>
        <x:v>83</x:v>
      </x:c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'Иран 2040'!V25</x:f>
        <x:v>1.6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>
        <x:v>0.12230838407415473</x:v>
      </x:c>
      <x:c r="S27" s="8" t="n">
        <x:f t="shared" si="0">MAX(0,1-R27-T27)</x:f>
        <x:v>0.7999999999999999</x:v>
      </x:c>
      <x:c r="T27" s="8">
        <x:v>7.7691615925845281E-2</x:v>
      </x:c>
      <x:c r="U27" s="3" t="n">
        <x:f t="shared" ca="1" si="1">RANDBETWEEN(0,100)</x:f>
        <x:v>38</x:v>
      </x:c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'Иран 2040'!V26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>
        <x:v>0.1</x:v>
      </x:c>
      <x:c r="S28" s="8" t="n">
        <x:f t="shared" si="0">MAX(0,1-R28-T28)</x:f>
        <x:v>0.8</x:v>
      </x:c>
      <x:c r="T28" s="8">
        <x:v>0.1</x:v>
      </x:c>
      <x:c r="U28" s="3" t="n">
        <x:f t="shared" ca="1" si="1">RANDBETWEEN(0,100)</x:f>
        <x:v>28</x:v>
      </x:c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IF(G29="","",VLOOKUP(G29,Технологии!$A$11:$BF$50,58,FALSE))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IF(G30="","",VLOOKUP(G30,Технологии!$A$11:$BF$50,58,FALSE))</x:f>
      </x:c>
      <x:c r="L30" s="3"/>
      <x:c r="M30" s="3"/>
      <x:c r="N30" s="12" t="s">
        <x:v>340</x:v>
      </x:c>
      <x:c r="O30" s="11" t="n">
        <x:f>'Эффекты технологий'!X$13</x:f>
        <x:v>0</x:v>
      </x:c>
      <x:c r="P30" s="11" t="n">
        <x:f>'Эффекты технологий'!X$14</x:f>
        <x:v>0</x:v>
      </x:c>
      <x:c r="Q30" s="11" t="n">
        <x:f>'Эффекты технологий'!X$15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IF(G31="","",VLOOKUP(G31,Технологии!$A$11:$BF$50,58,FALSE))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IF(G32="","",VLOOKUP(G32,Технологии!$A$11:$BF$50,58,FALSE))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IF(G33="","",VLOOKUP(G33,Технологии!$A$11:$BF$50,58,FALSE))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IF(G34="","",VLOOKUP(G34,Технологии!$A$11:$BF$50,58,FALSE))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IF(G35="","",VLOOKUP(G35,Технологии!$A$11:$BF$50,58,FALSE))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IF(G36="","",VLOOKUP(G36,Технологии!$A$11:$BF$50,58,FALSE))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IF(G37="","",VLOOKUP(G37,Технологии!$A$11:$BF$50,58,FALSE))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IF(G38="","",VLOOKUP(G38,Технологии!$A$11:$BF$50,58,FALSE))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ИРАН — СОСТОЯНИЕ НА КОНЕЦ 2040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87.24045285035616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98.10374389253327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69.7889072558667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95.64982248949677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MAX(1,MIN(10,'Иран 2040'!B8+'Иран 2040'!D8+('Иран 2040'!C8+'Иран 2040'!F8+'Иран 2040'!G8)+(0.35*LN(1+0.6*('Ход 2040'!B14*(1+'Эффекты технологий'!X$12)))*POWER(MAX(0,1-'Иран 2040'!I8/10),0.7))))</x:f>
        <x:v>9.499999999999995</x:v>
      </x:c>
      <x:c r="C8" s="3" t="n">
        <x:f>MIN(1,(MIN(1,'Иран 2040'!C8+'Иран 2040'!F8+(0.08*LN(1+0.5*('Ход 2040'!C14*(1+'Эффекты технологий'!X$12)))*MAX(0,1-('Иран 2040'!C8+'Иран 2040'!F8)))))+(SUMIFS('Эффекты технологий'!$Y$25:$Y$240,'Эффекты технологий'!$C$25:$C$240,$A8,'Эффекты технологий'!$D$25:$D$240,"Прирост")-SUMIFS('Эффекты технологий'!$X$25:$X$240,'Эффекты технологий'!$C$25:$C$240,$A8,'Эффекты технологий'!$D$25:$D$240,"Прирост")))</x:f>
        <x:v>0.1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9.499999999999995</x:v>
      </x:c>
      <x:c r="J8" s="10" t="n">
        <x:f>SUMIFS('Эффекты технологий'!$Y$25:$Y$240,'Эффекты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MAX(1,MIN(10,'Иран 2040'!B9+'Иран 2040'!D9+('Иран 2040'!C9+'Иран 2040'!F9+'Иран 2040'!G9)+(0.35*LN(1+0.6*('Ход 2040'!B15*(1+'Эффекты технологий'!X$12)))*POWER(MAX(0,1-'Иран 2040'!I9/10),0.7))))</x:f>
        <x:v>8.499999999999995</x:v>
      </x:c>
      <x:c r="C9" s="3" t="n">
        <x:f>MIN(1,(MIN(1,'Иран 2040'!C9+'Иран 2040'!F9+(0.08*LN(1+0.5*('Ход 2040'!C15*(1+'Эффекты технологий'!X$12)))*MAX(0,1-('Иран 2040'!C9+'Иран 2040'!F9)))))+(SUMIFS('Эффекты технологий'!$Y$25:$Y$240,'Эффекты технологий'!$C$25:$C$240,$A9,'Эффекты технологий'!$D$25:$D$240,"Прирост")-SUMIFS('Эффекты технологий'!$X$25:$X$240,'Эффекты технологий'!$C$25:$C$240,$A9,'Эффекты технологий'!$D$25:$D$240,"Прирост")))</x:f>
        <x:v>0.1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8.499999999999995</x:v>
      </x:c>
      <x:c r="J9" s="10" t="n">
        <x:f>SUMIFS('Эффекты технологий'!$Y$25:$Y$240,'Эффекты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MAX(1,MIN(10,'Иран 2040'!B10+'Иран 2040'!D10+('Иран 2040'!C10+'Иран 2040'!F10+'Иран 2040'!G10)+(0.35*LN(1+0.6*('Ход 2040'!B16*(1+'Эффекты технологий'!X$12)))*POWER(MAX(0,1-'Иран 2040'!I10/10),0.7))))</x:f>
        <x:v>10</x:v>
      </x:c>
      <x:c r="C10" s="3" t="n">
        <x:f>MIN(1,(MIN(1,'Иран 2040'!C10+'Иран 2040'!F10+(0.08*LN(1+0.5*('Ход 2040'!C16*(1+'Эффекты технологий'!X$12)))*MAX(0,1-('Иран 2040'!C10+'Иран 2040'!F10)))))+(SUMIFS('Эффекты технологий'!$Y$25:$Y$240,'Эффекты технологий'!$C$25:$C$240,$A10,'Эффекты технологий'!$D$25:$D$240,"Прирост")-SUMIFS('Эффекты технологий'!$X$25:$X$240,'Эффекты технологий'!$C$25:$C$240,$A10,'Эффекты технологий'!$D$25:$D$240,"Прирост")))</x:f>
        <x:v>0.05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10</x:v>
      </x:c>
      <x:c r="J10" s="10" t="n">
        <x:f>SUMIFS('Эффекты технологий'!$Y$25:$Y$240,'Эффекты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MAX(1,MIN(10,'Иран 2040'!B11+'Иран 2040'!D11+('Иран 2040'!C11+'Иран 2040'!F11+'Иран 2040'!G11)+(0.35*LN(1+0.6*('Ход 2040'!B17*(1+'Эффекты технологий'!X$12)))*POWER(MAX(0,1-'Иран 2040'!I11/10),0.7))))</x:f>
        <x:v>4.249999999999997</x:v>
      </x:c>
      <x:c r="C11" s="3" t="n">
        <x:f>MIN(1,(MIN(1,'Иран 2040'!C11+'Иран 2040'!F11+(0.08*LN(1+0.5*('Ход 2040'!C17*(1+'Эффекты технологий'!X$12)))*MAX(0,1-('Иран 2040'!C11+'Иран 2040'!F11)))))+(SUMIFS('Эффекты технологий'!$Y$25:$Y$240,'Эффекты технологий'!$C$25:$C$240,$A11,'Эффекты технологий'!$D$25:$D$240,"Прирост")-SUMIFS('Эффекты технологий'!$X$25:$X$240,'Эффекты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4.249999999999997</x:v>
      </x:c>
      <x:c r="J11" s="10" t="n">
        <x:f>SUMIFS('Эффекты технологий'!$Y$25:$Y$240,'Эффекты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MAX(1,MIN(10,'Иран 2040'!L11+'Иран 2040'!N11+('Иран 2040'!M11+'Иран 2040'!P11+'Иран 2040'!Q11)))</x:f>
        <x:v>9.25</x:v>
      </x:c>
      <x:c r="M11" s="3" t="n">
        <x:f>MIN(1,(MIN(1,'Иран 2040'!M11+'Иран 2040'!P11+(0.1*LN(1+0.5*('Ход 2040'!H13*(1+'Эффекты технологий'!X$10)))*POWER(MAX(0,1-'Иран 2040'!S11/10),0.8))))+(SUMIFS('Эффекты технологий'!$Y$25:$Y$240,'Эффекты технологий'!$C$25:$C$240,$K11,'Эффекты технологий'!$D$25:$D$240,"Прирост")-SUMIFS('Эффекты технологий'!$X$25:$X$240,'Эффекты технологий'!$C$25:$C$240,$K11,'Эффекты технологий'!$D$25:$D$240,"Прирост")))</x:f>
        <x:v>0.25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9.25</x:v>
      </x:c>
      <x:c r="T11" s="10" t="n">
        <x:f>SUMIFS('Эффекты технологий'!$Y$25:$Y$240,'Эффекты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'Иран 2040'!V11</x:f>
        <x:v>3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3" t="str">
        <x:v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x:v>
      </x:c>
    </x:row>
    <x:row r="12" ht="27.600000381469727">
      <x:c r="A12" s="3" t="s">
        <x:v>268</x:v>
      </x:c>
      <x:c r="B12" s="3" t="n">
        <x:f>MAX(1,MIN(10,'Иран 2040'!B12+'Иран 2040'!D12+('Иран 2040'!C12+'Иран 2040'!F12+'Иран 2040'!G12)+(0.35*LN(1+0.6*('Ход 2040'!B18*(1+'Эффекты технологий'!X$12)))*POWER(MAX(0,1-'Иран 2040'!I12/10),0.7))))</x:f>
        <x:v>8.75000000000001</x:v>
      </x:c>
      <x:c r="C12" s="3" t="n">
        <x:f>MIN(1,(MIN(1,'Иран 2040'!C12+'Иран 2040'!F12+(0.08*LN(1+0.5*('Ход 2040'!C18*(1+'Эффекты технологий'!X$12)))*MAX(0,1-('Иран 2040'!C12+'Иран 2040'!F12)))))+(SUMIFS('Эффекты технологий'!$Y$25:$Y$240,'Эффекты технологий'!$C$25:$C$240,$A12,'Эффекты технологий'!$D$25:$D$240,"Прирост")-SUMIFS('Эффекты технологий'!$X$25:$X$240,'Эффекты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8.75000000000001</x:v>
      </x:c>
      <x:c r="J12" s="10" t="n">
        <x:f>SUMIFS('Эффекты технологий'!$Y$25:$Y$240,'Эффекты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MAX(1,MIN(10,'Иран 2040'!L12+'Иран 2040'!N12+('Иран 2040'!M12+'Иран 2040'!P12+'Иран 2040'!Q12)))</x:f>
        <x:v>9.25</x:v>
      </x:c>
      <x:c r="M12" s="3" t="n">
        <x:f>MIN(1,(MIN(1,'Иран 2040'!M12+'Иран 2040'!P12+(0.1*LN(1+0.5*('Ход 2040'!H14*(1+'Эффекты технологий'!X$10)))*POWER(MAX(0,1-'Иран 2040'!S12/10),0.8))))+(SUMIFS('Эффекты технологий'!$Y$25:$Y$240,'Эффекты технологий'!$C$25:$C$240,$K12,'Эффекты технологий'!$D$25:$D$240,"Прирост")-SUMIFS('Эффекты технологий'!$X$25:$X$240,'Эффекты технологий'!$C$25:$C$240,$K12,'Эффекты технологий'!$D$25:$D$240,"Прирост")))</x:f>
        <x:v>0.25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9.25</x:v>
      </x:c>
      <x:c r="T12" s="10" t="n">
        <x:f>SUMIFS('Эффекты технологий'!$Y$25:$Y$240,'Эффекты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'Иран 2040'!V12</x:f>
        <x:v>-2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Конфронтация</x:v>
      </x:c>
      <x:c r="X12" s="3" t="str">
        <x:v>Глубокая политическая, санкционная и военно-стратегическая конфронтация при отсутствии нормальных дипломатических отношений.</x:v>
      </x:c>
    </x:row>
    <x:row r="13" ht="27.600000381469727">
      <x:c r="A13" s="3" t="s">
        <x:v>270</x:v>
      </x:c>
      <x:c r="B13" s="3" t="n">
        <x:f>MAX(1,MIN(10,'Иран 2040'!B13+'Иран 2040'!D13+('Иран 2040'!C13+'Иран 2040'!F13+'Иран 2040'!G13)+(0.35*LN(1+0.6*('Ход 2040'!B19*(1+'Эффекты технологий'!X$12)))*POWER(MAX(0,1-'Иран 2040'!I13/10),0.7))))</x:f>
        <x:v>5.000000000000003</x:v>
      </x:c>
      <x:c r="C13" s="3" t="n">
        <x:f>MIN(1,(MIN(1,'Иран 2040'!C13+'Иран 2040'!F13+(0.08*LN(1+0.5*('Ход 2040'!C19*(1+'Эффекты технологий'!X$12)))*MAX(0,1-('Иран 2040'!C13+'Иран 2040'!F13)))))+(SUMIFS('Эффекты технологий'!$Y$25:$Y$240,'Эффекты технологий'!$C$25:$C$240,$A13,'Эффекты технологий'!$D$25:$D$240,"Прирост")-SUMIFS('Эффекты технологий'!$X$25:$X$240,'Эффекты технологий'!$C$25:$C$240,$A13,'Эффекты технологий'!$D$25:$D$240,"Прирост")))</x:f>
        <x:v>0.2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5.000000000000003</x:v>
      </x:c>
      <x:c r="J13" s="10" t="n">
        <x:f>SUMIFS('Эффекты технологий'!$Y$25:$Y$240,'Эффекты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MAX(1,MIN(10,'Иран 2040'!L13+'Иран 2040'!N13+('Иран 2040'!M13+'Иран 2040'!P13+'Иран 2040'!Q13)))</x:f>
        <x:v>9.999999999999993</x:v>
      </x:c>
      <x:c r="M13" s="3" t="n">
        <x:f>MIN(1,(MIN(1,'Иран 2040'!M13+'Иран 2040'!P13+(0.1*LN(1+0.5*('Ход 2040'!H15*(1+'Эффекты технологий'!X$10)))*POWER(MAX(0,1-'Иран 2040'!S13/10),0.8))))+(SUMIFS('Эффекты технологий'!$Y$25:$Y$240,'Эффекты технологий'!$C$25:$C$240,$K13,'Эффекты технологий'!$D$25:$D$240,"Прирост")-SUMIFS('Эффекты технологий'!$X$25:$X$240,'Эффекты технологий'!$C$25:$C$240,$K13,'Эффекты технологий'!$D$25:$D$240,"Прирост")))</x:f>
        <x:v>0.2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9.999999999999993</x:v>
      </x:c>
      <x:c r="T13" s="10" t="n">
        <x:f>SUMIFS('Эффекты технологий'!$Y$25:$Y$240,'Эффекты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'Иран 2040'!V13</x:f>
        <x:v>3.2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Стратегический союз</x:v>
      </x:c>
      <x:c r="X13" s="3" t="str">
        <x:v>Ключевое стратегическое и экономическое партнёрство, энергетика, инвестиции и политическая координация.</x:v>
      </x:c>
    </x:row>
    <x:row r="14">
      <x:c r="A14" s="3" t="s">
        <x:v>272</x:v>
      </x:c>
      <x:c r="B14" s="3" t="n">
        <x:f>MAX(1,MIN(10,'Иран 2040'!B14+'Иран 2040'!D14+('Иран 2040'!C14+'Иран 2040'!F14+'Иран 2040'!G14)+(0.35*LN(1+0.6*('Ход 2040'!B20*(1+'Эффекты технологий'!X$12)))*POWER(MAX(0,1-'Иран 2040'!I14/10),0.7))))</x:f>
        <x:v>6.000000000000003</x:v>
      </x:c>
      <x:c r="C14" s="3" t="n">
        <x:f>MIN(1,(MIN(1,'Иран 2040'!C14+'Иран 2040'!F14+(0.08*LN(1+0.5*('Ход 2040'!C20*(1+'Эффекты технологий'!X$12)))*MAX(0,1-('Иран 2040'!C14+'Иран 2040'!F14)))))+(SUMIFS('Эффекты технологий'!$Y$25:$Y$240,'Эффекты технологий'!$C$25:$C$240,$A14,'Эффекты технологий'!$D$25:$D$240,"Прирост")-SUMIFS('Эффекты технологий'!$X$25:$X$240,'Эффекты технологий'!$C$25:$C$240,$A14,'Эффекты технологий'!$D$25:$D$240,"Прирост")))</x:f>
        <x:v>0.2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6.000000000000003</x:v>
      </x:c>
      <x:c r="J14" s="10" t="n">
        <x:f>SUMIFS('Эффекты технологий'!$Y$25:$Y$240,'Эффекты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MAX(1,MIN(10,'Иран 2040'!L14+'Иран 2040'!N14+('Иран 2040'!M14+'Иран 2040'!P14+'Иран 2040'!Q14)))</x:f>
        <x:v>10</x:v>
      </x:c>
      <x:c r="M14" s="3" t="n">
        <x:f>MIN(1,(MIN(1,'Иран 2040'!M14+'Иран 2040'!P14+(0.1*LN(1+0.5*('Ход 2040'!H16*(1+'Эффекты технологий'!X$10)))*POWER(MAX(0,1-'Иран 2040'!S14/10),0.8))))+(SUMIFS('Эффекты технологий'!$Y$25:$Y$240,'Эффекты технологий'!$C$25:$C$240,$K14,'Эффекты технологий'!$D$25:$D$240,"Прирост")-SUMIFS('Эффекты технологий'!$X$25:$X$240,'Эффекты технологий'!$C$25:$C$240,$K14,'Эффекты технологий'!$D$25:$D$240,"Прирост")))</x:f>
        <x:v>0.25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10</x:v>
      </x:c>
      <x:c r="T14" s="10" t="n">
        <x:f>SUMIFS('Эффекты технологий'!$Y$25:$Y$240,'Эффекты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'Иран 2040'!V14</x:f>
        <x:v>1.8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Традиционно значимые торговые и инфраструктурные связи, включая Чабахар, при ограничениях из-за санкций и внешнего балансирования Индии.</x:v>
      </x:c>
    </x:row>
    <x:row r="15" ht="27.600000381469727">
      <x:c r="A15" s="3" t="s">
        <x:v>274</x:v>
      </x:c>
      <x:c r="B15" s="3" t="n">
        <x:f>MAX(1,MIN(10,'Иран 2040'!B15+'Иран 2040'!D15+('Иран 2040'!C15+'Иран 2040'!F15+'Иран 2040'!G15)+(0.35*LN(1+0.6*('Ход 2040'!B21*(1+'Эффекты технологий'!X$12)))*POWER(MAX(0,1-'Иран 2040'!I15/10),0.7))))</x:f>
        <x:v>8.25</x:v>
      </x:c>
      <x:c r="C15" s="3" t="n">
        <x:f>MIN(1,(MIN(1,'Иран 2040'!C15+'Иран 2040'!F15+(0.08*LN(1+0.5*('Ход 2040'!C21*(1+'Эффекты технологий'!X$12)))*MAX(0,1-('Иран 2040'!C15+'Иран 2040'!F15)))))+(SUMIFS('Эффекты технологий'!$Y$25:$Y$240,'Эффекты технологий'!$C$25:$C$240,$A15,'Эффекты технологий'!$D$25:$D$240,"Прирост")-SUMIFS('Эффекты технологий'!$X$25:$X$240,'Эффекты технологий'!$C$25:$C$240,$A15,'Эффекты технологий'!$D$25:$D$240,"Прирост")))</x:f>
        <x:v>0.25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8.25</x:v>
      </x:c>
      <x:c r="J15" s="10" t="n">
        <x:f>SUMIFS('Эффекты технологий'!$Y$25:$Y$240,'Эффекты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MAX(1,MIN(10,'Иран 2040'!L15+'Иран 2040'!N15+('Иран 2040'!M15+'Иран 2040'!P15+'Иран 2040'!Q15)))</x:f>
        <x:v>9.999999999999993</x:v>
      </x:c>
      <x:c r="M15" s="3" t="n">
        <x:f>MIN(1,(MIN(1,'Иран 2040'!M15+'Иран 2040'!P15+(0.1*LN(1+0.5*('Ход 2040'!H17*(1+'Эффекты технологий'!X$10)))*POWER(MAX(0,1-'Иран 2040'!S15/10),0.8))))+(SUMIFS('Эффекты технологий'!$Y$25:$Y$240,'Эффекты технологий'!$C$25:$C$240,$K15,'Эффекты технологий'!$D$25:$D$240,"Прирост")-SUMIFS('Эффекты технологий'!$X$25:$X$240,'Эффекты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9.999999999999993</x:v>
      </x:c>
      <x:c r="T15" s="10" t="n">
        <x:f>SUMIFS('Эффекты технологий'!$Y$25:$Y$240,'Эффекты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'Иран 2040'!V15</x:f>
        <x:v>-1.4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Конфронтация</x:v>
      </x:c>
      <x:c r="X15" s="3" t="str">
        <x:v>Напряжённые отношения из-за санкций, региональной политики и вопросов безопасности при сохранении дипломатических каналов.</x:v>
      </x:c>
    </x:row>
    <x:row r="16">
      <x:c r="A16" s="3" t="s">
        <x:v>276</x:v>
      </x:c>
      <x:c r="B16" s="3" t="n">
        <x:f>MAX(1,MIN(10,'Иран 2040'!B16+'Иран 2040'!D16+('Иран 2040'!C16+'Иран 2040'!F16+'Иран 2040'!G16)+(0.35*LN(1+0.6*('Ход 2040'!B22*(1+'Эффекты технологий'!X$12)))*POWER(MAX(0,1-'Иран 2040'!I16/10),0.7))))</x:f>
        <x:v>8.5</x:v>
      </x:c>
      <x:c r="C16" s="3" t="n">
        <x:f>MIN(1,(MIN(1,'Иран 2040'!C16+'Иран 2040'!F16+(0.08*LN(1+0.5*('Ход 2040'!C22*(1+'Эффекты технологий'!X$12)))*MAX(0,1-('Иран 2040'!C16+'Иран 2040'!F16)))))+(SUMIFS('Эффекты технологий'!$Y$25:$Y$240,'Эффекты технологий'!$C$25:$C$240,$A16,'Эффекты технологий'!$D$25:$D$240,"Прирост")-SUMIFS('Эффекты технологий'!$X$25:$X$240,'Эффекты технологий'!$C$25:$C$240,$A16,'Эффекты технологий'!$D$25:$D$240,"Прирост")))</x:f>
        <x:v>0.2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8.5</x:v>
      </x:c>
      <x:c r="J16" s="10" t="n">
        <x:f>SUMIFS('Эффекты технологий'!$Y$25:$Y$240,'Эффекты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MAX(1,MIN(10,'Иран 2040'!L16+'Иран 2040'!N16+('Иран 2040'!M16+'Иран 2040'!P16+'Иран 2040'!Q16)))</x:f>
        <x:v>9.25</x:v>
      </x:c>
      <x:c r="M16" s="3" t="n">
        <x:f>MIN(1,(MIN(1,'Иран 2040'!M16+'Иран 2040'!P16+(0.1*LN(1+0.5*('Ход 2040'!H18*(1+'Эффекты технологий'!X$10)))*POWER(MAX(0,1-'Иран 2040'!S16/10),0.8))))+(SUMIFS('Эффекты технологий'!$Y$25:$Y$240,'Эффекты технологий'!$C$25:$C$240,$K16,'Эффекты технологий'!$D$25:$D$240,"Прирост")-SUMIFS('Эффекты технологий'!$X$25:$X$240,'Эффекты технологий'!$C$25:$C$240,$K16,'Эффекты технологий'!$D$25:$D$240,"Прирост")))</x:f>
        <x:v>0.25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9.25</x:v>
      </x:c>
      <x:c r="T16" s="10" t="n">
        <x:f>SUMIFS('Эффекты технологий'!$Y$25:$Y$240,'Эффекты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'Иран 2040'!V16</x:f>
        <x:v>-1.1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Конфронтация</x:v>
      </x:c>
      <x:c r="X16" s="3" t="str">
        <x:v>Сильные разногласия по ядерной программе, санкциям и региональной политике при сохранении дипломатического диалога.</x:v>
      </x:c>
    </x:row>
    <x:row r="17" ht="27.600000381469727">
      <x:c r="A17" s="3" t="s">
        <x:v>278</x:v>
      </x:c>
      <x:c r="B17" s="3" t="n">
        <x:f>MAX(1,MIN(10,'Иран 2040'!B17+'Иран 2040'!D17+('Иран 2040'!C17+'Иран 2040'!F17+'Иран 2040'!G17)+(0.35*LN(1+0.6*('Ход 2040'!B23*(1+'Эффекты технологий'!X$12)))*POWER(MAX(0,1-'Иран 2040'!I17/10),0.7))))</x:f>
        <x:v>7.250000000000005</x:v>
      </x:c>
      <x:c r="C17" s="3" t="n">
        <x:f>MIN(1,(MIN(1,'Иран 2040'!C17+'Иран 2040'!F17+(0.08*LN(1+0.5*('Ход 2040'!C23*(1+'Эффекты технологий'!X$12)))*MAX(0,1-('Иран 2040'!C17+'Иран 2040'!F17)))))+(SUMIFS('Эффекты технологий'!$Y$25:$Y$240,'Эффекты технологий'!$C$25:$C$240,$A17,'Эффекты технологий'!$D$25:$D$240,"Прирост")-SUMIFS('Эффекты технологий'!$X$25:$X$240,'Эффекты технологий'!$C$25:$C$240,$A17,'Эффекты технологий'!$D$25:$D$240,"Прирост")))</x:f>
        <x:v>0.15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7.250000000000005</x:v>
      </x:c>
      <x:c r="J17" s="10" t="n">
        <x:f>SUMIFS('Эффекты технологий'!$Y$25:$Y$240,'Эффекты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MAX(1,MIN(10,'Иран 2040'!L17+'Иран 2040'!N17+('Иран 2040'!M17+'Иран 2040'!P17+'Иран 2040'!Q17)))</x:f>
        <x:v>10</x:v>
      </x:c>
      <x:c r="M17" s="3" t="n">
        <x:f>MIN(1,(MIN(1,'Иран 2040'!M17+'Иран 2040'!P17+(0.1*LN(1+0.5*('Ход 2040'!H19*(1+'Эффекты технологий'!X$10)))*POWER(MAX(0,1-'Иран 2040'!S17/10),0.8))))+(SUMIFS('Эффекты технологий'!$Y$25:$Y$240,'Эффекты технологий'!$C$25:$C$240,$K17,'Эффекты технологий'!$D$25:$D$240,"Прирост")-SUMIFS('Эффекты технологий'!$X$25:$X$240,'Эффекты технологий'!$C$25:$C$240,$K17,'Эффекты технологий'!$D$25:$D$240,"Прирост")))</x:f>
        <x:v>0.25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10</x:v>
      </x:c>
      <x:c r="T17" s="10" t="n">
        <x:f>SUMIFS('Эффекты технологий'!$Y$25:$Y$240,'Эффекты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'Иран 2040'!V17</x:f>
        <x:v>-1.1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Конфронтация</x:v>
      </x:c>
      <x:c r="X17" s="3" t="str">
        <x:v>Напряжённые отношения из-за санкций, ядерной программы и внешней политики при сохранении торгово-дипломатических каналов.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MAX(1,MIN(10,'Иран 2040'!L18+'Иран 2040'!N18+('Иран 2040'!M18+'Иран 2040'!P18+'Иран 2040'!Q18)))</x:f>
        <x:v>10</x:v>
      </x:c>
      <x:c r="M18" s="3" t="n">
        <x:f>MIN(1,(MIN(1,'Иран 2040'!M18+'Иран 2040'!P18+(0.1*LN(1+0.5*('Ход 2040'!H20*(1+'Эффекты технологий'!X$10)))*POWER(MAX(0,1-'Иран 2040'!S18/10),0.8))))+(SUMIFS('Эффекты технологий'!$Y$25:$Y$240,'Эффекты технологий'!$C$25:$C$240,$K18,'Эффекты технологий'!$D$25:$D$240,"Прирост")-SUMIFS('Эффекты технологий'!$X$25:$X$240,'Эффекты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10</x:v>
      </x:c>
      <x:c r="T18" s="10" t="n">
        <x:f>SUMIFS('Эффекты технологий'!$Y$25:$Y$240,'Эффекты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'Иран 2040'!V18</x:f>
        <x:v>0.4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Сотрудничество</x:v>
      </x:c>
      <x:c r="X18" s="3" t="str">
        <x:v>Осторожные, но сравнительно конструктивные отношения; Япония сохраняет дипломатические и ограниченные экономические каналы.</x:v>
      </x:c>
    </x:row>
    <x:row r="19" ht="27.600000381469727">
      <x:c r="A19" s="3" t="s">
        <x:v>282</x:v>
      </x:c>
      <x:c r="B19" s="3" t="n">
        <x:f>MAX(1,MIN(10,'Иран 2040'!B19+'Иран 2040'!D19+('Иран 2040'!C19+'Иран 2040'!F19+'Иран 2040'!G19)+(0.35*LN(1+0.6*'Ход 2040'!B25)*POWER(MAX(0,1-'Иран 2040'!I19/10),0.7))))</x:f>
        <x:v>8.5</x:v>
      </x:c>
      <x:c r="C19" s="3" t="n">
        <x:f>MIN(1,(MIN(1,'Иран 2040'!C19+'Иран 2040'!F19+(0.08*LN(1+0.5*'Ход 2040'!C25)*MAX(0,1-('Иран 2040'!C19+'Иран 2040'!F19)))))+(SUMIFS('Эффекты технологий'!$Y$25:$Y$240,'Эффекты технологий'!$C$25:$C$240,$A19,'Эффекты технологий'!$D$25:$D$240,"Прирост")-SUMIFS('Эффекты технологий'!$X$25:$X$240,'Эффекты технологий'!$C$25:$C$240,$A19,'Эффекты технологий'!$D$25:$D$240,"Прирост")))</x:f>
        <x:v>0.2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8.5</x:v>
      </x:c>
      <x:c r="J19" s="10" t="n">
        <x:f>SUMIFS('Эффекты технологий'!$Y$25:$Y$240,'Эффекты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Южная Корея</x:v>
      </x:c>
      <x:c r="V19" s="7" t="n">
        <x:f>'Иран 2040'!V19</x:f>
        <x:v>0.2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3" t="str">
        <x:v>Исторически заметные экономические связи серьёзно ограничены санкционной средой, но полного политического разрыва нет.</x:v>
      </x:c>
    </x:row>
    <x:row r="20" ht="27.600000381469727">
      <x:c r="A20" s="3" t="s">
        <x:v>283</x:v>
      </x:c>
      <x:c r="B20" s="3" t="n">
        <x:f>MAX(1,MIN(10,'Иран 2040'!B20+'Иран 2040'!D20+('Иран 2040'!C20+'Иран 2040'!F20+'Иран 2040'!G20)+(0.35*LN(1+0.6*'Ход 2040'!B26)*POWER(MAX(0,1-'Иран 2040'!I20/10),0.7))))</x:f>
        <x:v>9.25</x:v>
      </x:c>
      <x:c r="C20" s="3" t="n">
        <x:f>MIN(1,(MIN(1,'Иран 2040'!C20+'Иран 2040'!F20+(0.08*LN(1+0.5*'Ход 2040'!C26)*MAX(0,1-('Иран 2040'!C20+'Иран 2040'!F20)))))+(SUMIFS('Эффекты технологий'!$Y$25:$Y$240,'Эффекты технологий'!$C$25:$C$240,$A20,'Эффекты технологий'!$D$25:$D$240,"Прирост")-SUMIFS('Эффекты технологий'!$X$25:$X$240,'Эффекты технологий'!$C$25:$C$240,$A20,'Эффекты технологий'!$D$25:$D$240,"Прирост")))</x:f>
        <x:v>0.25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9.25</x:v>
      </x:c>
      <x:c r="J20" s="10" t="n">
        <x:f>SUMIFS('Эффекты технологий'!$Y$25:$Y$240,'Эффекты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Турция</x:v>
      </x:c>
      <x:c r="V20" s="7" t="n">
        <x:f>'Иран 2040'!V20</x:f>
        <x:v>1.3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3" t="str">
        <x:v>Соседские торговые и энергетические связи сочетаются с конкуренцией в Сирии, Ираке и на Южном Кавказе.</x:v>
      </x:c>
    </x:row>
    <x:row r="21" ht="27.600000381469727">
      <x:c r="A21" s="3" t="s">
        <x:v>284</x:v>
      </x:c>
      <x:c r="B21" s="3" t="n">
        <x:f>MAX(1,MIN(10,'Иран 2040'!B21+'Иран 2040'!D21+('Иран 2040'!C21+'Иран 2040'!F21+'Иран 2040'!G21)+(0.35*LN(1+0.6*'Ход 2040'!B27)*POWER(MAX(0,1-'Иран 2040'!I21/10),0.7))))</x:f>
        <x:v>8.000000000000002</x:v>
      </x:c>
      <x:c r="C21" s="3" t="n">
        <x:f>MIN(1,(MIN(1,'Иран 2040'!C21+'Иран 2040'!F21+(0.08*LN(1+0.5*'Ход 2040'!C27)*MAX(0,1-('Иран 2040'!C21+'Иран 2040'!F21)))))+(SUMIFS('Эффекты технологий'!$Y$25:$Y$240,'Эффекты технологий'!$C$25:$C$240,$A21,'Эффекты технологий'!$D$25:$D$240,"Прирост")-SUMIFS('Эффекты технологий'!$X$25:$X$240,'Эффекты технологий'!$C$25:$C$240,$A21,'Эффекты технологий'!$D$25:$D$240,"Прирост")))</x:f>
        <x:v>0.2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8.000000000000002</x:v>
      </x:c>
      <x:c r="J21" s="10" t="n">
        <x:f>SUMIFS('Эффекты технологий'!$Y$25:$Y$240,'Эффекты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Саудовская Аравия</x:v>
      </x:c>
      <x:c r="V21" s="7" t="n">
        <x:f>'Иран 2040'!V21</x:f>
        <x:v>1.1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3" t="str">
        <x:v>После восстановления дипломатических отношений продолжается осторожная нормализация, несмотря на многолетнее региональное соперничество.</x:v>
      </x:c>
    </x:row>
    <x:row r="22" ht="27.600000381469727">
      <x:c r="A22" s="3" t="s">
        <x:v>285</x:v>
      </x:c>
      <x:c r="B22" s="3" t="n">
        <x:f>MAX(1,MIN(10,'Иран 2040'!B22+'Иран 2040'!D22+('Иран 2040'!C22+'Иран 2040'!F22+'Иран 2040'!G22)+(0.35*LN(1+0.6*'Ход 2040'!B28)*POWER(MAX(0,1-'Иран 2040'!I22/10),0.7))))</x:f>
        <x:v>9.499999999999995</x:v>
      </x:c>
      <x:c r="C22" s="3" t="n">
        <x:f>MIN(1,(MIN(1,'Иран 2040'!C22+'Иран 2040'!F22+(0.08*LN(1+0.5*'Ход 2040'!C28)*MAX(0,1-('Иран 2040'!C22+'Иран 2040'!F22)))))+(SUMIFS('Эффекты технологий'!$Y$25:$Y$240,'Эффекты технологий'!$C$25:$C$240,$A22,'Эффекты технологий'!$D$25:$D$240,"Прирост")-SUMIFS('Эффекты технологий'!$X$25:$X$240,'Эффекты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9.499999999999995</x:v>
      </x:c>
      <x:c r="J22" s="10" t="n">
        <x:f>SUMIFS('Эффекты технологий'!$Y$25:$Y$240,'Эффекты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'Иран 2040'!V22</x:f>
        <x:v>-4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3" t="str">
        <x:v>Крайняя взаимная враждебность и прямое военно-политическое противостояние.</x:v>
      </x:c>
    </x:row>
    <x:row r="23" ht="27.600000381469727">
      <x:c r="A23" s="3" t="s">
        <x:v>286</x:v>
      </x:c>
      <x:c r="B23" s="3" t="n">
        <x:f>MAX(1,MIN(10,'Иран 2040'!B23+'Иран 2040'!D23+('Иран 2040'!C23+'Иран 2040'!F23+'Иран 2040'!G23)+(0.35*LN(1+0.6*'Ход 2040'!B29)*POWER(MAX(0,1-'Иран 2040'!I23/10),0.7))))</x:f>
        <x:v>9.499999999999996</x:v>
      </x:c>
      <x:c r="C23" s="3" t="n">
        <x:f>MIN(1,(MIN(1,'Иран 2040'!C23+'Иран 2040'!F23+(0.08*LN(1+0.5*'Ход 2040'!C29)*MAX(0,1-('Иран 2040'!C23+'Иран 2040'!F23)))))+(SUMIFS('Эффекты технологий'!$Y$25:$Y$240,'Эффекты технологий'!$C$25:$C$240,$A23,'Эффекты технологий'!$D$25:$D$240,"Прирост")-SUMIFS('Эффекты технологий'!$X$25:$X$240,'Эффекты технологий'!$C$25:$C$240,$A23,'Эффекты технологий'!$D$25:$D$240,"Прирост")))</x:f>
        <x:v>0.2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9.499999999999996</x:v>
      </x:c>
      <x:c r="J23" s="10" t="n">
        <x:f>SUMIFS('Эффекты технологий'!$Y$25:$Y$240,'Эффекты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'Иран 2040'!V23</x:f>
        <x:v>2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Дружественные политические и торговые связи, взаимодействие по линии Глобального Юга и многосторонних форматов.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'Иран 2040'!V24</x:f>
        <x:v>1.2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3" t="str">
        <x:v>Значимые торговые и финансовые связи при сохраняющихся региональных противоречиях и осторожном политическом взаимодействии.</x:v>
      </x:c>
    </x:row>
    <x:row r="25">
      <x:c r="A25" s="3" t="s">
        <x:v>288</x:v>
      </x:c>
      <x:c r="B25" s="3" t="n">
        <x:f>MAX(1,MIN(10,'Иран 2040'!B25+'Иран 2040'!D25+('Иран 2040'!C25+'Иран 2040'!F25+'Иран 2040'!G25)+(0.35*LN(1+0.6*'Ход 2040'!B31)*POWER(MAX(0,1-'Иран 2040'!I25/10),0.7))))</x:f>
        <x:v>8.499999999999995</x:v>
      </x:c>
      <x:c r="C25" s="3" t="n">
        <x:f>MIN(1,(MIN(1,'Иран 2040'!C25+'Иран 2040'!F25+(0.08*LN(1+0.5*'Ход 2040'!C31)*MAX(0,1-('Иран 2040'!C25+'Иран 2040'!F25)))))+(SUMIFS('Эффекты технологий'!$Y$25:$Y$240,'Эффекты технологий'!$C$25:$C$240,$A25,'Эффекты технологий'!$D$25:$D$240,"Прирост")-SUMIFS('Эффекты технологий'!$X$25:$X$240,'Эффекты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8.499999999999995</x:v>
      </x:c>
      <x:c r="J25" s="10" t="n">
        <x:f>SUMIFS('Эффекты технологий'!$Y$25:$Y$240,'Эффекты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'Иран 2040'!V25</x:f>
        <x:v>1.6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3" t="str">
        <x:v>Положительные политические, торговые и религиозно-культурные связи без тесного военно-политического союза.</x:v>
      </x:c>
    </x:row>
    <x:row r="26">
      <x:c r="A26" s="3" t="s">
        <x:v>289</x:v>
      </x:c>
      <x:c r="B26" s="3" t="n">
        <x:f>MAX(1,MIN(10,'Иран 2040'!B26+'Иран 2040'!D26+('Иран 2040'!C26+'Иран 2040'!F26+'Иран 2040'!G26)+(0.35*LN(1+0.6*'Ход 2040'!B32)*POWER(MAX(0,1-'Иран 2040'!I26/10),0.7))))</x:f>
        <x:v>8.5</x:v>
      </x:c>
      <x:c r="C26" s="3" t="n">
        <x:f>MIN(1,(MIN(1,'Иран 2040'!C26+'Иран 2040'!F26+(0.08*LN(1+0.5*'Ход 2040'!C32)*MAX(0,1-('Иран 2040'!C26+'Иран 2040'!F26)))))+(SUMIFS('Эффекты технологий'!$Y$25:$Y$240,'Эффекты технологий'!$C$25:$C$240,$A26,'Эффекты технологий'!$D$25:$D$240,"Прирост")-SUMIFS('Эффекты технологий'!$X$25:$X$240,'Эффекты технологий'!$C$25:$C$240,$A26,'Эффекты технологий'!$D$25:$D$240,"Прирост")))</x:f>
        <x:v>0.2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8.5</x:v>
      </x:c>
      <x:c r="J26" s="10" t="n">
        <x:f>SUMIFS('Эффекты технологий'!$Y$25:$Y$240,'Эффекты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'Иран 2040'!V26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MAX(1,MIN(10,'Иран 2040'!B27+'Иран 2040'!D27+('Иран 2040'!C27+'Иран 2040'!F27+'Иран 2040'!G27)+(0.35*LN(1+0.6*'Ход 2040'!B33)*POWER(MAX(0,1-'Иран 2040'!I27/10),0.7))))</x:f>
        <x:v>8.250000000000005</x:v>
      </x:c>
      <x:c r="C27" s="3" t="n">
        <x:f>MIN(1,(MIN(1,'Иран 2040'!C27+'Иран 2040'!F27+(0.08*LN(1+0.5*'Ход 2040'!C33)*MAX(0,1-('Иран 2040'!C27+'Иран 2040'!F27)))))+(SUMIFS('Эффекты технологий'!$Y$25:$Y$240,'Эффекты технологий'!$C$25:$C$240,$A27,'Эффекты технологий'!$D$25:$D$240,"Прирост")-SUMIFS('Эффекты технологий'!$X$25:$X$240,'Эффекты технологий'!$C$25:$C$240,$A27,'Эффекты технологий'!$D$25:$D$240,"Прирост")))</x:f>
        <x:v>0.15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8.250000000000005</x:v>
      </x:c>
      <x:c r="J27" s="10" t="n">
        <x:f>SUMIFS('Эффекты технологий'!$Y$25:$Y$240,'Эффекты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MAX(1,MIN(10,'Иран 2040'!B28+'Иран 2040'!D28+('Иран 2040'!C28+'Иран 2040'!F28+'Иран 2040'!G28)+(0.35*LN(1+0.6*'Ход 2040'!B34)*POWER(MAX(0,1-'Иран 2040'!I28/10),0.7))))</x:f>
        <x:v>8.5</x:v>
      </x:c>
      <x:c r="C28" s="3" t="n">
        <x:f>MIN(1,(MIN(1,'Иран 2040'!C28+'Иран 2040'!F28+(0.08*LN(1+0.5*'Ход 2040'!C34)*MAX(0,1-('Иран 2040'!C28+'Иран 2040'!F28)))))+(SUMIFS('Эффекты технологий'!$Y$25:$Y$240,'Эффекты технологий'!$C$25:$C$240,$A28,'Эффекты технологий'!$D$25:$D$240,"Прирост")-SUMIFS('Эффекты технологий'!$X$25:$X$240,'Эффекты технологий'!$C$25:$C$240,$A28,'Эффекты технологий'!$D$25:$D$240,"Прирост")))</x:f>
        <x:v>0.2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8.5</x:v>
      </x:c>
      <x:c r="J28" s="10" t="n">
        <x:f>SUMIFS('Эффекты технологий'!$Y$25:$Y$240,'Эффекты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MAX(1,MIN(10,'Иран 2040'!B29+'Иран 2040'!D29+('Иран 2040'!C29+'Иран 2040'!F29+'Иран 2040'!G29)+(0.35*LN(1+0.6*'Ход 2040'!B35)*POWER(MAX(0,1-'Иран 2040'!I29/10),0.7))))</x:f>
        <x:v>8.5</x:v>
      </x:c>
      <x:c r="C29" s="3" t="n">
        <x:f>MIN(1,(MIN(1,'Иран 2040'!C29+'Иран 2040'!F29+(0.08*LN(1+0.5*'Ход 2040'!C35)*MAX(0,1-('Иран 2040'!C29+'Иран 2040'!F29)))))+(SUMIFS('Эффекты технологий'!$Y$25:$Y$240,'Эффекты технологий'!$C$25:$C$240,$A29,'Эффекты технологий'!$D$25:$D$240,"Прирост")-SUMIFS('Эффекты технологий'!$X$25:$X$240,'Эффекты технологий'!$C$25:$C$240,$A29,'Эффекты технологий'!$D$25:$D$240,"Прирост")))</x:f>
        <x:v>0.2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8.5</x:v>
      </x:c>
      <x:c r="J29" s="10" t="n">
        <x:f>SUMIFS('Эффекты технологий'!$Y$25:$Y$240,'Эффекты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MAX(1,MIN(10,'Иран 2040'!B30+'Иран 2040'!D30+('Иран 2040'!C30+'Иран 2040'!F30+'Иран 2040'!G30)+(0.35*LN(1+0.6*'Ход 2040'!B36)*POWER(MAX(0,1-'Иран 2040'!I30/10),0.7))))</x:f>
        <x:v>7.750000000000005</x:v>
      </x:c>
      <x:c r="C30" s="3" t="n">
        <x:f>MIN(1,(MIN(1,'Иран 2040'!C30+'Иран 2040'!F30+(0.08*LN(1+0.5*'Ход 2040'!C36)*MAX(0,1-('Иран 2040'!C30+'Иран 2040'!F30)))))+(SUMIFS('Эффекты технологий'!$Y$25:$Y$240,'Эффекты технологий'!$C$25:$C$240,$A30,'Эффекты технологий'!$D$25:$D$240,"Прирост")-SUMIFS('Эффекты технологий'!$X$25:$X$240,'Эффекты технологий'!$C$25:$C$240,$A30,'Эффекты технологий'!$D$25:$D$240,"Прирост")))</x:f>
        <x:v>0.15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7.750000000000005</x:v>
      </x:c>
      <x:c r="J30" s="10" t="n">
        <x:f>SUMIFS('Эффекты технологий'!$Y$25:$Y$240,'Эффекты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MAX(1,MIN(10,'Иран 2040'!B31+'Иран 2040'!D31+('Иран 2040'!C31+'Иран 2040'!F31+'Иран 2040'!G31)+(0.35*LN(1+0.6*'Ход 2040'!B37)*POWER(MAX(0,1-'Иран 2040'!I31/10),0.7))))</x:f>
        <x:v>7.750000000000005</x:v>
      </x:c>
      <x:c r="C31" s="3" t="n">
        <x:f>MIN(1,(MIN(1,'Иран 2040'!C31+'Иран 2040'!F31+(0.08*LN(1+0.5*'Ход 2040'!C37)*MAX(0,1-('Иран 2040'!C31+'Иран 2040'!F31)))))+(SUMIFS('Эффекты технологий'!$Y$25:$Y$240,'Эффекты технологий'!$C$25:$C$240,$A31,'Эффекты технологий'!$D$25:$D$240,"Прирост")-SUMIFS('Эффекты технологий'!$X$25:$X$240,'Эффекты технологий'!$C$25:$C$240,$A31,'Эффекты технологий'!$D$25:$D$240,"Прирост")))</x:f>
        <x:v>0.15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7.750000000000005</x:v>
      </x:c>
      <x:c r="J31" s="10" t="n">
        <x:f>SUMIFS('Эффекты технологий'!$Y$25:$Y$240,'Эффекты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MAX(1,MIN(10,'Иран 2040'!B32+'Иран 2040'!D32+('Иран 2040'!C32+'Иран 2040'!F32+'Иран 2040'!G32)+(0.35*LN(1+0.6*'Ход 2040'!B38)*POWER(MAX(0,1-'Иран 2040'!I32/10),0.7))))</x:f>
        <x:v>10</x:v>
      </x:c>
      <x:c r="C32" s="3" t="n">
        <x:f>MIN(1,(MIN(1,'Иран 2040'!C32+'Иран 2040'!F32+(0.08*LN(1+0.5*'Ход 2040'!C38)*MAX(0,1-('Иран 2040'!C32+'Иран 2040'!F32)))))+(SUMIFS('Эффекты технологий'!$Y$25:$Y$240,'Эффекты технологий'!$C$25:$C$240,$A32,'Эффекты технологий'!$D$25:$D$240,"Прирост")-SUMIFS('Эффекты технологий'!$X$25:$X$240,'Эффекты технологий'!$C$25:$C$240,$A32,'Эффекты технологий'!$D$25:$D$240,"Прирост")))</x:f>
        <x:v>0.2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10</x:v>
      </x:c>
      <x:c r="J32" s="10" t="n">
        <x:f>SUMIFS('Эффекты технологий'!$Y$25:$Y$240,'Эффекты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MAX(1,MIN(10,'Иран 2040'!B34+'Иран 2040'!D34+('Иран 2040'!C34+'Иран 2040'!F34+'Иран 2040'!G34)+(0.35*LN(1+0.6*'Ход 2040'!B40)*POWER(MAX(0,1-'Иран 2040'!I34/10),0.7))))</x:f>
        <x:v>10</x:v>
      </x:c>
      <x:c r="C34" s="3" t="n">
        <x:f>MIN(1,(MIN(1,'Иран 2040'!C34+'Иран 2040'!F34+(0.08*LN(1+0.5*'Ход 2040'!C40)*MAX(0,1-('Иран 2040'!C34+'Иран 2040'!F34)))))+(SUMIFS('Эффекты технологий'!$Y$25:$Y$240,'Эффекты технологий'!$C$25:$C$240,$A34,'Эффекты технологий'!$D$25:$D$240,"Прирост")-SUMIFS('Эффекты технологий'!$X$25:$X$240,'Эффекты технологий'!$C$25:$C$240,$A34,'Эффекты технологий'!$D$25:$D$240,"Прирост")))</x:f>
        <x:v>0.2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технологий'!$Y$25:$Y$240,'Эффекты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MAX(1,MIN(10,'Иран 2040'!B35+'Иран 2040'!D35+('Иран 2040'!C35+'Иран 2040'!F35+'Иран 2040'!G35)+(0.35*LN(1+0.6*'Ход 2040'!B41)*POWER(MAX(0,1-'Иран 2040'!I35/10),0.7))))</x:f>
        <x:v>9.499999999999995</x:v>
      </x:c>
      <x:c r="C35" s="3" t="n">
        <x:f>MIN(1,(MIN(1,'Иран 2040'!C35+'Иран 2040'!F35+(0.08*LN(1+0.5*'Ход 2040'!C41)*MAX(0,1-('Иран 2040'!C35+'Иран 2040'!F35)))))+(SUMIFS('Эффекты технологий'!$Y$25:$Y$240,'Эффекты технологий'!$C$25:$C$240,$A35,'Эффекты технологий'!$D$25:$D$240,"Прирост")-SUMIFS('Эффекты технологий'!$X$25:$X$240,'Эффекты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9.499999999999995</x:v>
      </x:c>
      <x:c r="J35" s="10" t="n">
        <x:f>SUMIFS('Эффекты технологий'!$Y$25:$Y$240,'Эффекты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MAX(1,MIN(10,'Иран 2040'!B36+'Иран 2040'!D36+('Иран 2040'!C36+'Иран 2040'!F36+'Иран 2040'!G36)+(0.35*LN(1+0.6*'Ход 2040'!B42)*POWER(MAX(0,1-'Иран 2040'!I36/10),0.7))))</x:f>
        <x:v>9.499999999999996</x:v>
      </x:c>
      <x:c r="C36" s="3" t="n">
        <x:f>MIN(1,(MIN(1,'Иран 2040'!C36+'Иран 2040'!F36+(0.08*LN(1+0.5*'Ход 2040'!C42)*MAX(0,1-('Иран 2040'!C36+'Иран 2040'!F36)))))+(SUMIFS('Эффекты технологий'!$Y$25:$Y$240,'Эффекты технологий'!$C$25:$C$240,$A36,'Эффекты технологий'!$D$25:$D$240,"Прирост")-SUMIFS('Эффекты технологий'!$X$25:$X$240,'Эффекты технологий'!$C$25:$C$240,$A36,'Эффекты технологий'!$D$25:$D$240,"Прирост")))</x:f>
        <x:v>0.2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9.499999999999996</x:v>
      </x:c>
      <x:c r="J36" s="10" t="n">
        <x:f>SUMIFS('Эффекты технологий'!$Y$25:$Y$240,'Эффекты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MAX(1,MIN(10,'Иран 2040'!B37+'Иран 2040'!D37+('Иран 2040'!C37+'Иран 2040'!F37+'Иран 2040'!G37)+(0.35*LN(1+0.6*'Ход 2040'!B43)*POWER(MAX(0,1-'Иран 2040'!I37/10),0.7))))</x:f>
        <x:v>8.000000000000002</x:v>
      </x:c>
      <x:c r="C37" s="3" t="n">
        <x:f>MIN(1,(MIN(1,'Иран 2040'!C37+'Иран 2040'!F37+(0.08*LN(1+0.5*'Ход 2040'!C43)*MAX(0,1-('Иран 2040'!C37+'Иран 2040'!F37)))))+(SUMIFS('Эффекты технологий'!$Y$25:$Y$240,'Эффекты технологий'!$C$25:$C$240,$A37,'Эффекты технологий'!$D$25:$D$240,"Прирост")-SUMIFS('Эффекты технологий'!$X$25:$X$240,'Эффекты технологий'!$C$25:$C$240,$A37,'Эффекты технологий'!$D$25:$D$240,"Прирост")))</x:f>
        <x:v>0.2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8.000000000000002</x:v>
      </x:c>
      <x:c r="J37" s="10" t="n">
        <x:f>SUMIFS('Эффекты технологий'!$Y$25:$Y$240,'Эффекты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MAX(1,MIN(10,'Иран 2040'!B38+'Иран 2040'!D38+('Иран 2040'!C38+'Иран 2040'!F38+'Иран 2040'!G38)+(0.35*LN(1+0.6*'Ход 2040'!B44)*POWER(MAX(0,1-'Иран 2040'!I38/10),0.7))))</x:f>
        <x:v>8.5</x:v>
      </x:c>
      <x:c r="C38" s="3" t="n">
        <x:f>MIN(1,(MIN(1,'Иран 2040'!C38+'Иран 2040'!F38+(0.08*LN(1+0.5*'Ход 2040'!C44)*MAX(0,1-('Иран 2040'!C38+'Иран 2040'!F38)))))+(SUMIFS('Эффекты технологий'!$Y$25:$Y$240,'Эффекты технологий'!$C$25:$C$240,$A38,'Эффекты технологий'!$D$25:$D$240,"Прирост")-SUMIFS('Эффекты технологий'!$X$25:$X$240,'Эффекты технологий'!$C$25:$C$240,$A38,'Эффекты технологий'!$D$25:$D$240,"Прирост")))</x:f>
        <x:v>0.2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8.5</x:v>
      </x:c>
      <x:c r="J38" s="10" t="n">
        <x:f>SUMIFS('Эффекты технологий'!$Y$25:$Y$240,'Эффекты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MAX(1,MIN(10,'Иран 2040'!B39+'Иран 2040'!D39+('Иран 2040'!C39+'Иран 2040'!F39+'Иран 2040'!G39)+(0.35*LN(1+0.6*'Ход 2040'!B45)*POWER(MAX(0,1-'Иран 2040'!I39/10),0.7))))</x:f>
        <x:v>8.999999999999998</x:v>
      </x:c>
      <x:c r="C39" s="3" t="n">
        <x:f>MIN(1,(MIN(1,'Иран 2040'!C39+'Иран 2040'!F39+(0.08*LN(1+0.5*'Ход 2040'!C45)*MAX(0,1-('Иран 2040'!C39+'Иран 2040'!F39)))))+(SUMIFS('Эффекты технологий'!$Y$25:$Y$240,'Эффекты технологий'!$C$25:$C$240,$A39,'Эффекты технологий'!$D$25:$D$240,"Прирост")-SUMIFS('Эффекты технологий'!$X$25:$X$240,'Эффекты технологий'!$C$25:$C$240,$A39,'Эффекты технологий'!$D$25:$D$240,"Прирост")))</x:f>
        <x:v>0.2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8.999999999999998</x:v>
      </x:c>
      <x:c r="J39" s="10" t="n">
        <x:f>SUMIFS('Эффекты технологий'!$Y$25:$Y$240,'Эффекты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MAX(1,MIN(10,'Иран 2040'!B40+'Иран 2040'!D40+('Иран 2040'!C40+'Иран 2040'!F40+'Иран 2040'!G40)+(0.35*LN(1+0.6*'Ход 2040'!B46)*POWER(MAX(0,1-'Иран 2040'!I40/10),0.7))))</x:f>
        <x:v>6.750000000000005</x:v>
      </x:c>
      <x:c r="C40" s="3" t="n">
        <x:f>MIN(1,(MIN(1,'Иран 2040'!C40+'Иран 2040'!F40+(0.08*LN(1+0.5*'Ход 2040'!C46)*MAX(0,1-('Иран 2040'!C40+'Иран 2040'!F40)))))+(SUMIFS('Эффекты технологий'!$Y$25:$Y$240,'Эффекты технологий'!$C$25:$C$240,$A40,'Эффекты технологий'!$D$25:$D$240,"Прирост")-SUMIFS('Эффекты технологий'!$X$25:$X$240,'Эффекты технологий'!$C$25:$C$240,$A40,'Эффекты технологий'!$D$25:$D$240,"Прирост")))</x:f>
        <x:v>0.15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6.750000000000005</x:v>
      </x:c>
      <x:c r="J40" s="10" t="n">
        <x:f>SUMIFS('Эффекты технологий'!$Y$25:$Y$240,'Эффекты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MAX(1,MIN(10,'Иран 2040'!B41+'Иран 2040'!D41+('Иран 2040'!C41+'Иран 2040'!F41+'Иран 2040'!G41)+(0.35*LN(1+0.6*'Ход 2040'!B47)*POWER(MAX(0,1-'Иран 2040'!I41/10),0.7))))</x:f>
        <x:v>8.000000000000002</x:v>
      </x:c>
      <x:c r="C41" s="3" t="n">
        <x:f>MIN(1,(MIN(1,'Иран 2040'!C41+'Иран 2040'!F41+(0.08*LN(1+0.5*'Ход 2040'!C47)*MAX(0,1-('Иран 2040'!C41+'Иран 2040'!F41)))))+(SUMIFS('Эффекты технологий'!$Y$25:$Y$240,'Эффекты технологий'!$C$25:$C$240,$A41,'Эффекты технологий'!$D$25:$D$240,"Прирост")-SUMIFS('Эффекты технологий'!$X$25:$X$240,'Эффекты технологий'!$C$25:$C$240,$A41,'Эффекты технологий'!$D$25:$D$240,"Прирост")))</x:f>
        <x:v>0.2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8.000000000000002</x:v>
      </x:c>
      <x:c r="J41" s="10" t="n">
        <x:f>SUMIFS('Эффекты технологий'!$Y$25:$Y$240,'Эффекты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MAX(1,MIN(10,'Иран 2040'!B42+'Иран 2040'!D42+('Иран 2040'!C42+'Иран 2040'!F42+'Иран 2040'!G42)+(0.35*LN(1+0.6*'Ход 2040'!B48)*POWER(MAX(0,1-'Иран 2040'!I42/10),0.7))))</x:f>
        <x:v>8.499999999999995</x:v>
      </x:c>
      <x:c r="C42" s="3" t="n">
        <x:f>MIN(1,(MIN(1,'Иран 2040'!C42+'Иран 2040'!F42+(0.08*LN(1+0.5*'Ход 2040'!C48)*MAX(0,1-('Иран 2040'!C42+'Иран 2040'!F42)))))+(SUMIFS('Эффекты технологий'!$Y$25:$Y$240,'Эффекты технологий'!$C$25:$C$240,$A42,'Эффекты технологий'!$D$25:$D$240,"Прирост")-SUMIFS('Эффекты технологий'!$X$25:$X$240,'Эффекты технологий'!$C$25:$C$240,$A42,'Эффекты технологий'!$D$25:$D$240,"Прирост")))</x:f>
        <x:v>0.1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8.499999999999995</x:v>
      </x:c>
      <x:c r="J42" s="10" t="n">
        <x:f>SUMIFS('Эффекты технологий'!$Y$25:$Y$240,'Эффекты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MAX(1,MIN(10,'Иран 2040'!B44+'Иран 2040'!D44+('Иран 2040'!C44+'Иран 2040'!F44+'Иран 2040'!G44)+(0.35*LN(1+0.6*'Ход 2040'!B50)*POWER(MAX(0,1-'Иран 2040'!I44/10),0.7))))</x:f>
        <x:v>5.499999999999995</x:v>
      </x:c>
      <x:c r="C44" s="3" t="n">
        <x:f>MIN(1,(MIN(1,'Иран 2040'!C44+'Иран 2040'!F44+(0.08*LN(1+0.5*'Ход 2040'!C50)*MAX(0,1-('Иран 2040'!C44+'Иран 2040'!F44)))))+(SUMIFS('Эффекты технологий'!$Y$25:$Y$240,'Эффекты технологий'!$C$25:$C$240,$A44,'Эффекты технологий'!$D$25:$D$240,"Прирост")-SUMIFS('Эффекты технологий'!$X$25:$X$240,'Эффекты технологий'!$C$25:$C$240,$A44,'Эффекты технологий'!$D$25:$D$240,"Прирост")))</x:f>
        <x:v>0.1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5.499999999999995</x:v>
      </x:c>
      <x:c r="J44" s="10" t="n">
        <x:f>SUMIFS('Эффекты технологий'!$Y$25:$Y$240,'Эффекты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MAX(1,MIN(10,'Иран 2040'!B45+'Иран 2040'!D45+('Иран 2040'!C45+'Иран 2040'!F45+'Иран 2040'!G45)+(0.35*LN(1+0.6*'Ход 2040'!B51)*POWER(MAX(0,1-'Иран 2040'!I45/10),0.7))))</x:f>
        <x:v>7.250000000000005</x:v>
      </x:c>
      <x:c r="C45" s="3" t="n">
        <x:f>MIN(1,(MIN(1,'Иран 2040'!C45+'Иран 2040'!F45+(0.08*LN(1+0.5*'Ход 2040'!C51)*MAX(0,1-('Иран 2040'!C45+'Иран 2040'!F45)))))+(SUMIFS('Эффекты технологий'!$Y$25:$Y$240,'Эффекты технологий'!$C$25:$C$240,$A45,'Эффекты технологий'!$D$25:$D$240,"Прирост")-SUMIFS('Эффекты технологий'!$X$25:$X$240,'Эффекты технологий'!$C$25:$C$240,$A45,'Эффекты технологий'!$D$25:$D$240,"Прирост")))</x:f>
        <x:v>0.15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7.250000000000005</x:v>
      </x:c>
      <x:c r="J45" s="10" t="n">
        <x:f>SUMIFS('Эффекты технологий'!$Y$25:$Y$240,'Эффекты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MAX(1,MIN(10,'Иран 2040'!B46+'Иран 2040'!D46+('Иран 2040'!C46+'Иран 2040'!F46+'Иран 2040'!G46)+(0.35*LN(1+0.6*'Ход 2040'!B52)*POWER(MAX(0,1-'Иран 2040'!I46/10),0.7))))</x:f>
        <x:v>7.250000000000005</x:v>
      </x:c>
      <x:c r="C46" s="3" t="n">
        <x:f>MIN(1,(MIN(1,'Иран 2040'!C46+'Иран 2040'!F46+(0.08*LN(1+0.5*'Ход 2040'!C52)*MAX(0,1-('Иран 2040'!C46+'Иран 2040'!F46)))))+(SUMIFS('Эффекты технологий'!$Y$25:$Y$240,'Эффекты технологий'!$C$25:$C$240,$A46,'Эффекты технологий'!$D$25:$D$240,"Прирост")-SUMIFS('Эффекты технологий'!$X$25:$X$240,'Эффекты технологий'!$C$25:$C$240,$A46,'Эффекты технологий'!$D$25:$D$240,"Прирост")))</x:f>
        <x:v>0.15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7.250000000000005</x:v>
      </x:c>
      <x:c r="J46" s="10" t="n">
        <x:f>SUMIFS('Эффекты технологий'!$Y$25:$Y$240,'Эффекты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MAX(1,MIN(10,'Иран 2040'!B47+'Иран 2040'!D47+('Иран 2040'!C47+'Иран 2040'!F47+'Иран 2040'!G47)+(0.35*LN(1+0.6*'Ход 2040'!B53)*POWER(MAX(0,1-'Иран 2040'!I47/10),0.7))))</x:f>
        <x:v>1.7500000000000016</x:v>
      </x:c>
      <x:c r="C47" s="3" t="n">
        <x:f>MIN(1,(MIN(1,'Иран 2040'!C47+'Иран 2040'!F47+(0.08*LN(1+0.5*'Ход 2040'!C53)*MAX(0,1-('Иран 2040'!C47+'Иран 2040'!F47)))))+(SUMIFS('Эффекты технологий'!$Y$25:$Y$240,'Эффекты технологий'!$C$25:$C$240,$A47,'Эффекты технологий'!$D$25:$D$240,"Прирост")-SUMIFS('Эффекты технологий'!$X$25:$X$240,'Эффекты технологий'!$C$25:$C$240,$A47,'Эффекты технологий'!$D$25:$D$240,"Прирост")))</x:f>
        <x:v>-0.05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1.7500000000000016</x:v>
      </x:c>
      <x:c r="J47" s="10" t="n">
        <x:f>SUMIFS('Эффекты технологий'!$Y$25:$Y$240,'Эффекты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MAX(1,MIN(10,'Иран 2040'!B48+'Иран 2040'!D48+('Иран 2040'!C48+'Иран 2040'!F48+'Иран 2040'!G48)+(0.35*LN(1+0.6*'Ход 2040'!B54)*POWER(MAX(0,1-'Иран 2040'!I48/10),0.7))))</x:f>
        <x:v>6.999999999999995</x:v>
      </x:c>
      <x:c r="C48" s="3" t="n">
        <x:f>MIN(1,(MIN(1,'Иран 2040'!C48+'Иран 2040'!F48+(0.08*LN(1+0.5*'Ход 2040'!C54)*MAX(0,1-('Иран 2040'!C48+'Иран 2040'!F48)))))+(SUMIFS('Эффекты технологий'!$Y$25:$Y$240,'Эффекты технологий'!$C$25:$C$240,$A48,'Эффекты технологий'!$D$25:$D$240,"Прирост")-SUMIFS('Эффекты технологий'!$X$25:$X$240,'Эффекты технологий'!$C$25:$C$240,$A48,'Эффекты технологий'!$D$25:$D$240,"Прирост")))</x:f>
        <x:v>0.1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6.999999999999995</x:v>
      </x:c>
      <x:c r="J48" s="10" t="n">
        <x:f>SUMIFS('Эффекты технологий'!$Y$25:$Y$240,'Эффекты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MAX(1,MIN(10,'Иран 2040'!B49+'Иран 2040'!D49+('Иран 2040'!C49+'Иран 2040'!F49+'Иран 2040'!G49)+(0.35*LN(1+0.6*'Ход 2040'!B55)*POWER(MAX(0,1-'Иран 2040'!I49/10),0.7))))</x:f>
        <x:v>10</x:v>
      </x:c>
      <x:c r="C49" s="3" t="n">
        <x:f>MIN(1,(MIN(1,'Иран 2040'!C49+'Иран 2040'!F49+(0.08*LN(1+0.5*'Ход 2040'!C55)*MAX(0,1-('Иран 2040'!C49+'Иран 2040'!F49)))))+(SUMIFS('Эффекты технологий'!$Y$25:$Y$240,'Эффекты технологий'!$C$25:$C$240,$A49,'Эффекты технологий'!$D$25:$D$240,"Прирост")-SUMIFS('Эффекты технологий'!$X$25:$X$240,'Эффекты технологий'!$C$25:$C$240,$A49,'Эффекты технологий'!$D$25:$D$240,"Прирост")))</x:f>
        <x:v>0.25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10</x:v>
      </x:c>
      <x:c r="J49" s="10" t="n">
        <x:f>SUMIFS('Эффекты технологий'!$Y$25:$Y$240,'Эффекты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MAX(1,MIN(10,'Иран 2040'!B50+'Иран 2040'!D50+('Иран 2040'!C50+'Иран 2040'!F50+'Иран 2040'!G50)+(0.35*LN(1+0.6*'Ход 2040'!B56)*POWER(MAX(0,1-'Иран 2040'!I50/10),0.7))))</x:f>
        <x:v>9.75000000000001</x:v>
      </x:c>
      <x:c r="C50" s="3" t="n">
        <x:f>MIN(1,(MIN(1,'Иран 2040'!C50+'Иран 2040'!F50+(0.08*LN(1+0.5*'Ход 2040'!C56)*MAX(0,1-('Иран 2040'!C50+'Иран 2040'!F50)))))+(SUMIFS('Эффекты технологий'!$Y$25:$Y$240,'Эффекты технологий'!$C$25:$C$240,$A50,'Эффекты технологий'!$D$25:$D$240,"Прирост")-SUMIFS('Эффекты технологий'!$X$25:$X$240,'Эффекты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9.75000000000001</x:v>
      </x:c>
      <x:c r="J50" s="10" t="n">
        <x:f>SUMIFS('Эффекты технологий'!$Y$25:$Y$240,'Эффекты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MAX(1,MIN(10,'Иран 2040'!B51+'Иран 2040'!D51+('Иран 2040'!C51+'Иран 2040'!F51+'Иран 2040'!G51)+(0.35*LN(1+0.6*'Ход 2040'!B57)*POWER(MAX(0,1-'Иран 2040'!I51/10),0.7))))</x:f>
        <x:v>8.999999999999998</x:v>
      </x:c>
      <x:c r="C51" s="3" t="n">
        <x:f>MIN(1,(MIN(1,'Иран 2040'!C51+'Иран 2040'!F51+(0.08*LN(1+0.5*'Ход 2040'!C57)*MAX(0,1-('Иран 2040'!C51+'Иран 2040'!F51)))))+(SUMIFS('Эффекты технологий'!$Y$25:$Y$240,'Эффекты технологий'!$C$25:$C$240,$A51,'Эффекты технологий'!$D$25:$D$240,"Прирост")-SUMIFS('Эффекты технологий'!$X$25:$X$240,'Эффекты технологий'!$C$25:$C$240,$A51,'Эффекты технологий'!$D$25:$D$240,"Прирост")))</x:f>
        <x:v>0.2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8.999999999999998</x:v>
      </x:c>
      <x:c r="J51" s="10" t="n">
        <x:f>SUMIFS('Эффекты технологий'!$Y$25:$Y$240,'Эффекты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MAX(1,MIN(10,'Иран 2040'!B53+'Иран 2040'!D53+('Иран 2040'!C53+'Иран 2040'!F53+'Иран 2040'!G53)+(0.35*LN(1+0.6*'Ход 2040'!B59)*POWER(MAX(0,1-'Иран 2040'!I53/10),0.7))))</x:f>
        <x:v>8.5</x:v>
      </x:c>
      <x:c r="C53" s="3" t="n">
        <x:f>MIN(1,(MIN(1,'Иран 2040'!C53+'Иран 2040'!F53+(0.08*LN(1+0.5*'Ход 2040'!C59)*MAX(0,1-('Иран 2040'!C53+'Иран 2040'!F53)))))+(SUMIFS('Эффекты технологий'!$Y$25:$Y$240,'Эффекты технологий'!$C$25:$C$240,$A53,'Эффекты технологий'!$D$25:$D$240,"Прирост")-SUMIFS('Эффекты технологий'!$X$25:$X$240,'Эффекты технологий'!$C$25:$C$240,$A53,'Эффекты технологий'!$D$25:$D$240,"Прирост")))</x:f>
        <x:v>0.2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8.5</x:v>
      </x:c>
      <x:c r="J53" s="10" t="n">
        <x:f>SUMIFS('Эффекты технологий'!$Y$25:$Y$240,'Эффекты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MAX(1,MIN(10,'Иран 2040'!B54+'Иран 2040'!D54+('Иран 2040'!C54+'Иран 2040'!F54+'Иран 2040'!G54)+(0.35*LN(1+0.6*'Ход 2040'!B60)*POWER(MAX(0,1-'Иран 2040'!I54/10),0.7))))</x:f>
        <x:v>8.000000000000002</x:v>
      </x:c>
      <x:c r="C54" s="3" t="n">
        <x:f>MIN(1,(MIN(1,'Иран 2040'!C54+'Иран 2040'!F54+(0.08*LN(1+0.5*'Ход 2040'!C60)*MAX(0,1-('Иран 2040'!C54+'Иран 2040'!F54)))))+(SUMIFS('Эффекты технологий'!$Y$25:$Y$240,'Эффекты технологий'!$C$25:$C$240,$A54,'Эффекты технологий'!$D$25:$D$240,"Прирост")-SUMIFS('Эффекты технологий'!$X$25:$X$240,'Эффекты технологий'!$C$25:$C$240,$A54,'Эффекты технологий'!$D$25:$D$240,"Прирост")))</x:f>
        <x:v>0.2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8.000000000000002</x:v>
      </x:c>
      <x:c r="J54" s="10" t="n">
        <x:f>SUMIFS('Эффекты технологий'!$Y$25:$Y$240,'Эффекты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MAX(1,MIN(10,'Иран 2040'!B55+'Иран 2040'!D55+('Иран 2040'!C55+'Иран 2040'!F55+'Иран 2040'!G55)+(0.35*LN(1+0.6*'Ход 2040'!B61)*POWER(MAX(0,1-'Иран 2040'!I55/10),0.7))))</x:f>
        <x:v>7.750000000000005</x:v>
      </x:c>
      <x:c r="C55" s="3" t="n">
        <x:f>MIN(1,(MIN(1,'Иран 2040'!C55+'Иран 2040'!F55+(0.08*LN(1+0.5*'Ход 2040'!C61)*MAX(0,1-('Иран 2040'!C55+'Иран 2040'!F55)))))+(SUMIFS('Эффекты технологий'!$Y$25:$Y$240,'Эффекты технологий'!$C$25:$C$240,$A55,'Эффекты технологий'!$D$25:$D$240,"Прирост")-SUMIFS('Эффекты технологий'!$X$25:$X$240,'Эффекты технологий'!$C$25:$C$240,$A55,'Эффекты технологий'!$D$25:$D$240,"Прирост")))</x:f>
        <x:v>0.15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7.750000000000005</x:v>
      </x:c>
      <x:c r="J55" s="10" t="n">
        <x:f>SUMIFS('Эффекты технологий'!$Y$25:$Y$240,'Эффекты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AA8455"/>
  </x:sheetPr>
  <x:sheetViews>
    <x:sheetView showGridLines="0" workbookViewId="0">
      <x:pane ySplit="6" topLeftCell="A7" activePane="bottomLeft" state="frozen"/>
    </x:sheetView>
  </x:sheetViews>
  <x:sheetFormatPr defaultRowHeight="13.800000190734863"/>
  <x:cols>
    <x:col min="1" max="1" width="7" customWidth="1"/>
    <x:col min="2" max="2" width="39" customWidth="1"/>
    <x:col min="3" max="3" width="38" customWidth="1"/>
    <x:col min="4" max="4" width="18" customWidth="1"/>
    <x:col min="5" max="5" width="13" customWidth="1"/>
    <x:col min="6" max="6" width="14" customWidth="1"/>
    <x:col min="7" max="7" width="60" customWidth="1"/>
    <x:col min="8" max="8" width="3" customWidth="1"/>
    <x:col min="9" max="9" width="28" customWidth="1"/>
    <x:col min="10" max="25" width="12" customWidth="1"/>
  </x:cols>
  <x:sheetData>
    <x:row r="1" ht="17.399999618530273">
      <x:c r="A1" s="14" t="s">
        <x:v>367</x:v>
      </x:c>
      <x:c r="B1" s="14"/>
      <x:c r="C1" s="14"/>
      <x:c r="D1" s="14"/>
      <x:c r="E1" s="14"/>
      <x:c r="F1" s="14"/>
      <x:c r="G1" s="14"/>
    </x:row>
    <x:row r="3">
      <x:c r="A3" s="15" t="s">
        <x:v>368</x:v>
      </x:c>
      <x:c r="B3" s="15"/>
      <x:c r="C3" s="15"/>
      <x:c r="D3" s="15"/>
      <x:c r="E3" s="15"/>
      <x:c r="F3" s="15"/>
      <x:c r="G3" s="15"/>
    </x:row>
    <x:row r="4">
      <x:c r="A4" s="15" t="str">
        <x:v>На листах Ирана вклад науки показан отдельно, а приростные эффекты учитываются в базовом годовом приросте.</x:v>
      </x:c>
      <x:c r="B4" s="15"/>
      <x:c r="C4" s="15"/>
      <x:c r="D4" s="15"/>
      <x:c r="E4" s="15"/>
      <x:c r="F4" s="15"/>
      <x:c r="G4" s="15"/>
    </x:row>
    <x:row r="5">
      <x:c r="I5" s="17" t="s">
        <x:v>369</x:v>
      </x:c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</x:row>
    <x:row r="6">
      <x:c r="I6" s="16" t="s">
        <x:v>370</x:v>
      </x:c>
      <x:c r="J6" s="16">
        <x:v>2026</x:v>
      </x:c>
      <x:c r="K6" s="16">
        <x:v>2027</x:v>
      </x:c>
      <x:c r="L6" s="16">
        <x:v>2028</x:v>
      </x:c>
      <x:c r="M6" s="16">
        <x:v>2029</x:v>
      </x:c>
      <x:c r="N6" s="16">
        <x:v>2030</x:v>
      </x:c>
      <x:c r="O6" s="16">
        <x:v>2031</x:v>
      </x:c>
      <x:c r="P6" s="16">
        <x:v>2032</x:v>
      </x:c>
      <x:c r="Q6" s="16">
        <x:v>2033</x:v>
      </x:c>
      <x:c r="R6" s="16">
        <x:v>2034</x:v>
      </x:c>
      <x:c r="S6" s="16">
        <x:v>2035</x:v>
      </x:c>
      <x:c r="T6" s="16">
        <x:v>2036</x:v>
      </x:c>
      <x:c r="U6" s="16">
        <x:v>2037</x:v>
      </x:c>
      <x:c r="V6" s="16">
        <x:v>2038</x:v>
      </x:c>
      <x:c r="W6" s="16">
        <x:v>2039</x:v>
      </x:c>
      <x:c r="X6" s="16">
        <x:v>2040</x:v>
      </x:c>
      <x:c r="Y6" s="16">
        <x:v>2041</x:v>
      </x:c>
    </x:row>
    <x:row r="7">
      <x:c r="I7" t="s">
        <x:v>371</x:v>
      </x:c>
      <x:c r="J7" s="22" t="n">
        <x:f t="shared" ref="J7:Y18" si="0">SUMIFS(J$25:J$240,$C$25:$C$240,$I7,$D$25:$D$240,"Модификатор")</x:f>
        <x:v>0</x:v>
      </x:c>
      <x:c r="K7" s="22" t="n">
        <x:f t="shared" si="0">SUMIFS(K$25:K$240,$C$25:$C$240,$I7,$D$25:$D$240,"Модификатор")</x:f>
        <x:v>0</x:v>
      </x:c>
      <x:c r="L7" s="22" t="n">
        <x:f t="shared" si="0">SUMIFS(L$25:L$240,$C$25:$C$240,$I7,$D$25:$D$240,"Модификатор")</x:f>
        <x:v>0</x:v>
      </x:c>
      <x:c r="M7" s="22" t="n">
        <x:f t="shared" si="0">SUMIFS(M$25:M$240,$C$25:$C$240,$I7,$D$25:$D$240,"Модификатор")</x:f>
        <x:v>0</x:v>
      </x:c>
      <x:c r="N7" s="22" t="n">
        <x:f t="shared" si="0">SUMIFS(N$25:N$240,$C$25:$C$240,$I7,$D$25:$D$240,"Модификатор")</x:f>
        <x:v>0</x:v>
      </x:c>
      <x:c r="O7" s="22" t="n">
        <x:f t="shared" si="0">SUMIFS(O$25:O$240,$C$25:$C$240,$I7,$D$25:$D$240,"Модификатор")</x:f>
        <x:v>0</x:v>
      </x:c>
      <x:c r="P7" s="22" t="n">
        <x:f t="shared" si="0">SUMIFS(P$25:P$240,$C$25:$C$240,$I7,$D$25:$D$240,"Модификатор")</x:f>
        <x:v>0</x:v>
      </x:c>
      <x:c r="Q7" s="22" t="n">
        <x:f t="shared" si="0">SUMIFS(Q$25:Q$240,$C$25:$C$240,$I7,$D$25:$D$240,"Модификатор")</x:f>
        <x:v>0</x:v>
      </x:c>
      <x:c r="R7" s="22" t="n">
        <x:f t="shared" si="0">SUMIFS(R$25:R$240,$C$25:$C$240,$I7,$D$25:$D$240,"Модификатор")</x:f>
        <x:v>0</x:v>
      </x:c>
      <x:c r="S7" s="22" t="n">
        <x:f t="shared" si="0">SUMIFS(S$25:S$240,$C$25:$C$240,$I7,$D$25:$D$240,"Модификатор")</x:f>
        <x:v>0</x:v>
      </x:c>
      <x:c r="T7" s="22" t="n">
        <x:f t="shared" si="0">SUMIFS(T$25:T$240,$C$25:$C$240,$I7,$D$25:$D$240,"Модификатор")</x:f>
        <x:v>0</x:v>
      </x:c>
      <x:c r="U7" s="22" t="n">
        <x:f t="shared" si="0">SUMIFS(U$25:U$240,$C$25:$C$240,$I7,$D$25:$D$240,"Модификатор")</x:f>
        <x:v>0</x:v>
      </x:c>
      <x:c r="V7" s="22" t="n">
        <x:f t="shared" si="0">SUMIFS(V$25:V$240,$C$25:$C$240,$I7,$D$25:$D$240,"Модификатор")</x:f>
        <x:v>0</x:v>
      </x:c>
      <x:c r="W7" s="22" t="n">
        <x:f t="shared" si="0">SUMIFS(W$25:W$240,$C$25:$C$240,$I7,$D$25:$D$240,"Модификатор")</x:f>
        <x:v>0</x:v>
      </x:c>
      <x:c r="X7" s="22" t="n">
        <x:f t="shared" si="0">SUMIFS(X$25:X$240,$C$25:$C$240,$I7,$D$25:$D$240,"Модификатор")</x:f>
        <x:v>0</x:v>
      </x:c>
      <x:c r="Y7" s="22" t="n">
        <x:f t="shared" si="0">SUMIFS(Y$25:Y$240,$C$25:$C$240,$I7,$D$25:$D$240,"Модификатор")</x:f>
        <x:v>0</x:v>
      </x:c>
    </x:row>
    <x:row r="8">
      <x:c r="I8" t="s">
        <x:v>372</x:v>
      </x:c>
      <x:c r="J8" s="22" t="n">
        <x:f t="shared" si="0">SUMIFS(J$25:J$240,$C$25:$C$240,$I8,$D$25:$D$240,"Модификатор")</x:f>
        <x:v>0</x:v>
      </x:c>
      <x:c r="K8" s="22" t="n">
        <x:f t="shared" si="0">SUMIFS(K$25:K$240,$C$25:$C$240,$I8,$D$25:$D$240,"Модификатор")</x:f>
        <x:v>0</x:v>
      </x:c>
      <x:c r="L8" s="22" t="n">
        <x:f t="shared" si="0">SUMIFS(L$25:L$240,$C$25:$C$240,$I8,$D$25:$D$240,"Модификатор")</x:f>
        <x:v>0</x:v>
      </x:c>
      <x:c r="M8" s="22" t="n">
        <x:f t="shared" si="0">SUMIFS(M$25:M$240,$C$25:$C$240,$I8,$D$25:$D$240,"Модификатор")</x:f>
        <x:v>0</x:v>
      </x:c>
      <x:c r="N8" s="22" t="n">
        <x:f t="shared" si="0">SUMIFS(N$25:N$240,$C$25:$C$240,$I8,$D$25:$D$240,"Модификатор")</x:f>
        <x:v>0</x:v>
      </x:c>
      <x:c r="O8" s="22" t="n">
        <x:f t="shared" si="0">SUMIFS(O$25:O$240,$C$25:$C$240,$I8,$D$25:$D$240,"Модификатор")</x:f>
        <x:v>0</x:v>
      </x:c>
      <x:c r="P8" s="22" t="n">
        <x:f t="shared" si="0">SUMIFS(P$25:P$240,$C$25:$C$240,$I8,$D$25:$D$240,"Модификатор")</x:f>
        <x:v>0</x:v>
      </x:c>
      <x:c r="Q8" s="22" t="n">
        <x:f t="shared" si="0">SUMIFS(Q$25:Q$240,$C$25:$C$240,$I8,$D$25:$D$240,"Модификатор")</x:f>
        <x:v>0</x:v>
      </x:c>
      <x:c r="R8" s="22" t="n">
        <x:f t="shared" si="0">SUMIFS(R$25:R$240,$C$25:$C$240,$I8,$D$25:$D$240,"Модификатор")</x:f>
        <x:v>0</x:v>
      </x:c>
      <x:c r="S8" s="22" t="n">
        <x:f t="shared" si="0">SUMIFS(S$25:S$240,$C$25:$C$240,$I8,$D$25:$D$240,"Модификатор")</x:f>
        <x:v>0</x:v>
      </x:c>
      <x:c r="T8" s="22" t="n">
        <x:f t="shared" si="0">SUMIFS(T$25:T$240,$C$25:$C$240,$I8,$D$25:$D$240,"Модификатор")</x:f>
        <x:v>0</x:v>
      </x:c>
      <x:c r="U8" s="22" t="n">
        <x:f t="shared" si="0">SUMIFS(U$25:U$240,$C$25:$C$240,$I8,$D$25:$D$240,"Модификатор")</x:f>
        <x:v>0</x:v>
      </x:c>
      <x:c r="V8" s="22" t="n">
        <x:f t="shared" si="0">SUMIFS(V$25:V$240,$C$25:$C$240,$I8,$D$25:$D$240,"Модификатор")</x:f>
        <x:v>0</x:v>
      </x:c>
      <x:c r="W8" s="22" t="n">
        <x:f t="shared" si="0">SUMIFS(W$25:W$240,$C$25:$C$240,$I8,$D$25:$D$240,"Модификатор")</x:f>
        <x:v>0</x:v>
      </x:c>
      <x:c r="X8" s="22" t="n">
        <x:f t="shared" si="0">SUMIFS(X$25:X$240,$C$25:$C$240,$I8,$D$25:$D$240,"Модификатор")</x:f>
        <x:v>0</x:v>
      </x:c>
      <x:c r="Y8" s="22" t="n">
        <x:f t="shared" si="0">SUMIFS(Y$25:Y$240,$C$25:$C$240,$I8,$D$25:$D$240,"Модификатор")</x:f>
        <x:v>0</x:v>
      </x:c>
    </x:row>
    <x:row r="9">
      <x:c r="I9" t="s">
        <x:v>373</x:v>
      </x:c>
      <x:c r="J9" s="22" t="n">
        <x:f t="shared" si="0">SUMIFS(J$25:J$240,$C$25:$C$240,$I9,$D$25:$D$240,"Модификатор")</x:f>
        <x:v>0</x:v>
      </x:c>
      <x:c r="K9" s="22" t="n">
        <x:f t="shared" si="0">SUMIFS(K$25:K$240,$C$25:$C$240,$I9,$D$25:$D$240,"Модификатор")</x:f>
        <x:v>0</x:v>
      </x:c>
      <x:c r="L9" s="22" t="n">
        <x:f t="shared" si="0">SUMIFS(L$25:L$240,$C$25:$C$240,$I9,$D$25:$D$240,"Модификатор")</x:f>
        <x:v>0</x:v>
      </x:c>
      <x:c r="M9" s="22" t="n">
        <x:f t="shared" si="0">SUMIFS(M$25:M$240,$C$25:$C$240,$I9,$D$25:$D$240,"Модификатор")</x:f>
        <x:v>0</x:v>
      </x:c>
      <x:c r="N9" s="22" t="n">
        <x:f t="shared" si="0">SUMIFS(N$25:N$240,$C$25:$C$240,$I9,$D$25:$D$240,"Модификатор")</x:f>
        <x:v>0</x:v>
      </x:c>
      <x:c r="O9" s="22" t="n">
        <x:f t="shared" si="0">SUMIFS(O$25:O$240,$C$25:$C$240,$I9,$D$25:$D$240,"Модификатор")</x:f>
        <x:v>0</x:v>
      </x:c>
      <x:c r="P9" s="22" t="n">
        <x:f t="shared" si="0">SUMIFS(P$25:P$240,$C$25:$C$240,$I9,$D$25:$D$240,"Модификатор")</x:f>
        <x:v>0</x:v>
      </x:c>
      <x:c r="Q9" s="22" t="n">
        <x:f t="shared" si="0">SUMIFS(Q$25:Q$240,$C$25:$C$240,$I9,$D$25:$D$240,"Модификатор")</x:f>
        <x:v>0</x:v>
      </x:c>
      <x:c r="R9" s="22" t="n">
        <x:f t="shared" si="0">SUMIFS(R$25:R$240,$C$25:$C$240,$I9,$D$25:$D$240,"Модификатор")</x:f>
        <x:v>0</x:v>
      </x:c>
      <x:c r="S9" s="22" t="n">
        <x:f t="shared" si="0">SUMIFS(S$25:S$240,$C$25:$C$240,$I9,$D$25:$D$240,"Модификатор")</x:f>
        <x:v>0</x:v>
      </x:c>
      <x:c r="T9" s="22" t="n">
        <x:f t="shared" si="0">SUMIFS(T$25:T$240,$C$25:$C$240,$I9,$D$25:$D$240,"Модификатор")</x:f>
        <x:v>0</x:v>
      </x:c>
      <x:c r="U9" s="22" t="n">
        <x:f t="shared" si="0">SUMIFS(U$25:U$240,$C$25:$C$240,$I9,$D$25:$D$240,"Модификатор")</x:f>
        <x:v>0</x:v>
      </x:c>
      <x:c r="V9" s="22" t="n">
        <x:f t="shared" si="0">SUMIFS(V$25:V$240,$C$25:$C$240,$I9,$D$25:$D$240,"Модификатор")</x:f>
        <x:v>0</x:v>
      </x:c>
      <x:c r="W9" s="22" t="n">
        <x:f t="shared" si="0">SUMIFS(W$25:W$240,$C$25:$C$240,$I9,$D$25:$D$240,"Модификатор")</x:f>
        <x:v>0</x:v>
      </x:c>
      <x:c r="X9" s="22" t="n">
        <x:f t="shared" si="0">SUMIFS(X$25:X$240,$C$25:$C$240,$I9,$D$25:$D$240,"Модификатор")</x:f>
        <x:v>0</x:v>
      </x:c>
      <x:c r="Y9" s="22" t="n">
        <x:f t="shared" si="0">SUMIFS(Y$25:Y$240,$C$25:$C$240,$I9,$D$25:$D$240,"Модификатор")</x:f>
        <x:v>0</x:v>
      </x:c>
    </x:row>
    <x:row r="10">
      <x:c r="I10" t="s">
        <x:v>374</x:v>
      </x:c>
      <x:c r="J10" s="22" t="n">
        <x:f t="shared" si="0">SUMIFS(J$25:J$240,$C$25:$C$240,$I10,$D$25:$D$240,"Модификатор")</x:f>
        <x:v>0</x:v>
      </x:c>
      <x:c r="K10" s="22" t="n">
        <x:f t="shared" si="0">SUMIFS(K$25:K$240,$C$25:$C$240,$I10,$D$25:$D$240,"Модификатор")</x:f>
        <x:v>0</x:v>
      </x:c>
      <x:c r="L10" s="22" t="n">
        <x:f t="shared" si="0">SUMIFS(L$25:L$240,$C$25:$C$240,$I10,$D$25:$D$240,"Модификатор")</x:f>
        <x:v>0</x:v>
      </x:c>
      <x:c r="M10" s="22" t="n">
        <x:f t="shared" si="0">SUMIFS(M$25:M$240,$C$25:$C$240,$I10,$D$25:$D$240,"Модификатор")</x:f>
        <x:v>0</x:v>
      </x:c>
      <x:c r="N10" s="22" t="n">
        <x:f t="shared" si="0">SUMIFS(N$25:N$240,$C$25:$C$240,$I10,$D$25:$D$240,"Модификатор")</x:f>
        <x:v>0</x:v>
      </x:c>
      <x:c r="O10" s="22" t="n">
        <x:f t="shared" si="0">SUMIFS(O$25:O$240,$C$25:$C$240,$I10,$D$25:$D$240,"Модификатор")</x:f>
        <x:v>0</x:v>
      </x:c>
      <x:c r="P10" s="22" t="n">
        <x:f t="shared" si="0">SUMIFS(P$25:P$240,$C$25:$C$240,$I10,$D$25:$D$240,"Модификатор")</x:f>
        <x:v>0</x:v>
      </x:c>
      <x:c r="Q10" s="22" t="n">
        <x:f t="shared" si="0">SUMIFS(Q$25:Q$240,$C$25:$C$240,$I10,$D$25:$D$240,"Модификатор")</x:f>
        <x:v>0</x:v>
      </x:c>
      <x:c r="R10" s="22" t="n">
        <x:f t="shared" si="0">SUMIFS(R$25:R$240,$C$25:$C$240,$I10,$D$25:$D$240,"Модификатор")</x:f>
        <x:v>0</x:v>
      </x:c>
      <x:c r="S10" s="22" t="n">
        <x:f t="shared" si="0">SUMIFS(S$25:S$240,$C$25:$C$240,$I10,$D$25:$D$240,"Модификатор")</x:f>
        <x:v>0</x:v>
      </x:c>
      <x:c r="T10" s="22" t="n">
        <x:f t="shared" si="0">SUMIFS(T$25:T$240,$C$25:$C$240,$I10,$D$25:$D$240,"Модификатор")</x:f>
        <x:v>0</x:v>
      </x:c>
      <x:c r="U10" s="22" t="n">
        <x:f t="shared" si="0">SUMIFS(U$25:U$240,$C$25:$C$240,$I10,$D$25:$D$240,"Модификатор")</x:f>
        <x:v>0</x:v>
      </x:c>
      <x:c r="V10" s="22" t="n">
        <x:f t="shared" si="0">SUMIFS(V$25:V$240,$C$25:$C$240,$I10,$D$25:$D$240,"Модификатор")</x:f>
        <x:v>0</x:v>
      </x:c>
      <x:c r="W10" s="22" t="n">
        <x:f t="shared" si="0">SUMIFS(W$25:W$240,$C$25:$C$240,$I10,$D$25:$D$240,"Модификатор")</x:f>
        <x:v>0</x:v>
      </x:c>
      <x:c r="X10" s="22" t="n">
        <x:f t="shared" si="0">SUMIFS(X$25:X$240,$C$25:$C$240,$I10,$D$25:$D$240,"Модификатор")</x:f>
        <x:v>0</x:v>
      </x:c>
      <x:c r="Y10" s="22" t="n">
        <x:f t="shared" si="0">SUMIFS(Y$25:Y$240,$C$25:$C$240,$I10,$D$25:$D$240,"Модификатор")</x:f>
        <x:v>0</x:v>
      </x:c>
    </x:row>
    <x:row r="11">
      <x:c r="I11" t="s">
        <x:v>375</x:v>
      </x:c>
      <x:c r="J11" s="22" t="n">
        <x:f t="shared" si="0">SUMIFS(J$25:J$240,$C$25:$C$240,$I11,$D$25:$D$240,"Модификатор")</x:f>
        <x:v>0</x:v>
      </x:c>
      <x:c r="K11" s="22" t="n">
        <x:f t="shared" si="0">SUMIFS(K$25:K$240,$C$25:$C$240,$I11,$D$25:$D$240,"Модификатор")</x:f>
        <x:v>0</x:v>
      </x:c>
      <x:c r="L11" s="22" t="n">
        <x:f t="shared" si="0">SUMIFS(L$25:L$240,$C$25:$C$240,$I11,$D$25:$D$240,"Модификатор")</x:f>
        <x:v>0</x:v>
      </x:c>
      <x:c r="M11" s="22" t="n">
        <x:f t="shared" si="0">SUMIFS(M$25:M$240,$C$25:$C$240,$I11,$D$25:$D$240,"Модификатор")</x:f>
        <x:v>0</x:v>
      </x:c>
      <x:c r="N11" s="22" t="n">
        <x:f t="shared" si="0">SUMIFS(N$25:N$240,$C$25:$C$240,$I11,$D$25:$D$240,"Модификатор")</x:f>
        <x:v>0</x:v>
      </x:c>
      <x:c r="O11" s="22" t="n">
        <x:f t="shared" si="0">SUMIFS(O$25:O$240,$C$25:$C$240,$I11,$D$25:$D$240,"Модификатор")</x:f>
        <x:v>0</x:v>
      </x:c>
      <x:c r="P11" s="22" t="n">
        <x:f t="shared" si="0">SUMIFS(P$25:P$240,$C$25:$C$240,$I11,$D$25:$D$240,"Модификатор")</x:f>
        <x:v>0</x:v>
      </x:c>
      <x:c r="Q11" s="22" t="n">
        <x:f t="shared" si="0">SUMIFS(Q$25:Q$240,$C$25:$C$240,$I11,$D$25:$D$240,"Модификатор")</x:f>
        <x:v>0</x:v>
      </x:c>
      <x:c r="R11" s="22" t="n">
        <x:f t="shared" si="0">SUMIFS(R$25:R$240,$C$25:$C$240,$I11,$D$25:$D$240,"Модификатор")</x:f>
        <x:v>0</x:v>
      </x:c>
      <x:c r="S11" s="22" t="n">
        <x:f t="shared" si="0">SUMIFS(S$25:S$240,$C$25:$C$240,$I11,$D$25:$D$240,"Модификатор")</x:f>
        <x:v>0</x:v>
      </x:c>
      <x:c r="T11" s="22" t="n">
        <x:f t="shared" si="0">SUMIFS(T$25:T$240,$C$25:$C$240,$I11,$D$25:$D$240,"Модификатор")</x:f>
        <x:v>0</x:v>
      </x:c>
      <x:c r="U11" s="22" t="n">
        <x:f t="shared" si="0">SUMIFS(U$25:U$240,$C$25:$C$240,$I11,$D$25:$D$240,"Модификатор")</x:f>
        <x:v>0</x:v>
      </x:c>
      <x:c r="V11" s="22" t="n">
        <x:f t="shared" si="0">SUMIFS(V$25:V$240,$C$25:$C$240,$I11,$D$25:$D$240,"Модификатор")</x:f>
        <x:v>0</x:v>
      </x:c>
      <x:c r="W11" s="22" t="n">
        <x:f t="shared" si="0">SUMIFS(W$25:W$240,$C$25:$C$240,$I11,$D$25:$D$240,"Модификатор")</x:f>
        <x:v>0</x:v>
      </x:c>
      <x:c r="X11" s="22" t="n">
        <x:f t="shared" si="0">SUMIFS(X$25:X$240,$C$25:$C$240,$I11,$D$25:$D$240,"Модификатор")</x:f>
        <x:v>0</x:v>
      </x:c>
      <x:c r="Y11" s="22" t="n">
        <x:f t="shared" si="0">SUMIFS(Y$25:Y$240,$C$25:$C$240,$I11,$D$25:$D$240,"Модификатор")</x:f>
        <x:v>0</x:v>
      </x:c>
    </x:row>
    <x:row r="12">
      <x:c r="I12" t="s">
        <x:v>376</x:v>
      </x:c>
      <x:c r="J12" s="22" t="n">
        <x:f t="shared" si="0">SUMIFS(J$25:J$240,$C$25:$C$240,$I12,$D$25:$D$240,"Модификатор")</x:f>
        <x:v>0</x:v>
      </x:c>
      <x:c r="K12" s="22" t="n">
        <x:f t="shared" si="0">SUMIFS(K$25:K$240,$C$25:$C$240,$I12,$D$25:$D$240,"Модификатор")</x:f>
        <x:v>0</x:v>
      </x:c>
      <x:c r="L12" s="22" t="n">
        <x:f t="shared" si="0">SUMIFS(L$25:L$240,$C$25:$C$240,$I12,$D$25:$D$240,"Модификатор")</x:f>
        <x:v>0</x:v>
      </x:c>
      <x:c r="M12" s="22" t="n">
        <x:f t="shared" si="0">SUMIFS(M$25:M$240,$C$25:$C$240,$I12,$D$25:$D$240,"Модификатор")</x:f>
        <x:v>0</x:v>
      </x:c>
      <x:c r="N12" s="22" t="n">
        <x:f t="shared" si="0">SUMIFS(N$25:N$240,$C$25:$C$240,$I12,$D$25:$D$240,"Модификатор")</x:f>
        <x:v>0</x:v>
      </x:c>
      <x:c r="O12" s="22" t="n">
        <x:f t="shared" si="0">SUMIFS(O$25:O$240,$C$25:$C$240,$I12,$D$25:$D$240,"Модификатор")</x:f>
        <x:v>0</x:v>
      </x:c>
      <x:c r="P12" s="22" t="n">
        <x:f t="shared" si="0">SUMIFS(P$25:P$240,$C$25:$C$240,$I12,$D$25:$D$240,"Модификатор")</x:f>
        <x:v>0</x:v>
      </x:c>
      <x:c r="Q12" s="22" t="n">
        <x:f t="shared" si="0">SUMIFS(Q$25:Q$240,$C$25:$C$240,$I12,$D$25:$D$240,"Модификатор")</x:f>
        <x:v>0</x:v>
      </x:c>
      <x:c r="R12" s="22" t="n">
        <x:f t="shared" si="0">SUMIFS(R$25:R$240,$C$25:$C$240,$I12,$D$25:$D$240,"Модификатор")</x:f>
        <x:v>0</x:v>
      </x:c>
      <x:c r="S12" s="22" t="n">
        <x:f t="shared" si="0">SUMIFS(S$25:S$240,$C$25:$C$240,$I12,$D$25:$D$240,"Модификатор")</x:f>
        <x:v>0</x:v>
      </x:c>
      <x:c r="T12" s="22" t="n">
        <x:f t="shared" si="0">SUMIFS(T$25:T$240,$C$25:$C$240,$I12,$D$25:$D$240,"Модификатор")</x:f>
        <x:v>0</x:v>
      </x:c>
      <x:c r="U12" s="22" t="n">
        <x:f t="shared" si="0">SUMIFS(U$25:U$240,$C$25:$C$240,$I12,$D$25:$D$240,"Модификатор")</x:f>
        <x:v>0</x:v>
      </x:c>
      <x:c r="V12" s="22" t="n">
        <x:f t="shared" si="0">SUMIFS(V$25:V$240,$C$25:$C$240,$I12,$D$25:$D$240,"Модификатор")</x:f>
        <x:v>0</x:v>
      </x:c>
      <x:c r="W12" s="22" t="n">
        <x:f t="shared" si="0">SUMIFS(W$25:W$240,$C$25:$C$240,$I12,$D$25:$D$240,"Модификатор")</x:f>
        <x:v>0</x:v>
      </x:c>
      <x:c r="X12" s="22" t="n">
        <x:f t="shared" si="0">SUMIFS(X$25:X$240,$C$25:$C$240,$I12,$D$25:$D$240,"Модификатор")</x:f>
        <x:v>0</x:v>
      </x:c>
      <x:c r="Y12" s="22" t="n">
        <x:f t="shared" si="0">SUMIFS(Y$25:Y$240,$C$25:$C$240,$I12,$D$25:$D$240,"Модификатор")</x:f>
        <x:v>0</x:v>
      </x:c>
    </x:row>
    <x:row r="13">
      <x:c r="I13" t="s">
        <x:v>377</x:v>
      </x:c>
      <x:c r="J13" s="22" t="n">
        <x:f t="shared" si="0">SUMIFS(J$25:J$240,$C$25:$C$240,$I13,$D$25:$D$240,"Модификатор")</x:f>
        <x:v>0</x:v>
      </x:c>
      <x:c r="K13" s="22" t="n">
        <x:f t="shared" si="0">SUMIFS(K$25:K$240,$C$25:$C$240,$I13,$D$25:$D$240,"Модификатор")</x:f>
        <x:v>0</x:v>
      </x:c>
      <x:c r="L13" s="22" t="n">
        <x:f t="shared" si="0">SUMIFS(L$25:L$240,$C$25:$C$240,$I13,$D$25:$D$240,"Модификатор")</x:f>
        <x:v>0</x:v>
      </x:c>
      <x:c r="M13" s="22" t="n">
        <x:f t="shared" si="0">SUMIFS(M$25:M$240,$C$25:$C$240,$I13,$D$25:$D$240,"Модификатор")</x:f>
        <x:v>0</x:v>
      </x:c>
      <x:c r="N13" s="22" t="n">
        <x:f t="shared" si="0">SUMIFS(N$25:N$240,$C$25:$C$240,$I13,$D$25:$D$240,"Модификатор")</x:f>
        <x:v>0</x:v>
      </x:c>
      <x:c r="O13" s="22" t="n">
        <x:f t="shared" si="0">SUMIFS(O$25:O$240,$C$25:$C$240,$I13,$D$25:$D$240,"Модификатор")</x:f>
        <x:v>0</x:v>
      </x:c>
      <x:c r="P13" s="22" t="n">
        <x:f t="shared" si="0">SUMIFS(P$25:P$240,$C$25:$C$240,$I13,$D$25:$D$240,"Модификатор")</x:f>
        <x:v>0</x:v>
      </x:c>
      <x:c r="Q13" s="22" t="n">
        <x:f t="shared" si="0">SUMIFS(Q$25:Q$240,$C$25:$C$240,$I13,$D$25:$D$240,"Модификатор")</x:f>
        <x:v>0</x:v>
      </x:c>
      <x:c r="R13" s="22" t="n">
        <x:f t="shared" si="0">SUMIFS(R$25:R$240,$C$25:$C$240,$I13,$D$25:$D$240,"Модификатор")</x:f>
        <x:v>0</x:v>
      </x:c>
      <x:c r="S13" s="22" t="n">
        <x:f t="shared" si="0">SUMIFS(S$25:S$240,$C$25:$C$240,$I13,$D$25:$D$240,"Модификатор")</x:f>
        <x:v>0</x:v>
      </x:c>
      <x:c r="T13" s="22" t="n">
        <x:f t="shared" si="0">SUMIFS(T$25:T$240,$C$25:$C$240,$I13,$D$25:$D$240,"Модификатор")</x:f>
        <x:v>0</x:v>
      </x:c>
      <x:c r="U13" s="22" t="n">
        <x:f t="shared" si="0">SUMIFS(U$25:U$240,$C$25:$C$240,$I13,$D$25:$D$240,"Модификатор")</x:f>
        <x:v>0</x:v>
      </x:c>
      <x:c r="V13" s="22" t="n">
        <x:f t="shared" si="0">SUMIFS(V$25:V$240,$C$25:$C$240,$I13,$D$25:$D$240,"Модификатор")</x:f>
        <x:v>0</x:v>
      </x:c>
      <x:c r="W13" s="22" t="n">
        <x:f t="shared" si="0">SUMIFS(W$25:W$240,$C$25:$C$240,$I13,$D$25:$D$240,"Модификатор")</x:f>
        <x:v>0</x:v>
      </x:c>
      <x:c r="X13" s="22" t="n">
        <x:f t="shared" si="0">SUMIFS(X$25:X$240,$C$25:$C$240,$I13,$D$25:$D$240,"Модификатор")</x:f>
        <x:v>0</x:v>
      </x:c>
      <x:c r="Y13" s="22" t="n">
        <x:f t="shared" si="0">SUMIFS(Y$25:Y$240,$C$25:$C$240,$I13,$D$25:$D$240,"Модификатор")</x:f>
        <x:v>0</x:v>
      </x:c>
    </x:row>
    <x:row r="14">
      <x:c r="I14" t="s">
        <x:v>378</x:v>
      </x:c>
      <x:c r="J14" s="22" t="n">
        <x:f t="shared" si="0">SUMIFS(J$25:J$240,$C$25:$C$240,$I14,$D$25:$D$240,"Модификатор")</x:f>
        <x:v>0</x:v>
      </x:c>
      <x:c r="K14" s="22" t="n">
        <x:f t="shared" si="0">SUMIFS(K$25:K$240,$C$25:$C$240,$I14,$D$25:$D$240,"Модификатор")</x:f>
        <x:v>0</x:v>
      </x:c>
      <x:c r="L14" s="22" t="n">
        <x:f t="shared" si="0">SUMIFS(L$25:L$240,$C$25:$C$240,$I14,$D$25:$D$240,"Модификатор")</x:f>
        <x:v>0</x:v>
      </x:c>
      <x:c r="M14" s="22" t="n">
        <x:f t="shared" si="0">SUMIFS(M$25:M$240,$C$25:$C$240,$I14,$D$25:$D$240,"Модификатор")</x:f>
        <x:v>0</x:v>
      </x:c>
      <x:c r="N14" s="22" t="n">
        <x:f t="shared" si="0">SUMIFS(N$25:N$240,$C$25:$C$240,$I14,$D$25:$D$240,"Модификатор")</x:f>
        <x:v>0</x:v>
      </x:c>
      <x:c r="O14" s="22" t="n">
        <x:f t="shared" si="0">SUMIFS(O$25:O$240,$C$25:$C$240,$I14,$D$25:$D$240,"Модификатор")</x:f>
        <x:v>0</x:v>
      </x:c>
      <x:c r="P14" s="22" t="n">
        <x:f t="shared" si="0">SUMIFS(P$25:P$240,$C$25:$C$240,$I14,$D$25:$D$240,"Модификатор")</x:f>
        <x:v>0</x:v>
      </x:c>
      <x:c r="Q14" s="22" t="n">
        <x:f t="shared" si="0">SUMIFS(Q$25:Q$240,$C$25:$C$240,$I14,$D$25:$D$240,"Модификатор")</x:f>
        <x:v>0</x:v>
      </x:c>
      <x:c r="R14" s="22" t="n">
        <x:f t="shared" si="0">SUMIFS(R$25:R$240,$C$25:$C$240,$I14,$D$25:$D$240,"Модификатор")</x:f>
        <x:v>0</x:v>
      </x:c>
      <x:c r="S14" s="22" t="n">
        <x:f t="shared" si="0">SUMIFS(S$25:S$240,$C$25:$C$240,$I14,$D$25:$D$240,"Модификатор")</x:f>
        <x:v>0</x:v>
      </x:c>
      <x:c r="T14" s="22" t="n">
        <x:f t="shared" si="0">SUMIFS(T$25:T$240,$C$25:$C$240,$I14,$D$25:$D$240,"Модификатор")</x:f>
        <x:v>0</x:v>
      </x:c>
      <x:c r="U14" s="22" t="n">
        <x:f t="shared" si="0">SUMIFS(U$25:U$240,$C$25:$C$240,$I14,$D$25:$D$240,"Модификатор")</x:f>
        <x:v>0</x:v>
      </x:c>
      <x:c r="V14" s="22" t="n">
        <x:f t="shared" si="0">SUMIFS(V$25:V$240,$C$25:$C$240,$I14,$D$25:$D$240,"Модификатор")</x:f>
        <x:v>0</x:v>
      </x:c>
      <x:c r="W14" s="22" t="n">
        <x:f t="shared" si="0">SUMIFS(W$25:W$240,$C$25:$C$240,$I14,$D$25:$D$240,"Модификатор")</x:f>
        <x:v>0</x:v>
      </x:c>
      <x:c r="X14" s="22" t="n">
        <x:f t="shared" si="0">SUMIFS(X$25:X$240,$C$25:$C$240,$I14,$D$25:$D$240,"Модификатор")</x:f>
        <x:v>0</x:v>
      </x:c>
      <x:c r="Y14" s="22" t="n">
        <x:f t="shared" si="0">SUMIFS(Y$25:Y$240,$C$25:$C$240,$I14,$D$25:$D$240,"Модификатор")</x:f>
        <x:v>0</x:v>
      </x:c>
    </x:row>
    <x:row r="15">
      <x:c r="I15" t="s">
        <x:v>379</x:v>
      </x:c>
      <x:c r="J15" s="22" t="n">
        <x:f t="shared" si="0">SUMIFS(J$25:J$240,$C$25:$C$240,$I15,$D$25:$D$240,"Модификатор")</x:f>
        <x:v>0</x:v>
      </x:c>
      <x:c r="K15" s="22" t="n">
        <x:f t="shared" si="0">SUMIFS(K$25:K$240,$C$25:$C$240,$I15,$D$25:$D$240,"Модификатор")</x:f>
        <x:v>0</x:v>
      </x:c>
      <x:c r="L15" s="22" t="n">
        <x:f t="shared" si="0">SUMIFS(L$25:L$240,$C$25:$C$240,$I15,$D$25:$D$240,"Модификатор")</x:f>
        <x:v>0</x:v>
      </x:c>
      <x:c r="M15" s="22" t="n">
        <x:f t="shared" si="0">SUMIFS(M$25:M$240,$C$25:$C$240,$I15,$D$25:$D$240,"Модификатор")</x:f>
        <x:v>0</x:v>
      </x:c>
      <x:c r="N15" s="22" t="n">
        <x:f t="shared" si="0">SUMIFS(N$25:N$240,$C$25:$C$240,$I15,$D$25:$D$240,"Модификатор")</x:f>
        <x:v>0</x:v>
      </x:c>
      <x:c r="O15" s="22" t="n">
        <x:f t="shared" si="0">SUMIFS(O$25:O$240,$C$25:$C$240,$I15,$D$25:$D$240,"Модификатор")</x:f>
        <x:v>0</x:v>
      </x:c>
      <x:c r="P15" s="22" t="n">
        <x:f t="shared" si="0">SUMIFS(P$25:P$240,$C$25:$C$240,$I15,$D$25:$D$240,"Модификатор")</x:f>
        <x:v>0</x:v>
      </x:c>
      <x:c r="Q15" s="22" t="n">
        <x:f t="shared" si="0">SUMIFS(Q$25:Q$240,$C$25:$C$240,$I15,$D$25:$D$240,"Модификатор")</x:f>
        <x:v>0</x:v>
      </x:c>
      <x:c r="R15" s="22" t="n">
        <x:f t="shared" si="0">SUMIFS(R$25:R$240,$C$25:$C$240,$I15,$D$25:$D$240,"Модификатор")</x:f>
        <x:v>0</x:v>
      </x:c>
      <x:c r="S15" s="22" t="n">
        <x:f t="shared" si="0">SUMIFS(S$25:S$240,$C$25:$C$240,$I15,$D$25:$D$240,"Модификатор")</x:f>
        <x:v>0</x:v>
      </x:c>
      <x:c r="T15" s="22" t="n">
        <x:f t="shared" si="0">SUMIFS(T$25:T$240,$C$25:$C$240,$I15,$D$25:$D$240,"Модификатор")</x:f>
        <x:v>0</x:v>
      </x:c>
      <x:c r="U15" s="22" t="n">
        <x:f t="shared" si="0">SUMIFS(U$25:U$240,$C$25:$C$240,$I15,$D$25:$D$240,"Модификатор")</x:f>
        <x:v>0</x:v>
      </x:c>
      <x:c r="V15" s="22" t="n">
        <x:f t="shared" si="0">SUMIFS(V$25:V$240,$C$25:$C$240,$I15,$D$25:$D$240,"Модификатор")</x:f>
        <x:v>0</x:v>
      </x:c>
      <x:c r="W15" s="22" t="n">
        <x:f t="shared" si="0">SUMIFS(W$25:W$240,$C$25:$C$240,$I15,$D$25:$D$240,"Модификатор")</x:f>
        <x:v>0</x:v>
      </x:c>
      <x:c r="X15" s="22" t="n">
        <x:f t="shared" si="0">SUMIFS(X$25:X$240,$C$25:$C$240,$I15,$D$25:$D$240,"Модификатор")</x:f>
        <x:v>0</x:v>
      </x:c>
      <x:c r="Y15" s="22" t="n">
        <x:f t="shared" si="0">SUMIFS(Y$25:Y$240,$C$25:$C$240,$I15,$D$25:$D$240,"Модификатор")</x:f>
        <x:v>0</x:v>
      </x:c>
    </x:row>
    <x:row r="16">
      <x:c r="I16" t="s">
        <x:v>380</x:v>
      </x:c>
      <x:c r="J16" s="22" t="n">
        <x:f t="shared" si="0">SUMIFS(J$25:J$240,$C$25:$C$240,$I16,$D$25:$D$240,"Модификатор")</x:f>
        <x:v>0</x:v>
      </x:c>
      <x:c r="K16" s="22" t="n">
        <x:f t="shared" si="0">SUMIFS(K$25:K$240,$C$25:$C$240,$I16,$D$25:$D$240,"Модификатор")</x:f>
        <x:v>0</x:v>
      </x:c>
      <x:c r="L16" s="22" t="n">
        <x:f t="shared" si="0">SUMIFS(L$25:L$240,$C$25:$C$240,$I16,$D$25:$D$240,"Модификатор")</x:f>
        <x:v>0</x:v>
      </x:c>
      <x:c r="M16" s="22" t="n">
        <x:f t="shared" si="0">SUMIFS(M$25:M$240,$C$25:$C$240,$I16,$D$25:$D$240,"Модификатор")</x:f>
        <x:v>0</x:v>
      </x:c>
      <x:c r="N16" s="22" t="n">
        <x:f t="shared" si="0">SUMIFS(N$25:N$240,$C$25:$C$240,$I16,$D$25:$D$240,"Модификатор")</x:f>
        <x:v>0</x:v>
      </x:c>
      <x:c r="O16" s="22" t="n">
        <x:f t="shared" si="0">SUMIFS(O$25:O$240,$C$25:$C$240,$I16,$D$25:$D$240,"Модификатор")</x:f>
        <x:v>0</x:v>
      </x:c>
      <x:c r="P16" s="22" t="n">
        <x:f t="shared" si="0">SUMIFS(P$25:P$240,$C$25:$C$240,$I16,$D$25:$D$240,"Модификатор")</x:f>
        <x:v>0</x:v>
      </x:c>
      <x:c r="Q16" s="22" t="n">
        <x:f t="shared" si="0">SUMIFS(Q$25:Q$240,$C$25:$C$240,$I16,$D$25:$D$240,"Модификатор")</x:f>
        <x:v>0</x:v>
      </x:c>
      <x:c r="R16" s="22" t="n">
        <x:f t="shared" si="0">SUMIFS(R$25:R$240,$C$25:$C$240,$I16,$D$25:$D$240,"Модификатор")</x:f>
        <x:v>0</x:v>
      </x:c>
      <x:c r="S16" s="22" t="n">
        <x:f t="shared" si="0">SUMIFS(S$25:S$240,$C$25:$C$240,$I16,$D$25:$D$240,"Модификатор")</x:f>
        <x:v>0</x:v>
      </x:c>
      <x:c r="T16" s="22" t="n">
        <x:f t="shared" si="0">SUMIFS(T$25:T$240,$C$25:$C$240,$I16,$D$25:$D$240,"Модификатор")</x:f>
        <x:v>0</x:v>
      </x:c>
      <x:c r="U16" s="22" t="n">
        <x:f t="shared" si="0">SUMIFS(U$25:U$240,$C$25:$C$240,$I16,$D$25:$D$240,"Модификатор")</x:f>
        <x:v>0</x:v>
      </x:c>
      <x:c r="V16" s="22" t="n">
        <x:f t="shared" si="0">SUMIFS(V$25:V$240,$C$25:$C$240,$I16,$D$25:$D$240,"Модификатор")</x:f>
        <x:v>0</x:v>
      </x:c>
      <x:c r="W16" s="22" t="n">
        <x:f t="shared" si="0">SUMIFS(W$25:W$240,$C$25:$C$240,$I16,$D$25:$D$240,"Модификатор")</x:f>
        <x:v>0</x:v>
      </x:c>
      <x:c r="X16" s="22" t="n">
        <x:f t="shared" si="0">SUMIFS(X$25:X$240,$C$25:$C$240,$I16,$D$25:$D$240,"Модификатор")</x:f>
        <x:v>0</x:v>
      </x:c>
      <x:c r="Y16" s="22" t="n">
        <x:f t="shared" si="0">SUMIFS(Y$25:Y$240,$C$25:$C$240,$I16,$D$25:$D$240,"Модификатор")</x:f>
        <x:v>0</x:v>
      </x:c>
    </x:row>
    <x:row r="17">
      <x:c r="I17" t="s">
        <x:v>381</x:v>
      </x:c>
      <x:c r="J17" s="22" t="n">
        <x:f t="shared" si="0">SUMIFS(J$25:J$240,$C$25:$C$240,$I17,$D$25:$D$240,"Модификатор")</x:f>
        <x:v>0</x:v>
      </x:c>
      <x:c r="K17" s="22" t="n">
        <x:f t="shared" si="0">SUMIFS(K$25:K$240,$C$25:$C$240,$I17,$D$25:$D$240,"Модификатор")</x:f>
        <x:v>0</x:v>
      </x:c>
      <x:c r="L17" s="22" t="n">
        <x:f t="shared" si="0">SUMIFS(L$25:L$240,$C$25:$C$240,$I17,$D$25:$D$240,"Модификатор")</x:f>
        <x:v>0</x:v>
      </x:c>
      <x:c r="M17" s="22" t="n">
        <x:f t="shared" si="0">SUMIFS(M$25:M$240,$C$25:$C$240,$I17,$D$25:$D$240,"Модификатор")</x:f>
        <x:v>0</x:v>
      </x:c>
      <x:c r="N17" s="22" t="n">
        <x:f t="shared" si="0">SUMIFS(N$25:N$240,$C$25:$C$240,$I17,$D$25:$D$240,"Модификатор")</x:f>
        <x:v>0</x:v>
      </x:c>
      <x:c r="O17" s="22" t="n">
        <x:f t="shared" si="0">SUMIFS(O$25:O$240,$C$25:$C$240,$I17,$D$25:$D$240,"Модификатор")</x:f>
        <x:v>0</x:v>
      </x:c>
      <x:c r="P17" s="22" t="n">
        <x:f t="shared" si="0">SUMIFS(P$25:P$240,$C$25:$C$240,$I17,$D$25:$D$240,"Модификатор")</x:f>
        <x:v>0</x:v>
      </x:c>
      <x:c r="Q17" s="22" t="n">
        <x:f t="shared" si="0">SUMIFS(Q$25:Q$240,$C$25:$C$240,$I17,$D$25:$D$240,"Модификатор")</x:f>
        <x:v>0</x:v>
      </x:c>
      <x:c r="R17" s="22" t="n">
        <x:f t="shared" si="0">SUMIFS(R$25:R$240,$C$25:$C$240,$I17,$D$25:$D$240,"Модификатор")</x:f>
        <x:v>0</x:v>
      </x:c>
      <x:c r="S17" s="22" t="n">
        <x:f t="shared" si="0">SUMIFS(S$25:S$240,$C$25:$C$240,$I17,$D$25:$D$240,"Модификатор")</x:f>
        <x:v>0</x:v>
      </x:c>
      <x:c r="T17" s="22" t="n">
        <x:f t="shared" si="0">SUMIFS(T$25:T$240,$C$25:$C$240,$I17,$D$25:$D$240,"Модификатор")</x:f>
        <x:v>0</x:v>
      </x:c>
      <x:c r="U17" s="22" t="n">
        <x:f t="shared" si="0">SUMIFS(U$25:U$240,$C$25:$C$240,$I17,$D$25:$D$240,"Модификатор")</x:f>
        <x:v>0</x:v>
      </x:c>
      <x:c r="V17" s="22" t="n">
        <x:f t="shared" si="0">SUMIFS(V$25:V$240,$C$25:$C$240,$I17,$D$25:$D$240,"Модификатор")</x:f>
        <x:v>0</x:v>
      </x:c>
      <x:c r="W17" s="22" t="n">
        <x:f t="shared" si="0">SUMIFS(W$25:W$240,$C$25:$C$240,$I17,$D$25:$D$240,"Модификатор")</x:f>
        <x:v>0</x:v>
      </x:c>
      <x:c r="X17" s="22" t="n">
        <x:f t="shared" si="0">SUMIFS(X$25:X$240,$C$25:$C$240,$I17,$D$25:$D$240,"Модификатор")</x:f>
        <x:v>0</x:v>
      </x:c>
      <x:c r="Y17" s="22" t="n">
        <x:f t="shared" si="0">SUMIFS(Y$25:Y$240,$C$25:$C$240,$I17,$D$25:$D$240,"Модификатор")</x:f>
        <x:v>0</x:v>
      </x:c>
    </x:row>
    <x:row r="18">
      <x:c r="I18" t="s">
        <x:v>382</x:v>
      </x:c>
      <x:c r="J18" s="22" t="n">
        <x:f t="shared" si="0">SUMIFS(J$25:J$240,$C$25:$C$240,$I18,$D$25:$D$240,"Модификатор")</x:f>
        <x:v>0</x:v>
      </x:c>
      <x:c r="K18" s="22" t="n">
        <x:f t="shared" si="0">SUMIFS(K$25:K$240,$C$25:$C$240,$I18,$D$25:$D$240,"Модификатор")</x:f>
        <x:v>0</x:v>
      </x:c>
      <x:c r="L18" s="22" t="n">
        <x:f t="shared" si="0">SUMIFS(L$25:L$240,$C$25:$C$240,$I18,$D$25:$D$240,"Модификатор")</x:f>
        <x:v>0</x:v>
      </x:c>
      <x:c r="M18" s="22" t="n">
        <x:f t="shared" si="0">SUMIFS(M$25:M$240,$C$25:$C$240,$I18,$D$25:$D$240,"Модификатор")</x:f>
        <x:v>0</x:v>
      </x:c>
      <x:c r="N18" s="22" t="n">
        <x:f t="shared" si="0">SUMIFS(N$25:N$240,$C$25:$C$240,$I18,$D$25:$D$240,"Модификатор")</x:f>
        <x:v>0</x:v>
      </x:c>
      <x:c r="O18" s="22" t="n">
        <x:f t="shared" si="0">SUMIFS(O$25:O$240,$C$25:$C$240,$I18,$D$25:$D$240,"Модификатор")</x:f>
        <x:v>0</x:v>
      </x:c>
      <x:c r="P18" s="22" t="n">
        <x:f t="shared" si="0">SUMIFS(P$25:P$240,$C$25:$C$240,$I18,$D$25:$D$240,"Модификатор")</x:f>
        <x:v>0</x:v>
      </x:c>
      <x:c r="Q18" s="22" t="n">
        <x:f t="shared" si="0">SUMIFS(Q$25:Q$240,$C$25:$C$240,$I18,$D$25:$D$240,"Модификатор")</x:f>
        <x:v>0</x:v>
      </x:c>
      <x:c r="R18" s="22" t="n">
        <x:f t="shared" si="0">SUMIFS(R$25:R$240,$C$25:$C$240,$I18,$D$25:$D$240,"Модификатор")</x:f>
        <x:v>0</x:v>
      </x:c>
      <x:c r="S18" s="22" t="n">
        <x:f t="shared" si="0">SUMIFS(S$25:S$240,$C$25:$C$240,$I18,$D$25:$D$240,"Модификатор")</x:f>
        <x:v>0</x:v>
      </x:c>
      <x:c r="T18" s="22" t="n">
        <x:f t="shared" si="0">SUMIFS(T$25:T$240,$C$25:$C$240,$I18,$D$25:$D$240,"Модификатор")</x:f>
        <x:v>0</x:v>
      </x:c>
      <x:c r="U18" s="22" t="n">
        <x:f t="shared" si="0">SUMIFS(U$25:U$240,$C$25:$C$240,$I18,$D$25:$D$240,"Модификатор")</x:f>
        <x:v>0</x:v>
      </x:c>
      <x:c r="V18" s="22" t="n">
        <x:f t="shared" si="0">SUMIFS(V$25:V$240,$C$25:$C$240,$I18,$D$25:$D$240,"Модификатор")</x:f>
        <x:v>0</x:v>
      </x:c>
      <x:c r="W18" s="22" t="n">
        <x:f t="shared" si="0">SUMIFS(W$25:W$240,$C$25:$C$240,$I18,$D$25:$D$240,"Модификатор")</x:f>
        <x:v>0</x:v>
      </x:c>
      <x:c r="X18" s="22" t="n">
        <x:f t="shared" si="0">SUMIFS(X$25:X$240,$C$25:$C$240,$I18,$D$25:$D$240,"Модификатор")</x:f>
        <x:v>0</x:v>
      </x:c>
      <x:c r="Y18" s="22" t="n">
        <x:f t="shared" si="0">SUMIFS(Y$25:Y$240,$C$25:$C$240,$I18,$D$25:$D$240,"Модификатор")</x:f>
        <x:v>0</x:v>
      </x:c>
    </x:row>
    <x:row r="19">
      <x:c r="I19" t="s">
        <x:v>383</x:v>
      </x:c>
      <x:c r="J19" s="23" t="n">
        <x:f t="shared" ref="J19:Y19" si="1">SUMIFS(J$25:J$240,$C$25:$C$240,$I19,$D$25:$D$240,"Доступ")</x:f>
        <x:v>0</x:v>
      </x:c>
      <x:c r="K19" s="23" t="n">
        <x:f t="shared" si="1">SUMIFS(K$25:K$240,$C$25:$C$240,$I19,$D$25:$D$240,"Доступ")</x:f>
        <x:v>0</x:v>
      </x:c>
      <x:c r="L19" s="23" t="n">
        <x:f t="shared" si="1">SUMIFS(L$25:L$240,$C$25:$C$240,$I19,$D$25:$D$240,"Доступ")</x:f>
        <x:v>0</x:v>
      </x:c>
      <x:c r="M19" s="23" t="n">
        <x:f t="shared" si="1">SUMIFS(M$25:M$240,$C$25:$C$240,$I19,$D$25:$D$240,"Доступ")</x:f>
        <x:v>0</x:v>
      </x:c>
      <x:c r="N19" s="23" t="n">
        <x:f t="shared" si="1">SUMIFS(N$25:N$240,$C$25:$C$240,$I19,$D$25:$D$240,"Доступ")</x:f>
        <x:v>0</x:v>
      </x:c>
      <x:c r="O19" s="23" t="n">
        <x:f t="shared" si="1">SUMIFS(O$25:O$240,$C$25:$C$240,$I19,$D$25:$D$240,"Доступ")</x:f>
        <x:v>0</x:v>
      </x:c>
      <x:c r="P19" s="23" t="n">
        <x:f t="shared" si="1">SUMIFS(P$25:P$240,$C$25:$C$240,$I19,$D$25:$D$240,"Доступ")</x:f>
        <x:v>0</x:v>
      </x:c>
      <x:c r="Q19" s="23" t="n">
        <x:f t="shared" si="1">SUMIFS(Q$25:Q$240,$C$25:$C$240,$I19,$D$25:$D$240,"Доступ")</x:f>
        <x:v>0</x:v>
      </x:c>
      <x:c r="R19" s="23" t="n">
        <x:f t="shared" si="1">SUMIFS(R$25:R$240,$C$25:$C$240,$I19,$D$25:$D$240,"Доступ")</x:f>
        <x:v>0</x:v>
      </x:c>
      <x:c r="S19" s="23" t="n">
        <x:f t="shared" si="1">SUMIFS(S$25:S$240,$C$25:$C$240,$I19,$D$25:$D$240,"Доступ")</x:f>
        <x:v>0</x:v>
      </x:c>
      <x:c r="T19" s="23" t="n">
        <x:f t="shared" si="1">SUMIFS(T$25:T$240,$C$25:$C$240,$I19,$D$25:$D$240,"Доступ")</x:f>
        <x:v>0</x:v>
      </x:c>
      <x:c r="U19" s="23" t="n">
        <x:f t="shared" si="1">SUMIFS(U$25:U$240,$C$25:$C$240,$I19,$D$25:$D$240,"Доступ")</x:f>
        <x:v>0</x:v>
      </x:c>
      <x:c r="V19" s="23" t="n">
        <x:f t="shared" si="1">SUMIFS(V$25:V$240,$C$25:$C$240,$I19,$D$25:$D$240,"Доступ")</x:f>
        <x:v>0</x:v>
      </x:c>
      <x:c r="W19" s="23" t="n">
        <x:f t="shared" si="1">SUMIFS(W$25:W$240,$C$25:$C$240,$I19,$D$25:$D$240,"Доступ")</x:f>
        <x:v>0</x:v>
      </x:c>
      <x:c r="X19" s="23" t="n">
        <x:f t="shared" si="1">SUMIFS(X$25:X$240,$C$25:$C$240,$I19,$D$25:$D$240,"Доступ")</x:f>
        <x:v>0</x:v>
      </x:c>
      <x:c r="Y19" s="23" t="n">
        <x:f t="shared" si="1">SUMIFS(Y$25:Y$240,$C$25:$C$240,$I19,$D$25:$D$240,"Доступ")</x:f>
        <x:v>0</x:v>
      </x:c>
    </x:row>
    <x:row r="24" ht="28.950000762939453" customHeight="1">
      <x:c r="A24" s="16" t="s">
        <x:v>384</x:v>
      </x:c>
      <x:c r="B24" s="16" t="s">
        <x:v>9</x:v>
      </x:c>
      <x:c r="C24" s="16" t="s">
        <x:v>385</x:v>
      </x:c>
      <x:c r="D24" s="16" t="s">
        <x:v>386</x:v>
      </x:c>
      <x:c r="E24" s="16" t="s">
        <x:v>387</x:v>
      </x:c>
      <x:c r="F24" s="16" t="s">
        <x:v>388</x:v>
      </x:c>
      <x:c r="G24" s="16" t="s">
        <x:v>389</x:v>
      </x:c>
    </x:row>
    <x:row r="25">
      <x:c r="A25" s="24" t="s">
        <x:v>66</x:v>
      </x:c>
      <x:c r="B25" s="25" t="s">
        <x:v>69</x:v>
      </x:c>
      <x:c r="C25" s="25" t="s">
        <x:v>272</x:v>
      </x:c>
      <x:c r="D25" s="25" t="s">
        <x:v>387</x:v>
      </x:c>
      <x:c r="E25" s="26">
        <x:v>0.2</x:v>
      </x:c>
      <x:c r="F25" s="25" t="str">
        <x:f>IF(Технологии!BH11="","",Технологии!BH11)</x:f>
      </x:c>
      <x:c r="G25" s="25" t="s">
        <x:v>390</x:v>
      </x:c>
      <x:c r="J25" s="21" t="n">
        <x:f>0</x:f>
        <x:v>0</x:v>
      </x:c>
      <x:c r="K25" s="21" t="n">
        <x:f>IF(Технологии!AR11="ИЗУЧЕНО",$E25,0)</x:f>
        <x:v>0</x:v>
      </x:c>
      <x:c r="L25" s="21" t="n">
        <x:f>IF(Технологии!AS11="ИЗУЧЕНО",$E25,0)</x:f>
        <x:v>0</x:v>
      </x:c>
      <x:c r="M25" s="21" t="n">
        <x:f>IF(Технологии!AT11="ИЗУЧЕНО",$E25,0)</x:f>
        <x:v>0</x:v>
      </x:c>
      <x:c r="N25" s="21" t="n">
        <x:f>IF(Технологии!AU11="ИЗУЧЕНО",$E25,0)</x:f>
        <x:v>0</x:v>
      </x:c>
      <x:c r="O25" s="21" t="n">
        <x:f>IF(Технологии!AV11="ИЗУЧЕНО",$E25,0)</x:f>
        <x:v>0</x:v>
      </x:c>
      <x:c r="P25" s="21" t="n">
        <x:f>IF(Технологии!AW11="ИЗУЧЕНО",$E25,0)</x:f>
        <x:v>0</x:v>
      </x:c>
      <x:c r="Q25" s="21" t="n">
        <x:f>IF(Технологии!AX11="ИЗУЧЕНО",$E25,0)</x:f>
        <x:v>0</x:v>
      </x:c>
      <x:c r="R25" s="21" t="n">
        <x:f>IF(Технологии!AY11="ИЗУЧЕНО",$E25,0)</x:f>
        <x:v>0</x:v>
      </x:c>
      <x:c r="S25" s="21" t="n">
        <x:f>IF(Технологии!AZ11="ИЗУЧЕНО",$E25,0)</x:f>
        <x:v>0</x:v>
      </x:c>
      <x:c r="T25" s="21" t="n">
        <x:f>IF(Технологии!BA11="ИЗУЧЕНО",$E25,0)</x:f>
        <x:v>0</x:v>
      </x:c>
      <x:c r="U25" s="21" t="n">
        <x:f>IF(Технологии!BB11="ИЗУЧЕНО",$E25,0)</x:f>
        <x:v>0</x:v>
      </x:c>
      <x:c r="V25" s="21" t="n">
        <x:f>IF(Технологии!BC11="ИЗУЧЕНО",$E25,0)</x:f>
        <x:v>0</x:v>
      </x:c>
      <x:c r="W25" s="21" t="n">
        <x:f>IF(Технологии!BD11="ИЗУЧЕНО",$E25,0)</x:f>
        <x:v>0</x:v>
      </x:c>
      <x:c r="X25" s="21" t="n">
        <x:f>IF(Технологии!BE11="ИЗУЧЕНО",$E25,0)</x:f>
        <x:v>0</x:v>
      </x:c>
      <x:c r="Y25" s="21" t="n">
        <x:f>IF(Технологии!BF11="ИЗУЧЕНО",$E25,0)</x:f>
        <x:v>0</x:v>
      </x:c>
    </x:row>
    <x:row r="26">
      <x:c r="A26" s="19" t="s">
        <x:v>72</x:v>
      </x:c>
      <x:c r="B26" s="18" t="s">
        <x:v>74</x:v>
      </x:c>
      <x:c r="C26" s="18" t="s">
        <x:v>272</x:v>
      </x:c>
      <x:c r="D26" s="18" t="s">
        <x:v>387</x:v>
      </x:c>
      <x:c r="E26" s="20">
        <x:v>0.3</x:v>
      </x:c>
      <x:c r="F26" s="18" t="str">
        <x:f>IF(Технологии!BH12="","",Технологии!BH12)</x:f>
      </x:c>
      <x:c r="G26" s="18" t="s">
        <x:v>391</x:v>
      </x:c>
      <x:c r="J26" s="21" t="n">
        <x:f>0</x:f>
        <x:v>0</x:v>
      </x:c>
      <x:c r="K26" s="21" t="n">
        <x:f>IF(Технологии!AR12="ИЗУЧЕНО",$E26,0)</x:f>
        <x:v>0</x:v>
      </x:c>
      <x:c r="L26" s="21" t="n">
        <x:f>IF(Технологии!AS12="ИЗУЧЕНО",$E26,0)</x:f>
        <x:v>0</x:v>
      </x:c>
      <x:c r="M26" s="21" t="n">
        <x:f>IF(Технологии!AT12="ИЗУЧЕНО",$E26,0)</x:f>
        <x:v>0</x:v>
      </x:c>
      <x:c r="N26" s="21" t="n">
        <x:f>IF(Технологии!AU12="ИЗУЧЕНО",$E26,0)</x:f>
        <x:v>0</x:v>
      </x:c>
      <x:c r="O26" s="21" t="n">
        <x:f>IF(Технологии!AV12="ИЗУЧЕНО",$E26,0)</x:f>
        <x:v>0</x:v>
      </x:c>
      <x:c r="P26" s="21" t="n">
        <x:f>IF(Технологии!AW12="ИЗУЧЕНО",$E26,0)</x:f>
        <x:v>0</x:v>
      </x:c>
      <x:c r="Q26" s="21" t="n">
        <x:f>IF(Технологии!AX12="ИЗУЧЕНО",$E26,0)</x:f>
        <x:v>0</x:v>
      </x:c>
      <x:c r="R26" s="21" t="n">
        <x:f>IF(Технологии!AY12="ИЗУЧЕНО",$E26,0)</x:f>
        <x:v>0</x:v>
      </x:c>
      <x:c r="S26" s="21" t="n">
        <x:f>IF(Технологии!AZ12="ИЗУЧЕНО",$E26,0)</x:f>
        <x:v>0</x:v>
      </x:c>
      <x:c r="T26" s="21" t="n">
        <x:f>IF(Технологии!BA12="ИЗУЧЕНО",$E26,0)</x:f>
        <x:v>0</x:v>
      </x:c>
      <x:c r="U26" s="21" t="n">
        <x:f>IF(Технологии!BB12="ИЗУЧЕНО",$E26,0)</x:f>
        <x:v>0</x:v>
      </x:c>
      <x:c r="V26" s="21" t="n">
        <x:f>IF(Технологии!BC12="ИЗУЧЕНО",$E26,0)</x:f>
        <x:v>0</x:v>
      </x:c>
      <x:c r="W26" s="21" t="n">
        <x:f>IF(Технологии!BD12="ИЗУЧЕНО",$E26,0)</x:f>
        <x:v>0</x:v>
      </x:c>
      <x:c r="X26" s="21" t="n">
        <x:f>IF(Технологии!BE12="ИЗУЧЕНО",$E26,0)</x:f>
        <x:v>0</x:v>
      </x:c>
      <x:c r="Y26" s="21" t="n">
        <x:f>IF(Технологии!BF12="ИЗУЧЕНО",$E26,0)</x:f>
        <x:v>0</x:v>
      </x:c>
    </x:row>
    <x:row r="27">
      <x:c r="A27" s="19" t="s">
        <x:v>72</x:v>
      </x:c>
      <x:c r="B27" s="18" t="s">
        <x:v>74</x:v>
      </x:c>
      <x:c r="C27" s="18" t="s">
        <x:v>282</x:v>
      </x:c>
      <x:c r="D27" s="18" t="s">
        <x:v>387</x:v>
      </x:c>
      <x:c r="E27" s="20">
        <x:v>0.2</x:v>
      </x:c>
      <x:c r="F27" s="18" t="str">
        <x:f>IF(Технологии!BH12="","",Технологии!BH12)</x:f>
      </x:c>
      <x:c r="G27" s="18" t="s">
        <x:v>392</x:v>
      </x:c>
      <x:c r="J27" s="21" t="n">
        <x:f>0</x:f>
        <x:v>0</x:v>
      </x:c>
      <x:c r="K27" s="21" t="n">
        <x:f>IF(Технологии!AR12="ИЗУЧЕНО",$E27,0)</x:f>
        <x:v>0</x:v>
      </x:c>
      <x:c r="L27" s="21" t="n">
        <x:f>IF(Технологии!AS12="ИЗУЧЕНО",$E27,0)</x:f>
        <x:v>0</x:v>
      </x:c>
      <x:c r="M27" s="21" t="n">
        <x:f>IF(Технологии!AT12="ИЗУЧЕНО",$E27,0)</x:f>
        <x:v>0</x:v>
      </x:c>
      <x:c r="N27" s="21" t="n">
        <x:f>IF(Технологии!AU12="ИЗУЧЕНО",$E27,0)</x:f>
        <x:v>0</x:v>
      </x:c>
      <x:c r="O27" s="21" t="n">
        <x:f>IF(Технологии!AV12="ИЗУЧЕНО",$E27,0)</x:f>
        <x:v>0</x:v>
      </x:c>
      <x:c r="P27" s="21" t="n">
        <x:f>IF(Технологии!AW12="ИЗУЧЕНО",$E27,0)</x:f>
        <x:v>0</x:v>
      </x:c>
      <x:c r="Q27" s="21" t="n">
        <x:f>IF(Технологии!AX12="ИЗУЧЕНО",$E27,0)</x:f>
        <x:v>0</x:v>
      </x:c>
      <x:c r="R27" s="21" t="n">
        <x:f>IF(Технологии!AY12="ИЗУЧЕНО",$E27,0)</x:f>
        <x:v>0</x:v>
      </x:c>
      <x:c r="S27" s="21" t="n">
        <x:f>IF(Технологии!AZ12="ИЗУЧЕНО",$E27,0)</x:f>
        <x:v>0</x:v>
      </x:c>
      <x:c r="T27" s="21" t="n">
        <x:f>IF(Технологии!BA12="ИЗУЧЕНО",$E27,0)</x:f>
        <x:v>0</x:v>
      </x:c>
      <x:c r="U27" s="21" t="n">
        <x:f>IF(Технологии!BB12="ИЗУЧЕНО",$E27,0)</x:f>
        <x:v>0</x:v>
      </x:c>
      <x:c r="V27" s="21" t="n">
        <x:f>IF(Технологии!BC12="ИЗУЧЕНО",$E27,0)</x:f>
        <x:v>0</x:v>
      </x:c>
      <x:c r="W27" s="21" t="n">
        <x:f>IF(Технологии!BD12="ИЗУЧЕНО",$E27,0)</x:f>
        <x:v>0</x:v>
      </x:c>
      <x:c r="X27" s="21" t="n">
        <x:f>IF(Технологии!BE12="ИЗУЧЕНО",$E27,0)</x:f>
        <x:v>0</x:v>
      </x:c>
      <x:c r="Y27" s="21" t="n">
        <x:f>IF(Технологии!BF12="ИЗУЧЕНО",$E27,0)</x:f>
        <x:v>0</x:v>
      </x:c>
    </x:row>
    <x:row r="28">
      <x:c r="A28" s="19" t="s">
        <x:v>72</x:v>
      </x:c>
      <x:c r="B28" s="18" t="s">
        <x:v>74</x:v>
      </x:c>
      <x:c r="C28" s="18" t="s">
        <x:v>256</x:v>
      </x:c>
      <x:c r="D28" s="18" t="s">
        <x:v>387</x:v>
      </x:c>
      <x:c r="E28" s="20">
        <x:v>-0.15</x:v>
      </x:c>
      <x:c r="F28" s="18" t="str">
        <x:f>IF(Технологии!BH12="","",Технологии!BH12)</x:f>
      </x:c>
      <x:c r="G28" s="18" t="s">
        <x:v>393</x:v>
      </x:c>
      <x:c r="J28" s="21" t="n">
        <x:f>0</x:f>
        <x:v>0</x:v>
      </x:c>
      <x:c r="K28" s="21" t="n">
        <x:f>IF(Технологии!AR12="ИЗУЧЕНО",$E28,0)</x:f>
        <x:v>0</x:v>
      </x:c>
      <x:c r="L28" s="21" t="n">
        <x:f>IF(Технологии!AS12="ИЗУЧЕНО",$E28,0)</x:f>
        <x:v>0</x:v>
      </x:c>
      <x:c r="M28" s="21" t="n">
        <x:f>IF(Технологии!AT12="ИЗУЧЕНО",$E28,0)</x:f>
        <x:v>0</x:v>
      </x:c>
      <x:c r="N28" s="21" t="n">
        <x:f>IF(Технологии!AU12="ИЗУЧЕНО",$E28,0)</x:f>
        <x:v>0</x:v>
      </x:c>
      <x:c r="O28" s="21" t="n">
        <x:f>IF(Технологии!AV12="ИЗУЧЕНО",$E28,0)</x:f>
        <x:v>0</x:v>
      </x:c>
      <x:c r="P28" s="21" t="n">
        <x:f>IF(Технологии!AW12="ИЗУЧЕНО",$E28,0)</x:f>
        <x:v>0</x:v>
      </x:c>
      <x:c r="Q28" s="21" t="n">
        <x:f>IF(Технологии!AX12="ИЗУЧЕНО",$E28,0)</x:f>
        <x:v>0</x:v>
      </x:c>
      <x:c r="R28" s="21" t="n">
        <x:f>IF(Технологии!AY12="ИЗУЧЕНО",$E28,0)</x:f>
        <x:v>0</x:v>
      </x:c>
      <x:c r="S28" s="21" t="n">
        <x:f>IF(Технологии!AZ12="ИЗУЧЕНО",$E28,0)</x:f>
        <x:v>0</x:v>
      </x:c>
      <x:c r="T28" s="21" t="n">
        <x:f>IF(Технологии!BA12="ИЗУЧЕНО",$E28,0)</x:f>
        <x:v>0</x:v>
      </x:c>
      <x:c r="U28" s="21" t="n">
        <x:f>IF(Технологии!BB12="ИЗУЧЕНО",$E28,0)</x:f>
        <x:v>0</x:v>
      </x:c>
      <x:c r="V28" s="21" t="n">
        <x:f>IF(Технологии!BC12="ИЗУЧЕНО",$E28,0)</x:f>
        <x:v>0</x:v>
      </x:c>
      <x:c r="W28" s="21" t="n">
        <x:f>IF(Технологии!BD12="ИЗУЧЕНО",$E28,0)</x:f>
        <x:v>0</x:v>
      </x:c>
      <x:c r="X28" s="21" t="n">
        <x:f>IF(Технологии!BE12="ИЗУЧЕНО",$E28,0)</x:f>
        <x:v>0</x:v>
      </x:c>
      <x:c r="Y28" s="21" t="n">
        <x:f>IF(Технологии!BF12="ИЗУЧЕНО",$E28,0)</x:f>
        <x:v>0</x:v>
      </x:c>
    </x:row>
    <x:row r="29">
      <x:c r="A29" s="19" t="s">
        <x:v>77</x:v>
      </x:c>
      <x:c r="B29" s="18" t="s">
        <x:v>78</x:v>
      </x:c>
      <x:c r="C29" s="18" t="s">
        <x:v>270</x:v>
      </x:c>
      <x:c r="D29" s="18" t="s">
        <x:v>387</x:v>
      </x:c>
      <x:c r="E29" s="20">
        <x:v>0.4</x:v>
      </x:c>
      <x:c r="F29" s="18" t="str">
        <x:f>IF(Технологии!BH13="","",Технологии!BH13)</x:f>
      </x:c>
      <x:c r="G29" s="18" t="s">
        <x:v>394</x:v>
      </x:c>
      <x:c r="J29" s="21" t="n">
        <x:f>0</x:f>
        <x:v>0</x:v>
      </x:c>
      <x:c r="K29" s="21" t="n">
        <x:f>IF(Технологии!AR13="ИЗУЧЕНО",$E29,0)</x:f>
        <x:v>0</x:v>
      </x:c>
      <x:c r="L29" s="21" t="n">
        <x:f>IF(Технологии!AS13="ИЗУЧЕНО",$E29,0)</x:f>
        <x:v>0</x:v>
      </x:c>
      <x:c r="M29" s="21" t="n">
        <x:f>IF(Технологии!AT13="ИЗУЧЕНО",$E29,0)</x:f>
        <x:v>0</x:v>
      </x:c>
      <x:c r="N29" s="21" t="n">
        <x:f>IF(Технологии!AU13="ИЗУЧЕНО",$E29,0)</x:f>
        <x:v>0</x:v>
      </x:c>
      <x:c r="O29" s="21" t="n">
        <x:f>IF(Технологии!AV13="ИЗУЧЕНО",$E29,0)</x:f>
        <x:v>0</x:v>
      </x:c>
      <x:c r="P29" s="21" t="n">
        <x:f>IF(Технологии!AW13="ИЗУЧЕНО",$E29,0)</x:f>
        <x:v>0</x:v>
      </x:c>
      <x:c r="Q29" s="21" t="n">
        <x:f>IF(Технологии!AX13="ИЗУЧЕНО",$E29,0)</x:f>
        <x:v>0</x:v>
      </x:c>
      <x:c r="R29" s="21" t="n">
        <x:f>IF(Технологии!AY13="ИЗУЧЕНО",$E29,0)</x:f>
        <x:v>0</x:v>
      </x:c>
      <x:c r="S29" s="21" t="n">
        <x:f>IF(Технологии!AZ13="ИЗУЧЕНО",$E29,0)</x:f>
        <x:v>0</x:v>
      </x:c>
      <x:c r="T29" s="21" t="n">
        <x:f>IF(Технологии!BA13="ИЗУЧЕНО",$E29,0)</x:f>
        <x:v>0</x:v>
      </x:c>
      <x:c r="U29" s="21" t="n">
        <x:f>IF(Технологии!BB13="ИЗУЧЕНО",$E29,0)</x:f>
        <x:v>0</x:v>
      </x:c>
      <x:c r="V29" s="21" t="n">
        <x:f>IF(Технологии!BC13="ИЗУЧЕНО",$E29,0)</x:f>
        <x:v>0</x:v>
      </x:c>
      <x:c r="W29" s="21" t="n">
        <x:f>IF(Технологии!BD13="ИЗУЧЕНО",$E29,0)</x:f>
        <x:v>0</x:v>
      </x:c>
      <x:c r="X29" s="21" t="n">
        <x:f>IF(Технологии!BE13="ИЗУЧЕНО",$E29,0)</x:f>
        <x:v>0</x:v>
      </x:c>
      <x:c r="Y29" s="21" t="n">
        <x:f>IF(Технологии!BF13="ИЗУЧЕНО",$E29,0)</x:f>
        <x:v>0</x:v>
      </x:c>
    </x:row>
    <x:row r="30">
      <x:c r="A30" s="19" t="s">
        <x:v>77</x:v>
      </x:c>
      <x:c r="B30" s="18" t="s">
        <x:v>78</x:v>
      </x:c>
      <x:c r="C30" s="18" t="s">
        <x:v>272</x:v>
      </x:c>
      <x:c r="D30" s="18" t="s">
        <x:v>387</x:v>
      </x:c>
      <x:c r="E30" s="20">
        <x:v>0.2</x:v>
      </x:c>
      <x:c r="F30" s="18" t="str">
        <x:f>IF(Технологии!BH13="","",Технологии!BH13)</x:f>
      </x:c>
      <x:c r="G30" s="18" t="s">
        <x:v>390</x:v>
      </x:c>
      <x:c r="J30" s="21" t="n">
        <x:f>0</x:f>
        <x:v>0</x:v>
      </x:c>
      <x:c r="K30" s="21" t="n">
        <x:f>IF(Технологии!AR13="ИЗУЧЕНО",$E30,0)</x:f>
        <x:v>0</x:v>
      </x:c>
      <x:c r="L30" s="21" t="n">
        <x:f>IF(Технологии!AS13="ИЗУЧЕНО",$E30,0)</x:f>
        <x:v>0</x:v>
      </x:c>
      <x:c r="M30" s="21" t="n">
        <x:f>IF(Технологии!AT13="ИЗУЧЕНО",$E30,0)</x:f>
        <x:v>0</x:v>
      </x:c>
      <x:c r="N30" s="21" t="n">
        <x:f>IF(Технологии!AU13="ИЗУЧЕНО",$E30,0)</x:f>
        <x:v>0</x:v>
      </x:c>
      <x:c r="O30" s="21" t="n">
        <x:f>IF(Технологии!AV13="ИЗУЧЕНО",$E30,0)</x:f>
        <x:v>0</x:v>
      </x:c>
      <x:c r="P30" s="21" t="n">
        <x:f>IF(Технологии!AW13="ИЗУЧЕНО",$E30,0)</x:f>
        <x:v>0</x:v>
      </x:c>
      <x:c r="Q30" s="21" t="n">
        <x:f>IF(Технологии!AX13="ИЗУЧЕНО",$E30,0)</x:f>
        <x:v>0</x:v>
      </x:c>
      <x:c r="R30" s="21" t="n">
        <x:f>IF(Технологии!AY13="ИЗУЧЕНО",$E30,0)</x:f>
        <x:v>0</x:v>
      </x:c>
      <x:c r="S30" s="21" t="n">
        <x:f>IF(Технологии!AZ13="ИЗУЧЕНО",$E30,0)</x:f>
        <x:v>0</x:v>
      </x:c>
      <x:c r="T30" s="21" t="n">
        <x:f>IF(Технологии!BA13="ИЗУЧЕНО",$E30,0)</x:f>
        <x:v>0</x:v>
      </x:c>
      <x:c r="U30" s="21" t="n">
        <x:f>IF(Технологии!BB13="ИЗУЧЕНО",$E30,0)</x:f>
        <x:v>0</x:v>
      </x:c>
      <x:c r="V30" s="21" t="n">
        <x:f>IF(Технологии!BC13="ИЗУЧЕНО",$E30,0)</x:f>
        <x:v>0</x:v>
      </x:c>
      <x:c r="W30" s="21" t="n">
        <x:f>IF(Технологии!BD13="ИЗУЧЕНО",$E30,0)</x:f>
        <x:v>0</x:v>
      </x:c>
      <x:c r="X30" s="21" t="n">
        <x:f>IF(Технологии!BE13="ИЗУЧЕНО",$E30,0)</x:f>
        <x:v>0</x:v>
      </x:c>
      <x:c r="Y30" s="21" t="n">
        <x:f>IF(Технологии!BF13="ИЗУЧЕНО",$E30,0)</x:f>
        <x:v>0</x:v>
      </x:c>
    </x:row>
    <x:row r="31">
      <x:c r="A31" s="19" t="s">
        <x:v>77</x:v>
      </x:c>
      <x:c r="B31" s="18" t="s">
        <x:v>78</x:v>
      </x:c>
      <x:c r="C31" s="18" t="s">
        <x:v>257</x:v>
      </x:c>
      <x:c r="D31" s="18" t="s">
        <x:v>387</x:v>
      </x:c>
      <x:c r="E31" s="20">
        <x:v>0.2</x:v>
      </x:c>
      <x:c r="F31" s="18" t="str">
        <x:f>IF(Технологии!BH13="","",Технологии!BH13)</x:f>
      </x:c>
      <x:c r="G31" s="18" t="s">
        <x:v>395</x:v>
      </x:c>
      <x:c r="J31" s="21" t="n">
        <x:f>0</x:f>
        <x:v>0</x:v>
      </x:c>
      <x:c r="K31" s="21" t="n">
        <x:f>IF(Технологии!AR13="ИЗУЧЕНО",$E31,0)</x:f>
        <x:v>0</x:v>
      </x:c>
      <x:c r="L31" s="21" t="n">
        <x:f>IF(Технологии!AS13="ИЗУЧЕНО",$E31,0)</x:f>
        <x:v>0</x:v>
      </x:c>
      <x:c r="M31" s="21" t="n">
        <x:f>IF(Технологии!AT13="ИЗУЧЕНО",$E31,0)</x:f>
        <x:v>0</x:v>
      </x:c>
      <x:c r="N31" s="21" t="n">
        <x:f>IF(Технологии!AU13="ИЗУЧЕНО",$E31,0)</x:f>
        <x:v>0</x:v>
      </x:c>
      <x:c r="O31" s="21" t="n">
        <x:f>IF(Технологии!AV13="ИЗУЧЕНО",$E31,0)</x:f>
        <x:v>0</x:v>
      </x:c>
      <x:c r="P31" s="21" t="n">
        <x:f>IF(Технологии!AW13="ИЗУЧЕНО",$E31,0)</x:f>
        <x:v>0</x:v>
      </x:c>
      <x:c r="Q31" s="21" t="n">
        <x:f>IF(Технологии!AX13="ИЗУЧЕНО",$E31,0)</x:f>
        <x:v>0</x:v>
      </x:c>
      <x:c r="R31" s="21" t="n">
        <x:f>IF(Технологии!AY13="ИЗУЧЕНО",$E31,0)</x:f>
        <x:v>0</x:v>
      </x:c>
      <x:c r="S31" s="21" t="n">
        <x:f>IF(Технологии!AZ13="ИЗУЧЕНО",$E31,0)</x:f>
        <x:v>0</x:v>
      </x:c>
      <x:c r="T31" s="21" t="n">
        <x:f>IF(Технологии!BA13="ИЗУЧЕНО",$E31,0)</x:f>
        <x:v>0</x:v>
      </x:c>
      <x:c r="U31" s="21" t="n">
        <x:f>IF(Технологии!BB13="ИЗУЧЕНО",$E31,0)</x:f>
        <x:v>0</x:v>
      </x:c>
      <x:c r="V31" s="21" t="n">
        <x:f>IF(Технологии!BC13="ИЗУЧЕНО",$E31,0)</x:f>
        <x:v>0</x:v>
      </x:c>
      <x:c r="W31" s="21" t="n">
        <x:f>IF(Технологии!BD13="ИЗУЧЕНО",$E31,0)</x:f>
        <x:v>0</x:v>
      </x:c>
      <x:c r="X31" s="21" t="n">
        <x:f>IF(Технологии!BE13="ИЗУЧЕНО",$E31,0)</x:f>
        <x:v>0</x:v>
      </x:c>
      <x:c r="Y31" s="21" t="n">
        <x:f>IF(Технологии!BF13="ИЗУЧЕНО",$E31,0)</x:f>
        <x:v>0</x:v>
      </x:c>
    </x:row>
    <x:row r="32">
      <x:c r="A32" s="19" t="s">
        <x:v>77</x:v>
      </x:c>
      <x:c r="B32" s="18" t="s">
        <x:v>78</x:v>
      </x:c>
      <x:c r="C32" s="18" t="s">
        <x:v>256</x:v>
      </x:c>
      <x:c r="D32" s="18" t="s">
        <x:v>387</x:v>
      </x:c>
      <x:c r="E32" s="20">
        <x:v>-0.4</x:v>
      </x:c>
      <x:c r="F32" s="18" t="str">
        <x:f>IF(Технологии!BH13="","",Технологии!BH13)</x:f>
      </x:c>
      <x:c r="G32" s="18" t="s">
        <x:v>396</x:v>
      </x:c>
      <x:c r="J32" s="21" t="n">
        <x:f>0</x:f>
        <x:v>0</x:v>
      </x:c>
      <x:c r="K32" s="21" t="n">
        <x:f>IF(Технологии!AR13="ИЗУЧЕНО",$E32,0)</x:f>
        <x:v>0</x:v>
      </x:c>
      <x:c r="L32" s="21" t="n">
        <x:f>IF(Технологии!AS13="ИЗУЧЕНО",$E32,0)</x:f>
        <x:v>0</x:v>
      </x:c>
      <x:c r="M32" s="21" t="n">
        <x:f>IF(Технологии!AT13="ИЗУЧЕНО",$E32,0)</x:f>
        <x:v>0</x:v>
      </x:c>
      <x:c r="N32" s="21" t="n">
        <x:f>IF(Технологии!AU13="ИЗУЧЕНО",$E32,0)</x:f>
        <x:v>0</x:v>
      </x:c>
      <x:c r="O32" s="21" t="n">
        <x:f>IF(Технологии!AV13="ИЗУЧЕНО",$E32,0)</x:f>
        <x:v>0</x:v>
      </x:c>
      <x:c r="P32" s="21" t="n">
        <x:f>IF(Технологии!AW13="ИЗУЧЕНО",$E32,0)</x:f>
        <x:v>0</x:v>
      </x:c>
      <x:c r="Q32" s="21" t="n">
        <x:f>IF(Технологии!AX13="ИЗУЧЕНО",$E32,0)</x:f>
        <x:v>0</x:v>
      </x:c>
      <x:c r="R32" s="21" t="n">
        <x:f>IF(Технологии!AY13="ИЗУЧЕНО",$E32,0)</x:f>
        <x:v>0</x:v>
      </x:c>
      <x:c r="S32" s="21" t="n">
        <x:f>IF(Технологии!AZ13="ИЗУЧЕНО",$E32,0)</x:f>
        <x:v>0</x:v>
      </x:c>
      <x:c r="T32" s="21" t="n">
        <x:f>IF(Технологии!BA13="ИЗУЧЕНО",$E32,0)</x:f>
        <x:v>0</x:v>
      </x:c>
      <x:c r="U32" s="21" t="n">
        <x:f>IF(Технологии!BB13="ИЗУЧЕНО",$E32,0)</x:f>
        <x:v>0</x:v>
      </x:c>
      <x:c r="V32" s="21" t="n">
        <x:f>IF(Технологии!BC13="ИЗУЧЕНО",$E32,0)</x:f>
        <x:v>0</x:v>
      </x:c>
      <x:c r="W32" s="21" t="n">
        <x:f>IF(Технологии!BD13="ИЗУЧЕНО",$E32,0)</x:f>
        <x:v>0</x:v>
      </x:c>
      <x:c r="X32" s="21" t="n">
        <x:f>IF(Технологии!BE13="ИЗУЧЕНО",$E32,0)</x:f>
        <x:v>0</x:v>
      </x:c>
      <x:c r="Y32" s="21" t="n">
        <x:f>IF(Технологии!BF13="ИЗУЧЕНО",$E32,0)</x:f>
        <x:v>0</x:v>
      </x:c>
    </x:row>
    <x:row r="33">
      <x:c r="A33" s="19" t="s">
        <x:v>81</x:v>
      </x:c>
      <x:c r="B33" s="18" t="s">
        <x:v>83</x:v>
      </x:c>
      <x:c r="C33" s="18" t="s">
        <x:v>274</x:v>
      </x:c>
      <x:c r="D33" s="18" t="s">
        <x:v>387</x:v>
      </x:c>
      <x:c r="E33" s="20">
        <x:v>0.4</x:v>
      </x:c>
      <x:c r="F33" s="18" t="str">
        <x:f>IF(Технологии!BH14="","",Технологии!BH14)</x:f>
      </x:c>
      <x:c r="G33" s="18" t="s">
        <x:v>397</x:v>
      </x:c>
      <x:c r="J33" s="21" t="n">
        <x:f>0</x:f>
        <x:v>0</x:v>
      </x:c>
      <x:c r="K33" s="21" t="n">
        <x:f>IF(Технологии!AR14="ИЗУЧЕНО",$E33,0)</x:f>
        <x:v>0</x:v>
      </x:c>
      <x:c r="L33" s="21" t="n">
        <x:f>IF(Технологии!AS14="ИЗУЧЕНО",$E33,0)</x:f>
        <x:v>0</x:v>
      </x:c>
      <x:c r="M33" s="21" t="n">
        <x:f>IF(Технологии!AT14="ИЗУЧЕНО",$E33,0)</x:f>
        <x:v>0</x:v>
      </x:c>
      <x:c r="N33" s="21" t="n">
        <x:f>IF(Технологии!AU14="ИЗУЧЕНО",$E33,0)</x:f>
        <x:v>0</x:v>
      </x:c>
      <x:c r="O33" s="21" t="n">
        <x:f>IF(Технологии!AV14="ИЗУЧЕНО",$E33,0)</x:f>
        <x:v>0</x:v>
      </x:c>
      <x:c r="P33" s="21" t="n">
        <x:f>IF(Технологии!AW14="ИЗУЧЕНО",$E33,0)</x:f>
        <x:v>0</x:v>
      </x:c>
      <x:c r="Q33" s="21" t="n">
        <x:f>IF(Технологии!AX14="ИЗУЧЕНО",$E33,0)</x:f>
        <x:v>0</x:v>
      </x:c>
      <x:c r="R33" s="21" t="n">
        <x:f>IF(Технологии!AY14="ИЗУЧЕНО",$E33,0)</x:f>
        <x:v>0</x:v>
      </x:c>
      <x:c r="S33" s="21" t="n">
        <x:f>IF(Технологии!AZ14="ИЗУЧЕНО",$E33,0)</x:f>
        <x:v>0</x:v>
      </x:c>
      <x:c r="T33" s="21" t="n">
        <x:f>IF(Технологии!BA14="ИЗУЧЕНО",$E33,0)</x:f>
        <x:v>0</x:v>
      </x:c>
      <x:c r="U33" s="21" t="n">
        <x:f>IF(Технологии!BB14="ИЗУЧЕНО",$E33,0)</x:f>
        <x:v>0</x:v>
      </x:c>
      <x:c r="V33" s="21" t="n">
        <x:f>IF(Технологии!BC14="ИЗУЧЕНО",$E33,0)</x:f>
        <x:v>0</x:v>
      </x:c>
      <x:c r="W33" s="21" t="n">
        <x:f>IF(Технологии!BD14="ИЗУЧЕНО",$E33,0)</x:f>
        <x:v>0</x:v>
      </x:c>
      <x:c r="X33" s="21" t="n">
        <x:f>IF(Технологии!BE14="ИЗУЧЕНО",$E33,0)</x:f>
        <x:v>0</x:v>
      </x:c>
      <x:c r="Y33" s="21" t="n">
        <x:f>IF(Технологии!BF14="ИЗУЧЕНО",$E33,0)</x:f>
        <x:v>0</x:v>
      </x:c>
    </x:row>
    <x:row r="34">
      <x:c r="A34" s="19" t="s">
        <x:v>81</x:v>
      </x:c>
      <x:c r="B34" s="18" t="s">
        <x:v>83</x:v>
      </x:c>
      <x:c r="C34" s="18" t="s">
        <x:v>284</x:v>
      </x:c>
      <x:c r="D34" s="18" t="s">
        <x:v>387</x:v>
      </x:c>
      <x:c r="E34" s="20">
        <x:v>0.2</x:v>
      </x:c>
      <x:c r="F34" s="18" t="str">
        <x:f>IF(Технологии!BH14="","",Технологии!BH14)</x:f>
      </x:c>
      <x:c r="G34" s="18" t="s">
        <x:v>398</x:v>
      </x:c>
      <x:c r="J34" s="21" t="n">
        <x:f>0</x:f>
        <x:v>0</x:v>
      </x:c>
      <x:c r="K34" s="21" t="n">
        <x:f>IF(Технологии!AR14="ИЗУЧЕНО",$E34,0)</x:f>
        <x:v>0</x:v>
      </x:c>
      <x:c r="L34" s="21" t="n">
        <x:f>IF(Технологии!AS14="ИЗУЧЕНО",$E34,0)</x:f>
        <x:v>0</x:v>
      </x:c>
      <x:c r="M34" s="21" t="n">
        <x:f>IF(Технологии!AT14="ИЗУЧЕНО",$E34,0)</x:f>
        <x:v>0</x:v>
      </x:c>
      <x:c r="N34" s="21" t="n">
        <x:f>IF(Технологии!AU14="ИЗУЧЕНО",$E34,0)</x:f>
        <x:v>0</x:v>
      </x:c>
      <x:c r="O34" s="21" t="n">
        <x:f>IF(Технологии!AV14="ИЗУЧЕНО",$E34,0)</x:f>
        <x:v>0</x:v>
      </x:c>
      <x:c r="P34" s="21" t="n">
        <x:f>IF(Технологии!AW14="ИЗУЧЕНО",$E34,0)</x:f>
        <x:v>0</x:v>
      </x:c>
      <x:c r="Q34" s="21" t="n">
        <x:f>IF(Технологии!AX14="ИЗУЧЕНО",$E34,0)</x:f>
        <x:v>0</x:v>
      </x:c>
      <x:c r="R34" s="21" t="n">
        <x:f>IF(Технологии!AY14="ИЗУЧЕНО",$E34,0)</x:f>
        <x:v>0</x:v>
      </x:c>
      <x:c r="S34" s="21" t="n">
        <x:f>IF(Технологии!AZ14="ИЗУЧЕНО",$E34,0)</x:f>
        <x:v>0</x:v>
      </x:c>
      <x:c r="T34" s="21" t="n">
        <x:f>IF(Технологии!BA14="ИЗУЧЕНО",$E34,0)</x:f>
        <x:v>0</x:v>
      </x:c>
      <x:c r="U34" s="21" t="n">
        <x:f>IF(Технологии!BB14="ИЗУЧЕНО",$E34,0)</x:f>
        <x:v>0</x:v>
      </x:c>
      <x:c r="V34" s="21" t="n">
        <x:f>IF(Технологии!BC14="ИЗУЧЕНО",$E34,0)</x:f>
        <x:v>0</x:v>
      </x:c>
      <x:c r="W34" s="21" t="n">
        <x:f>IF(Технологии!BD14="ИЗУЧЕНО",$E34,0)</x:f>
        <x:v>0</x:v>
      </x:c>
      <x:c r="X34" s="21" t="n">
        <x:f>IF(Технологии!BE14="ИЗУЧЕНО",$E34,0)</x:f>
        <x:v>0</x:v>
      </x:c>
      <x:c r="Y34" s="21" t="n">
        <x:f>IF(Технологии!BF14="ИЗУЧЕНО",$E34,0)</x:f>
        <x:v>0</x:v>
      </x:c>
    </x:row>
    <x:row r="35">
      <x:c r="A35" s="19" t="s">
        <x:v>81</x:v>
      </x:c>
      <x:c r="B35" s="18" t="s">
        <x:v>83</x:v>
      </x:c>
      <x:c r="C35" s="18" t="s">
        <x:v>276</x:v>
      </x:c>
      <x:c r="D35" s="18" t="s">
        <x:v>387</x:v>
      </x:c>
      <x:c r="E35" s="20">
        <x:v>0.2</x:v>
      </x:c>
      <x:c r="F35" s="18" t="str">
        <x:f>IF(Технологии!BH14="","",Технологии!BH14)</x:f>
      </x:c>
      <x:c r="G35" s="18" t="s">
        <x:v>399</x:v>
      </x:c>
      <x:c r="J35" s="21" t="n">
        <x:f>0</x:f>
        <x:v>0</x:v>
      </x:c>
      <x:c r="K35" s="21" t="n">
        <x:f>IF(Технологии!AR14="ИЗУЧЕНО",$E35,0)</x:f>
        <x:v>0</x:v>
      </x:c>
      <x:c r="L35" s="21" t="n">
        <x:f>IF(Технологии!AS14="ИЗУЧЕНО",$E35,0)</x:f>
        <x:v>0</x:v>
      </x:c>
      <x:c r="M35" s="21" t="n">
        <x:f>IF(Технологии!AT14="ИЗУЧЕНО",$E35,0)</x:f>
        <x:v>0</x:v>
      </x:c>
      <x:c r="N35" s="21" t="n">
        <x:f>IF(Технологии!AU14="ИЗУЧЕНО",$E35,0)</x:f>
        <x:v>0</x:v>
      </x:c>
      <x:c r="O35" s="21" t="n">
        <x:f>IF(Технологии!AV14="ИЗУЧЕНО",$E35,0)</x:f>
        <x:v>0</x:v>
      </x:c>
      <x:c r="P35" s="21" t="n">
        <x:f>IF(Технологии!AW14="ИЗУЧЕНО",$E35,0)</x:f>
        <x:v>0</x:v>
      </x:c>
      <x:c r="Q35" s="21" t="n">
        <x:f>IF(Технологии!AX14="ИЗУЧЕНО",$E35,0)</x:f>
        <x:v>0</x:v>
      </x:c>
      <x:c r="R35" s="21" t="n">
        <x:f>IF(Технологии!AY14="ИЗУЧЕНО",$E35,0)</x:f>
        <x:v>0</x:v>
      </x:c>
      <x:c r="S35" s="21" t="n">
        <x:f>IF(Технологии!AZ14="ИЗУЧЕНО",$E35,0)</x:f>
        <x:v>0</x:v>
      </x:c>
      <x:c r="T35" s="21" t="n">
        <x:f>IF(Технологии!BA14="ИЗУЧЕНО",$E35,0)</x:f>
        <x:v>0</x:v>
      </x:c>
      <x:c r="U35" s="21" t="n">
        <x:f>IF(Технологии!BB14="ИЗУЧЕНО",$E35,0)</x:f>
        <x:v>0</x:v>
      </x:c>
      <x:c r="V35" s="21" t="n">
        <x:f>IF(Технологии!BC14="ИЗУЧЕНО",$E35,0)</x:f>
        <x:v>0</x:v>
      </x:c>
      <x:c r="W35" s="21" t="n">
        <x:f>IF(Технологии!BD14="ИЗУЧЕНО",$E35,0)</x:f>
        <x:v>0</x:v>
      </x:c>
      <x:c r="X35" s="21" t="n">
        <x:f>IF(Технологии!BE14="ИЗУЧЕНО",$E35,0)</x:f>
        <x:v>0</x:v>
      </x:c>
      <x:c r="Y35" s="21" t="n">
        <x:f>IF(Технологии!BF14="ИЗУЧЕНО",$E35,0)</x:f>
        <x:v>0</x:v>
      </x:c>
    </x:row>
    <x:row r="36">
      <x:c r="A36" s="19" t="s">
        <x:v>81</x:v>
      </x:c>
      <x:c r="B36" s="18" t="s">
        <x:v>83</x:v>
      </x:c>
      <x:c r="C36" s="18" t="s">
        <x:v>272</x:v>
      </x:c>
      <x:c r="D36" s="18" t="s">
        <x:v>387</x:v>
      </x:c>
      <x:c r="E36" s="20">
        <x:v>0.2</x:v>
      </x:c>
      <x:c r="F36" s="18" t="str">
        <x:f>IF(Технологии!BH14="","",Технологии!BH14)</x:f>
      </x:c>
      <x:c r="G36" s="18" t="s">
        <x:v>390</x:v>
      </x:c>
      <x:c r="J36" s="21" t="n">
        <x:f>0</x:f>
        <x:v>0</x:v>
      </x:c>
      <x:c r="K36" s="21" t="n">
        <x:f>IF(Технологии!AR14="ИЗУЧЕНО",$E36,0)</x:f>
        <x:v>0</x:v>
      </x:c>
      <x:c r="L36" s="21" t="n">
        <x:f>IF(Технологии!AS14="ИЗУЧЕНО",$E36,0)</x:f>
        <x:v>0</x:v>
      </x:c>
      <x:c r="M36" s="21" t="n">
        <x:f>IF(Технологии!AT14="ИЗУЧЕНО",$E36,0)</x:f>
        <x:v>0</x:v>
      </x:c>
      <x:c r="N36" s="21" t="n">
        <x:f>IF(Технологии!AU14="ИЗУЧЕНО",$E36,0)</x:f>
        <x:v>0</x:v>
      </x:c>
      <x:c r="O36" s="21" t="n">
        <x:f>IF(Технологии!AV14="ИЗУЧЕНО",$E36,0)</x:f>
        <x:v>0</x:v>
      </x:c>
      <x:c r="P36" s="21" t="n">
        <x:f>IF(Технологии!AW14="ИЗУЧЕНО",$E36,0)</x:f>
        <x:v>0</x:v>
      </x:c>
      <x:c r="Q36" s="21" t="n">
        <x:f>IF(Технологии!AX14="ИЗУЧЕНО",$E36,0)</x:f>
        <x:v>0</x:v>
      </x:c>
      <x:c r="R36" s="21" t="n">
        <x:f>IF(Технологии!AY14="ИЗУЧЕНО",$E36,0)</x:f>
        <x:v>0</x:v>
      </x:c>
      <x:c r="S36" s="21" t="n">
        <x:f>IF(Технологии!AZ14="ИЗУЧЕНО",$E36,0)</x:f>
        <x:v>0</x:v>
      </x:c>
      <x:c r="T36" s="21" t="n">
        <x:f>IF(Технологии!BA14="ИЗУЧЕНО",$E36,0)</x:f>
        <x:v>0</x:v>
      </x:c>
      <x:c r="U36" s="21" t="n">
        <x:f>IF(Технологии!BB14="ИЗУЧЕНО",$E36,0)</x:f>
        <x:v>0</x:v>
      </x:c>
      <x:c r="V36" s="21" t="n">
        <x:f>IF(Технологии!BC14="ИЗУЧЕНО",$E36,0)</x:f>
        <x:v>0</x:v>
      </x:c>
      <x:c r="W36" s="21" t="n">
        <x:f>IF(Технологии!BD14="ИЗУЧЕНО",$E36,0)</x:f>
        <x:v>0</x:v>
      </x:c>
      <x:c r="X36" s="21" t="n">
        <x:f>IF(Технологии!BE14="ИЗУЧЕНО",$E36,0)</x:f>
        <x:v>0</x:v>
      </x:c>
      <x:c r="Y36" s="21" t="n">
        <x:f>IF(Технологии!BF14="ИЗУЧЕНО",$E36,0)</x:f>
        <x:v>0</x:v>
      </x:c>
    </x:row>
    <x:row r="37">
      <x:c r="A37" s="19" t="s">
        <x:v>81</x:v>
      </x:c>
      <x:c r="B37" s="18" t="s">
        <x:v>83</x:v>
      </x:c>
      <x:c r="C37" s="18" t="s">
        <x:v>260</x:v>
      </x:c>
      <x:c r="D37" s="18" t="s">
        <x:v>387</x:v>
      </x:c>
      <x:c r="E37" s="20">
        <x:v>-0.25</x:v>
      </x:c>
      <x:c r="F37" s="18" t="str">
        <x:f>IF(Технологии!BH14="","",Технологии!BH14)</x:f>
      </x:c>
      <x:c r="G37" s="18" t="s">
        <x:v>400</x:v>
      </x:c>
      <x:c r="J37" s="21" t="n">
        <x:f>0</x:f>
        <x:v>0</x:v>
      </x:c>
      <x:c r="K37" s="21" t="n">
        <x:f>IF(Технологии!AR14="ИЗУЧЕНО",$E37,0)</x:f>
        <x:v>0</x:v>
      </x:c>
      <x:c r="L37" s="21" t="n">
        <x:f>IF(Технологии!AS14="ИЗУЧЕНО",$E37,0)</x:f>
        <x:v>0</x:v>
      </x:c>
      <x:c r="M37" s="21" t="n">
        <x:f>IF(Технологии!AT14="ИЗУЧЕНО",$E37,0)</x:f>
        <x:v>0</x:v>
      </x:c>
      <x:c r="N37" s="21" t="n">
        <x:f>IF(Технологии!AU14="ИЗУЧЕНО",$E37,0)</x:f>
        <x:v>0</x:v>
      </x:c>
      <x:c r="O37" s="21" t="n">
        <x:f>IF(Технологии!AV14="ИЗУЧЕНО",$E37,0)</x:f>
        <x:v>0</x:v>
      </x:c>
      <x:c r="P37" s="21" t="n">
        <x:f>IF(Технологии!AW14="ИЗУЧЕНО",$E37,0)</x:f>
        <x:v>0</x:v>
      </x:c>
      <x:c r="Q37" s="21" t="n">
        <x:f>IF(Технологии!AX14="ИЗУЧЕНО",$E37,0)</x:f>
        <x:v>0</x:v>
      </x:c>
      <x:c r="R37" s="21" t="n">
        <x:f>IF(Технологии!AY14="ИЗУЧЕНО",$E37,0)</x:f>
        <x:v>0</x:v>
      </x:c>
      <x:c r="S37" s="21" t="n">
        <x:f>IF(Технологии!AZ14="ИЗУЧЕНО",$E37,0)</x:f>
        <x:v>0</x:v>
      </x:c>
      <x:c r="T37" s="21" t="n">
        <x:f>IF(Технологии!BA14="ИЗУЧЕНО",$E37,0)</x:f>
        <x:v>0</x:v>
      </x:c>
      <x:c r="U37" s="21" t="n">
        <x:f>IF(Технологии!BB14="ИЗУЧЕНО",$E37,0)</x:f>
        <x:v>0</x:v>
      </x:c>
      <x:c r="V37" s="21" t="n">
        <x:f>IF(Технологии!BC14="ИЗУЧЕНО",$E37,0)</x:f>
        <x:v>0</x:v>
      </x:c>
      <x:c r="W37" s="21" t="n">
        <x:f>IF(Технологии!BD14="ИЗУЧЕНО",$E37,0)</x:f>
        <x:v>0</x:v>
      </x:c>
      <x:c r="X37" s="21" t="n">
        <x:f>IF(Технологии!BE14="ИЗУЧЕНО",$E37,0)</x:f>
        <x:v>0</x:v>
      </x:c>
      <x:c r="Y37" s="21" t="n">
        <x:f>IF(Технологии!BF14="ИЗУЧЕНО",$E37,0)</x:f>
        <x:v>0</x:v>
      </x:c>
    </x:row>
    <x:row r="38">
      <x:c r="A38" s="19" t="s">
        <x:v>81</x:v>
      </x:c>
      <x:c r="B38" s="18" t="s">
        <x:v>83</x:v>
      </x:c>
      <x:c r="C38" s="18" t="s">
        <x:v>266</x:v>
      </x:c>
      <x:c r="D38" s="18" t="s">
        <x:v>387</x:v>
      </x:c>
      <x:c r="E38" s="20">
        <x:v>-0.2</x:v>
      </x:c>
      <x:c r="F38" s="18" t="str">
        <x:f>IF(Технологии!BH14="","",Технологии!BH14)</x:f>
      </x:c>
      <x:c r="G38" s="18" t="s">
        <x:v>401</x:v>
      </x:c>
      <x:c r="J38" s="21" t="n">
        <x:f>0</x:f>
        <x:v>0</x:v>
      </x:c>
      <x:c r="K38" s="21" t="n">
        <x:f>IF(Технологии!AR14="ИЗУЧЕНО",$E38,0)</x:f>
        <x:v>0</x:v>
      </x:c>
      <x:c r="L38" s="21" t="n">
        <x:f>IF(Технологии!AS14="ИЗУЧЕНО",$E38,0)</x:f>
        <x:v>0</x:v>
      </x:c>
      <x:c r="M38" s="21" t="n">
        <x:f>IF(Технологии!AT14="ИЗУЧЕНО",$E38,0)</x:f>
        <x:v>0</x:v>
      </x:c>
      <x:c r="N38" s="21" t="n">
        <x:f>IF(Технологии!AU14="ИЗУЧЕНО",$E38,0)</x:f>
        <x:v>0</x:v>
      </x:c>
      <x:c r="O38" s="21" t="n">
        <x:f>IF(Технологии!AV14="ИЗУЧЕНО",$E38,0)</x:f>
        <x:v>0</x:v>
      </x:c>
      <x:c r="P38" s="21" t="n">
        <x:f>IF(Технологии!AW14="ИЗУЧЕНО",$E38,0)</x:f>
        <x:v>0</x:v>
      </x:c>
      <x:c r="Q38" s="21" t="n">
        <x:f>IF(Технологии!AX14="ИЗУЧЕНО",$E38,0)</x:f>
        <x:v>0</x:v>
      </x:c>
      <x:c r="R38" s="21" t="n">
        <x:f>IF(Технологии!AY14="ИЗУЧЕНО",$E38,0)</x:f>
        <x:v>0</x:v>
      </x:c>
      <x:c r="S38" s="21" t="n">
        <x:f>IF(Технологии!AZ14="ИЗУЧЕНО",$E38,0)</x:f>
        <x:v>0</x:v>
      </x:c>
      <x:c r="T38" s="21" t="n">
        <x:f>IF(Технологии!BA14="ИЗУЧЕНО",$E38,0)</x:f>
        <x:v>0</x:v>
      </x:c>
      <x:c r="U38" s="21" t="n">
        <x:f>IF(Технологии!BB14="ИЗУЧЕНО",$E38,0)</x:f>
        <x:v>0</x:v>
      </x:c>
      <x:c r="V38" s="21" t="n">
        <x:f>IF(Технологии!BC14="ИЗУЧЕНО",$E38,0)</x:f>
        <x:v>0</x:v>
      </x:c>
      <x:c r="W38" s="21" t="n">
        <x:f>IF(Технологии!BD14="ИЗУЧЕНО",$E38,0)</x:f>
        <x:v>0</x:v>
      </x:c>
      <x:c r="X38" s="21" t="n">
        <x:f>IF(Технологии!BE14="ИЗУЧЕНО",$E38,0)</x:f>
        <x:v>0</x:v>
      </x:c>
      <x:c r="Y38" s="21" t="n">
        <x:f>IF(Технологии!BF14="ИЗУЧЕНО",$E38,0)</x:f>
        <x:v>0</x:v>
      </x:c>
    </x:row>
    <x:row r="39">
      <x:c r="A39" s="19" t="s">
        <x:v>86</x:v>
      </x:c>
      <x:c r="B39" s="18" t="s">
        <x:v>88</x:v>
      </x:c>
      <x:c r="C39" s="18" t="s">
        <x:v>276</x:v>
      </x:c>
      <x:c r="D39" s="18" t="s">
        <x:v>387</x:v>
      </x:c>
      <x:c r="E39" s="20">
        <x:v>0.5</x:v>
      </x:c>
      <x:c r="F39" s="18" t="str">
        <x:f>IF(Технологии!BH15="","",Технологии!BH15)</x:f>
      </x:c>
      <x:c r="G39" s="18" t="s">
        <x:v>402</x:v>
      </x:c>
      <x:c r="J39" s="21" t="n">
        <x:f>0</x:f>
        <x:v>0</x:v>
      </x:c>
      <x:c r="K39" s="21" t="n">
        <x:f>IF(Технологии!AR15="ИЗУЧЕНО",$E39,0)</x:f>
        <x:v>0</x:v>
      </x:c>
      <x:c r="L39" s="21" t="n">
        <x:f>IF(Технологии!AS15="ИЗУЧЕНО",$E39,0)</x:f>
        <x:v>0</x:v>
      </x:c>
      <x:c r="M39" s="21" t="n">
        <x:f>IF(Технологии!AT15="ИЗУЧЕНО",$E39,0)</x:f>
        <x:v>0</x:v>
      </x:c>
      <x:c r="N39" s="21" t="n">
        <x:f>IF(Технологии!AU15="ИЗУЧЕНО",$E39,0)</x:f>
        <x:v>0</x:v>
      </x:c>
      <x:c r="O39" s="21" t="n">
        <x:f>IF(Технологии!AV15="ИЗУЧЕНО",$E39,0)</x:f>
        <x:v>0</x:v>
      </x:c>
      <x:c r="P39" s="21" t="n">
        <x:f>IF(Технологии!AW15="ИЗУЧЕНО",$E39,0)</x:f>
        <x:v>0</x:v>
      </x:c>
      <x:c r="Q39" s="21" t="n">
        <x:f>IF(Технологии!AX15="ИЗУЧЕНО",$E39,0)</x:f>
        <x:v>0</x:v>
      </x:c>
      <x:c r="R39" s="21" t="n">
        <x:f>IF(Технологии!AY15="ИЗУЧЕНО",$E39,0)</x:f>
        <x:v>0</x:v>
      </x:c>
      <x:c r="S39" s="21" t="n">
        <x:f>IF(Технологии!AZ15="ИЗУЧЕНО",$E39,0)</x:f>
        <x:v>0</x:v>
      </x:c>
      <x:c r="T39" s="21" t="n">
        <x:f>IF(Технологии!BA15="ИЗУЧЕНО",$E39,0)</x:f>
        <x:v>0</x:v>
      </x:c>
      <x:c r="U39" s="21" t="n">
        <x:f>IF(Технологии!BB15="ИЗУЧЕНО",$E39,0)</x:f>
        <x:v>0</x:v>
      </x:c>
      <x:c r="V39" s="21" t="n">
        <x:f>IF(Технологии!BC15="ИЗУЧЕНО",$E39,0)</x:f>
        <x:v>0</x:v>
      </x:c>
      <x:c r="W39" s="21" t="n">
        <x:f>IF(Технологии!BD15="ИЗУЧЕНО",$E39,0)</x:f>
        <x:v>0</x:v>
      </x:c>
      <x:c r="X39" s="21" t="n">
        <x:f>IF(Технологии!BE15="ИЗУЧЕНО",$E39,0)</x:f>
        <x:v>0</x:v>
      </x:c>
      <x:c r="Y39" s="21" t="n">
        <x:f>IF(Технологии!BF15="ИЗУЧЕНО",$E39,0)</x:f>
        <x:v>0</x:v>
      </x:c>
    </x:row>
    <x:row r="40">
      <x:c r="A40" s="19" t="s">
        <x:v>86</x:v>
      </x:c>
      <x:c r="B40" s="18" t="s">
        <x:v>88</x:v>
      </x:c>
      <x:c r="C40" s="18" t="s">
        <x:v>274</x:v>
      </x:c>
      <x:c r="D40" s="18" t="s">
        <x:v>387</x:v>
      </x:c>
      <x:c r="E40" s="20">
        <x:v>0.35</x:v>
      </x:c>
      <x:c r="F40" s="18" t="str">
        <x:f>IF(Технологии!BH15="","",Технологии!BH15)</x:f>
      </x:c>
      <x:c r="G40" s="18" t="s">
        <x:v>403</x:v>
      </x:c>
      <x:c r="J40" s="21" t="n">
        <x:f>0</x:f>
        <x:v>0</x:v>
      </x:c>
      <x:c r="K40" s="21" t="n">
        <x:f>IF(Технологии!AR15="ИЗУЧЕНО",$E40,0)</x:f>
        <x:v>0</x:v>
      </x:c>
      <x:c r="L40" s="21" t="n">
        <x:f>IF(Технологии!AS15="ИЗУЧЕНО",$E40,0)</x:f>
        <x:v>0</x:v>
      </x:c>
      <x:c r="M40" s="21" t="n">
        <x:f>IF(Технологии!AT15="ИЗУЧЕНО",$E40,0)</x:f>
        <x:v>0</x:v>
      </x:c>
      <x:c r="N40" s="21" t="n">
        <x:f>IF(Технологии!AU15="ИЗУЧЕНО",$E40,0)</x:f>
        <x:v>0</x:v>
      </x:c>
      <x:c r="O40" s="21" t="n">
        <x:f>IF(Технологии!AV15="ИЗУЧЕНО",$E40,0)</x:f>
        <x:v>0</x:v>
      </x:c>
      <x:c r="P40" s="21" t="n">
        <x:f>IF(Технологии!AW15="ИЗУЧЕНО",$E40,0)</x:f>
        <x:v>0</x:v>
      </x:c>
      <x:c r="Q40" s="21" t="n">
        <x:f>IF(Технологии!AX15="ИЗУЧЕНО",$E40,0)</x:f>
        <x:v>0</x:v>
      </x:c>
      <x:c r="R40" s="21" t="n">
        <x:f>IF(Технологии!AY15="ИЗУЧЕНО",$E40,0)</x:f>
        <x:v>0</x:v>
      </x:c>
      <x:c r="S40" s="21" t="n">
        <x:f>IF(Технологии!AZ15="ИЗУЧЕНО",$E40,0)</x:f>
        <x:v>0</x:v>
      </x:c>
      <x:c r="T40" s="21" t="n">
        <x:f>IF(Технологии!BA15="ИЗУЧЕНО",$E40,0)</x:f>
        <x:v>0</x:v>
      </x:c>
      <x:c r="U40" s="21" t="n">
        <x:f>IF(Технологии!BB15="ИЗУЧЕНО",$E40,0)</x:f>
        <x:v>0</x:v>
      </x:c>
      <x:c r="V40" s="21" t="n">
        <x:f>IF(Технологии!BC15="ИЗУЧЕНО",$E40,0)</x:f>
        <x:v>0</x:v>
      </x:c>
      <x:c r="W40" s="21" t="n">
        <x:f>IF(Технологии!BD15="ИЗУЧЕНО",$E40,0)</x:f>
        <x:v>0</x:v>
      </x:c>
      <x:c r="X40" s="21" t="n">
        <x:f>IF(Технологии!BE15="ИЗУЧЕНО",$E40,0)</x:f>
        <x:v>0</x:v>
      </x:c>
      <x:c r="Y40" s="21" t="n">
        <x:f>IF(Технологии!BF15="ИЗУЧЕНО",$E40,0)</x:f>
        <x:v>0</x:v>
      </x:c>
    </x:row>
    <x:row r="41">
      <x:c r="A41" s="19" t="s">
        <x:v>86</x:v>
      </x:c>
      <x:c r="B41" s="18" t="s">
        <x:v>88</x:v>
      </x:c>
      <x:c r="C41" s="18" t="s">
        <x:v>300</x:v>
      </x:c>
      <x:c r="D41" s="18" t="s">
        <x:v>387</x:v>
      </x:c>
      <x:c r="E41" s="20">
        <x:v>0.25</x:v>
      </x:c>
      <x:c r="F41" s="18" t="str">
        <x:f>IF(Технологии!BH15="","",Технологии!BH15)</x:f>
      </x:c>
      <x:c r="G41" s="18" t="s">
        <x:v>404</x:v>
      </x:c>
      <x:c r="J41" s="21" t="n">
        <x:f>0</x:f>
        <x:v>0</x:v>
      </x:c>
      <x:c r="K41" s="21" t="n">
        <x:f>IF(Технологии!AR15="ИЗУЧЕНО",$E41,0)</x:f>
        <x:v>0</x:v>
      </x:c>
      <x:c r="L41" s="21" t="n">
        <x:f>IF(Технологии!AS15="ИЗУЧЕНО",$E41,0)</x:f>
        <x:v>0</x:v>
      </x:c>
      <x:c r="M41" s="21" t="n">
        <x:f>IF(Технологии!AT15="ИЗУЧЕНО",$E41,0)</x:f>
        <x:v>0</x:v>
      </x:c>
      <x:c r="N41" s="21" t="n">
        <x:f>IF(Технологии!AU15="ИЗУЧЕНО",$E41,0)</x:f>
        <x:v>0</x:v>
      </x:c>
      <x:c r="O41" s="21" t="n">
        <x:f>IF(Технологии!AV15="ИЗУЧЕНО",$E41,0)</x:f>
        <x:v>0</x:v>
      </x:c>
      <x:c r="P41" s="21" t="n">
        <x:f>IF(Технологии!AW15="ИЗУЧЕНО",$E41,0)</x:f>
        <x:v>0</x:v>
      </x:c>
      <x:c r="Q41" s="21" t="n">
        <x:f>IF(Технологии!AX15="ИЗУЧЕНО",$E41,0)</x:f>
        <x:v>0</x:v>
      </x:c>
      <x:c r="R41" s="21" t="n">
        <x:f>IF(Технологии!AY15="ИЗУЧЕНО",$E41,0)</x:f>
        <x:v>0</x:v>
      </x:c>
      <x:c r="S41" s="21" t="n">
        <x:f>IF(Технологии!AZ15="ИЗУЧЕНО",$E41,0)</x:f>
        <x:v>0</x:v>
      </x:c>
      <x:c r="T41" s="21" t="n">
        <x:f>IF(Технологии!BA15="ИЗУЧЕНО",$E41,0)</x:f>
        <x:v>0</x:v>
      </x:c>
      <x:c r="U41" s="21" t="n">
        <x:f>IF(Технологии!BB15="ИЗУЧЕНО",$E41,0)</x:f>
        <x:v>0</x:v>
      </x:c>
      <x:c r="V41" s="21" t="n">
        <x:f>IF(Технологии!BC15="ИЗУЧЕНО",$E41,0)</x:f>
        <x:v>0</x:v>
      </x:c>
      <x:c r="W41" s="21" t="n">
        <x:f>IF(Технологии!BD15="ИЗУЧЕНО",$E41,0)</x:f>
        <x:v>0</x:v>
      </x:c>
      <x:c r="X41" s="21" t="n">
        <x:f>IF(Технологии!BE15="ИЗУЧЕНО",$E41,0)</x:f>
        <x:v>0</x:v>
      </x:c>
      <x:c r="Y41" s="21" t="n">
        <x:f>IF(Технологии!BF15="ИЗУЧЕНО",$E41,0)</x:f>
        <x:v>0</x:v>
      </x:c>
    </x:row>
    <x:row r="42">
      <x:c r="A42" s="19" t="s">
        <x:v>86</x:v>
      </x:c>
      <x:c r="B42" s="18" t="s">
        <x:v>88</x:v>
      </x:c>
      <x:c r="C42" s="18" t="s">
        <x:v>284</x:v>
      </x:c>
      <x:c r="D42" s="18" t="s">
        <x:v>387</x:v>
      </x:c>
      <x:c r="E42" s="20">
        <x:v>0.2</x:v>
      </x:c>
      <x:c r="F42" s="18" t="str">
        <x:f>IF(Технологии!BH15="","",Технологии!BH15)</x:f>
      </x:c>
      <x:c r="G42" s="18" t="s">
        <x:v>398</x:v>
      </x:c>
      <x:c r="J42" s="21" t="n">
        <x:f>0</x:f>
        <x:v>0</x:v>
      </x:c>
      <x:c r="K42" s="21" t="n">
        <x:f>IF(Технологии!AR15="ИЗУЧЕНО",$E42,0)</x:f>
        <x:v>0</x:v>
      </x:c>
      <x:c r="L42" s="21" t="n">
        <x:f>IF(Технологии!AS15="ИЗУЧЕНО",$E42,0)</x:f>
        <x:v>0</x:v>
      </x:c>
      <x:c r="M42" s="21" t="n">
        <x:f>IF(Технологии!AT15="ИЗУЧЕНО",$E42,0)</x:f>
        <x:v>0</x:v>
      </x:c>
      <x:c r="N42" s="21" t="n">
        <x:f>IF(Технологии!AU15="ИЗУЧЕНО",$E42,0)</x:f>
        <x:v>0</x:v>
      </x:c>
      <x:c r="O42" s="21" t="n">
        <x:f>IF(Технологии!AV15="ИЗУЧЕНО",$E42,0)</x:f>
        <x:v>0</x:v>
      </x:c>
      <x:c r="P42" s="21" t="n">
        <x:f>IF(Технологии!AW15="ИЗУЧЕНО",$E42,0)</x:f>
        <x:v>0</x:v>
      </x:c>
      <x:c r="Q42" s="21" t="n">
        <x:f>IF(Технологии!AX15="ИЗУЧЕНО",$E42,0)</x:f>
        <x:v>0</x:v>
      </x:c>
      <x:c r="R42" s="21" t="n">
        <x:f>IF(Технологии!AY15="ИЗУЧЕНО",$E42,0)</x:f>
        <x:v>0</x:v>
      </x:c>
      <x:c r="S42" s="21" t="n">
        <x:f>IF(Технологии!AZ15="ИЗУЧЕНО",$E42,0)</x:f>
        <x:v>0</x:v>
      </x:c>
      <x:c r="T42" s="21" t="n">
        <x:f>IF(Технологии!BA15="ИЗУЧЕНО",$E42,0)</x:f>
        <x:v>0</x:v>
      </x:c>
      <x:c r="U42" s="21" t="n">
        <x:f>IF(Технологии!BB15="ИЗУЧЕНО",$E42,0)</x:f>
        <x:v>0</x:v>
      </x:c>
      <x:c r="V42" s="21" t="n">
        <x:f>IF(Технологии!BC15="ИЗУЧЕНО",$E42,0)</x:f>
        <x:v>0</x:v>
      </x:c>
      <x:c r="W42" s="21" t="n">
        <x:f>IF(Технологии!BD15="ИЗУЧЕНО",$E42,0)</x:f>
        <x:v>0</x:v>
      </x:c>
      <x:c r="X42" s="21" t="n">
        <x:f>IF(Технологии!BE15="ИЗУЧЕНО",$E42,0)</x:f>
        <x:v>0</x:v>
      </x:c>
      <x:c r="Y42" s="21" t="n">
        <x:f>IF(Технологии!BF15="ИЗУЧЕНО",$E42,0)</x:f>
        <x:v>0</x:v>
      </x:c>
    </x:row>
    <x:row r="43">
      <x:c r="A43" s="19" t="s">
        <x:v>86</x:v>
      </x:c>
      <x:c r="B43" s="18" t="s">
        <x:v>88</x:v>
      </x:c>
      <x:c r="C43" s="18" t="s">
        <x:v>381</x:v>
      </x:c>
      <x:c r="D43" s="18" t="s">
        <x:v>405</x:v>
      </x:c>
      <x:c r="E43" s="20">
        <x:v>0.15</x:v>
      </x:c>
      <x:c r="F43" s="18" t="str">
        <x:f>IF(Технологии!BH15="","",Технологии!BH15)</x:f>
      </x:c>
      <x:c r="G43" s="18" t="s">
        <x:v>406</x:v>
      </x:c>
      <x:c r="J43" s="21" t="n">
        <x:f>0</x:f>
        <x:v>0</x:v>
      </x:c>
      <x:c r="K43" s="21" t="n">
        <x:f>IF(Технологии!AR15="ИЗУЧЕНО",$E43,0)</x:f>
        <x:v>0</x:v>
      </x:c>
      <x:c r="L43" s="21" t="n">
        <x:f>IF(Технологии!AS15="ИЗУЧЕНО",$E43,0)</x:f>
        <x:v>0</x:v>
      </x:c>
      <x:c r="M43" s="21" t="n">
        <x:f>IF(Технологии!AT15="ИЗУЧЕНО",$E43,0)</x:f>
        <x:v>0</x:v>
      </x:c>
      <x:c r="N43" s="21" t="n">
        <x:f>IF(Технологии!AU15="ИЗУЧЕНО",$E43,0)</x:f>
        <x:v>0</x:v>
      </x:c>
      <x:c r="O43" s="21" t="n">
        <x:f>IF(Технологии!AV15="ИЗУЧЕНО",$E43,0)</x:f>
        <x:v>0</x:v>
      </x:c>
      <x:c r="P43" s="21" t="n">
        <x:f>IF(Технологии!AW15="ИЗУЧЕНО",$E43,0)</x:f>
        <x:v>0</x:v>
      </x:c>
      <x:c r="Q43" s="21" t="n">
        <x:f>IF(Технологии!AX15="ИЗУЧЕНО",$E43,0)</x:f>
        <x:v>0</x:v>
      </x:c>
      <x:c r="R43" s="21" t="n">
        <x:f>IF(Технологии!AY15="ИЗУЧЕНО",$E43,0)</x:f>
        <x:v>0</x:v>
      </x:c>
      <x:c r="S43" s="21" t="n">
        <x:f>IF(Технологии!AZ15="ИЗУЧЕНО",$E43,0)</x:f>
        <x:v>0</x:v>
      </x:c>
      <x:c r="T43" s="21" t="n">
        <x:f>IF(Технологии!BA15="ИЗУЧЕНО",$E43,0)</x:f>
        <x:v>0</x:v>
      </x:c>
      <x:c r="U43" s="21" t="n">
        <x:f>IF(Технологии!BB15="ИЗУЧЕНО",$E43,0)</x:f>
        <x:v>0</x:v>
      </x:c>
      <x:c r="V43" s="21" t="n">
        <x:f>IF(Технологии!BC15="ИЗУЧЕНО",$E43,0)</x:f>
        <x:v>0</x:v>
      </x:c>
      <x:c r="W43" s="21" t="n">
        <x:f>IF(Технологии!BD15="ИЗУЧЕНО",$E43,0)</x:f>
        <x:v>0</x:v>
      </x:c>
      <x:c r="X43" s="21" t="n">
        <x:f>IF(Технологии!BE15="ИЗУЧЕНО",$E43,0)</x:f>
        <x:v>0</x:v>
      </x:c>
      <x:c r="Y43" s="21" t="n">
        <x:f>IF(Технологии!BF15="ИЗУЧЕНО",$E43,0)</x:f>
        <x:v>0</x:v>
      </x:c>
    </x:row>
    <x:row r="44">
      <x:c r="A44" s="19" t="s">
        <x:v>86</x:v>
      </x:c>
      <x:c r="B44" s="18" t="s">
        <x:v>88</x:v>
      </x:c>
      <x:c r="C44" s="18" t="s">
        <x:v>260</x:v>
      </x:c>
      <x:c r="D44" s="18" t="s">
        <x:v>387</x:v>
      </x:c>
      <x:c r="E44" s="20">
        <x:v>-0.35</x:v>
      </x:c>
      <x:c r="F44" s="18" t="str">
        <x:f>IF(Технологии!BH15="","",Технологии!BH15)</x:f>
      </x:c>
      <x:c r="G44" s="18" t="s">
        <x:v>407</x:v>
      </x:c>
      <x:c r="J44" s="21" t="n">
        <x:f>0</x:f>
        <x:v>0</x:v>
      </x:c>
      <x:c r="K44" s="21" t="n">
        <x:f>IF(Технологии!AR15="ИЗУЧЕНО",$E44,0)</x:f>
        <x:v>0</x:v>
      </x:c>
      <x:c r="L44" s="21" t="n">
        <x:f>IF(Технологии!AS15="ИЗУЧЕНО",$E44,0)</x:f>
        <x:v>0</x:v>
      </x:c>
      <x:c r="M44" s="21" t="n">
        <x:f>IF(Технологии!AT15="ИЗУЧЕНО",$E44,0)</x:f>
        <x:v>0</x:v>
      </x:c>
      <x:c r="N44" s="21" t="n">
        <x:f>IF(Технологии!AU15="ИЗУЧЕНО",$E44,0)</x:f>
        <x:v>0</x:v>
      </x:c>
      <x:c r="O44" s="21" t="n">
        <x:f>IF(Технологии!AV15="ИЗУЧЕНО",$E44,0)</x:f>
        <x:v>0</x:v>
      </x:c>
      <x:c r="P44" s="21" t="n">
        <x:f>IF(Технологии!AW15="ИЗУЧЕНО",$E44,0)</x:f>
        <x:v>0</x:v>
      </x:c>
      <x:c r="Q44" s="21" t="n">
        <x:f>IF(Технологии!AX15="ИЗУЧЕНО",$E44,0)</x:f>
        <x:v>0</x:v>
      </x:c>
      <x:c r="R44" s="21" t="n">
        <x:f>IF(Технологии!AY15="ИЗУЧЕНО",$E44,0)</x:f>
        <x:v>0</x:v>
      </x:c>
      <x:c r="S44" s="21" t="n">
        <x:f>IF(Технологии!AZ15="ИЗУЧЕНО",$E44,0)</x:f>
        <x:v>0</x:v>
      </x:c>
      <x:c r="T44" s="21" t="n">
        <x:f>IF(Технологии!BA15="ИЗУЧЕНО",$E44,0)</x:f>
        <x:v>0</x:v>
      </x:c>
      <x:c r="U44" s="21" t="n">
        <x:f>IF(Технологии!BB15="ИЗУЧЕНО",$E44,0)</x:f>
        <x:v>0</x:v>
      </x:c>
      <x:c r="V44" s="21" t="n">
        <x:f>IF(Технологии!BC15="ИЗУЧЕНО",$E44,0)</x:f>
        <x:v>0</x:v>
      </x:c>
      <x:c r="W44" s="21" t="n">
        <x:f>IF(Технологии!BD15="ИЗУЧЕНО",$E44,0)</x:f>
        <x:v>0</x:v>
      </x:c>
      <x:c r="X44" s="21" t="n">
        <x:f>IF(Технологии!BE15="ИЗУЧЕНО",$E44,0)</x:f>
        <x:v>0</x:v>
      </x:c>
      <x:c r="Y44" s="21" t="n">
        <x:f>IF(Технологии!BF15="ИЗУЧЕНО",$E44,0)</x:f>
        <x:v>0</x:v>
      </x:c>
    </x:row>
    <x:row r="45">
      <x:c r="A45" s="19" t="s">
        <x:v>86</x:v>
      </x:c>
      <x:c r="B45" s="18" t="s">
        <x:v>88</x:v>
      </x:c>
      <x:c r="C45" s="18" t="s">
        <x:v>266</x:v>
      </x:c>
      <x:c r="D45" s="18" t="s">
        <x:v>387</x:v>
      </x:c>
      <x:c r="E45" s="20">
        <x:v>-0.25</x:v>
      </x:c>
      <x:c r="F45" s="18" t="str">
        <x:f>IF(Технологии!BH15="","",Технологии!BH15)</x:f>
      </x:c>
      <x:c r="G45" s="18" t="s">
        <x:v>408</x:v>
      </x:c>
      <x:c r="J45" s="21" t="n">
        <x:f>0</x:f>
        <x:v>0</x:v>
      </x:c>
      <x:c r="K45" s="21" t="n">
        <x:f>IF(Технологии!AR15="ИЗУЧЕНО",$E45,0)</x:f>
        <x:v>0</x:v>
      </x:c>
      <x:c r="L45" s="21" t="n">
        <x:f>IF(Технологии!AS15="ИЗУЧЕНО",$E45,0)</x:f>
        <x:v>0</x:v>
      </x:c>
      <x:c r="M45" s="21" t="n">
        <x:f>IF(Технологии!AT15="ИЗУЧЕНО",$E45,0)</x:f>
        <x:v>0</x:v>
      </x:c>
      <x:c r="N45" s="21" t="n">
        <x:f>IF(Технологии!AU15="ИЗУЧЕНО",$E45,0)</x:f>
        <x:v>0</x:v>
      </x:c>
      <x:c r="O45" s="21" t="n">
        <x:f>IF(Технологии!AV15="ИЗУЧЕНО",$E45,0)</x:f>
        <x:v>0</x:v>
      </x:c>
      <x:c r="P45" s="21" t="n">
        <x:f>IF(Технологии!AW15="ИЗУЧЕНО",$E45,0)</x:f>
        <x:v>0</x:v>
      </x:c>
      <x:c r="Q45" s="21" t="n">
        <x:f>IF(Технологии!AX15="ИЗУЧЕНО",$E45,0)</x:f>
        <x:v>0</x:v>
      </x:c>
      <x:c r="R45" s="21" t="n">
        <x:f>IF(Технологии!AY15="ИЗУЧЕНО",$E45,0)</x:f>
        <x:v>0</x:v>
      </x:c>
      <x:c r="S45" s="21" t="n">
        <x:f>IF(Технологии!AZ15="ИЗУЧЕНО",$E45,0)</x:f>
        <x:v>0</x:v>
      </x:c>
      <x:c r="T45" s="21" t="n">
        <x:f>IF(Технологии!BA15="ИЗУЧЕНО",$E45,0)</x:f>
        <x:v>0</x:v>
      </x:c>
      <x:c r="U45" s="21" t="n">
        <x:f>IF(Технологии!BB15="ИЗУЧЕНО",$E45,0)</x:f>
        <x:v>0</x:v>
      </x:c>
      <x:c r="V45" s="21" t="n">
        <x:f>IF(Технологии!BC15="ИЗУЧЕНО",$E45,0)</x:f>
        <x:v>0</x:v>
      </x:c>
      <x:c r="W45" s="21" t="n">
        <x:f>IF(Технологии!BD15="ИЗУЧЕНО",$E45,0)</x:f>
        <x:v>0</x:v>
      </x:c>
      <x:c r="X45" s="21" t="n">
        <x:f>IF(Технологии!BE15="ИЗУЧЕНО",$E45,0)</x:f>
        <x:v>0</x:v>
      </x:c>
      <x:c r="Y45" s="21" t="n">
        <x:f>IF(Технологии!BF15="ИЗУЧЕНО",$E45,0)</x:f>
        <x:v>0</x:v>
      </x:c>
    </x:row>
    <x:row r="46">
      <x:c r="A46" s="19" t="s">
        <x:v>86</x:v>
      </x:c>
      <x:c r="B46" s="18" t="s">
        <x:v>88</x:v>
      </x:c>
      <x:c r="C46" s="18" t="s">
        <x:v>268</x:v>
      </x:c>
      <x:c r="D46" s="18" t="s">
        <x:v>387</x:v>
      </x:c>
      <x:c r="E46" s="20">
        <x:v>-0.2</x:v>
      </x:c>
      <x:c r="F46" s="18" t="str">
        <x:f>IF(Технологии!BH15="","",Технологии!BH15)</x:f>
      </x:c>
      <x:c r="G46" s="18" t="s">
        <x:v>409</x:v>
      </x:c>
      <x:c r="J46" s="21" t="n">
        <x:f>0</x:f>
        <x:v>0</x:v>
      </x:c>
      <x:c r="K46" s="21" t="n">
        <x:f>IF(Технологии!AR15="ИЗУЧЕНО",$E46,0)</x:f>
        <x:v>0</x:v>
      </x:c>
      <x:c r="L46" s="21" t="n">
        <x:f>IF(Технологии!AS15="ИЗУЧЕНО",$E46,0)</x:f>
        <x:v>0</x:v>
      </x:c>
      <x:c r="M46" s="21" t="n">
        <x:f>IF(Технологии!AT15="ИЗУЧЕНО",$E46,0)</x:f>
        <x:v>0</x:v>
      </x:c>
      <x:c r="N46" s="21" t="n">
        <x:f>IF(Технологии!AU15="ИЗУЧЕНО",$E46,0)</x:f>
        <x:v>0</x:v>
      </x:c>
      <x:c r="O46" s="21" t="n">
        <x:f>IF(Технологии!AV15="ИЗУЧЕНО",$E46,0)</x:f>
        <x:v>0</x:v>
      </x:c>
      <x:c r="P46" s="21" t="n">
        <x:f>IF(Технологии!AW15="ИЗУЧЕНО",$E46,0)</x:f>
        <x:v>0</x:v>
      </x:c>
      <x:c r="Q46" s="21" t="n">
        <x:f>IF(Технологии!AX15="ИЗУЧЕНО",$E46,0)</x:f>
        <x:v>0</x:v>
      </x:c>
      <x:c r="R46" s="21" t="n">
        <x:f>IF(Технологии!AY15="ИЗУЧЕНО",$E46,0)</x:f>
        <x:v>0</x:v>
      </x:c>
      <x:c r="S46" s="21" t="n">
        <x:f>IF(Технологии!AZ15="ИЗУЧЕНО",$E46,0)</x:f>
        <x:v>0</x:v>
      </x:c>
      <x:c r="T46" s="21" t="n">
        <x:f>IF(Технологии!BA15="ИЗУЧЕНО",$E46,0)</x:f>
        <x:v>0</x:v>
      </x:c>
      <x:c r="U46" s="21" t="n">
        <x:f>IF(Технологии!BB15="ИЗУЧЕНО",$E46,0)</x:f>
        <x:v>0</x:v>
      </x:c>
      <x:c r="V46" s="21" t="n">
        <x:f>IF(Технологии!BC15="ИЗУЧЕНО",$E46,0)</x:f>
        <x:v>0</x:v>
      </x:c>
      <x:c r="W46" s="21" t="n">
        <x:f>IF(Технологии!BD15="ИЗУЧЕНО",$E46,0)</x:f>
        <x:v>0</x:v>
      </x:c>
      <x:c r="X46" s="21" t="n">
        <x:f>IF(Технологии!BE15="ИЗУЧЕНО",$E46,0)</x:f>
        <x:v>0</x:v>
      </x:c>
      <x:c r="Y46" s="21" t="n">
        <x:f>IF(Технологии!BF15="ИЗУЧЕНО",$E46,0)</x:f>
        <x:v>0</x:v>
      </x:c>
    </x:row>
    <x:row r="47">
      <x:c r="A47" s="19" t="s">
        <x:v>91</x:v>
      </x:c>
      <x:c r="B47" s="18" t="s">
        <x:v>93</x:v>
      </x:c>
      <x:c r="C47" s="18" t="s">
        <x:v>272</x:v>
      </x:c>
      <x:c r="D47" s="18" t="s">
        <x:v>387</x:v>
      </x:c>
      <x:c r="E47" s="20">
        <x:v>0.5</x:v>
      </x:c>
      <x:c r="F47" s="18" t="str">
        <x:f>IF(Технологии!BH16="","",Технологии!BH16)</x:f>
      </x:c>
      <x:c r="G47" s="18" t="s">
        <x:v>410</x:v>
      </x:c>
      <x:c r="J47" s="21" t="n">
        <x:f>0</x:f>
        <x:v>0</x:v>
      </x:c>
      <x:c r="K47" s="21" t="n">
        <x:f>IF(Технологии!AR16="ИЗУЧЕНО",$E47,0)</x:f>
        <x:v>0</x:v>
      </x:c>
      <x:c r="L47" s="21" t="n">
        <x:f>IF(Технологии!AS16="ИЗУЧЕНО",$E47,0)</x:f>
        <x:v>0</x:v>
      </x:c>
      <x:c r="M47" s="21" t="n">
        <x:f>IF(Технологии!AT16="ИЗУЧЕНО",$E47,0)</x:f>
        <x:v>0</x:v>
      </x:c>
      <x:c r="N47" s="21" t="n">
        <x:f>IF(Технологии!AU16="ИЗУЧЕНО",$E47,0)</x:f>
        <x:v>0</x:v>
      </x:c>
      <x:c r="O47" s="21" t="n">
        <x:f>IF(Технологии!AV16="ИЗУЧЕНО",$E47,0)</x:f>
        <x:v>0</x:v>
      </x:c>
      <x:c r="P47" s="21" t="n">
        <x:f>IF(Технологии!AW16="ИЗУЧЕНО",$E47,0)</x:f>
        <x:v>0</x:v>
      </x:c>
      <x:c r="Q47" s="21" t="n">
        <x:f>IF(Технологии!AX16="ИЗУЧЕНО",$E47,0)</x:f>
        <x:v>0</x:v>
      </x:c>
      <x:c r="R47" s="21" t="n">
        <x:f>IF(Технологии!AY16="ИЗУЧЕНО",$E47,0)</x:f>
        <x:v>0</x:v>
      </x:c>
      <x:c r="S47" s="21" t="n">
        <x:f>IF(Технологии!AZ16="ИЗУЧЕНО",$E47,0)</x:f>
        <x:v>0</x:v>
      </x:c>
      <x:c r="T47" s="21" t="n">
        <x:f>IF(Технологии!BA16="ИЗУЧЕНО",$E47,0)</x:f>
        <x:v>0</x:v>
      </x:c>
      <x:c r="U47" s="21" t="n">
        <x:f>IF(Технологии!BB16="ИЗУЧЕНО",$E47,0)</x:f>
        <x:v>0</x:v>
      </x:c>
      <x:c r="V47" s="21" t="n">
        <x:f>IF(Технологии!BC16="ИЗУЧЕНО",$E47,0)</x:f>
        <x:v>0</x:v>
      </x:c>
      <x:c r="W47" s="21" t="n">
        <x:f>IF(Технологии!BD16="ИЗУЧЕНО",$E47,0)</x:f>
        <x:v>0</x:v>
      </x:c>
      <x:c r="X47" s="21" t="n">
        <x:f>IF(Технологии!BE16="ИЗУЧЕНО",$E47,0)</x:f>
        <x:v>0</x:v>
      </x:c>
      <x:c r="Y47" s="21" t="n">
        <x:f>IF(Технологии!BF16="ИЗУЧЕНО",$E47,0)</x:f>
        <x:v>0</x:v>
      </x:c>
    </x:row>
    <x:row r="48">
      <x:c r="A48" s="19" t="s">
        <x:v>91</x:v>
      </x:c>
      <x:c r="B48" s="18" t="s">
        <x:v>93</x:v>
      </x:c>
      <x:c r="C48" s="18" t="s">
        <x:v>285</x:v>
      </x:c>
      <x:c r="D48" s="18" t="s">
        <x:v>387</x:v>
      </x:c>
      <x:c r="E48" s="20">
        <x:v>0.35</x:v>
      </x:c>
      <x:c r="F48" s="18" t="str">
        <x:f>IF(Технологии!BH16="","",Технологии!BH16)</x:f>
      </x:c>
      <x:c r="G48" s="18" t="s">
        <x:v>411</x:v>
      </x:c>
      <x:c r="J48" s="21" t="n">
        <x:f>0</x:f>
        <x:v>0</x:v>
      </x:c>
      <x:c r="K48" s="21" t="n">
        <x:f>IF(Технологии!AR16="ИЗУЧЕНО",$E48,0)</x:f>
        <x:v>0</x:v>
      </x:c>
      <x:c r="L48" s="21" t="n">
        <x:f>IF(Технологии!AS16="ИЗУЧЕНО",$E48,0)</x:f>
        <x:v>0</x:v>
      </x:c>
      <x:c r="M48" s="21" t="n">
        <x:f>IF(Технологии!AT16="ИЗУЧЕНО",$E48,0)</x:f>
        <x:v>0</x:v>
      </x:c>
      <x:c r="N48" s="21" t="n">
        <x:f>IF(Технологии!AU16="ИЗУЧЕНО",$E48,0)</x:f>
        <x:v>0</x:v>
      </x:c>
      <x:c r="O48" s="21" t="n">
        <x:f>IF(Технологии!AV16="ИЗУЧЕНО",$E48,0)</x:f>
        <x:v>0</x:v>
      </x:c>
      <x:c r="P48" s="21" t="n">
        <x:f>IF(Технологии!AW16="ИЗУЧЕНО",$E48,0)</x:f>
        <x:v>0</x:v>
      </x:c>
      <x:c r="Q48" s="21" t="n">
        <x:f>IF(Технологии!AX16="ИЗУЧЕНО",$E48,0)</x:f>
        <x:v>0</x:v>
      </x:c>
      <x:c r="R48" s="21" t="n">
        <x:f>IF(Технологии!AY16="ИЗУЧЕНО",$E48,0)</x:f>
        <x:v>0</x:v>
      </x:c>
      <x:c r="S48" s="21" t="n">
        <x:f>IF(Технологии!AZ16="ИЗУЧЕНО",$E48,0)</x:f>
        <x:v>0</x:v>
      </x:c>
      <x:c r="T48" s="21" t="n">
        <x:f>IF(Технологии!BA16="ИЗУЧЕНО",$E48,0)</x:f>
        <x:v>0</x:v>
      </x:c>
      <x:c r="U48" s="21" t="n">
        <x:f>IF(Технологии!BB16="ИЗУЧЕНО",$E48,0)</x:f>
        <x:v>0</x:v>
      </x:c>
      <x:c r="V48" s="21" t="n">
        <x:f>IF(Технологии!BC16="ИЗУЧЕНО",$E48,0)</x:f>
        <x:v>0</x:v>
      </x:c>
      <x:c r="W48" s="21" t="n">
        <x:f>IF(Технологии!BD16="ИЗУЧЕНО",$E48,0)</x:f>
        <x:v>0</x:v>
      </x:c>
      <x:c r="X48" s="21" t="n">
        <x:f>IF(Технологии!BE16="ИЗУЧЕНО",$E48,0)</x:f>
        <x:v>0</x:v>
      </x:c>
      <x:c r="Y48" s="21" t="n">
        <x:f>IF(Технологии!BF16="ИЗУЧЕНО",$E48,0)</x:f>
        <x:v>0</x:v>
      </x:c>
    </x:row>
    <x:row r="49">
      <x:c r="A49" s="19" t="s">
        <x:v>91</x:v>
      </x:c>
      <x:c r="B49" s="18" t="s">
        <x:v>93</x:v>
      </x:c>
      <x:c r="C49" s="18" t="s">
        <x:v>270</x:v>
      </x:c>
      <x:c r="D49" s="18" t="s">
        <x:v>387</x:v>
      </x:c>
      <x:c r="E49" s="20">
        <x:v>0.35</x:v>
      </x:c>
      <x:c r="F49" s="18" t="str">
        <x:f>IF(Технологии!BH16="","",Технологии!BH16)</x:f>
      </x:c>
      <x:c r="G49" s="18" t="s">
        <x:v>412</x:v>
      </x:c>
      <x:c r="J49" s="21" t="n">
        <x:f>0</x:f>
        <x:v>0</x:v>
      </x:c>
      <x:c r="K49" s="21" t="n">
        <x:f>IF(Технологии!AR16="ИЗУЧЕНО",$E49,0)</x:f>
        <x:v>0</x:v>
      </x:c>
      <x:c r="L49" s="21" t="n">
        <x:f>IF(Технологии!AS16="ИЗУЧЕНО",$E49,0)</x:f>
        <x:v>0</x:v>
      </x:c>
      <x:c r="M49" s="21" t="n">
        <x:f>IF(Технологии!AT16="ИЗУЧЕНО",$E49,0)</x:f>
        <x:v>0</x:v>
      </x:c>
      <x:c r="N49" s="21" t="n">
        <x:f>IF(Технологии!AU16="ИЗУЧЕНО",$E49,0)</x:f>
        <x:v>0</x:v>
      </x:c>
      <x:c r="O49" s="21" t="n">
        <x:f>IF(Технологии!AV16="ИЗУЧЕНО",$E49,0)</x:f>
        <x:v>0</x:v>
      </x:c>
      <x:c r="P49" s="21" t="n">
        <x:f>IF(Технологии!AW16="ИЗУЧЕНО",$E49,0)</x:f>
        <x:v>0</x:v>
      </x:c>
      <x:c r="Q49" s="21" t="n">
        <x:f>IF(Технологии!AX16="ИЗУЧЕНО",$E49,0)</x:f>
        <x:v>0</x:v>
      </x:c>
      <x:c r="R49" s="21" t="n">
        <x:f>IF(Технологии!AY16="ИЗУЧЕНО",$E49,0)</x:f>
        <x:v>0</x:v>
      </x:c>
      <x:c r="S49" s="21" t="n">
        <x:f>IF(Технологии!AZ16="ИЗУЧЕНО",$E49,0)</x:f>
        <x:v>0</x:v>
      </x:c>
      <x:c r="T49" s="21" t="n">
        <x:f>IF(Технологии!BA16="ИЗУЧЕНО",$E49,0)</x:f>
        <x:v>0</x:v>
      </x:c>
      <x:c r="U49" s="21" t="n">
        <x:f>IF(Технологии!BB16="ИЗУЧЕНО",$E49,0)</x:f>
        <x:v>0</x:v>
      </x:c>
      <x:c r="V49" s="21" t="n">
        <x:f>IF(Технологии!BC16="ИЗУЧЕНО",$E49,0)</x:f>
        <x:v>0</x:v>
      </x:c>
      <x:c r="W49" s="21" t="n">
        <x:f>IF(Технологии!BD16="ИЗУЧЕНО",$E49,0)</x:f>
        <x:v>0</x:v>
      </x:c>
      <x:c r="X49" s="21" t="n">
        <x:f>IF(Технологии!BE16="ИЗУЧЕНО",$E49,0)</x:f>
        <x:v>0</x:v>
      </x:c>
      <x:c r="Y49" s="21" t="n">
        <x:f>IF(Технологии!BF16="ИЗУЧЕНО",$E49,0)</x:f>
        <x:v>0</x:v>
      </x:c>
    </x:row>
    <x:row r="50">
      <x:c r="A50" s="19" t="s">
        <x:v>91</x:v>
      </x:c>
      <x:c r="B50" s="18" t="s">
        <x:v>93</x:v>
      </x:c>
      <x:c r="C50" s="18" t="s">
        <x:v>291</x:v>
      </x:c>
      <x:c r="D50" s="18" t="s">
        <x:v>387</x:v>
      </x:c>
      <x:c r="E50" s="20">
        <x:v>0.25</x:v>
      </x:c>
      <x:c r="F50" s="18" t="str">
        <x:f>IF(Технологии!BH16="","",Технологии!BH16)</x:f>
      </x:c>
      <x:c r="G50" s="18" t="s">
        <x:v>413</x:v>
      </x:c>
      <x:c r="J50" s="21" t="n">
        <x:f>0</x:f>
        <x:v>0</x:v>
      </x:c>
      <x:c r="K50" s="21" t="n">
        <x:f>IF(Технологии!AR16="ИЗУЧЕНО",$E50,0)</x:f>
        <x:v>0</x:v>
      </x:c>
      <x:c r="L50" s="21" t="n">
        <x:f>IF(Технологии!AS16="ИЗУЧЕНО",$E50,0)</x:f>
        <x:v>0</x:v>
      </x:c>
      <x:c r="M50" s="21" t="n">
        <x:f>IF(Технологии!AT16="ИЗУЧЕНО",$E50,0)</x:f>
        <x:v>0</x:v>
      </x:c>
      <x:c r="N50" s="21" t="n">
        <x:f>IF(Технологии!AU16="ИЗУЧЕНО",$E50,0)</x:f>
        <x:v>0</x:v>
      </x:c>
      <x:c r="O50" s="21" t="n">
        <x:f>IF(Технологии!AV16="ИЗУЧЕНО",$E50,0)</x:f>
        <x:v>0</x:v>
      </x:c>
      <x:c r="P50" s="21" t="n">
        <x:f>IF(Технологии!AW16="ИЗУЧЕНО",$E50,0)</x:f>
        <x:v>0</x:v>
      </x:c>
      <x:c r="Q50" s="21" t="n">
        <x:f>IF(Технологии!AX16="ИЗУЧЕНО",$E50,0)</x:f>
        <x:v>0</x:v>
      </x:c>
      <x:c r="R50" s="21" t="n">
        <x:f>IF(Технологии!AY16="ИЗУЧЕНО",$E50,0)</x:f>
        <x:v>0</x:v>
      </x:c>
      <x:c r="S50" s="21" t="n">
        <x:f>IF(Технологии!AZ16="ИЗУЧЕНО",$E50,0)</x:f>
        <x:v>0</x:v>
      </x:c>
      <x:c r="T50" s="21" t="n">
        <x:f>IF(Технологии!BA16="ИЗУЧЕНО",$E50,0)</x:f>
        <x:v>0</x:v>
      </x:c>
      <x:c r="U50" s="21" t="n">
        <x:f>IF(Технологии!BB16="ИЗУЧЕНО",$E50,0)</x:f>
        <x:v>0</x:v>
      </x:c>
      <x:c r="V50" s="21" t="n">
        <x:f>IF(Технологии!BC16="ИЗУЧЕНО",$E50,0)</x:f>
        <x:v>0</x:v>
      </x:c>
      <x:c r="W50" s="21" t="n">
        <x:f>IF(Технологии!BD16="ИЗУЧЕНО",$E50,0)</x:f>
        <x:v>0</x:v>
      </x:c>
      <x:c r="X50" s="21" t="n">
        <x:f>IF(Технологии!BE16="ИЗУЧЕНО",$E50,0)</x:f>
        <x:v>0</x:v>
      </x:c>
      <x:c r="Y50" s="21" t="n">
        <x:f>IF(Технологии!BF16="ИЗУЧЕНО",$E50,0)</x:f>
        <x:v>0</x:v>
      </x:c>
    </x:row>
    <x:row r="51">
      <x:c r="A51" s="19" t="s">
        <x:v>91</x:v>
      </x:c>
      <x:c r="B51" s="18" t="s">
        <x:v>93</x:v>
      </x:c>
      <x:c r="C51" s="18" t="s">
        <x:v>274</x:v>
      </x:c>
      <x:c r="D51" s="18" t="s">
        <x:v>414</x:v>
      </x:c>
      <x:c r="E51" s="20">
        <x:v>0.1</x:v>
      </x:c>
      <x:c r="F51" s="18" t="str">
        <x:f>IF(Технологии!BH16="","",Технологии!BH16)</x:f>
      </x:c>
      <x:c r="G51" s="18" t="s">
        <x:v>415</x:v>
      </x:c>
      <x:c r="J51" s="21" t="n">
        <x:f>0</x:f>
        <x:v>0</x:v>
      </x:c>
      <x:c r="K51" s="21" t="n">
        <x:f>IF(Технологии!AR16="ИЗУЧЕНО",$E51,0)</x:f>
        <x:v>0</x:v>
      </x:c>
      <x:c r="L51" s="21" t="n">
        <x:f>IF(Технологии!AS16="ИЗУЧЕНО",$E51,0)</x:f>
        <x:v>0</x:v>
      </x:c>
      <x:c r="M51" s="21" t="n">
        <x:f>IF(Технологии!AT16="ИЗУЧЕНО",$E51,0)</x:f>
        <x:v>0</x:v>
      </x:c>
      <x:c r="N51" s="21" t="n">
        <x:f>IF(Технологии!AU16="ИЗУЧЕНО",$E51,0)</x:f>
        <x:v>0</x:v>
      </x:c>
      <x:c r="O51" s="21" t="n">
        <x:f>IF(Технологии!AV16="ИЗУЧЕНО",$E51,0)</x:f>
        <x:v>0</x:v>
      </x:c>
      <x:c r="P51" s="21" t="n">
        <x:f>IF(Технологии!AW16="ИЗУЧЕНО",$E51,0)</x:f>
        <x:v>0</x:v>
      </x:c>
      <x:c r="Q51" s="21" t="n">
        <x:f>IF(Технологии!AX16="ИЗУЧЕНО",$E51,0)</x:f>
        <x:v>0</x:v>
      </x:c>
      <x:c r="R51" s="21" t="n">
        <x:f>IF(Технологии!AY16="ИЗУЧЕНО",$E51,0)</x:f>
        <x:v>0</x:v>
      </x:c>
      <x:c r="S51" s="21" t="n">
        <x:f>IF(Технологии!AZ16="ИЗУЧЕНО",$E51,0)</x:f>
        <x:v>0</x:v>
      </x:c>
      <x:c r="T51" s="21" t="n">
        <x:f>IF(Технологии!BA16="ИЗУЧЕНО",$E51,0)</x:f>
        <x:v>0</x:v>
      </x:c>
      <x:c r="U51" s="21" t="n">
        <x:f>IF(Технологии!BB16="ИЗУЧЕНО",$E51,0)</x:f>
        <x:v>0</x:v>
      </x:c>
      <x:c r="V51" s="21" t="n">
        <x:f>IF(Технологии!BC16="ИЗУЧЕНО",$E51,0)</x:f>
        <x:v>0</x:v>
      </x:c>
      <x:c r="W51" s="21" t="n">
        <x:f>IF(Технологии!BD16="ИЗУЧЕНО",$E51,0)</x:f>
        <x:v>0</x:v>
      </x:c>
      <x:c r="X51" s="21" t="n">
        <x:f>IF(Технологии!BE16="ИЗУЧЕНО",$E51,0)</x:f>
        <x:v>0</x:v>
      </x:c>
      <x:c r="Y51" s="21" t="n">
        <x:f>IF(Технологии!BF16="ИЗУЧЕНО",$E51,0)</x:f>
        <x:v>0</x:v>
      </x:c>
    </x:row>
    <x:row r="52">
      <x:c r="A52" s="19" t="s">
        <x:v>91</x:v>
      </x:c>
      <x:c r="B52" s="18" t="s">
        <x:v>93</x:v>
      </x:c>
      <x:c r="C52" s="18" t="s">
        <x:v>372</x:v>
      </x:c>
      <x:c r="D52" s="18" t="s">
        <x:v>405</x:v>
      </x:c>
      <x:c r="E52" s="20">
        <x:v>0.1</x:v>
      </x:c>
      <x:c r="F52" s="18" t="str">
        <x:f>IF(Технологии!BH16="","",Технологии!BH16)</x:f>
      </x:c>
      <x:c r="G52" s="18" t="s">
        <x:v>416</x:v>
      </x:c>
      <x:c r="J52" s="21" t="n">
        <x:f>0</x:f>
        <x:v>0</x:v>
      </x:c>
      <x:c r="K52" s="21" t="n">
        <x:f>IF(Технологии!AR16="ИЗУЧЕНО",$E52,0)</x:f>
        <x:v>0</x:v>
      </x:c>
      <x:c r="L52" s="21" t="n">
        <x:f>IF(Технологии!AS16="ИЗУЧЕНО",$E52,0)</x:f>
        <x:v>0</x:v>
      </x:c>
      <x:c r="M52" s="21" t="n">
        <x:f>IF(Технологии!AT16="ИЗУЧЕНО",$E52,0)</x:f>
        <x:v>0</x:v>
      </x:c>
      <x:c r="N52" s="21" t="n">
        <x:f>IF(Технологии!AU16="ИЗУЧЕНО",$E52,0)</x:f>
        <x:v>0</x:v>
      </x:c>
      <x:c r="O52" s="21" t="n">
        <x:f>IF(Технологии!AV16="ИЗУЧЕНО",$E52,0)</x:f>
        <x:v>0</x:v>
      </x:c>
      <x:c r="P52" s="21" t="n">
        <x:f>IF(Технологии!AW16="ИЗУЧЕНО",$E52,0)</x:f>
        <x:v>0</x:v>
      </x:c>
      <x:c r="Q52" s="21" t="n">
        <x:f>IF(Технологии!AX16="ИЗУЧЕНО",$E52,0)</x:f>
        <x:v>0</x:v>
      </x:c>
      <x:c r="R52" s="21" t="n">
        <x:f>IF(Технологии!AY16="ИЗУЧЕНО",$E52,0)</x:f>
        <x:v>0</x:v>
      </x:c>
      <x:c r="S52" s="21" t="n">
        <x:f>IF(Технологии!AZ16="ИЗУЧЕНО",$E52,0)</x:f>
        <x:v>0</x:v>
      </x:c>
      <x:c r="T52" s="21" t="n">
        <x:f>IF(Технологии!BA16="ИЗУЧЕНО",$E52,0)</x:f>
        <x:v>0</x:v>
      </x:c>
      <x:c r="U52" s="21" t="n">
        <x:f>IF(Технологии!BB16="ИЗУЧЕНО",$E52,0)</x:f>
        <x:v>0</x:v>
      </x:c>
      <x:c r="V52" s="21" t="n">
        <x:f>IF(Технологии!BC16="ИЗУЧЕНО",$E52,0)</x:f>
        <x:v>0</x:v>
      </x:c>
      <x:c r="W52" s="21" t="n">
        <x:f>IF(Технологии!BD16="ИЗУЧЕНО",$E52,0)</x:f>
        <x:v>0</x:v>
      </x:c>
      <x:c r="X52" s="21" t="n">
        <x:f>IF(Технологии!BE16="ИЗУЧЕНО",$E52,0)</x:f>
        <x:v>0</x:v>
      </x:c>
      <x:c r="Y52" s="21" t="n">
        <x:f>IF(Технологии!BF16="ИЗУЧЕНО",$E52,0)</x:f>
        <x:v>0</x:v>
      </x:c>
    </x:row>
    <x:row r="53">
      <x:c r="A53" s="19" t="s">
        <x:v>91</x:v>
      </x:c>
      <x:c r="B53" s="18" t="s">
        <x:v>93</x:v>
      </x:c>
      <x:c r="C53" s="18" t="s">
        <x:v>256</x:v>
      </x:c>
      <x:c r="D53" s="18" t="s">
        <x:v>387</x:v>
      </x:c>
      <x:c r="E53" s="20">
        <x:v>-0.45</x:v>
      </x:c>
      <x:c r="F53" s="18" t="str">
        <x:f>IF(Технологии!BH16="","",Технологии!BH16)</x:f>
      </x:c>
      <x:c r="G53" s="18" t="s">
        <x:v>417</x:v>
      </x:c>
      <x:c r="J53" s="21" t="n">
        <x:f>0</x:f>
        <x:v>0</x:v>
      </x:c>
      <x:c r="K53" s="21" t="n">
        <x:f>IF(Технологии!AR16="ИЗУЧЕНО",$E53,0)</x:f>
        <x:v>0</x:v>
      </x:c>
      <x:c r="L53" s="21" t="n">
        <x:f>IF(Технологии!AS16="ИЗУЧЕНО",$E53,0)</x:f>
        <x:v>0</x:v>
      </x:c>
      <x:c r="M53" s="21" t="n">
        <x:f>IF(Технологии!AT16="ИЗУЧЕНО",$E53,0)</x:f>
        <x:v>0</x:v>
      </x:c>
      <x:c r="N53" s="21" t="n">
        <x:f>IF(Технологии!AU16="ИЗУЧЕНО",$E53,0)</x:f>
        <x:v>0</x:v>
      </x:c>
      <x:c r="O53" s="21" t="n">
        <x:f>IF(Технологии!AV16="ИЗУЧЕНО",$E53,0)</x:f>
        <x:v>0</x:v>
      </x:c>
      <x:c r="P53" s="21" t="n">
        <x:f>IF(Технологии!AW16="ИЗУЧЕНО",$E53,0)</x:f>
        <x:v>0</x:v>
      </x:c>
      <x:c r="Q53" s="21" t="n">
        <x:f>IF(Технологии!AX16="ИЗУЧЕНО",$E53,0)</x:f>
        <x:v>0</x:v>
      </x:c>
      <x:c r="R53" s="21" t="n">
        <x:f>IF(Технологии!AY16="ИЗУЧЕНО",$E53,0)</x:f>
        <x:v>0</x:v>
      </x:c>
      <x:c r="S53" s="21" t="n">
        <x:f>IF(Технологии!AZ16="ИЗУЧЕНО",$E53,0)</x:f>
        <x:v>0</x:v>
      </x:c>
      <x:c r="T53" s="21" t="n">
        <x:f>IF(Технологии!BA16="ИЗУЧЕНО",$E53,0)</x:f>
        <x:v>0</x:v>
      </x:c>
      <x:c r="U53" s="21" t="n">
        <x:f>IF(Технологии!BB16="ИЗУЧЕНО",$E53,0)</x:f>
        <x:v>0</x:v>
      </x:c>
      <x:c r="V53" s="21" t="n">
        <x:f>IF(Технологии!BC16="ИЗУЧЕНО",$E53,0)</x:f>
        <x:v>0</x:v>
      </x:c>
      <x:c r="W53" s="21" t="n">
        <x:f>IF(Технологии!BD16="ИЗУЧЕНО",$E53,0)</x:f>
        <x:v>0</x:v>
      </x:c>
      <x:c r="X53" s="21" t="n">
        <x:f>IF(Технологии!BE16="ИЗУЧЕНО",$E53,0)</x:f>
        <x:v>0</x:v>
      </x:c>
      <x:c r="Y53" s="21" t="n">
        <x:f>IF(Технологии!BF16="ИЗУЧЕНО",$E53,0)</x:f>
        <x:v>0</x:v>
      </x:c>
    </x:row>
    <x:row r="54">
      <x:c r="A54" s="19" t="s">
        <x:v>91</x:v>
      </x:c>
      <x:c r="B54" s="18" t="s">
        <x:v>93</x:v>
      </x:c>
      <x:c r="C54" s="18" t="s">
        <x:v>260</x:v>
      </x:c>
      <x:c r="D54" s="18" t="s">
        <x:v>387</x:v>
      </x:c>
      <x:c r="E54" s="20">
        <x:v>-0.5</x:v>
      </x:c>
      <x:c r="F54" s="18" t="str">
        <x:f>IF(Технологии!BH16="","",Технологии!BH16)</x:f>
      </x:c>
      <x:c r="G54" s="18" t="s">
        <x:v>418</x:v>
      </x:c>
      <x:c r="J54" s="21" t="n">
        <x:f>0</x:f>
        <x:v>0</x:v>
      </x:c>
      <x:c r="K54" s="21" t="n">
        <x:f>IF(Технологии!AR16="ИЗУЧЕНО",$E54,0)</x:f>
        <x:v>0</x:v>
      </x:c>
      <x:c r="L54" s="21" t="n">
        <x:f>IF(Технологии!AS16="ИЗУЧЕНО",$E54,0)</x:f>
        <x:v>0</x:v>
      </x:c>
      <x:c r="M54" s="21" t="n">
        <x:f>IF(Технологии!AT16="ИЗУЧЕНО",$E54,0)</x:f>
        <x:v>0</x:v>
      </x:c>
      <x:c r="N54" s="21" t="n">
        <x:f>IF(Технологии!AU16="ИЗУЧЕНО",$E54,0)</x:f>
        <x:v>0</x:v>
      </x:c>
      <x:c r="O54" s="21" t="n">
        <x:f>IF(Технологии!AV16="ИЗУЧЕНО",$E54,0)</x:f>
        <x:v>0</x:v>
      </x:c>
      <x:c r="P54" s="21" t="n">
        <x:f>IF(Технологии!AW16="ИЗУЧЕНО",$E54,0)</x:f>
        <x:v>0</x:v>
      </x:c>
      <x:c r="Q54" s="21" t="n">
        <x:f>IF(Технологии!AX16="ИЗУЧЕНО",$E54,0)</x:f>
        <x:v>0</x:v>
      </x:c>
      <x:c r="R54" s="21" t="n">
        <x:f>IF(Технологии!AY16="ИЗУЧЕНО",$E54,0)</x:f>
        <x:v>0</x:v>
      </x:c>
      <x:c r="S54" s="21" t="n">
        <x:f>IF(Технологии!AZ16="ИЗУЧЕНО",$E54,0)</x:f>
        <x:v>0</x:v>
      </x:c>
      <x:c r="T54" s="21" t="n">
        <x:f>IF(Технологии!BA16="ИЗУЧЕНО",$E54,0)</x:f>
        <x:v>0</x:v>
      </x:c>
      <x:c r="U54" s="21" t="n">
        <x:f>IF(Технологии!BB16="ИЗУЧЕНО",$E54,0)</x:f>
        <x:v>0</x:v>
      </x:c>
      <x:c r="V54" s="21" t="n">
        <x:f>IF(Технологии!BC16="ИЗУЧЕНО",$E54,0)</x:f>
        <x:v>0</x:v>
      </x:c>
      <x:c r="W54" s="21" t="n">
        <x:f>IF(Технологии!BD16="ИЗУЧЕНО",$E54,0)</x:f>
        <x:v>0</x:v>
      </x:c>
      <x:c r="X54" s="21" t="n">
        <x:f>IF(Технологии!BE16="ИЗУЧЕНО",$E54,0)</x:f>
        <x:v>0</x:v>
      </x:c>
      <x:c r="Y54" s="21" t="n">
        <x:f>IF(Технологии!BF16="ИЗУЧЕНО",$E54,0)</x:f>
        <x:v>0</x:v>
      </x:c>
    </x:row>
    <x:row r="55">
      <x:c r="A55" s="19" t="s">
        <x:v>91</x:v>
      </x:c>
      <x:c r="B55" s="18" t="s">
        <x:v>93</x:v>
      </x:c>
      <x:c r="C55" s="18" t="s">
        <x:v>266</x:v>
      </x:c>
      <x:c r="D55" s="18" t="s">
        <x:v>387</x:v>
      </x:c>
      <x:c r="E55" s="20">
        <x:v>-0.4</x:v>
      </x:c>
      <x:c r="F55" s="18" t="str">
        <x:f>IF(Технологии!BH16="","",Технологии!BH16)</x:f>
      </x:c>
      <x:c r="G55" s="18" t="s">
        <x:v>419</x:v>
      </x:c>
      <x:c r="J55" s="21" t="n">
        <x:f>0</x:f>
        <x:v>0</x:v>
      </x:c>
      <x:c r="K55" s="21" t="n">
        <x:f>IF(Технологии!AR16="ИЗУЧЕНО",$E55,0)</x:f>
        <x:v>0</x:v>
      </x:c>
      <x:c r="L55" s="21" t="n">
        <x:f>IF(Технологии!AS16="ИЗУЧЕНО",$E55,0)</x:f>
        <x:v>0</x:v>
      </x:c>
      <x:c r="M55" s="21" t="n">
        <x:f>IF(Технологии!AT16="ИЗУЧЕНО",$E55,0)</x:f>
        <x:v>0</x:v>
      </x:c>
      <x:c r="N55" s="21" t="n">
        <x:f>IF(Технологии!AU16="ИЗУЧЕНО",$E55,0)</x:f>
        <x:v>0</x:v>
      </x:c>
      <x:c r="O55" s="21" t="n">
        <x:f>IF(Технологии!AV16="ИЗУЧЕНО",$E55,0)</x:f>
        <x:v>0</x:v>
      </x:c>
      <x:c r="P55" s="21" t="n">
        <x:f>IF(Технологии!AW16="ИЗУЧЕНО",$E55,0)</x:f>
        <x:v>0</x:v>
      </x:c>
      <x:c r="Q55" s="21" t="n">
        <x:f>IF(Технологии!AX16="ИЗУЧЕНО",$E55,0)</x:f>
        <x:v>0</x:v>
      </x:c>
      <x:c r="R55" s="21" t="n">
        <x:f>IF(Технологии!AY16="ИЗУЧЕНО",$E55,0)</x:f>
        <x:v>0</x:v>
      </x:c>
      <x:c r="S55" s="21" t="n">
        <x:f>IF(Технологии!AZ16="ИЗУЧЕНО",$E55,0)</x:f>
        <x:v>0</x:v>
      </x:c>
      <x:c r="T55" s="21" t="n">
        <x:f>IF(Технологии!BA16="ИЗУЧЕНО",$E55,0)</x:f>
        <x:v>0</x:v>
      </x:c>
      <x:c r="U55" s="21" t="n">
        <x:f>IF(Технологии!BB16="ИЗУЧЕНО",$E55,0)</x:f>
        <x:v>0</x:v>
      </x:c>
      <x:c r="V55" s="21" t="n">
        <x:f>IF(Технологии!BC16="ИЗУЧЕНО",$E55,0)</x:f>
        <x:v>0</x:v>
      </x:c>
      <x:c r="W55" s="21" t="n">
        <x:f>IF(Технологии!BD16="ИЗУЧЕНО",$E55,0)</x:f>
        <x:v>0</x:v>
      </x:c>
      <x:c r="X55" s="21" t="n">
        <x:f>IF(Технологии!BE16="ИЗУЧЕНО",$E55,0)</x:f>
        <x:v>0</x:v>
      </x:c>
      <x:c r="Y55" s="21" t="n">
        <x:f>IF(Технологии!BF16="ИЗУЧЕНО",$E55,0)</x:f>
        <x:v>0</x:v>
      </x:c>
    </x:row>
    <x:row r="56">
      <x:c r="A56" s="19" t="s">
        <x:v>91</x:v>
      </x:c>
      <x:c r="B56" s="18" t="s">
        <x:v>93</x:v>
      </x:c>
      <x:c r="C56" s="18" t="s">
        <x:v>268</x:v>
      </x:c>
      <x:c r="D56" s="18" t="s">
        <x:v>387</x:v>
      </x:c>
      <x:c r="E56" s="20">
        <x:v>-0.3</x:v>
      </x:c>
      <x:c r="F56" s="18" t="str">
        <x:f>IF(Технологии!BH16="","",Технологии!BH16)</x:f>
      </x:c>
      <x:c r="G56" s="18" t="s">
        <x:v>420</x:v>
      </x:c>
      <x:c r="J56" s="21" t="n">
        <x:f>0</x:f>
        <x:v>0</x:v>
      </x:c>
      <x:c r="K56" s="21" t="n">
        <x:f>IF(Технологии!AR16="ИЗУЧЕНО",$E56,0)</x:f>
        <x:v>0</x:v>
      </x:c>
      <x:c r="L56" s="21" t="n">
        <x:f>IF(Технологии!AS16="ИЗУЧЕНО",$E56,0)</x:f>
        <x:v>0</x:v>
      </x:c>
      <x:c r="M56" s="21" t="n">
        <x:f>IF(Технологии!AT16="ИЗУЧЕНО",$E56,0)</x:f>
        <x:v>0</x:v>
      </x:c>
      <x:c r="N56" s="21" t="n">
        <x:f>IF(Технологии!AU16="ИЗУЧЕНО",$E56,0)</x:f>
        <x:v>0</x:v>
      </x:c>
      <x:c r="O56" s="21" t="n">
        <x:f>IF(Технологии!AV16="ИЗУЧЕНО",$E56,0)</x:f>
        <x:v>0</x:v>
      </x:c>
      <x:c r="P56" s="21" t="n">
        <x:f>IF(Технологии!AW16="ИЗУЧЕНО",$E56,0)</x:f>
        <x:v>0</x:v>
      </x:c>
      <x:c r="Q56" s="21" t="n">
        <x:f>IF(Технологии!AX16="ИЗУЧЕНО",$E56,0)</x:f>
        <x:v>0</x:v>
      </x:c>
      <x:c r="R56" s="21" t="n">
        <x:f>IF(Технологии!AY16="ИЗУЧЕНО",$E56,0)</x:f>
        <x:v>0</x:v>
      </x:c>
      <x:c r="S56" s="21" t="n">
        <x:f>IF(Технологии!AZ16="ИЗУЧЕНО",$E56,0)</x:f>
        <x:v>0</x:v>
      </x:c>
      <x:c r="T56" s="21" t="n">
        <x:f>IF(Технологии!BA16="ИЗУЧЕНО",$E56,0)</x:f>
        <x:v>0</x:v>
      </x:c>
      <x:c r="U56" s="21" t="n">
        <x:f>IF(Технологии!BB16="ИЗУЧЕНО",$E56,0)</x:f>
        <x:v>0</x:v>
      </x:c>
      <x:c r="V56" s="21" t="n">
        <x:f>IF(Технологии!BC16="ИЗУЧЕНО",$E56,0)</x:f>
        <x:v>0</x:v>
      </x:c>
      <x:c r="W56" s="21" t="n">
        <x:f>IF(Технологии!BD16="ИЗУЧЕНО",$E56,0)</x:f>
        <x:v>0</x:v>
      </x:c>
      <x:c r="X56" s="21" t="n">
        <x:f>IF(Технологии!BE16="ИЗУЧЕНО",$E56,0)</x:f>
        <x:v>0</x:v>
      </x:c>
      <x:c r="Y56" s="21" t="n">
        <x:f>IF(Технологии!BF16="ИЗУЧЕНО",$E56,0)</x:f>
        <x:v>0</x:v>
      </x:c>
    </x:row>
    <x:row r="57">
      <x:c r="A57" s="19" t="s">
        <x:v>96</x:v>
      </x:c>
      <x:c r="B57" s="18" t="s">
        <x:v>98</x:v>
      </x:c>
      <x:c r="C57" s="18" t="s">
        <x:v>286</x:v>
      </x:c>
      <x:c r="D57" s="18" t="s">
        <x:v>387</x:v>
      </x:c>
      <x:c r="E57" s="20">
        <x:v>0.2</x:v>
      </x:c>
      <x:c r="F57" s="18" t="str">
        <x:f>IF(Технологии!BH17="","",Технологии!BH17)</x:f>
      </x:c>
      <x:c r="G57" s="18" t="s">
        <x:v>421</x:v>
      </x:c>
      <x:c r="J57" s="21" t="n">
        <x:f>0</x:f>
        <x:v>0</x:v>
      </x:c>
      <x:c r="K57" s="21" t="n">
        <x:f>IF(Технологии!AR17="ИЗУЧЕНО",$E57,0)</x:f>
        <x:v>0</x:v>
      </x:c>
      <x:c r="L57" s="21" t="n">
        <x:f>IF(Технологии!AS17="ИЗУЧЕНО",$E57,0)</x:f>
        <x:v>0</x:v>
      </x:c>
      <x:c r="M57" s="21" t="n">
        <x:f>IF(Технологии!AT17="ИЗУЧЕНО",$E57,0)</x:f>
        <x:v>0</x:v>
      </x:c>
      <x:c r="N57" s="21" t="n">
        <x:f>IF(Технологии!AU17="ИЗУЧЕНО",$E57,0)</x:f>
        <x:v>0</x:v>
      </x:c>
      <x:c r="O57" s="21" t="n">
        <x:f>IF(Технологии!AV17="ИЗУЧЕНО",$E57,0)</x:f>
        <x:v>0</x:v>
      </x:c>
      <x:c r="P57" s="21" t="n">
        <x:f>IF(Технологии!AW17="ИЗУЧЕНО",$E57,0)</x:f>
        <x:v>0</x:v>
      </x:c>
      <x:c r="Q57" s="21" t="n">
        <x:f>IF(Технологии!AX17="ИЗУЧЕНО",$E57,0)</x:f>
        <x:v>0</x:v>
      </x:c>
      <x:c r="R57" s="21" t="n">
        <x:f>IF(Технологии!AY17="ИЗУЧЕНО",$E57,0)</x:f>
        <x:v>0</x:v>
      </x:c>
      <x:c r="S57" s="21" t="n">
        <x:f>IF(Технологии!AZ17="ИЗУЧЕНО",$E57,0)</x:f>
        <x:v>0</x:v>
      </x:c>
      <x:c r="T57" s="21" t="n">
        <x:f>IF(Технологии!BA17="ИЗУЧЕНО",$E57,0)</x:f>
        <x:v>0</x:v>
      </x:c>
      <x:c r="U57" s="21" t="n">
        <x:f>IF(Технологии!BB17="ИЗУЧЕНО",$E57,0)</x:f>
        <x:v>0</x:v>
      </x:c>
      <x:c r="V57" s="21" t="n">
        <x:f>IF(Технологии!BC17="ИЗУЧЕНО",$E57,0)</x:f>
        <x:v>0</x:v>
      </x:c>
      <x:c r="W57" s="21" t="n">
        <x:f>IF(Технологии!BD17="ИЗУЧЕНО",$E57,0)</x:f>
        <x:v>0</x:v>
      </x:c>
      <x:c r="X57" s="21" t="n">
        <x:f>IF(Технологии!BE17="ИЗУЧЕНО",$E57,0)</x:f>
        <x:v>0</x:v>
      </x:c>
      <x:c r="Y57" s="21" t="n">
        <x:f>IF(Технологии!BF17="ИЗУЧЕНО",$E57,0)</x:f>
        <x:v>0</x:v>
      </x:c>
    </x:row>
    <x:row r="58">
      <x:c r="A58" s="19" t="s">
        <x:v>101</x:v>
      </x:c>
      <x:c r="B58" s="18" t="s">
        <x:v>102</x:v>
      </x:c>
      <x:c r="C58" s="18" t="s">
        <x:v>291</x:v>
      </x:c>
      <x:c r="D58" s="18" t="s">
        <x:v>387</x:v>
      </x:c>
      <x:c r="E58" s="20">
        <x:v>0.3</x:v>
      </x:c>
      <x:c r="F58" s="18" t="str">
        <x:f>IF(Технологии!BH18="","",Технологии!BH18)</x:f>
      </x:c>
      <x:c r="G58" s="18" t="s">
        <x:v>422</x:v>
      </x:c>
      <x:c r="J58" s="21" t="n">
        <x:f>0</x:f>
        <x:v>0</x:v>
      </x:c>
      <x:c r="K58" s="21" t="n">
        <x:f>IF(Технологии!AR18="ИЗУЧЕНО",$E58,0)</x:f>
        <x:v>0</x:v>
      </x:c>
      <x:c r="L58" s="21" t="n">
        <x:f>IF(Технологии!AS18="ИЗУЧЕНО",$E58,0)</x:f>
        <x:v>0</x:v>
      </x:c>
      <x:c r="M58" s="21" t="n">
        <x:f>IF(Технологии!AT18="ИЗУЧЕНО",$E58,0)</x:f>
        <x:v>0</x:v>
      </x:c>
      <x:c r="N58" s="21" t="n">
        <x:f>IF(Технологии!AU18="ИЗУЧЕНО",$E58,0)</x:f>
        <x:v>0</x:v>
      </x:c>
      <x:c r="O58" s="21" t="n">
        <x:f>IF(Технологии!AV18="ИЗУЧЕНО",$E58,0)</x:f>
        <x:v>0</x:v>
      </x:c>
      <x:c r="P58" s="21" t="n">
        <x:f>IF(Технологии!AW18="ИЗУЧЕНО",$E58,0)</x:f>
        <x:v>0</x:v>
      </x:c>
      <x:c r="Q58" s="21" t="n">
        <x:f>IF(Технологии!AX18="ИЗУЧЕНО",$E58,0)</x:f>
        <x:v>0</x:v>
      </x:c>
      <x:c r="R58" s="21" t="n">
        <x:f>IF(Технологии!AY18="ИЗУЧЕНО",$E58,0)</x:f>
        <x:v>0</x:v>
      </x:c>
      <x:c r="S58" s="21" t="n">
        <x:f>IF(Технологии!AZ18="ИЗУЧЕНО",$E58,0)</x:f>
        <x:v>0</x:v>
      </x:c>
      <x:c r="T58" s="21" t="n">
        <x:f>IF(Технологии!BA18="ИЗУЧЕНО",$E58,0)</x:f>
        <x:v>0</x:v>
      </x:c>
      <x:c r="U58" s="21" t="n">
        <x:f>IF(Технологии!BB18="ИЗУЧЕНО",$E58,0)</x:f>
        <x:v>0</x:v>
      </x:c>
      <x:c r="V58" s="21" t="n">
        <x:f>IF(Технологии!BC18="ИЗУЧЕНО",$E58,0)</x:f>
        <x:v>0</x:v>
      </x:c>
      <x:c r="W58" s="21" t="n">
        <x:f>IF(Технологии!BD18="ИЗУЧЕНО",$E58,0)</x:f>
        <x:v>0</x:v>
      </x:c>
      <x:c r="X58" s="21" t="n">
        <x:f>IF(Технологии!BE18="ИЗУЧЕНО",$E58,0)</x:f>
        <x:v>0</x:v>
      </x:c>
      <x:c r="Y58" s="21" t="n">
        <x:f>IF(Технологии!BF18="ИЗУЧЕНО",$E58,0)</x:f>
        <x:v>0</x:v>
      </x:c>
    </x:row>
    <x:row r="59">
      <x:c r="A59" s="19" t="s">
        <x:v>101</x:v>
      </x:c>
      <x:c r="B59" s="18" t="s">
        <x:v>102</x:v>
      </x:c>
      <x:c r="C59" s="18" t="s">
        <x:v>379</x:v>
      </x:c>
      <x:c r="D59" s="18" t="s">
        <x:v>405</x:v>
      </x:c>
      <x:c r="E59" s="20">
        <x:v>0.1</x:v>
      </x:c>
      <x:c r="F59" s="18" t="str">
        <x:f>IF(Технологии!BH18="","",Технологии!BH18)</x:f>
      </x:c>
      <x:c r="G59" s="18" t="s">
        <x:v>423</x:v>
      </x:c>
      <x:c r="J59" s="21" t="n">
        <x:f>0</x:f>
        <x:v>0</x:v>
      </x:c>
      <x:c r="K59" s="21" t="n">
        <x:f>IF(Технологии!AR18="ИЗУЧЕНО",$E59,0)</x:f>
        <x:v>0</x:v>
      </x:c>
      <x:c r="L59" s="21" t="n">
        <x:f>IF(Технологии!AS18="ИЗУЧЕНО",$E59,0)</x:f>
        <x:v>0</x:v>
      </x:c>
      <x:c r="M59" s="21" t="n">
        <x:f>IF(Технологии!AT18="ИЗУЧЕНО",$E59,0)</x:f>
        <x:v>0</x:v>
      </x:c>
      <x:c r="N59" s="21" t="n">
        <x:f>IF(Технологии!AU18="ИЗУЧЕНО",$E59,0)</x:f>
        <x:v>0</x:v>
      </x:c>
      <x:c r="O59" s="21" t="n">
        <x:f>IF(Технологии!AV18="ИЗУЧЕНО",$E59,0)</x:f>
        <x:v>0</x:v>
      </x:c>
      <x:c r="P59" s="21" t="n">
        <x:f>IF(Технологии!AW18="ИЗУЧЕНО",$E59,0)</x:f>
        <x:v>0</x:v>
      </x:c>
      <x:c r="Q59" s="21" t="n">
        <x:f>IF(Технологии!AX18="ИЗУЧЕНО",$E59,0)</x:f>
        <x:v>0</x:v>
      </x:c>
      <x:c r="R59" s="21" t="n">
        <x:f>IF(Технологии!AY18="ИЗУЧЕНО",$E59,0)</x:f>
        <x:v>0</x:v>
      </x:c>
      <x:c r="S59" s="21" t="n">
        <x:f>IF(Технологии!AZ18="ИЗУЧЕНО",$E59,0)</x:f>
        <x:v>0</x:v>
      </x:c>
      <x:c r="T59" s="21" t="n">
        <x:f>IF(Технологии!BA18="ИЗУЧЕНО",$E59,0)</x:f>
        <x:v>0</x:v>
      </x:c>
      <x:c r="U59" s="21" t="n">
        <x:f>IF(Технологии!BB18="ИЗУЧЕНО",$E59,0)</x:f>
        <x:v>0</x:v>
      </x:c>
      <x:c r="V59" s="21" t="n">
        <x:f>IF(Технологии!BC18="ИЗУЧЕНО",$E59,0)</x:f>
        <x:v>0</x:v>
      </x:c>
      <x:c r="W59" s="21" t="n">
        <x:f>IF(Технологии!BD18="ИЗУЧЕНО",$E59,0)</x:f>
        <x:v>0</x:v>
      </x:c>
      <x:c r="X59" s="21" t="n">
        <x:f>IF(Технологии!BE18="ИЗУЧЕНО",$E59,0)</x:f>
        <x:v>0</x:v>
      </x:c>
      <x:c r="Y59" s="21" t="n">
        <x:f>IF(Технологии!BF18="ИЗУЧЕНО",$E59,0)</x:f>
        <x:v>0</x:v>
      </x:c>
    </x:row>
    <x:row r="60">
      <x:c r="A60" s="19" t="s">
        <x:v>101</x:v>
      </x:c>
      <x:c r="B60" s="18" t="s">
        <x:v>102</x:v>
      </x:c>
      <x:c r="C60" s="18" t="s">
        <x:v>260</x:v>
      </x:c>
      <x:c r="D60" s="18" t="s">
        <x:v>387</x:v>
      </x:c>
      <x:c r="E60" s="20">
        <x:v>-0.15</x:v>
      </x:c>
      <x:c r="F60" s="18" t="str">
        <x:f>IF(Технологии!BH18="","",Технологии!BH18)</x:f>
      </x:c>
      <x:c r="G60" s="18" t="s">
        <x:v>424</x:v>
      </x:c>
      <x:c r="J60" s="21" t="n">
        <x:f>0</x:f>
        <x:v>0</x:v>
      </x:c>
      <x:c r="K60" s="21" t="n">
        <x:f>IF(Технологии!AR18="ИЗУЧЕНО",$E60,0)</x:f>
        <x:v>0</x:v>
      </x:c>
      <x:c r="L60" s="21" t="n">
        <x:f>IF(Технологии!AS18="ИЗУЧЕНО",$E60,0)</x:f>
        <x:v>0</x:v>
      </x:c>
      <x:c r="M60" s="21" t="n">
        <x:f>IF(Технологии!AT18="ИЗУЧЕНО",$E60,0)</x:f>
        <x:v>0</x:v>
      </x:c>
      <x:c r="N60" s="21" t="n">
        <x:f>IF(Технологии!AU18="ИЗУЧЕНО",$E60,0)</x:f>
        <x:v>0</x:v>
      </x:c>
      <x:c r="O60" s="21" t="n">
        <x:f>IF(Технологии!AV18="ИЗУЧЕНО",$E60,0)</x:f>
        <x:v>0</x:v>
      </x:c>
      <x:c r="P60" s="21" t="n">
        <x:f>IF(Технологии!AW18="ИЗУЧЕНО",$E60,0)</x:f>
        <x:v>0</x:v>
      </x:c>
      <x:c r="Q60" s="21" t="n">
        <x:f>IF(Технологии!AX18="ИЗУЧЕНО",$E60,0)</x:f>
        <x:v>0</x:v>
      </x:c>
      <x:c r="R60" s="21" t="n">
        <x:f>IF(Технологии!AY18="ИЗУЧЕНО",$E60,0)</x:f>
        <x:v>0</x:v>
      </x:c>
      <x:c r="S60" s="21" t="n">
        <x:f>IF(Технологии!AZ18="ИЗУЧЕНО",$E60,0)</x:f>
        <x:v>0</x:v>
      </x:c>
      <x:c r="T60" s="21" t="n">
        <x:f>IF(Технологии!BA18="ИЗУЧЕНО",$E60,0)</x:f>
        <x:v>0</x:v>
      </x:c>
      <x:c r="U60" s="21" t="n">
        <x:f>IF(Технологии!BB18="ИЗУЧЕНО",$E60,0)</x:f>
        <x:v>0</x:v>
      </x:c>
      <x:c r="V60" s="21" t="n">
        <x:f>IF(Технологии!BC18="ИЗУЧЕНО",$E60,0)</x:f>
        <x:v>0</x:v>
      </x:c>
      <x:c r="W60" s="21" t="n">
        <x:f>IF(Технологии!BD18="ИЗУЧЕНО",$E60,0)</x:f>
        <x:v>0</x:v>
      </x:c>
      <x:c r="X60" s="21" t="n">
        <x:f>IF(Технологии!BE18="ИЗУЧЕНО",$E60,0)</x:f>
        <x:v>0</x:v>
      </x:c>
      <x:c r="Y60" s="21" t="n">
        <x:f>IF(Технологии!BF18="ИЗУЧЕНО",$E60,0)</x:f>
        <x:v>0</x:v>
      </x:c>
    </x:row>
    <x:row r="61">
      <x:c r="A61" s="19" t="s">
        <x:v>105</x:v>
      </x:c>
      <x:c r="B61" s="18" t="s">
        <x:v>106</x:v>
      </x:c>
      <x:c r="C61" s="18" t="s">
        <x:v>286</x:v>
      </x:c>
      <x:c r="D61" s="18" t="s">
        <x:v>387</x:v>
      </x:c>
      <x:c r="E61" s="20">
        <x:v>0.3</x:v>
      </x:c>
      <x:c r="F61" s="18" t="str">
        <x:f>IF(Технологии!BH19="","",Технологии!BH19)</x:f>
      </x:c>
      <x:c r="G61" s="18" t="s">
        <x:v>425</x:v>
      </x:c>
      <x:c r="J61" s="21" t="n">
        <x:f>0</x:f>
        <x:v>0</x:v>
      </x:c>
      <x:c r="K61" s="21" t="n">
        <x:f>IF(Технологии!AR19="ИЗУЧЕНО",$E61,0)</x:f>
        <x:v>0</x:v>
      </x:c>
      <x:c r="L61" s="21" t="n">
        <x:f>IF(Технологии!AS19="ИЗУЧЕНО",$E61,0)</x:f>
        <x:v>0</x:v>
      </x:c>
      <x:c r="M61" s="21" t="n">
        <x:f>IF(Технологии!AT19="ИЗУЧЕНО",$E61,0)</x:f>
        <x:v>0</x:v>
      </x:c>
      <x:c r="N61" s="21" t="n">
        <x:f>IF(Технологии!AU19="ИЗУЧЕНО",$E61,0)</x:f>
        <x:v>0</x:v>
      </x:c>
      <x:c r="O61" s="21" t="n">
        <x:f>IF(Технологии!AV19="ИЗУЧЕНО",$E61,0)</x:f>
        <x:v>0</x:v>
      </x:c>
      <x:c r="P61" s="21" t="n">
        <x:f>IF(Технологии!AW19="ИЗУЧЕНО",$E61,0)</x:f>
        <x:v>0</x:v>
      </x:c>
      <x:c r="Q61" s="21" t="n">
        <x:f>IF(Технологии!AX19="ИЗУЧЕНО",$E61,0)</x:f>
        <x:v>0</x:v>
      </x:c>
      <x:c r="R61" s="21" t="n">
        <x:f>IF(Технологии!AY19="ИЗУЧЕНО",$E61,0)</x:f>
        <x:v>0</x:v>
      </x:c>
      <x:c r="S61" s="21" t="n">
        <x:f>IF(Технологии!AZ19="ИЗУЧЕНО",$E61,0)</x:f>
        <x:v>0</x:v>
      </x:c>
      <x:c r="T61" s="21" t="n">
        <x:f>IF(Технологии!BA19="ИЗУЧЕНО",$E61,0)</x:f>
        <x:v>0</x:v>
      </x:c>
      <x:c r="U61" s="21" t="n">
        <x:f>IF(Технологии!BB19="ИЗУЧЕНО",$E61,0)</x:f>
        <x:v>0</x:v>
      </x:c>
      <x:c r="V61" s="21" t="n">
        <x:f>IF(Технологии!BC19="ИЗУЧЕНО",$E61,0)</x:f>
        <x:v>0</x:v>
      </x:c>
      <x:c r="W61" s="21" t="n">
        <x:f>IF(Технологии!BD19="ИЗУЧЕНО",$E61,0)</x:f>
        <x:v>0</x:v>
      </x:c>
      <x:c r="X61" s="21" t="n">
        <x:f>IF(Технологии!BE19="ИЗУЧЕНО",$E61,0)</x:f>
        <x:v>0</x:v>
      </x:c>
      <x:c r="Y61" s="21" t="n">
        <x:f>IF(Технологии!BF19="ИЗУЧЕНО",$E61,0)</x:f>
        <x:v>0</x:v>
      </x:c>
    </x:row>
    <x:row r="62">
      <x:c r="A62" s="19" t="s">
        <x:v>105</x:v>
      </x:c>
      <x:c r="B62" s="18" t="s">
        <x:v>106</x:v>
      </x:c>
      <x:c r="C62" s="18" t="s">
        <x:v>271</x:v>
      </x:c>
      <x:c r="D62" s="18" t="s">
        <x:v>414</x:v>
      </x:c>
      <x:c r="E62" s="20">
        <x:v>0.08</x:v>
      </x:c>
      <x:c r="F62" s="18" t="str">
        <x:f>IF(Технологии!BH19="","",Технологии!BH19)</x:f>
      </x:c>
      <x:c r="G62" s="18" t="s">
        <x:v>426</x:v>
      </x:c>
      <x:c r="J62" s="21" t="n">
        <x:f>0</x:f>
        <x:v>0</x:v>
      </x:c>
      <x:c r="K62" s="21" t="n">
        <x:f>IF(Технологии!AR19="ИЗУЧЕНО",$E62,0)</x:f>
        <x:v>0</x:v>
      </x:c>
      <x:c r="L62" s="21" t="n">
        <x:f>IF(Технологии!AS19="ИЗУЧЕНО",$E62,0)</x:f>
        <x:v>0</x:v>
      </x:c>
      <x:c r="M62" s="21" t="n">
        <x:f>IF(Технологии!AT19="ИЗУЧЕНО",$E62,0)</x:f>
        <x:v>0</x:v>
      </x:c>
      <x:c r="N62" s="21" t="n">
        <x:f>IF(Технологии!AU19="ИЗУЧЕНО",$E62,0)</x:f>
        <x:v>0</x:v>
      </x:c>
      <x:c r="O62" s="21" t="n">
        <x:f>IF(Технологии!AV19="ИЗУЧЕНО",$E62,0)</x:f>
        <x:v>0</x:v>
      </x:c>
      <x:c r="P62" s="21" t="n">
        <x:f>IF(Технологии!AW19="ИЗУЧЕНО",$E62,0)</x:f>
        <x:v>0</x:v>
      </x:c>
      <x:c r="Q62" s="21" t="n">
        <x:f>IF(Технологии!AX19="ИЗУЧЕНО",$E62,0)</x:f>
        <x:v>0</x:v>
      </x:c>
      <x:c r="R62" s="21" t="n">
        <x:f>IF(Технологии!AY19="ИЗУЧЕНО",$E62,0)</x:f>
        <x:v>0</x:v>
      </x:c>
      <x:c r="S62" s="21" t="n">
        <x:f>IF(Технологии!AZ19="ИЗУЧЕНО",$E62,0)</x:f>
        <x:v>0</x:v>
      </x:c>
      <x:c r="T62" s="21" t="n">
        <x:f>IF(Технологии!BA19="ИЗУЧЕНО",$E62,0)</x:f>
        <x:v>0</x:v>
      </x:c>
      <x:c r="U62" s="21" t="n">
        <x:f>IF(Технологии!BB19="ИЗУЧЕНО",$E62,0)</x:f>
        <x:v>0</x:v>
      </x:c>
      <x:c r="V62" s="21" t="n">
        <x:f>IF(Технологии!BC19="ИЗУЧЕНО",$E62,0)</x:f>
        <x:v>0</x:v>
      </x:c>
      <x:c r="W62" s="21" t="n">
        <x:f>IF(Технологии!BD19="ИЗУЧЕНО",$E62,0)</x:f>
        <x:v>0</x:v>
      </x:c>
      <x:c r="X62" s="21" t="n">
        <x:f>IF(Технологии!BE19="ИЗУЧЕНО",$E62,0)</x:f>
        <x:v>0</x:v>
      </x:c>
      <x:c r="Y62" s="21" t="n">
        <x:f>IF(Технологии!BF19="ИЗУЧЕНО",$E62,0)</x:f>
        <x:v>0</x:v>
      </x:c>
    </x:row>
    <x:row r="63">
      <x:c r="A63" s="19" t="s">
        <x:v>105</x:v>
      </x:c>
      <x:c r="B63" s="18" t="s">
        <x:v>106</x:v>
      </x:c>
      <x:c r="C63" s="18" t="s">
        <x:v>292</x:v>
      </x:c>
      <x:c r="D63" s="18" t="s">
        <x:v>387</x:v>
      </x:c>
      <x:c r="E63" s="20">
        <x:v>0.2</x:v>
      </x:c>
      <x:c r="F63" s="18" t="str">
        <x:f>IF(Технологии!BH19="","",Технологии!BH19)</x:f>
      </x:c>
      <x:c r="G63" s="18" t="s">
        <x:v>427</x:v>
      </x:c>
      <x:c r="J63" s="21" t="n">
        <x:f>0</x:f>
        <x:v>0</x:v>
      </x:c>
      <x:c r="K63" s="21" t="n">
        <x:f>IF(Технологии!AR19="ИЗУЧЕНО",$E63,0)</x:f>
        <x:v>0</x:v>
      </x:c>
      <x:c r="L63" s="21" t="n">
        <x:f>IF(Технологии!AS19="ИЗУЧЕНО",$E63,0)</x:f>
        <x:v>0</x:v>
      </x:c>
      <x:c r="M63" s="21" t="n">
        <x:f>IF(Технологии!AT19="ИЗУЧЕНО",$E63,0)</x:f>
        <x:v>0</x:v>
      </x:c>
      <x:c r="N63" s="21" t="n">
        <x:f>IF(Технологии!AU19="ИЗУЧЕНО",$E63,0)</x:f>
        <x:v>0</x:v>
      </x:c>
      <x:c r="O63" s="21" t="n">
        <x:f>IF(Технологии!AV19="ИЗУЧЕНО",$E63,0)</x:f>
        <x:v>0</x:v>
      </x:c>
      <x:c r="P63" s="21" t="n">
        <x:f>IF(Технологии!AW19="ИЗУЧЕНО",$E63,0)</x:f>
        <x:v>0</x:v>
      </x:c>
      <x:c r="Q63" s="21" t="n">
        <x:f>IF(Технологии!AX19="ИЗУЧЕНО",$E63,0)</x:f>
        <x:v>0</x:v>
      </x:c>
      <x:c r="R63" s="21" t="n">
        <x:f>IF(Технологии!AY19="ИЗУЧЕНО",$E63,0)</x:f>
        <x:v>0</x:v>
      </x:c>
      <x:c r="S63" s="21" t="n">
        <x:f>IF(Технологии!AZ19="ИЗУЧЕНО",$E63,0)</x:f>
        <x:v>0</x:v>
      </x:c>
      <x:c r="T63" s="21" t="n">
        <x:f>IF(Технологии!BA19="ИЗУЧЕНО",$E63,0)</x:f>
        <x:v>0</x:v>
      </x:c>
      <x:c r="U63" s="21" t="n">
        <x:f>IF(Технологии!BB19="ИЗУЧЕНО",$E63,0)</x:f>
        <x:v>0</x:v>
      </x:c>
      <x:c r="V63" s="21" t="n">
        <x:f>IF(Технологии!BC19="ИЗУЧЕНО",$E63,0)</x:f>
        <x:v>0</x:v>
      </x:c>
      <x:c r="W63" s="21" t="n">
        <x:f>IF(Технологии!BD19="ИЗУЧЕНО",$E63,0)</x:f>
        <x:v>0</x:v>
      </x:c>
      <x:c r="X63" s="21" t="n">
        <x:f>IF(Технологии!BE19="ИЗУЧЕНО",$E63,0)</x:f>
        <x:v>0</x:v>
      </x:c>
      <x:c r="Y63" s="21" t="n">
        <x:f>IF(Технологии!BF19="ИЗУЧЕНО",$E63,0)</x:f>
        <x:v>0</x:v>
      </x:c>
    </x:row>
    <x:row r="64">
      <x:c r="A64" s="19" t="s">
        <x:v>105</x:v>
      </x:c>
      <x:c r="B64" s="18" t="s">
        <x:v>106</x:v>
      </x:c>
      <x:c r="C64" s="18" t="s">
        <x:v>260</x:v>
      </x:c>
      <x:c r="D64" s="18" t="s">
        <x:v>387</x:v>
      </x:c>
      <x:c r="E64" s="20">
        <x:v>-0.25</x:v>
      </x:c>
      <x:c r="F64" s="18" t="str">
        <x:f>IF(Технологии!BH19="","",Технологии!BH19)</x:f>
      </x:c>
      <x:c r="G64" s="18" t="s">
        <x:v>400</x:v>
      </x:c>
      <x:c r="J64" s="21" t="n">
        <x:f>0</x:f>
        <x:v>0</x:v>
      </x:c>
      <x:c r="K64" s="21" t="n">
        <x:f>IF(Технологии!AR19="ИЗУЧЕНО",$E64,0)</x:f>
        <x:v>0</x:v>
      </x:c>
      <x:c r="L64" s="21" t="n">
        <x:f>IF(Технологии!AS19="ИЗУЧЕНО",$E64,0)</x:f>
        <x:v>0</x:v>
      </x:c>
      <x:c r="M64" s="21" t="n">
        <x:f>IF(Технологии!AT19="ИЗУЧЕНО",$E64,0)</x:f>
        <x:v>0</x:v>
      </x:c>
      <x:c r="N64" s="21" t="n">
        <x:f>IF(Технологии!AU19="ИЗУЧЕНО",$E64,0)</x:f>
        <x:v>0</x:v>
      </x:c>
      <x:c r="O64" s="21" t="n">
        <x:f>IF(Технологии!AV19="ИЗУЧЕНО",$E64,0)</x:f>
        <x:v>0</x:v>
      </x:c>
      <x:c r="P64" s="21" t="n">
        <x:f>IF(Технологии!AW19="ИЗУЧЕНО",$E64,0)</x:f>
        <x:v>0</x:v>
      </x:c>
      <x:c r="Q64" s="21" t="n">
        <x:f>IF(Технологии!AX19="ИЗУЧЕНО",$E64,0)</x:f>
        <x:v>0</x:v>
      </x:c>
      <x:c r="R64" s="21" t="n">
        <x:f>IF(Технологии!AY19="ИЗУЧЕНО",$E64,0)</x:f>
        <x:v>0</x:v>
      </x:c>
      <x:c r="S64" s="21" t="n">
        <x:f>IF(Технологии!AZ19="ИЗУЧЕНО",$E64,0)</x:f>
        <x:v>0</x:v>
      </x:c>
      <x:c r="T64" s="21" t="n">
        <x:f>IF(Технологии!BA19="ИЗУЧЕНО",$E64,0)</x:f>
        <x:v>0</x:v>
      </x:c>
      <x:c r="U64" s="21" t="n">
        <x:f>IF(Технологии!BB19="ИЗУЧЕНО",$E64,0)</x:f>
        <x:v>0</x:v>
      </x:c>
      <x:c r="V64" s="21" t="n">
        <x:f>IF(Технологии!BC19="ИЗУЧЕНО",$E64,0)</x:f>
        <x:v>0</x:v>
      </x:c>
      <x:c r="W64" s="21" t="n">
        <x:f>IF(Технологии!BD19="ИЗУЧЕНО",$E64,0)</x:f>
        <x:v>0</x:v>
      </x:c>
      <x:c r="X64" s="21" t="n">
        <x:f>IF(Технологии!BE19="ИЗУЧЕНО",$E64,0)</x:f>
        <x:v>0</x:v>
      </x:c>
      <x:c r="Y64" s="21" t="n">
        <x:f>IF(Технологии!BF19="ИЗУЧЕНО",$E64,0)</x:f>
        <x:v>0</x:v>
      </x:c>
    </x:row>
    <x:row r="65">
      <x:c r="A65" s="19" t="s">
        <x:v>109</x:v>
      </x:c>
      <x:c r="B65" s="18" t="s">
        <x:v>110</x:v>
      </x:c>
      <x:c r="C65" s="18" t="s">
        <x:v>291</x:v>
      </x:c>
      <x:c r="D65" s="18" t="s">
        <x:v>387</x:v>
      </x:c>
      <x:c r="E65" s="20">
        <x:v>0.4</x:v>
      </x:c>
      <x:c r="F65" s="18" t="str">
        <x:f>IF(Технологии!BH20="","",Технологии!BH20)</x:f>
      </x:c>
      <x:c r="G65" s="18" t="s">
        <x:v>428</x:v>
      </x:c>
      <x:c r="J65" s="21" t="n">
        <x:f>0</x:f>
        <x:v>0</x:v>
      </x:c>
      <x:c r="K65" s="21" t="n">
        <x:f>IF(Технологии!AR20="ИЗУЧЕНО",$E65,0)</x:f>
        <x:v>0</x:v>
      </x:c>
      <x:c r="L65" s="21" t="n">
        <x:f>IF(Технологии!AS20="ИЗУЧЕНО",$E65,0)</x:f>
        <x:v>0</x:v>
      </x:c>
      <x:c r="M65" s="21" t="n">
        <x:f>IF(Технологии!AT20="ИЗУЧЕНО",$E65,0)</x:f>
        <x:v>0</x:v>
      </x:c>
      <x:c r="N65" s="21" t="n">
        <x:f>IF(Технологии!AU20="ИЗУЧЕНО",$E65,0)</x:f>
        <x:v>0</x:v>
      </x:c>
      <x:c r="O65" s="21" t="n">
        <x:f>IF(Технологии!AV20="ИЗУЧЕНО",$E65,0)</x:f>
        <x:v>0</x:v>
      </x:c>
      <x:c r="P65" s="21" t="n">
        <x:f>IF(Технологии!AW20="ИЗУЧЕНО",$E65,0)</x:f>
        <x:v>0</x:v>
      </x:c>
      <x:c r="Q65" s="21" t="n">
        <x:f>IF(Технологии!AX20="ИЗУЧЕНО",$E65,0)</x:f>
        <x:v>0</x:v>
      </x:c>
      <x:c r="R65" s="21" t="n">
        <x:f>IF(Технологии!AY20="ИЗУЧЕНО",$E65,0)</x:f>
        <x:v>0</x:v>
      </x:c>
      <x:c r="S65" s="21" t="n">
        <x:f>IF(Технологии!AZ20="ИЗУЧЕНО",$E65,0)</x:f>
        <x:v>0</x:v>
      </x:c>
      <x:c r="T65" s="21" t="n">
        <x:f>IF(Технологии!BA20="ИЗУЧЕНО",$E65,0)</x:f>
        <x:v>0</x:v>
      </x:c>
      <x:c r="U65" s="21" t="n">
        <x:f>IF(Технологии!BB20="ИЗУЧЕНО",$E65,0)</x:f>
        <x:v>0</x:v>
      </x:c>
      <x:c r="V65" s="21" t="n">
        <x:f>IF(Технологии!BC20="ИЗУЧЕНО",$E65,0)</x:f>
        <x:v>0</x:v>
      </x:c>
      <x:c r="W65" s="21" t="n">
        <x:f>IF(Технологии!BD20="ИЗУЧЕНО",$E65,0)</x:f>
        <x:v>0</x:v>
      </x:c>
      <x:c r="X65" s="21" t="n">
        <x:f>IF(Технологии!BE20="ИЗУЧЕНО",$E65,0)</x:f>
        <x:v>0</x:v>
      </x:c>
      <x:c r="Y65" s="21" t="n">
        <x:f>IF(Технологии!BF20="ИЗУЧЕНО",$E65,0)</x:f>
        <x:v>0</x:v>
      </x:c>
    </x:row>
    <x:row r="66">
      <x:c r="A66" s="19" t="s">
        <x:v>109</x:v>
      </x:c>
      <x:c r="B66" s="18" t="s">
        <x:v>110</x:v>
      </x:c>
      <x:c r="C66" s="18" t="s">
        <x:v>291</x:v>
      </x:c>
      <x:c r="D66" s="18" t="s">
        <x:v>414</x:v>
      </x:c>
      <x:c r="E66" s="20">
        <x:v>0.08</x:v>
      </x:c>
      <x:c r="F66" s="18" t="str">
        <x:f>IF(Технологии!BH20="","",Технологии!BH20)</x:f>
      </x:c>
      <x:c r="G66" s="18" t="s">
        <x:v>428</x:v>
      </x:c>
      <x:c r="J66" s="21" t="n">
        <x:f>0</x:f>
        <x:v>0</x:v>
      </x:c>
      <x:c r="K66" s="21" t="n">
        <x:f>IF(Технологии!AR20="ИЗУЧЕНО",$E66,0)</x:f>
        <x:v>0</x:v>
      </x:c>
      <x:c r="L66" s="21" t="n">
        <x:f>IF(Технологии!AS20="ИЗУЧЕНО",$E66,0)</x:f>
        <x:v>0</x:v>
      </x:c>
      <x:c r="M66" s="21" t="n">
        <x:f>IF(Технологии!AT20="ИЗУЧЕНО",$E66,0)</x:f>
        <x:v>0</x:v>
      </x:c>
      <x:c r="N66" s="21" t="n">
        <x:f>IF(Технологии!AU20="ИЗУЧЕНО",$E66,0)</x:f>
        <x:v>0</x:v>
      </x:c>
      <x:c r="O66" s="21" t="n">
        <x:f>IF(Технологии!AV20="ИЗУЧЕНО",$E66,0)</x:f>
        <x:v>0</x:v>
      </x:c>
      <x:c r="P66" s="21" t="n">
        <x:f>IF(Технологии!AW20="ИЗУЧЕНО",$E66,0)</x:f>
        <x:v>0</x:v>
      </x:c>
      <x:c r="Q66" s="21" t="n">
        <x:f>IF(Технологии!AX20="ИЗУЧЕНО",$E66,0)</x:f>
        <x:v>0</x:v>
      </x:c>
      <x:c r="R66" s="21" t="n">
        <x:f>IF(Технологии!AY20="ИЗУЧЕНО",$E66,0)</x:f>
        <x:v>0</x:v>
      </x:c>
      <x:c r="S66" s="21" t="n">
        <x:f>IF(Технологии!AZ20="ИЗУЧЕНО",$E66,0)</x:f>
        <x:v>0</x:v>
      </x:c>
      <x:c r="T66" s="21" t="n">
        <x:f>IF(Технологии!BA20="ИЗУЧЕНО",$E66,0)</x:f>
        <x:v>0</x:v>
      </x:c>
      <x:c r="U66" s="21" t="n">
        <x:f>IF(Технологии!BB20="ИЗУЧЕНО",$E66,0)</x:f>
        <x:v>0</x:v>
      </x:c>
      <x:c r="V66" s="21" t="n">
        <x:f>IF(Технологии!BC20="ИЗУЧЕНО",$E66,0)</x:f>
        <x:v>0</x:v>
      </x:c>
      <x:c r="W66" s="21" t="n">
        <x:f>IF(Технологии!BD20="ИЗУЧЕНО",$E66,0)</x:f>
        <x:v>0</x:v>
      </x:c>
      <x:c r="X66" s="21" t="n">
        <x:f>IF(Технологии!BE20="ИЗУЧЕНО",$E66,0)</x:f>
        <x:v>0</x:v>
      </x:c>
      <x:c r="Y66" s="21" t="n">
        <x:f>IF(Технологии!BF20="ИЗУЧЕНО",$E66,0)</x:f>
        <x:v>0</x:v>
      </x:c>
    </x:row>
    <x:row r="67">
      <x:c r="A67" s="19" t="s">
        <x:v>109</x:v>
      </x:c>
      <x:c r="B67" s="18" t="s">
        <x:v>110</x:v>
      </x:c>
      <x:c r="C67" s="18" t="s">
        <x:v>286</x:v>
      </x:c>
      <x:c r="D67" s="18" t="s">
        <x:v>387</x:v>
      </x:c>
      <x:c r="E67" s="20">
        <x:v>0.2</x:v>
      </x:c>
      <x:c r="F67" s="18" t="str">
        <x:f>IF(Технологии!BH20="","",Технологии!BH20)</x:f>
      </x:c>
      <x:c r="G67" s="18" t="s">
        <x:v>421</x:v>
      </x:c>
      <x:c r="J67" s="21" t="n">
        <x:f>0</x:f>
        <x:v>0</x:v>
      </x:c>
      <x:c r="K67" s="21" t="n">
        <x:f>IF(Технологии!AR20="ИЗУЧЕНО",$E67,0)</x:f>
        <x:v>0</x:v>
      </x:c>
      <x:c r="L67" s="21" t="n">
        <x:f>IF(Технологии!AS20="ИЗУЧЕНО",$E67,0)</x:f>
        <x:v>0</x:v>
      </x:c>
      <x:c r="M67" s="21" t="n">
        <x:f>IF(Технологии!AT20="ИЗУЧЕНО",$E67,0)</x:f>
        <x:v>0</x:v>
      </x:c>
      <x:c r="N67" s="21" t="n">
        <x:f>IF(Технологии!AU20="ИЗУЧЕНО",$E67,0)</x:f>
        <x:v>0</x:v>
      </x:c>
      <x:c r="O67" s="21" t="n">
        <x:f>IF(Технологии!AV20="ИЗУЧЕНО",$E67,0)</x:f>
        <x:v>0</x:v>
      </x:c>
      <x:c r="P67" s="21" t="n">
        <x:f>IF(Технологии!AW20="ИЗУЧЕНО",$E67,0)</x:f>
        <x:v>0</x:v>
      </x:c>
      <x:c r="Q67" s="21" t="n">
        <x:f>IF(Технологии!AX20="ИЗУЧЕНО",$E67,0)</x:f>
        <x:v>0</x:v>
      </x:c>
      <x:c r="R67" s="21" t="n">
        <x:f>IF(Технологии!AY20="ИЗУЧЕНО",$E67,0)</x:f>
        <x:v>0</x:v>
      </x:c>
      <x:c r="S67" s="21" t="n">
        <x:f>IF(Технологии!AZ20="ИЗУЧЕНО",$E67,0)</x:f>
        <x:v>0</x:v>
      </x:c>
      <x:c r="T67" s="21" t="n">
        <x:f>IF(Технологии!BA20="ИЗУЧЕНО",$E67,0)</x:f>
        <x:v>0</x:v>
      </x:c>
      <x:c r="U67" s="21" t="n">
        <x:f>IF(Технологии!BB20="ИЗУЧЕНО",$E67,0)</x:f>
        <x:v>0</x:v>
      </x:c>
      <x:c r="V67" s="21" t="n">
        <x:f>IF(Технологии!BC20="ИЗУЧЕНО",$E67,0)</x:f>
        <x:v>0</x:v>
      </x:c>
      <x:c r="W67" s="21" t="n">
        <x:f>IF(Технологии!BD20="ИЗУЧЕНО",$E67,0)</x:f>
        <x:v>0</x:v>
      </x:c>
      <x:c r="X67" s="21" t="n">
        <x:f>IF(Технологии!BE20="ИЗУЧЕНО",$E67,0)</x:f>
        <x:v>0</x:v>
      </x:c>
      <x:c r="Y67" s="21" t="n">
        <x:f>IF(Технологии!BF20="ИЗУЧЕНО",$E67,0)</x:f>
        <x:v>0</x:v>
      </x:c>
    </x:row>
    <x:row r="68">
      <x:c r="A68" s="19" t="s">
        <x:v>109</x:v>
      </x:c>
      <x:c r="B68" s="18" t="s">
        <x:v>110</x:v>
      </x:c>
      <x:c r="C68" s="18" t="s">
        <x:v>269</x:v>
      </x:c>
      <x:c r="D68" s="18" t="s">
        <x:v>414</x:v>
      </x:c>
      <x:c r="E68" s="20">
        <x:v>0.05</x:v>
      </x:c>
      <x:c r="F68" s="18" t="str">
        <x:f>IF(Технологии!BH20="","",Технологии!BH20)</x:f>
      </x:c>
      <x:c r="G68" s="18" t="s">
        <x:v>429</x:v>
      </x:c>
      <x:c r="J68" s="21" t="n">
        <x:f>0</x:f>
        <x:v>0</x:v>
      </x:c>
      <x:c r="K68" s="21" t="n">
        <x:f>IF(Технологии!AR20="ИЗУЧЕНО",$E68,0)</x:f>
        <x:v>0</x:v>
      </x:c>
      <x:c r="L68" s="21" t="n">
        <x:f>IF(Технологии!AS20="ИЗУЧЕНО",$E68,0)</x:f>
        <x:v>0</x:v>
      </x:c>
      <x:c r="M68" s="21" t="n">
        <x:f>IF(Технологии!AT20="ИЗУЧЕНО",$E68,0)</x:f>
        <x:v>0</x:v>
      </x:c>
      <x:c r="N68" s="21" t="n">
        <x:f>IF(Технологии!AU20="ИЗУЧЕНО",$E68,0)</x:f>
        <x:v>0</x:v>
      </x:c>
      <x:c r="O68" s="21" t="n">
        <x:f>IF(Технологии!AV20="ИЗУЧЕНО",$E68,0)</x:f>
        <x:v>0</x:v>
      </x:c>
      <x:c r="P68" s="21" t="n">
        <x:f>IF(Технологии!AW20="ИЗУЧЕНО",$E68,0)</x:f>
        <x:v>0</x:v>
      </x:c>
      <x:c r="Q68" s="21" t="n">
        <x:f>IF(Технологии!AX20="ИЗУЧЕНО",$E68,0)</x:f>
        <x:v>0</x:v>
      </x:c>
      <x:c r="R68" s="21" t="n">
        <x:f>IF(Технологии!AY20="ИЗУЧЕНО",$E68,0)</x:f>
        <x:v>0</x:v>
      </x:c>
      <x:c r="S68" s="21" t="n">
        <x:f>IF(Технологии!AZ20="ИЗУЧЕНО",$E68,0)</x:f>
        <x:v>0</x:v>
      </x:c>
      <x:c r="T68" s="21" t="n">
        <x:f>IF(Технологии!BA20="ИЗУЧЕНО",$E68,0)</x:f>
        <x:v>0</x:v>
      </x:c>
      <x:c r="U68" s="21" t="n">
        <x:f>IF(Технологии!BB20="ИЗУЧЕНО",$E68,0)</x:f>
        <x:v>0</x:v>
      </x:c>
      <x:c r="V68" s="21" t="n">
        <x:f>IF(Технологии!BC20="ИЗУЧЕНО",$E68,0)</x:f>
        <x:v>0</x:v>
      </x:c>
      <x:c r="W68" s="21" t="n">
        <x:f>IF(Технологии!BD20="ИЗУЧЕНО",$E68,0)</x:f>
        <x:v>0</x:v>
      </x:c>
      <x:c r="X68" s="21" t="n">
        <x:f>IF(Технологии!BE20="ИЗУЧЕНО",$E68,0)</x:f>
        <x:v>0</x:v>
      </x:c>
      <x:c r="Y68" s="21" t="n">
        <x:f>IF(Технологии!BF20="ИЗУЧЕНО",$E68,0)</x:f>
        <x:v>0</x:v>
      </x:c>
    </x:row>
    <x:row r="69">
      <x:c r="A69" s="19" t="s">
        <x:v>109</x:v>
      </x:c>
      <x:c r="B69" s="18" t="s">
        <x:v>110</x:v>
      </x:c>
      <x:c r="C69" s="18" t="s">
        <x:v>292</x:v>
      </x:c>
      <x:c r="D69" s="18" t="s">
        <x:v>387</x:v>
      </x:c>
      <x:c r="E69" s="20">
        <x:v>0.2</x:v>
      </x:c>
      <x:c r="F69" s="18" t="str">
        <x:f>IF(Технологии!BH20="","",Технологии!BH20)</x:f>
      </x:c>
      <x:c r="G69" s="18" t="s">
        <x:v>427</x:v>
      </x:c>
      <x:c r="J69" s="21" t="n">
        <x:f>0</x:f>
        <x:v>0</x:v>
      </x:c>
      <x:c r="K69" s="21" t="n">
        <x:f>IF(Технологии!AR20="ИЗУЧЕНО",$E69,0)</x:f>
        <x:v>0</x:v>
      </x:c>
      <x:c r="L69" s="21" t="n">
        <x:f>IF(Технологии!AS20="ИЗУЧЕНО",$E69,0)</x:f>
        <x:v>0</x:v>
      </x:c>
      <x:c r="M69" s="21" t="n">
        <x:f>IF(Технологии!AT20="ИЗУЧЕНО",$E69,0)</x:f>
        <x:v>0</x:v>
      </x:c>
      <x:c r="N69" s="21" t="n">
        <x:f>IF(Технологии!AU20="ИЗУЧЕНО",$E69,0)</x:f>
        <x:v>0</x:v>
      </x:c>
      <x:c r="O69" s="21" t="n">
        <x:f>IF(Технологии!AV20="ИЗУЧЕНО",$E69,0)</x:f>
        <x:v>0</x:v>
      </x:c>
      <x:c r="P69" s="21" t="n">
        <x:f>IF(Технологии!AW20="ИЗУЧЕНО",$E69,0)</x:f>
        <x:v>0</x:v>
      </x:c>
      <x:c r="Q69" s="21" t="n">
        <x:f>IF(Технологии!AX20="ИЗУЧЕНО",$E69,0)</x:f>
        <x:v>0</x:v>
      </x:c>
      <x:c r="R69" s="21" t="n">
        <x:f>IF(Технологии!AY20="ИЗУЧЕНО",$E69,0)</x:f>
        <x:v>0</x:v>
      </x:c>
      <x:c r="S69" s="21" t="n">
        <x:f>IF(Технологии!AZ20="ИЗУЧЕНО",$E69,0)</x:f>
        <x:v>0</x:v>
      </x:c>
      <x:c r="T69" s="21" t="n">
        <x:f>IF(Технологии!BA20="ИЗУЧЕНО",$E69,0)</x:f>
        <x:v>0</x:v>
      </x:c>
      <x:c r="U69" s="21" t="n">
        <x:f>IF(Технологии!BB20="ИЗУЧЕНО",$E69,0)</x:f>
        <x:v>0</x:v>
      </x:c>
      <x:c r="V69" s="21" t="n">
        <x:f>IF(Технологии!BC20="ИЗУЧЕНО",$E69,0)</x:f>
        <x:v>0</x:v>
      </x:c>
      <x:c r="W69" s="21" t="n">
        <x:f>IF(Технологии!BD20="ИЗУЧЕНО",$E69,0)</x:f>
        <x:v>0</x:v>
      </x:c>
      <x:c r="X69" s="21" t="n">
        <x:f>IF(Технологии!BE20="ИЗУЧЕНО",$E69,0)</x:f>
        <x:v>0</x:v>
      </x:c>
      <x:c r="Y69" s="21" t="n">
        <x:f>IF(Технологии!BF20="ИЗУЧЕНО",$E69,0)</x:f>
        <x:v>0</x:v>
      </x:c>
    </x:row>
    <x:row r="70">
      <x:c r="A70" s="19" t="s">
        <x:v>109</x:v>
      </x:c>
      <x:c r="B70" s="18" t="s">
        <x:v>110</x:v>
      </x:c>
      <x:c r="C70" s="18" t="s">
        <x:v>260</x:v>
      </x:c>
      <x:c r="D70" s="18" t="s">
        <x:v>387</x:v>
      </x:c>
      <x:c r="E70" s="20">
        <x:v>-0.25</x:v>
      </x:c>
      <x:c r="F70" s="18" t="str">
        <x:f>IF(Технологии!BH20="","",Технологии!BH20)</x:f>
      </x:c>
      <x:c r="G70" s="18" t="s">
        <x:v>400</x:v>
      </x:c>
      <x:c r="J70" s="21" t="n">
        <x:f>0</x:f>
        <x:v>0</x:v>
      </x:c>
      <x:c r="K70" s="21" t="n">
        <x:f>IF(Технологии!AR20="ИЗУЧЕНО",$E70,0)</x:f>
        <x:v>0</x:v>
      </x:c>
      <x:c r="L70" s="21" t="n">
        <x:f>IF(Технологии!AS20="ИЗУЧЕНО",$E70,0)</x:f>
        <x:v>0</x:v>
      </x:c>
      <x:c r="M70" s="21" t="n">
        <x:f>IF(Технологии!AT20="ИЗУЧЕНО",$E70,0)</x:f>
        <x:v>0</x:v>
      </x:c>
      <x:c r="N70" s="21" t="n">
        <x:f>IF(Технологии!AU20="ИЗУЧЕНО",$E70,0)</x:f>
        <x:v>0</x:v>
      </x:c>
      <x:c r="O70" s="21" t="n">
        <x:f>IF(Технологии!AV20="ИЗУЧЕНО",$E70,0)</x:f>
        <x:v>0</x:v>
      </x:c>
      <x:c r="P70" s="21" t="n">
        <x:f>IF(Технологии!AW20="ИЗУЧЕНО",$E70,0)</x:f>
        <x:v>0</x:v>
      </x:c>
      <x:c r="Q70" s="21" t="n">
        <x:f>IF(Технологии!AX20="ИЗУЧЕНО",$E70,0)</x:f>
        <x:v>0</x:v>
      </x:c>
      <x:c r="R70" s="21" t="n">
        <x:f>IF(Технологии!AY20="ИЗУЧЕНО",$E70,0)</x:f>
        <x:v>0</x:v>
      </x:c>
      <x:c r="S70" s="21" t="n">
        <x:f>IF(Технологии!AZ20="ИЗУЧЕНО",$E70,0)</x:f>
        <x:v>0</x:v>
      </x:c>
      <x:c r="T70" s="21" t="n">
        <x:f>IF(Технологии!BA20="ИЗУЧЕНО",$E70,0)</x:f>
        <x:v>0</x:v>
      </x:c>
      <x:c r="U70" s="21" t="n">
        <x:f>IF(Технологии!BB20="ИЗУЧЕНО",$E70,0)</x:f>
        <x:v>0</x:v>
      </x:c>
      <x:c r="V70" s="21" t="n">
        <x:f>IF(Технологии!BC20="ИЗУЧЕНО",$E70,0)</x:f>
        <x:v>0</x:v>
      </x:c>
      <x:c r="W70" s="21" t="n">
        <x:f>IF(Технологии!BD20="ИЗУЧЕНО",$E70,0)</x:f>
        <x:v>0</x:v>
      </x:c>
      <x:c r="X70" s="21" t="n">
        <x:f>IF(Технологии!BE20="ИЗУЧЕНО",$E70,0)</x:f>
        <x:v>0</x:v>
      </x:c>
      <x:c r="Y70" s="21" t="n">
        <x:f>IF(Технологии!BF20="ИЗУЧЕНО",$E70,0)</x:f>
        <x:v>0</x:v>
      </x:c>
    </x:row>
    <x:row r="71">
      <x:c r="A71" s="19" t="s">
        <x:v>109</x:v>
      </x:c>
      <x:c r="B71" s="18" t="s">
        <x:v>110</x:v>
      </x:c>
      <x:c r="C71" s="18" t="s">
        <x:v>295</x:v>
      </x:c>
      <x:c r="D71" s="18" t="s">
        <x:v>387</x:v>
      </x:c>
      <x:c r="E71" s="20">
        <x:v>-0.15</x:v>
      </x:c>
      <x:c r="F71" s="18" t="str">
        <x:f>IF(Технологии!BH20="","",Технологии!BH20)</x:f>
      </x:c>
      <x:c r="G71" s="18" t="s">
        <x:v>430</x:v>
      </x:c>
      <x:c r="J71" s="21" t="n">
        <x:f>0</x:f>
        <x:v>0</x:v>
      </x:c>
      <x:c r="K71" s="21" t="n">
        <x:f>IF(Технологии!AR20="ИЗУЧЕНО",$E71,0)</x:f>
        <x:v>0</x:v>
      </x:c>
      <x:c r="L71" s="21" t="n">
        <x:f>IF(Технологии!AS20="ИЗУЧЕНО",$E71,0)</x:f>
        <x:v>0</x:v>
      </x:c>
      <x:c r="M71" s="21" t="n">
        <x:f>IF(Технологии!AT20="ИЗУЧЕНО",$E71,0)</x:f>
        <x:v>0</x:v>
      </x:c>
      <x:c r="N71" s="21" t="n">
        <x:f>IF(Технологии!AU20="ИЗУЧЕНО",$E71,0)</x:f>
        <x:v>0</x:v>
      </x:c>
      <x:c r="O71" s="21" t="n">
        <x:f>IF(Технологии!AV20="ИЗУЧЕНО",$E71,0)</x:f>
        <x:v>0</x:v>
      </x:c>
      <x:c r="P71" s="21" t="n">
        <x:f>IF(Технологии!AW20="ИЗУЧЕНО",$E71,0)</x:f>
        <x:v>0</x:v>
      </x:c>
      <x:c r="Q71" s="21" t="n">
        <x:f>IF(Технологии!AX20="ИЗУЧЕНО",$E71,0)</x:f>
        <x:v>0</x:v>
      </x:c>
      <x:c r="R71" s="21" t="n">
        <x:f>IF(Технологии!AY20="ИЗУЧЕНО",$E71,0)</x:f>
        <x:v>0</x:v>
      </x:c>
      <x:c r="S71" s="21" t="n">
        <x:f>IF(Технологии!AZ20="ИЗУЧЕНО",$E71,0)</x:f>
        <x:v>0</x:v>
      </x:c>
      <x:c r="T71" s="21" t="n">
        <x:f>IF(Технологии!BA20="ИЗУЧЕНО",$E71,0)</x:f>
        <x:v>0</x:v>
      </x:c>
      <x:c r="U71" s="21" t="n">
        <x:f>IF(Технологии!BB20="ИЗУЧЕНО",$E71,0)</x:f>
        <x:v>0</x:v>
      </x:c>
      <x:c r="V71" s="21" t="n">
        <x:f>IF(Технологии!BC20="ИЗУЧЕНО",$E71,0)</x:f>
        <x:v>0</x:v>
      </x:c>
      <x:c r="W71" s="21" t="n">
        <x:f>IF(Технологии!BD20="ИЗУЧЕНО",$E71,0)</x:f>
        <x:v>0</x:v>
      </x:c>
      <x:c r="X71" s="21" t="n">
        <x:f>IF(Технологии!BE20="ИЗУЧЕНО",$E71,0)</x:f>
        <x:v>0</x:v>
      </x:c>
      <x:c r="Y71" s="21" t="n">
        <x:f>IF(Технологии!BF20="ИЗУЧЕНО",$E71,0)</x:f>
        <x:v>0</x:v>
      </x:c>
    </x:row>
    <x:row r="72">
      <x:c r="A72" s="19" t="s">
        <x:v>113</x:v>
      </x:c>
      <x:c r="B72" s="18" t="s">
        <x:v>114</x:v>
      </x:c>
      <x:c r="C72" s="18" t="s">
        <x:v>271</x:v>
      </x:c>
      <x:c r="D72" s="18" t="s">
        <x:v>387</x:v>
      </x:c>
      <x:c r="E72" s="20">
        <x:v>0.3</x:v>
      </x:c>
      <x:c r="F72" s="18" t="str">
        <x:f>IF(Технологии!BH21="","",Технологии!BH21)</x:f>
      </x:c>
      <x:c r="G72" s="18" t="s">
        <x:v>431</x:v>
      </x:c>
      <x:c r="J72" s="21" t="n">
        <x:f>0</x:f>
        <x:v>0</x:v>
      </x:c>
      <x:c r="K72" s="21" t="n">
        <x:f>IF(Технологии!AR21="ИЗУЧЕНО",$E72,0)</x:f>
        <x:v>0</x:v>
      </x:c>
      <x:c r="L72" s="21" t="n">
        <x:f>IF(Технологии!AS21="ИЗУЧЕНО",$E72,0)</x:f>
        <x:v>0</x:v>
      </x:c>
      <x:c r="M72" s="21" t="n">
        <x:f>IF(Технологии!AT21="ИЗУЧЕНО",$E72,0)</x:f>
        <x:v>0</x:v>
      </x:c>
      <x:c r="N72" s="21" t="n">
        <x:f>IF(Технологии!AU21="ИЗУЧЕНО",$E72,0)</x:f>
        <x:v>0</x:v>
      </x:c>
      <x:c r="O72" s="21" t="n">
        <x:f>IF(Технологии!AV21="ИЗУЧЕНО",$E72,0)</x:f>
        <x:v>0</x:v>
      </x:c>
      <x:c r="P72" s="21" t="n">
        <x:f>IF(Технологии!AW21="ИЗУЧЕНО",$E72,0)</x:f>
        <x:v>0</x:v>
      </x:c>
      <x:c r="Q72" s="21" t="n">
        <x:f>IF(Технологии!AX21="ИЗУЧЕНО",$E72,0)</x:f>
        <x:v>0</x:v>
      </x:c>
      <x:c r="R72" s="21" t="n">
        <x:f>IF(Технологии!AY21="ИЗУЧЕНО",$E72,0)</x:f>
        <x:v>0</x:v>
      </x:c>
      <x:c r="S72" s="21" t="n">
        <x:f>IF(Технологии!AZ21="ИЗУЧЕНО",$E72,0)</x:f>
        <x:v>0</x:v>
      </x:c>
      <x:c r="T72" s="21" t="n">
        <x:f>IF(Технологии!BA21="ИЗУЧЕНО",$E72,0)</x:f>
        <x:v>0</x:v>
      </x:c>
      <x:c r="U72" s="21" t="n">
        <x:f>IF(Технологии!BB21="ИЗУЧЕНО",$E72,0)</x:f>
        <x:v>0</x:v>
      </x:c>
      <x:c r="V72" s="21" t="n">
        <x:f>IF(Технологии!BC21="ИЗУЧЕНО",$E72,0)</x:f>
        <x:v>0</x:v>
      </x:c>
      <x:c r="W72" s="21" t="n">
        <x:f>IF(Технологии!BD21="ИЗУЧЕНО",$E72,0)</x:f>
        <x:v>0</x:v>
      </x:c>
      <x:c r="X72" s="21" t="n">
        <x:f>IF(Технологии!BE21="ИЗУЧЕНО",$E72,0)</x:f>
        <x:v>0</x:v>
      </x:c>
      <x:c r="Y72" s="21" t="n">
        <x:f>IF(Технологии!BF21="ИЗУЧЕНО",$E72,0)</x:f>
        <x:v>0</x:v>
      </x:c>
    </x:row>
    <x:row r="73">
      <x:c r="A73" s="19" t="s">
        <x:v>113</x:v>
      </x:c>
      <x:c r="B73" s="18" t="s">
        <x:v>114</x:v>
      </x:c>
      <x:c r="C73" s="18" t="s">
        <x:v>271</x:v>
      </x:c>
      <x:c r="D73" s="18" t="s">
        <x:v>414</x:v>
      </x:c>
      <x:c r="E73" s="20">
        <x:v>0.1</x:v>
      </x:c>
      <x:c r="F73" s="18" t="str">
        <x:f>IF(Технологии!BH21="","",Технологии!BH21)</x:f>
      </x:c>
      <x:c r="G73" s="18" t="s">
        <x:v>431</x:v>
      </x:c>
      <x:c r="J73" s="21" t="n">
        <x:f>0</x:f>
        <x:v>0</x:v>
      </x:c>
      <x:c r="K73" s="21" t="n">
        <x:f>IF(Технологии!AR21="ИЗУЧЕНО",$E73,0)</x:f>
        <x:v>0</x:v>
      </x:c>
      <x:c r="L73" s="21" t="n">
        <x:f>IF(Технологии!AS21="ИЗУЧЕНО",$E73,0)</x:f>
        <x:v>0</x:v>
      </x:c>
      <x:c r="M73" s="21" t="n">
        <x:f>IF(Технологии!AT21="ИЗУЧЕНО",$E73,0)</x:f>
        <x:v>0</x:v>
      </x:c>
      <x:c r="N73" s="21" t="n">
        <x:f>IF(Технологии!AU21="ИЗУЧЕНО",$E73,0)</x:f>
        <x:v>0</x:v>
      </x:c>
      <x:c r="O73" s="21" t="n">
        <x:f>IF(Технологии!AV21="ИЗУЧЕНО",$E73,0)</x:f>
        <x:v>0</x:v>
      </x:c>
      <x:c r="P73" s="21" t="n">
        <x:f>IF(Технологии!AW21="ИЗУЧЕНО",$E73,0)</x:f>
        <x:v>0</x:v>
      </x:c>
      <x:c r="Q73" s="21" t="n">
        <x:f>IF(Технологии!AX21="ИЗУЧЕНО",$E73,0)</x:f>
        <x:v>0</x:v>
      </x:c>
      <x:c r="R73" s="21" t="n">
        <x:f>IF(Технологии!AY21="ИЗУЧЕНО",$E73,0)</x:f>
        <x:v>0</x:v>
      </x:c>
      <x:c r="S73" s="21" t="n">
        <x:f>IF(Технологии!AZ21="ИЗУЧЕНО",$E73,0)</x:f>
        <x:v>0</x:v>
      </x:c>
      <x:c r="T73" s="21" t="n">
        <x:f>IF(Технологии!BA21="ИЗУЧЕНО",$E73,0)</x:f>
        <x:v>0</x:v>
      </x:c>
      <x:c r="U73" s="21" t="n">
        <x:f>IF(Технологии!BB21="ИЗУЧЕНО",$E73,0)</x:f>
        <x:v>0</x:v>
      </x:c>
      <x:c r="V73" s="21" t="n">
        <x:f>IF(Технологии!BC21="ИЗУЧЕНО",$E73,0)</x:f>
        <x:v>0</x:v>
      </x:c>
      <x:c r="W73" s="21" t="n">
        <x:f>IF(Технологии!BD21="ИЗУЧЕНО",$E73,0)</x:f>
        <x:v>0</x:v>
      </x:c>
      <x:c r="X73" s="21" t="n">
        <x:f>IF(Технологии!BE21="ИЗУЧЕНО",$E73,0)</x:f>
        <x:v>0</x:v>
      </x:c>
      <x:c r="Y73" s="21" t="n">
        <x:f>IF(Технологии!BF21="ИЗУЧЕНО",$E73,0)</x:f>
        <x:v>0</x:v>
      </x:c>
    </x:row>
    <x:row r="74">
      <x:c r="A74" s="19" t="s">
        <x:v>113</x:v>
      </x:c>
      <x:c r="B74" s="18" t="s">
        <x:v>114</x:v>
      </x:c>
      <x:c r="C74" s="18" t="s">
        <x:v>291</x:v>
      </x:c>
      <x:c r="D74" s="18" t="s">
        <x:v>387</x:v>
      </x:c>
      <x:c r="E74" s="20">
        <x:v>0.25</x:v>
      </x:c>
      <x:c r="F74" s="18" t="str">
        <x:f>IF(Технологии!BH21="","",Технологии!BH21)</x:f>
      </x:c>
      <x:c r="G74" s="18" t="s">
        <x:v>413</x:v>
      </x:c>
      <x:c r="J74" s="21" t="n">
        <x:f>0</x:f>
        <x:v>0</x:v>
      </x:c>
      <x:c r="K74" s="21" t="n">
        <x:f>IF(Технологии!AR21="ИЗУЧЕНО",$E74,0)</x:f>
        <x:v>0</x:v>
      </x:c>
      <x:c r="L74" s="21" t="n">
        <x:f>IF(Технологии!AS21="ИЗУЧЕНО",$E74,0)</x:f>
        <x:v>0</x:v>
      </x:c>
      <x:c r="M74" s="21" t="n">
        <x:f>IF(Технологии!AT21="ИЗУЧЕНО",$E74,0)</x:f>
        <x:v>0</x:v>
      </x:c>
      <x:c r="N74" s="21" t="n">
        <x:f>IF(Технологии!AU21="ИЗУЧЕНО",$E74,0)</x:f>
        <x:v>0</x:v>
      </x:c>
      <x:c r="O74" s="21" t="n">
        <x:f>IF(Технологии!AV21="ИЗУЧЕНО",$E74,0)</x:f>
        <x:v>0</x:v>
      </x:c>
      <x:c r="P74" s="21" t="n">
        <x:f>IF(Технологии!AW21="ИЗУЧЕНО",$E74,0)</x:f>
        <x:v>0</x:v>
      </x:c>
      <x:c r="Q74" s="21" t="n">
        <x:f>IF(Технологии!AX21="ИЗУЧЕНО",$E74,0)</x:f>
        <x:v>0</x:v>
      </x:c>
      <x:c r="R74" s="21" t="n">
        <x:f>IF(Технологии!AY21="ИЗУЧЕНО",$E74,0)</x:f>
        <x:v>0</x:v>
      </x:c>
      <x:c r="S74" s="21" t="n">
        <x:f>IF(Технологии!AZ21="ИЗУЧЕНО",$E74,0)</x:f>
        <x:v>0</x:v>
      </x:c>
      <x:c r="T74" s="21" t="n">
        <x:f>IF(Технологии!BA21="ИЗУЧЕНО",$E74,0)</x:f>
        <x:v>0</x:v>
      </x:c>
      <x:c r="U74" s="21" t="n">
        <x:f>IF(Технологии!BB21="ИЗУЧЕНО",$E74,0)</x:f>
        <x:v>0</x:v>
      </x:c>
      <x:c r="V74" s="21" t="n">
        <x:f>IF(Технологии!BC21="ИЗУЧЕНО",$E74,0)</x:f>
        <x:v>0</x:v>
      </x:c>
      <x:c r="W74" s="21" t="n">
        <x:f>IF(Технологии!BD21="ИЗУЧЕНО",$E74,0)</x:f>
        <x:v>0</x:v>
      </x:c>
      <x:c r="X74" s="21" t="n">
        <x:f>IF(Технологии!BE21="ИЗУЧЕНО",$E74,0)</x:f>
        <x:v>0</x:v>
      </x:c>
      <x:c r="Y74" s="21" t="n">
        <x:f>IF(Технологии!BF21="ИЗУЧЕНО",$E74,0)</x:f>
        <x:v>0</x:v>
      </x:c>
    </x:row>
    <x:row r="75">
      <x:c r="A75" s="19" t="s">
        <x:v>113</x:v>
      </x:c>
      <x:c r="B75" s="18" t="s">
        <x:v>114</x:v>
      </x:c>
      <x:c r="C75" s="18" t="s">
        <x:v>279</x:v>
      </x:c>
      <x:c r="D75" s="18" t="s">
        <x:v>414</x:v>
      </x:c>
      <x:c r="E75" s="20">
        <x:v>0.08</x:v>
      </x:c>
      <x:c r="F75" s="18" t="str">
        <x:f>IF(Технологии!BH21="","",Технологии!BH21)</x:f>
      </x:c>
      <x:c r="G75" s="18" t="s">
        <x:v>432</x:v>
      </x:c>
      <x:c r="J75" s="21" t="n">
        <x:f>0</x:f>
        <x:v>0</x:v>
      </x:c>
      <x:c r="K75" s="21" t="n">
        <x:f>IF(Технологии!AR21="ИЗУЧЕНО",$E75,0)</x:f>
        <x:v>0</x:v>
      </x:c>
      <x:c r="L75" s="21" t="n">
        <x:f>IF(Технологии!AS21="ИЗУЧЕНО",$E75,0)</x:f>
        <x:v>0</x:v>
      </x:c>
      <x:c r="M75" s="21" t="n">
        <x:f>IF(Технологии!AT21="ИЗУЧЕНО",$E75,0)</x:f>
        <x:v>0</x:v>
      </x:c>
      <x:c r="N75" s="21" t="n">
        <x:f>IF(Технологии!AU21="ИЗУЧЕНО",$E75,0)</x:f>
        <x:v>0</x:v>
      </x:c>
      <x:c r="O75" s="21" t="n">
        <x:f>IF(Технологии!AV21="ИЗУЧЕНО",$E75,0)</x:f>
        <x:v>0</x:v>
      </x:c>
      <x:c r="P75" s="21" t="n">
        <x:f>IF(Технологии!AW21="ИЗУЧЕНО",$E75,0)</x:f>
        <x:v>0</x:v>
      </x:c>
      <x:c r="Q75" s="21" t="n">
        <x:f>IF(Технологии!AX21="ИЗУЧЕНО",$E75,0)</x:f>
        <x:v>0</x:v>
      </x:c>
      <x:c r="R75" s="21" t="n">
        <x:f>IF(Технологии!AY21="ИЗУЧЕНО",$E75,0)</x:f>
        <x:v>0</x:v>
      </x:c>
      <x:c r="S75" s="21" t="n">
        <x:f>IF(Технологии!AZ21="ИЗУЧЕНО",$E75,0)</x:f>
        <x:v>0</x:v>
      </x:c>
      <x:c r="T75" s="21" t="n">
        <x:f>IF(Технологии!BA21="ИЗУЧЕНО",$E75,0)</x:f>
        <x:v>0</x:v>
      </x:c>
      <x:c r="U75" s="21" t="n">
        <x:f>IF(Технологии!BB21="ИЗУЧЕНО",$E75,0)</x:f>
        <x:v>0</x:v>
      </x:c>
      <x:c r="V75" s="21" t="n">
        <x:f>IF(Технологии!BC21="ИЗУЧЕНО",$E75,0)</x:f>
        <x:v>0</x:v>
      </x:c>
      <x:c r="W75" s="21" t="n">
        <x:f>IF(Технологии!BD21="ИЗУЧЕНО",$E75,0)</x:f>
        <x:v>0</x:v>
      </x:c>
      <x:c r="X75" s="21" t="n">
        <x:f>IF(Технологии!BE21="ИЗУЧЕНО",$E75,0)</x:f>
        <x:v>0</x:v>
      </x:c>
      <x:c r="Y75" s="21" t="n">
        <x:f>IF(Технологии!BF21="ИЗУЧЕНО",$E75,0)</x:f>
        <x:v>0</x:v>
      </x:c>
    </x:row>
    <x:row r="76">
      <x:c r="A76" s="19" t="s">
        <x:v>113</x:v>
      </x:c>
      <x:c r="B76" s="18" t="s">
        <x:v>114</x:v>
      </x:c>
      <x:c r="C76" s="18" t="s">
        <x:v>285</x:v>
      </x:c>
      <x:c r="D76" s="18" t="s">
        <x:v>387</x:v>
      </x:c>
      <x:c r="E76" s="20">
        <x:v>0.2</x:v>
      </x:c>
      <x:c r="F76" s="18" t="str">
        <x:f>IF(Технологии!BH21="","",Технологии!BH21)</x:f>
      </x:c>
      <x:c r="G76" s="18" t="s">
        <x:v>433</x:v>
      </x:c>
      <x:c r="J76" s="21" t="n">
        <x:f>0</x:f>
        <x:v>0</x:v>
      </x:c>
      <x:c r="K76" s="21" t="n">
        <x:f>IF(Технологии!AR21="ИЗУЧЕНО",$E76,0)</x:f>
        <x:v>0</x:v>
      </x:c>
      <x:c r="L76" s="21" t="n">
        <x:f>IF(Технологии!AS21="ИЗУЧЕНО",$E76,0)</x:f>
        <x:v>0</x:v>
      </x:c>
      <x:c r="M76" s="21" t="n">
        <x:f>IF(Технологии!AT21="ИЗУЧЕНО",$E76,0)</x:f>
        <x:v>0</x:v>
      </x:c>
      <x:c r="N76" s="21" t="n">
        <x:f>IF(Технологии!AU21="ИЗУЧЕНО",$E76,0)</x:f>
        <x:v>0</x:v>
      </x:c>
      <x:c r="O76" s="21" t="n">
        <x:f>IF(Технологии!AV21="ИЗУЧЕНО",$E76,0)</x:f>
        <x:v>0</x:v>
      </x:c>
      <x:c r="P76" s="21" t="n">
        <x:f>IF(Технологии!AW21="ИЗУЧЕНО",$E76,0)</x:f>
        <x:v>0</x:v>
      </x:c>
      <x:c r="Q76" s="21" t="n">
        <x:f>IF(Технологии!AX21="ИЗУЧЕНО",$E76,0)</x:f>
        <x:v>0</x:v>
      </x:c>
      <x:c r="R76" s="21" t="n">
        <x:f>IF(Технологии!AY21="ИЗУЧЕНО",$E76,0)</x:f>
        <x:v>0</x:v>
      </x:c>
      <x:c r="S76" s="21" t="n">
        <x:f>IF(Технологии!AZ21="ИЗУЧЕНО",$E76,0)</x:f>
        <x:v>0</x:v>
      </x:c>
      <x:c r="T76" s="21" t="n">
        <x:f>IF(Технологии!BA21="ИЗУЧЕНО",$E76,0)</x:f>
        <x:v>0</x:v>
      </x:c>
      <x:c r="U76" s="21" t="n">
        <x:f>IF(Технологии!BB21="ИЗУЧЕНО",$E76,0)</x:f>
        <x:v>0</x:v>
      </x:c>
      <x:c r="V76" s="21" t="n">
        <x:f>IF(Технологии!BC21="ИЗУЧЕНО",$E76,0)</x:f>
        <x:v>0</x:v>
      </x:c>
      <x:c r="W76" s="21" t="n">
        <x:f>IF(Технологии!BD21="ИЗУЧЕНО",$E76,0)</x:f>
        <x:v>0</x:v>
      </x:c>
      <x:c r="X76" s="21" t="n">
        <x:f>IF(Технологии!BE21="ИЗУЧЕНО",$E76,0)</x:f>
        <x:v>0</x:v>
      </x:c>
      <x:c r="Y76" s="21" t="n">
        <x:f>IF(Технологии!BF21="ИЗУЧЕНО",$E76,0)</x:f>
        <x:v>0</x:v>
      </x:c>
    </x:row>
    <x:row r="77">
      <x:c r="A77" s="19" t="s">
        <x:v>113</x:v>
      </x:c>
      <x:c r="B77" s="18" t="s">
        <x:v>114</x:v>
      </x:c>
      <x:c r="C77" s="18" t="s">
        <x:v>378</x:v>
      </x:c>
      <x:c r="D77" s="18" t="s">
        <x:v>405</x:v>
      </x:c>
      <x:c r="E77" s="20">
        <x:v>0.1</x:v>
      </x:c>
      <x:c r="F77" s="18" t="str">
        <x:f>IF(Технологии!BH21="","",Технологии!BH21)</x:f>
      </x:c>
      <x:c r="G77" s="18" t="s">
        <x:v>434</x:v>
      </x:c>
      <x:c r="J77" s="21" t="n">
        <x:f>0</x:f>
        <x:v>0</x:v>
      </x:c>
      <x:c r="K77" s="21" t="n">
        <x:f>IF(Технологии!AR21="ИЗУЧЕНО",$E77,0)</x:f>
        <x:v>0</x:v>
      </x:c>
      <x:c r="L77" s="21" t="n">
        <x:f>IF(Технологии!AS21="ИЗУЧЕНО",$E77,0)</x:f>
        <x:v>0</x:v>
      </x:c>
      <x:c r="M77" s="21" t="n">
        <x:f>IF(Технологии!AT21="ИЗУЧЕНО",$E77,0)</x:f>
        <x:v>0</x:v>
      </x:c>
      <x:c r="N77" s="21" t="n">
        <x:f>IF(Технологии!AU21="ИЗУЧЕНО",$E77,0)</x:f>
        <x:v>0</x:v>
      </x:c>
      <x:c r="O77" s="21" t="n">
        <x:f>IF(Технологии!AV21="ИЗУЧЕНО",$E77,0)</x:f>
        <x:v>0</x:v>
      </x:c>
      <x:c r="P77" s="21" t="n">
        <x:f>IF(Технологии!AW21="ИЗУЧЕНО",$E77,0)</x:f>
        <x:v>0</x:v>
      </x:c>
      <x:c r="Q77" s="21" t="n">
        <x:f>IF(Технологии!AX21="ИЗУЧЕНО",$E77,0)</x:f>
        <x:v>0</x:v>
      </x:c>
      <x:c r="R77" s="21" t="n">
        <x:f>IF(Технологии!AY21="ИЗУЧЕНО",$E77,0)</x:f>
        <x:v>0</x:v>
      </x:c>
      <x:c r="S77" s="21" t="n">
        <x:f>IF(Технологии!AZ21="ИЗУЧЕНО",$E77,0)</x:f>
        <x:v>0</x:v>
      </x:c>
      <x:c r="T77" s="21" t="n">
        <x:f>IF(Технологии!BA21="ИЗУЧЕНО",$E77,0)</x:f>
        <x:v>0</x:v>
      </x:c>
      <x:c r="U77" s="21" t="n">
        <x:f>IF(Технологии!BB21="ИЗУЧЕНО",$E77,0)</x:f>
        <x:v>0</x:v>
      </x:c>
      <x:c r="V77" s="21" t="n">
        <x:f>IF(Технологии!BC21="ИЗУЧЕНО",$E77,0)</x:f>
        <x:v>0</x:v>
      </x:c>
      <x:c r="W77" s="21" t="n">
        <x:f>IF(Технологии!BD21="ИЗУЧЕНО",$E77,0)</x:f>
        <x:v>0</x:v>
      </x:c>
      <x:c r="X77" s="21" t="n">
        <x:f>IF(Технологии!BE21="ИЗУЧЕНО",$E77,0)</x:f>
        <x:v>0</x:v>
      </x:c>
      <x:c r="Y77" s="21" t="n">
        <x:f>IF(Технологии!BF21="ИЗУЧЕНО",$E77,0)</x:f>
        <x:v>0</x:v>
      </x:c>
    </x:row>
    <x:row r="78">
      <x:c r="A78" s="19" t="s">
        <x:v>113</x:v>
      </x:c>
      <x:c r="B78" s="18" t="s">
        <x:v>114</x:v>
      </x:c>
      <x:c r="C78" s="18" t="s">
        <x:v>260</x:v>
      </x:c>
      <x:c r="D78" s="18" t="s">
        <x:v>387</x:v>
      </x:c>
      <x:c r="E78" s="20">
        <x:v>-0.3</x:v>
      </x:c>
      <x:c r="F78" s="18" t="str">
        <x:f>IF(Технологии!BH21="","",Технологии!BH21)</x:f>
      </x:c>
      <x:c r="G78" s="18" t="s">
        <x:v>435</x:v>
      </x:c>
      <x:c r="J78" s="21" t="n">
        <x:f>0</x:f>
        <x:v>0</x:v>
      </x:c>
      <x:c r="K78" s="21" t="n">
        <x:f>IF(Технологии!AR21="ИЗУЧЕНО",$E78,0)</x:f>
        <x:v>0</x:v>
      </x:c>
      <x:c r="L78" s="21" t="n">
        <x:f>IF(Технологии!AS21="ИЗУЧЕНО",$E78,0)</x:f>
        <x:v>0</x:v>
      </x:c>
      <x:c r="M78" s="21" t="n">
        <x:f>IF(Технологии!AT21="ИЗУЧЕНО",$E78,0)</x:f>
        <x:v>0</x:v>
      </x:c>
      <x:c r="N78" s="21" t="n">
        <x:f>IF(Технологии!AU21="ИЗУЧЕНО",$E78,0)</x:f>
        <x:v>0</x:v>
      </x:c>
      <x:c r="O78" s="21" t="n">
        <x:f>IF(Технологии!AV21="ИЗУЧЕНО",$E78,0)</x:f>
        <x:v>0</x:v>
      </x:c>
      <x:c r="P78" s="21" t="n">
        <x:f>IF(Технологии!AW21="ИЗУЧЕНО",$E78,0)</x:f>
        <x:v>0</x:v>
      </x:c>
      <x:c r="Q78" s="21" t="n">
        <x:f>IF(Технологии!AX21="ИЗУЧЕНО",$E78,0)</x:f>
        <x:v>0</x:v>
      </x:c>
      <x:c r="R78" s="21" t="n">
        <x:f>IF(Технологии!AY21="ИЗУЧЕНО",$E78,0)</x:f>
        <x:v>0</x:v>
      </x:c>
      <x:c r="S78" s="21" t="n">
        <x:f>IF(Технологии!AZ21="ИЗУЧЕНО",$E78,0)</x:f>
        <x:v>0</x:v>
      </x:c>
      <x:c r="T78" s="21" t="n">
        <x:f>IF(Технологии!BA21="ИЗУЧЕНО",$E78,0)</x:f>
        <x:v>0</x:v>
      </x:c>
      <x:c r="U78" s="21" t="n">
        <x:f>IF(Технологии!BB21="ИЗУЧЕНО",$E78,0)</x:f>
        <x:v>0</x:v>
      </x:c>
      <x:c r="V78" s="21" t="n">
        <x:f>IF(Технологии!BC21="ИЗУЧЕНО",$E78,0)</x:f>
        <x:v>0</x:v>
      </x:c>
      <x:c r="W78" s="21" t="n">
        <x:f>IF(Технологии!BD21="ИЗУЧЕНО",$E78,0)</x:f>
        <x:v>0</x:v>
      </x:c>
      <x:c r="X78" s="21" t="n">
        <x:f>IF(Технологии!BE21="ИЗУЧЕНО",$E78,0)</x:f>
        <x:v>0</x:v>
      </x:c>
      <x:c r="Y78" s="21" t="n">
        <x:f>IF(Технологии!BF21="ИЗУЧЕНО",$E78,0)</x:f>
        <x:v>0</x:v>
      </x:c>
    </x:row>
    <x:row r="79">
      <x:c r="A79" s="19" t="s">
        <x:v>113</x:v>
      </x:c>
      <x:c r="B79" s="18" t="s">
        <x:v>114</x:v>
      </x:c>
      <x:c r="C79" s="18" t="s">
        <x:v>266</x:v>
      </x:c>
      <x:c r="D79" s="18" t="s">
        <x:v>387</x:v>
      </x:c>
      <x:c r="E79" s="20">
        <x:v>-0.2</x:v>
      </x:c>
      <x:c r="F79" s="18" t="str">
        <x:f>IF(Технологии!BH21="","",Технологии!BH21)</x:f>
      </x:c>
      <x:c r="G79" s="18" t="s">
        <x:v>401</x:v>
      </x:c>
      <x:c r="J79" s="21" t="n">
        <x:f>0</x:f>
        <x:v>0</x:v>
      </x:c>
      <x:c r="K79" s="21" t="n">
        <x:f>IF(Технологии!AR21="ИЗУЧЕНО",$E79,0)</x:f>
        <x:v>0</x:v>
      </x:c>
      <x:c r="L79" s="21" t="n">
        <x:f>IF(Технологии!AS21="ИЗУЧЕНО",$E79,0)</x:f>
        <x:v>0</x:v>
      </x:c>
      <x:c r="M79" s="21" t="n">
        <x:f>IF(Технологии!AT21="ИЗУЧЕНО",$E79,0)</x:f>
        <x:v>0</x:v>
      </x:c>
      <x:c r="N79" s="21" t="n">
        <x:f>IF(Технологии!AU21="ИЗУЧЕНО",$E79,0)</x:f>
        <x:v>0</x:v>
      </x:c>
      <x:c r="O79" s="21" t="n">
        <x:f>IF(Технологии!AV21="ИЗУЧЕНО",$E79,0)</x:f>
        <x:v>0</x:v>
      </x:c>
      <x:c r="P79" s="21" t="n">
        <x:f>IF(Технологии!AW21="ИЗУЧЕНО",$E79,0)</x:f>
        <x:v>0</x:v>
      </x:c>
      <x:c r="Q79" s="21" t="n">
        <x:f>IF(Технологии!AX21="ИЗУЧЕНО",$E79,0)</x:f>
        <x:v>0</x:v>
      </x:c>
      <x:c r="R79" s="21" t="n">
        <x:f>IF(Технологии!AY21="ИЗУЧЕНО",$E79,0)</x:f>
        <x:v>0</x:v>
      </x:c>
      <x:c r="S79" s="21" t="n">
        <x:f>IF(Технологии!AZ21="ИЗУЧЕНО",$E79,0)</x:f>
        <x:v>0</x:v>
      </x:c>
      <x:c r="T79" s="21" t="n">
        <x:f>IF(Технологии!BA21="ИЗУЧЕНО",$E79,0)</x:f>
        <x:v>0</x:v>
      </x:c>
      <x:c r="U79" s="21" t="n">
        <x:f>IF(Технологии!BB21="ИЗУЧЕНО",$E79,0)</x:f>
        <x:v>0</x:v>
      </x:c>
      <x:c r="V79" s="21" t="n">
        <x:f>IF(Технологии!BC21="ИЗУЧЕНО",$E79,0)</x:f>
        <x:v>0</x:v>
      </x:c>
      <x:c r="W79" s="21" t="n">
        <x:f>IF(Технологии!BD21="ИЗУЧЕНО",$E79,0)</x:f>
        <x:v>0</x:v>
      </x:c>
      <x:c r="X79" s="21" t="n">
        <x:f>IF(Технологии!BE21="ИЗУЧЕНО",$E79,0)</x:f>
        <x:v>0</x:v>
      </x:c>
      <x:c r="Y79" s="21" t="n">
        <x:f>IF(Технологии!BF21="ИЗУЧЕНО",$E79,0)</x:f>
        <x:v>0</x:v>
      </x:c>
    </x:row>
    <x:row r="80">
      <x:c r="A80" s="19" t="s">
        <x:v>113</x:v>
      </x:c>
      <x:c r="B80" s="18" t="s">
        <x:v>114</x:v>
      </x:c>
      <x:c r="C80" s="18" t="s">
        <x:v>311</x:v>
      </x:c>
      <x:c r="D80" s="18" t="s">
        <x:v>387</x:v>
      </x:c>
      <x:c r="E80" s="20">
        <x:v>-0.15</x:v>
      </x:c>
      <x:c r="F80" s="18" t="str">
        <x:f>IF(Технологии!BH21="","",Технологии!BH21)</x:f>
      </x:c>
      <x:c r="G80" s="18" t="s">
        <x:v>436</x:v>
      </x:c>
      <x:c r="J80" s="21" t="n">
        <x:f>0</x:f>
        <x:v>0</x:v>
      </x:c>
      <x:c r="K80" s="21" t="n">
        <x:f>IF(Технологии!AR21="ИЗУЧЕНО",$E80,0)</x:f>
        <x:v>0</x:v>
      </x:c>
      <x:c r="L80" s="21" t="n">
        <x:f>IF(Технологии!AS21="ИЗУЧЕНО",$E80,0)</x:f>
        <x:v>0</x:v>
      </x:c>
      <x:c r="M80" s="21" t="n">
        <x:f>IF(Технологии!AT21="ИЗУЧЕНО",$E80,0)</x:f>
        <x:v>0</x:v>
      </x:c>
      <x:c r="N80" s="21" t="n">
        <x:f>IF(Технологии!AU21="ИЗУЧЕНО",$E80,0)</x:f>
        <x:v>0</x:v>
      </x:c>
      <x:c r="O80" s="21" t="n">
        <x:f>IF(Технологии!AV21="ИЗУЧЕНО",$E80,0)</x:f>
        <x:v>0</x:v>
      </x:c>
      <x:c r="P80" s="21" t="n">
        <x:f>IF(Технологии!AW21="ИЗУЧЕНО",$E80,0)</x:f>
        <x:v>0</x:v>
      </x:c>
      <x:c r="Q80" s="21" t="n">
        <x:f>IF(Технологии!AX21="ИЗУЧЕНО",$E80,0)</x:f>
        <x:v>0</x:v>
      </x:c>
      <x:c r="R80" s="21" t="n">
        <x:f>IF(Технологии!AY21="ИЗУЧЕНО",$E80,0)</x:f>
        <x:v>0</x:v>
      </x:c>
      <x:c r="S80" s="21" t="n">
        <x:f>IF(Технологии!AZ21="ИЗУЧЕНО",$E80,0)</x:f>
        <x:v>0</x:v>
      </x:c>
      <x:c r="T80" s="21" t="n">
        <x:f>IF(Технологии!BA21="ИЗУЧЕНО",$E80,0)</x:f>
        <x:v>0</x:v>
      </x:c>
      <x:c r="U80" s="21" t="n">
        <x:f>IF(Технологии!BB21="ИЗУЧЕНО",$E80,0)</x:f>
        <x:v>0</x:v>
      </x:c>
      <x:c r="V80" s="21" t="n">
        <x:f>IF(Технологии!BC21="ИЗУЧЕНО",$E80,0)</x:f>
        <x:v>0</x:v>
      </x:c>
      <x:c r="W80" s="21" t="n">
        <x:f>IF(Технологии!BD21="ИЗУЧЕНО",$E80,0)</x:f>
        <x:v>0</x:v>
      </x:c>
      <x:c r="X80" s="21" t="n">
        <x:f>IF(Технологии!BE21="ИЗУЧЕНО",$E80,0)</x:f>
        <x:v>0</x:v>
      </x:c>
      <x:c r="Y80" s="21" t="n">
        <x:f>IF(Технологии!BF21="ИЗУЧЕНО",$E80,0)</x:f>
        <x:v>0</x:v>
      </x:c>
    </x:row>
    <x:row r="81">
      <x:c r="A81" s="19" t="s">
        <x:v>117</x:v>
      </x:c>
      <x:c r="B81" s="18" t="s">
        <x:v>118</x:v>
      </x:c>
      <x:c r="C81" s="18" t="s">
        <x:v>286</x:v>
      </x:c>
      <x:c r="D81" s="18" t="s">
        <x:v>414</x:v>
      </x:c>
      <x:c r="E81" s="20">
        <x:v>0.15</x:v>
      </x:c>
      <x:c r="F81" s="18" t="str">
        <x:f>IF(Технологии!BH22="","",Технологии!BH22)</x:f>
      </x:c>
      <x:c r="G81" s="18" t="s">
        <x:v>437</x:v>
      </x:c>
      <x:c r="J81" s="21" t="n">
        <x:f>0</x:f>
        <x:v>0</x:v>
      </x:c>
      <x:c r="K81" s="21" t="n">
        <x:f>IF(Технологии!AR22="ИЗУЧЕНО",$E81,0)</x:f>
        <x:v>0</x:v>
      </x:c>
      <x:c r="L81" s="21" t="n">
        <x:f>IF(Технологии!AS22="ИЗУЧЕНО",$E81,0)</x:f>
        <x:v>0</x:v>
      </x:c>
      <x:c r="M81" s="21" t="n">
        <x:f>IF(Технологии!AT22="ИЗУЧЕНО",$E81,0)</x:f>
        <x:v>0</x:v>
      </x:c>
      <x:c r="N81" s="21" t="n">
        <x:f>IF(Технологии!AU22="ИЗУЧЕНО",$E81,0)</x:f>
        <x:v>0</x:v>
      </x:c>
      <x:c r="O81" s="21" t="n">
        <x:f>IF(Технологии!AV22="ИЗУЧЕНО",$E81,0)</x:f>
        <x:v>0</x:v>
      </x:c>
      <x:c r="P81" s="21" t="n">
        <x:f>IF(Технологии!AW22="ИЗУЧЕНО",$E81,0)</x:f>
        <x:v>0</x:v>
      </x:c>
      <x:c r="Q81" s="21" t="n">
        <x:f>IF(Технологии!AX22="ИЗУЧЕНО",$E81,0)</x:f>
        <x:v>0</x:v>
      </x:c>
      <x:c r="R81" s="21" t="n">
        <x:f>IF(Технологии!AY22="ИЗУЧЕНО",$E81,0)</x:f>
        <x:v>0</x:v>
      </x:c>
      <x:c r="S81" s="21" t="n">
        <x:f>IF(Технологии!AZ22="ИЗУЧЕНО",$E81,0)</x:f>
        <x:v>0</x:v>
      </x:c>
      <x:c r="T81" s="21" t="n">
        <x:f>IF(Технологии!BA22="ИЗУЧЕНО",$E81,0)</x:f>
        <x:v>0</x:v>
      </x:c>
      <x:c r="U81" s="21" t="n">
        <x:f>IF(Технологии!BB22="ИЗУЧЕНО",$E81,0)</x:f>
        <x:v>0</x:v>
      </x:c>
      <x:c r="V81" s="21" t="n">
        <x:f>IF(Технологии!BC22="ИЗУЧЕНО",$E81,0)</x:f>
        <x:v>0</x:v>
      </x:c>
      <x:c r="W81" s="21" t="n">
        <x:f>IF(Технологии!BD22="ИЗУЧЕНО",$E81,0)</x:f>
        <x:v>0</x:v>
      </x:c>
      <x:c r="X81" s="21" t="n">
        <x:f>IF(Технологии!BE22="ИЗУЧЕНО",$E81,0)</x:f>
        <x:v>0</x:v>
      </x:c>
      <x:c r="Y81" s="21" t="n">
        <x:f>IF(Технологии!BF22="ИЗУЧЕНО",$E81,0)</x:f>
        <x:v>0</x:v>
      </x:c>
    </x:row>
    <x:row r="82">
      <x:c r="A82" s="19" t="s">
        <x:v>117</x:v>
      </x:c>
      <x:c r="B82" s="18" t="s">
        <x:v>118</x:v>
      </x:c>
      <x:c r="C82" s="18" t="s">
        <x:v>291</x:v>
      </x:c>
      <x:c r="D82" s="18" t="s">
        <x:v>414</x:v>
      </x:c>
      <x:c r="E82" s="20">
        <x:v>0.1</x:v>
      </x:c>
      <x:c r="F82" s="18" t="str">
        <x:f>IF(Технологии!BH22="","",Технологии!BH22)</x:f>
      </x:c>
      <x:c r="G82" s="18" t="s">
        <x:v>438</x:v>
      </x:c>
      <x:c r="J82" s="21" t="n">
        <x:f>0</x:f>
        <x:v>0</x:v>
      </x:c>
      <x:c r="K82" s="21" t="n">
        <x:f>IF(Технологии!AR22="ИЗУЧЕНО",$E82,0)</x:f>
        <x:v>0</x:v>
      </x:c>
      <x:c r="L82" s="21" t="n">
        <x:f>IF(Технологии!AS22="ИЗУЧЕНО",$E82,0)</x:f>
        <x:v>0</x:v>
      </x:c>
      <x:c r="M82" s="21" t="n">
        <x:f>IF(Технологии!AT22="ИЗУЧЕНО",$E82,0)</x:f>
        <x:v>0</x:v>
      </x:c>
      <x:c r="N82" s="21" t="n">
        <x:f>IF(Технологии!AU22="ИЗУЧЕНО",$E82,0)</x:f>
        <x:v>0</x:v>
      </x:c>
      <x:c r="O82" s="21" t="n">
        <x:f>IF(Технологии!AV22="ИЗУЧЕНО",$E82,0)</x:f>
        <x:v>0</x:v>
      </x:c>
      <x:c r="P82" s="21" t="n">
        <x:f>IF(Технологии!AW22="ИЗУЧЕНО",$E82,0)</x:f>
        <x:v>0</x:v>
      </x:c>
      <x:c r="Q82" s="21" t="n">
        <x:f>IF(Технологии!AX22="ИЗУЧЕНО",$E82,0)</x:f>
        <x:v>0</x:v>
      </x:c>
      <x:c r="R82" s="21" t="n">
        <x:f>IF(Технологии!AY22="ИЗУЧЕНО",$E82,0)</x:f>
        <x:v>0</x:v>
      </x:c>
      <x:c r="S82" s="21" t="n">
        <x:f>IF(Технологии!AZ22="ИЗУЧЕНО",$E82,0)</x:f>
        <x:v>0</x:v>
      </x:c>
      <x:c r="T82" s="21" t="n">
        <x:f>IF(Технологии!BA22="ИЗУЧЕНО",$E82,0)</x:f>
        <x:v>0</x:v>
      </x:c>
      <x:c r="U82" s="21" t="n">
        <x:f>IF(Технологии!BB22="ИЗУЧЕНО",$E82,0)</x:f>
        <x:v>0</x:v>
      </x:c>
      <x:c r="V82" s="21" t="n">
        <x:f>IF(Технологии!BC22="ИЗУЧЕНО",$E82,0)</x:f>
        <x:v>0</x:v>
      </x:c>
      <x:c r="W82" s="21" t="n">
        <x:f>IF(Технологии!BD22="ИЗУЧЕНО",$E82,0)</x:f>
        <x:v>0</x:v>
      </x:c>
      <x:c r="X82" s="21" t="n">
        <x:f>IF(Технологии!BE22="ИЗУЧЕНО",$E82,0)</x:f>
        <x:v>0</x:v>
      </x:c>
      <x:c r="Y82" s="21" t="n">
        <x:f>IF(Технологии!BF22="ИЗУЧЕНО",$E82,0)</x:f>
        <x:v>0</x:v>
      </x:c>
    </x:row>
    <x:row r="83">
      <x:c r="A83" s="19" t="s">
        <x:v>117</x:v>
      </x:c>
      <x:c r="B83" s="18" t="s">
        <x:v>118</x:v>
      </x:c>
      <x:c r="C83" s="18" t="s">
        <x:v>285</x:v>
      </x:c>
      <x:c r="D83" s="18" t="s">
        <x:v>387</x:v>
      </x:c>
      <x:c r="E83" s="20">
        <x:v>0.25</x:v>
      </x:c>
      <x:c r="F83" s="18" t="str">
        <x:f>IF(Технологии!BH22="","",Технологии!BH22)</x:f>
      </x:c>
      <x:c r="G83" s="18" t="s">
        <x:v>439</x:v>
      </x:c>
      <x:c r="J83" s="21" t="n">
        <x:f>0</x:f>
        <x:v>0</x:v>
      </x:c>
      <x:c r="K83" s="21" t="n">
        <x:f>IF(Технологии!AR22="ИЗУЧЕНО",$E83,0)</x:f>
        <x:v>0</x:v>
      </x:c>
      <x:c r="L83" s="21" t="n">
        <x:f>IF(Технологии!AS22="ИЗУЧЕНО",$E83,0)</x:f>
        <x:v>0</x:v>
      </x:c>
      <x:c r="M83" s="21" t="n">
        <x:f>IF(Технологии!AT22="ИЗУЧЕНО",$E83,0)</x:f>
        <x:v>0</x:v>
      </x:c>
      <x:c r="N83" s="21" t="n">
        <x:f>IF(Технологии!AU22="ИЗУЧЕНО",$E83,0)</x:f>
        <x:v>0</x:v>
      </x:c>
      <x:c r="O83" s="21" t="n">
        <x:f>IF(Технологии!AV22="ИЗУЧЕНО",$E83,0)</x:f>
        <x:v>0</x:v>
      </x:c>
      <x:c r="P83" s="21" t="n">
        <x:f>IF(Технологии!AW22="ИЗУЧЕНО",$E83,0)</x:f>
        <x:v>0</x:v>
      </x:c>
      <x:c r="Q83" s="21" t="n">
        <x:f>IF(Технологии!AX22="ИЗУЧЕНО",$E83,0)</x:f>
        <x:v>0</x:v>
      </x:c>
      <x:c r="R83" s="21" t="n">
        <x:f>IF(Технологии!AY22="ИЗУЧЕНО",$E83,0)</x:f>
        <x:v>0</x:v>
      </x:c>
      <x:c r="S83" s="21" t="n">
        <x:f>IF(Технологии!AZ22="ИЗУЧЕНО",$E83,0)</x:f>
        <x:v>0</x:v>
      </x:c>
      <x:c r="T83" s="21" t="n">
        <x:f>IF(Технологии!BA22="ИЗУЧЕНО",$E83,0)</x:f>
        <x:v>0</x:v>
      </x:c>
      <x:c r="U83" s="21" t="n">
        <x:f>IF(Технологии!BB22="ИЗУЧЕНО",$E83,0)</x:f>
        <x:v>0</x:v>
      </x:c>
      <x:c r="V83" s="21" t="n">
        <x:f>IF(Технологии!BC22="ИЗУЧЕНО",$E83,0)</x:f>
        <x:v>0</x:v>
      </x:c>
      <x:c r="W83" s="21" t="n">
        <x:f>IF(Технологии!BD22="ИЗУЧЕНО",$E83,0)</x:f>
        <x:v>0</x:v>
      </x:c>
      <x:c r="X83" s="21" t="n">
        <x:f>IF(Технологии!BE22="ИЗУЧЕНО",$E83,0)</x:f>
        <x:v>0</x:v>
      </x:c>
      <x:c r="Y83" s="21" t="n">
        <x:f>IF(Технологии!BF22="ИЗУЧЕНО",$E83,0)</x:f>
        <x:v>0</x:v>
      </x:c>
    </x:row>
    <x:row r="84">
      <x:c r="A84" s="19" t="s">
        <x:v>117</x:v>
      </x:c>
      <x:c r="B84" s="18" t="s">
        <x:v>118</x:v>
      </x:c>
      <x:c r="C84" s="18" t="s">
        <x:v>292</x:v>
      </x:c>
      <x:c r="D84" s="18" t="s">
        <x:v>387</x:v>
      </x:c>
      <x:c r="E84" s="20">
        <x:v>0.2</x:v>
      </x:c>
      <x:c r="F84" s="18" t="str">
        <x:f>IF(Технологии!BH22="","",Технологии!BH22)</x:f>
      </x:c>
      <x:c r="G84" s="18" t="s">
        <x:v>427</x:v>
      </x:c>
      <x:c r="J84" s="21" t="n">
        <x:f>0</x:f>
        <x:v>0</x:v>
      </x:c>
      <x:c r="K84" s="21" t="n">
        <x:f>IF(Технологии!AR22="ИЗУЧЕНО",$E84,0)</x:f>
        <x:v>0</x:v>
      </x:c>
      <x:c r="L84" s="21" t="n">
        <x:f>IF(Технологии!AS22="ИЗУЧЕНО",$E84,0)</x:f>
        <x:v>0</x:v>
      </x:c>
      <x:c r="M84" s="21" t="n">
        <x:f>IF(Технологии!AT22="ИЗУЧЕНО",$E84,0)</x:f>
        <x:v>0</x:v>
      </x:c>
      <x:c r="N84" s="21" t="n">
        <x:f>IF(Технологии!AU22="ИЗУЧЕНО",$E84,0)</x:f>
        <x:v>0</x:v>
      </x:c>
      <x:c r="O84" s="21" t="n">
        <x:f>IF(Технологии!AV22="ИЗУЧЕНО",$E84,0)</x:f>
        <x:v>0</x:v>
      </x:c>
      <x:c r="P84" s="21" t="n">
        <x:f>IF(Технологии!AW22="ИЗУЧЕНО",$E84,0)</x:f>
        <x:v>0</x:v>
      </x:c>
      <x:c r="Q84" s="21" t="n">
        <x:f>IF(Технологии!AX22="ИЗУЧЕНО",$E84,0)</x:f>
        <x:v>0</x:v>
      </x:c>
      <x:c r="R84" s="21" t="n">
        <x:f>IF(Технологии!AY22="ИЗУЧЕНО",$E84,0)</x:f>
        <x:v>0</x:v>
      </x:c>
      <x:c r="S84" s="21" t="n">
        <x:f>IF(Технологии!AZ22="ИЗУЧЕНО",$E84,0)</x:f>
        <x:v>0</x:v>
      </x:c>
      <x:c r="T84" s="21" t="n">
        <x:f>IF(Технологии!BA22="ИЗУЧЕНО",$E84,0)</x:f>
        <x:v>0</x:v>
      </x:c>
      <x:c r="U84" s="21" t="n">
        <x:f>IF(Технологии!BB22="ИЗУЧЕНО",$E84,0)</x:f>
        <x:v>0</x:v>
      </x:c>
      <x:c r="V84" s="21" t="n">
        <x:f>IF(Технологии!BC22="ИЗУЧЕНО",$E84,0)</x:f>
        <x:v>0</x:v>
      </x:c>
      <x:c r="W84" s="21" t="n">
        <x:f>IF(Технологии!BD22="ИЗУЧЕНО",$E84,0)</x:f>
        <x:v>0</x:v>
      </x:c>
      <x:c r="X84" s="21" t="n">
        <x:f>IF(Технологии!BE22="ИЗУЧЕНО",$E84,0)</x:f>
        <x:v>0</x:v>
      </x:c>
      <x:c r="Y84" s="21" t="n">
        <x:f>IF(Технологии!BF22="ИЗУЧЕНО",$E84,0)</x:f>
        <x:v>0</x:v>
      </x:c>
    </x:row>
    <x:row r="85">
      <x:c r="A85" s="19" t="s">
        <x:v>117</x:v>
      </x:c>
      <x:c r="B85" s="18" t="s">
        <x:v>118</x:v>
      </x:c>
      <x:c r="C85" s="18" t="s">
        <x:v>271</x:v>
      </x:c>
      <x:c r="D85" s="18" t="s">
        <x:v>414</x:v>
      </x:c>
      <x:c r="E85" s="20">
        <x:v>0.08</x:v>
      </x:c>
      <x:c r="F85" s="18" t="str">
        <x:f>IF(Технологии!BH22="","",Технологии!BH22)</x:f>
      </x:c>
      <x:c r="G85" s="18" t="s">
        <x:v>426</x:v>
      </x:c>
      <x:c r="J85" s="21" t="n">
        <x:f>0</x:f>
        <x:v>0</x:v>
      </x:c>
      <x:c r="K85" s="21" t="n">
        <x:f>IF(Технологии!AR22="ИЗУЧЕНО",$E85,0)</x:f>
        <x:v>0</x:v>
      </x:c>
      <x:c r="L85" s="21" t="n">
        <x:f>IF(Технологии!AS22="ИЗУЧЕНО",$E85,0)</x:f>
        <x:v>0</x:v>
      </x:c>
      <x:c r="M85" s="21" t="n">
        <x:f>IF(Технологии!AT22="ИЗУЧЕНО",$E85,0)</x:f>
        <x:v>0</x:v>
      </x:c>
      <x:c r="N85" s="21" t="n">
        <x:f>IF(Технологии!AU22="ИЗУЧЕНО",$E85,0)</x:f>
        <x:v>0</x:v>
      </x:c>
      <x:c r="O85" s="21" t="n">
        <x:f>IF(Технологии!AV22="ИЗУЧЕНО",$E85,0)</x:f>
        <x:v>0</x:v>
      </x:c>
      <x:c r="P85" s="21" t="n">
        <x:f>IF(Технологии!AW22="ИЗУЧЕНО",$E85,0)</x:f>
        <x:v>0</x:v>
      </x:c>
      <x:c r="Q85" s="21" t="n">
        <x:f>IF(Технологии!AX22="ИЗУЧЕНО",$E85,0)</x:f>
        <x:v>0</x:v>
      </x:c>
      <x:c r="R85" s="21" t="n">
        <x:f>IF(Технологии!AY22="ИЗУЧЕНО",$E85,0)</x:f>
        <x:v>0</x:v>
      </x:c>
      <x:c r="S85" s="21" t="n">
        <x:f>IF(Технологии!AZ22="ИЗУЧЕНО",$E85,0)</x:f>
        <x:v>0</x:v>
      </x:c>
      <x:c r="T85" s="21" t="n">
        <x:f>IF(Технологии!BA22="ИЗУЧЕНО",$E85,0)</x:f>
        <x:v>0</x:v>
      </x:c>
      <x:c r="U85" s="21" t="n">
        <x:f>IF(Технологии!BB22="ИЗУЧЕНО",$E85,0)</x:f>
        <x:v>0</x:v>
      </x:c>
      <x:c r="V85" s="21" t="n">
        <x:f>IF(Технологии!BC22="ИЗУЧЕНО",$E85,0)</x:f>
        <x:v>0</x:v>
      </x:c>
      <x:c r="W85" s="21" t="n">
        <x:f>IF(Технологии!BD22="ИЗУЧЕНО",$E85,0)</x:f>
        <x:v>0</x:v>
      </x:c>
      <x:c r="X85" s="21" t="n">
        <x:f>IF(Технологии!BE22="ИЗУЧЕНО",$E85,0)</x:f>
        <x:v>0</x:v>
      </x:c>
      <x:c r="Y85" s="21" t="n">
        <x:f>IF(Технологии!BF22="ИЗУЧЕНО",$E85,0)</x:f>
        <x:v>0</x:v>
      </x:c>
    </x:row>
    <x:row r="86">
      <x:c r="A86" s="19" t="s">
        <x:v>117</x:v>
      </x:c>
      <x:c r="B86" s="18" t="s">
        <x:v>118</x:v>
      </x:c>
      <x:c r="C86" s="18" t="s">
        <x:v>373</x:v>
      </x:c>
      <x:c r="D86" s="18" t="s">
        <x:v>405</x:v>
      </x:c>
      <x:c r="E86" s="20">
        <x:v>0.15</x:v>
      </x:c>
      <x:c r="F86" s="18" t="str">
        <x:f>IF(Технологии!BH22="","",Технологии!BH22)</x:f>
      </x:c>
      <x:c r="G86" s="18" t="s">
        <x:v>440</x:v>
      </x:c>
      <x:c r="J86" s="21" t="n">
        <x:f>0</x:f>
        <x:v>0</x:v>
      </x:c>
      <x:c r="K86" s="21" t="n">
        <x:f>IF(Технологии!AR22="ИЗУЧЕНО",$E86,0)</x:f>
        <x:v>0</x:v>
      </x:c>
      <x:c r="L86" s="21" t="n">
        <x:f>IF(Технологии!AS22="ИЗУЧЕНО",$E86,0)</x:f>
        <x:v>0</x:v>
      </x:c>
      <x:c r="M86" s="21" t="n">
        <x:f>IF(Технологии!AT22="ИЗУЧЕНО",$E86,0)</x:f>
        <x:v>0</x:v>
      </x:c>
      <x:c r="N86" s="21" t="n">
        <x:f>IF(Технологии!AU22="ИЗУЧЕНО",$E86,0)</x:f>
        <x:v>0</x:v>
      </x:c>
      <x:c r="O86" s="21" t="n">
        <x:f>IF(Технологии!AV22="ИЗУЧЕНО",$E86,0)</x:f>
        <x:v>0</x:v>
      </x:c>
      <x:c r="P86" s="21" t="n">
        <x:f>IF(Технологии!AW22="ИЗУЧЕНО",$E86,0)</x:f>
        <x:v>0</x:v>
      </x:c>
      <x:c r="Q86" s="21" t="n">
        <x:f>IF(Технологии!AX22="ИЗУЧЕНО",$E86,0)</x:f>
        <x:v>0</x:v>
      </x:c>
      <x:c r="R86" s="21" t="n">
        <x:f>IF(Технологии!AY22="ИЗУЧЕНО",$E86,0)</x:f>
        <x:v>0</x:v>
      </x:c>
      <x:c r="S86" s="21" t="n">
        <x:f>IF(Технологии!AZ22="ИЗУЧЕНО",$E86,0)</x:f>
        <x:v>0</x:v>
      </x:c>
      <x:c r="T86" s="21" t="n">
        <x:f>IF(Технологии!BA22="ИЗУЧЕНО",$E86,0)</x:f>
        <x:v>0</x:v>
      </x:c>
      <x:c r="U86" s="21" t="n">
        <x:f>IF(Технологии!BB22="ИЗУЧЕНО",$E86,0)</x:f>
        <x:v>0</x:v>
      </x:c>
      <x:c r="V86" s="21" t="n">
        <x:f>IF(Технологии!BC22="ИЗУЧЕНО",$E86,0)</x:f>
        <x:v>0</x:v>
      </x:c>
      <x:c r="W86" s="21" t="n">
        <x:f>IF(Технологии!BD22="ИЗУЧЕНО",$E86,0)</x:f>
        <x:v>0</x:v>
      </x:c>
      <x:c r="X86" s="21" t="n">
        <x:f>IF(Технологии!BE22="ИЗУЧЕНО",$E86,0)</x:f>
        <x:v>0</x:v>
      </x:c>
      <x:c r="Y86" s="21" t="n">
        <x:f>IF(Технологии!BF22="ИЗУЧЕНО",$E86,0)</x:f>
        <x:v>0</x:v>
      </x:c>
    </x:row>
    <x:row r="87">
      <x:c r="A87" s="19" t="s">
        <x:v>117</x:v>
      </x:c>
      <x:c r="B87" s="18" t="s">
        <x:v>118</x:v>
      </x:c>
      <x:c r="C87" s="18" t="s">
        <x:v>260</x:v>
      </x:c>
      <x:c r="D87" s="18" t="s">
        <x:v>387</x:v>
      </x:c>
      <x:c r="E87" s="20">
        <x:v>-0.4</x:v>
      </x:c>
      <x:c r="F87" s="18" t="str">
        <x:f>IF(Технологии!BH22="","",Технологии!BH22)</x:f>
      </x:c>
      <x:c r="G87" s="18" t="s">
        <x:v>441</x:v>
      </x:c>
      <x:c r="J87" s="21" t="n">
        <x:f>0</x:f>
        <x:v>0</x:v>
      </x:c>
      <x:c r="K87" s="21" t="n">
        <x:f>IF(Технологии!AR22="ИЗУЧЕНО",$E87,0)</x:f>
        <x:v>0</x:v>
      </x:c>
      <x:c r="L87" s="21" t="n">
        <x:f>IF(Технологии!AS22="ИЗУЧЕНО",$E87,0)</x:f>
        <x:v>0</x:v>
      </x:c>
      <x:c r="M87" s="21" t="n">
        <x:f>IF(Технологии!AT22="ИЗУЧЕНО",$E87,0)</x:f>
        <x:v>0</x:v>
      </x:c>
      <x:c r="N87" s="21" t="n">
        <x:f>IF(Технологии!AU22="ИЗУЧЕНО",$E87,0)</x:f>
        <x:v>0</x:v>
      </x:c>
      <x:c r="O87" s="21" t="n">
        <x:f>IF(Технологии!AV22="ИЗУЧЕНО",$E87,0)</x:f>
        <x:v>0</x:v>
      </x:c>
      <x:c r="P87" s="21" t="n">
        <x:f>IF(Технологии!AW22="ИЗУЧЕНО",$E87,0)</x:f>
        <x:v>0</x:v>
      </x:c>
      <x:c r="Q87" s="21" t="n">
        <x:f>IF(Технологии!AX22="ИЗУЧЕНО",$E87,0)</x:f>
        <x:v>0</x:v>
      </x:c>
      <x:c r="R87" s="21" t="n">
        <x:f>IF(Технологии!AY22="ИЗУЧЕНО",$E87,0)</x:f>
        <x:v>0</x:v>
      </x:c>
      <x:c r="S87" s="21" t="n">
        <x:f>IF(Технологии!AZ22="ИЗУЧЕНО",$E87,0)</x:f>
        <x:v>0</x:v>
      </x:c>
      <x:c r="T87" s="21" t="n">
        <x:f>IF(Технологии!BA22="ИЗУЧЕНО",$E87,0)</x:f>
        <x:v>0</x:v>
      </x:c>
      <x:c r="U87" s="21" t="n">
        <x:f>IF(Технологии!BB22="ИЗУЧЕНО",$E87,0)</x:f>
        <x:v>0</x:v>
      </x:c>
      <x:c r="V87" s="21" t="n">
        <x:f>IF(Технологии!BC22="ИЗУЧЕНО",$E87,0)</x:f>
        <x:v>0</x:v>
      </x:c>
      <x:c r="W87" s="21" t="n">
        <x:f>IF(Технологии!BD22="ИЗУЧЕНО",$E87,0)</x:f>
        <x:v>0</x:v>
      </x:c>
      <x:c r="X87" s="21" t="n">
        <x:f>IF(Технологии!BE22="ИЗУЧЕНО",$E87,0)</x:f>
        <x:v>0</x:v>
      </x:c>
      <x:c r="Y87" s="21" t="n">
        <x:f>IF(Технологии!BF22="ИЗУЧЕНО",$E87,0)</x:f>
        <x:v>0</x:v>
      </x:c>
    </x:row>
    <x:row r="88">
      <x:c r="A88" s="19" t="s">
        <x:v>117</x:v>
      </x:c>
      <x:c r="B88" s="18" t="s">
        <x:v>118</x:v>
      </x:c>
      <x:c r="C88" s="18" t="s">
        <x:v>266</x:v>
      </x:c>
      <x:c r="D88" s="18" t="s">
        <x:v>387</x:v>
      </x:c>
      <x:c r="E88" s="20">
        <x:v>-0.25</x:v>
      </x:c>
      <x:c r="F88" s="18" t="str">
        <x:f>IF(Технологии!BH22="","",Технологии!BH22)</x:f>
      </x:c>
      <x:c r="G88" s="18" t="s">
        <x:v>408</x:v>
      </x:c>
      <x:c r="J88" s="21" t="n">
        <x:f>0</x:f>
        <x:v>0</x:v>
      </x:c>
      <x:c r="K88" s="21" t="n">
        <x:f>IF(Технологии!AR22="ИЗУЧЕНО",$E88,0)</x:f>
        <x:v>0</x:v>
      </x:c>
      <x:c r="L88" s="21" t="n">
        <x:f>IF(Технологии!AS22="ИЗУЧЕНО",$E88,0)</x:f>
        <x:v>0</x:v>
      </x:c>
      <x:c r="M88" s="21" t="n">
        <x:f>IF(Технологии!AT22="ИЗУЧЕНО",$E88,0)</x:f>
        <x:v>0</x:v>
      </x:c>
      <x:c r="N88" s="21" t="n">
        <x:f>IF(Технологии!AU22="ИЗУЧЕНО",$E88,0)</x:f>
        <x:v>0</x:v>
      </x:c>
      <x:c r="O88" s="21" t="n">
        <x:f>IF(Технологии!AV22="ИЗУЧЕНО",$E88,0)</x:f>
        <x:v>0</x:v>
      </x:c>
      <x:c r="P88" s="21" t="n">
        <x:f>IF(Технологии!AW22="ИЗУЧЕНО",$E88,0)</x:f>
        <x:v>0</x:v>
      </x:c>
      <x:c r="Q88" s="21" t="n">
        <x:f>IF(Технологии!AX22="ИЗУЧЕНО",$E88,0)</x:f>
        <x:v>0</x:v>
      </x:c>
      <x:c r="R88" s="21" t="n">
        <x:f>IF(Технологии!AY22="ИЗУЧЕНО",$E88,0)</x:f>
        <x:v>0</x:v>
      </x:c>
      <x:c r="S88" s="21" t="n">
        <x:f>IF(Технологии!AZ22="ИЗУЧЕНО",$E88,0)</x:f>
        <x:v>0</x:v>
      </x:c>
      <x:c r="T88" s="21" t="n">
        <x:f>IF(Технологии!BA22="ИЗУЧЕНО",$E88,0)</x:f>
        <x:v>0</x:v>
      </x:c>
      <x:c r="U88" s="21" t="n">
        <x:f>IF(Технологии!BB22="ИЗУЧЕНО",$E88,0)</x:f>
        <x:v>0</x:v>
      </x:c>
      <x:c r="V88" s="21" t="n">
        <x:f>IF(Технологии!BC22="ИЗУЧЕНО",$E88,0)</x:f>
        <x:v>0</x:v>
      </x:c>
      <x:c r="W88" s="21" t="n">
        <x:f>IF(Технологии!BD22="ИЗУЧЕНО",$E88,0)</x:f>
        <x:v>0</x:v>
      </x:c>
      <x:c r="X88" s="21" t="n">
        <x:f>IF(Технологии!BE22="ИЗУЧЕНО",$E88,0)</x:f>
        <x:v>0</x:v>
      </x:c>
      <x:c r="Y88" s="21" t="n">
        <x:f>IF(Технологии!BF22="ИЗУЧЕНО",$E88,0)</x:f>
        <x:v>0</x:v>
      </x:c>
    </x:row>
    <x:row r="89">
      <x:c r="A89" s="19" t="s">
        <x:v>117</x:v>
      </x:c>
      <x:c r="B89" s="18" t="s">
        <x:v>118</x:v>
      </x:c>
      <x:c r="C89" s="18" t="s">
        <x:v>303</x:v>
      </x:c>
      <x:c r="D89" s="18" t="s">
        <x:v>387</x:v>
      </x:c>
      <x:c r="E89" s="20">
        <x:v>-0.2</x:v>
      </x:c>
      <x:c r="F89" s="18" t="str">
        <x:f>IF(Технологии!BH22="","",Технологии!BH22)</x:f>
      </x:c>
      <x:c r="G89" s="18" t="s">
        <x:v>442</x:v>
      </x:c>
      <x:c r="J89" s="21" t="n">
        <x:f>0</x:f>
        <x:v>0</x:v>
      </x:c>
      <x:c r="K89" s="21" t="n">
        <x:f>IF(Технологии!AR22="ИЗУЧЕНО",$E89,0)</x:f>
        <x:v>0</x:v>
      </x:c>
      <x:c r="L89" s="21" t="n">
        <x:f>IF(Технологии!AS22="ИЗУЧЕНО",$E89,0)</x:f>
        <x:v>0</x:v>
      </x:c>
      <x:c r="M89" s="21" t="n">
        <x:f>IF(Технологии!AT22="ИЗУЧЕНО",$E89,0)</x:f>
        <x:v>0</x:v>
      </x:c>
      <x:c r="N89" s="21" t="n">
        <x:f>IF(Технологии!AU22="ИЗУЧЕНО",$E89,0)</x:f>
        <x:v>0</x:v>
      </x:c>
      <x:c r="O89" s="21" t="n">
        <x:f>IF(Технологии!AV22="ИЗУЧЕНО",$E89,0)</x:f>
        <x:v>0</x:v>
      </x:c>
      <x:c r="P89" s="21" t="n">
        <x:f>IF(Технологии!AW22="ИЗУЧЕНО",$E89,0)</x:f>
        <x:v>0</x:v>
      </x:c>
      <x:c r="Q89" s="21" t="n">
        <x:f>IF(Технологии!AX22="ИЗУЧЕНО",$E89,0)</x:f>
        <x:v>0</x:v>
      </x:c>
      <x:c r="R89" s="21" t="n">
        <x:f>IF(Технологии!AY22="ИЗУЧЕНО",$E89,0)</x:f>
        <x:v>0</x:v>
      </x:c>
      <x:c r="S89" s="21" t="n">
        <x:f>IF(Технологии!AZ22="ИЗУЧЕНО",$E89,0)</x:f>
        <x:v>0</x:v>
      </x:c>
      <x:c r="T89" s="21" t="n">
        <x:f>IF(Технологии!BA22="ИЗУЧЕНО",$E89,0)</x:f>
        <x:v>0</x:v>
      </x:c>
      <x:c r="U89" s="21" t="n">
        <x:f>IF(Технологии!BB22="ИЗУЧЕНО",$E89,0)</x:f>
        <x:v>0</x:v>
      </x:c>
      <x:c r="V89" s="21" t="n">
        <x:f>IF(Технологии!BC22="ИЗУЧЕНО",$E89,0)</x:f>
        <x:v>0</x:v>
      </x:c>
      <x:c r="W89" s="21" t="n">
        <x:f>IF(Технологии!BD22="ИЗУЧЕНО",$E89,0)</x:f>
        <x:v>0</x:v>
      </x:c>
      <x:c r="X89" s="21" t="n">
        <x:f>IF(Технологии!BE22="ИЗУЧЕНО",$E89,0)</x:f>
        <x:v>0</x:v>
      </x:c>
      <x:c r="Y89" s="21" t="n">
        <x:f>IF(Технологии!BF22="ИЗУЧЕНО",$E89,0)</x:f>
        <x:v>0</x:v>
      </x:c>
    </x:row>
    <x:row r="90">
      <x:c r="A90" s="19" t="s">
        <x:v>117</x:v>
      </x:c>
      <x:c r="B90" s="18" t="s">
        <x:v>118</x:v>
      </x:c>
      <x:c r="C90" s="18" t="s">
        <x:v>311</x:v>
      </x:c>
      <x:c r="D90" s="18" t="s">
        <x:v>387</x:v>
      </x:c>
      <x:c r="E90" s="20">
        <x:v>-0.2</x:v>
      </x:c>
      <x:c r="F90" s="18" t="str">
        <x:f>IF(Технологии!BH22="","",Технологии!BH22)</x:f>
      </x:c>
      <x:c r="G90" s="18" t="s">
        <x:v>443</x:v>
      </x:c>
      <x:c r="J90" s="21" t="n">
        <x:f>0</x:f>
        <x:v>0</x:v>
      </x:c>
      <x:c r="K90" s="21" t="n">
        <x:f>IF(Технологии!AR22="ИЗУЧЕНО",$E90,0)</x:f>
        <x:v>0</x:v>
      </x:c>
      <x:c r="L90" s="21" t="n">
        <x:f>IF(Технологии!AS22="ИЗУЧЕНО",$E90,0)</x:f>
        <x:v>0</x:v>
      </x:c>
      <x:c r="M90" s="21" t="n">
        <x:f>IF(Технологии!AT22="ИЗУЧЕНО",$E90,0)</x:f>
        <x:v>0</x:v>
      </x:c>
      <x:c r="N90" s="21" t="n">
        <x:f>IF(Технологии!AU22="ИЗУЧЕНО",$E90,0)</x:f>
        <x:v>0</x:v>
      </x:c>
      <x:c r="O90" s="21" t="n">
        <x:f>IF(Технологии!AV22="ИЗУЧЕНО",$E90,0)</x:f>
        <x:v>0</x:v>
      </x:c>
      <x:c r="P90" s="21" t="n">
        <x:f>IF(Технологии!AW22="ИЗУЧЕНО",$E90,0)</x:f>
        <x:v>0</x:v>
      </x:c>
      <x:c r="Q90" s="21" t="n">
        <x:f>IF(Технологии!AX22="ИЗУЧЕНО",$E90,0)</x:f>
        <x:v>0</x:v>
      </x:c>
      <x:c r="R90" s="21" t="n">
        <x:f>IF(Технологии!AY22="ИЗУЧЕНО",$E90,0)</x:f>
        <x:v>0</x:v>
      </x:c>
      <x:c r="S90" s="21" t="n">
        <x:f>IF(Технологии!AZ22="ИЗУЧЕНО",$E90,0)</x:f>
        <x:v>0</x:v>
      </x:c>
      <x:c r="T90" s="21" t="n">
        <x:f>IF(Технологии!BA22="ИЗУЧЕНО",$E90,0)</x:f>
        <x:v>0</x:v>
      </x:c>
      <x:c r="U90" s="21" t="n">
        <x:f>IF(Технологии!BB22="ИЗУЧЕНО",$E90,0)</x:f>
        <x:v>0</x:v>
      </x:c>
      <x:c r="V90" s="21" t="n">
        <x:f>IF(Технологии!BC22="ИЗУЧЕНО",$E90,0)</x:f>
        <x:v>0</x:v>
      </x:c>
      <x:c r="W90" s="21" t="n">
        <x:f>IF(Технологии!BD22="ИЗУЧЕНО",$E90,0)</x:f>
        <x:v>0</x:v>
      </x:c>
      <x:c r="X90" s="21" t="n">
        <x:f>IF(Технологии!BE22="ИЗУЧЕНО",$E90,0)</x:f>
        <x:v>0</x:v>
      </x:c>
      <x:c r="Y90" s="21" t="n">
        <x:f>IF(Технологии!BF22="ИЗУЧЕНО",$E90,0)</x:f>
        <x:v>0</x:v>
      </x:c>
    </x:row>
    <x:row r="91">
      <x:c r="A91" s="19" t="s">
        <x:v>121</x:v>
      </x:c>
      <x:c r="B91" s="18" t="s">
        <x:v>123</x:v>
      </x:c>
      <x:c r="C91" s="18" t="s">
        <x:v>300</x:v>
      </x:c>
      <x:c r="D91" s="18" t="s">
        <x:v>387</x:v>
      </x:c>
      <x:c r="E91" s="20">
        <x:v>0.2</x:v>
      </x:c>
      <x:c r="F91" s="18" t="str">
        <x:f>IF(Технологии!BH23="","",Технологии!BH23)</x:f>
      </x:c>
      <x:c r="G91" s="18" t="s">
        <x:v>444</x:v>
      </x:c>
      <x:c r="J91" s="21" t="n">
        <x:f>0</x:f>
        <x:v>0</x:v>
      </x:c>
      <x:c r="K91" s="21" t="n">
        <x:f>IF(Технологии!AR23="ИЗУЧЕНО",$E91,0)</x:f>
        <x:v>0</x:v>
      </x:c>
      <x:c r="L91" s="21" t="n">
        <x:f>IF(Технологии!AS23="ИЗУЧЕНО",$E91,0)</x:f>
        <x:v>0</x:v>
      </x:c>
      <x:c r="M91" s="21" t="n">
        <x:f>IF(Технологии!AT23="ИЗУЧЕНО",$E91,0)</x:f>
        <x:v>0</x:v>
      </x:c>
      <x:c r="N91" s="21" t="n">
        <x:f>IF(Технологии!AU23="ИЗУЧЕНО",$E91,0)</x:f>
        <x:v>0</x:v>
      </x:c>
      <x:c r="O91" s="21" t="n">
        <x:f>IF(Технологии!AV23="ИЗУЧЕНО",$E91,0)</x:f>
        <x:v>0</x:v>
      </x:c>
      <x:c r="P91" s="21" t="n">
        <x:f>IF(Технологии!AW23="ИЗУЧЕНО",$E91,0)</x:f>
        <x:v>0</x:v>
      </x:c>
      <x:c r="Q91" s="21" t="n">
        <x:f>IF(Технологии!AX23="ИЗУЧЕНО",$E91,0)</x:f>
        <x:v>0</x:v>
      </x:c>
      <x:c r="R91" s="21" t="n">
        <x:f>IF(Технологии!AY23="ИЗУЧЕНО",$E91,0)</x:f>
        <x:v>0</x:v>
      </x:c>
      <x:c r="S91" s="21" t="n">
        <x:f>IF(Технологии!AZ23="ИЗУЧЕНО",$E91,0)</x:f>
        <x:v>0</x:v>
      </x:c>
      <x:c r="T91" s="21" t="n">
        <x:f>IF(Технологии!BA23="ИЗУЧЕНО",$E91,0)</x:f>
        <x:v>0</x:v>
      </x:c>
      <x:c r="U91" s="21" t="n">
        <x:f>IF(Технологии!BB23="ИЗУЧЕНО",$E91,0)</x:f>
        <x:v>0</x:v>
      </x:c>
      <x:c r="V91" s="21" t="n">
        <x:f>IF(Технологии!BC23="ИЗУЧЕНО",$E91,0)</x:f>
        <x:v>0</x:v>
      </x:c>
      <x:c r="W91" s="21" t="n">
        <x:f>IF(Технологии!BD23="ИЗУЧЕНО",$E91,0)</x:f>
        <x:v>0</x:v>
      </x:c>
      <x:c r="X91" s="21" t="n">
        <x:f>IF(Технологии!BE23="ИЗУЧЕНО",$E91,0)</x:f>
        <x:v>0</x:v>
      </x:c>
      <x:c r="Y91" s="21" t="n">
        <x:f>IF(Технологии!BF23="ИЗУЧЕНО",$E91,0)</x:f>
        <x:v>0</x:v>
      </x:c>
    </x:row>
    <x:row r="92">
      <x:c r="A92" s="19" t="s">
        <x:v>126</x:v>
      </x:c>
      <x:c r="B92" s="18" t="s">
        <x:v>127</x:v>
      </x:c>
      <x:c r="C92" s="18" t="s">
        <x:v>289</x:v>
      </x:c>
      <x:c r="D92" s="18" t="s">
        <x:v>387</x:v>
      </x:c>
      <x:c r="E92" s="20">
        <x:v>0.3</x:v>
      </x:c>
      <x:c r="F92" s="18" t="str">
        <x:f>IF(Технологии!BH24="","",Технологии!BH24)</x:f>
      </x:c>
      <x:c r="G92" s="18" t="s">
        <x:v>445</x:v>
      </x:c>
      <x:c r="J92" s="21" t="n">
        <x:f>0</x:f>
        <x:v>0</x:v>
      </x:c>
      <x:c r="K92" s="21" t="n">
        <x:f>IF(Технологии!AR24="ИЗУЧЕНО",$E92,0)</x:f>
        <x:v>0</x:v>
      </x:c>
      <x:c r="L92" s="21" t="n">
        <x:f>IF(Технологии!AS24="ИЗУЧЕНО",$E92,0)</x:f>
        <x:v>0</x:v>
      </x:c>
      <x:c r="M92" s="21" t="n">
        <x:f>IF(Технологии!AT24="ИЗУЧЕНО",$E92,0)</x:f>
        <x:v>0</x:v>
      </x:c>
      <x:c r="N92" s="21" t="n">
        <x:f>IF(Технологии!AU24="ИЗУЧЕНО",$E92,0)</x:f>
        <x:v>0</x:v>
      </x:c>
      <x:c r="O92" s="21" t="n">
        <x:f>IF(Технологии!AV24="ИЗУЧЕНО",$E92,0)</x:f>
        <x:v>0</x:v>
      </x:c>
      <x:c r="P92" s="21" t="n">
        <x:f>IF(Технологии!AW24="ИЗУЧЕНО",$E92,0)</x:f>
        <x:v>0</x:v>
      </x:c>
      <x:c r="Q92" s="21" t="n">
        <x:f>IF(Технологии!AX24="ИЗУЧЕНО",$E92,0)</x:f>
        <x:v>0</x:v>
      </x:c>
      <x:c r="R92" s="21" t="n">
        <x:f>IF(Технологии!AY24="ИЗУЧЕНО",$E92,0)</x:f>
        <x:v>0</x:v>
      </x:c>
      <x:c r="S92" s="21" t="n">
        <x:f>IF(Технологии!AZ24="ИЗУЧЕНО",$E92,0)</x:f>
        <x:v>0</x:v>
      </x:c>
      <x:c r="T92" s="21" t="n">
        <x:f>IF(Технологии!BA24="ИЗУЧЕНО",$E92,0)</x:f>
        <x:v>0</x:v>
      </x:c>
      <x:c r="U92" s="21" t="n">
        <x:f>IF(Технологии!BB24="ИЗУЧЕНО",$E92,0)</x:f>
        <x:v>0</x:v>
      </x:c>
      <x:c r="V92" s="21" t="n">
        <x:f>IF(Технологии!BC24="ИЗУЧЕНО",$E92,0)</x:f>
        <x:v>0</x:v>
      </x:c>
      <x:c r="W92" s="21" t="n">
        <x:f>IF(Технологии!BD24="ИЗУЧЕНО",$E92,0)</x:f>
        <x:v>0</x:v>
      </x:c>
      <x:c r="X92" s="21" t="n">
        <x:f>IF(Технологии!BE24="ИЗУЧЕНО",$E92,0)</x:f>
        <x:v>0</x:v>
      </x:c>
      <x:c r="Y92" s="21" t="n">
        <x:f>IF(Технологии!BF24="ИЗУЧЕНО",$E92,0)</x:f>
        <x:v>0</x:v>
      </x:c>
    </x:row>
    <x:row r="93">
      <x:c r="A93" s="19" t="s">
        <x:v>126</x:v>
      </x:c>
      <x:c r="B93" s="18" t="s">
        <x:v>127</x:v>
      </x:c>
      <x:c r="C93" s="18" t="s">
        <x:v>289</x:v>
      </x:c>
      <x:c r="D93" s="18" t="s">
        <x:v>414</x:v>
      </x:c>
      <x:c r="E93" s="20">
        <x:v>0.1</x:v>
      </x:c>
      <x:c r="F93" s="18" t="str">
        <x:f>IF(Технологии!BH24="","",Технологии!BH24)</x:f>
      </x:c>
      <x:c r="G93" s="18" t="s">
        <x:v>445</x:v>
      </x:c>
      <x:c r="J93" s="21" t="n">
        <x:f>0</x:f>
        <x:v>0</x:v>
      </x:c>
      <x:c r="K93" s="21" t="n">
        <x:f>IF(Технологии!AR24="ИЗУЧЕНО",$E93,0)</x:f>
        <x:v>0</x:v>
      </x:c>
      <x:c r="L93" s="21" t="n">
        <x:f>IF(Технологии!AS24="ИЗУЧЕНО",$E93,0)</x:f>
        <x:v>0</x:v>
      </x:c>
      <x:c r="M93" s="21" t="n">
        <x:f>IF(Технологии!AT24="ИЗУЧЕНО",$E93,0)</x:f>
        <x:v>0</x:v>
      </x:c>
      <x:c r="N93" s="21" t="n">
        <x:f>IF(Технологии!AU24="ИЗУЧЕНО",$E93,0)</x:f>
        <x:v>0</x:v>
      </x:c>
      <x:c r="O93" s="21" t="n">
        <x:f>IF(Технологии!AV24="ИЗУЧЕНО",$E93,0)</x:f>
        <x:v>0</x:v>
      </x:c>
      <x:c r="P93" s="21" t="n">
        <x:f>IF(Технологии!AW24="ИЗУЧЕНО",$E93,0)</x:f>
        <x:v>0</x:v>
      </x:c>
      <x:c r="Q93" s="21" t="n">
        <x:f>IF(Технологии!AX24="ИЗУЧЕНО",$E93,0)</x:f>
        <x:v>0</x:v>
      </x:c>
      <x:c r="R93" s="21" t="n">
        <x:f>IF(Технологии!AY24="ИЗУЧЕНО",$E93,0)</x:f>
        <x:v>0</x:v>
      </x:c>
      <x:c r="S93" s="21" t="n">
        <x:f>IF(Технологии!AZ24="ИЗУЧЕНО",$E93,0)</x:f>
        <x:v>0</x:v>
      </x:c>
      <x:c r="T93" s="21" t="n">
        <x:f>IF(Технологии!BA24="ИЗУЧЕНО",$E93,0)</x:f>
        <x:v>0</x:v>
      </x:c>
      <x:c r="U93" s="21" t="n">
        <x:f>IF(Технологии!BB24="ИЗУЧЕНО",$E93,0)</x:f>
        <x:v>0</x:v>
      </x:c>
      <x:c r="V93" s="21" t="n">
        <x:f>IF(Технологии!BC24="ИЗУЧЕНО",$E93,0)</x:f>
        <x:v>0</x:v>
      </x:c>
      <x:c r="W93" s="21" t="n">
        <x:f>IF(Технологии!BD24="ИЗУЧЕНО",$E93,0)</x:f>
        <x:v>0</x:v>
      </x:c>
      <x:c r="X93" s="21" t="n">
        <x:f>IF(Технологии!BE24="ИЗУЧЕНО",$E93,0)</x:f>
        <x:v>0</x:v>
      </x:c>
      <x:c r="Y93" s="21" t="n">
        <x:f>IF(Технологии!BF24="ИЗУЧЕНО",$E93,0)</x:f>
        <x:v>0</x:v>
      </x:c>
    </x:row>
    <x:row r="94">
      <x:c r="A94" s="19" t="s">
        <x:v>126</x:v>
      </x:c>
      <x:c r="B94" s="18" t="s">
        <x:v>127</x:v>
      </x:c>
      <x:c r="C94" s="18" t="s">
        <x:v>292</x:v>
      </x:c>
      <x:c r="D94" s="18" t="s">
        <x:v>387</x:v>
      </x:c>
      <x:c r="E94" s="20">
        <x:v>0.2</x:v>
      </x:c>
      <x:c r="F94" s="18" t="str">
        <x:f>IF(Технологии!BH24="","",Технологии!BH24)</x:f>
      </x:c>
      <x:c r="G94" s="18" t="s">
        <x:v>427</x:v>
      </x:c>
      <x:c r="J94" s="21" t="n">
        <x:f>0</x:f>
        <x:v>0</x:v>
      </x:c>
      <x:c r="K94" s="21" t="n">
        <x:f>IF(Технологии!AR24="ИЗУЧЕНО",$E94,0)</x:f>
        <x:v>0</x:v>
      </x:c>
      <x:c r="L94" s="21" t="n">
        <x:f>IF(Технологии!AS24="ИЗУЧЕНО",$E94,0)</x:f>
        <x:v>0</x:v>
      </x:c>
      <x:c r="M94" s="21" t="n">
        <x:f>IF(Технологии!AT24="ИЗУЧЕНО",$E94,0)</x:f>
        <x:v>0</x:v>
      </x:c>
      <x:c r="N94" s="21" t="n">
        <x:f>IF(Технологии!AU24="ИЗУЧЕНО",$E94,0)</x:f>
        <x:v>0</x:v>
      </x:c>
      <x:c r="O94" s="21" t="n">
        <x:f>IF(Технологии!AV24="ИЗУЧЕНО",$E94,0)</x:f>
        <x:v>0</x:v>
      </x:c>
      <x:c r="P94" s="21" t="n">
        <x:f>IF(Технологии!AW24="ИЗУЧЕНО",$E94,0)</x:f>
        <x:v>0</x:v>
      </x:c>
      <x:c r="Q94" s="21" t="n">
        <x:f>IF(Технологии!AX24="ИЗУЧЕНО",$E94,0)</x:f>
        <x:v>0</x:v>
      </x:c>
      <x:c r="R94" s="21" t="n">
        <x:f>IF(Технологии!AY24="ИЗУЧЕНО",$E94,0)</x:f>
        <x:v>0</x:v>
      </x:c>
      <x:c r="S94" s="21" t="n">
        <x:f>IF(Технологии!AZ24="ИЗУЧЕНО",$E94,0)</x:f>
        <x:v>0</x:v>
      </x:c>
      <x:c r="T94" s="21" t="n">
        <x:f>IF(Технологии!BA24="ИЗУЧЕНО",$E94,0)</x:f>
        <x:v>0</x:v>
      </x:c>
      <x:c r="U94" s="21" t="n">
        <x:f>IF(Технологии!BB24="ИЗУЧЕНО",$E94,0)</x:f>
        <x:v>0</x:v>
      </x:c>
      <x:c r="V94" s="21" t="n">
        <x:f>IF(Технологии!BC24="ИЗУЧЕНО",$E94,0)</x:f>
        <x:v>0</x:v>
      </x:c>
      <x:c r="W94" s="21" t="n">
        <x:f>IF(Технологии!BD24="ИЗУЧЕНО",$E94,0)</x:f>
        <x:v>0</x:v>
      </x:c>
      <x:c r="X94" s="21" t="n">
        <x:f>IF(Технологии!BE24="ИЗУЧЕНО",$E94,0)</x:f>
        <x:v>0</x:v>
      </x:c>
      <x:c r="Y94" s="21" t="n">
        <x:f>IF(Технологии!BF24="ИЗУЧЕНО",$E94,0)</x:f>
        <x:v>0</x:v>
      </x:c>
    </x:row>
    <x:row r="95">
      <x:c r="A95" s="19" t="s">
        <x:v>126</x:v>
      </x:c>
      <x:c r="B95" s="18" t="s">
        <x:v>127</x:v>
      </x:c>
      <x:c r="C95" s="18" t="s">
        <x:v>311</x:v>
      </x:c>
      <x:c r="D95" s="18" t="s">
        <x:v>387</x:v>
      </x:c>
      <x:c r="E95" s="20">
        <x:v>-0.1</x:v>
      </x:c>
      <x:c r="F95" s="18" t="str">
        <x:f>IF(Технологии!BH24="","",Технологии!BH24)</x:f>
      </x:c>
      <x:c r="G95" s="18" t="s">
        <x:v>446</x:v>
      </x:c>
      <x:c r="J95" s="21" t="n">
        <x:f>0</x:f>
        <x:v>0</x:v>
      </x:c>
      <x:c r="K95" s="21" t="n">
        <x:f>IF(Технологии!AR24="ИЗУЧЕНО",$E95,0)</x:f>
        <x:v>0</x:v>
      </x:c>
      <x:c r="L95" s="21" t="n">
        <x:f>IF(Технологии!AS24="ИЗУЧЕНО",$E95,0)</x:f>
        <x:v>0</x:v>
      </x:c>
      <x:c r="M95" s="21" t="n">
        <x:f>IF(Технологии!AT24="ИЗУЧЕНО",$E95,0)</x:f>
        <x:v>0</x:v>
      </x:c>
      <x:c r="N95" s="21" t="n">
        <x:f>IF(Технологии!AU24="ИЗУЧЕНО",$E95,0)</x:f>
        <x:v>0</x:v>
      </x:c>
      <x:c r="O95" s="21" t="n">
        <x:f>IF(Технологии!AV24="ИЗУЧЕНО",$E95,0)</x:f>
        <x:v>0</x:v>
      </x:c>
      <x:c r="P95" s="21" t="n">
        <x:f>IF(Технологии!AW24="ИЗУЧЕНО",$E95,0)</x:f>
        <x:v>0</x:v>
      </x:c>
      <x:c r="Q95" s="21" t="n">
        <x:f>IF(Технологии!AX24="ИЗУЧЕНО",$E95,0)</x:f>
        <x:v>0</x:v>
      </x:c>
      <x:c r="R95" s="21" t="n">
        <x:f>IF(Технологии!AY24="ИЗУЧЕНО",$E95,0)</x:f>
        <x:v>0</x:v>
      </x:c>
      <x:c r="S95" s="21" t="n">
        <x:f>IF(Технологии!AZ24="ИЗУЧЕНО",$E95,0)</x:f>
        <x:v>0</x:v>
      </x:c>
      <x:c r="T95" s="21" t="n">
        <x:f>IF(Технологии!BA24="ИЗУЧЕНО",$E95,0)</x:f>
        <x:v>0</x:v>
      </x:c>
      <x:c r="U95" s="21" t="n">
        <x:f>IF(Технологии!BB24="ИЗУЧЕНО",$E95,0)</x:f>
        <x:v>0</x:v>
      </x:c>
      <x:c r="V95" s="21" t="n">
        <x:f>IF(Технологии!BC24="ИЗУЧЕНО",$E95,0)</x:f>
        <x:v>0</x:v>
      </x:c>
      <x:c r="W95" s="21" t="n">
        <x:f>IF(Технологии!BD24="ИЗУЧЕНО",$E95,0)</x:f>
        <x:v>0</x:v>
      </x:c>
      <x:c r="X95" s="21" t="n">
        <x:f>IF(Технологии!BE24="ИЗУЧЕНО",$E95,0)</x:f>
        <x:v>0</x:v>
      </x:c>
      <x:c r="Y95" s="21" t="n">
        <x:f>IF(Технологии!BF24="ИЗУЧЕНО",$E95,0)</x:f>
        <x:v>0</x:v>
      </x:c>
    </x:row>
    <x:row r="96">
      <x:c r="A96" s="19" t="s">
        <x:v>130</x:v>
      </x:c>
      <x:c r="B96" s="18" t="s">
        <x:v>131</x:v>
      </x:c>
      <x:c r="C96" s="18" t="s">
        <x:v>290</x:v>
      </x:c>
      <x:c r="D96" s="18" t="s">
        <x:v>387</x:v>
      </x:c>
      <x:c r="E96" s="20">
        <x:v>0.3</x:v>
      </x:c>
      <x:c r="F96" s="18" t="str">
        <x:f>IF(Технологии!BH25="","",Технологии!BH25)</x:f>
      </x:c>
      <x:c r="G96" s="18" t="s">
        <x:v>447</x:v>
      </x:c>
      <x:c r="J96" s="21" t="n">
        <x:f>0</x:f>
        <x:v>0</x:v>
      </x:c>
      <x:c r="K96" s="21" t="n">
        <x:f>IF(Технологии!AR25="ИЗУЧЕНО",$E96,0)</x:f>
        <x:v>0</x:v>
      </x:c>
      <x:c r="L96" s="21" t="n">
        <x:f>IF(Технологии!AS25="ИЗУЧЕНО",$E96,0)</x:f>
        <x:v>0</x:v>
      </x:c>
      <x:c r="M96" s="21" t="n">
        <x:f>IF(Технологии!AT25="ИЗУЧЕНО",$E96,0)</x:f>
        <x:v>0</x:v>
      </x:c>
      <x:c r="N96" s="21" t="n">
        <x:f>IF(Технологии!AU25="ИЗУЧЕНО",$E96,0)</x:f>
        <x:v>0</x:v>
      </x:c>
      <x:c r="O96" s="21" t="n">
        <x:f>IF(Технологии!AV25="ИЗУЧЕНО",$E96,0)</x:f>
        <x:v>0</x:v>
      </x:c>
      <x:c r="P96" s="21" t="n">
        <x:f>IF(Технологии!AW25="ИЗУЧЕНО",$E96,0)</x:f>
        <x:v>0</x:v>
      </x:c>
      <x:c r="Q96" s="21" t="n">
        <x:f>IF(Технологии!AX25="ИЗУЧЕНО",$E96,0)</x:f>
        <x:v>0</x:v>
      </x:c>
      <x:c r="R96" s="21" t="n">
        <x:f>IF(Технологии!AY25="ИЗУЧЕНО",$E96,0)</x:f>
        <x:v>0</x:v>
      </x:c>
      <x:c r="S96" s="21" t="n">
        <x:f>IF(Технологии!AZ25="ИЗУЧЕНО",$E96,0)</x:f>
        <x:v>0</x:v>
      </x:c>
      <x:c r="T96" s="21" t="n">
        <x:f>IF(Технологии!BA25="ИЗУЧЕНО",$E96,0)</x:f>
        <x:v>0</x:v>
      </x:c>
      <x:c r="U96" s="21" t="n">
        <x:f>IF(Технологии!BB25="ИЗУЧЕНО",$E96,0)</x:f>
        <x:v>0</x:v>
      </x:c>
      <x:c r="V96" s="21" t="n">
        <x:f>IF(Технологии!BC25="ИЗУЧЕНО",$E96,0)</x:f>
        <x:v>0</x:v>
      </x:c>
      <x:c r="W96" s="21" t="n">
        <x:f>IF(Технологии!BD25="ИЗУЧЕНО",$E96,0)</x:f>
        <x:v>0</x:v>
      </x:c>
      <x:c r="X96" s="21" t="n">
        <x:f>IF(Технологии!BE25="ИЗУЧЕНО",$E96,0)</x:f>
        <x:v>0</x:v>
      </x:c>
      <x:c r="Y96" s="21" t="n">
        <x:f>IF(Технологии!BF25="ИЗУЧЕНО",$E96,0)</x:f>
        <x:v>0</x:v>
      </x:c>
    </x:row>
    <x:row r="97">
      <x:c r="A97" s="19" t="s">
        <x:v>130</x:v>
      </x:c>
      <x:c r="B97" s="18" t="s">
        <x:v>131</x:v>
      </x:c>
      <x:c r="C97" s="18" t="s">
        <x:v>271</x:v>
      </x:c>
      <x:c r="D97" s="18" t="s">
        <x:v>414</x:v>
      </x:c>
      <x:c r="E97" s="20">
        <x:v>0.05</x:v>
      </x:c>
      <x:c r="F97" s="18" t="str">
        <x:f>IF(Технологии!BH25="","",Технологии!BH25)</x:f>
      </x:c>
      <x:c r="G97" s="18" t="s">
        <x:v>448</x:v>
      </x:c>
      <x:c r="J97" s="21" t="n">
        <x:f>0</x:f>
        <x:v>0</x:v>
      </x:c>
      <x:c r="K97" s="21" t="n">
        <x:f>IF(Технологии!AR25="ИЗУЧЕНО",$E97,0)</x:f>
        <x:v>0</x:v>
      </x:c>
      <x:c r="L97" s="21" t="n">
        <x:f>IF(Технологии!AS25="ИЗУЧЕНО",$E97,0)</x:f>
        <x:v>0</x:v>
      </x:c>
      <x:c r="M97" s="21" t="n">
        <x:f>IF(Технологии!AT25="ИЗУЧЕНО",$E97,0)</x:f>
        <x:v>0</x:v>
      </x:c>
      <x:c r="N97" s="21" t="n">
        <x:f>IF(Технологии!AU25="ИЗУЧЕНО",$E97,0)</x:f>
        <x:v>0</x:v>
      </x:c>
      <x:c r="O97" s="21" t="n">
        <x:f>IF(Технологии!AV25="ИЗУЧЕНО",$E97,0)</x:f>
        <x:v>0</x:v>
      </x:c>
      <x:c r="P97" s="21" t="n">
        <x:f>IF(Технологии!AW25="ИЗУЧЕНО",$E97,0)</x:f>
        <x:v>0</x:v>
      </x:c>
      <x:c r="Q97" s="21" t="n">
        <x:f>IF(Технологии!AX25="ИЗУЧЕНО",$E97,0)</x:f>
        <x:v>0</x:v>
      </x:c>
      <x:c r="R97" s="21" t="n">
        <x:f>IF(Технологии!AY25="ИЗУЧЕНО",$E97,0)</x:f>
        <x:v>0</x:v>
      </x:c>
      <x:c r="S97" s="21" t="n">
        <x:f>IF(Технологии!AZ25="ИЗУЧЕНО",$E97,0)</x:f>
        <x:v>0</x:v>
      </x:c>
      <x:c r="T97" s="21" t="n">
        <x:f>IF(Технологии!BA25="ИЗУЧЕНО",$E97,0)</x:f>
        <x:v>0</x:v>
      </x:c>
      <x:c r="U97" s="21" t="n">
        <x:f>IF(Технологии!BB25="ИЗУЧЕНО",$E97,0)</x:f>
        <x:v>0</x:v>
      </x:c>
      <x:c r="V97" s="21" t="n">
        <x:f>IF(Технологии!BC25="ИЗУЧЕНО",$E97,0)</x:f>
        <x:v>0</x:v>
      </x:c>
      <x:c r="W97" s="21" t="n">
        <x:f>IF(Технологии!BD25="ИЗУЧЕНО",$E97,0)</x:f>
        <x:v>0</x:v>
      </x:c>
      <x:c r="X97" s="21" t="n">
        <x:f>IF(Технологии!BE25="ИЗУЧЕНО",$E97,0)</x:f>
        <x:v>0</x:v>
      </x:c>
      <x:c r="Y97" s="21" t="n">
        <x:f>IF(Технологии!BF25="ИЗУЧЕНО",$E97,0)</x:f>
        <x:v>0</x:v>
      </x:c>
    </x:row>
    <x:row r="98">
      <x:c r="A98" s="19" t="s">
        <x:v>130</x:v>
      </x:c>
      <x:c r="B98" s="18" t="s">
        <x:v>131</x:v>
      </x:c>
      <x:c r="C98" s="18" t="s">
        <x:v>293</x:v>
      </x:c>
      <x:c r="D98" s="18" t="s">
        <x:v>387</x:v>
      </x:c>
      <x:c r="E98" s="20">
        <x:v>0.2</x:v>
      </x:c>
      <x:c r="F98" s="18" t="str">
        <x:f>IF(Технологии!BH25="","",Технологии!BH25)</x:f>
      </x:c>
      <x:c r="G98" s="18" t="s">
        <x:v>449</x:v>
      </x:c>
      <x:c r="J98" s="21" t="n">
        <x:f>0</x:f>
        <x:v>0</x:v>
      </x:c>
      <x:c r="K98" s="21" t="n">
        <x:f>IF(Технологии!AR25="ИЗУЧЕНО",$E98,0)</x:f>
        <x:v>0</x:v>
      </x:c>
      <x:c r="L98" s="21" t="n">
        <x:f>IF(Технологии!AS25="ИЗУЧЕНО",$E98,0)</x:f>
        <x:v>0</x:v>
      </x:c>
      <x:c r="M98" s="21" t="n">
        <x:f>IF(Технологии!AT25="ИЗУЧЕНО",$E98,0)</x:f>
        <x:v>0</x:v>
      </x:c>
      <x:c r="N98" s="21" t="n">
        <x:f>IF(Технологии!AU25="ИЗУЧЕНО",$E98,0)</x:f>
        <x:v>0</x:v>
      </x:c>
      <x:c r="O98" s="21" t="n">
        <x:f>IF(Технологии!AV25="ИЗУЧЕНО",$E98,0)</x:f>
        <x:v>0</x:v>
      </x:c>
      <x:c r="P98" s="21" t="n">
        <x:f>IF(Технологии!AW25="ИЗУЧЕНО",$E98,0)</x:f>
        <x:v>0</x:v>
      </x:c>
      <x:c r="Q98" s="21" t="n">
        <x:f>IF(Технологии!AX25="ИЗУЧЕНО",$E98,0)</x:f>
        <x:v>0</x:v>
      </x:c>
      <x:c r="R98" s="21" t="n">
        <x:f>IF(Технологии!AY25="ИЗУЧЕНО",$E98,0)</x:f>
        <x:v>0</x:v>
      </x:c>
      <x:c r="S98" s="21" t="n">
        <x:f>IF(Технологии!AZ25="ИЗУЧЕНО",$E98,0)</x:f>
        <x:v>0</x:v>
      </x:c>
      <x:c r="T98" s="21" t="n">
        <x:f>IF(Технологии!BA25="ИЗУЧЕНО",$E98,0)</x:f>
        <x:v>0</x:v>
      </x:c>
      <x:c r="U98" s="21" t="n">
        <x:f>IF(Технологии!BB25="ИЗУЧЕНО",$E98,0)</x:f>
        <x:v>0</x:v>
      </x:c>
      <x:c r="V98" s="21" t="n">
        <x:f>IF(Технологии!BC25="ИЗУЧЕНО",$E98,0)</x:f>
        <x:v>0</x:v>
      </x:c>
      <x:c r="W98" s="21" t="n">
        <x:f>IF(Технологии!BD25="ИЗУЧЕНО",$E98,0)</x:f>
        <x:v>0</x:v>
      </x:c>
      <x:c r="X98" s="21" t="n">
        <x:f>IF(Технологии!BE25="ИЗУЧЕНО",$E98,0)</x:f>
        <x:v>0</x:v>
      </x:c>
      <x:c r="Y98" s="21" t="n">
        <x:f>IF(Технологии!BF25="ИЗУЧЕНО",$E98,0)</x:f>
        <x:v>0</x:v>
      </x:c>
    </x:row>
    <x:row r="99">
      <x:c r="A99" s="19" t="s">
        <x:v>130</x:v>
      </x:c>
      <x:c r="B99" s="18" t="s">
        <x:v>131</x:v>
      </x:c>
      <x:c r="C99" s="18" t="s">
        <x:v>303</x:v>
      </x:c>
      <x:c r="D99" s="18" t="s">
        <x:v>387</x:v>
      </x:c>
      <x:c r="E99" s="20">
        <x:v>-0.15</x:v>
      </x:c>
      <x:c r="F99" s="18" t="str">
        <x:f>IF(Технологии!BH25="","",Технологии!BH25)</x:f>
      </x:c>
      <x:c r="G99" s="18" t="s">
        <x:v>450</x:v>
      </x:c>
      <x:c r="J99" s="21" t="n">
        <x:f>0</x:f>
        <x:v>0</x:v>
      </x:c>
      <x:c r="K99" s="21" t="n">
        <x:f>IF(Технологии!AR25="ИЗУЧЕНО",$E99,0)</x:f>
        <x:v>0</x:v>
      </x:c>
      <x:c r="L99" s="21" t="n">
        <x:f>IF(Технологии!AS25="ИЗУЧЕНО",$E99,0)</x:f>
        <x:v>0</x:v>
      </x:c>
      <x:c r="M99" s="21" t="n">
        <x:f>IF(Технологии!AT25="ИЗУЧЕНО",$E99,0)</x:f>
        <x:v>0</x:v>
      </x:c>
      <x:c r="N99" s="21" t="n">
        <x:f>IF(Технологии!AU25="ИЗУЧЕНО",$E99,0)</x:f>
        <x:v>0</x:v>
      </x:c>
      <x:c r="O99" s="21" t="n">
        <x:f>IF(Технологии!AV25="ИЗУЧЕНО",$E99,0)</x:f>
        <x:v>0</x:v>
      </x:c>
      <x:c r="P99" s="21" t="n">
        <x:f>IF(Технологии!AW25="ИЗУЧЕНО",$E99,0)</x:f>
        <x:v>0</x:v>
      </x:c>
      <x:c r="Q99" s="21" t="n">
        <x:f>IF(Технологии!AX25="ИЗУЧЕНО",$E99,0)</x:f>
        <x:v>0</x:v>
      </x:c>
      <x:c r="R99" s="21" t="n">
        <x:f>IF(Технологии!AY25="ИЗУЧЕНО",$E99,0)</x:f>
        <x:v>0</x:v>
      </x:c>
      <x:c r="S99" s="21" t="n">
        <x:f>IF(Технологии!AZ25="ИЗУЧЕНО",$E99,0)</x:f>
        <x:v>0</x:v>
      </x:c>
      <x:c r="T99" s="21" t="n">
        <x:f>IF(Технологии!BA25="ИЗУЧЕНО",$E99,0)</x:f>
        <x:v>0</x:v>
      </x:c>
      <x:c r="U99" s="21" t="n">
        <x:f>IF(Технологии!BB25="ИЗУЧЕНО",$E99,0)</x:f>
        <x:v>0</x:v>
      </x:c>
      <x:c r="V99" s="21" t="n">
        <x:f>IF(Технологии!BC25="ИЗУЧЕНО",$E99,0)</x:f>
        <x:v>0</x:v>
      </x:c>
      <x:c r="W99" s="21" t="n">
        <x:f>IF(Технологии!BD25="ИЗУЧЕНО",$E99,0)</x:f>
        <x:v>0</x:v>
      </x:c>
      <x:c r="X99" s="21" t="n">
        <x:f>IF(Технологии!BE25="ИЗУЧЕНО",$E99,0)</x:f>
        <x:v>0</x:v>
      </x:c>
      <x:c r="Y99" s="21" t="n">
        <x:f>IF(Технологии!BF25="ИЗУЧЕНО",$E99,0)</x:f>
        <x:v>0</x:v>
      </x:c>
    </x:row>
    <x:row r="100">
      <x:c r="A100" s="19" t="s">
        <x:v>134</x:v>
      </x:c>
      <x:c r="B100" s="18" t="s">
        <x:v>135</x:v>
      </x:c>
      <x:c r="C100" s="18" t="s">
        <x:v>293</x:v>
      </x:c>
      <x:c r="D100" s="18" t="s">
        <x:v>387</x:v>
      </x:c>
      <x:c r="E100" s="20">
        <x:v>0.3</x:v>
      </x:c>
      <x:c r="F100" s="18" t="str">
        <x:f>IF(Технологии!BH26="","",Технологии!BH26)</x:f>
      </x:c>
      <x:c r="G100" s="18" t="s">
        <x:v>451</x:v>
      </x:c>
      <x:c r="J100" s="21" t="n">
        <x:f>0</x:f>
        <x:v>0</x:v>
      </x:c>
      <x:c r="K100" s="21" t="n">
        <x:f>IF(Технологии!AR26="ИЗУЧЕНО",$E100,0)</x:f>
        <x:v>0</x:v>
      </x:c>
      <x:c r="L100" s="21" t="n">
        <x:f>IF(Технологии!AS26="ИЗУЧЕНО",$E100,0)</x:f>
        <x:v>0</x:v>
      </x:c>
      <x:c r="M100" s="21" t="n">
        <x:f>IF(Технологии!AT26="ИЗУЧЕНО",$E100,0)</x:f>
        <x:v>0</x:v>
      </x:c>
      <x:c r="N100" s="21" t="n">
        <x:f>IF(Технологии!AU26="ИЗУЧЕНО",$E100,0)</x:f>
        <x:v>0</x:v>
      </x:c>
      <x:c r="O100" s="21" t="n">
        <x:f>IF(Технологии!AV26="ИЗУЧЕНО",$E100,0)</x:f>
        <x:v>0</x:v>
      </x:c>
      <x:c r="P100" s="21" t="n">
        <x:f>IF(Технологии!AW26="ИЗУЧЕНО",$E100,0)</x:f>
        <x:v>0</x:v>
      </x:c>
      <x:c r="Q100" s="21" t="n">
        <x:f>IF(Технологии!AX26="ИЗУЧЕНО",$E100,0)</x:f>
        <x:v>0</x:v>
      </x:c>
      <x:c r="R100" s="21" t="n">
        <x:f>IF(Технологии!AY26="ИЗУЧЕНО",$E100,0)</x:f>
        <x:v>0</x:v>
      </x:c>
      <x:c r="S100" s="21" t="n">
        <x:f>IF(Технологии!AZ26="ИЗУЧЕНО",$E100,0)</x:f>
        <x:v>0</x:v>
      </x:c>
      <x:c r="T100" s="21" t="n">
        <x:f>IF(Технологии!BA26="ИЗУЧЕНО",$E100,0)</x:f>
        <x:v>0</x:v>
      </x:c>
      <x:c r="U100" s="21" t="n">
        <x:f>IF(Технологии!BB26="ИЗУЧЕНО",$E100,0)</x:f>
        <x:v>0</x:v>
      </x:c>
      <x:c r="V100" s="21" t="n">
        <x:f>IF(Технологии!BC26="ИЗУЧЕНО",$E100,0)</x:f>
        <x:v>0</x:v>
      </x:c>
      <x:c r="W100" s="21" t="n">
        <x:f>IF(Технологии!BD26="ИЗУЧЕНО",$E100,0)</x:f>
        <x:v>0</x:v>
      </x:c>
      <x:c r="X100" s="21" t="n">
        <x:f>IF(Технологии!BE26="ИЗУЧЕНО",$E100,0)</x:f>
        <x:v>0</x:v>
      </x:c>
      <x:c r="Y100" s="21" t="n">
        <x:f>IF(Технологии!BF26="ИЗУЧЕНО",$E100,0)</x:f>
        <x:v>0</x:v>
      </x:c>
    </x:row>
    <x:row r="101">
      <x:c r="A101" s="19" t="s">
        <x:v>134</x:v>
      </x:c>
      <x:c r="B101" s="18" t="s">
        <x:v>135</x:v>
      </x:c>
      <x:c r="C101" s="18" t="s">
        <x:v>294</x:v>
      </x:c>
      <x:c r="D101" s="18" t="s">
        <x:v>387</x:v>
      </x:c>
      <x:c r="E101" s="20">
        <x:v>0.2</x:v>
      </x:c>
      <x:c r="F101" s="18" t="str">
        <x:f>IF(Технологии!BH26="","",Технологии!BH26)</x:f>
      </x:c>
      <x:c r="G101" s="18" t="s">
        <x:v>452</x:v>
      </x:c>
      <x:c r="J101" s="21" t="n">
        <x:f>0</x:f>
        <x:v>0</x:v>
      </x:c>
      <x:c r="K101" s="21" t="n">
        <x:f>IF(Технологии!AR26="ИЗУЧЕНО",$E101,0)</x:f>
        <x:v>0</x:v>
      </x:c>
      <x:c r="L101" s="21" t="n">
        <x:f>IF(Технологии!AS26="ИЗУЧЕНО",$E101,0)</x:f>
        <x:v>0</x:v>
      </x:c>
      <x:c r="M101" s="21" t="n">
        <x:f>IF(Технологии!AT26="ИЗУЧЕНО",$E101,0)</x:f>
        <x:v>0</x:v>
      </x:c>
      <x:c r="N101" s="21" t="n">
        <x:f>IF(Технологии!AU26="ИЗУЧЕНО",$E101,0)</x:f>
        <x:v>0</x:v>
      </x:c>
      <x:c r="O101" s="21" t="n">
        <x:f>IF(Технологии!AV26="ИЗУЧЕНО",$E101,0)</x:f>
        <x:v>0</x:v>
      </x:c>
      <x:c r="P101" s="21" t="n">
        <x:f>IF(Технологии!AW26="ИЗУЧЕНО",$E101,0)</x:f>
        <x:v>0</x:v>
      </x:c>
      <x:c r="Q101" s="21" t="n">
        <x:f>IF(Технологии!AX26="ИЗУЧЕНО",$E101,0)</x:f>
        <x:v>0</x:v>
      </x:c>
      <x:c r="R101" s="21" t="n">
        <x:f>IF(Технологии!AY26="ИЗУЧЕНО",$E101,0)</x:f>
        <x:v>0</x:v>
      </x:c>
      <x:c r="S101" s="21" t="n">
        <x:f>IF(Технологии!AZ26="ИЗУЧЕНО",$E101,0)</x:f>
        <x:v>0</x:v>
      </x:c>
      <x:c r="T101" s="21" t="n">
        <x:f>IF(Технологии!BA26="ИЗУЧЕНО",$E101,0)</x:f>
        <x:v>0</x:v>
      </x:c>
      <x:c r="U101" s="21" t="n">
        <x:f>IF(Технологии!BB26="ИЗУЧЕНО",$E101,0)</x:f>
        <x:v>0</x:v>
      </x:c>
      <x:c r="V101" s="21" t="n">
        <x:f>IF(Технологии!BC26="ИЗУЧЕНО",$E101,0)</x:f>
        <x:v>0</x:v>
      </x:c>
      <x:c r="W101" s="21" t="n">
        <x:f>IF(Технологии!BD26="ИЗУЧЕНО",$E101,0)</x:f>
        <x:v>0</x:v>
      </x:c>
      <x:c r="X101" s="21" t="n">
        <x:f>IF(Технологии!BE26="ИЗУЧЕНО",$E101,0)</x:f>
        <x:v>0</x:v>
      </x:c>
      <x:c r="Y101" s="21" t="n">
        <x:f>IF(Технологии!BF26="ИЗУЧЕНО",$E101,0)</x:f>
        <x:v>0</x:v>
      </x:c>
    </x:row>
    <x:row r="102">
      <x:c r="A102" s="19" t="s">
        <x:v>134</x:v>
      </x:c>
      <x:c r="B102" s="18" t="s">
        <x:v>135</x:v>
      </x:c>
      <x:c r="C102" s="18" t="s">
        <x:v>279</x:v>
      </x:c>
      <x:c r="D102" s="18" t="s">
        <x:v>414</x:v>
      </x:c>
      <x:c r="E102" s="20">
        <x:v>0.05</x:v>
      </x:c>
      <x:c r="F102" s="18" t="str">
        <x:f>IF(Технологии!BH26="","",Технологии!BH26)</x:f>
      </x:c>
      <x:c r="G102" s="18" t="s">
        <x:v>453</x:v>
      </x:c>
      <x:c r="J102" s="21" t="n">
        <x:f>0</x:f>
        <x:v>0</x:v>
      </x:c>
      <x:c r="K102" s="21" t="n">
        <x:f>IF(Технологии!AR26="ИЗУЧЕНО",$E102,0)</x:f>
        <x:v>0</x:v>
      </x:c>
      <x:c r="L102" s="21" t="n">
        <x:f>IF(Технологии!AS26="ИЗУЧЕНО",$E102,0)</x:f>
        <x:v>0</x:v>
      </x:c>
      <x:c r="M102" s="21" t="n">
        <x:f>IF(Технологии!AT26="ИЗУЧЕНО",$E102,0)</x:f>
        <x:v>0</x:v>
      </x:c>
      <x:c r="N102" s="21" t="n">
        <x:f>IF(Технологии!AU26="ИЗУЧЕНО",$E102,0)</x:f>
        <x:v>0</x:v>
      </x:c>
      <x:c r="O102" s="21" t="n">
        <x:f>IF(Технологии!AV26="ИЗУЧЕНО",$E102,0)</x:f>
        <x:v>0</x:v>
      </x:c>
      <x:c r="P102" s="21" t="n">
        <x:f>IF(Технологии!AW26="ИЗУЧЕНО",$E102,0)</x:f>
        <x:v>0</x:v>
      </x:c>
      <x:c r="Q102" s="21" t="n">
        <x:f>IF(Технологии!AX26="ИЗУЧЕНО",$E102,0)</x:f>
        <x:v>0</x:v>
      </x:c>
      <x:c r="R102" s="21" t="n">
        <x:f>IF(Технологии!AY26="ИЗУЧЕНО",$E102,0)</x:f>
        <x:v>0</x:v>
      </x:c>
      <x:c r="S102" s="21" t="n">
        <x:f>IF(Технологии!AZ26="ИЗУЧЕНО",$E102,0)</x:f>
        <x:v>0</x:v>
      </x:c>
      <x:c r="T102" s="21" t="n">
        <x:f>IF(Технологии!BA26="ИЗУЧЕНО",$E102,0)</x:f>
        <x:v>0</x:v>
      </x:c>
      <x:c r="U102" s="21" t="n">
        <x:f>IF(Технологии!BB26="ИЗУЧЕНО",$E102,0)</x:f>
        <x:v>0</x:v>
      </x:c>
      <x:c r="V102" s="21" t="n">
        <x:f>IF(Технологии!BC26="ИЗУЧЕНО",$E102,0)</x:f>
        <x:v>0</x:v>
      </x:c>
      <x:c r="W102" s="21" t="n">
        <x:f>IF(Технологии!BD26="ИЗУЧЕНО",$E102,0)</x:f>
        <x:v>0</x:v>
      </x:c>
      <x:c r="X102" s="21" t="n">
        <x:f>IF(Технологии!BE26="ИЗУЧЕНО",$E102,0)</x:f>
        <x:v>0</x:v>
      </x:c>
      <x:c r="Y102" s="21" t="n">
        <x:f>IF(Технологии!BF26="ИЗУЧЕНО",$E102,0)</x:f>
        <x:v>0</x:v>
      </x:c>
    </x:row>
    <x:row r="103">
      <x:c r="A103" s="19" t="s">
        <x:v>134</x:v>
      </x:c>
      <x:c r="B103" s="18" t="s">
        <x:v>135</x:v>
      </x:c>
      <x:c r="C103" s="18" t="s">
        <x:v>292</x:v>
      </x:c>
      <x:c r="D103" s="18" t="s">
        <x:v>387</x:v>
      </x:c>
      <x:c r="E103" s="20">
        <x:v>0.2</x:v>
      </x:c>
      <x:c r="F103" s="18" t="str">
        <x:f>IF(Технологии!BH26="","",Технологии!BH26)</x:f>
      </x:c>
      <x:c r="G103" s="18" t="s">
        <x:v>427</x:v>
      </x:c>
      <x:c r="J103" s="21" t="n">
        <x:f>0</x:f>
        <x:v>0</x:v>
      </x:c>
      <x:c r="K103" s="21" t="n">
        <x:f>IF(Технологии!AR26="ИЗУЧЕНО",$E103,0)</x:f>
        <x:v>0</x:v>
      </x:c>
      <x:c r="L103" s="21" t="n">
        <x:f>IF(Технологии!AS26="ИЗУЧЕНО",$E103,0)</x:f>
        <x:v>0</x:v>
      </x:c>
      <x:c r="M103" s="21" t="n">
        <x:f>IF(Технологии!AT26="ИЗУЧЕНО",$E103,0)</x:f>
        <x:v>0</x:v>
      </x:c>
      <x:c r="N103" s="21" t="n">
        <x:f>IF(Технологии!AU26="ИЗУЧЕНО",$E103,0)</x:f>
        <x:v>0</x:v>
      </x:c>
      <x:c r="O103" s="21" t="n">
        <x:f>IF(Технологии!AV26="ИЗУЧЕНО",$E103,0)</x:f>
        <x:v>0</x:v>
      </x:c>
      <x:c r="P103" s="21" t="n">
        <x:f>IF(Технологии!AW26="ИЗУЧЕНО",$E103,0)</x:f>
        <x:v>0</x:v>
      </x:c>
      <x:c r="Q103" s="21" t="n">
        <x:f>IF(Технологии!AX26="ИЗУЧЕНО",$E103,0)</x:f>
        <x:v>0</x:v>
      </x:c>
      <x:c r="R103" s="21" t="n">
        <x:f>IF(Технологии!AY26="ИЗУЧЕНО",$E103,0)</x:f>
        <x:v>0</x:v>
      </x:c>
      <x:c r="S103" s="21" t="n">
        <x:f>IF(Технологии!AZ26="ИЗУЧЕНО",$E103,0)</x:f>
        <x:v>0</x:v>
      </x:c>
      <x:c r="T103" s="21" t="n">
        <x:f>IF(Технологии!BA26="ИЗУЧЕНО",$E103,0)</x:f>
        <x:v>0</x:v>
      </x:c>
      <x:c r="U103" s="21" t="n">
        <x:f>IF(Технологии!BB26="ИЗУЧЕНО",$E103,0)</x:f>
        <x:v>0</x:v>
      </x:c>
      <x:c r="V103" s="21" t="n">
        <x:f>IF(Технологии!BC26="ИЗУЧЕНО",$E103,0)</x:f>
        <x:v>0</x:v>
      </x:c>
      <x:c r="W103" s="21" t="n">
        <x:f>IF(Технологии!BD26="ИЗУЧЕНО",$E103,0)</x:f>
        <x:v>0</x:v>
      </x:c>
      <x:c r="X103" s="21" t="n">
        <x:f>IF(Технологии!BE26="ИЗУЧЕНО",$E103,0)</x:f>
        <x:v>0</x:v>
      </x:c>
      <x:c r="Y103" s="21" t="n">
        <x:f>IF(Технологии!BF26="ИЗУЧЕНО",$E103,0)</x:f>
        <x:v>0</x:v>
      </x:c>
    </x:row>
    <x:row r="104">
      <x:c r="A104" s="19" t="s">
        <x:v>134</x:v>
      </x:c>
      <x:c r="B104" s="18" t="s">
        <x:v>135</x:v>
      </x:c>
      <x:c r="C104" s="18" t="s">
        <x:v>260</x:v>
      </x:c>
      <x:c r="D104" s="18" t="s">
        <x:v>387</x:v>
      </x:c>
      <x:c r="E104" s="20">
        <x:v>-0.2</x:v>
      </x:c>
      <x:c r="F104" s="18" t="str">
        <x:f>IF(Технологии!BH26="","",Технологии!BH26)</x:f>
      </x:c>
      <x:c r="G104" s="18" t="s">
        <x:v>454</x:v>
      </x:c>
      <x:c r="J104" s="21" t="n">
        <x:f>0</x:f>
        <x:v>0</x:v>
      </x:c>
      <x:c r="K104" s="21" t="n">
        <x:f>IF(Технологии!AR26="ИЗУЧЕНО",$E104,0)</x:f>
        <x:v>0</x:v>
      </x:c>
      <x:c r="L104" s="21" t="n">
        <x:f>IF(Технологии!AS26="ИЗУЧЕНО",$E104,0)</x:f>
        <x:v>0</x:v>
      </x:c>
      <x:c r="M104" s="21" t="n">
        <x:f>IF(Технологии!AT26="ИЗУЧЕНО",$E104,0)</x:f>
        <x:v>0</x:v>
      </x:c>
      <x:c r="N104" s="21" t="n">
        <x:f>IF(Технологии!AU26="ИЗУЧЕНО",$E104,0)</x:f>
        <x:v>0</x:v>
      </x:c>
      <x:c r="O104" s="21" t="n">
        <x:f>IF(Технологии!AV26="ИЗУЧЕНО",$E104,0)</x:f>
        <x:v>0</x:v>
      </x:c>
      <x:c r="P104" s="21" t="n">
        <x:f>IF(Технологии!AW26="ИЗУЧЕНО",$E104,0)</x:f>
        <x:v>0</x:v>
      </x:c>
      <x:c r="Q104" s="21" t="n">
        <x:f>IF(Технологии!AX26="ИЗУЧЕНО",$E104,0)</x:f>
        <x:v>0</x:v>
      </x:c>
      <x:c r="R104" s="21" t="n">
        <x:f>IF(Технологии!AY26="ИЗУЧЕНО",$E104,0)</x:f>
        <x:v>0</x:v>
      </x:c>
      <x:c r="S104" s="21" t="n">
        <x:f>IF(Технологии!AZ26="ИЗУЧЕНО",$E104,0)</x:f>
        <x:v>0</x:v>
      </x:c>
      <x:c r="T104" s="21" t="n">
        <x:f>IF(Технологии!BA26="ИЗУЧЕНО",$E104,0)</x:f>
        <x:v>0</x:v>
      </x:c>
      <x:c r="U104" s="21" t="n">
        <x:f>IF(Технологии!BB26="ИЗУЧЕНО",$E104,0)</x:f>
        <x:v>0</x:v>
      </x:c>
      <x:c r="V104" s="21" t="n">
        <x:f>IF(Технологии!BC26="ИЗУЧЕНО",$E104,0)</x:f>
        <x:v>0</x:v>
      </x:c>
      <x:c r="W104" s="21" t="n">
        <x:f>IF(Технологии!BD26="ИЗУЧЕНО",$E104,0)</x:f>
        <x:v>0</x:v>
      </x:c>
      <x:c r="X104" s="21" t="n">
        <x:f>IF(Технологии!BE26="ИЗУЧЕНО",$E104,0)</x:f>
        <x:v>0</x:v>
      </x:c>
      <x:c r="Y104" s="21" t="n">
        <x:f>IF(Технологии!BF26="ИЗУЧЕНО",$E104,0)</x:f>
        <x:v>0</x:v>
      </x:c>
    </x:row>
    <x:row r="105">
      <x:c r="A105" s="19" t="s">
        <x:v>134</x:v>
      </x:c>
      <x:c r="B105" s="18" t="s">
        <x:v>135</x:v>
      </x:c>
      <x:c r="C105" s="18" t="s">
        <x:v>295</x:v>
      </x:c>
      <x:c r="D105" s="18" t="s">
        <x:v>387</x:v>
      </x:c>
      <x:c r="E105" s="20">
        <x:v>-0.15</x:v>
      </x:c>
      <x:c r="F105" s="18" t="str">
        <x:f>IF(Технологии!BH26="","",Технологии!BH26)</x:f>
      </x:c>
      <x:c r="G105" s="18" t="s">
        <x:v>430</x:v>
      </x:c>
      <x:c r="J105" s="21" t="n">
        <x:f>0</x:f>
        <x:v>0</x:v>
      </x:c>
      <x:c r="K105" s="21" t="n">
        <x:f>IF(Технологии!AR26="ИЗУЧЕНО",$E105,0)</x:f>
        <x:v>0</x:v>
      </x:c>
      <x:c r="L105" s="21" t="n">
        <x:f>IF(Технологии!AS26="ИЗУЧЕНО",$E105,0)</x:f>
        <x:v>0</x:v>
      </x:c>
      <x:c r="M105" s="21" t="n">
        <x:f>IF(Технологии!AT26="ИЗУЧЕНО",$E105,0)</x:f>
        <x:v>0</x:v>
      </x:c>
      <x:c r="N105" s="21" t="n">
        <x:f>IF(Технологии!AU26="ИЗУЧЕНО",$E105,0)</x:f>
        <x:v>0</x:v>
      </x:c>
      <x:c r="O105" s="21" t="n">
        <x:f>IF(Технологии!AV26="ИЗУЧЕНО",$E105,0)</x:f>
        <x:v>0</x:v>
      </x:c>
      <x:c r="P105" s="21" t="n">
        <x:f>IF(Технологии!AW26="ИЗУЧЕНО",$E105,0)</x:f>
        <x:v>0</x:v>
      </x:c>
      <x:c r="Q105" s="21" t="n">
        <x:f>IF(Технологии!AX26="ИЗУЧЕНО",$E105,0)</x:f>
        <x:v>0</x:v>
      </x:c>
      <x:c r="R105" s="21" t="n">
        <x:f>IF(Технологии!AY26="ИЗУЧЕНО",$E105,0)</x:f>
        <x:v>0</x:v>
      </x:c>
      <x:c r="S105" s="21" t="n">
        <x:f>IF(Технологии!AZ26="ИЗУЧЕНО",$E105,0)</x:f>
        <x:v>0</x:v>
      </x:c>
      <x:c r="T105" s="21" t="n">
        <x:f>IF(Технологии!BA26="ИЗУЧЕНО",$E105,0)</x:f>
        <x:v>0</x:v>
      </x:c>
      <x:c r="U105" s="21" t="n">
        <x:f>IF(Технологии!BB26="ИЗУЧЕНО",$E105,0)</x:f>
        <x:v>0</x:v>
      </x:c>
      <x:c r="V105" s="21" t="n">
        <x:f>IF(Технологии!BC26="ИЗУЧЕНО",$E105,0)</x:f>
        <x:v>0</x:v>
      </x:c>
      <x:c r="W105" s="21" t="n">
        <x:f>IF(Технологии!BD26="ИЗУЧЕНО",$E105,0)</x:f>
        <x:v>0</x:v>
      </x:c>
      <x:c r="X105" s="21" t="n">
        <x:f>IF(Технологии!BE26="ИЗУЧЕНО",$E105,0)</x:f>
        <x:v>0</x:v>
      </x:c>
      <x:c r="Y105" s="21" t="n">
        <x:f>IF(Технологии!BF26="ИЗУЧЕНО",$E105,0)</x:f>
        <x:v>0</x:v>
      </x:c>
    </x:row>
    <x:row r="106">
      <x:c r="A106" s="19" t="s">
        <x:v>138</x:v>
      </x:c>
      <x:c r="B106" s="18" t="s">
        <x:v>139</x:v>
      </x:c>
      <x:c r="C106" s="18" t="s">
        <x:v>290</x:v>
      </x:c>
      <x:c r="D106" s="18" t="s">
        <x:v>387</x:v>
      </x:c>
      <x:c r="E106" s="20">
        <x:v>0.5</x:v>
      </x:c>
      <x:c r="F106" s="18" t="str">
        <x:f>IF(Технологии!BH27="","",Технологии!BH27)</x:f>
      </x:c>
      <x:c r="G106" s="18" t="s">
        <x:v>455</x:v>
      </x:c>
      <x:c r="J106" s="21" t="n">
        <x:f>0</x:f>
        <x:v>0</x:v>
      </x:c>
      <x:c r="K106" s="21" t="n">
        <x:f>IF(Технологии!AR27="ИЗУЧЕНО",$E106,0)</x:f>
        <x:v>0</x:v>
      </x:c>
      <x:c r="L106" s="21" t="n">
        <x:f>IF(Технологии!AS27="ИЗУЧЕНО",$E106,0)</x:f>
        <x:v>0</x:v>
      </x:c>
      <x:c r="M106" s="21" t="n">
        <x:f>IF(Технологии!AT27="ИЗУЧЕНО",$E106,0)</x:f>
        <x:v>0</x:v>
      </x:c>
      <x:c r="N106" s="21" t="n">
        <x:f>IF(Технологии!AU27="ИЗУЧЕНО",$E106,0)</x:f>
        <x:v>0</x:v>
      </x:c>
      <x:c r="O106" s="21" t="n">
        <x:f>IF(Технологии!AV27="ИЗУЧЕНО",$E106,0)</x:f>
        <x:v>0</x:v>
      </x:c>
      <x:c r="P106" s="21" t="n">
        <x:f>IF(Технологии!AW27="ИЗУЧЕНО",$E106,0)</x:f>
        <x:v>0</x:v>
      </x:c>
      <x:c r="Q106" s="21" t="n">
        <x:f>IF(Технологии!AX27="ИЗУЧЕНО",$E106,0)</x:f>
        <x:v>0</x:v>
      </x:c>
      <x:c r="R106" s="21" t="n">
        <x:f>IF(Технологии!AY27="ИЗУЧЕНО",$E106,0)</x:f>
        <x:v>0</x:v>
      </x:c>
      <x:c r="S106" s="21" t="n">
        <x:f>IF(Технологии!AZ27="ИЗУЧЕНО",$E106,0)</x:f>
        <x:v>0</x:v>
      </x:c>
      <x:c r="T106" s="21" t="n">
        <x:f>IF(Технологии!BA27="ИЗУЧЕНО",$E106,0)</x:f>
        <x:v>0</x:v>
      </x:c>
      <x:c r="U106" s="21" t="n">
        <x:f>IF(Технологии!BB27="ИЗУЧЕНО",$E106,0)</x:f>
        <x:v>0</x:v>
      </x:c>
      <x:c r="V106" s="21" t="n">
        <x:f>IF(Технологии!BC27="ИЗУЧЕНО",$E106,0)</x:f>
        <x:v>0</x:v>
      </x:c>
      <x:c r="W106" s="21" t="n">
        <x:f>IF(Технологии!BD27="ИЗУЧЕНО",$E106,0)</x:f>
        <x:v>0</x:v>
      </x:c>
      <x:c r="X106" s="21" t="n">
        <x:f>IF(Технологии!BE27="ИЗУЧЕНО",$E106,0)</x:f>
        <x:v>0</x:v>
      </x:c>
      <x:c r="Y106" s="21" t="n">
        <x:f>IF(Технологии!BF27="ИЗУЧЕНО",$E106,0)</x:f>
        <x:v>0</x:v>
      </x:c>
    </x:row>
    <x:row r="107">
      <x:c r="A107" s="19" t="s">
        <x:v>138</x:v>
      </x:c>
      <x:c r="B107" s="18" t="s">
        <x:v>139</x:v>
      </x:c>
      <x:c r="C107" s="18" t="s">
        <x:v>290</x:v>
      </x:c>
      <x:c r="D107" s="18" t="s">
        <x:v>414</x:v>
      </x:c>
      <x:c r="E107" s="20">
        <x:v>0.1</x:v>
      </x:c>
      <x:c r="F107" s="18" t="str">
        <x:f>IF(Технологии!BH27="","",Технологии!BH27)</x:f>
      </x:c>
      <x:c r="G107" s="18" t="s">
        <x:v>455</x:v>
      </x:c>
      <x:c r="J107" s="21" t="n">
        <x:f>0</x:f>
        <x:v>0</x:v>
      </x:c>
      <x:c r="K107" s="21" t="n">
        <x:f>IF(Технологии!AR27="ИЗУЧЕНО",$E107,0)</x:f>
        <x:v>0</x:v>
      </x:c>
      <x:c r="L107" s="21" t="n">
        <x:f>IF(Технологии!AS27="ИЗУЧЕНО",$E107,0)</x:f>
        <x:v>0</x:v>
      </x:c>
      <x:c r="M107" s="21" t="n">
        <x:f>IF(Технологии!AT27="ИЗУЧЕНО",$E107,0)</x:f>
        <x:v>0</x:v>
      </x:c>
      <x:c r="N107" s="21" t="n">
        <x:f>IF(Технологии!AU27="ИЗУЧЕНО",$E107,0)</x:f>
        <x:v>0</x:v>
      </x:c>
      <x:c r="O107" s="21" t="n">
        <x:f>IF(Технологии!AV27="ИЗУЧЕНО",$E107,0)</x:f>
        <x:v>0</x:v>
      </x:c>
      <x:c r="P107" s="21" t="n">
        <x:f>IF(Технологии!AW27="ИЗУЧЕНО",$E107,0)</x:f>
        <x:v>0</x:v>
      </x:c>
      <x:c r="Q107" s="21" t="n">
        <x:f>IF(Технологии!AX27="ИЗУЧЕНО",$E107,0)</x:f>
        <x:v>0</x:v>
      </x:c>
      <x:c r="R107" s="21" t="n">
        <x:f>IF(Технологии!AY27="ИЗУЧЕНО",$E107,0)</x:f>
        <x:v>0</x:v>
      </x:c>
      <x:c r="S107" s="21" t="n">
        <x:f>IF(Технологии!AZ27="ИЗУЧЕНО",$E107,0)</x:f>
        <x:v>0</x:v>
      </x:c>
      <x:c r="T107" s="21" t="n">
        <x:f>IF(Технологии!BA27="ИЗУЧЕНО",$E107,0)</x:f>
        <x:v>0</x:v>
      </x:c>
      <x:c r="U107" s="21" t="n">
        <x:f>IF(Технологии!BB27="ИЗУЧЕНО",$E107,0)</x:f>
        <x:v>0</x:v>
      </x:c>
      <x:c r="V107" s="21" t="n">
        <x:f>IF(Технологии!BC27="ИЗУЧЕНО",$E107,0)</x:f>
        <x:v>0</x:v>
      </x:c>
      <x:c r="W107" s="21" t="n">
        <x:f>IF(Технологии!BD27="ИЗУЧЕНО",$E107,0)</x:f>
        <x:v>0</x:v>
      </x:c>
      <x:c r="X107" s="21" t="n">
        <x:f>IF(Технологии!BE27="ИЗУЧЕНО",$E107,0)</x:f>
        <x:v>0</x:v>
      </x:c>
      <x:c r="Y107" s="21" t="n">
        <x:f>IF(Технологии!BF27="ИЗУЧЕНО",$E107,0)</x:f>
        <x:v>0</x:v>
      </x:c>
    </x:row>
    <x:row r="108">
      <x:c r="A108" s="19" t="s">
        <x:v>138</x:v>
      </x:c>
      <x:c r="B108" s="18" t="s">
        <x:v>139</x:v>
      </x:c>
      <x:c r="C108" s="18" t="s">
        <x:v>300</x:v>
      </x:c>
      <x:c r="D108" s="18" t="s">
        <x:v>387</x:v>
      </x:c>
      <x:c r="E108" s="20">
        <x:v>0.3</x:v>
      </x:c>
      <x:c r="F108" s="18" t="str">
        <x:f>IF(Технологии!BH27="","",Технологии!BH27)</x:f>
      </x:c>
      <x:c r="G108" s="18" t="s">
        <x:v>456</x:v>
      </x:c>
      <x:c r="J108" s="21" t="n">
        <x:f>0</x:f>
        <x:v>0</x:v>
      </x:c>
      <x:c r="K108" s="21" t="n">
        <x:f>IF(Технологии!AR27="ИЗУЧЕНО",$E108,0)</x:f>
        <x:v>0</x:v>
      </x:c>
      <x:c r="L108" s="21" t="n">
        <x:f>IF(Технологии!AS27="ИЗУЧЕНО",$E108,0)</x:f>
        <x:v>0</x:v>
      </x:c>
      <x:c r="M108" s="21" t="n">
        <x:f>IF(Технологии!AT27="ИЗУЧЕНО",$E108,0)</x:f>
        <x:v>0</x:v>
      </x:c>
      <x:c r="N108" s="21" t="n">
        <x:f>IF(Технологии!AU27="ИЗУЧЕНО",$E108,0)</x:f>
        <x:v>0</x:v>
      </x:c>
      <x:c r="O108" s="21" t="n">
        <x:f>IF(Технологии!AV27="ИЗУЧЕНО",$E108,0)</x:f>
        <x:v>0</x:v>
      </x:c>
      <x:c r="P108" s="21" t="n">
        <x:f>IF(Технологии!AW27="ИЗУЧЕНО",$E108,0)</x:f>
        <x:v>0</x:v>
      </x:c>
      <x:c r="Q108" s="21" t="n">
        <x:f>IF(Технологии!AX27="ИЗУЧЕНО",$E108,0)</x:f>
        <x:v>0</x:v>
      </x:c>
      <x:c r="R108" s="21" t="n">
        <x:f>IF(Технологии!AY27="ИЗУЧЕНО",$E108,0)</x:f>
        <x:v>0</x:v>
      </x:c>
      <x:c r="S108" s="21" t="n">
        <x:f>IF(Технологии!AZ27="ИЗУЧЕНО",$E108,0)</x:f>
        <x:v>0</x:v>
      </x:c>
      <x:c r="T108" s="21" t="n">
        <x:f>IF(Технологии!BA27="ИЗУЧЕНО",$E108,0)</x:f>
        <x:v>0</x:v>
      </x:c>
      <x:c r="U108" s="21" t="n">
        <x:f>IF(Технологии!BB27="ИЗУЧЕНО",$E108,0)</x:f>
        <x:v>0</x:v>
      </x:c>
      <x:c r="V108" s="21" t="n">
        <x:f>IF(Технологии!BC27="ИЗУЧЕНО",$E108,0)</x:f>
        <x:v>0</x:v>
      </x:c>
      <x:c r="W108" s="21" t="n">
        <x:f>IF(Технологии!BD27="ИЗУЧЕНО",$E108,0)</x:f>
        <x:v>0</x:v>
      </x:c>
      <x:c r="X108" s="21" t="n">
        <x:f>IF(Технологии!BE27="ИЗУЧЕНО",$E108,0)</x:f>
        <x:v>0</x:v>
      </x:c>
      <x:c r="Y108" s="21" t="n">
        <x:f>IF(Технологии!BF27="ИЗУЧЕНО",$E108,0)</x:f>
        <x:v>0</x:v>
      </x:c>
    </x:row>
    <x:row r="109">
      <x:c r="A109" s="19" t="s">
        <x:v>138</x:v>
      </x:c>
      <x:c r="B109" s="18" t="s">
        <x:v>139</x:v>
      </x:c>
      <x:c r="C109" s="18" t="s">
        <x:v>293</x:v>
      </x:c>
      <x:c r="D109" s="18" t="s">
        <x:v>387</x:v>
      </x:c>
      <x:c r="E109" s="20">
        <x:v>0.2</x:v>
      </x:c>
      <x:c r="F109" s="18" t="str">
        <x:f>IF(Технологии!BH27="","",Технологии!BH27)</x:f>
      </x:c>
      <x:c r="G109" s="18" t="s">
        <x:v>449</x:v>
      </x:c>
      <x:c r="J109" s="21" t="n">
        <x:f>0</x:f>
        <x:v>0</x:v>
      </x:c>
      <x:c r="K109" s="21" t="n">
        <x:f>IF(Технологии!AR27="ИЗУЧЕНО",$E109,0)</x:f>
        <x:v>0</x:v>
      </x:c>
      <x:c r="L109" s="21" t="n">
        <x:f>IF(Технологии!AS27="ИЗУЧЕНО",$E109,0)</x:f>
        <x:v>0</x:v>
      </x:c>
      <x:c r="M109" s="21" t="n">
        <x:f>IF(Технологии!AT27="ИЗУЧЕНО",$E109,0)</x:f>
        <x:v>0</x:v>
      </x:c>
      <x:c r="N109" s="21" t="n">
        <x:f>IF(Технологии!AU27="ИЗУЧЕНО",$E109,0)</x:f>
        <x:v>0</x:v>
      </x:c>
      <x:c r="O109" s="21" t="n">
        <x:f>IF(Технологии!AV27="ИЗУЧЕНО",$E109,0)</x:f>
        <x:v>0</x:v>
      </x:c>
      <x:c r="P109" s="21" t="n">
        <x:f>IF(Технологии!AW27="ИЗУЧЕНО",$E109,0)</x:f>
        <x:v>0</x:v>
      </x:c>
      <x:c r="Q109" s="21" t="n">
        <x:f>IF(Технологии!AX27="ИЗУЧЕНО",$E109,0)</x:f>
        <x:v>0</x:v>
      </x:c>
      <x:c r="R109" s="21" t="n">
        <x:f>IF(Технологии!AY27="ИЗУЧЕНО",$E109,0)</x:f>
        <x:v>0</x:v>
      </x:c>
      <x:c r="S109" s="21" t="n">
        <x:f>IF(Технологии!AZ27="ИЗУЧЕНО",$E109,0)</x:f>
        <x:v>0</x:v>
      </x:c>
      <x:c r="T109" s="21" t="n">
        <x:f>IF(Технологии!BA27="ИЗУЧЕНО",$E109,0)</x:f>
        <x:v>0</x:v>
      </x:c>
      <x:c r="U109" s="21" t="n">
        <x:f>IF(Технологии!BB27="ИЗУЧЕНО",$E109,0)</x:f>
        <x:v>0</x:v>
      </x:c>
      <x:c r="V109" s="21" t="n">
        <x:f>IF(Технологии!BC27="ИЗУЧЕНО",$E109,0)</x:f>
        <x:v>0</x:v>
      </x:c>
      <x:c r="W109" s="21" t="n">
        <x:f>IF(Технологии!BD27="ИЗУЧЕНО",$E109,0)</x:f>
        <x:v>0</x:v>
      </x:c>
      <x:c r="X109" s="21" t="n">
        <x:f>IF(Технологии!BE27="ИЗУЧЕНО",$E109,0)</x:f>
        <x:v>0</x:v>
      </x:c>
      <x:c r="Y109" s="21" t="n">
        <x:f>IF(Технологии!BF27="ИЗУЧЕНО",$E109,0)</x:f>
        <x:v>0</x:v>
      </x:c>
    </x:row>
    <x:row r="110">
      <x:c r="A110" s="19" t="s">
        <x:v>138</x:v>
      </x:c>
      <x:c r="B110" s="18" t="s">
        <x:v>139</x:v>
      </x:c>
      <x:c r="C110" s="18" t="s">
        <x:v>279</x:v>
      </x:c>
      <x:c r="D110" s="18" t="s">
        <x:v>414</x:v>
      </x:c>
      <x:c r="E110" s="20">
        <x:v>0.08</x:v>
      </x:c>
      <x:c r="F110" s="18" t="str">
        <x:f>IF(Технологии!BH27="","",Технологии!BH27)</x:f>
      </x:c>
      <x:c r="G110" s="18" t="s">
        <x:v>432</x:v>
      </x:c>
      <x:c r="J110" s="21" t="n">
        <x:f>0</x:f>
        <x:v>0</x:v>
      </x:c>
      <x:c r="K110" s="21" t="n">
        <x:f>IF(Технологии!AR27="ИЗУЧЕНО",$E110,0)</x:f>
        <x:v>0</x:v>
      </x:c>
      <x:c r="L110" s="21" t="n">
        <x:f>IF(Технологии!AS27="ИЗУЧЕНО",$E110,0)</x:f>
        <x:v>0</x:v>
      </x:c>
      <x:c r="M110" s="21" t="n">
        <x:f>IF(Технологии!AT27="ИЗУЧЕНО",$E110,0)</x:f>
        <x:v>0</x:v>
      </x:c>
      <x:c r="N110" s="21" t="n">
        <x:f>IF(Технологии!AU27="ИЗУЧЕНО",$E110,0)</x:f>
        <x:v>0</x:v>
      </x:c>
      <x:c r="O110" s="21" t="n">
        <x:f>IF(Технологии!AV27="ИЗУЧЕНО",$E110,0)</x:f>
        <x:v>0</x:v>
      </x:c>
      <x:c r="P110" s="21" t="n">
        <x:f>IF(Технологии!AW27="ИЗУЧЕНО",$E110,0)</x:f>
        <x:v>0</x:v>
      </x:c>
      <x:c r="Q110" s="21" t="n">
        <x:f>IF(Технологии!AX27="ИЗУЧЕНО",$E110,0)</x:f>
        <x:v>0</x:v>
      </x:c>
      <x:c r="R110" s="21" t="n">
        <x:f>IF(Технологии!AY27="ИЗУЧЕНО",$E110,0)</x:f>
        <x:v>0</x:v>
      </x:c>
      <x:c r="S110" s="21" t="n">
        <x:f>IF(Технологии!AZ27="ИЗУЧЕНО",$E110,0)</x:f>
        <x:v>0</x:v>
      </x:c>
      <x:c r="T110" s="21" t="n">
        <x:f>IF(Технологии!BA27="ИЗУЧЕНО",$E110,0)</x:f>
        <x:v>0</x:v>
      </x:c>
      <x:c r="U110" s="21" t="n">
        <x:f>IF(Технологии!BB27="ИЗУЧЕНО",$E110,0)</x:f>
        <x:v>0</x:v>
      </x:c>
      <x:c r="V110" s="21" t="n">
        <x:f>IF(Технологии!BC27="ИЗУЧЕНО",$E110,0)</x:f>
        <x:v>0</x:v>
      </x:c>
      <x:c r="W110" s="21" t="n">
        <x:f>IF(Технологии!BD27="ИЗУЧЕНО",$E110,0)</x:f>
        <x:v>0</x:v>
      </x:c>
      <x:c r="X110" s="21" t="n">
        <x:f>IF(Технологии!BE27="ИЗУЧЕНО",$E110,0)</x:f>
        <x:v>0</x:v>
      </x:c>
      <x:c r="Y110" s="21" t="n">
        <x:f>IF(Технологии!BF27="ИЗУЧЕНО",$E110,0)</x:f>
        <x:v>0</x:v>
      </x:c>
    </x:row>
    <x:row r="111">
      <x:c r="A111" s="19" t="s">
        <x:v>138</x:v>
      </x:c>
      <x:c r="B111" s="18" t="s">
        <x:v>139</x:v>
      </x:c>
      <x:c r="C111" s="18" t="s">
        <x:v>382</x:v>
      </x:c>
      <x:c r="D111" s="18" t="s">
        <x:v>405</x:v>
      </x:c>
      <x:c r="E111" s="20">
        <x:v>0.15</x:v>
      </x:c>
      <x:c r="F111" s="18" t="str">
        <x:f>IF(Технологии!BH27="","",Технологии!BH27)</x:f>
      </x:c>
      <x:c r="G111" s="18" t="s">
        <x:v>457</x:v>
      </x:c>
      <x:c r="J111" s="21" t="n">
        <x:f>0</x:f>
        <x:v>0</x:v>
      </x:c>
      <x:c r="K111" s="21" t="n">
        <x:f>IF(Технологии!AR27="ИЗУЧЕНО",$E111,0)</x:f>
        <x:v>0</x:v>
      </x:c>
      <x:c r="L111" s="21" t="n">
        <x:f>IF(Технологии!AS27="ИЗУЧЕНО",$E111,0)</x:f>
        <x:v>0</x:v>
      </x:c>
      <x:c r="M111" s="21" t="n">
        <x:f>IF(Технологии!AT27="ИЗУЧЕНО",$E111,0)</x:f>
        <x:v>0</x:v>
      </x:c>
      <x:c r="N111" s="21" t="n">
        <x:f>IF(Технологии!AU27="ИЗУЧЕНО",$E111,0)</x:f>
        <x:v>0</x:v>
      </x:c>
      <x:c r="O111" s="21" t="n">
        <x:f>IF(Технологии!AV27="ИЗУЧЕНО",$E111,0)</x:f>
        <x:v>0</x:v>
      </x:c>
      <x:c r="P111" s="21" t="n">
        <x:f>IF(Технологии!AW27="ИЗУЧЕНО",$E111,0)</x:f>
        <x:v>0</x:v>
      </x:c>
      <x:c r="Q111" s="21" t="n">
        <x:f>IF(Технологии!AX27="ИЗУЧЕНО",$E111,0)</x:f>
        <x:v>0</x:v>
      </x:c>
      <x:c r="R111" s="21" t="n">
        <x:f>IF(Технологии!AY27="ИЗУЧЕНО",$E111,0)</x:f>
        <x:v>0</x:v>
      </x:c>
      <x:c r="S111" s="21" t="n">
        <x:f>IF(Технологии!AZ27="ИЗУЧЕНО",$E111,0)</x:f>
        <x:v>0</x:v>
      </x:c>
      <x:c r="T111" s="21" t="n">
        <x:f>IF(Технологии!BA27="ИЗУЧЕНО",$E111,0)</x:f>
        <x:v>0</x:v>
      </x:c>
      <x:c r="U111" s="21" t="n">
        <x:f>IF(Технологии!BB27="ИЗУЧЕНО",$E111,0)</x:f>
        <x:v>0</x:v>
      </x:c>
      <x:c r="V111" s="21" t="n">
        <x:f>IF(Технологии!BC27="ИЗУЧЕНО",$E111,0)</x:f>
        <x:v>0</x:v>
      </x:c>
      <x:c r="W111" s="21" t="n">
        <x:f>IF(Технологии!BD27="ИЗУЧЕНО",$E111,0)</x:f>
        <x:v>0</x:v>
      </x:c>
      <x:c r="X111" s="21" t="n">
        <x:f>IF(Технологии!BE27="ИЗУЧЕНО",$E111,0)</x:f>
        <x:v>0</x:v>
      </x:c>
      <x:c r="Y111" s="21" t="n">
        <x:f>IF(Технологии!BF27="ИЗУЧЕНО",$E111,0)</x:f>
        <x:v>0</x:v>
      </x:c>
    </x:row>
    <x:row r="112">
      <x:c r="A112" s="19" t="s">
        <x:v>138</x:v>
      </x:c>
      <x:c r="B112" s="18" t="s">
        <x:v>139</x:v>
      </x:c>
      <x:c r="C112" s="18" t="s">
        <x:v>303</x:v>
      </x:c>
      <x:c r="D112" s="18" t="s">
        <x:v>387</x:v>
      </x:c>
      <x:c r="E112" s="20">
        <x:v>-0.25</x:v>
      </x:c>
      <x:c r="F112" s="18" t="str">
        <x:f>IF(Технологии!BH27="","",Технологии!BH27)</x:f>
      </x:c>
      <x:c r="G112" s="18" t="s">
        <x:v>458</x:v>
      </x:c>
      <x:c r="J112" s="21" t="n">
        <x:f>0</x:f>
        <x:v>0</x:v>
      </x:c>
      <x:c r="K112" s="21" t="n">
        <x:f>IF(Технологии!AR27="ИЗУЧЕНО",$E112,0)</x:f>
        <x:v>0</x:v>
      </x:c>
      <x:c r="L112" s="21" t="n">
        <x:f>IF(Технологии!AS27="ИЗУЧЕНО",$E112,0)</x:f>
        <x:v>0</x:v>
      </x:c>
      <x:c r="M112" s="21" t="n">
        <x:f>IF(Технологии!AT27="ИЗУЧЕНО",$E112,0)</x:f>
        <x:v>0</x:v>
      </x:c>
      <x:c r="N112" s="21" t="n">
        <x:f>IF(Технологии!AU27="ИЗУЧЕНО",$E112,0)</x:f>
        <x:v>0</x:v>
      </x:c>
      <x:c r="O112" s="21" t="n">
        <x:f>IF(Технологии!AV27="ИЗУЧЕНО",$E112,0)</x:f>
        <x:v>0</x:v>
      </x:c>
      <x:c r="P112" s="21" t="n">
        <x:f>IF(Технологии!AW27="ИЗУЧЕНО",$E112,0)</x:f>
        <x:v>0</x:v>
      </x:c>
      <x:c r="Q112" s="21" t="n">
        <x:f>IF(Технологии!AX27="ИЗУЧЕНО",$E112,0)</x:f>
        <x:v>0</x:v>
      </x:c>
      <x:c r="R112" s="21" t="n">
        <x:f>IF(Технологии!AY27="ИЗУЧЕНО",$E112,0)</x:f>
        <x:v>0</x:v>
      </x:c>
      <x:c r="S112" s="21" t="n">
        <x:f>IF(Технологии!AZ27="ИЗУЧЕНО",$E112,0)</x:f>
        <x:v>0</x:v>
      </x:c>
      <x:c r="T112" s="21" t="n">
        <x:f>IF(Технологии!BA27="ИЗУЧЕНО",$E112,0)</x:f>
        <x:v>0</x:v>
      </x:c>
      <x:c r="U112" s="21" t="n">
        <x:f>IF(Технологии!BB27="ИЗУЧЕНО",$E112,0)</x:f>
        <x:v>0</x:v>
      </x:c>
      <x:c r="V112" s="21" t="n">
        <x:f>IF(Технологии!BC27="ИЗУЧЕНО",$E112,0)</x:f>
        <x:v>0</x:v>
      </x:c>
      <x:c r="W112" s="21" t="n">
        <x:f>IF(Технологии!BD27="ИЗУЧЕНО",$E112,0)</x:f>
        <x:v>0</x:v>
      </x:c>
      <x:c r="X112" s="21" t="n">
        <x:f>IF(Технологии!BE27="ИЗУЧЕНО",$E112,0)</x:f>
        <x:v>0</x:v>
      </x:c>
      <x:c r="Y112" s="21" t="n">
        <x:f>IF(Технологии!BF27="ИЗУЧЕНО",$E112,0)</x:f>
        <x:v>0</x:v>
      </x:c>
    </x:row>
    <x:row r="113">
      <x:c r="A113" s="19" t="s">
        <x:v>138</x:v>
      </x:c>
      <x:c r="B113" s="18" t="s">
        <x:v>139</x:v>
      </x:c>
      <x:c r="C113" s="18" t="s">
        <x:v>295</x:v>
      </x:c>
      <x:c r="D113" s="18" t="s">
        <x:v>387</x:v>
      </x:c>
      <x:c r="E113" s="20">
        <x:v>-0.2</x:v>
      </x:c>
      <x:c r="F113" s="18" t="str">
        <x:f>IF(Технологии!BH27="","",Технологии!BH27)</x:f>
      </x:c>
      <x:c r="G113" s="18" t="s">
        <x:v>459</x:v>
      </x:c>
      <x:c r="J113" s="21" t="n">
        <x:f>0</x:f>
        <x:v>0</x:v>
      </x:c>
      <x:c r="K113" s="21" t="n">
        <x:f>IF(Технологии!AR27="ИЗУЧЕНО",$E113,0)</x:f>
        <x:v>0</x:v>
      </x:c>
      <x:c r="L113" s="21" t="n">
        <x:f>IF(Технологии!AS27="ИЗУЧЕНО",$E113,0)</x:f>
        <x:v>0</x:v>
      </x:c>
      <x:c r="M113" s="21" t="n">
        <x:f>IF(Технологии!AT27="ИЗУЧЕНО",$E113,0)</x:f>
        <x:v>0</x:v>
      </x:c>
      <x:c r="N113" s="21" t="n">
        <x:f>IF(Технологии!AU27="ИЗУЧЕНО",$E113,0)</x:f>
        <x:v>0</x:v>
      </x:c>
      <x:c r="O113" s="21" t="n">
        <x:f>IF(Технологии!AV27="ИЗУЧЕНО",$E113,0)</x:f>
        <x:v>0</x:v>
      </x:c>
      <x:c r="P113" s="21" t="n">
        <x:f>IF(Технологии!AW27="ИЗУЧЕНО",$E113,0)</x:f>
        <x:v>0</x:v>
      </x:c>
      <x:c r="Q113" s="21" t="n">
        <x:f>IF(Технологии!AX27="ИЗУЧЕНО",$E113,0)</x:f>
        <x:v>0</x:v>
      </x:c>
      <x:c r="R113" s="21" t="n">
        <x:f>IF(Технологии!AY27="ИЗУЧЕНО",$E113,0)</x:f>
        <x:v>0</x:v>
      </x:c>
      <x:c r="S113" s="21" t="n">
        <x:f>IF(Технологии!AZ27="ИЗУЧЕНО",$E113,0)</x:f>
        <x:v>0</x:v>
      </x:c>
      <x:c r="T113" s="21" t="n">
        <x:f>IF(Технологии!BA27="ИЗУЧЕНО",$E113,0)</x:f>
        <x:v>0</x:v>
      </x:c>
      <x:c r="U113" s="21" t="n">
        <x:f>IF(Технологии!BB27="ИЗУЧЕНО",$E113,0)</x:f>
        <x:v>0</x:v>
      </x:c>
      <x:c r="V113" s="21" t="n">
        <x:f>IF(Технологии!BC27="ИЗУЧЕНО",$E113,0)</x:f>
        <x:v>0</x:v>
      </x:c>
      <x:c r="W113" s="21" t="n">
        <x:f>IF(Технологии!BD27="ИЗУЧЕНО",$E113,0)</x:f>
        <x:v>0</x:v>
      </x:c>
      <x:c r="X113" s="21" t="n">
        <x:f>IF(Технологии!BE27="ИЗУЧЕНО",$E113,0)</x:f>
        <x:v>0</x:v>
      </x:c>
      <x:c r="Y113" s="21" t="n">
        <x:f>IF(Технологии!BF27="ИЗУЧЕНО",$E113,0)</x:f>
        <x:v>0</x:v>
      </x:c>
    </x:row>
    <x:row r="114">
      <x:c r="A114" s="19" t="s">
        <x:v>138</x:v>
      </x:c>
      <x:c r="B114" s="18" t="s">
        <x:v>139</x:v>
      </x:c>
      <x:c r="C114" s="18" t="s">
        <x:v>260</x:v>
      </x:c>
      <x:c r="D114" s="18" t="s">
        <x:v>387</x:v>
      </x:c>
      <x:c r="E114" s="20">
        <x:v>-0.2</x:v>
      </x:c>
      <x:c r="F114" s="18" t="str">
        <x:f>IF(Технологии!BH27="","",Технологии!BH27)</x:f>
      </x:c>
      <x:c r="G114" s="18" t="s">
        <x:v>454</x:v>
      </x:c>
      <x:c r="J114" s="21" t="n">
        <x:f>0</x:f>
        <x:v>0</x:v>
      </x:c>
      <x:c r="K114" s="21" t="n">
        <x:f>IF(Технологии!AR27="ИЗУЧЕНО",$E114,0)</x:f>
        <x:v>0</x:v>
      </x:c>
      <x:c r="L114" s="21" t="n">
        <x:f>IF(Технологии!AS27="ИЗУЧЕНО",$E114,0)</x:f>
        <x:v>0</x:v>
      </x:c>
      <x:c r="M114" s="21" t="n">
        <x:f>IF(Технологии!AT27="ИЗУЧЕНО",$E114,0)</x:f>
        <x:v>0</x:v>
      </x:c>
      <x:c r="N114" s="21" t="n">
        <x:f>IF(Технологии!AU27="ИЗУЧЕНО",$E114,0)</x:f>
        <x:v>0</x:v>
      </x:c>
      <x:c r="O114" s="21" t="n">
        <x:f>IF(Технологии!AV27="ИЗУЧЕНО",$E114,0)</x:f>
        <x:v>0</x:v>
      </x:c>
      <x:c r="P114" s="21" t="n">
        <x:f>IF(Технологии!AW27="ИЗУЧЕНО",$E114,0)</x:f>
        <x:v>0</x:v>
      </x:c>
      <x:c r="Q114" s="21" t="n">
        <x:f>IF(Технологии!AX27="ИЗУЧЕНО",$E114,0)</x:f>
        <x:v>0</x:v>
      </x:c>
      <x:c r="R114" s="21" t="n">
        <x:f>IF(Технологии!AY27="ИЗУЧЕНО",$E114,0)</x:f>
        <x:v>0</x:v>
      </x:c>
      <x:c r="S114" s="21" t="n">
        <x:f>IF(Технологии!AZ27="ИЗУЧЕНО",$E114,0)</x:f>
        <x:v>0</x:v>
      </x:c>
      <x:c r="T114" s="21" t="n">
        <x:f>IF(Технологии!BA27="ИЗУЧЕНО",$E114,0)</x:f>
        <x:v>0</x:v>
      </x:c>
      <x:c r="U114" s="21" t="n">
        <x:f>IF(Технологии!BB27="ИЗУЧЕНО",$E114,0)</x:f>
        <x:v>0</x:v>
      </x:c>
      <x:c r="V114" s="21" t="n">
        <x:f>IF(Технологии!BC27="ИЗУЧЕНО",$E114,0)</x:f>
        <x:v>0</x:v>
      </x:c>
      <x:c r="W114" s="21" t="n">
        <x:f>IF(Технологии!BD27="ИЗУЧЕНО",$E114,0)</x:f>
        <x:v>0</x:v>
      </x:c>
      <x:c r="X114" s="21" t="n">
        <x:f>IF(Технологии!BE27="ИЗУЧЕНО",$E114,0)</x:f>
        <x:v>0</x:v>
      </x:c>
      <x:c r="Y114" s="21" t="n">
        <x:f>IF(Технологии!BF27="ИЗУЧЕНО",$E114,0)</x:f>
        <x:v>0</x:v>
      </x:c>
    </x:row>
    <x:row r="115">
      <x:c r="A115" s="19" t="s">
        <x:v>142</x:v>
      </x:c>
      <x:c r="B115" s="18" t="s">
        <x:v>143</x:v>
      </x:c>
      <x:c r="C115" s="18" t="s">
        <x:v>288</x:v>
      </x:c>
      <x:c r="D115" s="18" t="s">
        <x:v>414</x:v>
      </x:c>
      <x:c r="E115" s="20">
        <x:v>0.1</x:v>
      </x:c>
      <x:c r="F115" s="18" t="str">
        <x:f>IF(Технологии!BH28="","",Технологии!BH28)</x:f>
      </x:c>
      <x:c r="G115" s="18" t="s">
        <x:v>460</x:v>
      </x:c>
      <x:c r="J115" s="21" t="n">
        <x:f>0</x:f>
        <x:v>0</x:v>
      </x:c>
      <x:c r="K115" s="21" t="n">
        <x:f>IF(Технологии!AR28="ИЗУЧЕНО",$E115,0)</x:f>
        <x:v>0</x:v>
      </x:c>
      <x:c r="L115" s="21" t="n">
        <x:f>IF(Технологии!AS28="ИЗУЧЕНО",$E115,0)</x:f>
        <x:v>0</x:v>
      </x:c>
      <x:c r="M115" s="21" t="n">
        <x:f>IF(Технологии!AT28="ИЗУЧЕНО",$E115,0)</x:f>
        <x:v>0</x:v>
      </x:c>
      <x:c r="N115" s="21" t="n">
        <x:f>IF(Технологии!AU28="ИЗУЧЕНО",$E115,0)</x:f>
        <x:v>0</x:v>
      </x:c>
      <x:c r="O115" s="21" t="n">
        <x:f>IF(Технологии!AV28="ИЗУЧЕНО",$E115,0)</x:f>
        <x:v>0</x:v>
      </x:c>
      <x:c r="P115" s="21" t="n">
        <x:f>IF(Технологии!AW28="ИЗУЧЕНО",$E115,0)</x:f>
        <x:v>0</x:v>
      </x:c>
      <x:c r="Q115" s="21" t="n">
        <x:f>IF(Технологии!AX28="ИЗУЧЕНО",$E115,0)</x:f>
        <x:v>0</x:v>
      </x:c>
      <x:c r="R115" s="21" t="n">
        <x:f>IF(Технологии!AY28="ИЗУЧЕНО",$E115,0)</x:f>
        <x:v>0</x:v>
      </x:c>
      <x:c r="S115" s="21" t="n">
        <x:f>IF(Технологии!AZ28="ИЗУЧЕНО",$E115,0)</x:f>
        <x:v>0</x:v>
      </x:c>
      <x:c r="T115" s="21" t="n">
        <x:f>IF(Технологии!BA28="ИЗУЧЕНО",$E115,0)</x:f>
        <x:v>0</x:v>
      </x:c>
      <x:c r="U115" s="21" t="n">
        <x:f>IF(Технологии!BB28="ИЗУЧЕНО",$E115,0)</x:f>
        <x:v>0</x:v>
      </x:c>
      <x:c r="V115" s="21" t="n">
        <x:f>IF(Технологии!BC28="ИЗУЧЕНО",$E115,0)</x:f>
        <x:v>0</x:v>
      </x:c>
      <x:c r="W115" s="21" t="n">
        <x:f>IF(Технологии!BD28="ИЗУЧЕНО",$E115,0)</x:f>
        <x:v>0</x:v>
      </x:c>
      <x:c r="X115" s="21" t="n">
        <x:f>IF(Технологии!BE28="ИЗУЧЕНО",$E115,0)</x:f>
        <x:v>0</x:v>
      </x:c>
      <x:c r="Y115" s="21" t="n">
        <x:f>IF(Технологии!BF28="ИЗУЧЕНО",$E115,0)</x:f>
        <x:v>0</x:v>
      </x:c>
    </x:row>
    <x:row r="116">
      <x:c r="A116" s="19" t="s">
        <x:v>142</x:v>
      </x:c>
      <x:c r="B116" s="18" t="s">
        <x:v>143</x:v>
      </x:c>
      <x:c r="C116" s="18" t="s">
        <x:v>289</x:v>
      </x:c>
      <x:c r="D116" s="18" t="s">
        <x:v>414</x:v>
      </x:c>
      <x:c r="E116" s="20">
        <x:v>0.15</x:v>
      </x:c>
      <x:c r="F116" s="18" t="str">
        <x:f>IF(Технологии!BH28="","",Технологии!BH28)</x:f>
      </x:c>
      <x:c r="G116" s="18" t="s">
        <x:v>461</x:v>
      </x:c>
      <x:c r="J116" s="21" t="n">
        <x:f>0</x:f>
        <x:v>0</x:v>
      </x:c>
      <x:c r="K116" s="21" t="n">
        <x:f>IF(Технологии!AR28="ИЗУЧЕНО",$E116,0)</x:f>
        <x:v>0</x:v>
      </x:c>
      <x:c r="L116" s="21" t="n">
        <x:f>IF(Технологии!AS28="ИЗУЧЕНО",$E116,0)</x:f>
        <x:v>0</x:v>
      </x:c>
      <x:c r="M116" s="21" t="n">
        <x:f>IF(Технологии!AT28="ИЗУЧЕНО",$E116,0)</x:f>
        <x:v>0</x:v>
      </x:c>
      <x:c r="N116" s="21" t="n">
        <x:f>IF(Технологии!AU28="ИЗУЧЕНО",$E116,0)</x:f>
        <x:v>0</x:v>
      </x:c>
      <x:c r="O116" s="21" t="n">
        <x:f>IF(Технологии!AV28="ИЗУЧЕНО",$E116,0)</x:f>
        <x:v>0</x:v>
      </x:c>
      <x:c r="P116" s="21" t="n">
        <x:f>IF(Технологии!AW28="ИЗУЧЕНО",$E116,0)</x:f>
        <x:v>0</x:v>
      </x:c>
      <x:c r="Q116" s="21" t="n">
        <x:f>IF(Технологии!AX28="ИЗУЧЕНО",$E116,0)</x:f>
        <x:v>0</x:v>
      </x:c>
      <x:c r="R116" s="21" t="n">
        <x:f>IF(Технологии!AY28="ИЗУЧЕНО",$E116,0)</x:f>
        <x:v>0</x:v>
      </x:c>
      <x:c r="S116" s="21" t="n">
        <x:f>IF(Технологии!AZ28="ИЗУЧЕНО",$E116,0)</x:f>
        <x:v>0</x:v>
      </x:c>
      <x:c r="T116" s="21" t="n">
        <x:f>IF(Технологии!BA28="ИЗУЧЕНО",$E116,0)</x:f>
        <x:v>0</x:v>
      </x:c>
      <x:c r="U116" s="21" t="n">
        <x:f>IF(Технологии!BB28="ИЗУЧЕНО",$E116,0)</x:f>
        <x:v>0</x:v>
      </x:c>
      <x:c r="V116" s="21" t="n">
        <x:f>IF(Технологии!BC28="ИЗУЧЕНО",$E116,0)</x:f>
        <x:v>0</x:v>
      </x:c>
      <x:c r="W116" s="21" t="n">
        <x:f>IF(Технологии!BD28="ИЗУЧЕНО",$E116,0)</x:f>
        <x:v>0</x:v>
      </x:c>
      <x:c r="X116" s="21" t="n">
        <x:f>IF(Технологии!BE28="ИЗУЧЕНО",$E116,0)</x:f>
        <x:v>0</x:v>
      </x:c>
      <x:c r="Y116" s="21" t="n">
        <x:f>IF(Технологии!BF28="ИЗУЧЕНО",$E116,0)</x:f>
        <x:v>0</x:v>
      </x:c>
    </x:row>
    <x:row r="117">
      <x:c r="A117" s="19" t="s">
        <x:v>142</x:v>
      </x:c>
      <x:c r="B117" s="18" t="s">
        <x:v>143</x:v>
      </x:c>
      <x:c r="C117" s="18" t="s">
        <x:v>292</x:v>
      </x:c>
      <x:c r="D117" s="18" t="s">
        <x:v>414</x:v>
      </x:c>
      <x:c r="E117" s="20">
        <x:v>0.1</x:v>
      </x:c>
      <x:c r="F117" s="18" t="str">
        <x:f>IF(Технологии!BH28="","",Технологии!BH28)</x:f>
      </x:c>
      <x:c r="G117" s="18" t="s">
        <x:v>462</x:v>
      </x:c>
      <x:c r="J117" s="21" t="n">
        <x:f>0</x:f>
        <x:v>0</x:v>
      </x:c>
      <x:c r="K117" s="21" t="n">
        <x:f>IF(Технологии!AR28="ИЗУЧЕНО",$E117,0)</x:f>
        <x:v>0</x:v>
      </x:c>
      <x:c r="L117" s="21" t="n">
        <x:f>IF(Технологии!AS28="ИЗУЧЕНО",$E117,0)</x:f>
        <x:v>0</x:v>
      </x:c>
      <x:c r="M117" s="21" t="n">
        <x:f>IF(Технологии!AT28="ИЗУЧЕНО",$E117,0)</x:f>
        <x:v>0</x:v>
      </x:c>
      <x:c r="N117" s="21" t="n">
        <x:f>IF(Технологии!AU28="ИЗУЧЕНО",$E117,0)</x:f>
        <x:v>0</x:v>
      </x:c>
      <x:c r="O117" s="21" t="n">
        <x:f>IF(Технологии!AV28="ИЗУЧЕНО",$E117,0)</x:f>
        <x:v>0</x:v>
      </x:c>
      <x:c r="P117" s="21" t="n">
        <x:f>IF(Технологии!AW28="ИЗУЧЕНО",$E117,0)</x:f>
        <x:v>0</x:v>
      </x:c>
      <x:c r="Q117" s="21" t="n">
        <x:f>IF(Технологии!AX28="ИЗУЧЕНО",$E117,0)</x:f>
        <x:v>0</x:v>
      </x:c>
      <x:c r="R117" s="21" t="n">
        <x:f>IF(Технологии!AY28="ИЗУЧЕНО",$E117,0)</x:f>
        <x:v>0</x:v>
      </x:c>
      <x:c r="S117" s="21" t="n">
        <x:f>IF(Технологии!AZ28="ИЗУЧЕНО",$E117,0)</x:f>
        <x:v>0</x:v>
      </x:c>
      <x:c r="T117" s="21" t="n">
        <x:f>IF(Технологии!BA28="ИЗУЧЕНО",$E117,0)</x:f>
        <x:v>0</x:v>
      </x:c>
      <x:c r="U117" s="21" t="n">
        <x:f>IF(Технологии!BB28="ИЗУЧЕНО",$E117,0)</x:f>
        <x:v>0</x:v>
      </x:c>
      <x:c r="V117" s="21" t="n">
        <x:f>IF(Технологии!BC28="ИЗУЧЕНО",$E117,0)</x:f>
        <x:v>0</x:v>
      </x:c>
      <x:c r="W117" s="21" t="n">
        <x:f>IF(Технологии!BD28="ИЗУЧЕНО",$E117,0)</x:f>
        <x:v>0</x:v>
      </x:c>
      <x:c r="X117" s="21" t="n">
        <x:f>IF(Технологии!BE28="ИЗУЧЕНО",$E117,0)</x:f>
        <x:v>0</x:v>
      </x:c>
      <x:c r="Y117" s="21" t="n">
        <x:f>IF(Технологии!BF28="ИЗУЧЕНО",$E117,0)</x:f>
        <x:v>0</x:v>
      </x:c>
    </x:row>
    <x:row r="118">
      <x:c r="A118" s="19" t="s">
        <x:v>142</x:v>
      </x:c>
      <x:c r="B118" s="18" t="s">
        <x:v>143</x:v>
      </x:c>
      <x:c r="C118" s="18" t="s">
        <x:v>293</x:v>
      </x:c>
      <x:c r="D118" s="18" t="s">
        <x:v>387</x:v>
      </x:c>
      <x:c r="E118" s="20">
        <x:v>0.2</x:v>
      </x:c>
      <x:c r="F118" s="18" t="str">
        <x:f>IF(Технологии!BH28="","",Технологии!BH28)</x:f>
      </x:c>
      <x:c r="G118" s="18" t="s">
        <x:v>449</x:v>
      </x:c>
      <x:c r="J118" s="21" t="n">
        <x:f>0</x:f>
        <x:v>0</x:v>
      </x:c>
      <x:c r="K118" s="21" t="n">
        <x:f>IF(Технологии!AR28="ИЗУЧЕНО",$E118,0)</x:f>
        <x:v>0</x:v>
      </x:c>
      <x:c r="L118" s="21" t="n">
        <x:f>IF(Технологии!AS28="ИЗУЧЕНО",$E118,0)</x:f>
        <x:v>0</x:v>
      </x:c>
      <x:c r="M118" s="21" t="n">
        <x:f>IF(Технологии!AT28="ИЗУЧЕНО",$E118,0)</x:f>
        <x:v>0</x:v>
      </x:c>
      <x:c r="N118" s="21" t="n">
        <x:f>IF(Технологии!AU28="ИЗУЧЕНО",$E118,0)</x:f>
        <x:v>0</x:v>
      </x:c>
      <x:c r="O118" s="21" t="n">
        <x:f>IF(Технологии!AV28="ИЗУЧЕНО",$E118,0)</x:f>
        <x:v>0</x:v>
      </x:c>
      <x:c r="P118" s="21" t="n">
        <x:f>IF(Технологии!AW28="ИЗУЧЕНО",$E118,0)</x:f>
        <x:v>0</x:v>
      </x:c>
      <x:c r="Q118" s="21" t="n">
        <x:f>IF(Технологии!AX28="ИЗУЧЕНО",$E118,0)</x:f>
        <x:v>0</x:v>
      </x:c>
      <x:c r="R118" s="21" t="n">
        <x:f>IF(Технологии!AY28="ИЗУЧЕНО",$E118,0)</x:f>
        <x:v>0</x:v>
      </x:c>
      <x:c r="S118" s="21" t="n">
        <x:f>IF(Технологии!AZ28="ИЗУЧЕНО",$E118,0)</x:f>
        <x:v>0</x:v>
      </x:c>
      <x:c r="T118" s="21" t="n">
        <x:f>IF(Технологии!BA28="ИЗУЧЕНО",$E118,0)</x:f>
        <x:v>0</x:v>
      </x:c>
      <x:c r="U118" s="21" t="n">
        <x:f>IF(Технологии!BB28="ИЗУЧЕНО",$E118,0)</x:f>
        <x:v>0</x:v>
      </x:c>
      <x:c r="V118" s="21" t="n">
        <x:f>IF(Технологии!BC28="ИЗУЧЕНО",$E118,0)</x:f>
        <x:v>0</x:v>
      </x:c>
      <x:c r="W118" s="21" t="n">
        <x:f>IF(Технологии!BD28="ИЗУЧЕНО",$E118,0)</x:f>
        <x:v>0</x:v>
      </x:c>
      <x:c r="X118" s="21" t="n">
        <x:f>IF(Технологии!BE28="ИЗУЧЕНО",$E118,0)</x:f>
        <x:v>0</x:v>
      </x:c>
      <x:c r="Y118" s="21" t="n">
        <x:f>IF(Технологии!BF28="ИЗУЧЕНО",$E118,0)</x:f>
        <x:v>0</x:v>
      </x:c>
    </x:row>
    <x:row r="119">
      <x:c r="A119" s="19" t="s">
        <x:v>142</x:v>
      </x:c>
      <x:c r="B119" s="18" t="s">
        <x:v>143</x:v>
      </x:c>
      <x:c r="C119" s="18" t="s">
        <x:v>290</x:v>
      </x:c>
      <x:c r="D119" s="18" t="s">
        <x:v>387</x:v>
      </x:c>
      <x:c r="E119" s="20">
        <x:v>0.3</x:v>
      </x:c>
      <x:c r="F119" s="18" t="str">
        <x:f>IF(Технологии!BH28="","",Технологии!BH28)</x:f>
      </x:c>
      <x:c r="G119" s="18" t="s">
        <x:v>447</x:v>
      </x:c>
      <x:c r="J119" s="21" t="n">
        <x:f>0</x:f>
        <x:v>0</x:v>
      </x:c>
      <x:c r="K119" s="21" t="n">
        <x:f>IF(Технологии!AR28="ИЗУЧЕНО",$E119,0)</x:f>
        <x:v>0</x:v>
      </x:c>
      <x:c r="L119" s="21" t="n">
        <x:f>IF(Технологии!AS28="ИЗУЧЕНО",$E119,0)</x:f>
        <x:v>0</x:v>
      </x:c>
      <x:c r="M119" s="21" t="n">
        <x:f>IF(Технологии!AT28="ИЗУЧЕНО",$E119,0)</x:f>
        <x:v>0</x:v>
      </x:c>
      <x:c r="N119" s="21" t="n">
        <x:f>IF(Технологии!AU28="ИЗУЧЕНО",$E119,0)</x:f>
        <x:v>0</x:v>
      </x:c>
      <x:c r="O119" s="21" t="n">
        <x:f>IF(Технологии!AV28="ИЗУЧЕНО",$E119,0)</x:f>
        <x:v>0</x:v>
      </x:c>
      <x:c r="P119" s="21" t="n">
        <x:f>IF(Технологии!AW28="ИЗУЧЕНО",$E119,0)</x:f>
        <x:v>0</x:v>
      </x:c>
      <x:c r="Q119" s="21" t="n">
        <x:f>IF(Технологии!AX28="ИЗУЧЕНО",$E119,0)</x:f>
        <x:v>0</x:v>
      </x:c>
      <x:c r="R119" s="21" t="n">
        <x:f>IF(Технологии!AY28="ИЗУЧЕНО",$E119,0)</x:f>
        <x:v>0</x:v>
      </x:c>
      <x:c r="S119" s="21" t="n">
        <x:f>IF(Технологии!AZ28="ИЗУЧЕНО",$E119,0)</x:f>
        <x:v>0</x:v>
      </x:c>
      <x:c r="T119" s="21" t="n">
        <x:f>IF(Технологии!BA28="ИЗУЧЕНО",$E119,0)</x:f>
        <x:v>0</x:v>
      </x:c>
      <x:c r="U119" s="21" t="n">
        <x:f>IF(Технологии!BB28="ИЗУЧЕНО",$E119,0)</x:f>
        <x:v>0</x:v>
      </x:c>
      <x:c r="V119" s="21" t="n">
        <x:f>IF(Технологии!BC28="ИЗУЧЕНО",$E119,0)</x:f>
        <x:v>0</x:v>
      </x:c>
      <x:c r="W119" s="21" t="n">
        <x:f>IF(Технологии!BD28="ИЗУЧЕНО",$E119,0)</x:f>
        <x:v>0</x:v>
      </x:c>
      <x:c r="X119" s="21" t="n">
        <x:f>IF(Технологии!BE28="ИЗУЧЕНО",$E119,0)</x:f>
        <x:v>0</x:v>
      </x:c>
      <x:c r="Y119" s="21" t="n">
        <x:f>IF(Технологии!BF28="ИЗУЧЕНО",$E119,0)</x:f>
        <x:v>0</x:v>
      </x:c>
    </x:row>
    <x:row r="120">
      <x:c r="A120" s="19" t="s">
        <x:v>142</x:v>
      </x:c>
      <x:c r="B120" s="18" t="s">
        <x:v>143</x:v>
      </x:c>
      <x:c r="C120" s="18" t="s">
        <x:v>281</x:v>
      </x:c>
      <x:c r="D120" s="18" t="s">
        <x:v>414</x:v>
      </x:c>
      <x:c r="E120" s="20">
        <x:v>0.05</x:v>
      </x:c>
      <x:c r="F120" s="18" t="str">
        <x:f>IF(Технологии!BH28="","",Технологии!BH28)</x:f>
      </x:c>
      <x:c r="G120" s="18" t="s">
        <x:v>463</x:v>
      </x:c>
      <x:c r="J120" s="21" t="n">
        <x:f>0</x:f>
        <x:v>0</x:v>
      </x:c>
      <x:c r="K120" s="21" t="n">
        <x:f>IF(Технологии!AR28="ИЗУЧЕНО",$E120,0)</x:f>
        <x:v>0</x:v>
      </x:c>
      <x:c r="L120" s="21" t="n">
        <x:f>IF(Технологии!AS28="ИЗУЧЕНО",$E120,0)</x:f>
        <x:v>0</x:v>
      </x:c>
      <x:c r="M120" s="21" t="n">
        <x:f>IF(Технологии!AT28="ИЗУЧЕНО",$E120,0)</x:f>
        <x:v>0</x:v>
      </x:c>
      <x:c r="N120" s="21" t="n">
        <x:f>IF(Технологии!AU28="ИЗУЧЕНО",$E120,0)</x:f>
        <x:v>0</x:v>
      </x:c>
      <x:c r="O120" s="21" t="n">
        <x:f>IF(Технологии!AV28="ИЗУЧЕНО",$E120,0)</x:f>
        <x:v>0</x:v>
      </x:c>
      <x:c r="P120" s="21" t="n">
        <x:f>IF(Технологии!AW28="ИЗУЧЕНО",$E120,0)</x:f>
        <x:v>0</x:v>
      </x:c>
      <x:c r="Q120" s="21" t="n">
        <x:f>IF(Технологии!AX28="ИЗУЧЕНО",$E120,0)</x:f>
        <x:v>0</x:v>
      </x:c>
      <x:c r="R120" s="21" t="n">
        <x:f>IF(Технологии!AY28="ИЗУЧЕНО",$E120,0)</x:f>
        <x:v>0</x:v>
      </x:c>
      <x:c r="S120" s="21" t="n">
        <x:f>IF(Технологии!AZ28="ИЗУЧЕНО",$E120,0)</x:f>
        <x:v>0</x:v>
      </x:c>
      <x:c r="T120" s="21" t="n">
        <x:f>IF(Технологии!BA28="ИЗУЧЕНО",$E120,0)</x:f>
        <x:v>0</x:v>
      </x:c>
      <x:c r="U120" s="21" t="n">
        <x:f>IF(Технологии!BB28="ИЗУЧЕНО",$E120,0)</x:f>
        <x:v>0</x:v>
      </x:c>
      <x:c r="V120" s="21" t="n">
        <x:f>IF(Технологии!BC28="ИЗУЧЕНО",$E120,0)</x:f>
        <x:v>0</x:v>
      </x:c>
      <x:c r="W120" s="21" t="n">
        <x:f>IF(Технологии!BD28="ИЗУЧЕНО",$E120,0)</x:f>
        <x:v>0</x:v>
      </x:c>
      <x:c r="X120" s="21" t="n">
        <x:f>IF(Технологии!BE28="ИЗУЧЕНО",$E120,0)</x:f>
        <x:v>0</x:v>
      </x:c>
      <x:c r="Y120" s="21" t="n">
        <x:f>IF(Технологии!BF28="ИЗУЧЕНО",$E120,0)</x:f>
        <x:v>0</x:v>
      </x:c>
    </x:row>
    <x:row r="121">
      <x:c r="A121" s="19" t="s">
        <x:v>142</x:v>
      </x:c>
      <x:c r="B121" s="18" t="s">
        <x:v>143</x:v>
      </x:c>
      <x:c r="C121" s="18" t="s">
        <x:v>303</x:v>
      </x:c>
      <x:c r="D121" s="18" t="s">
        <x:v>387</x:v>
      </x:c>
      <x:c r="E121" s="20">
        <x:v>-0.2</x:v>
      </x:c>
      <x:c r="F121" s="18" t="str">
        <x:f>IF(Технологии!BH28="","",Технологии!BH28)</x:f>
      </x:c>
      <x:c r="G121" s="18" t="s">
        <x:v>442</x:v>
      </x:c>
      <x:c r="J121" s="21" t="n">
        <x:f>0</x:f>
        <x:v>0</x:v>
      </x:c>
      <x:c r="K121" s="21" t="n">
        <x:f>IF(Технологии!AR28="ИЗУЧЕНО",$E121,0)</x:f>
        <x:v>0</x:v>
      </x:c>
      <x:c r="L121" s="21" t="n">
        <x:f>IF(Технологии!AS28="ИЗУЧЕНО",$E121,0)</x:f>
        <x:v>0</x:v>
      </x:c>
      <x:c r="M121" s="21" t="n">
        <x:f>IF(Технологии!AT28="ИЗУЧЕНО",$E121,0)</x:f>
        <x:v>0</x:v>
      </x:c>
      <x:c r="N121" s="21" t="n">
        <x:f>IF(Технологии!AU28="ИЗУЧЕНО",$E121,0)</x:f>
        <x:v>0</x:v>
      </x:c>
      <x:c r="O121" s="21" t="n">
        <x:f>IF(Технологии!AV28="ИЗУЧЕНО",$E121,0)</x:f>
        <x:v>0</x:v>
      </x:c>
      <x:c r="P121" s="21" t="n">
        <x:f>IF(Технологии!AW28="ИЗУЧЕНО",$E121,0)</x:f>
        <x:v>0</x:v>
      </x:c>
      <x:c r="Q121" s="21" t="n">
        <x:f>IF(Технологии!AX28="ИЗУЧЕНО",$E121,0)</x:f>
        <x:v>0</x:v>
      </x:c>
      <x:c r="R121" s="21" t="n">
        <x:f>IF(Технологии!AY28="ИЗУЧЕНО",$E121,0)</x:f>
        <x:v>0</x:v>
      </x:c>
      <x:c r="S121" s="21" t="n">
        <x:f>IF(Технологии!AZ28="ИЗУЧЕНО",$E121,0)</x:f>
        <x:v>0</x:v>
      </x:c>
      <x:c r="T121" s="21" t="n">
        <x:f>IF(Технологии!BA28="ИЗУЧЕНО",$E121,0)</x:f>
        <x:v>0</x:v>
      </x:c>
      <x:c r="U121" s="21" t="n">
        <x:f>IF(Технологии!BB28="ИЗУЧЕНО",$E121,0)</x:f>
        <x:v>0</x:v>
      </x:c>
      <x:c r="V121" s="21" t="n">
        <x:f>IF(Технологии!BC28="ИЗУЧЕНО",$E121,0)</x:f>
        <x:v>0</x:v>
      </x:c>
      <x:c r="W121" s="21" t="n">
        <x:f>IF(Технологии!BD28="ИЗУЧЕНО",$E121,0)</x:f>
        <x:v>0</x:v>
      </x:c>
      <x:c r="X121" s="21" t="n">
        <x:f>IF(Технологии!BE28="ИЗУЧЕНО",$E121,0)</x:f>
        <x:v>0</x:v>
      </x:c>
      <x:c r="Y121" s="21" t="n">
        <x:f>IF(Технологии!BF28="ИЗУЧЕНО",$E121,0)</x:f>
        <x:v>0</x:v>
      </x:c>
    </x:row>
    <x:row r="122">
      <x:c r="A122" s="19" t="s">
        <x:v>142</x:v>
      </x:c>
      <x:c r="B122" s="18" t="s">
        <x:v>143</x:v>
      </x:c>
      <x:c r="C122" s="18" t="s">
        <x:v>260</x:v>
      </x:c>
      <x:c r="D122" s="18" t="s">
        <x:v>387</x:v>
      </x:c>
      <x:c r="E122" s="20">
        <x:v>-0.25</x:v>
      </x:c>
      <x:c r="F122" s="18" t="str">
        <x:f>IF(Технологии!BH28="","",Технологии!BH28)</x:f>
      </x:c>
      <x:c r="G122" s="18" t="s">
        <x:v>400</x:v>
      </x:c>
      <x:c r="J122" s="21" t="n">
        <x:f>0</x:f>
        <x:v>0</x:v>
      </x:c>
      <x:c r="K122" s="21" t="n">
        <x:f>IF(Технологии!AR28="ИЗУЧЕНО",$E122,0)</x:f>
        <x:v>0</x:v>
      </x:c>
      <x:c r="L122" s="21" t="n">
        <x:f>IF(Технологии!AS28="ИЗУЧЕНО",$E122,0)</x:f>
        <x:v>0</x:v>
      </x:c>
      <x:c r="M122" s="21" t="n">
        <x:f>IF(Технологии!AT28="ИЗУЧЕНО",$E122,0)</x:f>
        <x:v>0</x:v>
      </x:c>
      <x:c r="N122" s="21" t="n">
        <x:f>IF(Технологии!AU28="ИЗУЧЕНО",$E122,0)</x:f>
        <x:v>0</x:v>
      </x:c>
      <x:c r="O122" s="21" t="n">
        <x:f>IF(Технологии!AV28="ИЗУЧЕНО",$E122,0)</x:f>
        <x:v>0</x:v>
      </x:c>
      <x:c r="P122" s="21" t="n">
        <x:f>IF(Технологии!AW28="ИЗУЧЕНО",$E122,0)</x:f>
        <x:v>0</x:v>
      </x:c>
      <x:c r="Q122" s="21" t="n">
        <x:f>IF(Технологии!AX28="ИЗУЧЕНО",$E122,0)</x:f>
        <x:v>0</x:v>
      </x:c>
      <x:c r="R122" s="21" t="n">
        <x:f>IF(Технологии!AY28="ИЗУЧЕНО",$E122,0)</x:f>
        <x:v>0</x:v>
      </x:c>
      <x:c r="S122" s="21" t="n">
        <x:f>IF(Технологии!AZ28="ИЗУЧЕНО",$E122,0)</x:f>
        <x:v>0</x:v>
      </x:c>
      <x:c r="T122" s="21" t="n">
        <x:f>IF(Технологии!BA28="ИЗУЧЕНО",$E122,0)</x:f>
        <x:v>0</x:v>
      </x:c>
      <x:c r="U122" s="21" t="n">
        <x:f>IF(Технологии!BB28="ИЗУЧЕНО",$E122,0)</x:f>
        <x:v>0</x:v>
      </x:c>
      <x:c r="V122" s="21" t="n">
        <x:f>IF(Технологии!BC28="ИЗУЧЕНО",$E122,0)</x:f>
        <x:v>0</x:v>
      </x:c>
      <x:c r="W122" s="21" t="n">
        <x:f>IF(Технологии!BD28="ИЗУЧЕНО",$E122,0)</x:f>
        <x:v>0</x:v>
      </x:c>
      <x:c r="X122" s="21" t="n">
        <x:f>IF(Технологии!BE28="ИЗУЧЕНО",$E122,0)</x:f>
        <x:v>0</x:v>
      </x:c>
      <x:c r="Y122" s="21" t="n">
        <x:f>IF(Технологии!BF28="ИЗУЧЕНО",$E122,0)</x:f>
        <x:v>0</x:v>
      </x:c>
    </x:row>
    <x:row r="123">
      <x:c r="A123" s="19" t="s">
        <x:v>142</x:v>
      </x:c>
      <x:c r="B123" s="18" t="s">
        <x:v>143</x:v>
      </x:c>
      <x:c r="C123" s="18" t="s">
        <x:v>266</x:v>
      </x:c>
      <x:c r="D123" s="18" t="s">
        <x:v>387</x:v>
      </x:c>
      <x:c r="E123" s="20">
        <x:v>-0.15</x:v>
      </x:c>
      <x:c r="F123" s="18" t="str">
        <x:f>IF(Технологии!BH28="","",Технологии!BH28)</x:f>
      </x:c>
      <x:c r="G123" s="18" t="s">
        <x:v>464</x:v>
      </x:c>
      <x:c r="J123" s="21" t="n">
        <x:f>0</x:f>
        <x:v>0</x:v>
      </x:c>
      <x:c r="K123" s="21" t="n">
        <x:f>IF(Технологии!AR28="ИЗУЧЕНО",$E123,0)</x:f>
        <x:v>0</x:v>
      </x:c>
      <x:c r="L123" s="21" t="n">
        <x:f>IF(Технологии!AS28="ИЗУЧЕНО",$E123,0)</x:f>
        <x:v>0</x:v>
      </x:c>
      <x:c r="M123" s="21" t="n">
        <x:f>IF(Технологии!AT28="ИЗУЧЕНО",$E123,0)</x:f>
        <x:v>0</x:v>
      </x:c>
      <x:c r="N123" s="21" t="n">
        <x:f>IF(Технологии!AU28="ИЗУЧЕНО",$E123,0)</x:f>
        <x:v>0</x:v>
      </x:c>
      <x:c r="O123" s="21" t="n">
        <x:f>IF(Технологии!AV28="ИЗУЧЕНО",$E123,0)</x:f>
        <x:v>0</x:v>
      </x:c>
      <x:c r="P123" s="21" t="n">
        <x:f>IF(Технологии!AW28="ИЗУЧЕНО",$E123,0)</x:f>
        <x:v>0</x:v>
      </x:c>
      <x:c r="Q123" s="21" t="n">
        <x:f>IF(Технологии!AX28="ИЗУЧЕНО",$E123,0)</x:f>
        <x:v>0</x:v>
      </x:c>
      <x:c r="R123" s="21" t="n">
        <x:f>IF(Технологии!AY28="ИЗУЧЕНО",$E123,0)</x:f>
        <x:v>0</x:v>
      </x:c>
      <x:c r="S123" s="21" t="n">
        <x:f>IF(Технологии!AZ28="ИЗУЧЕНО",$E123,0)</x:f>
        <x:v>0</x:v>
      </x:c>
      <x:c r="T123" s="21" t="n">
        <x:f>IF(Технологии!BA28="ИЗУЧЕНО",$E123,0)</x:f>
        <x:v>0</x:v>
      </x:c>
      <x:c r="U123" s="21" t="n">
        <x:f>IF(Технологии!BB28="ИЗУЧЕНО",$E123,0)</x:f>
        <x:v>0</x:v>
      </x:c>
      <x:c r="V123" s="21" t="n">
        <x:f>IF(Технологии!BC28="ИЗУЧЕНО",$E123,0)</x:f>
        <x:v>0</x:v>
      </x:c>
      <x:c r="W123" s="21" t="n">
        <x:f>IF(Технологии!BD28="ИЗУЧЕНО",$E123,0)</x:f>
        <x:v>0</x:v>
      </x:c>
      <x:c r="X123" s="21" t="n">
        <x:f>IF(Технологии!BE28="ИЗУЧЕНО",$E123,0)</x:f>
        <x:v>0</x:v>
      </x:c>
      <x:c r="Y123" s="21" t="n">
        <x:f>IF(Технологии!BF28="ИЗУЧЕНО",$E123,0)</x:f>
        <x:v>0</x:v>
      </x:c>
    </x:row>
    <x:row r="124">
      <x:c r="A124" s="19" t="s">
        <x:v>142</x:v>
      </x:c>
      <x:c r="B124" s="18" t="s">
        <x:v>143</x:v>
      </x:c>
      <x:c r="C124" s="18" t="s">
        <x:v>311</x:v>
      </x:c>
      <x:c r="D124" s="18" t="s">
        <x:v>387</x:v>
      </x:c>
      <x:c r="E124" s="20">
        <x:v>-0.15</x:v>
      </x:c>
      <x:c r="F124" s="18" t="str">
        <x:f>IF(Технологии!BH28="","",Технологии!BH28)</x:f>
      </x:c>
      <x:c r="G124" s="18" t="s">
        <x:v>436</x:v>
      </x:c>
      <x:c r="J124" s="21" t="n">
        <x:f>0</x:f>
        <x:v>0</x:v>
      </x:c>
      <x:c r="K124" s="21" t="n">
        <x:f>IF(Технологии!AR28="ИЗУЧЕНО",$E124,0)</x:f>
        <x:v>0</x:v>
      </x:c>
      <x:c r="L124" s="21" t="n">
        <x:f>IF(Технологии!AS28="ИЗУЧЕНО",$E124,0)</x:f>
        <x:v>0</x:v>
      </x:c>
      <x:c r="M124" s="21" t="n">
        <x:f>IF(Технологии!AT28="ИЗУЧЕНО",$E124,0)</x:f>
        <x:v>0</x:v>
      </x:c>
      <x:c r="N124" s="21" t="n">
        <x:f>IF(Технологии!AU28="ИЗУЧЕНО",$E124,0)</x:f>
        <x:v>0</x:v>
      </x:c>
      <x:c r="O124" s="21" t="n">
        <x:f>IF(Технологии!AV28="ИЗУЧЕНО",$E124,0)</x:f>
        <x:v>0</x:v>
      </x:c>
      <x:c r="P124" s="21" t="n">
        <x:f>IF(Технологии!AW28="ИЗУЧЕНО",$E124,0)</x:f>
        <x:v>0</x:v>
      </x:c>
      <x:c r="Q124" s="21" t="n">
        <x:f>IF(Технологии!AX28="ИЗУЧЕНО",$E124,0)</x:f>
        <x:v>0</x:v>
      </x:c>
      <x:c r="R124" s="21" t="n">
        <x:f>IF(Технологии!AY28="ИЗУЧЕНО",$E124,0)</x:f>
        <x:v>0</x:v>
      </x:c>
      <x:c r="S124" s="21" t="n">
        <x:f>IF(Технологии!AZ28="ИЗУЧЕНО",$E124,0)</x:f>
        <x:v>0</x:v>
      </x:c>
      <x:c r="T124" s="21" t="n">
        <x:f>IF(Технологии!BA28="ИЗУЧЕНО",$E124,0)</x:f>
        <x:v>0</x:v>
      </x:c>
      <x:c r="U124" s="21" t="n">
        <x:f>IF(Технологии!BB28="ИЗУЧЕНО",$E124,0)</x:f>
        <x:v>0</x:v>
      </x:c>
      <x:c r="V124" s="21" t="n">
        <x:f>IF(Технологии!BC28="ИЗУЧЕНО",$E124,0)</x:f>
        <x:v>0</x:v>
      </x:c>
      <x:c r="W124" s="21" t="n">
        <x:f>IF(Технологии!BD28="ИЗУЧЕНО",$E124,0)</x:f>
        <x:v>0</x:v>
      </x:c>
      <x:c r="X124" s="21" t="n">
        <x:f>IF(Технологии!BE28="ИЗУЧЕНО",$E124,0)</x:f>
        <x:v>0</x:v>
      </x:c>
      <x:c r="Y124" s="21" t="n">
        <x:f>IF(Технологии!BF28="ИЗУЧЕНО",$E124,0)</x:f>
        <x:v>0</x:v>
      </x:c>
    </x:row>
    <x:row r="125">
      <x:c r="A125" s="19" t="s">
        <x:v>146</x:v>
      </x:c>
      <x:c r="B125" s="18" t="s">
        <x:v>148</x:v>
      </x:c>
      <x:c r="C125" s="18" t="s">
        <x:v>269</x:v>
      </x:c>
      <x:c r="D125" s="18" t="s">
        <x:v>414</x:v>
      </x:c>
      <x:c r="E125" s="20">
        <x:v>0.05</x:v>
      </x:c>
      <x:c r="F125" s="18" t="str">
        <x:f>IF(Технологии!BH29="","",Технологии!BH29)</x:f>
      </x:c>
      <x:c r="G125" s="18" t="s">
        <x:v>429</x:v>
      </x:c>
      <x:c r="J125" s="21" t="n">
        <x:f>0</x:f>
        <x:v>0</x:v>
      </x:c>
      <x:c r="K125" s="21" t="n">
        <x:f>IF(Технологии!AR29="ИЗУЧЕНО",$E125,0)</x:f>
        <x:v>0</x:v>
      </x:c>
      <x:c r="L125" s="21" t="n">
        <x:f>IF(Технологии!AS29="ИЗУЧЕНО",$E125,0)</x:f>
        <x:v>0</x:v>
      </x:c>
      <x:c r="M125" s="21" t="n">
        <x:f>IF(Технологии!AT29="ИЗУЧЕНО",$E125,0)</x:f>
        <x:v>0</x:v>
      </x:c>
      <x:c r="N125" s="21" t="n">
        <x:f>IF(Технологии!AU29="ИЗУЧЕНО",$E125,0)</x:f>
        <x:v>0</x:v>
      </x:c>
      <x:c r="O125" s="21" t="n">
        <x:f>IF(Технологии!AV29="ИЗУЧЕНО",$E125,0)</x:f>
        <x:v>0</x:v>
      </x:c>
      <x:c r="P125" s="21" t="n">
        <x:f>IF(Технологии!AW29="ИЗУЧЕНО",$E125,0)</x:f>
        <x:v>0</x:v>
      </x:c>
      <x:c r="Q125" s="21" t="n">
        <x:f>IF(Технологии!AX29="ИЗУЧЕНО",$E125,0)</x:f>
        <x:v>0</x:v>
      </x:c>
      <x:c r="R125" s="21" t="n">
        <x:f>IF(Технологии!AY29="ИЗУЧЕНО",$E125,0)</x:f>
        <x:v>0</x:v>
      </x:c>
      <x:c r="S125" s="21" t="n">
        <x:f>IF(Технологии!AZ29="ИЗУЧЕНО",$E125,0)</x:f>
        <x:v>0</x:v>
      </x:c>
      <x:c r="T125" s="21" t="n">
        <x:f>IF(Технологии!BA29="ИЗУЧЕНО",$E125,0)</x:f>
        <x:v>0</x:v>
      </x:c>
      <x:c r="U125" s="21" t="n">
        <x:f>IF(Технологии!BB29="ИЗУЧЕНО",$E125,0)</x:f>
        <x:v>0</x:v>
      </x:c>
      <x:c r="V125" s="21" t="n">
        <x:f>IF(Технологии!BC29="ИЗУЧЕНО",$E125,0)</x:f>
        <x:v>0</x:v>
      </x:c>
      <x:c r="W125" s="21" t="n">
        <x:f>IF(Технологии!BD29="ИЗУЧЕНО",$E125,0)</x:f>
        <x:v>0</x:v>
      </x:c>
      <x:c r="X125" s="21" t="n">
        <x:f>IF(Технологии!BE29="ИЗУЧЕНО",$E125,0)</x:f>
        <x:v>0</x:v>
      </x:c>
      <x:c r="Y125" s="21" t="n">
        <x:f>IF(Технологии!BF29="ИЗУЧЕНО",$E125,0)</x:f>
        <x:v>0</x:v>
      </x:c>
    </x:row>
    <x:row r="126">
      <x:c r="A126" s="19" t="s">
        <x:v>151</x:v>
      </x:c>
      <x:c r="B126" s="18" t="s">
        <x:v>152</x:v>
      </x:c>
      <x:c r="C126" s="18" t="s">
        <x:v>301</x:v>
      </x:c>
      <x:c r="D126" s="18" t="s">
        <x:v>387</x:v>
      </x:c>
      <x:c r="E126" s="20">
        <x:v>0.3</x:v>
      </x:c>
      <x:c r="F126" s="18" t="str">
        <x:f>IF(Технологии!BH30="","",Технологии!BH30)</x:f>
      </x:c>
      <x:c r="G126" s="18" t="s">
        <x:v>465</x:v>
      </x:c>
      <x:c r="J126" s="21" t="n">
        <x:f>0</x:f>
        <x:v>0</x:v>
      </x:c>
      <x:c r="K126" s="21" t="n">
        <x:f>IF(Технологии!AR30="ИЗУЧЕНО",$E126,0)</x:f>
        <x:v>0</x:v>
      </x:c>
      <x:c r="L126" s="21" t="n">
        <x:f>IF(Технологии!AS30="ИЗУЧЕНО",$E126,0)</x:f>
        <x:v>0</x:v>
      </x:c>
      <x:c r="M126" s="21" t="n">
        <x:f>IF(Технологии!AT30="ИЗУЧЕНО",$E126,0)</x:f>
        <x:v>0</x:v>
      </x:c>
      <x:c r="N126" s="21" t="n">
        <x:f>IF(Технологии!AU30="ИЗУЧЕНО",$E126,0)</x:f>
        <x:v>0</x:v>
      </x:c>
      <x:c r="O126" s="21" t="n">
        <x:f>IF(Технологии!AV30="ИЗУЧЕНО",$E126,0)</x:f>
        <x:v>0</x:v>
      </x:c>
      <x:c r="P126" s="21" t="n">
        <x:f>IF(Технологии!AW30="ИЗУЧЕНО",$E126,0)</x:f>
        <x:v>0</x:v>
      </x:c>
      <x:c r="Q126" s="21" t="n">
        <x:f>IF(Технологии!AX30="ИЗУЧЕНО",$E126,0)</x:f>
        <x:v>0</x:v>
      </x:c>
      <x:c r="R126" s="21" t="n">
        <x:f>IF(Технологии!AY30="ИЗУЧЕНО",$E126,0)</x:f>
        <x:v>0</x:v>
      </x:c>
      <x:c r="S126" s="21" t="n">
        <x:f>IF(Технологии!AZ30="ИЗУЧЕНО",$E126,0)</x:f>
        <x:v>0</x:v>
      </x:c>
      <x:c r="T126" s="21" t="n">
        <x:f>IF(Технологии!BA30="ИЗУЧЕНО",$E126,0)</x:f>
        <x:v>0</x:v>
      </x:c>
      <x:c r="U126" s="21" t="n">
        <x:f>IF(Технологии!BB30="ИЗУЧЕНО",$E126,0)</x:f>
        <x:v>0</x:v>
      </x:c>
      <x:c r="V126" s="21" t="n">
        <x:f>IF(Технологии!BC30="ИЗУЧЕНО",$E126,0)</x:f>
        <x:v>0</x:v>
      </x:c>
      <x:c r="W126" s="21" t="n">
        <x:f>IF(Технологии!BD30="ИЗУЧЕНО",$E126,0)</x:f>
        <x:v>0</x:v>
      </x:c>
      <x:c r="X126" s="21" t="n">
        <x:f>IF(Технологии!BE30="ИЗУЧЕНО",$E126,0)</x:f>
        <x:v>0</x:v>
      </x:c>
      <x:c r="Y126" s="21" t="n">
        <x:f>IF(Технологии!BF30="ИЗУЧЕНО",$E126,0)</x:f>
        <x:v>0</x:v>
      </x:c>
    </x:row>
    <x:row r="127">
      <x:c r="A127" s="19" t="s">
        <x:v>151</x:v>
      </x:c>
      <x:c r="B127" s="18" t="s">
        <x:v>152</x:v>
      </x:c>
      <x:c r="C127" s="18" t="s">
        <x:v>301</x:v>
      </x:c>
      <x:c r="D127" s="18" t="s">
        <x:v>414</x:v>
      </x:c>
      <x:c r="E127" s="20">
        <x:v>0.08</x:v>
      </x:c>
      <x:c r="F127" s="18" t="str">
        <x:f>IF(Технологии!BH30="","",Технологии!BH30)</x:f>
      </x:c>
      <x:c r="G127" s="18" t="s">
        <x:v>465</x:v>
      </x:c>
      <x:c r="J127" s="21" t="n">
        <x:f>0</x:f>
        <x:v>0</x:v>
      </x:c>
      <x:c r="K127" s="21" t="n">
        <x:f>IF(Технологии!AR30="ИЗУЧЕНО",$E127,0)</x:f>
        <x:v>0</x:v>
      </x:c>
      <x:c r="L127" s="21" t="n">
        <x:f>IF(Технологии!AS30="ИЗУЧЕНО",$E127,0)</x:f>
        <x:v>0</x:v>
      </x:c>
      <x:c r="M127" s="21" t="n">
        <x:f>IF(Технологии!AT30="ИЗУЧЕНО",$E127,0)</x:f>
        <x:v>0</x:v>
      </x:c>
      <x:c r="N127" s="21" t="n">
        <x:f>IF(Технологии!AU30="ИЗУЧЕНО",$E127,0)</x:f>
        <x:v>0</x:v>
      </x:c>
      <x:c r="O127" s="21" t="n">
        <x:f>IF(Технологии!AV30="ИЗУЧЕНО",$E127,0)</x:f>
        <x:v>0</x:v>
      </x:c>
      <x:c r="P127" s="21" t="n">
        <x:f>IF(Технологии!AW30="ИЗУЧЕНО",$E127,0)</x:f>
        <x:v>0</x:v>
      </x:c>
      <x:c r="Q127" s="21" t="n">
        <x:f>IF(Технологии!AX30="ИЗУЧЕНО",$E127,0)</x:f>
        <x:v>0</x:v>
      </x:c>
      <x:c r="R127" s="21" t="n">
        <x:f>IF(Технологии!AY30="ИЗУЧЕНО",$E127,0)</x:f>
        <x:v>0</x:v>
      </x:c>
      <x:c r="S127" s="21" t="n">
        <x:f>IF(Технологии!AZ30="ИЗУЧЕНО",$E127,0)</x:f>
        <x:v>0</x:v>
      </x:c>
      <x:c r="T127" s="21" t="n">
        <x:f>IF(Технологии!BA30="ИЗУЧЕНО",$E127,0)</x:f>
        <x:v>0</x:v>
      </x:c>
      <x:c r="U127" s="21" t="n">
        <x:f>IF(Технологии!BB30="ИЗУЧЕНО",$E127,0)</x:f>
        <x:v>0</x:v>
      </x:c>
      <x:c r="V127" s="21" t="n">
        <x:f>IF(Технологии!BC30="ИЗУЧЕНО",$E127,0)</x:f>
        <x:v>0</x:v>
      </x:c>
      <x:c r="W127" s="21" t="n">
        <x:f>IF(Технологии!BD30="ИЗУЧЕНО",$E127,0)</x:f>
        <x:v>0</x:v>
      </x:c>
      <x:c r="X127" s="21" t="n">
        <x:f>IF(Технологии!BE30="ИЗУЧЕНО",$E127,0)</x:f>
        <x:v>0</x:v>
      </x:c>
      <x:c r="Y127" s="21" t="n">
        <x:f>IF(Технологии!BF30="ИЗУЧЕНО",$E127,0)</x:f>
        <x:v>0</x:v>
      </x:c>
    </x:row>
    <x:row r="128">
      <x:c r="A128" s="19" t="s">
        <x:v>151</x:v>
      </x:c>
      <x:c r="B128" s="18" t="s">
        <x:v>152</x:v>
      </x:c>
      <x:c r="C128" s="18" t="s">
        <x:v>299</x:v>
      </x:c>
      <x:c r="D128" s="18" t="s">
        <x:v>387</x:v>
      </x:c>
      <x:c r="E128" s="20">
        <x:v>0.2</x:v>
      </x:c>
      <x:c r="F128" s="18" t="str">
        <x:f>IF(Технологии!BH30="","",Технологии!BH30)</x:f>
      </x:c>
      <x:c r="G128" s="18" t="s">
        <x:v>466</x:v>
      </x:c>
      <x:c r="J128" s="21" t="n">
        <x:f>0</x:f>
        <x:v>0</x:v>
      </x:c>
      <x:c r="K128" s="21" t="n">
        <x:f>IF(Технологии!AR30="ИЗУЧЕНО",$E128,0)</x:f>
        <x:v>0</x:v>
      </x:c>
      <x:c r="L128" s="21" t="n">
        <x:f>IF(Технологии!AS30="ИЗУЧЕНО",$E128,0)</x:f>
        <x:v>0</x:v>
      </x:c>
      <x:c r="M128" s="21" t="n">
        <x:f>IF(Технологии!AT30="ИЗУЧЕНО",$E128,0)</x:f>
        <x:v>0</x:v>
      </x:c>
      <x:c r="N128" s="21" t="n">
        <x:f>IF(Технологии!AU30="ИЗУЧЕНО",$E128,0)</x:f>
        <x:v>0</x:v>
      </x:c>
      <x:c r="O128" s="21" t="n">
        <x:f>IF(Технологии!AV30="ИЗУЧЕНО",$E128,0)</x:f>
        <x:v>0</x:v>
      </x:c>
      <x:c r="P128" s="21" t="n">
        <x:f>IF(Технологии!AW30="ИЗУЧЕНО",$E128,0)</x:f>
        <x:v>0</x:v>
      </x:c>
      <x:c r="Q128" s="21" t="n">
        <x:f>IF(Технологии!AX30="ИЗУЧЕНО",$E128,0)</x:f>
        <x:v>0</x:v>
      </x:c>
      <x:c r="R128" s="21" t="n">
        <x:f>IF(Технологии!AY30="ИЗУЧЕНО",$E128,0)</x:f>
        <x:v>0</x:v>
      </x:c>
      <x:c r="S128" s="21" t="n">
        <x:f>IF(Технологии!AZ30="ИЗУЧЕНО",$E128,0)</x:f>
        <x:v>0</x:v>
      </x:c>
      <x:c r="T128" s="21" t="n">
        <x:f>IF(Технологии!BA30="ИЗУЧЕНО",$E128,0)</x:f>
        <x:v>0</x:v>
      </x:c>
      <x:c r="U128" s="21" t="n">
        <x:f>IF(Технологии!BB30="ИЗУЧЕНО",$E128,0)</x:f>
        <x:v>0</x:v>
      </x:c>
      <x:c r="V128" s="21" t="n">
        <x:f>IF(Технологии!BC30="ИЗУЧЕНО",$E128,0)</x:f>
        <x:v>0</x:v>
      </x:c>
      <x:c r="W128" s="21" t="n">
        <x:f>IF(Технологии!BD30="ИЗУЧЕНО",$E128,0)</x:f>
        <x:v>0</x:v>
      </x:c>
      <x:c r="X128" s="21" t="n">
        <x:f>IF(Технологии!BE30="ИЗУЧЕНО",$E128,0)</x:f>
        <x:v>0</x:v>
      </x:c>
      <x:c r="Y128" s="21" t="n">
        <x:f>IF(Технологии!BF30="ИЗУЧЕНО",$E128,0)</x:f>
        <x:v>0</x:v>
      </x:c>
    </x:row>
    <x:row r="129">
      <x:c r="A129" s="19" t="s">
        <x:v>151</x:v>
      </x:c>
      <x:c r="B129" s="18" t="s">
        <x:v>152</x:v>
      </x:c>
      <x:c r="C129" s="18" t="s">
        <x:v>295</x:v>
      </x:c>
      <x:c r="D129" s="18" t="s">
        <x:v>387</x:v>
      </x:c>
      <x:c r="E129" s="20">
        <x:v>-0.15</x:v>
      </x:c>
      <x:c r="F129" s="18" t="str">
        <x:f>IF(Технологии!BH30="","",Технологии!BH30)</x:f>
      </x:c>
      <x:c r="G129" s="18" t="s">
        <x:v>430</x:v>
      </x:c>
      <x:c r="J129" s="21" t="n">
        <x:f>0</x:f>
        <x:v>0</x:v>
      </x:c>
      <x:c r="K129" s="21" t="n">
        <x:f>IF(Технологии!AR30="ИЗУЧЕНО",$E129,0)</x:f>
        <x:v>0</x:v>
      </x:c>
      <x:c r="L129" s="21" t="n">
        <x:f>IF(Технологии!AS30="ИЗУЧЕНО",$E129,0)</x:f>
        <x:v>0</x:v>
      </x:c>
      <x:c r="M129" s="21" t="n">
        <x:f>IF(Технологии!AT30="ИЗУЧЕНО",$E129,0)</x:f>
        <x:v>0</x:v>
      </x:c>
      <x:c r="N129" s="21" t="n">
        <x:f>IF(Технологии!AU30="ИЗУЧЕНО",$E129,0)</x:f>
        <x:v>0</x:v>
      </x:c>
      <x:c r="O129" s="21" t="n">
        <x:f>IF(Технологии!AV30="ИЗУЧЕНО",$E129,0)</x:f>
        <x:v>0</x:v>
      </x:c>
      <x:c r="P129" s="21" t="n">
        <x:f>IF(Технологии!AW30="ИЗУЧЕНО",$E129,0)</x:f>
        <x:v>0</x:v>
      </x:c>
      <x:c r="Q129" s="21" t="n">
        <x:f>IF(Технологии!AX30="ИЗУЧЕНО",$E129,0)</x:f>
        <x:v>0</x:v>
      </x:c>
      <x:c r="R129" s="21" t="n">
        <x:f>IF(Технологии!AY30="ИЗУЧЕНО",$E129,0)</x:f>
        <x:v>0</x:v>
      </x:c>
      <x:c r="S129" s="21" t="n">
        <x:f>IF(Технологии!AZ30="ИЗУЧЕНО",$E129,0)</x:f>
        <x:v>0</x:v>
      </x:c>
      <x:c r="T129" s="21" t="n">
        <x:f>IF(Технологии!BA30="ИЗУЧЕНО",$E129,0)</x:f>
        <x:v>0</x:v>
      </x:c>
      <x:c r="U129" s="21" t="n">
        <x:f>IF(Технологии!BB30="ИЗУЧЕНО",$E129,0)</x:f>
        <x:v>0</x:v>
      </x:c>
      <x:c r="V129" s="21" t="n">
        <x:f>IF(Технологии!BC30="ИЗУЧЕНО",$E129,0)</x:f>
        <x:v>0</x:v>
      </x:c>
      <x:c r="W129" s="21" t="n">
        <x:f>IF(Технологии!BD30="ИЗУЧЕНО",$E129,0)</x:f>
        <x:v>0</x:v>
      </x:c>
      <x:c r="X129" s="21" t="n">
        <x:f>IF(Технологии!BE30="ИЗУЧЕНО",$E129,0)</x:f>
        <x:v>0</x:v>
      </x:c>
      <x:c r="Y129" s="21" t="n">
        <x:f>IF(Технологии!BF30="ИЗУЧЕНО",$E129,0)</x:f>
        <x:v>0</x:v>
      </x:c>
    </x:row>
    <x:row r="130">
      <x:c r="A130" s="19" t="s">
        <x:v>155</x:v>
      </x:c>
      <x:c r="B130" s="18" t="s">
        <x:v>156</x:v>
      </x:c>
      <x:c r="C130" s="18" t="s">
        <x:v>269</x:v>
      </x:c>
      <x:c r="D130" s="18" t="s">
        <x:v>414</x:v>
      </x:c>
      <x:c r="E130" s="20">
        <x:v>0.08</x:v>
      </x:c>
      <x:c r="F130" s="18" t="str">
        <x:f>IF(Технологии!BH31="","",Технологии!BH31)</x:f>
      </x:c>
      <x:c r="G130" s="18" t="s">
        <x:v>467</x:v>
      </x:c>
      <x:c r="J130" s="21" t="n">
        <x:f>0</x:f>
        <x:v>0</x:v>
      </x:c>
      <x:c r="K130" s="21" t="n">
        <x:f>IF(Технологии!AR31="ИЗУЧЕНО",$E130,0)</x:f>
        <x:v>0</x:v>
      </x:c>
      <x:c r="L130" s="21" t="n">
        <x:f>IF(Технологии!AS31="ИЗУЧЕНО",$E130,0)</x:f>
        <x:v>0</x:v>
      </x:c>
      <x:c r="M130" s="21" t="n">
        <x:f>IF(Технологии!AT31="ИЗУЧЕНО",$E130,0)</x:f>
        <x:v>0</x:v>
      </x:c>
      <x:c r="N130" s="21" t="n">
        <x:f>IF(Технологии!AU31="ИЗУЧЕНО",$E130,0)</x:f>
        <x:v>0</x:v>
      </x:c>
      <x:c r="O130" s="21" t="n">
        <x:f>IF(Технологии!AV31="ИЗУЧЕНО",$E130,0)</x:f>
        <x:v>0</x:v>
      </x:c>
      <x:c r="P130" s="21" t="n">
        <x:f>IF(Технологии!AW31="ИЗУЧЕНО",$E130,0)</x:f>
        <x:v>0</x:v>
      </x:c>
      <x:c r="Q130" s="21" t="n">
        <x:f>IF(Технологии!AX31="ИЗУЧЕНО",$E130,0)</x:f>
        <x:v>0</x:v>
      </x:c>
      <x:c r="R130" s="21" t="n">
        <x:f>IF(Технологии!AY31="ИЗУЧЕНО",$E130,0)</x:f>
        <x:v>0</x:v>
      </x:c>
      <x:c r="S130" s="21" t="n">
        <x:f>IF(Технологии!AZ31="ИЗУЧЕНО",$E130,0)</x:f>
        <x:v>0</x:v>
      </x:c>
      <x:c r="T130" s="21" t="n">
        <x:f>IF(Технологии!BA31="ИЗУЧЕНО",$E130,0)</x:f>
        <x:v>0</x:v>
      </x:c>
      <x:c r="U130" s="21" t="n">
        <x:f>IF(Технологии!BB31="ИЗУЧЕНО",$E130,0)</x:f>
        <x:v>0</x:v>
      </x:c>
      <x:c r="V130" s="21" t="n">
        <x:f>IF(Технологии!BC31="ИЗУЧЕНО",$E130,0)</x:f>
        <x:v>0</x:v>
      </x:c>
      <x:c r="W130" s="21" t="n">
        <x:f>IF(Технологии!BD31="ИЗУЧЕНО",$E130,0)</x:f>
        <x:v>0</x:v>
      </x:c>
      <x:c r="X130" s="21" t="n">
        <x:f>IF(Технологии!BE31="ИЗУЧЕНО",$E130,0)</x:f>
        <x:v>0</x:v>
      </x:c>
      <x:c r="Y130" s="21" t="n">
        <x:f>IF(Технологии!BF31="ИЗУЧЕНО",$E130,0)</x:f>
        <x:v>0</x:v>
      </x:c>
    </x:row>
    <x:row r="131">
      <x:c r="A131" s="19" t="s">
        <x:v>155</x:v>
      </x:c>
      <x:c r="B131" s="18" t="s">
        <x:v>156</x:v>
      </x:c>
      <x:c r="C131" s="18" t="s">
        <x:v>301</x:v>
      </x:c>
      <x:c r="D131" s="18" t="s">
        <x:v>387</x:v>
      </x:c>
      <x:c r="E131" s="20">
        <x:v>0.2</x:v>
      </x:c>
      <x:c r="F131" s="18" t="str">
        <x:f>IF(Технологии!BH31="","",Технологии!BH31)</x:f>
      </x:c>
      <x:c r="G131" s="18" t="s">
        <x:v>468</x:v>
      </x:c>
      <x:c r="J131" s="21" t="n">
        <x:f>0</x:f>
        <x:v>0</x:v>
      </x:c>
      <x:c r="K131" s="21" t="n">
        <x:f>IF(Технологии!AR31="ИЗУЧЕНО",$E131,0)</x:f>
        <x:v>0</x:v>
      </x:c>
      <x:c r="L131" s="21" t="n">
        <x:f>IF(Технологии!AS31="ИЗУЧЕНО",$E131,0)</x:f>
        <x:v>0</x:v>
      </x:c>
      <x:c r="M131" s="21" t="n">
        <x:f>IF(Технологии!AT31="ИЗУЧЕНО",$E131,0)</x:f>
        <x:v>0</x:v>
      </x:c>
      <x:c r="N131" s="21" t="n">
        <x:f>IF(Технологии!AU31="ИЗУЧЕНО",$E131,0)</x:f>
        <x:v>0</x:v>
      </x:c>
      <x:c r="O131" s="21" t="n">
        <x:f>IF(Технологии!AV31="ИЗУЧЕНО",$E131,0)</x:f>
        <x:v>0</x:v>
      </x:c>
      <x:c r="P131" s="21" t="n">
        <x:f>IF(Технологии!AW31="ИЗУЧЕНО",$E131,0)</x:f>
        <x:v>0</x:v>
      </x:c>
      <x:c r="Q131" s="21" t="n">
        <x:f>IF(Технологии!AX31="ИЗУЧЕНО",$E131,0)</x:f>
        <x:v>0</x:v>
      </x:c>
      <x:c r="R131" s="21" t="n">
        <x:f>IF(Технологии!AY31="ИЗУЧЕНО",$E131,0)</x:f>
        <x:v>0</x:v>
      </x:c>
      <x:c r="S131" s="21" t="n">
        <x:f>IF(Технологии!AZ31="ИЗУЧЕНО",$E131,0)</x:f>
        <x:v>0</x:v>
      </x:c>
      <x:c r="T131" s="21" t="n">
        <x:f>IF(Технологии!BA31="ИЗУЧЕНО",$E131,0)</x:f>
        <x:v>0</x:v>
      </x:c>
      <x:c r="U131" s="21" t="n">
        <x:f>IF(Технологии!BB31="ИЗУЧЕНО",$E131,0)</x:f>
        <x:v>0</x:v>
      </x:c>
      <x:c r="V131" s="21" t="n">
        <x:f>IF(Технологии!BC31="ИЗУЧЕНО",$E131,0)</x:f>
        <x:v>0</x:v>
      </x:c>
      <x:c r="W131" s="21" t="n">
        <x:f>IF(Технологии!BD31="ИЗУЧЕНО",$E131,0)</x:f>
        <x:v>0</x:v>
      </x:c>
      <x:c r="X131" s="21" t="n">
        <x:f>IF(Технологии!BE31="ИЗУЧЕНО",$E131,0)</x:f>
        <x:v>0</x:v>
      </x:c>
      <x:c r="Y131" s="21" t="n">
        <x:f>IF(Технологии!BF31="ИЗУЧЕНО",$E131,0)</x:f>
        <x:v>0</x:v>
      </x:c>
    </x:row>
    <x:row r="132">
      <x:c r="A132" s="19" t="s">
        <x:v>155</x:v>
      </x:c>
      <x:c r="B132" s="18" t="s">
        <x:v>156</x:v>
      </x:c>
      <x:c r="C132" s="18" t="s">
        <x:v>378</x:v>
      </x:c>
      <x:c r="D132" s="18" t="s">
        <x:v>405</x:v>
      </x:c>
      <x:c r="E132" s="20">
        <x:v>0.1</x:v>
      </x:c>
      <x:c r="F132" s="18" t="str">
        <x:f>IF(Технологии!BH31="","",Технологии!BH31)</x:f>
      </x:c>
      <x:c r="G132" s="18" t="s">
        <x:v>434</x:v>
      </x:c>
      <x:c r="J132" s="21" t="n">
        <x:f>0</x:f>
        <x:v>0</x:v>
      </x:c>
      <x:c r="K132" s="21" t="n">
        <x:f>IF(Технологии!AR31="ИЗУЧЕНО",$E132,0)</x:f>
        <x:v>0</x:v>
      </x:c>
      <x:c r="L132" s="21" t="n">
        <x:f>IF(Технологии!AS31="ИЗУЧЕНО",$E132,0)</x:f>
        <x:v>0</x:v>
      </x:c>
      <x:c r="M132" s="21" t="n">
        <x:f>IF(Технологии!AT31="ИЗУЧЕНО",$E132,0)</x:f>
        <x:v>0</x:v>
      </x:c>
      <x:c r="N132" s="21" t="n">
        <x:f>IF(Технологии!AU31="ИЗУЧЕНО",$E132,0)</x:f>
        <x:v>0</x:v>
      </x:c>
      <x:c r="O132" s="21" t="n">
        <x:f>IF(Технологии!AV31="ИЗУЧЕНО",$E132,0)</x:f>
        <x:v>0</x:v>
      </x:c>
      <x:c r="P132" s="21" t="n">
        <x:f>IF(Технологии!AW31="ИЗУЧЕНО",$E132,0)</x:f>
        <x:v>0</x:v>
      </x:c>
      <x:c r="Q132" s="21" t="n">
        <x:f>IF(Технологии!AX31="ИЗУЧЕНО",$E132,0)</x:f>
        <x:v>0</x:v>
      </x:c>
      <x:c r="R132" s="21" t="n">
        <x:f>IF(Технологии!AY31="ИЗУЧЕНО",$E132,0)</x:f>
        <x:v>0</x:v>
      </x:c>
      <x:c r="S132" s="21" t="n">
        <x:f>IF(Технологии!AZ31="ИЗУЧЕНО",$E132,0)</x:f>
        <x:v>0</x:v>
      </x:c>
      <x:c r="T132" s="21" t="n">
        <x:f>IF(Технологии!BA31="ИЗУЧЕНО",$E132,0)</x:f>
        <x:v>0</x:v>
      </x:c>
      <x:c r="U132" s="21" t="n">
        <x:f>IF(Технологии!BB31="ИЗУЧЕНО",$E132,0)</x:f>
        <x:v>0</x:v>
      </x:c>
      <x:c r="V132" s="21" t="n">
        <x:f>IF(Технологии!BC31="ИЗУЧЕНО",$E132,0)</x:f>
        <x:v>0</x:v>
      </x:c>
      <x:c r="W132" s="21" t="n">
        <x:f>IF(Технологии!BD31="ИЗУЧЕНО",$E132,0)</x:f>
        <x:v>0</x:v>
      </x:c>
      <x:c r="X132" s="21" t="n">
        <x:f>IF(Технологии!BE31="ИЗУЧЕНО",$E132,0)</x:f>
        <x:v>0</x:v>
      </x:c>
      <x:c r="Y132" s="21" t="n">
        <x:f>IF(Технологии!BF31="ИЗУЧЕНО",$E132,0)</x:f>
        <x:v>0</x:v>
      </x:c>
    </x:row>
    <x:row r="133">
      <x:c r="A133" s="19" t="s">
        <x:v>155</x:v>
      </x:c>
      <x:c r="B133" s="18" t="s">
        <x:v>156</x:v>
      </x:c>
      <x:c r="C133" s="18" t="s">
        <x:v>294</x:v>
      </x:c>
      <x:c r="D133" s="18" t="s">
        <x:v>387</x:v>
      </x:c>
      <x:c r="E133" s="20">
        <x:v>-0.2</x:v>
      </x:c>
      <x:c r="F133" s="18" t="str">
        <x:f>IF(Технологии!BH31="","",Технологии!BH31)</x:f>
      </x:c>
      <x:c r="G133" s="18" t="s">
        <x:v>469</x:v>
      </x:c>
      <x:c r="J133" s="21" t="n">
        <x:f>0</x:f>
        <x:v>0</x:v>
      </x:c>
      <x:c r="K133" s="21" t="n">
        <x:f>IF(Технологии!AR31="ИЗУЧЕНО",$E133,0)</x:f>
        <x:v>0</x:v>
      </x:c>
      <x:c r="L133" s="21" t="n">
        <x:f>IF(Технологии!AS31="ИЗУЧЕНО",$E133,0)</x:f>
        <x:v>0</x:v>
      </x:c>
      <x:c r="M133" s="21" t="n">
        <x:f>IF(Технологии!AT31="ИЗУЧЕНО",$E133,0)</x:f>
        <x:v>0</x:v>
      </x:c>
      <x:c r="N133" s="21" t="n">
        <x:f>IF(Технологии!AU31="ИЗУЧЕНО",$E133,0)</x:f>
        <x:v>0</x:v>
      </x:c>
      <x:c r="O133" s="21" t="n">
        <x:f>IF(Технологии!AV31="ИЗУЧЕНО",$E133,0)</x:f>
        <x:v>0</x:v>
      </x:c>
      <x:c r="P133" s="21" t="n">
        <x:f>IF(Технологии!AW31="ИЗУЧЕНО",$E133,0)</x:f>
        <x:v>0</x:v>
      </x:c>
      <x:c r="Q133" s="21" t="n">
        <x:f>IF(Технологии!AX31="ИЗУЧЕНО",$E133,0)</x:f>
        <x:v>0</x:v>
      </x:c>
      <x:c r="R133" s="21" t="n">
        <x:f>IF(Технологии!AY31="ИЗУЧЕНО",$E133,0)</x:f>
        <x:v>0</x:v>
      </x:c>
      <x:c r="S133" s="21" t="n">
        <x:f>IF(Технологии!AZ31="ИЗУЧЕНО",$E133,0)</x:f>
        <x:v>0</x:v>
      </x:c>
      <x:c r="T133" s="21" t="n">
        <x:f>IF(Технологии!BA31="ИЗУЧЕНО",$E133,0)</x:f>
        <x:v>0</x:v>
      </x:c>
      <x:c r="U133" s="21" t="n">
        <x:f>IF(Технологии!BB31="ИЗУЧЕНО",$E133,0)</x:f>
        <x:v>0</x:v>
      </x:c>
      <x:c r="V133" s="21" t="n">
        <x:f>IF(Технологии!BC31="ИЗУЧЕНО",$E133,0)</x:f>
        <x:v>0</x:v>
      </x:c>
      <x:c r="W133" s="21" t="n">
        <x:f>IF(Технологии!BD31="ИЗУЧЕНО",$E133,0)</x:f>
        <x:v>0</x:v>
      </x:c>
      <x:c r="X133" s="21" t="n">
        <x:f>IF(Технологии!BE31="ИЗУЧЕНО",$E133,0)</x:f>
        <x:v>0</x:v>
      </x:c>
      <x:c r="Y133" s="21" t="n">
        <x:f>IF(Технологии!BF31="ИЗУЧЕНО",$E133,0)</x:f>
        <x:v>0</x:v>
      </x:c>
    </x:row>
    <x:row r="134">
      <x:c r="A134" s="19" t="s">
        <x:v>159</x:v>
      </x:c>
      <x:c r="B134" s="18" t="s">
        <x:v>160</x:v>
      </x:c>
      <x:c r="C134" s="18" t="s">
        <x:v>302</x:v>
      </x:c>
      <x:c r="D134" s="18" t="s">
        <x:v>387</x:v>
      </x:c>
      <x:c r="E134" s="20">
        <x:v>0.4</x:v>
      </x:c>
      <x:c r="F134" s="18" t="str">
        <x:f>IF(Технологии!BH32="","",Технологии!BH32)</x:f>
      </x:c>
      <x:c r="G134" s="18" t="s">
        <x:v>470</x:v>
      </x:c>
      <x:c r="J134" s="21" t="n">
        <x:f>0</x:f>
        <x:v>0</x:v>
      </x:c>
      <x:c r="K134" s="21" t="n">
        <x:f>IF(Технологии!AR32="ИЗУЧЕНО",$E134,0)</x:f>
        <x:v>0</x:v>
      </x:c>
      <x:c r="L134" s="21" t="n">
        <x:f>IF(Технологии!AS32="ИЗУЧЕНО",$E134,0)</x:f>
        <x:v>0</x:v>
      </x:c>
      <x:c r="M134" s="21" t="n">
        <x:f>IF(Технологии!AT32="ИЗУЧЕНО",$E134,0)</x:f>
        <x:v>0</x:v>
      </x:c>
      <x:c r="N134" s="21" t="n">
        <x:f>IF(Технологии!AU32="ИЗУЧЕНО",$E134,0)</x:f>
        <x:v>0</x:v>
      </x:c>
      <x:c r="O134" s="21" t="n">
        <x:f>IF(Технологии!AV32="ИЗУЧЕНО",$E134,0)</x:f>
        <x:v>0</x:v>
      </x:c>
      <x:c r="P134" s="21" t="n">
        <x:f>IF(Технологии!AW32="ИЗУЧЕНО",$E134,0)</x:f>
        <x:v>0</x:v>
      </x:c>
      <x:c r="Q134" s="21" t="n">
        <x:f>IF(Технологии!AX32="ИЗУЧЕНО",$E134,0)</x:f>
        <x:v>0</x:v>
      </x:c>
      <x:c r="R134" s="21" t="n">
        <x:f>IF(Технологии!AY32="ИЗУЧЕНО",$E134,0)</x:f>
        <x:v>0</x:v>
      </x:c>
      <x:c r="S134" s="21" t="n">
        <x:f>IF(Технологии!AZ32="ИЗУЧЕНО",$E134,0)</x:f>
        <x:v>0</x:v>
      </x:c>
      <x:c r="T134" s="21" t="n">
        <x:f>IF(Технологии!BA32="ИЗУЧЕНО",$E134,0)</x:f>
        <x:v>0</x:v>
      </x:c>
      <x:c r="U134" s="21" t="n">
        <x:f>IF(Технологии!BB32="ИЗУЧЕНО",$E134,0)</x:f>
        <x:v>0</x:v>
      </x:c>
      <x:c r="V134" s="21" t="n">
        <x:f>IF(Технологии!BC32="ИЗУЧЕНО",$E134,0)</x:f>
        <x:v>0</x:v>
      </x:c>
      <x:c r="W134" s="21" t="n">
        <x:f>IF(Технологии!BD32="ИЗУЧЕНО",$E134,0)</x:f>
        <x:v>0</x:v>
      </x:c>
      <x:c r="X134" s="21" t="n">
        <x:f>IF(Технологии!BE32="ИЗУЧЕНО",$E134,0)</x:f>
        <x:v>0</x:v>
      </x:c>
      <x:c r="Y134" s="21" t="n">
        <x:f>IF(Технологии!BF32="ИЗУЧЕНО",$E134,0)</x:f>
        <x:v>0</x:v>
      </x:c>
    </x:row>
    <x:row r="135">
      <x:c r="A135" s="19" t="s">
        <x:v>159</x:v>
      </x:c>
      <x:c r="B135" s="18" t="s">
        <x:v>160</x:v>
      </x:c>
      <x:c r="C135" s="18" t="s">
        <x:v>277</x:v>
      </x:c>
      <x:c r="D135" s="18" t="s">
        <x:v>414</x:v>
      </x:c>
      <x:c r="E135" s="20">
        <x:v>0.08</x:v>
      </x:c>
      <x:c r="F135" s="18" t="str">
        <x:f>IF(Технологии!BH32="","",Технологии!BH32)</x:f>
      </x:c>
      <x:c r="G135" s="18" t="s">
        <x:v>471</x:v>
      </x:c>
      <x:c r="J135" s="21" t="n">
        <x:f>0</x:f>
        <x:v>0</x:v>
      </x:c>
      <x:c r="K135" s="21" t="n">
        <x:f>IF(Технологии!AR32="ИЗУЧЕНО",$E135,0)</x:f>
        <x:v>0</x:v>
      </x:c>
      <x:c r="L135" s="21" t="n">
        <x:f>IF(Технологии!AS32="ИЗУЧЕНО",$E135,0)</x:f>
        <x:v>0</x:v>
      </x:c>
      <x:c r="M135" s="21" t="n">
        <x:f>IF(Технологии!AT32="ИЗУЧЕНО",$E135,0)</x:f>
        <x:v>0</x:v>
      </x:c>
      <x:c r="N135" s="21" t="n">
        <x:f>IF(Технологии!AU32="ИЗУЧЕНО",$E135,0)</x:f>
        <x:v>0</x:v>
      </x:c>
      <x:c r="O135" s="21" t="n">
        <x:f>IF(Технологии!AV32="ИЗУЧЕНО",$E135,0)</x:f>
        <x:v>0</x:v>
      </x:c>
      <x:c r="P135" s="21" t="n">
        <x:f>IF(Технологии!AW32="ИЗУЧЕНО",$E135,0)</x:f>
        <x:v>0</x:v>
      </x:c>
      <x:c r="Q135" s="21" t="n">
        <x:f>IF(Технологии!AX32="ИЗУЧЕНО",$E135,0)</x:f>
        <x:v>0</x:v>
      </x:c>
      <x:c r="R135" s="21" t="n">
        <x:f>IF(Технологии!AY32="ИЗУЧЕНО",$E135,0)</x:f>
        <x:v>0</x:v>
      </x:c>
      <x:c r="S135" s="21" t="n">
        <x:f>IF(Технологии!AZ32="ИЗУЧЕНО",$E135,0)</x:f>
        <x:v>0</x:v>
      </x:c>
      <x:c r="T135" s="21" t="n">
        <x:f>IF(Технологии!BA32="ИЗУЧЕНО",$E135,0)</x:f>
        <x:v>0</x:v>
      </x:c>
      <x:c r="U135" s="21" t="n">
        <x:f>IF(Технологии!BB32="ИЗУЧЕНО",$E135,0)</x:f>
        <x:v>0</x:v>
      </x:c>
      <x:c r="V135" s="21" t="n">
        <x:f>IF(Технологии!BC32="ИЗУЧЕНО",$E135,0)</x:f>
        <x:v>0</x:v>
      </x:c>
      <x:c r="W135" s="21" t="n">
        <x:f>IF(Технологии!BD32="ИЗУЧЕНО",$E135,0)</x:f>
        <x:v>0</x:v>
      </x:c>
      <x:c r="X135" s="21" t="n">
        <x:f>IF(Технологии!BE32="ИЗУЧЕНО",$E135,0)</x:f>
        <x:v>0</x:v>
      </x:c>
      <x:c r="Y135" s="21" t="n">
        <x:f>IF(Технологии!BF32="ИЗУЧЕНО",$E135,0)</x:f>
        <x:v>0</x:v>
      </x:c>
    </x:row>
    <x:row r="136">
      <x:c r="A136" s="19" t="s">
        <x:v>159</x:v>
      </x:c>
      <x:c r="B136" s="18" t="s">
        <x:v>160</x:v>
      </x:c>
      <x:c r="C136" s="18" t="s">
        <x:v>299</x:v>
      </x:c>
      <x:c r="D136" s="18" t="s">
        <x:v>387</x:v>
      </x:c>
      <x:c r="E136" s="20">
        <x:v>0.2</x:v>
      </x:c>
      <x:c r="F136" s="18" t="str">
        <x:f>IF(Технологии!BH32="","",Технологии!BH32)</x:f>
      </x:c>
      <x:c r="G136" s="18" t="s">
        <x:v>466</x:v>
      </x:c>
      <x:c r="J136" s="21" t="n">
        <x:f>0</x:f>
        <x:v>0</x:v>
      </x:c>
      <x:c r="K136" s="21" t="n">
        <x:f>IF(Технологии!AR32="ИЗУЧЕНО",$E136,0)</x:f>
        <x:v>0</x:v>
      </x:c>
      <x:c r="L136" s="21" t="n">
        <x:f>IF(Технологии!AS32="ИЗУЧЕНО",$E136,0)</x:f>
        <x:v>0</x:v>
      </x:c>
      <x:c r="M136" s="21" t="n">
        <x:f>IF(Технологии!AT32="ИЗУЧЕНО",$E136,0)</x:f>
        <x:v>0</x:v>
      </x:c>
      <x:c r="N136" s="21" t="n">
        <x:f>IF(Технологии!AU32="ИЗУЧЕНО",$E136,0)</x:f>
        <x:v>0</x:v>
      </x:c>
      <x:c r="O136" s="21" t="n">
        <x:f>IF(Технологии!AV32="ИЗУЧЕНО",$E136,0)</x:f>
        <x:v>0</x:v>
      </x:c>
      <x:c r="P136" s="21" t="n">
        <x:f>IF(Технологии!AW32="ИЗУЧЕНО",$E136,0)</x:f>
        <x:v>0</x:v>
      </x:c>
      <x:c r="Q136" s="21" t="n">
        <x:f>IF(Технологии!AX32="ИЗУЧЕНО",$E136,0)</x:f>
        <x:v>0</x:v>
      </x:c>
      <x:c r="R136" s="21" t="n">
        <x:f>IF(Технологии!AY32="ИЗУЧЕНО",$E136,0)</x:f>
        <x:v>0</x:v>
      </x:c>
      <x:c r="S136" s="21" t="n">
        <x:f>IF(Технологии!AZ32="ИЗУЧЕНО",$E136,0)</x:f>
        <x:v>0</x:v>
      </x:c>
      <x:c r="T136" s="21" t="n">
        <x:f>IF(Технологии!BA32="ИЗУЧЕНО",$E136,0)</x:f>
        <x:v>0</x:v>
      </x:c>
      <x:c r="U136" s="21" t="n">
        <x:f>IF(Технологии!BB32="ИЗУЧЕНО",$E136,0)</x:f>
        <x:v>0</x:v>
      </x:c>
      <x:c r="V136" s="21" t="n">
        <x:f>IF(Технологии!BC32="ИЗУЧЕНО",$E136,0)</x:f>
        <x:v>0</x:v>
      </x:c>
      <x:c r="W136" s="21" t="n">
        <x:f>IF(Технологии!BD32="ИЗУЧЕНО",$E136,0)</x:f>
        <x:v>0</x:v>
      </x:c>
      <x:c r="X136" s="21" t="n">
        <x:f>IF(Технологии!BE32="ИЗУЧЕНО",$E136,0)</x:f>
        <x:v>0</x:v>
      </x:c>
      <x:c r="Y136" s="21" t="n">
        <x:f>IF(Технологии!BF32="ИЗУЧЕНО",$E136,0)</x:f>
        <x:v>0</x:v>
      </x:c>
    </x:row>
    <x:row r="137">
      <x:c r="A137" s="19" t="s">
        <x:v>159</x:v>
      </x:c>
      <x:c r="B137" s="18" t="s">
        <x:v>160</x:v>
      </x:c>
      <x:c r="C137" s="18" t="s">
        <x:v>281</x:v>
      </x:c>
      <x:c r="D137" s="18" t="s">
        <x:v>414</x:v>
      </x:c>
      <x:c r="E137" s="20">
        <x:v>0.05</x:v>
      </x:c>
      <x:c r="F137" s="18" t="str">
        <x:f>IF(Технологии!BH32="","",Технологии!BH32)</x:f>
      </x:c>
      <x:c r="G137" s="18" t="s">
        <x:v>463</x:v>
      </x:c>
      <x:c r="J137" s="21" t="n">
        <x:f>0</x:f>
        <x:v>0</x:v>
      </x:c>
      <x:c r="K137" s="21" t="n">
        <x:f>IF(Технологии!AR32="ИЗУЧЕНО",$E137,0)</x:f>
        <x:v>0</x:v>
      </x:c>
      <x:c r="L137" s="21" t="n">
        <x:f>IF(Технологии!AS32="ИЗУЧЕНО",$E137,0)</x:f>
        <x:v>0</x:v>
      </x:c>
      <x:c r="M137" s="21" t="n">
        <x:f>IF(Технологии!AT32="ИЗУЧЕНО",$E137,0)</x:f>
        <x:v>0</x:v>
      </x:c>
      <x:c r="N137" s="21" t="n">
        <x:f>IF(Технологии!AU32="ИЗУЧЕНО",$E137,0)</x:f>
        <x:v>0</x:v>
      </x:c>
      <x:c r="O137" s="21" t="n">
        <x:f>IF(Технологии!AV32="ИЗУЧЕНО",$E137,0)</x:f>
        <x:v>0</x:v>
      </x:c>
      <x:c r="P137" s="21" t="n">
        <x:f>IF(Технологии!AW32="ИЗУЧЕНО",$E137,0)</x:f>
        <x:v>0</x:v>
      </x:c>
      <x:c r="Q137" s="21" t="n">
        <x:f>IF(Технологии!AX32="ИЗУЧЕНО",$E137,0)</x:f>
        <x:v>0</x:v>
      </x:c>
      <x:c r="R137" s="21" t="n">
        <x:f>IF(Технологии!AY32="ИЗУЧЕНО",$E137,0)</x:f>
        <x:v>0</x:v>
      </x:c>
      <x:c r="S137" s="21" t="n">
        <x:f>IF(Технологии!AZ32="ИЗУЧЕНО",$E137,0)</x:f>
        <x:v>0</x:v>
      </x:c>
      <x:c r="T137" s="21" t="n">
        <x:f>IF(Технологии!BA32="ИЗУЧЕНО",$E137,0)</x:f>
        <x:v>0</x:v>
      </x:c>
      <x:c r="U137" s="21" t="n">
        <x:f>IF(Технологии!BB32="ИЗУЧЕНО",$E137,0)</x:f>
        <x:v>0</x:v>
      </x:c>
      <x:c r="V137" s="21" t="n">
        <x:f>IF(Технологии!BC32="ИЗУЧЕНО",$E137,0)</x:f>
        <x:v>0</x:v>
      </x:c>
      <x:c r="W137" s="21" t="n">
        <x:f>IF(Технологии!BD32="ИЗУЧЕНО",$E137,0)</x:f>
        <x:v>0</x:v>
      </x:c>
      <x:c r="X137" s="21" t="n">
        <x:f>IF(Технологии!BE32="ИЗУЧЕНО",$E137,0)</x:f>
        <x:v>0</x:v>
      </x:c>
      <x:c r="Y137" s="21" t="n">
        <x:f>IF(Технологии!BF32="ИЗУЧЕНО",$E137,0)</x:f>
        <x:v>0</x:v>
      </x:c>
    </x:row>
    <x:row r="138">
      <x:c r="A138" s="19" t="s">
        <x:v>159</x:v>
      </x:c>
      <x:c r="B138" s="18" t="s">
        <x:v>160</x:v>
      </x:c>
      <x:c r="C138" s="18" t="s">
        <x:v>311</x:v>
      </x:c>
      <x:c r="D138" s="18" t="s">
        <x:v>387</x:v>
      </x:c>
      <x:c r="E138" s="20">
        <x:v>-0.15</x:v>
      </x:c>
      <x:c r="F138" s="18" t="str">
        <x:f>IF(Технологии!BH32="","",Технологии!BH32)</x:f>
      </x:c>
      <x:c r="G138" s="18" t="s">
        <x:v>436</x:v>
      </x:c>
      <x:c r="J138" s="21" t="n">
        <x:f>0</x:f>
        <x:v>0</x:v>
      </x:c>
      <x:c r="K138" s="21" t="n">
        <x:f>IF(Технологии!AR32="ИЗУЧЕНО",$E138,0)</x:f>
        <x:v>0</x:v>
      </x:c>
      <x:c r="L138" s="21" t="n">
        <x:f>IF(Технологии!AS32="ИЗУЧЕНО",$E138,0)</x:f>
        <x:v>0</x:v>
      </x:c>
      <x:c r="M138" s="21" t="n">
        <x:f>IF(Технологии!AT32="ИЗУЧЕНО",$E138,0)</x:f>
        <x:v>0</x:v>
      </x:c>
      <x:c r="N138" s="21" t="n">
        <x:f>IF(Технологии!AU32="ИЗУЧЕНО",$E138,0)</x:f>
        <x:v>0</x:v>
      </x:c>
      <x:c r="O138" s="21" t="n">
        <x:f>IF(Технологии!AV32="ИЗУЧЕНО",$E138,0)</x:f>
        <x:v>0</x:v>
      </x:c>
      <x:c r="P138" s="21" t="n">
        <x:f>IF(Технологии!AW32="ИЗУЧЕНО",$E138,0)</x:f>
        <x:v>0</x:v>
      </x:c>
      <x:c r="Q138" s="21" t="n">
        <x:f>IF(Технологии!AX32="ИЗУЧЕНО",$E138,0)</x:f>
        <x:v>0</x:v>
      </x:c>
      <x:c r="R138" s="21" t="n">
        <x:f>IF(Технологии!AY32="ИЗУЧЕНО",$E138,0)</x:f>
        <x:v>0</x:v>
      </x:c>
      <x:c r="S138" s="21" t="n">
        <x:f>IF(Технологии!AZ32="ИЗУЧЕНО",$E138,0)</x:f>
        <x:v>0</x:v>
      </x:c>
      <x:c r="T138" s="21" t="n">
        <x:f>IF(Технологии!BA32="ИЗУЧЕНО",$E138,0)</x:f>
        <x:v>0</x:v>
      </x:c>
      <x:c r="U138" s="21" t="n">
        <x:f>IF(Технологии!BB32="ИЗУЧЕНО",$E138,0)</x:f>
        <x:v>0</x:v>
      </x:c>
      <x:c r="V138" s="21" t="n">
        <x:f>IF(Технологии!BC32="ИЗУЧЕНО",$E138,0)</x:f>
        <x:v>0</x:v>
      </x:c>
      <x:c r="W138" s="21" t="n">
        <x:f>IF(Технологии!BD32="ИЗУЧЕНО",$E138,0)</x:f>
        <x:v>0</x:v>
      </x:c>
      <x:c r="X138" s="21" t="n">
        <x:f>IF(Технологии!BE32="ИЗУЧЕНО",$E138,0)</x:f>
        <x:v>0</x:v>
      </x:c>
      <x:c r="Y138" s="21" t="n">
        <x:f>IF(Технологии!BF32="ИЗУЧЕНО",$E138,0)</x:f>
        <x:v>0</x:v>
      </x:c>
    </x:row>
    <x:row r="139">
      <x:c r="A139" s="19" t="s">
        <x:v>159</x:v>
      </x:c>
      <x:c r="B139" s="18" t="s">
        <x:v>160</x:v>
      </x:c>
      <x:c r="C139" s="18" t="s">
        <x:v>312</x:v>
      </x:c>
      <x:c r="D139" s="18" t="s">
        <x:v>387</x:v>
      </x:c>
      <x:c r="E139" s="20">
        <x:v>-0.15</x:v>
      </x:c>
      <x:c r="F139" s="18" t="str">
        <x:f>IF(Технологии!BH32="","",Технологии!BH32)</x:f>
      </x:c>
      <x:c r="G139" s="18" t="s">
        <x:v>472</x:v>
      </x:c>
      <x:c r="J139" s="21" t="n">
        <x:f>0</x:f>
        <x:v>0</x:v>
      </x:c>
      <x:c r="K139" s="21" t="n">
        <x:f>IF(Технологии!AR32="ИЗУЧЕНО",$E139,0)</x:f>
        <x:v>0</x:v>
      </x:c>
      <x:c r="L139" s="21" t="n">
        <x:f>IF(Технологии!AS32="ИЗУЧЕНО",$E139,0)</x:f>
        <x:v>0</x:v>
      </x:c>
      <x:c r="M139" s="21" t="n">
        <x:f>IF(Технологии!AT32="ИЗУЧЕНО",$E139,0)</x:f>
        <x:v>0</x:v>
      </x:c>
      <x:c r="N139" s="21" t="n">
        <x:f>IF(Технологии!AU32="ИЗУЧЕНО",$E139,0)</x:f>
        <x:v>0</x:v>
      </x:c>
      <x:c r="O139" s="21" t="n">
        <x:f>IF(Технологии!AV32="ИЗУЧЕНО",$E139,0)</x:f>
        <x:v>0</x:v>
      </x:c>
      <x:c r="P139" s="21" t="n">
        <x:f>IF(Технологии!AW32="ИЗУЧЕНО",$E139,0)</x:f>
        <x:v>0</x:v>
      </x:c>
      <x:c r="Q139" s="21" t="n">
        <x:f>IF(Технологии!AX32="ИЗУЧЕНО",$E139,0)</x:f>
        <x:v>0</x:v>
      </x:c>
      <x:c r="R139" s="21" t="n">
        <x:f>IF(Технологии!AY32="ИЗУЧЕНО",$E139,0)</x:f>
        <x:v>0</x:v>
      </x:c>
      <x:c r="S139" s="21" t="n">
        <x:f>IF(Технологии!AZ32="ИЗУЧЕНО",$E139,0)</x:f>
        <x:v>0</x:v>
      </x:c>
      <x:c r="T139" s="21" t="n">
        <x:f>IF(Технологии!BA32="ИЗУЧЕНО",$E139,0)</x:f>
        <x:v>0</x:v>
      </x:c>
      <x:c r="U139" s="21" t="n">
        <x:f>IF(Технологии!BB32="ИЗУЧЕНО",$E139,0)</x:f>
        <x:v>0</x:v>
      </x:c>
      <x:c r="V139" s="21" t="n">
        <x:f>IF(Технологии!BC32="ИЗУЧЕНО",$E139,0)</x:f>
        <x:v>0</x:v>
      </x:c>
      <x:c r="W139" s="21" t="n">
        <x:f>IF(Технологии!BD32="ИЗУЧЕНО",$E139,0)</x:f>
        <x:v>0</x:v>
      </x:c>
      <x:c r="X139" s="21" t="n">
        <x:f>IF(Технологии!BE32="ИЗУЧЕНО",$E139,0)</x:f>
        <x:v>0</x:v>
      </x:c>
      <x:c r="Y139" s="21" t="n">
        <x:f>IF(Технологии!BF32="ИЗУЧЕНО",$E139,0)</x:f>
        <x:v>0</x:v>
      </x:c>
    </x:row>
    <x:row r="140">
      <x:c r="A140" s="19" t="s">
        <x:v>163</x:v>
      </x:c>
      <x:c r="B140" s="18" t="s">
        <x:v>164</x:v>
      </x:c>
      <x:c r="C140" s="18" t="s">
        <x:v>279</x:v>
      </x:c>
      <x:c r="D140" s="18" t="s">
        <x:v>414</x:v>
      </x:c>
      <x:c r="E140" s="20">
        <x:v>0.12</x:v>
      </x:c>
      <x:c r="F140" s="18" t="str">
        <x:f>IF(Технологии!BH33="","",Технологии!BH33)</x:f>
      </x:c>
      <x:c r="G140" s="18" t="s">
        <x:v>473</x:v>
      </x:c>
      <x:c r="J140" s="21" t="n">
        <x:f>0</x:f>
        <x:v>0</x:v>
      </x:c>
      <x:c r="K140" s="21" t="n">
        <x:f>IF(Технологии!AR33="ИЗУЧЕНО",$E140,0)</x:f>
        <x:v>0</x:v>
      </x:c>
      <x:c r="L140" s="21" t="n">
        <x:f>IF(Технологии!AS33="ИЗУЧЕНО",$E140,0)</x:f>
        <x:v>0</x:v>
      </x:c>
      <x:c r="M140" s="21" t="n">
        <x:f>IF(Технологии!AT33="ИЗУЧЕНО",$E140,0)</x:f>
        <x:v>0</x:v>
      </x:c>
      <x:c r="N140" s="21" t="n">
        <x:f>IF(Технологии!AU33="ИЗУЧЕНО",$E140,0)</x:f>
        <x:v>0</x:v>
      </x:c>
      <x:c r="O140" s="21" t="n">
        <x:f>IF(Технологии!AV33="ИЗУЧЕНО",$E140,0)</x:f>
        <x:v>0</x:v>
      </x:c>
      <x:c r="P140" s="21" t="n">
        <x:f>IF(Технологии!AW33="ИЗУЧЕНО",$E140,0)</x:f>
        <x:v>0</x:v>
      </x:c>
      <x:c r="Q140" s="21" t="n">
        <x:f>IF(Технологии!AX33="ИЗУЧЕНО",$E140,0)</x:f>
        <x:v>0</x:v>
      </x:c>
      <x:c r="R140" s="21" t="n">
        <x:f>IF(Технологии!AY33="ИЗУЧЕНО",$E140,0)</x:f>
        <x:v>0</x:v>
      </x:c>
      <x:c r="S140" s="21" t="n">
        <x:f>IF(Технологии!AZ33="ИЗУЧЕНО",$E140,0)</x:f>
        <x:v>0</x:v>
      </x:c>
      <x:c r="T140" s="21" t="n">
        <x:f>IF(Технологии!BA33="ИЗУЧЕНО",$E140,0)</x:f>
        <x:v>0</x:v>
      </x:c>
      <x:c r="U140" s="21" t="n">
        <x:f>IF(Технологии!BB33="ИЗУЧЕНО",$E140,0)</x:f>
        <x:v>0</x:v>
      </x:c>
      <x:c r="V140" s="21" t="n">
        <x:f>IF(Технологии!BC33="ИЗУЧЕНО",$E140,0)</x:f>
        <x:v>0</x:v>
      </x:c>
      <x:c r="W140" s="21" t="n">
        <x:f>IF(Технологии!BD33="ИЗУЧЕНО",$E140,0)</x:f>
        <x:v>0</x:v>
      </x:c>
      <x:c r="X140" s="21" t="n">
        <x:f>IF(Технологии!BE33="ИЗУЧЕНО",$E140,0)</x:f>
        <x:v>0</x:v>
      </x:c>
      <x:c r="Y140" s="21" t="n">
        <x:f>IF(Технологии!BF33="ИЗУЧЕНО",$E140,0)</x:f>
        <x:v>0</x:v>
      </x:c>
    </x:row>
    <x:row r="141">
      <x:c r="A141" s="19" t="s">
        <x:v>163</x:v>
      </x:c>
      <x:c r="B141" s="18" t="s">
        <x:v>164</x:v>
      </x:c>
      <x:c r="C141" s="18" t="s">
        <x:v>269</x:v>
      </x:c>
      <x:c r="D141" s="18" t="s">
        <x:v>414</x:v>
      </x:c>
      <x:c r="E141" s="20">
        <x:v>0.08</x:v>
      </x:c>
      <x:c r="F141" s="18" t="str">
        <x:f>IF(Технологии!BH33="","",Технологии!BH33)</x:f>
      </x:c>
      <x:c r="G141" s="18" t="s">
        <x:v>467</x:v>
      </x:c>
      <x:c r="J141" s="21" t="n">
        <x:f>0</x:f>
        <x:v>0</x:v>
      </x:c>
      <x:c r="K141" s="21" t="n">
        <x:f>IF(Технологии!AR33="ИЗУЧЕНО",$E141,0)</x:f>
        <x:v>0</x:v>
      </x:c>
      <x:c r="L141" s="21" t="n">
        <x:f>IF(Технологии!AS33="ИЗУЧЕНО",$E141,0)</x:f>
        <x:v>0</x:v>
      </x:c>
      <x:c r="M141" s="21" t="n">
        <x:f>IF(Технологии!AT33="ИЗУЧЕНО",$E141,0)</x:f>
        <x:v>0</x:v>
      </x:c>
      <x:c r="N141" s="21" t="n">
        <x:f>IF(Технологии!AU33="ИЗУЧЕНО",$E141,0)</x:f>
        <x:v>0</x:v>
      </x:c>
      <x:c r="O141" s="21" t="n">
        <x:f>IF(Технологии!AV33="ИЗУЧЕНО",$E141,0)</x:f>
        <x:v>0</x:v>
      </x:c>
      <x:c r="P141" s="21" t="n">
        <x:f>IF(Технологии!AW33="ИЗУЧЕНО",$E141,0)</x:f>
        <x:v>0</x:v>
      </x:c>
      <x:c r="Q141" s="21" t="n">
        <x:f>IF(Технологии!AX33="ИЗУЧЕНО",$E141,0)</x:f>
        <x:v>0</x:v>
      </x:c>
      <x:c r="R141" s="21" t="n">
        <x:f>IF(Технологии!AY33="ИЗУЧЕНО",$E141,0)</x:f>
        <x:v>0</x:v>
      </x:c>
      <x:c r="S141" s="21" t="n">
        <x:f>IF(Технологии!AZ33="ИЗУЧЕНО",$E141,0)</x:f>
        <x:v>0</x:v>
      </x:c>
      <x:c r="T141" s="21" t="n">
        <x:f>IF(Технологии!BA33="ИЗУЧЕНО",$E141,0)</x:f>
        <x:v>0</x:v>
      </x:c>
      <x:c r="U141" s="21" t="n">
        <x:f>IF(Технологии!BB33="ИЗУЧЕНО",$E141,0)</x:f>
        <x:v>0</x:v>
      </x:c>
      <x:c r="V141" s="21" t="n">
        <x:f>IF(Технологии!BC33="ИЗУЧЕНО",$E141,0)</x:f>
        <x:v>0</x:v>
      </x:c>
      <x:c r="W141" s="21" t="n">
        <x:f>IF(Технологии!BD33="ИЗУЧЕНО",$E141,0)</x:f>
        <x:v>0</x:v>
      </x:c>
      <x:c r="X141" s="21" t="n">
        <x:f>IF(Технологии!BE33="ИЗУЧЕНО",$E141,0)</x:f>
        <x:v>0</x:v>
      </x:c>
      <x:c r="Y141" s="21" t="n">
        <x:f>IF(Технологии!BF33="ИЗУЧЕНО",$E141,0)</x:f>
        <x:v>0</x:v>
      </x:c>
    </x:row>
    <x:row r="142">
      <x:c r="A142" s="19" t="s">
        <x:v>163</x:v>
      </x:c>
      <x:c r="B142" s="18" t="s">
        <x:v>164</x:v>
      </x:c>
      <x:c r="C142" s="18" t="s">
        <x:v>314</x:v>
      </x:c>
      <x:c r="D142" s="18" t="s">
        <x:v>387</x:v>
      </x:c>
      <x:c r="E142" s="20">
        <x:v>0.3</x:v>
      </x:c>
      <x:c r="F142" s="18" t="str">
        <x:f>IF(Технологии!BH33="","",Технологии!BH33)</x:f>
      </x:c>
      <x:c r="G142" s="18" t="s">
        <x:v>474</x:v>
      </x:c>
      <x:c r="J142" s="21" t="n">
        <x:f>0</x:f>
        <x:v>0</x:v>
      </x:c>
      <x:c r="K142" s="21" t="n">
        <x:f>IF(Технологии!AR33="ИЗУЧЕНО",$E142,0)</x:f>
        <x:v>0</x:v>
      </x:c>
      <x:c r="L142" s="21" t="n">
        <x:f>IF(Технологии!AS33="ИЗУЧЕНО",$E142,0)</x:f>
        <x:v>0</x:v>
      </x:c>
      <x:c r="M142" s="21" t="n">
        <x:f>IF(Технологии!AT33="ИЗУЧЕНО",$E142,0)</x:f>
        <x:v>0</x:v>
      </x:c>
      <x:c r="N142" s="21" t="n">
        <x:f>IF(Технологии!AU33="ИЗУЧЕНО",$E142,0)</x:f>
        <x:v>0</x:v>
      </x:c>
      <x:c r="O142" s="21" t="n">
        <x:f>IF(Технологии!AV33="ИЗУЧЕНО",$E142,0)</x:f>
        <x:v>0</x:v>
      </x:c>
      <x:c r="P142" s="21" t="n">
        <x:f>IF(Технологии!AW33="ИЗУЧЕНО",$E142,0)</x:f>
        <x:v>0</x:v>
      </x:c>
      <x:c r="Q142" s="21" t="n">
        <x:f>IF(Технологии!AX33="ИЗУЧЕНО",$E142,0)</x:f>
        <x:v>0</x:v>
      </x:c>
      <x:c r="R142" s="21" t="n">
        <x:f>IF(Технологии!AY33="ИЗУЧЕНО",$E142,0)</x:f>
        <x:v>0</x:v>
      </x:c>
      <x:c r="S142" s="21" t="n">
        <x:f>IF(Технологии!AZ33="ИЗУЧЕНО",$E142,0)</x:f>
        <x:v>0</x:v>
      </x:c>
      <x:c r="T142" s="21" t="n">
        <x:f>IF(Технологии!BA33="ИЗУЧЕНО",$E142,0)</x:f>
        <x:v>0</x:v>
      </x:c>
      <x:c r="U142" s="21" t="n">
        <x:f>IF(Технологии!BB33="ИЗУЧЕНО",$E142,0)</x:f>
        <x:v>0</x:v>
      </x:c>
      <x:c r="V142" s="21" t="n">
        <x:f>IF(Технологии!BC33="ИЗУЧЕНО",$E142,0)</x:f>
        <x:v>0</x:v>
      </x:c>
      <x:c r="W142" s="21" t="n">
        <x:f>IF(Технологии!BD33="ИЗУЧЕНО",$E142,0)</x:f>
        <x:v>0</x:v>
      </x:c>
      <x:c r="X142" s="21" t="n">
        <x:f>IF(Технологии!BE33="ИЗУЧЕНО",$E142,0)</x:f>
        <x:v>0</x:v>
      </x:c>
      <x:c r="Y142" s="21" t="n">
        <x:f>IF(Технологии!BF33="ИЗУЧЕНО",$E142,0)</x:f>
        <x:v>0</x:v>
      </x:c>
    </x:row>
    <x:row r="143">
      <x:c r="A143" s="19" t="s">
        <x:v>163</x:v>
      </x:c>
      <x:c r="B143" s="18" t="s">
        <x:v>164</x:v>
      </x:c>
      <x:c r="C143" s="18" t="s">
        <x:v>293</x:v>
      </x:c>
      <x:c r="D143" s="18" t="s">
        <x:v>387</x:v>
      </x:c>
      <x:c r="E143" s="20">
        <x:v>0.2</x:v>
      </x:c>
      <x:c r="F143" s="18" t="str">
        <x:f>IF(Технологии!BH33="","",Технологии!BH33)</x:f>
      </x:c>
      <x:c r="G143" s="18" t="s">
        <x:v>449</x:v>
      </x:c>
      <x:c r="J143" s="21" t="n">
        <x:f>0</x:f>
        <x:v>0</x:v>
      </x:c>
      <x:c r="K143" s="21" t="n">
        <x:f>IF(Технологии!AR33="ИЗУЧЕНО",$E143,0)</x:f>
        <x:v>0</x:v>
      </x:c>
      <x:c r="L143" s="21" t="n">
        <x:f>IF(Технологии!AS33="ИЗУЧЕНО",$E143,0)</x:f>
        <x:v>0</x:v>
      </x:c>
      <x:c r="M143" s="21" t="n">
        <x:f>IF(Технологии!AT33="ИЗУЧЕНО",$E143,0)</x:f>
        <x:v>0</x:v>
      </x:c>
      <x:c r="N143" s="21" t="n">
        <x:f>IF(Технологии!AU33="ИЗУЧЕНО",$E143,0)</x:f>
        <x:v>0</x:v>
      </x:c>
      <x:c r="O143" s="21" t="n">
        <x:f>IF(Технологии!AV33="ИЗУЧЕНО",$E143,0)</x:f>
        <x:v>0</x:v>
      </x:c>
      <x:c r="P143" s="21" t="n">
        <x:f>IF(Технологии!AW33="ИЗУЧЕНО",$E143,0)</x:f>
        <x:v>0</x:v>
      </x:c>
      <x:c r="Q143" s="21" t="n">
        <x:f>IF(Технологии!AX33="ИЗУЧЕНО",$E143,0)</x:f>
        <x:v>0</x:v>
      </x:c>
      <x:c r="R143" s="21" t="n">
        <x:f>IF(Технологии!AY33="ИЗУЧЕНО",$E143,0)</x:f>
        <x:v>0</x:v>
      </x:c>
      <x:c r="S143" s="21" t="n">
        <x:f>IF(Технологии!AZ33="ИЗУЧЕНО",$E143,0)</x:f>
        <x:v>0</x:v>
      </x:c>
      <x:c r="T143" s="21" t="n">
        <x:f>IF(Технологии!BA33="ИЗУЧЕНО",$E143,0)</x:f>
        <x:v>0</x:v>
      </x:c>
      <x:c r="U143" s="21" t="n">
        <x:f>IF(Технологии!BB33="ИЗУЧЕНО",$E143,0)</x:f>
        <x:v>0</x:v>
      </x:c>
      <x:c r="V143" s="21" t="n">
        <x:f>IF(Технологии!BC33="ИЗУЧЕНО",$E143,0)</x:f>
        <x:v>0</x:v>
      </x:c>
      <x:c r="W143" s="21" t="n">
        <x:f>IF(Технологии!BD33="ИЗУЧЕНО",$E143,0)</x:f>
        <x:v>0</x:v>
      </x:c>
      <x:c r="X143" s="21" t="n">
        <x:f>IF(Технологии!BE33="ИЗУЧЕНО",$E143,0)</x:f>
        <x:v>0</x:v>
      </x:c>
      <x:c r="Y143" s="21" t="n">
        <x:f>IF(Технологии!BF33="ИЗУЧЕНО",$E143,0)</x:f>
        <x:v>0</x:v>
      </x:c>
    </x:row>
    <x:row r="144">
      <x:c r="A144" s="19" t="s">
        <x:v>163</x:v>
      </x:c>
      <x:c r="B144" s="18" t="s">
        <x:v>164</x:v>
      </x:c>
      <x:c r="C144" s="18" t="s">
        <x:v>375</x:v>
      </x:c>
      <x:c r="D144" s="18" t="s">
        <x:v>405</x:v>
      </x:c>
      <x:c r="E144" s="20">
        <x:v>0.1</x:v>
      </x:c>
      <x:c r="F144" s="18" t="str">
        <x:f>IF(Технологии!BH33="","",Технологии!BH33)</x:f>
      </x:c>
      <x:c r="G144" s="18" t="s">
        <x:v>475</x:v>
      </x:c>
      <x:c r="J144" s="21" t="n">
        <x:f>0</x:f>
        <x:v>0</x:v>
      </x:c>
      <x:c r="K144" s="21" t="n">
        <x:f>IF(Технологии!AR33="ИЗУЧЕНО",$E144,0)</x:f>
        <x:v>0</x:v>
      </x:c>
      <x:c r="L144" s="21" t="n">
        <x:f>IF(Технологии!AS33="ИЗУЧЕНО",$E144,0)</x:f>
        <x:v>0</x:v>
      </x:c>
      <x:c r="M144" s="21" t="n">
        <x:f>IF(Технологии!AT33="ИЗУЧЕНО",$E144,0)</x:f>
        <x:v>0</x:v>
      </x:c>
      <x:c r="N144" s="21" t="n">
        <x:f>IF(Технологии!AU33="ИЗУЧЕНО",$E144,0)</x:f>
        <x:v>0</x:v>
      </x:c>
      <x:c r="O144" s="21" t="n">
        <x:f>IF(Технологии!AV33="ИЗУЧЕНО",$E144,0)</x:f>
        <x:v>0</x:v>
      </x:c>
      <x:c r="P144" s="21" t="n">
        <x:f>IF(Технологии!AW33="ИЗУЧЕНО",$E144,0)</x:f>
        <x:v>0</x:v>
      </x:c>
      <x:c r="Q144" s="21" t="n">
        <x:f>IF(Технологии!AX33="ИЗУЧЕНО",$E144,0)</x:f>
        <x:v>0</x:v>
      </x:c>
      <x:c r="R144" s="21" t="n">
        <x:f>IF(Технологии!AY33="ИЗУЧЕНО",$E144,0)</x:f>
        <x:v>0</x:v>
      </x:c>
      <x:c r="S144" s="21" t="n">
        <x:f>IF(Технологии!AZ33="ИЗУЧЕНО",$E144,0)</x:f>
        <x:v>0</x:v>
      </x:c>
      <x:c r="T144" s="21" t="n">
        <x:f>IF(Технологии!BA33="ИЗУЧЕНО",$E144,0)</x:f>
        <x:v>0</x:v>
      </x:c>
      <x:c r="U144" s="21" t="n">
        <x:f>IF(Технологии!BB33="ИЗУЧЕНО",$E144,0)</x:f>
        <x:v>0</x:v>
      </x:c>
      <x:c r="V144" s="21" t="n">
        <x:f>IF(Технологии!BC33="ИЗУЧЕНО",$E144,0)</x:f>
        <x:v>0</x:v>
      </x:c>
      <x:c r="W144" s="21" t="n">
        <x:f>IF(Технологии!BD33="ИЗУЧЕНО",$E144,0)</x:f>
        <x:v>0</x:v>
      </x:c>
      <x:c r="X144" s="21" t="n">
        <x:f>IF(Технологии!BE33="ИЗУЧЕНО",$E144,0)</x:f>
        <x:v>0</x:v>
      </x:c>
      <x:c r="Y144" s="21" t="n">
        <x:f>IF(Технологии!BF33="ИЗУЧЕНО",$E144,0)</x:f>
        <x:v>0</x:v>
      </x:c>
    </x:row>
    <x:row r="145">
      <x:c r="A145" s="19" t="s">
        <x:v>163</x:v>
      </x:c>
      <x:c r="B145" s="18" t="s">
        <x:v>164</x:v>
      </x:c>
      <x:c r="C145" s="18" t="s">
        <x:v>295</x:v>
      </x:c>
      <x:c r="D145" s="18" t="s">
        <x:v>387</x:v>
      </x:c>
      <x:c r="E145" s="20">
        <x:v>-0.25</x:v>
      </x:c>
      <x:c r="F145" s="18" t="str">
        <x:f>IF(Технологии!BH33="","",Технологии!BH33)</x:f>
      </x:c>
      <x:c r="G145" s="18" t="s">
        <x:v>476</x:v>
      </x:c>
      <x:c r="J145" s="21" t="n">
        <x:f>0</x:f>
        <x:v>0</x:v>
      </x:c>
      <x:c r="K145" s="21" t="n">
        <x:f>IF(Технологии!AR33="ИЗУЧЕНО",$E145,0)</x:f>
        <x:v>0</x:v>
      </x:c>
      <x:c r="L145" s="21" t="n">
        <x:f>IF(Технологии!AS33="ИЗУЧЕНО",$E145,0)</x:f>
        <x:v>0</x:v>
      </x:c>
      <x:c r="M145" s="21" t="n">
        <x:f>IF(Технологии!AT33="ИЗУЧЕНО",$E145,0)</x:f>
        <x:v>0</x:v>
      </x:c>
      <x:c r="N145" s="21" t="n">
        <x:f>IF(Технологии!AU33="ИЗУЧЕНО",$E145,0)</x:f>
        <x:v>0</x:v>
      </x:c>
      <x:c r="O145" s="21" t="n">
        <x:f>IF(Технологии!AV33="ИЗУЧЕНО",$E145,0)</x:f>
        <x:v>0</x:v>
      </x:c>
      <x:c r="P145" s="21" t="n">
        <x:f>IF(Технологии!AW33="ИЗУЧЕНО",$E145,0)</x:f>
        <x:v>0</x:v>
      </x:c>
      <x:c r="Q145" s="21" t="n">
        <x:f>IF(Технологии!AX33="ИЗУЧЕНО",$E145,0)</x:f>
        <x:v>0</x:v>
      </x:c>
      <x:c r="R145" s="21" t="n">
        <x:f>IF(Технологии!AY33="ИЗУЧЕНО",$E145,0)</x:f>
        <x:v>0</x:v>
      </x:c>
      <x:c r="S145" s="21" t="n">
        <x:f>IF(Технологии!AZ33="ИЗУЧЕНО",$E145,0)</x:f>
        <x:v>0</x:v>
      </x:c>
      <x:c r="T145" s="21" t="n">
        <x:f>IF(Технологии!BA33="ИЗУЧЕНО",$E145,0)</x:f>
        <x:v>0</x:v>
      </x:c>
      <x:c r="U145" s="21" t="n">
        <x:f>IF(Технологии!BB33="ИЗУЧЕНО",$E145,0)</x:f>
        <x:v>0</x:v>
      </x:c>
      <x:c r="V145" s="21" t="n">
        <x:f>IF(Технологии!BC33="ИЗУЧЕНО",$E145,0)</x:f>
        <x:v>0</x:v>
      </x:c>
      <x:c r="W145" s="21" t="n">
        <x:f>IF(Технологии!BD33="ИЗУЧЕНО",$E145,0)</x:f>
        <x:v>0</x:v>
      </x:c>
      <x:c r="X145" s="21" t="n">
        <x:f>IF(Технологии!BE33="ИЗУЧЕНО",$E145,0)</x:f>
        <x:v>0</x:v>
      </x:c>
      <x:c r="Y145" s="21" t="n">
        <x:f>IF(Технологии!BF33="ИЗУЧЕНО",$E145,0)</x:f>
        <x:v>0</x:v>
      </x:c>
    </x:row>
    <x:row r="146">
      <x:c r="A146" s="19" t="s">
        <x:v>163</x:v>
      </x:c>
      <x:c r="B146" s="18" t="s">
        <x:v>164</x:v>
      </x:c>
      <x:c r="C146" s="18" t="s">
        <x:v>294</x:v>
      </x:c>
      <x:c r="D146" s="18" t="s">
        <x:v>387</x:v>
      </x:c>
      <x:c r="E146" s="20">
        <x:v>-0.2</x:v>
      </x:c>
      <x:c r="F146" s="18" t="str">
        <x:f>IF(Технологии!BH33="","",Технологии!BH33)</x:f>
      </x:c>
      <x:c r="G146" s="18" t="s">
        <x:v>469</x:v>
      </x:c>
      <x:c r="J146" s="21" t="n">
        <x:f>0</x:f>
        <x:v>0</x:v>
      </x:c>
      <x:c r="K146" s="21" t="n">
        <x:f>IF(Технологии!AR33="ИЗУЧЕНО",$E146,0)</x:f>
        <x:v>0</x:v>
      </x:c>
      <x:c r="L146" s="21" t="n">
        <x:f>IF(Технологии!AS33="ИЗУЧЕНО",$E146,0)</x:f>
        <x:v>0</x:v>
      </x:c>
      <x:c r="M146" s="21" t="n">
        <x:f>IF(Технологии!AT33="ИЗУЧЕНО",$E146,0)</x:f>
        <x:v>0</x:v>
      </x:c>
      <x:c r="N146" s="21" t="n">
        <x:f>IF(Технологии!AU33="ИЗУЧЕНО",$E146,0)</x:f>
        <x:v>0</x:v>
      </x:c>
      <x:c r="O146" s="21" t="n">
        <x:f>IF(Технологии!AV33="ИЗУЧЕНО",$E146,0)</x:f>
        <x:v>0</x:v>
      </x:c>
      <x:c r="P146" s="21" t="n">
        <x:f>IF(Технологии!AW33="ИЗУЧЕНО",$E146,0)</x:f>
        <x:v>0</x:v>
      </x:c>
      <x:c r="Q146" s="21" t="n">
        <x:f>IF(Технологии!AX33="ИЗУЧЕНО",$E146,0)</x:f>
        <x:v>0</x:v>
      </x:c>
      <x:c r="R146" s="21" t="n">
        <x:f>IF(Технологии!AY33="ИЗУЧЕНО",$E146,0)</x:f>
        <x:v>0</x:v>
      </x:c>
      <x:c r="S146" s="21" t="n">
        <x:f>IF(Технологии!AZ33="ИЗУЧЕНО",$E146,0)</x:f>
        <x:v>0</x:v>
      </x:c>
      <x:c r="T146" s="21" t="n">
        <x:f>IF(Технологии!BA33="ИЗУЧЕНО",$E146,0)</x:f>
        <x:v>0</x:v>
      </x:c>
      <x:c r="U146" s="21" t="n">
        <x:f>IF(Технологии!BB33="ИЗУЧЕНО",$E146,0)</x:f>
        <x:v>0</x:v>
      </x:c>
      <x:c r="V146" s="21" t="n">
        <x:f>IF(Технологии!BC33="ИЗУЧЕНО",$E146,0)</x:f>
        <x:v>0</x:v>
      </x:c>
      <x:c r="W146" s="21" t="n">
        <x:f>IF(Технологии!BD33="ИЗУЧЕНО",$E146,0)</x:f>
        <x:v>0</x:v>
      </x:c>
      <x:c r="X146" s="21" t="n">
        <x:f>IF(Технологии!BE33="ИЗУЧЕНО",$E146,0)</x:f>
        <x:v>0</x:v>
      </x:c>
      <x:c r="Y146" s="21" t="n">
        <x:f>IF(Технологии!BF33="ИЗУЧЕНО",$E146,0)</x:f>
        <x:v>0</x:v>
      </x:c>
    </x:row>
    <x:row r="147">
      <x:c r="A147" s="19" t="s">
        <x:v>163</x:v>
      </x:c>
      <x:c r="B147" s="18" t="s">
        <x:v>164</x:v>
      </x:c>
      <x:c r="C147" s="18" t="s">
        <x:v>311</x:v>
      </x:c>
      <x:c r="D147" s="18" t="s">
        <x:v>387</x:v>
      </x:c>
      <x:c r="E147" s="20">
        <x:v>-0.15</x:v>
      </x:c>
      <x:c r="F147" s="18" t="str">
        <x:f>IF(Технологии!BH33="","",Технологии!BH33)</x:f>
      </x:c>
      <x:c r="G147" s="18" t="s">
        <x:v>436</x:v>
      </x:c>
      <x:c r="J147" s="21" t="n">
        <x:f>0</x:f>
        <x:v>0</x:v>
      </x:c>
      <x:c r="K147" s="21" t="n">
        <x:f>IF(Технологии!AR33="ИЗУЧЕНО",$E147,0)</x:f>
        <x:v>0</x:v>
      </x:c>
      <x:c r="L147" s="21" t="n">
        <x:f>IF(Технологии!AS33="ИЗУЧЕНО",$E147,0)</x:f>
        <x:v>0</x:v>
      </x:c>
      <x:c r="M147" s="21" t="n">
        <x:f>IF(Технологии!AT33="ИЗУЧЕНО",$E147,0)</x:f>
        <x:v>0</x:v>
      </x:c>
      <x:c r="N147" s="21" t="n">
        <x:f>IF(Технологии!AU33="ИЗУЧЕНО",$E147,0)</x:f>
        <x:v>0</x:v>
      </x:c>
      <x:c r="O147" s="21" t="n">
        <x:f>IF(Технологии!AV33="ИЗУЧЕНО",$E147,0)</x:f>
        <x:v>0</x:v>
      </x:c>
      <x:c r="P147" s="21" t="n">
        <x:f>IF(Технологии!AW33="ИЗУЧЕНО",$E147,0)</x:f>
        <x:v>0</x:v>
      </x:c>
      <x:c r="Q147" s="21" t="n">
        <x:f>IF(Технологии!AX33="ИЗУЧЕНО",$E147,0)</x:f>
        <x:v>0</x:v>
      </x:c>
      <x:c r="R147" s="21" t="n">
        <x:f>IF(Технологии!AY33="ИЗУЧЕНО",$E147,0)</x:f>
        <x:v>0</x:v>
      </x:c>
      <x:c r="S147" s="21" t="n">
        <x:f>IF(Технологии!AZ33="ИЗУЧЕНО",$E147,0)</x:f>
        <x:v>0</x:v>
      </x:c>
      <x:c r="T147" s="21" t="n">
        <x:f>IF(Технологии!BA33="ИЗУЧЕНО",$E147,0)</x:f>
        <x:v>0</x:v>
      </x:c>
      <x:c r="U147" s="21" t="n">
        <x:f>IF(Технологии!BB33="ИЗУЧЕНО",$E147,0)</x:f>
        <x:v>0</x:v>
      </x:c>
      <x:c r="V147" s="21" t="n">
        <x:f>IF(Технологии!BC33="ИЗУЧЕНО",$E147,0)</x:f>
        <x:v>0</x:v>
      </x:c>
      <x:c r="W147" s="21" t="n">
        <x:f>IF(Технологии!BD33="ИЗУЧЕНО",$E147,0)</x:f>
        <x:v>0</x:v>
      </x:c>
      <x:c r="X147" s="21" t="n">
        <x:f>IF(Технологии!BE33="ИЗУЧЕНО",$E147,0)</x:f>
        <x:v>0</x:v>
      </x:c>
      <x:c r="Y147" s="21" t="n">
        <x:f>IF(Технологии!BF33="ИЗУЧЕНО",$E147,0)</x:f>
        <x:v>0</x:v>
      </x:c>
    </x:row>
    <x:row r="148">
      <x:c r="A148" s="19" t="s">
        <x:v>167</x:v>
      </x:c>
      <x:c r="B148" s="18" t="s">
        <x:v>168</x:v>
      </x:c>
      <x:c r="C148" s="18" t="s">
        <x:v>269</x:v>
      </x:c>
      <x:c r="D148" s="18" t="s">
        <x:v>387</x:v>
      </x:c>
      <x:c r="E148" s="20">
        <x:v>0.4</x:v>
      </x:c>
      <x:c r="F148" s="18" t="str">
        <x:f>IF(Технологии!BH34="","",Технологии!BH34)</x:f>
      </x:c>
      <x:c r="G148" s="18" t="s">
        <x:v>477</x:v>
      </x:c>
      <x:c r="J148" s="21" t="n">
        <x:f>0</x:f>
        <x:v>0</x:v>
      </x:c>
      <x:c r="K148" s="21" t="n">
        <x:f>IF(Технологии!AR34="ИЗУЧЕНО",$E148,0)</x:f>
        <x:v>0</x:v>
      </x:c>
      <x:c r="L148" s="21" t="n">
        <x:f>IF(Технологии!AS34="ИЗУЧЕНО",$E148,0)</x:f>
        <x:v>0</x:v>
      </x:c>
      <x:c r="M148" s="21" t="n">
        <x:f>IF(Технологии!AT34="ИЗУЧЕНО",$E148,0)</x:f>
        <x:v>0</x:v>
      </x:c>
      <x:c r="N148" s="21" t="n">
        <x:f>IF(Технологии!AU34="ИЗУЧЕНО",$E148,0)</x:f>
        <x:v>0</x:v>
      </x:c>
      <x:c r="O148" s="21" t="n">
        <x:f>IF(Технологии!AV34="ИЗУЧЕНО",$E148,0)</x:f>
        <x:v>0</x:v>
      </x:c>
      <x:c r="P148" s="21" t="n">
        <x:f>IF(Технологии!AW34="ИЗУЧЕНО",$E148,0)</x:f>
        <x:v>0</x:v>
      </x:c>
      <x:c r="Q148" s="21" t="n">
        <x:f>IF(Технологии!AX34="ИЗУЧЕНО",$E148,0)</x:f>
        <x:v>0</x:v>
      </x:c>
      <x:c r="R148" s="21" t="n">
        <x:f>IF(Технологии!AY34="ИЗУЧЕНО",$E148,0)</x:f>
        <x:v>0</x:v>
      </x:c>
      <x:c r="S148" s="21" t="n">
        <x:f>IF(Технологии!AZ34="ИЗУЧЕНО",$E148,0)</x:f>
        <x:v>0</x:v>
      </x:c>
      <x:c r="T148" s="21" t="n">
        <x:f>IF(Технологии!BA34="ИЗУЧЕНО",$E148,0)</x:f>
        <x:v>0</x:v>
      </x:c>
      <x:c r="U148" s="21" t="n">
        <x:f>IF(Технологии!BB34="ИЗУЧЕНО",$E148,0)</x:f>
        <x:v>0</x:v>
      </x:c>
      <x:c r="V148" s="21" t="n">
        <x:f>IF(Технологии!BC34="ИЗУЧЕНО",$E148,0)</x:f>
        <x:v>0</x:v>
      </x:c>
      <x:c r="W148" s="21" t="n">
        <x:f>IF(Технологии!BD34="ИЗУЧЕНО",$E148,0)</x:f>
        <x:v>0</x:v>
      </x:c>
      <x:c r="X148" s="21" t="n">
        <x:f>IF(Технологии!BE34="ИЗУЧЕНО",$E148,0)</x:f>
        <x:v>0</x:v>
      </x:c>
      <x:c r="Y148" s="21" t="n">
        <x:f>IF(Технологии!BF34="ИЗУЧЕНО",$E148,0)</x:f>
        <x:v>0</x:v>
      </x:c>
    </x:row>
    <x:row r="149">
      <x:c r="A149" s="19" t="s">
        <x:v>167</x:v>
      </x:c>
      <x:c r="B149" s="18" t="s">
        <x:v>168</x:v>
      </x:c>
      <x:c r="C149" s="18" t="s">
        <x:v>279</x:v>
      </x:c>
      <x:c r="D149" s="18" t="s">
        <x:v>387</x:v>
      </x:c>
      <x:c r="E149" s="20">
        <x:v>0.3</x:v>
      </x:c>
      <x:c r="F149" s="18" t="str">
        <x:f>IF(Технологии!BH34="","",Технологии!BH34)</x:f>
      </x:c>
      <x:c r="G149" s="18" t="s">
        <x:v>478</x:v>
      </x:c>
      <x:c r="J149" s="21" t="n">
        <x:f>0</x:f>
        <x:v>0</x:v>
      </x:c>
      <x:c r="K149" s="21" t="n">
        <x:f>IF(Технологии!AR34="ИЗУЧЕНО",$E149,0)</x:f>
        <x:v>0</x:v>
      </x:c>
      <x:c r="L149" s="21" t="n">
        <x:f>IF(Технологии!AS34="ИЗУЧЕНО",$E149,0)</x:f>
        <x:v>0</x:v>
      </x:c>
      <x:c r="M149" s="21" t="n">
        <x:f>IF(Технологии!AT34="ИЗУЧЕНО",$E149,0)</x:f>
        <x:v>0</x:v>
      </x:c>
      <x:c r="N149" s="21" t="n">
        <x:f>IF(Технологии!AU34="ИЗУЧЕНО",$E149,0)</x:f>
        <x:v>0</x:v>
      </x:c>
      <x:c r="O149" s="21" t="n">
        <x:f>IF(Технологии!AV34="ИЗУЧЕНО",$E149,0)</x:f>
        <x:v>0</x:v>
      </x:c>
      <x:c r="P149" s="21" t="n">
        <x:f>IF(Технологии!AW34="ИЗУЧЕНО",$E149,0)</x:f>
        <x:v>0</x:v>
      </x:c>
      <x:c r="Q149" s="21" t="n">
        <x:f>IF(Технологии!AX34="ИЗУЧЕНО",$E149,0)</x:f>
        <x:v>0</x:v>
      </x:c>
      <x:c r="R149" s="21" t="n">
        <x:f>IF(Технологии!AY34="ИЗУЧЕНО",$E149,0)</x:f>
        <x:v>0</x:v>
      </x:c>
      <x:c r="S149" s="21" t="n">
        <x:f>IF(Технологии!AZ34="ИЗУЧЕНО",$E149,0)</x:f>
        <x:v>0</x:v>
      </x:c>
      <x:c r="T149" s="21" t="n">
        <x:f>IF(Технологии!BA34="ИЗУЧЕНО",$E149,0)</x:f>
        <x:v>0</x:v>
      </x:c>
      <x:c r="U149" s="21" t="n">
        <x:f>IF(Технологии!BB34="ИЗУЧЕНО",$E149,0)</x:f>
        <x:v>0</x:v>
      </x:c>
      <x:c r="V149" s="21" t="n">
        <x:f>IF(Технологии!BC34="ИЗУЧЕНО",$E149,0)</x:f>
        <x:v>0</x:v>
      </x:c>
      <x:c r="W149" s="21" t="n">
        <x:f>IF(Технологии!BD34="ИЗУЧЕНО",$E149,0)</x:f>
        <x:v>0</x:v>
      </x:c>
      <x:c r="X149" s="21" t="n">
        <x:f>IF(Технологии!BE34="ИЗУЧЕНО",$E149,0)</x:f>
        <x:v>0</x:v>
      </x:c>
      <x:c r="Y149" s="21" t="n">
        <x:f>IF(Технологии!BF34="ИЗУЧЕНО",$E149,0)</x:f>
        <x:v>0</x:v>
      </x:c>
    </x:row>
    <x:row r="150">
      <x:c r="A150" s="19" t="s">
        <x:v>167</x:v>
      </x:c>
      <x:c r="B150" s="18" t="s">
        <x:v>168</x:v>
      </x:c>
      <x:c r="C150" s="18" t="s">
        <x:v>271</x:v>
      </x:c>
      <x:c r="D150" s="18" t="s">
        <x:v>387</x:v>
      </x:c>
      <x:c r="E150" s="20">
        <x:v>0.25</x:v>
      </x:c>
      <x:c r="F150" s="18" t="str">
        <x:f>IF(Технологии!BH34="","",Технологии!BH34)</x:f>
      </x:c>
      <x:c r="G150" s="18" t="s">
        <x:v>479</x:v>
      </x:c>
      <x:c r="J150" s="21" t="n">
        <x:f>0</x:f>
        <x:v>0</x:v>
      </x:c>
      <x:c r="K150" s="21" t="n">
        <x:f>IF(Технологии!AR34="ИЗУЧЕНО",$E150,0)</x:f>
        <x:v>0</x:v>
      </x:c>
      <x:c r="L150" s="21" t="n">
        <x:f>IF(Технологии!AS34="ИЗУЧЕНО",$E150,0)</x:f>
        <x:v>0</x:v>
      </x:c>
      <x:c r="M150" s="21" t="n">
        <x:f>IF(Технологии!AT34="ИЗУЧЕНО",$E150,0)</x:f>
        <x:v>0</x:v>
      </x:c>
      <x:c r="N150" s="21" t="n">
        <x:f>IF(Технологии!AU34="ИЗУЧЕНО",$E150,0)</x:f>
        <x:v>0</x:v>
      </x:c>
      <x:c r="O150" s="21" t="n">
        <x:f>IF(Технологии!AV34="ИЗУЧЕНО",$E150,0)</x:f>
        <x:v>0</x:v>
      </x:c>
      <x:c r="P150" s="21" t="n">
        <x:f>IF(Технологии!AW34="ИЗУЧЕНО",$E150,0)</x:f>
        <x:v>0</x:v>
      </x:c>
      <x:c r="Q150" s="21" t="n">
        <x:f>IF(Технологии!AX34="ИЗУЧЕНО",$E150,0)</x:f>
        <x:v>0</x:v>
      </x:c>
      <x:c r="R150" s="21" t="n">
        <x:f>IF(Технологии!AY34="ИЗУЧЕНО",$E150,0)</x:f>
        <x:v>0</x:v>
      </x:c>
      <x:c r="S150" s="21" t="n">
        <x:f>IF(Технологии!AZ34="ИЗУЧЕНО",$E150,0)</x:f>
        <x:v>0</x:v>
      </x:c>
      <x:c r="T150" s="21" t="n">
        <x:f>IF(Технологии!BA34="ИЗУЧЕНО",$E150,0)</x:f>
        <x:v>0</x:v>
      </x:c>
      <x:c r="U150" s="21" t="n">
        <x:f>IF(Технологии!BB34="ИЗУЧЕНО",$E150,0)</x:f>
        <x:v>0</x:v>
      </x:c>
      <x:c r="V150" s="21" t="n">
        <x:f>IF(Технологии!BC34="ИЗУЧЕНО",$E150,0)</x:f>
        <x:v>0</x:v>
      </x:c>
      <x:c r="W150" s="21" t="n">
        <x:f>IF(Технологии!BD34="ИЗУЧЕНО",$E150,0)</x:f>
        <x:v>0</x:v>
      </x:c>
      <x:c r="X150" s="21" t="n">
        <x:f>IF(Технологии!BE34="ИЗУЧЕНО",$E150,0)</x:f>
        <x:v>0</x:v>
      </x:c>
      <x:c r="Y150" s="21" t="n">
        <x:f>IF(Технологии!BF34="ИЗУЧЕНО",$E150,0)</x:f>
        <x:v>0</x:v>
      </x:c>
    </x:row>
    <x:row r="151">
      <x:c r="A151" s="19" t="s">
        <x:v>167</x:v>
      </x:c>
      <x:c r="B151" s="18" t="s">
        <x:v>168</x:v>
      </x:c>
      <x:c r="C151" s="18" t="s">
        <x:v>277</x:v>
      </x:c>
      <x:c r="D151" s="18" t="s">
        <x:v>414</x:v>
      </x:c>
      <x:c r="E151" s="20">
        <x:v>0.1</x:v>
      </x:c>
      <x:c r="F151" s="18" t="str">
        <x:f>IF(Технологии!BH34="","",Технологии!BH34)</x:f>
      </x:c>
      <x:c r="G151" s="18" t="s">
        <x:v>480</x:v>
      </x:c>
      <x:c r="J151" s="21" t="n">
        <x:f>0</x:f>
        <x:v>0</x:v>
      </x:c>
      <x:c r="K151" s="21" t="n">
        <x:f>IF(Технологии!AR34="ИЗУЧЕНО",$E151,0)</x:f>
        <x:v>0</x:v>
      </x:c>
      <x:c r="L151" s="21" t="n">
        <x:f>IF(Технологии!AS34="ИЗУЧЕНО",$E151,0)</x:f>
        <x:v>0</x:v>
      </x:c>
      <x:c r="M151" s="21" t="n">
        <x:f>IF(Технологии!AT34="ИЗУЧЕНО",$E151,0)</x:f>
        <x:v>0</x:v>
      </x:c>
      <x:c r="N151" s="21" t="n">
        <x:f>IF(Технологии!AU34="ИЗУЧЕНО",$E151,0)</x:f>
        <x:v>0</x:v>
      </x:c>
      <x:c r="O151" s="21" t="n">
        <x:f>IF(Технологии!AV34="ИЗУЧЕНО",$E151,0)</x:f>
        <x:v>0</x:v>
      </x:c>
      <x:c r="P151" s="21" t="n">
        <x:f>IF(Технологии!AW34="ИЗУЧЕНО",$E151,0)</x:f>
        <x:v>0</x:v>
      </x:c>
      <x:c r="Q151" s="21" t="n">
        <x:f>IF(Технологии!AX34="ИЗУЧЕНО",$E151,0)</x:f>
        <x:v>0</x:v>
      </x:c>
      <x:c r="R151" s="21" t="n">
        <x:f>IF(Технологии!AY34="ИЗУЧЕНО",$E151,0)</x:f>
        <x:v>0</x:v>
      </x:c>
      <x:c r="S151" s="21" t="n">
        <x:f>IF(Технологии!AZ34="ИЗУЧЕНО",$E151,0)</x:f>
        <x:v>0</x:v>
      </x:c>
      <x:c r="T151" s="21" t="n">
        <x:f>IF(Технологии!BA34="ИЗУЧЕНО",$E151,0)</x:f>
        <x:v>0</x:v>
      </x:c>
      <x:c r="U151" s="21" t="n">
        <x:f>IF(Технологии!BB34="ИЗУЧЕНО",$E151,0)</x:f>
        <x:v>0</x:v>
      </x:c>
      <x:c r="V151" s="21" t="n">
        <x:f>IF(Технологии!BC34="ИЗУЧЕНО",$E151,0)</x:f>
        <x:v>0</x:v>
      </x:c>
      <x:c r="W151" s="21" t="n">
        <x:f>IF(Технологии!BD34="ИЗУЧЕНО",$E151,0)</x:f>
        <x:v>0</x:v>
      </x:c>
      <x:c r="X151" s="21" t="n">
        <x:f>IF(Технологии!BE34="ИЗУЧЕНО",$E151,0)</x:f>
        <x:v>0</x:v>
      </x:c>
      <x:c r="Y151" s="21" t="n">
        <x:f>IF(Технологии!BF34="ИЗУЧЕНО",$E151,0)</x:f>
        <x:v>0</x:v>
      </x:c>
    </x:row>
    <x:row r="152">
      <x:c r="A152" s="19" t="s">
        <x:v>167</x:v>
      </x:c>
      <x:c r="B152" s="18" t="s">
        <x:v>168</x:v>
      </x:c>
      <x:c r="C152" s="18" t="s">
        <x:v>378</x:v>
      </x:c>
      <x:c r="D152" s="18" t="s">
        <x:v>405</x:v>
      </x:c>
      <x:c r="E152" s="20">
        <x:v>0.15</x:v>
      </x:c>
      <x:c r="F152" s="18" t="str">
        <x:f>IF(Технологии!BH34="","",Технологии!BH34)</x:f>
      </x:c>
      <x:c r="G152" s="18" t="s">
        <x:v>481</x:v>
      </x:c>
      <x:c r="J152" s="21" t="n">
        <x:f>0</x:f>
        <x:v>0</x:v>
      </x:c>
      <x:c r="K152" s="21" t="n">
        <x:f>IF(Технологии!AR34="ИЗУЧЕНО",$E152,0)</x:f>
        <x:v>0</x:v>
      </x:c>
      <x:c r="L152" s="21" t="n">
        <x:f>IF(Технологии!AS34="ИЗУЧЕНО",$E152,0)</x:f>
        <x:v>0</x:v>
      </x:c>
      <x:c r="M152" s="21" t="n">
        <x:f>IF(Технологии!AT34="ИЗУЧЕНО",$E152,0)</x:f>
        <x:v>0</x:v>
      </x:c>
      <x:c r="N152" s="21" t="n">
        <x:f>IF(Технологии!AU34="ИЗУЧЕНО",$E152,0)</x:f>
        <x:v>0</x:v>
      </x:c>
      <x:c r="O152" s="21" t="n">
        <x:f>IF(Технологии!AV34="ИЗУЧЕНО",$E152,0)</x:f>
        <x:v>0</x:v>
      </x:c>
      <x:c r="P152" s="21" t="n">
        <x:f>IF(Технологии!AW34="ИЗУЧЕНО",$E152,0)</x:f>
        <x:v>0</x:v>
      </x:c>
      <x:c r="Q152" s="21" t="n">
        <x:f>IF(Технологии!AX34="ИЗУЧЕНО",$E152,0)</x:f>
        <x:v>0</x:v>
      </x:c>
      <x:c r="R152" s="21" t="n">
        <x:f>IF(Технологии!AY34="ИЗУЧЕНО",$E152,0)</x:f>
        <x:v>0</x:v>
      </x:c>
      <x:c r="S152" s="21" t="n">
        <x:f>IF(Технологии!AZ34="ИЗУЧЕНО",$E152,0)</x:f>
        <x:v>0</x:v>
      </x:c>
      <x:c r="T152" s="21" t="n">
        <x:f>IF(Технологии!BA34="ИЗУЧЕНО",$E152,0)</x:f>
        <x:v>0</x:v>
      </x:c>
      <x:c r="U152" s="21" t="n">
        <x:f>IF(Технологии!BB34="ИЗУЧЕНО",$E152,0)</x:f>
        <x:v>0</x:v>
      </x:c>
      <x:c r="V152" s="21" t="n">
        <x:f>IF(Технологии!BC34="ИЗУЧЕНО",$E152,0)</x:f>
        <x:v>0</x:v>
      </x:c>
      <x:c r="W152" s="21" t="n">
        <x:f>IF(Технологии!BD34="ИЗУЧЕНО",$E152,0)</x:f>
        <x:v>0</x:v>
      </x:c>
      <x:c r="X152" s="21" t="n">
        <x:f>IF(Технологии!BE34="ИЗУЧЕНО",$E152,0)</x:f>
        <x:v>0</x:v>
      </x:c>
      <x:c r="Y152" s="21" t="n">
        <x:f>IF(Технологии!BF34="ИЗУЧЕНО",$E152,0)</x:f>
        <x:v>0</x:v>
      </x:c>
    </x:row>
    <x:row r="153">
      <x:c r="A153" s="19" t="s">
        <x:v>167</x:v>
      </x:c>
      <x:c r="B153" s="18" t="s">
        <x:v>168</x:v>
      </x:c>
      <x:c r="C153" s="18" t="s">
        <x:v>379</x:v>
      </x:c>
      <x:c r="D153" s="18" t="s">
        <x:v>405</x:v>
      </x:c>
      <x:c r="E153" s="20">
        <x:v>0.15</x:v>
      </x:c>
      <x:c r="F153" s="18" t="str">
        <x:f>IF(Технологии!BH34="","",Технологии!BH34)</x:f>
      </x:c>
      <x:c r="G153" s="18" t="s">
        <x:v>482</x:v>
      </x:c>
      <x:c r="J153" s="21" t="n">
        <x:f>0</x:f>
        <x:v>0</x:v>
      </x:c>
      <x:c r="K153" s="21" t="n">
        <x:f>IF(Технологии!AR34="ИЗУЧЕНО",$E153,0)</x:f>
        <x:v>0</x:v>
      </x:c>
      <x:c r="L153" s="21" t="n">
        <x:f>IF(Технологии!AS34="ИЗУЧЕНО",$E153,0)</x:f>
        <x:v>0</x:v>
      </x:c>
      <x:c r="M153" s="21" t="n">
        <x:f>IF(Технологии!AT34="ИЗУЧЕНО",$E153,0)</x:f>
        <x:v>0</x:v>
      </x:c>
      <x:c r="N153" s="21" t="n">
        <x:f>IF(Технологии!AU34="ИЗУЧЕНО",$E153,0)</x:f>
        <x:v>0</x:v>
      </x:c>
      <x:c r="O153" s="21" t="n">
        <x:f>IF(Технологии!AV34="ИЗУЧЕНО",$E153,0)</x:f>
        <x:v>0</x:v>
      </x:c>
      <x:c r="P153" s="21" t="n">
        <x:f>IF(Технологии!AW34="ИЗУЧЕНО",$E153,0)</x:f>
        <x:v>0</x:v>
      </x:c>
      <x:c r="Q153" s="21" t="n">
        <x:f>IF(Технологии!AX34="ИЗУЧЕНО",$E153,0)</x:f>
        <x:v>0</x:v>
      </x:c>
      <x:c r="R153" s="21" t="n">
        <x:f>IF(Технологии!AY34="ИЗУЧЕНО",$E153,0)</x:f>
        <x:v>0</x:v>
      </x:c>
      <x:c r="S153" s="21" t="n">
        <x:f>IF(Технологии!AZ34="ИЗУЧЕНО",$E153,0)</x:f>
        <x:v>0</x:v>
      </x:c>
      <x:c r="T153" s="21" t="n">
        <x:f>IF(Технологии!BA34="ИЗУЧЕНО",$E153,0)</x:f>
        <x:v>0</x:v>
      </x:c>
      <x:c r="U153" s="21" t="n">
        <x:f>IF(Технологии!BB34="ИЗУЧЕНО",$E153,0)</x:f>
        <x:v>0</x:v>
      </x:c>
      <x:c r="V153" s="21" t="n">
        <x:f>IF(Технологии!BC34="ИЗУЧЕНО",$E153,0)</x:f>
        <x:v>0</x:v>
      </x:c>
      <x:c r="W153" s="21" t="n">
        <x:f>IF(Технологии!BD34="ИЗУЧЕНО",$E153,0)</x:f>
        <x:v>0</x:v>
      </x:c>
      <x:c r="X153" s="21" t="n">
        <x:f>IF(Технологии!BE34="ИЗУЧЕНО",$E153,0)</x:f>
        <x:v>0</x:v>
      </x:c>
      <x:c r="Y153" s="21" t="n">
        <x:f>IF(Технологии!BF34="ИЗУЧЕНО",$E153,0)</x:f>
        <x:v>0</x:v>
      </x:c>
    </x:row>
    <x:row r="154">
      <x:c r="A154" s="19" t="s">
        <x:v>167</x:v>
      </x:c>
      <x:c r="B154" s="18" t="s">
        <x:v>168</x:v>
      </x:c>
      <x:c r="C154" s="18" t="s">
        <x:v>295</x:v>
      </x:c>
      <x:c r="D154" s="18" t="s">
        <x:v>387</x:v>
      </x:c>
      <x:c r="E154" s="20">
        <x:v>-0.3</x:v>
      </x:c>
      <x:c r="F154" s="18" t="str">
        <x:f>IF(Технологии!BH34="","",Технологии!BH34)</x:f>
      </x:c>
      <x:c r="G154" s="18" t="s">
        <x:v>483</x:v>
      </x:c>
      <x:c r="J154" s="21" t="n">
        <x:f>0</x:f>
        <x:v>0</x:v>
      </x:c>
      <x:c r="K154" s="21" t="n">
        <x:f>IF(Технологии!AR34="ИЗУЧЕНО",$E154,0)</x:f>
        <x:v>0</x:v>
      </x:c>
      <x:c r="L154" s="21" t="n">
        <x:f>IF(Технологии!AS34="ИЗУЧЕНО",$E154,0)</x:f>
        <x:v>0</x:v>
      </x:c>
      <x:c r="M154" s="21" t="n">
        <x:f>IF(Технологии!AT34="ИЗУЧЕНО",$E154,0)</x:f>
        <x:v>0</x:v>
      </x:c>
      <x:c r="N154" s="21" t="n">
        <x:f>IF(Технологии!AU34="ИЗУЧЕНО",$E154,0)</x:f>
        <x:v>0</x:v>
      </x:c>
      <x:c r="O154" s="21" t="n">
        <x:f>IF(Технологии!AV34="ИЗУЧЕНО",$E154,0)</x:f>
        <x:v>0</x:v>
      </x:c>
      <x:c r="P154" s="21" t="n">
        <x:f>IF(Технологии!AW34="ИЗУЧЕНО",$E154,0)</x:f>
        <x:v>0</x:v>
      </x:c>
      <x:c r="Q154" s="21" t="n">
        <x:f>IF(Технологии!AX34="ИЗУЧЕНО",$E154,0)</x:f>
        <x:v>0</x:v>
      </x:c>
      <x:c r="R154" s="21" t="n">
        <x:f>IF(Технологии!AY34="ИЗУЧЕНО",$E154,0)</x:f>
        <x:v>0</x:v>
      </x:c>
      <x:c r="S154" s="21" t="n">
        <x:f>IF(Технологии!AZ34="ИЗУЧЕНО",$E154,0)</x:f>
        <x:v>0</x:v>
      </x:c>
      <x:c r="T154" s="21" t="n">
        <x:f>IF(Технологии!BA34="ИЗУЧЕНО",$E154,0)</x:f>
        <x:v>0</x:v>
      </x:c>
      <x:c r="U154" s="21" t="n">
        <x:f>IF(Технологии!BB34="ИЗУЧЕНО",$E154,0)</x:f>
        <x:v>0</x:v>
      </x:c>
      <x:c r="V154" s="21" t="n">
        <x:f>IF(Технологии!BC34="ИЗУЧЕНО",$E154,0)</x:f>
        <x:v>0</x:v>
      </x:c>
      <x:c r="W154" s="21" t="n">
        <x:f>IF(Технологии!BD34="ИЗУЧЕНО",$E154,0)</x:f>
        <x:v>0</x:v>
      </x:c>
      <x:c r="X154" s="21" t="n">
        <x:f>IF(Технологии!BE34="ИЗУЧЕНО",$E154,0)</x:f>
        <x:v>0</x:v>
      </x:c>
      <x:c r="Y154" s="21" t="n">
        <x:f>IF(Технологии!BF34="ИЗУЧЕНО",$E154,0)</x:f>
        <x:v>0</x:v>
      </x:c>
    </x:row>
    <x:row r="155">
      <x:c r="A155" s="19" t="s">
        <x:v>167</x:v>
      </x:c>
      <x:c r="B155" s="18" t="s">
        <x:v>168</x:v>
      </x:c>
      <x:c r="C155" s="18" t="s">
        <x:v>294</x:v>
      </x:c>
      <x:c r="D155" s="18" t="s">
        <x:v>387</x:v>
      </x:c>
      <x:c r="E155" s="20">
        <x:v>-0.25</x:v>
      </x:c>
      <x:c r="F155" s="18" t="str">
        <x:f>IF(Технологии!BH34="","",Технологии!BH34)</x:f>
      </x:c>
      <x:c r="G155" s="18" t="s">
        <x:v>484</x:v>
      </x:c>
      <x:c r="J155" s="21" t="n">
        <x:f>0</x:f>
        <x:v>0</x:v>
      </x:c>
      <x:c r="K155" s="21" t="n">
        <x:f>IF(Технологии!AR34="ИЗУЧЕНО",$E155,0)</x:f>
        <x:v>0</x:v>
      </x:c>
      <x:c r="L155" s="21" t="n">
        <x:f>IF(Технологии!AS34="ИЗУЧЕНО",$E155,0)</x:f>
        <x:v>0</x:v>
      </x:c>
      <x:c r="M155" s="21" t="n">
        <x:f>IF(Технологии!AT34="ИЗУЧЕНО",$E155,0)</x:f>
        <x:v>0</x:v>
      </x:c>
      <x:c r="N155" s="21" t="n">
        <x:f>IF(Технологии!AU34="ИЗУЧЕНО",$E155,0)</x:f>
        <x:v>0</x:v>
      </x:c>
      <x:c r="O155" s="21" t="n">
        <x:f>IF(Технологии!AV34="ИЗУЧЕНО",$E155,0)</x:f>
        <x:v>0</x:v>
      </x:c>
      <x:c r="P155" s="21" t="n">
        <x:f>IF(Технологии!AW34="ИЗУЧЕНО",$E155,0)</x:f>
        <x:v>0</x:v>
      </x:c>
      <x:c r="Q155" s="21" t="n">
        <x:f>IF(Технологии!AX34="ИЗУЧЕНО",$E155,0)</x:f>
        <x:v>0</x:v>
      </x:c>
      <x:c r="R155" s="21" t="n">
        <x:f>IF(Технологии!AY34="ИЗУЧЕНО",$E155,0)</x:f>
        <x:v>0</x:v>
      </x:c>
      <x:c r="S155" s="21" t="n">
        <x:f>IF(Технологии!AZ34="ИЗУЧЕНО",$E155,0)</x:f>
        <x:v>0</x:v>
      </x:c>
      <x:c r="T155" s="21" t="n">
        <x:f>IF(Технологии!BA34="ИЗУЧЕНО",$E155,0)</x:f>
        <x:v>0</x:v>
      </x:c>
      <x:c r="U155" s="21" t="n">
        <x:f>IF(Технологии!BB34="ИЗУЧЕНО",$E155,0)</x:f>
        <x:v>0</x:v>
      </x:c>
      <x:c r="V155" s="21" t="n">
        <x:f>IF(Технологии!BC34="ИЗУЧЕНО",$E155,0)</x:f>
        <x:v>0</x:v>
      </x:c>
      <x:c r="W155" s="21" t="n">
        <x:f>IF(Технологии!BD34="ИЗУЧЕНО",$E155,0)</x:f>
        <x:v>0</x:v>
      </x:c>
      <x:c r="X155" s="21" t="n">
        <x:f>IF(Технологии!BE34="ИЗУЧЕНО",$E155,0)</x:f>
        <x:v>0</x:v>
      </x:c>
      <x:c r="Y155" s="21" t="n">
        <x:f>IF(Технологии!BF34="ИЗУЧЕНО",$E155,0)</x:f>
        <x:v>0</x:v>
      </x:c>
    </x:row>
    <x:row r="156">
      <x:c r="A156" s="19" t="s">
        <x:v>167</x:v>
      </x:c>
      <x:c r="B156" s="18" t="s">
        <x:v>168</x:v>
      </x:c>
      <x:c r="C156" s="18" t="s">
        <x:v>311</x:v>
      </x:c>
      <x:c r="D156" s="18" t="s">
        <x:v>387</x:v>
      </x:c>
      <x:c r="E156" s="20">
        <x:v>-0.2</x:v>
      </x:c>
      <x:c r="F156" s="18" t="str">
        <x:f>IF(Технологии!BH34="","",Технологии!BH34)</x:f>
      </x:c>
      <x:c r="G156" s="18" t="s">
        <x:v>443</x:v>
      </x:c>
      <x:c r="J156" s="21" t="n">
        <x:f>0</x:f>
        <x:v>0</x:v>
      </x:c>
      <x:c r="K156" s="21" t="n">
        <x:f>IF(Технологии!AR34="ИЗУЧЕНО",$E156,0)</x:f>
        <x:v>0</x:v>
      </x:c>
      <x:c r="L156" s="21" t="n">
        <x:f>IF(Технологии!AS34="ИЗУЧЕНО",$E156,0)</x:f>
        <x:v>0</x:v>
      </x:c>
      <x:c r="M156" s="21" t="n">
        <x:f>IF(Технологии!AT34="ИЗУЧЕНО",$E156,0)</x:f>
        <x:v>0</x:v>
      </x:c>
      <x:c r="N156" s="21" t="n">
        <x:f>IF(Технологии!AU34="ИЗУЧЕНО",$E156,0)</x:f>
        <x:v>0</x:v>
      </x:c>
      <x:c r="O156" s="21" t="n">
        <x:f>IF(Технологии!AV34="ИЗУЧЕНО",$E156,0)</x:f>
        <x:v>0</x:v>
      </x:c>
      <x:c r="P156" s="21" t="n">
        <x:f>IF(Технологии!AW34="ИЗУЧЕНО",$E156,0)</x:f>
        <x:v>0</x:v>
      </x:c>
      <x:c r="Q156" s="21" t="n">
        <x:f>IF(Технологии!AX34="ИЗУЧЕНО",$E156,0)</x:f>
        <x:v>0</x:v>
      </x:c>
      <x:c r="R156" s="21" t="n">
        <x:f>IF(Технологии!AY34="ИЗУЧЕНО",$E156,0)</x:f>
        <x:v>0</x:v>
      </x:c>
      <x:c r="S156" s="21" t="n">
        <x:f>IF(Технологии!AZ34="ИЗУЧЕНО",$E156,0)</x:f>
        <x:v>0</x:v>
      </x:c>
      <x:c r="T156" s="21" t="n">
        <x:f>IF(Технологии!BA34="ИЗУЧЕНО",$E156,0)</x:f>
        <x:v>0</x:v>
      </x:c>
      <x:c r="U156" s="21" t="n">
        <x:f>IF(Технологии!BB34="ИЗУЧЕНО",$E156,0)</x:f>
        <x:v>0</x:v>
      </x:c>
      <x:c r="V156" s="21" t="n">
        <x:f>IF(Технологии!BC34="ИЗУЧЕНО",$E156,0)</x:f>
        <x:v>0</x:v>
      </x:c>
      <x:c r="W156" s="21" t="n">
        <x:f>IF(Технологии!BD34="ИЗУЧЕНО",$E156,0)</x:f>
        <x:v>0</x:v>
      </x:c>
      <x:c r="X156" s="21" t="n">
        <x:f>IF(Технологии!BE34="ИЗУЧЕНО",$E156,0)</x:f>
        <x:v>0</x:v>
      </x:c>
      <x:c r="Y156" s="21" t="n">
        <x:f>IF(Технологии!BF34="ИЗУЧЕНО",$E156,0)</x:f>
        <x:v>0</x:v>
      </x:c>
    </x:row>
    <x:row r="157">
      <x:c r="A157" s="19" t="s">
        <x:v>167</x:v>
      </x:c>
      <x:c r="B157" s="18" t="s">
        <x:v>168</x:v>
      </x:c>
      <x:c r="C157" s="18" t="s">
        <x:v>302</x:v>
      </x:c>
      <x:c r="D157" s="18" t="s">
        <x:v>387</x:v>
      </x:c>
      <x:c r="E157" s="20">
        <x:v>-0.15</x:v>
      </x:c>
      <x:c r="F157" s="18" t="str">
        <x:f>IF(Технологии!BH34="","",Технологии!BH34)</x:f>
      </x:c>
      <x:c r="G157" s="18" t="s">
        <x:v>485</x:v>
      </x:c>
      <x:c r="J157" s="21" t="n">
        <x:f>0</x:f>
        <x:v>0</x:v>
      </x:c>
      <x:c r="K157" s="21" t="n">
        <x:f>IF(Технологии!AR34="ИЗУЧЕНО",$E157,0)</x:f>
        <x:v>0</x:v>
      </x:c>
      <x:c r="L157" s="21" t="n">
        <x:f>IF(Технологии!AS34="ИЗУЧЕНО",$E157,0)</x:f>
        <x:v>0</x:v>
      </x:c>
      <x:c r="M157" s="21" t="n">
        <x:f>IF(Технологии!AT34="ИЗУЧЕНО",$E157,0)</x:f>
        <x:v>0</x:v>
      </x:c>
      <x:c r="N157" s="21" t="n">
        <x:f>IF(Технологии!AU34="ИЗУЧЕНО",$E157,0)</x:f>
        <x:v>0</x:v>
      </x:c>
      <x:c r="O157" s="21" t="n">
        <x:f>IF(Технологии!AV34="ИЗУЧЕНО",$E157,0)</x:f>
        <x:v>0</x:v>
      </x:c>
      <x:c r="P157" s="21" t="n">
        <x:f>IF(Технологии!AW34="ИЗУЧЕНО",$E157,0)</x:f>
        <x:v>0</x:v>
      </x:c>
      <x:c r="Q157" s="21" t="n">
        <x:f>IF(Технологии!AX34="ИЗУЧЕНО",$E157,0)</x:f>
        <x:v>0</x:v>
      </x:c>
      <x:c r="R157" s="21" t="n">
        <x:f>IF(Технологии!AY34="ИЗУЧЕНО",$E157,0)</x:f>
        <x:v>0</x:v>
      </x:c>
      <x:c r="S157" s="21" t="n">
        <x:f>IF(Технологии!AZ34="ИЗУЧЕНО",$E157,0)</x:f>
        <x:v>0</x:v>
      </x:c>
      <x:c r="T157" s="21" t="n">
        <x:f>IF(Технологии!BA34="ИЗУЧЕНО",$E157,0)</x:f>
        <x:v>0</x:v>
      </x:c>
      <x:c r="U157" s="21" t="n">
        <x:f>IF(Технологии!BB34="ИЗУЧЕНО",$E157,0)</x:f>
        <x:v>0</x:v>
      </x:c>
      <x:c r="V157" s="21" t="n">
        <x:f>IF(Технологии!BC34="ИЗУЧЕНО",$E157,0)</x:f>
        <x:v>0</x:v>
      </x:c>
      <x:c r="W157" s="21" t="n">
        <x:f>IF(Технологии!BD34="ИЗУЧЕНО",$E157,0)</x:f>
        <x:v>0</x:v>
      </x:c>
      <x:c r="X157" s="21" t="n">
        <x:f>IF(Технологии!BE34="ИЗУЧЕНО",$E157,0)</x:f>
        <x:v>0</x:v>
      </x:c>
      <x:c r="Y157" s="21" t="n">
        <x:f>IF(Технологии!BF34="ИЗУЧЕНО",$E157,0)</x:f>
        <x:v>0</x:v>
      </x:c>
    </x:row>
    <x:row r="158">
      <x:c r="A158" s="19" t="s">
        <x:v>171</x:v>
      </x:c>
      <x:c r="B158" s="18" t="s">
        <x:v>173</x:v>
      </x:c>
      <x:c r="C158" s="18" t="s">
        <x:v>299</x:v>
      </x:c>
      <x:c r="D158" s="18" t="s">
        <x:v>387</x:v>
      </x:c>
      <x:c r="E158" s="20">
        <x:v>0.2</x:v>
      </x:c>
      <x:c r="F158" s="18" t="str">
        <x:f>IF(Технологии!BH35="","",Технологии!BH35)</x:f>
      </x:c>
      <x:c r="G158" s="18" t="s">
        <x:v>466</x:v>
      </x:c>
      <x:c r="J158" s="21" t="n">
        <x:f>0</x:f>
        <x:v>0</x:v>
      </x:c>
      <x:c r="K158" s="21" t="n">
        <x:f>IF(Технологии!AR35="ИЗУЧЕНО",$E158,0)</x:f>
        <x:v>0</x:v>
      </x:c>
      <x:c r="L158" s="21" t="n">
        <x:f>IF(Технологии!AS35="ИЗУЧЕНО",$E158,0)</x:f>
        <x:v>0</x:v>
      </x:c>
      <x:c r="M158" s="21" t="n">
        <x:f>IF(Технологии!AT35="ИЗУЧЕНО",$E158,0)</x:f>
        <x:v>0</x:v>
      </x:c>
      <x:c r="N158" s="21" t="n">
        <x:f>IF(Технологии!AU35="ИЗУЧЕНО",$E158,0)</x:f>
        <x:v>0</x:v>
      </x:c>
      <x:c r="O158" s="21" t="n">
        <x:f>IF(Технологии!AV35="ИЗУЧЕНО",$E158,0)</x:f>
        <x:v>0</x:v>
      </x:c>
      <x:c r="P158" s="21" t="n">
        <x:f>IF(Технологии!AW35="ИЗУЧЕНО",$E158,0)</x:f>
        <x:v>0</x:v>
      </x:c>
      <x:c r="Q158" s="21" t="n">
        <x:f>IF(Технологии!AX35="ИЗУЧЕНО",$E158,0)</x:f>
        <x:v>0</x:v>
      </x:c>
      <x:c r="R158" s="21" t="n">
        <x:f>IF(Технологии!AY35="ИЗУЧЕНО",$E158,0)</x:f>
        <x:v>0</x:v>
      </x:c>
      <x:c r="S158" s="21" t="n">
        <x:f>IF(Технологии!AZ35="ИЗУЧЕНО",$E158,0)</x:f>
        <x:v>0</x:v>
      </x:c>
      <x:c r="T158" s="21" t="n">
        <x:f>IF(Технологии!BA35="ИЗУЧЕНО",$E158,0)</x:f>
        <x:v>0</x:v>
      </x:c>
      <x:c r="U158" s="21" t="n">
        <x:f>IF(Технологии!BB35="ИЗУЧЕНО",$E158,0)</x:f>
        <x:v>0</x:v>
      </x:c>
      <x:c r="V158" s="21" t="n">
        <x:f>IF(Технологии!BC35="ИЗУЧЕНО",$E158,0)</x:f>
        <x:v>0</x:v>
      </x:c>
      <x:c r="W158" s="21" t="n">
        <x:f>IF(Технологии!BD35="ИЗУЧЕНО",$E158,0)</x:f>
        <x:v>0</x:v>
      </x:c>
      <x:c r="X158" s="21" t="n">
        <x:f>IF(Технологии!BE35="ИЗУЧЕНО",$E158,0)</x:f>
        <x:v>0</x:v>
      </x:c>
      <x:c r="Y158" s="21" t="n">
        <x:f>IF(Технологии!BF35="ИЗУЧЕНО",$E158,0)</x:f>
        <x:v>0</x:v>
      </x:c>
    </x:row>
    <x:row r="159">
      <x:c r="A159" s="19" t="s">
        <x:v>176</x:v>
      </x:c>
      <x:c r="B159" s="18" t="s">
        <x:v>177</x:v>
      </x:c>
      <x:c r="C159" s="18" t="s">
        <x:v>267</x:v>
      </x:c>
      <x:c r="D159" s="18" t="s">
        <x:v>387</x:v>
      </x:c>
      <x:c r="E159" s="20">
        <x:v>0.3</x:v>
      </x:c>
      <x:c r="F159" s="18" t="str">
        <x:f>IF(Технологии!BH36="","",Технологии!BH36)</x:f>
      </x:c>
      <x:c r="G159" s="18" t="s">
        <x:v>486</x:v>
      </x:c>
      <x:c r="J159" s="21" t="n">
        <x:f>0</x:f>
        <x:v>0</x:v>
      </x:c>
      <x:c r="K159" s="21" t="n">
        <x:f>IF(Технологии!AR36="ИЗУЧЕНО",$E159,0)</x:f>
        <x:v>0</x:v>
      </x:c>
      <x:c r="L159" s="21" t="n">
        <x:f>IF(Технологии!AS36="ИЗУЧЕНО",$E159,0)</x:f>
        <x:v>0</x:v>
      </x:c>
      <x:c r="M159" s="21" t="n">
        <x:f>IF(Технологии!AT36="ИЗУЧЕНО",$E159,0)</x:f>
        <x:v>0</x:v>
      </x:c>
      <x:c r="N159" s="21" t="n">
        <x:f>IF(Технологии!AU36="ИЗУЧЕНО",$E159,0)</x:f>
        <x:v>0</x:v>
      </x:c>
      <x:c r="O159" s="21" t="n">
        <x:f>IF(Технологии!AV36="ИЗУЧЕНО",$E159,0)</x:f>
        <x:v>0</x:v>
      </x:c>
      <x:c r="P159" s="21" t="n">
        <x:f>IF(Технологии!AW36="ИЗУЧЕНО",$E159,0)</x:f>
        <x:v>0</x:v>
      </x:c>
      <x:c r="Q159" s="21" t="n">
        <x:f>IF(Технологии!AX36="ИЗУЧЕНО",$E159,0)</x:f>
        <x:v>0</x:v>
      </x:c>
      <x:c r="R159" s="21" t="n">
        <x:f>IF(Технологии!AY36="ИЗУЧЕНО",$E159,0)</x:f>
        <x:v>0</x:v>
      </x:c>
      <x:c r="S159" s="21" t="n">
        <x:f>IF(Технологии!AZ36="ИЗУЧЕНО",$E159,0)</x:f>
        <x:v>0</x:v>
      </x:c>
      <x:c r="T159" s="21" t="n">
        <x:f>IF(Технологии!BA36="ИЗУЧЕНО",$E159,0)</x:f>
        <x:v>0</x:v>
      </x:c>
      <x:c r="U159" s="21" t="n">
        <x:f>IF(Технологии!BB36="ИЗУЧЕНО",$E159,0)</x:f>
        <x:v>0</x:v>
      </x:c>
      <x:c r="V159" s="21" t="n">
        <x:f>IF(Технологии!BC36="ИЗУЧЕНО",$E159,0)</x:f>
        <x:v>0</x:v>
      </x:c>
      <x:c r="W159" s="21" t="n">
        <x:f>IF(Технологии!BD36="ИЗУЧЕНО",$E159,0)</x:f>
        <x:v>0</x:v>
      </x:c>
      <x:c r="X159" s="21" t="n">
        <x:f>IF(Технологии!BE36="ИЗУЧЕНО",$E159,0)</x:f>
        <x:v>0</x:v>
      </x:c>
      <x:c r="Y159" s="21" t="n">
        <x:f>IF(Технологии!BF36="ИЗУЧЕНО",$E159,0)</x:f>
        <x:v>0</x:v>
      </x:c>
    </x:row>
    <x:row r="160">
      <x:c r="A160" s="19" t="s">
        <x:v>176</x:v>
      </x:c>
      <x:c r="B160" s="18" t="s">
        <x:v>177</x:v>
      </x:c>
      <x:c r="C160" s="18" t="s">
        <x:v>267</x:v>
      </x:c>
      <x:c r="D160" s="18" t="s">
        <x:v>414</x:v>
      </x:c>
      <x:c r="E160" s="20">
        <x:v>0.08</x:v>
      </x:c>
      <x:c r="F160" s="18" t="str">
        <x:f>IF(Технологии!BH36="","",Технологии!BH36)</x:f>
      </x:c>
      <x:c r="G160" s="18" t="s">
        <x:v>486</x:v>
      </x:c>
      <x:c r="J160" s="21" t="n">
        <x:f>0</x:f>
        <x:v>0</x:v>
      </x:c>
      <x:c r="K160" s="21" t="n">
        <x:f>IF(Технологии!AR36="ИЗУЧЕНО",$E160,0)</x:f>
        <x:v>0</x:v>
      </x:c>
      <x:c r="L160" s="21" t="n">
        <x:f>IF(Технологии!AS36="ИЗУЧЕНО",$E160,0)</x:f>
        <x:v>0</x:v>
      </x:c>
      <x:c r="M160" s="21" t="n">
        <x:f>IF(Технологии!AT36="ИЗУЧЕНО",$E160,0)</x:f>
        <x:v>0</x:v>
      </x:c>
      <x:c r="N160" s="21" t="n">
        <x:f>IF(Технологии!AU36="ИЗУЧЕНО",$E160,0)</x:f>
        <x:v>0</x:v>
      </x:c>
      <x:c r="O160" s="21" t="n">
        <x:f>IF(Технологии!AV36="ИЗУЧЕНО",$E160,0)</x:f>
        <x:v>0</x:v>
      </x:c>
      <x:c r="P160" s="21" t="n">
        <x:f>IF(Технологии!AW36="ИЗУЧЕНО",$E160,0)</x:f>
        <x:v>0</x:v>
      </x:c>
      <x:c r="Q160" s="21" t="n">
        <x:f>IF(Технологии!AX36="ИЗУЧЕНО",$E160,0)</x:f>
        <x:v>0</x:v>
      </x:c>
      <x:c r="R160" s="21" t="n">
        <x:f>IF(Технологии!AY36="ИЗУЧЕНО",$E160,0)</x:f>
        <x:v>0</x:v>
      </x:c>
      <x:c r="S160" s="21" t="n">
        <x:f>IF(Технологии!AZ36="ИЗУЧЕНО",$E160,0)</x:f>
        <x:v>0</x:v>
      </x:c>
      <x:c r="T160" s="21" t="n">
        <x:f>IF(Технологии!BA36="ИЗУЧЕНО",$E160,0)</x:f>
        <x:v>0</x:v>
      </x:c>
      <x:c r="U160" s="21" t="n">
        <x:f>IF(Технологии!BB36="ИЗУЧЕНО",$E160,0)</x:f>
        <x:v>0</x:v>
      </x:c>
      <x:c r="V160" s="21" t="n">
        <x:f>IF(Технологии!BC36="ИЗУЧЕНО",$E160,0)</x:f>
        <x:v>0</x:v>
      </x:c>
      <x:c r="W160" s="21" t="n">
        <x:f>IF(Технологии!BD36="ИЗУЧЕНО",$E160,0)</x:f>
        <x:v>0</x:v>
      </x:c>
      <x:c r="X160" s="21" t="n">
        <x:f>IF(Технологии!BE36="ИЗУЧЕНО",$E160,0)</x:f>
        <x:v>0</x:v>
      </x:c>
      <x:c r="Y160" s="21" t="n">
        <x:f>IF(Технологии!BF36="ИЗУЧЕНО",$E160,0)</x:f>
        <x:v>0</x:v>
      </x:c>
    </x:row>
    <x:row r="161">
      <x:c r="A161" s="19" t="s">
        <x:v>176</x:v>
      </x:c>
      <x:c r="B161" s="18" t="s">
        <x:v>177</x:v>
      </x:c>
      <x:c r="C161" s="18" t="s">
        <x:v>312</x:v>
      </x:c>
      <x:c r="D161" s="18" t="s">
        <x:v>387</x:v>
      </x:c>
      <x:c r="E161" s="20">
        <x:v>0.2</x:v>
      </x:c>
      <x:c r="F161" s="18" t="str">
        <x:f>IF(Технологии!BH36="","",Технологии!BH36)</x:f>
      </x:c>
      <x:c r="G161" s="18" t="s">
        <x:v>487</x:v>
      </x:c>
      <x:c r="J161" s="21" t="n">
        <x:f>0</x:f>
        <x:v>0</x:v>
      </x:c>
      <x:c r="K161" s="21" t="n">
        <x:f>IF(Технологии!AR36="ИЗУЧЕНО",$E161,0)</x:f>
        <x:v>0</x:v>
      </x:c>
      <x:c r="L161" s="21" t="n">
        <x:f>IF(Технологии!AS36="ИЗУЧЕНО",$E161,0)</x:f>
        <x:v>0</x:v>
      </x:c>
      <x:c r="M161" s="21" t="n">
        <x:f>IF(Технологии!AT36="ИЗУЧЕНО",$E161,0)</x:f>
        <x:v>0</x:v>
      </x:c>
      <x:c r="N161" s="21" t="n">
        <x:f>IF(Технологии!AU36="ИЗУЧЕНО",$E161,0)</x:f>
        <x:v>0</x:v>
      </x:c>
      <x:c r="O161" s="21" t="n">
        <x:f>IF(Технологии!AV36="ИЗУЧЕНО",$E161,0)</x:f>
        <x:v>0</x:v>
      </x:c>
      <x:c r="P161" s="21" t="n">
        <x:f>IF(Технологии!AW36="ИЗУЧЕНО",$E161,0)</x:f>
        <x:v>0</x:v>
      </x:c>
      <x:c r="Q161" s="21" t="n">
        <x:f>IF(Технологии!AX36="ИЗУЧЕНО",$E161,0)</x:f>
        <x:v>0</x:v>
      </x:c>
      <x:c r="R161" s="21" t="n">
        <x:f>IF(Технологии!AY36="ИЗУЧЕНО",$E161,0)</x:f>
        <x:v>0</x:v>
      </x:c>
      <x:c r="S161" s="21" t="n">
        <x:f>IF(Технологии!AZ36="ИЗУЧЕНО",$E161,0)</x:f>
        <x:v>0</x:v>
      </x:c>
      <x:c r="T161" s="21" t="n">
        <x:f>IF(Технологии!BA36="ИЗУЧЕНО",$E161,0)</x:f>
        <x:v>0</x:v>
      </x:c>
      <x:c r="U161" s="21" t="n">
        <x:f>IF(Технологии!BB36="ИЗУЧЕНО",$E161,0)</x:f>
        <x:v>0</x:v>
      </x:c>
      <x:c r="V161" s="21" t="n">
        <x:f>IF(Технологии!BC36="ИЗУЧЕНО",$E161,0)</x:f>
        <x:v>0</x:v>
      </x:c>
      <x:c r="W161" s="21" t="n">
        <x:f>IF(Технологии!BD36="ИЗУЧЕНО",$E161,0)</x:f>
        <x:v>0</x:v>
      </x:c>
      <x:c r="X161" s="21" t="n">
        <x:f>IF(Технологии!BE36="ИЗУЧЕНО",$E161,0)</x:f>
        <x:v>0</x:v>
      </x:c>
      <x:c r="Y161" s="21" t="n">
        <x:f>IF(Технологии!BF36="ИЗУЧЕНО",$E161,0)</x:f>
        <x:v>0</x:v>
      </x:c>
    </x:row>
    <x:row r="162">
      <x:c r="A162" s="19" t="s">
        <x:v>176</x:v>
      </x:c>
      <x:c r="B162" s="18" t="s">
        <x:v>177</x:v>
      </x:c>
      <x:c r="C162" s="18" t="s">
        <x:v>260</x:v>
      </x:c>
      <x:c r="D162" s="18" t="s">
        <x:v>387</x:v>
      </x:c>
      <x:c r="E162" s="20">
        <x:v>-0.15</x:v>
      </x:c>
      <x:c r="F162" s="18" t="str">
        <x:f>IF(Технологии!BH36="","",Технологии!BH36)</x:f>
      </x:c>
      <x:c r="G162" s="18" t="s">
        <x:v>424</x:v>
      </x:c>
      <x:c r="J162" s="21" t="n">
        <x:f>0</x:f>
        <x:v>0</x:v>
      </x:c>
      <x:c r="K162" s="21" t="n">
        <x:f>IF(Технологии!AR36="ИЗУЧЕНО",$E162,0)</x:f>
        <x:v>0</x:v>
      </x:c>
      <x:c r="L162" s="21" t="n">
        <x:f>IF(Технологии!AS36="ИЗУЧЕНО",$E162,0)</x:f>
        <x:v>0</x:v>
      </x:c>
      <x:c r="M162" s="21" t="n">
        <x:f>IF(Технологии!AT36="ИЗУЧЕНО",$E162,0)</x:f>
        <x:v>0</x:v>
      </x:c>
      <x:c r="N162" s="21" t="n">
        <x:f>IF(Технологии!AU36="ИЗУЧЕНО",$E162,0)</x:f>
        <x:v>0</x:v>
      </x:c>
      <x:c r="O162" s="21" t="n">
        <x:f>IF(Технологии!AV36="ИЗУЧЕНО",$E162,0)</x:f>
        <x:v>0</x:v>
      </x:c>
      <x:c r="P162" s="21" t="n">
        <x:f>IF(Технологии!AW36="ИЗУЧЕНО",$E162,0)</x:f>
        <x:v>0</x:v>
      </x:c>
      <x:c r="Q162" s="21" t="n">
        <x:f>IF(Технологии!AX36="ИЗУЧЕНО",$E162,0)</x:f>
        <x:v>0</x:v>
      </x:c>
      <x:c r="R162" s="21" t="n">
        <x:f>IF(Технологии!AY36="ИЗУЧЕНО",$E162,0)</x:f>
        <x:v>0</x:v>
      </x:c>
      <x:c r="S162" s="21" t="n">
        <x:f>IF(Технологии!AZ36="ИЗУЧЕНО",$E162,0)</x:f>
        <x:v>0</x:v>
      </x:c>
      <x:c r="T162" s="21" t="n">
        <x:f>IF(Технологии!BA36="ИЗУЧЕНО",$E162,0)</x:f>
        <x:v>0</x:v>
      </x:c>
      <x:c r="U162" s="21" t="n">
        <x:f>IF(Технологии!BB36="ИЗУЧЕНО",$E162,0)</x:f>
        <x:v>0</x:v>
      </x:c>
      <x:c r="V162" s="21" t="n">
        <x:f>IF(Технологии!BC36="ИЗУЧЕНО",$E162,0)</x:f>
        <x:v>0</x:v>
      </x:c>
      <x:c r="W162" s="21" t="n">
        <x:f>IF(Технологии!BD36="ИЗУЧЕНО",$E162,0)</x:f>
        <x:v>0</x:v>
      </x:c>
      <x:c r="X162" s="21" t="n">
        <x:f>IF(Технологии!BE36="ИЗУЧЕНО",$E162,0)</x:f>
        <x:v>0</x:v>
      </x:c>
      <x:c r="Y162" s="21" t="n">
        <x:f>IF(Технологии!BF36="ИЗУЧЕНО",$E162,0)</x:f>
        <x:v>0</x:v>
      </x:c>
    </x:row>
    <x:row r="163">
      <x:c r="A163" s="19" t="s">
        <x:v>180</x:v>
      </x:c>
      <x:c r="B163" s="18" t="s">
        <x:v>181</x:v>
      </x:c>
      <x:c r="C163" s="18" t="s">
        <x:v>277</x:v>
      </x:c>
      <x:c r="D163" s="18" t="s">
        <x:v>414</x:v>
      </x:c>
      <x:c r="E163" s="20">
        <x:v>0.08</x:v>
      </x:c>
      <x:c r="F163" s="18" t="str">
        <x:f>IF(Технологии!BH37="","",Технологии!BH37)</x:f>
      </x:c>
      <x:c r="G163" s="18" t="s">
        <x:v>471</x:v>
      </x:c>
      <x:c r="J163" s="21" t="n">
        <x:f>0</x:f>
        <x:v>0</x:v>
      </x:c>
      <x:c r="K163" s="21" t="n">
        <x:f>IF(Технологии!AR37="ИЗУЧЕНО",$E163,0)</x:f>
        <x:v>0</x:v>
      </x:c>
      <x:c r="L163" s="21" t="n">
        <x:f>IF(Технологии!AS37="ИЗУЧЕНО",$E163,0)</x:f>
        <x:v>0</x:v>
      </x:c>
      <x:c r="M163" s="21" t="n">
        <x:f>IF(Технологии!AT37="ИЗУЧЕНО",$E163,0)</x:f>
        <x:v>0</x:v>
      </x:c>
      <x:c r="N163" s="21" t="n">
        <x:f>IF(Технологии!AU37="ИЗУЧЕНО",$E163,0)</x:f>
        <x:v>0</x:v>
      </x:c>
      <x:c r="O163" s="21" t="n">
        <x:f>IF(Технологии!AV37="ИЗУЧЕНО",$E163,0)</x:f>
        <x:v>0</x:v>
      </x:c>
      <x:c r="P163" s="21" t="n">
        <x:f>IF(Технологии!AW37="ИЗУЧЕНО",$E163,0)</x:f>
        <x:v>0</x:v>
      </x:c>
      <x:c r="Q163" s="21" t="n">
        <x:f>IF(Технологии!AX37="ИЗУЧЕНО",$E163,0)</x:f>
        <x:v>0</x:v>
      </x:c>
      <x:c r="R163" s="21" t="n">
        <x:f>IF(Технологии!AY37="ИЗУЧЕНО",$E163,0)</x:f>
        <x:v>0</x:v>
      </x:c>
      <x:c r="S163" s="21" t="n">
        <x:f>IF(Технологии!AZ37="ИЗУЧЕНО",$E163,0)</x:f>
        <x:v>0</x:v>
      </x:c>
      <x:c r="T163" s="21" t="n">
        <x:f>IF(Технологии!BA37="ИЗУЧЕНО",$E163,0)</x:f>
        <x:v>0</x:v>
      </x:c>
      <x:c r="U163" s="21" t="n">
        <x:f>IF(Технологии!BB37="ИЗУЧЕНО",$E163,0)</x:f>
        <x:v>0</x:v>
      </x:c>
      <x:c r="V163" s="21" t="n">
        <x:f>IF(Технологии!BC37="ИЗУЧЕНО",$E163,0)</x:f>
        <x:v>0</x:v>
      </x:c>
      <x:c r="W163" s="21" t="n">
        <x:f>IF(Технологии!BD37="ИЗУЧЕНО",$E163,0)</x:f>
        <x:v>0</x:v>
      </x:c>
      <x:c r="X163" s="21" t="n">
        <x:f>IF(Технологии!BE37="ИЗУЧЕНО",$E163,0)</x:f>
        <x:v>0</x:v>
      </x:c>
      <x:c r="Y163" s="21" t="n">
        <x:f>IF(Технологии!BF37="ИЗУЧЕНО",$E163,0)</x:f>
        <x:v>0</x:v>
      </x:c>
    </x:row>
    <x:row r="164">
      <x:c r="A164" s="19" t="s">
        <x:v>180</x:v>
      </x:c>
      <x:c r="B164" s="18" t="s">
        <x:v>181</x:v>
      </x:c>
      <x:c r="C164" s="18" t="s">
        <x:v>276</x:v>
      </x:c>
      <x:c r="D164" s="18" t="s">
        <x:v>387</x:v>
      </x:c>
      <x:c r="E164" s="20">
        <x:v>0.2</x:v>
      </x:c>
      <x:c r="F164" s="18" t="str">
        <x:f>IF(Технологии!BH37="","",Технологии!BH37)</x:f>
      </x:c>
      <x:c r="G164" s="18" t="s">
        <x:v>399</x:v>
      </x:c>
      <x:c r="J164" s="21" t="n">
        <x:f>0</x:f>
        <x:v>0</x:v>
      </x:c>
      <x:c r="K164" s="21" t="n">
        <x:f>IF(Технологии!AR37="ИЗУЧЕНО",$E164,0)</x:f>
        <x:v>0</x:v>
      </x:c>
      <x:c r="L164" s="21" t="n">
        <x:f>IF(Технологии!AS37="ИЗУЧЕНО",$E164,0)</x:f>
        <x:v>0</x:v>
      </x:c>
      <x:c r="M164" s="21" t="n">
        <x:f>IF(Технологии!AT37="ИЗУЧЕНО",$E164,0)</x:f>
        <x:v>0</x:v>
      </x:c>
      <x:c r="N164" s="21" t="n">
        <x:f>IF(Технологии!AU37="ИЗУЧЕНО",$E164,0)</x:f>
        <x:v>0</x:v>
      </x:c>
      <x:c r="O164" s="21" t="n">
        <x:f>IF(Технологии!AV37="ИЗУЧЕНО",$E164,0)</x:f>
        <x:v>0</x:v>
      </x:c>
      <x:c r="P164" s="21" t="n">
        <x:f>IF(Технологии!AW37="ИЗУЧЕНО",$E164,0)</x:f>
        <x:v>0</x:v>
      </x:c>
      <x:c r="Q164" s="21" t="n">
        <x:f>IF(Технологии!AX37="ИЗУЧЕНО",$E164,0)</x:f>
        <x:v>0</x:v>
      </x:c>
      <x:c r="R164" s="21" t="n">
        <x:f>IF(Технологии!AY37="ИЗУЧЕНО",$E164,0)</x:f>
        <x:v>0</x:v>
      </x:c>
      <x:c r="S164" s="21" t="n">
        <x:f>IF(Технологии!AZ37="ИЗУЧЕНО",$E164,0)</x:f>
        <x:v>0</x:v>
      </x:c>
      <x:c r="T164" s="21" t="n">
        <x:f>IF(Технологии!BA37="ИЗУЧЕНО",$E164,0)</x:f>
        <x:v>0</x:v>
      </x:c>
      <x:c r="U164" s="21" t="n">
        <x:f>IF(Технологии!BB37="ИЗУЧЕНО",$E164,0)</x:f>
        <x:v>0</x:v>
      </x:c>
      <x:c r="V164" s="21" t="n">
        <x:f>IF(Технологии!BC37="ИЗУЧЕНО",$E164,0)</x:f>
        <x:v>0</x:v>
      </x:c>
      <x:c r="W164" s="21" t="n">
        <x:f>IF(Технологии!BD37="ИЗУЧЕНО",$E164,0)</x:f>
        <x:v>0</x:v>
      </x:c>
      <x:c r="X164" s="21" t="n">
        <x:f>IF(Технологии!BE37="ИЗУЧЕНО",$E164,0)</x:f>
        <x:v>0</x:v>
      </x:c>
      <x:c r="Y164" s="21" t="n">
        <x:f>IF(Технологии!BF37="ИЗУЧЕНО",$E164,0)</x:f>
        <x:v>0</x:v>
      </x:c>
    </x:row>
    <x:row r="165">
      <x:c r="A165" s="19" t="s">
        <x:v>180</x:v>
      </x:c>
      <x:c r="B165" s="18" t="s">
        <x:v>181</x:v>
      </x:c>
      <x:c r="C165" s="18" t="s">
        <x:v>381</x:v>
      </x:c>
      <x:c r="D165" s="18" t="s">
        <x:v>405</x:v>
      </x:c>
      <x:c r="E165" s="20">
        <x:v>0.1</x:v>
      </x:c>
      <x:c r="F165" s="18" t="str">
        <x:f>IF(Технологии!BH37="","",Технологии!BH37)</x:f>
      </x:c>
      <x:c r="G165" s="18" t="s">
        <x:v>488</x:v>
      </x:c>
      <x:c r="J165" s="21" t="n">
        <x:f>0</x:f>
        <x:v>0</x:v>
      </x:c>
      <x:c r="K165" s="21" t="n">
        <x:f>IF(Технологии!AR37="ИЗУЧЕНО",$E165,0)</x:f>
        <x:v>0</x:v>
      </x:c>
      <x:c r="L165" s="21" t="n">
        <x:f>IF(Технологии!AS37="ИЗУЧЕНО",$E165,0)</x:f>
        <x:v>0</x:v>
      </x:c>
      <x:c r="M165" s="21" t="n">
        <x:f>IF(Технологии!AT37="ИЗУЧЕНО",$E165,0)</x:f>
        <x:v>0</x:v>
      </x:c>
      <x:c r="N165" s="21" t="n">
        <x:f>IF(Технологии!AU37="ИЗУЧЕНО",$E165,0)</x:f>
        <x:v>0</x:v>
      </x:c>
      <x:c r="O165" s="21" t="n">
        <x:f>IF(Технологии!AV37="ИЗУЧЕНО",$E165,0)</x:f>
        <x:v>0</x:v>
      </x:c>
      <x:c r="P165" s="21" t="n">
        <x:f>IF(Технологии!AW37="ИЗУЧЕНО",$E165,0)</x:f>
        <x:v>0</x:v>
      </x:c>
      <x:c r="Q165" s="21" t="n">
        <x:f>IF(Технологии!AX37="ИЗУЧЕНО",$E165,0)</x:f>
        <x:v>0</x:v>
      </x:c>
      <x:c r="R165" s="21" t="n">
        <x:f>IF(Технологии!AY37="ИЗУЧЕНО",$E165,0)</x:f>
        <x:v>0</x:v>
      </x:c>
      <x:c r="S165" s="21" t="n">
        <x:f>IF(Технологии!AZ37="ИЗУЧЕНО",$E165,0)</x:f>
        <x:v>0</x:v>
      </x:c>
      <x:c r="T165" s="21" t="n">
        <x:f>IF(Технологии!BA37="ИЗУЧЕНО",$E165,0)</x:f>
        <x:v>0</x:v>
      </x:c>
      <x:c r="U165" s="21" t="n">
        <x:f>IF(Технологии!BB37="ИЗУЧЕНО",$E165,0)</x:f>
        <x:v>0</x:v>
      </x:c>
      <x:c r="V165" s="21" t="n">
        <x:f>IF(Технологии!BC37="ИЗУЧЕНО",$E165,0)</x:f>
        <x:v>0</x:v>
      </x:c>
      <x:c r="W165" s="21" t="n">
        <x:f>IF(Технологии!BD37="ИЗУЧЕНО",$E165,0)</x:f>
        <x:v>0</x:v>
      </x:c>
      <x:c r="X165" s="21" t="n">
        <x:f>IF(Технологии!BE37="ИЗУЧЕНО",$E165,0)</x:f>
        <x:v>0</x:v>
      </x:c>
      <x:c r="Y165" s="21" t="n">
        <x:f>IF(Технологии!BF37="ИЗУЧЕНО",$E165,0)</x:f>
        <x:v>0</x:v>
      </x:c>
    </x:row>
    <x:row r="166">
      <x:c r="A166" s="19" t="s">
        <x:v>180</x:v>
      </x:c>
      <x:c r="B166" s="18" t="s">
        <x:v>181</x:v>
      </x:c>
      <x:c r="C166" s="18" t="s">
        <x:v>268</x:v>
      </x:c>
      <x:c r="D166" s="18" t="s">
        <x:v>387</x:v>
      </x:c>
      <x:c r="E166" s="20">
        <x:v>-0.2</x:v>
      </x:c>
      <x:c r="F166" s="18" t="str">
        <x:f>IF(Технологии!BH37="","",Технологии!BH37)</x:f>
      </x:c>
      <x:c r="G166" s="18" t="s">
        <x:v>409</x:v>
      </x:c>
      <x:c r="J166" s="21" t="n">
        <x:f>0</x:f>
        <x:v>0</x:v>
      </x:c>
      <x:c r="K166" s="21" t="n">
        <x:f>IF(Технологии!AR37="ИЗУЧЕНО",$E166,0)</x:f>
        <x:v>0</x:v>
      </x:c>
      <x:c r="L166" s="21" t="n">
        <x:f>IF(Технологии!AS37="ИЗУЧЕНО",$E166,0)</x:f>
        <x:v>0</x:v>
      </x:c>
      <x:c r="M166" s="21" t="n">
        <x:f>IF(Технологии!AT37="ИЗУЧЕНО",$E166,0)</x:f>
        <x:v>0</x:v>
      </x:c>
      <x:c r="N166" s="21" t="n">
        <x:f>IF(Технологии!AU37="ИЗУЧЕНО",$E166,0)</x:f>
        <x:v>0</x:v>
      </x:c>
      <x:c r="O166" s="21" t="n">
        <x:f>IF(Технологии!AV37="ИЗУЧЕНО",$E166,0)</x:f>
        <x:v>0</x:v>
      </x:c>
      <x:c r="P166" s="21" t="n">
        <x:f>IF(Технологии!AW37="ИЗУЧЕНО",$E166,0)</x:f>
        <x:v>0</x:v>
      </x:c>
      <x:c r="Q166" s="21" t="n">
        <x:f>IF(Технологии!AX37="ИЗУЧЕНО",$E166,0)</x:f>
        <x:v>0</x:v>
      </x:c>
      <x:c r="R166" s="21" t="n">
        <x:f>IF(Технологии!AY37="ИЗУЧЕНО",$E166,0)</x:f>
        <x:v>0</x:v>
      </x:c>
      <x:c r="S166" s="21" t="n">
        <x:f>IF(Технологии!AZ37="ИЗУЧЕНО",$E166,0)</x:f>
        <x:v>0</x:v>
      </x:c>
      <x:c r="T166" s="21" t="n">
        <x:f>IF(Технологии!BA37="ИЗУЧЕНО",$E166,0)</x:f>
        <x:v>0</x:v>
      </x:c>
      <x:c r="U166" s="21" t="n">
        <x:f>IF(Технологии!BB37="ИЗУЧЕНО",$E166,0)</x:f>
        <x:v>0</x:v>
      </x:c>
      <x:c r="V166" s="21" t="n">
        <x:f>IF(Технологии!BC37="ИЗУЧЕНО",$E166,0)</x:f>
        <x:v>0</x:v>
      </x:c>
      <x:c r="W166" s="21" t="n">
        <x:f>IF(Технологии!BD37="ИЗУЧЕНО",$E166,0)</x:f>
        <x:v>0</x:v>
      </x:c>
      <x:c r="X166" s="21" t="n">
        <x:f>IF(Технологии!BE37="ИЗУЧЕНО",$E166,0)</x:f>
        <x:v>0</x:v>
      </x:c>
      <x:c r="Y166" s="21" t="n">
        <x:f>IF(Технологии!BF37="ИЗУЧЕНО",$E166,0)</x:f>
        <x:v>0</x:v>
      </x:c>
    </x:row>
    <x:row r="167">
      <x:c r="A167" s="19" t="s">
        <x:v>184</x:v>
      </x:c>
      <x:c r="B167" s="18" t="s">
        <x:v>185</x:v>
      </x:c>
      <x:c r="C167" s="18" t="s">
        <x:v>275</x:v>
      </x:c>
      <x:c r="D167" s="18" t="s">
        <x:v>414</x:v>
      </x:c>
      <x:c r="E167" s="20">
        <x:v>0.08</x:v>
      </x:c>
      <x:c r="F167" s="18" t="str">
        <x:f>IF(Технологии!BH38="","",Технологии!BH38)</x:f>
      </x:c>
      <x:c r="G167" s="18" t="s">
        <x:v>489</x:v>
      </x:c>
      <x:c r="J167" s="21" t="n">
        <x:f>0</x:f>
        <x:v>0</x:v>
      </x:c>
      <x:c r="K167" s="21" t="n">
        <x:f>IF(Технологии!AR38="ИЗУЧЕНО",$E167,0)</x:f>
        <x:v>0</x:v>
      </x:c>
      <x:c r="L167" s="21" t="n">
        <x:f>IF(Технологии!AS38="ИЗУЧЕНО",$E167,0)</x:f>
        <x:v>0</x:v>
      </x:c>
      <x:c r="M167" s="21" t="n">
        <x:f>IF(Технологии!AT38="ИЗУЧЕНО",$E167,0)</x:f>
        <x:v>0</x:v>
      </x:c>
      <x:c r="N167" s="21" t="n">
        <x:f>IF(Технологии!AU38="ИЗУЧЕНО",$E167,0)</x:f>
        <x:v>0</x:v>
      </x:c>
      <x:c r="O167" s="21" t="n">
        <x:f>IF(Технологии!AV38="ИЗУЧЕНО",$E167,0)</x:f>
        <x:v>0</x:v>
      </x:c>
      <x:c r="P167" s="21" t="n">
        <x:f>IF(Технологии!AW38="ИЗУЧЕНО",$E167,0)</x:f>
        <x:v>0</x:v>
      </x:c>
      <x:c r="Q167" s="21" t="n">
        <x:f>IF(Технологии!AX38="ИЗУЧЕНО",$E167,0)</x:f>
        <x:v>0</x:v>
      </x:c>
      <x:c r="R167" s="21" t="n">
        <x:f>IF(Технологии!AY38="ИЗУЧЕНО",$E167,0)</x:f>
        <x:v>0</x:v>
      </x:c>
      <x:c r="S167" s="21" t="n">
        <x:f>IF(Технологии!AZ38="ИЗУЧЕНО",$E167,0)</x:f>
        <x:v>0</x:v>
      </x:c>
      <x:c r="T167" s="21" t="n">
        <x:f>IF(Технологии!BA38="ИЗУЧЕНО",$E167,0)</x:f>
        <x:v>0</x:v>
      </x:c>
      <x:c r="U167" s="21" t="n">
        <x:f>IF(Технологии!BB38="ИЗУЧЕНО",$E167,0)</x:f>
        <x:v>0</x:v>
      </x:c>
      <x:c r="V167" s="21" t="n">
        <x:f>IF(Технологии!BC38="ИЗУЧЕНО",$E167,0)</x:f>
        <x:v>0</x:v>
      </x:c>
      <x:c r="W167" s="21" t="n">
        <x:f>IF(Технологии!BD38="ИЗУЧЕНО",$E167,0)</x:f>
        <x:v>0</x:v>
      </x:c>
      <x:c r="X167" s="21" t="n">
        <x:f>IF(Технологии!BE38="ИЗУЧЕНО",$E167,0)</x:f>
        <x:v>0</x:v>
      </x:c>
      <x:c r="Y167" s="21" t="n">
        <x:f>IF(Технологии!BF38="ИЗУЧЕНО",$E167,0)</x:f>
        <x:v>0</x:v>
      </x:c>
    </x:row>
    <x:row r="168">
      <x:c r="A168" s="19" t="s">
        <x:v>184</x:v>
      </x:c>
      <x:c r="B168" s="18" t="s">
        <x:v>185</x:v>
      </x:c>
      <x:c r="C168" s="18" t="s">
        <x:v>267</x:v>
      </x:c>
      <x:c r="D168" s="18" t="s">
        <x:v>387</x:v>
      </x:c>
      <x:c r="E168" s="20">
        <x:v>0.2</x:v>
      </x:c>
      <x:c r="F168" s="18" t="str">
        <x:f>IF(Технологии!BH38="","",Технологии!BH38)</x:f>
      </x:c>
      <x:c r="G168" s="18" t="s">
        <x:v>490</x:v>
      </x:c>
      <x:c r="J168" s="21" t="n">
        <x:f>0</x:f>
        <x:v>0</x:v>
      </x:c>
      <x:c r="K168" s="21" t="n">
        <x:f>IF(Технологии!AR38="ИЗУЧЕНО",$E168,0)</x:f>
        <x:v>0</x:v>
      </x:c>
      <x:c r="L168" s="21" t="n">
        <x:f>IF(Технологии!AS38="ИЗУЧЕНО",$E168,0)</x:f>
        <x:v>0</x:v>
      </x:c>
      <x:c r="M168" s="21" t="n">
        <x:f>IF(Технологии!AT38="ИЗУЧЕНО",$E168,0)</x:f>
        <x:v>0</x:v>
      </x:c>
      <x:c r="N168" s="21" t="n">
        <x:f>IF(Технологии!AU38="ИЗУЧЕНО",$E168,0)</x:f>
        <x:v>0</x:v>
      </x:c>
      <x:c r="O168" s="21" t="n">
        <x:f>IF(Технологии!AV38="ИЗУЧЕНО",$E168,0)</x:f>
        <x:v>0</x:v>
      </x:c>
      <x:c r="P168" s="21" t="n">
        <x:f>IF(Технологии!AW38="ИЗУЧЕНО",$E168,0)</x:f>
        <x:v>0</x:v>
      </x:c>
      <x:c r="Q168" s="21" t="n">
        <x:f>IF(Технологии!AX38="ИЗУЧЕНО",$E168,0)</x:f>
        <x:v>0</x:v>
      </x:c>
      <x:c r="R168" s="21" t="n">
        <x:f>IF(Технологии!AY38="ИЗУЧЕНО",$E168,0)</x:f>
        <x:v>0</x:v>
      </x:c>
      <x:c r="S168" s="21" t="n">
        <x:f>IF(Технологии!AZ38="ИЗУЧЕНО",$E168,0)</x:f>
        <x:v>0</x:v>
      </x:c>
      <x:c r="T168" s="21" t="n">
        <x:f>IF(Технологии!BA38="ИЗУЧЕНО",$E168,0)</x:f>
        <x:v>0</x:v>
      </x:c>
      <x:c r="U168" s="21" t="n">
        <x:f>IF(Технологии!BB38="ИЗУЧЕНО",$E168,0)</x:f>
        <x:v>0</x:v>
      </x:c>
      <x:c r="V168" s="21" t="n">
        <x:f>IF(Технологии!BC38="ИЗУЧЕНО",$E168,0)</x:f>
        <x:v>0</x:v>
      </x:c>
      <x:c r="W168" s="21" t="n">
        <x:f>IF(Технологии!BD38="ИЗУЧЕНО",$E168,0)</x:f>
        <x:v>0</x:v>
      </x:c>
      <x:c r="X168" s="21" t="n">
        <x:f>IF(Технологии!BE38="ИЗУЧЕНО",$E168,0)</x:f>
        <x:v>0</x:v>
      </x:c>
      <x:c r="Y168" s="21" t="n">
        <x:f>IF(Технологии!BF38="ИЗУЧЕНО",$E168,0)</x:f>
        <x:v>0</x:v>
      </x:c>
    </x:row>
    <x:row r="169">
      <x:c r="A169" s="19" t="s">
        <x:v>184</x:v>
      </x:c>
      <x:c r="B169" s="18" t="s">
        <x:v>185</x:v>
      </x:c>
      <x:c r="C169" s="18" t="s">
        <x:v>276</x:v>
      </x:c>
      <x:c r="D169" s="18" t="s">
        <x:v>387</x:v>
      </x:c>
      <x:c r="E169" s="20">
        <x:v>0.2</x:v>
      </x:c>
      <x:c r="F169" s="18" t="str">
        <x:f>IF(Технологии!BH38="","",Технологии!BH38)</x:f>
      </x:c>
      <x:c r="G169" s="18" t="s">
        <x:v>399</x:v>
      </x:c>
      <x:c r="J169" s="21" t="n">
        <x:f>0</x:f>
        <x:v>0</x:v>
      </x:c>
      <x:c r="K169" s="21" t="n">
        <x:f>IF(Технологии!AR38="ИЗУЧЕНО",$E169,0)</x:f>
        <x:v>0</x:v>
      </x:c>
      <x:c r="L169" s="21" t="n">
        <x:f>IF(Технологии!AS38="ИЗУЧЕНО",$E169,0)</x:f>
        <x:v>0</x:v>
      </x:c>
      <x:c r="M169" s="21" t="n">
        <x:f>IF(Технологии!AT38="ИЗУЧЕНО",$E169,0)</x:f>
        <x:v>0</x:v>
      </x:c>
      <x:c r="N169" s="21" t="n">
        <x:f>IF(Технологии!AU38="ИЗУЧЕНО",$E169,0)</x:f>
        <x:v>0</x:v>
      </x:c>
      <x:c r="O169" s="21" t="n">
        <x:f>IF(Технологии!AV38="ИЗУЧЕНО",$E169,0)</x:f>
        <x:v>0</x:v>
      </x:c>
      <x:c r="P169" s="21" t="n">
        <x:f>IF(Технологии!AW38="ИЗУЧЕНО",$E169,0)</x:f>
        <x:v>0</x:v>
      </x:c>
      <x:c r="Q169" s="21" t="n">
        <x:f>IF(Технологии!AX38="ИЗУЧЕНО",$E169,0)</x:f>
        <x:v>0</x:v>
      </x:c>
      <x:c r="R169" s="21" t="n">
        <x:f>IF(Технологии!AY38="ИЗУЧЕНО",$E169,0)</x:f>
        <x:v>0</x:v>
      </x:c>
      <x:c r="S169" s="21" t="n">
        <x:f>IF(Технологии!AZ38="ИЗУЧЕНО",$E169,0)</x:f>
        <x:v>0</x:v>
      </x:c>
      <x:c r="T169" s="21" t="n">
        <x:f>IF(Технологии!BA38="ИЗУЧЕНО",$E169,0)</x:f>
        <x:v>0</x:v>
      </x:c>
      <x:c r="U169" s="21" t="n">
        <x:f>IF(Технологии!BB38="ИЗУЧЕНО",$E169,0)</x:f>
        <x:v>0</x:v>
      </x:c>
      <x:c r="V169" s="21" t="n">
        <x:f>IF(Технологии!BC38="ИЗУЧЕНО",$E169,0)</x:f>
        <x:v>0</x:v>
      </x:c>
      <x:c r="W169" s="21" t="n">
        <x:f>IF(Технологии!BD38="ИЗУЧЕНО",$E169,0)</x:f>
        <x:v>0</x:v>
      </x:c>
      <x:c r="X169" s="21" t="n">
        <x:f>IF(Технологии!BE38="ИЗУЧЕНО",$E169,0)</x:f>
        <x:v>0</x:v>
      </x:c>
      <x:c r="Y169" s="21" t="n">
        <x:f>IF(Технологии!BF38="ИЗУЧЕНО",$E169,0)</x:f>
        <x:v>0</x:v>
      </x:c>
    </x:row>
    <x:row r="170">
      <x:c r="A170" s="19" t="s">
        <x:v>184</x:v>
      </x:c>
      <x:c r="B170" s="18" t="s">
        <x:v>185</x:v>
      </x:c>
      <x:c r="C170" s="18" t="s">
        <x:v>377</x:v>
      </x:c>
      <x:c r="D170" s="18" t="s">
        <x:v>405</x:v>
      </x:c>
      <x:c r="E170" s="20">
        <x:v>0.15</x:v>
      </x:c>
      <x:c r="F170" s="18" t="str">
        <x:f>IF(Технологии!BH38="","",Технологии!BH38)</x:f>
      </x:c>
      <x:c r="G170" s="18" t="s">
        <x:v>491</x:v>
      </x:c>
      <x:c r="J170" s="21" t="n">
        <x:f>0</x:f>
        <x:v>0</x:v>
      </x:c>
      <x:c r="K170" s="21" t="n">
        <x:f>IF(Технологии!AR38="ИЗУЧЕНО",$E170,0)</x:f>
        <x:v>0</x:v>
      </x:c>
      <x:c r="L170" s="21" t="n">
        <x:f>IF(Технологии!AS38="ИЗУЧЕНО",$E170,0)</x:f>
        <x:v>0</x:v>
      </x:c>
      <x:c r="M170" s="21" t="n">
        <x:f>IF(Технологии!AT38="ИЗУЧЕНО",$E170,0)</x:f>
        <x:v>0</x:v>
      </x:c>
      <x:c r="N170" s="21" t="n">
        <x:f>IF(Технологии!AU38="ИЗУЧЕНО",$E170,0)</x:f>
        <x:v>0</x:v>
      </x:c>
      <x:c r="O170" s="21" t="n">
        <x:f>IF(Технологии!AV38="ИЗУЧЕНО",$E170,0)</x:f>
        <x:v>0</x:v>
      </x:c>
      <x:c r="P170" s="21" t="n">
        <x:f>IF(Технологии!AW38="ИЗУЧЕНО",$E170,0)</x:f>
        <x:v>0</x:v>
      </x:c>
      <x:c r="Q170" s="21" t="n">
        <x:f>IF(Технологии!AX38="ИЗУЧЕНО",$E170,0)</x:f>
        <x:v>0</x:v>
      </x:c>
      <x:c r="R170" s="21" t="n">
        <x:f>IF(Технологии!AY38="ИЗУЧЕНО",$E170,0)</x:f>
        <x:v>0</x:v>
      </x:c>
      <x:c r="S170" s="21" t="n">
        <x:f>IF(Технологии!AZ38="ИЗУЧЕНО",$E170,0)</x:f>
        <x:v>0</x:v>
      </x:c>
      <x:c r="T170" s="21" t="n">
        <x:f>IF(Технологии!BA38="ИЗУЧЕНО",$E170,0)</x:f>
        <x:v>0</x:v>
      </x:c>
      <x:c r="U170" s="21" t="n">
        <x:f>IF(Технологии!BB38="ИЗУЧЕНО",$E170,0)</x:f>
        <x:v>0</x:v>
      </x:c>
      <x:c r="V170" s="21" t="n">
        <x:f>IF(Технологии!BC38="ИЗУЧЕНО",$E170,0)</x:f>
        <x:v>0</x:v>
      </x:c>
      <x:c r="W170" s="21" t="n">
        <x:f>IF(Технологии!BD38="ИЗУЧЕНО",$E170,0)</x:f>
        <x:v>0</x:v>
      </x:c>
      <x:c r="X170" s="21" t="n">
        <x:f>IF(Технологии!BE38="ИЗУЧЕНО",$E170,0)</x:f>
        <x:v>0</x:v>
      </x:c>
      <x:c r="Y170" s="21" t="n">
        <x:f>IF(Технологии!BF38="ИЗУЧЕНО",$E170,0)</x:f>
        <x:v>0</x:v>
      </x:c>
    </x:row>
    <x:row r="171">
      <x:c r="A171" s="19" t="s">
        <x:v>184</x:v>
      </x:c>
      <x:c r="B171" s="18" t="s">
        <x:v>185</x:v>
      </x:c>
      <x:c r="C171" s="18" t="s">
        <x:v>256</x:v>
      </x:c>
      <x:c r="D171" s="18" t="s">
        <x:v>387</x:v>
      </x:c>
      <x:c r="E171" s="20">
        <x:v>-0.2</x:v>
      </x:c>
      <x:c r="F171" s="18" t="str">
        <x:f>IF(Технологии!BH38="","",Технологии!BH38)</x:f>
      </x:c>
      <x:c r="G171" s="18" t="s">
        <x:v>492</x:v>
      </x:c>
      <x:c r="J171" s="21" t="n">
        <x:f>0</x:f>
        <x:v>0</x:v>
      </x:c>
      <x:c r="K171" s="21" t="n">
        <x:f>IF(Технологии!AR38="ИЗУЧЕНО",$E171,0)</x:f>
        <x:v>0</x:v>
      </x:c>
      <x:c r="L171" s="21" t="n">
        <x:f>IF(Технологии!AS38="ИЗУЧЕНО",$E171,0)</x:f>
        <x:v>0</x:v>
      </x:c>
      <x:c r="M171" s="21" t="n">
        <x:f>IF(Технологии!AT38="ИЗУЧЕНО",$E171,0)</x:f>
        <x:v>0</x:v>
      </x:c>
      <x:c r="N171" s="21" t="n">
        <x:f>IF(Технологии!AU38="ИЗУЧЕНО",$E171,0)</x:f>
        <x:v>0</x:v>
      </x:c>
      <x:c r="O171" s="21" t="n">
        <x:f>IF(Технологии!AV38="ИЗУЧЕНО",$E171,0)</x:f>
        <x:v>0</x:v>
      </x:c>
      <x:c r="P171" s="21" t="n">
        <x:f>IF(Технологии!AW38="ИЗУЧЕНО",$E171,0)</x:f>
        <x:v>0</x:v>
      </x:c>
      <x:c r="Q171" s="21" t="n">
        <x:f>IF(Технологии!AX38="ИЗУЧЕНО",$E171,0)</x:f>
        <x:v>0</x:v>
      </x:c>
      <x:c r="R171" s="21" t="n">
        <x:f>IF(Технологии!AY38="ИЗУЧЕНО",$E171,0)</x:f>
        <x:v>0</x:v>
      </x:c>
      <x:c r="S171" s="21" t="n">
        <x:f>IF(Технологии!AZ38="ИЗУЧЕНО",$E171,0)</x:f>
        <x:v>0</x:v>
      </x:c>
      <x:c r="T171" s="21" t="n">
        <x:f>IF(Технологии!BA38="ИЗУЧЕНО",$E171,0)</x:f>
        <x:v>0</x:v>
      </x:c>
      <x:c r="U171" s="21" t="n">
        <x:f>IF(Технологии!BB38="ИЗУЧЕНО",$E171,0)</x:f>
        <x:v>0</x:v>
      </x:c>
      <x:c r="V171" s="21" t="n">
        <x:f>IF(Технологии!BC38="ИЗУЧЕНО",$E171,0)</x:f>
        <x:v>0</x:v>
      </x:c>
      <x:c r="W171" s="21" t="n">
        <x:f>IF(Технологии!BD38="ИЗУЧЕНО",$E171,0)</x:f>
        <x:v>0</x:v>
      </x:c>
      <x:c r="X171" s="21" t="n">
        <x:f>IF(Технологии!BE38="ИЗУЧЕНО",$E171,0)</x:f>
        <x:v>0</x:v>
      </x:c>
      <x:c r="Y171" s="21" t="n">
        <x:f>IF(Технологии!BF38="ИЗУЧЕНО",$E171,0)</x:f>
        <x:v>0</x:v>
      </x:c>
    </x:row>
    <x:row r="172">
      <x:c r="A172" s="19" t="s">
        <x:v>184</x:v>
      </x:c>
      <x:c r="B172" s="18" t="s">
        <x:v>185</x:v>
      </x:c>
      <x:c r="C172" s="18" t="s">
        <x:v>260</x:v>
      </x:c>
      <x:c r="D172" s="18" t="s">
        <x:v>387</x:v>
      </x:c>
      <x:c r="E172" s="20">
        <x:v>-0.3</x:v>
      </x:c>
      <x:c r="F172" s="18" t="str">
        <x:f>IF(Технологии!BH38="","",Технологии!BH38)</x:f>
      </x:c>
      <x:c r="G172" s="18" t="s">
        <x:v>435</x:v>
      </x:c>
      <x:c r="J172" s="21" t="n">
        <x:f>0</x:f>
        <x:v>0</x:v>
      </x:c>
      <x:c r="K172" s="21" t="n">
        <x:f>IF(Технологии!AR38="ИЗУЧЕНО",$E172,0)</x:f>
        <x:v>0</x:v>
      </x:c>
      <x:c r="L172" s="21" t="n">
        <x:f>IF(Технологии!AS38="ИЗУЧЕНО",$E172,0)</x:f>
        <x:v>0</x:v>
      </x:c>
      <x:c r="M172" s="21" t="n">
        <x:f>IF(Технологии!AT38="ИЗУЧЕНО",$E172,0)</x:f>
        <x:v>0</x:v>
      </x:c>
      <x:c r="N172" s="21" t="n">
        <x:f>IF(Технологии!AU38="ИЗУЧЕНО",$E172,0)</x:f>
        <x:v>0</x:v>
      </x:c>
      <x:c r="O172" s="21" t="n">
        <x:f>IF(Технологии!AV38="ИЗУЧЕНО",$E172,0)</x:f>
        <x:v>0</x:v>
      </x:c>
      <x:c r="P172" s="21" t="n">
        <x:f>IF(Технологии!AW38="ИЗУЧЕНО",$E172,0)</x:f>
        <x:v>0</x:v>
      </x:c>
      <x:c r="Q172" s="21" t="n">
        <x:f>IF(Технологии!AX38="ИЗУЧЕНО",$E172,0)</x:f>
        <x:v>0</x:v>
      </x:c>
      <x:c r="R172" s="21" t="n">
        <x:f>IF(Технологии!AY38="ИЗУЧЕНО",$E172,0)</x:f>
        <x:v>0</x:v>
      </x:c>
      <x:c r="S172" s="21" t="n">
        <x:f>IF(Технологии!AZ38="ИЗУЧЕНО",$E172,0)</x:f>
        <x:v>0</x:v>
      </x:c>
      <x:c r="T172" s="21" t="n">
        <x:f>IF(Технологии!BA38="ИЗУЧЕНО",$E172,0)</x:f>
        <x:v>0</x:v>
      </x:c>
      <x:c r="U172" s="21" t="n">
        <x:f>IF(Технологии!BB38="ИЗУЧЕНО",$E172,0)</x:f>
        <x:v>0</x:v>
      </x:c>
      <x:c r="V172" s="21" t="n">
        <x:f>IF(Технологии!BC38="ИЗУЧЕНО",$E172,0)</x:f>
        <x:v>0</x:v>
      </x:c>
      <x:c r="W172" s="21" t="n">
        <x:f>IF(Технологии!BD38="ИЗУЧЕНО",$E172,0)</x:f>
        <x:v>0</x:v>
      </x:c>
      <x:c r="X172" s="21" t="n">
        <x:f>IF(Технологии!BE38="ИЗУЧЕНО",$E172,0)</x:f>
        <x:v>0</x:v>
      </x:c>
      <x:c r="Y172" s="21" t="n">
        <x:f>IF(Технологии!BF38="ИЗУЧЕНО",$E172,0)</x:f>
        <x:v>0</x:v>
      </x:c>
    </x:row>
    <x:row r="173">
      <x:c r="A173" s="19" t="s">
        <x:v>188</x:v>
      </x:c>
      <x:c r="B173" s="18" t="s">
        <x:v>189</x:v>
      </x:c>
      <x:c r="C173" s="18" t="s">
        <x:v>267</x:v>
      </x:c>
      <x:c r="D173" s="18" t="s">
        <x:v>414</x:v>
      </x:c>
      <x:c r="E173" s="20">
        <x:v>0.12</x:v>
      </x:c>
      <x:c r="F173" s="18" t="str">
        <x:f>IF(Технологии!BH39="","",Технологии!BH39)</x:f>
      </x:c>
      <x:c r="G173" s="18" t="s">
        <x:v>493</x:v>
      </x:c>
      <x:c r="J173" s="21" t="n">
        <x:f>0</x:f>
        <x:v>0</x:v>
      </x:c>
      <x:c r="K173" s="21" t="n">
        <x:f>IF(Технологии!AR39="ИЗУЧЕНО",$E173,0)</x:f>
        <x:v>0</x:v>
      </x:c>
      <x:c r="L173" s="21" t="n">
        <x:f>IF(Технологии!AS39="ИЗУЧЕНО",$E173,0)</x:f>
        <x:v>0</x:v>
      </x:c>
      <x:c r="M173" s="21" t="n">
        <x:f>IF(Технологии!AT39="ИЗУЧЕНО",$E173,0)</x:f>
        <x:v>0</x:v>
      </x:c>
      <x:c r="N173" s="21" t="n">
        <x:f>IF(Технологии!AU39="ИЗУЧЕНО",$E173,0)</x:f>
        <x:v>0</x:v>
      </x:c>
      <x:c r="O173" s="21" t="n">
        <x:f>IF(Технологии!AV39="ИЗУЧЕНО",$E173,0)</x:f>
        <x:v>0</x:v>
      </x:c>
      <x:c r="P173" s="21" t="n">
        <x:f>IF(Технологии!AW39="ИЗУЧЕНО",$E173,0)</x:f>
        <x:v>0</x:v>
      </x:c>
      <x:c r="Q173" s="21" t="n">
        <x:f>IF(Технологии!AX39="ИЗУЧЕНО",$E173,0)</x:f>
        <x:v>0</x:v>
      </x:c>
      <x:c r="R173" s="21" t="n">
        <x:f>IF(Технологии!AY39="ИЗУЧЕНО",$E173,0)</x:f>
        <x:v>0</x:v>
      </x:c>
      <x:c r="S173" s="21" t="n">
        <x:f>IF(Технологии!AZ39="ИЗУЧЕНО",$E173,0)</x:f>
        <x:v>0</x:v>
      </x:c>
      <x:c r="T173" s="21" t="n">
        <x:f>IF(Технологии!BA39="ИЗУЧЕНО",$E173,0)</x:f>
        <x:v>0</x:v>
      </x:c>
      <x:c r="U173" s="21" t="n">
        <x:f>IF(Технологии!BB39="ИЗУЧЕНО",$E173,0)</x:f>
        <x:v>0</x:v>
      </x:c>
      <x:c r="V173" s="21" t="n">
        <x:f>IF(Технологии!BC39="ИЗУЧЕНО",$E173,0)</x:f>
        <x:v>0</x:v>
      </x:c>
      <x:c r="W173" s="21" t="n">
        <x:f>IF(Технологии!BD39="ИЗУЧЕНО",$E173,0)</x:f>
        <x:v>0</x:v>
      </x:c>
      <x:c r="X173" s="21" t="n">
        <x:f>IF(Технологии!BE39="ИЗУЧЕНО",$E173,0)</x:f>
        <x:v>0</x:v>
      </x:c>
      <x:c r="Y173" s="21" t="n">
        <x:f>IF(Технологии!BF39="ИЗУЧЕНО",$E173,0)</x:f>
        <x:v>0</x:v>
      </x:c>
    </x:row>
    <x:row r="174">
      <x:c r="A174" s="19" t="s">
        <x:v>188</x:v>
      </x:c>
      <x:c r="B174" s="18" t="s">
        <x:v>189</x:v>
      </x:c>
      <x:c r="C174" s="18" t="s">
        <x:v>312</x:v>
      </x:c>
      <x:c r="D174" s="18" t="s">
        <x:v>387</x:v>
      </x:c>
      <x:c r="E174" s="20">
        <x:v>0.2</x:v>
      </x:c>
      <x:c r="F174" s="18" t="str">
        <x:f>IF(Технологии!BH39="","",Технологии!BH39)</x:f>
      </x:c>
      <x:c r="G174" s="18" t="s">
        <x:v>487</x:v>
      </x:c>
      <x:c r="J174" s="21" t="n">
        <x:f>0</x:f>
        <x:v>0</x:v>
      </x:c>
      <x:c r="K174" s="21" t="n">
        <x:f>IF(Технологии!AR39="ИЗУЧЕНО",$E174,0)</x:f>
        <x:v>0</x:v>
      </x:c>
      <x:c r="L174" s="21" t="n">
        <x:f>IF(Технологии!AS39="ИЗУЧЕНО",$E174,0)</x:f>
        <x:v>0</x:v>
      </x:c>
      <x:c r="M174" s="21" t="n">
        <x:f>IF(Технологии!AT39="ИЗУЧЕНО",$E174,0)</x:f>
        <x:v>0</x:v>
      </x:c>
      <x:c r="N174" s="21" t="n">
        <x:f>IF(Технологии!AU39="ИЗУЧЕНО",$E174,0)</x:f>
        <x:v>0</x:v>
      </x:c>
      <x:c r="O174" s="21" t="n">
        <x:f>IF(Технологии!AV39="ИЗУЧЕНО",$E174,0)</x:f>
        <x:v>0</x:v>
      </x:c>
      <x:c r="P174" s="21" t="n">
        <x:f>IF(Технологии!AW39="ИЗУЧЕНО",$E174,0)</x:f>
        <x:v>0</x:v>
      </x:c>
      <x:c r="Q174" s="21" t="n">
        <x:f>IF(Технологии!AX39="ИЗУЧЕНО",$E174,0)</x:f>
        <x:v>0</x:v>
      </x:c>
      <x:c r="R174" s="21" t="n">
        <x:f>IF(Технологии!AY39="ИЗУЧЕНО",$E174,0)</x:f>
        <x:v>0</x:v>
      </x:c>
      <x:c r="S174" s="21" t="n">
        <x:f>IF(Технологии!AZ39="ИЗУЧЕНО",$E174,0)</x:f>
        <x:v>0</x:v>
      </x:c>
      <x:c r="T174" s="21" t="n">
        <x:f>IF(Технологии!BA39="ИЗУЧЕНО",$E174,0)</x:f>
        <x:v>0</x:v>
      </x:c>
      <x:c r="U174" s="21" t="n">
        <x:f>IF(Технологии!BB39="ИЗУЧЕНО",$E174,0)</x:f>
        <x:v>0</x:v>
      </x:c>
      <x:c r="V174" s="21" t="n">
        <x:f>IF(Технологии!BC39="ИЗУЧЕНО",$E174,0)</x:f>
        <x:v>0</x:v>
      </x:c>
      <x:c r="W174" s="21" t="n">
        <x:f>IF(Технологии!BD39="ИЗУЧЕНО",$E174,0)</x:f>
        <x:v>0</x:v>
      </x:c>
      <x:c r="X174" s="21" t="n">
        <x:f>IF(Технологии!BE39="ИЗУЧЕНО",$E174,0)</x:f>
        <x:v>0</x:v>
      </x:c>
      <x:c r="Y174" s="21" t="n">
        <x:f>IF(Технологии!BF39="ИЗУЧЕНО",$E174,0)</x:f>
        <x:v>0</x:v>
      </x:c>
    </x:row>
    <x:row r="175">
      <x:c r="A175" s="19" t="s">
        <x:v>188</x:v>
      </x:c>
      <x:c r="B175" s="18" t="s">
        <x:v>189</x:v>
      </x:c>
      <x:c r="C175" s="18" t="s">
        <x:v>281</x:v>
      </x:c>
      <x:c r="D175" s="18" t="s">
        <x:v>414</x:v>
      </x:c>
      <x:c r="E175" s="20">
        <x:v>0.05</x:v>
      </x:c>
      <x:c r="F175" s="18" t="str">
        <x:f>IF(Технологии!BH39="","",Технологии!BH39)</x:f>
      </x:c>
      <x:c r="G175" s="18" t="s">
        <x:v>463</x:v>
      </x:c>
      <x:c r="J175" s="21" t="n">
        <x:f>0</x:f>
        <x:v>0</x:v>
      </x:c>
      <x:c r="K175" s="21" t="n">
        <x:f>IF(Технологии!AR39="ИЗУЧЕНО",$E175,0)</x:f>
        <x:v>0</x:v>
      </x:c>
      <x:c r="L175" s="21" t="n">
        <x:f>IF(Технологии!AS39="ИЗУЧЕНО",$E175,0)</x:f>
        <x:v>0</x:v>
      </x:c>
      <x:c r="M175" s="21" t="n">
        <x:f>IF(Технологии!AT39="ИЗУЧЕНО",$E175,0)</x:f>
        <x:v>0</x:v>
      </x:c>
      <x:c r="N175" s="21" t="n">
        <x:f>IF(Технологии!AU39="ИЗУЧЕНО",$E175,0)</x:f>
        <x:v>0</x:v>
      </x:c>
      <x:c r="O175" s="21" t="n">
        <x:f>IF(Технологии!AV39="ИЗУЧЕНО",$E175,0)</x:f>
        <x:v>0</x:v>
      </x:c>
      <x:c r="P175" s="21" t="n">
        <x:f>IF(Технологии!AW39="ИЗУЧЕНО",$E175,0)</x:f>
        <x:v>0</x:v>
      </x:c>
      <x:c r="Q175" s="21" t="n">
        <x:f>IF(Технологии!AX39="ИЗУЧЕНО",$E175,0)</x:f>
        <x:v>0</x:v>
      </x:c>
      <x:c r="R175" s="21" t="n">
        <x:f>IF(Технологии!AY39="ИЗУЧЕНО",$E175,0)</x:f>
        <x:v>0</x:v>
      </x:c>
      <x:c r="S175" s="21" t="n">
        <x:f>IF(Технологии!AZ39="ИЗУЧЕНО",$E175,0)</x:f>
        <x:v>0</x:v>
      </x:c>
      <x:c r="T175" s="21" t="n">
        <x:f>IF(Технологии!BA39="ИЗУЧЕНО",$E175,0)</x:f>
        <x:v>0</x:v>
      </x:c>
      <x:c r="U175" s="21" t="n">
        <x:f>IF(Технологии!BB39="ИЗУЧЕНО",$E175,0)</x:f>
        <x:v>0</x:v>
      </x:c>
      <x:c r="V175" s="21" t="n">
        <x:f>IF(Технологии!BC39="ИЗУЧЕНО",$E175,0)</x:f>
        <x:v>0</x:v>
      </x:c>
      <x:c r="W175" s="21" t="n">
        <x:f>IF(Технологии!BD39="ИЗУЧЕНО",$E175,0)</x:f>
        <x:v>0</x:v>
      </x:c>
      <x:c r="X175" s="21" t="n">
        <x:f>IF(Технологии!BE39="ИЗУЧЕНО",$E175,0)</x:f>
        <x:v>0</x:v>
      </x:c>
      <x:c r="Y175" s="21" t="n">
        <x:f>IF(Технологии!BF39="ИЗУЧЕНО",$E175,0)</x:f>
        <x:v>0</x:v>
      </x:c>
    </x:row>
    <x:row r="176">
      <x:c r="A176" s="19" t="s">
        <x:v>188</x:v>
      </x:c>
      <x:c r="B176" s="18" t="s">
        <x:v>189</x:v>
      </x:c>
      <x:c r="C176" s="18" t="s">
        <x:v>299</x:v>
      </x:c>
      <x:c r="D176" s="18" t="s">
        <x:v>387</x:v>
      </x:c>
      <x:c r="E176" s="20">
        <x:v>0.25</x:v>
      </x:c>
      <x:c r="F176" s="18" t="str">
        <x:f>IF(Технологии!BH39="","",Технологии!BH39)</x:f>
      </x:c>
      <x:c r="G176" s="18" t="s">
        <x:v>494</x:v>
      </x:c>
      <x:c r="J176" s="21" t="n">
        <x:f>0</x:f>
        <x:v>0</x:v>
      </x:c>
      <x:c r="K176" s="21" t="n">
        <x:f>IF(Технологии!AR39="ИЗУЧЕНО",$E176,0)</x:f>
        <x:v>0</x:v>
      </x:c>
      <x:c r="L176" s="21" t="n">
        <x:f>IF(Технологии!AS39="ИЗУЧЕНО",$E176,0)</x:f>
        <x:v>0</x:v>
      </x:c>
      <x:c r="M176" s="21" t="n">
        <x:f>IF(Технологии!AT39="ИЗУЧЕНО",$E176,0)</x:f>
        <x:v>0</x:v>
      </x:c>
      <x:c r="N176" s="21" t="n">
        <x:f>IF(Технологии!AU39="ИЗУЧЕНО",$E176,0)</x:f>
        <x:v>0</x:v>
      </x:c>
      <x:c r="O176" s="21" t="n">
        <x:f>IF(Технологии!AV39="ИЗУЧЕНО",$E176,0)</x:f>
        <x:v>0</x:v>
      </x:c>
      <x:c r="P176" s="21" t="n">
        <x:f>IF(Технологии!AW39="ИЗУЧЕНО",$E176,0)</x:f>
        <x:v>0</x:v>
      </x:c>
      <x:c r="Q176" s="21" t="n">
        <x:f>IF(Технологии!AX39="ИЗУЧЕНО",$E176,0)</x:f>
        <x:v>0</x:v>
      </x:c>
      <x:c r="R176" s="21" t="n">
        <x:f>IF(Технологии!AY39="ИЗУЧЕНО",$E176,0)</x:f>
        <x:v>0</x:v>
      </x:c>
      <x:c r="S176" s="21" t="n">
        <x:f>IF(Технологии!AZ39="ИЗУЧЕНО",$E176,0)</x:f>
        <x:v>0</x:v>
      </x:c>
      <x:c r="T176" s="21" t="n">
        <x:f>IF(Технологии!BA39="ИЗУЧЕНО",$E176,0)</x:f>
        <x:v>0</x:v>
      </x:c>
      <x:c r="U176" s="21" t="n">
        <x:f>IF(Технологии!BB39="ИЗУЧЕНО",$E176,0)</x:f>
        <x:v>0</x:v>
      </x:c>
      <x:c r="V176" s="21" t="n">
        <x:f>IF(Технологии!BC39="ИЗУЧЕНО",$E176,0)</x:f>
        <x:v>0</x:v>
      </x:c>
      <x:c r="W176" s="21" t="n">
        <x:f>IF(Технологии!BD39="ИЗУЧЕНО",$E176,0)</x:f>
        <x:v>0</x:v>
      </x:c>
      <x:c r="X176" s="21" t="n">
        <x:f>IF(Технологии!BE39="ИЗУЧЕНО",$E176,0)</x:f>
        <x:v>0</x:v>
      </x:c>
      <x:c r="Y176" s="21" t="n">
        <x:f>IF(Технологии!BF39="ИЗУЧЕНО",$E176,0)</x:f>
        <x:v>0</x:v>
      </x:c>
    </x:row>
    <x:row r="177">
      <x:c r="A177" s="19" t="s">
        <x:v>188</x:v>
      </x:c>
      <x:c r="B177" s="18" t="s">
        <x:v>189</x:v>
      </x:c>
      <x:c r="C177" s="18" t="s">
        <x:v>277</x:v>
      </x:c>
      <x:c r="D177" s="18" t="s">
        <x:v>414</x:v>
      </x:c>
      <x:c r="E177" s="20">
        <x:v>0.05</x:v>
      </x:c>
      <x:c r="F177" s="18" t="str">
        <x:f>IF(Технологии!BH39="","",Технологии!BH39)</x:f>
      </x:c>
      <x:c r="G177" s="18" t="s">
        <x:v>495</x:v>
      </x:c>
      <x:c r="J177" s="21" t="n">
        <x:f>0</x:f>
        <x:v>0</x:v>
      </x:c>
      <x:c r="K177" s="21" t="n">
        <x:f>IF(Технологии!AR39="ИЗУЧЕНО",$E177,0)</x:f>
        <x:v>0</x:v>
      </x:c>
      <x:c r="L177" s="21" t="n">
        <x:f>IF(Технологии!AS39="ИЗУЧЕНО",$E177,0)</x:f>
        <x:v>0</x:v>
      </x:c>
      <x:c r="M177" s="21" t="n">
        <x:f>IF(Технологии!AT39="ИЗУЧЕНО",$E177,0)</x:f>
        <x:v>0</x:v>
      </x:c>
      <x:c r="N177" s="21" t="n">
        <x:f>IF(Технологии!AU39="ИЗУЧЕНО",$E177,0)</x:f>
        <x:v>0</x:v>
      </x:c>
      <x:c r="O177" s="21" t="n">
        <x:f>IF(Технологии!AV39="ИЗУЧЕНО",$E177,0)</x:f>
        <x:v>0</x:v>
      </x:c>
      <x:c r="P177" s="21" t="n">
        <x:f>IF(Технологии!AW39="ИЗУЧЕНО",$E177,0)</x:f>
        <x:v>0</x:v>
      </x:c>
      <x:c r="Q177" s="21" t="n">
        <x:f>IF(Технологии!AX39="ИЗУЧЕНО",$E177,0)</x:f>
        <x:v>0</x:v>
      </x:c>
      <x:c r="R177" s="21" t="n">
        <x:f>IF(Технологии!AY39="ИЗУЧЕНО",$E177,0)</x:f>
        <x:v>0</x:v>
      </x:c>
      <x:c r="S177" s="21" t="n">
        <x:f>IF(Технологии!AZ39="ИЗУЧЕНО",$E177,0)</x:f>
        <x:v>0</x:v>
      </x:c>
      <x:c r="T177" s="21" t="n">
        <x:f>IF(Технологии!BA39="ИЗУЧЕНО",$E177,0)</x:f>
        <x:v>0</x:v>
      </x:c>
      <x:c r="U177" s="21" t="n">
        <x:f>IF(Технологии!BB39="ИЗУЧЕНО",$E177,0)</x:f>
        <x:v>0</x:v>
      </x:c>
      <x:c r="V177" s="21" t="n">
        <x:f>IF(Технологии!BC39="ИЗУЧЕНО",$E177,0)</x:f>
        <x:v>0</x:v>
      </x:c>
      <x:c r="W177" s="21" t="n">
        <x:f>IF(Технологии!BD39="ИЗУЧЕНО",$E177,0)</x:f>
        <x:v>0</x:v>
      </x:c>
      <x:c r="X177" s="21" t="n">
        <x:f>IF(Технологии!BE39="ИЗУЧЕНО",$E177,0)</x:f>
        <x:v>0</x:v>
      </x:c>
      <x:c r="Y177" s="21" t="n">
        <x:f>IF(Технологии!BF39="ИЗУЧЕНО",$E177,0)</x:f>
        <x:v>0</x:v>
      </x:c>
    </x:row>
    <x:row r="178">
      <x:c r="A178" s="19" t="s">
        <x:v>188</x:v>
      </x:c>
      <x:c r="B178" s="18" t="s">
        <x:v>189</x:v>
      </x:c>
      <x:c r="C178" s="18" t="s">
        <x:v>256</x:v>
      </x:c>
      <x:c r="D178" s="18" t="s">
        <x:v>387</x:v>
      </x:c>
      <x:c r="E178" s="20">
        <x:v>-0.3</x:v>
      </x:c>
      <x:c r="F178" s="18" t="str">
        <x:f>IF(Технологии!BH39="","",Технологии!BH39)</x:f>
      </x:c>
      <x:c r="G178" s="18" t="s">
        <x:v>496</x:v>
      </x:c>
      <x:c r="J178" s="21" t="n">
        <x:f>0</x:f>
        <x:v>0</x:v>
      </x:c>
      <x:c r="K178" s="21" t="n">
        <x:f>IF(Технологии!AR39="ИЗУЧЕНО",$E178,0)</x:f>
        <x:v>0</x:v>
      </x:c>
      <x:c r="L178" s="21" t="n">
        <x:f>IF(Технологии!AS39="ИЗУЧЕНО",$E178,0)</x:f>
        <x:v>0</x:v>
      </x:c>
      <x:c r="M178" s="21" t="n">
        <x:f>IF(Технологии!AT39="ИЗУЧЕНО",$E178,0)</x:f>
        <x:v>0</x:v>
      </x:c>
      <x:c r="N178" s="21" t="n">
        <x:f>IF(Технологии!AU39="ИЗУЧЕНО",$E178,0)</x:f>
        <x:v>0</x:v>
      </x:c>
      <x:c r="O178" s="21" t="n">
        <x:f>IF(Технологии!AV39="ИЗУЧЕНО",$E178,0)</x:f>
        <x:v>0</x:v>
      </x:c>
      <x:c r="P178" s="21" t="n">
        <x:f>IF(Технологии!AW39="ИЗУЧЕНО",$E178,0)</x:f>
        <x:v>0</x:v>
      </x:c>
      <x:c r="Q178" s="21" t="n">
        <x:f>IF(Технологии!AX39="ИЗУЧЕНО",$E178,0)</x:f>
        <x:v>0</x:v>
      </x:c>
      <x:c r="R178" s="21" t="n">
        <x:f>IF(Технологии!AY39="ИЗУЧЕНО",$E178,0)</x:f>
        <x:v>0</x:v>
      </x:c>
      <x:c r="S178" s="21" t="n">
        <x:f>IF(Технологии!AZ39="ИЗУЧЕНО",$E178,0)</x:f>
        <x:v>0</x:v>
      </x:c>
      <x:c r="T178" s="21" t="n">
        <x:f>IF(Технологии!BA39="ИЗУЧЕНО",$E178,0)</x:f>
        <x:v>0</x:v>
      </x:c>
      <x:c r="U178" s="21" t="n">
        <x:f>IF(Технологии!BB39="ИЗУЧЕНО",$E178,0)</x:f>
        <x:v>0</x:v>
      </x:c>
      <x:c r="V178" s="21" t="n">
        <x:f>IF(Технологии!BC39="ИЗУЧЕНО",$E178,0)</x:f>
        <x:v>0</x:v>
      </x:c>
      <x:c r="W178" s="21" t="n">
        <x:f>IF(Технологии!BD39="ИЗУЧЕНО",$E178,0)</x:f>
        <x:v>0</x:v>
      </x:c>
      <x:c r="X178" s="21" t="n">
        <x:f>IF(Технологии!BE39="ИЗУЧЕНО",$E178,0)</x:f>
        <x:v>0</x:v>
      </x:c>
      <x:c r="Y178" s="21" t="n">
        <x:f>IF(Технологии!BF39="ИЗУЧЕНО",$E178,0)</x:f>
        <x:v>0</x:v>
      </x:c>
    </x:row>
    <x:row r="179">
      <x:c r="A179" s="19" t="s">
        <x:v>188</x:v>
      </x:c>
      <x:c r="B179" s="18" t="s">
        <x:v>189</x:v>
      </x:c>
      <x:c r="C179" s="18" t="s">
        <x:v>260</x:v>
      </x:c>
      <x:c r="D179" s="18" t="s">
        <x:v>387</x:v>
      </x:c>
      <x:c r="E179" s="20">
        <x:v>-0.25</x:v>
      </x:c>
      <x:c r="F179" s="18" t="str">
        <x:f>IF(Технологии!BH39="","",Технологии!BH39)</x:f>
      </x:c>
      <x:c r="G179" s="18" t="s">
        <x:v>400</x:v>
      </x:c>
      <x:c r="J179" s="21" t="n">
        <x:f>0</x:f>
        <x:v>0</x:v>
      </x:c>
      <x:c r="K179" s="21" t="n">
        <x:f>IF(Технологии!AR39="ИЗУЧЕНО",$E179,0)</x:f>
        <x:v>0</x:v>
      </x:c>
      <x:c r="L179" s="21" t="n">
        <x:f>IF(Технологии!AS39="ИЗУЧЕНО",$E179,0)</x:f>
        <x:v>0</x:v>
      </x:c>
      <x:c r="M179" s="21" t="n">
        <x:f>IF(Технологии!AT39="ИЗУЧЕНО",$E179,0)</x:f>
        <x:v>0</x:v>
      </x:c>
      <x:c r="N179" s="21" t="n">
        <x:f>IF(Технологии!AU39="ИЗУЧЕНО",$E179,0)</x:f>
        <x:v>0</x:v>
      </x:c>
      <x:c r="O179" s="21" t="n">
        <x:f>IF(Технологии!AV39="ИЗУЧЕНО",$E179,0)</x:f>
        <x:v>0</x:v>
      </x:c>
      <x:c r="P179" s="21" t="n">
        <x:f>IF(Технологии!AW39="ИЗУЧЕНО",$E179,0)</x:f>
        <x:v>0</x:v>
      </x:c>
      <x:c r="Q179" s="21" t="n">
        <x:f>IF(Технологии!AX39="ИЗУЧЕНО",$E179,0)</x:f>
        <x:v>0</x:v>
      </x:c>
      <x:c r="R179" s="21" t="n">
        <x:f>IF(Технологии!AY39="ИЗУЧЕНО",$E179,0)</x:f>
        <x:v>0</x:v>
      </x:c>
      <x:c r="S179" s="21" t="n">
        <x:f>IF(Технологии!AZ39="ИЗУЧЕНО",$E179,0)</x:f>
        <x:v>0</x:v>
      </x:c>
      <x:c r="T179" s="21" t="n">
        <x:f>IF(Технологии!BA39="ИЗУЧЕНО",$E179,0)</x:f>
        <x:v>0</x:v>
      </x:c>
      <x:c r="U179" s="21" t="n">
        <x:f>IF(Технологии!BB39="ИЗУЧЕНО",$E179,0)</x:f>
        <x:v>0</x:v>
      </x:c>
      <x:c r="V179" s="21" t="n">
        <x:f>IF(Технологии!BC39="ИЗУЧЕНО",$E179,0)</x:f>
        <x:v>0</x:v>
      </x:c>
      <x:c r="W179" s="21" t="n">
        <x:f>IF(Технологии!BD39="ИЗУЧЕНО",$E179,0)</x:f>
        <x:v>0</x:v>
      </x:c>
      <x:c r="X179" s="21" t="n">
        <x:f>IF(Технологии!BE39="ИЗУЧЕНО",$E179,0)</x:f>
        <x:v>0</x:v>
      </x:c>
      <x:c r="Y179" s="21" t="n">
        <x:f>IF(Технологии!BF39="ИЗУЧЕНО",$E179,0)</x:f>
        <x:v>0</x:v>
      </x:c>
    </x:row>
    <x:row r="180">
      <x:c r="A180" s="19" t="s">
        <x:v>188</x:v>
      </x:c>
      <x:c r="B180" s="18" t="s">
        <x:v>189</x:v>
      </x:c>
      <x:c r="C180" s="18" t="s">
        <x:v>297</x:v>
      </x:c>
      <x:c r="D180" s="18" t="s">
        <x:v>387</x:v>
      </x:c>
      <x:c r="E180" s="20">
        <x:v>-0.15</x:v>
      </x:c>
      <x:c r="F180" s="18" t="str">
        <x:f>IF(Технологии!BH39="","",Технологии!BH39)</x:f>
      </x:c>
      <x:c r="G180" s="18" t="s">
        <x:v>497</x:v>
      </x:c>
      <x:c r="J180" s="21" t="n">
        <x:f>0</x:f>
        <x:v>0</x:v>
      </x:c>
      <x:c r="K180" s="21" t="n">
        <x:f>IF(Технологии!AR39="ИЗУЧЕНО",$E180,0)</x:f>
        <x:v>0</x:v>
      </x:c>
      <x:c r="L180" s="21" t="n">
        <x:f>IF(Технологии!AS39="ИЗУЧЕНО",$E180,0)</x:f>
        <x:v>0</x:v>
      </x:c>
      <x:c r="M180" s="21" t="n">
        <x:f>IF(Технологии!AT39="ИЗУЧЕНО",$E180,0)</x:f>
        <x:v>0</x:v>
      </x:c>
      <x:c r="N180" s="21" t="n">
        <x:f>IF(Технологии!AU39="ИЗУЧЕНО",$E180,0)</x:f>
        <x:v>0</x:v>
      </x:c>
      <x:c r="O180" s="21" t="n">
        <x:f>IF(Технологии!AV39="ИЗУЧЕНО",$E180,0)</x:f>
        <x:v>0</x:v>
      </x:c>
      <x:c r="P180" s="21" t="n">
        <x:f>IF(Технологии!AW39="ИЗУЧЕНО",$E180,0)</x:f>
        <x:v>0</x:v>
      </x:c>
      <x:c r="Q180" s="21" t="n">
        <x:f>IF(Технологии!AX39="ИЗУЧЕНО",$E180,0)</x:f>
        <x:v>0</x:v>
      </x:c>
      <x:c r="R180" s="21" t="n">
        <x:f>IF(Технологии!AY39="ИЗУЧЕНО",$E180,0)</x:f>
        <x:v>0</x:v>
      </x:c>
      <x:c r="S180" s="21" t="n">
        <x:f>IF(Технологии!AZ39="ИЗУЧЕНО",$E180,0)</x:f>
        <x:v>0</x:v>
      </x:c>
      <x:c r="T180" s="21" t="n">
        <x:f>IF(Технологии!BA39="ИЗУЧЕНО",$E180,0)</x:f>
        <x:v>0</x:v>
      </x:c>
      <x:c r="U180" s="21" t="n">
        <x:f>IF(Технологии!BB39="ИЗУЧЕНО",$E180,0)</x:f>
        <x:v>0</x:v>
      </x:c>
      <x:c r="V180" s="21" t="n">
        <x:f>IF(Технологии!BC39="ИЗУЧЕНО",$E180,0)</x:f>
        <x:v>0</x:v>
      </x:c>
      <x:c r="W180" s="21" t="n">
        <x:f>IF(Технологии!BD39="ИЗУЧЕНО",$E180,0)</x:f>
        <x:v>0</x:v>
      </x:c>
      <x:c r="X180" s="21" t="n">
        <x:f>IF(Технологии!BE39="ИЗУЧЕНО",$E180,0)</x:f>
        <x:v>0</x:v>
      </x:c>
      <x:c r="Y180" s="21" t="n">
        <x:f>IF(Технологии!BF39="ИЗУЧЕНО",$E180,0)</x:f>
        <x:v>0</x:v>
      </x:c>
    </x:row>
    <x:row r="181">
      <x:c r="A181" s="19" t="s">
        <x:v>192</x:v>
      </x:c>
      <x:c r="B181" s="18" t="s">
        <x:v>193</x:v>
      </x:c>
      <x:c r="C181" s="18" t="s">
        <x:v>267</x:v>
      </x:c>
      <x:c r="D181" s="18" t="s">
        <x:v>387</x:v>
      </x:c>
      <x:c r="E181" s="20">
        <x:v>0.5</x:v>
      </x:c>
      <x:c r="F181" s="18" t="str">
        <x:f>IF(Технологии!BH40="","",Технологии!BH40)</x:f>
      </x:c>
      <x:c r="G181" s="18" t="s">
        <x:v>498</x:v>
      </x:c>
      <x:c r="J181" s="21" t="n">
        <x:f>0</x:f>
        <x:v>0</x:v>
      </x:c>
      <x:c r="K181" s="21" t="n">
        <x:f>IF(Технологии!AR40="ИЗУЧЕНО",$E181,0)</x:f>
        <x:v>0</x:v>
      </x:c>
      <x:c r="L181" s="21" t="n">
        <x:f>IF(Технологии!AS40="ИЗУЧЕНО",$E181,0)</x:f>
        <x:v>0</x:v>
      </x:c>
      <x:c r="M181" s="21" t="n">
        <x:f>IF(Технологии!AT40="ИЗУЧЕНО",$E181,0)</x:f>
        <x:v>0</x:v>
      </x:c>
      <x:c r="N181" s="21" t="n">
        <x:f>IF(Технологии!AU40="ИЗУЧЕНО",$E181,0)</x:f>
        <x:v>0</x:v>
      </x:c>
      <x:c r="O181" s="21" t="n">
        <x:f>IF(Технологии!AV40="ИЗУЧЕНО",$E181,0)</x:f>
        <x:v>0</x:v>
      </x:c>
      <x:c r="P181" s="21" t="n">
        <x:f>IF(Технологии!AW40="ИЗУЧЕНО",$E181,0)</x:f>
        <x:v>0</x:v>
      </x:c>
      <x:c r="Q181" s="21" t="n">
        <x:f>IF(Технологии!AX40="ИЗУЧЕНО",$E181,0)</x:f>
        <x:v>0</x:v>
      </x:c>
      <x:c r="R181" s="21" t="n">
        <x:f>IF(Технологии!AY40="ИЗУЧЕНО",$E181,0)</x:f>
        <x:v>0</x:v>
      </x:c>
      <x:c r="S181" s="21" t="n">
        <x:f>IF(Технологии!AZ40="ИЗУЧЕНО",$E181,0)</x:f>
        <x:v>0</x:v>
      </x:c>
      <x:c r="T181" s="21" t="n">
        <x:f>IF(Технологии!BA40="ИЗУЧЕНО",$E181,0)</x:f>
        <x:v>0</x:v>
      </x:c>
      <x:c r="U181" s="21" t="n">
        <x:f>IF(Технологии!BB40="ИЗУЧЕНО",$E181,0)</x:f>
        <x:v>0</x:v>
      </x:c>
      <x:c r="V181" s="21" t="n">
        <x:f>IF(Технологии!BC40="ИЗУЧЕНО",$E181,0)</x:f>
        <x:v>0</x:v>
      </x:c>
      <x:c r="W181" s="21" t="n">
        <x:f>IF(Технологии!BD40="ИЗУЧЕНО",$E181,0)</x:f>
        <x:v>0</x:v>
      </x:c>
      <x:c r="X181" s="21" t="n">
        <x:f>IF(Технологии!BE40="ИЗУЧЕНО",$E181,0)</x:f>
        <x:v>0</x:v>
      </x:c>
      <x:c r="Y181" s="21" t="n">
        <x:f>IF(Технологии!BF40="ИЗУЧЕНО",$E181,0)</x:f>
        <x:v>0</x:v>
      </x:c>
    </x:row>
    <x:row r="182">
      <x:c r="A182" s="19" t="s">
        <x:v>192</x:v>
      </x:c>
      <x:c r="B182" s="18" t="s">
        <x:v>193</x:v>
      </x:c>
      <x:c r="C182" s="18" t="s">
        <x:v>267</x:v>
      </x:c>
      <x:c r="D182" s="18" t="s">
        <x:v>414</x:v>
      </x:c>
      <x:c r="E182" s="20">
        <x:v>0.15</x:v>
      </x:c>
      <x:c r="F182" s="18" t="str">
        <x:f>IF(Технологии!BH40="","",Технологии!BH40)</x:f>
      </x:c>
      <x:c r="G182" s="18" t="s">
        <x:v>498</x:v>
      </x:c>
      <x:c r="J182" s="21" t="n">
        <x:f>0</x:f>
        <x:v>0</x:v>
      </x:c>
      <x:c r="K182" s="21" t="n">
        <x:f>IF(Технологии!AR40="ИЗУЧЕНО",$E182,0)</x:f>
        <x:v>0</x:v>
      </x:c>
      <x:c r="L182" s="21" t="n">
        <x:f>IF(Технологии!AS40="ИЗУЧЕНО",$E182,0)</x:f>
        <x:v>0</x:v>
      </x:c>
      <x:c r="M182" s="21" t="n">
        <x:f>IF(Технологии!AT40="ИЗУЧЕНО",$E182,0)</x:f>
        <x:v>0</x:v>
      </x:c>
      <x:c r="N182" s="21" t="n">
        <x:f>IF(Технологии!AU40="ИЗУЧЕНО",$E182,0)</x:f>
        <x:v>0</x:v>
      </x:c>
      <x:c r="O182" s="21" t="n">
        <x:f>IF(Технологии!AV40="ИЗУЧЕНО",$E182,0)</x:f>
        <x:v>0</x:v>
      </x:c>
      <x:c r="P182" s="21" t="n">
        <x:f>IF(Технологии!AW40="ИЗУЧЕНО",$E182,0)</x:f>
        <x:v>0</x:v>
      </x:c>
      <x:c r="Q182" s="21" t="n">
        <x:f>IF(Технологии!AX40="ИЗУЧЕНО",$E182,0)</x:f>
        <x:v>0</x:v>
      </x:c>
      <x:c r="R182" s="21" t="n">
        <x:f>IF(Технологии!AY40="ИЗУЧЕНО",$E182,0)</x:f>
        <x:v>0</x:v>
      </x:c>
      <x:c r="S182" s="21" t="n">
        <x:f>IF(Технологии!AZ40="ИЗУЧЕНО",$E182,0)</x:f>
        <x:v>0</x:v>
      </x:c>
      <x:c r="T182" s="21" t="n">
        <x:f>IF(Технологии!BA40="ИЗУЧЕНО",$E182,0)</x:f>
        <x:v>0</x:v>
      </x:c>
      <x:c r="U182" s="21" t="n">
        <x:f>IF(Технологии!BB40="ИЗУЧЕНО",$E182,0)</x:f>
        <x:v>0</x:v>
      </x:c>
      <x:c r="V182" s="21" t="n">
        <x:f>IF(Технологии!BC40="ИЗУЧЕНО",$E182,0)</x:f>
        <x:v>0</x:v>
      </x:c>
      <x:c r="W182" s="21" t="n">
        <x:f>IF(Технологии!BD40="ИЗУЧЕНО",$E182,0)</x:f>
        <x:v>0</x:v>
      </x:c>
      <x:c r="X182" s="21" t="n">
        <x:f>IF(Технологии!BE40="ИЗУЧЕНО",$E182,0)</x:f>
        <x:v>0</x:v>
      </x:c>
      <x:c r="Y182" s="21" t="n">
        <x:f>IF(Технологии!BF40="ИЗУЧЕНО",$E182,0)</x:f>
        <x:v>0</x:v>
      </x:c>
    </x:row>
    <x:row r="183">
      <x:c r="A183" s="19" t="s">
        <x:v>192</x:v>
      </x:c>
      <x:c r="B183" s="18" t="s">
        <x:v>193</x:v>
      </x:c>
      <x:c r="C183" s="18" t="s">
        <x:v>301</x:v>
      </x:c>
      <x:c r="D183" s="18" t="s">
        <x:v>387</x:v>
      </x:c>
      <x:c r="E183" s="20">
        <x:v>0.3</x:v>
      </x:c>
      <x:c r="F183" s="18" t="str">
        <x:f>IF(Технологии!BH40="","",Технологии!BH40)</x:f>
      </x:c>
      <x:c r="G183" s="18" t="s">
        <x:v>499</x:v>
      </x:c>
      <x:c r="J183" s="21" t="n">
        <x:f>0</x:f>
        <x:v>0</x:v>
      </x:c>
      <x:c r="K183" s="21" t="n">
        <x:f>IF(Технологии!AR40="ИЗУЧЕНО",$E183,0)</x:f>
        <x:v>0</x:v>
      </x:c>
      <x:c r="L183" s="21" t="n">
        <x:f>IF(Технологии!AS40="ИЗУЧЕНО",$E183,0)</x:f>
        <x:v>0</x:v>
      </x:c>
      <x:c r="M183" s="21" t="n">
        <x:f>IF(Технологии!AT40="ИЗУЧЕНО",$E183,0)</x:f>
        <x:v>0</x:v>
      </x:c>
      <x:c r="N183" s="21" t="n">
        <x:f>IF(Технологии!AU40="ИЗУЧЕНО",$E183,0)</x:f>
        <x:v>0</x:v>
      </x:c>
      <x:c r="O183" s="21" t="n">
        <x:f>IF(Технологии!AV40="ИЗУЧЕНО",$E183,0)</x:f>
        <x:v>0</x:v>
      </x:c>
      <x:c r="P183" s="21" t="n">
        <x:f>IF(Технологии!AW40="ИЗУЧЕНО",$E183,0)</x:f>
        <x:v>0</x:v>
      </x:c>
      <x:c r="Q183" s="21" t="n">
        <x:f>IF(Технологии!AX40="ИЗУЧЕНО",$E183,0)</x:f>
        <x:v>0</x:v>
      </x:c>
      <x:c r="R183" s="21" t="n">
        <x:f>IF(Технологии!AY40="ИЗУЧЕНО",$E183,0)</x:f>
        <x:v>0</x:v>
      </x:c>
      <x:c r="S183" s="21" t="n">
        <x:f>IF(Технологии!AZ40="ИЗУЧЕНО",$E183,0)</x:f>
        <x:v>0</x:v>
      </x:c>
      <x:c r="T183" s="21" t="n">
        <x:f>IF(Технологии!BA40="ИЗУЧЕНО",$E183,0)</x:f>
        <x:v>0</x:v>
      </x:c>
      <x:c r="U183" s="21" t="n">
        <x:f>IF(Технологии!BB40="ИЗУЧЕНО",$E183,0)</x:f>
        <x:v>0</x:v>
      </x:c>
      <x:c r="V183" s="21" t="n">
        <x:f>IF(Технологии!BC40="ИЗУЧЕНО",$E183,0)</x:f>
        <x:v>0</x:v>
      </x:c>
      <x:c r="W183" s="21" t="n">
        <x:f>IF(Технологии!BD40="ИЗУЧЕНО",$E183,0)</x:f>
        <x:v>0</x:v>
      </x:c>
      <x:c r="X183" s="21" t="n">
        <x:f>IF(Технологии!BE40="ИЗУЧЕНО",$E183,0)</x:f>
        <x:v>0</x:v>
      </x:c>
      <x:c r="Y183" s="21" t="n">
        <x:f>IF(Технологии!BF40="ИЗУЧЕНО",$E183,0)</x:f>
        <x:v>0</x:v>
      </x:c>
    </x:row>
    <x:row r="184">
      <x:c r="A184" s="19" t="s">
        <x:v>192</x:v>
      </x:c>
      <x:c r="B184" s="18" t="s">
        <x:v>193</x:v>
      </x:c>
      <x:c r="C184" s="18" t="s">
        <x:v>299</x:v>
      </x:c>
      <x:c r="D184" s="18" t="s">
        <x:v>387</x:v>
      </x:c>
      <x:c r="E184" s="20">
        <x:v>0.3</x:v>
      </x:c>
      <x:c r="F184" s="18" t="str">
        <x:f>IF(Технологии!BH40="","",Технологии!BH40)</x:f>
      </x:c>
      <x:c r="G184" s="18" t="s">
        <x:v>500</x:v>
      </x:c>
      <x:c r="J184" s="21" t="n">
        <x:f>0</x:f>
        <x:v>0</x:v>
      </x:c>
      <x:c r="K184" s="21" t="n">
        <x:f>IF(Технологии!AR40="ИЗУЧЕНО",$E184,0)</x:f>
        <x:v>0</x:v>
      </x:c>
      <x:c r="L184" s="21" t="n">
        <x:f>IF(Технологии!AS40="ИЗУЧЕНО",$E184,0)</x:f>
        <x:v>0</x:v>
      </x:c>
      <x:c r="M184" s="21" t="n">
        <x:f>IF(Технологии!AT40="ИЗУЧЕНО",$E184,0)</x:f>
        <x:v>0</x:v>
      </x:c>
      <x:c r="N184" s="21" t="n">
        <x:f>IF(Технологии!AU40="ИЗУЧЕНО",$E184,0)</x:f>
        <x:v>0</x:v>
      </x:c>
      <x:c r="O184" s="21" t="n">
        <x:f>IF(Технологии!AV40="ИЗУЧЕНО",$E184,0)</x:f>
        <x:v>0</x:v>
      </x:c>
      <x:c r="P184" s="21" t="n">
        <x:f>IF(Технологии!AW40="ИЗУЧЕНО",$E184,0)</x:f>
        <x:v>0</x:v>
      </x:c>
      <x:c r="Q184" s="21" t="n">
        <x:f>IF(Технологии!AX40="ИЗУЧЕНО",$E184,0)</x:f>
        <x:v>0</x:v>
      </x:c>
      <x:c r="R184" s="21" t="n">
        <x:f>IF(Технологии!AY40="ИЗУЧЕНО",$E184,0)</x:f>
        <x:v>0</x:v>
      </x:c>
      <x:c r="S184" s="21" t="n">
        <x:f>IF(Технологии!AZ40="ИЗУЧЕНО",$E184,0)</x:f>
        <x:v>0</x:v>
      </x:c>
      <x:c r="T184" s="21" t="n">
        <x:f>IF(Технологии!BA40="ИЗУЧЕНО",$E184,0)</x:f>
        <x:v>0</x:v>
      </x:c>
      <x:c r="U184" s="21" t="n">
        <x:f>IF(Технологии!BB40="ИЗУЧЕНО",$E184,0)</x:f>
        <x:v>0</x:v>
      </x:c>
      <x:c r="V184" s="21" t="n">
        <x:f>IF(Технологии!BC40="ИЗУЧЕНО",$E184,0)</x:f>
        <x:v>0</x:v>
      </x:c>
      <x:c r="W184" s="21" t="n">
        <x:f>IF(Технологии!BD40="ИЗУЧЕНО",$E184,0)</x:f>
        <x:v>0</x:v>
      </x:c>
      <x:c r="X184" s="21" t="n">
        <x:f>IF(Технологии!BE40="ИЗУЧЕНО",$E184,0)</x:f>
        <x:v>0</x:v>
      </x:c>
      <x:c r="Y184" s="21" t="n">
        <x:f>IF(Технологии!BF40="ИЗУЧЕНО",$E184,0)</x:f>
        <x:v>0</x:v>
      </x:c>
    </x:row>
    <x:row r="185">
      <x:c r="A185" s="19" t="s">
        <x:v>192</x:v>
      </x:c>
      <x:c r="B185" s="18" t="s">
        <x:v>193</x:v>
      </x:c>
      <x:c r="C185" s="18" t="s">
        <x:v>297</x:v>
      </x:c>
      <x:c r="D185" s="18" t="s">
        <x:v>387</x:v>
      </x:c>
      <x:c r="E185" s="20">
        <x:v>0.2</x:v>
      </x:c>
      <x:c r="F185" s="18" t="str">
        <x:f>IF(Технологии!BH40="","",Технологии!BH40)</x:f>
      </x:c>
      <x:c r="G185" s="18" t="s">
        <x:v>501</x:v>
      </x:c>
      <x:c r="J185" s="21" t="n">
        <x:f>0</x:f>
        <x:v>0</x:v>
      </x:c>
      <x:c r="K185" s="21" t="n">
        <x:f>IF(Технологии!AR40="ИЗУЧЕНО",$E185,0)</x:f>
        <x:v>0</x:v>
      </x:c>
      <x:c r="L185" s="21" t="n">
        <x:f>IF(Технологии!AS40="ИЗУЧЕНО",$E185,0)</x:f>
        <x:v>0</x:v>
      </x:c>
      <x:c r="M185" s="21" t="n">
        <x:f>IF(Технологии!AT40="ИЗУЧЕНО",$E185,0)</x:f>
        <x:v>0</x:v>
      </x:c>
      <x:c r="N185" s="21" t="n">
        <x:f>IF(Технологии!AU40="ИЗУЧЕНО",$E185,0)</x:f>
        <x:v>0</x:v>
      </x:c>
      <x:c r="O185" s="21" t="n">
        <x:f>IF(Технологии!AV40="ИЗУЧЕНО",$E185,0)</x:f>
        <x:v>0</x:v>
      </x:c>
      <x:c r="P185" s="21" t="n">
        <x:f>IF(Технологии!AW40="ИЗУЧЕНО",$E185,0)</x:f>
        <x:v>0</x:v>
      </x:c>
      <x:c r="Q185" s="21" t="n">
        <x:f>IF(Технологии!AX40="ИЗУЧЕНО",$E185,0)</x:f>
        <x:v>0</x:v>
      </x:c>
      <x:c r="R185" s="21" t="n">
        <x:f>IF(Технологии!AY40="ИЗУЧЕНО",$E185,0)</x:f>
        <x:v>0</x:v>
      </x:c>
      <x:c r="S185" s="21" t="n">
        <x:f>IF(Технологии!AZ40="ИЗУЧЕНО",$E185,0)</x:f>
        <x:v>0</x:v>
      </x:c>
      <x:c r="T185" s="21" t="n">
        <x:f>IF(Технологии!BA40="ИЗУЧЕНО",$E185,0)</x:f>
        <x:v>0</x:v>
      </x:c>
      <x:c r="U185" s="21" t="n">
        <x:f>IF(Технологии!BB40="ИЗУЧЕНО",$E185,0)</x:f>
        <x:v>0</x:v>
      </x:c>
      <x:c r="V185" s="21" t="n">
        <x:f>IF(Технологии!BC40="ИЗУЧЕНО",$E185,0)</x:f>
        <x:v>0</x:v>
      </x:c>
      <x:c r="W185" s="21" t="n">
        <x:f>IF(Технологии!BD40="ИЗУЧЕНО",$E185,0)</x:f>
        <x:v>0</x:v>
      </x:c>
      <x:c r="X185" s="21" t="n">
        <x:f>IF(Технологии!BE40="ИЗУЧЕНО",$E185,0)</x:f>
        <x:v>0</x:v>
      </x:c>
      <x:c r="Y185" s="21" t="n">
        <x:f>IF(Технологии!BF40="ИЗУЧЕНО",$E185,0)</x:f>
        <x:v>0</x:v>
      </x:c>
    </x:row>
    <x:row r="186">
      <x:c r="A186" s="19" t="s">
        <x:v>192</x:v>
      </x:c>
      <x:c r="B186" s="18" t="s">
        <x:v>193</x:v>
      </x:c>
      <x:c r="C186" s="18" t="s">
        <x:v>277</x:v>
      </x:c>
      <x:c r="D186" s="18" t="s">
        <x:v>414</x:v>
      </x:c>
      <x:c r="E186" s="20">
        <x:v>0.1</x:v>
      </x:c>
      <x:c r="F186" s="18" t="str">
        <x:f>IF(Технологии!BH40="","",Технологии!BH40)</x:f>
      </x:c>
      <x:c r="G186" s="18" t="s">
        <x:v>480</x:v>
      </x:c>
      <x:c r="J186" s="21" t="n">
        <x:f>0</x:f>
        <x:v>0</x:v>
      </x:c>
      <x:c r="K186" s="21" t="n">
        <x:f>IF(Технологии!AR40="ИЗУЧЕНО",$E186,0)</x:f>
        <x:v>0</x:v>
      </x:c>
      <x:c r="L186" s="21" t="n">
        <x:f>IF(Технологии!AS40="ИЗУЧЕНО",$E186,0)</x:f>
        <x:v>0</x:v>
      </x:c>
      <x:c r="M186" s="21" t="n">
        <x:f>IF(Технологии!AT40="ИЗУЧЕНО",$E186,0)</x:f>
        <x:v>0</x:v>
      </x:c>
      <x:c r="N186" s="21" t="n">
        <x:f>IF(Технологии!AU40="ИЗУЧЕНО",$E186,0)</x:f>
        <x:v>0</x:v>
      </x:c>
      <x:c r="O186" s="21" t="n">
        <x:f>IF(Технологии!AV40="ИЗУЧЕНО",$E186,0)</x:f>
        <x:v>0</x:v>
      </x:c>
      <x:c r="P186" s="21" t="n">
        <x:f>IF(Технологии!AW40="ИЗУЧЕНО",$E186,0)</x:f>
        <x:v>0</x:v>
      </x:c>
      <x:c r="Q186" s="21" t="n">
        <x:f>IF(Технологии!AX40="ИЗУЧЕНО",$E186,0)</x:f>
        <x:v>0</x:v>
      </x:c>
      <x:c r="R186" s="21" t="n">
        <x:f>IF(Технологии!AY40="ИЗУЧЕНО",$E186,0)</x:f>
        <x:v>0</x:v>
      </x:c>
      <x:c r="S186" s="21" t="n">
        <x:f>IF(Технологии!AZ40="ИЗУЧЕНО",$E186,0)</x:f>
        <x:v>0</x:v>
      </x:c>
      <x:c r="T186" s="21" t="n">
        <x:f>IF(Технологии!BA40="ИЗУЧЕНО",$E186,0)</x:f>
        <x:v>0</x:v>
      </x:c>
      <x:c r="U186" s="21" t="n">
        <x:f>IF(Технологии!BB40="ИЗУЧЕНО",$E186,0)</x:f>
        <x:v>0</x:v>
      </x:c>
      <x:c r="V186" s="21" t="n">
        <x:f>IF(Технологии!BC40="ИЗУЧЕНО",$E186,0)</x:f>
        <x:v>0</x:v>
      </x:c>
      <x:c r="W186" s="21" t="n">
        <x:f>IF(Технологии!BD40="ИЗУЧЕНО",$E186,0)</x:f>
        <x:v>0</x:v>
      </x:c>
      <x:c r="X186" s="21" t="n">
        <x:f>IF(Технологии!BE40="ИЗУЧЕНО",$E186,0)</x:f>
        <x:v>0</x:v>
      </x:c>
      <x:c r="Y186" s="21" t="n">
        <x:f>IF(Технологии!BF40="ИЗУЧЕНО",$E186,0)</x:f>
        <x:v>0</x:v>
      </x:c>
    </x:row>
    <x:row r="187">
      <x:c r="A187" s="19" t="s">
        <x:v>192</x:v>
      </x:c>
      <x:c r="B187" s="18" t="s">
        <x:v>193</x:v>
      </x:c>
      <x:c r="C187" s="18" t="s">
        <x:v>376</x:v>
      </x:c>
      <x:c r="D187" s="18" t="s">
        <x:v>405</x:v>
      </x:c>
      <x:c r="E187" s="20">
        <x:v>0.15</x:v>
      </x:c>
      <x:c r="F187" s="18" t="str">
        <x:f>IF(Технологии!BH40="","",Технологии!BH40)</x:f>
      </x:c>
      <x:c r="G187" s="18" t="s">
        <x:v>502</x:v>
      </x:c>
      <x:c r="J187" s="21" t="n">
        <x:f>0</x:f>
        <x:v>0</x:v>
      </x:c>
      <x:c r="K187" s="21" t="n">
        <x:f>IF(Технологии!AR40="ИЗУЧЕНО",$E187,0)</x:f>
        <x:v>0</x:v>
      </x:c>
      <x:c r="L187" s="21" t="n">
        <x:f>IF(Технологии!AS40="ИЗУЧЕНО",$E187,0)</x:f>
        <x:v>0</x:v>
      </x:c>
      <x:c r="M187" s="21" t="n">
        <x:f>IF(Технологии!AT40="ИЗУЧЕНО",$E187,0)</x:f>
        <x:v>0</x:v>
      </x:c>
      <x:c r="N187" s="21" t="n">
        <x:f>IF(Технологии!AU40="ИЗУЧЕНО",$E187,0)</x:f>
        <x:v>0</x:v>
      </x:c>
      <x:c r="O187" s="21" t="n">
        <x:f>IF(Технологии!AV40="ИЗУЧЕНО",$E187,0)</x:f>
        <x:v>0</x:v>
      </x:c>
      <x:c r="P187" s="21" t="n">
        <x:f>IF(Технологии!AW40="ИЗУЧЕНО",$E187,0)</x:f>
        <x:v>0</x:v>
      </x:c>
      <x:c r="Q187" s="21" t="n">
        <x:f>IF(Технологии!AX40="ИЗУЧЕНО",$E187,0)</x:f>
        <x:v>0</x:v>
      </x:c>
      <x:c r="R187" s="21" t="n">
        <x:f>IF(Технологии!AY40="ИЗУЧЕНО",$E187,0)</x:f>
        <x:v>0</x:v>
      </x:c>
      <x:c r="S187" s="21" t="n">
        <x:f>IF(Технологии!AZ40="ИЗУЧЕНО",$E187,0)</x:f>
        <x:v>0</x:v>
      </x:c>
      <x:c r="T187" s="21" t="n">
        <x:f>IF(Технологии!BA40="ИЗУЧЕНО",$E187,0)</x:f>
        <x:v>0</x:v>
      </x:c>
      <x:c r="U187" s="21" t="n">
        <x:f>IF(Технологии!BB40="ИЗУЧЕНО",$E187,0)</x:f>
        <x:v>0</x:v>
      </x:c>
      <x:c r="V187" s="21" t="n">
        <x:f>IF(Технологии!BC40="ИЗУЧЕНО",$E187,0)</x:f>
        <x:v>0</x:v>
      </x:c>
      <x:c r="W187" s="21" t="n">
        <x:f>IF(Технологии!BD40="ИЗУЧЕНО",$E187,0)</x:f>
        <x:v>0</x:v>
      </x:c>
      <x:c r="X187" s="21" t="n">
        <x:f>IF(Технологии!BE40="ИЗУЧЕНО",$E187,0)</x:f>
        <x:v>0</x:v>
      </x:c>
      <x:c r="Y187" s="21" t="n">
        <x:f>IF(Технологии!BF40="ИЗУЧЕНО",$E187,0)</x:f>
        <x:v>0</x:v>
      </x:c>
    </x:row>
    <x:row r="188">
      <x:c r="A188" s="19" t="s">
        <x:v>192</x:v>
      </x:c>
      <x:c r="B188" s="18" t="s">
        <x:v>193</x:v>
      </x:c>
      <x:c r="C188" s="18" t="s">
        <x:v>256</x:v>
      </x:c>
      <x:c r="D188" s="18" t="s">
        <x:v>387</x:v>
      </x:c>
      <x:c r="E188" s="20">
        <x:v>-0.45</x:v>
      </x:c>
      <x:c r="F188" s="18" t="str">
        <x:f>IF(Технологии!BH40="","",Технологии!BH40)</x:f>
      </x:c>
      <x:c r="G188" s="18" t="s">
        <x:v>417</x:v>
      </x:c>
      <x:c r="J188" s="21" t="n">
        <x:f>0</x:f>
        <x:v>0</x:v>
      </x:c>
      <x:c r="K188" s="21" t="n">
        <x:f>IF(Технологии!AR40="ИЗУЧЕНО",$E188,0)</x:f>
        <x:v>0</x:v>
      </x:c>
      <x:c r="L188" s="21" t="n">
        <x:f>IF(Технологии!AS40="ИЗУЧЕНО",$E188,0)</x:f>
        <x:v>0</x:v>
      </x:c>
      <x:c r="M188" s="21" t="n">
        <x:f>IF(Технологии!AT40="ИЗУЧЕНО",$E188,0)</x:f>
        <x:v>0</x:v>
      </x:c>
      <x:c r="N188" s="21" t="n">
        <x:f>IF(Технологии!AU40="ИЗУЧЕНО",$E188,0)</x:f>
        <x:v>0</x:v>
      </x:c>
      <x:c r="O188" s="21" t="n">
        <x:f>IF(Технологии!AV40="ИЗУЧЕНО",$E188,0)</x:f>
        <x:v>0</x:v>
      </x:c>
      <x:c r="P188" s="21" t="n">
        <x:f>IF(Технологии!AW40="ИЗУЧЕНО",$E188,0)</x:f>
        <x:v>0</x:v>
      </x:c>
      <x:c r="Q188" s="21" t="n">
        <x:f>IF(Технологии!AX40="ИЗУЧЕНО",$E188,0)</x:f>
        <x:v>0</x:v>
      </x:c>
      <x:c r="R188" s="21" t="n">
        <x:f>IF(Технологии!AY40="ИЗУЧЕНО",$E188,0)</x:f>
        <x:v>0</x:v>
      </x:c>
      <x:c r="S188" s="21" t="n">
        <x:f>IF(Технологии!AZ40="ИЗУЧЕНО",$E188,0)</x:f>
        <x:v>0</x:v>
      </x:c>
      <x:c r="T188" s="21" t="n">
        <x:f>IF(Технологии!BA40="ИЗУЧЕНО",$E188,0)</x:f>
        <x:v>0</x:v>
      </x:c>
      <x:c r="U188" s="21" t="n">
        <x:f>IF(Технологии!BB40="ИЗУЧЕНО",$E188,0)</x:f>
        <x:v>0</x:v>
      </x:c>
      <x:c r="V188" s="21" t="n">
        <x:f>IF(Технологии!BC40="ИЗУЧЕНО",$E188,0)</x:f>
        <x:v>0</x:v>
      </x:c>
      <x:c r="W188" s="21" t="n">
        <x:f>IF(Технологии!BD40="ИЗУЧЕНО",$E188,0)</x:f>
        <x:v>0</x:v>
      </x:c>
      <x:c r="X188" s="21" t="n">
        <x:f>IF(Технологии!BE40="ИЗУЧЕНО",$E188,0)</x:f>
        <x:v>0</x:v>
      </x:c>
      <x:c r="Y188" s="21" t="n">
        <x:f>IF(Технологии!BF40="ИЗУЧЕНО",$E188,0)</x:f>
        <x:v>0</x:v>
      </x:c>
    </x:row>
    <x:row r="189">
      <x:c r="A189" s="19" t="s">
        <x:v>192</x:v>
      </x:c>
      <x:c r="B189" s="18" t="s">
        <x:v>193</x:v>
      </x:c>
      <x:c r="C189" s="18" t="s">
        <x:v>260</x:v>
      </x:c>
      <x:c r="D189" s="18" t="s">
        <x:v>387</x:v>
      </x:c>
      <x:c r="E189" s="20">
        <x:v>-0.4</x:v>
      </x:c>
      <x:c r="F189" s="18" t="str">
        <x:f>IF(Технологии!BH40="","",Технологии!BH40)</x:f>
      </x:c>
      <x:c r="G189" s="18" t="s">
        <x:v>441</x:v>
      </x:c>
      <x:c r="J189" s="21" t="n">
        <x:f>0</x:f>
        <x:v>0</x:v>
      </x:c>
      <x:c r="K189" s="21" t="n">
        <x:f>IF(Технологии!AR40="ИЗУЧЕНО",$E189,0)</x:f>
        <x:v>0</x:v>
      </x:c>
      <x:c r="L189" s="21" t="n">
        <x:f>IF(Технологии!AS40="ИЗУЧЕНО",$E189,0)</x:f>
        <x:v>0</x:v>
      </x:c>
      <x:c r="M189" s="21" t="n">
        <x:f>IF(Технологии!AT40="ИЗУЧЕНО",$E189,0)</x:f>
        <x:v>0</x:v>
      </x:c>
      <x:c r="N189" s="21" t="n">
        <x:f>IF(Технологии!AU40="ИЗУЧЕНО",$E189,0)</x:f>
        <x:v>0</x:v>
      </x:c>
      <x:c r="O189" s="21" t="n">
        <x:f>IF(Технологии!AV40="ИЗУЧЕНО",$E189,0)</x:f>
        <x:v>0</x:v>
      </x:c>
      <x:c r="P189" s="21" t="n">
        <x:f>IF(Технологии!AW40="ИЗУЧЕНО",$E189,0)</x:f>
        <x:v>0</x:v>
      </x:c>
      <x:c r="Q189" s="21" t="n">
        <x:f>IF(Технологии!AX40="ИЗУЧЕНО",$E189,0)</x:f>
        <x:v>0</x:v>
      </x:c>
      <x:c r="R189" s="21" t="n">
        <x:f>IF(Технологии!AY40="ИЗУЧЕНО",$E189,0)</x:f>
        <x:v>0</x:v>
      </x:c>
      <x:c r="S189" s="21" t="n">
        <x:f>IF(Технологии!AZ40="ИЗУЧЕНО",$E189,0)</x:f>
        <x:v>0</x:v>
      </x:c>
      <x:c r="T189" s="21" t="n">
        <x:f>IF(Технологии!BA40="ИЗУЧЕНО",$E189,0)</x:f>
        <x:v>0</x:v>
      </x:c>
      <x:c r="U189" s="21" t="n">
        <x:f>IF(Технологии!BB40="ИЗУЧЕНО",$E189,0)</x:f>
        <x:v>0</x:v>
      </x:c>
      <x:c r="V189" s="21" t="n">
        <x:f>IF(Технологии!BC40="ИЗУЧЕНО",$E189,0)</x:f>
        <x:v>0</x:v>
      </x:c>
      <x:c r="W189" s="21" t="n">
        <x:f>IF(Технологии!BD40="ИЗУЧЕНО",$E189,0)</x:f>
        <x:v>0</x:v>
      </x:c>
      <x:c r="X189" s="21" t="n">
        <x:f>IF(Технологии!BE40="ИЗУЧЕНО",$E189,0)</x:f>
        <x:v>0</x:v>
      </x:c>
      <x:c r="Y189" s="21" t="n">
        <x:f>IF(Технологии!BF40="ИЗУЧЕНО",$E189,0)</x:f>
        <x:v>0</x:v>
      </x:c>
    </x:row>
    <x:row r="190">
      <x:c r="A190" s="19" t="s">
        <x:v>192</x:v>
      </x:c>
      <x:c r="B190" s="18" t="s">
        <x:v>193</x:v>
      </x:c>
      <x:c r="C190" s="18" t="s">
        <x:v>266</x:v>
      </x:c>
      <x:c r="D190" s="18" t="s">
        <x:v>387</x:v>
      </x:c>
      <x:c r="E190" s="20">
        <x:v>-0.3</x:v>
      </x:c>
      <x:c r="F190" s="18" t="str">
        <x:f>IF(Технологии!BH40="","",Технологии!BH40)</x:f>
      </x:c>
      <x:c r="G190" s="18" t="s">
        <x:v>503</x:v>
      </x:c>
      <x:c r="J190" s="21" t="n">
        <x:f>0</x:f>
        <x:v>0</x:v>
      </x:c>
      <x:c r="K190" s="21" t="n">
        <x:f>IF(Технологии!AR40="ИЗУЧЕНО",$E190,0)</x:f>
        <x:v>0</x:v>
      </x:c>
      <x:c r="L190" s="21" t="n">
        <x:f>IF(Технологии!AS40="ИЗУЧЕНО",$E190,0)</x:f>
        <x:v>0</x:v>
      </x:c>
      <x:c r="M190" s="21" t="n">
        <x:f>IF(Технологии!AT40="ИЗУЧЕНО",$E190,0)</x:f>
        <x:v>0</x:v>
      </x:c>
      <x:c r="N190" s="21" t="n">
        <x:f>IF(Технологии!AU40="ИЗУЧЕНО",$E190,0)</x:f>
        <x:v>0</x:v>
      </x:c>
      <x:c r="O190" s="21" t="n">
        <x:f>IF(Технологии!AV40="ИЗУЧЕНО",$E190,0)</x:f>
        <x:v>0</x:v>
      </x:c>
      <x:c r="P190" s="21" t="n">
        <x:f>IF(Технологии!AW40="ИЗУЧЕНО",$E190,0)</x:f>
        <x:v>0</x:v>
      </x:c>
      <x:c r="Q190" s="21" t="n">
        <x:f>IF(Технологии!AX40="ИЗУЧЕНО",$E190,0)</x:f>
        <x:v>0</x:v>
      </x:c>
      <x:c r="R190" s="21" t="n">
        <x:f>IF(Технологии!AY40="ИЗУЧЕНО",$E190,0)</x:f>
        <x:v>0</x:v>
      </x:c>
      <x:c r="S190" s="21" t="n">
        <x:f>IF(Технологии!AZ40="ИЗУЧЕНО",$E190,0)</x:f>
        <x:v>0</x:v>
      </x:c>
      <x:c r="T190" s="21" t="n">
        <x:f>IF(Технологии!BA40="ИЗУЧЕНО",$E190,0)</x:f>
        <x:v>0</x:v>
      </x:c>
      <x:c r="U190" s="21" t="n">
        <x:f>IF(Технологии!BB40="ИЗУЧЕНО",$E190,0)</x:f>
        <x:v>0</x:v>
      </x:c>
      <x:c r="V190" s="21" t="n">
        <x:f>IF(Технологии!BC40="ИЗУЧЕНО",$E190,0)</x:f>
        <x:v>0</x:v>
      </x:c>
      <x:c r="W190" s="21" t="n">
        <x:f>IF(Технологии!BD40="ИЗУЧЕНО",$E190,0)</x:f>
        <x:v>0</x:v>
      </x:c>
      <x:c r="X190" s="21" t="n">
        <x:f>IF(Технологии!BE40="ИЗУЧЕНО",$E190,0)</x:f>
        <x:v>0</x:v>
      </x:c>
      <x:c r="Y190" s="21" t="n">
        <x:f>IF(Технологии!BF40="ИЗУЧЕНО",$E190,0)</x:f>
        <x:v>0</x:v>
      </x:c>
    </x:row>
    <x:row r="191">
      <x:c r="A191" s="19" t="s">
        <x:v>192</x:v>
      </x:c>
      <x:c r="B191" s="18" t="s">
        <x:v>193</x:v>
      </x:c>
      <x:c r="C191" s="18" t="s">
        <x:v>268</x:v>
      </x:c>
      <x:c r="D191" s="18" t="s">
        <x:v>387</x:v>
      </x:c>
      <x:c r="E191" s="20">
        <x:v>-0.25</x:v>
      </x:c>
      <x:c r="F191" s="18" t="str">
        <x:f>IF(Технологии!BH40="","",Технологии!BH40)</x:f>
      </x:c>
      <x:c r="G191" s="18" t="s">
        <x:v>504</x:v>
      </x:c>
      <x:c r="J191" s="21" t="n">
        <x:f>0</x:f>
        <x:v>0</x:v>
      </x:c>
      <x:c r="K191" s="21" t="n">
        <x:f>IF(Технологии!AR40="ИЗУЧЕНО",$E191,0)</x:f>
        <x:v>0</x:v>
      </x:c>
      <x:c r="L191" s="21" t="n">
        <x:f>IF(Технологии!AS40="ИЗУЧЕНО",$E191,0)</x:f>
        <x:v>0</x:v>
      </x:c>
      <x:c r="M191" s="21" t="n">
        <x:f>IF(Технологии!AT40="ИЗУЧЕНО",$E191,0)</x:f>
        <x:v>0</x:v>
      </x:c>
      <x:c r="N191" s="21" t="n">
        <x:f>IF(Технологии!AU40="ИЗУЧЕНО",$E191,0)</x:f>
        <x:v>0</x:v>
      </x:c>
      <x:c r="O191" s="21" t="n">
        <x:f>IF(Технологии!AV40="ИЗУЧЕНО",$E191,0)</x:f>
        <x:v>0</x:v>
      </x:c>
      <x:c r="P191" s="21" t="n">
        <x:f>IF(Технологии!AW40="ИЗУЧЕНО",$E191,0)</x:f>
        <x:v>0</x:v>
      </x:c>
      <x:c r="Q191" s="21" t="n">
        <x:f>IF(Технологии!AX40="ИЗУЧЕНО",$E191,0)</x:f>
        <x:v>0</x:v>
      </x:c>
      <x:c r="R191" s="21" t="n">
        <x:f>IF(Технологии!AY40="ИЗУЧЕНО",$E191,0)</x:f>
        <x:v>0</x:v>
      </x:c>
      <x:c r="S191" s="21" t="n">
        <x:f>IF(Технологии!AZ40="ИЗУЧЕНО",$E191,0)</x:f>
        <x:v>0</x:v>
      </x:c>
      <x:c r="T191" s="21" t="n">
        <x:f>IF(Технологии!BA40="ИЗУЧЕНО",$E191,0)</x:f>
        <x:v>0</x:v>
      </x:c>
      <x:c r="U191" s="21" t="n">
        <x:f>IF(Технологии!BB40="ИЗУЧЕНО",$E191,0)</x:f>
        <x:v>0</x:v>
      </x:c>
      <x:c r="V191" s="21" t="n">
        <x:f>IF(Технологии!BC40="ИЗУЧЕНО",$E191,0)</x:f>
        <x:v>0</x:v>
      </x:c>
      <x:c r="W191" s="21" t="n">
        <x:f>IF(Технологии!BD40="ИЗУЧЕНО",$E191,0)</x:f>
        <x:v>0</x:v>
      </x:c>
      <x:c r="X191" s="21" t="n">
        <x:f>IF(Технологии!BE40="ИЗУЧЕНО",$E191,0)</x:f>
        <x:v>0</x:v>
      </x:c>
      <x:c r="Y191" s="21" t="n">
        <x:f>IF(Технологии!BF40="ИЗУЧЕНО",$E191,0)</x:f>
        <x:v>0</x:v>
      </x:c>
    </x:row>
    <x:row r="192">
      <x:c r="A192" s="19" t="s">
        <x:v>196</x:v>
      </x:c>
      <x:c r="B192" s="18" t="s">
        <x:v>198</x:v>
      </x:c>
      <x:c r="C192" s="18" t="s">
        <x:v>292</x:v>
      </x:c>
      <x:c r="D192" s="18" t="s">
        <x:v>387</x:v>
      </x:c>
      <x:c r="E192" s="20">
        <x:v>0.3</x:v>
      </x:c>
      <x:c r="F192" s="18" t="str">
        <x:f>IF(Технологии!BH41="","",Технологии!BH41)</x:f>
      </x:c>
      <x:c r="G192" s="18" t="s">
        <x:v>505</x:v>
      </x:c>
      <x:c r="J192" s="21" t="n">
        <x:f>0</x:f>
        <x:v>0</x:v>
      </x:c>
      <x:c r="K192" s="21" t="n">
        <x:f>IF(Технологии!AR41="ИЗУЧЕНО",$E192,0)</x:f>
        <x:v>0</x:v>
      </x:c>
      <x:c r="L192" s="21" t="n">
        <x:f>IF(Технологии!AS41="ИЗУЧЕНО",$E192,0)</x:f>
        <x:v>0</x:v>
      </x:c>
      <x:c r="M192" s="21" t="n">
        <x:f>IF(Технологии!AT41="ИЗУЧЕНО",$E192,0)</x:f>
        <x:v>0</x:v>
      </x:c>
      <x:c r="N192" s="21" t="n">
        <x:f>IF(Технологии!AU41="ИЗУЧЕНО",$E192,0)</x:f>
        <x:v>0</x:v>
      </x:c>
      <x:c r="O192" s="21" t="n">
        <x:f>IF(Технологии!AV41="ИЗУЧЕНО",$E192,0)</x:f>
        <x:v>0</x:v>
      </x:c>
      <x:c r="P192" s="21" t="n">
        <x:f>IF(Технологии!AW41="ИЗУЧЕНО",$E192,0)</x:f>
        <x:v>0</x:v>
      </x:c>
      <x:c r="Q192" s="21" t="n">
        <x:f>IF(Технологии!AX41="ИЗУЧЕНО",$E192,0)</x:f>
        <x:v>0</x:v>
      </x:c>
      <x:c r="R192" s="21" t="n">
        <x:f>IF(Технологии!AY41="ИЗУЧЕНО",$E192,0)</x:f>
        <x:v>0</x:v>
      </x:c>
      <x:c r="S192" s="21" t="n">
        <x:f>IF(Технологии!AZ41="ИЗУЧЕНО",$E192,0)</x:f>
        <x:v>0</x:v>
      </x:c>
      <x:c r="T192" s="21" t="n">
        <x:f>IF(Технологии!BA41="ИЗУЧЕНО",$E192,0)</x:f>
        <x:v>0</x:v>
      </x:c>
      <x:c r="U192" s="21" t="n">
        <x:f>IF(Технологии!BB41="ИЗУЧЕНО",$E192,0)</x:f>
        <x:v>0</x:v>
      </x:c>
      <x:c r="V192" s="21" t="n">
        <x:f>IF(Технологии!BC41="ИЗУЧЕНО",$E192,0)</x:f>
        <x:v>0</x:v>
      </x:c>
      <x:c r="W192" s="21" t="n">
        <x:f>IF(Технологии!BD41="ИЗУЧЕНО",$E192,0)</x:f>
        <x:v>0</x:v>
      </x:c>
      <x:c r="X192" s="21" t="n">
        <x:f>IF(Технологии!BE41="ИЗУЧЕНО",$E192,0)</x:f>
        <x:v>0</x:v>
      </x:c>
      <x:c r="Y192" s="21" t="n">
        <x:f>IF(Технологии!BF41="ИЗУЧЕНО",$E192,0)</x:f>
        <x:v>0</x:v>
      </x:c>
    </x:row>
    <x:row r="193">
      <x:c r="A193" s="19" t="s">
        <x:v>201</x:v>
      </x:c>
      <x:c r="B193" s="18" t="s">
        <x:v>202</x:v>
      </x:c>
      <x:c r="C193" s="18" t="s">
        <x:v>293</x:v>
      </x:c>
      <x:c r="D193" s="18" t="s">
        <x:v>387</x:v>
      </x:c>
      <x:c r="E193" s="20">
        <x:v>0.2</x:v>
      </x:c>
      <x:c r="F193" s="18" t="str">
        <x:f>IF(Технологии!BH42="","",Технологии!BH42)</x:f>
      </x:c>
      <x:c r="G193" s="18" t="s">
        <x:v>449</x:v>
      </x:c>
      <x:c r="J193" s="21" t="n">
        <x:f>0</x:f>
        <x:v>0</x:v>
      </x:c>
      <x:c r="K193" s="21" t="n">
        <x:f>IF(Технологии!AR42="ИЗУЧЕНО",$E193,0)</x:f>
        <x:v>0</x:v>
      </x:c>
      <x:c r="L193" s="21" t="n">
        <x:f>IF(Технологии!AS42="ИЗУЧЕНО",$E193,0)</x:f>
        <x:v>0</x:v>
      </x:c>
      <x:c r="M193" s="21" t="n">
        <x:f>IF(Технологии!AT42="ИЗУЧЕНО",$E193,0)</x:f>
        <x:v>0</x:v>
      </x:c>
      <x:c r="N193" s="21" t="n">
        <x:f>IF(Технологии!AU42="ИЗУЧЕНО",$E193,0)</x:f>
        <x:v>0</x:v>
      </x:c>
      <x:c r="O193" s="21" t="n">
        <x:f>IF(Технологии!AV42="ИЗУЧЕНО",$E193,0)</x:f>
        <x:v>0</x:v>
      </x:c>
      <x:c r="P193" s="21" t="n">
        <x:f>IF(Технологии!AW42="ИЗУЧЕНО",$E193,0)</x:f>
        <x:v>0</x:v>
      </x:c>
      <x:c r="Q193" s="21" t="n">
        <x:f>IF(Технологии!AX42="ИЗУЧЕНО",$E193,0)</x:f>
        <x:v>0</x:v>
      </x:c>
      <x:c r="R193" s="21" t="n">
        <x:f>IF(Технологии!AY42="ИЗУЧЕНО",$E193,0)</x:f>
        <x:v>0</x:v>
      </x:c>
      <x:c r="S193" s="21" t="n">
        <x:f>IF(Технологии!AZ42="ИЗУЧЕНО",$E193,0)</x:f>
        <x:v>0</x:v>
      </x:c>
      <x:c r="T193" s="21" t="n">
        <x:f>IF(Технологии!BA42="ИЗУЧЕНО",$E193,0)</x:f>
        <x:v>0</x:v>
      </x:c>
      <x:c r="U193" s="21" t="n">
        <x:f>IF(Технологии!BB42="ИЗУЧЕНО",$E193,0)</x:f>
        <x:v>0</x:v>
      </x:c>
      <x:c r="V193" s="21" t="n">
        <x:f>IF(Технологии!BC42="ИЗУЧЕНО",$E193,0)</x:f>
        <x:v>0</x:v>
      </x:c>
      <x:c r="W193" s="21" t="n">
        <x:f>IF(Технологии!BD42="ИЗУЧЕНО",$E193,0)</x:f>
        <x:v>0</x:v>
      </x:c>
      <x:c r="X193" s="21" t="n">
        <x:f>IF(Технологии!BE42="ИЗУЧЕНО",$E193,0)</x:f>
        <x:v>0</x:v>
      </x:c>
      <x:c r="Y193" s="21" t="n">
        <x:f>IF(Технологии!BF42="ИЗУЧЕНО",$E193,0)</x:f>
        <x:v>0</x:v>
      </x:c>
    </x:row>
    <x:row r="194">
      <x:c r="A194" s="19" t="s">
        <x:v>201</x:v>
      </x:c>
      <x:c r="B194" s="18" t="s">
        <x:v>202</x:v>
      </x:c>
      <x:c r="C194" s="18" t="s">
        <x:v>311</x:v>
      </x:c>
      <x:c r="D194" s="18" t="s">
        <x:v>387</x:v>
      </x:c>
      <x:c r="E194" s="20">
        <x:v>0.2</x:v>
      </x:c>
      <x:c r="F194" s="18" t="str">
        <x:f>IF(Технологии!BH42="","",Технологии!BH42)</x:f>
      </x:c>
      <x:c r="G194" s="18" t="s">
        <x:v>506</x:v>
      </x:c>
      <x:c r="J194" s="21" t="n">
        <x:f>0</x:f>
        <x:v>0</x:v>
      </x:c>
      <x:c r="K194" s="21" t="n">
        <x:f>IF(Технологии!AR42="ИЗУЧЕНО",$E194,0)</x:f>
        <x:v>0</x:v>
      </x:c>
      <x:c r="L194" s="21" t="n">
        <x:f>IF(Технологии!AS42="ИЗУЧЕНО",$E194,0)</x:f>
        <x:v>0</x:v>
      </x:c>
      <x:c r="M194" s="21" t="n">
        <x:f>IF(Технологии!AT42="ИЗУЧЕНО",$E194,0)</x:f>
        <x:v>0</x:v>
      </x:c>
      <x:c r="N194" s="21" t="n">
        <x:f>IF(Технологии!AU42="ИЗУЧЕНО",$E194,0)</x:f>
        <x:v>0</x:v>
      </x:c>
      <x:c r="O194" s="21" t="n">
        <x:f>IF(Технологии!AV42="ИЗУЧЕНО",$E194,0)</x:f>
        <x:v>0</x:v>
      </x:c>
      <x:c r="P194" s="21" t="n">
        <x:f>IF(Технологии!AW42="ИЗУЧЕНО",$E194,0)</x:f>
        <x:v>0</x:v>
      </x:c>
      <x:c r="Q194" s="21" t="n">
        <x:f>IF(Технологии!AX42="ИЗУЧЕНО",$E194,0)</x:f>
        <x:v>0</x:v>
      </x:c>
      <x:c r="R194" s="21" t="n">
        <x:f>IF(Технологии!AY42="ИЗУЧЕНО",$E194,0)</x:f>
        <x:v>0</x:v>
      </x:c>
      <x:c r="S194" s="21" t="n">
        <x:f>IF(Технологии!AZ42="ИЗУЧЕНО",$E194,0)</x:f>
        <x:v>0</x:v>
      </x:c>
      <x:c r="T194" s="21" t="n">
        <x:f>IF(Технологии!BA42="ИЗУЧЕНО",$E194,0)</x:f>
        <x:v>0</x:v>
      </x:c>
      <x:c r="U194" s="21" t="n">
        <x:f>IF(Технологии!BB42="ИЗУЧЕНО",$E194,0)</x:f>
        <x:v>0</x:v>
      </x:c>
      <x:c r="V194" s="21" t="n">
        <x:f>IF(Технологии!BC42="ИЗУЧЕНО",$E194,0)</x:f>
        <x:v>0</x:v>
      </x:c>
      <x:c r="W194" s="21" t="n">
        <x:f>IF(Технологии!BD42="ИЗУЧЕНО",$E194,0)</x:f>
        <x:v>0</x:v>
      </x:c>
      <x:c r="X194" s="21" t="n">
        <x:f>IF(Технологии!BE42="ИЗУЧЕНО",$E194,0)</x:f>
        <x:v>0</x:v>
      </x:c>
      <x:c r="Y194" s="21" t="n">
        <x:f>IF(Технологии!BF42="ИЗУЧЕНО",$E194,0)</x:f>
        <x:v>0</x:v>
      </x:c>
    </x:row>
    <x:row r="195">
      <x:c r="A195" s="19" t="s">
        <x:v>201</x:v>
      </x:c>
      <x:c r="B195" s="18" t="s">
        <x:v>202</x:v>
      </x:c>
      <x:c r="C195" s="18" t="s">
        <x:v>291</x:v>
      </x:c>
      <x:c r="D195" s="18" t="s">
        <x:v>387</x:v>
      </x:c>
      <x:c r="E195" s="20">
        <x:v>-0.1</x:v>
      </x:c>
      <x:c r="F195" s="18" t="str">
        <x:f>IF(Технологии!BH42="","",Технологии!BH42)</x:f>
      </x:c>
      <x:c r="G195" s="18" t="s">
        <x:v>507</x:v>
      </x:c>
      <x:c r="J195" s="21" t="n">
        <x:f>0</x:f>
        <x:v>0</x:v>
      </x:c>
      <x:c r="K195" s="21" t="n">
        <x:f>IF(Технологии!AR42="ИЗУЧЕНО",$E195,0)</x:f>
        <x:v>0</x:v>
      </x:c>
      <x:c r="L195" s="21" t="n">
        <x:f>IF(Технологии!AS42="ИЗУЧЕНО",$E195,0)</x:f>
        <x:v>0</x:v>
      </x:c>
      <x:c r="M195" s="21" t="n">
        <x:f>IF(Технологии!AT42="ИЗУЧЕНО",$E195,0)</x:f>
        <x:v>0</x:v>
      </x:c>
      <x:c r="N195" s="21" t="n">
        <x:f>IF(Технологии!AU42="ИЗУЧЕНО",$E195,0)</x:f>
        <x:v>0</x:v>
      </x:c>
      <x:c r="O195" s="21" t="n">
        <x:f>IF(Технологии!AV42="ИЗУЧЕНО",$E195,0)</x:f>
        <x:v>0</x:v>
      </x:c>
      <x:c r="P195" s="21" t="n">
        <x:f>IF(Технологии!AW42="ИЗУЧЕНО",$E195,0)</x:f>
        <x:v>0</x:v>
      </x:c>
      <x:c r="Q195" s="21" t="n">
        <x:f>IF(Технологии!AX42="ИЗУЧЕНО",$E195,0)</x:f>
        <x:v>0</x:v>
      </x:c>
      <x:c r="R195" s="21" t="n">
        <x:f>IF(Технологии!AY42="ИЗУЧЕНО",$E195,0)</x:f>
        <x:v>0</x:v>
      </x:c>
      <x:c r="S195" s="21" t="n">
        <x:f>IF(Технологии!AZ42="ИЗУЧЕНО",$E195,0)</x:f>
        <x:v>0</x:v>
      </x:c>
      <x:c r="T195" s="21" t="n">
        <x:f>IF(Технологии!BA42="ИЗУЧЕНО",$E195,0)</x:f>
        <x:v>0</x:v>
      </x:c>
      <x:c r="U195" s="21" t="n">
        <x:f>IF(Технологии!BB42="ИЗУЧЕНО",$E195,0)</x:f>
        <x:v>0</x:v>
      </x:c>
      <x:c r="V195" s="21" t="n">
        <x:f>IF(Технологии!BC42="ИЗУЧЕНО",$E195,0)</x:f>
        <x:v>0</x:v>
      </x:c>
      <x:c r="W195" s="21" t="n">
        <x:f>IF(Технологии!BD42="ИЗУЧЕНО",$E195,0)</x:f>
        <x:v>0</x:v>
      </x:c>
      <x:c r="X195" s="21" t="n">
        <x:f>IF(Технологии!BE42="ИЗУЧЕНО",$E195,0)</x:f>
        <x:v>0</x:v>
      </x:c>
      <x:c r="Y195" s="21" t="n">
        <x:f>IF(Технологии!BF42="ИЗУЧЕНО",$E195,0)</x:f>
        <x:v>0</x:v>
      </x:c>
    </x:row>
    <x:row r="196">
      <x:c r="A196" s="19" t="s">
        <x:v>205</x:v>
      </x:c>
      <x:c r="B196" s="18" t="s">
        <x:v>206</x:v>
      </x:c>
      <x:c r="C196" s="18" t="s">
        <x:v>295</x:v>
      </x:c>
      <x:c r="D196" s="18" t="s">
        <x:v>387</x:v>
      </x:c>
      <x:c r="E196" s="20">
        <x:v>0.3</x:v>
      </x:c>
      <x:c r="F196" s="18" t="str">
        <x:f>IF(Технологии!BH43="","",Технологии!BH43)</x:f>
      </x:c>
      <x:c r="G196" s="18" t="s">
        <x:v>508</x:v>
      </x:c>
      <x:c r="J196" s="21" t="n">
        <x:f>0</x:f>
        <x:v>0</x:v>
      </x:c>
      <x:c r="K196" s="21" t="n">
        <x:f>IF(Технологии!AR43="ИЗУЧЕНО",$E196,0)</x:f>
        <x:v>0</x:v>
      </x:c>
      <x:c r="L196" s="21" t="n">
        <x:f>IF(Технологии!AS43="ИЗУЧЕНО",$E196,0)</x:f>
        <x:v>0</x:v>
      </x:c>
      <x:c r="M196" s="21" t="n">
        <x:f>IF(Технологии!AT43="ИЗУЧЕНО",$E196,0)</x:f>
        <x:v>0</x:v>
      </x:c>
      <x:c r="N196" s="21" t="n">
        <x:f>IF(Технологии!AU43="ИЗУЧЕНО",$E196,0)</x:f>
        <x:v>0</x:v>
      </x:c>
      <x:c r="O196" s="21" t="n">
        <x:f>IF(Технологии!AV43="ИЗУЧЕНО",$E196,0)</x:f>
        <x:v>0</x:v>
      </x:c>
      <x:c r="P196" s="21" t="n">
        <x:f>IF(Технологии!AW43="ИЗУЧЕНО",$E196,0)</x:f>
        <x:v>0</x:v>
      </x:c>
      <x:c r="Q196" s="21" t="n">
        <x:f>IF(Технологии!AX43="ИЗУЧЕНО",$E196,0)</x:f>
        <x:v>0</x:v>
      </x:c>
      <x:c r="R196" s="21" t="n">
        <x:f>IF(Технологии!AY43="ИЗУЧЕНО",$E196,0)</x:f>
        <x:v>0</x:v>
      </x:c>
      <x:c r="S196" s="21" t="n">
        <x:f>IF(Технологии!AZ43="ИЗУЧЕНО",$E196,0)</x:f>
        <x:v>0</x:v>
      </x:c>
      <x:c r="T196" s="21" t="n">
        <x:f>IF(Технологии!BA43="ИЗУЧЕНО",$E196,0)</x:f>
        <x:v>0</x:v>
      </x:c>
      <x:c r="U196" s="21" t="n">
        <x:f>IF(Технологии!BB43="ИЗУЧЕНО",$E196,0)</x:f>
        <x:v>0</x:v>
      </x:c>
      <x:c r="V196" s="21" t="n">
        <x:f>IF(Технологии!BC43="ИЗУЧЕНО",$E196,0)</x:f>
        <x:v>0</x:v>
      </x:c>
      <x:c r="W196" s="21" t="n">
        <x:f>IF(Технологии!BD43="ИЗУЧЕНО",$E196,0)</x:f>
        <x:v>0</x:v>
      </x:c>
      <x:c r="X196" s="21" t="n">
        <x:f>IF(Технологии!BE43="ИЗУЧЕНО",$E196,0)</x:f>
        <x:v>0</x:v>
      </x:c>
      <x:c r="Y196" s="21" t="n">
        <x:f>IF(Технологии!BF43="ИЗУЧЕНО",$E196,0)</x:f>
        <x:v>0</x:v>
      </x:c>
    </x:row>
    <x:row r="197">
      <x:c r="A197" s="19" t="s">
        <x:v>205</x:v>
      </x:c>
      <x:c r="B197" s="18" t="s">
        <x:v>206</x:v>
      </x:c>
      <x:c r="C197" s="18" t="s">
        <x:v>284</x:v>
      </x:c>
      <x:c r="D197" s="18" t="s">
        <x:v>387</x:v>
      </x:c>
      <x:c r="E197" s="20">
        <x:v>0.2</x:v>
      </x:c>
      <x:c r="F197" s="18" t="str">
        <x:f>IF(Технологии!BH43="","",Технологии!BH43)</x:f>
      </x:c>
      <x:c r="G197" s="18" t="s">
        <x:v>398</x:v>
      </x:c>
      <x:c r="J197" s="21" t="n">
        <x:f>0</x:f>
        <x:v>0</x:v>
      </x:c>
      <x:c r="K197" s="21" t="n">
        <x:f>IF(Технологии!AR43="ИЗУЧЕНО",$E197,0)</x:f>
        <x:v>0</x:v>
      </x:c>
      <x:c r="L197" s="21" t="n">
        <x:f>IF(Технологии!AS43="ИЗУЧЕНО",$E197,0)</x:f>
        <x:v>0</x:v>
      </x:c>
      <x:c r="M197" s="21" t="n">
        <x:f>IF(Технологии!AT43="ИЗУЧЕНО",$E197,0)</x:f>
        <x:v>0</x:v>
      </x:c>
      <x:c r="N197" s="21" t="n">
        <x:f>IF(Технологии!AU43="ИЗУЧЕНО",$E197,0)</x:f>
        <x:v>0</x:v>
      </x:c>
      <x:c r="O197" s="21" t="n">
        <x:f>IF(Технологии!AV43="ИЗУЧЕНО",$E197,0)</x:f>
        <x:v>0</x:v>
      </x:c>
      <x:c r="P197" s="21" t="n">
        <x:f>IF(Технологии!AW43="ИЗУЧЕНО",$E197,0)</x:f>
        <x:v>0</x:v>
      </x:c>
      <x:c r="Q197" s="21" t="n">
        <x:f>IF(Технологии!AX43="ИЗУЧЕНО",$E197,0)</x:f>
        <x:v>0</x:v>
      </x:c>
      <x:c r="R197" s="21" t="n">
        <x:f>IF(Технологии!AY43="ИЗУЧЕНО",$E197,0)</x:f>
        <x:v>0</x:v>
      </x:c>
      <x:c r="S197" s="21" t="n">
        <x:f>IF(Технологии!AZ43="ИЗУЧЕНО",$E197,0)</x:f>
        <x:v>0</x:v>
      </x:c>
      <x:c r="T197" s="21" t="n">
        <x:f>IF(Технологии!BA43="ИЗУЧЕНО",$E197,0)</x:f>
        <x:v>0</x:v>
      </x:c>
      <x:c r="U197" s="21" t="n">
        <x:f>IF(Технологии!BB43="ИЗУЧЕНО",$E197,0)</x:f>
        <x:v>0</x:v>
      </x:c>
      <x:c r="V197" s="21" t="n">
        <x:f>IF(Технологии!BC43="ИЗУЧЕНО",$E197,0)</x:f>
        <x:v>0</x:v>
      </x:c>
      <x:c r="W197" s="21" t="n">
        <x:f>IF(Технологии!BD43="ИЗУЧЕНО",$E197,0)</x:f>
        <x:v>0</x:v>
      </x:c>
      <x:c r="X197" s="21" t="n">
        <x:f>IF(Технологии!BE43="ИЗУЧЕНО",$E197,0)</x:f>
        <x:v>0</x:v>
      </x:c>
      <x:c r="Y197" s="21" t="n">
        <x:f>IF(Технологии!BF43="ИЗУЧЕНО",$E197,0)</x:f>
        <x:v>0</x:v>
      </x:c>
    </x:row>
    <x:row r="198">
      <x:c r="A198" s="19" t="s">
        <x:v>205</x:v>
      </x:c>
      <x:c r="B198" s="18" t="s">
        <x:v>206</x:v>
      </x:c>
      <x:c r="C198" s="18" t="s">
        <x:v>381</x:v>
      </x:c>
      <x:c r="D198" s="18" t="s">
        <x:v>405</x:v>
      </x:c>
      <x:c r="E198" s="20">
        <x:v>0.1</x:v>
      </x:c>
      <x:c r="F198" s="18" t="str">
        <x:f>IF(Технологии!BH43="","",Технологии!BH43)</x:f>
      </x:c>
      <x:c r="G198" s="18" t="s">
        <x:v>488</x:v>
      </x:c>
      <x:c r="J198" s="21" t="n">
        <x:f>0</x:f>
        <x:v>0</x:v>
      </x:c>
      <x:c r="K198" s="21" t="n">
        <x:f>IF(Технологии!AR43="ИЗУЧЕНО",$E198,0)</x:f>
        <x:v>0</x:v>
      </x:c>
      <x:c r="L198" s="21" t="n">
        <x:f>IF(Технологии!AS43="ИЗУЧЕНО",$E198,0)</x:f>
        <x:v>0</x:v>
      </x:c>
      <x:c r="M198" s="21" t="n">
        <x:f>IF(Технологии!AT43="ИЗУЧЕНО",$E198,0)</x:f>
        <x:v>0</x:v>
      </x:c>
      <x:c r="N198" s="21" t="n">
        <x:f>IF(Технологии!AU43="ИЗУЧЕНО",$E198,0)</x:f>
        <x:v>0</x:v>
      </x:c>
      <x:c r="O198" s="21" t="n">
        <x:f>IF(Технологии!AV43="ИЗУЧЕНО",$E198,0)</x:f>
        <x:v>0</x:v>
      </x:c>
      <x:c r="P198" s="21" t="n">
        <x:f>IF(Технологии!AW43="ИЗУЧЕНО",$E198,0)</x:f>
        <x:v>0</x:v>
      </x:c>
      <x:c r="Q198" s="21" t="n">
        <x:f>IF(Технологии!AX43="ИЗУЧЕНО",$E198,0)</x:f>
        <x:v>0</x:v>
      </x:c>
      <x:c r="R198" s="21" t="n">
        <x:f>IF(Технологии!AY43="ИЗУЧЕНО",$E198,0)</x:f>
        <x:v>0</x:v>
      </x:c>
      <x:c r="S198" s="21" t="n">
        <x:f>IF(Технологии!AZ43="ИЗУЧЕНО",$E198,0)</x:f>
        <x:v>0</x:v>
      </x:c>
      <x:c r="T198" s="21" t="n">
        <x:f>IF(Технологии!BA43="ИЗУЧЕНО",$E198,0)</x:f>
        <x:v>0</x:v>
      </x:c>
      <x:c r="U198" s="21" t="n">
        <x:f>IF(Технологии!BB43="ИЗУЧЕНО",$E198,0)</x:f>
        <x:v>0</x:v>
      </x:c>
      <x:c r="V198" s="21" t="n">
        <x:f>IF(Технологии!BC43="ИЗУЧЕНО",$E198,0)</x:f>
        <x:v>0</x:v>
      </x:c>
      <x:c r="W198" s="21" t="n">
        <x:f>IF(Технологии!BD43="ИЗУЧЕНО",$E198,0)</x:f>
        <x:v>0</x:v>
      </x:c>
      <x:c r="X198" s="21" t="n">
        <x:f>IF(Технологии!BE43="ИЗУЧЕНО",$E198,0)</x:f>
        <x:v>0</x:v>
      </x:c>
      <x:c r="Y198" s="21" t="n">
        <x:f>IF(Технологии!BF43="ИЗУЧЕНО",$E198,0)</x:f>
        <x:v>0</x:v>
      </x:c>
    </x:row>
    <x:row r="199">
      <x:c r="A199" s="19" t="s">
        <x:v>205</x:v>
      </x:c>
      <x:c r="B199" s="18" t="s">
        <x:v>206</x:v>
      </x:c>
      <x:c r="C199" s="18" t="s">
        <x:v>303</x:v>
      </x:c>
      <x:c r="D199" s="18" t="s">
        <x:v>387</x:v>
      </x:c>
      <x:c r="E199" s="20">
        <x:v>-0.15</x:v>
      </x:c>
      <x:c r="F199" s="18" t="str">
        <x:f>IF(Технологии!BH43="","",Технологии!BH43)</x:f>
      </x:c>
      <x:c r="G199" s="18" t="s">
        <x:v>450</x:v>
      </x:c>
      <x:c r="J199" s="21" t="n">
        <x:f>0</x:f>
        <x:v>0</x:v>
      </x:c>
      <x:c r="K199" s="21" t="n">
        <x:f>IF(Технологии!AR43="ИЗУЧЕНО",$E199,0)</x:f>
        <x:v>0</x:v>
      </x:c>
      <x:c r="L199" s="21" t="n">
        <x:f>IF(Технологии!AS43="ИЗУЧЕНО",$E199,0)</x:f>
        <x:v>0</x:v>
      </x:c>
      <x:c r="M199" s="21" t="n">
        <x:f>IF(Технологии!AT43="ИЗУЧЕНО",$E199,0)</x:f>
        <x:v>0</x:v>
      </x:c>
      <x:c r="N199" s="21" t="n">
        <x:f>IF(Технологии!AU43="ИЗУЧЕНО",$E199,0)</x:f>
        <x:v>0</x:v>
      </x:c>
      <x:c r="O199" s="21" t="n">
        <x:f>IF(Технологии!AV43="ИЗУЧЕНО",$E199,0)</x:f>
        <x:v>0</x:v>
      </x:c>
      <x:c r="P199" s="21" t="n">
        <x:f>IF(Технологии!AW43="ИЗУЧЕНО",$E199,0)</x:f>
        <x:v>0</x:v>
      </x:c>
      <x:c r="Q199" s="21" t="n">
        <x:f>IF(Технологии!AX43="ИЗУЧЕНО",$E199,0)</x:f>
        <x:v>0</x:v>
      </x:c>
      <x:c r="R199" s="21" t="n">
        <x:f>IF(Технологии!AY43="ИЗУЧЕНО",$E199,0)</x:f>
        <x:v>0</x:v>
      </x:c>
      <x:c r="S199" s="21" t="n">
        <x:f>IF(Технологии!AZ43="ИЗУЧЕНО",$E199,0)</x:f>
        <x:v>0</x:v>
      </x:c>
      <x:c r="T199" s="21" t="n">
        <x:f>IF(Технологии!BA43="ИЗУЧЕНО",$E199,0)</x:f>
        <x:v>0</x:v>
      </x:c>
      <x:c r="U199" s="21" t="n">
        <x:f>IF(Технологии!BB43="ИЗУЧЕНО",$E199,0)</x:f>
        <x:v>0</x:v>
      </x:c>
      <x:c r="V199" s="21" t="n">
        <x:f>IF(Технологии!BC43="ИЗУЧЕНО",$E199,0)</x:f>
        <x:v>0</x:v>
      </x:c>
      <x:c r="W199" s="21" t="n">
        <x:f>IF(Технологии!BD43="ИЗУЧЕНО",$E199,0)</x:f>
        <x:v>0</x:v>
      </x:c>
      <x:c r="X199" s="21" t="n">
        <x:f>IF(Технологии!BE43="ИЗУЧЕНО",$E199,0)</x:f>
        <x:v>0</x:v>
      </x:c>
      <x:c r="Y199" s="21" t="n">
        <x:f>IF(Технологии!BF43="ИЗУЧЕНО",$E199,0)</x:f>
        <x:v>0</x:v>
      </x:c>
    </x:row>
    <x:row r="200">
      <x:c r="A200" s="19" t="s">
        <x:v>209</x:v>
      </x:c>
      <x:c r="B200" s="18" t="s">
        <x:v>210</x:v>
      </x:c>
      <x:c r="C200" s="18" t="s">
        <x:v>292</x:v>
      </x:c>
      <x:c r="D200" s="18" t="s">
        <x:v>387</x:v>
      </x:c>
      <x:c r="E200" s="20">
        <x:v>0.4</x:v>
      </x:c>
      <x:c r="F200" s="18" t="str">
        <x:f>IF(Технологии!BH44="","",Технологии!BH44)</x:f>
      </x:c>
      <x:c r="G200" s="18" t="s">
        <x:v>509</x:v>
      </x:c>
      <x:c r="J200" s="21" t="n">
        <x:f>0</x:f>
        <x:v>0</x:v>
      </x:c>
      <x:c r="K200" s="21" t="n">
        <x:f>IF(Технологии!AR44="ИЗУЧЕНО",$E200,0)</x:f>
        <x:v>0</x:v>
      </x:c>
      <x:c r="L200" s="21" t="n">
        <x:f>IF(Технологии!AS44="ИЗУЧЕНО",$E200,0)</x:f>
        <x:v>0</x:v>
      </x:c>
      <x:c r="M200" s="21" t="n">
        <x:f>IF(Технологии!AT44="ИЗУЧЕНО",$E200,0)</x:f>
        <x:v>0</x:v>
      </x:c>
      <x:c r="N200" s="21" t="n">
        <x:f>IF(Технологии!AU44="ИЗУЧЕНО",$E200,0)</x:f>
        <x:v>0</x:v>
      </x:c>
      <x:c r="O200" s="21" t="n">
        <x:f>IF(Технологии!AV44="ИЗУЧЕНО",$E200,0)</x:f>
        <x:v>0</x:v>
      </x:c>
      <x:c r="P200" s="21" t="n">
        <x:f>IF(Технологии!AW44="ИЗУЧЕНО",$E200,0)</x:f>
        <x:v>0</x:v>
      </x:c>
      <x:c r="Q200" s="21" t="n">
        <x:f>IF(Технологии!AX44="ИЗУЧЕНО",$E200,0)</x:f>
        <x:v>0</x:v>
      </x:c>
      <x:c r="R200" s="21" t="n">
        <x:f>IF(Технологии!AY44="ИЗУЧЕНО",$E200,0)</x:f>
        <x:v>0</x:v>
      </x:c>
      <x:c r="S200" s="21" t="n">
        <x:f>IF(Технологии!AZ44="ИЗУЧЕНО",$E200,0)</x:f>
        <x:v>0</x:v>
      </x:c>
      <x:c r="T200" s="21" t="n">
        <x:f>IF(Технологии!BA44="ИЗУЧЕНО",$E200,0)</x:f>
        <x:v>0</x:v>
      </x:c>
      <x:c r="U200" s="21" t="n">
        <x:f>IF(Технологии!BB44="ИЗУЧЕНО",$E200,0)</x:f>
        <x:v>0</x:v>
      </x:c>
      <x:c r="V200" s="21" t="n">
        <x:f>IF(Технологии!BC44="ИЗУЧЕНО",$E200,0)</x:f>
        <x:v>0</x:v>
      </x:c>
      <x:c r="W200" s="21" t="n">
        <x:f>IF(Технологии!BD44="ИЗУЧЕНО",$E200,0)</x:f>
        <x:v>0</x:v>
      </x:c>
      <x:c r="X200" s="21" t="n">
        <x:f>IF(Технологии!BE44="ИЗУЧЕНО",$E200,0)</x:f>
        <x:v>0</x:v>
      </x:c>
      <x:c r="Y200" s="21" t="n">
        <x:f>IF(Технологии!BF44="ИЗУЧЕНО",$E200,0)</x:f>
        <x:v>0</x:v>
      </x:c>
    </x:row>
    <x:row r="201">
      <x:c r="A201" s="19" t="s">
        <x:v>209</x:v>
      </x:c>
      <x:c r="B201" s="18" t="s">
        <x:v>210</x:v>
      </x:c>
      <x:c r="C201" s="18" t="s">
        <x:v>295</x:v>
      </x:c>
      <x:c r="D201" s="18" t="s">
        <x:v>414</x:v>
      </x:c>
      <x:c r="E201" s="20">
        <x:v>0.08</x:v>
      </x:c>
      <x:c r="F201" s="18" t="str">
        <x:f>IF(Технологии!BH44="","",Технологии!BH44)</x:f>
      </x:c>
      <x:c r="G201" s="18" t="s">
        <x:v>510</x:v>
      </x:c>
      <x:c r="J201" s="21" t="n">
        <x:f>0</x:f>
        <x:v>0</x:v>
      </x:c>
      <x:c r="K201" s="21" t="n">
        <x:f>IF(Технологии!AR44="ИЗУЧЕНО",$E201,0)</x:f>
        <x:v>0</x:v>
      </x:c>
      <x:c r="L201" s="21" t="n">
        <x:f>IF(Технологии!AS44="ИЗУЧЕНО",$E201,0)</x:f>
        <x:v>0</x:v>
      </x:c>
      <x:c r="M201" s="21" t="n">
        <x:f>IF(Технологии!AT44="ИЗУЧЕНО",$E201,0)</x:f>
        <x:v>0</x:v>
      </x:c>
      <x:c r="N201" s="21" t="n">
        <x:f>IF(Технологии!AU44="ИЗУЧЕНО",$E201,0)</x:f>
        <x:v>0</x:v>
      </x:c>
      <x:c r="O201" s="21" t="n">
        <x:f>IF(Технологии!AV44="ИЗУЧЕНО",$E201,0)</x:f>
        <x:v>0</x:v>
      </x:c>
      <x:c r="P201" s="21" t="n">
        <x:f>IF(Технологии!AW44="ИЗУЧЕНО",$E201,0)</x:f>
        <x:v>0</x:v>
      </x:c>
      <x:c r="Q201" s="21" t="n">
        <x:f>IF(Технологии!AX44="ИЗУЧЕНО",$E201,0)</x:f>
        <x:v>0</x:v>
      </x:c>
      <x:c r="R201" s="21" t="n">
        <x:f>IF(Технологии!AY44="ИЗУЧЕНО",$E201,0)</x:f>
        <x:v>0</x:v>
      </x:c>
      <x:c r="S201" s="21" t="n">
        <x:f>IF(Технологии!AZ44="ИЗУЧЕНО",$E201,0)</x:f>
        <x:v>0</x:v>
      </x:c>
      <x:c r="T201" s="21" t="n">
        <x:f>IF(Технологии!BA44="ИЗУЧЕНО",$E201,0)</x:f>
        <x:v>0</x:v>
      </x:c>
      <x:c r="U201" s="21" t="n">
        <x:f>IF(Технологии!BB44="ИЗУЧЕНО",$E201,0)</x:f>
        <x:v>0</x:v>
      </x:c>
      <x:c r="V201" s="21" t="n">
        <x:f>IF(Технологии!BC44="ИЗУЧЕНО",$E201,0)</x:f>
        <x:v>0</x:v>
      </x:c>
      <x:c r="W201" s="21" t="n">
        <x:f>IF(Технологии!BD44="ИЗУЧЕНО",$E201,0)</x:f>
        <x:v>0</x:v>
      </x:c>
      <x:c r="X201" s="21" t="n">
        <x:f>IF(Технологии!BE44="ИЗУЧЕНО",$E201,0)</x:f>
        <x:v>0</x:v>
      </x:c>
      <x:c r="Y201" s="21" t="n">
        <x:f>IF(Технологии!BF44="ИЗУЧЕНО",$E201,0)</x:f>
        <x:v>0</x:v>
      </x:c>
    </x:row>
    <x:row r="202">
      <x:c r="A202" s="19" t="s">
        <x:v>209</x:v>
      </x:c>
      <x:c r="B202" s="18" t="s">
        <x:v>210</x:v>
      </x:c>
      <x:c r="C202" s="18" t="s">
        <x:v>293</x:v>
      </x:c>
      <x:c r="D202" s="18" t="s">
        <x:v>387</x:v>
      </x:c>
      <x:c r="E202" s="20">
        <x:v>0.2</x:v>
      </x:c>
      <x:c r="F202" s="18" t="str">
        <x:f>IF(Технологии!BH44="","",Технологии!BH44)</x:f>
      </x:c>
      <x:c r="G202" s="18" t="s">
        <x:v>449</x:v>
      </x:c>
      <x:c r="J202" s="21" t="n">
        <x:f>0</x:f>
        <x:v>0</x:v>
      </x:c>
      <x:c r="K202" s="21" t="n">
        <x:f>IF(Технологии!AR44="ИЗУЧЕНО",$E202,0)</x:f>
        <x:v>0</x:v>
      </x:c>
      <x:c r="L202" s="21" t="n">
        <x:f>IF(Технологии!AS44="ИЗУЧЕНО",$E202,0)</x:f>
        <x:v>0</x:v>
      </x:c>
      <x:c r="M202" s="21" t="n">
        <x:f>IF(Технологии!AT44="ИЗУЧЕНО",$E202,0)</x:f>
        <x:v>0</x:v>
      </x:c>
      <x:c r="N202" s="21" t="n">
        <x:f>IF(Технологии!AU44="ИЗУЧЕНО",$E202,0)</x:f>
        <x:v>0</x:v>
      </x:c>
      <x:c r="O202" s="21" t="n">
        <x:f>IF(Технологии!AV44="ИЗУЧЕНО",$E202,0)</x:f>
        <x:v>0</x:v>
      </x:c>
      <x:c r="P202" s="21" t="n">
        <x:f>IF(Технологии!AW44="ИЗУЧЕНО",$E202,0)</x:f>
        <x:v>0</x:v>
      </x:c>
      <x:c r="Q202" s="21" t="n">
        <x:f>IF(Технологии!AX44="ИЗУЧЕНО",$E202,0)</x:f>
        <x:v>0</x:v>
      </x:c>
      <x:c r="R202" s="21" t="n">
        <x:f>IF(Технологии!AY44="ИЗУЧЕНО",$E202,0)</x:f>
        <x:v>0</x:v>
      </x:c>
      <x:c r="S202" s="21" t="n">
        <x:f>IF(Технологии!AZ44="ИЗУЧЕНО",$E202,0)</x:f>
        <x:v>0</x:v>
      </x:c>
      <x:c r="T202" s="21" t="n">
        <x:f>IF(Технологии!BA44="ИЗУЧЕНО",$E202,0)</x:f>
        <x:v>0</x:v>
      </x:c>
      <x:c r="U202" s="21" t="n">
        <x:f>IF(Технологии!BB44="ИЗУЧЕНО",$E202,0)</x:f>
        <x:v>0</x:v>
      </x:c>
      <x:c r="V202" s="21" t="n">
        <x:f>IF(Технологии!BC44="ИЗУЧЕНО",$E202,0)</x:f>
        <x:v>0</x:v>
      </x:c>
      <x:c r="W202" s="21" t="n">
        <x:f>IF(Технологии!BD44="ИЗУЧЕНО",$E202,0)</x:f>
        <x:v>0</x:v>
      </x:c>
      <x:c r="X202" s="21" t="n">
        <x:f>IF(Технологии!BE44="ИЗУЧЕНО",$E202,0)</x:f>
        <x:v>0</x:v>
      </x:c>
      <x:c r="Y202" s="21" t="n">
        <x:f>IF(Технологии!BF44="ИЗУЧЕНО",$E202,0)</x:f>
        <x:v>0</x:v>
      </x:c>
    </x:row>
    <x:row r="203">
      <x:c r="A203" s="19" t="s">
        <x:v>209</x:v>
      </x:c>
      <x:c r="B203" s="18" t="s">
        <x:v>210</x:v>
      </x:c>
      <x:c r="C203" s="18" t="s">
        <x:v>382</x:v>
      </x:c>
      <x:c r="D203" s="18" t="s">
        <x:v>405</x:v>
      </x:c>
      <x:c r="E203" s="20">
        <x:v>0.1</x:v>
      </x:c>
      <x:c r="F203" s="18" t="str">
        <x:f>IF(Технологии!BH44="","",Технологии!BH44)</x:f>
      </x:c>
      <x:c r="G203" s="18" t="s">
        <x:v>511</x:v>
      </x:c>
      <x:c r="J203" s="21" t="n">
        <x:f>0</x:f>
        <x:v>0</x:v>
      </x:c>
      <x:c r="K203" s="21" t="n">
        <x:f>IF(Технологии!AR44="ИЗУЧЕНО",$E203,0)</x:f>
        <x:v>0</x:v>
      </x:c>
      <x:c r="L203" s="21" t="n">
        <x:f>IF(Технологии!AS44="ИЗУЧЕНО",$E203,0)</x:f>
        <x:v>0</x:v>
      </x:c>
      <x:c r="M203" s="21" t="n">
        <x:f>IF(Технологии!AT44="ИЗУЧЕНО",$E203,0)</x:f>
        <x:v>0</x:v>
      </x:c>
      <x:c r="N203" s="21" t="n">
        <x:f>IF(Технологии!AU44="ИЗУЧЕНО",$E203,0)</x:f>
        <x:v>0</x:v>
      </x:c>
      <x:c r="O203" s="21" t="n">
        <x:f>IF(Технологии!AV44="ИЗУЧЕНО",$E203,0)</x:f>
        <x:v>0</x:v>
      </x:c>
      <x:c r="P203" s="21" t="n">
        <x:f>IF(Технологии!AW44="ИЗУЧЕНО",$E203,0)</x:f>
        <x:v>0</x:v>
      </x:c>
      <x:c r="Q203" s="21" t="n">
        <x:f>IF(Технологии!AX44="ИЗУЧЕНО",$E203,0)</x:f>
        <x:v>0</x:v>
      </x:c>
      <x:c r="R203" s="21" t="n">
        <x:f>IF(Технологии!AY44="ИЗУЧЕНО",$E203,0)</x:f>
        <x:v>0</x:v>
      </x:c>
      <x:c r="S203" s="21" t="n">
        <x:f>IF(Технологии!AZ44="ИЗУЧЕНО",$E203,0)</x:f>
        <x:v>0</x:v>
      </x:c>
      <x:c r="T203" s="21" t="n">
        <x:f>IF(Технологии!BA44="ИЗУЧЕНО",$E203,0)</x:f>
        <x:v>0</x:v>
      </x:c>
      <x:c r="U203" s="21" t="n">
        <x:f>IF(Технологии!BB44="ИЗУЧЕНО",$E203,0)</x:f>
        <x:v>0</x:v>
      </x:c>
      <x:c r="V203" s="21" t="n">
        <x:f>IF(Технологии!BC44="ИЗУЧЕНО",$E203,0)</x:f>
        <x:v>0</x:v>
      </x:c>
      <x:c r="W203" s="21" t="n">
        <x:f>IF(Технологии!BD44="ИЗУЧЕНО",$E203,0)</x:f>
        <x:v>0</x:v>
      </x:c>
      <x:c r="X203" s="21" t="n">
        <x:f>IF(Технологии!BE44="ИЗУЧЕНО",$E203,0)</x:f>
        <x:v>0</x:v>
      </x:c>
      <x:c r="Y203" s="21" t="n">
        <x:f>IF(Технологии!BF44="ИЗУЧЕНО",$E203,0)</x:f>
        <x:v>0</x:v>
      </x:c>
    </x:row>
    <x:row r="204">
      <x:c r="A204" s="19" t="s">
        <x:v>209</x:v>
      </x:c>
      <x:c r="B204" s="18" t="s">
        <x:v>210</x:v>
      </x:c>
      <x:c r="C204" s="18" t="s">
        <x:v>260</x:v>
      </x:c>
      <x:c r="D204" s="18" t="s">
        <x:v>387</x:v>
      </x:c>
      <x:c r="E204" s="20">
        <x:v>-0.15</x:v>
      </x:c>
      <x:c r="F204" s="18" t="str">
        <x:f>IF(Технологии!BH44="","",Технологии!BH44)</x:f>
      </x:c>
      <x:c r="G204" s="18" t="s">
        <x:v>424</x:v>
      </x:c>
      <x:c r="J204" s="21" t="n">
        <x:f>0</x:f>
        <x:v>0</x:v>
      </x:c>
      <x:c r="K204" s="21" t="n">
        <x:f>IF(Технологии!AR44="ИЗУЧЕНО",$E204,0)</x:f>
        <x:v>0</x:v>
      </x:c>
      <x:c r="L204" s="21" t="n">
        <x:f>IF(Технологии!AS44="ИЗУЧЕНО",$E204,0)</x:f>
        <x:v>0</x:v>
      </x:c>
      <x:c r="M204" s="21" t="n">
        <x:f>IF(Технологии!AT44="ИЗУЧЕНО",$E204,0)</x:f>
        <x:v>0</x:v>
      </x:c>
      <x:c r="N204" s="21" t="n">
        <x:f>IF(Технологии!AU44="ИЗУЧЕНО",$E204,0)</x:f>
        <x:v>0</x:v>
      </x:c>
      <x:c r="O204" s="21" t="n">
        <x:f>IF(Технологии!AV44="ИЗУЧЕНО",$E204,0)</x:f>
        <x:v>0</x:v>
      </x:c>
      <x:c r="P204" s="21" t="n">
        <x:f>IF(Технологии!AW44="ИЗУЧЕНО",$E204,0)</x:f>
        <x:v>0</x:v>
      </x:c>
      <x:c r="Q204" s="21" t="n">
        <x:f>IF(Технологии!AX44="ИЗУЧЕНО",$E204,0)</x:f>
        <x:v>0</x:v>
      </x:c>
      <x:c r="R204" s="21" t="n">
        <x:f>IF(Технологии!AY44="ИЗУЧЕНО",$E204,0)</x:f>
        <x:v>0</x:v>
      </x:c>
      <x:c r="S204" s="21" t="n">
        <x:f>IF(Технологии!AZ44="ИЗУЧЕНО",$E204,0)</x:f>
        <x:v>0</x:v>
      </x:c>
      <x:c r="T204" s="21" t="n">
        <x:f>IF(Технологии!BA44="ИЗУЧЕНО",$E204,0)</x:f>
        <x:v>0</x:v>
      </x:c>
      <x:c r="U204" s="21" t="n">
        <x:f>IF(Технологии!BB44="ИЗУЧЕНО",$E204,0)</x:f>
        <x:v>0</x:v>
      </x:c>
      <x:c r="V204" s="21" t="n">
        <x:f>IF(Технологии!BC44="ИЗУЧЕНО",$E204,0)</x:f>
        <x:v>0</x:v>
      </x:c>
      <x:c r="W204" s="21" t="n">
        <x:f>IF(Технологии!BD44="ИЗУЧЕНО",$E204,0)</x:f>
        <x:v>0</x:v>
      </x:c>
      <x:c r="X204" s="21" t="n">
        <x:f>IF(Технологии!BE44="ИЗУЧЕНО",$E204,0)</x:f>
        <x:v>0</x:v>
      </x:c>
      <x:c r="Y204" s="21" t="n">
        <x:f>IF(Технологии!BF44="ИЗУЧЕНО",$E204,0)</x:f>
        <x:v>0</x:v>
      </x:c>
    </x:row>
    <x:row r="205">
      <x:c r="A205" s="19" t="s">
        <x:v>209</x:v>
      </x:c>
      <x:c r="B205" s="18" t="s">
        <x:v>210</x:v>
      </x:c>
      <x:c r="C205" s="18" t="s">
        <x:v>272</x:v>
      </x:c>
      <x:c r="D205" s="18" t="s">
        <x:v>387</x:v>
      </x:c>
      <x:c r="E205" s="20">
        <x:v>-0.1</x:v>
      </x:c>
      <x:c r="F205" s="18" t="str">
        <x:f>IF(Технологии!BH44="","",Технологии!BH44)</x:f>
      </x:c>
      <x:c r="G205" s="18" t="s">
        <x:v>512</x:v>
      </x:c>
      <x:c r="J205" s="21" t="n">
        <x:f>0</x:f>
        <x:v>0</x:v>
      </x:c>
      <x:c r="K205" s="21" t="n">
        <x:f>IF(Технологии!AR44="ИЗУЧЕНО",$E205,0)</x:f>
        <x:v>0</x:v>
      </x:c>
      <x:c r="L205" s="21" t="n">
        <x:f>IF(Технологии!AS44="ИЗУЧЕНО",$E205,0)</x:f>
        <x:v>0</x:v>
      </x:c>
      <x:c r="M205" s="21" t="n">
        <x:f>IF(Технологии!AT44="ИЗУЧЕНО",$E205,0)</x:f>
        <x:v>0</x:v>
      </x:c>
      <x:c r="N205" s="21" t="n">
        <x:f>IF(Технологии!AU44="ИЗУЧЕНО",$E205,0)</x:f>
        <x:v>0</x:v>
      </x:c>
      <x:c r="O205" s="21" t="n">
        <x:f>IF(Технологии!AV44="ИЗУЧЕНО",$E205,0)</x:f>
        <x:v>0</x:v>
      </x:c>
      <x:c r="P205" s="21" t="n">
        <x:f>IF(Технологии!AW44="ИЗУЧЕНО",$E205,0)</x:f>
        <x:v>0</x:v>
      </x:c>
      <x:c r="Q205" s="21" t="n">
        <x:f>IF(Технологии!AX44="ИЗУЧЕНО",$E205,0)</x:f>
        <x:v>0</x:v>
      </x:c>
      <x:c r="R205" s="21" t="n">
        <x:f>IF(Технологии!AY44="ИЗУЧЕНО",$E205,0)</x:f>
        <x:v>0</x:v>
      </x:c>
      <x:c r="S205" s="21" t="n">
        <x:f>IF(Технологии!AZ44="ИЗУЧЕНО",$E205,0)</x:f>
        <x:v>0</x:v>
      </x:c>
      <x:c r="T205" s="21" t="n">
        <x:f>IF(Технологии!BA44="ИЗУЧЕНО",$E205,0)</x:f>
        <x:v>0</x:v>
      </x:c>
      <x:c r="U205" s="21" t="n">
        <x:f>IF(Технологии!BB44="ИЗУЧЕНО",$E205,0)</x:f>
        <x:v>0</x:v>
      </x:c>
      <x:c r="V205" s="21" t="n">
        <x:f>IF(Технологии!BC44="ИЗУЧЕНО",$E205,0)</x:f>
        <x:v>0</x:v>
      </x:c>
      <x:c r="W205" s="21" t="n">
        <x:f>IF(Технологии!BD44="ИЗУЧЕНО",$E205,0)</x:f>
        <x:v>0</x:v>
      </x:c>
      <x:c r="X205" s="21" t="n">
        <x:f>IF(Технологии!BE44="ИЗУЧЕНО",$E205,0)</x:f>
        <x:v>0</x:v>
      </x:c>
      <x:c r="Y205" s="21" t="n">
        <x:f>IF(Технологии!BF44="ИЗУЧЕНО",$E205,0)</x:f>
        <x:v>0</x:v>
      </x:c>
    </x:row>
    <x:row r="206">
      <x:c r="A206" s="19" t="s">
        <x:v>213</x:v>
      </x:c>
      <x:c r="B206" s="18" t="s">
        <x:v>214</x:v>
      </x:c>
      <x:c r="C206" s="18" t="s">
        <x:v>314</x:v>
      </x:c>
      <x:c r="D206" s="18" t="s">
        <x:v>387</x:v>
      </x:c>
      <x:c r="E206" s="20">
        <x:v>0.4</x:v>
      </x:c>
      <x:c r="F206" s="18" t="str">
        <x:f>IF(Технологии!BH45="","",Технологии!BH45)</x:f>
      </x:c>
      <x:c r="G206" s="18" t="s">
        <x:v>513</x:v>
      </x:c>
      <x:c r="J206" s="21" t="n">
        <x:f>0</x:f>
        <x:v>0</x:v>
      </x:c>
      <x:c r="K206" s="21" t="n">
        <x:f>IF(Технологии!AR45="ИЗУЧЕНО",$E206,0)</x:f>
        <x:v>0</x:v>
      </x:c>
      <x:c r="L206" s="21" t="n">
        <x:f>IF(Технологии!AS45="ИЗУЧЕНО",$E206,0)</x:f>
        <x:v>0</x:v>
      </x:c>
      <x:c r="M206" s="21" t="n">
        <x:f>IF(Технологии!AT45="ИЗУЧЕНО",$E206,0)</x:f>
        <x:v>0</x:v>
      </x:c>
      <x:c r="N206" s="21" t="n">
        <x:f>IF(Технологии!AU45="ИЗУЧЕНО",$E206,0)</x:f>
        <x:v>0</x:v>
      </x:c>
      <x:c r="O206" s="21" t="n">
        <x:f>IF(Технологии!AV45="ИЗУЧЕНО",$E206,0)</x:f>
        <x:v>0</x:v>
      </x:c>
      <x:c r="P206" s="21" t="n">
        <x:f>IF(Технологии!AW45="ИЗУЧЕНО",$E206,0)</x:f>
        <x:v>0</x:v>
      </x:c>
      <x:c r="Q206" s="21" t="n">
        <x:f>IF(Технологии!AX45="ИЗУЧЕНО",$E206,0)</x:f>
        <x:v>0</x:v>
      </x:c>
      <x:c r="R206" s="21" t="n">
        <x:f>IF(Технологии!AY45="ИЗУЧЕНО",$E206,0)</x:f>
        <x:v>0</x:v>
      </x:c>
      <x:c r="S206" s="21" t="n">
        <x:f>IF(Технологии!AZ45="ИЗУЧЕНО",$E206,0)</x:f>
        <x:v>0</x:v>
      </x:c>
      <x:c r="T206" s="21" t="n">
        <x:f>IF(Технологии!BA45="ИЗУЧЕНО",$E206,0)</x:f>
        <x:v>0</x:v>
      </x:c>
      <x:c r="U206" s="21" t="n">
        <x:f>IF(Технологии!BB45="ИЗУЧЕНО",$E206,0)</x:f>
        <x:v>0</x:v>
      </x:c>
      <x:c r="V206" s="21" t="n">
        <x:f>IF(Технологии!BC45="ИЗУЧЕНО",$E206,0)</x:f>
        <x:v>0</x:v>
      </x:c>
      <x:c r="W206" s="21" t="n">
        <x:f>IF(Технологии!BD45="ИЗУЧЕНО",$E206,0)</x:f>
        <x:v>0</x:v>
      </x:c>
      <x:c r="X206" s="21" t="n">
        <x:f>IF(Технологии!BE45="ИЗУЧЕНО",$E206,0)</x:f>
        <x:v>0</x:v>
      </x:c>
      <x:c r="Y206" s="21" t="n">
        <x:f>IF(Технологии!BF45="ИЗУЧЕНО",$E206,0)</x:f>
        <x:v>0</x:v>
      </x:c>
    </x:row>
    <x:row r="207">
      <x:c r="A207" s="19" t="s">
        <x:v>213</x:v>
      </x:c>
      <x:c r="B207" s="18" t="s">
        <x:v>214</x:v>
      </x:c>
      <x:c r="C207" s="18" t="s">
        <x:v>281</x:v>
      </x:c>
      <x:c r="D207" s="18" t="s">
        <x:v>414</x:v>
      </x:c>
      <x:c r="E207" s="20">
        <x:v>0.08</x:v>
      </x:c>
      <x:c r="F207" s="18" t="str">
        <x:f>IF(Технологии!BH45="","",Технологии!BH45)</x:f>
      </x:c>
      <x:c r="G207" s="18" t="s">
        <x:v>514</x:v>
      </x:c>
      <x:c r="J207" s="21" t="n">
        <x:f>0</x:f>
        <x:v>0</x:v>
      </x:c>
      <x:c r="K207" s="21" t="n">
        <x:f>IF(Технологии!AR45="ИЗУЧЕНО",$E207,0)</x:f>
        <x:v>0</x:v>
      </x:c>
      <x:c r="L207" s="21" t="n">
        <x:f>IF(Технологии!AS45="ИЗУЧЕНО",$E207,0)</x:f>
        <x:v>0</x:v>
      </x:c>
      <x:c r="M207" s="21" t="n">
        <x:f>IF(Технологии!AT45="ИЗУЧЕНО",$E207,0)</x:f>
        <x:v>0</x:v>
      </x:c>
      <x:c r="N207" s="21" t="n">
        <x:f>IF(Технологии!AU45="ИЗУЧЕНО",$E207,0)</x:f>
        <x:v>0</x:v>
      </x:c>
      <x:c r="O207" s="21" t="n">
        <x:f>IF(Технологии!AV45="ИЗУЧЕНО",$E207,0)</x:f>
        <x:v>0</x:v>
      </x:c>
      <x:c r="P207" s="21" t="n">
        <x:f>IF(Технологии!AW45="ИЗУЧЕНО",$E207,0)</x:f>
        <x:v>0</x:v>
      </x:c>
      <x:c r="Q207" s="21" t="n">
        <x:f>IF(Технологии!AX45="ИЗУЧЕНО",$E207,0)</x:f>
        <x:v>0</x:v>
      </x:c>
      <x:c r="R207" s="21" t="n">
        <x:f>IF(Технологии!AY45="ИЗУЧЕНО",$E207,0)</x:f>
        <x:v>0</x:v>
      </x:c>
      <x:c r="S207" s="21" t="n">
        <x:f>IF(Технологии!AZ45="ИЗУЧЕНО",$E207,0)</x:f>
        <x:v>0</x:v>
      </x:c>
      <x:c r="T207" s="21" t="n">
        <x:f>IF(Технологии!BA45="ИЗУЧЕНО",$E207,0)</x:f>
        <x:v>0</x:v>
      </x:c>
      <x:c r="U207" s="21" t="n">
        <x:f>IF(Технологии!BB45="ИЗУЧЕНО",$E207,0)</x:f>
        <x:v>0</x:v>
      </x:c>
      <x:c r="V207" s="21" t="n">
        <x:f>IF(Технологии!BC45="ИЗУЧЕНО",$E207,0)</x:f>
        <x:v>0</x:v>
      </x:c>
      <x:c r="W207" s="21" t="n">
        <x:f>IF(Технологии!BD45="ИЗУЧЕНО",$E207,0)</x:f>
        <x:v>0</x:v>
      </x:c>
      <x:c r="X207" s="21" t="n">
        <x:f>IF(Технологии!BE45="ИЗУЧЕНО",$E207,0)</x:f>
        <x:v>0</x:v>
      </x:c>
      <x:c r="Y207" s="21" t="n">
        <x:f>IF(Технологии!BF45="ИЗУЧЕНО",$E207,0)</x:f>
        <x:v>0</x:v>
      </x:c>
    </x:row>
    <x:row r="208">
      <x:c r="A208" s="19" t="s">
        <x:v>213</x:v>
      </x:c>
      <x:c r="B208" s="18" t="s">
        <x:v>214</x:v>
      </x:c>
      <x:c r="C208" s="18" t="s">
        <x:v>292</x:v>
      </x:c>
      <x:c r="D208" s="18" t="s">
        <x:v>387</x:v>
      </x:c>
      <x:c r="E208" s="20">
        <x:v>0.2</x:v>
      </x:c>
      <x:c r="F208" s="18" t="str">
        <x:f>IF(Технологии!BH45="","",Технологии!BH45)</x:f>
      </x:c>
      <x:c r="G208" s="18" t="s">
        <x:v>427</x:v>
      </x:c>
      <x:c r="J208" s="21" t="n">
        <x:f>0</x:f>
        <x:v>0</x:v>
      </x:c>
      <x:c r="K208" s="21" t="n">
        <x:f>IF(Технологии!AR45="ИЗУЧЕНО",$E208,0)</x:f>
        <x:v>0</x:v>
      </x:c>
      <x:c r="L208" s="21" t="n">
        <x:f>IF(Технологии!AS45="ИЗУЧЕНО",$E208,0)</x:f>
        <x:v>0</x:v>
      </x:c>
      <x:c r="M208" s="21" t="n">
        <x:f>IF(Технологии!AT45="ИЗУЧЕНО",$E208,0)</x:f>
        <x:v>0</x:v>
      </x:c>
      <x:c r="N208" s="21" t="n">
        <x:f>IF(Технологии!AU45="ИЗУЧЕНО",$E208,0)</x:f>
        <x:v>0</x:v>
      </x:c>
      <x:c r="O208" s="21" t="n">
        <x:f>IF(Технологии!AV45="ИЗУЧЕНО",$E208,0)</x:f>
        <x:v>0</x:v>
      </x:c>
      <x:c r="P208" s="21" t="n">
        <x:f>IF(Технологии!AW45="ИЗУЧЕНО",$E208,0)</x:f>
        <x:v>0</x:v>
      </x:c>
      <x:c r="Q208" s="21" t="n">
        <x:f>IF(Технологии!AX45="ИЗУЧЕНО",$E208,0)</x:f>
        <x:v>0</x:v>
      </x:c>
      <x:c r="R208" s="21" t="n">
        <x:f>IF(Технологии!AY45="ИЗУЧЕНО",$E208,0)</x:f>
        <x:v>0</x:v>
      </x:c>
      <x:c r="S208" s="21" t="n">
        <x:f>IF(Технологии!AZ45="ИЗУЧЕНО",$E208,0)</x:f>
        <x:v>0</x:v>
      </x:c>
      <x:c r="T208" s="21" t="n">
        <x:f>IF(Технологии!BA45="ИЗУЧЕНО",$E208,0)</x:f>
        <x:v>0</x:v>
      </x:c>
      <x:c r="U208" s="21" t="n">
        <x:f>IF(Технологии!BB45="ИЗУЧЕНО",$E208,0)</x:f>
        <x:v>0</x:v>
      </x:c>
      <x:c r="V208" s="21" t="n">
        <x:f>IF(Технологии!BC45="ИЗУЧЕНО",$E208,0)</x:f>
        <x:v>0</x:v>
      </x:c>
      <x:c r="W208" s="21" t="n">
        <x:f>IF(Технологии!BD45="ИЗУЧЕНО",$E208,0)</x:f>
        <x:v>0</x:v>
      </x:c>
      <x:c r="X208" s="21" t="n">
        <x:f>IF(Технологии!BE45="ИЗУЧЕНО",$E208,0)</x:f>
        <x:v>0</x:v>
      </x:c>
      <x:c r="Y208" s="21" t="n">
        <x:f>IF(Технологии!BF45="ИЗУЧЕНО",$E208,0)</x:f>
        <x:v>0</x:v>
      </x:c>
    </x:row>
    <x:row r="209">
      <x:c r="A209" s="19" t="s">
        <x:v>213</x:v>
      </x:c>
      <x:c r="B209" s="18" t="s">
        <x:v>214</x:v>
      </x:c>
      <x:c r="C209" s="18" t="s">
        <x:v>381</x:v>
      </x:c>
      <x:c r="D209" s="18" t="s">
        <x:v>405</x:v>
      </x:c>
      <x:c r="E209" s="20">
        <x:v>0.1</x:v>
      </x:c>
      <x:c r="F209" s="18" t="str">
        <x:f>IF(Технологии!BH45="","",Технологии!BH45)</x:f>
      </x:c>
      <x:c r="G209" s="18" t="s">
        <x:v>488</x:v>
      </x:c>
      <x:c r="J209" s="21" t="n">
        <x:f>0</x:f>
        <x:v>0</x:v>
      </x:c>
      <x:c r="K209" s="21" t="n">
        <x:f>IF(Технологии!AR45="ИЗУЧЕНО",$E209,0)</x:f>
        <x:v>0</x:v>
      </x:c>
      <x:c r="L209" s="21" t="n">
        <x:f>IF(Технологии!AS45="ИЗУЧЕНО",$E209,0)</x:f>
        <x:v>0</x:v>
      </x:c>
      <x:c r="M209" s="21" t="n">
        <x:f>IF(Технологии!AT45="ИЗУЧЕНО",$E209,0)</x:f>
        <x:v>0</x:v>
      </x:c>
      <x:c r="N209" s="21" t="n">
        <x:f>IF(Технологии!AU45="ИЗУЧЕНО",$E209,0)</x:f>
        <x:v>0</x:v>
      </x:c>
      <x:c r="O209" s="21" t="n">
        <x:f>IF(Технологии!AV45="ИЗУЧЕНО",$E209,0)</x:f>
        <x:v>0</x:v>
      </x:c>
      <x:c r="P209" s="21" t="n">
        <x:f>IF(Технологии!AW45="ИЗУЧЕНО",$E209,0)</x:f>
        <x:v>0</x:v>
      </x:c>
      <x:c r="Q209" s="21" t="n">
        <x:f>IF(Технологии!AX45="ИЗУЧЕНО",$E209,0)</x:f>
        <x:v>0</x:v>
      </x:c>
      <x:c r="R209" s="21" t="n">
        <x:f>IF(Технологии!AY45="ИЗУЧЕНО",$E209,0)</x:f>
        <x:v>0</x:v>
      </x:c>
      <x:c r="S209" s="21" t="n">
        <x:f>IF(Технологии!AZ45="ИЗУЧЕНО",$E209,0)</x:f>
        <x:v>0</x:v>
      </x:c>
      <x:c r="T209" s="21" t="n">
        <x:f>IF(Технологии!BA45="ИЗУЧЕНО",$E209,0)</x:f>
        <x:v>0</x:v>
      </x:c>
      <x:c r="U209" s="21" t="n">
        <x:f>IF(Технологии!BB45="ИЗУЧЕНО",$E209,0)</x:f>
        <x:v>0</x:v>
      </x:c>
      <x:c r="V209" s="21" t="n">
        <x:f>IF(Технологии!BC45="ИЗУЧЕНО",$E209,0)</x:f>
        <x:v>0</x:v>
      </x:c>
      <x:c r="W209" s="21" t="n">
        <x:f>IF(Технологии!BD45="ИЗУЧЕНО",$E209,0)</x:f>
        <x:v>0</x:v>
      </x:c>
      <x:c r="X209" s="21" t="n">
        <x:f>IF(Технологии!BE45="ИЗУЧЕНО",$E209,0)</x:f>
        <x:v>0</x:v>
      </x:c>
      <x:c r="Y209" s="21" t="n">
        <x:f>IF(Технологии!BF45="ИЗУЧЕНО",$E209,0)</x:f>
        <x:v>0</x:v>
      </x:c>
    </x:row>
    <x:row r="210">
      <x:c r="A210" s="19" t="s">
        <x:v>213</x:v>
      </x:c>
      <x:c r="B210" s="18" t="s">
        <x:v>214</x:v>
      </x:c>
      <x:c r="C210" s="18" t="s">
        <x:v>382</x:v>
      </x:c>
      <x:c r="D210" s="18" t="s">
        <x:v>405</x:v>
      </x:c>
      <x:c r="E210" s="20">
        <x:v>0.1</x:v>
      </x:c>
      <x:c r="F210" s="18" t="str">
        <x:f>IF(Технологии!BH45="","",Технологии!BH45)</x:f>
      </x:c>
      <x:c r="G210" s="18" t="s">
        <x:v>511</x:v>
      </x:c>
      <x:c r="J210" s="21" t="n">
        <x:f>0</x:f>
        <x:v>0</x:v>
      </x:c>
      <x:c r="K210" s="21" t="n">
        <x:f>IF(Технологии!AR45="ИЗУЧЕНО",$E210,0)</x:f>
        <x:v>0</x:v>
      </x:c>
      <x:c r="L210" s="21" t="n">
        <x:f>IF(Технологии!AS45="ИЗУЧЕНО",$E210,0)</x:f>
        <x:v>0</x:v>
      </x:c>
      <x:c r="M210" s="21" t="n">
        <x:f>IF(Технологии!AT45="ИЗУЧЕНО",$E210,0)</x:f>
        <x:v>0</x:v>
      </x:c>
      <x:c r="N210" s="21" t="n">
        <x:f>IF(Технологии!AU45="ИЗУЧЕНО",$E210,0)</x:f>
        <x:v>0</x:v>
      </x:c>
      <x:c r="O210" s="21" t="n">
        <x:f>IF(Технологии!AV45="ИЗУЧЕНО",$E210,0)</x:f>
        <x:v>0</x:v>
      </x:c>
      <x:c r="P210" s="21" t="n">
        <x:f>IF(Технологии!AW45="ИЗУЧЕНО",$E210,0)</x:f>
        <x:v>0</x:v>
      </x:c>
      <x:c r="Q210" s="21" t="n">
        <x:f>IF(Технологии!AX45="ИЗУЧЕНО",$E210,0)</x:f>
        <x:v>0</x:v>
      </x:c>
      <x:c r="R210" s="21" t="n">
        <x:f>IF(Технологии!AY45="ИЗУЧЕНО",$E210,0)</x:f>
        <x:v>0</x:v>
      </x:c>
      <x:c r="S210" s="21" t="n">
        <x:f>IF(Технологии!AZ45="ИЗУЧЕНО",$E210,0)</x:f>
        <x:v>0</x:v>
      </x:c>
      <x:c r="T210" s="21" t="n">
        <x:f>IF(Технологии!BA45="ИЗУЧЕНО",$E210,0)</x:f>
        <x:v>0</x:v>
      </x:c>
      <x:c r="U210" s="21" t="n">
        <x:f>IF(Технологии!BB45="ИЗУЧЕНО",$E210,0)</x:f>
        <x:v>0</x:v>
      </x:c>
      <x:c r="V210" s="21" t="n">
        <x:f>IF(Технологии!BC45="ИЗУЧЕНО",$E210,0)</x:f>
        <x:v>0</x:v>
      </x:c>
      <x:c r="W210" s="21" t="n">
        <x:f>IF(Технологии!BD45="ИЗУЧЕНО",$E210,0)</x:f>
        <x:v>0</x:v>
      </x:c>
      <x:c r="X210" s="21" t="n">
        <x:f>IF(Технологии!BE45="ИЗУЧЕНО",$E210,0)</x:f>
        <x:v>0</x:v>
      </x:c>
      <x:c r="Y210" s="21" t="n">
        <x:f>IF(Технологии!BF45="ИЗУЧЕНО",$E210,0)</x:f>
        <x:v>0</x:v>
      </x:c>
    </x:row>
    <x:row r="211">
      <x:c r="A211" s="19" t="s">
        <x:v>213</x:v>
      </x:c>
      <x:c r="B211" s="18" t="s">
        <x:v>214</x:v>
      </x:c>
      <x:c r="C211" s="18" t="s">
        <x:v>303</x:v>
      </x:c>
      <x:c r="D211" s="18" t="s">
        <x:v>387</x:v>
      </x:c>
      <x:c r="E211" s="20">
        <x:v>-0.25</x:v>
      </x:c>
      <x:c r="F211" s="18" t="str">
        <x:f>IF(Технологии!BH45="","",Технологии!BH45)</x:f>
      </x:c>
      <x:c r="G211" s="18" t="s">
        <x:v>458</x:v>
      </x:c>
      <x:c r="J211" s="21" t="n">
        <x:f>0</x:f>
        <x:v>0</x:v>
      </x:c>
      <x:c r="K211" s="21" t="n">
        <x:f>IF(Технологии!AR45="ИЗУЧЕНО",$E211,0)</x:f>
        <x:v>0</x:v>
      </x:c>
      <x:c r="L211" s="21" t="n">
        <x:f>IF(Технологии!AS45="ИЗУЧЕНО",$E211,0)</x:f>
        <x:v>0</x:v>
      </x:c>
      <x:c r="M211" s="21" t="n">
        <x:f>IF(Технологии!AT45="ИЗУЧЕНО",$E211,0)</x:f>
        <x:v>0</x:v>
      </x:c>
      <x:c r="N211" s="21" t="n">
        <x:f>IF(Технологии!AU45="ИЗУЧЕНО",$E211,0)</x:f>
        <x:v>0</x:v>
      </x:c>
      <x:c r="O211" s="21" t="n">
        <x:f>IF(Технологии!AV45="ИЗУЧЕНО",$E211,0)</x:f>
        <x:v>0</x:v>
      </x:c>
      <x:c r="P211" s="21" t="n">
        <x:f>IF(Технологии!AW45="ИЗУЧЕНО",$E211,0)</x:f>
        <x:v>0</x:v>
      </x:c>
      <x:c r="Q211" s="21" t="n">
        <x:f>IF(Технологии!AX45="ИЗУЧЕНО",$E211,0)</x:f>
        <x:v>0</x:v>
      </x:c>
      <x:c r="R211" s="21" t="n">
        <x:f>IF(Технологии!AY45="ИЗУЧЕНО",$E211,0)</x:f>
        <x:v>0</x:v>
      </x:c>
      <x:c r="S211" s="21" t="n">
        <x:f>IF(Технологии!AZ45="ИЗУЧЕНО",$E211,0)</x:f>
        <x:v>0</x:v>
      </x:c>
      <x:c r="T211" s="21" t="n">
        <x:f>IF(Технологии!BA45="ИЗУЧЕНО",$E211,0)</x:f>
        <x:v>0</x:v>
      </x:c>
      <x:c r="U211" s="21" t="n">
        <x:f>IF(Технологии!BB45="ИЗУЧЕНО",$E211,0)</x:f>
        <x:v>0</x:v>
      </x:c>
      <x:c r="V211" s="21" t="n">
        <x:f>IF(Технологии!BC45="ИЗУЧЕНО",$E211,0)</x:f>
        <x:v>0</x:v>
      </x:c>
      <x:c r="W211" s="21" t="n">
        <x:f>IF(Технологии!BD45="ИЗУЧЕНО",$E211,0)</x:f>
        <x:v>0</x:v>
      </x:c>
      <x:c r="X211" s="21" t="n">
        <x:f>IF(Технологии!BE45="ИЗУЧЕНО",$E211,0)</x:f>
        <x:v>0</x:v>
      </x:c>
      <x:c r="Y211" s="21" t="n">
        <x:f>IF(Технологии!BF45="ИЗУЧЕНО",$E211,0)</x:f>
        <x:v>0</x:v>
      </x:c>
    </x:row>
    <x:row r="212">
      <x:c r="A212" s="19" t="s">
        <x:v>213</x:v>
      </x:c>
      <x:c r="B212" s="18" t="s">
        <x:v>214</x:v>
      </x:c>
      <x:c r="C212" s="18" t="s">
        <x:v>302</x:v>
      </x:c>
      <x:c r="D212" s="18" t="s">
        <x:v>387</x:v>
      </x:c>
      <x:c r="E212" s="20">
        <x:v>-0.15</x:v>
      </x:c>
      <x:c r="F212" s="18" t="str">
        <x:f>IF(Технологии!BH45="","",Технологии!BH45)</x:f>
      </x:c>
      <x:c r="G212" s="18" t="s">
        <x:v>485</x:v>
      </x:c>
      <x:c r="J212" s="21" t="n">
        <x:f>0</x:f>
        <x:v>0</x:v>
      </x:c>
      <x:c r="K212" s="21" t="n">
        <x:f>IF(Технологии!AR45="ИЗУЧЕНО",$E212,0)</x:f>
        <x:v>0</x:v>
      </x:c>
      <x:c r="L212" s="21" t="n">
        <x:f>IF(Технологии!AS45="ИЗУЧЕНО",$E212,0)</x:f>
        <x:v>0</x:v>
      </x:c>
      <x:c r="M212" s="21" t="n">
        <x:f>IF(Технологии!AT45="ИЗУЧЕНО",$E212,0)</x:f>
        <x:v>0</x:v>
      </x:c>
      <x:c r="N212" s="21" t="n">
        <x:f>IF(Технологии!AU45="ИЗУЧЕНО",$E212,0)</x:f>
        <x:v>0</x:v>
      </x:c>
      <x:c r="O212" s="21" t="n">
        <x:f>IF(Технологии!AV45="ИЗУЧЕНО",$E212,0)</x:f>
        <x:v>0</x:v>
      </x:c>
      <x:c r="P212" s="21" t="n">
        <x:f>IF(Технологии!AW45="ИЗУЧЕНО",$E212,0)</x:f>
        <x:v>0</x:v>
      </x:c>
      <x:c r="Q212" s="21" t="n">
        <x:f>IF(Технологии!AX45="ИЗУЧЕНО",$E212,0)</x:f>
        <x:v>0</x:v>
      </x:c>
      <x:c r="R212" s="21" t="n">
        <x:f>IF(Технологии!AY45="ИЗУЧЕНО",$E212,0)</x:f>
        <x:v>0</x:v>
      </x:c>
      <x:c r="S212" s="21" t="n">
        <x:f>IF(Технологии!AZ45="ИЗУЧЕНО",$E212,0)</x:f>
        <x:v>0</x:v>
      </x:c>
      <x:c r="T212" s="21" t="n">
        <x:f>IF(Технологии!BA45="ИЗУЧЕНО",$E212,0)</x:f>
        <x:v>0</x:v>
      </x:c>
      <x:c r="U212" s="21" t="n">
        <x:f>IF(Технологии!BB45="ИЗУЧЕНО",$E212,0)</x:f>
        <x:v>0</x:v>
      </x:c>
      <x:c r="V212" s="21" t="n">
        <x:f>IF(Технологии!BC45="ИЗУЧЕНО",$E212,0)</x:f>
        <x:v>0</x:v>
      </x:c>
      <x:c r="W212" s="21" t="n">
        <x:f>IF(Технологии!BD45="ИЗУЧЕНО",$E212,0)</x:f>
        <x:v>0</x:v>
      </x:c>
      <x:c r="X212" s="21" t="n">
        <x:f>IF(Технологии!BE45="ИЗУЧЕНО",$E212,0)</x:f>
        <x:v>0</x:v>
      </x:c>
      <x:c r="Y212" s="21" t="n">
        <x:f>IF(Технологии!BF45="ИЗУЧЕНО",$E212,0)</x:f>
        <x:v>0</x:v>
      </x:c>
    </x:row>
    <x:row r="213">
      <x:c r="A213" s="19" t="s">
        <x:v>213</x:v>
      </x:c>
      <x:c r="B213" s="18" t="s">
        <x:v>214</x:v>
      </x:c>
      <x:c r="C213" s="18" t="s">
        <x:v>260</x:v>
      </x:c>
      <x:c r="D213" s="18" t="s">
        <x:v>387</x:v>
      </x:c>
      <x:c r="E213" s="20">
        <x:v>-0.1</x:v>
      </x:c>
      <x:c r="F213" s="18" t="str">
        <x:f>IF(Технологии!BH45="","",Технологии!BH45)</x:f>
      </x:c>
      <x:c r="G213" s="18" t="s">
        <x:v>515</x:v>
      </x:c>
      <x:c r="J213" s="21" t="n">
        <x:f>0</x:f>
        <x:v>0</x:v>
      </x:c>
      <x:c r="K213" s="21" t="n">
        <x:f>IF(Технологии!AR45="ИЗУЧЕНО",$E213,0)</x:f>
        <x:v>0</x:v>
      </x:c>
      <x:c r="L213" s="21" t="n">
        <x:f>IF(Технологии!AS45="ИЗУЧЕНО",$E213,0)</x:f>
        <x:v>0</x:v>
      </x:c>
      <x:c r="M213" s="21" t="n">
        <x:f>IF(Технологии!AT45="ИЗУЧЕНО",$E213,0)</x:f>
        <x:v>0</x:v>
      </x:c>
      <x:c r="N213" s="21" t="n">
        <x:f>IF(Технологии!AU45="ИЗУЧЕНО",$E213,0)</x:f>
        <x:v>0</x:v>
      </x:c>
      <x:c r="O213" s="21" t="n">
        <x:f>IF(Технологии!AV45="ИЗУЧЕНО",$E213,0)</x:f>
        <x:v>0</x:v>
      </x:c>
      <x:c r="P213" s="21" t="n">
        <x:f>IF(Технологии!AW45="ИЗУЧЕНО",$E213,0)</x:f>
        <x:v>0</x:v>
      </x:c>
      <x:c r="Q213" s="21" t="n">
        <x:f>IF(Технологии!AX45="ИЗУЧЕНО",$E213,0)</x:f>
        <x:v>0</x:v>
      </x:c>
      <x:c r="R213" s="21" t="n">
        <x:f>IF(Технологии!AY45="ИЗУЧЕНО",$E213,0)</x:f>
        <x:v>0</x:v>
      </x:c>
      <x:c r="S213" s="21" t="n">
        <x:f>IF(Технологии!AZ45="ИЗУЧЕНО",$E213,0)</x:f>
        <x:v>0</x:v>
      </x:c>
      <x:c r="T213" s="21" t="n">
        <x:f>IF(Технологии!BA45="ИЗУЧЕНО",$E213,0)</x:f>
        <x:v>0</x:v>
      </x:c>
      <x:c r="U213" s="21" t="n">
        <x:f>IF(Технологии!BB45="ИЗУЧЕНО",$E213,0)</x:f>
        <x:v>0</x:v>
      </x:c>
      <x:c r="V213" s="21" t="n">
        <x:f>IF(Технологии!BC45="ИЗУЧЕНО",$E213,0)</x:f>
        <x:v>0</x:v>
      </x:c>
      <x:c r="W213" s="21" t="n">
        <x:f>IF(Технологии!BD45="ИЗУЧЕНО",$E213,0)</x:f>
        <x:v>0</x:v>
      </x:c>
      <x:c r="X213" s="21" t="n">
        <x:f>IF(Технологии!BE45="ИЗУЧЕНО",$E213,0)</x:f>
        <x:v>0</x:v>
      </x:c>
      <x:c r="Y213" s="21" t="n">
        <x:f>IF(Технологии!BF45="ИЗУЧЕНО",$E213,0)</x:f>
        <x:v>0</x:v>
      </x:c>
    </x:row>
    <x:row r="214">
      <x:c r="A214" s="19" t="s">
        <x:v>217</x:v>
      </x:c>
      <x:c r="B214" s="18" t="s">
        <x:v>218</x:v>
      </x:c>
      <x:c r="C214" s="18" t="s">
        <x:v>314</x:v>
      </x:c>
      <x:c r="D214" s="18" t="s">
        <x:v>387</x:v>
      </x:c>
      <x:c r="E214" s="20">
        <x:v>0.5</x:v>
      </x:c>
      <x:c r="F214" s="18" t="str">
        <x:f>IF(Технологии!BH46="","",Технологии!BH46)</x:f>
      </x:c>
      <x:c r="G214" s="18" t="s">
        <x:v>516</x:v>
      </x:c>
      <x:c r="J214" s="21" t="n">
        <x:f>0</x:f>
        <x:v>0</x:v>
      </x:c>
      <x:c r="K214" s="21" t="n">
        <x:f>IF(Технологии!AR46="ИЗУЧЕНО",$E214,0)</x:f>
        <x:v>0</x:v>
      </x:c>
      <x:c r="L214" s="21" t="n">
        <x:f>IF(Технологии!AS46="ИЗУЧЕНО",$E214,0)</x:f>
        <x:v>0</x:v>
      </x:c>
      <x:c r="M214" s="21" t="n">
        <x:f>IF(Технологии!AT46="ИЗУЧЕНО",$E214,0)</x:f>
        <x:v>0</x:v>
      </x:c>
      <x:c r="N214" s="21" t="n">
        <x:f>IF(Технологии!AU46="ИЗУЧЕНО",$E214,0)</x:f>
        <x:v>0</x:v>
      </x:c>
      <x:c r="O214" s="21" t="n">
        <x:f>IF(Технологии!AV46="ИЗУЧЕНО",$E214,0)</x:f>
        <x:v>0</x:v>
      </x:c>
      <x:c r="P214" s="21" t="n">
        <x:f>IF(Технологии!AW46="ИЗУЧЕНО",$E214,0)</x:f>
        <x:v>0</x:v>
      </x:c>
      <x:c r="Q214" s="21" t="n">
        <x:f>IF(Технологии!AX46="ИЗУЧЕНО",$E214,0)</x:f>
        <x:v>0</x:v>
      </x:c>
      <x:c r="R214" s="21" t="n">
        <x:f>IF(Технологии!AY46="ИЗУЧЕНО",$E214,0)</x:f>
        <x:v>0</x:v>
      </x:c>
      <x:c r="S214" s="21" t="n">
        <x:f>IF(Технологии!AZ46="ИЗУЧЕНО",$E214,0)</x:f>
        <x:v>0</x:v>
      </x:c>
      <x:c r="T214" s="21" t="n">
        <x:f>IF(Технологии!BA46="ИЗУЧЕНО",$E214,0)</x:f>
        <x:v>0</x:v>
      </x:c>
      <x:c r="U214" s="21" t="n">
        <x:f>IF(Технологии!BB46="ИЗУЧЕНО",$E214,0)</x:f>
        <x:v>0</x:v>
      </x:c>
      <x:c r="V214" s="21" t="n">
        <x:f>IF(Технологии!BC46="ИЗУЧЕНО",$E214,0)</x:f>
        <x:v>0</x:v>
      </x:c>
      <x:c r="W214" s="21" t="n">
        <x:f>IF(Технологии!BD46="ИЗУЧЕНО",$E214,0)</x:f>
        <x:v>0</x:v>
      </x:c>
      <x:c r="X214" s="21" t="n">
        <x:f>IF(Технологии!BE46="ИЗУЧЕНО",$E214,0)</x:f>
        <x:v>0</x:v>
      </x:c>
      <x:c r="Y214" s="21" t="n">
        <x:f>IF(Технологии!BF46="ИЗУЧЕНО",$E214,0)</x:f>
        <x:v>0</x:v>
      </x:c>
    </x:row>
    <x:row r="215">
      <x:c r="A215" s="19" t="s">
        <x:v>217</x:v>
      </x:c>
      <x:c r="B215" s="18" t="s">
        <x:v>218</x:v>
      </x:c>
      <x:c r="C215" s="18" t="s">
        <x:v>308</x:v>
      </x:c>
      <x:c r="D215" s="18" t="s">
        <x:v>387</x:v>
      </x:c>
      <x:c r="E215" s="20">
        <x:v>0.3</x:v>
      </x:c>
      <x:c r="F215" s="18" t="str">
        <x:f>IF(Технологии!BH46="","",Технологии!BH46)</x:f>
      </x:c>
      <x:c r="G215" s="18" t="s">
        <x:v>517</x:v>
      </x:c>
      <x:c r="J215" s="21" t="n">
        <x:f>0</x:f>
        <x:v>0</x:v>
      </x:c>
      <x:c r="K215" s="21" t="n">
        <x:f>IF(Технологии!AR46="ИЗУЧЕНО",$E215,0)</x:f>
        <x:v>0</x:v>
      </x:c>
      <x:c r="L215" s="21" t="n">
        <x:f>IF(Технологии!AS46="ИЗУЧЕНО",$E215,0)</x:f>
        <x:v>0</x:v>
      </x:c>
      <x:c r="M215" s="21" t="n">
        <x:f>IF(Технологии!AT46="ИЗУЧЕНО",$E215,0)</x:f>
        <x:v>0</x:v>
      </x:c>
      <x:c r="N215" s="21" t="n">
        <x:f>IF(Технологии!AU46="ИЗУЧЕНО",$E215,0)</x:f>
        <x:v>0</x:v>
      </x:c>
      <x:c r="O215" s="21" t="n">
        <x:f>IF(Технологии!AV46="ИЗУЧЕНО",$E215,0)</x:f>
        <x:v>0</x:v>
      </x:c>
      <x:c r="P215" s="21" t="n">
        <x:f>IF(Технологии!AW46="ИЗУЧЕНО",$E215,0)</x:f>
        <x:v>0</x:v>
      </x:c>
      <x:c r="Q215" s="21" t="n">
        <x:f>IF(Технологии!AX46="ИЗУЧЕНО",$E215,0)</x:f>
        <x:v>0</x:v>
      </x:c>
      <x:c r="R215" s="21" t="n">
        <x:f>IF(Технологии!AY46="ИЗУЧЕНО",$E215,0)</x:f>
        <x:v>0</x:v>
      </x:c>
      <x:c r="S215" s="21" t="n">
        <x:f>IF(Технологии!AZ46="ИЗУЧЕНО",$E215,0)</x:f>
        <x:v>0</x:v>
      </x:c>
      <x:c r="T215" s="21" t="n">
        <x:f>IF(Технологии!BA46="ИЗУЧЕНО",$E215,0)</x:f>
        <x:v>0</x:v>
      </x:c>
      <x:c r="U215" s="21" t="n">
        <x:f>IF(Технологии!BB46="ИЗУЧЕНО",$E215,0)</x:f>
        <x:v>0</x:v>
      </x:c>
      <x:c r="V215" s="21" t="n">
        <x:f>IF(Технологии!BC46="ИЗУЧЕНО",$E215,0)</x:f>
        <x:v>0</x:v>
      </x:c>
      <x:c r="W215" s="21" t="n">
        <x:f>IF(Технологии!BD46="ИЗУЧЕНО",$E215,0)</x:f>
        <x:v>0</x:v>
      </x:c>
      <x:c r="X215" s="21" t="n">
        <x:f>IF(Технологии!BE46="ИЗУЧЕНО",$E215,0)</x:f>
        <x:v>0</x:v>
      </x:c>
      <x:c r="Y215" s="21" t="n">
        <x:f>IF(Технологии!BF46="ИЗУЧЕНО",$E215,0)</x:f>
        <x:v>0</x:v>
      </x:c>
    </x:row>
    <x:row r="216">
      <x:c r="A216" s="19" t="s">
        <x:v>217</x:v>
      </x:c>
      <x:c r="B216" s="18" t="s">
        <x:v>218</x:v>
      </x:c>
      <x:c r="C216" s="18" t="s">
        <x:v>311</x:v>
      </x:c>
      <x:c r="D216" s="18" t="s">
        <x:v>414</x:v>
      </x:c>
      <x:c r="E216" s="20">
        <x:v>0.1</x:v>
      </x:c>
      <x:c r="F216" s="18" t="str">
        <x:f>IF(Технологии!BH46="","",Технологии!BH46)</x:f>
      </x:c>
      <x:c r="G216" s="18" t="s">
        <x:v>518</x:v>
      </x:c>
      <x:c r="J216" s="21" t="n">
        <x:f>0</x:f>
        <x:v>0</x:v>
      </x:c>
      <x:c r="K216" s="21" t="n">
        <x:f>IF(Технологии!AR46="ИЗУЧЕНО",$E216,0)</x:f>
        <x:v>0</x:v>
      </x:c>
      <x:c r="L216" s="21" t="n">
        <x:f>IF(Технологии!AS46="ИЗУЧЕНО",$E216,0)</x:f>
        <x:v>0</x:v>
      </x:c>
      <x:c r="M216" s="21" t="n">
        <x:f>IF(Технологии!AT46="ИЗУЧЕНО",$E216,0)</x:f>
        <x:v>0</x:v>
      </x:c>
      <x:c r="N216" s="21" t="n">
        <x:f>IF(Технологии!AU46="ИЗУЧЕНО",$E216,0)</x:f>
        <x:v>0</x:v>
      </x:c>
      <x:c r="O216" s="21" t="n">
        <x:f>IF(Технологии!AV46="ИЗУЧЕНО",$E216,0)</x:f>
        <x:v>0</x:v>
      </x:c>
      <x:c r="P216" s="21" t="n">
        <x:f>IF(Технологии!AW46="ИЗУЧЕНО",$E216,0)</x:f>
        <x:v>0</x:v>
      </x:c>
      <x:c r="Q216" s="21" t="n">
        <x:f>IF(Технологии!AX46="ИЗУЧЕНО",$E216,0)</x:f>
        <x:v>0</x:v>
      </x:c>
      <x:c r="R216" s="21" t="n">
        <x:f>IF(Технологии!AY46="ИЗУЧЕНО",$E216,0)</x:f>
        <x:v>0</x:v>
      </x:c>
      <x:c r="S216" s="21" t="n">
        <x:f>IF(Технологии!AZ46="ИЗУЧЕНО",$E216,0)</x:f>
        <x:v>0</x:v>
      </x:c>
      <x:c r="T216" s="21" t="n">
        <x:f>IF(Технологии!BA46="ИЗУЧЕНО",$E216,0)</x:f>
        <x:v>0</x:v>
      </x:c>
      <x:c r="U216" s="21" t="n">
        <x:f>IF(Технологии!BB46="ИЗУЧЕНО",$E216,0)</x:f>
        <x:v>0</x:v>
      </x:c>
      <x:c r="V216" s="21" t="n">
        <x:f>IF(Технологии!BC46="ИЗУЧЕНО",$E216,0)</x:f>
        <x:v>0</x:v>
      </x:c>
      <x:c r="W216" s="21" t="n">
        <x:f>IF(Технологии!BD46="ИЗУЧЕНО",$E216,0)</x:f>
        <x:v>0</x:v>
      </x:c>
      <x:c r="X216" s="21" t="n">
        <x:f>IF(Технологии!BE46="ИЗУЧЕНО",$E216,0)</x:f>
        <x:v>0</x:v>
      </x:c>
      <x:c r="Y216" s="21" t="n">
        <x:f>IF(Технологии!BF46="ИЗУЧЕНО",$E216,0)</x:f>
        <x:v>0</x:v>
      </x:c>
    </x:row>
    <x:row r="217">
      <x:c r="A217" s="19" t="s">
        <x:v>217</x:v>
      </x:c>
      <x:c r="B217" s="18" t="s">
        <x:v>218</x:v>
      </x:c>
      <x:c r="C217" s="18" t="s">
        <x:v>380</x:v>
      </x:c>
      <x:c r="D217" s="18" t="s">
        <x:v>405</x:v>
      </x:c>
      <x:c r="E217" s="20">
        <x:v>0.1</x:v>
      </x:c>
      <x:c r="F217" s="18" t="str">
        <x:f>IF(Технологии!BH46="","",Технологии!BH46)</x:f>
      </x:c>
      <x:c r="G217" s="18" t="s">
        <x:v>519</x:v>
      </x:c>
      <x:c r="J217" s="21" t="n">
        <x:f>0</x:f>
        <x:v>0</x:v>
      </x:c>
      <x:c r="K217" s="21" t="n">
        <x:f>IF(Технологии!AR46="ИЗУЧЕНО",$E217,0)</x:f>
        <x:v>0</x:v>
      </x:c>
      <x:c r="L217" s="21" t="n">
        <x:f>IF(Технологии!AS46="ИЗУЧЕНО",$E217,0)</x:f>
        <x:v>0</x:v>
      </x:c>
      <x:c r="M217" s="21" t="n">
        <x:f>IF(Технологии!AT46="ИЗУЧЕНО",$E217,0)</x:f>
        <x:v>0</x:v>
      </x:c>
      <x:c r="N217" s="21" t="n">
        <x:f>IF(Технологии!AU46="ИЗУЧЕНО",$E217,0)</x:f>
        <x:v>0</x:v>
      </x:c>
      <x:c r="O217" s="21" t="n">
        <x:f>IF(Технологии!AV46="ИЗУЧЕНО",$E217,0)</x:f>
        <x:v>0</x:v>
      </x:c>
      <x:c r="P217" s="21" t="n">
        <x:f>IF(Технологии!AW46="ИЗУЧЕНО",$E217,0)</x:f>
        <x:v>0</x:v>
      </x:c>
      <x:c r="Q217" s="21" t="n">
        <x:f>IF(Технологии!AX46="ИЗУЧЕНО",$E217,0)</x:f>
        <x:v>0</x:v>
      </x:c>
      <x:c r="R217" s="21" t="n">
        <x:f>IF(Технологии!AY46="ИЗУЧЕНО",$E217,0)</x:f>
        <x:v>0</x:v>
      </x:c>
      <x:c r="S217" s="21" t="n">
        <x:f>IF(Технологии!AZ46="ИЗУЧЕНО",$E217,0)</x:f>
        <x:v>0</x:v>
      </x:c>
      <x:c r="T217" s="21" t="n">
        <x:f>IF(Технологии!BA46="ИЗУЧЕНО",$E217,0)</x:f>
        <x:v>0</x:v>
      </x:c>
      <x:c r="U217" s="21" t="n">
        <x:f>IF(Технологии!BB46="ИЗУЧЕНО",$E217,0)</x:f>
        <x:v>0</x:v>
      </x:c>
      <x:c r="V217" s="21" t="n">
        <x:f>IF(Технологии!BC46="ИЗУЧЕНО",$E217,0)</x:f>
        <x:v>0</x:v>
      </x:c>
      <x:c r="W217" s="21" t="n">
        <x:f>IF(Технологии!BD46="ИЗУЧЕНО",$E217,0)</x:f>
        <x:v>0</x:v>
      </x:c>
      <x:c r="X217" s="21" t="n">
        <x:f>IF(Технологии!BE46="ИЗУЧЕНО",$E217,0)</x:f>
        <x:v>0</x:v>
      </x:c>
      <x:c r="Y217" s="21" t="n">
        <x:f>IF(Технологии!BF46="ИЗУЧЕНО",$E217,0)</x:f>
        <x:v>0</x:v>
      </x:c>
    </x:row>
    <x:row r="218">
      <x:c r="A218" s="19" t="s">
        <x:v>217</x:v>
      </x:c>
      <x:c r="B218" s="18" t="s">
        <x:v>218</x:v>
      </x:c>
      <x:c r="C218" s="18" t="s">
        <x:v>381</x:v>
      </x:c>
      <x:c r="D218" s="18" t="s">
        <x:v>405</x:v>
      </x:c>
      <x:c r="E218" s="20">
        <x:v>0.1</x:v>
      </x:c>
      <x:c r="F218" s="18" t="str">
        <x:f>IF(Технологии!BH46="","",Технологии!BH46)</x:f>
      </x:c>
      <x:c r="G218" s="18" t="s">
        <x:v>488</x:v>
      </x:c>
      <x:c r="J218" s="21" t="n">
        <x:f>0</x:f>
        <x:v>0</x:v>
      </x:c>
      <x:c r="K218" s="21" t="n">
        <x:f>IF(Технологии!AR46="ИЗУЧЕНО",$E218,0)</x:f>
        <x:v>0</x:v>
      </x:c>
      <x:c r="L218" s="21" t="n">
        <x:f>IF(Технологии!AS46="ИЗУЧЕНО",$E218,0)</x:f>
        <x:v>0</x:v>
      </x:c>
      <x:c r="M218" s="21" t="n">
        <x:f>IF(Технологии!AT46="ИЗУЧЕНО",$E218,0)</x:f>
        <x:v>0</x:v>
      </x:c>
      <x:c r="N218" s="21" t="n">
        <x:f>IF(Технологии!AU46="ИЗУЧЕНО",$E218,0)</x:f>
        <x:v>0</x:v>
      </x:c>
      <x:c r="O218" s="21" t="n">
        <x:f>IF(Технологии!AV46="ИЗУЧЕНО",$E218,0)</x:f>
        <x:v>0</x:v>
      </x:c>
      <x:c r="P218" s="21" t="n">
        <x:f>IF(Технологии!AW46="ИЗУЧЕНО",$E218,0)</x:f>
        <x:v>0</x:v>
      </x:c>
      <x:c r="Q218" s="21" t="n">
        <x:f>IF(Технологии!AX46="ИЗУЧЕНО",$E218,0)</x:f>
        <x:v>0</x:v>
      </x:c>
      <x:c r="R218" s="21" t="n">
        <x:f>IF(Технологии!AY46="ИЗУЧЕНО",$E218,0)</x:f>
        <x:v>0</x:v>
      </x:c>
      <x:c r="S218" s="21" t="n">
        <x:f>IF(Технологии!AZ46="ИЗУЧЕНО",$E218,0)</x:f>
        <x:v>0</x:v>
      </x:c>
      <x:c r="T218" s="21" t="n">
        <x:f>IF(Технологии!BA46="ИЗУЧЕНО",$E218,0)</x:f>
        <x:v>0</x:v>
      </x:c>
      <x:c r="U218" s="21" t="n">
        <x:f>IF(Технологии!BB46="ИЗУЧЕНО",$E218,0)</x:f>
        <x:v>0</x:v>
      </x:c>
      <x:c r="V218" s="21" t="n">
        <x:f>IF(Технологии!BC46="ИЗУЧЕНО",$E218,0)</x:f>
        <x:v>0</x:v>
      </x:c>
      <x:c r="W218" s="21" t="n">
        <x:f>IF(Технологии!BD46="ИЗУЧЕНО",$E218,0)</x:f>
        <x:v>0</x:v>
      </x:c>
      <x:c r="X218" s="21" t="n">
        <x:f>IF(Технологии!BE46="ИЗУЧЕНО",$E218,0)</x:f>
        <x:v>0</x:v>
      </x:c>
      <x:c r="Y218" s="21" t="n">
        <x:f>IF(Технологии!BF46="ИЗУЧЕНО",$E218,0)</x:f>
        <x:v>0</x:v>
      </x:c>
    </x:row>
    <x:row r="219">
      <x:c r="A219" s="19" t="s">
        <x:v>217</x:v>
      </x:c>
      <x:c r="B219" s="18" t="s">
        <x:v>218</x:v>
      </x:c>
      <x:c r="C219" s="18" t="s">
        <x:v>382</x:v>
      </x:c>
      <x:c r="D219" s="18" t="s">
        <x:v>405</x:v>
      </x:c>
      <x:c r="E219" s="20">
        <x:v>0.1</x:v>
      </x:c>
      <x:c r="F219" s="18" t="str">
        <x:f>IF(Технологии!BH46="","",Технологии!BH46)</x:f>
      </x:c>
      <x:c r="G219" s="18" t="s">
        <x:v>511</x:v>
      </x:c>
      <x:c r="J219" s="21" t="n">
        <x:f>0</x:f>
        <x:v>0</x:v>
      </x:c>
      <x:c r="K219" s="21" t="n">
        <x:f>IF(Технологии!AR46="ИЗУЧЕНО",$E219,0)</x:f>
        <x:v>0</x:v>
      </x:c>
      <x:c r="L219" s="21" t="n">
        <x:f>IF(Технологии!AS46="ИЗУЧЕНО",$E219,0)</x:f>
        <x:v>0</x:v>
      </x:c>
      <x:c r="M219" s="21" t="n">
        <x:f>IF(Технологии!AT46="ИЗУЧЕНО",$E219,0)</x:f>
        <x:v>0</x:v>
      </x:c>
      <x:c r="N219" s="21" t="n">
        <x:f>IF(Технологии!AU46="ИЗУЧЕНО",$E219,0)</x:f>
        <x:v>0</x:v>
      </x:c>
      <x:c r="O219" s="21" t="n">
        <x:f>IF(Технологии!AV46="ИЗУЧЕНО",$E219,0)</x:f>
        <x:v>0</x:v>
      </x:c>
      <x:c r="P219" s="21" t="n">
        <x:f>IF(Технологии!AW46="ИЗУЧЕНО",$E219,0)</x:f>
        <x:v>0</x:v>
      </x:c>
      <x:c r="Q219" s="21" t="n">
        <x:f>IF(Технологии!AX46="ИЗУЧЕНО",$E219,0)</x:f>
        <x:v>0</x:v>
      </x:c>
      <x:c r="R219" s="21" t="n">
        <x:f>IF(Технологии!AY46="ИЗУЧЕНО",$E219,0)</x:f>
        <x:v>0</x:v>
      </x:c>
      <x:c r="S219" s="21" t="n">
        <x:f>IF(Технологии!AZ46="ИЗУЧЕНО",$E219,0)</x:f>
        <x:v>0</x:v>
      </x:c>
      <x:c r="T219" s="21" t="n">
        <x:f>IF(Технологии!BA46="ИЗУЧЕНО",$E219,0)</x:f>
        <x:v>0</x:v>
      </x:c>
      <x:c r="U219" s="21" t="n">
        <x:f>IF(Технологии!BB46="ИЗУЧЕНО",$E219,0)</x:f>
        <x:v>0</x:v>
      </x:c>
      <x:c r="V219" s="21" t="n">
        <x:f>IF(Технологии!BC46="ИЗУЧЕНО",$E219,0)</x:f>
        <x:v>0</x:v>
      </x:c>
      <x:c r="W219" s="21" t="n">
        <x:f>IF(Технологии!BD46="ИЗУЧЕНО",$E219,0)</x:f>
        <x:v>0</x:v>
      </x:c>
      <x:c r="X219" s="21" t="n">
        <x:f>IF(Технологии!BE46="ИЗУЧЕНО",$E219,0)</x:f>
        <x:v>0</x:v>
      </x:c>
      <x:c r="Y219" s="21" t="n">
        <x:f>IF(Технологии!BF46="ИЗУЧЕНО",$E219,0)</x:f>
        <x:v>0</x:v>
      </x:c>
    </x:row>
    <x:row r="220">
      <x:c r="A220" s="19" t="s">
        <x:v>217</x:v>
      </x:c>
      <x:c r="B220" s="18" t="s">
        <x:v>218</x:v>
      </x:c>
      <x:c r="C220" s="18" t="s">
        <x:v>303</x:v>
      </x:c>
      <x:c r="D220" s="18" t="s">
        <x:v>387</x:v>
      </x:c>
      <x:c r="E220" s="20">
        <x:v>-0.35</x:v>
      </x:c>
      <x:c r="F220" s="18" t="str">
        <x:f>IF(Технологии!BH46="","",Технологии!BH46)</x:f>
      </x:c>
      <x:c r="G220" s="18" t="s">
        <x:v>520</x:v>
      </x:c>
      <x:c r="J220" s="21" t="n">
        <x:f>0</x:f>
        <x:v>0</x:v>
      </x:c>
      <x:c r="K220" s="21" t="n">
        <x:f>IF(Технологии!AR46="ИЗУЧЕНО",$E220,0)</x:f>
        <x:v>0</x:v>
      </x:c>
      <x:c r="L220" s="21" t="n">
        <x:f>IF(Технологии!AS46="ИЗУЧЕНО",$E220,0)</x:f>
        <x:v>0</x:v>
      </x:c>
      <x:c r="M220" s="21" t="n">
        <x:f>IF(Технологии!AT46="ИЗУЧЕНО",$E220,0)</x:f>
        <x:v>0</x:v>
      </x:c>
      <x:c r="N220" s="21" t="n">
        <x:f>IF(Технологии!AU46="ИЗУЧЕНО",$E220,0)</x:f>
        <x:v>0</x:v>
      </x:c>
      <x:c r="O220" s="21" t="n">
        <x:f>IF(Технологии!AV46="ИЗУЧЕНО",$E220,0)</x:f>
        <x:v>0</x:v>
      </x:c>
      <x:c r="P220" s="21" t="n">
        <x:f>IF(Технологии!AW46="ИЗУЧЕНО",$E220,0)</x:f>
        <x:v>0</x:v>
      </x:c>
      <x:c r="Q220" s="21" t="n">
        <x:f>IF(Технологии!AX46="ИЗУЧЕНО",$E220,0)</x:f>
        <x:v>0</x:v>
      </x:c>
      <x:c r="R220" s="21" t="n">
        <x:f>IF(Технологии!AY46="ИЗУЧЕНО",$E220,0)</x:f>
        <x:v>0</x:v>
      </x:c>
      <x:c r="S220" s="21" t="n">
        <x:f>IF(Технологии!AZ46="ИЗУЧЕНО",$E220,0)</x:f>
        <x:v>0</x:v>
      </x:c>
      <x:c r="T220" s="21" t="n">
        <x:f>IF(Технологии!BA46="ИЗУЧЕНО",$E220,0)</x:f>
        <x:v>0</x:v>
      </x:c>
      <x:c r="U220" s="21" t="n">
        <x:f>IF(Технологии!BB46="ИЗУЧЕНО",$E220,0)</x:f>
        <x:v>0</x:v>
      </x:c>
      <x:c r="V220" s="21" t="n">
        <x:f>IF(Технологии!BC46="ИЗУЧЕНО",$E220,0)</x:f>
        <x:v>0</x:v>
      </x:c>
      <x:c r="W220" s="21" t="n">
        <x:f>IF(Технологии!BD46="ИЗУЧЕНО",$E220,0)</x:f>
        <x:v>0</x:v>
      </x:c>
      <x:c r="X220" s="21" t="n">
        <x:f>IF(Технологии!BE46="ИЗУЧЕНО",$E220,0)</x:f>
        <x:v>0</x:v>
      </x:c>
      <x:c r="Y220" s="21" t="n">
        <x:f>IF(Технологии!BF46="ИЗУЧЕНО",$E220,0)</x:f>
        <x:v>0</x:v>
      </x:c>
    </x:row>
    <x:row r="221">
      <x:c r="A221" s="19" t="s">
        <x:v>217</x:v>
      </x:c>
      <x:c r="B221" s="18" t="s">
        <x:v>218</x:v>
      </x:c>
      <x:c r="C221" s="18" t="s">
        <x:v>260</x:v>
      </x:c>
      <x:c r="D221" s="18" t="s">
        <x:v>387</x:v>
      </x:c>
      <x:c r="E221" s="20">
        <x:v>-0.2</x:v>
      </x:c>
      <x:c r="F221" s="18" t="str">
        <x:f>IF(Технологии!BH46="","",Технологии!BH46)</x:f>
      </x:c>
      <x:c r="G221" s="18" t="s">
        <x:v>454</x:v>
      </x:c>
      <x:c r="J221" s="21" t="n">
        <x:f>0</x:f>
        <x:v>0</x:v>
      </x:c>
      <x:c r="K221" s="21" t="n">
        <x:f>IF(Технологии!AR46="ИЗУЧЕНО",$E221,0)</x:f>
        <x:v>0</x:v>
      </x:c>
      <x:c r="L221" s="21" t="n">
        <x:f>IF(Технологии!AS46="ИЗУЧЕНО",$E221,0)</x:f>
        <x:v>0</x:v>
      </x:c>
      <x:c r="M221" s="21" t="n">
        <x:f>IF(Технологии!AT46="ИЗУЧЕНО",$E221,0)</x:f>
        <x:v>0</x:v>
      </x:c>
      <x:c r="N221" s="21" t="n">
        <x:f>IF(Технологии!AU46="ИЗУЧЕНО",$E221,0)</x:f>
        <x:v>0</x:v>
      </x:c>
      <x:c r="O221" s="21" t="n">
        <x:f>IF(Технологии!AV46="ИЗУЧЕНО",$E221,0)</x:f>
        <x:v>0</x:v>
      </x:c>
      <x:c r="P221" s="21" t="n">
        <x:f>IF(Технологии!AW46="ИЗУЧЕНО",$E221,0)</x:f>
        <x:v>0</x:v>
      </x:c>
      <x:c r="Q221" s="21" t="n">
        <x:f>IF(Технологии!AX46="ИЗУЧЕНО",$E221,0)</x:f>
        <x:v>0</x:v>
      </x:c>
      <x:c r="R221" s="21" t="n">
        <x:f>IF(Технологии!AY46="ИЗУЧЕНО",$E221,0)</x:f>
        <x:v>0</x:v>
      </x:c>
      <x:c r="S221" s="21" t="n">
        <x:f>IF(Технологии!AZ46="ИЗУЧЕНО",$E221,0)</x:f>
        <x:v>0</x:v>
      </x:c>
      <x:c r="T221" s="21" t="n">
        <x:f>IF(Технологии!BA46="ИЗУЧЕНО",$E221,0)</x:f>
        <x:v>0</x:v>
      </x:c>
      <x:c r="U221" s="21" t="n">
        <x:f>IF(Технологии!BB46="ИЗУЧЕНО",$E221,0)</x:f>
        <x:v>0</x:v>
      </x:c>
      <x:c r="V221" s="21" t="n">
        <x:f>IF(Технологии!BC46="ИЗУЧЕНО",$E221,0)</x:f>
        <x:v>0</x:v>
      </x:c>
      <x:c r="W221" s="21" t="n">
        <x:f>IF(Технологии!BD46="ИЗУЧЕНО",$E221,0)</x:f>
        <x:v>0</x:v>
      </x:c>
      <x:c r="X221" s="21" t="n">
        <x:f>IF(Технологии!BE46="ИЗУЧЕНО",$E221,0)</x:f>
        <x:v>0</x:v>
      </x:c>
      <x:c r="Y221" s="21" t="n">
        <x:f>IF(Технологии!BF46="ИЗУЧЕНО",$E221,0)</x:f>
        <x:v>0</x:v>
      </x:c>
    </x:row>
    <x:row r="222">
      <x:c r="A222" s="19" t="s">
        <x:v>217</x:v>
      </x:c>
      <x:c r="B222" s="18" t="s">
        <x:v>218</x:v>
      </x:c>
      <x:c r="C222" s="18" t="s">
        <x:v>272</x:v>
      </x:c>
      <x:c r="D222" s="18" t="s">
        <x:v>387</x:v>
      </x:c>
      <x:c r="E222" s="20">
        <x:v>-0.2</x:v>
      </x:c>
      <x:c r="F222" s="18" t="str">
        <x:f>IF(Технологии!BH46="","",Технологии!BH46)</x:f>
      </x:c>
      <x:c r="G222" s="18" t="s">
        <x:v>521</x:v>
      </x:c>
      <x:c r="J222" s="21" t="n">
        <x:f>0</x:f>
        <x:v>0</x:v>
      </x:c>
      <x:c r="K222" s="21" t="n">
        <x:f>IF(Технологии!AR46="ИЗУЧЕНО",$E222,0)</x:f>
        <x:v>0</x:v>
      </x:c>
      <x:c r="L222" s="21" t="n">
        <x:f>IF(Технологии!AS46="ИЗУЧЕНО",$E222,0)</x:f>
        <x:v>0</x:v>
      </x:c>
      <x:c r="M222" s="21" t="n">
        <x:f>IF(Технологии!AT46="ИЗУЧЕНО",$E222,0)</x:f>
        <x:v>0</x:v>
      </x:c>
      <x:c r="N222" s="21" t="n">
        <x:f>IF(Технологии!AU46="ИЗУЧЕНО",$E222,0)</x:f>
        <x:v>0</x:v>
      </x:c>
      <x:c r="O222" s="21" t="n">
        <x:f>IF(Технологии!AV46="ИЗУЧЕНО",$E222,0)</x:f>
        <x:v>0</x:v>
      </x:c>
      <x:c r="P222" s="21" t="n">
        <x:f>IF(Технологии!AW46="ИЗУЧЕНО",$E222,0)</x:f>
        <x:v>0</x:v>
      </x:c>
      <x:c r="Q222" s="21" t="n">
        <x:f>IF(Технологии!AX46="ИЗУЧЕНО",$E222,0)</x:f>
        <x:v>0</x:v>
      </x:c>
      <x:c r="R222" s="21" t="n">
        <x:f>IF(Технологии!AY46="ИЗУЧЕНО",$E222,0)</x:f>
        <x:v>0</x:v>
      </x:c>
      <x:c r="S222" s="21" t="n">
        <x:f>IF(Технологии!AZ46="ИЗУЧЕНО",$E222,0)</x:f>
        <x:v>0</x:v>
      </x:c>
      <x:c r="T222" s="21" t="n">
        <x:f>IF(Технологии!BA46="ИЗУЧЕНО",$E222,0)</x:f>
        <x:v>0</x:v>
      </x:c>
      <x:c r="U222" s="21" t="n">
        <x:f>IF(Технологии!BB46="ИЗУЧЕНО",$E222,0)</x:f>
        <x:v>0</x:v>
      </x:c>
      <x:c r="V222" s="21" t="n">
        <x:f>IF(Технологии!BC46="ИЗУЧЕНО",$E222,0)</x:f>
        <x:v>0</x:v>
      </x:c>
      <x:c r="W222" s="21" t="n">
        <x:f>IF(Технологии!BD46="ИЗУЧЕНО",$E222,0)</x:f>
        <x:v>0</x:v>
      </x:c>
      <x:c r="X222" s="21" t="n">
        <x:f>IF(Технологии!BE46="ИЗУЧЕНО",$E222,0)</x:f>
        <x:v>0</x:v>
      </x:c>
      <x:c r="Y222" s="21" t="n">
        <x:f>IF(Технологии!BF46="ИЗУЧЕНО",$E222,0)</x:f>
        <x:v>0</x:v>
      </x:c>
    </x:row>
    <x:row r="223">
      <x:c r="A223" s="19" t="s">
        <x:v>217</x:v>
      </x:c>
      <x:c r="B223" s="18" t="s">
        <x:v>218</x:v>
      </x:c>
      <x:c r="C223" s="18" t="s">
        <x:v>302</x:v>
      </x:c>
      <x:c r="D223" s="18" t="s">
        <x:v>387</x:v>
      </x:c>
      <x:c r="E223" s="20">
        <x:v>-0.15</x:v>
      </x:c>
      <x:c r="F223" s="18" t="str">
        <x:f>IF(Технологии!BH46="","",Технологии!BH46)</x:f>
      </x:c>
      <x:c r="G223" s="18" t="s">
        <x:v>485</x:v>
      </x:c>
      <x:c r="J223" s="21" t="n">
        <x:f>0</x:f>
        <x:v>0</x:v>
      </x:c>
      <x:c r="K223" s="21" t="n">
        <x:f>IF(Технологии!AR46="ИЗУЧЕНО",$E223,0)</x:f>
        <x:v>0</x:v>
      </x:c>
      <x:c r="L223" s="21" t="n">
        <x:f>IF(Технологии!AS46="ИЗУЧЕНО",$E223,0)</x:f>
        <x:v>0</x:v>
      </x:c>
      <x:c r="M223" s="21" t="n">
        <x:f>IF(Технологии!AT46="ИЗУЧЕНО",$E223,0)</x:f>
        <x:v>0</x:v>
      </x:c>
      <x:c r="N223" s="21" t="n">
        <x:f>IF(Технологии!AU46="ИЗУЧЕНО",$E223,0)</x:f>
        <x:v>0</x:v>
      </x:c>
      <x:c r="O223" s="21" t="n">
        <x:f>IF(Технологии!AV46="ИЗУЧЕНО",$E223,0)</x:f>
        <x:v>0</x:v>
      </x:c>
      <x:c r="P223" s="21" t="n">
        <x:f>IF(Технологии!AW46="ИЗУЧЕНО",$E223,0)</x:f>
        <x:v>0</x:v>
      </x:c>
      <x:c r="Q223" s="21" t="n">
        <x:f>IF(Технологии!AX46="ИЗУЧЕНО",$E223,0)</x:f>
        <x:v>0</x:v>
      </x:c>
      <x:c r="R223" s="21" t="n">
        <x:f>IF(Технологии!AY46="ИЗУЧЕНО",$E223,0)</x:f>
        <x:v>0</x:v>
      </x:c>
      <x:c r="S223" s="21" t="n">
        <x:f>IF(Технологии!AZ46="ИЗУЧЕНО",$E223,0)</x:f>
        <x:v>0</x:v>
      </x:c>
      <x:c r="T223" s="21" t="n">
        <x:f>IF(Технологии!BA46="ИЗУЧЕНО",$E223,0)</x:f>
        <x:v>0</x:v>
      </x:c>
      <x:c r="U223" s="21" t="n">
        <x:f>IF(Технологии!BB46="ИЗУЧЕНО",$E223,0)</x:f>
        <x:v>0</x:v>
      </x:c>
      <x:c r="V223" s="21" t="n">
        <x:f>IF(Технологии!BC46="ИЗУЧЕНО",$E223,0)</x:f>
        <x:v>0</x:v>
      </x:c>
      <x:c r="W223" s="21" t="n">
        <x:f>IF(Технологии!BD46="ИЗУЧЕНО",$E223,0)</x:f>
        <x:v>0</x:v>
      </x:c>
      <x:c r="X223" s="21" t="n">
        <x:f>IF(Технологии!BE46="ИЗУЧЕНО",$E223,0)</x:f>
        <x:v>0</x:v>
      </x:c>
      <x:c r="Y223" s="21" t="n">
        <x:f>IF(Технологии!BF46="ИЗУЧЕНО",$E223,0)</x:f>
        <x:v>0</x:v>
      </x:c>
    </x:row>
    <x:row r="224">
      <x:c r="A224" s="19" t="s">
        <x:v>221</x:v>
      </x:c>
      <x:c r="B224" s="18" t="s">
        <x:v>223</x:v>
      </x:c>
      <x:c r="C224" s="18" t="s">
        <x:v>371</x:v>
      </x:c>
      <x:c r="D224" s="18" t="s">
        <x:v>405</x:v>
      </x:c>
      <x:c r="E224" s="20">
        <x:v>0.15</x:v>
      </x:c>
      <x:c r="F224" s="18" t="str">
        <x:f>IF(Технологии!BH47="","",Технологии!BH47)</x:f>
      </x:c>
      <x:c r="G224" s="18" t="s">
        <x:v>522</x:v>
      </x:c>
      <x:c r="J224" s="21" t="n">
        <x:f>0</x:f>
        <x:v>0</x:v>
      </x:c>
      <x:c r="K224" s="21" t="n">
        <x:f>IF(Технологии!AR47="ИЗУЧЕНО",$E224,0)</x:f>
        <x:v>0</x:v>
      </x:c>
      <x:c r="L224" s="21" t="n">
        <x:f>IF(Технологии!AS47="ИЗУЧЕНО",$E224,0)</x:f>
        <x:v>0</x:v>
      </x:c>
      <x:c r="M224" s="21" t="n">
        <x:f>IF(Технологии!AT47="ИЗУЧЕНО",$E224,0)</x:f>
        <x:v>0</x:v>
      </x:c>
      <x:c r="N224" s="21" t="n">
        <x:f>IF(Технологии!AU47="ИЗУЧЕНО",$E224,0)</x:f>
        <x:v>0</x:v>
      </x:c>
      <x:c r="O224" s="21" t="n">
        <x:f>IF(Технологии!AV47="ИЗУЧЕНО",$E224,0)</x:f>
        <x:v>0</x:v>
      </x:c>
      <x:c r="P224" s="21" t="n">
        <x:f>IF(Технологии!AW47="ИЗУЧЕНО",$E224,0)</x:f>
        <x:v>0</x:v>
      </x:c>
      <x:c r="Q224" s="21" t="n">
        <x:f>IF(Технологии!AX47="ИЗУЧЕНО",$E224,0)</x:f>
        <x:v>0</x:v>
      </x:c>
      <x:c r="R224" s="21" t="n">
        <x:f>IF(Технологии!AY47="ИЗУЧЕНО",$E224,0)</x:f>
        <x:v>0</x:v>
      </x:c>
      <x:c r="S224" s="21" t="n">
        <x:f>IF(Технологии!AZ47="ИЗУЧЕНО",$E224,0)</x:f>
        <x:v>0</x:v>
      </x:c>
      <x:c r="T224" s="21" t="n">
        <x:f>IF(Технологии!BA47="ИЗУЧЕНО",$E224,0)</x:f>
        <x:v>0</x:v>
      </x:c>
      <x:c r="U224" s="21" t="n">
        <x:f>IF(Технологии!BB47="ИЗУЧЕНО",$E224,0)</x:f>
        <x:v>0</x:v>
      </x:c>
      <x:c r="V224" s="21" t="n">
        <x:f>IF(Технологии!BC47="ИЗУЧЕНО",$E224,0)</x:f>
        <x:v>0</x:v>
      </x:c>
      <x:c r="W224" s="21" t="n">
        <x:f>IF(Технологии!BD47="ИЗУЧЕНО",$E224,0)</x:f>
        <x:v>0</x:v>
      </x:c>
      <x:c r="X224" s="21" t="n">
        <x:f>IF(Технологии!BE47="ИЗУЧЕНО",$E224,0)</x:f>
        <x:v>0</x:v>
      </x:c>
      <x:c r="Y224" s="21" t="n">
        <x:f>IF(Технологии!BF47="ИЗУЧЕНО",$E224,0)</x:f>
        <x:v>0</x:v>
      </x:c>
    </x:row>
    <x:row r="225">
      <x:c r="A225" s="19" t="s">
        <x:v>226</x:v>
      </x:c>
      <x:c r="B225" s="18" t="s">
        <x:v>227</x:v>
      </x:c>
      <x:c r="C225" s="18" t="s">
        <x:v>281</x:v>
      </x:c>
      <x:c r="D225" s="18" t="s">
        <x:v>414</x:v>
      </x:c>
      <x:c r="E225" s="20">
        <x:v>0.1</x:v>
      </x:c>
      <x:c r="F225" s="18" t="str">
        <x:f>IF(Технологии!BH48="","",Технологии!BH48)</x:f>
      </x:c>
      <x:c r="G225" s="18" t="s">
        <x:v>523</x:v>
      </x:c>
      <x:c r="J225" s="21" t="n">
        <x:f>0</x:f>
        <x:v>0</x:v>
      </x:c>
      <x:c r="K225" s="21" t="n">
        <x:f>IF(Технологии!AR48="ИЗУЧЕНО",$E225,0)</x:f>
        <x:v>0</x:v>
      </x:c>
      <x:c r="L225" s="21" t="n">
        <x:f>IF(Технологии!AS48="ИЗУЧЕНО",$E225,0)</x:f>
        <x:v>0</x:v>
      </x:c>
      <x:c r="M225" s="21" t="n">
        <x:f>IF(Технологии!AT48="ИЗУЧЕНО",$E225,0)</x:f>
        <x:v>0</x:v>
      </x:c>
      <x:c r="N225" s="21" t="n">
        <x:f>IF(Технологии!AU48="ИЗУЧЕНО",$E225,0)</x:f>
        <x:v>0</x:v>
      </x:c>
      <x:c r="O225" s="21" t="n">
        <x:f>IF(Технологии!AV48="ИЗУЧЕНО",$E225,0)</x:f>
        <x:v>0</x:v>
      </x:c>
      <x:c r="P225" s="21" t="n">
        <x:f>IF(Технологии!AW48="ИЗУЧЕНО",$E225,0)</x:f>
        <x:v>0</x:v>
      </x:c>
      <x:c r="Q225" s="21" t="n">
        <x:f>IF(Технологии!AX48="ИЗУЧЕНО",$E225,0)</x:f>
        <x:v>0</x:v>
      </x:c>
      <x:c r="R225" s="21" t="n">
        <x:f>IF(Технологии!AY48="ИЗУЧЕНО",$E225,0)</x:f>
        <x:v>0</x:v>
      </x:c>
      <x:c r="S225" s="21" t="n">
        <x:f>IF(Технологии!AZ48="ИЗУЧЕНО",$E225,0)</x:f>
        <x:v>0</x:v>
      </x:c>
      <x:c r="T225" s="21" t="n">
        <x:f>IF(Технологии!BA48="ИЗУЧЕНО",$E225,0)</x:f>
        <x:v>0</x:v>
      </x:c>
      <x:c r="U225" s="21" t="n">
        <x:f>IF(Технологии!BB48="ИЗУЧЕНО",$E225,0)</x:f>
        <x:v>0</x:v>
      </x:c>
      <x:c r="V225" s="21" t="n">
        <x:f>IF(Технологии!BC48="ИЗУЧЕНО",$E225,0)</x:f>
        <x:v>0</x:v>
      </x:c>
      <x:c r="W225" s="21" t="n">
        <x:f>IF(Технологии!BD48="ИЗУЧЕНО",$E225,0)</x:f>
        <x:v>0</x:v>
      </x:c>
      <x:c r="X225" s="21" t="n">
        <x:f>IF(Технологии!BE48="ИЗУЧЕНО",$E225,0)</x:f>
        <x:v>0</x:v>
      </x:c>
      <x:c r="Y225" s="21" t="n">
        <x:f>IF(Технологии!BF48="ИЗУЧЕНО",$E225,0)</x:f>
        <x:v>0</x:v>
      </x:c>
    </x:row>
    <x:row r="226">
      <x:c r="A226" s="19" t="s">
        <x:v>226</x:v>
      </x:c>
      <x:c r="B226" s="18" t="s">
        <x:v>227</x:v>
      </x:c>
      <x:c r="C226" s="18" t="s">
        <x:v>374</x:v>
      </x:c>
      <x:c r="D226" s="18" t="s">
        <x:v>405</x:v>
      </x:c>
      <x:c r="E226" s="20">
        <x:v>0.1</x:v>
      </x:c>
      <x:c r="F226" s="18" t="str">
        <x:f>IF(Технологии!BH48="","",Технологии!BH48)</x:f>
      </x:c>
      <x:c r="G226" s="18" t="s">
        <x:v>524</x:v>
      </x:c>
      <x:c r="J226" s="21" t="n">
        <x:f>0</x:f>
        <x:v>0</x:v>
      </x:c>
      <x:c r="K226" s="21" t="n">
        <x:f>IF(Технологии!AR48="ИЗУЧЕНО",$E226,0)</x:f>
        <x:v>0</x:v>
      </x:c>
      <x:c r="L226" s="21" t="n">
        <x:f>IF(Технологии!AS48="ИЗУЧЕНО",$E226,0)</x:f>
        <x:v>0</x:v>
      </x:c>
      <x:c r="M226" s="21" t="n">
        <x:f>IF(Технологии!AT48="ИЗУЧЕНО",$E226,0)</x:f>
        <x:v>0</x:v>
      </x:c>
      <x:c r="N226" s="21" t="n">
        <x:f>IF(Технологии!AU48="ИЗУЧЕНО",$E226,0)</x:f>
        <x:v>0</x:v>
      </x:c>
      <x:c r="O226" s="21" t="n">
        <x:f>IF(Технологии!AV48="ИЗУЧЕНО",$E226,0)</x:f>
        <x:v>0</x:v>
      </x:c>
      <x:c r="P226" s="21" t="n">
        <x:f>IF(Технологии!AW48="ИЗУЧЕНО",$E226,0)</x:f>
        <x:v>0</x:v>
      </x:c>
      <x:c r="Q226" s="21" t="n">
        <x:f>IF(Технологии!AX48="ИЗУЧЕНО",$E226,0)</x:f>
        <x:v>0</x:v>
      </x:c>
      <x:c r="R226" s="21" t="n">
        <x:f>IF(Технологии!AY48="ИЗУЧЕНО",$E226,0)</x:f>
        <x:v>0</x:v>
      </x:c>
      <x:c r="S226" s="21" t="n">
        <x:f>IF(Технологии!AZ48="ИЗУЧЕНО",$E226,0)</x:f>
        <x:v>0</x:v>
      </x:c>
      <x:c r="T226" s="21" t="n">
        <x:f>IF(Технологии!BA48="ИЗУЧЕНО",$E226,0)</x:f>
        <x:v>0</x:v>
      </x:c>
      <x:c r="U226" s="21" t="n">
        <x:f>IF(Технологии!BB48="ИЗУЧЕНО",$E226,0)</x:f>
        <x:v>0</x:v>
      </x:c>
      <x:c r="V226" s="21" t="n">
        <x:f>IF(Технологии!BC48="ИЗУЧЕНО",$E226,0)</x:f>
        <x:v>0</x:v>
      </x:c>
      <x:c r="W226" s="21" t="n">
        <x:f>IF(Технологии!BD48="ИЗУЧЕНО",$E226,0)</x:f>
        <x:v>0</x:v>
      </x:c>
      <x:c r="X226" s="21" t="n">
        <x:f>IF(Технологии!BE48="ИЗУЧЕНО",$E226,0)</x:f>
        <x:v>0</x:v>
      </x:c>
      <x:c r="Y226" s="21" t="n">
        <x:f>IF(Технологии!BF48="ИЗУЧЕНО",$E226,0)</x:f>
        <x:v>0</x:v>
      </x:c>
    </x:row>
    <x:row r="227">
      <x:c r="A227" s="19" t="s">
        <x:v>226</x:v>
      </x:c>
      <x:c r="B227" s="18" t="s">
        <x:v>227</x:v>
      </x:c>
      <x:c r="C227" s="18" t="s">
        <x:v>260</x:v>
      </x:c>
      <x:c r="D227" s="18" t="s">
        <x:v>387</x:v>
      </x:c>
      <x:c r="E227" s="20">
        <x:v>-0.2</x:v>
      </x:c>
      <x:c r="F227" s="18" t="str">
        <x:f>IF(Технологии!BH48="","",Технологии!BH48)</x:f>
      </x:c>
      <x:c r="G227" s="18" t="s">
        <x:v>454</x:v>
      </x:c>
      <x:c r="J227" s="21" t="n">
        <x:f>0</x:f>
        <x:v>0</x:v>
      </x:c>
      <x:c r="K227" s="21" t="n">
        <x:f>IF(Технологии!AR48="ИЗУЧЕНО",$E227,0)</x:f>
        <x:v>0</x:v>
      </x:c>
      <x:c r="L227" s="21" t="n">
        <x:f>IF(Технологии!AS48="ИЗУЧЕНО",$E227,0)</x:f>
        <x:v>0</x:v>
      </x:c>
      <x:c r="M227" s="21" t="n">
        <x:f>IF(Технологии!AT48="ИЗУЧЕНО",$E227,0)</x:f>
        <x:v>0</x:v>
      </x:c>
      <x:c r="N227" s="21" t="n">
        <x:f>IF(Технологии!AU48="ИЗУЧЕНО",$E227,0)</x:f>
        <x:v>0</x:v>
      </x:c>
      <x:c r="O227" s="21" t="n">
        <x:f>IF(Технологии!AV48="ИЗУЧЕНО",$E227,0)</x:f>
        <x:v>0</x:v>
      </x:c>
      <x:c r="P227" s="21" t="n">
        <x:f>IF(Технологии!AW48="ИЗУЧЕНО",$E227,0)</x:f>
        <x:v>0</x:v>
      </x:c>
      <x:c r="Q227" s="21" t="n">
        <x:f>IF(Технологии!AX48="ИЗУЧЕНО",$E227,0)</x:f>
        <x:v>0</x:v>
      </x:c>
      <x:c r="R227" s="21" t="n">
        <x:f>IF(Технологии!AY48="ИЗУЧЕНО",$E227,0)</x:f>
        <x:v>0</x:v>
      </x:c>
      <x:c r="S227" s="21" t="n">
        <x:f>IF(Технологии!AZ48="ИЗУЧЕНО",$E227,0)</x:f>
        <x:v>0</x:v>
      </x:c>
      <x:c r="T227" s="21" t="n">
        <x:f>IF(Технологии!BA48="ИЗУЧЕНО",$E227,0)</x:f>
        <x:v>0</x:v>
      </x:c>
      <x:c r="U227" s="21" t="n">
        <x:f>IF(Технологии!BB48="ИЗУЧЕНО",$E227,0)</x:f>
        <x:v>0</x:v>
      </x:c>
      <x:c r="V227" s="21" t="n">
        <x:f>IF(Технологии!BC48="ИЗУЧЕНО",$E227,0)</x:f>
        <x:v>0</x:v>
      </x:c>
      <x:c r="W227" s="21" t="n">
        <x:f>IF(Технологии!BD48="ИЗУЧЕНО",$E227,0)</x:f>
        <x:v>0</x:v>
      </x:c>
      <x:c r="X227" s="21" t="n">
        <x:f>IF(Технологии!BE48="ИЗУЧЕНО",$E227,0)</x:f>
        <x:v>0</x:v>
      </x:c>
      <x:c r="Y227" s="21" t="n">
        <x:f>IF(Технологии!BF48="ИЗУЧЕНО",$E227,0)</x:f>
        <x:v>0</x:v>
      </x:c>
    </x:row>
    <x:row r="228">
      <x:c r="A228" s="19" t="s">
        <x:v>230</x:v>
      </x:c>
      <x:c r="B228" s="18" t="s">
        <x:v>231</x:v>
      </x:c>
      <x:c r="C228" s="18" t="s">
        <x:v>279</x:v>
      </x:c>
      <x:c r="D228" s="18" t="s">
        <x:v>387</x:v>
      </x:c>
      <x:c r="E228" s="20">
        <x:v>0.5</x:v>
      </x:c>
      <x:c r="F228" s="18" t="str">
        <x:f>IF(Технологии!BH49="","",Технологии!BH49)</x:f>
      </x:c>
      <x:c r="G228" s="18" t="s">
        <x:v>525</x:v>
      </x:c>
      <x:c r="J228" s="21" t="n">
        <x:f>0</x:f>
        <x:v>0</x:v>
      </x:c>
      <x:c r="K228" s="21" t="n">
        <x:f>IF(Технологии!AR49="ИЗУЧЕНО",$E228,0)</x:f>
        <x:v>0</x:v>
      </x:c>
      <x:c r="L228" s="21" t="n">
        <x:f>IF(Технологии!AS49="ИЗУЧЕНО",$E228,0)</x:f>
        <x:v>0</x:v>
      </x:c>
      <x:c r="M228" s="21" t="n">
        <x:f>IF(Технологии!AT49="ИЗУЧЕНО",$E228,0)</x:f>
        <x:v>0</x:v>
      </x:c>
      <x:c r="N228" s="21" t="n">
        <x:f>IF(Технологии!AU49="ИЗУЧЕНО",$E228,0)</x:f>
        <x:v>0</x:v>
      </x:c>
      <x:c r="O228" s="21" t="n">
        <x:f>IF(Технологии!AV49="ИЗУЧЕНО",$E228,0)</x:f>
        <x:v>0</x:v>
      </x:c>
      <x:c r="P228" s="21" t="n">
        <x:f>IF(Технологии!AW49="ИЗУЧЕНО",$E228,0)</x:f>
        <x:v>0</x:v>
      </x:c>
      <x:c r="Q228" s="21" t="n">
        <x:f>IF(Технологии!AX49="ИЗУЧЕНО",$E228,0)</x:f>
        <x:v>0</x:v>
      </x:c>
      <x:c r="R228" s="21" t="n">
        <x:f>IF(Технологии!AY49="ИЗУЧЕНО",$E228,0)</x:f>
        <x:v>0</x:v>
      </x:c>
      <x:c r="S228" s="21" t="n">
        <x:f>IF(Технологии!AZ49="ИЗУЧЕНО",$E228,0)</x:f>
        <x:v>0</x:v>
      </x:c>
      <x:c r="T228" s="21" t="n">
        <x:f>IF(Технологии!BA49="ИЗУЧЕНО",$E228,0)</x:f>
        <x:v>0</x:v>
      </x:c>
      <x:c r="U228" s="21" t="n">
        <x:f>IF(Технологии!BB49="ИЗУЧЕНО",$E228,0)</x:f>
        <x:v>0</x:v>
      </x:c>
      <x:c r="V228" s="21" t="n">
        <x:f>IF(Технологии!BC49="ИЗУЧЕНО",$E228,0)</x:f>
        <x:v>0</x:v>
      </x:c>
      <x:c r="W228" s="21" t="n">
        <x:f>IF(Технологии!BD49="ИЗУЧЕНО",$E228,0)</x:f>
        <x:v>0</x:v>
      </x:c>
      <x:c r="X228" s="21" t="n">
        <x:f>IF(Технологии!BE49="ИЗУЧЕНО",$E228,0)</x:f>
        <x:v>0</x:v>
      </x:c>
      <x:c r="Y228" s="21" t="n">
        <x:f>IF(Технологии!BF49="ИЗУЧЕНО",$E228,0)</x:f>
        <x:v>0</x:v>
      </x:c>
    </x:row>
    <x:row r="229">
      <x:c r="A229" s="19" t="s">
        <x:v>230</x:v>
      </x:c>
      <x:c r="B229" s="18" t="s">
        <x:v>231</x:v>
      </x:c>
      <x:c r="C229" s="18" t="s">
        <x:v>279</x:v>
      </x:c>
      <x:c r="D229" s="18" t="s">
        <x:v>414</x:v>
      </x:c>
      <x:c r="E229" s="20">
        <x:v>0.12</x:v>
      </x:c>
      <x:c r="F229" s="18" t="str">
        <x:f>IF(Технологии!BH49="","",Технологии!BH49)</x:f>
      </x:c>
      <x:c r="G229" s="18" t="s">
        <x:v>525</x:v>
      </x:c>
      <x:c r="J229" s="21" t="n">
        <x:f>0</x:f>
        <x:v>0</x:v>
      </x:c>
      <x:c r="K229" s="21" t="n">
        <x:f>IF(Технологии!AR49="ИЗУЧЕНО",$E229,0)</x:f>
        <x:v>0</x:v>
      </x:c>
      <x:c r="L229" s="21" t="n">
        <x:f>IF(Технологии!AS49="ИЗУЧЕНО",$E229,0)</x:f>
        <x:v>0</x:v>
      </x:c>
      <x:c r="M229" s="21" t="n">
        <x:f>IF(Технологии!AT49="ИЗУЧЕНО",$E229,0)</x:f>
        <x:v>0</x:v>
      </x:c>
      <x:c r="N229" s="21" t="n">
        <x:f>IF(Технологии!AU49="ИЗУЧЕНО",$E229,0)</x:f>
        <x:v>0</x:v>
      </x:c>
      <x:c r="O229" s="21" t="n">
        <x:f>IF(Технологии!AV49="ИЗУЧЕНО",$E229,0)</x:f>
        <x:v>0</x:v>
      </x:c>
      <x:c r="P229" s="21" t="n">
        <x:f>IF(Технологии!AW49="ИЗУЧЕНО",$E229,0)</x:f>
        <x:v>0</x:v>
      </x:c>
      <x:c r="Q229" s="21" t="n">
        <x:f>IF(Технологии!AX49="ИЗУЧЕНО",$E229,0)</x:f>
        <x:v>0</x:v>
      </x:c>
      <x:c r="R229" s="21" t="n">
        <x:f>IF(Технологии!AY49="ИЗУЧЕНО",$E229,0)</x:f>
        <x:v>0</x:v>
      </x:c>
      <x:c r="S229" s="21" t="n">
        <x:f>IF(Технологии!AZ49="ИЗУЧЕНО",$E229,0)</x:f>
        <x:v>0</x:v>
      </x:c>
      <x:c r="T229" s="21" t="n">
        <x:f>IF(Технологии!BA49="ИЗУЧЕНО",$E229,0)</x:f>
        <x:v>0</x:v>
      </x:c>
      <x:c r="U229" s="21" t="n">
        <x:f>IF(Технологии!BB49="ИЗУЧЕНО",$E229,0)</x:f>
        <x:v>0</x:v>
      </x:c>
      <x:c r="V229" s="21" t="n">
        <x:f>IF(Технологии!BC49="ИЗУЧЕНО",$E229,0)</x:f>
        <x:v>0</x:v>
      </x:c>
      <x:c r="W229" s="21" t="n">
        <x:f>IF(Технологии!BD49="ИЗУЧЕНО",$E229,0)</x:f>
        <x:v>0</x:v>
      </x:c>
      <x:c r="X229" s="21" t="n">
        <x:f>IF(Технологии!BE49="ИЗУЧЕНО",$E229,0)</x:f>
        <x:v>0</x:v>
      </x:c>
      <x:c r="Y229" s="21" t="n">
        <x:f>IF(Технологии!BF49="ИЗУЧЕНО",$E229,0)</x:f>
        <x:v>0</x:v>
      </x:c>
    </x:row>
    <x:row r="230">
      <x:c r="A230" s="19" t="s">
        <x:v>230</x:v>
      </x:c>
      <x:c r="B230" s="18" t="s">
        <x:v>231</x:v>
      </x:c>
      <x:c r="C230" s="18" t="s">
        <x:v>375</x:v>
      </x:c>
      <x:c r="D230" s="18" t="s">
        <x:v>405</x:v>
      </x:c>
      <x:c r="E230" s="20">
        <x:v>0.15</x:v>
      </x:c>
      <x:c r="F230" s="18" t="str">
        <x:f>IF(Технологии!BH49="","",Технологии!BH49)</x:f>
      </x:c>
      <x:c r="G230" s="18" t="s">
        <x:v>526</x:v>
      </x:c>
      <x:c r="J230" s="21" t="n">
        <x:f>0</x:f>
        <x:v>0</x:v>
      </x:c>
      <x:c r="K230" s="21" t="n">
        <x:f>IF(Технологии!AR49="ИЗУЧЕНО",$E230,0)</x:f>
        <x:v>0</x:v>
      </x:c>
      <x:c r="L230" s="21" t="n">
        <x:f>IF(Технологии!AS49="ИЗУЧЕНО",$E230,0)</x:f>
        <x:v>0</x:v>
      </x:c>
      <x:c r="M230" s="21" t="n">
        <x:f>IF(Технологии!AT49="ИЗУЧЕНО",$E230,0)</x:f>
        <x:v>0</x:v>
      </x:c>
      <x:c r="N230" s="21" t="n">
        <x:f>IF(Технологии!AU49="ИЗУЧЕНО",$E230,0)</x:f>
        <x:v>0</x:v>
      </x:c>
      <x:c r="O230" s="21" t="n">
        <x:f>IF(Технологии!AV49="ИЗУЧЕНО",$E230,0)</x:f>
        <x:v>0</x:v>
      </x:c>
      <x:c r="P230" s="21" t="n">
        <x:f>IF(Технологии!AW49="ИЗУЧЕНО",$E230,0)</x:f>
        <x:v>0</x:v>
      </x:c>
      <x:c r="Q230" s="21" t="n">
        <x:f>IF(Технологии!AX49="ИЗУЧЕНО",$E230,0)</x:f>
        <x:v>0</x:v>
      </x:c>
      <x:c r="R230" s="21" t="n">
        <x:f>IF(Технологии!AY49="ИЗУЧЕНО",$E230,0)</x:f>
        <x:v>0</x:v>
      </x:c>
      <x:c r="S230" s="21" t="n">
        <x:f>IF(Технологии!AZ49="ИЗУЧЕНО",$E230,0)</x:f>
        <x:v>0</x:v>
      </x:c>
      <x:c r="T230" s="21" t="n">
        <x:f>IF(Технологии!BA49="ИЗУЧЕНО",$E230,0)</x:f>
        <x:v>0</x:v>
      </x:c>
      <x:c r="U230" s="21" t="n">
        <x:f>IF(Технологии!BB49="ИЗУЧЕНО",$E230,0)</x:f>
        <x:v>0</x:v>
      </x:c>
      <x:c r="V230" s="21" t="n">
        <x:f>IF(Технологии!BC49="ИЗУЧЕНО",$E230,0)</x:f>
        <x:v>0</x:v>
      </x:c>
      <x:c r="W230" s="21" t="n">
        <x:f>IF(Технологии!BD49="ИЗУЧЕНО",$E230,0)</x:f>
        <x:v>0</x:v>
      </x:c>
      <x:c r="X230" s="21" t="n">
        <x:f>IF(Технологии!BE49="ИЗУЧЕНО",$E230,0)</x:f>
        <x:v>0</x:v>
      </x:c>
      <x:c r="Y230" s="21" t="n">
        <x:f>IF(Технологии!BF49="ИЗУЧЕНО",$E230,0)</x:f>
        <x:v>0</x:v>
      </x:c>
    </x:row>
    <x:row r="231">
      <x:c r="A231" s="19" t="s">
        <x:v>230</x:v>
      </x:c>
      <x:c r="B231" s="18" t="s">
        <x:v>231</x:v>
      </x:c>
      <x:c r="C231" s="18" t="s">
        <x:v>382</x:v>
      </x:c>
      <x:c r="D231" s="18" t="s">
        <x:v>405</x:v>
      </x:c>
      <x:c r="E231" s="20">
        <x:v>0.1</x:v>
      </x:c>
      <x:c r="F231" s="18" t="str">
        <x:f>IF(Технологии!BH49="","",Технологии!BH49)</x:f>
      </x:c>
      <x:c r="G231" s="18" t="s">
        <x:v>511</x:v>
      </x:c>
      <x:c r="J231" s="21" t="n">
        <x:f>0</x:f>
        <x:v>0</x:v>
      </x:c>
      <x:c r="K231" s="21" t="n">
        <x:f>IF(Технологии!AR49="ИЗУЧЕНО",$E231,0)</x:f>
        <x:v>0</x:v>
      </x:c>
      <x:c r="L231" s="21" t="n">
        <x:f>IF(Технологии!AS49="ИЗУЧЕНО",$E231,0)</x:f>
        <x:v>0</x:v>
      </x:c>
      <x:c r="M231" s="21" t="n">
        <x:f>IF(Технологии!AT49="ИЗУЧЕНО",$E231,0)</x:f>
        <x:v>0</x:v>
      </x:c>
      <x:c r="N231" s="21" t="n">
        <x:f>IF(Технологии!AU49="ИЗУЧЕНО",$E231,0)</x:f>
        <x:v>0</x:v>
      </x:c>
      <x:c r="O231" s="21" t="n">
        <x:f>IF(Технологии!AV49="ИЗУЧЕНО",$E231,0)</x:f>
        <x:v>0</x:v>
      </x:c>
      <x:c r="P231" s="21" t="n">
        <x:f>IF(Технологии!AW49="ИЗУЧЕНО",$E231,0)</x:f>
        <x:v>0</x:v>
      </x:c>
      <x:c r="Q231" s="21" t="n">
        <x:f>IF(Технологии!AX49="ИЗУЧЕНО",$E231,0)</x:f>
        <x:v>0</x:v>
      </x:c>
      <x:c r="R231" s="21" t="n">
        <x:f>IF(Технологии!AY49="ИЗУЧЕНО",$E231,0)</x:f>
        <x:v>0</x:v>
      </x:c>
      <x:c r="S231" s="21" t="n">
        <x:f>IF(Технологии!AZ49="ИЗУЧЕНО",$E231,0)</x:f>
        <x:v>0</x:v>
      </x:c>
      <x:c r="T231" s="21" t="n">
        <x:f>IF(Технологии!BA49="ИЗУЧЕНО",$E231,0)</x:f>
        <x:v>0</x:v>
      </x:c>
      <x:c r="U231" s="21" t="n">
        <x:f>IF(Технологии!BB49="ИЗУЧЕНО",$E231,0)</x:f>
        <x:v>0</x:v>
      </x:c>
      <x:c r="V231" s="21" t="n">
        <x:f>IF(Технологии!BC49="ИЗУЧЕНО",$E231,0)</x:f>
        <x:v>0</x:v>
      </x:c>
      <x:c r="W231" s="21" t="n">
        <x:f>IF(Технологии!BD49="ИЗУЧЕНО",$E231,0)</x:f>
        <x:v>0</x:v>
      </x:c>
      <x:c r="X231" s="21" t="n">
        <x:f>IF(Технологии!BE49="ИЗУЧЕНО",$E231,0)</x:f>
        <x:v>0</x:v>
      </x:c>
      <x:c r="Y231" s="21" t="n">
        <x:f>IF(Технологии!BF49="ИЗУЧЕНО",$E231,0)</x:f>
        <x:v>0</x:v>
      </x:c>
    </x:row>
    <x:row r="232">
      <x:c r="A232" s="19" t="s">
        <x:v>230</x:v>
      </x:c>
      <x:c r="B232" s="18" t="s">
        <x:v>231</x:v>
      </x:c>
      <x:c r="C232" s="18" t="s">
        <x:v>294</x:v>
      </x:c>
      <x:c r="D232" s="18" t="s">
        <x:v>387</x:v>
      </x:c>
      <x:c r="E232" s="20">
        <x:v>-0.3</x:v>
      </x:c>
      <x:c r="F232" s="18" t="str">
        <x:f>IF(Технологии!BH49="","",Технологии!BH49)</x:f>
      </x:c>
      <x:c r="G232" s="18" t="s">
        <x:v>527</x:v>
      </x:c>
      <x:c r="J232" s="21" t="n">
        <x:f>0</x:f>
        <x:v>0</x:v>
      </x:c>
      <x:c r="K232" s="21" t="n">
        <x:f>IF(Технологии!AR49="ИЗУЧЕНО",$E232,0)</x:f>
        <x:v>0</x:v>
      </x:c>
      <x:c r="L232" s="21" t="n">
        <x:f>IF(Технологии!AS49="ИЗУЧЕНО",$E232,0)</x:f>
        <x:v>0</x:v>
      </x:c>
      <x:c r="M232" s="21" t="n">
        <x:f>IF(Технологии!AT49="ИЗУЧЕНО",$E232,0)</x:f>
        <x:v>0</x:v>
      </x:c>
      <x:c r="N232" s="21" t="n">
        <x:f>IF(Технологии!AU49="ИЗУЧЕНО",$E232,0)</x:f>
        <x:v>0</x:v>
      </x:c>
      <x:c r="O232" s="21" t="n">
        <x:f>IF(Технологии!AV49="ИЗУЧЕНО",$E232,0)</x:f>
        <x:v>0</x:v>
      </x:c>
      <x:c r="P232" s="21" t="n">
        <x:f>IF(Технологии!AW49="ИЗУЧЕНО",$E232,0)</x:f>
        <x:v>0</x:v>
      </x:c>
      <x:c r="Q232" s="21" t="n">
        <x:f>IF(Технологии!AX49="ИЗУЧЕНО",$E232,0)</x:f>
        <x:v>0</x:v>
      </x:c>
      <x:c r="R232" s="21" t="n">
        <x:f>IF(Технологии!AY49="ИЗУЧЕНО",$E232,0)</x:f>
        <x:v>0</x:v>
      </x:c>
      <x:c r="S232" s="21" t="n">
        <x:f>IF(Технологии!AZ49="ИЗУЧЕНО",$E232,0)</x:f>
        <x:v>0</x:v>
      </x:c>
      <x:c r="T232" s="21" t="n">
        <x:f>IF(Технологии!BA49="ИЗУЧЕНО",$E232,0)</x:f>
        <x:v>0</x:v>
      </x:c>
      <x:c r="U232" s="21" t="n">
        <x:f>IF(Технологии!BB49="ИЗУЧЕНО",$E232,0)</x:f>
        <x:v>0</x:v>
      </x:c>
      <x:c r="V232" s="21" t="n">
        <x:f>IF(Технологии!BC49="ИЗУЧЕНО",$E232,0)</x:f>
        <x:v>0</x:v>
      </x:c>
      <x:c r="W232" s="21" t="n">
        <x:f>IF(Технологии!BD49="ИЗУЧЕНО",$E232,0)</x:f>
        <x:v>0</x:v>
      </x:c>
      <x:c r="X232" s="21" t="n">
        <x:f>IF(Технологии!BE49="ИЗУЧЕНО",$E232,0)</x:f>
        <x:v>0</x:v>
      </x:c>
      <x:c r="Y232" s="21" t="n">
        <x:f>IF(Технологии!BF49="ИЗУЧЕНО",$E232,0)</x:f>
        <x:v>0</x:v>
      </x:c>
    </x:row>
    <x:row r="233">
      <x:c r="A233" s="19" t="s">
        <x:v>230</x:v>
      </x:c>
      <x:c r="B233" s="18" t="s">
        <x:v>231</x:v>
      </x:c>
      <x:c r="C233" s="18" t="s">
        <x:v>311</x:v>
      </x:c>
      <x:c r="D233" s="18" t="s">
        <x:v>387</x:v>
      </x:c>
      <x:c r="E233" s="20">
        <x:v>-0.25</x:v>
      </x:c>
      <x:c r="F233" s="18" t="str">
        <x:f>IF(Технологии!BH49="","",Технологии!BH49)</x:f>
      </x:c>
      <x:c r="G233" s="18" t="s">
        <x:v>528</x:v>
      </x:c>
      <x:c r="J233" s="21" t="n">
        <x:f>0</x:f>
        <x:v>0</x:v>
      </x:c>
      <x:c r="K233" s="21" t="n">
        <x:f>IF(Технологии!AR49="ИЗУЧЕНО",$E233,0)</x:f>
        <x:v>0</x:v>
      </x:c>
      <x:c r="L233" s="21" t="n">
        <x:f>IF(Технологии!AS49="ИЗУЧЕНО",$E233,0)</x:f>
        <x:v>0</x:v>
      </x:c>
      <x:c r="M233" s="21" t="n">
        <x:f>IF(Технологии!AT49="ИЗУЧЕНО",$E233,0)</x:f>
        <x:v>0</x:v>
      </x:c>
      <x:c r="N233" s="21" t="n">
        <x:f>IF(Технологии!AU49="ИЗУЧЕНО",$E233,0)</x:f>
        <x:v>0</x:v>
      </x:c>
      <x:c r="O233" s="21" t="n">
        <x:f>IF(Технологии!AV49="ИЗУЧЕНО",$E233,0)</x:f>
        <x:v>0</x:v>
      </x:c>
      <x:c r="P233" s="21" t="n">
        <x:f>IF(Технологии!AW49="ИЗУЧЕНО",$E233,0)</x:f>
        <x:v>0</x:v>
      </x:c>
      <x:c r="Q233" s="21" t="n">
        <x:f>IF(Технологии!AX49="ИЗУЧЕНО",$E233,0)</x:f>
        <x:v>0</x:v>
      </x:c>
      <x:c r="R233" s="21" t="n">
        <x:f>IF(Технологии!AY49="ИЗУЧЕНО",$E233,0)</x:f>
        <x:v>0</x:v>
      </x:c>
      <x:c r="S233" s="21" t="n">
        <x:f>IF(Технологии!AZ49="ИЗУЧЕНО",$E233,0)</x:f>
        <x:v>0</x:v>
      </x:c>
      <x:c r="T233" s="21" t="n">
        <x:f>IF(Технологии!BA49="ИЗУЧЕНО",$E233,0)</x:f>
        <x:v>0</x:v>
      </x:c>
      <x:c r="U233" s="21" t="n">
        <x:f>IF(Технологии!BB49="ИЗУЧЕНО",$E233,0)</x:f>
        <x:v>0</x:v>
      </x:c>
      <x:c r="V233" s="21" t="n">
        <x:f>IF(Технологии!BC49="ИЗУЧЕНО",$E233,0)</x:f>
        <x:v>0</x:v>
      </x:c>
      <x:c r="W233" s="21" t="n">
        <x:f>IF(Технологии!BD49="ИЗУЧЕНО",$E233,0)</x:f>
        <x:v>0</x:v>
      </x:c>
      <x:c r="X233" s="21" t="n">
        <x:f>IF(Технологии!BE49="ИЗУЧЕНО",$E233,0)</x:f>
        <x:v>0</x:v>
      </x:c>
      <x:c r="Y233" s="21" t="n">
        <x:f>IF(Технологии!BF49="ИЗУЧЕНО",$E233,0)</x:f>
        <x:v>0</x:v>
      </x:c>
    </x:row>
    <x:row r="234">
      <x:c r="A234" s="19" t="s">
        <x:v>234</x:v>
      </x:c>
      <x:c r="B234" s="18" t="s">
        <x:v>236</x:v>
      </x:c>
      <x:c r="C234" s="18" t="s">
        <x:v>371</x:v>
      </x:c>
      <x:c r="D234" s="18" t="s">
        <x:v>405</x:v>
      </x:c>
      <x:c r="E234" s="20">
        <x:v>0.25</x:v>
      </x:c>
      <x:c r="F234" s="18" t="str">
        <x:f>IF(Технологии!BH50="","",Технологии!BH50)</x:f>
      </x:c>
      <x:c r="G234" s="18" t="s">
        <x:v>529</x:v>
      </x:c>
      <x:c r="J234" s="21" t="n">
        <x:f>0</x:f>
        <x:v>0</x:v>
      </x:c>
      <x:c r="K234" s="21" t="n">
        <x:f>IF(Технологии!AR50="ИЗУЧЕНО",$E234,0)</x:f>
        <x:v>0</x:v>
      </x:c>
      <x:c r="L234" s="21" t="n">
        <x:f>IF(Технологии!AS50="ИЗУЧЕНО",$E234,0)</x:f>
        <x:v>0</x:v>
      </x:c>
      <x:c r="M234" s="21" t="n">
        <x:f>IF(Технологии!AT50="ИЗУЧЕНО",$E234,0)</x:f>
        <x:v>0</x:v>
      </x:c>
      <x:c r="N234" s="21" t="n">
        <x:f>IF(Технологии!AU50="ИЗУЧЕНО",$E234,0)</x:f>
        <x:v>0</x:v>
      </x:c>
      <x:c r="O234" s="21" t="n">
        <x:f>IF(Технологии!AV50="ИЗУЧЕНО",$E234,0)</x:f>
        <x:v>0</x:v>
      </x:c>
      <x:c r="P234" s="21" t="n">
        <x:f>IF(Технологии!AW50="ИЗУЧЕНО",$E234,0)</x:f>
        <x:v>0</x:v>
      </x:c>
      <x:c r="Q234" s="21" t="n">
        <x:f>IF(Технологии!AX50="ИЗУЧЕНО",$E234,0)</x:f>
        <x:v>0</x:v>
      </x:c>
      <x:c r="R234" s="21" t="n">
        <x:f>IF(Технологии!AY50="ИЗУЧЕНО",$E234,0)</x:f>
        <x:v>0</x:v>
      </x:c>
      <x:c r="S234" s="21" t="n">
        <x:f>IF(Технологии!AZ50="ИЗУЧЕНО",$E234,0)</x:f>
        <x:v>0</x:v>
      </x:c>
      <x:c r="T234" s="21" t="n">
        <x:f>IF(Технологии!BA50="ИЗУЧЕНО",$E234,0)</x:f>
        <x:v>0</x:v>
      </x:c>
      <x:c r="U234" s="21" t="n">
        <x:f>IF(Технологии!BB50="ИЗУЧЕНО",$E234,0)</x:f>
        <x:v>0</x:v>
      </x:c>
      <x:c r="V234" s="21" t="n">
        <x:f>IF(Технологии!BC50="ИЗУЧЕНО",$E234,0)</x:f>
        <x:v>0</x:v>
      </x:c>
      <x:c r="W234" s="21" t="n">
        <x:f>IF(Технологии!BD50="ИЗУЧЕНО",$E234,0)</x:f>
        <x:v>0</x:v>
      </x:c>
      <x:c r="X234" s="21" t="n">
        <x:f>IF(Технологии!BE50="ИЗУЧЕНО",$E234,0)</x:f>
        <x:v>0</x:v>
      </x:c>
      <x:c r="Y234" s="21" t="n">
        <x:f>IF(Технологии!BF50="ИЗУЧЕНО",$E234,0)</x:f>
        <x:v>0</x:v>
      </x:c>
    </x:row>
    <x:row r="235">
      <x:c r="A235" s="19" t="s">
        <x:v>234</x:v>
      </x:c>
      <x:c r="B235" s="18" t="s">
        <x:v>236</x:v>
      </x:c>
      <x:c r="C235" s="18" t="s">
        <x:v>286</x:v>
      </x:c>
      <x:c r="D235" s="18" t="s">
        <x:v>414</x:v>
      </x:c>
      <x:c r="E235" s="20">
        <x:v>0.1</x:v>
      </x:c>
      <x:c r="F235" s="18" t="str">
        <x:f>IF(Технологии!BH50="","",Технологии!BH50)</x:f>
      </x:c>
      <x:c r="G235" s="18" t="s">
        <x:v>530</x:v>
      </x:c>
      <x:c r="J235" s="21" t="n">
        <x:f>0</x:f>
        <x:v>0</x:v>
      </x:c>
      <x:c r="K235" s="21" t="n">
        <x:f>IF(Технологии!AR50="ИЗУЧЕНО",$E235,0)</x:f>
        <x:v>0</x:v>
      </x:c>
      <x:c r="L235" s="21" t="n">
        <x:f>IF(Технологии!AS50="ИЗУЧЕНО",$E235,0)</x:f>
        <x:v>0</x:v>
      </x:c>
      <x:c r="M235" s="21" t="n">
        <x:f>IF(Технологии!AT50="ИЗУЧЕНО",$E235,0)</x:f>
        <x:v>0</x:v>
      </x:c>
      <x:c r="N235" s="21" t="n">
        <x:f>IF(Технологии!AU50="ИЗУЧЕНО",$E235,0)</x:f>
        <x:v>0</x:v>
      </x:c>
      <x:c r="O235" s="21" t="n">
        <x:f>IF(Технологии!AV50="ИЗУЧЕНО",$E235,0)</x:f>
        <x:v>0</x:v>
      </x:c>
      <x:c r="P235" s="21" t="n">
        <x:f>IF(Технологии!AW50="ИЗУЧЕНО",$E235,0)</x:f>
        <x:v>0</x:v>
      </x:c>
      <x:c r="Q235" s="21" t="n">
        <x:f>IF(Технологии!AX50="ИЗУЧЕНО",$E235,0)</x:f>
        <x:v>0</x:v>
      </x:c>
      <x:c r="R235" s="21" t="n">
        <x:f>IF(Технологии!AY50="ИЗУЧЕНО",$E235,0)</x:f>
        <x:v>0</x:v>
      </x:c>
      <x:c r="S235" s="21" t="n">
        <x:f>IF(Технологии!AZ50="ИЗУЧЕНО",$E235,0)</x:f>
        <x:v>0</x:v>
      </x:c>
      <x:c r="T235" s="21" t="n">
        <x:f>IF(Технологии!BA50="ИЗУЧЕНО",$E235,0)</x:f>
        <x:v>0</x:v>
      </x:c>
      <x:c r="U235" s="21" t="n">
        <x:f>IF(Технологии!BB50="ИЗУЧЕНО",$E235,0)</x:f>
        <x:v>0</x:v>
      </x:c>
      <x:c r="V235" s="21" t="n">
        <x:f>IF(Технологии!BC50="ИЗУЧЕНО",$E235,0)</x:f>
        <x:v>0</x:v>
      </x:c>
      <x:c r="W235" s="21" t="n">
        <x:f>IF(Технологии!BD50="ИЗУЧЕНО",$E235,0)</x:f>
        <x:v>0</x:v>
      </x:c>
      <x:c r="X235" s="21" t="n">
        <x:f>IF(Технологии!BE50="ИЗУЧЕНО",$E235,0)</x:f>
        <x:v>0</x:v>
      </x:c>
      <x:c r="Y235" s="21" t="n">
        <x:f>IF(Технологии!BF50="ИЗУЧЕНО",$E235,0)</x:f>
        <x:v>0</x:v>
      </x:c>
    </x:row>
    <x:row r="236">
      <x:c r="A236" s="19" t="s">
        <x:v>234</x:v>
      </x:c>
      <x:c r="B236" s="18" t="s">
        <x:v>236</x:v>
      </x:c>
      <x:c r="C236" s="18" t="s">
        <x:v>291</x:v>
      </x:c>
      <x:c r="D236" s="18" t="s">
        <x:v>414</x:v>
      </x:c>
      <x:c r="E236" s="20">
        <x:v>0.1</x:v>
      </x:c>
      <x:c r="F236" s="18" t="str">
        <x:f>IF(Технологии!BH50="","",Технологии!BH50)</x:f>
      </x:c>
      <x:c r="G236" s="18" t="s">
        <x:v>438</x:v>
      </x:c>
      <x:c r="J236" s="21" t="n">
        <x:f>0</x:f>
        <x:v>0</x:v>
      </x:c>
      <x:c r="K236" s="21" t="n">
        <x:f>IF(Технологии!AR50="ИЗУЧЕНО",$E236,0)</x:f>
        <x:v>0</x:v>
      </x:c>
      <x:c r="L236" s="21" t="n">
        <x:f>IF(Технологии!AS50="ИЗУЧЕНО",$E236,0)</x:f>
        <x:v>0</x:v>
      </x:c>
      <x:c r="M236" s="21" t="n">
        <x:f>IF(Технологии!AT50="ИЗУЧЕНО",$E236,0)</x:f>
        <x:v>0</x:v>
      </x:c>
      <x:c r="N236" s="21" t="n">
        <x:f>IF(Технологии!AU50="ИЗУЧЕНО",$E236,0)</x:f>
        <x:v>0</x:v>
      </x:c>
      <x:c r="O236" s="21" t="n">
        <x:f>IF(Технологии!AV50="ИЗУЧЕНО",$E236,0)</x:f>
        <x:v>0</x:v>
      </x:c>
      <x:c r="P236" s="21" t="n">
        <x:f>IF(Технологии!AW50="ИЗУЧЕНО",$E236,0)</x:f>
        <x:v>0</x:v>
      </x:c>
      <x:c r="Q236" s="21" t="n">
        <x:f>IF(Технологии!AX50="ИЗУЧЕНО",$E236,0)</x:f>
        <x:v>0</x:v>
      </x:c>
      <x:c r="R236" s="21" t="n">
        <x:f>IF(Технологии!AY50="ИЗУЧЕНО",$E236,0)</x:f>
        <x:v>0</x:v>
      </x:c>
      <x:c r="S236" s="21" t="n">
        <x:f>IF(Технологии!AZ50="ИЗУЧЕНО",$E236,0)</x:f>
        <x:v>0</x:v>
      </x:c>
      <x:c r="T236" s="21" t="n">
        <x:f>IF(Технологии!BA50="ИЗУЧЕНО",$E236,0)</x:f>
        <x:v>0</x:v>
      </x:c>
      <x:c r="U236" s="21" t="n">
        <x:f>IF(Технологии!BB50="ИЗУЧЕНО",$E236,0)</x:f>
        <x:v>0</x:v>
      </x:c>
      <x:c r="V236" s="21" t="n">
        <x:f>IF(Технологии!BC50="ИЗУЧЕНО",$E236,0)</x:f>
        <x:v>0</x:v>
      </x:c>
      <x:c r="W236" s="21" t="n">
        <x:f>IF(Технологии!BD50="ИЗУЧЕНО",$E236,0)</x:f>
        <x:v>0</x:v>
      </x:c>
      <x:c r="X236" s="21" t="n">
        <x:f>IF(Технологии!BE50="ИЗУЧЕНО",$E236,0)</x:f>
        <x:v>0</x:v>
      </x:c>
      <x:c r="Y236" s="21" t="n">
        <x:f>IF(Технологии!BF50="ИЗУЧЕНО",$E236,0)</x:f>
        <x:v>0</x:v>
      </x:c>
    </x:row>
    <x:row r="237">
      <x:c r="A237" s="19" t="s">
        <x:v>234</x:v>
      </x:c>
      <x:c r="B237" s="18" t="s">
        <x:v>236</x:v>
      </x:c>
      <x:c r="C237" s="18" t="s">
        <x:v>383</x:v>
      </x:c>
      <x:c r="D237" s="18" t="s">
        <x:v>531</x:v>
      </x:c>
      <x:c r="E237" s="20">
        <x:v>1</x:v>
      </x:c>
      <x:c r="F237" s="18" t="str">
        <x:f>IF(Технологии!BH50="","",Технологии!BH50)</x:f>
      </x:c>
      <x:c r="G237" s="18" t="s">
        <x:v>532</x:v>
      </x:c>
      <x:c r="J237" s="21" t="n">
        <x:f>0</x:f>
        <x:v>0</x:v>
      </x:c>
      <x:c r="K237" s="21" t="n">
        <x:f>IF(Технологии!AR50="ИЗУЧЕНО",$E237,0)</x:f>
        <x:v>0</x:v>
      </x:c>
      <x:c r="L237" s="21" t="n">
        <x:f>IF(Технологии!AS50="ИЗУЧЕНО",$E237,0)</x:f>
        <x:v>0</x:v>
      </x:c>
      <x:c r="M237" s="21" t="n">
        <x:f>IF(Технологии!AT50="ИЗУЧЕНО",$E237,0)</x:f>
        <x:v>0</x:v>
      </x:c>
      <x:c r="N237" s="21" t="n">
        <x:f>IF(Технологии!AU50="ИЗУЧЕНО",$E237,0)</x:f>
        <x:v>0</x:v>
      </x:c>
      <x:c r="O237" s="21" t="n">
        <x:f>IF(Технологии!AV50="ИЗУЧЕНО",$E237,0)</x:f>
        <x:v>0</x:v>
      </x:c>
      <x:c r="P237" s="21" t="n">
        <x:f>IF(Технологии!AW50="ИЗУЧЕНО",$E237,0)</x:f>
        <x:v>0</x:v>
      </x:c>
      <x:c r="Q237" s="21" t="n">
        <x:f>IF(Технологии!AX50="ИЗУЧЕНО",$E237,0)</x:f>
        <x:v>0</x:v>
      </x:c>
      <x:c r="R237" s="21" t="n">
        <x:f>IF(Технологии!AY50="ИЗУЧЕНО",$E237,0)</x:f>
        <x:v>0</x:v>
      </x:c>
      <x:c r="S237" s="21" t="n">
        <x:f>IF(Технологии!AZ50="ИЗУЧЕНО",$E237,0)</x:f>
        <x:v>0</x:v>
      </x:c>
      <x:c r="T237" s="21" t="n">
        <x:f>IF(Технологии!BA50="ИЗУЧЕНО",$E237,0)</x:f>
        <x:v>0</x:v>
      </x:c>
      <x:c r="U237" s="21" t="n">
        <x:f>IF(Технологии!BB50="ИЗУЧЕНО",$E237,0)</x:f>
        <x:v>0</x:v>
      </x:c>
      <x:c r="V237" s="21" t="n">
        <x:f>IF(Технологии!BC50="ИЗУЧЕНО",$E237,0)</x:f>
        <x:v>0</x:v>
      </x:c>
      <x:c r="W237" s="21" t="n">
        <x:f>IF(Технологии!BD50="ИЗУЧЕНО",$E237,0)</x:f>
        <x:v>0</x:v>
      </x:c>
      <x:c r="X237" s="21" t="n">
        <x:f>IF(Технологии!BE50="ИЗУЧЕНО",$E237,0)</x:f>
        <x:v>0</x:v>
      </x:c>
      <x:c r="Y237" s="21" t="n">
        <x:f>IF(Технологии!BF50="ИЗУЧЕНО",$E237,0)</x:f>
        <x:v>0</x:v>
      </x:c>
    </x:row>
    <x:row r="238">
      <x:c r="A238" s="19" t="s">
        <x:v>234</x:v>
      </x:c>
      <x:c r="B238" s="18" t="s">
        <x:v>236</x:v>
      </x:c>
      <x:c r="C238" s="18" t="s">
        <x:v>260</x:v>
      </x:c>
      <x:c r="D238" s="18" t="s">
        <x:v>387</x:v>
      </x:c>
      <x:c r="E238" s="20">
        <x:v>-0.4</x:v>
      </x:c>
      <x:c r="F238" s="18" t="str">
        <x:f>IF(Технологии!BH50="","",Технологии!BH50)</x:f>
      </x:c>
      <x:c r="G238" s="18" t="s">
        <x:v>441</x:v>
      </x:c>
      <x:c r="J238" s="21" t="n">
        <x:f>0</x:f>
        <x:v>0</x:v>
      </x:c>
      <x:c r="K238" s="21" t="n">
        <x:f>IF(Технологии!AR50="ИЗУЧЕНО",$E238,0)</x:f>
        <x:v>0</x:v>
      </x:c>
      <x:c r="L238" s="21" t="n">
        <x:f>IF(Технологии!AS50="ИЗУЧЕНО",$E238,0)</x:f>
        <x:v>0</x:v>
      </x:c>
      <x:c r="M238" s="21" t="n">
        <x:f>IF(Технологии!AT50="ИЗУЧЕНО",$E238,0)</x:f>
        <x:v>0</x:v>
      </x:c>
      <x:c r="N238" s="21" t="n">
        <x:f>IF(Технологии!AU50="ИЗУЧЕНО",$E238,0)</x:f>
        <x:v>0</x:v>
      </x:c>
      <x:c r="O238" s="21" t="n">
        <x:f>IF(Технологии!AV50="ИЗУЧЕНО",$E238,0)</x:f>
        <x:v>0</x:v>
      </x:c>
      <x:c r="P238" s="21" t="n">
        <x:f>IF(Технологии!AW50="ИЗУЧЕНО",$E238,0)</x:f>
        <x:v>0</x:v>
      </x:c>
      <x:c r="Q238" s="21" t="n">
        <x:f>IF(Технологии!AX50="ИЗУЧЕНО",$E238,0)</x:f>
        <x:v>0</x:v>
      </x:c>
      <x:c r="R238" s="21" t="n">
        <x:f>IF(Технологии!AY50="ИЗУЧЕНО",$E238,0)</x:f>
        <x:v>0</x:v>
      </x:c>
      <x:c r="S238" s="21" t="n">
        <x:f>IF(Технологии!AZ50="ИЗУЧЕНО",$E238,0)</x:f>
        <x:v>0</x:v>
      </x:c>
      <x:c r="T238" s="21" t="n">
        <x:f>IF(Технологии!BA50="ИЗУЧЕНО",$E238,0)</x:f>
        <x:v>0</x:v>
      </x:c>
      <x:c r="U238" s="21" t="n">
        <x:f>IF(Технологии!BB50="ИЗУЧЕНО",$E238,0)</x:f>
        <x:v>0</x:v>
      </x:c>
      <x:c r="V238" s="21" t="n">
        <x:f>IF(Технологии!BC50="ИЗУЧЕНО",$E238,0)</x:f>
        <x:v>0</x:v>
      </x:c>
      <x:c r="W238" s="21" t="n">
        <x:f>IF(Технологии!BD50="ИЗУЧЕНО",$E238,0)</x:f>
        <x:v>0</x:v>
      </x:c>
      <x:c r="X238" s="21" t="n">
        <x:f>IF(Технологии!BE50="ИЗУЧЕНО",$E238,0)</x:f>
        <x:v>0</x:v>
      </x:c>
      <x:c r="Y238" s="21" t="n">
        <x:f>IF(Технологии!BF50="ИЗУЧЕНО",$E238,0)</x:f>
        <x:v>0</x:v>
      </x:c>
    </x:row>
    <x:row r="239">
      <x:c r="A239" s="19" t="s">
        <x:v>234</x:v>
      </x:c>
      <x:c r="B239" s="18" t="s">
        <x:v>236</x:v>
      </x:c>
      <x:c r="C239" s="18" t="s">
        <x:v>295</x:v>
      </x:c>
      <x:c r="D239" s="18" t="s">
        <x:v>387</x:v>
      </x:c>
      <x:c r="E239" s="20">
        <x:v>-0.3</x:v>
      </x:c>
      <x:c r="F239" s="18" t="str">
        <x:f>IF(Технологии!BH50="","",Технологии!BH50)</x:f>
      </x:c>
      <x:c r="G239" s="18" t="s">
        <x:v>483</x:v>
      </x:c>
      <x:c r="J239" s="21" t="n">
        <x:f>0</x:f>
        <x:v>0</x:v>
      </x:c>
      <x:c r="K239" s="21" t="n">
        <x:f>IF(Технологии!AR50="ИЗУЧЕНО",$E239,0)</x:f>
        <x:v>0</x:v>
      </x:c>
      <x:c r="L239" s="21" t="n">
        <x:f>IF(Технологии!AS50="ИЗУЧЕНО",$E239,0)</x:f>
        <x:v>0</x:v>
      </x:c>
      <x:c r="M239" s="21" t="n">
        <x:f>IF(Технологии!AT50="ИЗУЧЕНО",$E239,0)</x:f>
        <x:v>0</x:v>
      </x:c>
      <x:c r="N239" s="21" t="n">
        <x:f>IF(Технологии!AU50="ИЗУЧЕНО",$E239,0)</x:f>
        <x:v>0</x:v>
      </x:c>
      <x:c r="O239" s="21" t="n">
        <x:f>IF(Технологии!AV50="ИЗУЧЕНО",$E239,0)</x:f>
        <x:v>0</x:v>
      </x:c>
      <x:c r="P239" s="21" t="n">
        <x:f>IF(Технологии!AW50="ИЗУЧЕНО",$E239,0)</x:f>
        <x:v>0</x:v>
      </x:c>
      <x:c r="Q239" s="21" t="n">
        <x:f>IF(Технологии!AX50="ИЗУЧЕНО",$E239,0)</x:f>
        <x:v>0</x:v>
      </x:c>
      <x:c r="R239" s="21" t="n">
        <x:f>IF(Технологии!AY50="ИЗУЧЕНО",$E239,0)</x:f>
        <x:v>0</x:v>
      </x:c>
      <x:c r="S239" s="21" t="n">
        <x:f>IF(Технологии!AZ50="ИЗУЧЕНО",$E239,0)</x:f>
        <x:v>0</x:v>
      </x:c>
      <x:c r="T239" s="21" t="n">
        <x:f>IF(Технологии!BA50="ИЗУЧЕНО",$E239,0)</x:f>
        <x:v>0</x:v>
      </x:c>
      <x:c r="U239" s="21" t="n">
        <x:f>IF(Технологии!BB50="ИЗУЧЕНО",$E239,0)</x:f>
        <x:v>0</x:v>
      </x:c>
      <x:c r="V239" s="21" t="n">
        <x:f>IF(Технологии!BC50="ИЗУЧЕНО",$E239,0)</x:f>
        <x:v>0</x:v>
      </x:c>
      <x:c r="W239" s="21" t="n">
        <x:f>IF(Технологии!BD50="ИЗУЧЕНО",$E239,0)</x:f>
        <x:v>0</x:v>
      </x:c>
      <x:c r="X239" s="21" t="n">
        <x:f>IF(Технологии!BE50="ИЗУЧЕНО",$E239,0)</x:f>
        <x:v>0</x:v>
      </x:c>
      <x:c r="Y239" s="21" t="n">
        <x:f>IF(Технологии!BF50="ИЗУЧЕНО",$E239,0)</x:f>
        <x:v>0</x:v>
      </x:c>
    </x:row>
    <x:row r="240">
      <x:c r="A240" s="19" t="s">
        <x:v>234</x:v>
      </x:c>
      <x:c r="B240" s="18" t="s">
        <x:v>236</x:v>
      </x:c>
      <x:c r="C240" s="18" t="s">
        <x:v>311</x:v>
      </x:c>
      <x:c r="D240" s="18" t="s">
        <x:v>387</x:v>
      </x:c>
      <x:c r="E240" s="20">
        <x:v>-0.25</x:v>
      </x:c>
      <x:c r="F240" s="18" t="str">
        <x:f>IF(Технологии!BH50="","",Технологии!BH50)</x:f>
      </x:c>
      <x:c r="G240" s="18" t="s">
        <x:v>528</x:v>
      </x:c>
      <x:c r="J240" s="21" t="n">
        <x:f>0</x:f>
        <x:v>0</x:v>
      </x:c>
      <x:c r="K240" s="21" t="n">
        <x:f>IF(Технологии!AR50="ИЗУЧЕНО",$E240,0)</x:f>
        <x:v>0</x:v>
      </x:c>
      <x:c r="L240" s="21" t="n">
        <x:f>IF(Технологии!AS50="ИЗУЧЕНО",$E240,0)</x:f>
        <x:v>0</x:v>
      </x:c>
      <x:c r="M240" s="21" t="n">
        <x:f>IF(Технологии!AT50="ИЗУЧЕНО",$E240,0)</x:f>
        <x:v>0</x:v>
      </x:c>
      <x:c r="N240" s="21" t="n">
        <x:f>IF(Технологии!AU50="ИЗУЧЕНО",$E240,0)</x:f>
        <x:v>0</x:v>
      </x:c>
      <x:c r="O240" s="21" t="n">
        <x:f>IF(Технологии!AV50="ИЗУЧЕНО",$E240,0)</x:f>
        <x:v>0</x:v>
      </x:c>
      <x:c r="P240" s="21" t="n">
        <x:f>IF(Технологии!AW50="ИЗУЧЕНО",$E240,0)</x:f>
        <x:v>0</x:v>
      </x:c>
      <x:c r="Q240" s="21" t="n">
        <x:f>IF(Технологии!AX50="ИЗУЧЕНО",$E240,0)</x:f>
        <x:v>0</x:v>
      </x:c>
      <x:c r="R240" s="21" t="n">
        <x:f>IF(Технологии!AY50="ИЗУЧЕНО",$E240,0)</x:f>
        <x:v>0</x:v>
      </x:c>
      <x:c r="S240" s="21" t="n">
        <x:f>IF(Технологии!AZ50="ИЗУЧЕНО",$E240,0)</x:f>
        <x:v>0</x:v>
      </x:c>
      <x:c r="T240" s="21" t="n">
        <x:f>IF(Технологии!BA50="ИЗУЧЕНО",$E240,0)</x:f>
        <x:v>0</x:v>
      </x:c>
      <x:c r="U240" s="21" t="n">
        <x:f>IF(Технологии!BB50="ИЗУЧЕНО",$E240,0)</x:f>
        <x:v>0</x:v>
      </x:c>
      <x:c r="V240" s="21" t="n">
        <x:f>IF(Технологии!BC50="ИЗУЧЕНО",$E240,0)</x:f>
        <x:v>0</x:v>
      </x:c>
      <x:c r="W240" s="21" t="n">
        <x:f>IF(Технологии!BD50="ИЗУЧЕНО",$E240,0)</x:f>
        <x:v>0</x:v>
      </x:c>
      <x:c r="X240" s="21" t="n">
        <x:f>IF(Технологии!BE50="ИЗУЧЕНО",$E240,0)</x:f>
        <x:v>0</x:v>
      </x:c>
      <x:c r="Y240" s="21" t="n">
        <x:f>IF(Технологии!BF50="ИЗУЧЕНО",$E240,0)</x:f>
        <x:v>0</x:v>
      </x:c>
    </x:row>
  </x:sheetData>
  <x:pageMargins left="0.7" right="0.7" top="0.75" bottom="0.75" header="0.3" footer="0.3"/>
</x:worksheet>
</file>