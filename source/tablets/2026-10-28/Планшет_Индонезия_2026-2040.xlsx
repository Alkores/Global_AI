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T_Cube6\Downloads\"/>
    </mc:Choice>
  </mc:AlternateContent>
  <xr:revisionPtr revIDLastSave="0" documentId="13_ncr:1_{C37048D3-C763-4F04-AF32-5C1AD1BF936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ехнологии" sheetId="1" r:id="rId1"/>
    <sheet name="Индонезия 2026" sheetId="2" r:id="rId2"/>
    <sheet name="Ход 2026" sheetId="3" r:id="rId3"/>
    <sheet name="Индонезия 2027" sheetId="4" r:id="rId4"/>
    <sheet name="Ход 2027" sheetId="5" r:id="rId5"/>
    <sheet name="Индонезия 2028" sheetId="6" r:id="rId6"/>
    <sheet name="Ход 2028" sheetId="7" r:id="rId7"/>
    <sheet name="Индонезия 2029" sheetId="8" r:id="rId8"/>
    <sheet name="Ход 2029" sheetId="9" r:id="rId9"/>
    <sheet name="Индонезия 2030" sheetId="10" r:id="rId10"/>
    <sheet name="Ход 2030" sheetId="11" r:id="rId11"/>
    <sheet name="Индонезия 2031" sheetId="12" r:id="rId12"/>
    <sheet name="Ход 2031" sheetId="13" r:id="rId13"/>
    <sheet name="Индонезия 2032" sheetId="14" r:id="rId14"/>
    <sheet name="Ход 2032" sheetId="15" r:id="rId15"/>
    <sheet name="Индонезия 2033" sheetId="16" r:id="rId16"/>
    <sheet name="Ход 2033" sheetId="17" r:id="rId17"/>
    <sheet name="Индонезия 2034" sheetId="18" r:id="rId18"/>
    <sheet name="Ход 2034" sheetId="19" r:id="rId19"/>
    <sheet name="Индонезия 2035" sheetId="20" r:id="rId20"/>
    <sheet name="Ход 2035" sheetId="21" r:id="rId21"/>
    <sheet name="Индонезия 2036" sheetId="22" r:id="rId22"/>
    <sheet name="Ход 2036" sheetId="23" r:id="rId23"/>
    <sheet name="Индонезия 2037" sheetId="24" r:id="rId24"/>
    <sheet name="Ход 2037" sheetId="25" r:id="rId25"/>
    <sheet name="Индонезия 2038" sheetId="26" r:id="rId26"/>
    <sheet name="Ход 2038" sheetId="27" r:id="rId27"/>
    <sheet name="Индонезия 2039" sheetId="28" r:id="rId28"/>
    <sheet name="Ход 2039" sheetId="29" r:id="rId29"/>
    <sheet name="Индонезия 2040" sheetId="30" r:id="rId30"/>
    <sheet name="Ход 2040" sheetId="31" r:id="rId31"/>
    <sheet name="Индонезия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J240" i="33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J24" i="7"/>
  <c r="N7" i="7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J25" i="6"/>
  <c r="J20" i="6"/>
  <c r="T18" i="6"/>
  <c r="J17" i="6"/>
  <c r="T16" i="6"/>
  <c r="T15" i="6"/>
  <c r="T14" i="6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J24" i="5"/>
  <c r="N7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V26" i="4"/>
  <c r="V25" i="4"/>
  <c r="J25" i="4"/>
  <c r="V24" i="4"/>
  <c r="V23" i="4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V19" i="4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V18" i="4"/>
  <c r="T18" i="4"/>
  <c r="L18" i="4"/>
  <c r="V17" i="4"/>
  <c r="L17" i="4"/>
  <c r="J17" i="4"/>
  <c r="C17" i="4"/>
  <c r="V16" i="4"/>
  <c r="T16" i="4"/>
  <c r="L16" i="4"/>
  <c r="C16" i="4"/>
  <c r="V15" i="4"/>
  <c r="T15" i="4"/>
  <c r="L15" i="4"/>
  <c r="V14" i="4"/>
  <c r="T14" i="4"/>
  <c r="L14" i="4"/>
  <c r="C14" i="4"/>
  <c r="V13" i="4"/>
  <c r="L13" i="4"/>
  <c r="C13" i="4"/>
  <c r="V12" i="4"/>
  <c r="L12" i="4"/>
  <c r="C12" i="4"/>
  <c r="V11" i="4"/>
  <c r="L11" i="4"/>
  <c r="C11" i="4"/>
  <c r="C10" i="4"/>
  <c r="C9" i="4"/>
  <c r="C8" i="4"/>
  <c r="K38" i="3"/>
  <c r="H38" i="3"/>
  <c r="K37" i="3"/>
  <c r="H37" i="3"/>
  <c r="K36" i="3"/>
  <c r="H36" i="3"/>
  <c r="K35" i="3"/>
  <c r="H35" i="3"/>
  <c r="K34" i="3"/>
  <c r="H34" i="3"/>
  <c r="K33" i="3"/>
  <c r="H33" i="3"/>
  <c r="H32" i="3"/>
  <c r="H31" i="3"/>
  <c r="Q30" i="3"/>
  <c r="P30" i="3"/>
  <c r="O30" i="3"/>
  <c r="H30" i="3"/>
  <c r="Q29" i="3"/>
  <c r="Q31" i="3" s="1"/>
  <c r="P29" i="3"/>
  <c r="P31" i="3" s="1"/>
  <c r="O29" i="3"/>
  <c r="O31" i="3" s="1"/>
  <c r="H29" i="3"/>
  <c r="M28" i="3"/>
  <c r="M27" i="3"/>
  <c r="M26" i="3"/>
  <c r="M25" i="3"/>
  <c r="I26" i="3"/>
  <c r="H26" i="3"/>
  <c r="G26" i="3"/>
  <c r="J26" i="3" s="1"/>
  <c r="M24" i="3"/>
  <c r="J24" i="3"/>
  <c r="N7" i="3" s="1"/>
  <c r="M23" i="3"/>
  <c r="M22" i="3"/>
  <c r="M21" i="3"/>
  <c r="M20" i="3"/>
  <c r="M19" i="3"/>
  <c r="M18" i="3"/>
  <c r="M17" i="3"/>
  <c r="M16" i="3"/>
  <c r="M15" i="3"/>
  <c r="M14" i="3"/>
  <c r="M13" i="3"/>
  <c r="J7" i="3"/>
  <c r="F7" i="3"/>
  <c r="B7" i="3"/>
  <c r="J55" i="2"/>
  <c r="I55" i="2" s="1"/>
  <c r="B55" i="4" s="1"/>
  <c r="J54" i="2"/>
  <c r="I54" i="2" s="1"/>
  <c r="B54" i="4" s="1"/>
  <c r="J53" i="2"/>
  <c r="I53" i="2" s="1"/>
  <c r="B53" i="4" s="1"/>
  <c r="J51" i="2"/>
  <c r="I51" i="2" s="1"/>
  <c r="B51" i="4" s="1"/>
  <c r="J50" i="2"/>
  <c r="I50" i="2" s="1"/>
  <c r="B50" i="4" s="1"/>
  <c r="J49" i="2"/>
  <c r="I49" i="2" s="1"/>
  <c r="B49" i="4" s="1"/>
  <c r="J48" i="2"/>
  <c r="I48" i="2" s="1"/>
  <c r="B48" i="4" s="1"/>
  <c r="J47" i="2"/>
  <c r="I47" i="2" s="1"/>
  <c r="B47" i="4" s="1"/>
  <c r="J46" i="2"/>
  <c r="I46" i="2" s="1"/>
  <c r="B46" i="4" s="1"/>
  <c r="J45" i="2"/>
  <c r="I45" i="2" s="1"/>
  <c r="B45" i="4" s="1"/>
  <c r="J44" i="2"/>
  <c r="I44" i="2" s="1"/>
  <c r="B44" i="4" s="1"/>
  <c r="J42" i="2"/>
  <c r="I42" i="2" s="1"/>
  <c r="B42" i="4" s="1"/>
  <c r="J41" i="2"/>
  <c r="I41" i="2" s="1"/>
  <c r="B41" i="4" s="1"/>
  <c r="J40" i="2"/>
  <c r="I40" i="2" s="1"/>
  <c r="B40" i="4" s="1"/>
  <c r="J39" i="2"/>
  <c r="I39" i="2" s="1"/>
  <c r="B39" i="4" s="1"/>
  <c r="J38" i="2"/>
  <c r="I38" i="2" s="1"/>
  <c r="B38" i="4" s="1"/>
  <c r="J37" i="2"/>
  <c r="I37" i="2" s="1"/>
  <c r="B37" i="4" s="1"/>
  <c r="J36" i="2"/>
  <c r="I36" i="2" s="1"/>
  <c r="B36" i="4" s="1"/>
  <c r="J35" i="2"/>
  <c r="I35" i="2" s="1"/>
  <c r="B35" i="4" s="1"/>
  <c r="J34" i="2"/>
  <c r="I34" i="2" s="1"/>
  <c r="B34" i="4" s="1"/>
  <c r="J32" i="2"/>
  <c r="I32" i="2" s="1"/>
  <c r="B32" i="4" s="1"/>
  <c r="J31" i="2"/>
  <c r="I31" i="2" s="1"/>
  <c r="B31" i="4" s="1"/>
  <c r="J30" i="2"/>
  <c r="I30" i="2" s="1"/>
  <c r="B30" i="4" s="1"/>
  <c r="J29" i="2"/>
  <c r="I29" i="2" s="1"/>
  <c r="B29" i="4" s="1"/>
  <c r="J28" i="2"/>
  <c r="I28" i="2" s="1"/>
  <c r="B28" i="4" s="1"/>
  <c r="J27" i="2"/>
  <c r="I27" i="2" s="1"/>
  <c r="B27" i="4" s="1"/>
  <c r="W26" i="2"/>
  <c r="J26" i="2"/>
  <c r="I26" i="2" s="1"/>
  <c r="B26" i="4" s="1"/>
  <c r="W25" i="2"/>
  <c r="J25" i="2"/>
  <c r="I25" i="2" s="1"/>
  <c r="B25" i="4" s="1"/>
  <c r="W24" i="2"/>
  <c r="W23" i="2"/>
  <c r="J23" i="2"/>
  <c r="I23" i="2" s="1"/>
  <c r="B23" i="4" s="1"/>
  <c r="W22" i="2"/>
  <c r="J22" i="2"/>
  <c r="I22" i="2" s="1"/>
  <c r="B22" i="4" s="1"/>
  <c r="W21" i="2"/>
  <c r="J21" i="2"/>
  <c r="I21" i="2"/>
  <c r="B21" i="4" s="1"/>
  <c r="W20" i="2"/>
  <c r="J20" i="2"/>
  <c r="I20" i="2" s="1"/>
  <c r="B20" i="4" s="1"/>
  <c r="W19" i="2"/>
  <c r="J19" i="2"/>
  <c r="I19" i="2" s="1"/>
  <c r="B19" i="4" s="1"/>
  <c r="W18" i="2"/>
  <c r="T18" i="2"/>
  <c r="S18" i="2" s="1"/>
  <c r="W17" i="2"/>
  <c r="T17" i="2"/>
  <c r="S17" i="2" s="1"/>
  <c r="J17" i="2"/>
  <c r="I17" i="2" s="1"/>
  <c r="B17" i="4" s="1"/>
  <c r="W16" i="2"/>
  <c r="T16" i="2"/>
  <c r="S16" i="2" s="1"/>
  <c r="J16" i="2"/>
  <c r="I16" i="2" s="1"/>
  <c r="W15" i="2"/>
  <c r="T15" i="2"/>
  <c r="S15" i="2" s="1"/>
  <c r="J15" i="2"/>
  <c r="I15" i="2" s="1"/>
  <c r="B15" i="4" s="1"/>
  <c r="W14" i="2"/>
  <c r="T14" i="2"/>
  <c r="S14" i="2" s="1"/>
  <c r="M14" i="4" s="1"/>
  <c r="J14" i="2"/>
  <c r="I14" i="2" s="1"/>
  <c r="B14" i="4" s="1"/>
  <c r="W13" i="2"/>
  <c r="T13" i="2"/>
  <c r="S13" i="2" s="1"/>
  <c r="J13" i="2"/>
  <c r="I13" i="2" s="1"/>
  <c r="B13" i="4" s="1"/>
  <c r="W12" i="2"/>
  <c r="T12" i="2"/>
  <c r="S12" i="2" s="1"/>
  <c r="J12" i="2"/>
  <c r="I12" i="2" s="1"/>
  <c r="B12" i="4" s="1"/>
  <c r="W11" i="2"/>
  <c r="T11" i="2"/>
  <c r="S11" i="2" s="1"/>
  <c r="J11" i="2"/>
  <c r="I11" i="2" s="1"/>
  <c r="B11" i="4" s="1"/>
  <c r="J10" i="2"/>
  <c r="I10" i="2" s="1"/>
  <c r="B10" i="4" s="1"/>
  <c r="J9" i="2"/>
  <c r="I9" i="2" s="1"/>
  <c r="B9" i="4" s="1"/>
  <c r="J8" i="2"/>
  <c r="I8" i="2" s="1"/>
  <c r="K50" i="1"/>
  <c r="K49" i="1"/>
  <c r="K48" i="1"/>
  <c r="K47" i="1"/>
  <c r="K41" i="1" l="1"/>
  <c r="K29" i="1"/>
  <c r="K28" i="1"/>
  <c r="K27" i="1"/>
  <c r="K26" i="1"/>
  <c r="K36" i="1"/>
  <c r="K37" i="1"/>
  <c r="K38" i="1"/>
  <c r="K39" i="1"/>
  <c r="K40" i="1"/>
  <c r="K12" i="1"/>
  <c r="K42" i="1"/>
  <c r="K43" i="1"/>
  <c r="K44" i="1"/>
  <c r="K33" i="1"/>
  <c r="K34" i="1"/>
  <c r="K35" i="1"/>
  <c r="K24" i="1"/>
  <c r="K23" i="1"/>
  <c r="K22" i="1"/>
  <c r="K20" i="1"/>
  <c r="K19" i="1"/>
  <c r="K18" i="1"/>
  <c r="K17" i="1"/>
  <c r="K16" i="1"/>
  <c r="K15" i="1"/>
  <c r="K14" i="1"/>
  <c r="K13" i="1"/>
  <c r="K45" i="1"/>
  <c r="K46" i="1"/>
  <c r="K25" i="1"/>
  <c r="K31" i="1"/>
  <c r="K11" i="1"/>
  <c r="K30" i="1"/>
  <c r="K21" i="1"/>
  <c r="K32" i="1"/>
  <c r="V26" i="6"/>
  <c r="W26" i="4"/>
  <c r="M28" i="5"/>
  <c r="M27" i="5"/>
  <c r="V25" i="6"/>
  <c r="W25" i="4"/>
  <c r="M26" i="5"/>
  <c r="W24" i="4"/>
  <c r="V24" i="6"/>
  <c r="V23" i="6"/>
  <c r="M25" i="5"/>
  <c r="W23" i="4"/>
  <c r="V22" i="6"/>
  <c r="M24" i="5"/>
  <c r="W22" i="4"/>
  <c r="V21" i="6"/>
  <c r="M23" i="5"/>
  <c r="W21" i="4"/>
  <c r="M22" i="5"/>
  <c r="V20" i="6"/>
  <c r="W20" i="4"/>
  <c r="M21" i="5"/>
  <c r="V19" i="6"/>
  <c r="W19" i="4"/>
  <c r="M20" i="5"/>
  <c r="V18" i="6"/>
  <c r="W18" i="4"/>
  <c r="S18" i="4"/>
  <c r="M19" i="5"/>
  <c r="W17" i="4"/>
  <c r="V17" i="6"/>
  <c r="W16" i="4"/>
  <c r="V16" i="6"/>
  <c r="M18" i="5"/>
  <c r="S16" i="4"/>
  <c r="V15" i="6"/>
  <c r="M17" i="5"/>
  <c r="W15" i="4"/>
  <c r="S15" i="4"/>
  <c r="V14" i="6"/>
  <c r="M16" i="5"/>
  <c r="W14" i="4"/>
  <c r="L14" i="6"/>
  <c r="S14" i="4"/>
  <c r="W13" i="4"/>
  <c r="V13" i="6"/>
  <c r="M15" i="5"/>
  <c r="V12" i="6"/>
  <c r="M14" i="5"/>
  <c r="W12" i="4"/>
  <c r="V11" i="6"/>
  <c r="M13" i="5"/>
  <c r="W11" i="4"/>
  <c r="I55" i="4"/>
  <c r="B55" i="6" s="1"/>
  <c r="I54" i="4"/>
  <c r="B54" i="6" s="1"/>
  <c r="I53" i="4"/>
  <c r="B53" i="6" s="1"/>
  <c r="I50" i="4"/>
  <c r="B50" i="6" s="1"/>
  <c r="I47" i="4"/>
  <c r="B47" i="6" s="1"/>
  <c r="I46" i="4"/>
  <c r="B46" i="6"/>
  <c r="I44" i="4"/>
  <c r="B44" i="6" s="1"/>
  <c r="I42" i="4"/>
  <c r="B42" i="6"/>
  <c r="I41" i="4"/>
  <c r="B41" i="6" s="1"/>
  <c r="I35" i="4"/>
  <c r="B35" i="6" s="1"/>
  <c r="I25" i="4"/>
  <c r="I20" i="4"/>
  <c r="B20" i="6" s="1"/>
  <c r="I17" i="4"/>
  <c r="Q6" i="2"/>
  <c r="N6" i="3" s="1"/>
  <c r="N8" i="3" s="1"/>
  <c r="O8" i="3" s="1"/>
  <c r="B16" i="4"/>
  <c r="N6" i="2"/>
  <c r="J6" i="3" s="1"/>
  <c r="J8" i="3" s="1"/>
  <c r="K8" i="3" s="1"/>
  <c r="U6" i="2"/>
  <c r="B6" i="3" s="1"/>
  <c r="C8" i="3" s="1"/>
  <c r="B8" i="4"/>
  <c r="K6" i="2"/>
  <c r="F6" i="3" s="1"/>
  <c r="F8" i="3" s="1"/>
  <c r="G8" i="3" s="1"/>
  <c r="AC50" i="1"/>
  <c r="AR50" i="1" s="1"/>
  <c r="AC49" i="1"/>
  <c r="AR49" i="1" s="1"/>
  <c r="AC48" i="1"/>
  <c r="AR48" i="1" s="1"/>
  <c r="AC47" i="1"/>
  <c r="AR47" i="1" s="1"/>
  <c r="AC41" i="1" l="1"/>
  <c r="AR41" i="1" s="1"/>
  <c r="AC29" i="1"/>
  <c r="AR29" i="1" s="1"/>
  <c r="AC28" i="1"/>
  <c r="AR28" i="1" s="1"/>
  <c r="AC27" i="1"/>
  <c r="AR27" i="1" s="1"/>
  <c r="AC26" i="1"/>
  <c r="AR26" i="1" s="1"/>
  <c r="AC36" i="1"/>
  <c r="AR36" i="1" s="1"/>
  <c r="AC37" i="1"/>
  <c r="AR37" i="1" s="1"/>
  <c r="AC38" i="1"/>
  <c r="AR38" i="1" s="1"/>
  <c r="AC39" i="1"/>
  <c r="AR39" i="1" s="1"/>
  <c r="AC40" i="1"/>
  <c r="AR40" i="1" s="1"/>
  <c r="AC12" i="1"/>
  <c r="AR12" i="1" s="1"/>
  <c r="K30" i="3" s="1"/>
  <c r="AC42" i="1"/>
  <c r="AR42" i="1" s="1"/>
  <c r="AC43" i="1"/>
  <c r="AR43" i="1" s="1"/>
  <c r="AC44" i="1"/>
  <c r="AR44" i="1" s="1"/>
  <c r="AC33" i="1"/>
  <c r="AR33" i="1" s="1"/>
  <c r="AC34" i="1"/>
  <c r="AR34" i="1" s="1"/>
  <c r="AC35" i="1"/>
  <c r="AR35" i="1" s="1"/>
  <c r="AC24" i="1"/>
  <c r="AR24" i="1" s="1"/>
  <c r="AC23" i="1"/>
  <c r="AR23" i="1" s="1"/>
  <c r="AC22" i="1"/>
  <c r="AR22" i="1" s="1"/>
  <c r="AC20" i="1"/>
  <c r="AR20" i="1" s="1"/>
  <c r="AC19" i="1"/>
  <c r="AR19" i="1" s="1"/>
  <c r="AC18" i="1"/>
  <c r="AR18" i="1" s="1"/>
  <c r="AC17" i="1"/>
  <c r="AR17" i="1" s="1"/>
  <c r="AC16" i="1"/>
  <c r="AR16" i="1" s="1"/>
  <c r="AC15" i="1"/>
  <c r="AR15" i="1" s="1"/>
  <c r="AC14" i="1"/>
  <c r="AR14" i="1" s="1"/>
  <c r="K32" i="3" s="1"/>
  <c r="AC13" i="1"/>
  <c r="AR13" i="1" s="1"/>
  <c r="AC45" i="1"/>
  <c r="AR45" i="1" s="1"/>
  <c r="AC46" i="1"/>
  <c r="AR46" i="1" s="1"/>
  <c r="AC25" i="1"/>
  <c r="AR25" i="1" s="1"/>
  <c r="AC31" i="1"/>
  <c r="AR31" i="1" s="1"/>
  <c r="AC11" i="1"/>
  <c r="AR11" i="1" s="1"/>
  <c r="AC30" i="1"/>
  <c r="AR30" i="1" s="1"/>
  <c r="AC21" i="1"/>
  <c r="AR21" i="1" s="1"/>
  <c r="AC32" i="1"/>
  <c r="AR32" i="1" s="1"/>
  <c r="W26" i="6"/>
  <c r="M28" i="7"/>
  <c r="V26" i="8"/>
  <c r="W25" i="6"/>
  <c r="M27" i="7"/>
  <c r="V25" i="8"/>
  <c r="W24" i="6"/>
  <c r="M26" i="7"/>
  <c r="V24" i="8"/>
  <c r="W23" i="6"/>
  <c r="M25" i="7"/>
  <c r="V23" i="8"/>
  <c r="W22" i="6"/>
  <c r="M24" i="7"/>
  <c r="V22" i="8"/>
  <c r="W21" i="6"/>
  <c r="M23" i="7"/>
  <c r="V21" i="8"/>
  <c r="W20" i="6"/>
  <c r="M22" i="7"/>
  <c r="V20" i="8"/>
  <c r="W19" i="6"/>
  <c r="M21" i="7"/>
  <c r="V19" i="8"/>
  <c r="W18" i="6"/>
  <c r="M20" i="7"/>
  <c r="V18" i="8"/>
  <c r="W17" i="6"/>
  <c r="M19" i="7"/>
  <c r="V17" i="8"/>
  <c r="W16" i="6"/>
  <c r="M18" i="7"/>
  <c r="V16" i="8"/>
  <c r="W15" i="6"/>
  <c r="M17" i="7"/>
  <c r="V15" i="8"/>
  <c r="W14" i="6"/>
  <c r="M16" i="7"/>
  <c r="V14" i="8"/>
  <c r="S14" i="6"/>
  <c r="W13" i="6"/>
  <c r="M15" i="7"/>
  <c r="V13" i="8"/>
  <c r="W12" i="6"/>
  <c r="M14" i="7"/>
  <c r="V12" i="8"/>
  <c r="W11" i="6"/>
  <c r="M13" i="7"/>
  <c r="V11" i="8"/>
  <c r="I55" i="6"/>
  <c r="B55" i="8" s="1"/>
  <c r="I54" i="6"/>
  <c r="B54" i="8" s="1"/>
  <c r="I53" i="6"/>
  <c r="B53" i="8"/>
  <c r="I50" i="6"/>
  <c r="B50" i="8" s="1"/>
  <c r="I47" i="6"/>
  <c r="B47" i="8" s="1"/>
  <c r="I46" i="6"/>
  <c r="B46" i="8"/>
  <c r="I44" i="6"/>
  <c r="B44" i="8"/>
  <c r="I42" i="6"/>
  <c r="B42" i="8" s="1"/>
  <c r="I41" i="6"/>
  <c r="B41" i="8" s="1"/>
  <c r="I35" i="6"/>
  <c r="B35" i="8" s="1"/>
  <c r="I20" i="6"/>
  <c r="B20" i="8" s="1"/>
  <c r="K234" i="33"/>
  <c r="K235" i="33"/>
  <c r="K236" i="33"/>
  <c r="K237" i="33"/>
  <c r="K19" i="33" s="1"/>
  <c r="K238" i="33"/>
  <c r="K239" i="33"/>
  <c r="K240" i="33"/>
  <c r="K228" i="33"/>
  <c r="K229" i="33"/>
  <c r="K230" i="33"/>
  <c r="K231" i="33"/>
  <c r="K232" i="33"/>
  <c r="K233" i="33"/>
  <c r="K225" i="33"/>
  <c r="K226" i="33"/>
  <c r="K10" i="33" s="1"/>
  <c r="M14" i="6" s="1"/>
  <c r="L14" i="8" s="1"/>
  <c r="K227" i="33"/>
  <c r="K224" i="33"/>
  <c r="K7" i="33" s="1"/>
  <c r="K29" i="3" l="1"/>
  <c r="K31" i="3"/>
  <c r="K192" i="33"/>
  <c r="K125" i="33"/>
  <c r="K115" i="33"/>
  <c r="C25" i="4" s="1"/>
  <c r="K116" i="33"/>
  <c r="K117" i="33"/>
  <c r="C29" i="4" s="1"/>
  <c r="K118" i="33"/>
  <c r="K119" i="33"/>
  <c r="K120" i="33"/>
  <c r="K121" i="33"/>
  <c r="K122" i="33"/>
  <c r="K123" i="33"/>
  <c r="K124" i="33"/>
  <c r="K106" i="33"/>
  <c r="K107" i="33"/>
  <c r="C27" i="4" s="1"/>
  <c r="K108" i="33"/>
  <c r="K109" i="33"/>
  <c r="K110" i="33"/>
  <c r="K111" i="33"/>
  <c r="K112" i="33"/>
  <c r="K113" i="33"/>
  <c r="K114" i="33"/>
  <c r="K100" i="33"/>
  <c r="K101" i="33"/>
  <c r="K102" i="33"/>
  <c r="K103" i="33"/>
  <c r="K104" i="33"/>
  <c r="K105" i="33"/>
  <c r="K159" i="33"/>
  <c r="K160" i="33"/>
  <c r="K161" i="33"/>
  <c r="K162" i="33"/>
  <c r="K163" i="33"/>
  <c r="K164" i="33"/>
  <c r="K165" i="33"/>
  <c r="K166" i="33"/>
  <c r="K167" i="33"/>
  <c r="M15" i="4" s="1"/>
  <c r="K168" i="33"/>
  <c r="K169" i="33"/>
  <c r="K170" i="33"/>
  <c r="K13" i="33" s="1"/>
  <c r="O30" i="5" s="1"/>
  <c r="O31" i="5" s="1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2" i="33" s="1"/>
  <c r="K188" i="33"/>
  <c r="K189" i="33"/>
  <c r="K190" i="33"/>
  <c r="K191" i="33"/>
  <c r="K26" i="33"/>
  <c r="K27" i="33"/>
  <c r="J19" i="4" s="1"/>
  <c r="I19" i="4" s="1"/>
  <c r="B19" i="6" s="1"/>
  <c r="K28" i="33"/>
  <c r="K193" i="33"/>
  <c r="K194" i="33"/>
  <c r="K195" i="33"/>
  <c r="K196" i="33"/>
  <c r="K197" i="33"/>
  <c r="K198" i="33"/>
  <c r="K199" i="33"/>
  <c r="K200" i="33"/>
  <c r="K201" i="33"/>
  <c r="C32" i="4" s="1"/>
  <c r="K202" i="33"/>
  <c r="K203" i="33"/>
  <c r="K204" i="33"/>
  <c r="K205" i="33"/>
  <c r="K140" i="33"/>
  <c r="K141" i="33"/>
  <c r="K142" i="33"/>
  <c r="K143" i="33"/>
  <c r="K144" i="33"/>
  <c r="K11" i="33" s="1"/>
  <c r="K145" i="33"/>
  <c r="K146" i="33"/>
  <c r="K147" i="33"/>
  <c r="K148" i="33"/>
  <c r="T12" i="4" s="1"/>
  <c r="S12" i="4" s="1"/>
  <c r="K149" i="33"/>
  <c r="T17" i="4" s="1"/>
  <c r="S17" i="4" s="1"/>
  <c r="K150" i="33"/>
  <c r="K151" i="33"/>
  <c r="K152" i="33"/>
  <c r="K153" i="33"/>
  <c r="K154" i="33"/>
  <c r="K155" i="33"/>
  <c r="K156" i="33"/>
  <c r="K157" i="33"/>
  <c r="K158" i="33"/>
  <c r="K92" i="33"/>
  <c r="J26" i="4" s="1"/>
  <c r="I26" i="4" s="1"/>
  <c r="K93" i="33"/>
  <c r="K94" i="33"/>
  <c r="K95" i="33"/>
  <c r="K91" i="33"/>
  <c r="K81" i="33"/>
  <c r="C23" i="4" s="1"/>
  <c r="K82" i="33"/>
  <c r="K83" i="33"/>
  <c r="K84" i="33"/>
  <c r="K85" i="33"/>
  <c r="K86" i="33"/>
  <c r="K9" i="33" s="1"/>
  <c r="K87" i="33"/>
  <c r="K88" i="33"/>
  <c r="K89" i="33"/>
  <c r="K90" i="33"/>
  <c r="K65" i="33"/>
  <c r="K66" i="33"/>
  <c r="C28" i="4" s="1"/>
  <c r="K67" i="33"/>
  <c r="K68" i="33"/>
  <c r="K69" i="33"/>
  <c r="K70" i="33"/>
  <c r="K71" i="33"/>
  <c r="K61" i="33"/>
  <c r="K62" i="33"/>
  <c r="K63" i="33"/>
  <c r="J29" i="4" s="1"/>
  <c r="I29" i="4" s="1"/>
  <c r="K64" i="33"/>
  <c r="K58" i="33"/>
  <c r="K59" i="33"/>
  <c r="K60" i="33"/>
  <c r="K57" i="33"/>
  <c r="J23" i="4" s="1"/>
  <c r="I23" i="4" s="1"/>
  <c r="K47" i="33"/>
  <c r="K48" i="33"/>
  <c r="J22" i="4" s="1"/>
  <c r="I22" i="4" s="1"/>
  <c r="B22" i="6" s="1"/>
  <c r="K49" i="33"/>
  <c r="K50" i="33"/>
  <c r="J28" i="4" s="1"/>
  <c r="I28" i="4" s="1"/>
  <c r="K51" i="33"/>
  <c r="C15" i="4" s="1"/>
  <c r="K52" i="33"/>
  <c r="K8" i="33" s="1"/>
  <c r="K53" i="33"/>
  <c r="K54" i="33"/>
  <c r="K55" i="33"/>
  <c r="K56" i="33"/>
  <c r="K39" i="33"/>
  <c r="K40" i="33"/>
  <c r="K41" i="33"/>
  <c r="K42" i="33"/>
  <c r="K43" i="33"/>
  <c r="K44" i="33"/>
  <c r="K45" i="33"/>
  <c r="K46" i="33"/>
  <c r="K33" i="33"/>
  <c r="K34" i="33"/>
  <c r="K35" i="33"/>
  <c r="K36" i="33"/>
  <c r="K37" i="33"/>
  <c r="K38" i="33"/>
  <c r="K29" i="33"/>
  <c r="K30" i="33"/>
  <c r="K31" i="33"/>
  <c r="J9" i="4" s="1"/>
  <c r="I9" i="4" s="1"/>
  <c r="K32" i="33"/>
  <c r="K206" i="33"/>
  <c r="K207" i="33"/>
  <c r="K208" i="33"/>
  <c r="K209" i="33"/>
  <c r="K210" i="33"/>
  <c r="K211" i="33"/>
  <c r="K212" i="33"/>
  <c r="K213" i="33"/>
  <c r="K214" i="33"/>
  <c r="K215" i="33"/>
  <c r="J45" i="4" s="1"/>
  <c r="I45" i="4" s="1"/>
  <c r="B45" i="6" s="1"/>
  <c r="K216" i="33"/>
  <c r="C48" i="4" s="1"/>
  <c r="K217" i="33"/>
  <c r="K16" i="33" s="1"/>
  <c r="G25" i="5" s="1"/>
  <c r="G26" i="5" s="1"/>
  <c r="K218" i="33"/>
  <c r="K219" i="33"/>
  <c r="K220" i="33"/>
  <c r="K221" i="33"/>
  <c r="K222" i="33"/>
  <c r="K223" i="33"/>
  <c r="K96" i="33"/>
  <c r="K97" i="33"/>
  <c r="K98" i="33"/>
  <c r="K99" i="33"/>
  <c r="K130" i="33"/>
  <c r="K131" i="33"/>
  <c r="K132" i="33"/>
  <c r="K133" i="33"/>
  <c r="K25" i="33"/>
  <c r="K126" i="33"/>
  <c r="K127" i="33"/>
  <c r="C38" i="4" s="1"/>
  <c r="K128" i="33"/>
  <c r="K129" i="33"/>
  <c r="K72" i="33"/>
  <c r="K73" i="33"/>
  <c r="K74" i="33"/>
  <c r="K75" i="33"/>
  <c r="K76" i="33"/>
  <c r="K77" i="33"/>
  <c r="K78" i="33"/>
  <c r="K79" i="33"/>
  <c r="K80" i="33"/>
  <c r="K134" i="33"/>
  <c r="K135" i="33"/>
  <c r="K136" i="33"/>
  <c r="K137" i="33"/>
  <c r="K138" i="33"/>
  <c r="K139" i="33"/>
  <c r="W26" i="8"/>
  <c r="M28" i="9"/>
  <c r="V26" i="10"/>
  <c r="W25" i="8"/>
  <c r="M27" i="9"/>
  <c r="V25" i="10"/>
  <c r="W24" i="8"/>
  <c r="M26" i="9"/>
  <c r="V24" i="10"/>
  <c r="W23" i="8"/>
  <c r="M25" i="9"/>
  <c r="V23" i="10"/>
  <c r="W22" i="8"/>
  <c r="M24" i="9"/>
  <c r="V22" i="10"/>
  <c r="W21" i="8"/>
  <c r="M23" i="9"/>
  <c r="V21" i="10"/>
  <c r="W20" i="8"/>
  <c r="M22" i="9"/>
  <c r="V20" i="10"/>
  <c r="W19" i="8"/>
  <c r="M21" i="9"/>
  <c r="V19" i="10"/>
  <c r="W18" i="8"/>
  <c r="M20" i="9"/>
  <c r="V18" i="10"/>
  <c r="W17" i="8"/>
  <c r="M19" i="9"/>
  <c r="V17" i="10"/>
  <c r="W16" i="8"/>
  <c r="M18" i="9"/>
  <c r="V16" i="10"/>
  <c r="W15" i="8"/>
  <c r="M17" i="9"/>
  <c r="V15" i="10"/>
  <c r="W14" i="8"/>
  <c r="M16" i="9"/>
  <c r="V14" i="10"/>
  <c r="S14" i="8"/>
  <c r="W13" i="8"/>
  <c r="M15" i="9"/>
  <c r="V13" i="10"/>
  <c r="W12" i="8"/>
  <c r="M14" i="9"/>
  <c r="V12" i="10"/>
  <c r="W11" i="8"/>
  <c r="M13" i="9"/>
  <c r="V11" i="10"/>
  <c r="I55" i="8"/>
  <c r="B55" i="10" s="1"/>
  <c r="I54" i="8"/>
  <c r="B54" i="10" s="1"/>
  <c r="I53" i="8"/>
  <c r="B53" i="10" s="1"/>
  <c r="I50" i="8"/>
  <c r="B50" i="10" s="1"/>
  <c r="I47" i="8"/>
  <c r="B47" i="10" s="1"/>
  <c r="I46" i="8"/>
  <c r="B46" i="10" s="1"/>
  <c r="I44" i="8"/>
  <c r="B44" i="10"/>
  <c r="I42" i="8"/>
  <c r="B42" i="10"/>
  <c r="I41" i="8"/>
  <c r="B41" i="10"/>
  <c r="I35" i="8"/>
  <c r="B35" i="10"/>
  <c r="I20" i="8"/>
  <c r="B20" i="10"/>
  <c r="L11" i="1"/>
  <c r="L12" i="1"/>
  <c r="L13" i="1"/>
  <c r="L14" i="1"/>
  <c r="L15" i="1"/>
  <c r="L16" i="1"/>
  <c r="L23" i="1"/>
  <c r="L24" i="1"/>
  <c r="L25" i="1"/>
  <c r="L26" i="1"/>
  <c r="L27" i="1"/>
  <c r="L28" i="1"/>
  <c r="L35" i="1"/>
  <c r="L36" i="1"/>
  <c r="L37" i="1"/>
  <c r="L38" i="1"/>
  <c r="L39" i="1"/>
  <c r="L40" i="1"/>
  <c r="L41" i="1"/>
  <c r="L42" i="1"/>
  <c r="L43" i="1"/>
  <c r="L44" i="1"/>
  <c r="L45" i="1"/>
  <c r="L46" i="1"/>
  <c r="J27" i="4" l="1"/>
  <c r="I27" i="4" s="1"/>
  <c r="J30" i="4"/>
  <c r="I30" i="4" s="1"/>
  <c r="B30" i="6" s="1"/>
  <c r="J15" i="4"/>
  <c r="I15" i="4" s="1"/>
  <c r="B15" i="6" s="1"/>
  <c r="J32" i="4"/>
  <c r="I32" i="4" s="1"/>
  <c r="K15" i="33"/>
  <c r="Q30" i="5" s="1"/>
  <c r="Q31" i="5" s="1"/>
  <c r="J51" i="4"/>
  <c r="I51" i="4" s="1"/>
  <c r="B51" i="6" s="1"/>
  <c r="C26" i="4"/>
  <c r="M12" i="4"/>
  <c r="L12" i="6" s="1"/>
  <c r="J49" i="4"/>
  <c r="I49" i="4" s="1"/>
  <c r="B49" i="6" s="1"/>
  <c r="B25" i="6"/>
  <c r="B29" i="6"/>
  <c r="B27" i="6"/>
  <c r="L15" i="6"/>
  <c r="B9" i="6"/>
  <c r="B17" i="6"/>
  <c r="C8" i="6"/>
  <c r="C9" i="6"/>
  <c r="C10" i="6"/>
  <c r="C11" i="6"/>
  <c r="C12" i="6"/>
  <c r="C13" i="6"/>
  <c r="C14" i="6"/>
  <c r="C16" i="6"/>
  <c r="C17" i="6"/>
  <c r="B32" i="6"/>
  <c r="B26" i="6"/>
  <c r="B23" i="6"/>
  <c r="B28" i="6"/>
  <c r="W26" i="10"/>
  <c r="M28" i="11"/>
  <c r="V26" i="12"/>
  <c r="W25" i="10"/>
  <c r="M27" i="11"/>
  <c r="V25" i="12"/>
  <c r="W24" i="10"/>
  <c r="M26" i="11"/>
  <c r="V24" i="12"/>
  <c r="W23" i="10"/>
  <c r="M25" i="11"/>
  <c r="V23" i="12"/>
  <c r="W22" i="10"/>
  <c r="M24" i="11"/>
  <c r="V22" i="12"/>
  <c r="W21" i="10"/>
  <c r="M23" i="11"/>
  <c r="V21" i="12"/>
  <c r="W20" i="10"/>
  <c r="M22" i="11"/>
  <c r="V20" i="12"/>
  <c r="W19" i="10"/>
  <c r="M21" i="11"/>
  <c r="V19" i="12"/>
  <c r="W18" i="10"/>
  <c r="M20" i="11"/>
  <c r="V18" i="12"/>
  <c r="W17" i="10"/>
  <c r="M19" i="11"/>
  <c r="V17" i="12"/>
  <c r="W16" i="10"/>
  <c r="M18" i="11"/>
  <c r="V16" i="12"/>
  <c r="W15" i="10"/>
  <c r="M17" i="11"/>
  <c r="V15" i="12"/>
  <c r="W14" i="10"/>
  <c r="M16" i="11"/>
  <c r="V14" i="12"/>
  <c r="W13" i="10"/>
  <c r="M15" i="11"/>
  <c r="V13" i="12"/>
  <c r="W12" i="10"/>
  <c r="M14" i="11"/>
  <c r="V12" i="12"/>
  <c r="W11" i="10"/>
  <c r="M13" i="11"/>
  <c r="V11" i="12"/>
  <c r="I55" i="10"/>
  <c r="B55" i="12" s="1"/>
  <c r="I54" i="10"/>
  <c r="B54" i="12" s="1"/>
  <c r="I53" i="10"/>
  <c r="B53" i="12"/>
  <c r="I50" i="10"/>
  <c r="B50" i="12" s="1"/>
  <c r="I47" i="10"/>
  <c r="B47" i="12" s="1"/>
  <c r="I46" i="10"/>
  <c r="B46" i="12" s="1"/>
  <c r="I44" i="10"/>
  <c r="B44" i="12" s="1"/>
  <c r="I42" i="10"/>
  <c r="B42" i="12"/>
  <c r="I41" i="10"/>
  <c r="B41" i="12" s="1"/>
  <c r="I35" i="10"/>
  <c r="B35" i="12" s="1"/>
  <c r="I20" i="10"/>
  <c r="B20" i="12" s="1"/>
  <c r="AD11" i="1"/>
  <c r="AS11" i="1" s="1"/>
  <c r="AD12" i="1"/>
  <c r="AS12" i="1" s="1"/>
  <c r="AD13" i="1"/>
  <c r="AS13" i="1" s="1"/>
  <c r="AD14" i="1"/>
  <c r="AS14" i="1" s="1"/>
  <c r="AD15" i="1"/>
  <c r="AS15" i="1" s="1"/>
  <c r="AD16" i="1"/>
  <c r="AS16" i="1" s="1"/>
  <c r="AD23" i="1"/>
  <c r="AS23" i="1" s="1"/>
  <c r="AD24" i="1"/>
  <c r="AS24" i="1" s="1"/>
  <c r="AD25" i="1"/>
  <c r="AS25" i="1" s="1"/>
  <c r="AD26" i="1"/>
  <c r="AS26" i="1" s="1"/>
  <c r="AD27" i="1"/>
  <c r="AS27" i="1" s="1"/>
  <c r="AD28" i="1"/>
  <c r="AS28" i="1" s="1"/>
  <c r="AD35" i="1"/>
  <c r="AS35" i="1" s="1"/>
  <c r="AD36" i="1"/>
  <c r="AS36" i="1" s="1"/>
  <c r="AD37" i="1"/>
  <c r="AS37" i="1" s="1"/>
  <c r="AD38" i="1"/>
  <c r="AS38" i="1" s="1"/>
  <c r="AD39" i="1"/>
  <c r="AS39" i="1" s="1"/>
  <c r="AD40" i="1"/>
  <c r="AS40" i="1" s="1"/>
  <c r="AD41" i="1"/>
  <c r="AS41" i="1" s="1"/>
  <c r="AD42" i="1"/>
  <c r="AS42" i="1" s="1"/>
  <c r="AD43" i="1"/>
  <c r="AS43" i="1" s="1"/>
  <c r="AD44" i="1"/>
  <c r="AS44" i="1" s="1"/>
  <c r="AD45" i="1"/>
  <c r="AS45" i="1" s="1"/>
  <c r="AD46" i="1"/>
  <c r="AS46" i="1" s="1"/>
  <c r="M18" i="4"/>
  <c r="T11" i="4"/>
  <c r="S11" i="4" s="1"/>
  <c r="J34" i="4"/>
  <c r="I34" i="4" s="1"/>
  <c r="B34" i="6" s="1"/>
  <c r="J37" i="4"/>
  <c r="I37" i="4" s="1"/>
  <c r="B37" i="6" s="1"/>
  <c r="K17" i="33"/>
  <c r="H25" i="5" s="1"/>
  <c r="H26" i="5" s="1"/>
  <c r="J12" i="4"/>
  <c r="I12" i="4" s="1"/>
  <c r="B12" i="6" s="1"/>
  <c r="J21" i="4"/>
  <c r="I21" i="4" s="1"/>
  <c r="B21" i="6" s="1"/>
  <c r="J16" i="4"/>
  <c r="I16" i="4" s="1"/>
  <c r="B16" i="6" s="1"/>
  <c r="J10" i="4"/>
  <c r="I10" i="4" s="1"/>
  <c r="B10" i="6" s="1"/>
  <c r="J11" i="4"/>
  <c r="I11" i="4" s="1"/>
  <c r="B11" i="6" s="1"/>
  <c r="J13" i="4"/>
  <c r="I13" i="4" s="1"/>
  <c r="B13" i="6" s="1"/>
  <c r="J14" i="4"/>
  <c r="I14" i="4" s="1"/>
  <c r="B14" i="6" s="1"/>
  <c r="J38" i="4"/>
  <c r="I38" i="4" s="1"/>
  <c r="B38" i="6" s="1"/>
  <c r="J36" i="4"/>
  <c r="I36" i="4" s="1"/>
  <c r="B36" i="6" s="1"/>
  <c r="T13" i="4"/>
  <c r="S13" i="4" s="1"/>
  <c r="M17" i="4"/>
  <c r="K14" i="33"/>
  <c r="P30" i="5" s="1"/>
  <c r="P31" i="5" s="1"/>
  <c r="J48" i="4"/>
  <c r="I48" i="4" s="1"/>
  <c r="B48" i="6" s="1"/>
  <c r="J39" i="4"/>
  <c r="I39" i="4" s="1"/>
  <c r="B39" i="6" s="1"/>
  <c r="M16" i="4"/>
  <c r="M13" i="4"/>
  <c r="K18" i="33"/>
  <c r="I25" i="5" s="1"/>
  <c r="I26" i="5" s="1"/>
  <c r="J31" i="4"/>
  <c r="I31" i="4" s="1"/>
  <c r="B31" i="6" s="1"/>
  <c r="M11" i="4"/>
  <c r="J8" i="4"/>
  <c r="I8" i="4" s="1"/>
  <c r="B8" i="6" s="1"/>
  <c r="J40" i="4"/>
  <c r="I40" i="4" s="1"/>
  <c r="B40" i="6" s="1"/>
  <c r="L29" i="1"/>
  <c r="L30" i="1"/>
  <c r="L31" i="1"/>
  <c r="L32" i="1"/>
  <c r="L33" i="1"/>
  <c r="L34" i="1"/>
  <c r="L47" i="1"/>
  <c r="L49" i="1"/>
  <c r="L48" i="1"/>
  <c r="L50" i="1"/>
  <c r="L17" i="1"/>
  <c r="L18" i="1"/>
  <c r="L19" i="1"/>
  <c r="L20" i="1"/>
  <c r="L21" i="1"/>
  <c r="L22" i="1"/>
  <c r="I25" i="6" l="1"/>
  <c r="S15" i="6"/>
  <c r="I17" i="6"/>
  <c r="V26" i="14"/>
  <c r="M28" i="13"/>
  <c r="W26" i="12"/>
  <c r="W25" i="12"/>
  <c r="M27" i="13"/>
  <c r="V25" i="14"/>
  <c r="W24" i="12"/>
  <c r="M26" i="13"/>
  <c r="V24" i="14"/>
  <c r="W23" i="12"/>
  <c r="M25" i="13"/>
  <c r="V23" i="14"/>
  <c r="W22" i="12"/>
  <c r="V22" i="14"/>
  <c r="M24" i="13"/>
  <c r="W21" i="12"/>
  <c r="V21" i="14"/>
  <c r="M23" i="13"/>
  <c r="W20" i="12"/>
  <c r="M22" i="13"/>
  <c r="V20" i="14"/>
  <c r="W19" i="12"/>
  <c r="M21" i="13"/>
  <c r="V19" i="14"/>
  <c r="W18" i="12"/>
  <c r="V18" i="14"/>
  <c r="M20" i="13"/>
  <c r="W17" i="12"/>
  <c r="V17" i="14"/>
  <c r="M19" i="13"/>
  <c r="W16" i="12"/>
  <c r="M18" i="13"/>
  <c r="V16" i="14"/>
  <c r="W15" i="12"/>
  <c r="M17" i="13"/>
  <c r="V15" i="14"/>
  <c r="W14" i="12"/>
  <c r="V14" i="14"/>
  <c r="M16" i="13"/>
  <c r="W13" i="12"/>
  <c r="V13" i="14"/>
  <c r="M15" i="13"/>
  <c r="W12" i="12"/>
  <c r="M14" i="13"/>
  <c r="V12" i="14"/>
  <c r="W11" i="12"/>
  <c r="V11" i="14"/>
  <c r="M13" i="13"/>
  <c r="I55" i="12"/>
  <c r="B55" i="14" s="1"/>
  <c r="I54" i="12"/>
  <c r="B54" i="14" s="1"/>
  <c r="I53" i="12"/>
  <c r="B53" i="14" s="1"/>
  <c r="I50" i="12"/>
  <c r="B50" i="14" s="1"/>
  <c r="I47" i="12"/>
  <c r="B47" i="14"/>
  <c r="I46" i="12"/>
  <c r="B46" i="14"/>
  <c r="I44" i="12"/>
  <c r="B44" i="14" s="1"/>
  <c r="I42" i="12"/>
  <c r="B42" i="14"/>
  <c r="I41" i="12"/>
  <c r="B41" i="14"/>
  <c r="I35" i="12"/>
  <c r="B35" i="14"/>
  <c r="I20" i="12"/>
  <c r="B20" i="14" s="1"/>
  <c r="L25" i="33"/>
  <c r="L28" i="33"/>
  <c r="L27" i="33"/>
  <c r="J19" i="6" s="1"/>
  <c r="I19" i="6" s="1"/>
  <c r="B19" i="8" s="1"/>
  <c r="L26" i="33"/>
  <c r="L32" i="33"/>
  <c r="L31" i="33"/>
  <c r="J9" i="6" s="1"/>
  <c r="I9" i="6" s="1"/>
  <c r="L30" i="33"/>
  <c r="L29" i="33"/>
  <c r="L38" i="33"/>
  <c r="L37" i="33"/>
  <c r="L36" i="33"/>
  <c r="L35" i="33"/>
  <c r="L34" i="33"/>
  <c r="L33" i="33"/>
  <c r="L46" i="33"/>
  <c r="L45" i="33"/>
  <c r="L44" i="33"/>
  <c r="L43" i="33"/>
  <c r="L42" i="33"/>
  <c r="L41" i="33"/>
  <c r="L40" i="33"/>
  <c r="L39" i="33"/>
  <c r="L56" i="33"/>
  <c r="L55" i="33"/>
  <c r="L54" i="33"/>
  <c r="L53" i="33"/>
  <c r="L52" i="33"/>
  <c r="L8" i="33" s="1"/>
  <c r="L51" i="33"/>
  <c r="C15" i="6" s="1"/>
  <c r="L50" i="33"/>
  <c r="L49" i="33"/>
  <c r="L48" i="33"/>
  <c r="L47" i="33"/>
  <c r="L91" i="33"/>
  <c r="L95" i="33"/>
  <c r="L94" i="33"/>
  <c r="L93" i="33"/>
  <c r="L92" i="33"/>
  <c r="J26" i="6" s="1"/>
  <c r="I26" i="6" s="1"/>
  <c r="L99" i="33"/>
  <c r="L98" i="33"/>
  <c r="L97" i="33"/>
  <c r="L96" i="33"/>
  <c r="L105" i="33"/>
  <c r="L104" i="33"/>
  <c r="L103" i="33"/>
  <c r="L102" i="33"/>
  <c r="L101" i="33"/>
  <c r="L100" i="33"/>
  <c r="L114" i="33"/>
  <c r="L113" i="33"/>
  <c r="L112" i="33"/>
  <c r="L111" i="33"/>
  <c r="L110" i="33"/>
  <c r="L109" i="33"/>
  <c r="L108" i="33"/>
  <c r="L107" i="33"/>
  <c r="C27" i="6" s="1"/>
  <c r="L106" i="33"/>
  <c r="L124" i="33"/>
  <c r="L123" i="33"/>
  <c r="L122" i="33"/>
  <c r="L121" i="33"/>
  <c r="L120" i="33"/>
  <c r="L119" i="33"/>
  <c r="L118" i="33"/>
  <c r="L117" i="33"/>
  <c r="C29" i="6" s="1"/>
  <c r="L116" i="33"/>
  <c r="L115" i="33"/>
  <c r="C25" i="6" s="1"/>
  <c r="B25" i="8" s="1"/>
  <c r="L158" i="33"/>
  <c r="L162" i="33"/>
  <c r="L161" i="33"/>
  <c r="L160" i="33"/>
  <c r="L159" i="33"/>
  <c r="L166" i="33"/>
  <c r="L165" i="33"/>
  <c r="L164" i="33"/>
  <c r="L163" i="33"/>
  <c r="L172" i="33"/>
  <c r="L171" i="33"/>
  <c r="L170" i="33"/>
  <c r="L13" i="33" s="1"/>
  <c r="O30" i="7" s="1"/>
  <c r="O31" i="7" s="1"/>
  <c r="L169" i="33"/>
  <c r="L168" i="33"/>
  <c r="L167" i="33"/>
  <c r="M15" i="6" s="1"/>
  <c r="L15" i="8" s="1"/>
  <c r="L180" i="33"/>
  <c r="L179" i="33"/>
  <c r="L178" i="33"/>
  <c r="L177" i="33"/>
  <c r="L176" i="33"/>
  <c r="L175" i="33"/>
  <c r="L174" i="33"/>
  <c r="L173" i="33"/>
  <c r="L191" i="33"/>
  <c r="L190" i="33"/>
  <c r="L189" i="33"/>
  <c r="L188" i="33"/>
  <c r="L187" i="33"/>
  <c r="L12" i="33" s="1"/>
  <c r="L186" i="33"/>
  <c r="L185" i="33"/>
  <c r="L184" i="33"/>
  <c r="L183" i="33"/>
  <c r="L182" i="33"/>
  <c r="L181" i="33"/>
  <c r="L192" i="33"/>
  <c r="L195" i="33"/>
  <c r="L194" i="33"/>
  <c r="L193" i="33"/>
  <c r="L199" i="33"/>
  <c r="L198" i="33"/>
  <c r="L197" i="33"/>
  <c r="L196" i="33"/>
  <c r="L205" i="33"/>
  <c r="L204" i="33"/>
  <c r="L203" i="33"/>
  <c r="L202" i="33"/>
  <c r="L201" i="33"/>
  <c r="C32" i="6" s="1"/>
  <c r="L200" i="33"/>
  <c r="L213" i="33"/>
  <c r="L212" i="33"/>
  <c r="L211" i="33"/>
  <c r="L210" i="33"/>
  <c r="L209" i="33"/>
  <c r="L208" i="33"/>
  <c r="L207" i="33"/>
  <c r="L206" i="33"/>
  <c r="L223" i="33"/>
  <c r="L222" i="33"/>
  <c r="L221" i="33"/>
  <c r="L220" i="33"/>
  <c r="L219" i="33"/>
  <c r="L218" i="33"/>
  <c r="L217" i="33"/>
  <c r="L16" i="33" s="1"/>
  <c r="G25" i="7" s="1"/>
  <c r="G26" i="7" s="1"/>
  <c r="L216" i="33"/>
  <c r="C48" i="6" s="1"/>
  <c r="L215" i="33"/>
  <c r="J45" i="6" s="1"/>
  <c r="I45" i="6" s="1"/>
  <c r="B45" i="8" s="1"/>
  <c r="L214" i="33"/>
  <c r="L18" i="6"/>
  <c r="L17" i="6"/>
  <c r="L16" i="6"/>
  <c r="L13" i="6"/>
  <c r="M11" i="6"/>
  <c r="L11" i="6"/>
  <c r="AD29" i="1"/>
  <c r="AS29" i="1" s="1"/>
  <c r="AD30" i="1"/>
  <c r="AS30" i="1" s="1"/>
  <c r="AD31" i="1"/>
  <c r="AS31" i="1" s="1"/>
  <c r="AD32" i="1"/>
  <c r="AS32" i="1" s="1"/>
  <c r="AD33" i="1"/>
  <c r="AS33" i="1" s="1"/>
  <c r="AD34" i="1"/>
  <c r="AS34" i="1" s="1"/>
  <c r="AD47" i="1"/>
  <c r="AS47" i="1" s="1"/>
  <c r="AD49" i="1"/>
  <c r="AS49" i="1" s="1"/>
  <c r="AD48" i="1"/>
  <c r="AS48" i="1" s="1"/>
  <c r="AD50" i="1"/>
  <c r="AS50" i="1" s="1"/>
  <c r="AD17" i="1"/>
  <c r="AS17" i="1" s="1"/>
  <c r="AD18" i="1"/>
  <c r="AS18" i="1" s="1"/>
  <c r="AD19" i="1"/>
  <c r="AS19" i="1" s="1"/>
  <c r="AD20" i="1"/>
  <c r="AS20" i="1" s="1"/>
  <c r="AD21" i="1"/>
  <c r="AS21" i="1" s="1"/>
  <c r="AD22" i="1"/>
  <c r="AS22" i="1" s="1"/>
  <c r="Q6" i="4"/>
  <c r="N6" i="5" s="1"/>
  <c r="N8" i="5" s="1"/>
  <c r="O8" i="5" s="1"/>
  <c r="N6" i="4"/>
  <c r="J6" i="5" s="1"/>
  <c r="J8" i="5" s="1"/>
  <c r="K8" i="5" s="1"/>
  <c r="J26" i="5"/>
  <c r="U6" i="4"/>
  <c r="B6" i="5" s="1"/>
  <c r="B8" i="5" s="1"/>
  <c r="C8" i="5" s="1"/>
  <c r="K6" i="4"/>
  <c r="F6" i="5" s="1"/>
  <c r="F8" i="5" s="1"/>
  <c r="G8" i="5" s="1"/>
  <c r="J34" i="6" l="1"/>
  <c r="I34" i="6" s="1"/>
  <c r="B34" i="8" s="1"/>
  <c r="I25" i="8"/>
  <c r="S15" i="8"/>
  <c r="W26" i="14"/>
  <c r="V26" i="16"/>
  <c r="M28" i="15"/>
  <c r="W25" i="14"/>
  <c r="M27" i="15"/>
  <c r="V25" i="16"/>
  <c r="W24" i="14"/>
  <c r="M26" i="15"/>
  <c r="V24" i="16"/>
  <c r="W23" i="14"/>
  <c r="M25" i="15"/>
  <c r="V23" i="16"/>
  <c r="W22" i="14"/>
  <c r="M24" i="15"/>
  <c r="V22" i="16"/>
  <c r="V21" i="16"/>
  <c r="W21" i="14"/>
  <c r="M23" i="15"/>
  <c r="M22" i="15"/>
  <c r="V20" i="16"/>
  <c r="W20" i="14"/>
  <c r="M21" i="15"/>
  <c r="W19" i="14"/>
  <c r="V19" i="16"/>
  <c r="W18" i="14"/>
  <c r="M20" i="15"/>
  <c r="V18" i="16"/>
  <c r="W17" i="14"/>
  <c r="M19" i="15"/>
  <c r="V17" i="16"/>
  <c r="W16" i="14"/>
  <c r="M18" i="15"/>
  <c r="V16" i="16"/>
  <c r="W15" i="14"/>
  <c r="M17" i="15"/>
  <c r="V15" i="16"/>
  <c r="W14" i="14"/>
  <c r="M16" i="15"/>
  <c r="V14" i="16"/>
  <c r="W13" i="14"/>
  <c r="V13" i="16"/>
  <c r="M15" i="15"/>
  <c r="V12" i="16"/>
  <c r="W12" i="14"/>
  <c r="M14" i="15"/>
  <c r="W11" i="14"/>
  <c r="M13" i="15"/>
  <c r="V11" i="16"/>
  <c r="I55" i="14"/>
  <c r="B55" i="16" s="1"/>
  <c r="I54" i="14"/>
  <c r="B54" i="16" s="1"/>
  <c r="I53" i="14"/>
  <c r="B53" i="16"/>
  <c r="I50" i="14"/>
  <c r="B50" i="16"/>
  <c r="I47" i="14"/>
  <c r="B47" i="16"/>
  <c r="I46" i="14"/>
  <c r="B46" i="16" s="1"/>
  <c r="I44" i="14"/>
  <c r="B44" i="16"/>
  <c r="I42" i="14"/>
  <c r="B42" i="16"/>
  <c r="I41" i="14"/>
  <c r="B41" i="16"/>
  <c r="I35" i="14"/>
  <c r="B35" i="16"/>
  <c r="I20" i="14"/>
  <c r="B20" i="16"/>
  <c r="C14" i="8"/>
  <c r="C13" i="8"/>
  <c r="C16" i="8"/>
  <c r="C11" i="8"/>
  <c r="C12" i="8"/>
  <c r="C17" i="8"/>
  <c r="C10" i="8"/>
  <c r="C9" i="8"/>
  <c r="C8" i="8"/>
  <c r="S18" i="6"/>
  <c r="S16" i="6"/>
  <c r="L11" i="8"/>
  <c r="S11" i="6"/>
  <c r="L125" i="33"/>
  <c r="L129" i="33"/>
  <c r="L128" i="33"/>
  <c r="L127" i="33"/>
  <c r="C38" i="6" s="1"/>
  <c r="L126" i="33"/>
  <c r="L133" i="33"/>
  <c r="L132" i="33"/>
  <c r="L131" i="33"/>
  <c r="L130" i="33"/>
  <c r="L139" i="33"/>
  <c r="J49" i="6" s="1"/>
  <c r="I49" i="6" s="1"/>
  <c r="B49" i="8" s="1"/>
  <c r="L138" i="33"/>
  <c r="L137" i="33"/>
  <c r="L136" i="33"/>
  <c r="L135" i="33"/>
  <c r="L134" i="33"/>
  <c r="L147" i="33"/>
  <c r="L146" i="33"/>
  <c r="L145" i="33"/>
  <c r="L144" i="33"/>
  <c r="L143" i="33"/>
  <c r="J30" i="6" s="1"/>
  <c r="I30" i="6" s="1"/>
  <c r="B30" i="8" s="1"/>
  <c r="L142" i="33"/>
  <c r="J51" i="6" s="1"/>
  <c r="I51" i="6" s="1"/>
  <c r="B51" i="8" s="1"/>
  <c r="L141" i="33"/>
  <c r="L140" i="33"/>
  <c r="L157" i="33"/>
  <c r="L156" i="33"/>
  <c r="L155" i="33"/>
  <c r="L154" i="33"/>
  <c r="L153" i="33"/>
  <c r="L152" i="33"/>
  <c r="L151" i="33"/>
  <c r="L150" i="33"/>
  <c r="L149" i="33"/>
  <c r="L148" i="33"/>
  <c r="T12" i="6" s="1"/>
  <c r="S12" i="6" s="1"/>
  <c r="L224" i="33"/>
  <c r="L233" i="33"/>
  <c r="L232" i="33"/>
  <c r="L231" i="33"/>
  <c r="L18" i="33" s="1"/>
  <c r="I25" i="7" s="1"/>
  <c r="I26" i="7" s="1"/>
  <c r="L230" i="33"/>
  <c r="L229" i="33"/>
  <c r="L228" i="33"/>
  <c r="L227" i="33"/>
  <c r="L226" i="33"/>
  <c r="L10" i="33" s="1"/>
  <c r="L225" i="33"/>
  <c r="L240" i="33"/>
  <c r="L239" i="33"/>
  <c r="L238" i="33"/>
  <c r="L237" i="33"/>
  <c r="L19" i="33" s="1"/>
  <c r="L236" i="33"/>
  <c r="L235" i="33"/>
  <c r="L234" i="33"/>
  <c r="L57" i="33"/>
  <c r="L60" i="33"/>
  <c r="L59" i="33"/>
  <c r="L58" i="33"/>
  <c r="L64" i="33"/>
  <c r="L63" i="33"/>
  <c r="L62" i="33"/>
  <c r="L61" i="33"/>
  <c r="L71" i="33"/>
  <c r="L70" i="33"/>
  <c r="L69" i="33"/>
  <c r="L68" i="33"/>
  <c r="L67" i="33"/>
  <c r="L66" i="33"/>
  <c r="L65" i="33"/>
  <c r="L80" i="33"/>
  <c r="L79" i="33"/>
  <c r="L78" i="33"/>
  <c r="L77" i="33"/>
  <c r="L76" i="33"/>
  <c r="L75" i="33"/>
  <c r="L74" i="33"/>
  <c r="L73" i="33"/>
  <c r="L72" i="33"/>
  <c r="L90" i="33"/>
  <c r="L89" i="33"/>
  <c r="J40" i="6" s="1"/>
  <c r="I40" i="6" s="1"/>
  <c r="B40" i="8" s="1"/>
  <c r="L88" i="33"/>
  <c r="L87" i="33"/>
  <c r="L86" i="33"/>
  <c r="L9" i="33" s="1"/>
  <c r="L85" i="33"/>
  <c r="L84" i="33"/>
  <c r="L83" i="33"/>
  <c r="L82" i="33"/>
  <c r="L81" i="33"/>
  <c r="L17" i="33"/>
  <c r="H25" i="7" s="1"/>
  <c r="H26" i="7" s="1"/>
  <c r="C26" i="6"/>
  <c r="T11" i="6"/>
  <c r="J8" i="6"/>
  <c r="I8" i="6" s="1"/>
  <c r="J15" i="6"/>
  <c r="I15" i="6" s="1"/>
  <c r="B15" i="8" s="1"/>
  <c r="J37" i="6"/>
  <c r="I37" i="6" s="1"/>
  <c r="B37" i="8" s="1"/>
  <c r="J14" i="6"/>
  <c r="I14" i="6" s="1"/>
  <c r="J13" i="6"/>
  <c r="I13" i="6" s="1"/>
  <c r="J11" i="6"/>
  <c r="I11" i="6" s="1"/>
  <c r="J16" i="6"/>
  <c r="I16" i="6" s="1"/>
  <c r="J21" i="6"/>
  <c r="I21" i="6" s="1"/>
  <c r="B21" i="8" s="1"/>
  <c r="J12" i="6"/>
  <c r="I12" i="6" s="1"/>
  <c r="B12" i="8" s="1"/>
  <c r="J27" i="6"/>
  <c r="I27" i="6" s="1"/>
  <c r="B27" i="8" s="1"/>
  <c r="B8" i="8"/>
  <c r="B16" i="8"/>
  <c r="B9" i="8"/>
  <c r="B11" i="8"/>
  <c r="B13" i="8"/>
  <c r="B17" i="8"/>
  <c r="B14" i="8"/>
  <c r="J10" i="6" l="1"/>
  <c r="I10" i="6" s="1"/>
  <c r="B10" i="8" s="1"/>
  <c r="M18" i="6"/>
  <c r="L18" i="8" s="1"/>
  <c r="S18" i="8" s="1"/>
  <c r="J36" i="6"/>
  <c r="I36" i="6" s="1"/>
  <c r="B36" i="8" s="1"/>
  <c r="J31" i="6"/>
  <c r="I31" i="6" s="1"/>
  <c r="B31" i="8" s="1"/>
  <c r="J22" i="6"/>
  <c r="I22" i="6" s="1"/>
  <c r="B22" i="8" s="1"/>
  <c r="M17" i="6"/>
  <c r="L17" i="8" s="1"/>
  <c r="T13" i="6"/>
  <c r="S13" i="6" s="1"/>
  <c r="W26" i="16"/>
  <c r="M28" i="17"/>
  <c r="V26" i="18"/>
  <c r="W25" i="16"/>
  <c r="M27" i="17"/>
  <c r="V25" i="18"/>
  <c r="W24" i="16"/>
  <c r="M26" i="17"/>
  <c r="V24" i="18"/>
  <c r="W23" i="16"/>
  <c r="M25" i="17"/>
  <c r="V23" i="18"/>
  <c r="W22" i="16"/>
  <c r="M24" i="17"/>
  <c r="V22" i="18"/>
  <c r="W21" i="16"/>
  <c r="M23" i="17"/>
  <c r="V21" i="18"/>
  <c r="W20" i="16"/>
  <c r="M22" i="17"/>
  <c r="V20" i="18"/>
  <c r="W19" i="16"/>
  <c r="M21" i="17"/>
  <c r="V19" i="18"/>
  <c r="W18" i="16"/>
  <c r="M20" i="17"/>
  <c r="V18" i="18"/>
  <c r="W17" i="16"/>
  <c r="M19" i="17"/>
  <c r="V17" i="18"/>
  <c r="W16" i="16"/>
  <c r="M18" i="17"/>
  <c r="V16" i="18"/>
  <c r="W15" i="16"/>
  <c r="M17" i="17"/>
  <c r="V15" i="18"/>
  <c r="M16" i="17"/>
  <c r="V14" i="18"/>
  <c r="W14" i="16"/>
  <c r="W13" i="16"/>
  <c r="M15" i="17"/>
  <c r="V13" i="18"/>
  <c r="M14" i="17"/>
  <c r="V12" i="18"/>
  <c r="W12" i="16"/>
  <c r="W11" i="16"/>
  <c r="M13" i="17"/>
  <c r="V11" i="18"/>
  <c r="I55" i="16"/>
  <c r="B55" i="18" s="1"/>
  <c r="I54" i="16"/>
  <c r="B54" i="18" s="1"/>
  <c r="I53" i="16"/>
  <c r="B53" i="18"/>
  <c r="I50" i="16"/>
  <c r="B50" i="18" s="1"/>
  <c r="I47" i="16"/>
  <c r="B47" i="18" s="1"/>
  <c r="I46" i="16"/>
  <c r="B46" i="18" s="1"/>
  <c r="I44" i="16"/>
  <c r="B44" i="18"/>
  <c r="I42" i="16"/>
  <c r="B42" i="18"/>
  <c r="I41" i="16"/>
  <c r="B41" i="18" s="1"/>
  <c r="I35" i="16"/>
  <c r="B35" i="18" s="1"/>
  <c r="I20" i="16"/>
  <c r="B20" i="18" s="1"/>
  <c r="M14" i="8"/>
  <c r="B26" i="8"/>
  <c r="I17" i="8"/>
  <c r="J38" i="6"/>
  <c r="I38" i="6" s="1"/>
  <c r="B38" i="8" s="1"/>
  <c r="M16" i="6"/>
  <c r="J39" i="6"/>
  <c r="I39" i="6" s="1"/>
  <c r="B39" i="8" s="1"/>
  <c r="L11" i="33"/>
  <c r="T17" i="6"/>
  <c r="S17" i="6" s="1"/>
  <c r="L7" i="33"/>
  <c r="J23" i="6"/>
  <c r="I23" i="6" s="1"/>
  <c r="L15" i="33"/>
  <c r="Q30" i="7" s="1"/>
  <c r="Q31" i="7" s="1"/>
  <c r="J28" i="6"/>
  <c r="I28" i="6" s="1"/>
  <c r="J29" i="6"/>
  <c r="I29" i="6" s="1"/>
  <c r="B29" i="8" s="1"/>
  <c r="M13" i="6"/>
  <c r="J32" i="6"/>
  <c r="I32" i="6" s="1"/>
  <c r="M12" i="6"/>
  <c r="C28" i="6"/>
  <c r="J48" i="6"/>
  <c r="I48" i="6" s="1"/>
  <c r="B48" i="8" s="1"/>
  <c r="L14" i="33"/>
  <c r="P30" i="7" s="1"/>
  <c r="P31" i="7" s="1"/>
  <c r="C23" i="6"/>
  <c r="J26" i="7"/>
  <c r="U6" i="6" l="1"/>
  <c r="B6" i="7" s="1"/>
  <c r="B8" i="7" s="1"/>
  <c r="C8" i="7" s="1"/>
  <c r="N6" i="6"/>
  <c r="J6" i="7" s="1"/>
  <c r="J8" i="7" s="1"/>
  <c r="K8" i="7" s="1"/>
  <c r="K6" i="6"/>
  <c r="F6" i="7" s="1"/>
  <c r="F8" i="7" s="1"/>
  <c r="G8" i="7" s="1"/>
  <c r="W26" i="18"/>
  <c r="M28" i="19"/>
  <c r="V26" i="20"/>
  <c r="W25" i="18"/>
  <c r="M27" i="19"/>
  <c r="V25" i="20"/>
  <c r="W24" i="18"/>
  <c r="M26" i="19"/>
  <c r="V24" i="20"/>
  <c r="W23" i="18"/>
  <c r="M25" i="19"/>
  <c r="V23" i="20"/>
  <c r="W22" i="18"/>
  <c r="M24" i="19"/>
  <c r="V22" i="20"/>
  <c r="W21" i="18"/>
  <c r="M23" i="19"/>
  <c r="V21" i="20"/>
  <c r="W20" i="18"/>
  <c r="M22" i="19"/>
  <c r="V20" i="20"/>
  <c r="W19" i="18"/>
  <c r="M21" i="19"/>
  <c r="V19" i="20"/>
  <c r="W18" i="18"/>
  <c r="M20" i="19"/>
  <c r="V18" i="20"/>
  <c r="W17" i="18"/>
  <c r="M19" i="19"/>
  <c r="V17" i="20"/>
  <c r="W16" i="18"/>
  <c r="M18" i="19"/>
  <c r="V16" i="20"/>
  <c r="W15" i="18"/>
  <c r="M17" i="19"/>
  <c r="V15" i="20"/>
  <c r="W14" i="18"/>
  <c r="M16" i="19"/>
  <c r="V14" i="20"/>
  <c r="W13" i="18"/>
  <c r="M15" i="19"/>
  <c r="V13" i="20"/>
  <c r="W12" i="18"/>
  <c r="M14" i="19"/>
  <c r="V12" i="20"/>
  <c r="W11" i="18"/>
  <c r="M13" i="19"/>
  <c r="V11" i="20"/>
  <c r="I55" i="18"/>
  <c r="B55" i="20" s="1"/>
  <c r="I54" i="18"/>
  <c r="B54" i="20" s="1"/>
  <c r="I53" i="18"/>
  <c r="B53" i="20" s="1"/>
  <c r="I50" i="18"/>
  <c r="B50" i="20" s="1"/>
  <c r="I47" i="18"/>
  <c r="B47" i="20" s="1"/>
  <c r="I46" i="18"/>
  <c r="B46" i="20" s="1"/>
  <c r="I44" i="18"/>
  <c r="B44" i="20" s="1"/>
  <c r="I42" i="18"/>
  <c r="B42" i="20"/>
  <c r="I41" i="18"/>
  <c r="B41" i="20"/>
  <c r="I35" i="18"/>
  <c r="B35" i="20" s="1"/>
  <c r="I20" i="18"/>
  <c r="B20" i="20" s="1"/>
  <c r="L14" i="10"/>
  <c r="L16" i="8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8" i="1"/>
  <c r="M47" i="1"/>
  <c r="M49" i="1"/>
  <c r="M50" i="1"/>
  <c r="L13" i="8"/>
  <c r="Q6" i="6"/>
  <c r="N6" i="7" s="1"/>
  <c r="N8" i="7" s="1"/>
  <c r="O8" i="7" s="1"/>
  <c r="B32" i="8"/>
  <c r="L12" i="8"/>
  <c r="B28" i="8"/>
  <c r="B23" i="8"/>
  <c r="W26" i="20" l="1"/>
  <c r="M28" i="21"/>
  <c r="V26" i="22"/>
  <c r="W25" i="20"/>
  <c r="M27" i="21"/>
  <c r="V25" i="22"/>
  <c r="W24" i="20"/>
  <c r="M26" i="21"/>
  <c r="V24" i="22"/>
  <c r="W23" i="20"/>
  <c r="M25" i="21"/>
  <c r="V23" i="22"/>
  <c r="W22" i="20"/>
  <c r="M24" i="21"/>
  <c r="V22" i="22"/>
  <c r="W21" i="20"/>
  <c r="M23" i="21"/>
  <c r="V21" i="22"/>
  <c r="W20" i="20"/>
  <c r="M22" i="21"/>
  <c r="V20" i="22"/>
  <c r="W19" i="20"/>
  <c r="M21" i="21"/>
  <c r="V19" i="22"/>
  <c r="W18" i="20"/>
  <c r="M20" i="21"/>
  <c r="V18" i="22"/>
  <c r="W17" i="20"/>
  <c r="M19" i="21"/>
  <c r="V17" i="22"/>
  <c r="W16" i="20"/>
  <c r="M18" i="21"/>
  <c r="V16" i="22"/>
  <c r="W15" i="20"/>
  <c r="M17" i="21"/>
  <c r="V15" i="22"/>
  <c r="W14" i="20"/>
  <c r="M16" i="21"/>
  <c r="V14" i="22"/>
  <c r="W13" i="20"/>
  <c r="M15" i="21"/>
  <c r="V13" i="22"/>
  <c r="W12" i="20"/>
  <c r="M14" i="21"/>
  <c r="V12" i="22"/>
  <c r="W11" i="20"/>
  <c r="M13" i="21"/>
  <c r="V11" i="22"/>
  <c r="I55" i="20"/>
  <c r="B55" i="22" s="1"/>
  <c r="I54" i="20"/>
  <c r="B54" i="22" s="1"/>
  <c r="I53" i="20"/>
  <c r="B53" i="22" s="1"/>
  <c r="I50" i="20"/>
  <c r="B50" i="22" s="1"/>
  <c r="I47" i="20"/>
  <c r="B47" i="22" s="1"/>
  <c r="I46" i="20"/>
  <c r="B46" i="22" s="1"/>
  <c r="I44" i="20"/>
  <c r="B44" i="22" s="1"/>
  <c r="I42" i="20"/>
  <c r="B42" i="22" s="1"/>
  <c r="I41" i="20"/>
  <c r="B41" i="22" s="1"/>
  <c r="I35" i="20"/>
  <c r="B35" i="22" s="1"/>
  <c r="I20" i="20"/>
  <c r="B20" i="22" s="1"/>
  <c r="S14" i="10"/>
  <c r="S16" i="8"/>
  <c r="AE11" i="1"/>
  <c r="AT11" i="1" s="1"/>
  <c r="AE12" i="1"/>
  <c r="AT12" i="1" s="1"/>
  <c r="AE13" i="1"/>
  <c r="AT13" i="1" s="1"/>
  <c r="AE14" i="1"/>
  <c r="AT14" i="1" s="1"/>
  <c r="AE15" i="1"/>
  <c r="AT15" i="1" s="1"/>
  <c r="AE16" i="1"/>
  <c r="AT16" i="1" s="1"/>
  <c r="AE17" i="1"/>
  <c r="AT17" i="1" s="1"/>
  <c r="AE18" i="1"/>
  <c r="AT18" i="1" s="1"/>
  <c r="AE19" i="1"/>
  <c r="AT19" i="1" s="1"/>
  <c r="AE20" i="1"/>
  <c r="AT20" i="1" s="1"/>
  <c r="AE21" i="1"/>
  <c r="AT21" i="1" s="1"/>
  <c r="AE22" i="1"/>
  <c r="AT22" i="1" s="1"/>
  <c r="AE23" i="1"/>
  <c r="AT23" i="1" s="1"/>
  <c r="AE24" i="1"/>
  <c r="AT24" i="1" s="1"/>
  <c r="AE25" i="1"/>
  <c r="AT25" i="1" s="1"/>
  <c r="AE26" i="1"/>
  <c r="AT26" i="1" s="1"/>
  <c r="AE27" i="1"/>
  <c r="AT27" i="1" s="1"/>
  <c r="AE28" i="1"/>
  <c r="AT28" i="1" s="1"/>
  <c r="AE29" i="1"/>
  <c r="AT29" i="1" s="1"/>
  <c r="AE30" i="1"/>
  <c r="AT30" i="1" s="1"/>
  <c r="AE31" i="1"/>
  <c r="AT31" i="1" s="1"/>
  <c r="AE32" i="1"/>
  <c r="AT32" i="1" s="1"/>
  <c r="AE33" i="1"/>
  <c r="AT33" i="1" s="1"/>
  <c r="AE34" i="1"/>
  <c r="AT34" i="1" s="1"/>
  <c r="AE35" i="1"/>
  <c r="AT35" i="1" s="1"/>
  <c r="AE36" i="1"/>
  <c r="AT36" i="1" s="1"/>
  <c r="AE37" i="1"/>
  <c r="AT37" i="1" s="1"/>
  <c r="AE38" i="1"/>
  <c r="AT38" i="1" s="1"/>
  <c r="AE39" i="1"/>
  <c r="AT39" i="1" s="1"/>
  <c r="AE40" i="1"/>
  <c r="AT40" i="1" s="1"/>
  <c r="AE41" i="1"/>
  <c r="AT41" i="1" s="1"/>
  <c r="AE42" i="1"/>
  <c r="AT42" i="1" s="1"/>
  <c r="AE43" i="1"/>
  <c r="AT43" i="1" s="1"/>
  <c r="AE44" i="1"/>
  <c r="AT44" i="1" s="1"/>
  <c r="AE45" i="1"/>
  <c r="AT45" i="1" s="1"/>
  <c r="AE46" i="1"/>
  <c r="AT46" i="1" s="1"/>
  <c r="AE48" i="1"/>
  <c r="AT48" i="1" s="1"/>
  <c r="AE47" i="1"/>
  <c r="AT47" i="1" s="1"/>
  <c r="AE49" i="1"/>
  <c r="AT49" i="1" s="1"/>
  <c r="AE50" i="1"/>
  <c r="AT50" i="1" s="1"/>
  <c r="W26" i="22" l="1"/>
  <c r="M28" i="23"/>
  <c r="V26" i="24"/>
  <c r="W25" i="22"/>
  <c r="M27" i="23"/>
  <c r="V25" i="24"/>
  <c r="W24" i="22"/>
  <c r="M26" i="23"/>
  <c r="V24" i="24"/>
  <c r="W23" i="22"/>
  <c r="M25" i="23"/>
  <c r="V23" i="24"/>
  <c r="W22" i="22"/>
  <c r="M24" i="23"/>
  <c r="V22" i="24"/>
  <c r="W21" i="22"/>
  <c r="M23" i="23"/>
  <c r="V21" i="24"/>
  <c r="W20" i="22"/>
  <c r="M22" i="23"/>
  <c r="V20" i="24"/>
  <c r="W19" i="22"/>
  <c r="M21" i="23"/>
  <c r="V19" i="24"/>
  <c r="W18" i="22"/>
  <c r="M20" i="23"/>
  <c r="V18" i="24"/>
  <c r="W17" i="22"/>
  <c r="M19" i="23"/>
  <c r="V17" i="24"/>
  <c r="W16" i="22"/>
  <c r="M18" i="23"/>
  <c r="V16" i="24"/>
  <c r="W15" i="22"/>
  <c r="M17" i="23"/>
  <c r="V15" i="24"/>
  <c r="W14" i="22"/>
  <c r="M16" i="23"/>
  <c r="V14" i="24"/>
  <c r="W13" i="22"/>
  <c r="M15" i="23"/>
  <c r="V13" i="24"/>
  <c r="W12" i="22"/>
  <c r="M14" i="23"/>
  <c r="V12" i="24"/>
  <c r="W11" i="22"/>
  <c r="M13" i="23"/>
  <c r="V11" i="24"/>
  <c r="I55" i="22"/>
  <c r="B55" i="24"/>
  <c r="I54" i="22"/>
  <c r="B54" i="24"/>
  <c r="I53" i="22"/>
  <c r="B53" i="24" s="1"/>
  <c r="I50" i="22"/>
  <c r="B50" i="24" s="1"/>
  <c r="I47" i="22"/>
  <c r="B47" i="24" s="1"/>
  <c r="I46" i="22"/>
  <c r="B46" i="24"/>
  <c r="I44" i="22"/>
  <c r="B44" i="24"/>
  <c r="I42" i="22"/>
  <c r="B42" i="24" s="1"/>
  <c r="I41" i="22"/>
  <c r="B41" i="24" s="1"/>
  <c r="I35" i="22"/>
  <c r="B35" i="24"/>
  <c r="I20" i="22"/>
  <c r="B20" i="24"/>
  <c r="M25" i="33"/>
  <c r="M26" i="33"/>
  <c r="M27" i="33"/>
  <c r="J19" i="8" s="1"/>
  <c r="I19" i="8" s="1"/>
  <c r="B19" i="10" s="1"/>
  <c r="M28" i="33"/>
  <c r="M29" i="33"/>
  <c r="M30" i="33"/>
  <c r="M31" i="33"/>
  <c r="J9" i="8" s="1"/>
  <c r="I9" i="8" s="1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M45" i="33"/>
  <c r="M46" i="33"/>
  <c r="M47" i="33"/>
  <c r="M48" i="33"/>
  <c r="M49" i="33"/>
  <c r="M50" i="33"/>
  <c r="M51" i="33"/>
  <c r="C15" i="8" s="1"/>
  <c r="M52" i="33"/>
  <c r="M8" i="33" s="1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9" i="33" s="1"/>
  <c r="M87" i="33"/>
  <c r="M88" i="33"/>
  <c r="M89" i="33"/>
  <c r="M90" i="33"/>
  <c r="M91" i="33"/>
  <c r="M92" i="33"/>
  <c r="J26" i="8" s="1"/>
  <c r="I26" i="8" s="1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C27" i="8" s="1"/>
  <c r="M108" i="33"/>
  <c r="M109" i="33"/>
  <c r="M110" i="33"/>
  <c r="M111" i="33"/>
  <c r="M112" i="33"/>
  <c r="M113" i="33"/>
  <c r="M114" i="33"/>
  <c r="M115" i="33"/>
  <c r="C25" i="8" s="1"/>
  <c r="M116" i="33"/>
  <c r="M117" i="33"/>
  <c r="C29" i="8" s="1"/>
  <c r="M118" i="33"/>
  <c r="M119" i="33"/>
  <c r="M120" i="33"/>
  <c r="M121" i="33"/>
  <c r="M122" i="33"/>
  <c r="M123" i="33"/>
  <c r="M124" i="33"/>
  <c r="M125" i="33"/>
  <c r="M126" i="33"/>
  <c r="M127" i="33"/>
  <c r="C38" i="8" s="1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J51" i="8" s="1"/>
  <c r="I51" i="8" s="1"/>
  <c r="B51" i="10" s="1"/>
  <c r="M143" i="33"/>
  <c r="M144" i="33"/>
  <c r="M145" i="33"/>
  <c r="M146" i="33"/>
  <c r="M147" i="33"/>
  <c r="M148" i="33"/>
  <c r="T12" i="8" s="1"/>
  <c r="S12" i="8" s="1"/>
  <c r="M149" i="33"/>
  <c r="M150" i="33"/>
  <c r="M151" i="33"/>
  <c r="M152" i="33"/>
  <c r="M153" i="33"/>
  <c r="M154" i="33"/>
  <c r="M155" i="33"/>
  <c r="M156" i="33"/>
  <c r="M157" i="33"/>
  <c r="M158" i="33"/>
  <c r="M159" i="33"/>
  <c r="M160" i="33"/>
  <c r="M161" i="33"/>
  <c r="M162" i="33"/>
  <c r="M163" i="33"/>
  <c r="M164" i="33"/>
  <c r="M165" i="33"/>
  <c r="M166" i="33"/>
  <c r="M167" i="33"/>
  <c r="M15" i="8" s="1"/>
  <c r="M168" i="33"/>
  <c r="M169" i="33"/>
  <c r="M170" i="33"/>
  <c r="M13" i="33" s="1"/>
  <c r="O30" i="9" s="1"/>
  <c r="O31" i="9" s="1"/>
  <c r="M171" i="33"/>
  <c r="M172" i="33"/>
  <c r="M173" i="33"/>
  <c r="M174" i="33"/>
  <c r="M175" i="33"/>
  <c r="M176" i="33"/>
  <c r="M177" i="33"/>
  <c r="M178" i="33"/>
  <c r="M179" i="33"/>
  <c r="M180" i="33"/>
  <c r="M181" i="33"/>
  <c r="M182" i="33"/>
  <c r="M183" i="33"/>
  <c r="M184" i="33"/>
  <c r="M185" i="33"/>
  <c r="M186" i="33"/>
  <c r="M187" i="33"/>
  <c r="M12" i="33" s="1"/>
  <c r="M188" i="33"/>
  <c r="M189" i="33"/>
  <c r="M190" i="33"/>
  <c r="M191" i="33"/>
  <c r="M192" i="33"/>
  <c r="M193" i="33"/>
  <c r="M194" i="33"/>
  <c r="M195" i="33"/>
  <c r="M196" i="33"/>
  <c r="M197" i="33"/>
  <c r="M198" i="33"/>
  <c r="M199" i="33"/>
  <c r="M200" i="33"/>
  <c r="M201" i="33"/>
  <c r="C32" i="8" s="1"/>
  <c r="M202" i="33"/>
  <c r="M203" i="33"/>
  <c r="M204" i="33"/>
  <c r="M205" i="33"/>
  <c r="M206" i="33"/>
  <c r="M207" i="33"/>
  <c r="M208" i="33"/>
  <c r="M209" i="33"/>
  <c r="M210" i="33"/>
  <c r="M211" i="33"/>
  <c r="M212" i="33"/>
  <c r="M213" i="33"/>
  <c r="M214" i="33"/>
  <c r="M215" i="33"/>
  <c r="J45" i="8" s="1"/>
  <c r="I45" i="8" s="1"/>
  <c r="B45" i="10" s="1"/>
  <c r="M216" i="33"/>
  <c r="C48" i="8" s="1"/>
  <c r="M217" i="33"/>
  <c r="M16" i="33" s="1"/>
  <c r="G25" i="9" s="1"/>
  <c r="G26" i="9" s="1"/>
  <c r="M218" i="33"/>
  <c r="M219" i="33"/>
  <c r="M220" i="33"/>
  <c r="M221" i="33"/>
  <c r="M222" i="33"/>
  <c r="M223" i="33"/>
  <c r="M225" i="33"/>
  <c r="M226" i="33"/>
  <c r="M10" i="33" s="1"/>
  <c r="M14" i="10" s="1"/>
  <c r="M227" i="33"/>
  <c r="M224" i="33"/>
  <c r="M228" i="33"/>
  <c r="M229" i="33"/>
  <c r="M230" i="33"/>
  <c r="M231" i="33"/>
  <c r="M232" i="33"/>
  <c r="M233" i="33"/>
  <c r="M234" i="33"/>
  <c r="M235" i="33"/>
  <c r="M236" i="33"/>
  <c r="M237" i="33"/>
  <c r="M19" i="33" s="1"/>
  <c r="M238" i="33"/>
  <c r="M239" i="33"/>
  <c r="M240" i="33"/>
  <c r="M16" i="8" l="1"/>
  <c r="L16" i="10" s="1"/>
  <c r="J49" i="8"/>
  <c r="I49" i="8" s="1"/>
  <c r="B49" i="10" s="1"/>
  <c r="J23" i="8"/>
  <c r="I23" i="8" s="1"/>
  <c r="M15" i="33"/>
  <c r="Q30" i="9" s="1"/>
  <c r="Q31" i="9" s="1"/>
  <c r="J40" i="8"/>
  <c r="I40" i="8" s="1"/>
  <c r="B40" i="10" s="1"/>
  <c r="C26" i="8"/>
  <c r="B26" i="10" s="1"/>
  <c r="J27" i="8"/>
  <c r="I27" i="8" s="1"/>
  <c r="B27" i="10" s="1"/>
  <c r="J30" i="8"/>
  <c r="I30" i="8" s="1"/>
  <c r="B30" i="10" s="1"/>
  <c r="J39" i="8"/>
  <c r="I39" i="8" s="1"/>
  <c r="B39" i="10" s="1"/>
  <c r="J34" i="8"/>
  <c r="I34" i="8" s="1"/>
  <c r="B34" i="10" s="1"/>
  <c r="W26" i="24"/>
  <c r="M28" i="25"/>
  <c r="V26" i="26"/>
  <c r="M27" i="25"/>
  <c r="W25" i="24"/>
  <c r="V25" i="26"/>
  <c r="W24" i="24"/>
  <c r="M26" i="25"/>
  <c r="V24" i="26"/>
  <c r="W23" i="24"/>
  <c r="M25" i="25"/>
  <c r="V23" i="26"/>
  <c r="W22" i="24"/>
  <c r="M24" i="25"/>
  <c r="V22" i="26"/>
  <c r="W21" i="24"/>
  <c r="M23" i="25"/>
  <c r="V21" i="26"/>
  <c r="W20" i="24"/>
  <c r="M22" i="25"/>
  <c r="V20" i="26"/>
  <c r="W19" i="24"/>
  <c r="M21" i="25"/>
  <c r="V19" i="26"/>
  <c r="W18" i="24"/>
  <c r="M20" i="25"/>
  <c r="V18" i="26"/>
  <c r="W17" i="24"/>
  <c r="M19" i="25"/>
  <c r="V17" i="26"/>
  <c r="V16" i="26"/>
  <c r="W16" i="24"/>
  <c r="M18" i="25"/>
  <c r="W15" i="24"/>
  <c r="M17" i="25"/>
  <c r="V15" i="26"/>
  <c r="W14" i="24"/>
  <c r="M16" i="25"/>
  <c r="V14" i="26"/>
  <c r="W13" i="24"/>
  <c r="M15" i="25"/>
  <c r="V13" i="26"/>
  <c r="W12" i="24"/>
  <c r="V12" i="26"/>
  <c r="M14" i="25"/>
  <c r="W11" i="24"/>
  <c r="V11" i="26"/>
  <c r="M13" i="25"/>
  <c r="I55" i="24"/>
  <c r="B55" i="26"/>
  <c r="I54" i="24"/>
  <c r="B54" i="26" s="1"/>
  <c r="I53" i="24"/>
  <c r="B53" i="26"/>
  <c r="I50" i="24"/>
  <c r="B50" i="26"/>
  <c r="I47" i="24"/>
  <c r="B47" i="26"/>
  <c r="I46" i="24"/>
  <c r="B46" i="26" s="1"/>
  <c r="I44" i="24"/>
  <c r="B44" i="26" s="1"/>
  <c r="I42" i="24"/>
  <c r="B42" i="26" s="1"/>
  <c r="I41" i="24"/>
  <c r="B41" i="26"/>
  <c r="I35" i="24"/>
  <c r="B35" i="26"/>
  <c r="I20" i="24"/>
  <c r="B20" i="26" s="1"/>
  <c r="B25" i="10"/>
  <c r="L15" i="10"/>
  <c r="B17" i="10"/>
  <c r="B9" i="10"/>
  <c r="C8" i="10"/>
  <c r="C9" i="10"/>
  <c r="C17" i="10"/>
  <c r="C11" i="10"/>
  <c r="C16" i="10"/>
  <c r="C13" i="10"/>
  <c r="C10" i="10"/>
  <c r="C12" i="10"/>
  <c r="C14" i="10"/>
  <c r="L14" i="12"/>
  <c r="J14" i="8"/>
  <c r="I14" i="8" s="1"/>
  <c r="B14" i="10" s="1"/>
  <c r="J8" i="8"/>
  <c r="I8" i="8" s="1"/>
  <c r="B8" i="10" s="1"/>
  <c r="J12" i="8"/>
  <c r="I12" i="8" s="1"/>
  <c r="B12" i="10" s="1"/>
  <c r="J22" i="8"/>
  <c r="I22" i="8" s="1"/>
  <c r="B22" i="10" s="1"/>
  <c r="J36" i="8"/>
  <c r="I36" i="8" s="1"/>
  <c r="B36" i="10" s="1"/>
  <c r="J13" i="8"/>
  <c r="I13" i="8" s="1"/>
  <c r="B13" i="10" s="1"/>
  <c r="J15" i="8"/>
  <c r="I15" i="8" s="1"/>
  <c r="B15" i="10" s="1"/>
  <c r="J21" i="8"/>
  <c r="I21" i="8" s="1"/>
  <c r="B21" i="10" s="1"/>
  <c r="J16" i="8"/>
  <c r="I16" i="8" s="1"/>
  <c r="B16" i="10" s="1"/>
  <c r="J10" i="8"/>
  <c r="I10" i="8" s="1"/>
  <c r="B10" i="10" s="1"/>
  <c r="J11" i="8"/>
  <c r="I11" i="8" s="1"/>
  <c r="B11" i="10" s="1"/>
  <c r="J37" i="8"/>
  <c r="I37" i="8" s="1"/>
  <c r="B37" i="10" s="1"/>
  <c r="M17" i="33"/>
  <c r="H25" i="9" s="1"/>
  <c r="H26" i="9" s="1"/>
  <c r="J28" i="8"/>
  <c r="I28" i="8" s="1"/>
  <c r="M13" i="8"/>
  <c r="J29" i="8"/>
  <c r="I29" i="8" s="1"/>
  <c r="B29" i="10" s="1"/>
  <c r="C28" i="8"/>
  <c r="M12" i="8"/>
  <c r="J32" i="8"/>
  <c r="I32" i="8" s="1"/>
  <c r="B32" i="10" s="1"/>
  <c r="T13" i="8"/>
  <c r="S13" i="8" s="1"/>
  <c r="M17" i="8"/>
  <c r="M14" i="33"/>
  <c r="P30" i="9" s="1"/>
  <c r="P31" i="9" s="1"/>
  <c r="J48" i="8"/>
  <c r="I48" i="8" s="1"/>
  <c r="B48" i="10" s="1"/>
  <c r="C23" i="8"/>
  <c r="J31" i="8"/>
  <c r="I31" i="8" s="1"/>
  <c r="B31" i="10" s="1"/>
  <c r="M18" i="33"/>
  <c r="I25" i="9" s="1"/>
  <c r="I26" i="9" s="1"/>
  <c r="M18" i="8"/>
  <c r="J38" i="8"/>
  <c r="I38" i="8" s="1"/>
  <c r="B38" i="10" s="1"/>
  <c r="M11" i="33"/>
  <c r="T17" i="8"/>
  <c r="S17" i="8" s="1"/>
  <c r="T11" i="8"/>
  <c r="S11" i="8" s="1"/>
  <c r="U6" i="8" s="1"/>
  <c r="B6" i="9" s="1"/>
  <c r="B8" i="9" s="1"/>
  <c r="C8" i="9" s="1"/>
  <c r="M11" i="8"/>
  <c r="M7" i="33"/>
  <c r="W26" i="26" l="1"/>
  <c r="M28" i="27"/>
  <c r="V26" i="28"/>
  <c r="W25" i="26"/>
  <c r="M27" i="27"/>
  <c r="V25" i="28"/>
  <c r="W24" i="26"/>
  <c r="M26" i="27"/>
  <c r="V24" i="28"/>
  <c r="W23" i="26"/>
  <c r="M25" i="27"/>
  <c r="V23" i="28"/>
  <c r="W22" i="26"/>
  <c r="V22" i="28"/>
  <c r="M24" i="27"/>
  <c r="W21" i="26"/>
  <c r="M23" i="27"/>
  <c r="V21" i="28"/>
  <c r="W20" i="26"/>
  <c r="M22" i="27"/>
  <c r="V20" i="28"/>
  <c r="M21" i="27"/>
  <c r="V19" i="28"/>
  <c r="W19" i="26"/>
  <c r="W18" i="26"/>
  <c r="V18" i="28"/>
  <c r="M20" i="27"/>
  <c r="W17" i="26"/>
  <c r="V17" i="28"/>
  <c r="M19" i="27"/>
  <c r="W16" i="26"/>
  <c r="M18" i="27"/>
  <c r="V16" i="28"/>
  <c r="V15" i="28"/>
  <c r="W15" i="26"/>
  <c r="M17" i="27"/>
  <c r="W14" i="26"/>
  <c r="M16" i="27"/>
  <c r="V14" i="28"/>
  <c r="W13" i="26"/>
  <c r="V13" i="28"/>
  <c r="M15" i="27"/>
  <c r="W12" i="26"/>
  <c r="M14" i="27"/>
  <c r="V12" i="28"/>
  <c r="W11" i="26"/>
  <c r="V11" i="28"/>
  <c r="M13" i="27"/>
  <c r="I55" i="26"/>
  <c r="B55" i="28" s="1"/>
  <c r="I54" i="26"/>
  <c r="B54" i="28" s="1"/>
  <c r="I53" i="26"/>
  <c r="B53" i="28" s="1"/>
  <c r="I50" i="26"/>
  <c r="B50" i="28" s="1"/>
  <c r="I47" i="26"/>
  <c r="B47" i="28" s="1"/>
  <c r="I46" i="26"/>
  <c r="B46" i="28" s="1"/>
  <c r="I44" i="26"/>
  <c r="B44" i="28" s="1"/>
  <c r="I42" i="26"/>
  <c r="B42" i="28" s="1"/>
  <c r="I41" i="26"/>
  <c r="B41" i="28" s="1"/>
  <c r="I35" i="26"/>
  <c r="B35" i="28" s="1"/>
  <c r="I20" i="26"/>
  <c r="B20" i="28" s="1"/>
  <c r="I25" i="10"/>
  <c r="S16" i="10"/>
  <c r="S15" i="10"/>
  <c r="I17" i="10"/>
  <c r="S14" i="12"/>
  <c r="L13" i="10"/>
  <c r="B28" i="10"/>
  <c r="L12" i="10"/>
  <c r="L17" i="10"/>
  <c r="B23" i="10"/>
  <c r="L18" i="10"/>
  <c r="L11" i="10"/>
  <c r="N48" i="1"/>
  <c r="N50" i="1"/>
  <c r="N49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6" i="8"/>
  <c r="J6" i="9" s="1"/>
  <c r="J8" i="9" s="1"/>
  <c r="K8" i="9" s="1"/>
  <c r="J26" i="9"/>
  <c r="K6" i="8"/>
  <c r="F6" i="9" s="1"/>
  <c r="F8" i="9" s="1"/>
  <c r="G8" i="9" s="1"/>
  <c r="Q6" i="8"/>
  <c r="N6" i="9" s="1"/>
  <c r="N8" i="9" s="1"/>
  <c r="O8" i="9" s="1"/>
  <c r="W26" i="28" l="1"/>
  <c r="M28" i="29"/>
  <c r="V26" i="30"/>
  <c r="M27" i="29"/>
  <c r="W25" i="28"/>
  <c r="V25" i="30"/>
  <c r="W24" i="28"/>
  <c r="V24" i="30"/>
  <c r="M26" i="29"/>
  <c r="W23" i="28"/>
  <c r="V23" i="30"/>
  <c r="M25" i="29"/>
  <c r="W22" i="28"/>
  <c r="V22" i="30"/>
  <c r="M24" i="29"/>
  <c r="W21" i="28"/>
  <c r="M23" i="29"/>
  <c r="V21" i="30"/>
  <c r="M22" i="29"/>
  <c r="W20" i="28"/>
  <c r="V20" i="30"/>
  <c r="W19" i="28"/>
  <c r="V19" i="30"/>
  <c r="M21" i="29"/>
  <c r="W18" i="28"/>
  <c r="V18" i="30"/>
  <c r="M20" i="29"/>
  <c r="W17" i="28"/>
  <c r="V17" i="30"/>
  <c r="M19" i="29"/>
  <c r="W16" i="28"/>
  <c r="M18" i="29"/>
  <c r="V16" i="30"/>
  <c r="W15" i="28"/>
  <c r="M17" i="29"/>
  <c r="V15" i="30"/>
  <c r="W14" i="28"/>
  <c r="V14" i="30"/>
  <c r="M16" i="29"/>
  <c r="W13" i="28"/>
  <c r="M15" i="29"/>
  <c r="V13" i="30"/>
  <c r="W12" i="28"/>
  <c r="M14" i="29"/>
  <c r="V12" i="30"/>
  <c r="W11" i="28"/>
  <c r="M13" i="29"/>
  <c r="V11" i="30"/>
  <c r="I55" i="28"/>
  <c r="B55" i="30" s="1"/>
  <c r="I54" i="28"/>
  <c r="B54" i="30" s="1"/>
  <c r="I53" i="28"/>
  <c r="B53" i="30" s="1"/>
  <c r="I50" i="28"/>
  <c r="B50" i="30" s="1"/>
  <c r="I47" i="28"/>
  <c r="B47" i="30" s="1"/>
  <c r="I46" i="28"/>
  <c r="B46" i="30" s="1"/>
  <c r="I44" i="28"/>
  <c r="B44" i="30" s="1"/>
  <c r="I42" i="28"/>
  <c r="B42" i="30" s="1"/>
  <c r="I41" i="28"/>
  <c r="B41" i="30" s="1"/>
  <c r="I35" i="28"/>
  <c r="B35" i="30" s="1"/>
  <c r="I20" i="28"/>
  <c r="B20" i="30" s="1"/>
  <c r="S18" i="10"/>
  <c r="AF48" i="1"/>
  <c r="AU48" i="1" s="1"/>
  <c r="AF50" i="1"/>
  <c r="AU50" i="1" s="1"/>
  <c r="AF49" i="1"/>
  <c r="AU49" i="1" s="1"/>
  <c r="AF47" i="1"/>
  <c r="AU47" i="1" s="1"/>
  <c r="AF46" i="1"/>
  <c r="AU46" i="1" s="1"/>
  <c r="AF45" i="1"/>
  <c r="AU45" i="1" s="1"/>
  <c r="AF44" i="1"/>
  <c r="AU44" i="1" s="1"/>
  <c r="AF43" i="1"/>
  <c r="AU43" i="1" s="1"/>
  <c r="AF42" i="1"/>
  <c r="AU42" i="1" s="1"/>
  <c r="AF41" i="1"/>
  <c r="AU41" i="1" s="1"/>
  <c r="AF40" i="1"/>
  <c r="AU40" i="1" s="1"/>
  <c r="AF39" i="1"/>
  <c r="AU39" i="1" s="1"/>
  <c r="AF38" i="1"/>
  <c r="AU38" i="1" s="1"/>
  <c r="AF37" i="1"/>
  <c r="AU37" i="1" s="1"/>
  <c r="AF36" i="1"/>
  <c r="AU36" i="1" s="1"/>
  <c r="AF35" i="1"/>
  <c r="AU35" i="1" s="1"/>
  <c r="AF34" i="1"/>
  <c r="AU34" i="1" s="1"/>
  <c r="AF33" i="1"/>
  <c r="AU33" i="1" s="1"/>
  <c r="AF32" i="1"/>
  <c r="AU32" i="1" s="1"/>
  <c r="AF31" i="1"/>
  <c r="AU31" i="1" s="1"/>
  <c r="AF30" i="1"/>
  <c r="AU30" i="1" s="1"/>
  <c r="AF29" i="1"/>
  <c r="AU29" i="1" s="1"/>
  <c r="AF28" i="1"/>
  <c r="AU28" i="1" s="1"/>
  <c r="AF27" i="1"/>
  <c r="AU27" i="1" s="1"/>
  <c r="AF26" i="1"/>
  <c r="AU26" i="1" s="1"/>
  <c r="AF25" i="1"/>
  <c r="AU25" i="1" s="1"/>
  <c r="AF24" i="1"/>
  <c r="AU24" i="1" s="1"/>
  <c r="AF23" i="1"/>
  <c r="AU23" i="1" s="1"/>
  <c r="AF22" i="1"/>
  <c r="AU22" i="1" s="1"/>
  <c r="AF21" i="1"/>
  <c r="AU21" i="1" s="1"/>
  <c r="AF20" i="1"/>
  <c r="AU20" i="1" s="1"/>
  <c r="AF19" i="1"/>
  <c r="AU19" i="1" s="1"/>
  <c r="AF18" i="1"/>
  <c r="AU18" i="1" s="1"/>
  <c r="AF17" i="1"/>
  <c r="AU17" i="1" s="1"/>
  <c r="AF16" i="1"/>
  <c r="AU16" i="1" s="1"/>
  <c r="AF15" i="1"/>
  <c r="AU15" i="1" s="1"/>
  <c r="AF14" i="1"/>
  <c r="AU14" i="1" s="1"/>
  <c r="AF13" i="1"/>
  <c r="AU13" i="1" s="1"/>
  <c r="AF12" i="1"/>
  <c r="AU12" i="1" s="1"/>
  <c r="AF11" i="1"/>
  <c r="AU11" i="1" s="1"/>
  <c r="W26" i="30" l="1"/>
  <c r="M28" i="31"/>
  <c r="V26" i="32"/>
  <c r="W26" i="32" s="1"/>
  <c r="W25" i="30"/>
  <c r="M27" i="31"/>
  <c r="V25" i="32"/>
  <c r="W25" i="32" s="1"/>
  <c r="W24" i="30"/>
  <c r="M26" i="31"/>
  <c r="V24" i="32"/>
  <c r="W24" i="32" s="1"/>
  <c r="W23" i="30"/>
  <c r="M25" i="31"/>
  <c r="V23" i="32"/>
  <c r="W23" i="32" s="1"/>
  <c r="W22" i="30"/>
  <c r="M24" i="31"/>
  <c r="V22" i="32"/>
  <c r="W22" i="32" s="1"/>
  <c r="W21" i="30"/>
  <c r="M23" i="31"/>
  <c r="V21" i="32"/>
  <c r="W21" i="32" s="1"/>
  <c r="W20" i="30"/>
  <c r="M22" i="31"/>
  <c r="V20" i="32"/>
  <c r="W20" i="32" s="1"/>
  <c r="W19" i="30"/>
  <c r="M21" i="31"/>
  <c r="V19" i="32"/>
  <c r="W19" i="32" s="1"/>
  <c r="W18" i="30"/>
  <c r="M20" i="31"/>
  <c r="V18" i="32"/>
  <c r="W18" i="32" s="1"/>
  <c r="W17" i="30"/>
  <c r="M19" i="31"/>
  <c r="V17" i="32"/>
  <c r="W17" i="32" s="1"/>
  <c r="W16" i="30"/>
  <c r="M18" i="31"/>
  <c r="V16" i="32"/>
  <c r="W16" i="32" s="1"/>
  <c r="W15" i="30"/>
  <c r="M17" i="31"/>
  <c r="V15" i="32"/>
  <c r="W15" i="32" s="1"/>
  <c r="W14" i="30"/>
  <c r="V14" i="32"/>
  <c r="W14" i="32" s="1"/>
  <c r="M16" i="31"/>
  <c r="W13" i="30"/>
  <c r="M15" i="31"/>
  <c r="V13" i="32"/>
  <c r="W13" i="32" s="1"/>
  <c r="V12" i="32"/>
  <c r="W12" i="32" s="1"/>
  <c r="M14" i="31"/>
  <c r="W12" i="30"/>
  <c r="W11" i="30"/>
  <c r="M13" i="31"/>
  <c r="V11" i="32"/>
  <c r="W11" i="32" s="1"/>
  <c r="I55" i="30"/>
  <c r="B55" i="32" s="1"/>
  <c r="I55" i="32" s="1"/>
  <c r="I54" i="30"/>
  <c r="B54" i="32" s="1"/>
  <c r="I54" i="32" s="1"/>
  <c r="I53" i="30"/>
  <c r="B53" i="32" s="1"/>
  <c r="I53" i="32" s="1"/>
  <c r="I50" i="30"/>
  <c r="B50" i="32"/>
  <c r="I50" i="32" s="1"/>
  <c r="I47" i="30"/>
  <c r="B47" i="32"/>
  <c r="I47" i="32" s="1"/>
  <c r="I46" i="30"/>
  <c r="B46" i="32"/>
  <c r="I46" i="32" s="1"/>
  <c r="I44" i="30"/>
  <c r="B44" i="32" s="1"/>
  <c r="I44" i="32" s="1"/>
  <c r="I42" i="30"/>
  <c r="B42" i="32" s="1"/>
  <c r="I42" i="32" s="1"/>
  <c r="I41" i="30"/>
  <c r="B41" i="32"/>
  <c r="I41" i="32" s="1"/>
  <c r="I35" i="30"/>
  <c r="B35" i="32"/>
  <c r="I35" i="32" s="1"/>
  <c r="I20" i="30"/>
  <c r="B20" i="32" s="1"/>
  <c r="I20" i="32" s="1"/>
  <c r="N227" i="33"/>
  <c r="N226" i="33"/>
  <c r="N10" i="33" s="1"/>
  <c r="M14" i="12" s="1"/>
  <c r="N225" i="33"/>
  <c r="N240" i="33"/>
  <c r="N239" i="33"/>
  <c r="N238" i="33"/>
  <c r="N237" i="33"/>
  <c r="N19" i="33" s="1"/>
  <c r="N236" i="33"/>
  <c r="N235" i="33"/>
  <c r="N234" i="33"/>
  <c r="N233" i="33"/>
  <c r="N232" i="33"/>
  <c r="N231" i="33"/>
  <c r="N230" i="33"/>
  <c r="N229" i="33"/>
  <c r="N228" i="33"/>
  <c r="N224" i="33"/>
  <c r="N7" i="33" s="1"/>
  <c r="N223" i="33"/>
  <c r="N222" i="33"/>
  <c r="N221" i="33"/>
  <c r="N220" i="33"/>
  <c r="N219" i="33"/>
  <c r="N218" i="33"/>
  <c r="N217" i="33"/>
  <c r="N16" i="33" s="1"/>
  <c r="G25" i="11" s="1"/>
  <c r="G26" i="11" s="1"/>
  <c r="N216" i="33"/>
  <c r="C48" i="10" s="1"/>
  <c r="N215" i="33"/>
  <c r="J45" i="10" s="1"/>
  <c r="I45" i="10" s="1"/>
  <c r="B45" i="12" s="1"/>
  <c r="N214" i="33"/>
  <c r="N213" i="33"/>
  <c r="N212" i="33"/>
  <c r="N211" i="33"/>
  <c r="N210" i="33"/>
  <c r="N209" i="33"/>
  <c r="N208" i="33"/>
  <c r="N207" i="33"/>
  <c r="N206" i="33"/>
  <c r="N205" i="33"/>
  <c r="N204" i="33"/>
  <c r="N203" i="33"/>
  <c r="N202" i="33"/>
  <c r="N201" i="33"/>
  <c r="C32" i="10" s="1"/>
  <c r="N200" i="33"/>
  <c r="N199" i="33"/>
  <c r="N198" i="33"/>
  <c r="N197" i="33"/>
  <c r="N196" i="33"/>
  <c r="N195" i="33"/>
  <c r="N194" i="33"/>
  <c r="N193" i="33"/>
  <c r="N192" i="33"/>
  <c r="N191" i="33"/>
  <c r="N190" i="33"/>
  <c r="N189" i="33"/>
  <c r="N188" i="33"/>
  <c r="N187" i="33"/>
  <c r="N12" i="33" s="1"/>
  <c r="N186" i="33"/>
  <c r="N185" i="33"/>
  <c r="N184" i="33"/>
  <c r="N183" i="33"/>
  <c r="N182" i="33"/>
  <c r="N181" i="33"/>
  <c r="N180" i="33"/>
  <c r="J34" i="10" s="1"/>
  <c r="I34" i="10" s="1"/>
  <c r="B34" i="12" s="1"/>
  <c r="N179" i="33"/>
  <c r="N178" i="33"/>
  <c r="N177" i="33"/>
  <c r="N176" i="33"/>
  <c r="N175" i="33"/>
  <c r="N174" i="33"/>
  <c r="N173" i="33"/>
  <c r="N172" i="33"/>
  <c r="N171" i="33"/>
  <c r="N170" i="33"/>
  <c r="N13" i="33" s="1"/>
  <c r="O30" i="11" s="1"/>
  <c r="O31" i="11" s="1"/>
  <c r="N169" i="33"/>
  <c r="N168" i="33"/>
  <c r="N167" i="33"/>
  <c r="M15" i="10" s="1"/>
  <c r="N166" i="33"/>
  <c r="N165" i="33"/>
  <c r="N164" i="33"/>
  <c r="N163" i="33"/>
  <c r="N162" i="33"/>
  <c r="N161" i="33"/>
  <c r="N160" i="33"/>
  <c r="N159" i="33"/>
  <c r="N158" i="33"/>
  <c r="N157" i="33"/>
  <c r="N156" i="33"/>
  <c r="N155" i="33"/>
  <c r="N154" i="33"/>
  <c r="N153" i="33"/>
  <c r="N152" i="33"/>
  <c r="N151" i="33"/>
  <c r="N150" i="33"/>
  <c r="N149" i="33"/>
  <c r="N148" i="33"/>
  <c r="T12" i="10" s="1"/>
  <c r="S12" i="10" s="1"/>
  <c r="N147" i="33"/>
  <c r="N146" i="33"/>
  <c r="N145" i="33"/>
  <c r="N144" i="33"/>
  <c r="N143" i="33"/>
  <c r="N142" i="33"/>
  <c r="J51" i="10" s="1"/>
  <c r="I51" i="10" s="1"/>
  <c r="B51" i="12" s="1"/>
  <c r="N141" i="33"/>
  <c r="N140" i="33"/>
  <c r="N139" i="33"/>
  <c r="N138" i="33"/>
  <c r="N137" i="33"/>
  <c r="N136" i="33"/>
  <c r="N135" i="33"/>
  <c r="N134" i="33"/>
  <c r="N133" i="33"/>
  <c r="N132" i="33"/>
  <c r="N131" i="33"/>
  <c r="N130" i="33"/>
  <c r="N129" i="33"/>
  <c r="N128" i="33"/>
  <c r="N127" i="33"/>
  <c r="C38" i="10" s="1"/>
  <c r="N126" i="33"/>
  <c r="J38" i="10" s="1"/>
  <c r="I38" i="10" s="1"/>
  <c r="N125" i="33"/>
  <c r="N124" i="33"/>
  <c r="N123" i="33"/>
  <c r="N122" i="33"/>
  <c r="N121" i="33"/>
  <c r="N120" i="33"/>
  <c r="N119" i="33"/>
  <c r="N118" i="33"/>
  <c r="N117" i="33"/>
  <c r="C29" i="10" s="1"/>
  <c r="N116" i="33"/>
  <c r="N115" i="33"/>
  <c r="C25" i="10" s="1"/>
  <c r="N114" i="33"/>
  <c r="N113" i="33"/>
  <c r="N112" i="33"/>
  <c r="N111" i="33"/>
  <c r="N110" i="33"/>
  <c r="N109" i="33"/>
  <c r="N108" i="33"/>
  <c r="N107" i="33"/>
  <c r="C27" i="10" s="1"/>
  <c r="N106" i="33"/>
  <c r="N105" i="33"/>
  <c r="N104" i="33"/>
  <c r="N103" i="33"/>
  <c r="N102" i="33"/>
  <c r="N101" i="33"/>
  <c r="N100" i="33"/>
  <c r="N99" i="33"/>
  <c r="N98" i="33"/>
  <c r="N97" i="33"/>
  <c r="N96" i="33"/>
  <c r="N95" i="33"/>
  <c r="N94" i="33"/>
  <c r="N93" i="33"/>
  <c r="N92" i="33"/>
  <c r="J26" i="10" s="1"/>
  <c r="I26" i="10" s="1"/>
  <c r="N91" i="33"/>
  <c r="N90" i="33"/>
  <c r="N89" i="33"/>
  <c r="N88" i="33"/>
  <c r="N87" i="33"/>
  <c r="N86" i="33"/>
  <c r="N9" i="33" s="1"/>
  <c r="N85" i="33"/>
  <c r="N84" i="33"/>
  <c r="N83" i="33"/>
  <c r="N82" i="33"/>
  <c r="N81" i="33"/>
  <c r="C23" i="10" s="1"/>
  <c r="N80" i="33"/>
  <c r="N79" i="33"/>
  <c r="N78" i="33"/>
  <c r="N77" i="33"/>
  <c r="N76" i="33"/>
  <c r="N75" i="33"/>
  <c r="N74" i="33"/>
  <c r="N73" i="33"/>
  <c r="N72" i="33"/>
  <c r="N71" i="33"/>
  <c r="N70" i="33"/>
  <c r="N69" i="33"/>
  <c r="N68" i="33"/>
  <c r="N67" i="33"/>
  <c r="N66" i="33"/>
  <c r="N65" i="33"/>
  <c r="N64" i="33"/>
  <c r="N63" i="33"/>
  <c r="N62" i="33"/>
  <c r="N61" i="33"/>
  <c r="N60" i="33"/>
  <c r="N59" i="33"/>
  <c r="N58" i="33"/>
  <c r="N57" i="33"/>
  <c r="N56" i="33"/>
  <c r="N55" i="33"/>
  <c r="N54" i="33"/>
  <c r="N53" i="33"/>
  <c r="N52" i="33"/>
  <c r="N8" i="33" s="1"/>
  <c r="N51" i="33"/>
  <c r="C15" i="10" s="1"/>
  <c r="N50" i="33"/>
  <c r="N49" i="33"/>
  <c r="N48" i="33"/>
  <c r="N47" i="33"/>
  <c r="N46" i="33"/>
  <c r="N45" i="33"/>
  <c r="N44" i="33"/>
  <c r="N43" i="33"/>
  <c r="N42" i="33"/>
  <c r="N41" i="33"/>
  <c r="N40" i="33"/>
  <c r="N39" i="33"/>
  <c r="N38" i="33"/>
  <c r="N37" i="33"/>
  <c r="N36" i="33"/>
  <c r="N35" i="33"/>
  <c r="N34" i="33"/>
  <c r="N33" i="33"/>
  <c r="J15" i="10" s="1"/>
  <c r="I15" i="10" s="1"/>
  <c r="N32" i="33"/>
  <c r="N31" i="33"/>
  <c r="J9" i="10" s="1"/>
  <c r="I9" i="10" s="1"/>
  <c r="N30" i="33"/>
  <c r="N29" i="33"/>
  <c r="J13" i="10" s="1"/>
  <c r="I13" i="10" s="1"/>
  <c r="N28" i="33"/>
  <c r="J8" i="10" s="1"/>
  <c r="I8" i="10" s="1"/>
  <c r="N27" i="33"/>
  <c r="J19" i="10" s="1"/>
  <c r="I19" i="10" s="1"/>
  <c r="B19" i="12" s="1"/>
  <c r="N26" i="33"/>
  <c r="N25" i="33"/>
  <c r="J14" i="10" s="1"/>
  <c r="I14" i="10" s="1"/>
  <c r="M12" i="10" l="1"/>
  <c r="L12" i="12" s="1"/>
  <c r="J21" i="10"/>
  <c r="I21" i="10" s="1"/>
  <c r="B21" i="12" s="1"/>
  <c r="C28" i="10"/>
  <c r="M11" i="10"/>
  <c r="L11" i="12" s="1"/>
  <c r="N11" i="33"/>
  <c r="N18" i="33"/>
  <c r="I25" i="11" s="1"/>
  <c r="I26" i="11" s="1"/>
  <c r="J29" i="10"/>
  <c r="I29" i="10" s="1"/>
  <c r="B29" i="12" s="1"/>
  <c r="N15" i="33"/>
  <c r="Q30" i="11" s="1"/>
  <c r="Q31" i="11" s="1"/>
  <c r="J16" i="10"/>
  <c r="I16" i="10" s="1"/>
  <c r="B16" i="12" s="1"/>
  <c r="T11" i="10"/>
  <c r="S11" i="10" s="1"/>
  <c r="T17" i="10"/>
  <c r="S17" i="10" s="1"/>
  <c r="J31" i="10"/>
  <c r="I31" i="10" s="1"/>
  <c r="B31" i="12" s="1"/>
  <c r="J30" i="10"/>
  <c r="I30" i="10" s="1"/>
  <c r="B30" i="12" s="1"/>
  <c r="J27" i="10"/>
  <c r="I27" i="10" s="1"/>
  <c r="B27" i="12" s="1"/>
  <c r="M13" i="10"/>
  <c r="L13" i="12" s="1"/>
  <c r="J23" i="10"/>
  <c r="I23" i="10" s="1"/>
  <c r="B23" i="12" s="1"/>
  <c r="J11" i="10"/>
  <c r="I11" i="10" s="1"/>
  <c r="B11" i="12" s="1"/>
  <c r="L14" i="14"/>
  <c r="O49" i="1"/>
  <c r="O47" i="1"/>
  <c r="O50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48" i="1"/>
  <c r="B8" i="12"/>
  <c r="B9" i="12"/>
  <c r="B13" i="12"/>
  <c r="B14" i="12"/>
  <c r="B17" i="12"/>
  <c r="C14" i="12"/>
  <c r="C10" i="12"/>
  <c r="C11" i="12"/>
  <c r="C17" i="12"/>
  <c r="C8" i="12"/>
  <c r="C13" i="12"/>
  <c r="C9" i="12"/>
  <c r="C12" i="12"/>
  <c r="C16" i="12"/>
  <c r="L15" i="12"/>
  <c r="B38" i="12"/>
  <c r="B25" i="12"/>
  <c r="B15" i="12"/>
  <c r="J49" i="10"/>
  <c r="I49" i="10" s="1"/>
  <c r="B49" i="12" s="1"/>
  <c r="M16" i="10"/>
  <c r="J39" i="10"/>
  <c r="I39" i="10" s="1"/>
  <c r="B39" i="12" s="1"/>
  <c r="J36" i="10"/>
  <c r="I36" i="10" s="1"/>
  <c r="B36" i="12" s="1"/>
  <c r="M18" i="10"/>
  <c r="C26" i="10"/>
  <c r="J40" i="10"/>
  <c r="I40" i="10" s="1"/>
  <c r="B40" i="12" s="1"/>
  <c r="J48" i="10"/>
  <c r="I48" i="10" s="1"/>
  <c r="B48" i="12" s="1"/>
  <c r="N14" i="33"/>
  <c r="P30" i="11" s="1"/>
  <c r="P31" i="11" s="1"/>
  <c r="M17" i="10"/>
  <c r="T13" i="10"/>
  <c r="S13" i="10" s="1"/>
  <c r="J32" i="10"/>
  <c r="I32" i="10" s="1"/>
  <c r="J28" i="10"/>
  <c r="I28" i="10" s="1"/>
  <c r="B28" i="12" s="1"/>
  <c r="J22" i="10"/>
  <c r="I22" i="10" s="1"/>
  <c r="B22" i="12" s="1"/>
  <c r="J12" i="10"/>
  <c r="I12" i="10" s="1"/>
  <c r="B12" i="12" s="1"/>
  <c r="N17" i="33"/>
  <c r="H25" i="11" s="1"/>
  <c r="H26" i="11" s="1"/>
  <c r="J37" i="10"/>
  <c r="I37" i="10" s="1"/>
  <c r="B37" i="12" s="1"/>
  <c r="J10" i="10"/>
  <c r="I10" i="10" s="1"/>
  <c r="J26" i="11" l="1"/>
  <c r="S14" i="14"/>
  <c r="AG49" i="1"/>
  <c r="AV49" i="1" s="1"/>
  <c r="AG47" i="1"/>
  <c r="AV47" i="1" s="1"/>
  <c r="AG50" i="1"/>
  <c r="AV50" i="1" s="1"/>
  <c r="AG46" i="1"/>
  <c r="AV46" i="1" s="1"/>
  <c r="AG45" i="1"/>
  <c r="AV45" i="1" s="1"/>
  <c r="AG44" i="1"/>
  <c r="AV44" i="1" s="1"/>
  <c r="AG43" i="1"/>
  <c r="AV43" i="1" s="1"/>
  <c r="AG42" i="1"/>
  <c r="AV42" i="1" s="1"/>
  <c r="AG41" i="1"/>
  <c r="AV41" i="1" s="1"/>
  <c r="AG40" i="1"/>
  <c r="AV40" i="1" s="1"/>
  <c r="AG39" i="1"/>
  <c r="AV39" i="1" s="1"/>
  <c r="AG38" i="1"/>
  <c r="AV38" i="1" s="1"/>
  <c r="AG37" i="1"/>
  <c r="AV37" i="1" s="1"/>
  <c r="AG36" i="1"/>
  <c r="AV36" i="1" s="1"/>
  <c r="AG35" i="1"/>
  <c r="AV35" i="1" s="1"/>
  <c r="AG34" i="1"/>
  <c r="AV34" i="1" s="1"/>
  <c r="AG33" i="1"/>
  <c r="AV33" i="1" s="1"/>
  <c r="AG32" i="1"/>
  <c r="AV32" i="1" s="1"/>
  <c r="AG31" i="1"/>
  <c r="AV31" i="1" s="1"/>
  <c r="AG30" i="1"/>
  <c r="AV30" i="1" s="1"/>
  <c r="AG29" i="1"/>
  <c r="AV29" i="1" s="1"/>
  <c r="AG28" i="1"/>
  <c r="AV28" i="1" s="1"/>
  <c r="AG27" i="1"/>
  <c r="AV27" i="1" s="1"/>
  <c r="AG26" i="1"/>
  <c r="AV26" i="1" s="1"/>
  <c r="AG25" i="1"/>
  <c r="AV25" i="1" s="1"/>
  <c r="AG24" i="1"/>
  <c r="AV24" i="1" s="1"/>
  <c r="AG23" i="1"/>
  <c r="AV23" i="1" s="1"/>
  <c r="AG22" i="1"/>
  <c r="AV22" i="1" s="1"/>
  <c r="AG21" i="1"/>
  <c r="AV21" i="1" s="1"/>
  <c r="AG20" i="1"/>
  <c r="AV20" i="1" s="1"/>
  <c r="AG19" i="1"/>
  <c r="AV19" i="1" s="1"/>
  <c r="AG18" i="1"/>
  <c r="AV18" i="1" s="1"/>
  <c r="AG17" i="1"/>
  <c r="AV17" i="1" s="1"/>
  <c r="AG16" i="1"/>
  <c r="AV16" i="1" s="1"/>
  <c r="AG15" i="1"/>
  <c r="AV15" i="1" s="1"/>
  <c r="AG14" i="1"/>
  <c r="AV14" i="1" s="1"/>
  <c r="AG13" i="1"/>
  <c r="AV13" i="1" s="1"/>
  <c r="AG12" i="1"/>
  <c r="AV12" i="1" s="1"/>
  <c r="AG11" i="1"/>
  <c r="AV11" i="1" s="1"/>
  <c r="AG48" i="1"/>
  <c r="AV48" i="1" s="1"/>
  <c r="I17" i="12"/>
  <c r="S15" i="12"/>
  <c r="I25" i="12"/>
  <c r="L16" i="12"/>
  <c r="L18" i="12"/>
  <c r="B26" i="12"/>
  <c r="L17" i="12"/>
  <c r="N6" i="10"/>
  <c r="J6" i="11" s="1"/>
  <c r="J8" i="11" s="1"/>
  <c r="K8" i="11" s="1"/>
  <c r="U6" i="10"/>
  <c r="B6" i="11" s="1"/>
  <c r="B8" i="11" s="1"/>
  <c r="C8" i="11" s="1"/>
  <c r="Q6" i="10"/>
  <c r="N6" i="11" s="1"/>
  <c r="N8" i="11" s="1"/>
  <c r="O8" i="11" s="1"/>
  <c r="B32" i="12"/>
  <c r="K6" i="10"/>
  <c r="F6" i="11" s="1"/>
  <c r="F8" i="11" s="1"/>
  <c r="G8" i="11" s="1"/>
  <c r="B10" i="12"/>
  <c r="O228" i="33" l="1"/>
  <c r="O229" i="33"/>
  <c r="O230" i="33"/>
  <c r="O231" i="33"/>
  <c r="O232" i="33"/>
  <c r="O233" i="33"/>
  <c r="O224" i="33"/>
  <c r="O234" i="33"/>
  <c r="O235" i="33"/>
  <c r="O236" i="33"/>
  <c r="O237" i="33"/>
  <c r="O19" i="33" s="1"/>
  <c r="O238" i="33"/>
  <c r="O239" i="33"/>
  <c r="O240" i="33"/>
  <c r="O214" i="33"/>
  <c r="O215" i="33"/>
  <c r="J45" i="12" s="1"/>
  <c r="I45" i="12" s="1"/>
  <c r="B45" i="14" s="1"/>
  <c r="O216" i="33"/>
  <c r="C48" i="12" s="1"/>
  <c r="O217" i="33"/>
  <c r="O16" i="33" s="1"/>
  <c r="G25" i="13" s="1"/>
  <c r="G26" i="13" s="1"/>
  <c r="O218" i="33"/>
  <c r="O219" i="33"/>
  <c r="O220" i="33"/>
  <c r="O221" i="33"/>
  <c r="O222" i="33"/>
  <c r="O223" i="33"/>
  <c r="O206" i="33"/>
  <c r="O207" i="33"/>
  <c r="O208" i="33"/>
  <c r="O209" i="33"/>
  <c r="O210" i="33"/>
  <c r="O211" i="33"/>
  <c r="O212" i="33"/>
  <c r="O213" i="33"/>
  <c r="O200" i="33"/>
  <c r="O201" i="33"/>
  <c r="C32" i="12" s="1"/>
  <c r="O202" i="33"/>
  <c r="O203" i="33"/>
  <c r="O204" i="33"/>
  <c r="O205" i="33"/>
  <c r="O196" i="33"/>
  <c r="O197" i="33"/>
  <c r="O198" i="33"/>
  <c r="O199" i="33"/>
  <c r="O193" i="33"/>
  <c r="O194" i="33"/>
  <c r="O195" i="33"/>
  <c r="O192" i="33"/>
  <c r="O181" i="33"/>
  <c r="O182" i="33"/>
  <c r="O183" i="33"/>
  <c r="O184" i="33"/>
  <c r="O185" i="33"/>
  <c r="O186" i="33"/>
  <c r="O187" i="33"/>
  <c r="O12" i="33" s="1"/>
  <c r="O188" i="33"/>
  <c r="O189" i="33"/>
  <c r="O190" i="33"/>
  <c r="O191" i="33"/>
  <c r="O173" i="33"/>
  <c r="O174" i="33"/>
  <c r="O175" i="33"/>
  <c r="O176" i="33"/>
  <c r="O177" i="33"/>
  <c r="O178" i="33"/>
  <c r="O179" i="33"/>
  <c r="O180" i="33"/>
  <c r="J34" i="12" s="1"/>
  <c r="I34" i="12" s="1"/>
  <c r="B34" i="14" s="1"/>
  <c r="O167" i="33"/>
  <c r="M15" i="12" s="1"/>
  <c r="O168" i="33"/>
  <c r="O169" i="33"/>
  <c r="O170" i="33"/>
  <c r="O13" i="33" s="1"/>
  <c r="O30" i="13" s="1"/>
  <c r="O31" i="13" s="1"/>
  <c r="O171" i="33"/>
  <c r="O172" i="33"/>
  <c r="O163" i="33"/>
  <c r="O164" i="33"/>
  <c r="O165" i="33"/>
  <c r="O166" i="33"/>
  <c r="O159" i="33"/>
  <c r="O160" i="33"/>
  <c r="O161" i="33"/>
  <c r="O162" i="33"/>
  <c r="O158" i="33"/>
  <c r="O148" i="33"/>
  <c r="T12" i="12" s="1"/>
  <c r="S12" i="12" s="1"/>
  <c r="O149" i="33"/>
  <c r="O150" i="33"/>
  <c r="O151" i="33"/>
  <c r="O152" i="33"/>
  <c r="O153" i="33"/>
  <c r="O154" i="33"/>
  <c r="O155" i="33"/>
  <c r="O156" i="33"/>
  <c r="O157" i="33"/>
  <c r="O140" i="33"/>
  <c r="O141" i="33"/>
  <c r="O142" i="33"/>
  <c r="O143" i="33"/>
  <c r="O144" i="33"/>
  <c r="O145" i="33"/>
  <c r="O146" i="33"/>
  <c r="O147" i="33"/>
  <c r="O134" i="33"/>
  <c r="O135" i="33"/>
  <c r="O136" i="33"/>
  <c r="O137" i="33"/>
  <c r="O138" i="33"/>
  <c r="O139" i="33"/>
  <c r="O130" i="33"/>
  <c r="O131" i="33"/>
  <c r="O132" i="33"/>
  <c r="O133" i="33"/>
  <c r="O126" i="33"/>
  <c r="O127" i="33"/>
  <c r="C38" i="12" s="1"/>
  <c r="O128" i="33"/>
  <c r="O129" i="33"/>
  <c r="O125" i="33"/>
  <c r="O115" i="33"/>
  <c r="C25" i="12" s="1"/>
  <c r="O116" i="33"/>
  <c r="O117" i="33"/>
  <c r="C29" i="12" s="1"/>
  <c r="O118" i="33"/>
  <c r="O119" i="33"/>
  <c r="O120" i="33"/>
  <c r="O121" i="33"/>
  <c r="O122" i="33"/>
  <c r="O123" i="33"/>
  <c r="O124" i="33"/>
  <c r="O106" i="33"/>
  <c r="O107" i="33"/>
  <c r="C27" i="12" s="1"/>
  <c r="O108" i="33"/>
  <c r="O109" i="33"/>
  <c r="O110" i="33"/>
  <c r="O111" i="33"/>
  <c r="O112" i="33"/>
  <c r="O113" i="33"/>
  <c r="O114" i="33"/>
  <c r="O100" i="33"/>
  <c r="O101" i="33"/>
  <c r="O102" i="33"/>
  <c r="O103" i="33"/>
  <c r="O104" i="33"/>
  <c r="O105" i="33"/>
  <c r="O96" i="33"/>
  <c r="O97" i="33"/>
  <c r="O98" i="33"/>
  <c r="O99" i="33"/>
  <c r="O92" i="33"/>
  <c r="J26" i="12" s="1"/>
  <c r="I26" i="12" s="1"/>
  <c r="O93" i="33"/>
  <c r="O94" i="33"/>
  <c r="O95" i="33"/>
  <c r="O91" i="33"/>
  <c r="O81" i="33"/>
  <c r="O82" i="33"/>
  <c r="O83" i="33"/>
  <c r="O84" i="33"/>
  <c r="O85" i="33"/>
  <c r="O86" i="33"/>
  <c r="O9" i="33" s="1"/>
  <c r="O87" i="33"/>
  <c r="O88" i="33"/>
  <c r="O89" i="33"/>
  <c r="O90" i="33"/>
  <c r="O72" i="33"/>
  <c r="O73" i="33"/>
  <c r="O74" i="33"/>
  <c r="O75" i="33"/>
  <c r="O76" i="33"/>
  <c r="O77" i="33"/>
  <c r="O78" i="33"/>
  <c r="O79" i="33"/>
  <c r="O80" i="33"/>
  <c r="O65" i="33"/>
  <c r="O66" i="33"/>
  <c r="O67" i="33"/>
  <c r="O68" i="33"/>
  <c r="O69" i="33"/>
  <c r="O70" i="33"/>
  <c r="O71" i="33"/>
  <c r="O61" i="33"/>
  <c r="O62" i="33"/>
  <c r="O63" i="33"/>
  <c r="O64" i="33"/>
  <c r="O58" i="33"/>
  <c r="O59" i="33"/>
  <c r="O60" i="33"/>
  <c r="O57" i="33"/>
  <c r="J23" i="12" s="1"/>
  <c r="I23" i="12" s="1"/>
  <c r="O47" i="33"/>
  <c r="O48" i="33"/>
  <c r="O49" i="33"/>
  <c r="O50" i="33"/>
  <c r="O51" i="33"/>
  <c r="C15" i="12" s="1"/>
  <c r="O52" i="33"/>
  <c r="O8" i="33" s="1"/>
  <c r="O53" i="33"/>
  <c r="O54" i="33"/>
  <c r="O55" i="33"/>
  <c r="O56" i="33"/>
  <c r="O39" i="33"/>
  <c r="O40" i="33"/>
  <c r="O41" i="33"/>
  <c r="O42" i="33"/>
  <c r="O43" i="33"/>
  <c r="O44" i="33"/>
  <c r="O45" i="33"/>
  <c r="O46" i="33"/>
  <c r="O33" i="33"/>
  <c r="O34" i="33"/>
  <c r="O35" i="33"/>
  <c r="O36" i="33"/>
  <c r="O37" i="33"/>
  <c r="O38" i="33"/>
  <c r="O29" i="33"/>
  <c r="O30" i="33"/>
  <c r="O31" i="33"/>
  <c r="J9" i="12" s="1"/>
  <c r="I9" i="12" s="1"/>
  <c r="O32" i="33"/>
  <c r="O26" i="33"/>
  <c r="O27" i="33"/>
  <c r="J19" i="12" s="1"/>
  <c r="I19" i="12" s="1"/>
  <c r="B19" i="14" s="1"/>
  <c r="O28" i="33"/>
  <c r="O25" i="33"/>
  <c r="O225" i="33"/>
  <c r="O226" i="33"/>
  <c r="O10" i="33" s="1"/>
  <c r="M14" i="14" s="1"/>
  <c r="O227" i="33"/>
  <c r="S16" i="12"/>
  <c r="S18" i="12"/>
  <c r="T17" i="12" l="1"/>
  <c r="S17" i="12" s="1"/>
  <c r="O11" i="33"/>
  <c r="M18" i="12"/>
  <c r="L18" i="14" s="1"/>
  <c r="C23" i="12"/>
  <c r="B23" i="14" s="1"/>
  <c r="M11" i="12"/>
  <c r="L11" i="14" s="1"/>
  <c r="J51" i="12"/>
  <c r="I51" i="12" s="1"/>
  <c r="B51" i="14" s="1"/>
  <c r="T11" i="12"/>
  <c r="S11" i="12" s="1"/>
  <c r="B17" i="14"/>
  <c r="B9" i="14"/>
  <c r="C16" i="14"/>
  <c r="C9" i="14"/>
  <c r="C13" i="14"/>
  <c r="C8" i="14"/>
  <c r="C17" i="14"/>
  <c r="C10" i="14"/>
  <c r="C14" i="14"/>
  <c r="C12" i="14"/>
  <c r="C11" i="14"/>
  <c r="L15" i="14"/>
  <c r="B25" i="14"/>
  <c r="L14" i="16"/>
  <c r="S18" i="14"/>
  <c r="O7" i="33"/>
  <c r="J39" i="12"/>
  <c r="I39" i="12" s="1"/>
  <c r="B39" i="14" s="1"/>
  <c r="M16" i="12"/>
  <c r="J49" i="12"/>
  <c r="I49" i="12" s="1"/>
  <c r="B49" i="14" s="1"/>
  <c r="J38" i="12"/>
  <c r="I38" i="12" s="1"/>
  <c r="B38" i="14" s="1"/>
  <c r="J36" i="12"/>
  <c r="I36" i="12" s="1"/>
  <c r="B36" i="14" s="1"/>
  <c r="O18" i="33"/>
  <c r="I25" i="13" s="1"/>
  <c r="I26" i="13" s="1"/>
  <c r="J31" i="12"/>
  <c r="I31" i="12" s="1"/>
  <c r="B31" i="14" s="1"/>
  <c r="J27" i="12"/>
  <c r="I27" i="12" s="1"/>
  <c r="B27" i="14" s="1"/>
  <c r="J30" i="12"/>
  <c r="I30" i="12" s="1"/>
  <c r="B30" i="14" s="1"/>
  <c r="C26" i="12"/>
  <c r="J40" i="12"/>
  <c r="I40" i="12" s="1"/>
  <c r="B40" i="14" s="1"/>
  <c r="T13" i="12"/>
  <c r="S13" i="12" s="1"/>
  <c r="M17" i="12"/>
  <c r="J37" i="12"/>
  <c r="I37" i="12" s="1"/>
  <c r="B37" i="14" s="1"/>
  <c r="O14" i="33"/>
  <c r="P30" i="13" s="1"/>
  <c r="P31" i="13" s="1"/>
  <c r="J48" i="12"/>
  <c r="I48" i="12" s="1"/>
  <c r="B48" i="14" s="1"/>
  <c r="C28" i="12"/>
  <c r="M12" i="12"/>
  <c r="J32" i="12"/>
  <c r="I32" i="12" s="1"/>
  <c r="B32" i="14" s="1"/>
  <c r="M13" i="12"/>
  <c r="J29" i="12"/>
  <c r="I29" i="12" s="1"/>
  <c r="B29" i="14" s="1"/>
  <c r="O15" i="33"/>
  <c r="Q30" i="13" s="1"/>
  <c r="Q31" i="13" s="1"/>
  <c r="J22" i="12"/>
  <c r="I22" i="12" s="1"/>
  <c r="B22" i="14" s="1"/>
  <c r="J28" i="12"/>
  <c r="I28" i="12" s="1"/>
  <c r="O17" i="33"/>
  <c r="H25" i="13" s="1"/>
  <c r="H26" i="13" s="1"/>
  <c r="J12" i="12"/>
  <c r="I12" i="12" s="1"/>
  <c r="B12" i="14" s="1"/>
  <c r="J15" i="12"/>
  <c r="I15" i="12" s="1"/>
  <c r="B15" i="14" s="1"/>
  <c r="J21" i="12"/>
  <c r="I21" i="12" s="1"/>
  <c r="B21" i="14" s="1"/>
  <c r="J16" i="12"/>
  <c r="I16" i="12" s="1"/>
  <c r="J10" i="12"/>
  <c r="I10" i="12" s="1"/>
  <c r="B10" i="14" s="1"/>
  <c r="J11" i="12"/>
  <c r="I11" i="12" s="1"/>
  <c r="B11" i="14" s="1"/>
  <c r="J13" i="12"/>
  <c r="I13" i="12" s="1"/>
  <c r="B13" i="14" s="1"/>
  <c r="J8" i="12"/>
  <c r="I8" i="12" s="1"/>
  <c r="J14" i="12"/>
  <c r="I14" i="12" s="1"/>
  <c r="B14" i="14" s="1"/>
  <c r="J26" i="13" l="1"/>
  <c r="I17" i="14"/>
  <c r="S15" i="14"/>
  <c r="I25" i="14"/>
  <c r="S14" i="16"/>
  <c r="P49" i="1"/>
  <c r="P50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L16" i="14"/>
  <c r="B26" i="14"/>
  <c r="L17" i="14"/>
  <c r="B28" i="14"/>
  <c r="L12" i="14"/>
  <c r="L13" i="14"/>
  <c r="K6" i="12"/>
  <c r="F6" i="13" s="1"/>
  <c r="F8" i="13" s="1"/>
  <c r="G8" i="13" s="1"/>
  <c r="N6" i="12"/>
  <c r="J6" i="13" s="1"/>
  <c r="J8" i="13" s="1"/>
  <c r="K8" i="13" s="1"/>
  <c r="Q6" i="12"/>
  <c r="N6" i="13" s="1"/>
  <c r="N8" i="13" s="1"/>
  <c r="O8" i="13" s="1"/>
  <c r="B16" i="14"/>
  <c r="B8" i="14"/>
  <c r="U6" i="12"/>
  <c r="B6" i="13" s="1"/>
  <c r="B8" i="13" s="1"/>
  <c r="C8" i="13" s="1"/>
  <c r="AH49" i="1" l="1"/>
  <c r="AW49" i="1" s="1"/>
  <c r="AH50" i="1"/>
  <c r="AW50" i="1" s="1"/>
  <c r="AH48" i="1"/>
  <c r="AW48" i="1" s="1"/>
  <c r="AH47" i="1"/>
  <c r="AW47" i="1" s="1"/>
  <c r="AH46" i="1"/>
  <c r="AW46" i="1" s="1"/>
  <c r="AH45" i="1"/>
  <c r="AW45" i="1" s="1"/>
  <c r="AH44" i="1"/>
  <c r="AW44" i="1" s="1"/>
  <c r="AH43" i="1"/>
  <c r="AW43" i="1" s="1"/>
  <c r="AH42" i="1"/>
  <c r="AW42" i="1" s="1"/>
  <c r="AH41" i="1"/>
  <c r="AW41" i="1" s="1"/>
  <c r="AH40" i="1"/>
  <c r="AW40" i="1" s="1"/>
  <c r="AH39" i="1"/>
  <c r="AW39" i="1" s="1"/>
  <c r="AH38" i="1"/>
  <c r="AW38" i="1" s="1"/>
  <c r="AH37" i="1"/>
  <c r="AW37" i="1" s="1"/>
  <c r="AH36" i="1"/>
  <c r="AW36" i="1" s="1"/>
  <c r="AH35" i="1"/>
  <c r="AW35" i="1" s="1"/>
  <c r="AH34" i="1"/>
  <c r="AW34" i="1" s="1"/>
  <c r="AH33" i="1"/>
  <c r="AW33" i="1" s="1"/>
  <c r="AH32" i="1"/>
  <c r="AW32" i="1" s="1"/>
  <c r="AH31" i="1"/>
  <c r="AW31" i="1" s="1"/>
  <c r="AH30" i="1"/>
  <c r="AW30" i="1" s="1"/>
  <c r="AH29" i="1"/>
  <c r="AW29" i="1" s="1"/>
  <c r="AH28" i="1"/>
  <c r="AW28" i="1" s="1"/>
  <c r="AH27" i="1"/>
  <c r="AW27" i="1" s="1"/>
  <c r="AH26" i="1"/>
  <c r="AW26" i="1" s="1"/>
  <c r="AH25" i="1"/>
  <c r="AW25" i="1" s="1"/>
  <c r="AH24" i="1"/>
  <c r="AW24" i="1" s="1"/>
  <c r="AH23" i="1"/>
  <c r="AW23" i="1" s="1"/>
  <c r="AH22" i="1"/>
  <c r="AW22" i="1" s="1"/>
  <c r="AH21" i="1"/>
  <c r="AW21" i="1" s="1"/>
  <c r="AH20" i="1"/>
  <c r="AW20" i="1" s="1"/>
  <c r="AH19" i="1"/>
  <c r="AW19" i="1" s="1"/>
  <c r="AH18" i="1"/>
  <c r="AW18" i="1" s="1"/>
  <c r="AH17" i="1"/>
  <c r="AW17" i="1" s="1"/>
  <c r="AH16" i="1"/>
  <c r="AW16" i="1" s="1"/>
  <c r="AH15" i="1"/>
  <c r="AW15" i="1" s="1"/>
  <c r="AH14" i="1"/>
  <c r="AW14" i="1" s="1"/>
  <c r="AH13" i="1"/>
  <c r="AW13" i="1" s="1"/>
  <c r="AH12" i="1"/>
  <c r="AW12" i="1" s="1"/>
  <c r="AH11" i="1"/>
  <c r="AW11" i="1" s="1"/>
  <c r="S16" i="14"/>
  <c r="P233" i="33" l="1"/>
  <c r="P232" i="33"/>
  <c r="P231" i="33"/>
  <c r="P230" i="33"/>
  <c r="P229" i="33"/>
  <c r="P228" i="33"/>
  <c r="P240" i="33"/>
  <c r="P239" i="33"/>
  <c r="P238" i="33"/>
  <c r="P237" i="33"/>
  <c r="P19" i="33" s="1"/>
  <c r="P236" i="33"/>
  <c r="P235" i="33"/>
  <c r="P234" i="33"/>
  <c r="P227" i="33"/>
  <c r="P226" i="33"/>
  <c r="P10" i="33" s="1"/>
  <c r="M14" i="16" s="1"/>
  <c r="P225" i="33"/>
  <c r="P224" i="33"/>
  <c r="P7" i="33" s="1"/>
  <c r="P223" i="33"/>
  <c r="P222" i="33"/>
  <c r="P221" i="33"/>
  <c r="P220" i="33"/>
  <c r="P219" i="33"/>
  <c r="P218" i="33"/>
  <c r="P217" i="33"/>
  <c r="P16" i="33" s="1"/>
  <c r="G25" i="15" s="1"/>
  <c r="G26" i="15" s="1"/>
  <c r="P216" i="33"/>
  <c r="C48" i="14" s="1"/>
  <c r="P215" i="33"/>
  <c r="J45" i="14" s="1"/>
  <c r="I45" i="14" s="1"/>
  <c r="B45" i="16" s="1"/>
  <c r="P214" i="33"/>
  <c r="P213" i="33"/>
  <c r="P212" i="33"/>
  <c r="P211" i="33"/>
  <c r="P210" i="33"/>
  <c r="P209" i="33"/>
  <c r="P208" i="33"/>
  <c r="P207" i="33"/>
  <c r="P206" i="33"/>
  <c r="P205" i="33"/>
  <c r="P204" i="33"/>
  <c r="P203" i="33"/>
  <c r="P202" i="33"/>
  <c r="P201" i="33"/>
  <c r="C32" i="14" s="1"/>
  <c r="P200" i="33"/>
  <c r="P199" i="33"/>
  <c r="P198" i="33"/>
  <c r="P197" i="33"/>
  <c r="P196" i="33"/>
  <c r="P195" i="33"/>
  <c r="P194" i="33"/>
  <c r="P193" i="33"/>
  <c r="P192" i="33"/>
  <c r="P191" i="33"/>
  <c r="P190" i="33"/>
  <c r="P189" i="33"/>
  <c r="P188" i="33"/>
  <c r="P187" i="33"/>
  <c r="P12" i="33" s="1"/>
  <c r="P186" i="33"/>
  <c r="P185" i="33"/>
  <c r="P184" i="33"/>
  <c r="P183" i="33"/>
  <c r="P182" i="33"/>
  <c r="P181" i="33"/>
  <c r="P180" i="33"/>
  <c r="J34" i="14" s="1"/>
  <c r="I34" i="14" s="1"/>
  <c r="B34" i="16" s="1"/>
  <c r="P179" i="33"/>
  <c r="P178" i="33"/>
  <c r="P177" i="33"/>
  <c r="P176" i="33"/>
  <c r="P175" i="33"/>
  <c r="P174" i="33"/>
  <c r="P173" i="33"/>
  <c r="P172" i="33"/>
  <c r="P171" i="33"/>
  <c r="P170" i="33"/>
  <c r="P13" i="33" s="1"/>
  <c r="O30" i="15" s="1"/>
  <c r="O31" i="15" s="1"/>
  <c r="P169" i="33"/>
  <c r="P168" i="33"/>
  <c r="P167" i="33"/>
  <c r="M15" i="14" s="1"/>
  <c r="P166" i="33"/>
  <c r="P165" i="33"/>
  <c r="P164" i="33"/>
  <c r="P163" i="33"/>
  <c r="P162" i="33"/>
  <c r="P161" i="33"/>
  <c r="P160" i="33"/>
  <c r="P159" i="33"/>
  <c r="P158" i="33"/>
  <c r="P157" i="33"/>
  <c r="P156" i="33"/>
  <c r="P155" i="33"/>
  <c r="P154" i="33"/>
  <c r="P153" i="33"/>
  <c r="P152" i="33"/>
  <c r="P151" i="33"/>
  <c r="P150" i="33"/>
  <c r="P149" i="33"/>
  <c r="T17" i="14" s="1"/>
  <c r="S17" i="14" s="1"/>
  <c r="P148" i="33"/>
  <c r="T12" i="14" s="1"/>
  <c r="S12" i="14" s="1"/>
  <c r="P147" i="33"/>
  <c r="P146" i="33"/>
  <c r="P145" i="33"/>
  <c r="P144" i="33"/>
  <c r="P11" i="33" s="1"/>
  <c r="P143" i="33"/>
  <c r="P142" i="33"/>
  <c r="P141" i="33"/>
  <c r="P140" i="33"/>
  <c r="P139" i="33"/>
  <c r="P138" i="33"/>
  <c r="P137" i="33"/>
  <c r="P136" i="33"/>
  <c r="P135" i="33"/>
  <c r="P134" i="33"/>
  <c r="P133" i="33"/>
  <c r="P132" i="33"/>
  <c r="P131" i="33"/>
  <c r="P130" i="33"/>
  <c r="P129" i="33"/>
  <c r="P128" i="33"/>
  <c r="P127" i="33"/>
  <c r="C38" i="14" s="1"/>
  <c r="P126" i="33"/>
  <c r="P125" i="33"/>
  <c r="P124" i="33"/>
  <c r="P123" i="33"/>
  <c r="P122" i="33"/>
  <c r="P121" i="33"/>
  <c r="P120" i="33"/>
  <c r="P119" i="33"/>
  <c r="P118" i="33"/>
  <c r="P117" i="33"/>
  <c r="C29" i="14" s="1"/>
  <c r="P116" i="33"/>
  <c r="P115" i="33"/>
  <c r="C25" i="14" s="1"/>
  <c r="P114" i="33"/>
  <c r="P113" i="33"/>
  <c r="P112" i="33"/>
  <c r="P111" i="33"/>
  <c r="P110" i="33"/>
  <c r="P109" i="33"/>
  <c r="P108" i="33"/>
  <c r="P107" i="33"/>
  <c r="C27" i="14" s="1"/>
  <c r="P106" i="33"/>
  <c r="P105" i="33"/>
  <c r="P104" i="33"/>
  <c r="P103" i="33"/>
  <c r="P102" i="33"/>
  <c r="P101" i="33"/>
  <c r="P100" i="33"/>
  <c r="P99" i="33"/>
  <c r="P98" i="33"/>
  <c r="J30" i="14" s="1"/>
  <c r="I30" i="14" s="1"/>
  <c r="B30" i="16" s="1"/>
  <c r="P97" i="33"/>
  <c r="P96" i="33"/>
  <c r="P95" i="33"/>
  <c r="P94" i="33"/>
  <c r="P93" i="33"/>
  <c r="P92" i="33"/>
  <c r="J26" i="14" s="1"/>
  <c r="I26" i="14" s="1"/>
  <c r="P91" i="33"/>
  <c r="P90" i="33"/>
  <c r="P89" i="33"/>
  <c r="P88" i="33"/>
  <c r="P87" i="33"/>
  <c r="P86" i="33"/>
  <c r="P9" i="33" s="1"/>
  <c r="P85" i="33"/>
  <c r="P84" i="33"/>
  <c r="P83" i="33"/>
  <c r="P82" i="33"/>
  <c r="P81" i="33"/>
  <c r="C23" i="14" s="1"/>
  <c r="P80" i="33"/>
  <c r="P79" i="33"/>
  <c r="P78" i="33"/>
  <c r="P77" i="33"/>
  <c r="P76" i="33"/>
  <c r="P75" i="33"/>
  <c r="P74" i="33"/>
  <c r="P73" i="33"/>
  <c r="P72" i="33"/>
  <c r="T13" i="14" s="1"/>
  <c r="S13" i="14" s="1"/>
  <c r="P71" i="33"/>
  <c r="P70" i="33"/>
  <c r="P69" i="33"/>
  <c r="P68" i="33"/>
  <c r="P67" i="33"/>
  <c r="P66" i="33"/>
  <c r="P65" i="33"/>
  <c r="P64" i="33"/>
  <c r="P63" i="33"/>
  <c r="P62" i="33"/>
  <c r="P61" i="33"/>
  <c r="P60" i="33"/>
  <c r="P59" i="33"/>
  <c r="P15" i="33" s="1"/>
  <c r="Q30" i="15" s="1"/>
  <c r="Q31" i="15" s="1"/>
  <c r="P58" i="33"/>
  <c r="P57" i="33"/>
  <c r="P56" i="33"/>
  <c r="P55" i="33"/>
  <c r="P54" i="33"/>
  <c r="P53" i="33"/>
  <c r="P52" i="33"/>
  <c r="P8" i="33" s="1"/>
  <c r="P51" i="33"/>
  <c r="C15" i="14" s="1"/>
  <c r="P50" i="33"/>
  <c r="P49" i="33"/>
  <c r="P48" i="33"/>
  <c r="P47" i="33"/>
  <c r="P46" i="33"/>
  <c r="P45" i="33"/>
  <c r="P44" i="33"/>
  <c r="P43" i="33"/>
  <c r="P42" i="33"/>
  <c r="P41" i="33"/>
  <c r="P40" i="33"/>
  <c r="P39" i="33"/>
  <c r="P38" i="33"/>
  <c r="P37" i="33"/>
  <c r="P36" i="33"/>
  <c r="P35" i="33"/>
  <c r="P34" i="33"/>
  <c r="P33" i="33"/>
  <c r="J15" i="14" s="1"/>
  <c r="I15" i="14" s="1"/>
  <c r="P32" i="33"/>
  <c r="P31" i="33"/>
  <c r="J9" i="14" s="1"/>
  <c r="I9" i="14" s="1"/>
  <c r="P30" i="33"/>
  <c r="P29" i="33"/>
  <c r="P28" i="33"/>
  <c r="P27" i="33"/>
  <c r="J19" i="14" s="1"/>
  <c r="I19" i="14" s="1"/>
  <c r="B19" i="16" s="1"/>
  <c r="P26" i="33"/>
  <c r="P25" i="33"/>
  <c r="M16" i="14" l="1"/>
  <c r="L16" i="16" s="1"/>
  <c r="J39" i="14"/>
  <c r="I39" i="14" s="1"/>
  <c r="B39" i="16" s="1"/>
  <c r="J36" i="14"/>
  <c r="I36" i="14" s="1"/>
  <c r="B36" i="16" s="1"/>
  <c r="C26" i="14"/>
  <c r="B26" i="16" s="1"/>
  <c r="J23" i="14"/>
  <c r="I23" i="14" s="1"/>
  <c r="B23" i="16" s="1"/>
  <c r="M11" i="14"/>
  <c r="L11" i="16" s="1"/>
  <c r="T11" i="14"/>
  <c r="S11" i="14" s="1"/>
  <c r="J38" i="14"/>
  <c r="I38" i="14" s="1"/>
  <c r="B38" i="16" s="1"/>
  <c r="M18" i="14"/>
  <c r="L18" i="16" s="1"/>
  <c r="J40" i="14"/>
  <c r="I40" i="14" s="1"/>
  <c r="B40" i="16" s="1"/>
  <c r="J28" i="14"/>
  <c r="I28" i="14" s="1"/>
  <c r="J22" i="14"/>
  <c r="I22" i="14" s="1"/>
  <c r="J14" i="14"/>
  <c r="I14" i="14" s="1"/>
  <c r="B14" i="16" s="1"/>
  <c r="L14" i="18"/>
  <c r="Q50" i="1"/>
  <c r="Q47" i="1"/>
  <c r="Q49" i="1"/>
  <c r="Q48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B9" i="16"/>
  <c r="B17" i="16"/>
  <c r="C11" i="16"/>
  <c r="C12" i="16"/>
  <c r="C14" i="16"/>
  <c r="C10" i="16"/>
  <c r="C17" i="16"/>
  <c r="C8" i="16"/>
  <c r="C13" i="16"/>
  <c r="C9" i="16"/>
  <c r="C16" i="16"/>
  <c r="L15" i="16"/>
  <c r="B25" i="16"/>
  <c r="B15" i="16"/>
  <c r="J51" i="14"/>
  <c r="I51" i="14" s="1"/>
  <c r="B51" i="16" s="1"/>
  <c r="J49" i="14"/>
  <c r="I49" i="14" s="1"/>
  <c r="B49" i="16" s="1"/>
  <c r="P18" i="33"/>
  <c r="I25" i="15" s="1"/>
  <c r="I26" i="15" s="1"/>
  <c r="J31" i="14"/>
  <c r="I31" i="14" s="1"/>
  <c r="B31" i="16" s="1"/>
  <c r="J27" i="14"/>
  <c r="I27" i="14" s="1"/>
  <c r="B27" i="16" s="1"/>
  <c r="J48" i="14"/>
  <c r="I48" i="14" s="1"/>
  <c r="B48" i="16" s="1"/>
  <c r="P14" i="33"/>
  <c r="P30" i="15" s="1"/>
  <c r="P31" i="15" s="1"/>
  <c r="M17" i="14"/>
  <c r="J32" i="14"/>
  <c r="I32" i="14" s="1"/>
  <c r="B32" i="16" s="1"/>
  <c r="M12" i="14"/>
  <c r="C28" i="14"/>
  <c r="J29" i="14"/>
  <c r="I29" i="14" s="1"/>
  <c r="B29" i="16" s="1"/>
  <c r="M13" i="14"/>
  <c r="J12" i="14"/>
  <c r="I12" i="14" s="1"/>
  <c r="B12" i="16" s="1"/>
  <c r="P17" i="33"/>
  <c r="H25" i="15" s="1"/>
  <c r="H26" i="15" s="1"/>
  <c r="J37" i="14"/>
  <c r="I37" i="14" s="1"/>
  <c r="B37" i="16" s="1"/>
  <c r="J11" i="14"/>
  <c r="I11" i="14" s="1"/>
  <c r="B11" i="16" s="1"/>
  <c r="J10" i="14"/>
  <c r="I10" i="14" s="1"/>
  <c r="B10" i="16" s="1"/>
  <c r="J16" i="14"/>
  <c r="I16" i="14" s="1"/>
  <c r="J21" i="14"/>
  <c r="I21" i="14" s="1"/>
  <c r="B21" i="16" s="1"/>
  <c r="J13" i="14"/>
  <c r="I13" i="14" s="1"/>
  <c r="B13" i="16" s="1"/>
  <c r="J8" i="14"/>
  <c r="I8" i="14" s="1"/>
  <c r="B8" i="16" s="1"/>
  <c r="J26" i="15" l="1"/>
  <c r="B22" i="16"/>
  <c r="N6" i="14"/>
  <c r="J6" i="15" s="1"/>
  <c r="J8" i="15" s="1"/>
  <c r="K8" i="15" s="1"/>
  <c r="S14" i="18"/>
  <c r="AI50" i="1"/>
  <c r="AX50" i="1" s="1"/>
  <c r="AI47" i="1"/>
  <c r="AX47" i="1" s="1"/>
  <c r="AI49" i="1"/>
  <c r="AX49" i="1" s="1"/>
  <c r="AI48" i="1"/>
  <c r="AX48" i="1" s="1"/>
  <c r="AI46" i="1"/>
  <c r="AX46" i="1" s="1"/>
  <c r="AI45" i="1"/>
  <c r="AX45" i="1" s="1"/>
  <c r="AI44" i="1"/>
  <c r="AX44" i="1" s="1"/>
  <c r="AI43" i="1"/>
  <c r="AX43" i="1" s="1"/>
  <c r="AI42" i="1"/>
  <c r="AX42" i="1" s="1"/>
  <c r="AI41" i="1"/>
  <c r="AX41" i="1" s="1"/>
  <c r="AI40" i="1"/>
  <c r="AX40" i="1" s="1"/>
  <c r="AI39" i="1"/>
  <c r="AX39" i="1" s="1"/>
  <c r="AI38" i="1"/>
  <c r="AX38" i="1" s="1"/>
  <c r="AI37" i="1"/>
  <c r="AX37" i="1" s="1"/>
  <c r="AI36" i="1"/>
  <c r="AX36" i="1" s="1"/>
  <c r="AI35" i="1"/>
  <c r="AX35" i="1" s="1"/>
  <c r="AI34" i="1"/>
  <c r="AX34" i="1" s="1"/>
  <c r="AI33" i="1"/>
  <c r="AX33" i="1" s="1"/>
  <c r="AI32" i="1"/>
  <c r="AX32" i="1" s="1"/>
  <c r="AI31" i="1"/>
  <c r="AX31" i="1" s="1"/>
  <c r="AI30" i="1"/>
  <c r="AX30" i="1" s="1"/>
  <c r="AI29" i="1"/>
  <c r="AX29" i="1" s="1"/>
  <c r="AI28" i="1"/>
  <c r="AX28" i="1" s="1"/>
  <c r="AI27" i="1"/>
  <c r="AX27" i="1" s="1"/>
  <c r="AI26" i="1"/>
  <c r="AX26" i="1" s="1"/>
  <c r="AI25" i="1"/>
  <c r="AX25" i="1" s="1"/>
  <c r="AI24" i="1"/>
  <c r="AX24" i="1" s="1"/>
  <c r="AI23" i="1"/>
  <c r="AX23" i="1" s="1"/>
  <c r="AI22" i="1"/>
  <c r="AX22" i="1" s="1"/>
  <c r="AI21" i="1"/>
  <c r="AX21" i="1" s="1"/>
  <c r="AI20" i="1"/>
  <c r="AX20" i="1" s="1"/>
  <c r="AI19" i="1"/>
  <c r="AX19" i="1" s="1"/>
  <c r="AI18" i="1"/>
  <c r="AX18" i="1" s="1"/>
  <c r="AI17" i="1"/>
  <c r="AX17" i="1" s="1"/>
  <c r="AI16" i="1"/>
  <c r="AX16" i="1" s="1"/>
  <c r="AI15" i="1"/>
  <c r="AX15" i="1" s="1"/>
  <c r="AI14" i="1"/>
  <c r="AX14" i="1" s="1"/>
  <c r="AI13" i="1"/>
  <c r="AX13" i="1" s="1"/>
  <c r="AI12" i="1"/>
  <c r="AX12" i="1" s="1"/>
  <c r="AI11" i="1"/>
  <c r="AX11" i="1" s="1"/>
  <c r="I17" i="16"/>
  <c r="S15" i="16"/>
  <c r="S16" i="16"/>
  <c r="S18" i="16"/>
  <c r="I25" i="16"/>
  <c r="L17" i="16"/>
  <c r="L12" i="16"/>
  <c r="B28" i="16"/>
  <c r="L13" i="16"/>
  <c r="U6" i="14"/>
  <c r="B6" i="15" s="1"/>
  <c r="B8" i="15" s="1"/>
  <c r="C8" i="15" s="1"/>
  <c r="K6" i="14"/>
  <c r="F6" i="15" s="1"/>
  <c r="F8" i="15" s="1"/>
  <c r="G8" i="15" s="1"/>
  <c r="Q6" i="14"/>
  <c r="N6" i="15" s="1"/>
  <c r="N8" i="15" s="1"/>
  <c r="O8" i="15" s="1"/>
  <c r="B16" i="16"/>
  <c r="Q234" i="33" l="1"/>
  <c r="Q235" i="33"/>
  <c r="Q236" i="33"/>
  <c r="Q237" i="33"/>
  <c r="Q19" i="33" s="1"/>
  <c r="Q238" i="33"/>
  <c r="Q239" i="33"/>
  <c r="Q240" i="33"/>
  <c r="Q224" i="33"/>
  <c r="Q7" i="33" s="1"/>
  <c r="Q228" i="33"/>
  <c r="Q229" i="33"/>
  <c r="Q230" i="33"/>
  <c r="Q231" i="33"/>
  <c r="Q232" i="33"/>
  <c r="Q233" i="33"/>
  <c r="Q225" i="33"/>
  <c r="Q226" i="33"/>
  <c r="Q10" i="33" s="1"/>
  <c r="M14" i="18" s="1"/>
  <c r="Q227" i="33"/>
  <c r="Q214" i="33"/>
  <c r="Q215" i="33"/>
  <c r="J45" i="16" s="1"/>
  <c r="I45" i="16" s="1"/>
  <c r="B45" i="18" s="1"/>
  <c r="Q216" i="33"/>
  <c r="C48" i="16" s="1"/>
  <c r="Q217" i="33"/>
  <c r="Q16" i="33" s="1"/>
  <c r="G25" i="17" s="1"/>
  <c r="G26" i="17" s="1"/>
  <c r="Q218" i="33"/>
  <c r="Q219" i="33"/>
  <c r="Q220" i="33"/>
  <c r="Q221" i="33"/>
  <c r="Q222" i="33"/>
  <c r="Q223" i="33"/>
  <c r="Q206" i="33"/>
  <c r="Q207" i="33"/>
  <c r="Q208" i="33"/>
  <c r="Q209" i="33"/>
  <c r="Q210" i="33"/>
  <c r="Q211" i="33"/>
  <c r="Q212" i="33"/>
  <c r="Q213" i="33"/>
  <c r="Q200" i="33"/>
  <c r="Q201" i="33"/>
  <c r="C32" i="16" s="1"/>
  <c r="Q202" i="33"/>
  <c r="Q203" i="33"/>
  <c r="Q204" i="33"/>
  <c r="Q205" i="33"/>
  <c r="Q196" i="33"/>
  <c r="Q197" i="33"/>
  <c r="Q198" i="33"/>
  <c r="Q199" i="33"/>
  <c r="Q193" i="33"/>
  <c r="Q194" i="33"/>
  <c r="Q195" i="33"/>
  <c r="Q192" i="33"/>
  <c r="Q181" i="33"/>
  <c r="Q182" i="33"/>
  <c r="Q183" i="33"/>
  <c r="Q184" i="33"/>
  <c r="Q185" i="33"/>
  <c r="Q186" i="33"/>
  <c r="Q187" i="33"/>
  <c r="Q12" i="33" s="1"/>
  <c r="Q188" i="33"/>
  <c r="Q189" i="33"/>
  <c r="Q190" i="33"/>
  <c r="Q191" i="33"/>
  <c r="Q173" i="33"/>
  <c r="Q174" i="33"/>
  <c r="Q175" i="33"/>
  <c r="Q176" i="33"/>
  <c r="Q177" i="33"/>
  <c r="Q178" i="33"/>
  <c r="Q179" i="33"/>
  <c r="Q180" i="33"/>
  <c r="J34" i="16" s="1"/>
  <c r="I34" i="16" s="1"/>
  <c r="B34" i="18" s="1"/>
  <c r="Q167" i="33"/>
  <c r="M15" i="16" s="1"/>
  <c r="Q168" i="33"/>
  <c r="Q169" i="33"/>
  <c r="Q170" i="33"/>
  <c r="Q13" i="33" s="1"/>
  <c r="O30" i="17" s="1"/>
  <c r="O31" i="17" s="1"/>
  <c r="Q171" i="33"/>
  <c r="Q172" i="33"/>
  <c r="Q163" i="33"/>
  <c r="Q164" i="33"/>
  <c r="Q165" i="33"/>
  <c r="Q166" i="33"/>
  <c r="Q159" i="33"/>
  <c r="Q160" i="33"/>
  <c r="Q161" i="33"/>
  <c r="Q162" i="33"/>
  <c r="Q158" i="33"/>
  <c r="Q148" i="33"/>
  <c r="T12" i="16" s="1"/>
  <c r="S12" i="16" s="1"/>
  <c r="Q149" i="33"/>
  <c r="Q150" i="33"/>
  <c r="Q151" i="33"/>
  <c r="Q152" i="33"/>
  <c r="Q153" i="33"/>
  <c r="Q154" i="33"/>
  <c r="Q155" i="33"/>
  <c r="Q156" i="33"/>
  <c r="Q157" i="33"/>
  <c r="Q140" i="33"/>
  <c r="Q141" i="33"/>
  <c r="Q142" i="33"/>
  <c r="Q143" i="33"/>
  <c r="Q144" i="33"/>
  <c r="Q145" i="33"/>
  <c r="Q146" i="33"/>
  <c r="Q147" i="33"/>
  <c r="Q134" i="33"/>
  <c r="Q135" i="33"/>
  <c r="Q136" i="33"/>
  <c r="Q137" i="33"/>
  <c r="Q138" i="33"/>
  <c r="Q139" i="33"/>
  <c r="Q130" i="33"/>
  <c r="Q131" i="33"/>
  <c r="Q132" i="33"/>
  <c r="Q133" i="33"/>
  <c r="Q126" i="33"/>
  <c r="Q127" i="33"/>
  <c r="C38" i="16" s="1"/>
  <c r="Q128" i="33"/>
  <c r="Q129" i="33"/>
  <c r="Q125" i="33"/>
  <c r="Q115" i="33"/>
  <c r="C25" i="16" s="1"/>
  <c r="Q116" i="33"/>
  <c r="Q117" i="33"/>
  <c r="C29" i="16" s="1"/>
  <c r="Q118" i="33"/>
  <c r="Q119" i="33"/>
  <c r="Q120" i="33"/>
  <c r="Q121" i="33"/>
  <c r="Q122" i="33"/>
  <c r="Q123" i="33"/>
  <c r="Q124" i="33"/>
  <c r="Q106" i="33"/>
  <c r="Q107" i="33"/>
  <c r="C27" i="16" s="1"/>
  <c r="Q108" i="33"/>
  <c r="Q109" i="33"/>
  <c r="Q110" i="33"/>
  <c r="Q111" i="33"/>
  <c r="Q112" i="33"/>
  <c r="Q113" i="33"/>
  <c r="Q114" i="33"/>
  <c r="Q100" i="33"/>
  <c r="Q101" i="33"/>
  <c r="J31" i="16" s="1"/>
  <c r="I31" i="16" s="1"/>
  <c r="B31" i="18" s="1"/>
  <c r="Q102" i="33"/>
  <c r="Q103" i="33"/>
  <c r="Q104" i="33"/>
  <c r="Q105" i="33"/>
  <c r="Q96" i="33"/>
  <c r="Q97" i="33"/>
  <c r="Q98" i="33"/>
  <c r="Q99" i="33"/>
  <c r="Q92" i="33"/>
  <c r="J26" i="16" s="1"/>
  <c r="I26" i="16" s="1"/>
  <c r="Q93" i="33"/>
  <c r="Q94" i="33"/>
  <c r="Q95" i="33"/>
  <c r="Q91" i="33"/>
  <c r="Q81" i="33"/>
  <c r="Q82" i="33"/>
  <c r="Q83" i="33"/>
  <c r="Q84" i="33"/>
  <c r="Q85" i="33"/>
  <c r="Q86" i="33"/>
  <c r="Q9" i="33" s="1"/>
  <c r="Q87" i="33"/>
  <c r="Q88" i="33"/>
  <c r="Q89" i="33"/>
  <c r="Q90" i="33"/>
  <c r="Q72" i="33"/>
  <c r="Q73" i="33"/>
  <c r="Q74" i="33"/>
  <c r="Q75" i="33"/>
  <c r="Q76" i="33"/>
  <c r="Q77" i="33"/>
  <c r="Q78" i="33"/>
  <c r="Q79" i="33"/>
  <c r="Q80" i="33"/>
  <c r="Q65" i="33"/>
  <c r="Q66" i="33"/>
  <c r="C28" i="16" s="1"/>
  <c r="Q67" i="33"/>
  <c r="Q68" i="33"/>
  <c r="Q69" i="33"/>
  <c r="Q70" i="33"/>
  <c r="Q71" i="33"/>
  <c r="Q61" i="33"/>
  <c r="Q62" i="33"/>
  <c r="Q63" i="33"/>
  <c r="Q64" i="33"/>
  <c r="Q58" i="33"/>
  <c r="Q59" i="33"/>
  <c r="Q60" i="33"/>
  <c r="Q57" i="33"/>
  <c r="Q47" i="33"/>
  <c r="Q48" i="33"/>
  <c r="Q49" i="33"/>
  <c r="Q50" i="33"/>
  <c r="Q51" i="33"/>
  <c r="C15" i="16" s="1"/>
  <c r="Q52" i="33"/>
  <c r="Q8" i="33" s="1"/>
  <c r="Q53" i="33"/>
  <c r="Q54" i="33"/>
  <c r="Q55" i="33"/>
  <c r="Q56" i="33"/>
  <c r="Q39" i="33"/>
  <c r="Q40" i="33"/>
  <c r="Q41" i="33"/>
  <c r="Q42" i="33"/>
  <c r="Q43" i="33"/>
  <c r="Q44" i="33"/>
  <c r="Q45" i="33"/>
  <c r="Q46" i="33"/>
  <c r="Q33" i="33"/>
  <c r="Q34" i="33"/>
  <c r="Q35" i="33"/>
  <c r="Q36" i="33"/>
  <c r="Q37" i="33"/>
  <c r="Q38" i="33"/>
  <c r="Q29" i="33"/>
  <c r="Q30" i="33"/>
  <c r="Q31" i="33"/>
  <c r="J9" i="16" s="1"/>
  <c r="I9" i="16" s="1"/>
  <c r="Q32" i="33"/>
  <c r="Q26" i="33"/>
  <c r="Q27" i="33"/>
  <c r="J19" i="16" s="1"/>
  <c r="I19" i="16" s="1"/>
  <c r="B19" i="18" s="1"/>
  <c r="Q28" i="33"/>
  <c r="Q25" i="33"/>
  <c r="T17" i="16" l="1"/>
  <c r="S17" i="16" s="1"/>
  <c r="C23" i="16"/>
  <c r="Q14" i="33"/>
  <c r="P30" i="17" s="1"/>
  <c r="P31" i="17" s="1"/>
  <c r="J38" i="16"/>
  <c r="I38" i="16" s="1"/>
  <c r="B38" i="18" s="1"/>
  <c r="T11" i="16"/>
  <c r="S11" i="16" s="1"/>
  <c r="M11" i="16"/>
  <c r="L11" i="18" s="1"/>
  <c r="M18" i="16"/>
  <c r="L18" i="18" s="1"/>
  <c r="Q18" i="33"/>
  <c r="I25" i="17" s="1"/>
  <c r="I26" i="17" s="1"/>
  <c r="J36" i="16"/>
  <c r="I36" i="16" s="1"/>
  <c r="B36" i="18" s="1"/>
  <c r="J23" i="16"/>
  <c r="I23" i="16" s="1"/>
  <c r="B23" i="18" s="1"/>
  <c r="Q17" i="33"/>
  <c r="H25" i="17" s="1"/>
  <c r="H26" i="17" s="1"/>
  <c r="J26" i="17" s="1"/>
  <c r="R49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50" i="1"/>
  <c r="L14" i="20"/>
  <c r="B17" i="18"/>
  <c r="B9" i="18"/>
  <c r="C13" i="18"/>
  <c r="C8" i="18"/>
  <c r="C17" i="18"/>
  <c r="C16" i="18"/>
  <c r="C10" i="18"/>
  <c r="C12" i="18"/>
  <c r="C9" i="18"/>
  <c r="C14" i="18"/>
  <c r="C11" i="18"/>
  <c r="L15" i="18"/>
  <c r="B25" i="18"/>
  <c r="J51" i="16"/>
  <c r="I51" i="16" s="1"/>
  <c r="B51" i="18" s="1"/>
  <c r="Q11" i="33"/>
  <c r="J39" i="16"/>
  <c r="I39" i="16" s="1"/>
  <c r="B39" i="18" s="1"/>
  <c r="M16" i="16"/>
  <c r="J49" i="16"/>
  <c r="I49" i="16" s="1"/>
  <c r="B49" i="18" s="1"/>
  <c r="J27" i="16"/>
  <c r="I27" i="16" s="1"/>
  <c r="B27" i="18" s="1"/>
  <c r="J30" i="16"/>
  <c r="I30" i="16" s="1"/>
  <c r="B30" i="18" s="1"/>
  <c r="C26" i="16"/>
  <c r="J40" i="16"/>
  <c r="I40" i="16" s="1"/>
  <c r="B40" i="18" s="1"/>
  <c r="T13" i="16"/>
  <c r="S13" i="16" s="1"/>
  <c r="M17" i="16"/>
  <c r="J48" i="16"/>
  <c r="I48" i="16" s="1"/>
  <c r="B48" i="18" s="1"/>
  <c r="M12" i="16"/>
  <c r="J32" i="16"/>
  <c r="I32" i="16" s="1"/>
  <c r="B32" i="18" s="1"/>
  <c r="M13" i="16"/>
  <c r="J29" i="16"/>
  <c r="I29" i="16" s="1"/>
  <c r="B29" i="18" s="1"/>
  <c r="Q15" i="33"/>
  <c r="Q30" i="17" s="1"/>
  <c r="Q31" i="17" s="1"/>
  <c r="J22" i="16"/>
  <c r="I22" i="16" s="1"/>
  <c r="B22" i="18" s="1"/>
  <c r="J28" i="16"/>
  <c r="I28" i="16" s="1"/>
  <c r="B28" i="18" s="1"/>
  <c r="J37" i="16"/>
  <c r="I37" i="16" s="1"/>
  <c r="B37" i="18" s="1"/>
  <c r="J12" i="16"/>
  <c r="I12" i="16" s="1"/>
  <c r="B12" i="18" s="1"/>
  <c r="J15" i="16"/>
  <c r="I15" i="16" s="1"/>
  <c r="B15" i="18" s="1"/>
  <c r="J21" i="16"/>
  <c r="I21" i="16" s="1"/>
  <c r="B21" i="18" s="1"/>
  <c r="J16" i="16"/>
  <c r="I16" i="16" s="1"/>
  <c r="J10" i="16"/>
  <c r="I10" i="16" s="1"/>
  <c r="B10" i="18" s="1"/>
  <c r="J11" i="16"/>
  <c r="I11" i="16" s="1"/>
  <c r="B11" i="18" s="1"/>
  <c r="J13" i="16"/>
  <c r="I13" i="16" s="1"/>
  <c r="B13" i="18" s="1"/>
  <c r="J8" i="16"/>
  <c r="I8" i="16" s="1"/>
  <c r="B8" i="18" s="1"/>
  <c r="J14" i="16"/>
  <c r="I14" i="16" s="1"/>
  <c r="B14" i="18" s="1"/>
  <c r="U6" i="16" l="1"/>
  <c r="B6" i="17" s="1"/>
  <c r="B8" i="17" s="1"/>
  <c r="C8" i="17" s="1"/>
  <c r="AJ49" i="1"/>
  <c r="AY49" i="1" s="1"/>
  <c r="AJ11" i="1"/>
  <c r="AY11" i="1" s="1"/>
  <c r="AJ12" i="1"/>
  <c r="AY12" i="1" s="1"/>
  <c r="AJ13" i="1"/>
  <c r="AY13" i="1" s="1"/>
  <c r="AJ14" i="1"/>
  <c r="AY14" i="1" s="1"/>
  <c r="AJ15" i="1"/>
  <c r="AY15" i="1" s="1"/>
  <c r="AJ16" i="1"/>
  <c r="AY16" i="1" s="1"/>
  <c r="AJ17" i="1"/>
  <c r="AY17" i="1" s="1"/>
  <c r="AJ18" i="1"/>
  <c r="AY18" i="1" s="1"/>
  <c r="AJ19" i="1"/>
  <c r="AY19" i="1" s="1"/>
  <c r="AJ20" i="1"/>
  <c r="AY20" i="1" s="1"/>
  <c r="AJ21" i="1"/>
  <c r="AY21" i="1" s="1"/>
  <c r="AJ22" i="1"/>
  <c r="AY22" i="1" s="1"/>
  <c r="AJ23" i="1"/>
  <c r="AY23" i="1" s="1"/>
  <c r="AJ24" i="1"/>
  <c r="AY24" i="1" s="1"/>
  <c r="AJ25" i="1"/>
  <c r="AY25" i="1" s="1"/>
  <c r="AJ26" i="1"/>
  <c r="AY26" i="1" s="1"/>
  <c r="AJ27" i="1"/>
  <c r="AY27" i="1" s="1"/>
  <c r="AJ28" i="1"/>
  <c r="AY28" i="1" s="1"/>
  <c r="AJ29" i="1"/>
  <c r="AY29" i="1" s="1"/>
  <c r="AJ30" i="1"/>
  <c r="AY30" i="1" s="1"/>
  <c r="AJ31" i="1"/>
  <c r="AY31" i="1" s="1"/>
  <c r="AJ32" i="1"/>
  <c r="AY32" i="1" s="1"/>
  <c r="AJ33" i="1"/>
  <c r="AY33" i="1" s="1"/>
  <c r="AJ34" i="1"/>
  <c r="AY34" i="1" s="1"/>
  <c r="AJ35" i="1"/>
  <c r="AY35" i="1" s="1"/>
  <c r="AJ36" i="1"/>
  <c r="AY36" i="1" s="1"/>
  <c r="AJ37" i="1"/>
  <c r="AY37" i="1" s="1"/>
  <c r="AJ38" i="1"/>
  <c r="AY38" i="1" s="1"/>
  <c r="AJ39" i="1"/>
  <c r="AY39" i="1" s="1"/>
  <c r="AJ40" i="1"/>
  <c r="AY40" i="1" s="1"/>
  <c r="AJ41" i="1"/>
  <c r="AY41" i="1" s="1"/>
  <c r="AJ42" i="1"/>
  <c r="AY42" i="1" s="1"/>
  <c r="AJ43" i="1"/>
  <c r="AY43" i="1" s="1"/>
  <c r="AJ44" i="1"/>
  <c r="AY44" i="1" s="1"/>
  <c r="AJ45" i="1"/>
  <c r="AY45" i="1" s="1"/>
  <c r="AJ46" i="1"/>
  <c r="AY46" i="1" s="1"/>
  <c r="AJ47" i="1"/>
  <c r="AY47" i="1" s="1"/>
  <c r="AJ48" i="1"/>
  <c r="AY48" i="1" s="1"/>
  <c r="AJ50" i="1"/>
  <c r="AY50" i="1" s="1"/>
  <c r="S14" i="20"/>
  <c r="I17" i="18"/>
  <c r="S15" i="18"/>
  <c r="I25" i="18"/>
  <c r="S18" i="18"/>
  <c r="L16" i="18"/>
  <c r="B26" i="18"/>
  <c r="L17" i="18"/>
  <c r="L12" i="18"/>
  <c r="L13" i="18"/>
  <c r="B16" i="18"/>
  <c r="Q6" i="16"/>
  <c r="N6" i="17" s="1"/>
  <c r="N8" i="17" s="1"/>
  <c r="O8" i="17" s="1"/>
  <c r="N6" i="16"/>
  <c r="J6" i="17" s="1"/>
  <c r="J8" i="17" s="1"/>
  <c r="K8" i="17" s="1"/>
  <c r="K6" i="16"/>
  <c r="F6" i="17" s="1"/>
  <c r="F8" i="17" s="1"/>
  <c r="G8" i="17" s="1"/>
  <c r="R233" i="33" l="1"/>
  <c r="R232" i="33"/>
  <c r="R231" i="33"/>
  <c r="R230" i="33"/>
  <c r="R229" i="33"/>
  <c r="R228" i="33"/>
  <c r="R25" i="33"/>
  <c r="R28" i="33"/>
  <c r="R27" i="33"/>
  <c r="J19" i="18" s="1"/>
  <c r="I19" i="18" s="1"/>
  <c r="B19" i="20" s="1"/>
  <c r="R26" i="33"/>
  <c r="R32" i="33"/>
  <c r="R31" i="33"/>
  <c r="J9" i="18" s="1"/>
  <c r="I9" i="18" s="1"/>
  <c r="R30" i="33"/>
  <c r="R29" i="33"/>
  <c r="R38" i="33"/>
  <c r="R37" i="33"/>
  <c r="R36" i="33"/>
  <c r="R35" i="33"/>
  <c r="R34" i="33"/>
  <c r="R33" i="33"/>
  <c r="R46" i="33"/>
  <c r="R45" i="33"/>
  <c r="R44" i="33"/>
  <c r="R43" i="33"/>
  <c r="R42" i="33"/>
  <c r="R41" i="33"/>
  <c r="R40" i="33"/>
  <c r="R39" i="33"/>
  <c r="R56" i="33"/>
  <c r="R55" i="33"/>
  <c r="R54" i="33"/>
  <c r="R53" i="33"/>
  <c r="R52" i="33"/>
  <c r="R8" i="33" s="1"/>
  <c r="R51" i="33"/>
  <c r="C15" i="18" s="1"/>
  <c r="R50" i="33"/>
  <c r="R49" i="33"/>
  <c r="R48" i="33"/>
  <c r="R47" i="33"/>
  <c r="R57" i="33"/>
  <c r="R60" i="33"/>
  <c r="R59" i="33"/>
  <c r="R58" i="33"/>
  <c r="R64" i="33"/>
  <c r="R63" i="33"/>
  <c r="R62" i="33"/>
  <c r="R61" i="33"/>
  <c r="R71" i="33"/>
  <c r="R70" i="33"/>
  <c r="R69" i="33"/>
  <c r="R68" i="33"/>
  <c r="R67" i="33"/>
  <c r="R66" i="33"/>
  <c r="R65" i="33"/>
  <c r="R80" i="33"/>
  <c r="R79" i="33"/>
  <c r="R78" i="33"/>
  <c r="R77" i="33"/>
  <c r="R76" i="33"/>
  <c r="R75" i="33"/>
  <c r="R74" i="33"/>
  <c r="R73" i="33"/>
  <c r="R72" i="33"/>
  <c r="R90" i="33"/>
  <c r="R89" i="33"/>
  <c r="R88" i="33"/>
  <c r="R87" i="33"/>
  <c r="R86" i="33"/>
  <c r="R9" i="33" s="1"/>
  <c r="R85" i="33"/>
  <c r="R84" i="33"/>
  <c r="R83" i="33"/>
  <c r="R82" i="33"/>
  <c r="R81" i="33"/>
  <c r="R91" i="33"/>
  <c r="R95" i="33"/>
  <c r="R94" i="33"/>
  <c r="R93" i="33"/>
  <c r="R92" i="33"/>
  <c r="J26" i="18" s="1"/>
  <c r="R99" i="33"/>
  <c r="R98" i="33"/>
  <c r="R97" i="33"/>
  <c r="R96" i="33"/>
  <c r="R105" i="33"/>
  <c r="R104" i="33"/>
  <c r="R103" i="33"/>
  <c r="R102" i="33"/>
  <c r="R101" i="33"/>
  <c r="R100" i="33"/>
  <c r="R114" i="33"/>
  <c r="R113" i="33"/>
  <c r="R112" i="33"/>
  <c r="R111" i="33"/>
  <c r="R110" i="33"/>
  <c r="R109" i="33"/>
  <c r="R108" i="33"/>
  <c r="R107" i="33"/>
  <c r="C27" i="18" s="1"/>
  <c r="R106" i="33"/>
  <c r="R124" i="33"/>
  <c r="R123" i="33"/>
  <c r="R122" i="33"/>
  <c r="R121" i="33"/>
  <c r="R120" i="33"/>
  <c r="R119" i="33"/>
  <c r="R118" i="33"/>
  <c r="R117" i="33"/>
  <c r="C29" i="18" s="1"/>
  <c r="R116" i="33"/>
  <c r="R115" i="33"/>
  <c r="C25" i="18" s="1"/>
  <c r="R125" i="33"/>
  <c r="R129" i="33"/>
  <c r="R128" i="33"/>
  <c r="R127" i="33"/>
  <c r="C38" i="18" s="1"/>
  <c r="R126" i="33"/>
  <c r="R133" i="33"/>
  <c r="R132" i="33"/>
  <c r="R131" i="33"/>
  <c r="R130" i="33"/>
  <c r="R139" i="33"/>
  <c r="R138" i="33"/>
  <c r="R137" i="33"/>
  <c r="R136" i="33"/>
  <c r="R135" i="33"/>
  <c r="R134" i="33"/>
  <c r="R147" i="33"/>
  <c r="R146" i="33"/>
  <c r="R145" i="33"/>
  <c r="R144" i="33"/>
  <c r="R143" i="33"/>
  <c r="R142" i="33"/>
  <c r="R141" i="33"/>
  <c r="R140" i="33"/>
  <c r="R157" i="33"/>
  <c r="R156" i="33"/>
  <c r="R155" i="33"/>
  <c r="R154" i="33"/>
  <c r="R153" i="33"/>
  <c r="R152" i="33"/>
  <c r="R151" i="33"/>
  <c r="R150" i="33"/>
  <c r="R149" i="33"/>
  <c r="R148" i="33"/>
  <c r="T12" i="18" s="1"/>
  <c r="S12" i="18" s="1"/>
  <c r="R158" i="33"/>
  <c r="R162" i="33"/>
  <c r="R161" i="33"/>
  <c r="R160" i="33"/>
  <c r="R159" i="33"/>
  <c r="R166" i="33"/>
  <c r="R165" i="33"/>
  <c r="R164" i="33"/>
  <c r="R163" i="33"/>
  <c r="R172" i="33"/>
  <c r="R171" i="33"/>
  <c r="R170" i="33"/>
  <c r="R13" i="33" s="1"/>
  <c r="O30" i="19" s="1"/>
  <c r="O31" i="19" s="1"/>
  <c r="R169" i="33"/>
  <c r="R168" i="33"/>
  <c r="R167" i="33"/>
  <c r="M15" i="18" s="1"/>
  <c r="R180" i="33"/>
  <c r="R179" i="33"/>
  <c r="R178" i="33"/>
  <c r="R177" i="33"/>
  <c r="R176" i="33"/>
  <c r="R175" i="33"/>
  <c r="R174" i="33"/>
  <c r="R173" i="33"/>
  <c r="R191" i="33"/>
  <c r="R190" i="33"/>
  <c r="R189" i="33"/>
  <c r="R188" i="33"/>
  <c r="R187" i="33"/>
  <c r="R12" i="33" s="1"/>
  <c r="R186" i="33"/>
  <c r="R185" i="33"/>
  <c r="R184" i="33"/>
  <c r="R183" i="33"/>
  <c r="R182" i="33"/>
  <c r="R181" i="33"/>
  <c r="R192" i="33"/>
  <c r="R195" i="33"/>
  <c r="R194" i="33"/>
  <c r="R193" i="33"/>
  <c r="R199" i="33"/>
  <c r="R198" i="33"/>
  <c r="R197" i="33"/>
  <c r="R196" i="33"/>
  <c r="R205" i="33"/>
  <c r="R204" i="33"/>
  <c r="R203" i="33"/>
  <c r="R202" i="33"/>
  <c r="R201" i="33"/>
  <c r="C32" i="18" s="1"/>
  <c r="R200" i="33"/>
  <c r="R213" i="33"/>
  <c r="R212" i="33"/>
  <c r="R211" i="33"/>
  <c r="R210" i="33"/>
  <c r="R209" i="33"/>
  <c r="R208" i="33"/>
  <c r="R207" i="33"/>
  <c r="R206" i="33"/>
  <c r="R223" i="33"/>
  <c r="R222" i="33"/>
  <c r="R221" i="33"/>
  <c r="R220" i="33"/>
  <c r="R219" i="33"/>
  <c r="R218" i="33"/>
  <c r="R217" i="33"/>
  <c r="R16" i="33" s="1"/>
  <c r="G25" i="19" s="1"/>
  <c r="G26" i="19" s="1"/>
  <c r="R216" i="33"/>
  <c r="C48" i="18" s="1"/>
  <c r="R215" i="33"/>
  <c r="J45" i="18" s="1"/>
  <c r="I45" i="18" s="1"/>
  <c r="B45" i="20" s="1"/>
  <c r="R214" i="33"/>
  <c r="R224" i="33"/>
  <c r="R227" i="33"/>
  <c r="R226" i="33"/>
  <c r="R10" i="33" s="1"/>
  <c r="M14" i="20" s="1"/>
  <c r="R225" i="33"/>
  <c r="R240" i="33"/>
  <c r="R239" i="33"/>
  <c r="R238" i="33"/>
  <c r="R237" i="33"/>
  <c r="R19" i="33" s="1"/>
  <c r="R236" i="33"/>
  <c r="R235" i="33"/>
  <c r="R234" i="33"/>
  <c r="S16" i="18"/>
  <c r="I26" i="18"/>
  <c r="J13" i="18" l="1"/>
  <c r="I13" i="18" s="1"/>
  <c r="B13" i="20" s="1"/>
  <c r="R11" i="33"/>
  <c r="T17" i="18"/>
  <c r="S17" i="18" s="1"/>
  <c r="R17" i="33"/>
  <c r="H25" i="19" s="1"/>
  <c r="H26" i="19" s="1"/>
  <c r="C26" i="18"/>
  <c r="B26" i="20" s="1"/>
  <c r="M18" i="18"/>
  <c r="L18" i="20" s="1"/>
  <c r="R18" i="33"/>
  <c r="I25" i="19" s="1"/>
  <c r="I26" i="19" s="1"/>
  <c r="J26" i="19" s="1"/>
  <c r="J49" i="18"/>
  <c r="I49" i="18" s="1"/>
  <c r="B49" i="20" s="1"/>
  <c r="J39" i="18"/>
  <c r="I39" i="18" s="1"/>
  <c r="B39" i="20" s="1"/>
  <c r="J51" i="18"/>
  <c r="I51" i="18" s="1"/>
  <c r="B51" i="20" s="1"/>
  <c r="B25" i="20"/>
  <c r="L15" i="20"/>
  <c r="B9" i="20"/>
  <c r="B17" i="20"/>
  <c r="C11" i="20"/>
  <c r="C9" i="20"/>
  <c r="C12" i="20"/>
  <c r="C10" i="20"/>
  <c r="C14" i="20"/>
  <c r="C17" i="20"/>
  <c r="C13" i="20"/>
  <c r="C16" i="20"/>
  <c r="C8" i="20"/>
  <c r="L14" i="22"/>
  <c r="J14" i="18"/>
  <c r="I14" i="18" s="1"/>
  <c r="B14" i="20" s="1"/>
  <c r="J8" i="18"/>
  <c r="I8" i="18" s="1"/>
  <c r="B8" i="20" s="1"/>
  <c r="J11" i="18"/>
  <c r="I11" i="18" s="1"/>
  <c r="B11" i="20" s="1"/>
  <c r="J10" i="18"/>
  <c r="I10" i="18" s="1"/>
  <c r="B10" i="20" s="1"/>
  <c r="J16" i="18"/>
  <c r="I16" i="18" s="1"/>
  <c r="J21" i="18"/>
  <c r="I21" i="18" s="1"/>
  <c r="B21" i="20" s="1"/>
  <c r="J15" i="18"/>
  <c r="I15" i="18" s="1"/>
  <c r="B15" i="20" s="1"/>
  <c r="J12" i="18"/>
  <c r="I12" i="18" s="1"/>
  <c r="B12" i="20" s="1"/>
  <c r="J37" i="18"/>
  <c r="I37" i="18" s="1"/>
  <c r="B37" i="20" s="1"/>
  <c r="J28" i="18"/>
  <c r="I28" i="18" s="1"/>
  <c r="J22" i="18"/>
  <c r="I22" i="18" s="1"/>
  <c r="B22" i="20" s="1"/>
  <c r="J23" i="18"/>
  <c r="I23" i="18" s="1"/>
  <c r="R15" i="33"/>
  <c r="Q30" i="19" s="1"/>
  <c r="Q31" i="19" s="1"/>
  <c r="J29" i="18"/>
  <c r="I29" i="18" s="1"/>
  <c r="B29" i="20" s="1"/>
  <c r="M13" i="18"/>
  <c r="J32" i="18"/>
  <c r="I32" i="18" s="1"/>
  <c r="B32" i="20" s="1"/>
  <c r="M12" i="18"/>
  <c r="C28" i="18"/>
  <c r="J48" i="18"/>
  <c r="I48" i="18" s="1"/>
  <c r="B48" i="20" s="1"/>
  <c r="R14" i="33"/>
  <c r="P30" i="19" s="1"/>
  <c r="P31" i="19" s="1"/>
  <c r="M17" i="18"/>
  <c r="T13" i="18"/>
  <c r="S13" i="18" s="1"/>
  <c r="J31" i="18"/>
  <c r="I31" i="18" s="1"/>
  <c r="B31" i="20" s="1"/>
  <c r="J40" i="18"/>
  <c r="I40" i="18" s="1"/>
  <c r="B40" i="20" s="1"/>
  <c r="C23" i="18"/>
  <c r="J30" i="18"/>
  <c r="I30" i="18" s="1"/>
  <c r="B30" i="20" s="1"/>
  <c r="J27" i="18"/>
  <c r="I27" i="18" s="1"/>
  <c r="B27" i="20" s="1"/>
  <c r="J36" i="18"/>
  <c r="I36" i="18" s="1"/>
  <c r="B36" i="20" s="1"/>
  <c r="J38" i="18"/>
  <c r="I38" i="18" s="1"/>
  <c r="B38" i="20" s="1"/>
  <c r="M16" i="18"/>
  <c r="M11" i="18"/>
  <c r="T11" i="18"/>
  <c r="S11" i="18" s="1"/>
  <c r="J34" i="18"/>
  <c r="I34" i="18" s="1"/>
  <c r="B34" i="20" s="1"/>
  <c r="R7" i="33"/>
  <c r="U6" i="18" l="1"/>
  <c r="B6" i="19" s="1"/>
  <c r="B8" i="19" s="1"/>
  <c r="C8" i="19" s="1"/>
  <c r="S18" i="20"/>
  <c r="I25" i="20"/>
  <c r="S15" i="20"/>
  <c r="I17" i="20"/>
  <c r="S14" i="22"/>
  <c r="B16" i="20"/>
  <c r="Q6" i="18"/>
  <c r="N6" i="19" s="1"/>
  <c r="N8" i="19" s="1"/>
  <c r="O8" i="19" s="1"/>
  <c r="L13" i="20"/>
  <c r="L12" i="20"/>
  <c r="B28" i="20"/>
  <c r="L17" i="20"/>
  <c r="B23" i="20"/>
  <c r="L16" i="20"/>
  <c r="L11" i="20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8" i="1"/>
  <c r="S49" i="1"/>
  <c r="S47" i="1"/>
  <c r="S50" i="1"/>
  <c r="K6" i="18"/>
  <c r="F6" i="19" s="1"/>
  <c r="F8" i="19" s="1"/>
  <c r="G8" i="19" s="1"/>
  <c r="N6" i="18"/>
  <c r="J6" i="19" s="1"/>
  <c r="J8" i="19" s="1"/>
  <c r="K8" i="19" s="1"/>
  <c r="S16" i="20" l="1"/>
  <c r="AK11" i="1"/>
  <c r="AZ11" i="1" s="1"/>
  <c r="AK12" i="1"/>
  <c r="AZ12" i="1" s="1"/>
  <c r="AK13" i="1"/>
  <c r="AZ13" i="1" s="1"/>
  <c r="AK14" i="1"/>
  <c r="AZ14" i="1" s="1"/>
  <c r="AK15" i="1"/>
  <c r="AZ15" i="1" s="1"/>
  <c r="AK16" i="1"/>
  <c r="AZ16" i="1" s="1"/>
  <c r="AK17" i="1"/>
  <c r="AZ17" i="1" s="1"/>
  <c r="AK18" i="1"/>
  <c r="AZ18" i="1" s="1"/>
  <c r="AK19" i="1"/>
  <c r="AZ19" i="1" s="1"/>
  <c r="AK20" i="1"/>
  <c r="AZ20" i="1" s="1"/>
  <c r="AK21" i="1"/>
  <c r="AZ21" i="1" s="1"/>
  <c r="AK22" i="1"/>
  <c r="AZ22" i="1" s="1"/>
  <c r="AK23" i="1"/>
  <c r="AZ23" i="1" s="1"/>
  <c r="AK24" i="1"/>
  <c r="AZ24" i="1" s="1"/>
  <c r="AK25" i="1"/>
  <c r="AZ25" i="1" s="1"/>
  <c r="AK26" i="1"/>
  <c r="AZ26" i="1" s="1"/>
  <c r="AK27" i="1"/>
  <c r="AZ27" i="1" s="1"/>
  <c r="AK28" i="1"/>
  <c r="AZ28" i="1" s="1"/>
  <c r="AK29" i="1"/>
  <c r="AZ29" i="1" s="1"/>
  <c r="AK30" i="1"/>
  <c r="AZ30" i="1" s="1"/>
  <c r="AK31" i="1"/>
  <c r="AZ31" i="1" s="1"/>
  <c r="AK32" i="1"/>
  <c r="AZ32" i="1" s="1"/>
  <c r="AK33" i="1"/>
  <c r="AZ33" i="1" s="1"/>
  <c r="AK34" i="1"/>
  <c r="AZ34" i="1" s="1"/>
  <c r="AK35" i="1"/>
  <c r="AZ35" i="1" s="1"/>
  <c r="AK36" i="1"/>
  <c r="AZ36" i="1" s="1"/>
  <c r="AK37" i="1"/>
  <c r="AZ37" i="1" s="1"/>
  <c r="AK38" i="1"/>
  <c r="AZ38" i="1" s="1"/>
  <c r="AK39" i="1"/>
  <c r="AZ39" i="1" s="1"/>
  <c r="AK40" i="1"/>
  <c r="AZ40" i="1" s="1"/>
  <c r="AK41" i="1"/>
  <c r="AZ41" i="1" s="1"/>
  <c r="AK42" i="1"/>
  <c r="AZ42" i="1" s="1"/>
  <c r="AK43" i="1"/>
  <c r="AZ43" i="1" s="1"/>
  <c r="AK44" i="1"/>
  <c r="AZ44" i="1" s="1"/>
  <c r="AK45" i="1"/>
  <c r="AZ45" i="1" s="1"/>
  <c r="AK46" i="1"/>
  <c r="AZ46" i="1" s="1"/>
  <c r="AK48" i="1"/>
  <c r="AZ48" i="1" s="1"/>
  <c r="AK49" i="1"/>
  <c r="AZ49" i="1" s="1"/>
  <c r="AK47" i="1"/>
  <c r="AZ47" i="1" s="1"/>
  <c r="AK50" i="1"/>
  <c r="AZ50" i="1" s="1"/>
  <c r="S25" i="33" l="1"/>
  <c r="S26" i="33"/>
  <c r="S27" i="33"/>
  <c r="J19" i="20" s="1"/>
  <c r="I19" i="20" s="1"/>
  <c r="B19" i="22" s="1"/>
  <c r="S28" i="33"/>
  <c r="S29" i="33"/>
  <c r="S30" i="33"/>
  <c r="S31" i="33"/>
  <c r="J9" i="20" s="1"/>
  <c r="I9" i="20" s="1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C15" i="20" s="1"/>
  <c r="S52" i="33"/>
  <c r="S8" i="33" s="1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S67" i="33"/>
  <c r="S68" i="33"/>
  <c r="S69" i="33"/>
  <c r="S70" i="33"/>
  <c r="S71" i="33"/>
  <c r="S72" i="33"/>
  <c r="S73" i="33"/>
  <c r="S74" i="33"/>
  <c r="S75" i="33"/>
  <c r="S76" i="33"/>
  <c r="S77" i="33"/>
  <c r="S78" i="33"/>
  <c r="S79" i="33"/>
  <c r="S80" i="33"/>
  <c r="S81" i="33"/>
  <c r="S82" i="33"/>
  <c r="S83" i="33"/>
  <c r="S84" i="33"/>
  <c r="S85" i="33"/>
  <c r="S86" i="33"/>
  <c r="S9" i="33" s="1"/>
  <c r="S87" i="33"/>
  <c r="S88" i="33"/>
  <c r="S89" i="33"/>
  <c r="S90" i="33"/>
  <c r="S91" i="33"/>
  <c r="S92" i="33"/>
  <c r="J26" i="20" s="1"/>
  <c r="I26" i="20" s="1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C27" i="20" s="1"/>
  <c r="S108" i="33"/>
  <c r="S109" i="33"/>
  <c r="S110" i="33"/>
  <c r="S111" i="33"/>
  <c r="S112" i="33"/>
  <c r="S113" i="33"/>
  <c r="S114" i="33"/>
  <c r="S115" i="33"/>
  <c r="C25" i="20" s="1"/>
  <c r="S116" i="33"/>
  <c r="S117" i="33"/>
  <c r="C29" i="20" s="1"/>
  <c r="S118" i="33"/>
  <c r="S119" i="33"/>
  <c r="S120" i="33"/>
  <c r="S121" i="33"/>
  <c r="S122" i="33"/>
  <c r="S123" i="33"/>
  <c r="S124" i="33"/>
  <c r="S125" i="33"/>
  <c r="S126" i="33"/>
  <c r="S127" i="33"/>
  <c r="C38" i="20" s="1"/>
  <c r="S128" i="33"/>
  <c r="S129" i="33"/>
  <c r="S130" i="33"/>
  <c r="S131" i="33"/>
  <c r="S132" i="33"/>
  <c r="S133" i="33"/>
  <c r="S134" i="33"/>
  <c r="S135" i="33"/>
  <c r="S136" i="33"/>
  <c r="S137" i="33"/>
  <c r="S138" i="33"/>
  <c r="S139" i="33"/>
  <c r="S140" i="33"/>
  <c r="S141" i="33"/>
  <c r="S142" i="33"/>
  <c r="S143" i="33"/>
  <c r="S144" i="33"/>
  <c r="S145" i="33"/>
  <c r="S146" i="33"/>
  <c r="S147" i="33"/>
  <c r="S148" i="33"/>
  <c r="T12" i="20" s="1"/>
  <c r="S12" i="20" s="1"/>
  <c r="S149" i="33"/>
  <c r="S150" i="33"/>
  <c r="S151" i="33"/>
  <c r="S152" i="33"/>
  <c r="S153" i="33"/>
  <c r="S154" i="33"/>
  <c r="S155" i="33"/>
  <c r="S156" i="33"/>
  <c r="S157" i="33"/>
  <c r="S158" i="33"/>
  <c r="S159" i="33"/>
  <c r="S160" i="33"/>
  <c r="S161" i="33"/>
  <c r="S162" i="33"/>
  <c r="S163" i="33"/>
  <c r="S164" i="33"/>
  <c r="S165" i="33"/>
  <c r="S166" i="33"/>
  <c r="S167" i="33"/>
  <c r="M15" i="20" s="1"/>
  <c r="S168" i="33"/>
  <c r="S169" i="33"/>
  <c r="S170" i="33"/>
  <c r="S13" i="33" s="1"/>
  <c r="O30" i="21" s="1"/>
  <c r="O31" i="21" s="1"/>
  <c r="S171" i="33"/>
  <c r="S172" i="33"/>
  <c r="S173" i="33"/>
  <c r="S174" i="33"/>
  <c r="S175" i="33"/>
  <c r="S176" i="33"/>
  <c r="S177" i="33"/>
  <c r="S178" i="33"/>
  <c r="S179" i="33"/>
  <c r="S180" i="33"/>
  <c r="S181" i="33"/>
  <c r="S182" i="33"/>
  <c r="S183" i="33"/>
  <c r="S184" i="33"/>
  <c r="S185" i="33"/>
  <c r="S186" i="33"/>
  <c r="S187" i="33"/>
  <c r="S12" i="33" s="1"/>
  <c r="S188" i="33"/>
  <c r="S189" i="33"/>
  <c r="S190" i="33"/>
  <c r="S191" i="33"/>
  <c r="S192" i="33"/>
  <c r="S193" i="33"/>
  <c r="S194" i="33"/>
  <c r="S195" i="33"/>
  <c r="S196" i="33"/>
  <c r="S197" i="33"/>
  <c r="S198" i="33"/>
  <c r="S199" i="33"/>
  <c r="S200" i="33"/>
  <c r="S201" i="33"/>
  <c r="C32" i="20" s="1"/>
  <c r="S202" i="33"/>
  <c r="S203" i="33"/>
  <c r="S204" i="33"/>
  <c r="S205" i="33"/>
  <c r="S206" i="33"/>
  <c r="S207" i="33"/>
  <c r="S208" i="33"/>
  <c r="S209" i="33"/>
  <c r="S210" i="33"/>
  <c r="S211" i="33"/>
  <c r="S212" i="33"/>
  <c r="S213" i="33"/>
  <c r="S214" i="33"/>
  <c r="S215" i="33"/>
  <c r="J45" i="20" s="1"/>
  <c r="I45" i="20" s="1"/>
  <c r="B45" i="22" s="1"/>
  <c r="S216" i="33"/>
  <c r="C48" i="20" s="1"/>
  <c r="S217" i="33"/>
  <c r="S16" i="33" s="1"/>
  <c r="G25" i="21" s="1"/>
  <c r="G26" i="21" s="1"/>
  <c r="S218" i="33"/>
  <c r="S219" i="33"/>
  <c r="S220" i="33"/>
  <c r="S221" i="33"/>
  <c r="S222" i="33"/>
  <c r="S223" i="33"/>
  <c r="S225" i="33"/>
  <c r="S226" i="33"/>
  <c r="S10" i="33" s="1"/>
  <c r="M14" i="22" s="1"/>
  <c r="S227" i="33"/>
  <c r="S228" i="33"/>
  <c r="S229" i="33"/>
  <c r="S230" i="33"/>
  <c r="S231" i="33"/>
  <c r="S232" i="33"/>
  <c r="S233" i="33"/>
  <c r="S224" i="33"/>
  <c r="S234" i="33"/>
  <c r="S235" i="33"/>
  <c r="S236" i="33"/>
  <c r="S237" i="33"/>
  <c r="S19" i="33" s="1"/>
  <c r="S238" i="33"/>
  <c r="S239" i="33"/>
  <c r="S240" i="33"/>
  <c r="J13" i="20" l="1"/>
  <c r="I13" i="20" s="1"/>
  <c r="S18" i="33"/>
  <c r="I25" i="21" s="1"/>
  <c r="I26" i="21" s="1"/>
  <c r="J49" i="20"/>
  <c r="I49" i="20" s="1"/>
  <c r="B49" i="22" s="1"/>
  <c r="J51" i="20"/>
  <c r="I51" i="20" s="1"/>
  <c r="B51" i="22" s="1"/>
  <c r="S11" i="33"/>
  <c r="T17" i="20"/>
  <c r="S17" i="20" s="1"/>
  <c r="B25" i="22"/>
  <c r="L15" i="22"/>
  <c r="B17" i="22"/>
  <c r="B9" i="22"/>
  <c r="B13" i="22"/>
  <c r="C8" i="22"/>
  <c r="C16" i="22"/>
  <c r="C17" i="22"/>
  <c r="C14" i="22"/>
  <c r="C10" i="22"/>
  <c r="C12" i="22"/>
  <c r="C11" i="22"/>
  <c r="C13" i="22"/>
  <c r="C9" i="22"/>
  <c r="L14" i="24"/>
  <c r="J14" i="20"/>
  <c r="I14" i="20" s="1"/>
  <c r="B14" i="22" s="1"/>
  <c r="J8" i="20"/>
  <c r="I8" i="20" s="1"/>
  <c r="B8" i="22" s="1"/>
  <c r="J15" i="20"/>
  <c r="I15" i="20" s="1"/>
  <c r="B15" i="22" s="1"/>
  <c r="J21" i="20"/>
  <c r="I21" i="20" s="1"/>
  <c r="B21" i="22" s="1"/>
  <c r="J16" i="20"/>
  <c r="I16" i="20" s="1"/>
  <c r="B16" i="22" s="1"/>
  <c r="J10" i="20"/>
  <c r="I10" i="20" s="1"/>
  <c r="B10" i="22" s="1"/>
  <c r="J11" i="20"/>
  <c r="I11" i="20" s="1"/>
  <c r="B11" i="22" s="1"/>
  <c r="J37" i="20"/>
  <c r="I37" i="20" s="1"/>
  <c r="B37" i="22" s="1"/>
  <c r="S17" i="33"/>
  <c r="H25" i="21" s="1"/>
  <c r="H26" i="21" s="1"/>
  <c r="J12" i="20"/>
  <c r="I12" i="20" s="1"/>
  <c r="B12" i="22" s="1"/>
  <c r="S14" i="33"/>
  <c r="P30" i="21" s="1"/>
  <c r="P31" i="21" s="1"/>
  <c r="J22" i="20"/>
  <c r="I22" i="20" s="1"/>
  <c r="B22" i="22" s="1"/>
  <c r="J28" i="20"/>
  <c r="I28" i="20" s="1"/>
  <c r="J23" i="20"/>
  <c r="I23" i="20" s="1"/>
  <c r="S15" i="33"/>
  <c r="Q30" i="21" s="1"/>
  <c r="Q31" i="21" s="1"/>
  <c r="M13" i="20"/>
  <c r="J29" i="20"/>
  <c r="I29" i="20" s="1"/>
  <c r="B29" i="22" s="1"/>
  <c r="C28" i="20"/>
  <c r="M12" i="20"/>
  <c r="J32" i="20"/>
  <c r="I32" i="20" s="1"/>
  <c r="B32" i="22" s="1"/>
  <c r="T13" i="20"/>
  <c r="S13" i="20" s="1"/>
  <c r="M17" i="20"/>
  <c r="J48" i="20"/>
  <c r="I48" i="20" s="1"/>
  <c r="B48" i="22" s="1"/>
  <c r="C23" i="20"/>
  <c r="J40" i="20"/>
  <c r="I40" i="20" s="1"/>
  <c r="B40" i="22" s="1"/>
  <c r="C26" i="20"/>
  <c r="J27" i="20"/>
  <c r="I27" i="20" s="1"/>
  <c r="B27" i="22" s="1"/>
  <c r="J30" i="20"/>
  <c r="I30" i="20" s="1"/>
  <c r="B30" i="22" s="1"/>
  <c r="J31" i="20"/>
  <c r="I31" i="20" s="1"/>
  <c r="B31" i="22" s="1"/>
  <c r="M18" i="20"/>
  <c r="J38" i="20"/>
  <c r="I38" i="20" s="1"/>
  <c r="B38" i="22" s="1"/>
  <c r="J36" i="20"/>
  <c r="I36" i="20" s="1"/>
  <c r="B36" i="22" s="1"/>
  <c r="J39" i="20"/>
  <c r="I39" i="20" s="1"/>
  <c r="B39" i="22" s="1"/>
  <c r="M16" i="20"/>
  <c r="T11" i="20"/>
  <c r="S11" i="20" s="1"/>
  <c r="M11" i="20"/>
  <c r="J34" i="20"/>
  <c r="I34" i="20" s="1"/>
  <c r="B34" i="22" s="1"/>
  <c r="S7" i="33"/>
  <c r="J26" i="21" l="1"/>
  <c r="U6" i="20"/>
  <c r="B6" i="21" s="1"/>
  <c r="B8" i="21" s="1"/>
  <c r="C8" i="21" s="1"/>
  <c r="I25" i="22"/>
  <c r="S15" i="22"/>
  <c r="I17" i="22"/>
  <c r="S14" i="24"/>
  <c r="L13" i="22"/>
  <c r="B28" i="22"/>
  <c r="L12" i="22"/>
  <c r="L17" i="22"/>
  <c r="B23" i="22"/>
  <c r="B26" i="22"/>
  <c r="L18" i="22"/>
  <c r="L16" i="22"/>
  <c r="L11" i="22"/>
  <c r="T50" i="1"/>
  <c r="T48" i="1"/>
  <c r="T47" i="1"/>
  <c r="T49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N6" i="20"/>
  <c r="J6" i="21" s="1"/>
  <c r="J8" i="21" s="1"/>
  <c r="K8" i="21" s="1"/>
  <c r="K6" i="20"/>
  <c r="F6" i="21" s="1"/>
  <c r="F8" i="21" s="1"/>
  <c r="G8" i="21" s="1"/>
  <c r="Q6" i="20"/>
  <c r="N6" i="21" s="1"/>
  <c r="N8" i="21" s="1"/>
  <c r="O8" i="21" s="1"/>
  <c r="S18" i="22" l="1"/>
  <c r="S16" i="22"/>
  <c r="AL50" i="1"/>
  <c r="BA50" i="1" s="1"/>
  <c r="AL48" i="1"/>
  <c r="BA48" i="1" s="1"/>
  <c r="AL47" i="1"/>
  <c r="BA47" i="1" s="1"/>
  <c r="AL49" i="1"/>
  <c r="BA49" i="1" s="1"/>
  <c r="AL46" i="1"/>
  <c r="BA46" i="1" s="1"/>
  <c r="AL45" i="1"/>
  <c r="BA45" i="1" s="1"/>
  <c r="AL44" i="1"/>
  <c r="BA44" i="1" s="1"/>
  <c r="AL43" i="1"/>
  <c r="BA43" i="1" s="1"/>
  <c r="AL42" i="1"/>
  <c r="BA42" i="1" s="1"/>
  <c r="AL41" i="1"/>
  <c r="BA41" i="1" s="1"/>
  <c r="AL40" i="1"/>
  <c r="BA40" i="1" s="1"/>
  <c r="AL39" i="1"/>
  <c r="BA39" i="1" s="1"/>
  <c r="AL38" i="1"/>
  <c r="BA38" i="1" s="1"/>
  <c r="AL37" i="1"/>
  <c r="BA37" i="1" s="1"/>
  <c r="AL36" i="1"/>
  <c r="BA36" i="1" s="1"/>
  <c r="AL35" i="1"/>
  <c r="BA35" i="1" s="1"/>
  <c r="AL34" i="1"/>
  <c r="BA34" i="1" s="1"/>
  <c r="AL33" i="1"/>
  <c r="BA33" i="1" s="1"/>
  <c r="AL32" i="1"/>
  <c r="BA32" i="1" s="1"/>
  <c r="AL31" i="1"/>
  <c r="BA31" i="1" s="1"/>
  <c r="AL30" i="1"/>
  <c r="BA30" i="1" s="1"/>
  <c r="AL29" i="1"/>
  <c r="BA29" i="1" s="1"/>
  <c r="AL28" i="1"/>
  <c r="BA28" i="1" s="1"/>
  <c r="AL27" i="1"/>
  <c r="BA27" i="1" s="1"/>
  <c r="AL26" i="1"/>
  <c r="BA26" i="1" s="1"/>
  <c r="AL25" i="1"/>
  <c r="BA25" i="1" s="1"/>
  <c r="AL24" i="1"/>
  <c r="BA24" i="1" s="1"/>
  <c r="AL23" i="1"/>
  <c r="BA23" i="1" s="1"/>
  <c r="AL22" i="1"/>
  <c r="BA22" i="1" s="1"/>
  <c r="AL21" i="1"/>
  <c r="BA21" i="1" s="1"/>
  <c r="AL20" i="1"/>
  <c r="BA20" i="1" s="1"/>
  <c r="AL19" i="1"/>
  <c r="BA19" i="1" s="1"/>
  <c r="AL18" i="1"/>
  <c r="BA18" i="1" s="1"/>
  <c r="AL17" i="1"/>
  <c r="BA17" i="1" s="1"/>
  <c r="AL16" i="1"/>
  <c r="BA16" i="1" s="1"/>
  <c r="AL15" i="1"/>
  <c r="BA15" i="1" s="1"/>
  <c r="AL14" i="1"/>
  <c r="BA14" i="1" s="1"/>
  <c r="AL13" i="1"/>
  <c r="BA13" i="1" s="1"/>
  <c r="AL12" i="1"/>
  <c r="BA12" i="1" s="1"/>
  <c r="AL11" i="1"/>
  <c r="BA11" i="1" s="1"/>
  <c r="T240" i="33" l="1"/>
  <c r="T239" i="33"/>
  <c r="T238" i="33"/>
  <c r="T237" i="33"/>
  <c r="T19" i="33" s="1"/>
  <c r="T236" i="33"/>
  <c r="T235" i="33"/>
  <c r="T234" i="33"/>
  <c r="T227" i="33"/>
  <c r="T226" i="33"/>
  <c r="T10" i="33" s="1"/>
  <c r="M14" i="24" s="1"/>
  <c r="T225" i="33"/>
  <c r="T224" i="33"/>
  <c r="T7" i="33" s="1"/>
  <c r="T233" i="33"/>
  <c r="T232" i="33"/>
  <c r="T231" i="33"/>
  <c r="T230" i="33"/>
  <c r="T229" i="33"/>
  <c r="T228" i="33"/>
  <c r="T223" i="33"/>
  <c r="T222" i="33"/>
  <c r="T221" i="33"/>
  <c r="T220" i="33"/>
  <c r="T219" i="33"/>
  <c r="T218" i="33"/>
  <c r="T217" i="33"/>
  <c r="T16" i="33" s="1"/>
  <c r="G25" i="23" s="1"/>
  <c r="G26" i="23" s="1"/>
  <c r="T216" i="33"/>
  <c r="C48" i="22" s="1"/>
  <c r="T215" i="33"/>
  <c r="J45" i="22" s="1"/>
  <c r="I45" i="22" s="1"/>
  <c r="B45" i="24" s="1"/>
  <c r="T214" i="33"/>
  <c r="T213" i="33"/>
  <c r="T212" i="33"/>
  <c r="T211" i="33"/>
  <c r="T210" i="33"/>
  <c r="T209" i="33"/>
  <c r="T208" i="33"/>
  <c r="T207" i="33"/>
  <c r="T206" i="33"/>
  <c r="T205" i="33"/>
  <c r="T204" i="33"/>
  <c r="T203" i="33"/>
  <c r="T202" i="33"/>
  <c r="T201" i="33"/>
  <c r="C32" i="22" s="1"/>
  <c r="T200" i="33"/>
  <c r="T199" i="33"/>
  <c r="T198" i="33"/>
  <c r="T197" i="33"/>
  <c r="T196" i="33"/>
  <c r="T195" i="33"/>
  <c r="T194" i="33"/>
  <c r="T193" i="33"/>
  <c r="T192" i="33"/>
  <c r="T191" i="33"/>
  <c r="T190" i="33"/>
  <c r="T189" i="33"/>
  <c r="T188" i="33"/>
  <c r="T187" i="33"/>
  <c r="T12" i="33" s="1"/>
  <c r="T186" i="33"/>
  <c r="T185" i="33"/>
  <c r="T184" i="33"/>
  <c r="T183" i="33"/>
  <c r="T182" i="33"/>
  <c r="T181" i="33"/>
  <c r="T180" i="33"/>
  <c r="J34" i="22" s="1"/>
  <c r="I34" i="22" s="1"/>
  <c r="B34" i="24" s="1"/>
  <c r="T179" i="33"/>
  <c r="T178" i="33"/>
  <c r="T177" i="33"/>
  <c r="T176" i="33"/>
  <c r="T175" i="33"/>
  <c r="T174" i="33"/>
  <c r="T173" i="33"/>
  <c r="T172" i="33"/>
  <c r="T171" i="33"/>
  <c r="T170" i="33"/>
  <c r="T13" i="33" s="1"/>
  <c r="O30" i="23" s="1"/>
  <c r="O31" i="23" s="1"/>
  <c r="T169" i="33"/>
  <c r="T168" i="33"/>
  <c r="T167" i="33"/>
  <c r="M15" i="22" s="1"/>
  <c r="T166" i="33"/>
  <c r="T165" i="33"/>
  <c r="T164" i="33"/>
  <c r="T163" i="33"/>
  <c r="T162" i="33"/>
  <c r="T161" i="33"/>
  <c r="T160" i="33"/>
  <c r="T159" i="33"/>
  <c r="T158" i="33"/>
  <c r="T157" i="33"/>
  <c r="T156" i="33"/>
  <c r="T155" i="33"/>
  <c r="T154" i="33"/>
  <c r="T153" i="33"/>
  <c r="T152" i="33"/>
  <c r="T151" i="33"/>
  <c r="T150" i="33"/>
  <c r="T149" i="33"/>
  <c r="T148" i="33"/>
  <c r="T12" i="22" s="1"/>
  <c r="S12" i="22" s="1"/>
  <c r="T147" i="33"/>
  <c r="T146" i="33"/>
  <c r="T145" i="33"/>
  <c r="T144" i="33"/>
  <c r="T143" i="33"/>
  <c r="T142" i="33"/>
  <c r="T141" i="33"/>
  <c r="T140" i="33"/>
  <c r="T139" i="33"/>
  <c r="T138" i="33"/>
  <c r="T137" i="33"/>
  <c r="T136" i="33"/>
  <c r="T135" i="33"/>
  <c r="T134" i="33"/>
  <c r="T133" i="33"/>
  <c r="T132" i="33"/>
  <c r="T131" i="33"/>
  <c r="T130" i="33"/>
  <c r="T129" i="33"/>
  <c r="T128" i="33"/>
  <c r="T127" i="33"/>
  <c r="C38" i="22" s="1"/>
  <c r="T126" i="33"/>
  <c r="T125" i="33"/>
  <c r="T124" i="33"/>
  <c r="T123" i="33"/>
  <c r="T122" i="33"/>
  <c r="T121" i="33"/>
  <c r="T120" i="33"/>
  <c r="T119" i="33"/>
  <c r="T118" i="33"/>
  <c r="T117" i="33"/>
  <c r="C29" i="22" s="1"/>
  <c r="T116" i="33"/>
  <c r="T115" i="33"/>
  <c r="C25" i="22" s="1"/>
  <c r="T114" i="33"/>
  <c r="T113" i="33"/>
  <c r="T112" i="33"/>
  <c r="T111" i="33"/>
  <c r="T110" i="33"/>
  <c r="T109" i="33"/>
  <c r="T108" i="33"/>
  <c r="T107" i="33"/>
  <c r="C27" i="22" s="1"/>
  <c r="T106" i="33"/>
  <c r="T105" i="33"/>
  <c r="T104" i="33"/>
  <c r="T103" i="33"/>
  <c r="T102" i="33"/>
  <c r="T101" i="33"/>
  <c r="T100" i="33"/>
  <c r="T99" i="33"/>
  <c r="T98" i="33"/>
  <c r="T97" i="33"/>
  <c r="T96" i="33"/>
  <c r="J27" i="22" s="1"/>
  <c r="I27" i="22" s="1"/>
  <c r="T95" i="33"/>
  <c r="T94" i="33"/>
  <c r="T93" i="33"/>
  <c r="C26" i="22" s="1"/>
  <c r="T92" i="33"/>
  <c r="J26" i="22" s="1"/>
  <c r="I26" i="22" s="1"/>
  <c r="T91" i="33"/>
  <c r="T90" i="33"/>
  <c r="T89" i="33"/>
  <c r="T88" i="33"/>
  <c r="T87" i="33"/>
  <c r="T86" i="33"/>
  <c r="T9" i="33" s="1"/>
  <c r="T85" i="33"/>
  <c r="T84" i="33"/>
  <c r="T83" i="33"/>
  <c r="T82" i="33"/>
  <c r="T81" i="33"/>
  <c r="C23" i="22" s="1"/>
  <c r="T80" i="33"/>
  <c r="T79" i="33"/>
  <c r="T78" i="33"/>
  <c r="T77" i="33"/>
  <c r="T76" i="33"/>
  <c r="T75" i="33"/>
  <c r="T74" i="33"/>
  <c r="T73" i="33"/>
  <c r="T72" i="33"/>
  <c r="T71" i="33"/>
  <c r="T70" i="33"/>
  <c r="T69" i="33"/>
  <c r="T68" i="33"/>
  <c r="T67" i="33"/>
  <c r="T66" i="33"/>
  <c r="T65" i="33"/>
  <c r="T64" i="33"/>
  <c r="T63" i="33"/>
  <c r="T62" i="33"/>
  <c r="T61" i="33"/>
  <c r="T60" i="33"/>
  <c r="T59" i="33"/>
  <c r="T58" i="33"/>
  <c r="T57" i="33"/>
  <c r="J23" i="22" s="1"/>
  <c r="I23" i="22" s="1"/>
  <c r="T56" i="33"/>
  <c r="T55" i="33"/>
  <c r="T54" i="33"/>
  <c r="T53" i="33"/>
  <c r="T52" i="33"/>
  <c r="T8" i="33" s="1"/>
  <c r="T51" i="33"/>
  <c r="C15" i="22" s="1"/>
  <c r="T50" i="33"/>
  <c r="T49" i="33"/>
  <c r="T48" i="33"/>
  <c r="T47" i="33"/>
  <c r="T46" i="33"/>
  <c r="T45" i="33"/>
  <c r="T44" i="33"/>
  <c r="T43" i="33"/>
  <c r="T42" i="33"/>
  <c r="T41" i="33"/>
  <c r="T40" i="33"/>
  <c r="T39" i="33"/>
  <c r="T38" i="33"/>
  <c r="T37" i="33"/>
  <c r="T36" i="33"/>
  <c r="T35" i="33"/>
  <c r="T34" i="33"/>
  <c r="T33" i="33"/>
  <c r="J15" i="22" s="1"/>
  <c r="I15" i="22" s="1"/>
  <c r="T32" i="33"/>
  <c r="T31" i="33"/>
  <c r="J9" i="22" s="1"/>
  <c r="I9" i="22" s="1"/>
  <c r="T30" i="33"/>
  <c r="T29" i="33"/>
  <c r="J13" i="22" s="1"/>
  <c r="I13" i="22" s="1"/>
  <c r="T28" i="33"/>
  <c r="T27" i="33"/>
  <c r="J19" i="22" s="1"/>
  <c r="I19" i="22" s="1"/>
  <c r="B19" i="24" s="1"/>
  <c r="T26" i="33"/>
  <c r="T25" i="33"/>
  <c r="J14" i="22" s="1"/>
  <c r="I14" i="22" s="1"/>
  <c r="J8" i="22" l="1"/>
  <c r="I8" i="22" s="1"/>
  <c r="B8" i="24" s="1"/>
  <c r="J38" i="22"/>
  <c r="I38" i="22" s="1"/>
  <c r="J31" i="22"/>
  <c r="I31" i="22" s="1"/>
  <c r="B31" i="24" s="1"/>
  <c r="T13" i="22"/>
  <c r="S13" i="22" s="1"/>
  <c r="T15" i="33"/>
  <c r="Q30" i="23" s="1"/>
  <c r="Q31" i="23" s="1"/>
  <c r="J22" i="22"/>
  <c r="I22" i="22" s="1"/>
  <c r="B22" i="24" s="1"/>
  <c r="M11" i="22"/>
  <c r="L11" i="24" s="1"/>
  <c r="T11" i="22"/>
  <c r="S11" i="22" s="1"/>
  <c r="M18" i="22"/>
  <c r="L18" i="24" s="1"/>
  <c r="J28" i="22"/>
  <c r="I28" i="22" s="1"/>
  <c r="L14" i="26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B13" i="24"/>
  <c r="B14" i="24"/>
  <c r="B9" i="24"/>
  <c r="B17" i="24"/>
  <c r="C13" i="24"/>
  <c r="C11" i="24"/>
  <c r="C12" i="24"/>
  <c r="C10" i="24"/>
  <c r="C9" i="24"/>
  <c r="C17" i="24"/>
  <c r="C8" i="24"/>
  <c r="C14" i="24"/>
  <c r="C16" i="24"/>
  <c r="L15" i="24"/>
  <c r="B38" i="24"/>
  <c r="B25" i="24"/>
  <c r="B27" i="24"/>
  <c r="B26" i="24"/>
  <c r="B23" i="24"/>
  <c r="B15" i="24"/>
  <c r="T17" i="22"/>
  <c r="S17" i="22" s="1"/>
  <c r="T11" i="33"/>
  <c r="J51" i="22"/>
  <c r="I51" i="22" s="1"/>
  <c r="B51" i="24" s="1"/>
  <c r="J49" i="22"/>
  <c r="I49" i="22" s="1"/>
  <c r="B49" i="24" s="1"/>
  <c r="M16" i="22"/>
  <c r="J39" i="22"/>
  <c r="I39" i="22" s="1"/>
  <c r="B39" i="24" s="1"/>
  <c r="J36" i="22"/>
  <c r="I36" i="22" s="1"/>
  <c r="B36" i="24" s="1"/>
  <c r="J40" i="22"/>
  <c r="I40" i="22" s="1"/>
  <c r="B40" i="24" s="1"/>
  <c r="T18" i="33"/>
  <c r="I25" i="23" s="1"/>
  <c r="I26" i="23" s="1"/>
  <c r="J30" i="22"/>
  <c r="I30" i="22" s="1"/>
  <c r="B30" i="24" s="1"/>
  <c r="J48" i="22"/>
  <c r="I48" i="22" s="1"/>
  <c r="B48" i="24" s="1"/>
  <c r="T14" i="33"/>
  <c r="P30" i="23" s="1"/>
  <c r="P31" i="23" s="1"/>
  <c r="M17" i="22"/>
  <c r="J32" i="22"/>
  <c r="I32" i="22" s="1"/>
  <c r="B32" i="24" s="1"/>
  <c r="M12" i="22"/>
  <c r="C28" i="22"/>
  <c r="J29" i="22"/>
  <c r="I29" i="22" s="1"/>
  <c r="B29" i="24" s="1"/>
  <c r="M13" i="22"/>
  <c r="J12" i="22"/>
  <c r="I12" i="22" s="1"/>
  <c r="B12" i="24" s="1"/>
  <c r="T17" i="33"/>
  <c r="H25" i="23" s="1"/>
  <c r="H26" i="23" s="1"/>
  <c r="J26" i="23" s="1"/>
  <c r="J37" i="22"/>
  <c r="I37" i="22" s="1"/>
  <c r="B37" i="24" s="1"/>
  <c r="J11" i="22"/>
  <c r="I11" i="22" s="1"/>
  <c r="B11" i="24" s="1"/>
  <c r="J10" i="22"/>
  <c r="I10" i="22" s="1"/>
  <c r="J16" i="22"/>
  <c r="I16" i="22" s="1"/>
  <c r="J21" i="22"/>
  <c r="I21" i="22" s="1"/>
  <c r="B21" i="24" s="1"/>
  <c r="S14" i="26" l="1"/>
  <c r="AM50" i="1"/>
  <c r="BB50" i="1" s="1"/>
  <c r="AM49" i="1"/>
  <c r="BB49" i="1" s="1"/>
  <c r="AM48" i="1"/>
  <c r="BB48" i="1" s="1"/>
  <c r="AM47" i="1"/>
  <c r="BB47" i="1" s="1"/>
  <c r="AM46" i="1"/>
  <c r="BB46" i="1" s="1"/>
  <c r="AM45" i="1"/>
  <c r="BB45" i="1" s="1"/>
  <c r="AM44" i="1"/>
  <c r="BB44" i="1" s="1"/>
  <c r="AM43" i="1"/>
  <c r="BB43" i="1" s="1"/>
  <c r="AM42" i="1"/>
  <c r="BB42" i="1" s="1"/>
  <c r="AM41" i="1"/>
  <c r="BB41" i="1" s="1"/>
  <c r="AM40" i="1"/>
  <c r="BB40" i="1" s="1"/>
  <c r="AM39" i="1"/>
  <c r="BB39" i="1" s="1"/>
  <c r="AM38" i="1"/>
  <c r="BB38" i="1" s="1"/>
  <c r="AM37" i="1"/>
  <c r="BB37" i="1" s="1"/>
  <c r="AM36" i="1"/>
  <c r="BB36" i="1" s="1"/>
  <c r="AM35" i="1"/>
  <c r="BB35" i="1" s="1"/>
  <c r="AM34" i="1"/>
  <c r="BB34" i="1" s="1"/>
  <c r="AM33" i="1"/>
  <c r="BB33" i="1" s="1"/>
  <c r="AM32" i="1"/>
  <c r="BB32" i="1" s="1"/>
  <c r="AM31" i="1"/>
  <c r="BB31" i="1" s="1"/>
  <c r="AM30" i="1"/>
  <c r="BB30" i="1" s="1"/>
  <c r="AM29" i="1"/>
  <c r="BB29" i="1" s="1"/>
  <c r="AM28" i="1"/>
  <c r="BB28" i="1" s="1"/>
  <c r="AM27" i="1"/>
  <c r="BB27" i="1" s="1"/>
  <c r="AM26" i="1"/>
  <c r="BB26" i="1" s="1"/>
  <c r="AM25" i="1"/>
  <c r="BB25" i="1" s="1"/>
  <c r="AM24" i="1"/>
  <c r="BB24" i="1" s="1"/>
  <c r="AM23" i="1"/>
  <c r="BB23" i="1" s="1"/>
  <c r="AM22" i="1"/>
  <c r="BB22" i="1" s="1"/>
  <c r="AM21" i="1"/>
  <c r="BB21" i="1" s="1"/>
  <c r="AM20" i="1"/>
  <c r="BB20" i="1" s="1"/>
  <c r="AM19" i="1"/>
  <c r="BB19" i="1" s="1"/>
  <c r="AM18" i="1"/>
  <c r="BB18" i="1" s="1"/>
  <c r="AM17" i="1"/>
  <c r="BB17" i="1" s="1"/>
  <c r="AM16" i="1"/>
  <c r="BB16" i="1" s="1"/>
  <c r="AM15" i="1"/>
  <c r="BB15" i="1" s="1"/>
  <c r="AM14" i="1"/>
  <c r="BB14" i="1" s="1"/>
  <c r="AM13" i="1"/>
  <c r="BB13" i="1" s="1"/>
  <c r="AM12" i="1"/>
  <c r="BB12" i="1" s="1"/>
  <c r="AM11" i="1"/>
  <c r="BB11" i="1" s="1"/>
  <c r="I17" i="24"/>
  <c r="S15" i="24"/>
  <c r="S18" i="24"/>
  <c r="I25" i="24"/>
  <c r="U6" i="22"/>
  <c r="B6" i="23" s="1"/>
  <c r="B8" i="23" s="1"/>
  <c r="C8" i="23" s="1"/>
  <c r="N6" i="22"/>
  <c r="J6" i="23" s="1"/>
  <c r="J8" i="23" s="1"/>
  <c r="K8" i="23" s="1"/>
  <c r="L16" i="24"/>
  <c r="L17" i="24"/>
  <c r="L12" i="24"/>
  <c r="B28" i="24"/>
  <c r="L13" i="24"/>
  <c r="B10" i="24"/>
  <c r="K6" i="22"/>
  <c r="F6" i="23" s="1"/>
  <c r="F8" i="23" s="1"/>
  <c r="G8" i="23" s="1"/>
  <c r="Q6" i="22"/>
  <c r="N6" i="23" s="1"/>
  <c r="N8" i="23" s="1"/>
  <c r="O8" i="23" s="1"/>
  <c r="B16" i="24"/>
  <c r="U234" i="33" l="1"/>
  <c r="U235" i="33"/>
  <c r="U236" i="33"/>
  <c r="U237" i="33"/>
  <c r="U19" i="33" s="1"/>
  <c r="U238" i="33"/>
  <c r="U239" i="33"/>
  <c r="U240" i="33"/>
  <c r="U228" i="33"/>
  <c r="U229" i="33"/>
  <c r="U230" i="33"/>
  <c r="U231" i="33"/>
  <c r="U232" i="33"/>
  <c r="U233" i="33"/>
  <c r="U225" i="33"/>
  <c r="U226" i="33"/>
  <c r="U10" i="33" s="1"/>
  <c r="M14" i="26" s="1"/>
  <c r="U227" i="33"/>
  <c r="U224" i="33"/>
  <c r="U7" i="33" s="1"/>
  <c r="U214" i="33"/>
  <c r="U215" i="33"/>
  <c r="J45" i="24" s="1"/>
  <c r="I45" i="24" s="1"/>
  <c r="B45" i="26" s="1"/>
  <c r="U216" i="33"/>
  <c r="C48" i="24" s="1"/>
  <c r="U217" i="33"/>
  <c r="U16" i="33" s="1"/>
  <c r="G25" i="25" s="1"/>
  <c r="G26" i="25" s="1"/>
  <c r="U218" i="33"/>
  <c r="U219" i="33"/>
  <c r="U220" i="33"/>
  <c r="U221" i="33"/>
  <c r="U222" i="33"/>
  <c r="U223" i="33"/>
  <c r="U206" i="33"/>
  <c r="U207" i="33"/>
  <c r="U208" i="33"/>
  <c r="U209" i="33"/>
  <c r="U210" i="33"/>
  <c r="U211" i="33"/>
  <c r="U212" i="33"/>
  <c r="U213" i="33"/>
  <c r="U200" i="33"/>
  <c r="U201" i="33"/>
  <c r="C32" i="24" s="1"/>
  <c r="U202" i="33"/>
  <c r="U203" i="33"/>
  <c r="U204" i="33"/>
  <c r="U205" i="33"/>
  <c r="U196" i="33"/>
  <c r="U197" i="33"/>
  <c r="U198" i="33"/>
  <c r="U199" i="33"/>
  <c r="U193" i="33"/>
  <c r="U194" i="33"/>
  <c r="U195" i="33"/>
  <c r="U192" i="33"/>
  <c r="U181" i="33"/>
  <c r="U182" i="33"/>
  <c r="U183" i="33"/>
  <c r="U184" i="33"/>
  <c r="U185" i="33"/>
  <c r="U186" i="33"/>
  <c r="U187" i="33"/>
  <c r="U12" i="33" s="1"/>
  <c r="U188" i="33"/>
  <c r="U189" i="33"/>
  <c r="U190" i="33"/>
  <c r="U191" i="33"/>
  <c r="U173" i="33"/>
  <c r="U174" i="33"/>
  <c r="U175" i="33"/>
  <c r="U176" i="33"/>
  <c r="U177" i="33"/>
  <c r="U178" i="33"/>
  <c r="U179" i="33"/>
  <c r="U180" i="33"/>
  <c r="J34" i="24" s="1"/>
  <c r="I34" i="24" s="1"/>
  <c r="B34" i="26" s="1"/>
  <c r="U167" i="33"/>
  <c r="M15" i="24" s="1"/>
  <c r="U168" i="33"/>
  <c r="U169" i="33"/>
  <c r="U170" i="33"/>
  <c r="U13" i="33" s="1"/>
  <c r="O30" i="25" s="1"/>
  <c r="O31" i="25" s="1"/>
  <c r="U171" i="33"/>
  <c r="U172" i="33"/>
  <c r="U163" i="33"/>
  <c r="U164" i="33"/>
  <c r="U165" i="33"/>
  <c r="U166" i="33"/>
  <c r="U159" i="33"/>
  <c r="U160" i="33"/>
  <c r="U161" i="33"/>
  <c r="U162" i="33"/>
  <c r="U158" i="33"/>
  <c r="U148" i="33"/>
  <c r="T12" i="24" s="1"/>
  <c r="S12" i="24" s="1"/>
  <c r="U149" i="33"/>
  <c r="U150" i="33"/>
  <c r="U151" i="33"/>
  <c r="U152" i="33"/>
  <c r="U153" i="33"/>
  <c r="U154" i="33"/>
  <c r="U155" i="33"/>
  <c r="U156" i="33"/>
  <c r="U157" i="33"/>
  <c r="U140" i="33"/>
  <c r="U141" i="33"/>
  <c r="U142" i="33"/>
  <c r="U143" i="33"/>
  <c r="U144" i="33"/>
  <c r="U145" i="33"/>
  <c r="U146" i="33"/>
  <c r="U147" i="33"/>
  <c r="U134" i="33"/>
  <c r="U135" i="33"/>
  <c r="U136" i="33"/>
  <c r="U137" i="33"/>
  <c r="U138" i="33"/>
  <c r="U139" i="33"/>
  <c r="U130" i="33"/>
  <c r="U131" i="33"/>
  <c r="U132" i="33"/>
  <c r="U133" i="33"/>
  <c r="U126" i="33"/>
  <c r="U127" i="33"/>
  <c r="C38" i="24" s="1"/>
  <c r="U128" i="33"/>
  <c r="U129" i="33"/>
  <c r="U125" i="33"/>
  <c r="U115" i="33"/>
  <c r="C25" i="24" s="1"/>
  <c r="U116" i="33"/>
  <c r="U117" i="33"/>
  <c r="C29" i="24" s="1"/>
  <c r="U118" i="33"/>
  <c r="U119" i="33"/>
  <c r="U120" i="33"/>
  <c r="U121" i="33"/>
  <c r="U122" i="33"/>
  <c r="U123" i="33"/>
  <c r="U124" i="33"/>
  <c r="U106" i="33"/>
  <c r="U107" i="33"/>
  <c r="C27" i="24" s="1"/>
  <c r="U108" i="33"/>
  <c r="U109" i="33"/>
  <c r="U110" i="33"/>
  <c r="U111" i="33"/>
  <c r="U112" i="33"/>
  <c r="U113" i="33"/>
  <c r="U114" i="33"/>
  <c r="U100" i="33"/>
  <c r="U101" i="33"/>
  <c r="U102" i="33"/>
  <c r="U103" i="33"/>
  <c r="U104" i="33"/>
  <c r="U105" i="33"/>
  <c r="U96" i="33"/>
  <c r="U97" i="33"/>
  <c r="U98" i="33"/>
  <c r="U99" i="33"/>
  <c r="U92" i="33"/>
  <c r="J26" i="24" s="1"/>
  <c r="I26" i="24" s="1"/>
  <c r="U93" i="33"/>
  <c r="U94" i="33"/>
  <c r="U95" i="33"/>
  <c r="U91" i="33"/>
  <c r="U81" i="33"/>
  <c r="U82" i="33"/>
  <c r="U83" i="33"/>
  <c r="U84" i="33"/>
  <c r="U85" i="33"/>
  <c r="U86" i="33"/>
  <c r="U9" i="33" s="1"/>
  <c r="U87" i="33"/>
  <c r="U88" i="33"/>
  <c r="U89" i="33"/>
  <c r="U90" i="33"/>
  <c r="U72" i="33"/>
  <c r="U73" i="33"/>
  <c r="U74" i="33"/>
  <c r="U75" i="33"/>
  <c r="U76" i="33"/>
  <c r="U77" i="33"/>
  <c r="U78" i="33"/>
  <c r="U79" i="33"/>
  <c r="U80" i="33"/>
  <c r="U65" i="33"/>
  <c r="U66" i="33"/>
  <c r="U67" i="33"/>
  <c r="U68" i="33"/>
  <c r="U69" i="33"/>
  <c r="U70" i="33"/>
  <c r="U71" i="33"/>
  <c r="U61" i="33"/>
  <c r="U62" i="33"/>
  <c r="U63" i="33"/>
  <c r="U64" i="33"/>
  <c r="U58" i="33"/>
  <c r="U59" i="33"/>
  <c r="U60" i="33"/>
  <c r="U57" i="33"/>
  <c r="J23" i="24" s="1"/>
  <c r="I23" i="24" s="1"/>
  <c r="U47" i="33"/>
  <c r="U48" i="33"/>
  <c r="U49" i="33"/>
  <c r="U50" i="33"/>
  <c r="U51" i="33"/>
  <c r="C15" i="24" s="1"/>
  <c r="U52" i="33"/>
  <c r="U8" i="33" s="1"/>
  <c r="U53" i="33"/>
  <c r="U54" i="33"/>
  <c r="U55" i="33"/>
  <c r="U56" i="33"/>
  <c r="U39" i="33"/>
  <c r="U40" i="33"/>
  <c r="U41" i="33"/>
  <c r="U42" i="33"/>
  <c r="U43" i="33"/>
  <c r="U44" i="33"/>
  <c r="U45" i="33"/>
  <c r="U46" i="33"/>
  <c r="U33" i="33"/>
  <c r="J15" i="24" s="1"/>
  <c r="I15" i="24" s="1"/>
  <c r="U34" i="33"/>
  <c r="U35" i="33"/>
  <c r="U36" i="33"/>
  <c r="U37" i="33"/>
  <c r="U38" i="33"/>
  <c r="U29" i="33"/>
  <c r="U30" i="33"/>
  <c r="U31" i="33"/>
  <c r="J9" i="24" s="1"/>
  <c r="I9" i="24" s="1"/>
  <c r="U32" i="33"/>
  <c r="U26" i="33"/>
  <c r="U27" i="33"/>
  <c r="J19" i="24" s="1"/>
  <c r="I19" i="24" s="1"/>
  <c r="B19" i="26" s="1"/>
  <c r="U28" i="33"/>
  <c r="U25" i="33"/>
  <c r="S16" i="24"/>
  <c r="C28" i="24" l="1"/>
  <c r="U11" i="33"/>
  <c r="C23" i="24"/>
  <c r="B23" i="26" s="1"/>
  <c r="T17" i="24"/>
  <c r="S17" i="24" s="1"/>
  <c r="J38" i="24"/>
  <c r="I38" i="24" s="1"/>
  <c r="B38" i="26" s="1"/>
  <c r="J12" i="24"/>
  <c r="I12" i="24" s="1"/>
  <c r="B12" i="26" s="1"/>
  <c r="T11" i="24"/>
  <c r="S11" i="24" s="1"/>
  <c r="M11" i="24"/>
  <c r="L11" i="26" s="1"/>
  <c r="M18" i="24"/>
  <c r="L18" i="26" s="1"/>
  <c r="J36" i="24"/>
  <c r="I36" i="24" s="1"/>
  <c r="B36" i="26" s="1"/>
  <c r="U18" i="33"/>
  <c r="I25" i="25" s="1"/>
  <c r="I26" i="25" s="1"/>
  <c r="U14" i="33"/>
  <c r="P30" i="25" s="1"/>
  <c r="P31" i="25" s="1"/>
  <c r="J48" i="24"/>
  <c r="I48" i="24" s="1"/>
  <c r="B48" i="26" s="1"/>
  <c r="U17" i="33"/>
  <c r="H25" i="25" s="1"/>
  <c r="H26" i="25" s="1"/>
  <c r="L14" i="28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50" i="1"/>
  <c r="V47" i="1"/>
  <c r="V49" i="1"/>
  <c r="V48" i="1"/>
  <c r="B17" i="26"/>
  <c r="B9" i="26"/>
  <c r="C8" i="26"/>
  <c r="C9" i="26"/>
  <c r="C10" i="26"/>
  <c r="C16" i="26"/>
  <c r="C12" i="26"/>
  <c r="C13" i="26"/>
  <c r="C14" i="26"/>
  <c r="C17" i="26"/>
  <c r="C11" i="26"/>
  <c r="L15" i="26"/>
  <c r="B25" i="26"/>
  <c r="B15" i="26"/>
  <c r="J51" i="24"/>
  <c r="I51" i="24" s="1"/>
  <c r="B51" i="26" s="1"/>
  <c r="J39" i="24"/>
  <c r="I39" i="24" s="1"/>
  <c r="B39" i="26" s="1"/>
  <c r="M16" i="24"/>
  <c r="J49" i="24"/>
  <c r="I49" i="24" s="1"/>
  <c r="B49" i="26" s="1"/>
  <c r="J31" i="24"/>
  <c r="I31" i="24" s="1"/>
  <c r="B31" i="26" s="1"/>
  <c r="J27" i="24"/>
  <c r="I27" i="24" s="1"/>
  <c r="B27" i="26" s="1"/>
  <c r="J30" i="24"/>
  <c r="I30" i="24" s="1"/>
  <c r="B30" i="26" s="1"/>
  <c r="C26" i="24"/>
  <c r="J40" i="24"/>
  <c r="I40" i="24" s="1"/>
  <c r="B40" i="26" s="1"/>
  <c r="T13" i="24"/>
  <c r="S13" i="24" s="1"/>
  <c r="M17" i="24"/>
  <c r="M12" i="24"/>
  <c r="J32" i="24"/>
  <c r="I32" i="24" s="1"/>
  <c r="B32" i="26" s="1"/>
  <c r="M13" i="24"/>
  <c r="J29" i="24"/>
  <c r="I29" i="24" s="1"/>
  <c r="B29" i="26" s="1"/>
  <c r="U15" i="33"/>
  <c r="Q30" i="25" s="1"/>
  <c r="Q31" i="25" s="1"/>
  <c r="J22" i="24"/>
  <c r="I22" i="24" s="1"/>
  <c r="B22" i="26" s="1"/>
  <c r="J28" i="24"/>
  <c r="I28" i="24" s="1"/>
  <c r="J37" i="24"/>
  <c r="I37" i="24" s="1"/>
  <c r="B37" i="26" s="1"/>
  <c r="J21" i="24"/>
  <c r="I21" i="24" s="1"/>
  <c r="B21" i="26" s="1"/>
  <c r="J16" i="24"/>
  <c r="I16" i="24" s="1"/>
  <c r="J10" i="24"/>
  <c r="I10" i="24" s="1"/>
  <c r="B10" i="26" s="1"/>
  <c r="J11" i="24"/>
  <c r="I11" i="24" s="1"/>
  <c r="B11" i="26" s="1"/>
  <c r="J13" i="24"/>
  <c r="I13" i="24" s="1"/>
  <c r="B13" i="26" s="1"/>
  <c r="J8" i="24"/>
  <c r="I8" i="24" s="1"/>
  <c r="B8" i="26" s="1"/>
  <c r="J14" i="24"/>
  <c r="I14" i="24" s="1"/>
  <c r="B14" i="26" s="1"/>
  <c r="B28" i="26" l="1"/>
  <c r="J26" i="25"/>
  <c r="S14" i="28"/>
  <c r="AN11" i="1"/>
  <c r="BC11" i="1" s="1"/>
  <c r="AN12" i="1"/>
  <c r="BC12" i="1" s="1"/>
  <c r="AN13" i="1"/>
  <c r="BC13" i="1" s="1"/>
  <c r="AN14" i="1"/>
  <c r="BC14" i="1" s="1"/>
  <c r="AN15" i="1"/>
  <c r="BC15" i="1" s="1"/>
  <c r="AN16" i="1"/>
  <c r="BC16" i="1" s="1"/>
  <c r="AN17" i="1"/>
  <c r="BC17" i="1" s="1"/>
  <c r="AN18" i="1"/>
  <c r="BC18" i="1" s="1"/>
  <c r="AN19" i="1"/>
  <c r="BC19" i="1" s="1"/>
  <c r="AN20" i="1"/>
  <c r="BC20" i="1" s="1"/>
  <c r="AN21" i="1"/>
  <c r="BC21" i="1" s="1"/>
  <c r="AN22" i="1"/>
  <c r="BC22" i="1" s="1"/>
  <c r="AN23" i="1"/>
  <c r="BC23" i="1" s="1"/>
  <c r="AN24" i="1"/>
  <c r="BC24" i="1" s="1"/>
  <c r="AN25" i="1"/>
  <c r="BC25" i="1" s="1"/>
  <c r="AN26" i="1"/>
  <c r="BC26" i="1" s="1"/>
  <c r="AN27" i="1"/>
  <c r="BC27" i="1" s="1"/>
  <c r="AN28" i="1"/>
  <c r="BC28" i="1" s="1"/>
  <c r="AN29" i="1"/>
  <c r="BC29" i="1" s="1"/>
  <c r="AN30" i="1"/>
  <c r="BC30" i="1" s="1"/>
  <c r="AN31" i="1"/>
  <c r="BC31" i="1" s="1"/>
  <c r="AN32" i="1"/>
  <c r="BC32" i="1" s="1"/>
  <c r="AN33" i="1"/>
  <c r="BC33" i="1" s="1"/>
  <c r="AN34" i="1"/>
  <c r="BC34" i="1" s="1"/>
  <c r="AN35" i="1"/>
  <c r="BC35" i="1" s="1"/>
  <c r="AN36" i="1"/>
  <c r="BC36" i="1" s="1"/>
  <c r="AN37" i="1"/>
  <c r="BC37" i="1" s="1"/>
  <c r="AN38" i="1"/>
  <c r="BC38" i="1" s="1"/>
  <c r="AN39" i="1"/>
  <c r="BC39" i="1" s="1"/>
  <c r="AN40" i="1"/>
  <c r="BC40" i="1" s="1"/>
  <c r="AN41" i="1"/>
  <c r="BC41" i="1" s="1"/>
  <c r="AN42" i="1"/>
  <c r="BC42" i="1" s="1"/>
  <c r="AN43" i="1"/>
  <c r="BC43" i="1" s="1"/>
  <c r="AN44" i="1"/>
  <c r="BC44" i="1" s="1"/>
  <c r="AN45" i="1"/>
  <c r="BC45" i="1" s="1"/>
  <c r="AN46" i="1"/>
  <c r="BC46" i="1" s="1"/>
  <c r="AN50" i="1"/>
  <c r="BC50" i="1" s="1"/>
  <c r="AN47" i="1"/>
  <c r="BC47" i="1" s="1"/>
  <c r="AN49" i="1"/>
  <c r="BC49" i="1" s="1"/>
  <c r="AN48" i="1"/>
  <c r="BC48" i="1" s="1"/>
  <c r="I17" i="26"/>
  <c r="S15" i="26"/>
  <c r="I25" i="26"/>
  <c r="S18" i="26"/>
  <c r="L16" i="26"/>
  <c r="B26" i="26"/>
  <c r="L17" i="26"/>
  <c r="L12" i="26"/>
  <c r="L13" i="26"/>
  <c r="B16" i="26"/>
  <c r="Q6" i="24"/>
  <c r="N6" i="25" s="1"/>
  <c r="N8" i="25" s="1"/>
  <c r="O8" i="25" s="1"/>
  <c r="K6" i="24"/>
  <c r="F6" i="25" s="1"/>
  <c r="F8" i="25" s="1"/>
  <c r="G8" i="25" s="1"/>
  <c r="N6" i="24"/>
  <c r="J6" i="25" s="1"/>
  <c r="J8" i="25" s="1"/>
  <c r="K8" i="25" s="1"/>
  <c r="U6" i="24"/>
  <c r="B6" i="25" s="1"/>
  <c r="B8" i="25" s="1"/>
  <c r="C8" i="25" s="1"/>
  <c r="V25" i="33" l="1"/>
  <c r="V28" i="33"/>
  <c r="V27" i="33"/>
  <c r="J19" i="26" s="1"/>
  <c r="I19" i="26" s="1"/>
  <c r="B19" i="28" s="1"/>
  <c r="V26" i="33"/>
  <c r="V32" i="33"/>
  <c r="V31" i="33"/>
  <c r="J9" i="26" s="1"/>
  <c r="I9" i="26" s="1"/>
  <c r="V30" i="33"/>
  <c r="V29" i="33"/>
  <c r="V38" i="33"/>
  <c r="V37" i="33"/>
  <c r="V36" i="33"/>
  <c r="V35" i="33"/>
  <c r="V34" i="33"/>
  <c r="V33" i="33"/>
  <c r="V46" i="33"/>
  <c r="V45" i="33"/>
  <c r="V44" i="33"/>
  <c r="V43" i="33"/>
  <c r="V42" i="33"/>
  <c r="V41" i="33"/>
  <c r="V40" i="33"/>
  <c r="V39" i="33"/>
  <c r="V56" i="33"/>
  <c r="V55" i="33"/>
  <c r="V54" i="33"/>
  <c r="V53" i="33"/>
  <c r="V52" i="33"/>
  <c r="V8" i="33" s="1"/>
  <c r="V51" i="33"/>
  <c r="C15" i="26" s="1"/>
  <c r="V50" i="33"/>
  <c r="V49" i="33"/>
  <c r="V48" i="33"/>
  <c r="V47" i="33"/>
  <c r="V57" i="33"/>
  <c r="V60" i="33"/>
  <c r="V59" i="33"/>
  <c r="V58" i="33"/>
  <c r="V64" i="33"/>
  <c r="V63" i="33"/>
  <c r="V62" i="33"/>
  <c r="V61" i="33"/>
  <c r="V71" i="33"/>
  <c r="V70" i="33"/>
  <c r="V69" i="33"/>
  <c r="V68" i="33"/>
  <c r="V67" i="33"/>
  <c r="V66" i="33"/>
  <c r="V65" i="33"/>
  <c r="V80" i="33"/>
  <c r="V79" i="33"/>
  <c r="V78" i="33"/>
  <c r="V77" i="33"/>
  <c r="V76" i="33"/>
  <c r="V75" i="33"/>
  <c r="V74" i="33"/>
  <c r="V73" i="33"/>
  <c r="V72" i="33"/>
  <c r="V90" i="33"/>
  <c r="V89" i="33"/>
  <c r="V88" i="33"/>
  <c r="V87" i="33"/>
  <c r="V86" i="33"/>
  <c r="V9" i="33" s="1"/>
  <c r="V85" i="33"/>
  <c r="V84" i="33"/>
  <c r="V83" i="33"/>
  <c r="V82" i="33"/>
  <c r="V81" i="33"/>
  <c r="V91" i="33"/>
  <c r="V95" i="33"/>
  <c r="V94" i="33"/>
  <c r="V93" i="33"/>
  <c r="V92" i="33"/>
  <c r="J26" i="26" s="1"/>
  <c r="I26" i="26" s="1"/>
  <c r="V99" i="33"/>
  <c r="V98" i="33"/>
  <c r="V97" i="33"/>
  <c r="V96" i="33"/>
  <c r="V105" i="33"/>
  <c r="V104" i="33"/>
  <c r="V103" i="33"/>
  <c r="V102" i="33"/>
  <c r="V101" i="33"/>
  <c r="V100" i="33"/>
  <c r="V114" i="33"/>
  <c r="V113" i="33"/>
  <c r="V112" i="33"/>
  <c r="V111" i="33"/>
  <c r="V110" i="33"/>
  <c r="V109" i="33"/>
  <c r="V108" i="33"/>
  <c r="V107" i="33"/>
  <c r="C27" i="26" s="1"/>
  <c r="V106" i="33"/>
  <c r="V124" i="33"/>
  <c r="V123" i="33"/>
  <c r="V122" i="33"/>
  <c r="V121" i="33"/>
  <c r="V120" i="33"/>
  <c r="V119" i="33"/>
  <c r="V118" i="33"/>
  <c r="V117" i="33"/>
  <c r="C29" i="26" s="1"/>
  <c r="V116" i="33"/>
  <c r="V115" i="33"/>
  <c r="C25" i="26" s="1"/>
  <c r="V125" i="33"/>
  <c r="V129" i="33"/>
  <c r="V128" i="33"/>
  <c r="V127" i="33"/>
  <c r="C38" i="26" s="1"/>
  <c r="V126" i="33"/>
  <c r="V133" i="33"/>
  <c r="V132" i="33"/>
  <c r="V131" i="33"/>
  <c r="V130" i="33"/>
  <c r="V139" i="33"/>
  <c r="V138" i="33"/>
  <c r="V137" i="33"/>
  <c r="V136" i="33"/>
  <c r="V135" i="33"/>
  <c r="V134" i="33"/>
  <c r="V147" i="33"/>
  <c r="V146" i="33"/>
  <c r="V145" i="33"/>
  <c r="V144" i="33"/>
  <c r="V143" i="33"/>
  <c r="V142" i="33"/>
  <c r="V141" i="33"/>
  <c r="V140" i="33"/>
  <c r="V157" i="33"/>
  <c r="V156" i="33"/>
  <c r="V155" i="33"/>
  <c r="V154" i="33"/>
  <c r="V153" i="33"/>
  <c r="V152" i="33"/>
  <c r="V151" i="33"/>
  <c r="V150" i="33"/>
  <c r="V149" i="33"/>
  <c r="V148" i="33"/>
  <c r="T12" i="26" s="1"/>
  <c r="S12" i="26" s="1"/>
  <c r="V158" i="33"/>
  <c r="V162" i="33"/>
  <c r="V161" i="33"/>
  <c r="V160" i="33"/>
  <c r="V159" i="33"/>
  <c r="V166" i="33"/>
  <c r="V165" i="33"/>
  <c r="V164" i="33"/>
  <c r="V163" i="33"/>
  <c r="V172" i="33"/>
  <c r="V171" i="33"/>
  <c r="V170" i="33"/>
  <c r="V13" i="33" s="1"/>
  <c r="O30" i="27" s="1"/>
  <c r="O31" i="27" s="1"/>
  <c r="V169" i="33"/>
  <c r="V168" i="33"/>
  <c r="V167" i="33"/>
  <c r="M15" i="26" s="1"/>
  <c r="V180" i="33"/>
  <c r="V179" i="33"/>
  <c r="V178" i="33"/>
  <c r="V177" i="33"/>
  <c r="V176" i="33"/>
  <c r="V175" i="33"/>
  <c r="V174" i="33"/>
  <c r="V173" i="33"/>
  <c r="V191" i="33"/>
  <c r="V190" i="33"/>
  <c r="V189" i="33"/>
  <c r="V188" i="33"/>
  <c r="V187" i="33"/>
  <c r="V12" i="33" s="1"/>
  <c r="V186" i="33"/>
  <c r="V185" i="33"/>
  <c r="V184" i="33"/>
  <c r="V183" i="33"/>
  <c r="V182" i="33"/>
  <c r="V181" i="33"/>
  <c r="V192" i="33"/>
  <c r="V195" i="33"/>
  <c r="V194" i="33"/>
  <c r="V193" i="33"/>
  <c r="V199" i="33"/>
  <c r="V198" i="33"/>
  <c r="V197" i="33"/>
  <c r="V196" i="33"/>
  <c r="V205" i="33"/>
  <c r="V204" i="33"/>
  <c r="V203" i="33"/>
  <c r="V202" i="33"/>
  <c r="V201" i="33"/>
  <c r="C32" i="26" s="1"/>
  <c r="V200" i="33"/>
  <c r="V213" i="33"/>
  <c r="V212" i="33"/>
  <c r="V211" i="33"/>
  <c r="V210" i="33"/>
  <c r="V209" i="33"/>
  <c r="V208" i="33"/>
  <c r="V207" i="33"/>
  <c r="V206" i="33"/>
  <c r="V223" i="33"/>
  <c r="V222" i="33"/>
  <c r="V221" i="33"/>
  <c r="V220" i="33"/>
  <c r="V219" i="33"/>
  <c r="V218" i="33"/>
  <c r="V217" i="33"/>
  <c r="V16" i="33" s="1"/>
  <c r="G25" i="27" s="1"/>
  <c r="G26" i="27" s="1"/>
  <c r="V216" i="33"/>
  <c r="C48" i="26" s="1"/>
  <c r="V215" i="33"/>
  <c r="J45" i="26" s="1"/>
  <c r="I45" i="26" s="1"/>
  <c r="B45" i="28" s="1"/>
  <c r="V214" i="33"/>
  <c r="V240" i="33"/>
  <c r="V239" i="33"/>
  <c r="V238" i="33"/>
  <c r="V237" i="33"/>
  <c r="V19" i="33" s="1"/>
  <c r="V236" i="33"/>
  <c r="V235" i="33"/>
  <c r="V234" i="33"/>
  <c r="V224" i="33"/>
  <c r="V7" i="33" s="1"/>
  <c r="V233" i="33"/>
  <c r="V232" i="33"/>
  <c r="V231" i="33"/>
  <c r="V230" i="33"/>
  <c r="V229" i="33"/>
  <c r="V228" i="33"/>
  <c r="V227" i="33"/>
  <c r="V226" i="33"/>
  <c r="V10" i="33" s="1"/>
  <c r="M14" i="28" s="1"/>
  <c r="V225" i="33"/>
  <c r="S16" i="26"/>
  <c r="M11" i="26" l="1"/>
  <c r="L11" i="28" s="1"/>
  <c r="T11" i="26"/>
  <c r="S11" i="26" s="1"/>
  <c r="M18" i="26"/>
  <c r="L18" i="28" s="1"/>
  <c r="J51" i="26"/>
  <c r="I51" i="26" s="1"/>
  <c r="B51" i="28" s="1"/>
  <c r="T17" i="26"/>
  <c r="S17" i="26" s="1"/>
  <c r="B25" i="28"/>
  <c r="L15" i="28"/>
  <c r="B9" i="28"/>
  <c r="B17" i="28"/>
  <c r="C11" i="28"/>
  <c r="C14" i="28"/>
  <c r="C12" i="28"/>
  <c r="C16" i="28"/>
  <c r="C17" i="28"/>
  <c r="C13" i="28"/>
  <c r="C8" i="28"/>
  <c r="C10" i="28"/>
  <c r="C9" i="28"/>
  <c r="B32" i="28"/>
  <c r="W47" i="1"/>
  <c r="W50" i="1"/>
  <c r="W49" i="1"/>
  <c r="W48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L14" i="30"/>
  <c r="J14" i="26"/>
  <c r="I14" i="26" s="1"/>
  <c r="B14" i="28" s="1"/>
  <c r="J8" i="26"/>
  <c r="I8" i="26" s="1"/>
  <c r="B8" i="28" s="1"/>
  <c r="J13" i="26"/>
  <c r="I13" i="26" s="1"/>
  <c r="B13" i="28" s="1"/>
  <c r="J11" i="26"/>
  <c r="I11" i="26" s="1"/>
  <c r="B11" i="28" s="1"/>
  <c r="J10" i="26"/>
  <c r="I10" i="26" s="1"/>
  <c r="J16" i="26"/>
  <c r="I16" i="26" s="1"/>
  <c r="J21" i="26"/>
  <c r="I21" i="26" s="1"/>
  <c r="B21" i="28" s="1"/>
  <c r="J15" i="26"/>
  <c r="I15" i="26" s="1"/>
  <c r="B15" i="28" s="1"/>
  <c r="J12" i="26"/>
  <c r="I12" i="26" s="1"/>
  <c r="B12" i="28" s="1"/>
  <c r="V17" i="33"/>
  <c r="H25" i="27" s="1"/>
  <c r="H26" i="27" s="1"/>
  <c r="J37" i="26"/>
  <c r="I37" i="26" s="1"/>
  <c r="B37" i="28" s="1"/>
  <c r="J28" i="26"/>
  <c r="I28" i="26" s="1"/>
  <c r="T13" i="26"/>
  <c r="S13" i="26" s="1"/>
  <c r="J36" i="26"/>
  <c r="I36" i="26" s="1"/>
  <c r="B36" i="28" s="1"/>
  <c r="J22" i="26"/>
  <c r="I22" i="26" s="1"/>
  <c r="B22" i="28" s="1"/>
  <c r="J23" i="26"/>
  <c r="I23" i="26" s="1"/>
  <c r="V15" i="33"/>
  <c r="Q30" i="27" s="1"/>
  <c r="Q31" i="27" s="1"/>
  <c r="J29" i="26"/>
  <c r="I29" i="26" s="1"/>
  <c r="B29" i="28" s="1"/>
  <c r="M13" i="26"/>
  <c r="J32" i="26"/>
  <c r="I32" i="26" s="1"/>
  <c r="M12" i="26"/>
  <c r="C28" i="26"/>
  <c r="J48" i="26"/>
  <c r="I48" i="26" s="1"/>
  <c r="B48" i="28" s="1"/>
  <c r="V14" i="33"/>
  <c r="P30" i="27" s="1"/>
  <c r="P31" i="27" s="1"/>
  <c r="M17" i="26"/>
  <c r="J40" i="26"/>
  <c r="I40" i="26" s="1"/>
  <c r="B40" i="28" s="1"/>
  <c r="C23" i="26"/>
  <c r="C26" i="26"/>
  <c r="J30" i="26"/>
  <c r="I30" i="26" s="1"/>
  <c r="B30" i="28" s="1"/>
  <c r="J27" i="26"/>
  <c r="I27" i="26" s="1"/>
  <c r="B27" i="28" s="1"/>
  <c r="J31" i="26"/>
  <c r="I31" i="26" s="1"/>
  <c r="B31" i="28" s="1"/>
  <c r="V18" i="33"/>
  <c r="I25" i="27" s="1"/>
  <c r="I26" i="27" s="1"/>
  <c r="J38" i="26"/>
  <c r="I38" i="26" s="1"/>
  <c r="B38" i="28" s="1"/>
  <c r="J49" i="26"/>
  <c r="I49" i="26" s="1"/>
  <c r="B49" i="28" s="1"/>
  <c r="M16" i="26"/>
  <c r="J39" i="26"/>
  <c r="I39" i="26" s="1"/>
  <c r="B39" i="28" s="1"/>
  <c r="V11" i="33"/>
  <c r="J34" i="26"/>
  <c r="I34" i="26" s="1"/>
  <c r="B34" i="28" s="1"/>
  <c r="B10" i="28" l="1"/>
  <c r="U6" i="26"/>
  <c r="B6" i="27" s="1"/>
  <c r="B8" i="27" s="1"/>
  <c r="C8" i="27" s="1"/>
  <c r="S18" i="28"/>
  <c r="I25" i="28"/>
  <c r="S15" i="28"/>
  <c r="I17" i="28"/>
  <c r="AO47" i="1"/>
  <c r="BD47" i="1" s="1"/>
  <c r="AO50" i="1"/>
  <c r="BD50" i="1" s="1"/>
  <c r="AO49" i="1"/>
  <c r="BD49" i="1" s="1"/>
  <c r="AO48" i="1"/>
  <c r="BD48" i="1" s="1"/>
  <c r="AO46" i="1"/>
  <c r="BD46" i="1" s="1"/>
  <c r="AO45" i="1"/>
  <c r="BD45" i="1" s="1"/>
  <c r="AO44" i="1"/>
  <c r="BD44" i="1" s="1"/>
  <c r="AO43" i="1"/>
  <c r="BD43" i="1" s="1"/>
  <c r="AO42" i="1"/>
  <c r="BD42" i="1" s="1"/>
  <c r="AO41" i="1"/>
  <c r="BD41" i="1" s="1"/>
  <c r="AO40" i="1"/>
  <c r="BD40" i="1" s="1"/>
  <c r="AO39" i="1"/>
  <c r="BD39" i="1" s="1"/>
  <c r="AO38" i="1"/>
  <c r="BD38" i="1" s="1"/>
  <c r="AO37" i="1"/>
  <c r="BD37" i="1" s="1"/>
  <c r="AO36" i="1"/>
  <c r="BD36" i="1" s="1"/>
  <c r="AO35" i="1"/>
  <c r="BD35" i="1" s="1"/>
  <c r="AO34" i="1"/>
  <c r="BD34" i="1" s="1"/>
  <c r="AO33" i="1"/>
  <c r="BD33" i="1" s="1"/>
  <c r="AO32" i="1"/>
  <c r="BD32" i="1" s="1"/>
  <c r="AO31" i="1"/>
  <c r="BD31" i="1" s="1"/>
  <c r="AO30" i="1"/>
  <c r="BD30" i="1" s="1"/>
  <c r="AO29" i="1"/>
  <c r="BD29" i="1" s="1"/>
  <c r="AO28" i="1"/>
  <c r="BD28" i="1" s="1"/>
  <c r="AO27" i="1"/>
  <c r="BD27" i="1" s="1"/>
  <c r="AO26" i="1"/>
  <c r="BD26" i="1" s="1"/>
  <c r="AO25" i="1"/>
  <c r="BD25" i="1" s="1"/>
  <c r="AO24" i="1"/>
  <c r="BD24" i="1" s="1"/>
  <c r="AO23" i="1"/>
  <c r="BD23" i="1" s="1"/>
  <c r="AO22" i="1"/>
  <c r="BD22" i="1" s="1"/>
  <c r="AO21" i="1"/>
  <c r="BD21" i="1" s="1"/>
  <c r="AO20" i="1"/>
  <c r="BD20" i="1" s="1"/>
  <c r="AO19" i="1"/>
  <c r="BD19" i="1" s="1"/>
  <c r="AO18" i="1"/>
  <c r="BD18" i="1" s="1"/>
  <c r="AO17" i="1"/>
  <c r="BD17" i="1" s="1"/>
  <c r="AO16" i="1"/>
  <c r="BD16" i="1" s="1"/>
  <c r="AO15" i="1"/>
  <c r="BD15" i="1" s="1"/>
  <c r="AO14" i="1"/>
  <c r="BD14" i="1" s="1"/>
  <c r="AO13" i="1"/>
  <c r="BD13" i="1" s="1"/>
  <c r="AO12" i="1"/>
  <c r="BD12" i="1" s="1"/>
  <c r="AO11" i="1"/>
  <c r="BD11" i="1" s="1"/>
  <c r="S14" i="30"/>
  <c r="B16" i="28"/>
  <c r="Q6" i="26"/>
  <c r="N6" i="27" s="1"/>
  <c r="N8" i="27" s="1"/>
  <c r="O8" i="27" s="1"/>
  <c r="L13" i="28"/>
  <c r="L12" i="28"/>
  <c r="B28" i="28"/>
  <c r="L17" i="28"/>
  <c r="B23" i="28"/>
  <c r="B26" i="28"/>
  <c r="L16" i="28"/>
  <c r="J26" i="27"/>
  <c r="K6" i="26"/>
  <c r="F6" i="27" s="1"/>
  <c r="F8" i="27" s="1"/>
  <c r="G8" i="27" s="1"/>
  <c r="N6" i="26"/>
  <c r="J6" i="27" s="1"/>
  <c r="J8" i="27" s="1"/>
  <c r="K8" i="27" s="1"/>
  <c r="W224" i="33" l="1"/>
  <c r="W234" i="33"/>
  <c r="W235" i="33"/>
  <c r="W236" i="33"/>
  <c r="W237" i="33"/>
  <c r="W19" i="33" s="1"/>
  <c r="W238" i="33"/>
  <c r="W239" i="33"/>
  <c r="W240" i="33"/>
  <c r="W228" i="33"/>
  <c r="W229" i="33"/>
  <c r="W230" i="33"/>
  <c r="W231" i="33"/>
  <c r="W232" i="33"/>
  <c r="W233" i="33"/>
  <c r="W225" i="33"/>
  <c r="W226" i="33"/>
  <c r="W10" i="33" s="1"/>
  <c r="M14" i="30" s="1"/>
  <c r="W227" i="33"/>
  <c r="W214" i="33"/>
  <c r="W215" i="33"/>
  <c r="J45" i="28" s="1"/>
  <c r="I45" i="28" s="1"/>
  <c r="B45" i="30" s="1"/>
  <c r="W216" i="33"/>
  <c r="C48" i="28" s="1"/>
  <c r="W217" i="33"/>
  <c r="W16" i="33" s="1"/>
  <c r="G25" i="29" s="1"/>
  <c r="G26" i="29" s="1"/>
  <c r="W218" i="33"/>
  <c r="W219" i="33"/>
  <c r="W220" i="33"/>
  <c r="W221" i="33"/>
  <c r="W222" i="33"/>
  <c r="W223" i="33"/>
  <c r="W206" i="33"/>
  <c r="W207" i="33"/>
  <c r="W208" i="33"/>
  <c r="W209" i="33"/>
  <c r="W210" i="33"/>
  <c r="W211" i="33"/>
  <c r="W212" i="33"/>
  <c r="W213" i="33"/>
  <c r="W200" i="33"/>
  <c r="W201" i="33"/>
  <c r="C32" i="28" s="1"/>
  <c r="W202" i="33"/>
  <c r="W203" i="33"/>
  <c r="W204" i="33"/>
  <c r="W205" i="33"/>
  <c r="W196" i="33"/>
  <c r="W197" i="33"/>
  <c r="W198" i="33"/>
  <c r="W199" i="33"/>
  <c r="W193" i="33"/>
  <c r="W194" i="33"/>
  <c r="W195" i="33"/>
  <c r="W192" i="33"/>
  <c r="W181" i="33"/>
  <c r="W182" i="33"/>
  <c r="W183" i="33"/>
  <c r="W184" i="33"/>
  <c r="W185" i="33"/>
  <c r="W186" i="33"/>
  <c r="W187" i="33"/>
  <c r="W12" i="33" s="1"/>
  <c r="W188" i="33"/>
  <c r="W189" i="33"/>
  <c r="W190" i="33"/>
  <c r="W191" i="33"/>
  <c r="W173" i="33"/>
  <c r="W174" i="33"/>
  <c r="W175" i="33"/>
  <c r="W176" i="33"/>
  <c r="W177" i="33"/>
  <c r="W178" i="33"/>
  <c r="W179" i="33"/>
  <c r="W180" i="33"/>
  <c r="J34" i="28" s="1"/>
  <c r="I34" i="28" s="1"/>
  <c r="B34" i="30" s="1"/>
  <c r="W167" i="33"/>
  <c r="M15" i="28" s="1"/>
  <c r="W168" i="33"/>
  <c r="W169" i="33"/>
  <c r="W170" i="33"/>
  <c r="W13" i="33" s="1"/>
  <c r="O30" i="29" s="1"/>
  <c r="O31" i="29" s="1"/>
  <c r="W171" i="33"/>
  <c r="W172" i="33"/>
  <c r="W163" i="33"/>
  <c r="W164" i="33"/>
  <c r="W165" i="33"/>
  <c r="W166" i="33"/>
  <c r="W159" i="33"/>
  <c r="W160" i="33"/>
  <c r="W161" i="33"/>
  <c r="W162" i="33"/>
  <c r="W158" i="33"/>
  <c r="W148" i="33"/>
  <c r="T12" i="28" s="1"/>
  <c r="S12" i="28" s="1"/>
  <c r="W149" i="33"/>
  <c r="W150" i="33"/>
  <c r="W151" i="33"/>
  <c r="W152" i="33"/>
  <c r="W153" i="33"/>
  <c r="W154" i="33"/>
  <c r="W155" i="33"/>
  <c r="W156" i="33"/>
  <c r="W157" i="33"/>
  <c r="W140" i="33"/>
  <c r="W141" i="33"/>
  <c r="W142" i="33"/>
  <c r="W143" i="33"/>
  <c r="W144" i="33"/>
  <c r="W145" i="33"/>
  <c r="W146" i="33"/>
  <c r="W147" i="33"/>
  <c r="W134" i="33"/>
  <c r="W135" i="33"/>
  <c r="W136" i="33"/>
  <c r="W137" i="33"/>
  <c r="W138" i="33"/>
  <c r="W139" i="33"/>
  <c r="W130" i="33"/>
  <c r="W131" i="33"/>
  <c r="W132" i="33"/>
  <c r="W133" i="33"/>
  <c r="W126" i="33"/>
  <c r="W127" i="33"/>
  <c r="C38" i="28" s="1"/>
  <c r="W128" i="33"/>
  <c r="W129" i="33"/>
  <c r="W125" i="33"/>
  <c r="W115" i="33"/>
  <c r="C25" i="28" s="1"/>
  <c r="W116" i="33"/>
  <c r="W117" i="33"/>
  <c r="C29" i="28" s="1"/>
  <c r="W118" i="33"/>
  <c r="W119" i="33"/>
  <c r="W120" i="33"/>
  <c r="W121" i="33"/>
  <c r="W122" i="33"/>
  <c r="W123" i="33"/>
  <c r="W124" i="33"/>
  <c r="W106" i="33"/>
  <c r="W107" i="33"/>
  <c r="C27" i="28" s="1"/>
  <c r="W108" i="33"/>
  <c r="W109" i="33"/>
  <c r="W110" i="33"/>
  <c r="W111" i="33"/>
  <c r="W112" i="33"/>
  <c r="W113" i="33"/>
  <c r="W114" i="33"/>
  <c r="W100" i="33"/>
  <c r="W101" i="33"/>
  <c r="J31" i="28" s="1"/>
  <c r="I31" i="28" s="1"/>
  <c r="B31" i="30" s="1"/>
  <c r="W102" i="33"/>
  <c r="W103" i="33"/>
  <c r="W104" i="33"/>
  <c r="W105" i="33"/>
  <c r="W96" i="33"/>
  <c r="W97" i="33"/>
  <c r="W98" i="33"/>
  <c r="W99" i="33"/>
  <c r="W92" i="33"/>
  <c r="J26" i="28" s="1"/>
  <c r="I26" i="28" s="1"/>
  <c r="W93" i="33"/>
  <c r="W94" i="33"/>
  <c r="W95" i="33"/>
  <c r="W91" i="33"/>
  <c r="W81" i="33"/>
  <c r="W82" i="33"/>
  <c r="W83" i="33"/>
  <c r="W84" i="33"/>
  <c r="W85" i="33"/>
  <c r="W86" i="33"/>
  <c r="W9" i="33" s="1"/>
  <c r="W87" i="33"/>
  <c r="W88" i="33"/>
  <c r="W89" i="33"/>
  <c r="W90" i="33"/>
  <c r="W72" i="33"/>
  <c r="W73" i="33"/>
  <c r="W74" i="33"/>
  <c r="W75" i="33"/>
  <c r="W76" i="33"/>
  <c r="W77" i="33"/>
  <c r="W78" i="33"/>
  <c r="W79" i="33"/>
  <c r="W80" i="33"/>
  <c r="W65" i="33"/>
  <c r="W66" i="33"/>
  <c r="W67" i="33"/>
  <c r="W68" i="33"/>
  <c r="W69" i="33"/>
  <c r="W70" i="33"/>
  <c r="W71" i="33"/>
  <c r="W61" i="33"/>
  <c r="W62" i="33"/>
  <c r="W63" i="33"/>
  <c r="W64" i="33"/>
  <c r="W58" i="33"/>
  <c r="W59" i="33"/>
  <c r="W60" i="33"/>
  <c r="W57" i="33"/>
  <c r="W47" i="33"/>
  <c r="W48" i="33"/>
  <c r="W49" i="33"/>
  <c r="W50" i="33"/>
  <c r="W51" i="33"/>
  <c r="C15" i="28" s="1"/>
  <c r="W52" i="33"/>
  <c r="W8" i="33" s="1"/>
  <c r="W53" i="33"/>
  <c r="W54" i="33"/>
  <c r="W55" i="33"/>
  <c r="W56" i="33"/>
  <c r="W39" i="33"/>
  <c r="W40" i="33"/>
  <c r="W41" i="33"/>
  <c r="W42" i="33"/>
  <c r="W43" i="33"/>
  <c r="W44" i="33"/>
  <c r="W45" i="33"/>
  <c r="W46" i="33"/>
  <c r="W33" i="33"/>
  <c r="J15" i="28" s="1"/>
  <c r="I15" i="28" s="1"/>
  <c r="W34" i="33"/>
  <c r="W35" i="33"/>
  <c r="W36" i="33"/>
  <c r="W37" i="33"/>
  <c r="W38" i="33"/>
  <c r="W29" i="33"/>
  <c r="W30" i="33"/>
  <c r="W31" i="33"/>
  <c r="J9" i="28" s="1"/>
  <c r="I9" i="28" s="1"/>
  <c r="W32" i="33"/>
  <c r="W26" i="33"/>
  <c r="W27" i="33"/>
  <c r="J19" i="28" s="1"/>
  <c r="I19" i="28" s="1"/>
  <c r="B19" i="30" s="1"/>
  <c r="W28" i="33"/>
  <c r="W25" i="33"/>
  <c r="S16" i="28"/>
  <c r="T17" i="28" l="1"/>
  <c r="S17" i="28" s="1"/>
  <c r="W11" i="33"/>
  <c r="C23" i="28"/>
  <c r="C28" i="28"/>
  <c r="J21" i="28"/>
  <c r="I21" i="28" s="1"/>
  <c r="B21" i="30" s="1"/>
  <c r="J11" i="28"/>
  <c r="I11" i="28" s="1"/>
  <c r="B11" i="30" s="1"/>
  <c r="J38" i="28"/>
  <c r="I38" i="28" s="1"/>
  <c r="B38" i="30" s="1"/>
  <c r="M11" i="28"/>
  <c r="L11" i="30" s="1"/>
  <c r="J12" i="28"/>
  <c r="I12" i="28" s="1"/>
  <c r="B12" i="30" s="1"/>
  <c r="J16" i="28"/>
  <c r="I16" i="28" s="1"/>
  <c r="B16" i="30" s="1"/>
  <c r="M18" i="28"/>
  <c r="L18" i="30" s="1"/>
  <c r="T11" i="28"/>
  <c r="S11" i="28" s="1"/>
  <c r="J36" i="28"/>
  <c r="I36" i="28" s="1"/>
  <c r="B36" i="30" s="1"/>
  <c r="W18" i="33"/>
  <c r="I25" i="29" s="1"/>
  <c r="I26" i="29" s="1"/>
  <c r="J51" i="28"/>
  <c r="I51" i="28" s="1"/>
  <c r="B51" i="30" s="1"/>
  <c r="T13" i="28"/>
  <c r="S13" i="28" s="1"/>
  <c r="W14" i="33"/>
  <c r="P30" i="29" s="1"/>
  <c r="P31" i="29" s="1"/>
  <c r="J48" i="28"/>
  <c r="I48" i="28" s="1"/>
  <c r="B48" i="30" s="1"/>
  <c r="M12" i="28"/>
  <c r="L12" i="30" s="1"/>
  <c r="W17" i="33"/>
  <c r="H25" i="29" s="1"/>
  <c r="H26" i="29" s="1"/>
  <c r="J10" i="28"/>
  <c r="I10" i="28" s="1"/>
  <c r="B10" i="30" s="1"/>
  <c r="L14" i="32"/>
  <c r="S14" i="32" s="1"/>
  <c r="B17" i="30"/>
  <c r="B9" i="30"/>
  <c r="C10" i="30"/>
  <c r="C13" i="30"/>
  <c r="C16" i="30"/>
  <c r="C14" i="30"/>
  <c r="C11" i="30"/>
  <c r="C9" i="30"/>
  <c r="C8" i="30"/>
  <c r="C17" i="30"/>
  <c r="C12" i="30"/>
  <c r="L15" i="30"/>
  <c r="B25" i="30"/>
  <c r="B15" i="30"/>
  <c r="W7" i="33"/>
  <c r="J39" i="28"/>
  <c r="I39" i="28" s="1"/>
  <c r="B39" i="30" s="1"/>
  <c r="M16" i="28"/>
  <c r="J49" i="28"/>
  <c r="I49" i="28" s="1"/>
  <c r="B49" i="30" s="1"/>
  <c r="J27" i="28"/>
  <c r="I27" i="28" s="1"/>
  <c r="B27" i="30" s="1"/>
  <c r="J30" i="28"/>
  <c r="I30" i="28" s="1"/>
  <c r="B30" i="30" s="1"/>
  <c r="C26" i="28"/>
  <c r="J40" i="28"/>
  <c r="I40" i="28" s="1"/>
  <c r="B40" i="30" s="1"/>
  <c r="M17" i="28"/>
  <c r="J32" i="28"/>
  <c r="I32" i="28" s="1"/>
  <c r="M13" i="28"/>
  <c r="J29" i="28"/>
  <c r="I29" i="28" s="1"/>
  <c r="B29" i="30" s="1"/>
  <c r="W15" i="33"/>
  <c r="Q30" i="29" s="1"/>
  <c r="Q31" i="29" s="1"/>
  <c r="J23" i="28"/>
  <c r="I23" i="28" s="1"/>
  <c r="J22" i="28"/>
  <c r="I22" i="28" s="1"/>
  <c r="J28" i="28"/>
  <c r="I28" i="28" s="1"/>
  <c r="J37" i="28"/>
  <c r="I37" i="28" s="1"/>
  <c r="B37" i="30" s="1"/>
  <c r="J13" i="28"/>
  <c r="I13" i="28" s="1"/>
  <c r="B13" i="30" s="1"/>
  <c r="J8" i="28"/>
  <c r="I8" i="28" s="1"/>
  <c r="J14" i="28"/>
  <c r="I14" i="28" s="1"/>
  <c r="B14" i="30" s="1"/>
  <c r="B23" i="30" l="1"/>
  <c r="B28" i="30"/>
  <c r="J26" i="29"/>
  <c r="I17" i="30"/>
  <c r="S15" i="30"/>
  <c r="I25" i="30"/>
  <c r="S18" i="30"/>
  <c r="X50" i="1"/>
  <c r="X48" i="1"/>
  <c r="X49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L16" i="30"/>
  <c r="B26" i="30"/>
  <c r="L17" i="30"/>
  <c r="L13" i="30"/>
  <c r="N6" i="28"/>
  <c r="J6" i="29" s="1"/>
  <c r="J8" i="29" s="1"/>
  <c r="K8" i="29" s="1"/>
  <c r="B22" i="30"/>
  <c r="Q6" i="28"/>
  <c r="N6" i="29" s="1"/>
  <c r="N8" i="29" s="1"/>
  <c r="O8" i="29" s="1"/>
  <c r="B32" i="30"/>
  <c r="K6" i="28"/>
  <c r="F6" i="29" s="1"/>
  <c r="F8" i="29" s="1"/>
  <c r="G8" i="29" s="1"/>
  <c r="B8" i="30"/>
  <c r="U6" i="28"/>
  <c r="B6" i="29" s="1"/>
  <c r="B8" i="29" s="1"/>
  <c r="C8" i="29" s="1"/>
  <c r="AP50" i="1" l="1"/>
  <c r="BE50" i="1" s="1"/>
  <c r="AP48" i="1"/>
  <c r="BE48" i="1" s="1"/>
  <c r="AP49" i="1"/>
  <c r="BE49" i="1" s="1"/>
  <c r="AP47" i="1"/>
  <c r="BE47" i="1" s="1"/>
  <c r="AP46" i="1"/>
  <c r="BE46" i="1" s="1"/>
  <c r="AP45" i="1"/>
  <c r="BE45" i="1" s="1"/>
  <c r="AP44" i="1"/>
  <c r="BE44" i="1" s="1"/>
  <c r="AP43" i="1"/>
  <c r="BE43" i="1" s="1"/>
  <c r="AP42" i="1"/>
  <c r="BE42" i="1" s="1"/>
  <c r="AP41" i="1"/>
  <c r="BE41" i="1" s="1"/>
  <c r="AP40" i="1"/>
  <c r="BE40" i="1" s="1"/>
  <c r="AP39" i="1"/>
  <c r="BE39" i="1" s="1"/>
  <c r="AP38" i="1"/>
  <c r="BE38" i="1" s="1"/>
  <c r="AP37" i="1"/>
  <c r="BE37" i="1" s="1"/>
  <c r="AP36" i="1"/>
  <c r="BE36" i="1" s="1"/>
  <c r="AP35" i="1"/>
  <c r="BE35" i="1" s="1"/>
  <c r="AP34" i="1"/>
  <c r="BE34" i="1" s="1"/>
  <c r="AP33" i="1"/>
  <c r="BE33" i="1" s="1"/>
  <c r="AP32" i="1"/>
  <c r="BE32" i="1" s="1"/>
  <c r="AP31" i="1"/>
  <c r="BE31" i="1" s="1"/>
  <c r="AP30" i="1"/>
  <c r="BE30" i="1" s="1"/>
  <c r="AP29" i="1"/>
  <c r="BE29" i="1" s="1"/>
  <c r="AP28" i="1"/>
  <c r="BE28" i="1" s="1"/>
  <c r="AP27" i="1"/>
  <c r="BE27" i="1" s="1"/>
  <c r="AP26" i="1"/>
  <c r="BE26" i="1" s="1"/>
  <c r="AP25" i="1"/>
  <c r="BE25" i="1" s="1"/>
  <c r="AP24" i="1"/>
  <c r="BE24" i="1" s="1"/>
  <c r="AP23" i="1"/>
  <c r="BE23" i="1" s="1"/>
  <c r="AP22" i="1"/>
  <c r="BE22" i="1" s="1"/>
  <c r="AP21" i="1"/>
  <c r="BE21" i="1" s="1"/>
  <c r="AP20" i="1"/>
  <c r="BE20" i="1" s="1"/>
  <c r="AP19" i="1"/>
  <c r="BE19" i="1" s="1"/>
  <c r="AP18" i="1"/>
  <c r="BE18" i="1" s="1"/>
  <c r="AP17" i="1"/>
  <c r="BE17" i="1" s="1"/>
  <c r="AP16" i="1"/>
  <c r="BE16" i="1" s="1"/>
  <c r="AP15" i="1"/>
  <c r="BE15" i="1" s="1"/>
  <c r="AP14" i="1"/>
  <c r="BE14" i="1" s="1"/>
  <c r="AP13" i="1"/>
  <c r="BE13" i="1" s="1"/>
  <c r="AP12" i="1"/>
  <c r="BE12" i="1" s="1"/>
  <c r="AP11" i="1"/>
  <c r="BE11" i="1" s="1"/>
  <c r="S16" i="30"/>
  <c r="X240" i="33" l="1"/>
  <c r="X239" i="33"/>
  <c r="X238" i="33"/>
  <c r="X237" i="33"/>
  <c r="X19" i="33" s="1"/>
  <c r="X236" i="33"/>
  <c r="X235" i="33"/>
  <c r="X234" i="33"/>
  <c r="X227" i="33"/>
  <c r="X226" i="33"/>
  <c r="X10" i="33" s="1"/>
  <c r="M14" i="32" s="1"/>
  <c r="X225" i="33"/>
  <c r="X233" i="33"/>
  <c r="X232" i="33"/>
  <c r="X231" i="33"/>
  <c r="X230" i="33"/>
  <c r="X229" i="33"/>
  <c r="X228" i="33"/>
  <c r="X224" i="33"/>
  <c r="X7" i="33" s="1"/>
  <c r="X223" i="33"/>
  <c r="X222" i="33"/>
  <c r="X221" i="33"/>
  <c r="X220" i="33"/>
  <c r="X219" i="33"/>
  <c r="X218" i="33"/>
  <c r="X217" i="33"/>
  <c r="X16" i="33" s="1"/>
  <c r="G25" i="31" s="1"/>
  <c r="G26" i="31" s="1"/>
  <c r="X216" i="33"/>
  <c r="C48" i="30" s="1"/>
  <c r="X215" i="33"/>
  <c r="J45" i="30" s="1"/>
  <c r="I45" i="30" s="1"/>
  <c r="B45" i="32" s="1"/>
  <c r="X214" i="33"/>
  <c r="X213" i="33"/>
  <c r="X212" i="33"/>
  <c r="X211" i="33"/>
  <c r="X210" i="33"/>
  <c r="X209" i="33"/>
  <c r="X208" i="33"/>
  <c r="X207" i="33"/>
  <c r="X206" i="33"/>
  <c r="X205" i="33"/>
  <c r="X204" i="33"/>
  <c r="X203" i="33"/>
  <c r="X202" i="33"/>
  <c r="X201" i="33"/>
  <c r="C32" i="30" s="1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2" i="33" s="1"/>
  <c r="X186" i="33"/>
  <c r="X185" i="33"/>
  <c r="X184" i="33"/>
  <c r="X183" i="33"/>
  <c r="X182" i="33"/>
  <c r="X181" i="33"/>
  <c r="X180" i="33"/>
  <c r="J34" i="30" s="1"/>
  <c r="I34" i="30" s="1"/>
  <c r="B34" i="32" s="1"/>
  <c r="X179" i="33"/>
  <c r="X178" i="33"/>
  <c r="X177" i="33"/>
  <c r="X176" i="33"/>
  <c r="X175" i="33"/>
  <c r="X174" i="33"/>
  <c r="X173" i="33"/>
  <c r="X172" i="33"/>
  <c r="X171" i="33"/>
  <c r="X170" i="33"/>
  <c r="X13" i="33" s="1"/>
  <c r="O30" i="31" s="1"/>
  <c r="O31" i="31" s="1"/>
  <c r="X169" i="33"/>
  <c r="X168" i="33"/>
  <c r="X167" i="33"/>
  <c r="M15" i="30" s="1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T12" i="30" s="1"/>
  <c r="S12" i="30" s="1"/>
  <c r="X147" i="33"/>
  <c r="X146" i="33"/>
  <c r="X145" i="33"/>
  <c r="X144" i="33"/>
  <c r="X143" i="33"/>
  <c r="X14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C38" i="30" s="1"/>
  <c r="X126" i="33"/>
  <c r="X125" i="33"/>
  <c r="X124" i="33"/>
  <c r="X123" i="33"/>
  <c r="X122" i="33"/>
  <c r="X121" i="33"/>
  <c r="X120" i="33"/>
  <c r="X119" i="33"/>
  <c r="X118" i="33"/>
  <c r="X117" i="33"/>
  <c r="C29" i="30" s="1"/>
  <c r="X116" i="33"/>
  <c r="X115" i="33"/>
  <c r="C25" i="30" s="1"/>
  <c r="X114" i="33"/>
  <c r="X113" i="33"/>
  <c r="X112" i="33"/>
  <c r="X111" i="33"/>
  <c r="X110" i="33"/>
  <c r="X109" i="33"/>
  <c r="X108" i="33"/>
  <c r="X107" i="33"/>
  <c r="C27" i="30" s="1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J26" i="30" s="1"/>
  <c r="I26" i="30" s="1"/>
  <c r="X91" i="33"/>
  <c r="X90" i="33"/>
  <c r="X89" i="33"/>
  <c r="X88" i="33"/>
  <c r="X87" i="33"/>
  <c r="X86" i="33"/>
  <c r="X9" i="33" s="1"/>
  <c r="X85" i="33"/>
  <c r="X84" i="33"/>
  <c r="X83" i="33"/>
  <c r="X82" i="33"/>
  <c r="X81" i="33"/>
  <c r="X80" i="33"/>
  <c r="X79" i="33"/>
  <c r="X78" i="33"/>
  <c r="X77" i="33"/>
  <c r="X76" i="33"/>
  <c r="X75" i="33"/>
  <c r="X74" i="33"/>
  <c r="X73" i="33"/>
  <c r="X7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8" i="33" s="1"/>
  <c r="X51" i="33"/>
  <c r="C15" i="30" s="1"/>
  <c r="X50" i="33"/>
  <c r="X49" i="33"/>
  <c r="X48" i="33"/>
  <c r="X47" i="33"/>
  <c r="X46" i="33"/>
  <c r="X45" i="33"/>
  <c r="X44" i="33"/>
  <c r="X43" i="33"/>
  <c r="X42" i="33"/>
  <c r="X41" i="33"/>
  <c r="X40" i="33"/>
  <c r="X39" i="33"/>
  <c r="X38" i="33"/>
  <c r="X37" i="33"/>
  <c r="X36" i="33"/>
  <c r="X35" i="33"/>
  <c r="X34" i="33"/>
  <c r="X33" i="33"/>
  <c r="J15" i="30" s="1"/>
  <c r="I15" i="30" s="1"/>
  <c r="X31" i="33"/>
  <c r="J9" i="30" s="1"/>
  <c r="I9" i="30" s="1"/>
  <c r="X32" i="33"/>
  <c r="X30" i="33"/>
  <c r="X29" i="33"/>
  <c r="X28" i="33"/>
  <c r="X27" i="33"/>
  <c r="J19" i="30" s="1"/>
  <c r="I19" i="30" s="1"/>
  <c r="B19" i="32" s="1"/>
  <c r="X26" i="33"/>
  <c r="X25" i="33"/>
  <c r="C23" i="30" l="1"/>
  <c r="X11" i="33"/>
  <c r="T13" i="30"/>
  <c r="S13" i="30" s="1"/>
  <c r="X15" i="33"/>
  <c r="Q30" i="31" s="1"/>
  <c r="Q31" i="31" s="1"/>
  <c r="C26" i="30"/>
  <c r="B26" i="32" s="1"/>
  <c r="J23" i="30"/>
  <c r="I23" i="30" s="1"/>
  <c r="B23" i="32" s="1"/>
  <c r="J22" i="30"/>
  <c r="I22" i="30" s="1"/>
  <c r="B22" i="32" s="1"/>
  <c r="M11" i="30"/>
  <c r="L11" i="32" s="1"/>
  <c r="T11" i="30"/>
  <c r="S11" i="30" s="1"/>
  <c r="J38" i="30"/>
  <c r="I38" i="30" s="1"/>
  <c r="B38" i="32" s="1"/>
  <c r="M18" i="30"/>
  <c r="L18" i="32" s="1"/>
  <c r="S18" i="32" s="1"/>
  <c r="J40" i="30"/>
  <c r="I40" i="30" s="1"/>
  <c r="B40" i="32" s="1"/>
  <c r="J28" i="30"/>
  <c r="I28" i="30" s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B9" i="32"/>
  <c r="B17" i="32"/>
  <c r="I17" i="32" s="1"/>
  <c r="C17" i="32"/>
  <c r="C9" i="32"/>
  <c r="C13" i="32"/>
  <c r="C12" i="32"/>
  <c r="C11" i="32"/>
  <c r="C14" i="32"/>
  <c r="C16" i="32"/>
  <c r="C8" i="32"/>
  <c r="C10" i="32"/>
  <c r="L15" i="32"/>
  <c r="S15" i="32" s="1"/>
  <c r="B25" i="32"/>
  <c r="I25" i="32" s="1"/>
  <c r="B15" i="32"/>
  <c r="T17" i="30"/>
  <c r="S17" i="30" s="1"/>
  <c r="J51" i="30"/>
  <c r="I51" i="30" s="1"/>
  <c r="B51" i="32" s="1"/>
  <c r="J49" i="30"/>
  <c r="I49" i="30" s="1"/>
  <c r="B49" i="32" s="1"/>
  <c r="M16" i="30"/>
  <c r="J39" i="30"/>
  <c r="I39" i="30" s="1"/>
  <c r="B39" i="32" s="1"/>
  <c r="J36" i="30"/>
  <c r="I36" i="30" s="1"/>
  <c r="B36" i="32" s="1"/>
  <c r="X18" i="33"/>
  <c r="I25" i="31" s="1"/>
  <c r="I26" i="31" s="1"/>
  <c r="J31" i="30"/>
  <c r="I31" i="30" s="1"/>
  <c r="B31" i="32" s="1"/>
  <c r="J30" i="30"/>
  <c r="I30" i="30" s="1"/>
  <c r="B30" i="32" s="1"/>
  <c r="J27" i="30"/>
  <c r="I27" i="30" s="1"/>
  <c r="B27" i="32" s="1"/>
  <c r="J48" i="30"/>
  <c r="I48" i="30" s="1"/>
  <c r="B48" i="32" s="1"/>
  <c r="X14" i="33"/>
  <c r="P30" i="31" s="1"/>
  <c r="P31" i="31" s="1"/>
  <c r="M17" i="30"/>
  <c r="J32" i="30"/>
  <c r="I32" i="30" s="1"/>
  <c r="B32" i="32" s="1"/>
  <c r="M12" i="30"/>
  <c r="C28" i="30"/>
  <c r="J29" i="30"/>
  <c r="I29" i="30" s="1"/>
  <c r="B29" i="32" s="1"/>
  <c r="M13" i="30"/>
  <c r="J12" i="30"/>
  <c r="I12" i="30" s="1"/>
  <c r="B12" i="32" s="1"/>
  <c r="X17" i="33"/>
  <c r="H25" i="31" s="1"/>
  <c r="H26" i="31" s="1"/>
  <c r="J26" i="31" s="1"/>
  <c r="J37" i="30"/>
  <c r="I37" i="30" s="1"/>
  <c r="B37" i="32" s="1"/>
  <c r="J11" i="30"/>
  <c r="I11" i="30" s="1"/>
  <c r="B11" i="32" s="1"/>
  <c r="J10" i="30"/>
  <c r="I10" i="30" s="1"/>
  <c r="B10" i="32" s="1"/>
  <c r="J16" i="30"/>
  <c r="I16" i="30" s="1"/>
  <c r="B16" i="32" s="1"/>
  <c r="J21" i="30"/>
  <c r="I21" i="30" s="1"/>
  <c r="B21" i="32" s="1"/>
  <c r="J13" i="30"/>
  <c r="I13" i="30" s="1"/>
  <c r="B13" i="32" s="1"/>
  <c r="J8" i="30"/>
  <c r="I8" i="30" s="1"/>
  <c r="B8" i="32" s="1"/>
  <c r="J14" i="30"/>
  <c r="I14" i="30" s="1"/>
  <c r="B14" i="32" s="1"/>
  <c r="AQ50" i="1" l="1"/>
  <c r="BF50" i="1" s="1"/>
  <c r="Z50" i="1"/>
  <c r="AA50" i="1" s="1"/>
  <c r="AQ49" i="1"/>
  <c r="BF49" i="1" s="1"/>
  <c r="Z49" i="1"/>
  <c r="AA49" i="1" s="1"/>
  <c r="AQ48" i="1"/>
  <c r="BF48" i="1" s="1"/>
  <c r="Z48" i="1"/>
  <c r="AA48" i="1" s="1"/>
  <c r="AQ47" i="1"/>
  <c r="BF47" i="1" s="1"/>
  <c r="Z47" i="1"/>
  <c r="AA47" i="1" s="1"/>
  <c r="AQ46" i="1"/>
  <c r="BF46" i="1" s="1"/>
  <c r="Z46" i="1"/>
  <c r="AA46" i="1" s="1"/>
  <c r="AQ45" i="1"/>
  <c r="BF45" i="1" s="1"/>
  <c r="Z45" i="1"/>
  <c r="AA45" i="1" s="1"/>
  <c r="AQ44" i="1"/>
  <c r="BF44" i="1" s="1"/>
  <c r="Z44" i="1"/>
  <c r="AA44" i="1" s="1"/>
  <c r="Z43" i="1"/>
  <c r="AA43" i="1" s="1"/>
  <c r="AQ43" i="1"/>
  <c r="BF43" i="1" s="1"/>
  <c r="Z42" i="1"/>
  <c r="AA42" i="1" s="1"/>
  <c r="AQ42" i="1"/>
  <c r="BF42" i="1" s="1"/>
  <c r="AQ41" i="1"/>
  <c r="BF41" i="1" s="1"/>
  <c r="Z41" i="1"/>
  <c r="AA41" i="1" s="1"/>
  <c r="AQ40" i="1"/>
  <c r="BF40" i="1" s="1"/>
  <c r="Z40" i="1"/>
  <c r="AA40" i="1" s="1"/>
  <c r="AQ39" i="1"/>
  <c r="BF39" i="1" s="1"/>
  <c r="Z39" i="1"/>
  <c r="AA39" i="1" s="1"/>
  <c r="AQ38" i="1"/>
  <c r="BF38" i="1" s="1"/>
  <c r="Z38" i="1"/>
  <c r="AA38" i="1" s="1"/>
  <c r="AQ37" i="1"/>
  <c r="BF37" i="1" s="1"/>
  <c r="Z37" i="1"/>
  <c r="AA37" i="1" s="1"/>
  <c r="AQ36" i="1"/>
  <c r="BF36" i="1" s="1"/>
  <c r="Z36" i="1"/>
  <c r="AA36" i="1" s="1"/>
  <c r="AQ35" i="1"/>
  <c r="BF35" i="1" s="1"/>
  <c r="Z35" i="1"/>
  <c r="AA35" i="1" s="1"/>
  <c r="Z34" i="1"/>
  <c r="AA34" i="1" s="1"/>
  <c r="AQ34" i="1"/>
  <c r="BF34" i="1" s="1"/>
  <c r="Z33" i="1"/>
  <c r="AA33" i="1" s="1"/>
  <c r="AQ33" i="1"/>
  <c r="BF33" i="1" s="1"/>
  <c r="AQ32" i="1"/>
  <c r="BF32" i="1" s="1"/>
  <c r="Z32" i="1"/>
  <c r="AA32" i="1" s="1"/>
  <c r="AQ31" i="1"/>
  <c r="BF31" i="1" s="1"/>
  <c r="Z31" i="1"/>
  <c r="AA31" i="1" s="1"/>
  <c r="AQ30" i="1"/>
  <c r="BF30" i="1" s="1"/>
  <c r="Z30" i="1"/>
  <c r="AA30" i="1" s="1"/>
  <c r="AQ29" i="1"/>
  <c r="BF29" i="1" s="1"/>
  <c r="Z29" i="1"/>
  <c r="AA29" i="1" s="1"/>
  <c r="AQ28" i="1"/>
  <c r="BF28" i="1" s="1"/>
  <c r="Z28" i="1"/>
  <c r="AA28" i="1" s="1"/>
  <c r="Z27" i="1"/>
  <c r="AA27" i="1" s="1"/>
  <c r="AQ27" i="1"/>
  <c r="BF27" i="1" s="1"/>
  <c r="Z26" i="1"/>
  <c r="AA26" i="1" s="1"/>
  <c r="AQ26" i="1"/>
  <c r="BF26" i="1" s="1"/>
  <c r="Z25" i="1"/>
  <c r="AA25" i="1" s="1"/>
  <c r="AQ25" i="1"/>
  <c r="BF25" i="1" s="1"/>
  <c r="Z24" i="1"/>
  <c r="AA24" i="1" s="1"/>
  <c r="AQ24" i="1"/>
  <c r="BF24" i="1" s="1"/>
  <c r="Z23" i="1"/>
  <c r="AA23" i="1" s="1"/>
  <c r="AQ23" i="1"/>
  <c r="BF23" i="1" s="1"/>
  <c r="AQ22" i="1"/>
  <c r="BF22" i="1" s="1"/>
  <c r="Z22" i="1"/>
  <c r="AA22" i="1" s="1"/>
  <c r="Z21" i="1"/>
  <c r="AA21" i="1" s="1"/>
  <c r="AQ21" i="1"/>
  <c r="BF21" i="1" s="1"/>
  <c r="Z20" i="1"/>
  <c r="AA20" i="1" s="1"/>
  <c r="AQ20" i="1"/>
  <c r="BF20" i="1" s="1"/>
  <c r="AQ19" i="1"/>
  <c r="BF19" i="1" s="1"/>
  <c r="Z19" i="1"/>
  <c r="AA19" i="1" s="1"/>
  <c r="AQ18" i="1"/>
  <c r="BF18" i="1" s="1"/>
  <c r="Z18" i="1"/>
  <c r="AA18" i="1" s="1"/>
  <c r="AQ17" i="1"/>
  <c r="BF17" i="1" s="1"/>
  <c r="Z17" i="1"/>
  <c r="AA17" i="1" s="1"/>
  <c r="AQ16" i="1"/>
  <c r="BF16" i="1" s="1"/>
  <c r="Z16" i="1"/>
  <c r="AA16" i="1" s="1"/>
  <c r="Z15" i="1"/>
  <c r="AA15" i="1" s="1"/>
  <c r="AQ15" i="1"/>
  <c r="BF15" i="1" s="1"/>
  <c r="Z14" i="1"/>
  <c r="AA14" i="1" s="1"/>
  <c r="AQ14" i="1"/>
  <c r="BF14" i="1" s="1"/>
  <c r="AQ13" i="1"/>
  <c r="BF13" i="1" s="1"/>
  <c r="Z13" i="1"/>
  <c r="AA13" i="1" s="1"/>
  <c r="Z12" i="1"/>
  <c r="AA12" i="1" s="1"/>
  <c r="AQ12" i="1"/>
  <c r="BF12" i="1" s="1"/>
  <c r="AQ11" i="1"/>
  <c r="BF11" i="1" s="1"/>
  <c r="Z11" i="1"/>
  <c r="AA11" i="1" s="1"/>
  <c r="U6" i="30"/>
  <c r="B6" i="31" s="1"/>
  <c r="B8" i="31" s="1"/>
  <c r="C8" i="31" s="1"/>
  <c r="N6" i="30"/>
  <c r="J6" i="31" s="1"/>
  <c r="J8" i="31" s="1"/>
  <c r="K8" i="31" s="1"/>
  <c r="L16" i="32"/>
  <c r="S16" i="32" s="1"/>
  <c r="L17" i="32"/>
  <c r="L12" i="32"/>
  <c r="B28" i="32"/>
  <c r="L13" i="32"/>
  <c r="Q6" i="30"/>
  <c r="N6" i="31" s="1"/>
  <c r="N8" i="31" s="1"/>
  <c r="O8" i="31" s="1"/>
  <c r="K6" i="30"/>
  <c r="F6" i="31" s="1"/>
  <c r="F8" i="31" s="1"/>
  <c r="G8" i="31" s="1"/>
  <c r="BG50" i="1" l="1"/>
  <c r="BH50" i="1" s="1"/>
  <c r="AB50" i="1"/>
  <c r="Y234" i="33"/>
  <c r="Y235" i="33"/>
  <c r="Y236" i="33"/>
  <c r="Y237" i="33"/>
  <c r="Y19" i="33" s="1"/>
  <c r="Y238" i="33"/>
  <c r="Y239" i="33"/>
  <c r="Y240" i="33"/>
  <c r="BG49" i="1"/>
  <c r="BH49" i="1" s="1"/>
  <c r="Y228" i="33"/>
  <c r="Y229" i="33"/>
  <c r="Y230" i="33"/>
  <c r="Y231" i="33"/>
  <c r="Y232" i="33"/>
  <c r="Y233" i="33"/>
  <c r="AB49" i="1"/>
  <c r="BG48" i="1"/>
  <c r="BH48" i="1" s="1"/>
  <c r="Y225" i="33"/>
  <c r="Y226" i="33"/>
  <c r="Y10" i="33" s="1"/>
  <c r="Y227" i="33"/>
  <c r="AB48" i="1"/>
  <c r="BG47" i="1"/>
  <c r="BH47" i="1" s="1"/>
  <c r="F224" i="33" s="1"/>
  <c r="AB47" i="1"/>
  <c r="Y224" i="33"/>
  <c r="Y7" i="33" s="1"/>
  <c r="BG46" i="1"/>
  <c r="BH46" i="1" s="1"/>
  <c r="Y214" i="33"/>
  <c r="Y215" i="33"/>
  <c r="J45" i="32" s="1"/>
  <c r="I45" i="32" s="1"/>
  <c r="Y216" i="33"/>
  <c r="C48" i="32" s="1"/>
  <c r="Y217" i="33"/>
  <c r="Y16" i="33" s="1"/>
  <c r="Y218" i="33"/>
  <c r="Y219" i="33"/>
  <c r="Y220" i="33"/>
  <c r="Y221" i="33"/>
  <c r="Y222" i="33"/>
  <c r="Y223" i="33"/>
  <c r="AB46" i="1"/>
  <c r="BG45" i="1"/>
  <c r="BH45" i="1" s="1"/>
  <c r="Y206" i="33"/>
  <c r="Y207" i="33"/>
  <c r="Y208" i="33"/>
  <c r="Y209" i="33"/>
  <c r="Y210" i="33"/>
  <c r="Y211" i="33"/>
  <c r="Y212" i="33"/>
  <c r="Y213" i="33"/>
  <c r="AB45" i="1"/>
  <c r="BG44" i="1"/>
  <c r="BH44" i="1" s="1"/>
  <c r="Y200" i="33"/>
  <c r="Y201" i="33"/>
  <c r="C32" i="32" s="1"/>
  <c r="Y202" i="33"/>
  <c r="Y203" i="33"/>
  <c r="Y204" i="33"/>
  <c r="Y205" i="33"/>
  <c r="AB44" i="1"/>
  <c r="BG43" i="1"/>
  <c r="BH43" i="1" s="1"/>
  <c r="Y196" i="33"/>
  <c r="Y197" i="33"/>
  <c r="Y198" i="33"/>
  <c r="Y199" i="33"/>
  <c r="AB43" i="1"/>
  <c r="BG42" i="1"/>
  <c r="BH42" i="1" s="1"/>
  <c r="Y193" i="33"/>
  <c r="Y194" i="33"/>
  <c r="Y195" i="33"/>
  <c r="AB42" i="1"/>
  <c r="BG41" i="1"/>
  <c r="BH41" i="1" s="1"/>
  <c r="F192" i="33" s="1"/>
  <c r="Y192" i="33"/>
  <c r="AB41" i="1"/>
  <c r="BG40" i="1"/>
  <c r="BH40" i="1" s="1"/>
  <c r="Y181" i="33"/>
  <c r="Y182" i="33"/>
  <c r="Y183" i="33"/>
  <c r="Y184" i="33"/>
  <c r="Y185" i="33"/>
  <c r="Y186" i="33"/>
  <c r="Y187" i="33"/>
  <c r="Y12" i="33" s="1"/>
  <c r="Y188" i="33"/>
  <c r="Y189" i="33"/>
  <c r="Y190" i="33"/>
  <c r="Y191" i="33"/>
  <c r="AB40" i="1"/>
  <c r="BG39" i="1"/>
  <c r="BH39" i="1" s="1"/>
  <c r="Y173" i="33"/>
  <c r="Y174" i="33"/>
  <c r="Y175" i="33"/>
  <c r="Y176" i="33"/>
  <c r="Y177" i="33"/>
  <c r="Y178" i="33"/>
  <c r="Y179" i="33"/>
  <c r="Y180" i="33"/>
  <c r="J34" i="32" s="1"/>
  <c r="I34" i="32" s="1"/>
  <c r="AB39" i="1"/>
  <c r="BG38" i="1"/>
  <c r="BH38" i="1" s="1"/>
  <c r="Y167" i="33"/>
  <c r="M15" i="32" s="1"/>
  <c r="Y168" i="33"/>
  <c r="Y169" i="33"/>
  <c r="Y170" i="33"/>
  <c r="Y13" i="33" s="1"/>
  <c r="Y171" i="33"/>
  <c r="Y172" i="33"/>
  <c r="AB38" i="1"/>
  <c r="BG37" i="1"/>
  <c r="BH37" i="1" s="1"/>
  <c r="Y163" i="33"/>
  <c r="Y164" i="33"/>
  <c r="Y165" i="33"/>
  <c r="Y166" i="33"/>
  <c r="AB37" i="1"/>
  <c r="BG36" i="1"/>
  <c r="BH36" i="1" s="1"/>
  <c r="Y159" i="33"/>
  <c r="Y160" i="33"/>
  <c r="Y161" i="33"/>
  <c r="Y162" i="33"/>
  <c r="AB36" i="1"/>
  <c r="BG35" i="1"/>
  <c r="BH35" i="1" s="1"/>
  <c r="F158" i="33" s="1"/>
  <c r="Y158" i="33"/>
  <c r="AB35" i="1"/>
  <c r="BG34" i="1"/>
  <c r="BH34" i="1" s="1"/>
  <c r="Y148" i="33"/>
  <c r="T12" i="32" s="1"/>
  <c r="S12" i="32" s="1"/>
  <c r="Y149" i="33"/>
  <c r="Y150" i="33"/>
  <c r="Y151" i="33"/>
  <c r="Y152" i="33"/>
  <c r="Y153" i="33"/>
  <c r="Y154" i="33"/>
  <c r="Y155" i="33"/>
  <c r="Y156" i="33"/>
  <c r="Y157" i="33"/>
  <c r="AB34" i="1"/>
  <c r="BG33" i="1"/>
  <c r="BH33" i="1" s="1"/>
  <c r="Y140" i="33"/>
  <c r="Y141" i="33"/>
  <c r="Y142" i="33"/>
  <c r="Y143" i="33"/>
  <c r="Y144" i="33"/>
  <c r="Y145" i="33"/>
  <c r="Y146" i="33"/>
  <c r="Y147" i="33"/>
  <c r="AB33" i="1"/>
  <c r="BG32" i="1"/>
  <c r="BH32" i="1" s="1"/>
  <c r="Y134" i="33"/>
  <c r="Y135" i="33"/>
  <c r="Y136" i="33"/>
  <c r="Y137" i="33"/>
  <c r="Y138" i="33"/>
  <c r="Y139" i="33"/>
  <c r="AB32" i="1"/>
  <c r="BG31" i="1"/>
  <c r="BH31" i="1" s="1"/>
  <c r="Y130" i="33"/>
  <c r="Y131" i="33"/>
  <c r="Y132" i="33"/>
  <c r="Y133" i="33"/>
  <c r="AB31" i="1"/>
  <c r="BG30" i="1"/>
  <c r="BH30" i="1" s="1"/>
  <c r="Y126" i="33"/>
  <c r="Y127" i="33"/>
  <c r="C38" i="32" s="1"/>
  <c r="Y128" i="33"/>
  <c r="Y129" i="33"/>
  <c r="AB30" i="1"/>
  <c r="BG29" i="1"/>
  <c r="BH29" i="1" s="1"/>
  <c r="F125" i="33" s="1"/>
  <c r="Y125" i="33"/>
  <c r="AB29" i="1"/>
  <c r="BG28" i="1"/>
  <c r="BH28" i="1" s="1"/>
  <c r="Y115" i="33"/>
  <c r="C25" i="32" s="1"/>
  <c r="Y116" i="33"/>
  <c r="Y117" i="33"/>
  <c r="C29" i="32" s="1"/>
  <c r="Y118" i="33"/>
  <c r="Y119" i="33"/>
  <c r="Y120" i="33"/>
  <c r="Y121" i="33"/>
  <c r="Y122" i="33"/>
  <c r="Y123" i="33"/>
  <c r="Y124" i="33"/>
  <c r="AB28" i="1"/>
  <c r="BG27" i="1"/>
  <c r="BH27" i="1" s="1"/>
  <c r="Y106" i="33"/>
  <c r="Y107" i="33"/>
  <c r="C27" i="32" s="1"/>
  <c r="Y108" i="33"/>
  <c r="Y109" i="33"/>
  <c r="Y110" i="33"/>
  <c r="Y111" i="33"/>
  <c r="Y112" i="33"/>
  <c r="Y113" i="33"/>
  <c r="Y114" i="33"/>
  <c r="AB27" i="1"/>
  <c r="BG26" i="1"/>
  <c r="BH26" i="1" s="1"/>
  <c r="Y100" i="33"/>
  <c r="Y101" i="33"/>
  <c r="Y102" i="33"/>
  <c r="Y103" i="33"/>
  <c r="Y104" i="33"/>
  <c r="Y105" i="33"/>
  <c r="AB26" i="1"/>
  <c r="BG25" i="1"/>
  <c r="BH25" i="1" s="1"/>
  <c r="Y96" i="33"/>
  <c r="J27" i="32" s="1"/>
  <c r="I27" i="32" s="1"/>
  <c r="Y97" i="33"/>
  <c r="Y98" i="33"/>
  <c r="Y99" i="33"/>
  <c r="AB25" i="1"/>
  <c r="BG24" i="1"/>
  <c r="BH24" i="1" s="1"/>
  <c r="Y92" i="33"/>
  <c r="J26" i="32" s="1"/>
  <c r="I26" i="32" s="1"/>
  <c r="Y93" i="33"/>
  <c r="Y94" i="33"/>
  <c r="Y95" i="33"/>
  <c r="AB24" i="1"/>
  <c r="BG23" i="1"/>
  <c r="BH23" i="1" s="1"/>
  <c r="F91" i="33" s="1"/>
  <c r="Y91" i="33"/>
  <c r="AB23" i="1"/>
  <c r="BG22" i="1"/>
  <c r="BH22" i="1" s="1"/>
  <c r="Y81" i="33"/>
  <c r="Y82" i="33"/>
  <c r="Y83" i="33"/>
  <c r="Y84" i="33"/>
  <c r="Y85" i="33"/>
  <c r="Y86" i="33"/>
  <c r="Y9" i="33" s="1"/>
  <c r="Y87" i="33"/>
  <c r="Y88" i="33"/>
  <c r="Y89" i="33"/>
  <c r="Y90" i="33"/>
  <c r="AB22" i="1"/>
  <c r="BG21" i="1"/>
  <c r="BH21" i="1" s="1"/>
  <c r="Y72" i="33"/>
  <c r="Y73" i="33"/>
  <c r="Y74" i="33"/>
  <c r="Y75" i="33"/>
  <c r="Y76" i="33"/>
  <c r="Y77" i="33"/>
  <c r="Y78" i="33"/>
  <c r="Y79" i="33"/>
  <c r="Y80" i="33"/>
  <c r="AB21" i="1"/>
  <c r="BG20" i="1"/>
  <c r="BH20" i="1" s="1"/>
  <c r="Y65" i="33"/>
  <c r="Y66" i="33"/>
  <c r="Y67" i="33"/>
  <c r="Y68" i="33"/>
  <c r="Y69" i="33"/>
  <c r="Y70" i="33"/>
  <c r="Y71" i="33"/>
  <c r="AB20" i="1"/>
  <c r="BG19" i="1"/>
  <c r="BH19" i="1" s="1"/>
  <c r="Y61" i="33"/>
  <c r="Y62" i="33"/>
  <c r="Y63" i="33"/>
  <c r="Y64" i="33"/>
  <c r="AB19" i="1"/>
  <c r="BG18" i="1"/>
  <c r="BH18" i="1" s="1"/>
  <c r="Y58" i="33"/>
  <c r="Y59" i="33"/>
  <c r="Y15" i="33" s="1"/>
  <c r="Y60" i="33"/>
  <c r="AB18" i="1"/>
  <c r="BG17" i="1"/>
  <c r="BH17" i="1" s="1"/>
  <c r="F57" i="33" s="1"/>
  <c r="Y57" i="33"/>
  <c r="AB17" i="1"/>
  <c r="BG16" i="1"/>
  <c r="BH16" i="1" s="1"/>
  <c r="Y47" i="33"/>
  <c r="Y48" i="33"/>
  <c r="Y49" i="33"/>
  <c r="Y50" i="33"/>
  <c r="Y51" i="33"/>
  <c r="C15" i="32" s="1"/>
  <c r="Y52" i="33"/>
  <c r="Y8" i="33" s="1"/>
  <c r="Y53" i="33"/>
  <c r="Y54" i="33"/>
  <c r="Y55" i="33"/>
  <c r="Y56" i="33"/>
  <c r="AB16" i="1"/>
  <c r="BG15" i="1"/>
  <c r="BH15" i="1" s="1"/>
  <c r="Y39" i="33"/>
  <c r="Y40" i="33"/>
  <c r="Y41" i="33"/>
  <c r="Y42" i="33"/>
  <c r="Y43" i="33"/>
  <c r="Y44" i="33"/>
  <c r="Y45" i="33"/>
  <c r="Y46" i="33"/>
  <c r="AB15" i="1"/>
  <c r="BG14" i="1"/>
  <c r="BH14" i="1" s="1"/>
  <c r="Y33" i="33"/>
  <c r="J15" i="32" s="1"/>
  <c r="I15" i="32" s="1"/>
  <c r="Y34" i="33"/>
  <c r="Y35" i="33"/>
  <c r="Y36" i="33"/>
  <c r="Y37" i="33"/>
  <c r="Y38" i="33"/>
  <c r="AB14" i="1"/>
  <c r="BG13" i="1"/>
  <c r="BH13" i="1" s="1"/>
  <c r="Y29" i="33"/>
  <c r="Y30" i="33"/>
  <c r="Y31" i="33"/>
  <c r="J9" i="32" s="1"/>
  <c r="I9" i="32" s="1"/>
  <c r="Y32" i="33"/>
  <c r="AB13" i="1"/>
  <c r="BG12" i="1"/>
  <c r="BH12" i="1" s="1"/>
  <c r="Y26" i="33"/>
  <c r="Y27" i="33"/>
  <c r="J19" i="32" s="1"/>
  <c r="I19" i="32" s="1"/>
  <c r="Y28" i="33"/>
  <c r="AB12" i="1"/>
  <c r="BG11" i="1"/>
  <c r="BH11" i="1" s="1"/>
  <c r="F25" i="33" s="1"/>
  <c r="Y25" i="33"/>
  <c r="AB11" i="1"/>
  <c r="C23" i="32" l="1"/>
  <c r="J14" i="32"/>
  <c r="I14" i="32" s="1"/>
  <c r="Y11" i="33"/>
  <c r="T17" i="32"/>
  <c r="S17" i="32" s="1"/>
  <c r="C26" i="32"/>
  <c r="J23" i="32"/>
  <c r="I23" i="32" s="1"/>
  <c r="J49" i="32"/>
  <c r="I49" i="32" s="1"/>
  <c r="J8" i="32"/>
  <c r="I8" i="32" s="1"/>
  <c r="J21" i="32"/>
  <c r="I21" i="32" s="1"/>
  <c r="J38" i="32"/>
  <c r="I38" i="32" s="1"/>
  <c r="T11" i="32"/>
  <c r="S11" i="32" s="1"/>
  <c r="M11" i="32"/>
  <c r="M16" i="32"/>
  <c r="J36" i="32"/>
  <c r="I36" i="32" s="1"/>
  <c r="J28" i="32"/>
  <c r="I28" i="32" s="1"/>
  <c r="J16" i="32"/>
  <c r="I16" i="32" s="1"/>
  <c r="J11" i="32"/>
  <c r="I11" i="32" s="1"/>
  <c r="F234" i="33"/>
  <c r="F235" i="33"/>
  <c r="F236" i="33"/>
  <c r="F237" i="33"/>
  <c r="F238" i="33"/>
  <c r="F239" i="33"/>
  <c r="F240" i="33"/>
  <c r="F228" i="33"/>
  <c r="F229" i="33"/>
  <c r="F230" i="33"/>
  <c r="F231" i="33"/>
  <c r="F232" i="33"/>
  <c r="F233" i="33"/>
  <c r="F225" i="33"/>
  <c r="F226" i="33"/>
  <c r="F227" i="33"/>
  <c r="F214" i="33"/>
  <c r="F215" i="33"/>
  <c r="F216" i="33"/>
  <c r="F217" i="33"/>
  <c r="F218" i="33"/>
  <c r="F219" i="33"/>
  <c r="F220" i="33"/>
  <c r="F221" i="33"/>
  <c r="F222" i="33"/>
  <c r="F223" i="33"/>
  <c r="F206" i="33"/>
  <c r="F207" i="33"/>
  <c r="F208" i="33"/>
  <c r="F209" i="33"/>
  <c r="F210" i="33"/>
  <c r="F211" i="33"/>
  <c r="F212" i="33"/>
  <c r="F213" i="33"/>
  <c r="F200" i="33"/>
  <c r="F201" i="33"/>
  <c r="F202" i="33"/>
  <c r="F203" i="33"/>
  <c r="F204" i="33"/>
  <c r="F205" i="33"/>
  <c r="F196" i="33"/>
  <c r="F197" i="33"/>
  <c r="F198" i="33"/>
  <c r="F199" i="33"/>
  <c r="F193" i="33"/>
  <c r="F194" i="33"/>
  <c r="F195" i="33"/>
  <c r="F181" i="33"/>
  <c r="F182" i="33"/>
  <c r="F183" i="33"/>
  <c r="F184" i="33"/>
  <c r="F185" i="33"/>
  <c r="F186" i="33"/>
  <c r="F187" i="33"/>
  <c r="F188" i="33"/>
  <c r="F189" i="33"/>
  <c r="F190" i="33"/>
  <c r="F191" i="33"/>
  <c r="F173" i="33"/>
  <c r="F174" i="33"/>
  <c r="F175" i="33"/>
  <c r="F176" i="33"/>
  <c r="F177" i="33"/>
  <c r="F178" i="33"/>
  <c r="F179" i="33"/>
  <c r="F180" i="33"/>
  <c r="F167" i="33"/>
  <c r="F168" i="33"/>
  <c r="F169" i="33"/>
  <c r="F170" i="33"/>
  <c r="F171" i="33"/>
  <c r="F172" i="33"/>
  <c r="F163" i="33"/>
  <c r="F164" i="33"/>
  <c r="F165" i="33"/>
  <c r="F166" i="33"/>
  <c r="F159" i="33"/>
  <c r="F160" i="33"/>
  <c r="F161" i="33"/>
  <c r="F162" i="33"/>
  <c r="F148" i="33"/>
  <c r="F149" i="33"/>
  <c r="F150" i="33"/>
  <c r="F151" i="33"/>
  <c r="F152" i="33"/>
  <c r="F153" i="33"/>
  <c r="F154" i="33"/>
  <c r="F155" i="33"/>
  <c r="F156" i="33"/>
  <c r="F157" i="33"/>
  <c r="F140" i="33"/>
  <c r="F141" i="33"/>
  <c r="F142" i="33"/>
  <c r="F143" i="33"/>
  <c r="F144" i="33"/>
  <c r="F145" i="33"/>
  <c r="F146" i="33"/>
  <c r="F147" i="33"/>
  <c r="F134" i="33"/>
  <c r="F135" i="33"/>
  <c r="F136" i="33"/>
  <c r="F137" i="33"/>
  <c r="F138" i="33"/>
  <c r="F139" i="33"/>
  <c r="F130" i="33"/>
  <c r="F131" i="33"/>
  <c r="F132" i="33"/>
  <c r="F133" i="33"/>
  <c r="F126" i="33"/>
  <c r="F127" i="33"/>
  <c r="F128" i="33"/>
  <c r="F129" i="33"/>
  <c r="F115" i="33"/>
  <c r="F116" i="33"/>
  <c r="F117" i="33"/>
  <c r="F118" i="33"/>
  <c r="F119" i="33"/>
  <c r="F120" i="33"/>
  <c r="F121" i="33"/>
  <c r="F122" i="33"/>
  <c r="F123" i="33"/>
  <c r="F124" i="33"/>
  <c r="F106" i="33"/>
  <c r="F107" i="33"/>
  <c r="F108" i="33"/>
  <c r="F109" i="33"/>
  <c r="F110" i="33"/>
  <c r="F111" i="33"/>
  <c r="F112" i="33"/>
  <c r="F113" i="33"/>
  <c r="F114" i="33"/>
  <c r="F100" i="33"/>
  <c r="F101" i="33"/>
  <c r="F102" i="33"/>
  <c r="F103" i="33"/>
  <c r="F104" i="33"/>
  <c r="F105" i="33"/>
  <c r="F96" i="33"/>
  <c r="F97" i="33"/>
  <c r="F98" i="33"/>
  <c r="F99" i="33"/>
  <c r="F92" i="33"/>
  <c r="F93" i="33"/>
  <c r="F94" i="33"/>
  <c r="F95" i="33"/>
  <c r="F81" i="33"/>
  <c r="F82" i="33"/>
  <c r="F83" i="33"/>
  <c r="F84" i="33"/>
  <c r="F85" i="33"/>
  <c r="F86" i="33"/>
  <c r="F87" i="33"/>
  <c r="F88" i="33"/>
  <c r="F89" i="33"/>
  <c r="F90" i="33"/>
  <c r="F72" i="33"/>
  <c r="F73" i="33"/>
  <c r="F74" i="33"/>
  <c r="F75" i="33"/>
  <c r="F76" i="33"/>
  <c r="F77" i="33"/>
  <c r="F78" i="33"/>
  <c r="F79" i="33"/>
  <c r="F80" i="33"/>
  <c r="F65" i="33"/>
  <c r="F66" i="33"/>
  <c r="F67" i="33"/>
  <c r="F68" i="33"/>
  <c r="F69" i="33"/>
  <c r="F70" i="33"/>
  <c r="F71" i="33"/>
  <c r="F61" i="33"/>
  <c r="F62" i="33"/>
  <c r="F63" i="33"/>
  <c r="F64" i="33"/>
  <c r="F58" i="33"/>
  <c r="F59" i="33"/>
  <c r="F60" i="33"/>
  <c r="F47" i="33"/>
  <c r="F48" i="33"/>
  <c r="F49" i="33"/>
  <c r="F50" i="33"/>
  <c r="F51" i="33"/>
  <c r="F52" i="33"/>
  <c r="F53" i="33"/>
  <c r="F54" i="33"/>
  <c r="F55" i="33"/>
  <c r="F56" i="33"/>
  <c r="F39" i="33"/>
  <c r="F40" i="33"/>
  <c r="F41" i="33"/>
  <c r="F42" i="33"/>
  <c r="F43" i="33"/>
  <c r="F44" i="33"/>
  <c r="F45" i="33"/>
  <c r="F46" i="33"/>
  <c r="F33" i="33"/>
  <c r="F34" i="33"/>
  <c r="F35" i="33"/>
  <c r="F36" i="33"/>
  <c r="F37" i="33"/>
  <c r="F38" i="33"/>
  <c r="F29" i="33"/>
  <c r="F30" i="33"/>
  <c r="F31" i="33"/>
  <c r="F32" i="33"/>
  <c r="F26" i="33"/>
  <c r="F27" i="33"/>
  <c r="F28" i="33"/>
  <c r="J51" i="32"/>
  <c r="I51" i="32" s="1"/>
  <c r="J39" i="32"/>
  <c r="I39" i="32" s="1"/>
  <c r="M18" i="32"/>
  <c r="Y18" i="33"/>
  <c r="J31" i="32"/>
  <c r="I31" i="32" s="1"/>
  <c r="J30" i="32"/>
  <c r="I30" i="32" s="1"/>
  <c r="J40" i="32"/>
  <c r="I40" i="32" s="1"/>
  <c r="T13" i="32"/>
  <c r="S13" i="32" s="1"/>
  <c r="M17" i="32"/>
  <c r="Y14" i="33"/>
  <c r="J48" i="32"/>
  <c r="I48" i="32" s="1"/>
  <c r="C28" i="32"/>
  <c r="M12" i="32"/>
  <c r="J32" i="32"/>
  <c r="I32" i="32" s="1"/>
  <c r="M13" i="32"/>
  <c r="J29" i="32"/>
  <c r="I29" i="32" s="1"/>
  <c r="J22" i="32"/>
  <c r="I22" i="32" s="1"/>
  <c r="J37" i="32"/>
  <c r="I37" i="32" s="1"/>
  <c r="Y17" i="33"/>
  <c r="J12" i="32"/>
  <c r="I12" i="32" s="1"/>
  <c r="J10" i="32"/>
  <c r="I10" i="32" s="1"/>
  <c r="J13" i="32"/>
  <c r="I13" i="32" s="1"/>
  <c r="Q6" i="32" l="1"/>
  <c r="U6" i="32"/>
  <c r="N6" i="32"/>
  <c r="K6" i="32"/>
</calcChain>
</file>

<file path=xl/sharedStrings.xml><?xml version="1.0" encoding="utf-8"?>
<sst xmlns="http://schemas.openxmlformats.org/spreadsheetml/2006/main" count="5218" uniqueCount="582">
  <si>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</si>
  <si>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</si>
  <si>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</si>
  <si>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</si>
  <si>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</si>
  <si>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</si>
  <si>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</si>
  <si>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</si>
  <si>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</si>
  <si>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</si>
  <si>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</si>
  <si>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</si>
  <si>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</si>
  <si>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</si>
  <si>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</si>
  <si>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</si>
  <si>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</si>
  <si>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</si>
  <si>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</si>
  <si>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</si>
  <si>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</si>
  <si>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</si>
  <si>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</si>
  <si>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</si>
  <si>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</si>
  <si>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</si>
  <si>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</si>
  <si>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</si>
  <si>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</si>
  <si>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</si>
  <si>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</si>
  <si>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</si>
  <si>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</si>
  <si>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</si>
  <si>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</si>
  <si>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</si>
  <si>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</si>
  <si>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</si>
  <si>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</si>
  <si>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</si>
  <si>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</si>
  <si>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</si>
  <si>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</si>
  <si>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</si>
  <si>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</si>
  <si>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</si>
  <si>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</si>
  <si>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</si>
  <si>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</si>
  <si>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</si>
  <si>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</si>
  <si>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</si>
  <si>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</si>
  <si>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</si>
  <si>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</si>
  <si>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</si>
  <si>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</si>
  <si>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</si>
  <si>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</si>
  <si>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</si>
  <si>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</si>
  <si>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</si>
  <si>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</si>
  <si>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</si>
  <si>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</si>
  <si>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</si>
  <si>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</si>
  <si>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</si>
  <si>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</si>
  <si>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</si>
  <si>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</si>
  <si>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</si>
  <si>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</si>
  <si>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</si>
  <si>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</si>
  <si>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</si>
  <si>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</si>
  <si>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</si>
  <si>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</si>
  <si>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</si>
  <si>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</si>
  <si>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</si>
  <si>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</si>
  <si>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</si>
  <si>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</si>
  <si>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</si>
  <si>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</si>
  <si>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</si>
  <si>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</si>
  <si>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</si>
  <si>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</si>
  <si>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</si>
  <si>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</si>
  <si>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</si>
  <si>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</si>
  <si>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</si>
  <si>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</si>
  <si>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</si>
  <si>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</si>
  <si>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</si>
  <si>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</si>
  <si>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</si>
  <si>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</si>
  <si>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</si>
  <si>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</si>
  <si>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</si>
  <si>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</si>
  <si>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</si>
  <si>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</si>
  <si>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</si>
  <si>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</si>
  <si>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</si>
  <si>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</si>
  <si>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</si>
  <si>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</si>
  <si>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</si>
  <si>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</si>
  <si>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</si>
  <si>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</si>
  <si>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</si>
  <si>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</si>
  <si>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</si>
  <si>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</si>
  <si>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</si>
  <si>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</si>
  <si>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</si>
  <si>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</si>
  <si>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</si>
  <si>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</si>
  <si>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</si>
  <si>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</si>
  <si>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</si>
  <si>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</si>
  <si>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</si>
  <si>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</si>
  <si>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</si>
  <si>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</si>
  <si>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</si>
  <si>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</si>
  <si>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</si>
  <si>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</si>
  <si>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</si>
  <si>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</si>
  <si>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</si>
  <si>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</si>
  <si>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</si>
  <si>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</si>
  <si>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</si>
  <si>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</si>
  <si>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</si>
  <si>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</si>
  <si>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</si>
  <si>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</si>
  <si>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</si>
  <si>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</si>
  <si>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</si>
  <si>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</si>
  <si>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</si>
  <si>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</si>
  <si>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</si>
  <si>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</si>
  <si>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</si>
  <si>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</si>
  <si>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</si>
  <si>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</si>
  <si>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</si>
  <si>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</si>
  <si>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</si>
  <si>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</si>
  <si>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</si>
  <si>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</si>
  <si>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</si>
  <si>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</si>
  <si>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</si>
  <si>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</si>
  <si>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</si>
  <si>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</si>
  <si>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</si>
  <si>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</si>
  <si>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</si>
  <si>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</si>
  <si>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</si>
  <si>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</si>
  <si>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</si>
  <si>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</si>
  <si>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</si>
  <si>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</si>
  <si>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</si>
  <si>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</si>
  <si>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</si>
  <si>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</si>
  <si>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</si>
  <si>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</si>
  <si>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</si>
  <si>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</si>
  <si>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</si>
  <si>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</si>
  <si>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</si>
  <si>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</si>
  <si>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</si>
  <si>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</si>
  <si>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</si>
  <si>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</si>
  <si>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</si>
  <si>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</si>
  <si>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</si>
  <si>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</si>
  <si>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</si>
  <si>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</si>
  <si>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</si>
  <si>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</si>
  <si>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</si>
  <si>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</si>
  <si>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</si>
  <si>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</si>
  <si>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</si>
  <si>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</si>
  <si>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</si>
  <si>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</si>
  <si>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</si>
  <si>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</si>
  <si>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</si>
  <si>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</si>
  <si>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</si>
  <si>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</si>
  <si>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</si>
  <si>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</si>
  <si>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</si>
  <si>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</si>
  <si>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</si>
  <si>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</si>
  <si>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</si>
  <si>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</si>
  <si>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</si>
  <si>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</si>
  <si>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</si>
  <si>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</si>
  <si>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</si>
  <si>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</si>
  <si>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</si>
  <si>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</si>
  <si>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</si>
  <si>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</si>
  <si>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</si>
  <si>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</si>
  <si>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</si>
  <si>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</si>
  <si>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</si>
  <si>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</si>
  <si>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</si>
  <si>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</si>
  <si>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</si>
  <si>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</si>
  <si>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</si>
  <si>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</si>
  <si>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</si>
  <si>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</si>
  <si>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</si>
  <si>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</si>
  <si>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</si>
  <si>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</si>
  <si>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</si>
  <si>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</si>
  <si>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</si>
  <si>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</si>
  <si>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</si>
  <si>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</si>
  <si>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</si>
  <si>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</si>
  <si>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</si>
  <si>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</si>
  <si>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</si>
  <si>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</si>
  <si>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</si>
  <si>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</si>
  <si>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</si>
  <si>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</si>
  <si>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</si>
  <si>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</si>
  <si>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</si>
  <si>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</si>
  <si>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</si>
  <si>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</si>
  <si>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</si>
  <si>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</si>
  <si>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</si>
  <si>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</si>
  <si>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</si>
  <si>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</si>
  <si>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</si>
  <si>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</si>
  <si>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</si>
  <si>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</si>
  <si>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</si>
  <si>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</si>
  <si>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</si>
  <si>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</si>
  <si>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</si>
  <si>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</si>
  <si>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</si>
  <si>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</si>
  <si>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</si>
  <si>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</si>
  <si>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</si>
  <si>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</si>
  <si>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</si>
  <si>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</si>
  <si>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</si>
  <si>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</si>
  <si>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</si>
  <si>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</si>
  <si>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</si>
  <si>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</si>
  <si>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</si>
  <si>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</si>
  <si>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</si>
  <si>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</si>
  <si>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</si>
  <si>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</si>
  <si>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</si>
  <si>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</si>
  <si>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</si>
  <si>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</si>
  <si>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</si>
  <si>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</si>
  <si>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</si>
  <si>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</si>
  <si>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</si>
  <si>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</si>
  <si>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</si>
  <si>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</si>
  <si>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</si>
  <si>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</si>
  <si>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</si>
  <si>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</si>
  <si>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</si>
  <si>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</si>
  <si>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</si>
  <si>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</si>
  <si>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</si>
  <si>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</si>
  <si>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</si>
  <si>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</si>
  <si>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</si>
  <si>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</si>
  <si>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</si>
  <si>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</si>
  <si>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</si>
  <si>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</si>
  <si>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</si>
  <si>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</si>
  <si>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</si>
  <si>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</si>
  <si>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</si>
  <si>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</si>
  <si>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</si>
  <si>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</si>
  <si>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</si>
  <si>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</si>
  <si>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</si>
  <si>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</si>
  <si>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</si>
  <si>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</si>
  <si>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</si>
  <si>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</si>
  <si>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</si>
  <si>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</si>
  <si>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</si>
  <si>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</si>
  <si>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</si>
  <si>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</si>
  <si>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</si>
  <si>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</si>
  <si>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</si>
  <si>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</si>
  <si>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</si>
  <si>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</si>
  <si>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</si>
  <si>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</si>
  <si>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</si>
  <si>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</si>
  <si>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</si>
  <si>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</si>
  <si>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</si>
  <si>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</si>
  <si>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</si>
  <si>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</si>
  <si>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</si>
  <si>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</si>
  <si>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</si>
  <si>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</si>
  <si>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</si>
  <si>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</si>
  <si>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</si>
  <si>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</si>
  <si>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</si>
  <si>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</si>
  <si>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</si>
  <si>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</si>
  <si>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</si>
  <si>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</si>
  <si>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</si>
  <si>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</si>
  <si>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</si>
  <si>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</si>
  <si>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</si>
  <si>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</si>
  <si>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</si>
  <si>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</si>
  <si>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</si>
  <si>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</si>
  <si>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</si>
  <si>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</si>
  <si>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</si>
  <si>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</si>
  <si>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</si>
  <si>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</si>
  <si>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</si>
  <si>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</si>
  <si>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</si>
  <si>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</si>
  <si>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</si>
  <si>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</si>
  <si>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</si>
  <si>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</si>
  <si>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</si>
  <si>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</si>
  <si>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</si>
  <si>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</si>
  <si>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</si>
  <si>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</si>
  <si>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</si>
  <si>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</si>
  <si>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</si>
  <si>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</si>
  <si>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</si>
  <si>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</si>
  <si>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</si>
  <si>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</si>
  <si>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</si>
  <si>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</si>
  <si>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</si>
  <si>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</si>
  <si>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</si>
  <si>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</si>
  <si>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</si>
  <si>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</si>
  <si>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</si>
  <si>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</si>
  <si>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</si>
  <si>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</si>
  <si>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</si>
  <si>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</si>
  <si>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</si>
  <si>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</si>
  <si>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</si>
  <si>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</si>
  <si>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</si>
  <si>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</si>
  <si>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</si>
  <si>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</si>
  <si>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</si>
  <si>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</si>
  <si>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</si>
  <si>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</si>
  <si>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</si>
  <si>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</si>
  <si>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</si>
  <si>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</si>
  <si>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</si>
  <si>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</si>
  <si>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</si>
  <si>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</si>
  <si>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</si>
  <si>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</si>
  <si>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</si>
  <si>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</si>
  <si>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</si>
  <si>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</si>
  <si>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</si>
  <si>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</si>
  <si>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</si>
  <si>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</si>
  <si>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</si>
  <si>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</si>
  <si>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</si>
  <si>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</si>
  <si>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</si>
  <si>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</si>
  <si>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</si>
  <si>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</si>
  <si>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</si>
  <si>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</si>
  <si>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</si>
  <si>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</si>
  <si>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</si>
  <si>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</si>
  <si>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</si>
  <si>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</si>
  <si>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</si>
  <si>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</si>
  <si>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</si>
  <si>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</si>
  <si>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</si>
  <si>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</si>
  <si>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</si>
  <si>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</si>
  <si>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</si>
  <si>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</si>
  <si>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</si>
  <si>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</si>
  <si>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</si>
  <si>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</si>
  <si>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</si>
  <si>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</si>
  <si>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</si>
  <si>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</si>
  <si>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</si>
  <si>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</si>
  <si>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</si>
  <si>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</si>
  <si>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</si>
  <si>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</si>
  <si>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</si>
  <si>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</si>
  <si>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</si>
  <si>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</si>
  <si>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</si>
  <si>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</si>
  <si>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</si>
  <si>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</si>
  <si>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</si>
  <si>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</si>
  <si>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ИНДОНЕЗИЯ — СОСТОЯНИЕ НА НАЧАЛО 2026 ГОДА</t>
  </si>
  <si>
    <t>Россия</t>
  </si>
  <si>
    <t>Положительные политические и торговые отношения, взаимодействие по линии Глобального Юга и многосторонних форматов.</t>
  </si>
  <si>
    <t>США</t>
  </si>
  <si>
    <t>Развитое стратегическое, экономическое и оборонное сотрудничество при сохранении внешнеполитической самостоятельности Индонезии.</t>
  </si>
  <si>
    <t>Китай</t>
  </si>
  <si>
    <t>Очень тесные торговые, инвестиционные и инфраструктурные связи при осторожном балансировании по вопросам Южно-Китайского моря.</t>
  </si>
  <si>
    <t>Индия</t>
  </si>
  <si>
    <t>Крупное стратегическое партнёрство в Индо-Тихоокеанском регионе, торговля, морская безопасность и взаимодействие стран Глобального Юга.</t>
  </si>
  <si>
    <t>Великобритания</t>
  </si>
  <si>
    <t>Положительные торговые, инвестиционные и политические отношения без тесного военно-политического союза.</t>
  </si>
  <si>
    <t>Франция</t>
  </si>
  <si>
    <t>Развивающиеся оборонные, технологические и экономические связи и растущее взаимодействие в Индо-Тихоокеанском регионе.</t>
  </si>
  <si>
    <t>Германия</t>
  </si>
  <si>
    <t>Положительные промышленные, инвестиционные и климатические связи, сотрудничество в энергетическом переходе.</t>
  </si>
  <si>
    <t>Япония</t>
  </si>
  <si>
    <t>Очень тесное стратегическое и экономическое партнёрство, крупные инфраструктурные инвестиции и многолетние промышленные связи.</t>
  </si>
  <si>
    <t>Южная Корея</t>
  </si>
  <si>
    <t>Стратегическое партнёрство, тесные промышленные, оборонные и инвестиционные связи.</t>
  </si>
  <si>
    <t>Турция</t>
  </si>
  <si>
    <t>Тесные политические и культурные связи, развивающееся оборонное, торговое и технологическое партнёрство.</t>
  </si>
  <si>
    <t>Саудовская Аравия</t>
  </si>
  <si>
    <t>Сильные религиозно-культурные, инвестиционные и торговые связи, взаимодействие в исламских международных институтах.</t>
  </si>
  <si>
    <t>Иран</t>
  </si>
  <si>
    <t>Положительные политические, торговые и религиозно-культурные отношения без тесного военно-политического союза.</t>
  </si>
  <si>
    <t>Израиль</t>
  </si>
  <si>
    <t>Полноценные дипломатические отношения отсутствуют; контакты ограничены прежде всего палестинским вопросом.</t>
  </si>
  <si>
    <t>Бразилия</t>
  </si>
  <si>
    <t>Позитивное взаимодействие крупных стран Глобального Юга, сотрудничество в G20, торговле и многосторонних форматах.</t>
  </si>
  <si>
    <t>ОАЭ</t>
  </si>
  <si>
    <t>Развитые политические, инвестиционные и экономические связи, включая инфраструктурные и цифровые проекты.</t>
  </si>
  <si>
    <t>Прочее</t>
  </si>
  <si>
    <t>Усреднённый нейтральный уровень для государств, не выделенных отдельной строкой.</t>
  </si>
  <si>
    <t>ИНДОНЕЗИЯ — СОСТОЯНИЕ НА НАЧАЛО 2027 ГОДА</t>
  </si>
  <si>
    <t>ИНДОНЕЗИЯ — СОСТОЯНИЕ НА НАЧАЛО 2028 ГОДА</t>
  </si>
  <si>
    <t>ИНДОНЕЗИЯ — СОСТОЯНИЕ НА НАЧАЛО 2029 ГОДА</t>
  </si>
  <si>
    <t>ИНДОНЕЗИЯ — СОСТОЯНИЕ НА НАЧАЛО 2030 ГОДА</t>
  </si>
  <si>
    <t>ИНДОНЕЗИЯ — СОСТОЯНИЕ НА НАЧАЛО 2031 ГОДА</t>
  </si>
  <si>
    <t>ИНДОНЕЗИЯ — СОСТОЯНИЕ НА НАЧАЛО 2032 ГОДА</t>
  </si>
  <si>
    <t>ИНДОНЕЗИЯ — СОСТОЯНИЕ НА НАЧАЛО 2033 ГОДА</t>
  </si>
  <si>
    <t>ИНДОНЕЗИЯ — СОСТОЯНИЕ НА НАЧАЛО 2034 ГОДА</t>
  </si>
  <si>
    <t>ИНДОНЕЗИЯ — СОСТОЯНИЕ НА НАЧАЛО 2035 ГОДА</t>
  </si>
  <si>
    <t>ИНДОНЕЗИЯ — СОСТОЯНИЕ НА НАЧАЛО 2036 ГОДА</t>
  </si>
  <si>
    <t>ИНДОНЕЗИЯ — СОСТОЯНИЕ НА НАЧАЛО 2037 ГОДА</t>
  </si>
  <si>
    <t>ИНДОНЕЗИЯ — СОСТОЯНИЕ НА НАЧАЛО 2038 ГОДА</t>
  </si>
  <si>
    <t>ИНДОНЕЗИЯ — СОСТОЯНИЕ НА НАЧАЛО 2039 ГОДА</t>
  </si>
  <si>
    <t>ИНДОНЕЗИЯ — СОСТОЯНИЕ НА НАЧАЛО 2040 ГОДА</t>
  </si>
  <si>
    <t>ИНДОНЕЗИЯ — СОСТОЯНИЕ НА КОНЕЦ 2040 ГОДА</t>
  </si>
  <si>
    <t>На листах Индонезии вклад науки показан отдельно, а приростные эффекты учитываются в базовом годовом приросте.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</si>
</sst>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opLeftCell="A12" zoomScale="70" zoomScaleNormal="70" workbookViewId="0">
      <selection activeCell="A14" sqref="A14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6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60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 ht="15">
      <c r="A5" s="31" t="s">
        <v>2</v>
      </c>
      <c r="B5" s="31"/>
      <c r="C5" s="31"/>
      <c r="E5" s="31" t="s">
        <v>3</v>
      </c>
      <c r="F5" s="31"/>
      <c r="G5" s="31"/>
      <c r="I5" s="31" t="s">
        <v>4</v>
      </c>
      <c r="J5" s="31"/>
      <c r="K5" s="31"/>
      <c r="M5" s="31" t="s">
        <v>5</v>
      </c>
      <c r="N5" s="31"/>
    </row>
    <row r="6" spans="1:60">
      <c r="A6" s="28">
        <v>40</v>
      </c>
      <c r="B6" s="28"/>
      <c r="C6" s="28"/>
      <c r="E6" s="28">
        <v>6</v>
      </c>
      <c r="F6" s="28"/>
      <c r="G6" s="28"/>
      <c r="I6" s="28">
        <v>4</v>
      </c>
      <c r="J6" s="28"/>
      <c r="K6" s="28"/>
      <c r="M6" s="28">
        <v>6</v>
      </c>
      <c r="N6" s="28"/>
    </row>
    <row r="7" spans="1:60">
      <c r="A7" s="28"/>
      <c r="B7" s="28"/>
      <c r="C7" s="28"/>
      <c r="E7" s="28"/>
      <c r="F7" s="28"/>
      <c r="G7" s="28"/>
      <c r="I7" s="28"/>
      <c r="J7" s="28"/>
      <c r="K7" s="28"/>
      <c r="M7" s="28"/>
      <c r="N7" s="28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40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40</v>
      </c>
      <c r="AA11" s="5">
        <f t="shared" ref="AA11:AA50" si="1">MAX(0,E11-Z11)</f>
        <v>0</v>
      </c>
      <c r="AB11" s="3" t="str">
        <f t="shared" ref="AB11:AB50" si="2">BF11</f>
        <v>ИЗУЧЕНО</v>
      </c>
      <c r="AC11">
        <f>SUM($K11:K11)</f>
        <v>40</v>
      </c>
      <c r="AD11">
        <f>SUM($K11:L11)</f>
        <v>40</v>
      </c>
      <c r="AE11">
        <f>SUM($K11:M11)</f>
        <v>40</v>
      </c>
      <c r="AF11">
        <f>SUM($K11:N11)</f>
        <v>40</v>
      </c>
      <c r="AG11">
        <f>SUM($K11:O11)</f>
        <v>40</v>
      </c>
      <c r="AH11">
        <f>SUM($K11:P11)</f>
        <v>40</v>
      </c>
      <c r="AI11">
        <f>SUM($K11:Q11)</f>
        <v>40</v>
      </c>
      <c r="AJ11">
        <f>SUM($K11:R11)</f>
        <v>40</v>
      </c>
      <c r="AK11">
        <f>SUM($K11:S11)</f>
        <v>40</v>
      </c>
      <c r="AL11">
        <f>SUM($K11:T11)</f>
        <v>40</v>
      </c>
      <c r="AM11">
        <f>SUM($K11:U11)</f>
        <v>40</v>
      </c>
      <c r="AN11">
        <f>SUM($K11:V11)</f>
        <v>40</v>
      </c>
      <c r="AO11">
        <f>SUM($K11:W11)</f>
        <v>40</v>
      </c>
      <c r="AP11">
        <f>SUM($K11:X11)</f>
        <v>40</v>
      </c>
      <c r="AQ11">
        <f>SUM($K11:Y11)</f>
        <v>40</v>
      </c>
      <c r="AR11" t="str">
        <f t="shared" ref="AR11:AR50" si="3">IF(AND(AC11&gt;=$E11,TRUE),"ИЗУЧЕНО",IF(TRUE,"ОТКРЫТО","ЗАКРЫТО"))</f>
        <v>ИЗУЧЕНО</v>
      </c>
      <c r="AS11" t="str">
        <f t="shared" ref="AS11:AS50" si="4">IF(AND(AD11&gt;=$E11,TRUE),"ИЗУЧЕНО",IF(TRUE,"ОТКРЫТО","ЗАКРЫТО"))</f>
        <v>ИЗУЧЕНО</v>
      </c>
      <c r="AT11" t="str">
        <f t="shared" ref="AT11:AT50" si="5">IF(AND(AE11&gt;=$E11,TRUE),"ИЗУЧЕНО",IF(TRUE,"ОТКРЫТО","ЗАКРЫТО"))</f>
        <v>ИЗУЧЕНО</v>
      </c>
      <c r="AU11" t="str">
        <f t="shared" ref="AU11:AU50" si="6">IF(AND(AF11&gt;=$E11,TRUE),"ИЗУЧЕНО",IF(TRUE,"ОТКРЫТО","ЗАКРЫТО"))</f>
        <v>ИЗУЧЕНО</v>
      </c>
      <c r="AV11" t="str">
        <f t="shared" ref="AV11:AV50" si="7">IF(AND(AG11&gt;=$E11,TRUE),"ИЗУЧЕНО",IF(TRUE,"ОТКРЫТО","ЗАКРЫТО"))</f>
        <v>ИЗУЧЕНО</v>
      </c>
      <c r="AW11" t="str">
        <f t="shared" ref="AW11:AW50" si="8">IF(AND(AH11&gt;=$E11,TRUE),"ИЗУЧЕНО",IF(TRUE,"ОТКРЫТО","ЗАКРЫТО"))</f>
        <v>ИЗУЧЕНО</v>
      </c>
      <c r="AX11" t="str">
        <f t="shared" ref="AX11:AX50" si="9">IF(AND(AI11&gt;=$E11,TRUE),"ИЗУЧЕНО",IF(TRUE,"ОТКРЫТО","ЗАКРЫТО"))</f>
        <v>ИЗУЧЕНО</v>
      </c>
      <c r="AY11" t="str">
        <f t="shared" ref="AY11:AY50" si="10">IF(AND(AJ11&gt;=$E11,TRUE),"ИЗУЧЕНО",IF(TRUE,"ОТКРЫТО","ЗАКРЫТО"))</f>
        <v>ИЗУЧЕНО</v>
      </c>
      <c r="AZ11" t="str">
        <f t="shared" ref="AZ11:AZ50" si="11">IF(AND(AK11&gt;=$E11,TRUE),"ИЗУЧЕНО",IF(TRUE,"ОТКРЫТО","ЗАКРЫТО"))</f>
        <v>ИЗУЧЕНО</v>
      </c>
      <c r="BA11" t="str">
        <f t="shared" ref="BA11:BA50" si="12">IF(AND(AL11&gt;=$E11,TRUE),"ИЗУЧЕНО",IF(TRUE,"ОТКРЫТО","ЗАКРЫТО"))</f>
        <v>ИЗУЧЕНО</v>
      </c>
      <c r="BB11" t="str">
        <f t="shared" ref="BB11:BB50" si="13">IF(AND(AM11&gt;=$E11,TRUE),"ИЗУЧЕНО",IF(TRUE,"ОТКРЫТО","ЗАКРЫТО"))</f>
        <v>ИЗУЧЕНО</v>
      </c>
      <c r="BC11" t="str">
        <f t="shared" ref="BC11:BC50" si="14">IF(AND(AN11&gt;=$E11,TRUE),"ИЗУЧЕНО",IF(TRUE,"ОТКРЫТО","ЗАКРЫТО"))</f>
        <v>ИЗУЧЕНО</v>
      </c>
      <c r="BD11" t="str">
        <f t="shared" ref="BD11:BD50" si="15">IF(AND(AO11&gt;=$E11,TRUE),"ИЗУЧЕНО",IF(TRUE,"ОТКРЫТО","ЗАКРЫТО"))</f>
        <v>ИЗУЧЕНО</v>
      </c>
      <c r="BE11" t="str">
        <f t="shared" ref="BE11:BE50" si="16">IF(AND(AP11&gt;=$E11,TRUE),"ИЗУЧЕНО",IF(TRUE,"ОТКРЫТО","ЗАКРЫТО"))</f>
        <v>ИЗУЧЕНО</v>
      </c>
      <c r="BF11" t="str">
        <f t="shared" ref="BF11:BF50" si="17">IF(AND(AQ11&gt;=$E11,TRUE),"ИЗУЧЕНО",IF(TRUE,"ОТКРЫТО","ЗАКРЫТО"))</f>
        <v>ИЗУЧЕНО</v>
      </c>
      <c r="BG11">
        <f t="shared" ref="BG11:BG50" si="18">IFERROR(2025+MATCH("ИЗУЧЕНО",AR11:BF11,0),"")</f>
        <v>2026</v>
      </c>
      <c r="BH11">
        <f t="shared" ref="BH11:BH50" si="19">IF(BG11="","",BG11+1)</f>
        <v>2027</v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30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30</v>
      </c>
      <c r="AA12" s="5">
        <f t="shared" si="1"/>
        <v>10</v>
      </c>
      <c r="AB12" s="3" t="str">
        <f t="shared" si="2"/>
        <v>ОТКРЫТО</v>
      </c>
      <c r="AC12">
        <f>SUM($K12:K12)</f>
        <v>30</v>
      </c>
      <c r="AD12">
        <f>SUM($K12:L12)</f>
        <v>30</v>
      </c>
      <c r="AE12">
        <f>SUM($K12:M12)</f>
        <v>30</v>
      </c>
      <c r="AF12">
        <f>SUM($K12:N12)</f>
        <v>30</v>
      </c>
      <c r="AG12">
        <f>SUM($K12:O12)</f>
        <v>30</v>
      </c>
      <c r="AH12">
        <f>SUM($K12:P12)</f>
        <v>30</v>
      </c>
      <c r="AI12">
        <f>SUM($K12:Q12)</f>
        <v>30</v>
      </c>
      <c r="AJ12">
        <f>SUM($K12:R12)</f>
        <v>30</v>
      </c>
      <c r="AK12">
        <f>SUM($K12:S12)</f>
        <v>30</v>
      </c>
      <c r="AL12">
        <f>SUM($K12:T12)</f>
        <v>30</v>
      </c>
      <c r="AM12">
        <f>SUM($K12:U12)</f>
        <v>30</v>
      </c>
      <c r="AN12">
        <f>SUM($K12:V12)</f>
        <v>30</v>
      </c>
      <c r="AO12">
        <f>SUM($K12:W12)</f>
        <v>30</v>
      </c>
      <c r="AP12">
        <f>SUM($K12:X12)</f>
        <v>30</v>
      </c>
      <c r="AQ12">
        <f>SUM($K12:Y12)</f>
        <v>30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0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0</v>
      </c>
      <c r="AA13" s="5">
        <f t="shared" si="1"/>
        <v>45</v>
      </c>
      <c r="AB13" s="3" t="str">
        <f t="shared" si="2"/>
        <v>ОТКРЫТО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8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8</v>
      </c>
      <c r="AA14" s="5">
        <f t="shared" si="1"/>
        <v>57</v>
      </c>
      <c r="AB14" s="3" t="str">
        <f t="shared" si="2"/>
        <v>ОТКРЫТО</v>
      </c>
      <c r="AC14">
        <f>SUM($K14:K14)</f>
        <v>8</v>
      </c>
      <c r="AD14">
        <f>SUM($K14:L14)</f>
        <v>8</v>
      </c>
      <c r="AE14">
        <f>SUM($K14:M14)</f>
        <v>8</v>
      </c>
      <c r="AF14">
        <f>SUM($K14:N14)</f>
        <v>8</v>
      </c>
      <c r="AG14">
        <f>SUM($K14:O14)</f>
        <v>8</v>
      </c>
      <c r="AH14">
        <f>SUM($K14:P14)</f>
        <v>8</v>
      </c>
      <c r="AI14">
        <f>SUM($K14:Q14)</f>
        <v>8</v>
      </c>
      <c r="AJ14">
        <f>SUM($K14:R14)</f>
        <v>8</v>
      </c>
      <c r="AK14">
        <f>SUM($K14:S14)</f>
        <v>8</v>
      </c>
      <c r="AL14">
        <f>SUM($K14:T14)</f>
        <v>8</v>
      </c>
      <c r="AM14">
        <f>SUM($K14:U14)</f>
        <v>8</v>
      </c>
      <c r="AN14">
        <f>SUM($K14:V14)</f>
        <v>8</v>
      </c>
      <c r="AO14">
        <f>SUM($K14:W14)</f>
        <v>8</v>
      </c>
      <c r="AP14">
        <f>SUM($K14:X14)</f>
        <v>8</v>
      </c>
      <c r="AQ14">
        <f>SUM($K14:Y14)</f>
        <v>8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0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0</v>
      </c>
      <c r="AA18" s="5">
        <f t="shared" si="1"/>
        <v>40</v>
      </c>
      <c r="AB18" s="3" t="str">
        <f t="shared" si="2"/>
        <v>ОТКРЫТО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0</v>
      </c>
      <c r="AA19" s="5">
        <f t="shared" si="1"/>
        <v>45</v>
      </c>
      <c r="AB19" s="3" t="str">
        <f t="shared" si="2"/>
        <v>ОТКРЫТО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0</v>
      </c>
      <c r="AA20" s="5">
        <f t="shared" si="1"/>
        <v>65</v>
      </c>
      <c r="AB20" s="3" t="str">
        <f t="shared" si="2"/>
        <v>ОТКРЫТО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0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0</v>
      </c>
      <c r="AA24" s="5">
        <f t="shared" si="1"/>
        <v>35</v>
      </c>
      <c r="AB24" s="3" t="str">
        <f t="shared" si="2"/>
        <v>ОТКРЫТО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  <c r="BG29" t="str">
        <f t="shared" si="18"/>
        <v/>
      </c>
      <c r="BH29" t="str">
        <f t="shared" si="19"/>
        <v/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0</v>
      </c>
      <c r="AA32" s="5">
        <f t="shared" si="1"/>
        <v>70</v>
      </c>
      <c r="AB32" s="3" t="str">
        <f t="shared" si="2"/>
        <v>ОТКРЫТО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68.546624376312749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78.484898108950162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68.836231555488837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85.769851462331957</v>
      </c>
      <c r="V6" s="35"/>
      <c r="W6" s="35"/>
      <c r="X6" s="3"/>
    </row>
    <row r="7" spans="1:24" ht="28.5">
      <c r="A7" s="6" t="s">
        <v>255</v>
      </c>
      <c r="B7" s="6"/>
      <c r="C7" s="6"/>
      <c r="D7" s="7"/>
      <c r="E7" s="7"/>
      <c r="F7" s="7"/>
      <c r="G7" s="7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v>9</v>
      </c>
      <c r="C8" s="3"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5.5</v>
      </c>
      <c r="C9" s="3"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v>8</v>
      </c>
      <c r="C10" s="3"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42.75">
      <c r="A11" s="3" t="s">
        <v>266</v>
      </c>
      <c r="B11" s="3">
        <v>8</v>
      </c>
      <c r="C11" s="3"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6.5</v>
      </c>
      <c r="M11" s="3">
        <v>0.35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6.5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v>9</v>
      </c>
      <c r="C12" s="3"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6.5</v>
      </c>
      <c r="M12" s="3"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6.5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v>2</v>
      </c>
      <c r="C13" s="3"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2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6.5</v>
      </c>
      <c r="M13" s="3">
        <v>0.3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6.5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v>4</v>
      </c>
      <c r="C14" s="3"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4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6.5</v>
      </c>
      <c r="M14" s="3">
        <v>0.35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6.5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v>6.5</v>
      </c>
      <c r="C15" s="3"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6.5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5.5</v>
      </c>
      <c r="M15" s="3">
        <v>0.25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5.5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v>7</v>
      </c>
      <c r="C16" s="3"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7.5</v>
      </c>
      <c r="M16" s="3"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7.5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v>7</v>
      </c>
      <c r="C17" s="3"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7.5</v>
      </c>
      <c r="M17" s="3">
        <v>0.35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7.5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9</v>
      </c>
      <c r="M18" s="3">
        <v>0.2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v>6</v>
      </c>
      <c r="C19" s="3"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6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v>6</v>
      </c>
      <c r="C20" s="3"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6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v>5.5</v>
      </c>
      <c r="C21" s="3"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5.5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v>6.5</v>
      </c>
      <c r="C22" s="3"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6.5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v>6</v>
      </c>
      <c r="C23" s="3"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6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v>8.5</v>
      </c>
      <c r="C25" s="3"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8.5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v>6.5</v>
      </c>
      <c r="C26" s="3"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6.5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v>7</v>
      </c>
      <c r="C27" s="3"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6</v>
      </c>
      <c r="C28" s="3"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6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6</v>
      </c>
      <c r="C29" s="3"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6</v>
      </c>
      <c r="C30" s="3"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6</v>
      </c>
      <c r="C31" s="3"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6.5</v>
      </c>
      <c r="C32" s="3"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6.5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7.5</v>
      </c>
      <c r="C34" s="3"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7.5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7.5</v>
      </c>
      <c r="C35" s="3"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7.5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7.5</v>
      </c>
      <c r="C36" s="3"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7.5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6.5</v>
      </c>
      <c r="C37" s="3"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6.5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6.5</v>
      </c>
      <c r="C38" s="3"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6.5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7.5</v>
      </c>
      <c r="C39" s="3"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7.5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7</v>
      </c>
      <c r="C40" s="3"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7</v>
      </c>
      <c r="C41" s="3"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8.5</v>
      </c>
      <c r="C42" s="3"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8.5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6.5</v>
      </c>
      <c r="C44" s="3"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6.5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6.5</v>
      </c>
      <c r="C45" s="3"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6.5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6.5</v>
      </c>
      <c r="C46" s="3"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6.5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7</v>
      </c>
      <c r="C47" s="3"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7.5</v>
      </c>
      <c r="C48" s="3"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7.5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8</v>
      </c>
      <c r="C49" s="3"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10</v>
      </c>
      <c r="C50" s="3"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6.5</v>
      </c>
      <c r="C51" s="3"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6.5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6</v>
      </c>
      <c r="C53" s="3"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6</v>
      </c>
      <c r="C54" s="3"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5.5</v>
      </c>
      <c r="C55" s="3"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5.5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abSelected="1" workbookViewId="0">
      <selection activeCell="G25" sqref="G25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2026'!U6</f>
        <v>85.769851462331957</v>
      </c>
      <c r="C6" s="3"/>
      <c r="D6" s="3"/>
      <c r="E6" s="3" t="s">
        <v>321</v>
      </c>
      <c r="F6" s="3">
        <f>'Индонезия 2026'!K6</f>
        <v>68.546624376312749</v>
      </c>
      <c r="G6" s="3"/>
      <c r="H6" s="3"/>
      <c r="I6" s="3" t="s">
        <v>321</v>
      </c>
      <c r="J6" s="3">
        <f>'Индонезия 2026'!N6</f>
        <v>78.484898108950162</v>
      </c>
      <c r="K6" s="3"/>
      <c r="L6" s="3"/>
      <c r="M6" s="3" t="s">
        <v>321</v>
      </c>
      <c r="N6" s="3">
        <f>'Индонезия 2026'!Q6</f>
        <v>68.836231555488837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85</v>
      </c>
      <c r="C7" s="3"/>
      <c r="D7" s="3"/>
      <c r="E7" s="3" t="s">
        <v>322</v>
      </c>
      <c r="F7" s="3">
        <f>SUM(H13:H20)</f>
        <v>68</v>
      </c>
      <c r="G7" s="3"/>
      <c r="H7" s="3"/>
      <c r="I7" s="3" t="s">
        <v>322</v>
      </c>
      <c r="J7" s="3">
        <f>SUM(I29:I38)</f>
        <v>78</v>
      </c>
      <c r="K7" s="3"/>
      <c r="L7" s="3"/>
      <c r="M7" s="3" t="s">
        <v>322</v>
      </c>
      <c r="N7" s="3">
        <f>SUM(N13:Q28)+J24</f>
        <v>68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0.76985146233195678</v>
      </c>
      <c r="C8" s="3" t="str">
        <f>IF(B8&lt;0,"ПРЕВЫШЕНИЕ","OK")</f>
        <v>OK</v>
      </c>
      <c r="D8" s="3"/>
      <c r="E8" s="3" t="s">
        <v>323</v>
      </c>
      <c r="F8" s="3">
        <f>F6-F7</f>
        <v>0.5466243763127494</v>
      </c>
      <c r="G8" s="3" t="str">
        <f>IF(F8&lt;0,"ПРЕВЫШЕНИЕ","OK")</f>
        <v>OK</v>
      </c>
      <c r="H8" s="3"/>
      <c r="I8" s="3" t="s">
        <v>323</v>
      </c>
      <c r="J8" s="3">
        <f>J6-J7</f>
        <v>0.48489810895016205</v>
      </c>
      <c r="K8" s="3" t="str">
        <f>IF(J8&lt;0,"ПРЕВЫШЕНИЕ","OK")</f>
        <v>OK</v>
      </c>
      <c r="L8" s="3"/>
      <c r="M8" s="3" t="s">
        <v>323</v>
      </c>
      <c r="N8" s="3">
        <f>N6-N7</f>
        <v>0.83623155548883688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>
        <v>15</v>
      </c>
      <c r="C13" s="7"/>
      <c r="D13" s="3"/>
      <c r="E13" s="3"/>
      <c r="F13" s="3"/>
      <c r="G13" s="3" t="s">
        <v>267</v>
      </c>
      <c r="H13" s="7">
        <v>15</v>
      </c>
      <c r="I13" s="3"/>
      <c r="J13" s="3"/>
      <c r="K13" s="3"/>
      <c r="L13" s="3" t="s">
        <v>534</v>
      </c>
      <c r="M13" s="3">
        <f>'Индонезия 2026'!V11</f>
        <v>2</v>
      </c>
      <c r="N13" s="7">
        <v>10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5</v>
      </c>
      <c r="C14" s="7">
        <v>0</v>
      </c>
      <c r="D14" s="3"/>
      <c r="E14" s="3"/>
      <c r="F14" s="3"/>
      <c r="G14" s="3" t="s">
        <v>269</v>
      </c>
      <c r="H14" s="7">
        <v>15</v>
      </c>
      <c r="I14" s="3"/>
      <c r="J14" s="3"/>
      <c r="K14" s="3"/>
      <c r="L14" s="3" t="s">
        <v>536</v>
      </c>
      <c r="M14" s="3">
        <f>'Индонезия 2026'!V12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6</v>
      </c>
      <c r="C15" s="7">
        <v>0</v>
      </c>
      <c r="D15" s="3"/>
      <c r="E15" s="3"/>
      <c r="F15" s="3"/>
      <c r="G15" s="3" t="s">
        <v>271</v>
      </c>
      <c r="H15" s="7">
        <v>6</v>
      </c>
      <c r="I15" s="3"/>
      <c r="J15" s="3"/>
      <c r="K15" s="3"/>
      <c r="L15" s="3" t="s">
        <v>538</v>
      </c>
      <c r="M15" s="3">
        <f>'Индонезия 2026'!V13</f>
        <v>2.7</v>
      </c>
      <c r="N15" s="7">
        <v>5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6</v>
      </c>
      <c r="C16" s="7">
        <v>0</v>
      </c>
      <c r="D16" s="3"/>
      <c r="E16" s="3"/>
      <c r="F16" s="3"/>
      <c r="G16" s="3" t="s">
        <v>273</v>
      </c>
      <c r="H16" s="7">
        <v>10</v>
      </c>
      <c r="I16" s="3"/>
      <c r="J16" s="3"/>
      <c r="K16" s="3"/>
      <c r="L16" s="3" t="s">
        <v>540</v>
      </c>
      <c r="M16" s="3">
        <f>'Индонезия 2026'!V14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6</v>
      </c>
      <c r="C17" s="7">
        <v>0</v>
      </c>
      <c r="D17" s="3"/>
      <c r="E17" s="3"/>
      <c r="F17" s="3"/>
      <c r="G17" s="3" t="s">
        <v>275</v>
      </c>
      <c r="H17" s="7">
        <v>10</v>
      </c>
      <c r="I17" s="3"/>
      <c r="J17" s="3"/>
      <c r="K17" s="3"/>
      <c r="L17" s="3" t="s">
        <v>542</v>
      </c>
      <c r="M17" s="3">
        <f>'Индонезия 2026'!V15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10</v>
      </c>
      <c r="C18" s="7">
        <v>0</v>
      </c>
      <c r="D18" s="3"/>
      <c r="E18" s="3"/>
      <c r="F18" s="3"/>
      <c r="G18" s="3" t="s">
        <v>277</v>
      </c>
      <c r="H18" s="7">
        <v>5</v>
      </c>
      <c r="I18" s="3"/>
      <c r="J18" s="3"/>
      <c r="K18" s="3"/>
      <c r="L18" s="3" t="s">
        <v>544</v>
      </c>
      <c r="M18" s="3">
        <f>'Индонезия 2026'!V16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3</v>
      </c>
      <c r="C19" s="7">
        <v>0</v>
      </c>
      <c r="D19" s="3"/>
      <c r="E19" s="3"/>
      <c r="F19" s="3"/>
      <c r="G19" s="3" t="s">
        <v>279</v>
      </c>
      <c r="H19" s="7">
        <v>5</v>
      </c>
      <c r="I19" s="3"/>
      <c r="J19" s="3"/>
      <c r="K19" s="3"/>
      <c r="L19" s="3" t="s">
        <v>546</v>
      </c>
      <c r="M19" s="3">
        <f>'Индонезия 2026'!V17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5</v>
      </c>
      <c r="C20" s="7">
        <v>0</v>
      </c>
      <c r="D20" s="3"/>
      <c r="E20" s="3"/>
      <c r="F20" s="3"/>
      <c r="G20" s="3" t="s">
        <v>281</v>
      </c>
      <c r="H20" s="7">
        <v>2</v>
      </c>
      <c r="I20" s="3"/>
      <c r="J20" s="3"/>
      <c r="K20" s="3"/>
      <c r="L20" s="3" t="s">
        <v>548</v>
      </c>
      <c r="M20" s="3">
        <f>'Индонезия 2026'!V18</f>
        <v>2.9</v>
      </c>
      <c r="N20" s="7">
        <v>5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3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2026'!V19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7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2026'!V20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1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2026'!V21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>
        <v>1</v>
      </c>
      <c r="C24" s="7"/>
      <c r="D24" s="3"/>
      <c r="E24" s="3"/>
      <c r="F24" s="3"/>
      <c r="G24" s="7">
        <v>23</v>
      </c>
      <c r="H24" s="7">
        <v>10</v>
      </c>
      <c r="I24" s="7">
        <v>10</v>
      </c>
      <c r="J24" s="3">
        <f>SUM(G24:I24)</f>
        <v>43</v>
      </c>
      <c r="K24" s="3"/>
      <c r="L24" s="3" t="s">
        <v>556</v>
      </c>
      <c r="M24" s="3">
        <f>'Индонезия 2026'!V22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1</v>
      </c>
      <c r="C25" s="7">
        <v>0</v>
      </c>
      <c r="D25" s="3"/>
      <c r="E25" s="3"/>
      <c r="F25" s="3" t="s">
        <v>340</v>
      </c>
      <c r="G25" s="11">
        <v>0.32</v>
      </c>
      <c r="H25" s="11">
        <v>0.1</v>
      </c>
      <c r="I25" s="11">
        <v>0.2</v>
      </c>
      <c r="J25" s="12"/>
      <c r="K25" s="3"/>
      <c r="L25" s="3" t="s">
        <v>558</v>
      </c>
      <c r="M25" s="3">
        <f>'Индонезия 2026'!V23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</v>
      </c>
      <c r="C26" s="7">
        <v>0</v>
      </c>
      <c r="D26" s="3"/>
      <c r="E26" s="3"/>
      <c r="F26" s="3" t="s">
        <v>341</v>
      </c>
      <c r="G26" s="13">
        <f>G24*(1+G25)</f>
        <v>30.360000000000003</v>
      </c>
      <c r="H26" s="13">
        <f>H24*(1+H25)</f>
        <v>11</v>
      </c>
      <c r="I26" s="13">
        <f>I24*(1+I25)</f>
        <v>12</v>
      </c>
      <c r="J26" s="13">
        <f>SUM(G26:I26)</f>
        <v>53.36</v>
      </c>
      <c r="K26" s="3"/>
      <c r="L26" s="3" t="s">
        <v>560</v>
      </c>
      <c r="M26" s="3">
        <f>'Индонезия 2026'!V24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1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2026'!V25</f>
        <v>2.2999999999999998</v>
      </c>
      <c r="N27" s="7">
        <v>5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1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1</v>
      </c>
      <c r="C29" s="7">
        <v>0</v>
      </c>
      <c r="D29" s="3"/>
      <c r="E29" s="3"/>
      <c r="F29" s="3"/>
      <c r="G29" s="3" t="s">
        <v>66</v>
      </c>
      <c r="H29" s="4" t="str">
        <f>IF(G29="","",VLOOKUP(G29,Технологии!$A$11:$D$50,4,FALSE))</f>
        <v>GPU-узлы с тензорными ядрами</v>
      </c>
      <c r="I29" s="7">
        <v>20</v>
      </c>
      <c r="J29" s="7"/>
      <c r="K29" s="4" t="str">
        <f>IF(G29="","",VLOOKUP(G29,Технологии!$A$11:$BF$50,44,FALSE))</f>
        <v>ИЗУЧЕНО</v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>
        <v>1</v>
      </c>
      <c r="C30" s="7"/>
      <c r="D30" s="3"/>
      <c r="E30" s="3"/>
      <c r="F30" s="3"/>
      <c r="G30" s="3" t="s">
        <v>72</v>
      </c>
      <c r="H30" s="4" t="str">
        <f>IF(G30="","",VLOOKUP(G30,Технологии!$A$11:$D$50,4,FALSE))</f>
        <v>ASIC-ускорители с памятью HBM</v>
      </c>
      <c r="I30" s="7">
        <v>30</v>
      </c>
      <c r="J30" s="7"/>
      <c r="K30" s="4" t="str">
        <f>IF(G30="","",VLOOKUP(G30,Технологии!$A$11:$BF$50,44,FALSE))</f>
        <v>ОТКРЫТО</v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>
      <c r="A31" s="3" t="s">
        <v>288</v>
      </c>
      <c r="B31" s="7">
        <v>1</v>
      </c>
      <c r="C31" s="7">
        <v>0</v>
      </c>
      <c r="D31" s="3"/>
      <c r="E31" s="3"/>
      <c r="F31" s="3"/>
      <c r="G31" s="3" t="s">
        <v>66</v>
      </c>
      <c r="H31" s="4" t="str">
        <f>IF(G31="","",VLOOKUP(G31,Технологии!$A$11:$D$50,4,FALSE))</f>
        <v>GPU-узлы с тензорными ядрами</v>
      </c>
      <c r="I31" s="7">
        <v>20</v>
      </c>
      <c r="J31" s="7"/>
      <c r="K31" s="4" t="str">
        <f>IF(G31="","",VLOOKUP(G31,Технологии!$A$11:$BF$50,44,FALSE))</f>
        <v>ИЗУЧЕНО</v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 ht="28.5">
      <c r="A32" s="3" t="s">
        <v>289</v>
      </c>
      <c r="B32" s="7">
        <v>1</v>
      </c>
      <c r="C32" s="7">
        <v>0</v>
      </c>
      <c r="D32" s="3"/>
      <c r="E32" s="3"/>
      <c r="F32" s="3"/>
      <c r="G32" s="3" t="s">
        <v>81</v>
      </c>
      <c r="H32" s="4" t="str">
        <f>IF(G32="","",VLOOKUP(G32,Технологии!$A$11:$D$50,4,FALSE))</f>
        <v>Гетерогенные вычислительные кластеры</v>
      </c>
      <c r="I32" s="7">
        <v>8</v>
      </c>
      <c r="J32" s="7"/>
      <c r="K32" s="4" t="str">
        <f>IF(G32="","",VLOOKUP(G32,Технологии!$A$11:$BF$50,44,FALSE))</f>
        <v>ОТКРЫТО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1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1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1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1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1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1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>
        <v>5</v>
      </c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1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1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1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1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1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1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1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1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1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>
        <v>1</v>
      </c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1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1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1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1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1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1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1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1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>
        <v>1</v>
      </c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1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1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1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81.330689489064568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71.066650821440746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87.835047418343223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2026'!B8+'Индонезия 2026'!D8+('Индонезия 2026'!C8+'Индонезия 2026'!F8+'Индонезия 2026'!G8)+(0.35*LN(1+0.6*('Ход 2026'!B14*(1+'Эффекты технологий'!J$12)))*POWER(MAX(0,1-'Индонезия 2026'!I8/10),0.7))))</f>
        <v>9.1468107313668732</v>
      </c>
      <c r="C8" s="3">
        <f>MIN(1,(MIN(1,'Индонезия 2026'!C8+'Индонезия 2026'!F8+(0.08*LN(1+0.5*('Ход 2026'!C14*(1+'Эффекты технологий'!J$12)))*MAX(0,1-('Индонезия 2026'!C8+'Индонезия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9.1468107313668732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2026'!B9+'Индонезия 2026'!D9+('Индонезия 2026'!C9+'Индонезия 2026'!F9+'Индонезия 2026'!G9)+(0.35*LN(1+0.6*('Ход 2026'!B15*(1+'Эффекты технологий'!J$12)))*POWER(MAX(0,1-'Индонезия 2026'!I9/10),0.7))))</f>
        <v>5.9554128889638926</v>
      </c>
      <c r="C9" s="3">
        <f>MIN(1,(MIN(1,'Индонезия 2026'!C9+'Индонезия 2026'!F9+(0.08*LN(1+0.5*('Ход 2026'!C15*(1+'Эффекты технологий'!J$12)))*MAX(0,1-('Индонезия 2026'!C9+'Индонезия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5.9554128889638926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2026'!B10+'Индонезия 2026'!D10+('Индонезия 2026'!C10+'Индонезия 2026'!F10+'Индонезия 2026'!G10)+(0.35*LN(1+0.6*('Ход 2026'!B16*(1+'Эффекты технологий'!J$12)))*POWER(MAX(0,1-'Индонезия 2026'!I10/10),0.7))))</f>
        <v>8.2731249250628665</v>
      </c>
      <c r="C10" s="3">
        <f>MIN(1,(MIN(1,'Индонезия 2026'!C10+'Индонезия 2026'!F10+(0.08*LN(1+0.5*('Ход 2026'!C16*(1+'Эффекты технологий'!J$12)))*MAX(0,1-('Индонезия 2026'!C10+'Индонезия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8.2731249250628665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2026'!B11+'Индонезия 2026'!D11+('Индонезия 2026'!C11+'Индонезия 2026'!F11+'Индонезия 2026'!G11)+(0.35*LN(1+0.6*('Ход 2026'!B17*(1+'Эффекты технологий'!J$12)))*POWER(MAX(0,1-'Индонезия 2026'!I11/10),0.7))))</f>
        <v>8.2231249250628675</v>
      </c>
      <c r="C11" s="3">
        <f>MIN(1,(MIN(1,'Индонезия 2026'!C11+'Индонезия 2026'!F11+(0.08*LN(1+0.5*('Ход 2026'!C17*(1+'Эффекты технологий'!J$12)))*MAX(0,1-('Индонезия 2026'!C11+'Индонезия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8.2231249250628675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2026'!L11+'Индонезия 2026'!N11+('Индонезия 2026'!M11+'Индонезия 2026'!P11+'Индонезия 2026'!Q11)))</f>
        <v>6.85</v>
      </c>
      <c r="M11" s="3">
        <f>MIN(1,(MIN(1,'Индонезия 2026'!M11+'Индонезия 2026'!P11+(0.1*LN(1+0.5*('Ход 2026'!H13*(1+'Эффекты технологий'!J$10)))*POWER(MAX(0,1-'Индонезия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6.85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2026'!V11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2026'!B12+'Индонезия 2026'!D12+('Индонезия 2026'!C12+'Индонезия 2026'!F12+'Индонезия 2026'!G12)+(0.35*LN(1+0.6*('Ход 2026'!B18*(1+'Эффекты технологий'!J$12)))*POWER(MAX(0,1-'Индонезия 2026'!I12/10),0.7))))</f>
        <v>9.1858910416053945</v>
      </c>
      <c r="C12" s="3">
        <f>MIN(1,(MIN(1,'Индонезия 2026'!C12+'Индонезия 2026'!F12+(0.08*LN(1+0.5*('Ход 2026'!C18*(1+'Эффекты технологий'!J$12)))*MAX(0,1-('Индонезия 2026'!C12+'Индонезия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9.1858910416053945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2026'!L12+'Индонезия 2026'!N12+('Индонезия 2026'!M12+'Индонезия 2026'!P12+'Индонезия 2026'!Q12)))</f>
        <v>6.8</v>
      </c>
      <c r="M12" s="3">
        <f>MIN(1,(MIN(1,'Индонезия 2026'!M12+'Индонезия 2026'!P12+(0.1*LN(1+0.5*('Ход 2026'!H14*(1+'Эффекты технологий'!J$10)))*POWER(MAX(0,1-'Индонезия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6.8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2026'!V12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2026'!B13+'Индонезия 2026'!D13+('Индонезия 2026'!C13+'Индонезия 2026'!F13+'Индонезия 2026'!G13)+(0.35*LN(1+0.6*('Ход 2026'!B19*(1+'Эффекты технологий'!J$12)))*POWER(MAX(0,1-'Индонезия 2026'!I13/10),0.7))))</f>
        <v>2.6082533175883995</v>
      </c>
      <c r="C13" s="3">
        <f>MIN(1,(MIN(1,'Индонезия 2026'!C13+'Индонезия 2026'!F13+(0.08*LN(1+0.5*('Ход 2026'!C19*(1+'Эффекты технологий'!J$12)))*MAX(0,1-('Индонезия 2026'!C13+'Индонезия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2.6082533175883995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2026'!L13+'Индонезия 2026'!N13+('Индонезия 2026'!M13+'Индонезия 2026'!P13+'Индонезия 2026'!Q13)))</f>
        <v>6.8</v>
      </c>
      <c r="M13" s="3">
        <f>MIN(1,(MIN(1,'Индонезия 2026'!M13+'Индонезия 2026'!P13+(0.1*LN(1+0.5*('Ход 2026'!H15*(1+'Эффекты технологий'!J$10)))*POWER(MAX(0,1-'Индонезия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6.8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2026'!V13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2026'!B14+'Индонезия 2026'!D14+('Индонезия 2026'!C14+'Индонезия 2026'!F14+'Индонезия 2026'!G14)+(0.35*LN(1+0.6*('Ход 2026'!B20*(1+'Эффекты технологий'!J$12)))*POWER(MAX(0,1-'Индонезия 2026'!I14/10),0.7))))</f>
        <v>4.6393355625513504</v>
      </c>
      <c r="C14" s="3">
        <f>MIN(1,(MIN(1,'Индонезия 2026'!C14+'Индонезия 2026'!F14+(0.08*LN(1+0.5*('Ход 2026'!C20*(1+'Эффекты технологий'!J$12)))*MAX(0,1-('Индонезия 2026'!C14+'Индонезия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4.8393355625513506</v>
      </c>
      <c r="J14" s="10">
        <f>SUMIFS('Эффекты технологий'!$K$25:$K$240,'Эффекты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2026'!L14+'Индонезия 2026'!N14+('Индонезия 2026'!M14+'Индонезия 2026'!P14+'Индонезия 2026'!Q14)))</f>
        <v>6.85</v>
      </c>
      <c r="M14" s="3">
        <f>MIN(1,(MIN(1,'Индонезия 2026'!M14+'Индонезия 2026'!P14+(0.1*LN(1+0.5*('Ход 2026'!H16*(1+'Эффекты технологий'!J$10)))*POWER(MAX(0,1-'Индонезия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6.85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2026'!V14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2026'!B15+'Индонезия 2026'!D15+('Индонезия 2026'!C15+'Индонезия 2026'!F15+'Индонезия 2026'!G15)+(0.35*LN(1+0.6*('Ход 2026'!B21*(1+'Эффекты технологий'!J$12)))*POWER(MAX(0,1-'Индонезия 2026'!I15/10),0.7))))</f>
        <v>7.0228193628136859</v>
      </c>
      <c r="C15" s="3">
        <f>MIN(1,(MIN(1,'Индонезия 2026'!C15+'Индонезия 2026'!F15+(0.08*LN(1+0.5*('Ход 2026'!C21*(1+'Эффекты технологий'!J$12)))*MAX(0,1-('Индонезия 2026'!C15+'Индонезия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7.0228193628136859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2026'!L15+'Индонезия 2026'!N15+('Индонезия 2026'!M15+'Индонезия 2026'!P15+'Индонезия 2026'!Q15)))</f>
        <v>5.75</v>
      </c>
      <c r="M15" s="3">
        <f>MIN(1,(MIN(1,'Индонезия 2026'!M15+'Индонезия 2026'!P15+(0.1*LN(1+0.5*('Ход 2026'!H17*(1+'Эффекты технологий'!J$10)))*POWER(MAX(0,1-'Индонезия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5.75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2026'!V15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2026'!B16+'Индонезия 2026'!D16+('Индонезия 2026'!C16+'Индонезия 2026'!F16+'Индонезия 2026'!G16)+(0.35*LN(1+0.6*('Ход 2026'!B22*(1+'Эффекты технологий'!J$12)))*POWER(MAX(0,1-'Индонезия 2026'!I16/10),0.7))))</f>
        <v>7.4984183436492291</v>
      </c>
      <c r="C16" s="3">
        <f>MIN(1,(MIN(1,'Индонезия 2026'!C16+'Индонезия 2026'!F16+(0.08*LN(1+0.5*('Ход 2026'!C22*(1+'Эффекты технологий'!J$12)))*MAX(0,1-('Индонезия 2026'!C16+'Индонезия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7.4984183436492291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2026'!L16+'Индонезия 2026'!N16+('Индонезия 2026'!M16+'Индонезия 2026'!P16+'Индонезия 2026'!Q16)))</f>
        <v>7.85</v>
      </c>
      <c r="M16" s="3">
        <f>MIN(1,(MIN(1,'Индонезия 2026'!M16+'Индонезия 2026'!P16+(0.1*LN(1+0.5*('Ход 2026'!H18*(1+'Эффекты технологий'!J$10)))*POWER(MAX(0,1-'Индонезия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7.85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2026'!V16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2026'!B17+'Индонезия 2026'!D17+('Индонезия 2026'!C17+'Индонезия 2026'!F17+'Индонезия 2026'!G17)+(0.35*LN(1+0.6*('Ход 2026'!B23*(1+'Эффекты технологий'!J$12)))*POWER(MAX(0,1-'Индонезия 2026'!I17/10),0.7))))</f>
        <v>7.2708197083824757</v>
      </c>
      <c r="C17" s="3">
        <f>MIN(1,(MIN(1,'Индонезия 2026'!C17+'Индонезия 2026'!F17+(0.08*LN(1+0.5*('Ход 2026'!C23*(1+'Эффекты технологий'!J$12)))*MAX(0,1-('Индонезия 2026'!C17+'Индонезия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7.2708197083824757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2026'!L17+'Индонезия 2026'!N17+('Индонезия 2026'!M17+'Индонезия 2026'!P17+'Индонезия 2026'!Q17)))</f>
        <v>7.85</v>
      </c>
      <c r="M17" s="3">
        <f>MIN(1,(MIN(1,'Индонезия 2026'!M17+'Индонезия 2026'!P17+(0.1*LN(1+0.5*('Ход 2026'!H19*(1+'Эффекты технологий'!J$10)))*POWER(MAX(0,1-'Индонезия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7.85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2026'!V17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2026'!L18+'Индонезия 2026'!N18+('Индонезия 2026'!M18+'Индонезия 2026'!P18+'Индонезия 2026'!Q18)))</f>
        <v>9.1999999999999993</v>
      </c>
      <c r="M18" s="3">
        <f>MIN(1,(MIN(1,'Индонезия 2026'!M18+'Индонезия 2026'!P18+(0.1*LN(1+0.5*('Ход 2026'!H20*(1+'Эффекты технологий'!J$10)))*POWER(MAX(0,1-'Индонезия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9.1999999999999993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2026'!V18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2026'!B19+'Индонезия 2026'!D19+('Индонезия 2026'!C19+'Индонезия 2026'!F19+'Индонезия 2026'!G19)+(0.35*LN(1+0.6*'Ход 2026'!B25)*POWER(MAX(0,1-'Индонезия 2026'!I19/10),0.7))))</f>
        <v>6.3366186178916228</v>
      </c>
      <c r="C19" s="3">
        <f>MIN(1,(MIN(1,'Индонезия 2026'!C19+'Индонезия 2026'!F19+(0.08*LN(1+0.5*'Ход 2026'!C25)*MAX(0,1-('Индонезия 2026'!C19+'Индонезия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6.3366186178916228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2026'!V19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2026'!B20+'Индонезия 2026'!D20+('Индонезия 2026'!C20+'Индонезия 2026'!F20+'Индонезия 2026'!G20)+(0.35*LN(1+0.6*'Ход 2026'!B26)*POWER(MAX(0,1-'Индонезия 2026'!I20/10),0.7))))</f>
        <v>6.3866186178916227</v>
      </c>
      <c r="C20" s="3">
        <f>MIN(1,(MIN(1,'Индонезия 2026'!C20+'Индонезия 2026'!F20+(0.08*LN(1+0.5*'Ход 2026'!C26)*MAX(0,1-('Индонезия 2026'!C20+'Индонезия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6.3866186178916227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2026'!V20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2026'!B21+'Индонезия 2026'!D21+('Индонезия 2026'!C21+'Индонезия 2026'!F21+'Индонезия 2026'!G21)+(0.35*LN(1+0.6*'Ход 2026'!B27)*POWER(MAX(0,1-'Индонезия 2026'!I21/10),0.7))))</f>
        <v>5.8940628244860296</v>
      </c>
      <c r="C21" s="3">
        <f>MIN(1,(MIN(1,'Индонезия 2026'!C21+'Индонезия 2026'!F21+(0.08*LN(1+0.5*'Ход 2026'!C27)*MAX(0,1-('Индонезия 2026'!C21+'Индонезия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5.8940628244860296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2026'!V21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2026'!B22+'Индонезия 2026'!D22+('Индонезия 2026'!C22+'Индонезия 2026'!F22+'Индонезия 2026'!G22)+(0.35*LN(1+0.6*'Ход 2026'!B28)*POWER(MAX(0,1-'Индонезия 2026'!I22/10),0.7))))</f>
        <v>6.7788890791791241</v>
      </c>
      <c r="C22" s="3">
        <f>MIN(1,(MIN(1,'Индонезия 2026'!C22+'Индонезия 2026'!F22+(0.08*LN(1+0.5*'Ход 2026'!C28)*MAX(0,1-('Индонезия 2026'!C22+'Индонезия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6.7788890791791241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2026'!V22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2026'!B23+'Индонезия 2026'!D23+('Индонезия 2026'!C23+'Индонезия 2026'!F23+'Индонезия 2026'!G23)+(0.35*LN(1+0.6*'Ход 2026'!B29)*POWER(MAX(0,1-'Индонезия 2026'!I23/10),0.7))))</f>
        <v>6.3366186178916228</v>
      </c>
      <c r="C23" s="3">
        <f>MIN(1,(MIN(1,'Индонезия 2026'!C23+'Индонезия 2026'!F23+(0.08*LN(1+0.5*'Ход 2026'!C29)*MAX(0,1-('Индонезия 2026'!C23+'Индонезия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6.3366186178916228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2026'!V23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2026'!V24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2026'!B25+'Индонезия 2026'!D25+('Индонезия 2026'!C25+'Индонезия 2026'!F25+'Индонезия 2026'!G25)+(0.35*LN(1+0.6*'Ход 2026'!B31)*POWER(MAX(0,1-'Индонезия 2026'!I25/10),0.7))))</f>
        <v>8.6435946441648994</v>
      </c>
      <c r="C25" s="3">
        <f>MIN(1,(MIN(1,'Индонезия 2026'!C25+'Индонезия 2026'!F25+(0.08*LN(1+0.5*'Ход 2026'!C31)*MAX(0,1-('Индонезия 2026'!C25+'Индонезия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8.6435946441648994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2026'!V25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2026'!B26+'Индонезия 2026'!D26+('Индонезия 2026'!C26+'Индонезия 2026'!F26+'Индонезия 2026'!G26)+(0.35*LN(1+0.6*'Ход 2026'!B32)*POWER(MAX(0,1-'Индонезия 2026'!I26/10),0.7))))</f>
        <v>6.8288890791791239</v>
      </c>
      <c r="C26" s="3">
        <f>MIN(1,(MIN(1,'Индонезия 2026'!C26+'Индонезия 2026'!F26+(0.08*LN(1+0.5*'Ход 2026'!C32)*MAX(0,1-('Индонезия 2026'!C26+'Индонезия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6.8288890791791239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2026'!B27+'Индонезия 2026'!D27+('Индонезия 2026'!C27+'Индонезия 2026'!F27+'Индонезия 2026'!G27)+(0.35*LN(1+0.6*'Ход 2026'!B33)*POWER(MAX(0,1-'Индонезия 2026'!I27/10),0.7))))</f>
        <v>7.2708197083824757</v>
      </c>
      <c r="C27" s="3">
        <f>MIN(1,(MIN(1,'Индонезия 2026'!C27+'Индонезия 2026'!F27+(0.08*LN(1+0.5*'Ход 2026'!C33)*MAX(0,1-('Индонезия 2026'!C27+'Индонезия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7.2708197083824757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2026'!B28+'Индонезия 2026'!D28+('Индонезия 2026'!C28+'Индонезия 2026'!F28+'Индонезия 2026'!G28)+(0.35*LN(1+0.6*'Ход 2026'!B34)*POWER(MAX(0,1-'Индонезия 2026'!I28/10),0.7))))</f>
        <v>6.3866186178916227</v>
      </c>
      <c r="C28" s="3">
        <f>MIN(1,(MIN(1,'Индонезия 2026'!C28+'Индонезия 2026'!F28+(0.08*LN(1+0.5*'Ход 2026'!C34)*MAX(0,1-('Индонезия 2026'!C28+'Индонезия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6.3866186178916227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2026'!B29+'Индонезия 2026'!D29+('Индонезия 2026'!C29+'Индонезия 2026'!F29+'Индонезия 2026'!G29)+(0.35*LN(1+0.6*'Ход 2026'!B35)*POWER(MAX(0,1-'Индонезия 2026'!I29/10),0.7))))</f>
        <v>6.3366186178916228</v>
      </c>
      <c r="C29" s="3">
        <f>MIN(1,(MIN(1,'Индонезия 2026'!C29+'Индонезия 2026'!F29+(0.08*LN(1+0.5*'Ход 2026'!C35)*MAX(0,1-('Индонезия 2026'!C29+'Индонезия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6.3366186178916228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2026'!B30+'Индонезия 2026'!D30+('Индонезия 2026'!C30+'Индонезия 2026'!F30+'Индонезия 2026'!G30)+(0.35*LN(1+0.6*'Ход 2026'!B36)*POWER(MAX(0,1-'Индонезия 2026'!I30/10),0.7))))</f>
        <v>6.286618617891623</v>
      </c>
      <c r="C30" s="3">
        <f>MIN(1,(MIN(1,'Индонезия 2026'!C30+'Индонезия 2026'!F30+(0.08*LN(1+0.5*'Ход 2026'!C36)*MAX(0,1-('Индонезия 2026'!C30+'Индонезия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6.286618617891623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2026'!B31+'Индонезия 2026'!D31+('Индонезия 2026'!C31+'Индонезия 2026'!F31+'Индонезия 2026'!G31)+(0.35*LN(1+0.6*'Ход 2026'!B37)*POWER(MAX(0,1-'Индонезия 2026'!I31/10),0.7))))</f>
        <v>6.286618617891623</v>
      </c>
      <c r="C31" s="3">
        <f>MIN(1,(MIN(1,'Индонезия 2026'!C31+'Индонезия 2026'!F31+(0.08*LN(1+0.5*'Ход 2026'!C37)*MAX(0,1-('Индонезия 2026'!C31+'Индонезия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6.286618617891623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2026'!B32+'Индонезия 2026'!D32+('Индонезия 2026'!C32+'Индонезия 2026'!F32+'Индонезия 2026'!G32)+(0.35*LN(1+0.6*'Ход 2026'!B38)*POWER(MAX(0,1-'Индонезия 2026'!I32/10),0.7))))</f>
        <v>6.8288890791791239</v>
      </c>
      <c r="C32" s="3">
        <f>MIN(1,(MIN(1,'Индонезия 2026'!C32+'Индонезия 2026'!F32+(0.08*LN(1+0.5*'Ход 2026'!C38)*MAX(0,1-('Индонезия 2026'!C32+'Индонезия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6.8288890791791239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2026'!B34+'Индонезия 2026'!D34+('Индонезия 2026'!C34+'Индонезия 2026'!F34+'Индонезия 2026'!G34)+(0.35*LN(1+0.6*'Ход 2026'!B40)*POWER(MAX(0,1-'Индонезия 2026'!I34/10),0.7))))</f>
        <v>7.8123343251271802</v>
      </c>
      <c r="C34" s="3">
        <f>MIN(1,(MIN(1,'Индонезия 2026'!C34+'Индонезия 2026'!F34+(0.08*LN(1+0.5*'Ход 2026'!C40)*MAX(0,1-('Индонезия 2026'!C34+'Индонезия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7.8123343251271802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2026'!B35+'Индонезия 2026'!D35+('Индонезия 2026'!C35+'Индонезия 2026'!F35+'Индонезия 2026'!G35)+(0.35*LN(1+0.6*'Ход 2026'!B41)*POWER(MAX(0,1-'Индонезия 2026'!I35/10),0.7))))</f>
        <v>7.7123343251271805</v>
      </c>
      <c r="C35" s="3">
        <f>MIN(1,(MIN(1,'Индонезия 2026'!C35+'Индонезия 2026'!F35+(0.08*LN(1+0.5*'Ход 2026'!C41)*MAX(0,1-('Индонезия 2026'!C35+'Индонезия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7.7123343251271805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2026'!B36+'Индонезия 2026'!D36+('Индонезия 2026'!C36+'Индонезия 2026'!F36+'Индонезия 2026'!G36)+(0.35*LN(1+0.6*'Ход 2026'!B42)*POWER(MAX(0,1-'Индонезия 2026'!I36/10),0.7))))</f>
        <v>7.86233432512718</v>
      </c>
      <c r="C36" s="3">
        <f>MIN(1,(MIN(1,'Индонезия 2026'!C36+'Индонезия 2026'!F36+(0.08*LN(1+0.5*'Ход 2026'!C42)*MAX(0,1-('Индонезия 2026'!C36+'Индонезия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7.86233432512718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2026'!B37+'Индонезия 2026'!D37+('Индонезия 2026'!C37+'Индонезия 2026'!F37+'Индонезия 2026'!G37)+(0.35*LN(1+0.6*'Ход 2026'!B43)*POWER(MAX(0,1-'Индонезия 2026'!I37/10),0.7))))</f>
        <v>6.8788890791791237</v>
      </c>
      <c r="C37" s="3">
        <f>MIN(1,(MIN(1,'Индонезия 2026'!C37+'Индонезия 2026'!F37+(0.08*LN(1+0.5*'Ход 2026'!C43)*MAX(0,1-('Индонезия 2026'!C37+'Индонезия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6.8788890791791237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2026'!B38+'Индонезия 2026'!D38+('Индонезия 2026'!C38+'Индонезия 2026'!F38+'Индонезия 2026'!G38)+(0.35*LN(1+0.6*'Ход 2026'!B44)*POWER(MAX(0,1-'Индонезия 2026'!I38/10),0.7))))</f>
        <v>6.8288890791791239</v>
      </c>
      <c r="C38" s="3">
        <f>MIN(1,(MIN(1,'Индонезия 2026'!C38+'Индонезия 2026'!F38+(0.08*LN(1+0.5*'Ход 2026'!C44)*MAX(0,1-('Индонезия 2026'!C38+'Индонезия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6.8288890791791239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2026'!B39+'Индонезия 2026'!D39+('Индонезия 2026'!C39+'Индонезия 2026'!F39+'Индонезия 2026'!G39)+(0.35*LN(1+0.6*'Ход 2026'!B45)*POWER(MAX(0,1-'Индонезия 2026'!I39/10),0.7))))</f>
        <v>7.8123343251271802</v>
      </c>
      <c r="C39" s="3">
        <f>MIN(1,(MIN(1,'Индонезия 2026'!C39+'Индонезия 2026'!F39+(0.08*LN(1+0.5*'Ход 2026'!C45)*MAX(0,1-('Индонезия 2026'!C39+'Индонезия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7.8123343251271802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2026'!B40+'Индонезия 2026'!D40+('Индонезия 2026'!C40+'Индонезия 2026'!F40+'Индонезия 2026'!G40)+(0.35*LN(1+0.6*'Ход 2026'!B46)*POWER(MAX(0,1-'Индонезия 2026'!I40/10),0.7))))</f>
        <v>7.3208197083824755</v>
      </c>
      <c r="C40" s="3">
        <f>MIN(1,(MIN(1,'Индонезия 2026'!C40+'Индонезия 2026'!F40+(0.08*LN(1+0.5*'Ход 2026'!C46)*MAX(0,1-('Индонезия 2026'!C40+'Индонезия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7.3208197083824755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2026'!B41+'Индонезия 2026'!D41+('Индонезия 2026'!C41+'Индонезия 2026'!F41+'Индонезия 2026'!G41)+(0.35*LN(1+0.6*'Ход 2026'!B47)*POWER(MAX(0,1-'Индонезия 2026'!I41/10),0.7))))</f>
        <v>7.3208197083824755</v>
      </c>
      <c r="C41" s="3">
        <f>MIN(1,(MIN(1,'Индонезия 2026'!C41+'Индонезия 2026'!F41+(0.08*LN(1+0.5*'Ход 2026'!C47)*MAX(0,1-('Индонезия 2026'!C41+'Индонезия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7.3208197083824755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2026'!B42+'Индонезия 2026'!D42+('Индонезия 2026'!C42+'Индонезия 2026'!F42+'Индонезия 2026'!G42)+(0.35*LN(1+0.6*'Ход 2026'!B48)*POWER(MAX(0,1-'Индонезия 2026'!I42/10),0.7))))</f>
        <v>8.6435946441648994</v>
      </c>
      <c r="C42" s="3">
        <f>MIN(1,(MIN(1,'Индонезия 2026'!C42+'Индонезия 2026'!F42+(0.08*LN(1+0.5*'Ход 2026'!C48)*MAX(0,1-('Индонезия 2026'!C42+'Индонезия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8.6435946441648994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2026'!B44+'Индонезия 2026'!D44+('Индонезия 2026'!C44+'Индонезия 2026'!F44+'Индонезия 2026'!G44)+(0.35*LN(1+0.6*'Ход 2026'!B50)*POWER(MAX(0,1-'Индонезия 2026'!I44/10),0.7))))</f>
        <v>6.7788890791791241</v>
      </c>
      <c r="C44" s="3">
        <f>MIN(1,(MIN(1,'Индонезия 2026'!C44+'Индонезия 2026'!F44+(0.08*LN(1+0.5*'Ход 2026'!C50)*MAX(0,1-('Индонезия 2026'!C44+'Индонезия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6.7788890791791241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2026'!B45+'Индонезия 2026'!D45+('Индонезия 2026'!C45+'Индонезия 2026'!F45+'Индонезия 2026'!G45)+(0.35*LN(1+0.6*'Ход 2026'!B51)*POWER(MAX(0,1-'Индонезия 2026'!I45/10),0.7))))</f>
        <v>6.7788890791791241</v>
      </c>
      <c r="C45" s="3">
        <f>MIN(1,(MIN(1,'Индонезия 2026'!C45+'Индонезия 2026'!F45+(0.08*LN(1+0.5*'Ход 2026'!C51)*MAX(0,1-('Индонезия 2026'!C45+'Индонезия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6.7788890791791241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2026'!B46+'Индонезия 2026'!D46+('Индонезия 2026'!C46+'Индонезия 2026'!F46+'Индонезия 2026'!G46)+(0.35*LN(1+0.6*'Ход 2026'!B52)*POWER(MAX(0,1-'Индонезия 2026'!I46/10),0.7))))</f>
        <v>6.7788890791791241</v>
      </c>
      <c r="C46" s="3">
        <f>MIN(1,(MIN(1,'Индонезия 2026'!C46+'Индонезия 2026'!F46+(0.08*LN(1+0.5*'Ход 2026'!C52)*MAX(0,1-('Индонезия 2026'!C46+'Индонезия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6.7788890791791241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2026'!B47+'Индонезия 2026'!D47+('Индонезия 2026'!C47+'Индонезия 2026'!F47+'Индонезия 2026'!G47)+(0.35*LN(1+0.6*'Ход 2026'!B53)*POWER(MAX(0,1-'Индонезия 2026'!I47/10),0.7))))</f>
        <v>7.2208197083824759</v>
      </c>
      <c r="C47" s="3">
        <f>MIN(1,(MIN(1,'Индонезия 2026'!C47+'Индонезия 2026'!F47+(0.08*LN(1+0.5*'Ход 2026'!C53)*MAX(0,1-('Индонезия 2026'!C47+'Индонезия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7.2208197083824759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2026'!B48+'Индонезия 2026'!D48+('Индонезия 2026'!C48+'Индонезия 2026'!F48+'Индонезия 2026'!G48)+(0.35*LN(1+0.6*'Ход 2026'!#REF!)*POWER(MAX(0,1-'Индонезия 2026'!I48/10),0.7))))</f>
        <v>#REF!</v>
      </c>
      <c r="C48" s="3">
        <f>MIN(1,(MIN(1,'Индонезия 2026'!C48+'Индонезия 2026'!F48+(0.08*LN(1+0.5*'Ход 2026'!C54)*MAX(0,1-('Индонезия 2026'!C48+'Индонезия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2026'!B49+'Индонезия 2026'!D49+('Индонезия 2026'!C49+'Индонезия 2026'!F49+'Индонезия 2026'!G49)+(0.35*LN(1+0.6*'Ход 2026'!B54)*POWER(MAX(0,1-'Индонезия 2026'!I49/10),0.7))))</f>
        <v>8.3533200137544661</v>
      </c>
      <c r="C49" s="3">
        <f>MIN(1,(MIN(1,'Индонезия 2026'!C49+'Индонезия 2026'!F49+(0.08*LN(1+0.5*'Ход 2026'!C55)*MAX(0,1-('Индонезия 2026'!C49+'Индонезия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8.3533200137544661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2026'!B50+'Индонезия 2026'!D50+('Индонезия 2026'!C50+'Индонезия 2026'!F50+'Индонезия 2026'!G50)+(0.35*LN(1+0.6*'Ход 2026'!B56)*POWER(MAX(0,1-'Индонезия 2026'!I50/10),0.7))))</f>
        <v>10</v>
      </c>
      <c r="C50" s="3">
        <f>MIN(1,(MIN(1,'Индонезия 2026'!C50+'Индонезия 2026'!F50+(0.08*LN(1+0.5*'Ход 2026'!C56)*MAX(0,1-('Индонезия 2026'!C50+'Индонезия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2026'!B51+'Индонезия 2026'!D51+('Индонезия 2026'!C51+'Индонезия 2026'!F51+'Индонезия 2026'!G51)+(0.35*LN(1+0.6*'Ход 2026'!B57)*POWER(MAX(0,1-'Индонезия 2026'!I51/10),0.7))))</f>
        <v>6.8288890791791239</v>
      </c>
      <c r="C51" s="3">
        <f>MIN(1,(MIN(1,'Индонезия 2026'!C51+'Индонезия 2026'!F51+(0.08*LN(1+0.5*'Ход 2026'!C57)*MAX(0,1-('Индонезия 2026'!C51+'Индонезия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6.8288890791791239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2026'!B53+'Индонезия 2026'!D53+('Индонезия 2026'!C53+'Индонезия 2026'!F53+'Индонезия 2026'!G53)+(0.35*LN(1+0.6*'Ход 2026'!B58)*POWER(MAX(0,1-'Индонезия 2026'!I53/10),0.7))))</f>
        <v>6.3366186178916228</v>
      </c>
      <c r="C53" s="3">
        <f>MIN(1,(MIN(1,'Индонезия 2026'!C53+'Индонезия 2026'!F53+(0.08*LN(1+0.5*'Ход 2026'!C59)*MAX(0,1-('Индонезия 2026'!C53+'Индонезия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6.3366186178916228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2026'!B54+'Индонезия 2026'!D54+('Индонезия 2026'!C54+'Индонезия 2026'!F54+'Индонезия 2026'!G54)+(0.35*LN(1+0.6*'Ход 2026'!B60)*POWER(MAX(0,1-'Индонезия 2026'!I54/10),0.7))))</f>
        <v>6.3366186178916228</v>
      </c>
      <c r="C54" s="3">
        <f>MIN(1,(MIN(1,'Индонезия 2026'!C54+'Индонезия 2026'!F54+(0.08*LN(1+0.5*'Ход 2026'!C60)*MAX(0,1-('Индонезия 2026'!C54+'Индонезия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6.3366186178916228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2026'!B55+'Индонезия 2026'!D55+('Индонезия 2026'!C55+'Индонезия 2026'!F55+'Индонезия 2026'!G55)+(0.35*LN(1+0.6*'Ход 2026'!B61)*POWER(MAX(0,1-'Индонезия 2026'!I55/10),0.7))))</f>
        <v>5.7940628244860299</v>
      </c>
      <c r="C55" s="3">
        <f>MIN(1,(MIN(1,'Индонезия 2026'!C55+'Индонезия 2026'!F55+(0.08*LN(1+0.5*'Ход 2026'!C61)*MAX(0,1-('Индонезия 2026'!C55+'Индонезия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5.7940628244860299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2027'!U6</f>
        <v>87.835047418343223</v>
      </c>
      <c r="C6" s="3"/>
      <c r="D6" s="3"/>
      <c r="E6" s="3" t="s">
        <v>321</v>
      </c>
      <c r="F6" s="3" t="e">
        <f>'Индонезия 2027'!K6</f>
        <v>#REF!</v>
      </c>
      <c r="G6" s="3"/>
      <c r="H6" s="3"/>
      <c r="I6" s="3" t="s">
        <v>321</v>
      </c>
      <c r="J6" s="3">
        <f>'Индонезия 2027'!N6</f>
        <v>81.330689489064568</v>
      </c>
      <c r="K6" s="3"/>
      <c r="L6" s="3"/>
      <c r="M6" s="3" t="s">
        <v>321</v>
      </c>
      <c r="N6" s="3">
        <f>'Индонезия 2027'!Q6</f>
        <v>71.066650821440746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87.835047418343223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81.330689489064568</v>
      </c>
      <c r="K8" s="3" t="str">
        <f>IF(J8&lt;0,"ПРЕВЫШЕНИЕ","OK")</f>
        <v>OK</v>
      </c>
      <c r="L8" s="3"/>
      <c r="M8" s="3" t="s">
        <v>323</v>
      </c>
      <c r="N8" s="3">
        <f>N6-N7</f>
        <v>71.066650821440746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2027'!V11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2027'!V12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2027'!V13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2027'!V14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2027'!V15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2027'!V16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2027'!V17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2027'!V18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2027'!V19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2027'!V20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2027'!V21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2027'!V22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'Индонезия 2027'!V23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2027'!V24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2027'!V25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84.254953651676999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73.22959693573759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89.345869642287795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2027'!B8+'Индонезия 2027'!D8+('Индонезия 2027'!C8+'Индонезия 2027'!F8+'Индонезия 2027'!G8)+(0.35*LN(1+0.6*('Ход 2027'!B14*(1+'Эффекты технологий'!K$12)))*POWER(MAX(0,1-'Индонезия 2027'!I8/10),0.7))))</f>
        <v>9.1968107313668739</v>
      </c>
      <c r="C8" s="3">
        <f>MIN(1,(MIN(1,'Индонезия 2027'!C8+'Индонезия 2027'!F8+(0.08*LN(1+0.5*('Ход 2027'!C14*(1+'Эффекты технологий'!K$12)))*MAX(0,1-('Индонезия 2027'!C8+'Индонезия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9.1968107313668739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2027'!B9+'Индонезия 2027'!D9+('Индонезия 2027'!C9+'Индонезия 2027'!F9+'Индонезия 2027'!G9)+(0.35*LN(1+0.6*('Ход 2027'!B15*(1+'Эффекты технологий'!K$12)))*POWER(MAX(0,1-'Индонезия 2027'!I9/10),0.7))))</f>
        <v>6.105412888963893</v>
      </c>
      <c r="C9" s="3">
        <f>MIN(1,(MIN(1,'Индонезия 2027'!C9+'Индонезия 2027'!F9+(0.08*LN(1+0.5*('Ход 2027'!C15*(1+'Эффекты технологий'!K$12)))*MAX(0,1-('Индонезия 2027'!C9+'Индонезия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6.105412888963893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2027'!B10+'Индонезия 2027'!D10+('Индонезия 2027'!C10+'Индонезия 2027'!F10+'Индонезия 2027'!G10)+(0.35*LN(1+0.6*('Ход 2027'!B16*(1+'Эффекты технологий'!K$12)))*POWER(MAX(0,1-'Индонезия 2027'!I10/10),0.7))))</f>
        <v>8.3731249250628661</v>
      </c>
      <c r="C10" s="3">
        <f>MIN(1,(MIN(1,'Индонезия 2027'!C10+'Индонезия 2027'!F10+(0.08*LN(1+0.5*('Ход 2027'!C16*(1+'Эффекты технологий'!K$12)))*MAX(0,1-('Индонезия 2027'!C10+'Индонезия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8.3731249250628661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2027'!B11+'Индонезия 2027'!D11+('Индонезия 2027'!C11+'Индонезия 2027'!F11+'Индонезия 2027'!G11)+(0.35*LN(1+0.6*('Ход 2027'!B17*(1+'Эффекты технологий'!K$12)))*POWER(MAX(0,1-'Индонезия 2027'!I11/10),0.7))))</f>
        <v>8.2731249250628682</v>
      </c>
      <c r="C11" s="3">
        <f>MIN(1,(MIN(1,'Индонезия 2027'!C11+'Индонезия 2027'!F11+(0.08*LN(1+0.5*('Ход 2027'!C17*(1+'Эффекты технологий'!K$12)))*MAX(0,1-('Индонезия 2027'!C11+'Индонезия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8.2731249250628682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2027'!L11+'Индонезия 2027'!N11+('Индонезия 2027'!M11+'Индонезия 2027'!P11+'Индонезия 2027'!Q11)))</f>
        <v>7.2924020562757512</v>
      </c>
      <c r="M11" s="3">
        <f>MIN(1,(MIN(1,'Индонезия 2027'!M11+'Индонезия 2027'!P11+(0.1*LN(1+0.5*('Ход 2027'!H13*(1+'Эффекты технологий'!K$10)))*POWER(MAX(0,1-'Индонезия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7.2924020562757512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2027'!V11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2027'!B12+'Индонезия 2027'!D12+('Индонезия 2027'!C12+'Индонезия 2027'!F12+'Индонезия 2027'!G12)+(0.35*LN(1+0.6*('Ход 2027'!B18*(1+'Эффекты технологий'!K$12)))*POWER(MAX(0,1-'Индонезия 2027'!I12/10),0.7))))</f>
        <v>9.2358910416053952</v>
      </c>
      <c r="C12" s="3">
        <f>MIN(1,(MIN(1,'Индонезия 2027'!C12+'Индонезия 2027'!F12+(0.08*LN(1+0.5*('Ход 2027'!C18*(1+'Эффекты технологий'!K$12)))*MAX(0,1-('Индонезия 2027'!C12+'Индонезия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9.2358910416053952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2027'!L12+'Индонезия 2027'!N12+('Индонезия 2027'!M12+'Индонезия 2027'!P12+'Индонезия 2027'!Q12)))</f>
        <v>7.1924020562757516</v>
      </c>
      <c r="M12" s="3">
        <f>MIN(1,(MIN(1,'Индонезия 2027'!M12+'Индонезия 2027'!P12+(0.1*LN(1+0.5*('Ход 2027'!H14*(1+'Эффекты технологий'!K$10)))*POWER(MAX(0,1-'Индонезия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7.1924020562757516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2027'!V12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2027'!B13+'Индонезия 2027'!D13+('Индонезия 2027'!C13+'Индонезия 2027'!F13+'Индонезия 2027'!G13)+(0.35*LN(1+0.6*('Ход 2027'!B19*(1+'Эффекты технологий'!K$12)))*POWER(MAX(0,1-'Индонезия 2027'!I13/10),0.7))))</f>
        <v>2.9082533175883993</v>
      </c>
      <c r="C13" s="3">
        <f>MIN(1,(MIN(1,'Индонезия 2027'!C13+'Индонезия 2027'!F13+(0.08*LN(1+0.5*('Ход 2027'!C19*(1+'Эффекты технологий'!K$12)))*MAX(0,1-('Индонезия 2027'!C13+'Индонезия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2.9082533175883993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2027'!L13+'Индонезия 2027'!N13+('Индонезия 2027'!M13+'Индонезия 2027'!P13+'Индонезия 2027'!Q13)))</f>
        <v>7.1598563033965652</v>
      </c>
      <c r="M13" s="3">
        <f>MIN(1,(MIN(1,'Индонезия 2027'!M13+'Индонезия 2027'!P13+(0.1*LN(1+0.5*('Ход 2027'!H15*(1+'Эффекты технологий'!K$10)))*POWER(MAX(0,1-'Индонезия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7.1598563033965652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2027'!V13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2027'!B14+'Индонезия 2027'!D14+('Индонезия 2027'!C14+'Индонезия 2027'!F14+'Индонезия 2027'!G14)+(0.35*LN(1+0.6*('Ход 2027'!B20*(1+'Эффекты технологий'!K$12)))*POWER(MAX(0,1-'Индонезия 2027'!I14/10),0.7))))</f>
        <v>4.9393355625513502</v>
      </c>
      <c r="C14" s="3">
        <f>MIN(1,(MIN(1,'Индонезия 2027'!C14+'Индонезия 2027'!F14+(0.08*LN(1+0.5*('Ход 2027'!C20*(1+'Эффекты технологий'!K$12)))*MAX(0,1-('Индонезия 2027'!C14+'Индонезия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5.1393355625513504</v>
      </c>
      <c r="J14" s="10">
        <f>SUMIFS('Эффекты технологий'!$L$25:$L$240,'Эффекты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2027'!L14+'Индонезия 2027'!N14+('Индонезия 2027'!M14+'Индонезия 2027'!P14+'Индонезия 2027'!Q14)))</f>
        <v>7.2773631498559546</v>
      </c>
      <c r="M14" s="3">
        <f>MIN(1,(MIN(1,'Индонезия 2027'!M14+'Индонезия 2027'!P14+(0.1*LN(1+0.5*('Ход 2027'!H16*(1+'Эффекты технологий'!K$10)))*POWER(MAX(0,1-'Индонезия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7.2773631498559546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2027'!V14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2027'!B15+'Индонезия 2027'!D15+('Индонезия 2027'!C15+'Индонезия 2027'!F15+'Индонезия 2027'!G15)+(0.35*LN(1+0.6*('Ход 2027'!B21*(1+'Эффекты технологий'!K$12)))*POWER(MAX(0,1-'Индонезия 2027'!I15/10),0.7))))</f>
        <v>7.3728193628136856</v>
      </c>
      <c r="C15" s="3">
        <f>MIN(1,(MIN(1,'Индонезия 2027'!C15+'Индонезия 2027'!F15+(0.08*LN(1+0.5*('Ход 2027'!C21*(1+'Эффекты технологий'!K$12)))*MAX(0,1-('Индонезия 2027'!C15+'Индонезия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7.3728193628136856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2027'!L15+'Индонезия 2027'!N15+('Индонезия 2027'!M15+'Индонезия 2027'!P15+'Индонезия 2027'!Q15)))</f>
        <v>6.0945909787818477</v>
      </c>
      <c r="M15" s="3">
        <f>MIN(1,(MIN(1,'Индонезия 2027'!M15+'Индонезия 2027'!P15+(0.1*LN(1+0.5*('Ход 2027'!H17*(1+'Эффекты технологий'!K$10)))*POWER(MAX(0,1-'Индонезия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6.0945909787818477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2027'!V15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2027'!B16+'Индонезия 2027'!D16+('Индонезия 2027'!C16+'Индонезия 2027'!F16+'Индонезия 2027'!G16)+(0.35*LN(1+0.6*('Ход 2027'!B22*(1+'Эффекты технологий'!K$12)))*POWER(MAX(0,1-'Индонезия 2027'!I16/10),0.7))))</f>
        <v>7.7484183436492291</v>
      </c>
      <c r="C16" s="3">
        <f>MIN(1,(MIN(1,'Индонезия 2027'!C16+'Индонезия 2027'!F16+(0.08*LN(1+0.5*('Ход 2027'!C22*(1+'Эффекты технологий'!K$12)))*MAX(0,1-('Индонезия 2027'!C16+'Индонезия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7.7484183436492291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2027'!L16+'Индонезия 2027'!N16+('Индонезия 2027'!M16+'Индонезия 2027'!P16+'Индонезия 2027'!Q16)))</f>
        <v>8.2413257661813244</v>
      </c>
      <c r="M16" s="3">
        <f>MIN(1,(MIN(1,'Индонезия 2027'!M16+'Индонезия 2027'!P16+(0.1*LN(1+0.5*('Ход 2027'!H18*(1+'Эффекты технологий'!K$10)))*POWER(MAX(0,1-'Индонезия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8.2413257661813244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2027'!V16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2027'!B17+'Индонезия 2027'!D17+('Индонезия 2027'!C17+'Индонезия 2027'!F17+'Индонезия 2027'!G17)+(0.35*LN(1+0.6*('Ход 2027'!B23*(1+'Эффекты технологий'!K$12)))*POWER(MAX(0,1-'Индонезия 2027'!I17/10),0.7))))</f>
        <v>7.4708197083824759</v>
      </c>
      <c r="C17" s="3">
        <f>MIN(1,(MIN(1,'Индонезия 2027'!C17+'Индонезия 2027'!F17+(0.08*LN(1+0.5*('Ход 2027'!C23*(1+'Эффекты технологий'!K$12)))*MAX(0,1-('Индонезия 2027'!C17+'Индонезия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7.4708197083824759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2027'!L17+'Индонезия 2027'!N17+('Индонезия 2027'!M17+'Индонезия 2027'!P17+'Индонезия 2027'!Q17)))</f>
        <v>8.2413257661813244</v>
      </c>
      <c r="M17" s="3">
        <f>MIN(1,(MIN(1,'Индонезия 2027'!M17+'Индонезия 2027'!P17+(0.1*LN(1+0.5*('Ход 2027'!H19*(1+'Эффекты технологий'!K$10)))*POWER(MAX(0,1-'Индонезия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8.2413257661813244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2027'!V17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2027'!L18+'Индонезия 2027'!N18+('Индонезия 2027'!M18+'Индонезия 2027'!P18+'Индонезия 2027'!Q18)))</f>
        <v>9.4109856424784297</v>
      </c>
      <c r="M18" s="3">
        <f>MIN(1,(MIN(1,'Индонезия 2027'!M18+'Индонезия 2027'!P18+(0.1*LN(1+0.5*('Ход 2027'!H20*(1+'Эффекты технологий'!K$10)))*POWER(MAX(0,1-'Индонезия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9.4109856424784297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2027'!V18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2027'!B19+'Индонезия 2027'!D19+('Индонезия 2027'!C19+'Индонезия 2027'!F19+'Индонезия 2027'!G19)+(0.35*LN(1+0.6*'Ход 2027'!B25)*POWER(MAX(0,1-'Индонезия 2027'!I19/10),0.7))))</f>
        <v>6.5866186178916228</v>
      </c>
      <c r="C19" s="3">
        <f>MIN(1,(MIN(1,'Индонезия 2027'!C19+'Индонезия 2027'!F19+(0.08*LN(1+0.5*'Ход 2027'!C25)*MAX(0,1-('Индонезия 2027'!C19+'Индонезия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6.5866186178916228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2027'!V19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2027'!B20+'Индонезия 2027'!D20+('Индонезия 2027'!C20+'Индонезия 2027'!F20+'Индонезия 2027'!G20)+(0.35*LN(1+0.6*'Ход 2027'!B26)*POWER(MAX(0,1-'Индонезия 2027'!I20/10),0.7))))</f>
        <v>6.6866186178916225</v>
      </c>
      <c r="C20" s="3">
        <f>MIN(1,(MIN(1,'Индонезия 2027'!C20+'Индонезия 2027'!F20+(0.08*LN(1+0.5*'Ход 2027'!C26)*MAX(0,1-('Индонезия 2027'!C20+'Индонезия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6.6866186178916225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2027'!V20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2027'!B21+'Индонезия 2027'!D21+('Индонезия 2027'!C21+'Индонезия 2027'!F21+'Индонезия 2027'!G21)+(0.35*LN(1+0.6*'Ход 2027'!B27)*POWER(MAX(0,1-'Индонезия 2027'!I21/10),0.7))))</f>
        <v>6.1940628244860294</v>
      </c>
      <c r="C21" s="3">
        <f>MIN(1,(MIN(1,'Индонезия 2027'!C21+'Индонезия 2027'!F21+(0.08*LN(1+0.5*'Ход 2027'!C27)*MAX(0,1-('Индонезия 2027'!C21+'Индонезия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6.1940628244860294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2027'!V21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2027'!B22+'Индонезия 2027'!D22+('Индонезия 2027'!C22+'Индонезия 2027'!F22+'Индонезия 2027'!G22)+(0.35*LN(1+0.6*'Ход 2027'!B28)*POWER(MAX(0,1-'Индонезия 2027'!I22/10),0.7))))</f>
        <v>6.9788890791791243</v>
      </c>
      <c r="C22" s="3">
        <f>MIN(1,(MIN(1,'Индонезия 2027'!C22+'Индонезия 2027'!F22+(0.08*LN(1+0.5*'Ход 2027'!C28)*MAX(0,1-('Индонезия 2027'!C22+'Индонезия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6.9788890791791243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2027'!V22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2027'!B23+'Индонезия 2027'!D23+('Индонезия 2027'!C23+'Индонезия 2027'!F23+'Индонезия 2027'!G23)+(0.35*LN(1+0.6*'Ход 2027'!B29)*POWER(MAX(0,1-'Индонезия 2027'!I23/10),0.7))))</f>
        <v>6.5866186178916228</v>
      </c>
      <c r="C23" s="3">
        <f>MIN(1,(MIN(1,'Индонезия 2027'!C23+'Индонезия 2027'!F23+(0.08*LN(1+0.5*'Ход 2027'!C29)*MAX(0,1-('Индонезия 2027'!C23+'Индонезия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6.5866186178916228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2027'!V23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2027'!V24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2027'!B25+'Индонезия 2027'!D25+('Индонезия 2027'!C25+'Индонезия 2027'!F25+'Индонезия 2027'!G25)+(0.35*LN(1+0.6*'Ход 2027'!B31)*POWER(MAX(0,1-'Индонезия 2027'!I25/10),0.7))))</f>
        <v>8.7435946441648991</v>
      </c>
      <c r="C25" s="3">
        <f>MIN(1,(MIN(1,'Индонезия 2027'!C25+'Индонезия 2027'!F25+(0.08*LN(1+0.5*'Ход 2027'!C31)*MAX(0,1-('Индонезия 2027'!C25+'Индонезия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8.7435946441648991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2027'!V25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2027'!B26+'Индонезия 2027'!D26+('Индонезия 2027'!C26+'Индонезия 2027'!F26+'Индонезия 2027'!G26)+(0.35*LN(1+0.6*'Ход 2027'!B32)*POWER(MAX(0,1-'Индонезия 2027'!I26/10),0.7))))</f>
        <v>7.0788890791791239</v>
      </c>
      <c r="C26" s="3">
        <f>MIN(1,(MIN(1,'Индонезия 2027'!C26+'Индонезия 2027'!F26+(0.08*LN(1+0.5*'Ход 2027'!C32)*MAX(0,1-('Индонезия 2027'!C26+'Индонезия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7.0788890791791239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2027'!B27+'Индонезия 2027'!D27+('Индонезия 2027'!C27+'Индонезия 2027'!F27+'Индонезия 2027'!G27)+(0.35*LN(1+0.6*'Ход 2027'!B33)*POWER(MAX(0,1-'Индонезия 2027'!I27/10),0.7))))</f>
        <v>7.4708197083824759</v>
      </c>
      <c r="C27" s="3">
        <f>MIN(1,(MIN(1,'Индонезия 2027'!C27+'Индонезия 2027'!F27+(0.08*LN(1+0.5*'Ход 2027'!C33)*MAX(0,1-('Индонезия 2027'!C27+'Индонезия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7.4708197083824759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2027'!B28+'Индонезия 2027'!D28+('Индонезия 2027'!C28+'Индонезия 2027'!F28+'Индонезия 2027'!G28)+(0.35*LN(1+0.6*'Ход 2027'!B34)*POWER(MAX(0,1-'Индонезия 2027'!I28/10),0.7))))</f>
        <v>6.6866186178916225</v>
      </c>
      <c r="C28" s="3">
        <f>MIN(1,(MIN(1,'Индонезия 2027'!C28+'Индонезия 2027'!F28+(0.08*LN(1+0.5*'Ход 2027'!C34)*MAX(0,1-('Индонезия 2027'!C28+'Индонезия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6.6866186178916225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2027'!B29+'Индонезия 2027'!D29+('Индонезия 2027'!C29+'Индонезия 2027'!F29+'Индонезия 2027'!G29)+(0.35*LN(1+0.6*'Ход 2027'!B35)*POWER(MAX(0,1-'Индонезия 2027'!I29/10),0.7))))</f>
        <v>6.5866186178916228</v>
      </c>
      <c r="C29" s="3">
        <f>MIN(1,(MIN(1,'Индонезия 2027'!C29+'Индонезия 2027'!F29+(0.08*LN(1+0.5*'Ход 2027'!C35)*MAX(0,1-('Индонезия 2027'!C29+'Индонезия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6.5866186178916228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2027'!B30+'Индонезия 2027'!D30+('Индонезия 2027'!C30+'Индонезия 2027'!F30+'Индонезия 2027'!G30)+(0.35*LN(1+0.6*'Ход 2027'!B36)*POWER(MAX(0,1-'Индонезия 2027'!I30/10),0.7))))</f>
        <v>6.4866186178916232</v>
      </c>
      <c r="C30" s="3">
        <f>MIN(1,(MIN(1,'Индонезия 2027'!C30+'Индонезия 2027'!F30+(0.08*LN(1+0.5*'Ход 2027'!C36)*MAX(0,1-('Индонезия 2027'!C30+'Индонезия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6.4866186178916232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2027'!B31+'Индонезия 2027'!D31+('Индонезия 2027'!C31+'Индонезия 2027'!F31+'Индонезия 2027'!G31)+(0.35*LN(1+0.6*'Ход 2027'!B37)*POWER(MAX(0,1-'Индонезия 2027'!I31/10),0.7))))</f>
        <v>6.4866186178916232</v>
      </c>
      <c r="C31" s="3">
        <f>MIN(1,(MIN(1,'Индонезия 2027'!C31+'Индонезия 2027'!F31+(0.08*LN(1+0.5*'Ход 2027'!C37)*MAX(0,1-('Индонезия 2027'!C31+'Индонезия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6.4866186178916232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2027'!B32+'Индонезия 2027'!D32+('Индонезия 2027'!C32+'Индонезия 2027'!F32+'Индонезия 2027'!G32)+(0.35*LN(1+0.6*'Ход 2027'!B38)*POWER(MAX(0,1-'Индонезия 2027'!I32/10),0.7))))</f>
        <v>7.0788890791791239</v>
      </c>
      <c r="C32" s="3">
        <f>MIN(1,(MIN(1,'Индонезия 2027'!C32+'Индонезия 2027'!F32+(0.08*LN(1+0.5*'Ход 2027'!C38)*MAX(0,1-('Индонезия 2027'!C32+'Индонезия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7.0788890791791239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2027'!B34+'Индонезия 2027'!D34+('Индонезия 2027'!C34+'Индонезия 2027'!F34+'Индонезия 2027'!G34)+(0.35*LN(1+0.6*'Ход 2027'!B40)*POWER(MAX(0,1-'Индонезия 2027'!I34/10),0.7))))</f>
        <v>8.0623343251271802</v>
      </c>
      <c r="C34" s="3">
        <f>MIN(1,(MIN(1,'Индонезия 2027'!C34+'Индонезия 2027'!F34+(0.08*LN(1+0.5*'Ход 2027'!C40)*MAX(0,1-('Индонезия 2027'!C34+'Индонезия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8.0623343251271802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2027'!B35+'Индонезия 2027'!D35+('Индонезия 2027'!C35+'Индонезия 2027'!F35+'Индонезия 2027'!G35)+(0.35*LN(1+0.6*'Ход 2027'!B41)*POWER(MAX(0,1-'Индонезия 2027'!I35/10),0.7))))</f>
        <v>7.8623343251271809</v>
      </c>
      <c r="C35" s="3">
        <f>MIN(1,(MIN(1,'Индонезия 2027'!C35+'Индонезия 2027'!F35+(0.08*LN(1+0.5*'Ход 2027'!C41)*MAX(0,1-('Индонезия 2027'!C35+'Индонезия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7.8623343251271809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2027'!B36+'Индонезия 2027'!D36+('Индонезия 2027'!C36+'Индонезия 2027'!F36+'Индонезия 2027'!G36)+(0.35*LN(1+0.6*'Ход 2027'!B42)*POWER(MAX(0,1-'Индонезия 2027'!I36/10),0.7))))</f>
        <v>8.1623343251271798</v>
      </c>
      <c r="C36" s="3">
        <f>MIN(1,(MIN(1,'Индонезия 2027'!C36+'Индонезия 2027'!F36+(0.08*LN(1+0.5*'Ход 2027'!C42)*MAX(0,1-('Индонезия 2027'!C36+'Индонезия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8.1623343251271798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2027'!B37+'Индонезия 2027'!D37+('Индонезия 2027'!C37+'Индонезия 2027'!F37+'Индонезия 2027'!G37)+(0.35*LN(1+0.6*'Ход 2027'!B43)*POWER(MAX(0,1-'Индонезия 2027'!I37/10),0.7))))</f>
        <v>7.1788890791791236</v>
      </c>
      <c r="C37" s="3">
        <f>MIN(1,(MIN(1,'Индонезия 2027'!C37+'Индонезия 2027'!F37+(0.08*LN(1+0.5*'Ход 2027'!C43)*MAX(0,1-('Индонезия 2027'!C37+'Индонезия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7.1788890791791236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2027'!B38+'Индонезия 2027'!D38+('Индонезия 2027'!C38+'Индонезия 2027'!F38+'Индонезия 2027'!G38)+(0.35*LN(1+0.6*'Ход 2027'!B44)*POWER(MAX(0,1-'Индонезия 2027'!I38/10),0.7))))</f>
        <v>7.0788890791791239</v>
      </c>
      <c r="C38" s="3">
        <f>MIN(1,(MIN(1,'Индонезия 2027'!C38+'Индонезия 2027'!F38+(0.08*LN(1+0.5*'Ход 2027'!C44)*MAX(0,1-('Индонезия 2027'!C38+'Индонезия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7.0788890791791239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2027'!B39+'Индонезия 2027'!D39+('Индонезия 2027'!C39+'Индонезия 2027'!F39+'Индонезия 2027'!G39)+(0.35*LN(1+0.6*'Ход 2027'!B45)*POWER(MAX(0,1-'Индонезия 2027'!I39/10),0.7))))</f>
        <v>8.0623343251271802</v>
      </c>
      <c r="C39" s="3">
        <f>MIN(1,(MIN(1,'Индонезия 2027'!C39+'Индонезия 2027'!F39+(0.08*LN(1+0.5*'Ход 2027'!C45)*MAX(0,1-('Индонезия 2027'!C39+'Индонезия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8.0623343251271802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2027'!B40+'Индонезия 2027'!D40+('Индонезия 2027'!C40+'Индонезия 2027'!F40+'Индонезия 2027'!G40)+(0.35*LN(1+0.6*'Ход 2027'!B46)*POWER(MAX(0,1-'Индонезия 2027'!I40/10),0.7))))</f>
        <v>7.5708197083824755</v>
      </c>
      <c r="C40" s="3">
        <f>MIN(1,(MIN(1,'Индонезия 2027'!C40+'Индонезия 2027'!F40+(0.08*LN(1+0.5*'Ход 2027'!C46)*MAX(0,1-('Индонезия 2027'!C40+'Индонезия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7.5708197083824755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2027'!B41+'Индонезия 2027'!D41+('Индонезия 2027'!C41+'Индонезия 2027'!F41+'Индонезия 2027'!G41)+(0.35*LN(1+0.6*'Ход 2027'!B47)*POWER(MAX(0,1-'Индонезия 2027'!I41/10),0.7))))</f>
        <v>7.5708197083824755</v>
      </c>
      <c r="C41" s="3">
        <f>MIN(1,(MIN(1,'Индонезия 2027'!C41+'Индонезия 2027'!F41+(0.08*LN(1+0.5*'Ход 2027'!C47)*MAX(0,1-('Индонезия 2027'!C41+'Индонезия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7.5708197083824755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2027'!B42+'Индонезия 2027'!D42+('Индонезия 2027'!C42+'Индонезия 2027'!F42+'Индонезия 2027'!G42)+(0.35*LN(1+0.6*'Ход 2027'!B48)*POWER(MAX(0,1-'Индонезия 2027'!I42/10),0.7))))</f>
        <v>8.7435946441648991</v>
      </c>
      <c r="C42" s="3">
        <f>MIN(1,(MIN(1,'Индонезия 2027'!C42+'Индонезия 2027'!F42+(0.08*LN(1+0.5*'Ход 2027'!C48)*MAX(0,1-('Индонезия 2027'!C42+'Индонезия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8.7435946441648991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2027'!B44+'Индонезия 2027'!D44+('Индонезия 2027'!C44+'Индонезия 2027'!F44+'Индонезия 2027'!G44)+(0.35*LN(1+0.6*'Ход 2027'!B50)*POWER(MAX(0,1-'Индонезия 2027'!I44/10),0.7))))</f>
        <v>6.9788890791791243</v>
      </c>
      <c r="C44" s="3">
        <f>MIN(1,(MIN(1,'Индонезия 2027'!C44+'Индонезия 2027'!F44+(0.08*LN(1+0.5*'Ход 2027'!C50)*MAX(0,1-('Индонезия 2027'!C44+'Индонезия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6.9788890791791243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2027'!B45+'Индонезия 2027'!D45+('Индонезия 2027'!C45+'Индонезия 2027'!F45+'Индонезия 2027'!G45)+(0.35*LN(1+0.6*'Ход 2027'!B51)*POWER(MAX(0,1-'Индонезия 2027'!I45/10),0.7))))</f>
        <v>6.9788890791791243</v>
      </c>
      <c r="C45" s="3">
        <f>MIN(1,(MIN(1,'Индонезия 2027'!C45+'Индонезия 2027'!F45+(0.08*LN(1+0.5*'Ход 2027'!C51)*MAX(0,1-('Индонезия 2027'!C45+'Индонезия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6.9788890791791243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2027'!B46+'Индонезия 2027'!D46+('Индонезия 2027'!C46+'Индонезия 2027'!F46+'Индонезия 2027'!G46)+(0.35*LN(1+0.6*'Ход 2027'!B52)*POWER(MAX(0,1-'Индонезия 2027'!I46/10),0.7))))</f>
        <v>6.9788890791791243</v>
      </c>
      <c r="C46" s="3">
        <f>MIN(1,(MIN(1,'Индонезия 2027'!C46+'Индонезия 2027'!F46+(0.08*LN(1+0.5*'Ход 2027'!C52)*MAX(0,1-('Индонезия 2027'!C46+'Индонезия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6.9788890791791243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2027'!B47+'Индонезия 2027'!D47+('Индонезия 2027'!C47+'Индонезия 2027'!F47+'Индонезия 2027'!G47)+(0.35*LN(1+0.6*'Ход 2027'!B53)*POWER(MAX(0,1-'Индонезия 2027'!I47/10),0.7))))</f>
        <v>7.3708197083824762</v>
      </c>
      <c r="C47" s="3">
        <f>MIN(1,(MIN(1,'Индонезия 2027'!C47+'Индонезия 2027'!F47+(0.08*LN(1+0.5*'Ход 2027'!C53)*MAX(0,1-('Индонезия 2027'!C47+'Индонезия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7.3708197083824762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2027'!B48+'Индонезия 2027'!D48+('Индонезия 2027'!C48+'Индонезия 2027'!F48+'Индонезия 2027'!G48)+(0.35*LN(1+0.6*'Ход 2027'!B54)*POWER(MAX(0,1-'Индонезия 2027'!I48/10),0.7))))</f>
        <v>#REF!</v>
      </c>
      <c r="C48" s="3">
        <f>MIN(1,(MIN(1,'Индонезия 2027'!C48+'Индонезия 2027'!F48+(0.08*LN(1+0.5*'Ход 2027'!C54)*MAX(0,1-('Индонезия 2027'!C48+'Индонезия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2027'!B49+'Индонезия 2027'!D49+('Индонезия 2027'!C49+'Индонезия 2027'!F49+'Индонезия 2027'!G49)+(0.35*LN(1+0.6*'Ход 2027'!B55)*POWER(MAX(0,1-'Индонезия 2027'!I49/10),0.7))))</f>
        <v>8.6533200137544668</v>
      </c>
      <c r="C49" s="3">
        <f>MIN(1,(MIN(1,'Индонезия 2027'!C49+'Индонезия 2027'!F49+(0.08*LN(1+0.5*'Ход 2027'!C55)*MAX(0,1-('Индонезия 2027'!C49+'Индонезия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8.6533200137544668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2027'!B50+'Индонезия 2027'!D50+('Индонезия 2027'!C50+'Индонезия 2027'!F50+'Индонезия 2027'!G50)+(0.35*LN(1+0.6*'Ход 2027'!B56)*POWER(MAX(0,1-'Индонезия 2027'!I50/10),0.7))))</f>
        <v>10</v>
      </c>
      <c r="C50" s="3">
        <f>MIN(1,(MIN(1,'Индонезия 2027'!C50+'Индонезия 2027'!F50+(0.08*LN(1+0.5*'Ход 2027'!C56)*MAX(0,1-('Индонезия 2027'!C50+'Индонезия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2027'!B51+'Индонезия 2027'!D51+('Индонезия 2027'!C51+'Индонезия 2027'!F51+'Индонезия 2027'!G51)+(0.35*LN(1+0.6*'Ход 2027'!B57)*POWER(MAX(0,1-'Индонезия 2027'!I51/10),0.7))))</f>
        <v>7.0788890791791239</v>
      </c>
      <c r="C51" s="3">
        <f>MIN(1,(MIN(1,'Индонезия 2027'!C51+'Индонезия 2027'!F51+(0.08*LN(1+0.5*'Ход 2027'!C57)*MAX(0,1-('Индонезия 2027'!C51+'Индонезия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7.0788890791791239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2027'!B53+'Индонезия 2027'!D53+('Индонезия 2027'!C53+'Индонезия 2027'!F53+'Индонезия 2027'!G53)+(0.35*LN(1+0.6*'Ход 2027'!B59)*POWER(MAX(0,1-'Индонезия 2027'!I53/10),0.7))))</f>
        <v>6.5866186178916228</v>
      </c>
      <c r="C53" s="3">
        <f>MIN(1,(MIN(1,'Индонезия 2027'!C53+'Индонезия 2027'!F53+(0.08*LN(1+0.5*'Ход 2027'!C59)*MAX(0,1-('Индонезия 2027'!C53+'Индонезия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6.5866186178916228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2027'!B54+'Индонезия 2027'!D54+('Индонезия 2027'!C54+'Индонезия 2027'!F54+'Индонезия 2027'!G54)+(0.35*LN(1+0.6*'Ход 2027'!B60)*POWER(MAX(0,1-'Индонезия 2027'!I54/10),0.7))))</f>
        <v>6.5866186178916228</v>
      </c>
      <c r="C54" s="3">
        <f>MIN(1,(MIN(1,'Индонезия 2027'!C54+'Индонезия 2027'!F54+(0.08*LN(1+0.5*'Ход 2027'!C60)*MAX(0,1-('Индонезия 2027'!C54+'Индонезия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6.5866186178916228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2027'!B55+'Индонезия 2027'!D55+('Индонезия 2027'!C55+'Индонезия 2027'!F55+'Индонезия 2027'!G55)+(0.35*LN(1+0.6*'Ход 2027'!B61)*POWER(MAX(0,1-'Индонезия 2027'!I55/10),0.7))))</f>
        <v>5.9940628244860301</v>
      </c>
      <c r="C55" s="3">
        <f>MIN(1,(MIN(1,'Индонезия 2027'!C55+'Индонезия 2027'!F55+(0.08*LN(1+0.5*'Ход 2027'!C61)*MAX(0,1-('Индонезия 2027'!C55+'Индонезия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5.9940628244860301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2028'!U6</f>
        <v>89.345869642287795</v>
      </c>
      <c r="C6" s="3"/>
      <c r="D6" s="3"/>
      <c r="E6" s="3" t="s">
        <v>321</v>
      </c>
      <c r="F6" s="3" t="e">
        <f>'Индонезия 2028'!K6</f>
        <v>#REF!</v>
      </c>
      <c r="G6" s="3"/>
      <c r="H6" s="3"/>
      <c r="I6" s="3" t="s">
        <v>321</v>
      </c>
      <c r="J6" s="3">
        <f>'Индонезия 2028'!N6</f>
        <v>84.254953651676999</v>
      </c>
      <c r="K6" s="3"/>
      <c r="L6" s="3"/>
      <c r="M6" s="3" t="s">
        <v>321</v>
      </c>
      <c r="N6" s="3">
        <f>'Индонезия 2028'!Q6</f>
        <v>73.22959693573759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89.345869642287795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84.254953651676999</v>
      </c>
      <c r="K8" s="3" t="str">
        <f>IF(J8&lt;0,"ПРЕВЫШЕНИЕ","OK")</f>
        <v>OK</v>
      </c>
      <c r="L8" s="3"/>
      <c r="M8" s="3" t="s">
        <v>323</v>
      </c>
      <c r="N8" s="3">
        <f>N6-N7</f>
        <v>73.22959693573759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2028'!V11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2028'!V12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2028'!V13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2028'!V14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2028'!V15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2028'!V16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2028'!V17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2028'!V18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2028'!V19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2028'!V20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2028'!V21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2028'!V22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'Индонезия 2028'!V23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2028'!V24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2028'!V25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86.960863604889951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75.359151956837138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90.776961485076981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2028'!B8+'Индонезия 2028'!D8+('Индонезия 2028'!C8+'Индонезия 2028'!F8+'Индонезия 2028'!G8)+(0.35*LN(1+0.6*('Ход 2028'!B14*(1+'Эффекты технологий'!L$12)))*POWER(MAX(0,1-'Индонезия 2028'!I8/10),0.7))))</f>
        <v>9.2468107313668746</v>
      </c>
      <c r="C8" s="3">
        <f>MIN(1,(MIN(1,'Индонезия 2028'!C8+'Индонезия 2028'!F8+(0.08*LN(1+0.5*('Ход 2028'!C14*(1+'Эффекты технологий'!L$12)))*MAX(0,1-('Индонезия 2028'!C8+'Индонезия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9.2468107313668746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2028'!B9+'Индонезия 2028'!D9+('Индонезия 2028'!C9+'Индонезия 2028'!F9+'Индонезия 2028'!G9)+(0.35*LN(1+0.6*('Ход 2028'!B15*(1+'Эффекты технологий'!L$12)))*POWER(MAX(0,1-'Индонезия 2028'!I9/10),0.7))))</f>
        <v>6.2554128889638934</v>
      </c>
      <c r="C9" s="3">
        <f>MIN(1,(MIN(1,'Индонезия 2028'!C9+'Индонезия 2028'!F9+(0.08*LN(1+0.5*('Ход 2028'!C15*(1+'Эффекты технологий'!L$12)))*MAX(0,1-('Индонезия 2028'!C9+'Индонезия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6.2554128889638934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2028'!B10+'Индонезия 2028'!D10+('Индонезия 2028'!C10+'Индонезия 2028'!F10+'Индонезия 2028'!G10)+(0.35*LN(1+0.6*('Ход 2028'!B16*(1+'Эффекты технологий'!L$12)))*POWER(MAX(0,1-'Индонезия 2028'!I10/10),0.7))))</f>
        <v>8.4731249250628657</v>
      </c>
      <c r="C10" s="3">
        <f>MIN(1,(MIN(1,'Индонезия 2028'!C10+'Индонезия 2028'!F10+(0.08*LN(1+0.5*('Ход 2028'!C16*(1+'Эффекты технологий'!L$12)))*MAX(0,1-('Индонезия 2028'!C10+'Индонезия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8.4731249250628657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2028'!B11+'Индонезия 2028'!D11+('Индонезия 2028'!C11+'Индонезия 2028'!F11+'Индонезия 2028'!G11)+(0.35*LN(1+0.6*('Ход 2028'!B17*(1+'Эффекты технологий'!L$12)))*POWER(MAX(0,1-'Индонезия 2028'!I11/10),0.7))))</f>
        <v>8.3231249250628689</v>
      </c>
      <c r="C11" s="3">
        <f>MIN(1,(MIN(1,'Индонезия 2028'!C11+'Индонезия 2028'!F11+(0.08*LN(1+0.5*('Ход 2028'!C17*(1+'Эффекты технологий'!L$12)))*MAX(0,1-('Индонезия 2028'!C11+'Индонезия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8.3231249250628689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2028'!L11+'Индонезия 2028'!N11+('Индонезия 2028'!M11+'Индонезия 2028'!P11+'Индонезия 2028'!Q11)))</f>
        <v>7.7348041125515028</v>
      </c>
      <c r="M11" s="3">
        <f>MIN(1,(MIN(1,'Индонезия 2028'!M11+'Индонезия 2028'!P11+(0.1*LN(1+0.5*('Ход 2028'!H13*(1+'Эффекты технологий'!L$10)))*POWER(MAX(0,1-'Индонезия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7.7348041125515028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2028'!V11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2028'!B12+'Индонезия 2028'!D12+('Индонезия 2028'!C12+'Индонезия 2028'!F12+'Индонезия 2028'!G12)+(0.35*LN(1+0.6*('Ход 2028'!B18*(1+'Эффекты технологий'!L$12)))*POWER(MAX(0,1-'Индонезия 2028'!I12/10),0.7))))</f>
        <v>9.2858910416053959</v>
      </c>
      <c r="C12" s="3">
        <f>MIN(1,(MIN(1,'Индонезия 2028'!C12+'Индонезия 2028'!F12+(0.08*LN(1+0.5*('Ход 2028'!C18*(1+'Эффекты технологий'!L$12)))*MAX(0,1-('Индонезия 2028'!C12+'Индонезия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9.2858910416053959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2028'!L12+'Индонезия 2028'!N12+('Индонезия 2028'!M12+'Индонезия 2028'!P12+'Индонезия 2028'!Q12)))</f>
        <v>7.5848041125515033</v>
      </c>
      <c r="M12" s="3">
        <f>MIN(1,(MIN(1,'Индонезия 2028'!M12+'Индонезия 2028'!P12+(0.1*LN(1+0.5*('Ход 2028'!H14*(1+'Эффекты технологий'!L$10)))*POWER(MAX(0,1-'Индонезия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7.5848041125515033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2028'!V12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2028'!B13+'Индонезия 2028'!D13+('Индонезия 2028'!C13+'Индонезия 2028'!F13+'Индонезия 2028'!G13)+(0.35*LN(1+0.6*('Ход 2028'!B19*(1+'Эффекты технологий'!L$12)))*POWER(MAX(0,1-'Индонезия 2028'!I13/10),0.7))))</f>
        <v>3.2082533175883992</v>
      </c>
      <c r="C13" s="3">
        <f>MIN(1,(MIN(1,'Индонезия 2028'!C13+'Индонезия 2028'!F13+(0.08*LN(1+0.5*('Ход 2028'!C19*(1+'Эффекты технологий'!L$12)))*MAX(0,1-('Индонезия 2028'!C13+'Индонезия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3.2082533175883992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2028'!L13+'Индонезия 2028'!N13+('Индонезия 2028'!M13+'Индонезия 2028'!P13+'Индонезия 2028'!Q13)))</f>
        <v>7.5197126067931306</v>
      </c>
      <c r="M13" s="3">
        <f>MIN(1,(MIN(1,'Индонезия 2028'!M13+'Индонезия 2028'!P13+(0.1*LN(1+0.5*('Ход 2028'!H15*(1+'Эффекты технологий'!L$10)))*POWER(MAX(0,1-'Индонезия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7.5197126067931306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2028'!V13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2028'!B14+'Индонезия 2028'!D14+('Индонезия 2028'!C14+'Индонезия 2028'!F14+'Индонезия 2028'!G14)+(0.35*LN(1+0.6*('Ход 2028'!B20*(1+'Эффекты технологий'!L$12)))*POWER(MAX(0,1-'Индонезия 2028'!I14/10),0.7))))</f>
        <v>5.23933556255135</v>
      </c>
      <c r="C14" s="3">
        <f>MIN(1,(MIN(1,'Индонезия 2028'!C14+'Индонезия 2028'!F14+(0.08*LN(1+0.5*('Ход 2028'!C20*(1+'Эффекты технологий'!L$12)))*MAX(0,1-('Индонезия 2028'!C14+'Индонезия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5.4393355625513502</v>
      </c>
      <c r="J14" s="10">
        <f>SUMIFS('Эффекты технологий'!$M$25:$M$240,'Эффекты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2028'!L14+'Индонезия 2028'!N14+('Индонезия 2028'!M14+'Индонезия 2028'!P14+'Индонезия 2028'!Q14)))</f>
        <v>7.7047262997119095</v>
      </c>
      <c r="M14" s="3">
        <f>MIN(1,(MIN(1,'Индонезия 2028'!M14+'Индонезия 2028'!P14+(0.1*LN(1+0.5*('Ход 2028'!H16*(1+'Эффекты технологий'!L$10)))*POWER(MAX(0,1-'Индонезия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7.7047262997119095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2028'!V14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2028'!B15+'Индонезия 2028'!D15+('Индонезия 2028'!C15+'Индонезия 2028'!F15+'Индонезия 2028'!G15)+(0.35*LN(1+0.6*('Ход 2028'!B21*(1+'Эффекты технологий'!L$12)))*POWER(MAX(0,1-'Индонезия 2028'!I15/10),0.7))))</f>
        <v>7.7228193628136852</v>
      </c>
      <c r="C15" s="3">
        <f>MIN(1,(MIN(1,'Индонезия 2028'!C15+'Индонезия 2028'!F15+(0.08*LN(1+0.5*('Ход 2028'!C21*(1+'Эффекты технологий'!L$12)))*MAX(0,1-('Индонезия 2028'!C15+'Индонезия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7.7228193628136852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2028'!L15+'Индонезия 2028'!N15+('Индонезия 2028'!M15+'Индонезия 2028'!P15+'Индонезия 2028'!Q15)))</f>
        <v>6.4391819575636955</v>
      </c>
      <c r="M15" s="3">
        <f>MIN(1,(MIN(1,'Индонезия 2028'!M15+'Индонезия 2028'!P15+(0.1*LN(1+0.5*('Ход 2028'!H17*(1+'Эффекты технологий'!L$10)))*POWER(MAX(0,1-'Индонезия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6.4391819575636955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2028'!V15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2028'!B16+'Индонезия 2028'!D16+('Индонезия 2028'!C16+'Индонезия 2028'!F16+'Индонезия 2028'!G16)+(0.35*LN(1+0.6*('Ход 2028'!B22*(1+'Эффекты технологий'!L$12)))*POWER(MAX(0,1-'Индонезия 2028'!I16/10),0.7))))</f>
        <v>7.9984183436492291</v>
      </c>
      <c r="C16" s="3">
        <f>MIN(1,(MIN(1,'Индонезия 2028'!C16+'Индонезия 2028'!F16+(0.08*LN(1+0.5*('Ход 2028'!C22*(1+'Эффекты технологий'!L$12)))*MAX(0,1-('Индонезия 2028'!C16+'Индонезия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7.9984183436492291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2028'!L16+'Индонезия 2028'!N16+('Индонезия 2028'!M16+'Индонезия 2028'!P16+'Индонезия 2028'!Q16)))</f>
        <v>8.6326515323626491</v>
      </c>
      <c r="M16" s="3">
        <f>MIN(1,(MIN(1,'Индонезия 2028'!M16+'Индонезия 2028'!P16+(0.1*LN(1+0.5*('Ход 2028'!H18*(1+'Эффекты технологий'!L$10)))*POWER(MAX(0,1-'Индонезия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8.6326515323626491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2028'!V16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2028'!B17+'Индонезия 2028'!D17+('Индонезия 2028'!C17+'Индонезия 2028'!F17+'Индонезия 2028'!G17)+(0.35*LN(1+0.6*('Ход 2028'!B23*(1+'Эффекты технологий'!L$12)))*POWER(MAX(0,1-'Индонезия 2028'!I17/10),0.7))))</f>
        <v>7.6708197083824761</v>
      </c>
      <c r="C17" s="3">
        <f>MIN(1,(MIN(1,'Индонезия 2028'!C17+'Индонезия 2028'!F17+(0.08*LN(1+0.5*('Ход 2028'!C23*(1+'Эффекты технологий'!L$12)))*MAX(0,1-('Индонезия 2028'!C17+'Индонезия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7.6708197083824761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2028'!L17+'Индонезия 2028'!N17+('Индонезия 2028'!M17+'Индонезия 2028'!P17+'Индонезия 2028'!Q17)))</f>
        <v>8.6326515323626491</v>
      </c>
      <c r="M17" s="3">
        <f>MIN(1,(MIN(1,'Индонезия 2028'!M17+'Индонезия 2028'!P17+(0.1*LN(1+0.5*('Ход 2028'!H19*(1+'Эффекты технологий'!L$10)))*POWER(MAX(0,1-'Индонезия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8.6326515323626491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2028'!V17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2028'!L18+'Индонезия 2028'!N18+('Индонезия 2028'!M18+'Индонезия 2028'!P18+'Индонезия 2028'!Q18)))</f>
        <v>9.6219712849568602</v>
      </c>
      <c r="M18" s="3">
        <f>MIN(1,(MIN(1,'Индонезия 2028'!M18+'Индонезия 2028'!P18+(0.1*LN(1+0.5*('Ход 2028'!H20*(1+'Эффекты технологий'!L$10)))*POWER(MAX(0,1-'Индонезия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9.6219712849568602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2028'!V18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2028'!B19+'Индонезия 2028'!D19+('Индонезия 2028'!C19+'Индонезия 2028'!F19+'Индонезия 2028'!G19)+(0.35*LN(1+0.6*'Ход 2028'!B25)*POWER(MAX(0,1-'Индонезия 2028'!I19/10),0.7))))</f>
        <v>6.8366186178916228</v>
      </c>
      <c r="C19" s="3">
        <f>MIN(1,(MIN(1,'Индонезия 2028'!C19+'Индонезия 2028'!F19+(0.08*LN(1+0.5*'Ход 2028'!C25)*MAX(0,1-('Индонезия 2028'!C19+'Индонезия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6.8366186178916228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2028'!V19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2028'!B20+'Индонезия 2028'!D20+('Индонезия 2028'!C20+'Индонезия 2028'!F20+'Индонезия 2028'!G20)+(0.35*LN(1+0.6*'Ход 2028'!B26)*POWER(MAX(0,1-'Индонезия 2028'!I20/10),0.7))))</f>
        <v>6.9866186178916223</v>
      </c>
      <c r="C20" s="3">
        <f>MIN(1,(MIN(1,'Индонезия 2028'!C20+'Индонезия 2028'!F20+(0.08*LN(1+0.5*'Ход 2028'!C26)*MAX(0,1-('Индонезия 2028'!C20+'Индонезия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6.9866186178916223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2028'!V20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2028'!B21+'Индонезия 2028'!D21+('Индонезия 2028'!C21+'Индонезия 2028'!F21+'Индонезия 2028'!G21)+(0.35*LN(1+0.6*'Ход 2028'!B27)*POWER(MAX(0,1-'Индонезия 2028'!I21/10),0.7))))</f>
        <v>6.4940628244860292</v>
      </c>
      <c r="C21" s="3">
        <f>MIN(1,(MIN(1,'Индонезия 2028'!C21+'Индонезия 2028'!F21+(0.08*LN(1+0.5*'Ход 2028'!C27)*MAX(0,1-('Индонезия 2028'!C21+'Индонезия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6.4940628244860292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2028'!V21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2028'!B22+'Индонезия 2028'!D22+('Индонезия 2028'!C22+'Индонезия 2028'!F22+'Индонезия 2028'!G22)+(0.35*LN(1+0.6*'Ход 2028'!B28)*POWER(MAX(0,1-'Индонезия 2028'!I22/10),0.7))))</f>
        <v>7.1788890791791244</v>
      </c>
      <c r="C22" s="3">
        <f>MIN(1,(MIN(1,'Индонезия 2028'!C22+'Индонезия 2028'!F22+(0.08*LN(1+0.5*'Ход 2028'!C28)*MAX(0,1-('Индонезия 2028'!C22+'Индонезия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7.1788890791791244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2028'!V22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2028'!B23+'Индонезия 2028'!D23+('Индонезия 2028'!C23+'Индонезия 2028'!F23+'Индонезия 2028'!G23)+(0.35*LN(1+0.6*'Ход 2028'!B29)*POWER(MAX(0,1-'Индонезия 2028'!I23/10),0.7))))</f>
        <v>6.8366186178916228</v>
      </c>
      <c r="C23" s="3">
        <f>MIN(1,(MIN(1,'Индонезия 2028'!C23+'Индонезия 2028'!F23+(0.08*LN(1+0.5*'Ход 2028'!C29)*MAX(0,1-('Индонезия 2028'!C23+'Индонезия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6.8366186178916228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2028'!V23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2028'!V24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2028'!B25+'Индонезия 2028'!D25+('Индонезия 2028'!C25+'Индонезия 2028'!F25+'Индонезия 2028'!G25)+(0.35*LN(1+0.6*'Ход 2028'!B31)*POWER(MAX(0,1-'Индонезия 2028'!I25/10),0.7))))</f>
        <v>8.8435946441648987</v>
      </c>
      <c r="C25" s="3">
        <f>MIN(1,(MIN(1,'Индонезия 2028'!C25+'Индонезия 2028'!F25+(0.08*LN(1+0.5*'Ход 2028'!C31)*MAX(0,1-('Индонезия 2028'!C25+'Индонезия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8.8435946441648987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2028'!V25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2028'!B26+'Индонезия 2028'!D26+('Индонезия 2028'!C26+'Индонезия 2028'!F26+'Индонезия 2028'!G26)+(0.35*LN(1+0.6*'Ход 2028'!B32)*POWER(MAX(0,1-'Индонезия 2028'!I26/10),0.7))))</f>
        <v>7.3288890791791239</v>
      </c>
      <c r="C26" s="3">
        <f>MIN(1,(MIN(1,'Индонезия 2028'!C26+'Индонезия 2028'!F26+(0.08*LN(1+0.5*'Ход 2028'!C32)*MAX(0,1-('Индонезия 2028'!C26+'Индонезия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7.3288890791791239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2028'!B27+'Индонезия 2028'!D27+('Индонезия 2028'!C27+'Индонезия 2028'!F27+'Индонезия 2028'!G27)+(0.35*LN(1+0.6*'Ход 2028'!B33)*POWER(MAX(0,1-'Индонезия 2028'!I27/10),0.7))))</f>
        <v>7.6708197083824761</v>
      </c>
      <c r="C27" s="3">
        <f>MIN(1,(MIN(1,'Индонезия 2028'!C27+'Индонезия 2028'!F27+(0.08*LN(1+0.5*'Ход 2028'!C33)*MAX(0,1-('Индонезия 2028'!C27+'Индонезия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7.6708197083824761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2028'!B28+'Индонезия 2028'!D28+('Индонезия 2028'!C28+'Индонезия 2028'!F28+'Индонезия 2028'!G28)+(0.35*LN(1+0.6*'Ход 2028'!B34)*POWER(MAX(0,1-'Индонезия 2028'!I28/10),0.7))))</f>
        <v>6.9866186178916223</v>
      </c>
      <c r="C28" s="3">
        <f>MIN(1,(MIN(1,'Индонезия 2028'!C28+'Индонезия 2028'!F28+(0.08*LN(1+0.5*'Ход 2028'!C34)*MAX(0,1-('Индонезия 2028'!C28+'Индонезия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6.9866186178916223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2028'!B29+'Индонезия 2028'!D29+('Индонезия 2028'!C29+'Индонезия 2028'!F29+'Индонезия 2028'!G29)+(0.35*LN(1+0.6*'Ход 2028'!B35)*POWER(MAX(0,1-'Индонезия 2028'!I29/10),0.7))))</f>
        <v>6.8366186178916228</v>
      </c>
      <c r="C29" s="3">
        <f>MIN(1,(MIN(1,'Индонезия 2028'!C29+'Индонезия 2028'!F29+(0.08*LN(1+0.5*'Ход 2028'!C35)*MAX(0,1-('Индонезия 2028'!C29+'Индонезия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6.8366186178916228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2028'!B30+'Индонезия 2028'!D30+('Индонезия 2028'!C30+'Индонезия 2028'!F30+'Индонезия 2028'!G30)+(0.35*LN(1+0.6*'Ход 2028'!B36)*POWER(MAX(0,1-'Индонезия 2028'!I30/10),0.7))))</f>
        <v>6.6866186178916234</v>
      </c>
      <c r="C30" s="3">
        <f>MIN(1,(MIN(1,'Индонезия 2028'!C30+'Индонезия 2028'!F30+(0.08*LN(1+0.5*'Ход 2028'!C36)*MAX(0,1-('Индонезия 2028'!C30+'Индонезия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6.6866186178916234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2028'!B31+'Индонезия 2028'!D31+('Индонезия 2028'!C31+'Индонезия 2028'!F31+'Индонезия 2028'!G31)+(0.35*LN(1+0.6*'Ход 2028'!B37)*POWER(MAX(0,1-'Индонезия 2028'!I31/10),0.7))))</f>
        <v>6.6866186178916234</v>
      </c>
      <c r="C31" s="3">
        <f>MIN(1,(MIN(1,'Индонезия 2028'!C31+'Индонезия 2028'!F31+(0.08*LN(1+0.5*'Ход 2028'!C37)*MAX(0,1-('Индонезия 2028'!C31+'Индонезия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6.6866186178916234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2028'!B32+'Индонезия 2028'!D32+('Индонезия 2028'!C32+'Индонезия 2028'!F32+'Индонезия 2028'!G32)+(0.35*LN(1+0.6*'Ход 2028'!B38)*POWER(MAX(0,1-'Индонезия 2028'!I32/10),0.7))))</f>
        <v>7.3288890791791239</v>
      </c>
      <c r="C32" s="3">
        <f>MIN(1,(MIN(1,'Индонезия 2028'!C32+'Индонезия 2028'!F32+(0.08*LN(1+0.5*'Ход 2028'!C38)*MAX(0,1-('Индонезия 2028'!C32+'Индонезия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7.3288890791791239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2028'!B34+'Индонезия 2028'!D34+('Индонезия 2028'!C34+'Индонезия 2028'!F34+'Индонезия 2028'!G34)+(0.35*LN(1+0.6*'Ход 2028'!B40)*POWER(MAX(0,1-'Индонезия 2028'!I34/10),0.7))))</f>
        <v>8.3123343251271802</v>
      </c>
      <c r="C34" s="3">
        <f>MIN(1,(MIN(1,'Индонезия 2028'!C34+'Индонезия 2028'!F34+(0.08*LN(1+0.5*'Ход 2028'!C40)*MAX(0,1-('Индонезия 2028'!C34+'Индонезия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8.3123343251271802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2028'!B35+'Индонезия 2028'!D35+('Индонезия 2028'!C35+'Индонезия 2028'!F35+'Индонезия 2028'!G35)+(0.35*LN(1+0.6*'Ход 2028'!B41)*POWER(MAX(0,1-'Индонезия 2028'!I35/10),0.7))))</f>
        <v>8.0123343251271812</v>
      </c>
      <c r="C35" s="3">
        <f>MIN(1,(MIN(1,'Индонезия 2028'!C35+'Индонезия 2028'!F35+(0.08*LN(1+0.5*'Ход 2028'!C41)*MAX(0,1-('Индонезия 2028'!C35+'Индонезия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8.0123343251271812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2028'!B36+'Индонезия 2028'!D36+('Индонезия 2028'!C36+'Индонезия 2028'!F36+'Индонезия 2028'!G36)+(0.35*LN(1+0.6*'Ход 2028'!B42)*POWER(MAX(0,1-'Индонезия 2028'!I36/10),0.7))))</f>
        <v>8.4623343251271805</v>
      </c>
      <c r="C36" s="3">
        <f>MIN(1,(MIN(1,'Индонезия 2028'!C36+'Индонезия 2028'!F36+(0.08*LN(1+0.5*'Ход 2028'!C42)*MAX(0,1-('Индонезия 2028'!C36+'Индонезия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8.4623343251271805</v>
      </c>
      <c r="J36" s="10">
        <f>SUMIFS('Эффекты технологий'!$M$25:$M$240,'Эффекты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2028'!B37+'Индонезия 2028'!D37+('Индонезия 2028'!C37+'Индонезия 2028'!F37+'Индонезия 2028'!G37)+(0.35*LN(1+0.6*'Ход 2028'!B43)*POWER(MAX(0,1-'Индонезия 2028'!I37/10),0.7))))</f>
        <v>7.4788890791791234</v>
      </c>
      <c r="C37" s="3">
        <f>MIN(1,(MIN(1,'Индонезия 2028'!C37+'Индонезия 2028'!F37+(0.08*LN(1+0.5*'Ход 2028'!C43)*MAX(0,1-('Индонезия 2028'!C37+'Индонезия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7.4788890791791234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2028'!B38+'Индонезия 2028'!D38+('Индонезия 2028'!C38+'Индонезия 2028'!F38+'Индонезия 2028'!G38)+(0.35*LN(1+0.6*'Ход 2028'!B44)*POWER(MAX(0,1-'Индонезия 2028'!I38/10),0.7))))</f>
        <v>7.3288890791791239</v>
      </c>
      <c r="C38" s="3">
        <f>MIN(1,(MIN(1,'Индонезия 2028'!C38+'Индонезия 2028'!F38+(0.08*LN(1+0.5*'Ход 2028'!C44)*MAX(0,1-('Индонезия 2028'!C38+'Индонезия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7.3288890791791239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2028'!B39+'Индонезия 2028'!D39+('Индонезия 2028'!C39+'Индонезия 2028'!F39+'Индонезия 2028'!G39)+(0.35*LN(1+0.6*'Ход 2028'!B45)*POWER(MAX(0,1-'Индонезия 2028'!I39/10),0.7))))</f>
        <v>8.3123343251271802</v>
      </c>
      <c r="C39" s="3">
        <f>MIN(1,(MIN(1,'Индонезия 2028'!C39+'Индонезия 2028'!F39+(0.08*LN(1+0.5*'Ход 2028'!C45)*MAX(0,1-('Индонезия 2028'!C39+'Индонезия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8.3123343251271802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2028'!B40+'Индонезия 2028'!D40+('Индонезия 2028'!C40+'Индонезия 2028'!F40+'Индонезия 2028'!G40)+(0.35*LN(1+0.6*'Ход 2028'!B46)*POWER(MAX(0,1-'Индонезия 2028'!I40/10),0.7))))</f>
        <v>7.8208197083824755</v>
      </c>
      <c r="C40" s="3">
        <f>MIN(1,(MIN(1,'Индонезия 2028'!C40+'Индонезия 2028'!F40+(0.08*LN(1+0.5*'Ход 2028'!C46)*MAX(0,1-('Индонезия 2028'!C40+'Индонезия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7.8208197083824755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2028'!B41+'Индонезия 2028'!D41+('Индонезия 2028'!C41+'Индонезия 2028'!F41+'Индонезия 2028'!G41)+(0.35*LN(1+0.6*'Ход 2028'!B47)*POWER(MAX(0,1-'Индонезия 2028'!I41/10),0.7))))</f>
        <v>7.8208197083824755</v>
      </c>
      <c r="C41" s="3">
        <f>MIN(1,(MIN(1,'Индонезия 2028'!C41+'Индонезия 2028'!F41+(0.08*LN(1+0.5*'Ход 2028'!C47)*MAX(0,1-('Индонезия 2028'!C41+'Индонезия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7.8208197083824755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2028'!B42+'Индонезия 2028'!D42+('Индонезия 2028'!C42+'Индонезия 2028'!F42+'Индонезия 2028'!G42)+(0.35*LN(1+0.6*'Ход 2028'!B48)*POWER(MAX(0,1-'Индонезия 2028'!I42/10),0.7))))</f>
        <v>8.8435946441648987</v>
      </c>
      <c r="C42" s="3">
        <f>MIN(1,(MIN(1,'Индонезия 2028'!C42+'Индонезия 2028'!F42+(0.08*LN(1+0.5*'Ход 2028'!C48)*MAX(0,1-('Индонезия 2028'!C42+'Индонезия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8.8435946441648987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2028'!B44+'Индонезия 2028'!D44+('Индонезия 2028'!C44+'Индонезия 2028'!F44+'Индонезия 2028'!G44)+(0.35*LN(1+0.6*'Ход 2028'!B50)*POWER(MAX(0,1-'Индонезия 2028'!I44/10),0.7))))</f>
        <v>7.1788890791791244</v>
      </c>
      <c r="C44" s="3">
        <f>MIN(1,(MIN(1,'Индонезия 2028'!C44+'Индонезия 2028'!F44+(0.08*LN(1+0.5*'Ход 2028'!C50)*MAX(0,1-('Индонезия 2028'!C44+'Индонезия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7.1788890791791244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2028'!B45+'Индонезия 2028'!D45+('Индонезия 2028'!C45+'Индонезия 2028'!F45+'Индонезия 2028'!G45)+(0.35*LN(1+0.6*'Ход 2028'!B51)*POWER(MAX(0,1-'Индонезия 2028'!I45/10),0.7))))</f>
        <v>7.1788890791791244</v>
      </c>
      <c r="C45" s="3">
        <f>MIN(1,(MIN(1,'Индонезия 2028'!C45+'Индонезия 2028'!F45+(0.08*LN(1+0.5*'Ход 2028'!C51)*MAX(0,1-('Индонезия 2028'!C45+'Индонезия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7.1788890791791244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2028'!B46+'Индонезия 2028'!D46+('Индонезия 2028'!C46+'Индонезия 2028'!F46+'Индонезия 2028'!G46)+(0.35*LN(1+0.6*'Ход 2028'!B52)*POWER(MAX(0,1-'Индонезия 2028'!I46/10),0.7))))</f>
        <v>7.1788890791791244</v>
      </c>
      <c r="C46" s="3">
        <f>MIN(1,(MIN(1,'Индонезия 2028'!C46+'Индонезия 2028'!F46+(0.08*LN(1+0.5*'Ход 2028'!C52)*MAX(0,1-('Индонезия 2028'!C46+'Индонезия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7.1788890791791244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2028'!B47+'Индонезия 2028'!D47+('Индонезия 2028'!C47+'Индонезия 2028'!F47+'Индонезия 2028'!G47)+(0.35*LN(1+0.6*'Ход 2028'!B53)*POWER(MAX(0,1-'Индонезия 2028'!I47/10),0.7))))</f>
        <v>7.5208197083824766</v>
      </c>
      <c r="C47" s="3">
        <f>MIN(1,(MIN(1,'Индонезия 2028'!C47+'Индонезия 2028'!F47+(0.08*LN(1+0.5*'Ход 2028'!C53)*MAX(0,1-('Индонезия 2028'!C47+'Индонезия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7.5208197083824766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2028'!B48+'Индонезия 2028'!D48+('Индонезия 2028'!C48+'Индонезия 2028'!F48+'Индонезия 2028'!G48)+(0.35*LN(1+0.6*'Ход 2028'!B54)*POWER(MAX(0,1-'Индонезия 2028'!I48/10),0.7))))</f>
        <v>#REF!</v>
      </c>
      <c r="C48" s="3">
        <f>MIN(1,(MIN(1,'Индонезия 2028'!C48+'Индонезия 2028'!F48+(0.08*LN(1+0.5*'Ход 2028'!C54)*MAX(0,1-('Индонезия 2028'!C48+'Индонезия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2028'!B49+'Индонезия 2028'!D49+('Индонезия 2028'!C49+'Индонезия 2028'!F49+'Индонезия 2028'!G49)+(0.35*LN(1+0.6*'Ход 2028'!B55)*POWER(MAX(0,1-'Индонезия 2028'!I49/10),0.7))))</f>
        <v>8.9533200137544675</v>
      </c>
      <c r="C49" s="3">
        <f>MIN(1,(MIN(1,'Индонезия 2028'!C49+'Индонезия 2028'!F49+(0.08*LN(1+0.5*'Ход 2028'!C55)*MAX(0,1-('Индонезия 2028'!C49+'Индонезия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8.9533200137544675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2028'!B50+'Индонезия 2028'!D50+('Индонезия 2028'!C50+'Индонезия 2028'!F50+'Индонезия 2028'!G50)+(0.35*LN(1+0.6*'Ход 2028'!B56)*POWER(MAX(0,1-'Индонезия 2028'!I50/10),0.7))))</f>
        <v>10</v>
      </c>
      <c r="C50" s="3">
        <f>MIN(1,(MIN(1,'Индонезия 2028'!C50+'Индонезия 2028'!F50+(0.08*LN(1+0.5*'Ход 2028'!C56)*MAX(0,1-('Индонезия 2028'!C50+'Индонезия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2028'!B51+'Индонезия 2028'!D51+('Индонезия 2028'!C51+'Индонезия 2028'!F51+'Индонезия 2028'!G51)+(0.35*LN(1+0.6*'Ход 2028'!B57)*POWER(MAX(0,1-'Индонезия 2028'!I51/10),0.7))))</f>
        <v>7.3288890791791239</v>
      </c>
      <c r="C51" s="3">
        <f>MIN(1,(MIN(1,'Индонезия 2028'!C51+'Индонезия 2028'!F51+(0.08*LN(1+0.5*'Ход 2028'!C57)*MAX(0,1-('Индонезия 2028'!C51+'Индонезия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7.3288890791791239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2028'!B53+'Индонезия 2028'!D53+('Индонезия 2028'!C53+'Индонезия 2028'!F53+'Индонезия 2028'!G53)+(0.35*LN(1+0.6*'Ход 2028'!B59)*POWER(MAX(0,1-'Индонезия 2028'!I53/10),0.7))))</f>
        <v>6.8366186178916228</v>
      </c>
      <c r="C53" s="3">
        <f>MIN(1,(MIN(1,'Индонезия 2028'!C53+'Индонезия 2028'!F53+(0.08*LN(1+0.5*'Ход 2028'!C59)*MAX(0,1-('Индонезия 2028'!C53+'Индонезия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6.8366186178916228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2028'!B54+'Индонезия 2028'!D54+('Индонезия 2028'!C54+'Индонезия 2028'!F54+'Индонезия 2028'!G54)+(0.35*LN(1+0.6*'Ход 2028'!B60)*POWER(MAX(0,1-'Индонезия 2028'!I54/10),0.7))))</f>
        <v>6.8366186178916228</v>
      </c>
      <c r="C54" s="3">
        <f>MIN(1,(MIN(1,'Индонезия 2028'!C54+'Индонезия 2028'!F54+(0.08*LN(1+0.5*'Ход 2028'!C60)*MAX(0,1-('Индонезия 2028'!C54+'Индонезия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6.8366186178916228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2028'!B55+'Индонезия 2028'!D55+('Индонезия 2028'!C55+'Индонезия 2028'!F55+'Индонезия 2028'!G55)+(0.35*LN(1+0.6*'Ход 2028'!B61)*POWER(MAX(0,1-'Индонезия 2028'!I55/10),0.7))))</f>
        <v>6.1940628244860303</v>
      </c>
      <c r="C55" s="3">
        <f>MIN(1,(MIN(1,'Индонезия 2028'!C55+'Индонезия 2028'!F55+(0.08*LN(1+0.5*'Ход 2028'!C61)*MAX(0,1-('Индонезия 2028'!C55+'Индонезия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6.1940628244860303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2029'!U6</f>
        <v>90.776961485076981</v>
      </c>
      <c r="C6" s="3"/>
      <c r="D6" s="3"/>
      <c r="E6" s="3" t="s">
        <v>321</v>
      </c>
      <c r="F6" s="3" t="e">
        <f>'Индонезия 2029'!K6</f>
        <v>#REF!</v>
      </c>
      <c r="G6" s="3"/>
      <c r="H6" s="3"/>
      <c r="I6" s="3" t="s">
        <v>321</v>
      </c>
      <c r="J6" s="3">
        <f>'Индонезия 2029'!N6</f>
        <v>86.960863604889951</v>
      </c>
      <c r="K6" s="3"/>
      <c r="L6" s="3"/>
      <c r="M6" s="3" t="s">
        <v>321</v>
      </c>
      <c r="N6" s="3">
        <f>'Индонезия 2029'!Q6</f>
        <v>75.359151956837138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90.776961485076981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86.960863604889951</v>
      </c>
      <c r="K8" s="3" t="str">
        <f>IF(J8&lt;0,"ПРЕВЫШЕНИЕ","OK")</f>
        <v>OK</v>
      </c>
      <c r="L8" s="3"/>
      <c r="M8" s="3" t="s">
        <v>323</v>
      </c>
      <c r="N8" s="3">
        <f>N6-N7</f>
        <v>75.359151956837138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2029'!V11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2029'!V12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2029'!V13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2029'!V14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2029'!V15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2029'!V16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2029'!V17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2029'!V18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2029'!V19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2029'!V20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2029'!V21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2029'!V22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'Индонезия 2029'!V23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2029'!V24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2029'!V25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89.464906414202005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77.457625873507155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92.13730874916169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2029'!B8+'Индонезия 2029'!D8+('Индонезия 2029'!C8+'Индонезия 2029'!F8+'Индонезия 2029'!G8)+(0.35*LN(1+0.6*('Ход 2029'!B14*(1+'Эффекты технологий'!M$12)))*POWER(MAX(0,1-'Индонезия 2029'!I8/10),0.7))))</f>
        <v>9.2968107313668753</v>
      </c>
      <c r="C8" s="3">
        <f>MIN(1,(MIN(1,'Индонезия 2029'!C8+'Индонезия 2029'!F8+(0.08*LN(1+0.5*('Ход 2029'!C14*(1+'Эффекты технологий'!M$12)))*MAX(0,1-('Индонезия 2029'!C8+'Индонезия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9.2968107313668753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2029'!B9+'Индонезия 2029'!D9+('Индонезия 2029'!C9+'Индонезия 2029'!F9+'Индонезия 2029'!G9)+(0.35*LN(1+0.6*('Ход 2029'!B15*(1+'Эффекты технологий'!M$12)))*POWER(MAX(0,1-'Индонезия 2029'!I9/10),0.7))))</f>
        <v>6.4054128889638937</v>
      </c>
      <c r="C9" s="3">
        <f>MIN(1,(MIN(1,'Индонезия 2029'!C9+'Индонезия 2029'!F9+(0.08*LN(1+0.5*('Ход 2029'!C15*(1+'Эффекты технологий'!M$12)))*MAX(0,1-('Индонезия 2029'!C9+'Индонезия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6.4054128889638937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2029'!B10+'Индонезия 2029'!D10+('Индонезия 2029'!C10+'Индонезия 2029'!F10+'Индонезия 2029'!G10)+(0.35*LN(1+0.6*('Ход 2029'!B16*(1+'Эффекты технологий'!M$12)))*POWER(MAX(0,1-'Индонезия 2029'!I10/10),0.7))))</f>
        <v>8.5731249250628654</v>
      </c>
      <c r="C10" s="3">
        <f>MIN(1,(MIN(1,'Индонезия 2029'!C10+'Индонезия 2029'!F10+(0.08*LN(1+0.5*('Ход 2029'!C16*(1+'Эффекты технологий'!M$12)))*MAX(0,1-('Индонезия 2029'!C10+'Индонезия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8.5731249250628654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2029'!B11+'Индонезия 2029'!D11+('Индонезия 2029'!C11+'Индонезия 2029'!F11+'Индонезия 2029'!G11)+(0.35*LN(1+0.6*('Ход 2029'!B17*(1+'Эффекты технологий'!M$12)))*POWER(MAX(0,1-'Индонезия 2029'!I11/10),0.7))))</f>
        <v>8.3731249250628697</v>
      </c>
      <c r="C11" s="3">
        <f>MIN(1,(MIN(1,'Индонезия 2029'!C11+'Индонезия 2029'!F11+(0.08*LN(1+0.5*('Ход 2029'!C17*(1+'Эффекты технологий'!M$12)))*MAX(0,1-('Индонезия 2029'!C11+'Индонезия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8.3731249250628697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2029'!L11+'Индонезия 2029'!N11+('Индонезия 2029'!M11+'Индонезия 2029'!P11+'Индонезия 2029'!Q11)))</f>
        <v>8.1772061688272544</v>
      </c>
      <c r="M11" s="3">
        <f>MIN(1,(MIN(1,'Индонезия 2029'!M11+'Индонезия 2029'!P11+(0.1*LN(1+0.5*('Ход 2029'!H13*(1+'Эффекты технологий'!M$10)))*POWER(MAX(0,1-'Индонезия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8.1772061688272544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2029'!V11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2029'!B12+'Индонезия 2029'!D12+('Индонезия 2029'!C12+'Индонезия 2029'!F12+'Индонезия 2029'!G12)+(0.35*LN(1+0.6*('Ход 2029'!B18*(1+'Эффекты технологий'!M$12)))*POWER(MAX(0,1-'Индонезия 2029'!I12/10),0.7))))</f>
        <v>9.3358910416053966</v>
      </c>
      <c r="C12" s="3">
        <f>MIN(1,(MIN(1,'Индонезия 2029'!C12+'Индонезия 2029'!F12+(0.08*LN(1+0.5*('Ход 2029'!C18*(1+'Эффекты технологий'!M$12)))*MAX(0,1-('Индонезия 2029'!C12+'Индонезия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9.3358910416053966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2029'!L12+'Индонезия 2029'!N12+('Индонезия 2029'!M12+'Индонезия 2029'!P12+'Индонезия 2029'!Q12)))</f>
        <v>7.9772061688272551</v>
      </c>
      <c r="M12" s="3">
        <f>MIN(1,(MIN(1,'Индонезия 2029'!M12+'Индонезия 2029'!P12+(0.1*LN(1+0.5*('Ход 2029'!H14*(1+'Эффекты технологий'!M$10)))*POWER(MAX(0,1-'Индонезия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7.9772061688272551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2029'!V12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2029'!B13+'Индонезия 2029'!D13+('Индонезия 2029'!C13+'Индонезия 2029'!F13+'Индонезия 2029'!G13)+(0.35*LN(1+0.6*('Ход 2029'!B19*(1+'Эффекты технологий'!M$12)))*POWER(MAX(0,1-'Индонезия 2029'!I13/10),0.7))))</f>
        <v>3.508253317588399</v>
      </c>
      <c r="C13" s="3">
        <f>MIN(1,(MIN(1,'Индонезия 2029'!C13+'Индонезия 2029'!F13+(0.08*LN(1+0.5*('Ход 2029'!C19*(1+'Эффекты технологий'!M$12)))*MAX(0,1-('Индонезия 2029'!C13+'Индонезия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3.508253317588399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2029'!L13+'Индонезия 2029'!N13+('Индонезия 2029'!M13+'Индонезия 2029'!P13+'Индонезия 2029'!Q13)))</f>
        <v>7.879568910189696</v>
      </c>
      <c r="M13" s="3">
        <f>MIN(1,(MIN(1,'Индонезия 2029'!M13+'Индонезия 2029'!P13+(0.1*LN(1+0.5*('Ход 2029'!H15*(1+'Эффекты технологий'!M$10)))*POWER(MAX(0,1-'Индонезия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7.879568910189696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2029'!V13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2029'!B14+'Индонезия 2029'!D14+('Индонезия 2029'!C14+'Индонезия 2029'!F14+'Индонезия 2029'!G14)+(0.35*LN(1+0.6*('Ход 2029'!B20*(1+'Эффекты технологий'!M$12)))*POWER(MAX(0,1-'Индонезия 2029'!I14/10),0.7))))</f>
        <v>5.5393355625513498</v>
      </c>
      <c r="C14" s="3">
        <f>MIN(1,(MIN(1,'Индонезия 2029'!C14+'Индонезия 2029'!F14+(0.08*LN(1+0.5*('Ход 2029'!C20*(1+'Эффекты технологий'!M$12)))*MAX(0,1-('Индонезия 2029'!C14+'Индонезия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5.73933556255135</v>
      </c>
      <c r="J14" s="10">
        <f>SUMIFS('Эффекты технологий'!$N$25:$N$240,'Эффекты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2029'!L14+'Индонезия 2029'!N14+('Индонезия 2029'!M14+'Индонезия 2029'!P14+'Индонезия 2029'!Q14)))</f>
        <v>8.1320894495678644</v>
      </c>
      <c r="M14" s="3">
        <f>MIN(1,(MIN(1,'Индонезия 2029'!M14+'Индонезия 2029'!P14+(0.1*LN(1+0.5*('Ход 2029'!H16*(1+'Эффекты технологий'!M$10)))*POWER(MAX(0,1-'Индонезия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8.1320894495678644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2029'!V14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2029'!B15+'Индонезия 2029'!D15+('Индонезия 2029'!C15+'Индонезия 2029'!F15+'Индонезия 2029'!G15)+(0.35*LN(1+0.6*('Ход 2029'!B21*(1+'Эффекты технологий'!M$12)))*POWER(MAX(0,1-'Индонезия 2029'!I15/10),0.7))))</f>
        <v>8.0728193628136857</v>
      </c>
      <c r="C15" s="3">
        <f>MIN(1,(MIN(1,'Индонезия 2029'!C15+'Индонезия 2029'!F15+(0.08*LN(1+0.5*('Ход 2029'!C21*(1+'Эффекты технологий'!M$12)))*MAX(0,1-('Индонезия 2029'!C15+'Индонезия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8.0728193628136857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2029'!L15+'Индонезия 2029'!N15+('Индонезия 2029'!M15+'Индонезия 2029'!P15+'Индонезия 2029'!Q15)))</f>
        <v>6.7837729363455432</v>
      </c>
      <c r="M15" s="3">
        <f>MIN(1,(MIN(1,'Индонезия 2029'!M15+'Индонезия 2029'!P15+(0.1*LN(1+0.5*('Ход 2029'!H17*(1+'Эффекты технологий'!M$10)))*POWER(MAX(0,1-'Индонезия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6.7837729363455432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2029'!V15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2029'!B16+'Индонезия 2029'!D16+('Индонезия 2029'!C16+'Индонезия 2029'!F16+'Индонезия 2029'!G16)+(0.35*LN(1+0.6*('Ход 2029'!B22*(1+'Эффекты технологий'!M$12)))*POWER(MAX(0,1-'Индонезия 2029'!I16/10),0.7))))</f>
        <v>8.2484183436492291</v>
      </c>
      <c r="C16" s="3">
        <f>MIN(1,(MIN(1,'Индонезия 2029'!C16+'Индонезия 2029'!F16+(0.08*LN(1+0.5*('Ход 2029'!C22*(1+'Эффекты технологий'!M$12)))*MAX(0,1-('Индонезия 2029'!C16+'Индонезия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8.2484183436492291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2029'!L16+'Индонезия 2029'!N16+('Индонезия 2029'!M16+'Индонезия 2029'!P16+'Индонезия 2029'!Q16)))</f>
        <v>9.0239772985439739</v>
      </c>
      <c r="M16" s="3">
        <f>MIN(1,(MIN(1,'Индонезия 2029'!M16+'Индонезия 2029'!P16+(0.1*LN(1+0.5*('Ход 2029'!H18*(1+'Эффекты технологий'!M$10)))*POWER(MAX(0,1-'Индонезия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9.0239772985439739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2029'!V16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2029'!B17+'Индонезия 2029'!D17+('Индонезия 2029'!C17+'Индонезия 2029'!F17+'Индонезия 2029'!G17)+(0.35*LN(1+0.6*('Ход 2029'!B23*(1+'Эффекты технологий'!M$12)))*POWER(MAX(0,1-'Индонезия 2029'!I17/10),0.7))))</f>
        <v>7.8708197083824762</v>
      </c>
      <c r="C17" s="3">
        <f>MIN(1,(MIN(1,'Индонезия 2029'!C17+'Индонезия 2029'!F17+(0.08*LN(1+0.5*('Ход 2029'!C23*(1+'Эффекты технологий'!M$12)))*MAX(0,1-('Индонезия 2029'!C17+'Индонезия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7.8708197083824762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2029'!L17+'Индонезия 2029'!N17+('Индонезия 2029'!M17+'Индонезия 2029'!P17+'Индонезия 2029'!Q17)))</f>
        <v>9.0239772985439739</v>
      </c>
      <c r="M17" s="3">
        <f>MIN(1,(MIN(1,'Индонезия 2029'!M17+'Индонезия 2029'!P17+(0.1*LN(1+0.5*('Ход 2029'!H19*(1+'Эффекты технологий'!M$10)))*POWER(MAX(0,1-'Индонезия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9.0239772985439739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2029'!V17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2029'!L18+'Индонезия 2029'!N18+('Индонезия 2029'!M18+'Индонезия 2029'!P18+'Индонезия 2029'!Q18)))</f>
        <v>9.8329569274352906</v>
      </c>
      <c r="M18" s="3">
        <f>MIN(1,(MIN(1,'Индонезия 2029'!M18+'Индонезия 2029'!P18+(0.1*LN(1+0.5*('Ход 2029'!H20*(1+'Эффекты технологий'!M$10)))*POWER(MAX(0,1-'Индонезия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9.8329569274352906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2029'!V18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2029'!B19+'Индонезия 2029'!D19+('Индонезия 2029'!C19+'Индонезия 2029'!F19+'Индонезия 2029'!G19)+(0.35*LN(1+0.6*'Ход 2029'!B25)*POWER(MAX(0,1-'Индонезия 2029'!I19/10),0.7))))</f>
        <v>7.0866186178916228</v>
      </c>
      <c r="C19" s="3">
        <f>MIN(1,(MIN(1,'Индонезия 2029'!C19+'Индонезия 2029'!F19+(0.08*LN(1+0.5*'Ход 2029'!C25)*MAX(0,1-('Индонезия 2029'!C19+'Индонезия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7.0866186178916228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2029'!V19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2029'!B20+'Индонезия 2029'!D20+('Индонезия 2029'!C20+'Индонезия 2029'!F20+'Индонезия 2029'!G20)+(0.35*LN(1+0.6*'Ход 2029'!B26)*POWER(MAX(0,1-'Индонезия 2029'!I20/10),0.7))))</f>
        <v>7.2866186178916221</v>
      </c>
      <c r="C20" s="3">
        <f>MIN(1,(MIN(1,'Индонезия 2029'!C20+'Индонезия 2029'!F20+(0.08*LN(1+0.5*'Ход 2029'!C26)*MAX(0,1-('Индонезия 2029'!C20+'Индонезия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7.2866186178916221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2029'!V20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2029'!B21+'Индонезия 2029'!D21+('Индонезия 2029'!C21+'Индонезия 2029'!F21+'Индонезия 2029'!G21)+(0.35*LN(1+0.6*'Ход 2029'!B27)*POWER(MAX(0,1-'Индонезия 2029'!I21/10),0.7))))</f>
        <v>6.7940628244860291</v>
      </c>
      <c r="C21" s="3">
        <f>MIN(1,(MIN(1,'Индонезия 2029'!C21+'Индонезия 2029'!F21+(0.08*LN(1+0.5*'Ход 2029'!C27)*MAX(0,1-('Индонезия 2029'!C21+'Индонезия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6.7940628244860291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2029'!V21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2029'!B22+'Индонезия 2029'!D22+('Индонезия 2029'!C22+'Индонезия 2029'!F22+'Индонезия 2029'!G22)+(0.35*LN(1+0.6*'Ход 2029'!B28)*POWER(MAX(0,1-'Индонезия 2029'!I22/10),0.7))))</f>
        <v>7.3788890791791246</v>
      </c>
      <c r="C22" s="3">
        <f>MIN(1,(MIN(1,'Индонезия 2029'!C22+'Индонезия 2029'!F22+(0.08*LN(1+0.5*'Ход 2029'!C28)*MAX(0,1-('Индонезия 2029'!C22+'Индонезия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7.3788890791791246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2029'!V22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2029'!B23+'Индонезия 2029'!D23+('Индонезия 2029'!C23+'Индонезия 2029'!F23+'Индонезия 2029'!G23)+(0.35*LN(1+0.6*'Ход 2029'!B29)*POWER(MAX(0,1-'Индонезия 2029'!I23/10),0.7))))</f>
        <v>7.0866186178916228</v>
      </c>
      <c r="C23" s="3">
        <f>MIN(1,(MIN(1,'Индонезия 2029'!C23+'Индонезия 2029'!F23+(0.08*LN(1+0.5*'Ход 2029'!C29)*MAX(0,1-('Индонезия 2029'!C23+'Индонезия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7.0866186178916228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2029'!V23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2029'!V24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2029'!B25+'Индонезия 2029'!D25+('Индонезия 2029'!C25+'Индонезия 2029'!F25+'Индонезия 2029'!G25)+(0.35*LN(1+0.6*'Ход 2029'!B31)*POWER(MAX(0,1-'Индонезия 2029'!I25/10),0.7))))</f>
        <v>8.9435946441648984</v>
      </c>
      <c r="C25" s="3">
        <f>MIN(1,(MIN(1,'Индонезия 2029'!C25+'Индонезия 2029'!F25+(0.08*LN(1+0.5*'Ход 2029'!C31)*MAX(0,1-('Индонезия 2029'!C25+'Индонезия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8.9435946441648984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2029'!V25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2029'!B26+'Индонезия 2029'!D26+('Индонезия 2029'!C26+'Индонезия 2029'!F26+'Индонезия 2029'!G26)+(0.35*LN(1+0.6*'Ход 2029'!B32)*POWER(MAX(0,1-'Индонезия 2029'!I26/10),0.7))))</f>
        <v>7.5788890791791239</v>
      </c>
      <c r="C26" s="3">
        <f>MIN(1,(MIN(1,'Индонезия 2029'!C26+'Индонезия 2029'!F26+(0.08*LN(1+0.5*'Ход 2029'!C32)*MAX(0,1-('Индонезия 2029'!C26+'Индонезия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7.5788890791791239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2029'!B27+'Индонезия 2029'!D27+('Индонезия 2029'!C27+'Индонезия 2029'!F27+'Индонезия 2029'!G27)+(0.35*LN(1+0.6*'Ход 2029'!B33)*POWER(MAX(0,1-'Индонезия 2029'!I27/10),0.7))))</f>
        <v>7.8708197083824762</v>
      </c>
      <c r="C27" s="3">
        <f>MIN(1,(MIN(1,'Индонезия 2029'!C27+'Индонезия 2029'!F27+(0.08*LN(1+0.5*'Ход 2029'!C33)*MAX(0,1-('Индонезия 2029'!C27+'Индонезия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7.8708197083824762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2029'!B28+'Индонезия 2029'!D28+('Индонезия 2029'!C28+'Индонезия 2029'!F28+'Индонезия 2029'!G28)+(0.35*LN(1+0.6*'Ход 2029'!B34)*POWER(MAX(0,1-'Индонезия 2029'!I28/10),0.7))))</f>
        <v>7.2866186178916221</v>
      </c>
      <c r="C28" s="3">
        <f>MIN(1,(MIN(1,'Индонезия 2029'!C28+'Индонезия 2029'!F28+(0.08*LN(1+0.5*'Ход 2029'!C34)*MAX(0,1-('Индонезия 2029'!C28+'Индонезия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7.2866186178916221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2029'!B29+'Индонезия 2029'!D29+('Индонезия 2029'!C29+'Индонезия 2029'!F29+'Индонезия 2029'!G29)+(0.35*LN(1+0.6*'Ход 2029'!B35)*POWER(MAX(0,1-'Индонезия 2029'!I29/10),0.7))))</f>
        <v>7.0866186178916228</v>
      </c>
      <c r="C29" s="3">
        <f>MIN(1,(MIN(1,'Индонезия 2029'!C29+'Индонезия 2029'!F29+(0.08*LN(1+0.5*'Ход 2029'!C35)*MAX(0,1-('Индонезия 2029'!C29+'Индонезия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7.0866186178916228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2029'!B30+'Индонезия 2029'!D30+('Индонезия 2029'!C30+'Индонезия 2029'!F30+'Индонезия 2029'!G30)+(0.35*LN(1+0.6*'Ход 2029'!B36)*POWER(MAX(0,1-'Индонезия 2029'!I30/10),0.7))))</f>
        <v>6.8866186178916236</v>
      </c>
      <c r="C30" s="3">
        <f>MIN(1,(MIN(1,'Индонезия 2029'!C30+'Индонезия 2029'!F30+(0.08*LN(1+0.5*'Ход 2029'!C36)*MAX(0,1-('Индонезия 2029'!C30+'Индонезия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6.8866186178916236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2029'!B31+'Индонезия 2029'!D31+('Индонезия 2029'!C31+'Индонезия 2029'!F31+'Индонезия 2029'!G31)+(0.35*LN(1+0.6*'Ход 2029'!B37)*POWER(MAX(0,1-'Индонезия 2029'!I31/10),0.7))))</f>
        <v>6.8866186178916236</v>
      </c>
      <c r="C31" s="3">
        <f>MIN(1,(MIN(1,'Индонезия 2029'!C31+'Индонезия 2029'!F31+(0.08*LN(1+0.5*'Ход 2029'!C37)*MAX(0,1-('Индонезия 2029'!C31+'Индонезия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6.8866186178916236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2029'!B32+'Индонезия 2029'!D32+('Индонезия 2029'!C32+'Индонезия 2029'!F32+'Индонезия 2029'!G32)+(0.35*LN(1+0.6*'Ход 2029'!B38)*POWER(MAX(0,1-'Индонезия 2029'!I32/10),0.7))))</f>
        <v>7.5788890791791239</v>
      </c>
      <c r="C32" s="3">
        <f>MIN(1,(MIN(1,'Индонезия 2029'!C32+'Индонезия 2029'!F32+(0.08*LN(1+0.5*'Ход 2029'!C38)*MAX(0,1-('Индонезия 2029'!C32+'Индонезия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7.5788890791791239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2029'!B34+'Индонезия 2029'!D34+('Индонезия 2029'!C34+'Индонезия 2029'!F34+'Индонезия 2029'!G34)+(0.35*LN(1+0.6*'Ход 2029'!B40)*POWER(MAX(0,1-'Индонезия 2029'!I34/10),0.7))))</f>
        <v>8.5623343251271802</v>
      </c>
      <c r="C34" s="3">
        <f>MIN(1,(MIN(1,'Индонезия 2029'!C34+'Индонезия 2029'!F34+(0.08*LN(1+0.5*'Ход 2029'!C40)*MAX(0,1-('Индонезия 2029'!C34+'Индонезия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8.5623343251271802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2029'!B35+'Индонезия 2029'!D35+('Индонезия 2029'!C35+'Индонезия 2029'!F35+'Индонезия 2029'!G35)+(0.35*LN(1+0.6*'Ход 2029'!B41)*POWER(MAX(0,1-'Индонезия 2029'!I35/10),0.7))))</f>
        <v>8.1623343251271816</v>
      </c>
      <c r="C35" s="3">
        <f>MIN(1,(MIN(1,'Индонезия 2029'!C35+'Индонезия 2029'!F35+(0.08*LN(1+0.5*'Ход 2029'!C41)*MAX(0,1-('Индонезия 2029'!C35+'Индонезия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8.1623343251271816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2029'!B36+'Индонезия 2029'!D36+('Индонезия 2029'!C36+'Индонезия 2029'!F36+'Индонезия 2029'!G36)+(0.35*LN(1+0.6*'Ход 2029'!B42)*POWER(MAX(0,1-'Индонезия 2029'!I36/10),0.7))))</f>
        <v>8.7623343251271812</v>
      </c>
      <c r="C36" s="3">
        <f>MIN(1,(MIN(1,'Индонезия 2029'!C36+'Индонезия 2029'!F36+(0.08*LN(1+0.5*'Ход 2029'!C42)*MAX(0,1-('Индонезия 2029'!C36+'Индонезия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8.7623343251271812</v>
      </c>
      <c r="J36" s="10">
        <f>SUMIFS('Эффекты технологий'!$N$25:$N$240,'Эффекты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2029'!B37+'Индонезия 2029'!D37+('Индонезия 2029'!C37+'Индонезия 2029'!F37+'Индонезия 2029'!G37)+(0.35*LN(1+0.6*'Ход 2029'!B43)*POWER(MAX(0,1-'Индонезия 2029'!I37/10),0.7))))</f>
        <v>7.7788890791791232</v>
      </c>
      <c r="C37" s="3">
        <f>MIN(1,(MIN(1,'Индонезия 2029'!C37+'Индонезия 2029'!F37+(0.08*LN(1+0.5*'Ход 2029'!C43)*MAX(0,1-('Индонезия 2029'!C37+'Индонезия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7.7788890791791232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2029'!B38+'Индонезия 2029'!D38+('Индонезия 2029'!C38+'Индонезия 2029'!F38+'Индонезия 2029'!G38)+(0.35*LN(1+0.6*'Ход 2029'!B44)*POWER(MAX(0,1-'Индонезия 2029'!I38/10),0.7))))</f>
        <v>7.5788890791791239</v>
      </c>
      <c r="C38" s="3">
        <f>MIN(1,(MIN(1,'Индонезия 2029'!C38+'Индонезия 2029'!F38+(0.08*LN(1+0.5*'Ход 2029'!C44)*MAX(0,1-('Индонезия 2029'!C38+'Индонезия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7.5788890791791239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2029'!B39+'Индонезия 2029'!D39+('Индонезия 2029'!C39+'Индонезия 2029'!F39+'Индонезия 2029'!G39)+(0.35*LN(1+0.6*'Ход 2029'!B45)*POWER(MAX(0,1-'Индонезия 2029'!I39/10),0.7))))</f>
        <v>8.5623343251271802</v>
      </c>
      <c r="C39" s="3">
        <f>MIN(1,(MIN(1,'Индонезия 2029'!C39+'Индонезия 2029'!F39+(0.08*LN(1+0.5*'Ход 2029'!C45)*MAX(0,1-('Индонезия 2029'!C39+'Индонезия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8.5623343251271802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2029'!B40+'Индонезия 2029'!D40+('Индонезия 2029'!C40+'Индонезия 2029'!F40+'Индонезия 2029'!G40)+(0.35*LN(1+0.6*'Ход 2029'!B46)*POWER(MAX(0,1-'Индонезия 2029'!I40/10),0.7))))</f>
        <v>8.0708197083824764</v>
      </c>
      <c r="C40" s="3">
        <f>MIN(1,(MIN(1,'Индонезия 2029'!C40+'Индонезия 2029'!F40+(0.08*LN(1+0.5*'Ход 2029'!C46)*MAX(0,1-('Индонезия 2029'!C40+'Индонезия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8.0708197083824764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2029'!B41+'Индонезия 2029'!D41+('Индонезия 2029'!C41+'Индонезия 2029'!F41+'Индонезия 2029'!G41)+(0.35*LN(1+0.6*'Ход 2029'!B47)*POWER(MAX(0,1-'Индонезия 2029'!I41/10),0.7))))</f>
        <v>8.0708197083824764</v>
      </c>
      <c r="C41" s="3">
        <f>MIN(1,(MIN(1,'Индонезия 2029'!C41+'Индонезия 2029'!F41+(0.08*LN(1+0.5*'Ход 2029'!C47)*MAX(0,1-('Индонезия 2029'!C41+'Индонезия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8.0708197083824764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2029'!B42+'Индонезия 2029'!D42+('Индонезия 2029'!C42+'Индонезия 2029'!F42+'Индонезия 2029'!G42)+(0.35*LN(1+0.6*'Ход 2029'!B48)*POWER(MAX(0,1-'Индонезия 2029'!I42/10),0.7))))</f>
        <v>8.9435946441648984</v>
      </c>
      <c r="C42" s="3">
        <f>MIN(1,(MIN(1,'Индонезия 2029'!C42+'Индонезия 2029'!F42+(0.08*LN(1+0.5*'Ход 2029'!C48)*MAX(0,1-('Индонезия 2029'!C42+'Индонезия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8.9435946441648984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2029'!B44+'Индонезия 2029'!D44+('Индонезия 2029'!C44+'Индонезия 2029'!F44+'Индонезия 2029'!G44)+(0.35*LN(1+0.6*'Ход 2029'!B50)*POWER(MAX(0,1-'Индонезия 2029'!I44/10),0.7))))</f>
        <v>7.3788890791791246</v>
      </c>
      <c r="C44" s="3">
        <f>MIN(1,(MIN(1,'Индонезия 2029'!C44+'Индонезия 2029'!F44+(0.08*LN(1+0.5*'Ход 2029'!C50)*MAX(0,1-('Индонезия 2029'!C44+'Индонезия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7.3788890791791246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2029'!B45+'Индонезия 2029'!D45+('Индонезия 2029'!C45+'Индонезия 2029'!F45+'Индонезия 2029'!G45)+(0.35*LN(1+0.6*'Ход 2029'!B51)*POWER(MAX(0,1-'Индонезия 2029'!I45/10),0.7))))</f>
        <v>7.3788890791791246</v>
      </c>
      <c r="C45" s="3">
        <f>MIN(1,(MIN(1,'Индонезия 2029'!C45+'Индонезия 2029'!F45+(0.08*LN(1+0.5*'Ход 2029'!C51)*MAX(0,1-('Индонезия 2029'!C45+'Индонезия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7.3788890791791246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2029'!B46+'Индонезия 2029'!D46+('Индонезия 2029'!C46+'Индонезия 2029'!F46+'Индонезия 2029'!G46)+(0.35*LN(1+0.6*'Ход 2029'!B52)*POWER(MAX(0,1-'Индонезия 2029'!I46/10),0.7))))</f>
        <v>7.3788890791791246</v>
      </c>
      <c r="C46" s="3">
        <f>MIN(1,(MIN(1,'Индонезия 2029'!C46+'Индонезия 2029'!F46+(0.08*LN(1+0.5*'Ход 2029'!C52)*MAX(0,1-('Индонезия 2029'!C46+'Индонезия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7.3788890791791246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2029'!B47+'Индонезия 2029'!D47+('Индонезия 2029'!C47+'Индонезия 2029'!F47+'Индонезия 2029'!G47)+(0.35*LN(1+0.6*'Ход 2029'!B53)*POWER(MAX(0,1-'Индонезия 2029'!I47/10),0.7))))</f>
        <v>7.670819708382477</v>
      </c>
      <c r="C47" s="3">
        <f>MIN(1,(MIN(1,'Индонезия 2029'!C47+'Индонезия 2029'!F47+(0.08*LN(1+0.5*'Ход 2029'!C53)*MAX(0,1-('Индонезия 2029'!C47+'Индонезия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7.670819708382477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2029'!B48+'Индонезия 2029'!D48+('Индонезия 2029'!C48+'Индонезия 2029'!F48+'Индонезия 2029'!G48)+(0.35*LN(1+0.6*'Ход 2029'!B54)*POWER(MAX(0,1-'Индонезия 2029'!I48/10),0.7))))</f>
        <v>#REF!</v>
      </c>
      <c r="C48" s="3">
        <f>MIN(1,(MIN(1,'Индонезия 2029'!C48+'Индонезия 2029'!F48+(0.08*LN(1+0.5*'Ход 2029'!C54)*MAX(0,1-('Индонезия 2029'!C48+'Индонезия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2029'!B49+'Индонезия 2029'!D49+('Индонезия 2029'!C49+'Индонезия 2029'!F49+'Индонезия 2029'!G49)+(0.35*LN(1+0.6*'Ход 2029'!B55)*POWER(MAX(0,1-'Индонезия 2029'!I49/10),0.7))))</f>
        <v>9.2533200137544682</v>
      </c>
      <c r="C49" s="3">
        <f>MIN(1,(MIN(1,'Индонезия 2029'!C49+'Индонезия 2029'!F49+(0.08*LN(1+0.5*'Ход 2029'!C55)*MAX(0,1-('Индонезия 2029'!C49+'Индонезия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9.2533200137544682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2029'!B50+'Индонезия 2029'!D50+('Индонезия 2029'!C50+'Индонезия 2029'!F50+'Индонезия 2029'!G50)+(0.35*LN(1+0.6*'Ход 2029'!B56)*POWER(MAX(0,1-'Индонезия 2029'!I50/10),0.7))))</f>
        <v>10</v>
      </c>
      <c r="C50" s="3">
        <f>MIN(1,(MIN(1,'Индонезия 2029'!C50+'Индонезия 2029'!F50+(0.08*LN(1+0.5*'Ход 2029'!C56)*MAX(0,1-('Индонезия 2029'!C50+'Индонезия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2029'!B51+'Индонезия 2029'!D51+('Индонезия 2029'!C51+'Индонезия 2029'!F51+'Индонезия 2029'!G51)+(0.35*LN(1+0.6*'Ход 2029'!B57)*POWER(MAX(0,1-'Индонезия 2029'!I51/10),0.7))))</f>
        <v>7.5788890791791239</v>
      </c>
      <c r="C51" s="3">
        <f>MIN(1,(MIN(1,'Индонезия 2029'!C51+'Индонезия 2029'!F51+(0.08*LN(1+0.5*'Ход 2029'!C57)*MAX(0,1-('Индонезия 2029'!C51+'Индонезия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7.5788890791791239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2029'!B53+'Индонезия 2029'!D53+('Индонезия 2029'!C53+'Индонезия 2029'!F53+'Индонезия 2029'!G53)+(0.35*LN(1+0.6*'Ход 2029'!B59)*POWER(MAX(0,1-'Индонезия 2029'!I53/10),0.7))))</f>
        <v>7.0866186178916228</v>
      </c>
      <c r="C53" s="3">
        <f>MIN(1,(MIN(1,'Индонезия 2029'!C53+'Индонезия 2029'!F53+(0.08*LN(1+0.5*'Ход 2029'!C59)*MAX(0,1-('Индонезия 2029'!C53+'Индонезия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7.0866186178916228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2029'!B54+'Индонезия 2029'!D54+('Индонезия 2029'!C54+'Индонезия 2029'!F54+'Индонезия 2029'!G54)+(0.35*LN(1+0.6*'Ход 2029'!B60)*POWER(MAX(0,1-'Индонезия 2029'!I54/10),0.7))))</f>
        <v>7.0866186178916228</v>
      </c>
      <c r="C54" s="3">
        <f>MIN(1,(MIN(1,'Индонезия 2029'!C54+'Индонезия 2029'!F54+(0.08*LN(1+0.5*'Ход 2029'!C60)*MAX(0,1-('Индонезия 2029'!C54+'Индонезия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7.0866186178916228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2029'!B55+'Индонезия 2029'!D55+('Индонезия 2029'!C55+'Индонезия 2029'!F55+'Индонезия 2029'!G55)+(0.35*LN(1+0.6*'Ход 2029'!B61)*POWER(MAX(0,1-'Индонезия 2029'!I55/10),0.7))))</f>
        <v>6.3940628244860305</v>
      </c>
      <c r="C55" s="3">
        <f>MIN(1,(MIN(1,'Индонезия 2029'!C55+'Индонезия 2029'!F55+(0.08*LN(1+0.5*'Ход 2029'!C61)*MAX(0,1-('Индонезия 2029'!C55+'Индонезия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6.3940628244860305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2030'!U6</f>
        <v>92.13730874916169</v>
      </c>
      <c r="C6" s="3"/>
      <c r="D6" s="3"/>
      <c r="E6" s="3" t="s">
        <v>321</v>
      </c>
      <c r="F6" s="3" t="e">
        <f>'Индонезия 2030'!K6</f>
        <v>#REF!</v>
      </c>
      <c r="G6" s="3"/>
      <c r="H6" s="3"/>
      <c r="I6" s="3" t="s">
        <v>321</v>
      </c>
      <c r="J6" s="3">
        <f>'Индонезия 2030'!N6</f>
        <v>89.464906414202005</v>
      </c>
      <c r="K6" s="3"/>
      <c r="L6" s="3"/>
      <c r="M6" s="3" t="s">
        <v>321</v>
      </c>
      <c r="N6" s="3">
        <f>'Индонезия 2030'!Q6</f>
        <v>77.457625873507155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92.13730874916169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89.464906414202005</v>
      </c>
      <c r="K8" s="3" t="str">
        <f>IF(J8&lt;0,"ПРЕВЫШЕНИЕ","OK")</f>
        <v>OK</v>
      </c>
      <c r="L8" s="3"/>
      <c r="M8" s="3" t="s">
        <v>323</v>
      </c>
      <c r="N8" s="3">
        <f>N6-N7</f>
        <v>77.457625873507155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2030'!V11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2030'!V12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2030'!V13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2030'!V14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2030'!V15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2030'!V16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2030'!V17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2030'!V18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2030'!V19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2030'!V20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2030'!V21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2030'!V22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'Индонезия 2030'!V23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2030'!V24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2030'!V25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91.773354021546538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79.527053282847092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93.425495062809901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2030'!B8+'Индонезия 2030'!D8+('Индонезия 2030'!C8+'Индонезия 2030'!F8+'Индонезия 2030'!G8)+(0.35*LN(1+0.6*('Ход 2030'!B14*(1+'Эффекты технологий'!N$12)))*POWER(MAX(0,1-'Индонезия 2030'!I8/10),0.7))))</f>
        <v>9.346810731366876</v>
      </c>
      <c r="C8" s="3">
        <f>MIN(1,(MIN(1,'Индонезия 2030'!C8+'Индонезия 2030'!F8+(0.08*LN(1+0.5*('Ход 2030'!C14*(1+'Эффекты технологий'!N$12)))*MAX(0,1-('Индонезия 2030'!C8+'Индонезия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9.346810731366876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2030'!B9+'Индонезия 2030'!D9+('Индонезия 2030'!C9+'Индонезия 2030'!F9+'Индонезия 2030'!G9)+(0.35*LN(1+0.6*('Ход 2030'!B15*(1+'Эффекты технологий'!N$12)))*POWER(MAX(0,1-'Индонезия 2030'!I9/10),0.7))))</f>
        <v>6.5554128889638941</v>
      </c>
      <c r="C9" s="3">
        <f>MIN(1,(MIN(1,'Индонезия 2030'!C9+'Индонезия 2030'!F9+(0.08*LN(1+0.5*('Ход 2030'!C15*(1+'Эффекты технологий'!N$12)))*MAX(0,1-('Индонезия 2030'!C9+'Индонезия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6.5554128889638941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2030'!B10+'Индонезия 2030'!D10+('Индонезия 2030'!C10+'Индонезия 2030'!F10+'Индонезия 2030'!G10)+(0.35*LN(1+0.6*('Ход 2030'!B16*(1+'Эффекты технологий'!N$12)))*POWER(MAX(0,1-'Индонезия 2030'!I10/10),0.7))))</f>
        <v>8.673124925062865</v>
      </c>
      <c r="C10" s="3">
        <f>MIN(1,(MIN(1,'Индонезия 2030'!C10+'Индонезия 2030'!F10+(0.08*LN(1+0.5*('Ход 2030'!C16*(1+'Эффекты технологий'!N$12)))*MAX(0,1-('Индонезия 2030'!C10+'Индонезия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8.673124925062865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2030'!B11+'Индонезия 2030'!D11+('Индонезия 2030'!C11+'Индонезия 2030'!F11+'Индонезия 2030'!G11)+(0.35*LN(1+0.6*('Ход 2030'!B17*(1+'Эффекты технологий'!N$12)))*POWER(MAX(0,1-'Индонезия 2030'!I11/10),0.7))))</f>
        <v>8.4231249250628704</v>
      </c>
      <c r="C11" s="3">
        <f>MIN(1,(MIN(1,'Индонезия 2030'!C11+'Индонезия 2030'!F11+(0.08*LN(1+0.5*('Ход 2030'!C17*(1+'Эффекты технологий'!N$12)))*MAX(0,1-('Индонезия 2030'!C11+'Индонезия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8.4231249250628704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2030'!L11+'Индонезия 2030'!N11+('Индонезия 2030'!M11+'Индонезия 2030'!P11+'Индонезия 2030'!Q11)))</f>
        <v>8.6196082251030059</v>
      </c>
      <c r="M11" s="3">
        <f>MIN(1,(MIN(1,'Индонезия 2030'!M11+'Индонезия 2030'!P11+(0.1*LN(1+0.5*('Ход 2030'!H13*(1+'Эффекты технологий'!N$10)))*POWER(MAX(0,1-'Индонезия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8.6196082251030059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2030'!V11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2030'!B12+'Индонезия 2030'!D12+('Индонезия 2030'!C12+'Индонезия 2030'!F12+'Индонезия 2030'!G12)+(0.35*LN(1+0.6*('Ход 2030'!B18*(1+'Эффекты технологий'!N$12)))*POWER(MAX(0,1-'Индонезия 2030'!I12/10),0.7))))</f>
        <v>9.3858910416053973</v>
      </c>
      <c r="C12" s="3">
        <f>MIN(1,(MIN(1,'Индонезия 2030'!C12+'Индонезия 2030'!F12+(0.08*LN(1+0.5*('Ход 2030'!C18*(1+'Эффекты технологий'!N$12)))*MAX(0,1-('Индонезия 2030'!C12+'Индонезия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9.3858910416053973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2030'!L12+'Индонезия 2030'!N12+('Индонезия 2030'!M12+'Индонезия 2030'!P12+'Индонезия 2030'!Q12)))</f>
        <v>8.3696082251030059</v>
      </c>
      <c r="M12" s="3">
        <f>MIN(1,(MIN(1,'Индонезия 2030'!M12+'Индонезия 2030'!P12+(0.1*LN(1+0.5*('Ход 2030'!H14*(1+'Эффекты технологий'!N$10)))*POWER(MAX(0,1-'Индонезия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8.3696082251030059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2030'!V12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2030'!B13+'Индонезия 2030'!D13+('Индонезия 2030'!C13+'Индонезия 2030'!F13+'Индонезия 2030'!G13)+(0.35*LN(1+0.6*('Ход 2030'!B19*(1+'Эффекты технологий'!N$12)))*POWER(MAX(0,1-'Индонезия 2030'!I13/10),0.7))))</f>
        <v>3.8082533175883988</v>
      </c>
      <c r="C13" s="3">
        <f>MIN(1,(MIN(1,'Индонезия 2030'!C13+'Индонезия 2030'!F13+(0.08*LN(1+0.5*('Ход 2030'!C19*(1+'Эффекты технологий'!N$12)))*MAX(0,1-('Индонезия 2030'!C13+'Индонезия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3.8082533175883988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2030'!L13+'Индонезия 2030'!N13+('Индонезия 2030'!M13+'Индонезия 2030'!P13+'Индонезия 2030'!Q13)))</f>
        <v>8.2394252135862622</v>
      </c>
      <c r="M13" s="3">
        <f>MIN(1,(MIN(1,'Индонезия 2030'!M13+'Индонезия 2030'!P13+(0.1*LN(1+0.5*('Ход 2030'!H15*(1+'Эффекты технологий'!N$10)))*POWER(MAX(0,1-'Индонезия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8.2394252135862622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2030'!V13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2030'!B14+'Индонезия 2030'!D14+('Индонезия 2030'!C14+'Индонезия 2030'!F14+'Индонезия 2030'!G14)+(0.35*LN(1+0.6*('Ход 2030'!B20*(1+'Эффекты технологий'!N$12)))*POWER(MAX(0,1-'Индонезия 2030'!I14/10),0.7))))</f>
        <v>5.8393355625513497</v>
      </c>
      <c r="C14" s="3">
        <f>MIN(1,(MIN(1,'Индонезия 2030'!C14+'Индонезия 2030'!F14+(0.08*LN(1+0.5*('Ход 2030'!C20*(1+'Эффекты технологий'!N$12)))*MAX(0,1-('Индонезия 2030'!C14+'Индонезия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6.0393355625513498</v>
      </c>
      <c r="J14" s="10">
        <f>SUMIFS('Эффекты технологий'!$O$25:$O$240,'Эффекты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2030'!L14+'Индонезия 2030'!N14+('Индонезия 2030'!M14+'Индонезия 2030'!P14+'Индонезия 2030'!Q14)))</f>
        <v>8.5594525994238193</v>
      </c>
      <c r="M14" s="3">
        <f>MIN(1,(MIN(1,'Индонезия 2030'!M14+'Индонезия 2030'!P14+(0.1*LN(1+0.5*('Ход 2030'!H16*(1+'Эффекты технологий'!N$10)))*POWER(MAX(0,1-'Индонезия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8.5594525994238193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2030'!V14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2030'!B15+'Индонезия 2030'!D15+('Индонезия 2030'!C15+'Индонезия 2030'!F15+'Индонезия 2030'!G15)+(0.35*LN(1+0.6*('Ход 2030'!B21*(1+'Эффекты технологий'!N$12)))*POWER(MAX(0,1-'Индонезия 2030'!I15/10),0.7))))</f>
        <v>8.4228193628136854</v>
      </c>
      <c r="C15" s="3">
        <f>MIN(1,(MIN(1,'Индонезия 2030'!C15+'Индонезия 2030'!F15+(0.08*LN(1+0.5*('Ход 2030'!C21*(1+'Эффекты технологий'!N$12)))*MAX(0,1-('Индонезия 2030'!C15+'Индонезия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8.4228193628136854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2030'!L15+'Индонезия 2030'!N15+('Индонезия 2030'!M15+'Индонезия 2030'!P15+'Индонезия 2030'!Q15)))</f>
        <v>7.128363915127391</v>
      </c>
      <c r="M15" s="3">
        <f>MIN(1,(MIN(1,'Индонезия 2030'!M15+'Индонезия 2030'!P15+(0.1*LN(1+0.5*('Ход 2030'!H17*(1+'Эффекты технологий'!N$10)))*POWER(MAX(0,1-'Индонезия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7.128363915127391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2030'!V15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2030'!B16+'Индонезия 2030'!D16+('Индонезия 2030'!C16+'Индонезия 2030'!F16+'Индонезия 2030'!G16)+(0.35*LN(1+0.6*('Ход 2030'!B22*(1+'Эффекты технологий'!N$12)))*POWER(MAX(0,1-'Индонезия 2030'!I16/10),0.7))))</f>
        <v>8.4984183436492291</v>
      </c>
      <c r="C16" s="3">
        <f>MIN(1,(MIN(1,'Индонезия 2030'!C16+'Индонезия 2030'!F16+(0.08*LN(1+0.5*('Ход 2030'!C22*(1+'Эффекты технологий'!N$12)))*MAX(0,1-('Индонезия 2030'!C16+'Индонезия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8.4984183436492291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2030'!L16+'Индонезия 2030'!N16+('Индонезия 2030'!M16+'Индонезия 2030'!P16+'Индонезия 2030'!Q16)))</f>
        <v>9.4153030647252987</v>
      </c>
      <c r="M16" s="3">
        <f>MIN(1,(MIN(1,'Индонезия 2030'!M16+'Индонезия 2030'!P16+(0.1*LN(1+0.5*('Ход 2030'!H18*(1+'Эффекты технологий'!N$10)))*POWER(MAX(0,1-'Индонезия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9.4153030647252987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2030'!V16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2030'!B17+'Индонезия 2030'!D17+('Индонезия 2030'!C17+'Индонезия 2030'!F17+'Индонезия 2030'!G17)+(0.35*LN(1+0.6*('Ход 2030'!B23*(1+'Эффекты технологий'!N$12)))*POWER(MAX(0,1-'Индонезия 2030'!I17/10),0.7))))</f>
        <v>8.0708197083824764</v>
      </c>
      <c r="C17" s="3">
        <f>MIN(1,(MIN(1,'Индонезия 2030'!C17+'Индонезия 2030'!F17+(0.08*LN(1+0.5*('Ход 2030'!C23*(1+'Эффекты технологий'!N$12)))*MAX(0,1-('Индонезия 2030'!C17+'Индонезия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8.0708197083824764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2030'!L17+'Индонезия 2030'!N17+('Индонезия 2030'!M17+'Индонезия 2030'!P17+'Индонезия 2030'!Q17)))</f>
        <v>9.4153030647252987</v>
      </c>
      <c r="M17" s="3">
        <f>MIN(1,(MIN(1,'Индонезия 2030'!M17+'Индонезия 2030'!P17+(0.1*LN(1+0.5*('Ход 2030'!H19*(1+'Эффекты технологий'!N$10)))*POWER(MAX(0,1-'Индонезия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9.4153030647252987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2030'!V17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2030'!L18+'Индонезия 2030'!N18+('Индонезия 2030'!M18+'Индонезия 2030'!P18+'Индонезия 2030'!Q18)))</f>
        <v>10</v>
      </c>
      <c r="M18" s="3">
        <f>MIN(1,(MIN(1,'Индонезия 2030'!M18+'Индонезия 2030'!P18+(0.1*LN(1+0.5*('Ход 2030'!H20*(1+'Эффекты технологий'!N$10)))*POWER(MAX(0,1-'Индонезия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2030'!V18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2030'!B19+'Индонезия 2030'!D19+('Индонезия 2030'!C19+'Индонезия 2030'!F19+'Индонезия 2030'!G19)+(0.35*LN(1+0.6*'Ход 2030'!B25)*POWER(MAX(0,1-'Индонезия 2030'!I19/10),0.7))))</f>
        <v>7.3366186178916228</v>
      </c>
      <c r="C19" s="3">
        <f>MIN(1,(MIN(1,'Индонезия 2030'!C19+'Индонезия 2030'!F19+(0.08*LN(1+0.5*'Ход 2030'!C25)*MAX(0,1-('Индонезия 2030'!C19+'Индонезия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7.3366186178916228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2030'!V19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2030'!B20+'Индонезия 2030'!D20+('Индонезия 2030'!C20+'Индонезия 2030'!F20+'Индонезия 2030'!G20)+(0.35*LN(1+0.6*'Ход 2030'!B26)*POWER(MAX(0,1-'Индонезия 2030'!I20/10),0.7))))</f>
        <v>7.586618617891622</v>
      </c>
      <c r="C20" s="3">
        <f>MIN(1,(MIN(1,'Индонезия 2030'!C20+'Индонезия 2030'!F20+(0.08*LN(1+0.5*'Ход 2030'!C26)*MAX(0,1-('Индонезия 2030'!C20+'Индонезия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7.586618617891622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2030'!V20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2030'!B21+'Индонезия 2030'!D21+('Индонезия 2030'!C21+'Индонезия 2030'!F21+'Индонезия 2030'!G21)+(0.35*LN(1+0.6*'Ход 2030'!B27)*POWER(MAX(0,1-'Индонезия 2030'!I21/10),0.7))))</f>
        <v>7.0940628244860289</v>
      </c>
      <c r="C21" s="3">
        <f>MIN(1,(MIN(1,'Индонезия 2030'!C21+'Индонезия 2030'!F21+(0.08*LN(1+0.5*'Ход 2030'!C27)*MAX(0,1-('Индонезия 2030'!C21+'Индонезия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7.0940628244860289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2030'!V21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2030'!B22+'Индонезия 2030'!D22+('Индонезия 2030'!C22+'Индонезия 2030'!F22+'Индонезия 2030'!G22)+(0.35*LN(1+0.6*'Ход 2030'!B28)*POWER(MAX(0,1-'Индонезия 2030'!I22/10),0.7))))</f>
        <v>7.5788890791791248</v>
      </c>
      <c r="C22" s="3">
        <f>MIN(1,(MIN(1,'Индонезия 2030'!C22+'Индонезия 2030'!F22+(0.08*LN(1+0.5*'Ход 2030'!C28)*MAX(0,1-('Индонезия 2030'!C22+'Индонезия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7.5788890791791248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2030'!V22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2030'!B23+'Индонезия 2030'!D23+('Индонезия 2030'!C23+'Индонезия 2030'!F23+'Индонезия 2030'!G23)+(0.35*LN(1+0.6*'Ход 2030'!B29)*POWER(MAX(0,1-'Индонезия 2030'!I23/10),0.7))))</f>
        <v>7.3366186178916228</v>
      </c>
      <c r="C23" s="3">
        <f>MIN(1,(MIN(1,'Индонезия 2030'!C23+'Индонезия 2030'!F23+(0.08*LN(1+0.5*'Ход 2030'!C29)*MAX(0,1-('Индонезия 2030'!C23+'Индонезия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7.3366186178916228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2030'!V23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2030'!V24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2030'!B25+'Индонезия 2030'!D25+('Индонезия 2030'!C25+'Индонезия 2030'!F25+'Индонезия 2030'!G25)+(0.35*LN(1+0.6*'Ход 2030'!B31)*POWER(MAX(0,1-'Индонезия 2030'!I25/10),0.7))))</f>
        <v>9.043594644164898</v>
      </c>
      <c r="C25" s="3">
        <f>MIN(1,(MIN(1,'Индонезия 2030'!C25+'Индонезия 2030'!F25+(0.08*LN(1+0.5*'Ход 2030'!C31)*MAX(0,1-('Индонезия 2030'!C25+'Индонезия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9.043594644164898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2030'!V25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2030'!B26+'Индонезия 2030'!D26+('Индонезия 2030'!C26+'Индонезия 2030'!F26+'Индонезия 2030'!G26)+(0.35*LN(1+0.6*'Ход 2030'!B32)*POWER(MAX(0,1-'Индонезия 2030'!I26/10),0.7))))</f>
        <v>7.8288890791791239</v>
      </c>
      <c r="C26" s="3">
        <f>MIN(1,(MIN(1,'Индонезия 2030'!C26+'Индонезия 2030'!F26+(0.08*LN(1+0.5*'Ход 2030'!C32)*MAX(0,1-('Индонезия 2030'!C26+'Индонезия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7.8288890791791239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2030'!B27+'Индонезия 2030'!D27+('Индонезия 2030'!C27+'Индонезия 2030'!F27+'Индонезия 2030'!G27)+(0.35*LN(1+0.6*'Ход 2030'!B33)*POWER(MAX(0,1-'Индонезия 2030'!I27/10),0.7))))</f>
        <v>8.0708197083824764</v>
      </c>
      <c r="C27" s="3">
        <f>MIN(1,(MIN(1,'Индонезия 2030'!C27+'Индонезия 2030'!F27+(0.08*LN(1+0.5*'Ход 2030'!C33)*MAX(0,1-('Индонезия 2030'!C27+'Индонезия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8.0708197083824764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2030'!B28+'Индонезия 2030'!D28+('Индонезия 2030'!C28+'Индонезия 2030'!F28+'Индонезия 2030'!G28)+(0.35*LN(1+0.6*'Ход 2030'!B34)*POWER(MAX(0,1-'Индонезия 2030'!I28/10),0.7))))</f>
        <v>7.586618617891622</v>
      </c>
      <c r="C28" s="3">
        <f>MIN(1,(MIN(1,'Индонезия 2030'!C28+'Индонезия 2030'!F28+(0.08*LN(1+0.5*'Ход 2030'!C34)*MAX(0,1-('Индонезия 2030'!C28+'Индонезия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7.586618617891622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2030'!B29+'Индонезия 2030'!D29+('Индонезия 2030'!C29+'Индонезия 2030'!F29+'Индонезия 2030'!G29)+(0.35*LN(1+0.6*'Ход 2030'!B35)*POWER(MAX(0,1-'Индонезия 2030'!I29/10),0.7))))</f>
        <v>7.3366186178916228</v>
      </c>
      <c r="C29" s="3">
        <f>MIN(1,(MIN(1,'Индонезия 2030'!C29+'Индонезия 2030'!F29+(0.08*LN(1+0.5*'Ход 2030'!C35)*MAX(0,1-('Индонезия 2030'!C29+'Индонезия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7.3366186178916228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2030'!B30+'Индонезия 2030'!D30+('Индонезия 2030'!C30+'Индонезия 2030'!F30+'Индонезия 2030'!G30)+(0.35*LN(1+0.6*'Ход 2030'!B36)*POWER(MAX(0,1-'Индонезия 2030'!I30/10),0.7))))</f>
        <v>7.0866186178916237</v>
      </c>
      <c r="C30" s="3">
        <f>MIN(1,(MIN(1,'Индонезия 2030'!C30+'Индонезия 2030'!F30+(0.08*LN(1+0.5*'Ход 2030'!C36)*MAX(0,1-('Индонезия 2030'!C30+'Индонезия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7.0866186178916237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2030'!B31+'Индонезия 2030'!D31+('Индонезия 2030'!C31+'Индонезия 2030'!F31+'Индонезия 2030'!G31)+(0.35*LN(1+0.6*'Ход 2030'!B37)*POWER(MAX(0,1-'Индонезия 2030'!I31/10),0.7))))</f>
        <v>7.0866186178916237</v>
      </c>
      <c r="C31" s="3">
        <f>MIN(1,(MIN(1,'Индонезия 2030'!C31+'Индонезия 2030'!F31+(0.08*LN(1+0.5*'Ход 2030'!C37)*MAX(0,1-('Индонезия 2030'!C31+'Индонезия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7.0866186178916237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2030'!B32+'Индонезия 2030'!D32+('Индонезия 2030'!C32+'Индонезия 2030'!F32+'Индонезия 2030'!G32)+(0.35*LN(1+0.6*'Ход 2030'!B38)*POWER(MAX(0,1-'Индонезия 2030'!I32/10),0.7))))</f>
        <v>7.8288890791791239</v>
      </c>
      <c r="C32" s="3">
        <f>MIN(1,(MIN(1,'Индонезия 2030'!C32+'Индонезия 2030'!F32+(0.08*LN(1+0.5*'Ход 2030'!C38)*MAX(0,1-('Индонезия 2030'!C32+'Индонезия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7.8288890791791239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2030'!B34+'Индонезия 2030'!D34+('Индонезия 2030'!C34+'Индонезия 2030'!F34+'Индонезия 2030'!G34)+(0.35*LN(1+0.6*'Ход 2030'!B40)*POWER(MAX(0,1-'Индонезия 2030'!I34/10),0.7))))</f>
        <v>8.8123343251271802</v>
      </c>
      <c r="C34" s="3">
        <f>MIN(1,(MIN(1,'Индонезия 2030'!C34+'Индонезия 2030'!F34+(0.08*LN(1+0.5*'Ход 2030'!C40)*MAX(0,1-('Индонезия 2030'!C34+'Индонезия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8.8123343251271802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2030'!B35+'Индонезия 2030'!D35+('Индонезия 2030'!C35+'Индонезия 2030'!F35+'Индонезия 2030'!G35)+(0.35*LN(1+0.6*'Ход 2030'!B41)*POWER(MAX(0,1-'Индонезия 2030'!I35/10),0.7))))</f>
        <v>8.312334325127182</v>
      </c>
      <c r="C35" s="3">
        <f>MIN(1,(MIN(1,'Индонезия 2030'!C35+'Индонезия 2030'!F35+(0.08*LN(1+0.5*'Ход 2030'!C41)*MAX(0,1-('Индонезия 2030'!C35+'Индонезия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8.312334325127182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2030'!B36+'Индонезия 2030'!D36+('Индонезия 2030'!C36+'Индонезия 2030'!F36+'Индонезия 2030'!G36)+(0.35*LN(1+0.6*'Ход 2030'!B42)*POWER(MAX(0,1-'Индонезия 2030'!I36/10),0.7))))</f>
        <v>9.062334325127182</v>
      </c>
      <c r="C36" s="3">
        <f>MIN(1,(MIN(1,'Индонезия 2030'!C36+'Индонезия 2030'!F36+(0.08*LN(1+0.5*'Ход 2030'!C42)*MAX(0,1-('Индонезия 2030'!C36+'Индонезия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9.062334325127182</v>
      </c>
      <c r="J36" s="10">
        <f>SUMIFS('Эффекты технологий'!$O$25:$O$240,'Эффекты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2030'!B37+'Индонезия 2030'!D37+('Индонезия 2030'!C37+'Индонезия 2030'!F37+'Индонезия 2030'!G37)+(0.35*LN(1+0.6*'Ход 2030'!B43)*POWER(MAX(0,1-'Индонезия 2030'!I37/10),0.7))))</f>
        <v>8.0788890791791239</v>
      </c>
      <c r="C37" s="3">
        <f>MIN(1,(MIN(1,'Индонезия 2030'!C37+'Индонезия 2030'!F37+(0.08*LN(1+0.5*'Ход 2030'!C43)*MAX(0,1-('Индонезия 2030'!C37+'Индонезия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8.0788890791791239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2030'!B38+'Индонезия 2030'!D38+('Индонезия 2030'!C38+'Индонезия 2030'!F38+'Индонезия 2030'!G38)+(0.35*LN(1+0.6*'Ход 2030'!B44)*POWER(MAX(0,1-'Индонезия 2030'!I38/10),0.7))))</f>
        <v>7.8288890791791239</v>
      </c>
      <c r="C38" s="3">
        <f>MIN(1,(MIN(1,'Индонезия 2030'!C38+'Индонезия 2030'!F38+(0.08*LN(1+0.5*'Ход 2030'!C44)*MAX(0,1-('Индонезия 2030'!C38+'Индонезия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7.8288890791791239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2030'!B39+'Индонезия 2030'!D39+('Индонезия 2030'!C39+'Индонезия 2030'!F39+'Индонезия 2030'!G39)+(0.35*LN(1+0.6*'Ход 2030'!B45)*POWER(MAX(0,1-'Индонезия 2030'!I39/10),0.7))))</f>
        <v>8.8123343251271802</v>
      </c>
      <c r="C39" s="3">
        <f>MIN(1,(MIN(1,'Индонезия 2030'!C39+'Индонезия 2030'!F39+(0.08*LN(1+0.5*'Ход 2030'!C45)*MAX(0,1-('Индонезия 2030'!C39+'Индонезия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8.8123343251271802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2030'!B40+'Индонезия 2030'!D40+('Индонезия 2030'!C40+'Индонезия 2030'!F40+'Индонезия 2030'!G40)+(0.35*LN(1+0.6*'Ход 2030'!B46)*POWER(MAX(0,1-'Индонезия 2030'!I40/10),0.7))))</f>
        <v>8.3208197083824764</v>
      </c>
      <c r="C40" s="3">
        <f>MIN(1,(MIN(1,'Индонезия 2030'!C40+'Индонезия 2030'!F40+(0.08*LN(1+0.5*'Ход 2030'!C46)*MAX(0,1-('Индонезия 2030'!C40+'Индонезия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8.3208197083824764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2030'!B41+'Индонезия 2030'!D41+('Индонезия 2030'!C41+'Индонезия 2030'!F41+'Индонезия 2030'!G41)+(0.35*LN(1+0.6*'Ход 2030'!B47)*POWER(MAX(0,1-'Индонезия 2030'!I41/10),0.7))))</f>
        <v>8.3208197083824764</v>
      </c>
      <c r="C41" s="3">
        <f>MIN(1,(MIN(1,'Индонезия 2030'!C41+'Индонезия 2030'!F41+(0.08*LN(1+0.5*'Ход 2030'!C47)*MAX(0,1-('Индонезия 2030'!C41+'Индонезия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8.3208197083824764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2030'!B42+'Индонезия 2030'!D42+('Индонезия 2030'!C42+'Индонезия 2030'!F42+'Индонезия 2030'!G42)+(0.35*LN(1+0.6*'Ход 2030'!B48)*POWER(MAX(0,1-'Индонезия 2030'!I42/10),0.7))))</f>
        <v>9.043594644164898</v>
      </c>
      <c r="C42" s="3">
        <f>MIN(1,(MIN(1,'Индонезия 2030'!C42+'Индонезия 2030'!F42+(0.08*LN(1+0.5*'Ход 2030'!C48)*MAX(0,1-('Индонезия 2030'!C42+'Индонезия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9.043594644164898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2030'!B44+'Индонезия 2030'!D44+('Индонезия 2030'!C44+'Индонезия 2030'!F44+'Индонезия 2030'!G44)+(0.35*LN(1+0.6*'Ход 2030'!B50)*POWER(MAX(0,1-'Индонезия 2030'!I44/10),0.7))))</f>
        <v>7.5788890791791248</v>
      </c>
      <c r="C44" s="3">
        <f>MIN(1,(MIN(1,'Индонезия 2030'!C44+'Индонезия 2030'!F44+(0.08*LN(1+0.5*'Ход 2030'!C50)*MAX(0,1-('Индонезия 2030'!C44+'Индонезия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7.5788890791791248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2030'!B45+'Индонезия 2030'!D45+('Индонезия 2030'!C45+'Индонезия 2030'!F45+'Индонезия 2030'!G45)+(0.35*LN(1+0.6*'Ход 2030'!B51)*POWER(MAX(0,1-'Индонезия 2030'!I45/10),0.7))))</f>
        <v>7.5788890791791248</v>
      </c>
      <c r="C45" s="3">
        <f>MIN(1,(MIN(1,'Индонезия 2030'!C45+'Индонезия 2030'!F45+(0.08*LN(1+0.5*'Ход 2030'!C51)*MAX(0,1-('Индонезия 2030'!C45+'Индонезия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7.5788890791791248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2030'!B46+'Индонезия 2030'!D46+('Индонезия 2030'!C46+'Индонезия 2030'!F46+'Индонезия 2030'!G46)+(0.35*LN(1+0.6*'Ход 2030'!B52)*POWER(MAX(0,1-'Индонезия 2030'!I46/10),0.7))))</f>
        <v>7.5788890791791248</v>
      </c>
      <c r="C46" s="3">
        <f>MIN(1,(MIN(1,'Индонезия 2030'!C46+'Индонезия 2030'!F46+(0.08*LN(1+0.5*'Ход 2030'!C52)*MAX(0,1-('Индонезия 2030'!C46+'Индонезия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7.5788890791791248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2030'!B47+'Индонезия 2030'!D47+('Индонезия 2030'!C47+'Индонезия 2030'!F47+'Индонезия 2030'!G47)+(0.35*LN(1+0.6*'Ход 2030'!B53)*POWER(MAX(0,1-'Индонезия 2030'!I47/10),0.7))))</f>
        <v>7.8208197083824773</v>
      </c>
      <c r="C47" s="3">
        <f>MIN(1,(MIN(1,'Индонезия 2030'!C47+'Индонезия 2030'!F47+(0.08*LN(1+0.5*'Ход 2030'!C53)*MAX(0,1-('Индонезия 2030'!C47+'Индонезия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7.8208197083824773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2030'!B48+'Индонезия 2030'!D48+('Индонезия 2030'!C48+'Индонезия 2030'!F48+'Индонезия 2030'!G48)+(0.35*LN(1+0.6*'Ход 2030'!B54)*POWER(MAX(0,1-'Индонезия 2030'!I48/10),0.7))))</f>
        <v>#REF!</v>
      </c>
      <c r="C48" s="3">
        <f>MIN(1,(MIN(1,'Индонезия 2030'!C48+'Индонезия 2030'!F48+(0.08*LN(1+0.5*'Ход 2030'!C54)*MAX(0,1-('Индонезия 2030'!C48+'Индонезия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2030'!B49+'Индонезия 2030'!D49+('Индонезия 2030'!C49+'Индонезия 2030'!F49+'Индонезия 2030'!G49)+(0.35*LN(1+0.6*'Ход 2030'!B55)*POWER(MAX(0,1-'Индонезия 2030'!I49/10),0.7))))</f>
        <v>9.5533200137544689</v>
      </c>
      <c r="C49" s="3">
        <f>MIN(1,(MIN(1,'Индонезия 2030'!C49+'Индонезия 2030'!F49+(0.08*LN(1+0.5*'Ход 2030'!C55)*MAX(0,1-('Индонезия 2030'!C49+'Индонезия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9.5533200137544689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2030'!B50+'Индонезия 2030'!D50+('Индонезия 2030'!C50+'Индонезия 2030'!F50+'Индонезия 2030'!G50)+(0.35*LN(1+0.6*'Ход 2030'!B56)*POWER(MAX(0,1-'Индонезия 2030'!I50/10),0.7))))</f>
        <v>10</v>
      </c>
      <c r="C50" s="3">
        <f>MIN(1,(MIN(1,'Индонезия 2030'!C50+'Индонезия 2030'!F50+(0.08*LN(1+0.5*'Ход 2030'!C56)*MAX(0,1-('Индонезия 2030'!C50+'Индонезия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2030'!B51+'Индонезия 2030'!D51+('Индонезия 2030'!C51+'Индонезия 2030'!F51+'Индонезия 2030'!G51)+(0.35*LN(1+0.6*'Ход 2030'!B57)*POWER(MAX(0,1-'Индонезия 2030'!I51/10),0.7))))</f>
        <v>7.8288890791791239</v>
      </c>
      <c r="C51" s="3">
        <f>MIN(1,(MIN(1,'Индонезия 2030'!C51+'Индонезия 2030'!F51+(0.08*LN(1+0.5*'Ход 2030'!C57)*MAX(0,1-('Индонезия 2030'!C51+'Индонезия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7.8288890791791239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2030'!B53+'Индонезия 2030'!D53+('Индонезия 2030'!C53+'Индонезия 2030'!F53+'Индонезия 2030'!G53)+(0.35*LN(1+0.6*'Ход 2030'!B59)*POWER(MAX(0,1-'Индонезия 2030'!I53/10),0.7))))</f>
        <v>7.3366186178916228</v>
      </c>
      <c r="C53" s="3">
        <f>MIN(1,(MIN(1,'Индонезия 2030'!C53+'Индонезия 2030'!F53+(0.08*LN(1+0.5*'Ход 2030'!C59)*MAX(0,1-('Индонезия 2030'!C53+'Индонезия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7.3366186178916228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2030'!B54+'Индонезия 2030'!D54+('Индонезия 2030'!C54+'Индонезия 2030'!F54+'Индонезия 2030'!G54)+(0.35*LN(1+0.6*'Ход 2030'!B60)*POWER(MAX(0,1-'Индонезия 2030'!I54/10),0.7))))</f>
        <v>7.3366186178916228</v>
      </c>
      <c r="C54" s="3">
        <f>MIN(1,(MIN(1,'Индонезия 2030'!C54+'Индонезия 2030'!F54+(0.08*LN(1+0.5*'Ход 2030'!C60)*MAX(0,1-('Индонезия 2030'!C54+'Индонезия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7.3366186178916228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2030'!B55+'Индонезия 2030'!D55+('Индонезия 2030'!C55+'Индонезия 2030'!F55+'Индонезия 2030'!G55)+(0.35*LN(1+0.6*'Ход 2030'!B61)*POWER(MAX(0,1-'Индонезия 2030'!I55/10),0.7))))</f>
        <v>6.5940628244860306</v>
      </c>
      <c r="C55" s="3">
        <f>MIN(1,(MIN(1,'Индонезия 2030'!C55+'Индонезия 2030'!F55+(0.08*LN(1+0.5*'Ход 2030'!C61)*MAX(0,1-('Индонезия 2030'!C55+'Индонезия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6.5940628244860306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2031'!U6</f>
        <v>93.425495062809901</v>
      </c>
      <c r="C6" s="3"/>
      <c r="D6" s="3"/>
      <c r="E6" s="3" t="s">
        <v>321</v>
      </c>
      <c r="F6" s="3" t="e">
        <f>'Индонезия 2031'!K6</f>
        <v>#REF!</v>
      </c>
      <c r="G6" s="3"/>
      <c r="H6" s="3"/>
      <c r="I6" s="3" t="s">
        <v>321</v>
      </c>
      <c r="J6" s="3">
        <f>'Индонезия 2031'!N6</f>
        <v>91.773354021546538</v>
      </c>
      <c r="K6" s="3"/>
      <c r="L6" s="3"/>
      <c r="M6" s="3" t="s">
        <v>321</v>
      </c>
      <c r="N6" s="3">
        <f>'Индонезия 2031'!Q6</f>
        <v>79.527053282847092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93.425495062809901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91.773354021546538</v>
      </c>
      <c r="K8" s="3" t="str">
        <f>IF(J8&lt;0,"ПРЕВЫШЕНИЕ","OK")</f>
        <v>OK</v>
      </c>
      <c r="L8" s="3"/>
      <c r="M8" s="3" t="s">
        <v>323</v>
      </c>
      <c r="N8" s="3">
        <f>N6-N7</f>
        <v>79.527053282847092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2031'!V11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2031'!V12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2031'!V13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2031'!V14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2031'!V15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2031'!V16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2031'!V17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2031'!V18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2031'!V19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2031'!V20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2031'!V21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2031'!V22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'Индонезия 2031'!V23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2031'!V24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2031'!V25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93.876865835302354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81.56923842715382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94.623434719543766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2031'!B8+'Индонезия 2031'!D8+('Индонезия 2031'!C8+'Индонезия 2031'!F8+'Индонезия 2031'!G8)+(0.35*LN(1+0.6*('Ход 2031'!B14*(1+'Эффекты технологий'!O$12)))*POWER(MAX(0,1-'Индонезия 2031'!I8/10),0.7))))</f>
        <v>9.3968107313668767</v>
      </c>
      <c r="C8" s="3">
        <f>MIN(1,(MIN(1,'Индонезия 2031'!C8+'Индонезия 2031'!F8+(0.08*LN(1+0.5*('Ход 2031'!C14*(1+'Эффекты технологий'!O$12)))*MAX(0,1-('Индонезия 2031'!C8+'Индонезия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9.3968107313668767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2031'!B9+'Индонезия 2031'!D9+('Индонезия 2031'!C9+'Индонезия 2031'!F9+'Индонезия 2031'!G9)+(0.35*LN(1+0.6*('Ход 2031'!B15*(1+'Эффекты технологий'!O$12)))*POWER(MAX(0,1-'Индонезия 2031'!I9/10),0.7))))</f>
        <v>6.7054128889638944</v>
      </c>
      <c r="C9" s="3">
        <f>MIN(1,(MIN(1,'Индонезия 2031'!C9+'Индонезия 2031'!F9+(0.08*LN(1+0.5*('Ход 2031'!C15*(1+'Эффекты технологий'!O$12)))*MAX(0,1-('Индонезия 2031'!C9+'Индонезия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6.7054128889638944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2031'!B10+'Индонезия 2031'!D10+('Индонезия 2031'!C10+'Индонезия 2031'!F10+'Индонезия 2031'!G10)+(0.35*LN(1+0.6*('Ход 2031'!B16*(1+'Эффекты технологий'!O$12)))*POWER(MAX(0,1-'Индонезия 2031'!I10/10),0.7))))</f>
        <v>8.7731249250628647</v>
      </c>
      <c r="C10" s="3">
        <f>MIN(1,(MIN(1,'Индонезия 2031'!C10+'Индонезия 2031'!F10+(0.08*LN(1+0.5*('Ход 2031'!C16*(1+'Эффекты технологий'!O$12)))*MAX(0,1-('Индонезия 2031'!C10+'Индонезия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8.7731249250628647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2031'!B11+'Индонезия 2031'!D11+('Индонезия 2031'!C11+'Индонезия 2031'!F11+'Индонезия 2031'!G11)+(0.35*LN(1+0.6*('Ход 2031'!B17*(1+'Эффекты технологий'!O$12)))*POWER(MAX(0,1-'Индонезия 2031'!I11/10),0.7))))</f>
        <v>8.4731249250628711</v>
      </c>
      <c r="C11" s="3">
        <f>MIN(1,(MIN(1,'Индонезия 2031'!C11+'Индонезия 2031'!F11+(0.08*LN(1+0.5*('Ход 2031'!C17*(1+'Эффекты технологий'!O$12)))*MAX(0,1-('Индонезия 2031'!C11+'Индонезия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8.4731249250628711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2031'!L11+'Индонезия 2031'!N11+('Индонезия 2031'!M11+'Индонезия 2031'!P11+'Индонезия 2031'!Q11)))</f>
        <v>9.0620102813787575</v>
      </c>
      <c r="M11" s="3">
        <f>MIN(1,(MIN(1,'Индонезия 2031'!M11+'Индонезия 2031'!P11+(0.1*LN(1+0.5*('Ход 2031'!H13*(1+'Эффекты технологий'!O$10)))*POWER(MAX(0,1-'Индонезия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9.0620102813787575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2031'!V11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2031'!B12+'Индонезия 2031'!D12+('Индонезия 2031'!C12+'Индонезия 2031'!F12+'Индонезия 2031'!G12)+(0.35*LN(1+0.6*('Ход 2031'!B18*(1+'Эффекты технологий'!O$12)))*POWER(MAX(0,1-'Индонезия 2031'!I12/10),0.7))))</f>
        <v>9.435891041605398</v>
      </c>
      <c r="C12" s="3">
        <f>MIN(1,(MIN(1,'Индонезия 2031'!C12+'Индонезия 2031'!F12+(0.08*LN(1+0.5*('Ход 2031'!C18*(1+'Эффекты технологий'!O$12)))*MAX(0,1-('Индонезия 2031'!C12+'Индонезия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9.435891041605398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2031'!L12+'Индонезия 2031'!N12+('Индонезия 2031'!M12+'Индонезия 2031'!P12+'Индонезия 2031'!Q12)))</f>
        <v>8.7620102813787568</v>
      </c>
      <c r="M12" s="3">
        <f>MIN(1,(MIN(1,'Индонезия 2031'!M12+'Индонезия 2031'!P12+(0.1*LN(1+0.5*('Ход 2031'!H14*(1+'Эффекты технологий'!O$10)))*POWER(MAX(0,1-'Индонезия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8.7620102813787568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2031'!V12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2031'!B13+'Индонезия 2031'!D13+('Индонезия 2031'!C13+'Индонезия 2031'!F13+'Индонезия 2031'!G13)+(0.35*LN(1+0.6*('Ход 2031'!B19*(1+'Эффекты технологий'!O$12)))*POWER(MAX(0,1-'Индонезия 2031'!I13/10),0.7))))</f>
        <v>4.1082533175883986</v>
      </c>
      <c r="C13" s="3">
        <f>MIN(1,(MIN(1,'Индонезия 2031'!C13+'Индонезия 2031'!F13+(0.08*LN(1+0.5*('Ход 2031'!C19*(1+'Эффекты технологий'!O$12)))*MAX(0,1-('Индонезия 2031'!C13+'Индонезия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4.1082533175883986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2031'!L13+'Индонезия 2031'!N13+('Индонезия 2031'!M13+'Индонезия 2031'!P13+'Индонезия 2031'!Q13)))</f>
        <v>8.5992815169828276</v>
      </c>
      <c r="M13" s="3">
        <f>MIN(1,(MIN(1,'Индонезия 2031'!M13+'Индонезия 2031'!P13+(0.1*LN(1+0.5*('Ход 2031'!H15*(1+'Эффекты технологий'!O$10)))*POWER(MAX(0,1-'Индонезия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8.5992815169828276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2031'!V13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2031'!B14+'Индонезия 2031'!D14+('Индонезия 2031'!C14+'Индонезия 2031'!F14+'Индонезия 2031'!G14)+(0.35*LN(1+0.6*('Ход 2031'!B20*(1+'Эффекты технологий'!O$12)))*POWER(MAX(0,1-'Индонезия 2031'!I14/10),0.7))))</f>
        <v>6.1393355625513495</v>
      </c>
      <c r="C14" s="3">
        <f>MIN(1,(MIN(1,'Индонезия 2031'!C14+'Индонезия 2031'!F14+(0.08*LN(1+0.5*('Ход 2031'!C20*(1+'Эффекты технологий'!O$12)))*MAX(0,1-('Индонезия 2031'!C14+'Индонезия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6.3393355625513497</v>
      </c>
      <c r="J14" s="10">
        <f>SUMIFS('Эффекты технологий'!$P$25:$P$240,'Эффекты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2031'!L14+'Индонезия 2031'!N14+('Индонезия 2031'!M14+'Индонезия 2031'!P14+'Индонезия 2031'!Q14)))</f>
        <v>8.9868157492797742</v>
      </c>
      <c r="M14" s="3">
        <f>MIN(1,(MIN(1,'Индонезия 2031'!M14+'Индонезия 2031'!P14+(0.1*LN(1+0.5*('Ход 2031'!H16*(1+'Эффекты технологий'!O$10)))*POWER(MAX(0,1-'Индонезия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8.9868157492797742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2031'!V14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2031'!B15+'Индонезия 2031'!D15+('Индонезия 2031'!C15+'Индонезия 2031'!F15+'Индонезия 2031'!G15)+(0.35*LN(1+0.6*('Ход 2031'!B21*(1+'Эффекты технологий'!O$12)))*POWER(MAX(0,1-'Индонезия 2031'!I15/10),0.7))))</f>
        <v>8.772819362813685</v>
      </c>
      <c r="C15" s="3">
        <f>MIN(1,(MIN(1,'Индонезия 2031'!C15+'Индонезия 2031'!F15+(0.08*LN(1+0.5*('Ход 2031'!C21*(1+'Эффекты технологий'!O$12)))*MAX(0,1-('Индонезия 2031'!C15+'Индонезия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8.772819362813685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2031'!L15+'Индонезия 2031'!N15+('Индонезия 2031'!M15+'Индонезия 2031'!P15+'Индонезия 2031'!Q15)))</f>
        <v>7.4729548939092387</v>
      </c>
      <c r="M15" s="3">
        <f>MIN(1,(MIN(1,'Индонезия 2031'!M15+'Индонезия 2031'!P15+(0.1*LN(1+0.5*('Ход 2031'!H17*(1+'Эффекты технологий'!O$10)))*POWER(MAX(0,1-'Индонезия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7.4729548939092387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2031'!V15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2031'!B16+'Индонезия 2031'!D16+('Индонезия 2031'!C16+'Индонезия 2031'!F16+'Индонезия 2031'!G16)+(0.35*LN(1+0.6*('Ход 2031'!B22*(1+'Эффекты технологий'!O$12)))*POWER(MAX(0,1-'Индонезия 2031'!I16/10),0.7))))</f>
        <v>8.7484183436492291</v>
      </c>
      <c r="C16" s="3">
        <f>MIN(1,(MIN(1,'Индонезия 2031'!C16+'Индонезия 2031'!F16+(0.08*LN(1+0.5*('Ход 2031'!C22*(1+'Эффекты технологий'!O$12)))*MAX(0,1-('Индонезия 2031'!C16+'Индонезия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8.7484183436492291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2031'!L16+'Индонезия 2031'!N16+('Индонезия 2031'!M16+'Индонезия 2031'!P16+'Индонезия 2031'!Q16)))</f>
        <v>9.8066288309066234</v>
      </c>
      <c r="M16" s="3">
        <f>MIN(1,(MIN(1,'Индонезия 2031'!M16+'Индонезия 2031'!P16+(0.1*LN(1+0.5*('Ход 2031'!H18*(1+'Эффекты технологий'!O$10)))*POWER(MAX(0,1-'Индонезия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9.8066288309066234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2031'!V16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2031'!B17+'Индонезия 2031'!D17+('Индонезия 2031'!C17+'Индонезия 2031'!F17+'Индонезия 2031'!G17)+(0.35*LN(1+0.6*('Ход 2031'!B23*(1+'Эффекты технологий'!O$12)))*POWER(MAX(0,1-'Индонезия 2031'!I17/10),0.7))))</f>
        <v>8.2708197083824757</v>
      </c>
      <c r="C17" s="3">
        <f>MIN(1,(MIN(1,'Индонезия 2031'!C17+'Индонезия 2031'!F17+(0.08*LN(1+0.5*('Ход 2031'!C23*(1+'Эффекты технологий'!O$12)))*MAX(0,1-('Индонезия 2031'!C17+'Индонезия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8.2708197083824757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2031'!L17+'Индонезия 2031'!N17+('Индонезия 2031'!M17+'Индонезия 2031'!P17+'Индонезия 2031'!Q17)))</f>
        <v>9.8066288309066234</v>
      </c>
      <c r="M17" s="3">
        <f>MIN(1,(MIN(1,'Индонезия 2031'!M17+'Индонезия 2031'!P17+(0.1*LN(1+0.5*('Ход 2031'!H19*(1+'Эффекты технологий'!O$10)))*POWER(MAX(0,1-'Индонезия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9.8066288309066234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2031'!V17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2031'!L18+'Индонезия 2031'!N18+('Индонезия 2031'!M18+'Индонезия 2031'!P18+'Индонезия 2031'!Q18)))</f>
        <v>10</v>
      </c>
      <c r="M18" s="3">
        <f>MIN(1,(MIN(1,'Индонезия 2031'!M18+'Индонезия 2031'!P18+(0.1*LN(1+0.5*('Ход 2031'!H20*(1+'Эффекты технологий'!O$10)))*POWER(MAX(0,1-'Индонезия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2031'!V18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2031'!B19+'Индонезия 2031'!D19+('Индонезия 2031'!C19+'Индонезия 2031'!F19+'Индонезия 2031'!G19)+(0.35*LN(1+0.6*'Ход 2031'!B25)*POWER(MAX(0,1-'Индонезия 2031'!I19/10),0.7))))</f>
        <v>7.5866186178916228</v>
      </c>
      <c r="C19" s="3">
        <f>MIN(1,(MIN(1,'Индонезия 2031'!C19+'Индонезия 2031'!F19+(0.08*LN(1+0.5*'Ход 2031'!C25)*MAX(0,1-('Индонезия 2031'!C19+'Индонезия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7.5866186178916228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2031'!V19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2031'!B20+'Индонезия 2031'!D20+('Индонезия 2031'!C20+'Индонезия 2031'!F20+'Индонезия 2031'!G20)+(0.35*LN(1+0.6*'Ход 2031'!B26)*POWER(MAX(0,1-'Индонезия 2031'!I20/10),0.7))))</f>
        <v>7.8866186178916218</v>
      </c>
      <c r="C20" s="3">
        <f>MIN(1,(MIN(1,'Индонезия 2031'!C20+'Индонезия 2031'!F20+(0.08*LN(1+0.5*'Ход 2031'!C26)*MAX(0,1-('Индонезия 2031'!C20+'Индонезия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7.8866186178916218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2031'!V20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2031'!B21+'Индонезия 2031'!D21+('Индонезия 2031'!C21+'Индонезия 2031'!F21+'Индонезия 2031'!G21)+(0.35*LN(1+0.6*'Ход 2031'!B27)*POWER(MAX(0,1-'Индонезия 2031'!I21/10),0.7))))</f>
        <v>7.3940628244860287</v>
      </c>
      <c r="C21" s="3">
        <f>MIN(1,(MIN(1,'Индонезия 2031'!C21+'Индонезия 2031'!F21+(0.08*LN(1+0.5*'Ход 2031'!C27)*MAX(0,1-('Индонезия 2031'!C21+'Индонезия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7.3940628244860287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2031'!V21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2031'!B22+'Индонезия 2031'!D22+('Индонезия 2031'!C22+'Индонезия 2031'!F22+'Индонезия 2031'!G22)+(0.35*LN(1+0.6*'Ход 2031'!B28)*POWER(MAX(0,1-'Индонезия 2031'!I22/10),0.7))))</f>
        <v>7.778889079179125</v>
      </c>
      <c r="C22" s="3">
        <f>MIN(1,(MIN(1,'Индонезия 2031'!C22+'Индонезия 2031'!F22+(0.08*LN(1+0.5*'Ход 2031'!C28)*MAX(0,1-('Индонезия 2031'!C22+'Индонезия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7.778889079179125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2031'!V22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2031'!B23+'Индонезия 2031'!D23+('Индонезия 2031'!C23+'Индонезия 2031'!F23+'Индонезия 2031'!G23)+(0.35*LN(1+0.6*'Ход 2031'!B29)*POWER(MAX(0,1-'Индонезия 2031'!I23/10),0.7))))</f>
        <v>7.5866186178916228</v>
      </c>
      <c r="C23" s="3">
        <f>MIN(1,(MIN(1,'Индонезия 2031'!C23+'Индонезия 2031'!F23+(0.08*LN(1+0.5*'Ход 2031'!C29)*MAX(0,1-('Индонезия 2031'!C23+'Индонезия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7.5866186178916228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2031'!V23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2031'!V24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2031'!B25+'Индонезия 2031'!D25+('Индонезия 2031'!C25+'Индонезия 2031'!F25+'Индонезия 2031'!G25)+(0.35*LN(1+0.6*'Ход 2031'!B31)*POWER(MAX(0,1-'Индонезия 2031'!I25/10),0.7))))</f>
        <v>9.1435946441648976</v>
      </c>
      <c r="C25" s="3">
        <f>MIN(1,(MIN(1,'Индонезия 2031'!C25+'Индонезия 2031'!F25+(0.08*LN(1+0.5*'Ход 2031'!C31)*MAX(0,1-('Индонезия 2031'!C25+'Индонезия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9.1435946441648976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2031'!V25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2031'!B26+'Индонезия 2031'!D26+('Индонезия 2031'!C26+'Индонезия 2031'!F26+'Индонезия 2031'!G26)+(0.35*LN(1+0.6*'Ход 2031'!B32)*POWER(MAX(0,1-'Индонезия 2031'!I26/10),0.7))))</f>
        <v>8.0788890791791239</v>
      </c>
      <c r="C26" s="3">
        <f>MIN(1,(MIN(1,'Индонезия 2031'!C26+'Индонезия 2031'!F26+(0.08*LN(1+0.5*'Ход 2031'!C32)*MAX(0,1-('Индонезия 2031'!C26+'Индонезия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8.0788890791791239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2031'!B27+'Индонезия 2031'!D27+('Индонезия 2031'!C27+'Индонезия 2031'!F27+'Индонезия 2031'!G27)+(0.35*LN(1+0.6*'Ход 2031'!B33)*POWER(MAX(0,1-'Индонезия 2031'!I27/10),0.7))))</f>
        <v>8.2708197083824757</v>
      </c>
      <c r="C27" s="3">
        <f>MIN(1,(MIN(1,'Индонезия 2031'!C27+'Индонезия 2031'!F27+(0.08*LN(1+0.5*'Ход 2031'!C33)*MAX(0,1-('Индонезия 2031'!C27+'Индонезия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8.2708197083824757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2031'!B28+'Индонезия 2031'!D28+('Индонезия 2031'!C28+'Индонезия 2031'!F28+'Индонезия 2031'!G28)+(0.35*LN(1+0.6*'Ход 2031'!B34)*POWER(MAX(0,1-'Индонезия 2031'!I28/10),0.7))))</f>
        <v>7.8866186178916218</v>
      </c>
      <c r="C28" s="3">
        <f>MIN(1,(MIN(1,'Индонезия 2031'!C28+'Индонезия 2031'!F28+(0.08*LN(1+0.5*'Ход 2031'!C34)*MAX(0,1-('Индонезия 2031'!C28+'Индонезия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7.8866186178916218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2031'!B29+'Индонезия 2031'!D29+('Индонезия 2031'!C29+'Индонезия 2031'!F29+'Индонезия 2031'!G29)+(0.35*LN(1+0.6*'Ход 2031'!B35)*POWER(MAX(0,1-'Индонезия 2031'!I29/10),0.7))))</f>
        <v>7.5866186178916228</v>
      </c>
      <c r="C29" s="3">
        <f>MIN(1,(MIN(1,'Индонезия 2031'!C29+'Индонезия 2031'!F29+(0.08*LN(1+0.5*'Ход 2031'!C35)*MAX(0,1-('Индонезия 2031'!C29+'Индонезия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7.5866186178916228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2031'!B30+'Индонезия 2031'!D30+('Индонезия 2031'!C30+'Индонезия 2031'!F30+'Индонезия 2031'!G30)+(0.35*LN(1+0.6*'Ход 2031'!B36)*POWER(MAX(0,1-'Индонезия 2031'!I30/10),0.7))))</f>
        <v>7.2866186178916239</v>
      </c>
      <c r="C30" s="3">
        <f>MIN(1,(MIN(1,'Индонезия 2031'!C30+'Индонезия 2031'!F30+(0.08*LN(1+0.5*'Ход 2031'!C36)*MAX(0,1-('Индонезия 2031'!C30+'Индонезия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7.2866186178916239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2031'!B31+'Индонезия 2031'!D31+('Индонезия 2031'!C31+'Индонезия 2031'!F31+'Индонезия 2031'!G31)+(0.35*LN(1+0.6*'Ход 2031'!B37)*POWER(MAX(0,1-'Индонезия 2031'!I31/10),0.7))))</f>
        <v>7.2866186178916239</v>
      </c>
      <c r="C31" s="3">
        <f>MIN(1,(MIN(1,'Индонезия 2031'!C31+'Индонезия 2031'!F31+(0.08*LN(1+0.5*'Ход 2031'!C37)*MAX(0,1-('Индонезия 2031'!C31+'Индонезия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7.2866186178916239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2031'!B32+'Индонезия 2031'!D32+('Индонезия 2031'!C32+'Индонезия 2031'!F32+'Индонезия 2031'!G32)+(0.35*LN(1+0.6*'Ход 2031'!B38)*POWER(MAX(0,1-'Индонезия 2031'!I32/10),0.7))))</f>
        <v>8.0788890791791239</v>
      </c>
      <c r="C32" s="3">
        <f>MIN(1,(MIN(1,'Индонезия 2031'!C32+'Индонезия 2031'!F32+(0.08*LN(1+0.5*'Ход 2031'!C38)*MAX(0,1-('Индонезия 2031'!C32+'Индонезия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8.0788890791791239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2031'!B34+'Индонезия 2031'!D34+('Индонезия 2031'!C34+'Индонезия 2031'!F34+'Индонезия 2031'!G34)+(0.35*LN(1+0.6*'Ход 2031'!B40)*POWER(MAX(0,1-'Индонезия 2031'!I34/10),0.7))))</f>
        <v>9.0623343251271802</v>
      </c>
      <c r="C34" s="3">
        <f>MIN(1,(MIN(1,'Индонезия 2031'!C34+'Индонезия 2031'!F34+(0.08*LN(1+0.5*'Ход 2031'!C40)*MAX(0,1-('Индонезия 2031'!C34+'Индонезия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9.0623343251271802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2031'!B35+'Индонезия 2031'!D35+('Индонезия 2031'!C35+'Индонезия 2031'!F35+'Индонезия 2031'!G35)+(0.35*LN(1+0.6*'Ход 2031'!B41)*POWER(MAX(0,1-'Индонезия 2031'!I35/10),0.7))))</f>
        <v>8.4623343251271823</v>
      </c>
      <c r="C35" s="3">
        <f>MIN(1,(MIN(1,'Индонезия 2031'!C35+'Индонезия 2031'!F35+(0.08*LN(1+0.5*'Ход 2031'!C41)*MAX(0,1-('Индонезия 2031'!C35+'Индонезия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8.4623343251271823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2031'!B36+'Индонезия 2031'!D36+('Индонезия 2031'!C36+'Индонезия 2031'!F36+'Индонезия 2031'!G36)+(0.35*LN(1+0.6*'Ход 2031'!B42)*POWER(MAX(0,1-'Индонезия 2031'!I36/10),0.7))))</f>
        <v>9.3623343251271827</v>
      </c>
      <c r="C36" s="3">
        <f>MIN(1,(MIN(1,'Индонезия 2031'!C36+'Индонезия 2031'!F36+(0.08*LN(1+0.5*'Ход 2031'!C42)*MAX(0,1-('Индонезия 2031'!C36+'Индонезия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9.3623343251271827</v>
      </c>
      <c r="J36" s="10">
        <f>SUMIFS('Эффекты технологий'!$P$25:$P$240,'Эффекты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2031'!B37+'Индонезия 2031'!D37+('Индонезия 2031'!C37+'Индонезия 2031'!F37+'Индонезия 2031'!G37)+(0.35*LN(1+0.6*'Ход 2031'!B43)*POWER(MAX(0,1-'Индонезия 2031'!I37/10),0.7))))</f>
        <v>8.3788890791791246</v>
      </c>
      <c r="C37" s="3">
        <f>MIN(1,(MIN(1,'Индонезия 2031'!C37+'Индонезия 2031'!F37+(0.08*LN(1+0.5*'Ход 2031'!C43)*MAX(0,1-('Индонезия 2031'!C37+'Индонезия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8.3788890791791246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2031'!B38+'Индонезия 2031'!D38+('Индонезия 2031'!C38+'Индонезия 2031'!F38+'Индонезия 2031'!G38)+(0.35*LN(1+0.6*'Ход 2031'!B44)*POWER(MAX(0,1-'Индонезия 2031'!I38/10),0.7))))</f>
        <v>8.0788890791791239</v>
      </c>
      <c r="C38" s="3">
        <f>MIN(1,(MIN(1,'Индонезия 2031'!C38+'Индонезия 2031'!F38+(0.08*LN(1+0.5*'Ход 2031'!C44)*MAX(0,1-('Индонезия 2031'!C38+'Индонезия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8.0788890791791239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2031'!B39+'Индонезия 2031'!D39+('Индонезия 2031'!C39+'Индонезия 2031'!F39+'Индонезия 2031'!G39)+(0.35*LN(1+0.6*'Ход 2031'!B45)*POWER(MAX(0,1-'Индонезия 2031'!I39/10),0.7))))</f>
        <v>9.0623343251271802</v>
      </c>
      <c r="C39" s="3">
        <f>MIN(1,(MIN(1,'Индонезия 2031'!C39+'Индонезия 2031'!F39+(0.08*LN(1+0.5*'Ход 2031'!C45)*MAX(0,1-('Индонезия 2031'!C39+'Индонезия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9.0623343251271802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2031'!B40+'Индонезия 2031'!D40+('Индонезия 2031'!C40+'Индонезия 2031'!F40+'Индонезия 2031'!G40)+(0.35*LN(1+0.6*'Ход 2031'!B46)*POWER(MAX(0,1-'Индонезия 2031'!I40/10),0.7))))</f>
        <v>8.5708197083824764</v>
      </c>
      <c r="C40" s="3">
        <f>MIN(1,(MIN(1,'Индонезия 2031'!C40+'Индонезия 2031'!F40+(0.08*LN(1+0.5*'Ход 2031'!C46)*MAX(0,1-('Индонезия 2031'!C40+'Индонезия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8.5708197083824764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2031'!B41+'Индонезия 2031'!D41+('Индонезия 2031'!C41+'Индонезия 2031'!F41+'Индонезия 2031'!G41)+(0.35*LN(1+0.6*'Ход 2031'!B47)*POWER(MAX(0,1-'Индонезия 2031'!I41/10),0.7))))</f>
        <v>8.5708197083824764</v>
      </c>
      <c r="C41" s="3">
        <f>MIN(1,(MIN(1,'Индонезия 2031'!C41+'Индонезия 2031'!F41+(0.08*LN(1+0.5*'Ход 2031'!C47)*MAX(0,1-('Индонезия 2031'!C41+'Индонезия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8.5708197083824764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2031'!B42+'Индонезия 2031'!D42+('Индонезия 2031'!C42+'Индонезия 2031'!F42+'Индонезия 2031'!G42)+(0.35*LN(1+0.6*'Ход 2031'!B48)*POWER(MAX(0,1-'Индонезия 2031'!I42/10),0.7))))</f>
        <v>9.1435946441648976</v>
      </c>
      <c r="C42" s="3">
        <f>MIN(1,(MIN(1,'Индонезия 2031'!C42+'Индонезия 2031'!F42+(0.08*LN(1+0.5*'Ход 2031'!C48)*MAX(0,1-('Индонезия 2031'!C42+'Индонезия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9.1435946441648976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2031'!B44+'Индонезия 2031'!D44+('Индонезия 2031'!C44+'Индонезия 2031'!F44+'Индонезия 2031'!G44)+(0.35*LN(1+0.6*'Ход 2031'!B50)*POWER(MAX(0,1-'Индонезия 2031'!I44/10),0.7))))</f>
        <v>7.778889079179125</v>
      </c>
      <c r="C44" s="3">
        <f>MIN(1,(MIN(1,'Индонезия 2031'!C44+'Индонезия 2031'!F44+(0.08*LN(1+0.5*'Ход 2031'!C50)*MAX(0,1-('Индонезия 2031'!C44+'Индонезия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7.778889079179125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2031'!B45+'Индонезия 2031'!D45+('Индонезия 2031'!C45+'Индонезия 2031'!F45+'Индонезия 2031'!G45)+(0.35*LN(1+0.6*'Ход 2031'!B51)*POWER(MAX(0,1-'Индонезия 2031'!I45/10),0.7))))</f>
        <v>7.778889079179125</v>
      </c>
      <c r="C45" s="3">
        <f>MIN(1,(MIN(1,'Индонезия 2031'!C45+'Индонезия 2031'!F45+(0.08*LN(1+0.5*'Ход 2031'!C51)*MAX(0,1-('Индонезия 2031'!C45+'Индонезия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7.778889079179125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2031'!B46+'Индонезия 2031'!D46+('Индонезия 2031'!C46+'Индонезия 2031'!F46+'Индонезия 2031'!G46)+(0.35*LN(1+0.6*'Ход 2031'!B52)*POWER(MAX(0,1-'Индонезия 2031'!I46/10),0.7))))</f>
        <v>7.778889079179125</v>
      </c>
      <c r="C46" s="3">
        <f>MIN(1,(MIN(1,'Индонезия 2031'!C46+'Индонезия 2031'!F46+(0.08*LN(1+0.5*'Ход 2031'!C52)*MAX(0,1-('Индонезия 2031'!C46+'Индонезия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7.778889079179125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2031'!B47+'Индонезия 2031'!D47+('Индонезия 2031'!C47+'Индонезия 2031'!F47+'Индонезия 2031'!G47)+(0.35*LN(1+0.6*'Ход 2031'!B53)*POWER(MAX(0,1-'Индонезия 2031'!I47/10),0.7))))</f>
        <v>7.9708197083824777</v>
      </c>
      <c r="C47" s="3">
        <f>MIN(1,(MIN(1,'Индонезия 2031'!C47+'Индонезия 2031'!F47+(0.08*LN(1+0.5*'Ход 2031'!C53)*MAX(0,1-('Индонезия 2031'!C47+'Индонезия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7.9708197083824777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2031'!B48+'Индонезия 2031'!D48+('Индонезия 2031'!C48+'Индонезия 2031'!F48+'Индонезия 2031'!G48)+(0.35*LN(1+0.6*'Ход 2031'!B54)*POWER(MAX(0,1-'Индонезия 2031'!I48/10),0.7))))</f>
        <v>#REF!</v>
      </c>
      <c r="C48" s="3">
        <f>MIN(1,(MIN(1,'Индонезия 2031'!C48+'Индонезия 2031'!F48+(0.08*LN(1+0.5*'Ход 2031'!C54)*MAX(0,1-('Индонезия 2031'!C48+'Индонезия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2031'!B49+'Индонезия 2031'!D49+('Индонезия 2031'!C49+'Индонезия 2031'!F49+'Индонезия 2031'!G49)+(0.35*LN(1+0.6*'Ход 2031'!B55)*POWER(MAX(0,1-'Индонезия 2031'!I49/10),0.7))))</f>
        <v>9.8533200137544696</v>
      </c>
      <c r="C49" s="3">
        <f>MIN(1,(MIN(1,'Индонезия 2031'!C49+'Индонезия 2031'!F49+(0.08*LN(1+0.5*'Ход 2031'!C55)*MAX(0,1-('Индонезия 2031'!C49+'Индонезия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9.8533200137544696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2031'!B50+'Индонезия 2031'!D50+('Индонезия 2031'!C50+'Индонезия 2031'!F50+'Индонезия 2031'!G50)+(0.35*LN(1+0.6*'Ход 2031'!B56)*POWER(MAX(0,1-'Индонезия 2031'!I50/10),0.7))))</f>
        <v>10</v>
      </c>
      <c r="C50" s="3">
        <f>MIN(1,(MIN(1,'Индонезия 2031'!C50+'Индонезия 2031'!F50+(0.08*LN(1+0.5*'Ход 2031'!C56)*MAX(0,1-('Индонезия 2031'!C50+'Индонезия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2031'!B51+'Индонезия 2031'!D51+('Индонезия 2031'!C51+'Индонезия 2031'!F51+'Индонезия 2031'!G51)+(0.35*LN(1+0.6*'Ход 2031'!B57)*POWER(MAX(0,1-'Индонезия 2031'!I51/10),0.7))))</f>
        <v>8.0788890791791239</v>
      </c>
      <c r="C51" s="3">
        <f>MIN(1,(MIN(1,'Индонезия 2031'!C51+'Индонезия 2031'!F51+(0.08*LN(1+0.5*'Ход 2031'!C57)*MAX(0,1-('Индонезия 2031'!C51+'Индонезия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8.0788890791791239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2031'!B53+'Индонезия 2031'!D53+('Индонезия 2031'!C53+'Индонезия 2031'!F53+'Индонезия 2031'!G53)+(0.35*LN(1+0.6*'Ход 2031'!B59)*POWER(MAX(0,1-'Индонезия 2031'!I53/10),0.7))))</f>
        <v>7.5866186178916228</v>
      </c>
      <c r="C53" s="3">
        <f>MIN(1,(MIN(1,'Индонезия 2031'!C53+'Индонезия 2031'!F53+(0.08*LN(1+0.5*'Ход 2031'!C59)*MAX(0,1-('Индонезия 2031'!C53+'Индонезия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7.5866186178916228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2031'!B54+'Индонезия 2031'!D54+('Индонезия 2031'!C54+'Индонезия 2031'!F54+'Индонезия 2031'!G54)+(0.35*LN(1+0.6*'Ход 2031'!B60)*POWER(MAX(0,1-'Индонезия 2031'!I54/10),0.7))))</f>
        <v>7.5866186178916228</v>
      </c>
      <c r="C54" s="3">
        <f>MIN(1,(MIN(1,'Индонезия 2031'!C54+'Индонезия 2031'!F54+(0.08*LN(1+0.5*'Ход 2031'!C60)*MAX(0,1-('Индонезия 2031'!C54+'Индонезия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7.5866186178916228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2031'!B55+'Индонезия 2031'!D55+('Индонезия 2031'!C55+'Индонезия 2031'!F55+'Индонезия 2031'!G55)+(0.35*LN(1+0.6*'Ход 2031'!B61)*POWER(MAX(0,1-'Индонезия 2031'!I55/10),0.7))))</f>
        <v>6.7940628244860308</v>
      </c>
      <c r="C55" s="3">
        <f>MIN(1,(MIN(1,'Индонезия 2031'!C55+'Индонезия 2031'!F55+(0.08*LN(1+0.5*'Ход 2031'!C61)*MAX(0,1-('Индонезия 2031'!C55+'Индонезия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6.7940628244860308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2032'!U6</f>
        <v>94.623434719543766</v>
      </c>
      <c r="C6" s="3"/>
      <c r="D6" s="3"/>
      <c r="E6" s="3" t="s">
        <v>321</v>
      </c>
      <c r="F6" s="3" t="e">
        <f>'Индонезия 2032'!K6</f>
        <v>#REF!</v>
      </c>
      <c r="G6" s="3"/>
      <c r="H6" s="3"/>
      <c r="I6" s="3" t="s">
        <v>321</v>
      </c>
      <c r="J6" s="3">
        <f>'Индонезия 2032'!N6</f>
        <v>93.876865835302354</v>
      </c>
      <c r="K6" s="3"/>
      <c r="L6" s="3"/>
      <c r="M6" s="3" t="s">
        <v>321</v>
      </c>
      <c r="N6" s="3">
        <f>'Индонезия 2032'!Q6</f>
        <v>81.56923842715382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94.623434719543766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93.876865835302354</v>
      </c>
      <c r="K8" s="3" t="str">
        <f>IF(J8&lt;0,"ПРЕВЫШЕНИЕ","OK")</f>
        <v>OK</v>
      </c>
      <c r="L8" s="3"/>
      <c r="M8" s="3" t="s">
        <v>323</v>
      </c>
      <c r="N8" s="3">
        <f>N6-N7</f>
        <v>81.56923842715382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2032'!V11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2032'!V12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2032'!V13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2032'!V14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2032'!V15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2032'!V16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2032'!V17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2032'!V18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2032'!V19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2032'!V20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2032'!V21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2032'!V22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'Индонезия 2032'!V23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2032'!V24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2032'!V25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95.707707041742779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83.193485377277099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95.6514320259176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2032'!B8+'Индонезия 2032'!D8+('Индонезия 2032'!C8+'Индонезия 2032'!F8+'Индонезия 2032'!G8)+(0.35*LN(1+0.6*('Ход 2032'!B14*(1+'Эффекты технологий'!P$12)))*POWER(MAX(0,1-'Индонезия 2032'!I8/10),0.7))))</f>
        <v>9.4468107313668774</v>
      </c>
      <c r="C8" s="3">
        <f>MIN(1,(MIN(1,'Индонезия 2032'!C8+'Индонезия 2032'!F8+(0.08*LN(1+0.5*('Ход 2032'!C14*(1+'Эффекты технологий'!P$12)))*MAX(0,1-('Индонезия 2032'!C8+'Индонезия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9.4468107313668774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2032'!B9+'Индонезия 2032'!D9+('Индонезия 2032'!C9+'Индонезия 2032'!F9+'Индонезия 2032'!G9)+(0.35*LN(1+0.6*('Ход 2032'!B15*(1+'Эффекты технологий'!P$12)))*POWER(MAX(0,1-'Индонезия 2032'!I9/10),0.7))))</f>
        <v>6.8554128889638948</v>
      </c>
      <c r="C9" s="3">
        <f>MIN(1,(MIN(1,'Индонезия 2032'!C9+'Индонезия 2032'!F9+(0.08*LN(1+0.5*('Ход 2032'!C15*(1+'Эффекты технологий'!P$12)))*MAX(0,1-('Индонезия 2032'!C9+'Индонезия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6.8554128889638948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2032'!B10+'Индонезия 2032'!D10+('Индонезия 2032'!C10+'Индонезия 2032'!F10+'Индонезия 2032'!G10)+(0.35*LN(1+0.6*('Ход 2032'!B16*(1+'Эффекты технологий'!P$12)))*POWER(MAX(0,1-'Индонезия 2032'!I10/10),0.7))))</f>
        <v>8.8731249250628643</v>
      </c>
      <c r="C10" s="3">
        <f>MIN(1,(MIN(1,'Индонезия 2032'!C10+'Индонезия 2032'!F10+(0.08*LN(1+0.5*('Ход 2032'!C16*(1+'Эффекты технологий'!P$12)))*MAX(0,1-('Индонезия 2032'!C10+'Индонезия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8.8731249250628643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2032'!B11+'Индонезия 2032'!D11+('Индонезия 2032'!C11+'Индонезия 2032'!F11+'Индонезия 2032'!G11)+(0.35*LN(1+0.6*('Ход 2032'!B17*(1+'Эффекты технологий'!P$12)))*POWER(MAX(0,1-'Индонезия 2032'!I11/10),0.7))))</f>
        <v>8.5231249250628718</v>
      </c>
      <c r="C11" s="3">
        <f>MIN(1,(MIN(1,'Индонезия 2032'!C11+'Индонезия 2032'!F11+(0.08*LN(1+0.5*('Ход 2032'!C17*(1+'Эффекты технологий'!P$12)))*MAX(0,1-('Индонезия 2032'!C11+'Индонезия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8.5231249250628718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2032'!L11+'Индонезия 2032'!N11+('Индонезия 2032'!M11+'Индонезия 2032'!P11+'Индонезия 2032'!Q11)))</f>
        <v>9.5044123376545091</v>
      </c>
      <c r="M11" s="3">
        <f>MIN(1,(MIN(1,'Индонезия 2032'!M11+'Индонезия 2032'!P11+(0.1*LN(1+0.5*('Ход 2032'!H13*(1+'Эффекты технологий'!P$10)))*POWER(MAX(0,1-'Индонезия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9.5044123376545091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2032'!V11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2032'!B12+'Индонезия 2032'!D12+('Индонезия 2032'!C12+'Индонезия 2032'!F12+'Индонезия 2032'!G12)+(0.35*LN(1+0.6*('Ход 2032'!B18*(1+'Эффекты технологий'!P$12)))*POWER(MAX(0,1-'Индонезия 2032'!I12/10),0.7))))</f>
        <v>9.4858910416053988</v>
      </c>
      <c r="C12" s="3">
        <f>MIN(1,(MIN(1,'Индонезия 2032'!C12+'Индонезия 2032'!F12+(0.08*LN(1+0.5*('Ход 2032'!C18*(1+'Эффекты технологий'!P$12)))*MAX(0,1-('Индонезия 2032'!C12+'Индонезия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9.4858910416053988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2032'!L12+'Индонезия 2032'!N12+('Индонезия 2032'!M12+'Индонезия 2032'!P12+'Индонезия 2032'!Q12)))</f>
        <v>9.1544123376545077</v>
      </c>
      <c r="M12" s="3">
        <f>MIN(1,(MIN(1,'Индонезия 2032'!M12+'Индонезия 2032'!P12+(0.1*LN(1+0.5*('Ход 2032'!H14*(1+'Эффекты технологий'!P$10)))*POWER(MAX(0,1-'Индонезия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9.1544123376545077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2032'!V12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2032'!B13+'Индонезия 2032'!D13+('Индонезия 2032'!C13+'Индонезия 2032'!F13+'Индонезия 2032'!G13)+(0.35*LN(1+0.6*('Ход 2032'!B19*(1+'Эффекты технологий'!P$12)))*POWER(MAX(0,1-'Индонезия 2032'!I13/10),0.7))))</f>
        <v>4.4082533175883984</v>
      </c>
      <c r="C13" s="3">
        <f>MIN(1,(MIN(1,'Индонезия 2032'!C13+'Индонезия 2032'!F13+(0.08*LN(1+0.5*('Ход 2032'!C19*(1+'Эффекты технологий'!P$12)))*MAX(0,1-('Индонезия 2032'!C13+'Индонезия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4.4082533175883984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2032'!L13+'Индонезия 2032'!N13+('Индонезия 2032'!M13+'Индонезия 2032'!P13+'Индонезия 2032'!Q13)))</f>
        <v>8.959137820379393</v>
      </c>
      <c r="M13" s="3">
        <f>MIN(1,(MIN(1,'Индонезия 2032'!M13+'Индонезия 2032'!P13+(0.1*LN(1+0.5*('Ход 2032'!H15*(1+'Эффекты технологий'!P$10)))*POWER(MAX(0,1-'Индонезия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8.959137820379393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2032'!V13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2032'!B14+'Индонезия 2032'!D14+('Индонезия 2032'!C14+'Индонезия 2032'!F14+'Индонезия 2032'!G14)+(0.35*LN(1+0.6*('Ход 2032'!B20*(1+'Эффекты технологий'!P$12)))*POWER(MAX(0,1-'Индонезия 2032'!I14/10),0.7))))</f>
        <v>6.4393355625513493</v>
      </c>
      <c r="C14" s="3">
        <f>MIN(1,(MIN(1,'Индонезия 2032'!C14+'Индонезия 2032'!F14+(0.08*LN(1+0.5*('Ход 2032'!C20*(1+'Эффекты технологий'!P$12)))*MAX(0,1-('Индонезия 2032'!C14+'Индонезия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6.6393355625513495</v>
      </c>
      <c r="J14" s="10">
        <f>SUMIFS('Эффекты технологий'!$Q$25:$Q$240,'Эффекты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2032'!L14+'Индонезия 2032'!N14+('Индонезия 2032'!M14+'Индонезия 2032'!P14+'Индонезия 2032'!Q14)))</f>
        <v>9.4141788991357291</v>
      </c>
      <c r="M14" s="3">
        <f>MIN(1,(MIN(1,'Индонезия 2032'!M14+'Индонезия 2032'!P14+(0.1*LN(1+0.5*('Ход 2032'!H16*(1+'Эффекты технологий'!P$10)))*POWER(MAX(0,1-'Индонезия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9.4141788991357291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2032'!V14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2032'!B15+'Индонезия 2032'!D15+('Индонезия 2032'!C15+'Индонезия 2032'!F15+'Индонезия 2032'!G15)+(0.35*LN(1+0.6*('Ход 2032'!B21*(1+'Эффекты технологий'!P$12)))*POWER(MAX(0,1-'Индонезия 2032'!I15/10),0.7))))</f>
        <v>9.1228193628136847</v>
      </c>
      <c r="C15" s="3">
        <f>MIN(1,(MIN(1,'Индонезия 2032'!C15+'Индонезия 2032'!F15+(0.08*LN(1+0.5*('Ход 2032'!C21*(1+'Эффекты технологий'!P$12)))*MAX(0,1-('Индонезия 2032'!C15+'Индонезия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9.1228193628136847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2032'!L15+'Индонезия 2032'!N15+('Индонезия 2032'!M15+'Индонезия 2032'!P15+'Индонезия 2032'!Q15)))</f>
        <v>7.8175458726910865</v>
      </c>
      <c r="M15" s="3">
        <f>MIN(1,(MIN(1,'Индонезия 2032'!M15+'Индонезия 2032'!P15+(0.1*LN(1+0.5*('Ход 2032'!H17*(1+'Эффекты технологий'!P$10)))*POWER(MAX(0,1-'Индонезия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7.8175458726910865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2032'!V15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2032'!B16+'Индонезия 2032'!D16+('Индонезия 2032'!C16+'Индонезия 2032'!F16+'Индонезия 2032'!G16)+(0.35*LN(1+0.6*('Ход 2032'!B22*(1+'Эффекты технологий'!P$12)))*POWER(MAX(0,1-'Индонезия 2032'!I16/10),0.7))))</f>
        <v>8.9984183436492291</v>
      </c>
      <c r="C16" s="3">
        <f>MIN(1,(MIN(1,'Индонезия 2032'!C16+'Индонезия 2032'!F16+(0.08*LN(1+0.5*('Ход 2032'!C22*(1+'Эффекты технологий'!P$12)))*MAX(0,1-('Индонезия 2032'!C16+'Индонезия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8.9984183436492291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2032'!L16+'Индонезия 2032'!N16+('Индонезия 2032'!M16+'Индонезия 2032'!P16+'Индонезия 2032'!Q16)))</f>
        <v>10</v>
      </c>
      <c r="M16" s="3">
        <f>MIN(1,(MIN(1,'Индонезия 2032'!M16+'Индонезия 2032'!P16+(0.1*LN(1+0.5*('Ход 2032'!H18*(1+'Эффекты технологий'!P$10)))*POWER(MAX(0,1-'Индонезия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2032'!V16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2032'!B17+'Индонезия 2032'!D17+('Индонезия 2032'!C17+'Индонезия 2032'!F17+'Индонезия 2032'!G17)+(0.35*LN(1+0.6*('Ход 2032'!B23*(1+'Эффекты технологий'!P$12)))*POWER(MAX(0,1-'Индонезия 2032'!I17/10),0.7))))</f>
        <v>8.470819708382475</v>
      </c>
      <c r="C17" s="3">
        <f>MIN(1,(MIN(1,'Индонезия 2032'!C17+'Индонезия 2032'!F17+(0.08*LN(1+0.5*('Ход 2032'!C23*(1+'Эффекты технологий'!P$12)))*MAX(0,1-('Индонезия 2032'!C17+'Индонезия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8.470819708382475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2032'!L17+'Индонезия 2032'!N17+('Индонезия 2032'!M17+'Индонезия 2032'!P17+'Индонезия 2032'!Q17)))</f>
        <v>10</v>
      </c>
      <c r="M17" s="3">
        <f>MIN(1,(MIN(1,'Индонезия 2032'!M17+'Индонезия 2032'!P17+(0.1*LN(1+0.5*('Ход 2032'!H19*(1+'Эффекты технологий'!P$10)))*POWER(MAX(0,1-'Индонезия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2032'!V17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2032'!L18+'Индонезия 2032'!N18+('Индонезия 2032'!M18+'Индонезия 2032'!P18+'Индонезия 2032'!Q18)))</f>
        <v>10</v>
      </c>
      <c r="M18" s="3">
        <f>MIN(1,(MIN(1,'Индонезия 2032'!M18+'Индонезия 2032'!P18+(0.1*LN(1+0.5*('Ход 2032'!H20*(1+'Эффекты технологий'!P$10)))*POWER(MAX(0,1-'Индонезия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2032'!V18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2032'!B19+'Индонезия 2032'!D19+('Индонезия 2032'!C19+'Индонезия 2032'!F19+'Индонезия 2032'!G19)+(0.35*LN(1+0.6*'Ход 2032'!B25)*POWER(MAX(0,1-'Индонезия 2032'!I19/10),0.7))))</f>
        <v>7.8366186178916228</v>
      </c>
      <c r="C19" s="3">
        <f>MIN(1,(MIN(1,'Индонезия 2032'!C19+'Индонезия 2032'!F19+(0.08*LN(1+0.5*'Ход 2032'!C25)*MAX(0,1-('Индонезия 2032'!C19+'Индонезия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7.8366186178916228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2032'!V19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2032'!B20+'Индонезия 2032'!D20+('Индонезия 2032'!C20+'Индонезия 2032'!F20+'Индонезия 2032'!G20)+(0.35*LN(1+0.6*'Ход 2032'!B26)*POWER(MAX(0,1-'Индонезия 2032'!I20/10),0.7))))</f>
        <v>8.1866186178916216</v>
      </c>
      <c r="C20" s="3">
        <f>MIN(1,(MIN(1,'Индонезия 2032'!C20+'Индонезия 2032'!F20+(0.08*LN(1+0.5*'Ход 2032'!C26)*MAX(0,1-('Индонезия 2032'!C20+'Индонезия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8.1866186178916216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2032'!V20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2032'!B21+'Индонезия 2032'!D21+('Индонезия 2032'!C21+'Индонезия 2032'!F21+'Индонезия 2032'!G21)+(0.35*LN(1+0.6*'Ход 2032'!B27)*POWER(MAX(0,1-'Индонезия 2032'!I21/10),0.7))))</f>
        <v>7.6940628244860285</v>
      </c>
      <c r="C21" s="3">
        <f>MIN(1,(MIN(1,'Индонезия 2032'!C21+'Индонезия 2032'!F21+(0.08*LN(1+0.5*'Ход 2032'!C27)*MAX(0,1-('Индонезия 2032'!C21+'Индонезия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7.6940628244860285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2032'!V21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2032'!B22+'Индонезия 2032'!D22+('Индонезия 2032'!C22+'Индонезия 2032'!F22+'Индонезия 2032'!G22)+(0.35*LN(1+0.6*'Ход 2032'!B28)*POWER(MAX(0,1-'Индонезия 2032'!I22/10),0.7))))</f>
        <v>7.9788890791791252</v>
      </c>
      <c r="C22" s="3">
        <f>MIN(1,(MIN(1,'Индонезия 2032'!C22+'Индонезия 2032'!F22+(0.08*LN(1+0.5*'Ход 2032'!C28)*MAX(0,1-('Индонезия 2032'!C22+'Индонезия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7.9788890791791252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2032'!V22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2032'!B23+'Индонезия 2032'!D23+('Индонезия 2032'!C23+'Индонезия 2032'!F23+'Индонезия 2032'!G23)+(0.35*LN(1+0.6*'Ход 2032'!B29)*POWER(MAX(0,1-'Индонезия 2032'!I23/10),0.7))))</f>
        <v>7.8366186178916228</v>
      </c>
      <c r="C23" s="3">
        <f>MIN(1,(MIN(1,'Индонезия 2032'!C23+'Индонезия 2032'!F23+(0.08*LN(1+0.5*'Ход 2032'!C29)*MAX(0,1-('Индонезия 2032'!C23+'Индонезия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7.8366186178916228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2032'!V23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2032'!V24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2032'!B25+'Индонезия 2032'!D25+('Индонезия 2032'!C25+'Индонезия 2032'!F25+'Индонезия 2032'!G25)+(0.35*LN(1+0.6*'Ход 2032'!B31)*POWER(MAX(0,1-'Индонезия 2032'!I25/10),0.7))))</f>
        <v>9.2435946441648973</v>
      </c>
      <c r="C25" s="3">
        <f>MIN(1,(MIN(1,'Индонезия 2032'!C25+'Индонезия 2032'!F25+(0.08*LN(1+0.5*'Ход 2032'!C31)*MAX(0,1-('Индонезия 2032'!C25+'Индонезия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9.2435946441648973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2032'!V25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2032'!B26+'Индонезия 2032'!D26+('Индонезия 2032'!C26+'Индонезия 2032'!F26+'Индонезия 2032'!G26)+(0.35*LN(1+0.6*'Ход 2032'!B32)*POWER(MAX(0,1-'Индонезия 2032'!I26/10),0.7))))</f>
        <v>8.3288890791791239</v>
      </c>
      <c r="C26" s="3">
        <f>MIN(1,(MIN(1,'Индонезия 2032'!C26+'Индонезия 2032'!F26+(0.08*LN(1+0.5*'Ход 2032'!C32)*MAX(0,1-('Индонезия 2032'!C26+'Индонезия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8.3288890791791239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2032'!B27+'Индонезия 2032'!D27+('Индонезия 2032'!C27+'Индонезия 2032'!F27+'Индонезия 2032'!G27)+(0.35*LN(1+0.6*'Ход 2032'!B33)*POWER(MAX(0,1-'Индонезия 2032'!I27/10),0.7))))</f>
        <v>8.470819708382475</v>
      </c>
      <c r="C27" s="3">
        <f>MIN(1,(MIN(1,'Индонезия 2032'!C27+'Индонезия 2032'!F27+(0.08*LN(1+0.5*'Ход 2032'!C33)*MAX(0,1-('Индонезия 2032'!C27+'Индонезия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8.470819708382475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2032'!B28+'Индонезия 2032'!D28+('Индонезия 2032'!C28+'Индонезия 2032'!F28+'Индонезия 2032'!G28)+(0.35*LN(1+0.6*'Ход 2032'!B34)*POWER(MAX(0,1-'Индонезия 2032'!I28/10),0.7))))</f>
        <v>8.1866186178916216</v>
      </c>
      <c r="C28" s="3">
        <f>MIN(1,(MIN(1,'Индонезия 2032'!C28+'Индонезия 2032'!F28+(0.08*LN(1+0.5*'Ход 2032'!C34)*MAX(0,1-('Индонезия 2032'!C28+'Индонезия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8.1866186178916216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2032'!B29+'Индонезия 2032'!D29+('Индонезия 2032'!C29+'Индонезия 2032'!F29+'Индонезия 2032'!G29)+(0.35*LN(1+0.6*'Ход 2032'!B35)*POWER(MAX(0,1-'Индонезия 2032'!I29/10),0.7))))</f>
        <v>7.8366186178916228</v>
      </c>
      <c r="C29" s="3">
        <f>MIN(1,(MIN(1,'Индонезия 2032'!C29+'Индонезия 2032'!F29+(0.08*LN(1+0.5*'Ход 2032'!C35)*MAX(0,1-('Индонезия 2032'!C29+'Индонезия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7.8366186178916228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2032'!B30+'Индонезия 2032'!D30+('Индонезия 2032'!C30+'Индонезия 2032'!F30+'Индонезия 2032'!G30)+(0.35*LN(1+0.6*'Ход 2032'!B36)*POWER(MAX(0,1-'Индонезия 2032'!I30/10),0.7))))</f>
        <v>7.4866186178916241</v>
      </c>
      <c r="C30" s="3">
        <f>MIN(1,(MIN(1,'Индонезия 2032'!C30+'Индонезия 2032'!F30+(0.08*LN(1+0.5*'Ход 2032'!C36)*MAX(0,1-('Индонезия 2032'!C30+'Индонезия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7.4866186178916241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2032'!B31+'Индонезия 2032'!D31+('Индонезия 2032'!C31+'Индонезия 2032'!F31+'Индонезия 2032'!G31)+(0.35*LN(1+0.6*'Ход 2032'!B37)*POWER(MAX(0,1-'Индонезия 2032'!I31/10),0.7))))</f>
        <v>7.4866186178916241</v>
      </c>
      <c r="C31" s="3">
        <f>MIN(1,(MIN(1,'Индонезия 2032'!C31+'Индонезия 2032'!F31+(0.08*LN(1+0.5*'Ход 2032'!C37)*MAX(0,1-('Индонезия 2032'!C31+'Индонезия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7.4866186178916241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2032'!B32+'Индонезия 2032'!D32+('Индонезия 2032'!C32+'Индонезия 2032'!F32+'Индонезия 2032'!G32)+(0.35*LN(1+0.6*'Ход 2032'!B38)*POWER(MAX(0,1-'Индонезия 2032'!I32/10),0.7))))</f>
        <v>8.3288890791791239</v>
      </c>
      <c r="C32" s="3">
        <f>MIN(1,(MIN(1,'Индонезия 2032'!C32+'Индонезия 2032'!F32+(0.08*LN(1+0.5*'Ход 2032'!C38)*MAX(0,1-('Индонезия 2032'!C32+'Индонезия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8.3288890791791239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2032'!B34+'Индонезия 2032'!D34+('Индонезия 2032'!C34+'Индонезия 2032'!F34+'Индонезия 2032'!G34)+(0.35*LN(1+0.6*'Ход 2032'!B40)*POWER(MAX(0,1-'Индонезия 2032'!I34/10),0.7))))</f>
        <v>9.3123343251271802</v>
      </c>
      <c r="C34" s="3">
        <f>MIN(1,(MIN(1,'Индонезия 2032'!C34+'Индонезия 2032'!F34+(0.08*LN(1+0.5*'Ход 2032'!C40)*MAX(0,1-('Индонезия 2032'!C34+'Индонезия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9.3123343251271802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2032'!B35+'Индонезия 2032'!D35+('Индонезия 2032'!C35+'Индонезия 2032'!F35+'Индонезия 2032'!G35)+(0.35*LN(1+0.6*'Ход 2032'!B41)*POWER(MAX(0,1-'Индонезия 2032'!I35/10),0.7))))</f>
        <v>8.6123343251271827</v>
      </c>
      <c r="C35" s="3">
        <f>MIN(1,(MIN(1,'Индонезия 2032'!C35+'Индонезия 2032'!F35+(0.08*LN(1+0.5*'Ход 2032'!C41)*MAX(0,1-('Индонезия 2032'!C35+'Индонезия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8.6123343251271827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2032'!B36+'Индонезия 2032'!D36+('Индонезия 2032'!C36+'Индонезия 2032'!F36+'Индонезия 2032'!G36)+(0.35*LN(1+0.6*'Ход 2032'!B42)*POWER(MAX(0,1-'Индонезия 2032'!I36/10),0.7))))</f>
        <v>9.6623343251271834</v>
      </c>
      <c r="C36" s="3">
        <f>MIN(1,(MIN(1,'Индонезия 2032'!C36+'Индонезия 2032'!F36+(0.08*LN(1+0.5*'Ход 2032'!C42)*MAX(0,1-('Индонезия 2032'!C36+'Индонезия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9.6623343251271834</v>
      </c>
      <c r="J36" s="10">
        <f>SUMIFS('Эффекты технологий'!$Q$25:$Q$240,'Эффекты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2032'!B37+'Индонезия 2032'!D37+('Индонезия 2032'!C37+'Индонезия 2032'!F37+'Индонезия 2032'!G37)+(0.35*LN(1+0.6*'Ход 2032'!B43)*POWER(MAX(0,1-'Индонезия 2032'!I37/10),0.7))))</f>
        <v>8.6788890791791253</v>
      </c>
      <c r="C37" s="3">
        <f>MIN(1,(MIN(1,'Индонезия 2032'!C37+'Индонезия 2032'!F37+(0.08*LN(1+0.5*'Ход 2032'!C43)*MAX(0,1-('Индонезия 2032'!C37+'Индонезия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8.6788890791791253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2032'!B38+'Индонезия 2032'!D38+('Индонезия 2032'!C38+'Индонезия 2032'!F38+'Индонезия 2032'!G38)+(0.35*LN(1+0.6*'Ход 2032'!B44)*POWER(MAX(0,1-'Индонезия 2032'!I38/10),0.7))))</f>
        <v>8.3288890791791239</v>
      </c>
      <c r="C38" s="3">
        <f>MIN(1,(MIN(1,'Индонезия 2032'!C38+'Индонезия 2032'!F38+(0.08*LN(1+0.5*'Ход 2032'!C44)*MAX(0,1-('Индонезия 2032'!C38+'Индонезия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8.3288890791791239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2032'!B39+'Индонезия 2032'!D39+('Индонезия 2032'!C39+'Индонезия 2032'!F39+'Индонезия 2032'!G39)+(0.35*LN(1+0.6*'Ход 2032'!B45)*POWER(MAX(0,1-'Индонезия 2032'!I39/10),0.7))))</f>
        <v>9.3123343251271802</v>
      </c>
      <c r="C39" s="3">
        <f>MIN(1,(MIN(1,'Индонезия 2032'!C39+'Индонезия 2032'!F39+(0.08*LN(1+0.5*'Ход 2032'!C45)*MAX(0,1-('Индонезия 2032'!C39+'Индонезия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9.3123343251271802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2032'!B40+'Индонезия 2032'!D40+('Индонезия 2032'!C40+'Индонезия 2032'!F40+'Индонезия 2032'!G40)+(0.35*LN(1+0.6*'Ход 2032'!B46)*POWER(MAX(0,1-'Индонезия 2032'!I40/10),0.7))))</f>
        <v>8.8208197083824764</v>
      </c>
      <c r="C40" s="3">
        <f>MIN(1,(MIN(1,'Индонезия 2032'!C40+'Индонезия 2032'!F40+(0.08*LN(1+0.5*'Ход 2032'!C46)*MAX(0,1-('Индонезия 2032'!C40+'Индонезия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8.8208197083824764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2032'!B41+'Индонезия 2032'!D41+('Индонезия 2032'!C41+'Индонезия 2032'!F41+'Индонезия 2032'!G41)+(0.35*LN(1+0.6*'Ход 2032'!B47)*POWER(MAX(0,1-'Индонезия 2032'!I41/10),0.7))))</f>
        <v>8.8208197083824764</v>
      </c>
      <c r="C41" s="3">
        <f>MIN(1,(MIN(1,'Индонезия 2032'!C41+'Индонезия 2032'!F41+(0.08*LN(1+0.5*'Ход 2032'!C47)*MAX(0,1-('Индонезия 2032'!C41+'Индонезия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8.8208197083824764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2032'!B42+'Индонезия 2032'!D42+('Индонезия 2032'!C42+'Индонезия 2032'!F42+'Индонезия 2032'!G42)+(0.35*LN(1+0.6*'Ход 2032'!B48)*POWER(MAX(0,1-'Индонезия 2032'!I42/10),0.7))))</f>
        <v>9.2435946441648973</v>
      </c>
      <c r="C42" s="3">
        <f>MIN(1,(MIN(1,'Индонезия 2032'!C42+'Индонезия 2032'!F42+(0.08*LN(1+0.5*'Ход 2032'!C48)*MAX(0,1-('Индонезия 2032'!C42+'Индонезия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9.2435946441648973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2032'!B44+'Индонезия 2032'!D44+('Индонезия 2032'!C44+'Индонезия 2032'!F44+'Индонезия 2032'!G44)+(0.35*LN(1+0.6*'Ход 2032'!B50)*POWER(MAX(0,1-'Индонезия 2032'!I44/10),0.7))))</f>
        <v>7.9788890791791252</v>
      </c>
      <c r="C44" s="3">
        <f>MIN(1,(MIN(1,'Индонезия 2032'!C44+'Индонезия 2032'!F44+(0.08*LN(1+0.5*'Ход 2032'!C50)*MAX(0,1-('Индонезия 2032'!C44+'Индонезия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7.9788890791791252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2032'!B45+'Индонезия 2032'!D45+('Индонезия 2032'!C45+'Индонезия 2032'!F45+'Индонезия 2032'!G45)+(0.35*LN(1+0.6*'Ход 2032'!B51)*POWER(MAX(0,1-'Индонезия 2032'!I45/10),0.7))))</f>
        <v>7.9788890791791252</v>
      </c>
      <c r="C45" s="3">
        <f>MIN(1,(MIN(1,'Индонезия 2032'!C45+'Индонезия 2032'!F45+(0.08*LN(1+0.5*'Ход 2032'!C51)*MAX(0,1-('Индонезия 2032'!C45+'Индонезия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7.9788890791791252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2032'!B46+'Индонезия 2032'!D46+('Индонезия 2032'!C46+'Индонезия 2032'!F46+'Индонезия 2032'!G46)+(0.35*LN(1+0.6*'Ход 2032'!B52)*POWER(MAX(0,1-'Индонезия 2032'!I46/10),0.7))))</f>
        <v>7.9788890791791252</v>
      </c>
      <c r="C46" s="3">
        <f>MIN(1,(MIN(1,'Индонезия 2032'!C46+'Индонезия 2032'!F46+(0.08*LN(1+0.5*'Ход 2032'!C52)*MAX(0,1-('Индонезия 2032'!C46+'Индонезия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7.9788890791791252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2032'!B47+'Индонезия 2032'!D47+('Индонезия 2032'!C47+'Индонезия 2032'!F47+'Индонезия 2032'!G47)+(0.35*LN(1+0.6*'Ход 2032'!B53)*POWER(MAX(0,1-'Индонезия 2032'!I47/10),0.7))))</f>
        <v>8.1208197083824771</v>
      </c>
      <c r="C47" s="3">
        <f>MIN(1,(MIN(1,'Индонезия 2032'!C47+'Индонезия 2032'!F47+(0.08*LN(1+0.5*'Ход 2032'!C53)*MAX(0,1-('Индонезия 2032'!C47+'Индонезия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8.1208197083824771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2032'!B48+'Индонезия 2032'!D48+('Индонезия 2032'!C48+'Индонезия 2032'!F48+'Индонезия 2032'!G48)+(0.35*LN(1+0.6*'Ход 2032'!B54)*POWER(MAX(0,1-'Индонезия 2032'!I48/10),0.7))))</f>
        <v>#REF!</v>
      </c>
      <c r="C48" s="3">
        <f>MIN(1,(MIN(1,'Индонезия 2032'!C48+'Индонезия 2032'!F48+(0.08*LN(1+0.5*'Ход 2032'!C54)*MAX(0,1-('Индонезия 2032'!C48+'Индонезия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2032'!B49+'Индонезия 2032'!D49+('Индонезия 2032'!C49+'Индонезия 2032'!F49+'Индонезия 2032'!G49)+(0.35*LN(1+0.6*'Ход 2032'!B55)*POWER(MAX(0,1-'Индонезия 2032'!I49/10),0.7))))</f>
        <v>10</v>
      </c>
      <c r="C49" s="3">
        <f>MIN(1,(MIN(1,'Индонезия 2032'!C49+'Индонезия 2032'!F49+(0.08*LN(1+0.5*'Ход 2032'!C55)*MAX(0,1-('Индонезия 2032'!C49+'Индонезия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2032'!B50+'Индонезия 2032'!D50+('Индонезия 2032'!C50+'Индонезия 2032'!F50+'Индонезия 2032'!G50)+(0.35*LN(1+0.6*'Ход 2032'!B56)*POWER(MAX(0,1-'Индонезия 2032'!I50/10),0.7))))</f>
        <v>10</v>
      </c>
      <c r="C50" s="3">
        <f>MIN(1,(MIN(1,'Индонезия 2032'!C50+'Индонезия 2032'!F50+(0.08*LN(1+0.5*'Ход 2032'!C56)*MAX(0,1-('Индонезия 2032'!C50+'Индонезия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2032'!B51+'Индонезия 2032'!D51+('Индонезия 2032'!C51+'Индонезия 2032'!F51+'Индонезия 2032'!G51)+(0.35*LN(1+0.6*'Ход 2032'!B57)*POWER(MAX(0,1-'Индонезия 2032'!I51/10),0.7))))</f>
        <v>8.3288890791791239</v>
      </c>
      <c r="C51" s="3">
        <f>MIN(1,(MIN(1,'Индонезия 2032'!C51+'Индонезия 2032'!F51+(0.08*LN(1+0.5*'Ход 2032'!C57)*MAX(0,1-('Индонезия 2032'!C51+'Индонезия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8.3288890791791239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2032'!B53+'Индонезия 2032'!D53+('Индонезия 2032'!C53+'Индонезия 2032'!F53+'Индонезия 2032'!G53)+(0.35*LN(1+0.6*'Ход 2032'!B59)*POWER(MAX(0,1-'Индонезия 2032'!I53/10),0.7))))</f>
        <v>7.8366186178916228</v>
      </c>
      <c r="C53" s="3">
        <f>MIN(1,(MIN(1,'Индонезия 2032'!C53+'Индонезия 2032'!F53+(0.08*LN(1+0.5*'Ход 2032'!C59)*MAX(0,1-('Индонезия 2032'!C53+'Индонезия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7.8366186178916228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2032'!B54+'Индонезия 2032'!D54+('Индонезия 2032'!C54+'Индонезия 2032'!F54+'Индонезия 2032'!G54)+(0.35*LN(1+0.6*'Ход 2032'!B60)*POWER(MAX(0,1-'Индонезия 2032'!I54/10),0.7))))</f>
        <v>7.8366186178916228</v>
      </c>
      <c r="C54" s="3">
        <f>MIN(1,(MIN(1,'Индонезия 2032'!C54+'Индонезия 2032'!F54+(0.08*LN(1+0.5*'Ход 2032'!C60)*MAX(0,1-('Индонезия 2032'!C54+'Индонезия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7.8366186178916228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2032'!B55+'Индонезия 2032'!D55+('Индонезия 2032'!C55+'Индонезия 2032'!F55+'Индонезия 2032'!G55)+(0.35*LN(1+0.6*'Ход 2032'!B61)*POWER(MAX(0,1-'Индонезия 2032'!I55/10),0.7))))</f>
        <v>6.994062824486031</v>
      </c>
      <c r="C55" s="3">
        <f>MIN(1,(MIN(1,'Индонезия 2032'!C55+'Индонезия 2032'!F55+(0.08*LN(1+0.5*'Ход 2032'!C61)*MAX(0,1-('Индонезия 2032'!C55+'Индонезия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6.994062824486031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2033'!U6</f>
        <v>95.6514320259176</v>
      </c>
      <c r="C6" s="3"/>
      <c r="D6" s="3"/>
      <c r="E6" s="3" t="s">
        <v>321</v>
      </c>
      <c r="F6" s="3" t="e">
        <f>'Индонезия 2033'!K6</f>
        <v>#REF!</v>
      </c>
      <c r="G6" s="3"/>
      <c r="H6" s="3"/>
      <c r="I6" s="3" t="s">
        <v>321</v>
      </c>
      <c r="J6" s="3">
        <f>'Индонезия 2033'!N6</f>
        <v>95.707707041742779</v>
      </c>
      <c r="K6" s="3"/>
      <c r="L6" s="3"/>
      <c r="M6" s="3" t="s">
        <v>321</v>
      </c>
      <c r="N6" s="3">
        <f>'Индонезия 2033'!Q6</f>
        <v>83.193485377277099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95.6514320259176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95.707707041742779</v>
      </c>
      <c r="K8" s="3" t="str">
        <f>IF(J8&lt;0,"ПРЕВЫШЕНИЕ","OK")</f>
        <v>OK</v>
      </c>
      <c r="L8" s="3"/>
      <c r="M8" s="3" t="s">
        <v>323</v>
      </c>
      <c r="N8" s="3">
        <f>N6-N7</f>
        <v>83.193485377277099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2033'!V11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2033'!V12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2033'!V13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2033'!V14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2033'!V15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2033'!V16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2033'!V17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2033'!V18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2033'!V19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2033'!V20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2033'!V21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2033'!V22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'Индонезия 2033'!V23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2033'!V24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2033'!V25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97.29935846457029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84.410208813420695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96.522787448349973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2033'!B8+'Индонезия 2033'!D8+('Индонезия 2033'!C8+'Индонезия 2033'!F8+'Индонезия 2033'!G8)+(0.35*LN(1+0.6*('Ход 2033'!B14*(1+'Эффекты технологий'!Q$12)))*POWER(MAX(0,1-'Индонезия 2033'!I8/10),0.7))))</f>
        <v>9.4968107313668781</v>
      </c>
      <c r="C8" s="3">
        <f>MIN(1,(MIN(1,'Индонезия 2033'!C8+'Индонезия 2033'!F8+(0.08*LN(1+0.5*('Ход 2033'!C14*(1+'Эффекты технологий'!Q$12)))*MAX(0,1-('Индонезия 2033'!C8+'Индонезия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9.4968107313668781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2033'!B9+'Индонезия 2033'!D9+('Индонезия 2033'!C9+'Индонезия 2033'!F9+'Индонезия 2033'!G9)+(0.35*LN(1+0.6*('Ход 2033'!B15*(1+'Эффекты технологий'!Q$12)))*POWER(MAX(0,1-'Индонезия 2033'!I9/10),0.7))))</f>
        <v>7.0054128889638951</v>
      </c>
      <c r="C9" s="3">
        <f>MIN(1,(MIN(1,'Индонезия 2033'!C9+'Индонезия 2033'!F9+(0.08*LN(1+0.5*('Ход 2033'!C15*(1+'Эффекты технологий'!Q$12)))*MAX(0,1-('Индонезия 2033'!C9+'Индонезия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7.0054128889638951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2033'!B10+'Индонезия 2033'!D10+('Индонезия 2033'!C10+'Индонезия 2033'!F10+'Индонезия 2033'!G10)+(0.35*LN(1+0.6*('Ход 2033'!B16*(1+'Эффекты технологий'!Q$12)))*POWER(MAX(0,1-'Индонезия 2033'!I10/10),0.7))))</f>
        <v>8.973124925062864</v>
      </c>
      <c r="C10" s="3">
        <f>MIN(1,(MIN(1,'Индонезия 2033'!C10+'Индонезия 2033'!F10+(0.08*LN(1+0.5*('Ход 2033'!C16*(1+'Эффекты технологий'!Q$12)))*MAX(0,1-('Индонезия 2033'!C10+'Индонезия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8.973124925062864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2033'!B11+'Индонезия 2033'!D11+('Индонезия 2033'!C11+'Индонезия 2033'!F11+'Индонезия 2033'!G11)+(0.35*LN(1+0.6*('Ход 2033'!B17*(1+'Эффекты технологий'!Q$12)))*POWER(MAX(0,1-'Индонезия 2033'!I11/10),0.7))))</f>
        <v>8.5731249250628725</v>
      </c>
      <c r="C11" s="3">
        <f>MIN(1,(MIN(1,'Индонезия 2033'!C11+'Индонезия 2033'!F11+(0.08*LN(1+0.5*('Ход 2033'!C17*(1+'Эффекты технологий'!Q$12)))*MAX(0,1-('Индонезия 2033'!C11+'Индонезия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8.5731249250628725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2033'!L11+'Индонезия 2033'!N11+('Индонезия 2033'!M11+'Индонезия 2033'!P11+'Индонезия 2033'!Q11)))</f>
        <v>9.9468143939302607</v>
      </c>
      <c r="M11" s="3">
        <f>MIN(1,(MIN(1,'Индонезия 2033'!M11+'Индонезия 2033'!P11+(0.1*LN(1+0.5*('Ход 2033'!H13*(1+'Эффекты технологий'!Q$10)))*POWER(MAX(0,1-'Индонезия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9.9468143939302607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2033'!V11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2033'!B12+'Индонезия 2033'!D12+('Индонезия 2033'!C12+'Индонезия 2033'!F12+'Индонезия 2033'!G12)+(0.35*LN(1+0.6*('Ход 2033'!B18*(1+'Эффекты технологий'!Q$12)))*POWER(MAX(0,1-'Индонезия 2033'!I12/10),0.7))))</f>
        <v>9.5358910416053995</v>
      </c>
      <c r="C12" s="3">
        <f>MIN(1,(MIN(1,'Индонезия 2033'!C12+'Индонезия 2033'!F12+(0.08*LN(1+0.5*('Ход 2033'!C18*(1+'Эффекты технологий'!Q$12)))*MAX(0,1-('Индонезия 2033'!C12+'Индонезия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9.5358910416053995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2033'!L12+'Индонезия 2033'!N12+('Индонезия 2033'!M12+'Индонезия 2033'!P12+'Индонезия 2033'!Q12)))</f>
        <v>9.5468143939302585</v>
      </c>
      <c r="M12" s="3">
        <f>MIN(1,(MIN(1,'Индонезия 2033'!M12+'Индонезия 2033'!P12+(0.1*LN(1+0.5*('Ход 2033'!H14*(1+'Эффекты технологий'!Q$10)))*POWER(MAX(0,1-'Индонезия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9.5468143939302585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2033'!V12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2033'!B13+'Индонезия 2033'!D13+('Индонезия 2033'!C13+'Индонезия 2033'!F13+'Индонезия 2033'!G13)+(0.35*LN(1+0.6*('Ход 2033'!B19*(1+'Эффекты технологий'!Q$12)))*POWER(MAX(0,1-'Индонезия 2033'!I13/10),0.7))))</f>
        <v>4.7082533175883983</v>
      </c>
      <c r="C13" s="3">
        <f>MIN(1,(MIN(1,'Индонезия 2033'!C13+'Индонезия 2033'!F13+(0.08*LN(1+0.5*('Ход 2033'!C19*(1+'Эффекты технологий'!Q$12)))*MAX(0,1-('Индонезия 2033'!C13+'Индонезия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4.7082533175883983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2033'!L13+'Индонезия 2033'!N13+('Индонезия 2033'!M13+'Индонезия 2033'!P13+'Индонезия 2033'!Q13)))</f>
        <v>9.3189941237759584</v>
      </c>
      <c r="M13" s="3">
        <f>MIN(1,(MIN(1,'Индонезия 2033'!M13+'Индонезия 2033'!P13+(0.1*LN(1+0.5*('Ход 2033'!H15*(1+'Эффекты технологий'!Q$10)))*POWER(MAX(0,1-'Индонезия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9.3189941237759584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2033'!V13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2033'!B14+'Индонезия 2033'!D14+('Индонезия 2033'!C14+'Индонезия 2033'!F14+'Индонезия 2033'!G14)+(0.35*LN(1+0.6*('Ход 2033'!B20*(1+'Эффекты технологий'!Q$12)))*POWER(MAX(0,1-'Индонезия 2033'!I14/10),0.7))))</f>
        <v>6.7393355625513491</v>
      </c>
      <c r="C14" s="3">
        <f>MIN(1,(MIN(1,'Индонезия 2033'!C14+'Индонезия 2033'!F14+(0.08*LN(1+0.5*('Ход 2033'!C20*(1+'Эффекты технологий'!Q$12)))*MAX(0,1-('Индонезия 2033'!C14+'Индонезия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6.9393355625513493</v>
      </c>
      <c r="J14" s="10">
        <f>SUMIFS('Эффекты технологий'!$R$25:$R$240,'Эффекты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2033'!L14+'Индонезия 2033'!N14+('Индонезия 2033'!M14+'Индонезия 2033'!P14+'Индонезия 2033'!Q14)))</f>
        <v>9.8415420489916841</v>
      </c>
      <c r="M14" s="3">
        <f>MIN(1,(MIN(1,'Индонезия 2033'!M14+'Индонезия 2033'!P14+(0.1*LN(1+0.5*('Ход 2033'!H16*(1+'Эффекты технологий'!Q$10)))*POWER(MAX(0,1-'Индонезия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9.8415420489916841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2033'!V14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2033'!B15+'Индонезия 2033'!D15+('Индонезия 2033'!C15+'Индонезия 2033'!F15+'Индонезия 2033'!G15)+(0.35*LN(1+0.6*('Ход 2033'!B21*(1+'Эффекты технологий'!Q$12)))*POWER(MAX(0,1-'Индонезия 2033'!I15/10),0.7))))</f>
        <v>9.4728193628136843</v>
      </c>
      <c r="C15" s="3">
        <f>MIN(1,(MIN(1,'Индонезия 2033'!C15+'Индонезия 2033'!F15+(0.08*LN(1+0.5*('Ход 2033'!C21*(1+'Эффекты технологий'!Q$12)))*MAX(0,1-('Индонезия 2033'!C15+'Индонезия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9.4728193628136843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2033'!L15+'Индонезия 2033'!N15+('Индонезия 2033'!M15+'Индонезия 2033'!P15+'Индонезия 2033'!Q15)))</f>
        <v>8.1621368514729351</v>
      </c>
      <c r="M15" s="3">
        <f>MIN(1,(MIN(1,'Индонезия 2033'!M15+'Индонезия 2033'!P15+(0.1*LN(1+0.5*('Ход 2033'!H17*(1+'Эффекты технологий'!Q$10)))*POWER(MAX(0,1-'Индонезия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8.1621368514729351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2033'!V15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2033'!B16+'Индонезия 2033'!D16+('Индонезия 2033'!C16+'Индонезия 2033'!F16+'Индонезия 2033'!G16)+(0.35*LN(1+0.6*('Ход 2033'!B22*(1+'Эффекты технологий'!Q$12)))*POWER(MAX(0,1-'Индонезия 2033'!I16/10),0.7))))</f>
        <v>9.2484183436492291</v>
      </c>
      <c r="C16" s="3">
        <f>MIN(1,(MIN(1,'Индонезия 2033'!C16+'Индонезия 2033'!F16+(0.08*LN(1+0.5*('Ход 2033'!C22*(1+'Эффекты технологий'!Q$12)))*MAX(0,1-('Индонезия 2033'!C16+'Индонезия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9.2484183436492291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2033'!L16+'Индонезия 2033'!N16+('Индонезия 2033'!M16+'Индонезия 2033'!P16+'Индонезия 2033'!Q16)))</f>
        <v>10</v>
      </c>
      <c r="M16" s="3">
        <f>MIN(1,(MIN(1,'Индонезия 2033'!M16+'Индонезия 2033'!P16+(0.1*LN(1+0.5*('Ход 2033'!H18*(1+'Эффекты технологий'!Q$10)))*POWER(MAX(0,1-'Индонезия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2033'!V16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2033'!B17+'Индонезия 2033'!D17+('Индонезия 2033'!C17+'Индонезия 2033'!F17+'Индонезия 2033'!G17)+(0.35*LN(1+0.6*('Ход 2033'!B23*(1+'Эффекты технологий'!Q$12)))*POWER(MAX(0,1-'Индонезия 2033'!I17/10),0.7))))</f>
        <v>8.6708197083824743</v>
      </c>
      <c r="C17" s="3">
        <f>MIN(1,(MIN(1,'Индонезия 2033'!C17+'Индонезия 2033'!F17+(0.08*LN(1+0.5*('Ход 2033'!C23*(1+'Эффекты технологий'!Q$12)))*MAX(0,1-('Индонезия 2033'!C17+'Индонезия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8.6708197083824743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2033'!L17+'Индонезия 2033'!N17+('Индонезия 2033'!M17+'Индонезия 2033'!P17+'Индонезия 2033'!Q17)))</f>
        <v>10</v>
      </c>
      <c r="M17" s="3">
        <f>MIN(1,(MIN(1,'Индонезия 2033'!M17+'Индонезия 2033'!P17+(0.1*LN(1+0.5*('Ход 2033'!H19*(1+'Эффекты технологий'!Q$10)))*POWER(MAX(0,1-'Индонезия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2033'!V17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2033'!L18+'Индонезия 2033'!N18+('Индонезия 2033'!M18+'Индонезия 2033'!P18+'Индонезия 2033'!Q18)))</f>
        <v>10</v>
      </c>
      <c r="M18" s="3">
        <f>MIN(1,(MIN(1,'Индонезия 2033'!M18+'Индонезия 2033'!P18+(0.1*LN(1+0.5*('Ход 2033'!H20*(1+'Эффекты технологий'!Q$10)))*POWER(MAX(0,1-'Индонезия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2033'!V18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2033'!B19+'Индонезия 2033'!D19+('Индонезия 2033'!C19+'Индонезия 2033'!F19+'Индонезия 2033'!G19)+(0.35*LN(1+0.6*'Ход 2033'!B25)*POWER(MAX(0,1-'Индонезия 2033'!I19/10),0.7))))</f>
        <v>8.0866186178916237</v>
      </c>
      <c r="C19" s="3">
        <f>MIN(1,(MIN(1,'Индонезия 2033'!C19+'Индонезия 2033'!F19+(0.08*LN(1+0.5*'Ход 2033'!C25)*MAX(0,1-('Индонезия 2033'!C19+'Индонезия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8.0866186178916237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2033'!V19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2033'!B20+'Индонезия 2033'!D20+('Индонезия 2033'!C20+'Индонезия 2033'!F20+'Индонезия 2033'!G20)+(0.35*LN(1+0.6*'Ход 2033'!B26)*POWER(MAX(0,1-'Индонезия 2033'!I20/10),0.7))))</f>
        <v>8.4866186178916223</v>
      </c>
      <c r="C20" s="3">
        <f>MIN(1,(MIN(1,'Индонезия 2033'!C20+'Индонезия 2033'!F20+(0.08*LN(1+0.5*'Ход 2033'!C26)*MAX(0,1-('Индонезия 2033'!C20+'Индонезия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8.4866186178916223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2033'!V20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2033'!B21+'Индонезия 2033'!D21+('Индонезия 2033'!C21+'Индонезия 2033'!F21+'Индонезия 2033'!G21)+(0.35*LN(1+0.6*'Ход 2033'!B27)*POWER(MAX(0,1-'Индонезия 2033'!I21/10),0.7))))</f>
        <v>7.9940628244860283</v>
      </c>
      <c r="C21" s="3">
        <f>MIN(1,(MIN(1,'Индонезия 2033'!C21+'Индонезия 2033'!F21+(0.08*LN(1+0.5*'Ход 2033'!C27)*MAX(0,1-('Индонезия 2033'!C21+'Индонезия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7.9940628244860283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2033'!V21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2033'!B22+'Индонезия 2033'!D22+('Индонезия 2033'!C22+'Индонезия 2033'!F22+'Индонезия 2033'!G22)+(0.35*LN(1+0.6*'Ход 2033'!B28)*POWER(MAX(0,1-'Индонезия 2033'!I22/10),0.7))))</f>
        <v>8.1788890791791253</v>
      </c>
      <c r="C22" s="3">
        <f>MIN(1,(MIN(1,'Индонезия 2033'!C22+'Индонезия 2033'!F22+(0.08*LN(1+0.5*'Ход 2033'!C28)*MAX(0,1-('Индонезия 2033'!C22+'Индонезия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8.1788890791791253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2033'!V22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2033'!B23+'Индонезия 2033'!D23+('Индонезия 2033'!C23+'Индонезия 2033'!F23+'Индонезия 2033'!G23)+(0.35*LN(1+0.6*'Ход 2033'!B29)*POWER(MAX(0,1-'Индонезия 2033'!I23/10),0.7))))</f>
        <v>8.0866186178916237</v>
      </c>
      <c r="C23" s="3">
        <f>MIN(1,(MIN(1,'Индонезия 2033'!C23+'Индонезия 2033'!F23+(0.08*LN(1+0.5*'Ход 2033'!C29)*MAX(0,1-('Индонезия 2033'!C23+'Индонезия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8.0866186178916237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2033'!V23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2033'!V24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2033'!B25+'Индонезия 2033'!D25+('Индонезия 2033'!C25+'Индонезия 2033'!F25+'Индонезия 2033'!G25)+(0.35*LN(1+0.6*'Ход 2033'!B31)*POWER(MAX(0,1-'Индонезия 2033'!I25/10),0.7))))</f>
        <v>9.3435946441648969</v>
      </c>
      <c r="C25" s="3">
        <f>MIN(1,(MIN(1,'Индонезия 2033'!C25+'Индонезия 2033'!F25+(0.08*LN(1+0.5*'Ход 2033'!C31)*MAX(0,1-('Индонезия 2033'!C25+'Индонезия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9.3435946441648969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2033'!V25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2033'!B26+'Индонезия 2033'!D26+('Индонезия 2033'!C26+'Индонезия 2033'!F26+'Индонезия 2033'!G26)+(0.35*LN(1+0.6*'Ход 2033'!B32)*POWER(MAX(0,1-'Индонезия 2033'!I26/10),0.7))))</f>
        <v>8.5788890791791239</v>
      </c>
      <c r="C26" s="3">
        <f>MIN(1,(MIN(1,'Индонезия 2033'!C26+'Индонезия 2033'!F26+(0.08*LN(1+0.5*'Ход 2033'!C32)*MAX(0,1-('Индонезия 2033'!C26+'Индонезия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8.5788890791791239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2033'!B27+'Индонезия 2033'!D27+('Индонезия 2033'!C27+'Индонезия 2033'!F27+'Индонезия 2033'!G27)+(0.35*LN(1+0.6*'Ход 2033'!B33)*POWER(MAX(0,1-'Индонезия 2033'!I27/10),0.7))))</f>
        <v>8.6708197083824743</v>
      </c>
      <c r="C27" s="3">
        <f>MIN(1,(MIN(1,'Индонезия 2033'!C27+'Индонезия 2033'!F27+(0.08*LN(1+0.5*'Ход 2033'!C33)*MAX(0,1-('Индонезия 2033'!C27+'Индонезия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8.6708197083824743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2033'!B28+'Индонезия 2033'!D28+('Индонезия 2033'!C28+'Индонезия 2033'!F28+'Индонезия 2033'!G28)+(0.35*LN(1+0.6*'Ход 2033'!B34)*POWER(MAX(0,1-'Индонезия 2033'!I28/10),0.7))))</f>
        <v>8.4866186178916223</v>
      </c>
      <c r="C28" s="3">
        <f>MIN(1,(MIN(1,'Индонезия 2033'!C28+'Индонезия 2033'!F28+(0.08*LN(1+0.5*'Ход 2033'!C34)*MAX(0,1-('Индонезия 2033'!C28+'Индонезия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8.4866186178916223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2033'!B29+'Индонезия 2033'!D29+('Индонезия 2033'!C29+'Индонезия 2033'!F29+'Индонезия 2033'!G29)+(0.35*LN(1+0.6*'Ход 2033'!B35)*POWER(MAX(0,1-'Индонезия 2033'!I29/10),0.7))))</f>
        <v>8.0866186178916237</v>
      </c>
      <c r="C29" s="3">
        <f>MIN(1,(MIN(1,'Индонезия 2033'!C29+'Индонезия 2033'!F29+(0.08*LN(1+0.5*'Ход 2033'!C35)*MAX(0,1-('Индонезия 2033'!C29+'Индонезия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8.0866186178916237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2033'!B30+'Индонезия 2033'!D30+('Индонезия 2033'!C30+'Индонезия 2033'!F30+'Индонезия 2033'!G30)+(0.35*LN(1+0.6*'Ход 2033'!B36)*POWER(MAX(0,1-'Индонезия 2033'!I30/10),0.7))))</f>
        <v>7.6866186178916243</v>
      </c>
      <c r="C30" s="3">
        <f>MIN(1,(MIN(1,'Индонезия 2033'!C30+'Индонезия 2033'!F30+(0.08*LN(1+0.5*'Ход 2033'!C36)*MAX(0,1-('Индонезия 2033'!C30+'Индонезия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7.6866186178916243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2033'!B31+'Индонезия 2033'!D31+('Индонезия 2033'!C31+'Индонезия 2033'!F31+'Индонезия 2033'!G31)+(0.35*LN(1+0.6*'Ход 2033'!B37)*POWER(MAX(0,1-'Индонезия 2033'!I31/10),0.7))))</f>
        <v>7.6866186178916243</v>
      </c>
      <c r="C31" s="3">
        <f>MIN(1,(MIN(1,'Индонезия 2033'!C31+'Индонезия 2033'!F31+(0.08*LN(1+0.5*'Ход 2033'!C37)*MAX(0,1-('Индонезия 2033'!C31+'Индонезия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7.6866186178916243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2033'!B32+'Индонезия 2033'!D32+('Индонезия 2033'!C32+'Индонезия 2033'!F32+'Индонезия 2033'!G32)+(0.35*LN(1+0.6*'Ход 2033'!B38)*POWER(MAX(0,1-'Индонезия 2033'!I32/10),0.7))))</f>
        <v>8.5788890791791239</v>
      </c>
      <c r="C32" s="3">
        <f>MIN(1,(MIN(1,'Индонезия 2033'!C32+'Индонезия 2033'!F32+(0.08*LN(1+0.5*'Ход 2033'!C38)*MAX(0,1-('Индонезия 2033'!C32+'Индонезия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8.5788890791791239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2033'!B34+'Индонезия 2033'!D34+('Индонезия 2033'!C34+'Индонезия 2033'!F34+'Индонезия 2033'!G34)+(0.35*LN(1+0.6*'Ход 2033'!B40)*POWER(MAX(0,1-'Индонезия 2033'!I34/10),0.7))))</f>
        <v>9.5623343251271802</v>
      </c>
      <c r="C34" s="3">
        <f>MIN(1,(MIN(1,'Индонезия 2033'!C34+'Индонезия 2033'!F34+(0.08*LN(1+0.5*'Ход 2033'!C40)*MAX(0,1-('Индонезия 2033'!C34+'Индонезия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9.5623343251271802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2033'!B35+'Индонезия 2033'!D35+('Индонезия 2033'!C35+'Индонезия 2033'!F35+'Индонезия 2033'!G35)+(0.35*LN(1+0.6*'Ход 2033'!B41)*POWER(MAX(0,1-'Индонезия 2033'!I35/10),0.7))))</f>
        <v>8.762334325127183</v>
      </c>
      <c r="C35" s="3">
        <f>MIN(1,(MIN(1,'Индонезия 2033'!C35+'Индонезия 2033'!F35+(0.08*LN(1+0.5*'Ход 2033'!C41)*MAX(0,1-('Индонезия 2033'!C35+'Индонезия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8.762334325127183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2033'!B36+'Индонезия 2033'!D36+('Индонезия 2033'!C36+'Индонезия 2033'!F36+'Индонезия 2033'!G36)+(0.35*LN(1+0.6*'Ход 2033'!B42)*POWER(MAX(0,1-'Индонезия 2033'!I36/10),0.7))))</f>
        <v>9.9623343251271841</v>
      </c>
      <c r="C36" s="3">
        <f>MIN(1,(MIN(1,'Индонезия 2033'!C36+'Индонезия 2033'!F36+(0.08*LN(1+0.5*'Ход 2033'!C42)*MAX(0,1-('Индонезия 2033'!C36+'Индонезия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9.9623343251271841</v>
      </c>
      <c r="J36" s="10">
        <f>SUMIFS('Эффекты технологий'!$R$25:$R$240,'Эффекты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2033'!B37+'Индонезия 2033'!D37+('Индонезия 2033'!C37+'Индонезия 2033'!F37+'Индонезия 2033'!G37)+(0.35*LN(1+0.6*'Ход 2033'!B43)*POWER(MAX(0,1-'Индонезия 2033'!I37/10),0.7))))</f>
        <v>8.978889079179126</v>
      </c>
      <c r="C37" s="3">
        <f>MIN(1,(MIN(1,'Индонезия 2033'!C37+'Индонезия 2033'!F37+(0.08*LN(1+0.5*'Ход 2033'!C43)*MAX(0,1-('Индонезия 2033'!C37+'Индонезия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8.978889079179126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2033'!B38+'Индонезия 2033'!D38+('Индонезия 2033'!C38+'Индонезия 2033'!F38+'Индонезия 2033'!G38)+(0.35*LN(1+0.6*'Ход 2033'!B44)*POWER(MAX(0,1-'Индонезия 2033'!I38/10),0.7))))</f>
        <v>8.5788890791791239</v>
      </c>
      <c r="C38" s="3">
        <f>MIN(1,(MIN(1,'Индонезия 2033'!C38+'Индонезия 2033'!F38+(0.08*LN(1+0.5*'Ход 2033'!C44)*MAX(0,1-('Индонезия 2033'!C38+'Индонезия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8.5788890791791239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2033'!B39+'Индонезия 2033'!D39+('Индонезия 2033'!C39+'Индонезия 2033'!F39+'Индонезия 2033'!G39)+(0.35*LN(1+0.6*'Ход 2033'!B45)*POWER(MAX(0,1-'Индонезия 2033'!I39/10),0.7))))</f>
        <v>9.5623343251271802</v>
      </c>
      <c r="C39" s="3">
        <f>MIN(1,(MIN(1,'Индонезия 2033'!C39+'Индонезия 2033'!F39+(0.08*LN(1+0.5*'Ход 2033'!C45)*MAX(0,1-('Индонезия 2033'!C39+'Индонезия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9.5623343251271802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2033'!B40+'Индонезия 2033'!D40+('Индонезия 2033'!C40+'Индонезия 2033'!F40+'Индонезия 2033'!G40)+(0.35*LN(1+0.6*'Ход 2033'!B46)*POWER(MAX(0,1-'Индонезия 2033'!I40/10),0.7))))</f>
        <v>9.0708197083824764</v>
      </c>
      <c r="C40" s="3">
        <f>MIN(1,(MIN(1,'Индонезия 2033'!C40+'Индонезия 2033'!F40+(0.08*LN(1+0.5*'Ход 2033'!C46)*MAX(0,1-('Индонезия 2033'!C40+'Индонезия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9.0708197083824764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2033'!B41+'Индонезия 2033'!D41+('Индонезия 2033'!C41+'Индонезия 2033'!F41+'Индонезия 2033'!G41)+(0.35*LN(1+0.6*'Ход 2033'!B47)*POWER(MAX(0,1-'Индонезия 2033'!I41/10),0.7))))</f>
        <v>9.0708197083824764</v>
      </c>
      <c r="C41" s="3">
        <f>MIN(1,(MIN(1,'Индонезия 2033'!C41+'Индонезия 2033'!F41+(0.08*LN(1+0.5*'Ход 2033'!C47)*MAX(0,1-('Индонезия 2033'!C41+'Индонезия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9.0708197083824764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2033'!B42+'Индонезия 2033'!D42+('Индонезия 2033'!C42+'Индонезия 2033'!F42+'Индонезия 2033'!G42)+(0.35*LN(1+0.6*'Ход 2033'!B48)*POWER(MAX(0,1-'Индонезия 2033'!I42/10),0.7))))</f>
        <v>9.3435946441648969</v>
      </c>
      <c r="C42" s="3">
        <f>MIN(1,(MIN(1,'Индонезия 2033'!C42+'Индонезия 2033'!F42+(0.08*LN(1+0.5*'Ход 2033'!C48)*MAX(0,1-('Индонезия 2033'!C42+'Индонезия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9.3435946441648969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2033'!B44+'Индонезия 2033'!D44+('Индонезия 2033'!C44+'Индонезия 2033'!F44+'Индонезия 2033'!G44)+(0.35*LN(1+0.6*'Ход 2033'!B50)*POWER(MAX(0,1-'Индонезия 2033'!I44/10),0.7))))</f>
        <v>8.1788890791791253</v>
      </c>
      <c r="C44" s="3">
        <f>MIN(1,(MIN(1,'Индонезия 2033'!C44+'Индонезия 2033'!F44+(0.08*LN(1+0.5*'Ход 2033'!C50)*MAX(0,1-('Индонезия 2033'!C44+'Индонезия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8.1788890791791253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2033'!B45+'Индонезия 2033'!D45+('Индонезия 2033'!C45+'Индонезия 2033'!F45+'Индонезия 2033'!G45)+(0.35*LN(1+0.6*'Ход 2033'!B51)*POWER(MAX(0,1-'Индонезия 2033'!I45/10),0.7))))</f>
        <v>8.1788890791791253</v>
      </c>
      <c r="C45" s="3">
        <f>MIN(1,(MIN(1,'Индонезия 2033'!C45+'Индонезия 2033'!F45+(0.08*LN(1+0.5*'Ход 2033'!C51)*MAX(0,1-('Индонезия 2033'!C45+'Индонезия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8.1788890791791253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2033'!B46+'Индонезия 2033'!D46+('Индонезия 2033'!C46+'Индонезия 2033'!F46+'Индонезия 2033'!G46)+(0.35*LN(1+0.6*'Ход 2033'!B52)*POWER(MAX(0,1-'Индонезия 2033'!I46/10),0.7))))</f>
        <v>8.1788890791791253</v>
      </c>
      <c r="C46" s="3">
        <f>MIN(1,(MIN(1,'Индонезия 2033'!C46+'Индонезия 2033'!F46+(0.08*LN(1+0.5*'Ход 2033'!C52)*MAX(0,1-('Индонезия 2033'!C46+'Индонезия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8.1788890791791253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2033'!B47+'Индонезия 2033'!D47+('Индонезия 2033'!C47+'Индонезия 2033'!F47+'Индонезия 2033'!G47)+(0.35*LN(1+0.6*'Ход 2033'!B53)*POWER(MAX(0,1-'Индонезия 2033'!I47/10),0.7))))</f>
        <v>8.2708197083824775</v>
      </c>
      <c r="C47" s="3">
        <f>MIN(1,(MIN(1,'Индонезия 2033'!C47+'Индонезия 2033'!F47+(0.08*LN(1+0.5*'Ход 2033'!C53)*MAX(0,1-('Индонезия 2033'!C47+'Индонезия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8.2708197083824775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2033'!B48+'Индонезия 2033'!D48+('Индонезия 2033'!C48+'Индонезия 2033'!F48+'Индонезия 2033'!G48)+(0.35*LN(1+0.6*'Ход 2033'!B54)*POWER(MAX(0,1-'Индонезия 2033'!I48/10),0.7))))</f>
        <v>#REF!</v>
      </c>
      <c r="C48" s="3">
        <f>MIN(1,(MIN(1,'Индонезия 2033'!C48+'Индонезия 2033'!F48+(0.08*LN(1+0.5*'Ход 2033'!C54)*MAX(0,1-('Индонезия 2033'!C48+'Индонезия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2033'!B49+'Индонезия 2033'!D49+('Индонезия 2033'!C49+'Индонезия 2033'!F49+'Индонезия 2033'!G49)+(0.35*LN(1+0.6*'Ход 2033'!B55)*POWER(MAX(0,1-'Индонезия 2033'!I49/10),0.7))))</f>
        <v>10</v>
      </c>
      <c r="C49" s="3">
        <f>MIN(1,(MIN(1,'Индонезия 2033'!C49+'Индонезия 2033'!F49+(0.08*LN(1+0.5*'Ход 2033'!C55)*MAX(0,1-('Индонезия 2033'!C49+'Индонезия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2033'!B50+'Индонезия 2033'!D50+('Индонезия 2033'!C50+'Индонезия 2033'!F50+'Индонезия 2033'!G50)+(0.35*LN(1+0.6*'Ход 2033'!B56)*POWER(MAX(0,1-'Индонезия 2033'!I50/10),0.7))))</f>
        <v>10</v>
      </c>
      <c r="C50" s="3">
        <f>MIN(1,(MIN(1,'Индонезия 2033'!C50+'Индонезия 2033'!F50+(0.08*LN(1+0.5*'Ход 2033'!C56)*MAX(0,1-('Индонезия 2033'!C50+'Индонезия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2033'!B51+'Индонезия 2033'!D51+('Индонезия 2033'!C51+'Индонезия 2033'!F51+'Индонезия 2033'!G51)+(0.35*LN(1+0.6*'Ход 2033'!B57)*POWER(MAX(0,1-'Индонезия 2033'!I51/10),0.7))))</f>
        <v>8.5788890791791239</v>
      </c>
      <c r="C51" s="3">
        <f>MIN(1,(MIN(1,'Индонезия 2033'!C51+'Индонезия 2033'!F51+(0.08*LN(1+0.5*'Ход 2033'!C57)*MAX(0,1-('Индонезия 2033'!C51+'Индонезия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8.5788890791791239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2033'!B53+'Индонезия 2033'!D53+('Индонезия 2033'!C53+'Индонезия 2033'!F53+'Индонезия 2033'!G53)+(0.35*LN(1+0.6*'Ход 2033'!B59)*POWER(MAX(0,1-'Индонезия 2033'!I53/10),0.7))))</f>
        <v>8.0866186178916237</v>
      </c>
      <c r="C53" s="3">
        <f>MIN(1,(MIN(1,'Индонезия 2033'!C53+'Индонезия 2033'!F53+(0.08*LN(1+0.5*'Ход 2033'!C59)*MAX(0,1-('Индонезия 2033'!C53+'Индонезия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8.0866186178916237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2033'!B54+'Индонезия 2033'!D54+('Индонезия 2033'!C54+'Индонезия 2033'!F54+'Индонезия 2033'!G54)+(0.35*LN(1+0.6*'Ход 2033'!B60)*POWER(MAX(0,1-'Индонезия 2033'!I54/10),0.7))))</f>
        <v>8.0866186178916237</v>
      </c>
      <c r="C54" s="3">
        <f>MIN(1,(MIN(1,'Индонезия 2033'!C54+'Индонезия 2033'!F54+(0.08*LN(1+0.5*'Ход 2033'!C60)*MAX(0,1-('Индонезия 2033'!C54+'Индонезия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8.0866186178916237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2033'!B55+'Индонезия 2033'!D55+('Индонезия 2033'!C55+'Индонезия 2033'!F55+'Индонезия 2033'!G55)+(0.35*LN(1+0.6*'Ход 2033'!B61)*POWER(MAX(0,1-'Индонезия 2033'!I55/10),0.7))))</f>
        <v>7.1940628244860312</v>
      </c>
      <c r="C55" s="3">
        <f>MIN(1,(MIN(1,'Индонезия 2033'!C55+'Индонезия 2033'!F55+(0.08*LN(1+0.5*'Ход 2033'!C61)*MAX(0,1-('Индонезия 2033'!C55+'Индонезия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7.1940628244860312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2034'!U6</f>
        <v>96.522787448349973</v>
      </c>
      <c r="C6" s="3"/>
      <c r="D6" s="3"/>
      <c r="E6" s="3" t="s">
        <v>321</v>
      </c>
      <c r="F6" s="3" t="e">
        <f>'Индонезия 2034'!K6</f>
        <v>#REF!</v>
      </c>
      <c r="G6" s="3"/>
      <c r="H6" s="3"/>
      <c r="I6" s="3" t="s">
        <v>321</v>
      </c>
      <c r="J6" s="3">
        <f>'Индонезия 2034'!N6</f>
        <v>97.29935846457029</v>
      </c>
      <c r="K6" s="3"/>
      <c r="L6" s="3"/>
      <c r="M6" s="3" t="s">
        <v>321</v>
      </c>
      <c r="N6" s="3">
        <f>'Индонезия 2034'!Q6</f>
        <v>84.410208813420695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96.522787448349973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97.29935846457029</v>
      </c>
      <c r="K8" s="3" t="str">
        <f>IF(J8&lt;0,"ПРЕВЫШЕНИЕ","OK")</f>
        <v>OK</v>
      </c>
      <c r="L8" s="3"/>
      <c r="M8" s="3" t="s">
        <v>323</v>
      </c>
      <c r="N8" s="3">
        <f>N6-N7</f>
        <v>84.410208813420695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2034'!V11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2034'!V12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2034'!V13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2034'!V14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2034'!V15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2034'!V16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2034'!V17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2034'!V18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2034'!V19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2034'!V20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2034'!V21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2034'!V22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'Индонезия 2034'!V23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2034'!V24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2034'!V25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98.530366676048999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85.604007928791532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97.150621837895002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2034'!B8+'Индонезия 2034'!D8+('Индонезия 2034'!C8+'Индонезия 2034'!F8+'Индонезия 2034'!G8)+(0.35*LN(1+0.6*('Ход 2034'!B14*(1+'Эффекты технологий'!R$12)))*POWER(MAX(0,1-'Индонезия 2034'!I8/10),0.7))))</f>
        <v>9.5468107313668789</v>
      </c>
      <c r="C8" s="3">
        <f>MIN(1,(MIN(1,'Индонезия 2034'!C8+'Индонезия 2034'!F8+(0.08*LN(1+0.5*('Ход 2034'!C14*(1+'Эффекты технологий'!R$12)))*MAX(0,1-('Индонезия 2034'!C8+'Индонезия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9.5468107313668789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2034'!B9+'Индонезия 2034'!D9+('Индонезия 2034'!C9+'Индонезия 2034'!F9+'Индонезия 2034'!G9)+(0.35*LN(1+0.6*('Ход 2034'!B15*(1+'Эффекты технологий'!R$12)))*POWER(MAX(0,1-'Индонезия 2034'!I9/10),0.7))))</f>
        <v>7.1554128889638955</v>
      </c>
      <c r="C9" s="3">
        <f>MIN(1,(MIN(1,'Индонезия 2034'!C9+'Индонезия 2034'!F9+(0.08*LN(1+0.5*('Ход 2034'!C15*(1+'Эффекты технологий'!R$12)))*MAX(0,1-('Индонезия 2034'!C9+'Индонезия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7.1554128889638955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2034'!B10+'Индонезия 2034'!D10+('Индонезия 2034'!C10+'Индонезия 2034'!F10+'Индонезия 2034'!G10)+(0.35*LN(1+0.6*('Ход 2034'!B16*(1+'Эффекты технологий'!R$12)))*POWER(MAX(0,1-'Индонезия 2034'!I10/10),0.7))))</f>
        <v>9.0731249250628636</v>
      </c>
      <c r="C10" s="3">
        <f>MIN(1,(MIN(1,'Индонезия 2034'!C10+'Индонезия 2034'!F10+(0.08*LN(1+0.5*('Ход 2034'!C16*(1+'Эффекты технологий'!R$12)))*MAX(0,1-('Индонезия 2034'!C10+'Индонезия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9.0731249250628636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2034'!B11+'Индонезия 2034'!D11+('Индонезия 2034'!C11+'Индонезия 2034'!F11+'Индонезия 2034'!G11)+(0.35*LN(1+0.6*('Ход 2034'!B17*(1+'Эффекты технологий'!R$12)))*POWER(MAX(0,1-'Индонезия 2034'!I11/10),0.7))))</f>
        <v>8.6231249250628732</v>
      </c>
      <c r="C11" s="3">
        <f>MIN(1,(MIN(1,'Индонезия 2034'!C11+'Индонезия 2034'!F11+(0.08*LN(1+0.5*('Ход 2034'!C17*(1+'Эффекты технологий'!R$12)))*MAX(0,1-('Индонезия 2034'!C11+'Индонезия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8.6231249250628732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2034'!L11+'Индонезия 2034'!N11+('Индонезия 2034'!M11+'Индонезия 2034'!P11+'Индонезия 2034'!Q11)))</f>
        <v>10</v>
      </c>
      <c r="M11" s="3">
        <f>MIN(1,(MIN(1,'Индонезия 2034'!M11+'Индонезия 2034'!P11+(0.1*LN(1+0.5*('Ход 2034'!H13*(1+'Эффекты технологий'!R$10)))*POWER(MAX(0,1-'Индонезия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2034'!V11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2034'!B12+'Индонезия 2034'!D12+('Индонезия 2034'!C12+'Индонезия 2034'!F12+'Индонезия 2034'!G12)+(0.35*LN(1+0.6*('Ход 2034'!B18*(1+'Эффекты технологий'!R$12)))*POWER(MAX(0,1-'Индонезия 2034'!I12/10),0.7))))</f>
        <v>9.5858910416054002</v>
      </c>
      <c r="C12" s="3">
        <f>MIN(1,(MIN(1,'Индонезия 2034'!C12+'Индонезия 2034'!F12+(0.08*LN(1+0.5*('Ход 2034'!C18*(1+'Эффекты технологий'!R$12)))*MAX(0,1-('Индонезия 2034'!C12+'Индонезия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9.5858910416054002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2034'!L12+'Индонезия 2034'!N12+('Индонезия 2034'!M12+'Индонезия 2034'!P12+'Индонезия 2034'!Q12)))</f>
        <v>9.9392164502060094</v>
      </c>
      <c r="M12" s="3">
        <f>MIN(1,(MIN(1,'Индонезия 2034'!M12+'Индонезия 2034'!P12+(0.1*LN(1+0.5*('Ход 2034'!H14*(1+'Эффекты технологий'!R$10)))*POWER(MAX(0,1-'Индонезия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9.9392164502060094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2034'!V12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2034'!B13+'Индонезия 2034'!D13+('Индонезия 2034'!C13+'Индонезия 2034'!F13+'Индонезия 2034'!G13)+(0.35*LN(1+0.6*('Ход 2034'!B19*(1+'Эффекты технологий'!R$12)))*POWER(MAX(0,1-'Индонезия 2034'!I13/10),0.7))))</f>
        <v>5.0082533175883981</v>
      </c>
      <c r="C13" s="3">
        <f>MIN(1,(MIN(1,'Индонезия 2034'!C13+'Индонезия 2034'!F13+(0.08*LN(1+0.5*('Ход 2034'!C19*(1+'Эффекты технологий'!R$12)))*MAX(0,1-('Индонезия 2034'!C13+'Индонезия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5.0082533175883981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2034'!L13+'Индонезия 2034'!N13+('Индонезия 2034'!M13+'Индонезия 2034'!P13+'Индонезия 2034'!Q13)))</f>
        <v>9.6788504271725238</v>
      </c>
      <c r="M13" s="3">
        <f>MIN(1,(MIN(1,'Индонезия 2034'!M13+'Индонезия 2034'!P13+(0.1*LN(1+0.5*('Ход 2034'!H15*(1+'Эффекты технологий'!R$10)))*POWER(MAX(0,1-'Индонезия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9.6788504271725238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2034'!V13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2034'!B14+'Индонезия 2034'!D14+('Индонезия 2034'!C14+'Индонезия 2034'!F14+'Индонезия 2034'!G14)+(0.35*LN(1+0.6*('Ход 2034'!B20*(1+'Эффекты технологий'!R$12)))*POWER(MAX(0,1-'Индонезия 2034'!I14/10),0.7))))</f>
        <v>7.039335562551349</v>
      </c>
      <c r="C14" s="3">
        <f>MIN(1,(MIN(1,'Индонезия 2034'!C14+'Индонезия 2034'!F14+(0.08*LN(1+0.5*('Ход 2034'!C20*(1+'Эффекты технологий'!R$12)))*MAX(0,1-('Индонезия 2034'!C14+'Индонезия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7.2393355625513491</v>
      </c>
      <c r="J14" s="10">
        <f>SUMIFS('Эффекты технологий'!$S$25:$S$240,'Эффекты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2034'!L14+'Индонезия 2034'!N14+('Индонезия 2034'!M14+'Индонезия 2034'!P14+'Индонезия 2034'!Q14)))</f>
        <v>10</v>
      </c>
      <c r="M14" s="3">
        <f>MIN(1,(MIN(1,'Индонезия 2034'!M14+'Индонезия 2034'!P14+(0.1*LN(1+0.5*('Ход 2034'!H16*(1+'Эффекты технологий'!R$10)))*POWER(MAX(0,1-'Индонезия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2034'!V14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2034'!B15+'Индонезия 2034'!D15+('Индонезия 2034'!C15+'Индонезия 2034'!F15+'Индонезия 2034'!G15)+(0.35*LN(1+0.6*('Ход 2034'!B21*(1+'Эффекты технологий'!R$12)))*POWER(MAX(0,1-'Индонезия 2034'!I15/10),0.7))))</f>
        <v>9.822819362813684</v>
      </c>
      <c r="C15" s="3">
        <f>MIN(1,(MIN(1,'Индонезия 2034'!C15+'Индонезия 2034'!F15+(0.08*LN(1+0.5*('Ход 2034'!C21*(1+'Эффекты технологий'!R$12)))*MAX(0,1-('Индонезия 2034'!C15+'Индонезия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9.822819362813684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2034'!L15+'Индонезия 2034'!N15+('Индонезия 2034'!M15+'Индонезия 2034'!P15+'Индонезия 2034'!Q15)))</f>
        <v>8.5067278302547837</v>
      </c>
      <c r="M15" s="3">
        <f>MIN(1,(MIN(1,'Индонезия 2034'!M15+'Индонезия 2034'!P15+(0.1*LN(1+0.5*('Ход 2034'!H17*(1+'Эффекты технологий'!R$10)))*POWER(MAX(0,1-'Индонезия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8.5067278302547837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2034'!V15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2034'!B16+'Индонезия 2034'!D16+('Индонезия 2034'!C16+'Индонезия 2034'!F16+'Индонезия 2034'!G16)+(0.35*LN(1+0.6*('Ход 2034'!B22*(1+'Эффекты технологий'!R$12)))*POWER(MAX(0,1-'Индонезия 2034'!I16/10),0.7))))</f>
        <v>9.4984183436492291</v>
      </c>
      <c r="C16" s="3">
        <f>MIN(1,(MIN(1,'Индонезия 2034'!C16+'Индонезия 2034'!F16+(0.08*LN(1+0.5*('Ход 2034'!C22*(1+'Эффекты технологий'!R$12)))*MAX(0,1-('Индонезия 2034'!C16+'Индонезия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9.4984183436492291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2034'!L16+'Индонезия 2034'!N16+('Индонезия 2034'!M16+'Индонезия 2034'!P16+'Индонезия 2034'!Q16)))</f>
        <v>10</v>
      </c>
      <c r="M16" s="3">
        <f>MIN(1,(MIN(1,'Индонезия 2034'!M16+'Индонезия 2034'!P16+(0.1*LN(1+0.5*('Ход 2034'!H18*(1+'Эффекты технологий'!R$10)))*POWER(MAX(0,1-'Индонезия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2034'!V16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2034'!B17+'Индонезия 2034'!D17+('Индонезия 2034'!C17+'Индонезия 2034'!F17+'Индонезия 2034'!G17)+(0.35*LN(1+0.6*('Ход 2034'!B23*(1+'Эффекты технологий'!R$12)))*POWER(MAX(0,1-'Индонезия 2034'!I17/10),0.7))))</f>
        <v>8.8708197083824736</v>
      </c>
      <c r="C17" s="3">
        <f>MIN(1,(MIN(1,'Индонезия 2034'!C17+'Индонезия 2034'!F17+(0.08*LN(1+0.5*('Ход 2034'!C23*(1+'Эффекты технологий'!R$12)))*MAX(0,1-('Индонезия 2034'!C17+'Индонезия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8.8708197083824736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2034'!L17+'Индонезия 2034'!N17+('Индонезия 2034'!M17+'Индонезия 2034'!P17+'Индонезия 2034'!Q17)))</f>
        <v>10</v>
      </c>
      <c r="M17" s="3">
        <f>MIN(1,(MIN(1,'Индонезия 2034'!M17+'Индонезия 2034'!P17+(0.1*LN(1+0.5*('Ход 2034'!H19*(1+'Эффекты технологий'!R$10)))*POWER(MAX(0,1-'Индонезия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2034'!V17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2034'!L18+'Индонезия 2034'!N18+('Индонезия 2034'!M18+'Индонезия 2034'!P18+'Индонезия 2034'!Q18)))</f>
        <v>10</v>
      </c>
      <c r="M18" s="3">
        <f>MIN(1,(MIN(1,'Индонезия 2034'!M18+'Индонезия 2034'!P18+(0.1*LN(1+0.5*('Ход 2034'!H20*(1+'Эффекты технологий'!R$10)))*POWER(MAX(0,1-'Индонезия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2034'!V18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2034'!B19+'Индонезия 2034'!D19+('Индонезия 2034'!C19+'Индонезия 2034'!F19+'Индонезия 2034'!G19)+(0.35*LN(1+0.6*'Ход 2034'!B25)*POWER(MAX(0,1-'Индонезия 2034'!I19/10),0.7))))</f>
        <v>8.3366186178916237</v>
      </c>
      <c r="C19" s="3">
        <f>MIN(1,(MIN(1,'Индонезия 2034'!C19+'Индонезия 2034'!F19+(0.08*LN(1+0.5*'Ход 2034'!C25)*MAX(0,1-('Индонезия 2034'!C19+'Индонезия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8.3366186178916237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2034'!V19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2034'!B20+'Индонезия 2034'!D20+('Индонезия 2034'!C20+'Индонезия 2034'!F20+'Индонезия 2034'!G20)+(0.35*LN(1+0.6*'Ход 2034'!B26)*POWER(MAX(0,1-'Индонезия 2034'!I20/10),0.7))))</f>
        <v>8.786618617891623</v>
      </c>
      <c r="C20" s="3">
        <f>MIN(1,(MIN(1,'Индонезия 2034'!C20+'Индонезия 2034'!F20+(0.08*LN(1+0.5*'Ход 2034'!C26)*MAX(0,1-('Индонезия 2034'!C20+'Индонезия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8.786618617891623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2034'!V20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2034'!B21+'Индонезия 2034'!D21+('Индонезия 2034'!C21+'Индонезия 2034'!F21+'Индонезия 2034'!G21)+(0.35*LN(1+0.6*'Ход 2034'!B27)*POWER(MAX(0,1-'Индонезия 2034'!I21/10),0.7))))</f>
        <v>8.2940628244860282</v>
      </c>
      <c r="C21" s="3">
        <f>MIN(1,(MIN(1,'Индонезия 2034'!C21+'Индонезия 2034'!F21+(0.08*LN(1+0.5*'Ход 2034'!C27)*MAX(0,1-('Индонезия 2034'!C21+'Индонезия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8.2940628244860282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2034'!V21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2034'!B22+'Индонезия 2034'!D22+('Индонезия 2034'!C22+'Индонезия 2034'!F22+'Индонезия 2034'!G22)+(0.35*LN(1+0.6*'Ход 2034'!B28)*POWER(MAX(0,1-'Индонезия 2034'!I22/10),0.7))))</f>
        <v>8.3788890791791246</v>
      </c>
      <c r="C22" s="3">
        <f>MIN(1,(MIN(1,'Индонезия 2034'!C22+'Индонезия 2034'!F22+(0.08*LN(1+0.5*'Ход 2034'!C28)*MAX(0,1-('Индонезия 2034'!C22+'Индонезия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8.3788890791791246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2034'!V22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2034'!B23+'Индонезия 2034'!D23+('Индонезия 2034'!C23+'Индонезия 2034'!F23+'Индонезия 2034'!G23)+(0.35*LN(1+0.6*'Ход 2034'!B29)*POWER(MAX(0,1-'Индонезия 2034'!I23/10),0.7))))</f>
        <v>8.3366186178916237</v>
      </c>
      <c r="C23" s="3">
        <f>MIN(1,(MIN(1,'Индонезия 2034'!C23+'Индонезия 2034'!F23+(0.08*LN(1+0.5*'Ход 2034'!C29)*MAX(0,1-('Индонезия 2034'!C23+'Индонезия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8.3366186178916237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2034'!V23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2034'!V24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2034'!B25+'Индонезия 2034'!D25+('Индонезия 2034'!C25+'Индонезия 2034'!F25+'Индонезия 2034'!G25)+(0.35*LN(1+0.6*'Ход 2034'!B31)*POWER(MAX(0,1-'Индонезия 2034'!I25/10),0.7))))</f>
        <v>9.4435946441648966</v>
      </c>
      <c r="C25" s="3">
        <f>MIN(1,(MIN(1,'Индонезия 2034'!C25+'Индонезия 2034'!F25+(0.08*LN(1+0.5*'Ход 2034'!C31)*MAX(0,1-('Индонезия 2034'!C25+'Индонезия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9.4435946441648966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2034'!V25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2034'!B26+'Индонезия 2034'!D26+('Индонезия 2034'!C26+'Индонезия 2034'!F26+'Индонезия 2034'!G26)+(0.35*LN(1+0.6*'Ход 2034'!B32)*POWER(MAX(0,1-'Индонезия 2034'!I26/10),0.7))))</f>
        <v>8.8288890791791239</v>
      </c>
      <c r="C26" s="3">
        <f>MIN(1,(MIN(1,'Индонезия 2034'!C26+'Индонезия 2034'!F26+(0.08*LN(1+0.5*'Ход 2034'!C32)*MAX(0,1-('Индонезия 2034'!C26+'Индонезия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8.8288890791791239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2034'!B27+'Индонезия 2034'!D27+('Индонезия 2034'!C27+'Индонезия 2034'!F27+'Индонезия 2034'!G27)+(0.35*LN(1+0.6*'Ход 2034'!B33)*POWER(MAX(0,1-'Индонезия 2034'!I27/10),0.7))))</f>
        <v>8.8708197083824736</v>
      </c>
      <c r="C27" s="3">
        <f>MIN(1,(MIN(1,'Индонезия 2034'!C27+'Индонезия 2034'!F27+(0.08*LN(1+0.5*'Ход 2034'!C33)*MAX(0,1-('Индонезия 2034'!C27+'Индонезия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8.8708197083824736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2034'!B28+'Индонезия 2034'!D28+('Индонезия 2034'!C28+'Индонезия 2034'!F28+'Индонезия 2034'!G28)+(0.35*LN(1+0.6*'Ход 2034'!B34)*POWER(MAX(0,1-'Индонезия 2034'!I28/10),0.7))))</f>
        <v>8.786618617891623</v>
      </c>
      <c r="C28" s="3">
        <f>MIN(1,(MIN(1,'Индонезия 2034'!C28+'Индонезия 2034'!F28+(0.08*LN(1+0.5*'Ход 2034'!C34)*MAX(0,1-('Индонезия 2034'!C28+'Индонезия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8.786618617891623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2034'!B29+'Индонезия 2034'!D29+('Индонезия 2034'!C29+'Индонезия 2034'!F29+'Индонезия 2034'!G29)+(0.35*LN(1+0.6*'Ход 2034'!B35)*POWER(MAX(0,1-'Индонезия 2034'!I29/10),0.7))))</f>
        <v>8.3366186178916237</v>
      </c>
      <c r="C29" s="3">
        <f>MIN(1,(MIN(1,'Индонезия 2034'!C29+'Индонезия 2034'!F29+(0.08*LN(1+0.5*'Ход 2034'!C35)*MAX(0,1-('Индонезия 2034'!C29+'Индонезия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8.3366186178916237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2034'!B30+'Индонезия 2034'!D30+('Индонезия 2034'!C30+'Индонезия 2034'!F30+'Индонезия 2034'!G30)+(0.35*LN(1+0.6*'Ход 2034'!B36)*POWER(MAX(0,1-'Индонезия 2034'!I30/10),0.7))))</f>
        <v>7.8866186178916244</v>
      </c>
      <c r="C30" s="3">
        <f>MIN(1,(MIN(1,'Индонезия 2034'!C30+'Индонезия 2034'!F30+(0.08*LN(1+0.5*'Ход 2034'!C36)*MAX(0,1-('Индонезия 2034'!C30+'Индонезия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7.8866186178916244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2034'!B31+'Индонезия 2034'!D31+('Индонезия 2034'!C31+'Индонезия 2034'!F31+'Индонезия 2034'!G31)+(0.35*LN(1+0.6*'Ход 2034'!B37)*POWER(MAX(0,1-'Индонезия 2034'!I31/10),0.7))))</f>
        <v>7.8866186178916244</v>
      </c>
      <c r="C31" s="3">
        <f>MIN(1,(MIN(1,'Индонезия 2034'!C31+'Индонезия 2034'!F31+(0.08*LN(1+0.5*'Ход 2034'!C37)*MAX(0,1-('Индонезия 2034'!C31+'Индонезия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7.8866186178916244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2034'!B32+'Индонезия 2034'!D32+('Индонезия 2034'!C32+'Индонезия 2034'!F32+'Индонезия 2034'!G32)+(0.35*LN(1+0.6*'Ход 2034'!B38)*POWER(MAX(0,1-'Индонезия 2034'!I32/10),0.7))))</f>
        <v>8.8288890791791239</v>
      </c>
      <c r="C32" s="3">
        <f>MIN(1,(MIN(1,'Индонезия 2034'!C32+'Индонезия 2034'!F32+(0.08*LN(1+0.5*'Ход 2034'!C38)*MAX(0,1-('Индонезия 2034'!C32+'Индонезия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8.8288890791791239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2034'!B34+'Индонезия 2034'!D34+('Индонезия 2034'!C34+'Индонезия 2034'!F34+'Индонезия 2034'!G34)+(0.35*LN(1+0.6*'Ход 2034'!B40)*POWER(MAX(0,1-'Индонезия 2034'!I34/10),0.7))))</f>
        <v>9.8123343251271802</v>
      </c>
      <c r="C34" s="3">
        <f>MIN(1,(MIN(1,'Индонезия 2034'!C34+'Индонезия 2034'!F34+(0.08*LN(1+0.5*'Ход 2034'!C40)*MAX(0,1-('Индонезия 2034'!C34+'Индонезия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9.8123343251271802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2034'!B35+'Индонезия 2034'!D35+('Индонезия 2034'!C35+'Индонезия 2034'!F35+'Индонезия 2034'!G35)+(0.35*LN(1+0.6*'Ход 2034'!B41)*POWER(MAX(0,1-'Индонезия 2034'!I35/10),0.7))))</f>
        <v>8.9123343251271834</v>
      </c>
      <c r="C35" s="3">
        <f>MIN(1,(MIN(1,'Индонезия 2034'!C35+'Индонезия 2034'!F35+(0.08*LN(1+0.5*'Ход 2034'!C41)*MAX(0,1-('Индонезия 2034'!C35+'Индонезия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8.9123343251271834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2034'!B36+'Индонезия 2034'!D36+('Индонезия 2034'!C36+'Индонезия 2034'!F36+'Индонезия 2034'!G36)+(0.35*LN(1+0.6*'Ход 2034'!B42)*POWER(MAX(0,1-'Индонезия 2034'!I36/10),0.7))))</f>
        <v>10</v>
      </c>
      <c r="C36" s="3">
        <f>MIN(1,(MIN(1,'Индонезия 2034'!C36+'Индонезия 2034'!F36+(0.08*LN(1+0.5*'Ход 2034'!C42)*MAX(0,1-('Индонезия 2034'!C36+'Индонезия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2034'!B37+'Индонезия 2034'!D37+('Индонезия 2034'!C37+'Индонезия 2034'!F37+'Индонезия 2034'!G37)+(0.35*LN(1+0.6*'Ход 2034'!B43)*POWER(MAX(0,1-'Индонезия 2034'!I37/10),0.7))))</f>
        <v>9.2788890791791268</v>
      </c>
      <c r="C37" s="3">
        <f>MIN(1,(MIN(1,'Индонезия 2034'!C37+'Индонезия 2034'!F37+(0.08*LN(1+0.5*'Ход 2034'!C43)*MAX(0,1-('Индонезия 2034'!C37+'Индонезия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9.2788890791791268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2034'!B38+'Индонезия 2034'!D38+('Индонезия 2034'!C38+'Индонезия 2034'!F38+'Индонезия 2034'!G38)+(0.35*LN(1+0.6*'Ход 2034'!B44)*POWER(MAX(0,1-'Индонезия 2034'!I38/10),0.7))))</f>
        <v>8.8288890791791239</v>
      </c>
      <c r="C38" s="3">
        <f>MIN(1,(MIN(1,'Индонезия 2034'!C38+'Индонезия 2034'!F38+(0.08*LN(1+0.5*'Ход 2034'!C44)*MAX(0,1-('Индонезия 2034'!C38+'Индонезия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8.8288890791791239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2034'!B39+'Индонезия 2034'!D39+('Индонезия 2034'!C39+'Индонезия 2034'!F39+'Индонезия 2034'!G39)+(0.35*LN(1+0.6*'Ход 2034'!B45)*POWER(MAX(0,1-'Индонезия 2034'!I39/10),0.7))))</f>
        <v>9.8123343251271802</v>
      </c>
      <c r="C39" s="3">
        <f>MIN(1,(MIN(1,'Индонезия 2034'!C39+'Индонезия 2034'!F39+(0.08*LN(1+0.5*'Ход 2034'!C45)*MAX(0,1-('Индонезия 2034'!C39+'Индонезия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9.8123343251271802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2034'!B40+'Индонезия 2034'!D40+('Индонезия 2034'!C40+'Индонезия 2034'!F40+'Индонезия 2034'!G40)+(0.35*LN(1+0.6*'Ход 2034'!B46)*POWER(MAX(0,1-'Индонезия 2034'!I40/10),0.7))))</f>
        <v>9.3208197083824764</v>
      </c>
      <c r="C40" s="3">
        <f>MIN(1,(MIN(1,'Индонезия 2034'!C40+'Индонезия 2034'!F40+(0.08*LN(1+0.5*'Ход 2034'!C46)*MAX(0,1-('Индонезия 2034'!C40+'Индонезия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9.3208197083824764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2034'!B41+'Индонезия 2034'!D41+('Индонезия 2034'!C41+'Индонезия 2034'!F41+'Индонезия 2034'!G41)+(0.35*LN(1+0.6*'Ход 2034'!B47)*POWER(MAX(0,1-'Индонезия 2034'!I41/10),0.7))))</f>
        <v>9.3208197083824764</v>
      </c>
      <c r="C41" s="3">
        <f>MIN(1,(MIN(1,'Индонезия 2034'!C41+'Индонезия 2034'!F41+(0.08*LN(1+0.5*'Ход 2034'!C47)*MAX(0,1-('Индонезия 2034'!C41+'Индонезия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9.3208197083824764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2034'!B42+'Индонезия 2034'!D42+('Индонезия 2034'!C42+'Индонезия 2034'!F42+'Индонезия 2034'!G42)+(0.35*LN(1+0.6*'Ход 2034'!B48)*POWER(MAX(0,1-'Индонезия 2034'!I42/10),0.7))))</f>
        <v>9.4435946441648966</v>
      </c>
      <c r="C42" s="3">
        <f>MIN(1,(MIN(1,'Индонезия 2034'!C42+'Индонезия 2034'!F42+(0.08*LN(1+0.5*'Ход 2034'!C48)*MAX(0,1-('Индонезия 2034'!C42+'Индонезия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9.4435946441648966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2034'!B44+'Индонезия 2034'!D44+('Индонезия 2034'!C44+'Индонезия 2034'!F44+'Индонезия 2034'!G44)+(0.35*LN(1+0.6*'Ход 2034'!B50)*POWER(MAX(0,1-'Индонезия 2034'!I44/10),0.7))))</f>
        <v>8.3788890791791246</v>
      </c>
      <c r="C44" s="3">
        <f>MIN(1,(MIN(1,'Индонезия 2034'!C44+'Индонезия 2034'!F44+(0.08*LN(1+0.5*'Ход 2034'!C50)*MAX(0,1-('Индонезия 2034'!C44+'Индонезия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8.3788890791791246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2034'!B45+'Индонезия 2034'!D45+('Индонезия 2034'!C45+'Индонезия 2034'!F45+'Индонезия 2034'!G45)+(0.35*LN(1+0.6*'Ход 2034'!B51)*POWER(MAX(0,1-'Индонезия 2034'!I45/10),0.7))))</f>
        <v>8.3788890791791246</v>
      </c>
      <c r="C45" s="3">
        <f>MIN(1,(MIN(1,'Индонезия 2034'!C45+'Индонезия 2034'!F45+(0.08*LN(1+0.5*'Ход 2034'!C51)*MAX(0,1-('Индонезия 2034'!C45+'Индонезия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8.3788890791791246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2034'!B46+'Индонезия 2034'!D46+('Индонезия 2034'!C46+'Индонезия 2034'!F46+'Индонезия 2034'!G46)+(0.35*LN(1+0.6*'Ход 2034'!B52)*POWER(MAX(0,1-'Индонезия 2034'!I46/10),0.7))))</f>
        <v>8.3788890791791246</v>
      </c>
      <c r="C46" s="3">
        <f>MIN(1,(MIN(1,'Индонезия 2034'!C46+'Индонезия 2034'!F46+(0.08*LN(1+0.5*'Ход 2034'!C52)*MAX(0,1-('Индонезия 2034'!C46+'Индонезия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8.3788890791791246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2034'!B47+'Индонезия 2034'!D47+('Индонезия 2034'!C47+'Индонезия 2034'!F47+'Индонезия 2034'!G47)+(0.35*LN(1+0.6*'Ход 2034'!B53)*POWER(MAX(0,1-'Индонезия 2034'!I47/10),0.7))))</f>
        <v>8.4208197083824778</v>
      </c>
      <c r="C47" s="3">
        <f>MIN(1,(MIN(1,'Индонезия 2034'!C47+'Индонезия 2034'!F47+(0.08*LN(1+0.5*'Ход 2034'!C53)*MAX(0,1-('Индонезия 2034'!C47+'Индонезия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8.4208197083824778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2034'!B48+'Индонезия 2034'!D48+('Индонезия 2034'!C48+'Индонезия 2034'!F48+'Индонезия 2034'!G48)+(0.35*LN(1+0.6*'Ход 2034'!B54)*POWER(MAX(0,1-'Индонезия 2034'!I48/10),0.7))))</f>
        <v>#REF!</v>
      </c>
      <c r="C48" s="3">
        <f>MIN(1,(MIN(1,'Индонезия 2034'!C48+'Индонезия 2034'!F48+(0.08*LN(1+0.5*'Ход 2034'!C54)*MAX(0,1-('Индонезия 2034'!C48+'Индонезия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2034'!B49+'Индонезия 2034'!D49+('Индонезия 2034'!C49+'Индонезия 2034'!F49+'Индонезия 2034'!G49)+(0.35*LN(1+0.6*'Ход 2034'!B55)*POWER(MAX(0,1-'Индонезия 2034'!I49/10),0.7))))</f>
        <v>10</v>
      </c>
      <c r="C49" s="3">
        <f>MIN(1,(MIN(1,'Индонезия 2034'!C49+'Индонезия 2034'!F49+(0.08*LN(1+0.5*'Ход 2034'!C55)*MAX(0,1-('Индонезия 2034'!C49+'Индонезия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2034'!B50+'Индонезия 2034'!D50+('Индонезия 2034'!C50+'Индонезия 2034'!F50+'Индонезия 2034'!G50)+(0.35*LN(1+0.6*'Ход 2034'!B56)*POWER(MAX(0,1-'Индонезия 2034'!I50/10),0.7))))</f>
        <v>10</v>
      </c>
      <c r="C50" s="3">
        <f>MIN(1,(MIN(1,'Индонезия 2034'!C50+'Индонезия 2034'!F50+(0.08*LN(1+0.5*'Ход 2034'!C56)*MAX(0,1-('Индонезия 2034'!C50+'Индонезия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2034'!B51+'Индонезия 2034'!D51+('Индонезия 2034'!C51+'Индонезия 2034'!F51+'Индонезия 2034'!G51)+(0.35*LN(1+0.6*'Ход 2034'!B57)*POWER(MAX(0,1-'Индонезия 2034'!I51/10),0.7))))</f>
        <v>8.8288890791791239</v>
      </c>
      <c r="C51" s="3">
        <f>MIN(1,(MIN(1,'Индонезия 2034'!C51+'Индонезия 2034'!F51+(0.08*LN(1+0.5*'Ход 2034'!C57)*MAX(0,1-('Индонезия 2034'!C51+'Индонезия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8.8288890791791239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2034'!B53+'Индонезия 2034'!D53+('Индонезия 2034'!C53+'Индонезия 2034'!F53+'Индонезия 2034'!G53)+(0.35*LN(1+0.6*'Ход 2034'!B59)*POWER(MAX(0,1-'Индонезия 2034'!I53/10),0.7))))</f>
        <v>8.3366186178916237</v>
      </c>
      <c r="C53" s="3">
        <f>MIN(1,(MIN(1,'Индонезия 2034'!C53+'Индонезия 2034'!F53+(0.08*LN(1+0.5*'Ход 2034'!C59)*MAX(0,1-('Индонезия 2034'!C53+'Индонезия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8.3366186178916237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2034'!B54+'Индонезия 2034'!D54+('Индонезия 2034'!C54+'Индонезия 2034'!F54+'Индонезия 2034'!G54)+(0.35*LN(1+0.6*'Ход 2034'!B60)*POWER(MAX(0,1-'Индонезия 2034'!I54/10),0.7))))</f>
        <v>8.3366186178916237</v>
      </c>
      <c r="C54" s="3">
        <f>MIN(1,(MIN(1,'Индонезия 2034'!C54+'Индонезия 2034'!F54+(0.08*LN(1+0.5*'Ход 2034'!C60)*MAX(0,1-('Индонезия 2034'!C54+'Индонезия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8.3366186178916237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2034'!B55+'Индонезия 2034'!D55+('Индонезия 2034'!C55+'Индонезия 2034'!F55+'Индонезия 2034'!G55)+(0.35*LN(1+0.6*'Ход 2034'!B61)*POWER(MAX(0,1-'Индонезия 2034'!I55/10),0.7))))</f>
        <v>7.3940628244860314</v>
      </c>
      <c r="C55" s="3">
        <f>MIN(1,(MIN(1,'Индонезия 2034'!C55+'Индонезия 2034'!F55+(0.08*LN(1+0.5*'Ход 2034'!C61)*MAX(0,1-('Индонезия 2034'!C55+'Индонезия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7.3940628244860314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2035'!U6</f>
        <v>97.150621837895002</v>
      </c>
      <c r="C6" s="3"/>
      <c r="D6" s="3"/>
      <c r="E6" s="3" t="s">
        <v>321</v>
      </c>
      <c r="F6" s="3" t="e">
        <f>'Индонезия 2035'!K6</f>
        <v>#REF!</v>
      </c>
      <c r="G6" s="3"/>
      <c r="H6" s="3"/>
      <c r="I6" s="3" t="s">
        <v>321</v>
      </c>
      <c r="J6" s="3">
        <f>'Индонезия 2035'!N6</f>
        <v>98.530366676048999</v>
      </c>
      <c r="K6" s="3"/>
      <c r="L6" s="3"/>
      <c r="M6" s="3" t="s">
        <v>321</v>
      </c>
      <c r="N6" s="3">
        <f>'Индонезия 2035'!Q6</f>
        <v>85.604007928791532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97.150621837895002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98.530366676048999</v>
      </c>
      <c r="K8" s="3" t="str">
        <f>IF(J8&lt;0,"ПРЕВЫШЕНИЕ","OK")</f>
        <v>OK</v>
      </c>
      <c r="L8" s="3"/>
      <c r="M8" s="3" t="s">
        <v>323</v>
      </c>
      <c r="N8" s="3">
        <f>N6-N7</f>
        <v>85.604007928791532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2035'!V11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2035'!V12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2035'!V13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2035'!V14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2035'!V15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2035'!V16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2035'!V17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2035'!V18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2035'!V19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2035'!V20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2035'!V21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2035'!V22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'Индонезия 2035'!V23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2035'!V24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2035'!V25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99.320150427344601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86.549996634295923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97.567611585970425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2035'!B8+'Индонезия 2035'!D8+('Индонезия 2035'!C8+'Индонезия 2035'!F8+'Индонезия 2035'!G8)+(0.35*LN(1+0.6*('Ход 2035'!B14*(1+'Эффекты технологий'!S$12)))*POWER(MAX(0,1-'Индонезия 2035'!I8/10),0.7))))</f>
        <v>9.5968107313668796</v>
      </c>
      <c r="C8" s="3">
        <f>MIN(1,(MIN(1,'Индонезия 2035'!C8+'Индонезия 2035'!F8+(0.08*LN(1+0.5*('Ход 2035'!C14*(1+'Эффекты технологий'!S$12)))*MAX(0,1-('Индонезия 2035'!C8+'Индонезия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9.5968107313668796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2035'!B9+'Индонезия 2035'!D9+('Индонезия 2035'!C9+'Индонезия 2035'!F9+'Индонезия 2035'!G9)+(0.35*LN(1+0.6*('Ход 2035'!B15*(1+'Эффекты технологий'!S$12)))*POWER(MAX(0,1-'Индонезия 2035'!I9/10),0.7))))</f>
        <v>7.3054128889638958</v>
      </c>
      <c r="C9" s="3">
        <f>MIN(1,(MIN(1,'Индонезия 2035'!C9+'Индонезия 2035'!F9+(0.08*LN(1+0.5*('Ход 2035'!C15*(1+'Эффекты технологий'!S$12)))*MAX(0,1-('Индонезия 2035'!C9+'Индонезия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7.3054128889638958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2035'!B10+'Индонезия 2035'!D10+('Индонезия 2035'!C10+'Индонезия 2035'!F10+'Индонезия 2035'!G10)+(0.35*LN(1+0.6*('Ход 2035'!B16*(1+'Эффекты технологий'!S$12)))*POWER(MAX(0,1-'Индонезия 2035'!I10/10),0.7))))</f>
        <v>9.1731249250628633</v>
      </c>
      <c r="C10" s="3">
        <f>MIN(1,(MIN(1,'Индонезия 2035'!C10+'Индонезия 2035'!F10+(0.08*LN(1+0.5*('Ход 2035'!C16*(1+'Эффекты технологий'!S$12)))*MAX(0,1-('Индонезия 2035'!C10+'Индонезия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9.1731249250628633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2035'!B11+'Индонезия 2035'!D11+('Индонезия 2035'!C11+'Индонезия 2035'!F11+'Индонезия 2035'!G11)+(0.35*LN(1+0.6*('Ход 2035'!B17*(1+'Эффекты технологий'!S$12)))*POWER(MAX(0,1-'Индонезия 2035'!I11/10),0.7))))</f>
        <v>8.6731249250628739</v>
      </c>
      <c r="C11" s="3">
        <f>MIN(1,(MIN(1,'Индонезия 2035'!C11+'Индонезия 2035'!F11+(0.08*LN(1+0.5*('Ход 2035'!C17*(1+'Эффекты технологий'!S$12)))*MAX(0,1-('Индонезия 2035'!C11+'Индонезия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8.6731249250628739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2035'!L11+'Индонезия 2035'!N11+('Индонезия 2035'!M11+'Индонезия 2035'!P11+'Индонезия 2035'!Q11)))</f>
        <v>10</v>
      </c>
      <c r="M11" s="3">
        <f>MIN(1,(MIN(1,'Индонезия 2035'!M11+'Индонезия 2035'!P11+(0.1*LN(1+0.5*('Ход 2035'!H13*(1+'Эффекты технологий'!S$10)))*POWER(MAX(0,1-'Индонезия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2035'!V11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2035'!B12+'Индонезия 2035'!D12+('Индонезия 2035'!C12+'Индонезия 2035'!F12+'Индонезия 2035'!G12)+(0.35*LN(1+0.6*('Ход 2035'!B18*(1+'Эффекты технологий'!S$12)))*POWER(MAX(0,1-'Индонезия 2035'!I12/10),0.7))))</f>
        <v>9.6358910416054009</v>
      </c>
      <c r="C12" s="3">
        <f>MIN(1,(MIN(1,'Индонезия 2035'!C12+'Индонезия 2035'!F12+(0.08*LN(1+0.5*('Ход 2035'!C18*(1+'Эффекты технологий'!S$12)))*MAX(0,1-('Индонезия 2035'!C12+'Индонезия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9.6358910416054009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2035'!L12+'Индонезия 2035'!N12+('Индонезия 2035'!M12+'Индонезия 2035'!P12+'Индонезия 2035'!Q12)))</f>
        <v>10</v>
      </c>
      <c r="M12" s="3">
        <f>MIN(1,(MIN(1,'Индонезия 2035'!M12+'Индонезия 2035'!P12+(0.1*LN(1+0.5*('Ход 2035'!H14*(1+'Эффекты технологий'!S$10)))*POWER(MAX(0,1-'Индонезия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2035'!V12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2035'!B13+'Индонезия 2035'!D13+('Индонезия 2035'!C13+'Индонезия 2035'!F13+'Индонезия 2035'!G13)+(0.35*LN(1+0.6*('Ход 2035'!B19*(1+'Эффекты технологий'!S$12)))*POWER(MAX(0,1-'Индонезия 2035'!I13/10),0.7))))</f>
        <v>5.3082533175883979</v>
      </c>
      <c r="C13" s="3">
        <f>MIN(1,(MIN(1,'Индонезия 2035'!C13+'Индонезия 2035'!F13+(0.08*LN(1+0.5*('Ход 2035'!C19*(1+'Эффекты технологий'!S$12)))*MAX(0,1-('Индонезия 2035'!C13+'Индонезия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5.3082533175883979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2035'!L13+'Индонезия 2035'!N13+('Индонезия 2035'!M13+'Индонезия 2035'!P13+'Индонезия 2035'!Q13)))</f>
        <v>10</v>
      </c>
      <c r="M13" s="3">
        <f>MIN(1,(MIN(1,'Индонезия 2035'!M13+'Индонезия 2035'!P13+(0.1*LN(1+0.5*('Ход 2035'!H15*(1+'Эффекты технологий'!S$10)))*POWER(MAX(0,1-'Индонезия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2035'!V13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2035'!B14+'Индонезия 2035'!D14+('Индонезия 2035'!C14+'Индонезия 2035'!F14+'Индонезия 2035'!G14)+(0.35*LN(1+0.6*('Ход 2035'!B20*(1+'Эффекты технологий'!S$12)))*POWER(MAX(0,1-'Индонезия 2035'!I14/10),0.7))))</f>
        <v>7.3393355625513488</v>
      </c>
      <c r="C14" s="3">
        <f>MIN(1,(MIN(1,'Индонезия 2035'!C14+'Индонезия 2035'!F14+(0.08*LN(1+0.5*('Ход 2035'!C20*(1+'Эффекты технологий'!S$12)))*MAX(0,1-('Индонезия 2035'!C14+'Индонезия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7.539335562551349</v>
      </c>
      <c r="J14" s="10">
        <f>SUMIFS('Эффекты технологий'!$T$25:$T$240,'Эффекты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2035'!L14+'Индонезия 2035'!N14+('Индонезия 2035'!M14+'Индонезия 2035'!P14+'Индонезия 2035'!Q14)))</f>
        <v>10</v>
      </c>
      <c r="M14" s="3">
        <f>MIN(1,(MIN(1,'Индонезия 2035'!M14+'Индонезия 2035'!P14+(0.1*LN(1+0.5*('Ход 2035'!H16*(1+'Эффекты технологий'!S$10)))*POWER(MAX(0,1-'Индонезия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2035'!V14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2035'!B15+'Индонезия 2035'!D15+('Индонезия 2035'!C15+'Индонезия 2035'!F15+'Индонезия 2035'!G15)+(0.35*LN(1+0.6*('Ход 2035'!B21*(1+'Эффекты технологий'!S$12)))*POWER(MAX(0,1-'Индонезия 2035'!I15/10),0.7))))</f>
        <v>10</v>
      </c>
      <c r="C15" s="3">
        <f>MIN(1,(MIN(1,'Индонезия 2035'!C15+'Индонезия 2035'!F15+(0.08*LN(1+0.5*('Ход 2035'!C21*(1+'Эффекты технологий'!S$12)))*MAX(0,1-('Индонезия 2035'!C15+'Индонезия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2035'!L15+'Индонезия 2035'!N15+('Индонезия 2035'!M15+'Индонезия 2035'!P15+'Индонезия 2035'!Q15)))</f>
        <v>8.8513188090366324</v>
      </c>
      <c r="M15" s="3">
        <f>MIN(1,(MIN(1,'Индонезия 2035'!M15+'Индонезия 2035'!P15+(0.1*LN(1+0.5*('Ход 2035'!H17*(1+'Эффекты технологий'!S$10)))*POWER(MAX(0,1-'Индонезия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8.8513188090366324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2035'!V15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2035'!B16+'Индонезия 2035'!D16+('Индонезия 2035'!C16+'Индонезия 2035'!F16+'Индонезия 2035'!G16)+(0.35*LN(1+0.6*('Ход 2035'!B22*(1+'Эффекты технологий'!S$12)))*POWER(MAX(0,1-'Индонезия 2035'!I16/10),0.7))))</f>
        <v>9.7484183436492291</v>
      </c>
      <c r="C16" s="3">
        <f>MIN(1,(MIN(1,'Индонезия 2035'!C16+'Индонезия 2035'!F16+(0.08*LN(1+0.5*('Ход 2035'!C22*(1+'Эффекты технологий'!S$12)))*MAX(0,1-('Индонезия 2035'!C16+'Индонезия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9.7484183436492291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2035'!L16+'Индонезия 2035'!N16+('Индонезия 2035'!M16+'Индонезия 2035'!P16+'Индонезия 2035'!Q16)))</f>
        <v>10</v>
      </c>
      <c r="M16" s="3">
        <f>MIN(1,(MIN(1,'Индонезия 2035'!M16+'Индонезия 2035'!P16+(0.1*LN(1+0.5*('Ход 2035'!H18*(1+'Эффекты технологий'!S$10)))*POWER(MAX(0,1-'Индонезия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2035'!V16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2035'!B17+'Индонезия 2035'!D17+('Индонезия 2035'!C17+'Индонезия 2035'!F17+'Индонезия 2035'!G17)+(0.35*LN(1+0.6*('Ход 2035'!B23*(1+'Эффекты технологий'!S$12)))*POWER(MAX(0,1-'Индонезия 2035'!I17/10),0.7))))</f>
        <v>9.0708197083824729</v>
      </c>
      <c r="C17" s="3">
        <f>MIN(1,(MIN(1,'Индонезия 2035'!C17+'Индонезия 2035'!F17+(0.08*LN(1+0.5*('Ход 2035'!C23*(1+'Эффекты технологий'!S$12)))*MAX(0,1-('Индонезия 2035'!C17+'Индонезия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9.0708197083824729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2035'!L17+'Индонезия 2035'!N17+('Индонезия 2035'!M17+'Индонезия 2035'!P17+'Индонезия 2035'!Q17)))</f>
        <v>10</v>
      </c>
      <c r="M17" s="3">
        <f>MIN(1,(MIN(1,'Индонезия 2035'!M17+'Индонезия 2035'!P17+(0.1*LN(1+0.5*('Ход 2035'!H19*(1+'Эффекты технологий'!S$10)))*POWER(MAX(0,1-'Индонезия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2035'!V17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2035'!L18+'Индонезия 2035'!N18+('Индонезия 2035'!M18+'Индонезия 2035'!P18+'Индонезия 2035'!Q18)))</f>
        <v>10</v>
      </c>
      <c r="M18" s="3">
        <f>MIN(1,(MIN(1,'Индонезия 2035'!M18+'Индонезия 2035'!P18+(0.1*LN(1+0.5*('Ход 2035'!H20*(1+'Эффекты технологий'!S$10)))*POWER(MAX(0,1-'Индонезия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2035'!V18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2035'!B19+'Индонезия 2035'!D19+('Индонезия 2035'!C19+'Индонезия 2035'!F19+'Индонезия 2035'!G19)+(0.35*LN(1+0.6*'Ход 2035'!B25)*POWER(MAX(0,1-'Индонезия 2035'!I19/10),0.7))))</f>
        <v>8.5866186178916237</v>
      </c>
      <c r="C19" s="3">
        <f>MIN(1,(MIN(1,'Индонезия 2035'!C19+'Индонезия 2035'!F19+(0.08*LN(1+0.5*'Ход 2035'!C25)*MAX(0,1-('Индонезия 2035'!C19+'Индонезия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8.5866186178916237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2035'!V19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2035'!B20+'Индонезия 2035'!D20+('Индонезия 2035'!C20+'Индонезия 2035'!F20+'Индонезия 2035'!G20)+(0.35*LN(1+0.6*'Ход 2035'!B26)*POWER(MAX(0,1-'Индонезия 2035'!I20/10),0.7))))</f>
        <v>9.0866186178916237</v>
      </c>
      <c r="C20" s="3">
        <f>MIN(1,(MIN(1,'Индонезия 2035'!C20+'Индонезия 2035'!F20+(0.08*LN(1+0.5*'Ход 2035'!C26)*MAX(0,1-('Индонезия 2035'!C20+'Индонезия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9.0866186178916237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2035'!V20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2035'!B21+'Индонезия 2035'!D21+('Индонезия 2035'!C21+'Индонезия 2035'!F21+'Индонезия 2035'!G21)+(0.35*LN(1+0.6*'Ход 2035'!B27)*POWER(MAX(0,1-'Индонезия 2035'!I21/10),0.7))))</f>
        <v>8.5940628244860289</v>
      </c>
      <c r="C21" s="3">
        <f>MIN(1,(MIN(1,'Индонезия 2035'!C21+'Индонезия 2035'!F21+(0.08*LN(1+0.5*'Ход 2035'!C27)*MAX(0,1-('Индонезия 2035'!C21+'Индонезия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8.5940628244860289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2035'!V21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2035'!B22+'Индонезия 2035'!D22+('Индонезия 2035'!C22+'Индонезия 2035'!F22+'Индонезия 2035'!G22)+(0.35*LN(1+0.6*'Ход 2035'!B28)*POWER(MAX(0,1-'Индонезия 2035'!I22/10),0.7))))</f>
        <v>8.5788890791791239</v>
      </c>
      <c r="C22" s="3">
        <f>MIN(1,(MIN(1,'Индонезия 2035'!C22+'Индонезия 2035'!F22+(0.08*LN(1+0.5*'Ход 2035'!C28)*MAX(0,1-('Индонезия 2035'!C22+'Индонезия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8.5788890791791239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2035'!V22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2035'!B23+'Индонезия 2035'!D23+('Индонезия 2035'!C23+'Индонезия 2035'!F23+'Индонезия 2035'!G23)+(0.35*LN(1+0.6*'Ход 2035'!B29)*POWER(MAX(0,1-'Индонезия 2035'!I23/10),0.7))))</f>
        <v>8.5866186178916237</v>
      </c>
      <c r="C23" s="3">
        <f>MIN(1,(MIN(1,'Индонезия 2035'!C23+'Индонезия 2035'!F23+(0.08*LN(1+0.5*'Ход 2035'!C29)*MAX(0,1-('Индонезия 2035'!C23+'Индонезия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8.5866186178916237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2035'!V23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2035'!V24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2035'!B25+'Индонезия 2035'!D25+('Индонезия 2035'!C25+'Индонезия 2035'!F25+'Индонезия 2035'!G25)+(0.35*LN(1+0.6*'Ход 2035'!B31)*POWER(MAX(0,1-'Индонезия 2035'!I25/10),0.7))))</f>
        <v>9.5435946441648962</v>
      </c>
      <c r="C25" s="3">
        <f>MIN(1,(MIN(1,'Индонезия 2035'!C25+'Индонезия 2035'!F25+(0.08*LN(1+0.5*'Ход 2035'!C31)*MAX(0,1-('Индонезия 2035'!C25+'Индонезия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9.5435946441648962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2035'!V25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2035'!B26+'Индонезия 2035'!D26+('Индонезия 2035'!C26+'Индонезия 2035'!F26+'Индонезия 2035'!G26)+(0.35*LN(1+0.6*'Ход 2035'!B32)*POWER(MAX(0,1-'Индонезия 2035'!I26/10),0.7))))</f>
        <v>9.0788890791791239</v>
      </c>
      <c r="C26" s="3">
        <f>MIN(1,(MIN(1,'Индонезия 2035'!C26+'Индонезия 2035'!F26+(0.08*LN(1+0.5*'Ход 2035'!C32)*MAX(0,1-('Индонезия 2035'!C26+'Индонезия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9.0788890791791239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2035'!B27+'Индонезия 2035'!D27+('Индонезия 2035'!C27+'Индонезия 2035'!F27+'Индонезия 2035'!G27)+(0.35*LN(1+0.6*'Ход 2035'!B33)*POWER(MAX(0,1-'Индонезия 2035'!I27/10),0.7))))</f>
        <v>9.0708197083824729</v>
      </c>
      <c r="C27" s="3">
        <f>MIN(1,(MIN(1,'Индонезия 2035'!C27+'Индонезия 2035'!F27+(0.08*LN(1+0.5*'Ход 2035'!C33)*MAX(0,1-('Индонезия 2035'!C27+'Индонезия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9.0708197083824729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2035'!B28+'Индонезия 2035'!D28+('Индонезия 2035'!C28+'Индонезия 2035'!F28+'Индонезия 2035'!G28)+(0.35*LN(1+0.6*'Ход 2035'!B34)*POWER(MAX(0,1-'Индонезия 2035'!I28/10),0.7))))</f>
        <v>9.0866186178916237</v>
      </c>
      <c r="C28" s="3">
        <f>MIN(1,(MIN(1,'Индонезия 2035'!C28+'Индонезия 2035'!F28+(0.08*LN(1+0.5*'Ход 2035'!C34)*MAX(0,1-('Индонезия 2035'!C28+'Индонезия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9.0866186178916237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2035'!B29+'Индонезия 2035'!D29+('Индонезия 2035'!C29+'Индонезия 2035'!F29+'Индонезия 2035'!G29)+(0.35*LN(1+0.6*'Ход 2035'!B35)*POWER(MAX(0,1-'Индонезия 2035'!I29/10),0.7))))</f>
        <v>8.5866186178916237</v>
      </c>
      <c r="C29" s="3">
        <f>MIN(1,(MIN(1,'Индонезия 2035'!C29+'Индонезия 2035'!F29+(0.08*LN(1+0.5*'Ход 2035'!C35)*MAX(0,1-('Индонезия 2035'!C29+'Индонезия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8.5866186178916237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2035'!B30+'Индонезия 2035'!D30+('Индонезия 2035'!C30+'Индонезия 2035'!F30+'Индонезия 2035'!G30)+(0.35*LN(1+0.6*'Ход 2035'!B36)*POWER(MAX(0,1-'Индонезия 2035'!I30/10),0.7))))</f>
        <v>8.0866186178916237</v>
      </c>
      <c r="C30" s="3">
        <f>MIN(1,(MIN(1,'Индонезия 2035'!C30+'Индонезия 2035'!F30+(0.08*LN(1+0.5*'Ход 2035'!C36)*MAX(0,1-('Индонезия 2035'!C30+'Индонезия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8.0866186178916237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2035'!B31+'Индонезия 2035'!D31+('Индонезия 2035'!C31+'Индонезия 2035'!F31+'Индонезия 2035'!G31)+(0.35*LN(1+0.6*'Ход 2035'!B37)*POWER(MAX(0,1-'Индонезия 2035'!I31/10),0.7))))</f>
        <v>8.0866186178916237</v>
      </c>
      <c r="C31" s="3">
        <f>MIN(1,(MIN(1,'Индонезия 2035'!C31+'Индонезия 2035'!F31+(0.08*LN(1+0.5*'Ход 2035'!C37)*MAX(0,1-('Индонезия 2035'!C31+'Индонезия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8.0866186178916237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2035'!B32+'Индонезия 2035'!D32+('Индонезия 2035'!C32+'Индонезия 2035'!F32+'Индонезия 2035'!G32)+(0.35*LN(1+0.6*'Ход 2035'!B38)*POWER(MAX(0,1-'Индонезия 2035'!I32/10),0.7))))</f>
        <v>9.0788890791791239</v>
      </c>
      <c r="C32" s="3">
        <f>MIN(1,(MIN(1,'Индонезия 2035'!C32+'Индонезия 2035'!F32+(0.08*LN(1+0.5*'Ход 2035'!C38)*MAX(0,1-('Индонезия 2035'!C32+'Индонезия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9.0788890791791239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2035'!B34+'Индонезия 2035'!D34+('Индонезия 2035'!C34+'Индонезия 2035'!F34+'Индонезия 2035'!G34)+(0.35*LN(1+0.6*'Ход 2035'!B40)*POWER(MAX(0,1-'Индонезия 2035'!I34/10),0.7))))</f>
        <v>10</v>
      </c>
      <c r="C34" s="3">
        <f>MIN(1,(MIN(1,'Индонезия 2035'!C34+'Индонезия 2035'!F34+(0.08*LN(1+0.5*'Ход 2035'!C40)*MAX(0,1-('Индонезия 2035'!C34+'Индонезия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2035'!B35+'Индонезия 2035'!D35+('Индонезия 2035'!C35+'Индонезия 2035'!F35+'Индонезия 2035'!G35)+(0.35*LN(1+0.6*'Ход 2035'!B41)*POWER(MAX(0,1-'Индонезия 2035'!I35/10),0.7))))</f>
        <v>9.0623343251271837</v>
      </c>
      <c r="C35" s="3">
        <f>MIN(1,(MIN(1,'Индонезия 2035'!C35+'Индонезия 2035'!F35+(0.08*LN(1+0.5*'Ход 2035'!C41)*MAX(0,1-('Индонезия 2035'!C35+'Индонезия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9.0623343251271837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2035'!B36+'Индонезия 2035'!D36+('Индонезия 2035'!C36+'Индонезия 2035'!F36+'Индонезия 2035'!G36)+(0.35*LN(1+0.6*'Ход 2035'!B42)*POWER(MAX(0,1-'Индонезия 2035'!I36/10),0.7))))</f>
        <v>10</v>
      </c>
      <c r="C36" s="3">
        <f>MIN(1,(MIN(1,'Индонезия 2035'!C36+'Индонезия 2035'!F36+(0.08*LN(1+0.5*'Ход 2035'!C42)*MAX(0,1-('Индонезия 2035'!C36+'Индонезия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2035'!B37+'Индонезия 2035'!D37+('Индонезия 2035'!C37+'Индонезия 2035'!F37+'Индонезия 2035'!G37)+(0.35*LN(1+0.6*'Ход 2035'!B43)*POWER(MAX(0,1-'Индонезия 2035'!I37/10),0.7))))</f>
        <v>9.5788890791791275</v>
      </c>
      <c r="C37" s="3">
        <f>MIN(1,(MIN(1,'Индонезия 2035'!C37+'Индонезия 2035'!F37+(0.08*LN(1+0.5*'Ход 2035'!C43)*MAX(0,1-('Индонезия 2035'!C37+'Индонезия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9.5788890791791275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2035'!B38+'Индонезия 2035'!D38+('Индонезия 2035'!C38+'Индонезия 2035'!F38+'Индонезия 2035'!G38)+(0.35*LN(1+0.6*'Ход 2035'!B44)*POWER(MAX(0,1-'Индонезия 2035'!I38/10),0.7))))</f>
        <v>9.0788890791791239</v>
      </c>
      <c r="C38" s="3">
        <f>MIN(1,(MIN(1,'Индонезия 2035'!C38+'Индонезия 2035'!F38+(0.08*LN(1+0.5*'Ход 2035'!C44)*MAX(0,1-('Индонезия 2035'!C38+'Индонезия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9.0788890791791239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2035'!B39+'Индонезия 2035'!D39+('Индонезия 2035'!C39+'Индонезия 2035'!F39+'Индонезия 2035'!G39)+(0.35*LN(1+0.6*'Ход 2035'!B45)*POWER(MAX(0,1-'Индонезия 2035'!I39/10),0.7))))</f>
        <v>10</v>
      </c>
      <c r="C39" s="3">
        <f>MIN(1,(MIN(1,'Индонезия 2035'!C39+'Индонезия 2035'!F39+(0.08*LN(1+0.5*'Ход 2035'!C45)*MAX(0,1-('Индонезия 2035'!C39+'Индонезия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2035'!B40+'Индонезия 2035'!D40+('Индонезия 2035'!C40+'Индонезия 2035'!F40+'Индонезия 2035'!G40)+(0.35*LN(1+0.6*'Ход 2035'!B46)*POWER(MAX(0,1-'Индонезия 2035'!I40/10),0.7))))</f>
        <v>9.5708197083824764</v>
      </c>
      <c r="C40" s="3">
        <f>MIN(1,(MIN(1,'Индонезия 2035'!C40+'Индонезия 2035'!F40+(0.08*LN(1+0.5*'Ход 2035'!C46)*MAX(0,1-('Индонезия 2035'!C40+'Индонезия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9.5708197083824764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2035'!B41+'Индонезия 2035'!D41+('Индонезия 2035'!C41+'Индонезия 2035'!F41+'Индонезия 2035'!G41)+(0.35*LN(1+0.6*'Ход 2035'!B47)*POWER(MAX(0,1-'Индонезия 2035'!I41/10),0.7))))</f>
        <v>9.5708197083824764</v>
      </c>
      <c r="C41" s="3">
        <f>MIN(1,(MIN(1,'Индонезия 2035'!C41+'Индонезия 2035'!F41+(0.08*LN(1+0.5*'Ход 2035'!C47)*MAX(0,1-('Индонезия 2035'!C41+'Индонезия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9.5708197083824764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2035'!B42+'Индонезия 2035'!D42+('Индонезия 2035'!C42+'Индонезия 2035'!F42+'Индонезия 2035'!G42)+(0.35*LN(1+0.6*'Ход 2035'!B48)*POWER(MAX(0,1-'Индонезия 2035'!I42/10),0.7))))</f>
        <v>9.5435946441648962</v>
      </c>
      <c r="C42" s="3">
        <f>MIN(1,(MIN(1,'Индонезия 2035'!C42+'Индонезия 2035'!F42+(0.08*LN(1+0.5*'Ход 2035'!C48)*MAX(0,1-('Индонезия 2035'!C42+'Индонезия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9.5435946441648962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2035'!B44+'Индонезия 2035'!D44+('Индонезия 2035'!C44+'Индонезия 2035'!F44+'Индонезия 2035'!G44)+(0.35*LN(1+0.6*'Ход 2035'!B50)*POWER(MAX(0,1-'Индонезия 2035'!I44/10),0.7))))</f>
        <v>8.5788890791791239</v>
      </c>
      <c r="C44" s="3">
        <f>MIN(1,(MIN(1,'Индонезия 2035'!C44+'Индонезия 2035'!F44+(0.08*LN(1+0.5*'Ход 2035'!C50)*MAX(0,1-('Индонезия 2035'!C44+'Индонезия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8.5788890791791239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2035'!B45+'Индонезия 2035'!D45+('Индонезия 2035'!C45+'Индонезия 2035'!F45+'Индонезия 2035'!G45)+(0.35*LN(1+0.6*'Ход 2035'!B51)*POWER(MAX(0,1-'Индонезия 2035'!I45/10),0.7))))</f>
        <v>8.5788890791791239</v>
      </c>
      <c r="C45" s="3">
        <f>MIN(1,(MIN(1,'Индонезия 2035'!C45+'Индонезия 2035'!F45+(0.08*LN(1+0.5*'Ход 2035'!C51)*MAX(0,1-('Индонезия 2035'!C45+'Индонезия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8.5788890791791239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2035'!B46+'Индонезия 2035'!D46+('Индонезия 2035'!C46+'Индонезия 2035'!F46+'Индонезия 2035'!G46)+(0.35*LN(1+0.6*'Ход 2035'!B52)*POWER(MAX(0,1-'Индонезия 2035'!I46/10),0.7))))</f>
        <v>8.5788890791791239</v>
      </c>
      <c r="C46" s="3">
        <f>MIN(1,(MIN(1,'Индонезия 2035'!C46+'Индонезия 2035'!F46+(0.08*LN(1+0.5*'Ход 2035'!C52)*MAX(0,1-('Индонезия 2035'!C46+'Индонезия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8.5788890791791239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2035'!B47+'Индонезия 2035'!D47+('Индонезия 2035'!C47+'Индонезия 2035'!F47+'Индонезия 2035'!G47)+(0.35*LN(1+0.6*'Ход 2035'!B53)*POWER(MAX(0,1-'Индонезия 2035'!I47/10),0.7))))</f>
        <v>8.5708197083824782</v>
      </c>
      <c r="C47" s="3">
        <f>MIN(1,(MIN(1,'Индонезия 2035'!C47+'Индонезия 2035'!F47+(0.08*LN(1+0.5*'Ход 2035'!C53)*MAX(0,1-('Индонезия 2035'!C47+'Индонезия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8.5708197083824782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2035'!B48+'Индонезия 2035'!D48+('Индонезия 2035'!C48+'Индонезия 2035'!F48+'Индонезия 2035'!G48)+(0.35*LN(1+0.6*'Ход 2035'!B54)*POWER(MAX(0,1-'Индонезия 2035'!I48/10),0.7))))</f>
        <v>#REF!</v>
      </c>
      <c r="C48" s="3">
        <f>MIN(1,(MIN(1,'Индонезия 2035'!C48+'Индонезия 2035'!F48+(0.08*LN(1+0.5*'Ход 2035'!C54)*MAX(0,1-('Индонезия 2035'!C48+'Индонезия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2035'!B49+'Индонезия 2035'!D49+('Индонезия 2035'!C49+'Индонезия 2035'!F49+'Индонезия 2035'!G49)+(0.35*LN(1+0.6*'Ход 2035'!B55)*POWER(MAX(0,1-'Индонезия 2035'!I49/10),0.7))))</f>
        <v>10</v>
      </c>
      <c r="C49" s="3">
        <f>MIN(1,(MIN(1,'Индонезия 2035'!C49+'Индонезия 2035'!F49+(0.08*LN(1+0.5*'Ход 2035'!C55)*MAX(0,1-('Индонезия 2035'!C49+'Индонезия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2035'!B50+'Индонезия 2035'!D50+('Индонезия 2035'!C50+'Индонезия 2035'!F50+'Индонезия 2035'!G50)+(0.35*LN(1+0.6*'Ход 2035'!B56)*POWER(MAX(0,1-'Индонезия 2035'!I50/10),0.7))))</f>
        <v>10</v>
      </c>
      <c r="C50" s="3">
        <f>MIN(1,(MIN(1,'Индонезия 2035'!C50+'Индонезия 2035'!F50+(0.08*LN(1+0.5*'Ход 2035'!C56)*MAX(0,1-('Индонезия 2035'!C50+'Индонезия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2035'!B51+'Индонезия 2035'!D51+('Индонезия 2035'!C51+'Индонезия 2035'!F51+'Индонезия 2035'!G51)+(0.35*LN(1+0.6*'Ход 2035'!B57)*POWER(MAX(0,1-'Индонезия 2035'!I51/10),0.7))))</f>
        <v>9.0788890791791239</v>
      </c>
      <c r="C51" s="3">
        <f>MIN(1,(MIN(1,'Индонезия 2035'!C51+'Индонезия 2035'!F51+(0.08*LN(1+0.5*'Ход 2035'!C57)*MAX(0,1-('Индонезия 2035'!C51+'Индонезия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9.0788890791791239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2035'!B53+'Индонезия 2035'!D53+('Индонезия 2035'!C53+'Индонезия 2035'!F53+'Индонезия 2035'!G53)+(0.35*LN(1+0.6*'Ход 2035'!B59)*POWER(MAX(0,1-'Индонезия 2035'!I53/10),0.7))))</f>
        <v>8.5866186178916237</v>
      </c>
      <c r="C53" s="3">
        <f>MIN(1,(MIN(1,'Индонезия 2035'!C53+'Индонезия 2035'!F53+(0.08*LN(1+0.5*'Ход 2035'!C59)*MAX(0,1-('Индонезия 2035'!C53+'Индонезия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8.5866186178916237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2035'!B54+'Индонезия 2035'!D54+('Индонезия 2035'!C54+'Индонезия 2035'!F54+'Индонезия 2035'!G54)+(0.35*LN(1+0.6*'Ход 2035'!B60)*POWER(MAX(0,1-'Индонезия 2035'!I54/10),0.7))))</f>
        <v>8.5866186178916237</v>
      </c>
      <c r="C54" s="3">
        <f>MIN(1,(MIN(1,'Индонезия 2035'!C54+'Индонезия 2035'!F54+(0.08*LN(1+0.5*'Ход 2035'!C60)*MAX(0,1-('Индонезия 2035'!C54+'Индонезия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8.5866186178916237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2035'!B55+'Индонезия 2035'!D55+('Индонезия 2035'!C55+'Индонезия 2035'!F55+'Индонезия 2035'!G55)+(0.35*LN(1+0.6*'Ход 2035'!B61)*POWER(MAX(0,1-'Индонезия 2035'!I55/10),0.7))))</f>
        <v>7.5940628244860315</v>
      </c>
      <c r="C55" s="3">
        <f>MIN(1,(MIN(1,'Индонезия 2035'!C55+'Индонезия 2035'!F55+(0.08*LN(1+0.5*'Ход 2035'!C61)*MAX(0,1-('Индонезия 2035'!C55+'Индонезия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7.5940628244860315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2036'!U6</f>
        <v>97.567611585970425</v>
      </c>
      <c r="C6" s="3"/>
      <c r="D6" s="3"/>
      <c r="E6" s="3" t="s">
        <v>321</v>
      </c>
      <c r="F6" s="3" t="e">
        <f>'Индонезия 2036'!K6</f>
        <v>#REF!</v>
      </c>
      <c r="G6" s="3"/>
      <c r="H6" s="3"/>
      <c r="I6" s="3" t="s">
        <v>321</v>
      </c>
      <c r="J6" s="3">
        <f>'Индонезия 2036'!N6</f>
        <v>99.320150427344601</v>
      </c>
      <c r="K6" s="3"/>
      <c r="L6" s="3"/>
      <c r="M6" s="3" t="s">
        <v>321</v>
      </c>
      <c r="N6" s="3">
        <f>'Индонезия 2036'!Q6</f>
        <v>86.549996634295923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97.567611585970425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99.320150427344601</v>
      </c>
      <c r="K8" s="3" t="str">
        <f>IF(J8&lt;0,"ПРЕВЫШЕНИЕ","OK")</f>
        <v>OK</v>
      </c>
      <c r="L8" s="3"/>
      <c r="M8" s="3" t="s">
        <v>323</v>
      </c>
      <c r="N8" s="3">
        <f>N6-N7</f>
        <v>86.549996634295923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2036'!V11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2036'!V12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2036'!V13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2036'!V14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2036'!V15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2036'!V16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2036'!V17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2036'!V18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2036'!V19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2036'!V20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2036'!V21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2036'!V22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'Индонезия 2036'!V23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2036'!V24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2036'!V25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99.460968099542328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87.437568563137873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97.859169335515205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2036'!B8+'Индонезия 2036'!D8+('Индонезия 2036'!C8+'Индонезия 2036'!F8+'Индонезия 2036'!G8)+(0.35*LN(1+0.6*('Ход 2036'!B14*(1+'Эффекты технологий'!T$12)))*POWER(MAX(0,1-'Индонезия 2036'!I8/10),0.7))))</f>
        <v>9.6468107313668803</v>
      </c>
      <c r="C8" s="3">
        <f>MIN(1,(MIN(1,'Индонезия 2036'!C8+'Индонезия 2036'!F8+(0.08*LN(1+0.5*('Ход 2036'!C14*(1+'Эффекты технологий'!T$12)))*MAX(0,1-('Индонезия 2036'!C8+'Индонезия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9.6468107313668803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2036'!B9+'Индонезия 2036'!D9+('Индонезия 2036'!C9+'Индонезия 2036'!F9+'Индонезия 2036'!G9)+(0.35*LN(1+0.6*('Ход 2036'!B15*(1+'Эффекты технологий'!T$12)))*POWER(MAX(0,1-'Индонезия 2036'!I9/10),0.7))))</f>
        <v>7.4554128889638962</v>
      </c>
      <c r="C9" s="3">
        <f>MIN(1,(MIN(1,'Индонезия 2036'!C9+'Индонезия 2036'!F9+(0.08*LN(1+0.5*('Ход 2036'!C15*(1+'Эффекты технологий'!T$12)))*MAX(0,1-('Индонезия 2036'!C9+'Индонезия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7.4554128889638962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2036'!B10+'Индонезия 2036'!D10+('Индонезия 2036'!C10+'Индонезия 2036'!F10+'Индонезия 2036'!G10)+(0.35*LN(1+0.6*('Ход 2036'!B16*(1+'Эффекты технологий'!T$12)))*POWER(MAX(0,1-'Индонезия 2036'!I10/10),0.7))))</f>
        <v>9.2731249250628629</v>
      </c>
      <c r="C10" s="3">
        <f>MIN(1,(MIN(1,'Индонезия 2036'!C10+'Индонезия 2036'!F10+(0.08*LN(1+0.5*('Ход 2036'!C16*(1+'Эффекты технологий'!T$12)))*MAX(0,1-('Индонезия 2036'!C10+'Индонезия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9.2731249250628629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2036'!B11+'Индонезия 2036'!D11+('Индонезия 2036'!C11+'Индонезия 2036'!F11+'Индонезия 2036'!G11)+(0.35*LN(1+0.6*('Ход 2036'!B17*(1+'Эффекты технологий'!T$12)))*POWER(MAX(0,1-'Индонезия 2036'!I11/10),0.7))))</f>
        <v>8.7231249250628746</v>
      </c>
      <c r="C11" s="3">
        <f>MIN(1,(MIN(1,'Индонезия 2036'!C11+'Индонезия 2036'!F11+(0.08*LN(1+0.5*('Ход 2036'!C17*(1+'Эффекты технологий'!T$12)))*MAX(0,1-('Индонезия 2036'!C11+'Индонезия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8.7231249250628746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2036'!L11+'Индонезия 2036'!N11+('Индонезия 2036'!M11+'Индонезия 2036'!P11+'Индонезия 2036'!Q11)))</f>
        <v>10</v>
      </c>
      <c r="M11" s="3">
        <f>MIN(1,(MIN(1,'Индонезия 2036'!M11+'Индонезия 2036'!P11+(0.1*LN(1+0.5*('Ход 2036'!H13*(1+'Эффекты технологий'!T$10)))*POWER(MAX(0,1-'Индонезия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2036'!V11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2036'!B12+'Индонезия 2036'!D12+('Индонезия 2036'!C12+'Индонезия 2036'!F12+'Индонезия 2036'!G12)+(0.35*LN(1+0.6*('Ход 2036'!B18*(1+'Эффекты технологий'!T$12)))*POWER(MAX(0,1-'Индонезия 2036'!I12/10),0.7))))</f>
        <v>9.6858910416054016</v>
      </c>
      <c r="C12" s="3">
        <f>MIN(1,(MIN(1,'Индонезия 2036'!C12+'Индонезия 2036'!F12+(0.08*LN(1+0.5*('Ход 2036'!C18*(1+'Эффекты технологий'!T$12)))*MAX(0,1-('Индонезия 2036'!C12+'Индонезия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9.6858910416054016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2036'!L12+'Индонезия 2036'!N12+('Индонезия 2036'!M12+'Индонезия 2036'!P12+'Индонезия 2036'!Q12)))</f>
        <v>10</v>
      </c>
      <c r="M12" s="3">
        <f>MIN(1,(MIN(1,'Индонезия 2036'!M12+'Индонезия 2036'!P12+(0.1*LN(1+0.5*('Ход 2036'!H14*(1+'Эффекты технологий'!T$10)))*POWER(MAX(0,1-'Индонезия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2036'!V12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2036'!B13+'Индонезия 2036'!D13+('Индонезия 2036'!C13+'Индонезия 2036'!F13+'Индонезия 2036'!G13)+(0.35*LN(1+0.6*('Ход 2036'!B19*(1+'Эффекты технологий'!T$12)))*POWER(MAX(0,1-'Индонезия 2036'!I13/10),0.7))))</f>
        <v>5.6082533175883977</v>
      </c>
      <c r="C13" s="3">
        <f>MIN(1,(MIN(1,'Индонезия 2036'!C13+'Индонезия 2036'!F13+(0.08*LN(1+0.5*('Ход 2036'!C19*(1+'Эффекты технологий'!T$12)))*MAX(0,1-('Индонезия 2036'!C13+'Индонезия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5.6082533175883977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2036'!L13+'Индонезия 2036'!N13+('Индонезия 2036'!M13+'Индонезия 2036'!P13+'Индонезия 2036'!Q13)))</f>
        <v>10</v>
      </c>
      <c r="M13" s="3">
        <f>MIN(1,(MIN(1,'Индонезия 2036'!M13+'Индонезия 2036'!P13+(0.1*LN(1+0.5*('Ход 2036'!H15*(1+'Эффекты технологий'!T$10)))*POWER(MAX(0,1-'Индонезия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2036'!V13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2036'!B14+'Индонезия 2036'!D14+('Индонезия 2036'!C14+'Индонезия 2036'!F14+'Индонезия 2036'!G14)+(0.35*LN(1+0.6*('Ход 2036'!B20*(1+'Эффекты технологий'!T$12)))*POWER(MAX(0,1-'Индонезия 2036'!I14/10),0.7))))</f>
        <v>7.6393355625513486</v>
      </c>
      <c r="C14" s="3">
        <f>MIN(1,(MIN(1,'Индонезия 2036'!C14+'Индонезия 2036'!F14+(0.08*LN(1+0.5*('Ход 2036'!C20*(1+'Эффекты технологий'!T$12)))*MAX(0,1-('Индонезия 2036'!C14+'Индонезия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7.8393355625513488</v>
      </c>
      <c r="J14" s="10">
        <f>SUMIFS('Эффекты технологий'!$U$25:$U$240,'Эффекты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2036'!L14+'Индонезия 2036'!N14+('Индонезия 2036'!M14+'Индонезия 2036'!P14+'Индонезия 2036'!Q14)))</f>
        <v>10</v>
      </c>
      <c r="M14" s="3">
        <f>MIN(1,(MIN(1,'Индонезия 2036'!M14+'Индонезия 2036'!P14+(0.1*LN(1+0.5*('Ход 2036'!H16*(1+'Эффекты технологий'!T$10)))*POWER(MAX(0,1-'Индонезия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2036'!V14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2036'!B15+'Индонезия 2036'!D15+('Индонезия 2036'!C15+'Индонезия 2036'!F15+'Индонезия 2036'!G15)+(0.35*LN(1+0.6*('Ход 2036'!B21*(1+'Эффекты технологий'!T$12)))*POWER(MAX(0,1-'Индонезия 2036'!I15/10),0.7))))</f>
        <v>10</v>
      </c>
      <c r="C15" s="3">
        <f>MIN(1,(MIN(1,'Индонезия 2036'!C15+'Индонезия 2036'!F15+(0.08*LN(1+0.5*('Ход 2036'!C21*(1+'Эффекты технологий'!T$12)))*MAX(0,1-('Индонезия 2036'!C15+'Индонезия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2036'!L15+'Индонезия 2036'!N15+('Индонезия 2036'!M15+'Индонезия 2036'!P15+'Индонезия 2036'!Q15)))</f>
        <v>9.195909787818481</v>
      </c>
      <c r="M15" s="3">
        <f>MIN(1,(MIN(1,'Индонезия 2036'!M15+'Индонезия 2036'!P15+(0.1*LN(1+0.5*('Ход 2036'!H17*(1+'Эффекты технологий'!T$10)))*POWER(MAX(0,1-'Индонезия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9.195909787818481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2036'!V15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2036'!B16+'Индонезия 2036'!D16+('Индонезия 2036'!C16+'Индонезия 2036'!F16+'Индонезия 2036'!G16)+(0.35*LN(1+0.6*('Ход 2036'!B22*(1+'Эффекты технологий'!T$12)))*POWER(MAX(0,1-'Индонезия 2036'!I16/10),0.7))))</f>
        <v>9.9984183436492291</v>
      </c>
      <c r="C16" s="3">
        <f>MIN(1,(MIN(1,'Индонезия 2036'!C16+'Индонезия 2036'!F16+(0.08*LN(1+0.5*('Ход 2036'!C22*(1+'Эффекты технологий'!T$12)))*MAX(0,1-('Индонезия 2036'!C16+'Индонезия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9.9984183436492291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2036'!L16+'Индонезия 2036'!N16+('Индонезия 2036'!M16+'Индонезия 2036'!P16+'Индонезия 2036'!Q16)))</f>
        <v>10</v>
      </c>
      <c r="M16" s="3">
        <f>MIN(1,(MIN(1,'Индонезия 2036'!M16+'Индонезия 2036'!P16+(0.1*LN(1+0.5*('Ход 2036'!H18*(1+'Эффекты технологий'!T$10)))*POWER(MAX(0,1-'Индонезия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2036'!V16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2036'!B17+'Индонезия 2036'!D17+('Индонезия 2036'!C17+'Индонезия 2036'!F17+'Индонезия 2036'!G17)+(0.35*LN(1+0.6*('Ход 2036'!B23*(1+'Эффекты технологий'!T$12)))*POWER(MAX(0,1-'Индонезия 2036'!I17/10),0.7))))</f>
        <v>9.2708197083824722</v>
      </c>
      <c r="C17" s="3">
        <f>MIN(1,(MIN(1,'Индонезия 2036'!C17+'Индонезия 2036'!F17+(0.08*LN(1+0.5*('Ход 2036'!C23*(1+'Эффекты технологий'!T$12)))*MAX(0,1-('Индонезия 2036'!C17+'Индонезия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9.2708197083824722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2036'!L17+'Индонезия 2036'!N17+('Индонезия 2036'!M17+'Индонезия 2036'!P17+'Индонезия 2036'!Q17)))</f>
        <v>10</v>
      </c>
      <c r="M17" s="3">
        <f>MIN(1,(MIN(1,'Индонезия 2036'!M17+'Индонезия 2036'!P17+(0.1*LN(1+0.5*('Ход 2036'!H19*(1+'Эффекты технологий'!T$10)))*POWER(MAX(0,1-'Индонезия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2036'!V17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2036'!L18+'Индонезия 2036'!N18+('Индонезия 2036'!M18+'Индонезия 2036'!P18+'Индонезия 2036'!Q18)))</f>
        <v>10</v>
      </c>
      <c r="M18" s="3">
        <f>MIN(1,(MIN(1,'Индонезия 2036'!M18+'Индонезия 2036'!P18+(0.1*LN(1+0.5*('Ход 2036'!H20*(1+'Эффекты технологий'!T$10)))*POWER(MAX(0,1-'Индонезия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2036'!V18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2036'!B19+'Индонезия 2036'!D19+('Индонезия 2036'!C19+'Индонезия 2036'!F19+'Индонезия 2036'!G19)+(0.35*LN(1+0.6*'Ход 2036'!B25)*POWER(MAX(0,1-'Индонезия 2036'!I19/10),0.7))))</f>
        <v>8.8366186178916237</v>
      </c>
      <c r="C19" s="3">
        <f>MIN(1,(MIN(1,'Индонезия 2036'!C19+'Индонезия 2036'!F19+(0.08*LN(1+0.5*'Ход 2036'!C25)*MAX(0,1-('Индонезия 2036'!C19+'Индонезия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8.8366186178916237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2036'!V19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2036'!B20+'Индонезия 2036'!D20+('Индонезия 2036'!C20+'Индонезия 2036'!F20+'Индонезия 2036'!G20)+(0.35*LN(1+0.6*'Ход 2036'!B26)*POWER(MAX(0,1-'Индонезия 2036'!I20/10),0.7))))</f>
        <v>9.3866186178916244</v>
      </c>
      <c r="C20" s="3">
        <f>MIN(1,(MIN(1,'Индонезия 2036'!C20+'Индонезия 2036'!F20+(0.08*LN(1+0.5*'Ход 2036'!C26)*MAX(0,1-('Индонезия 2036'!C20+'Индонезия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9.3866186178916244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2036'!V20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2036'!B21+'Индонезия 2036'!D21+('Индонезия 2036'!C21+'Индонезия 2036'!F21+'Индонезия 2036'!G21)+(0.35*LN(1+0.6*'Ход 2036'!B27)*POWER(MAX(0,1-'Индонезия 2036'!I21/10),0.7))))</f>
        <v>8.8940628244860296</v>
      </c>
      <c r="C21" s="3">
        <f>MIN(1,(MIN(1,'Индонезия 2036'!C21+'Индонезия 2036'!F21+(0.08*LN(1+0.5*'Ход 2036'!C27)*MAX(0,1-('Индонезия 2036'!C21+'Индонезия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8.8940628244860296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2036'!V21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2036'!B22+'Индонезия 2036'!D22+('Индонезия 2036'!C22+'Индонезия 2036'!F22+'Индонезия 2036'!G22)+(0.35*LN(1+0.6*'Ход 2036'!B28)*POWER(MAX(0,1-'Индонезия 2036'!I22/10),0.7))))</f>
        <v>8.7788890791791232</v>
      </c>
      <c r="C22" s="3">
        <f>MIN(1,(MIN(1,'Индонезия 2036'!C22+'Индонезия 2036'!F22+(0.08*LN(1+0.5*'Ход 2036'!C28)*MAX(0,1-('Индонезия 2036'!C22+'Индонезия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8.7788890791791232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2036'!V22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2036'!B23+'Индонезия 2036'!D23+('Индонезия 2036'!C23+'Индонезия 2036'!F23+'Индонезия 2036'!G23)+(0.35*LN(1+0.6*'Ход 2036'!B29)*POWER(MAX(0,1-'Индонезия 2036'!I23/10),0.7))))</f>
        <v>8.8366186178916237</v>
      </c>
      <c r="C23" s="3">
        <f>MIN(1,(MIN(1,'Индонезия 2036'!C23+'Индонезия 2036'!F23+(0.08*LN(1+0.5*'Ход 2036'!C29)*MAX(0,1-('Индонезия 2036'!C23+'Индонезия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8.8366186178916237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2036'!V23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2036'!V24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2036'!B25+'Индонезия 2036'!D25+('Индонезия 2036'!C25+'Индонезия 2036'!F25+'Индонезия 2036'!G25)+(0.35*LN(1+0.6*'Ход 2036'!B31)*POWER(MAX(0,1-'Индонезия 2036'!I25/10),0.7))))</f>
        <v>9.6435946441648959</v>
      </c>
      <c r="C25" s="3">
        <f>MIN(1,(MIN(1,'Индонезия 2036'!C25+'Индонезия 2036'!F25+(0.08*LN(1+0.5*'Ход 2036'!C31)*MAX(0,1-('Индонезия 2036'!C25+'Индонезия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9.6435946441648959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2036'!V25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2036'!B26+'Индонезия 2036'!D26+('Индонезия 2036'!C26+'Индонезия 2036'!F26+'Индонезия 2036'!G26)+(0.35*LN(1+0.6*'Ход 2036'!B32)*POWER(MAX(0,1-'Индонезия 2036'!I26/10),0.7))))</f>
        <v>9.3288890791791239</v>
      </c>
      <c r="C26" s="3">
        <f>MIN(1,(MIN(1,'Индонезия 2036'!C26+'Индонезия 2036'!F26+(0.08*LN(1+0.5*'Ход 2036'!C32)*MAX(0,1-('Индонезия 2036'!C26+'Индонезия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9.3288890791791239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2036'!B27+'Индонезия 2036'!D27+('Индонезия 2036'!C27+'Индонезия 2036'!F27+'Индонезия 2036'!G27)+(0.35*LN(1+0.6*'Ход 2036'!B33)*POWER(MAX(0,1-'Индонезия 2036'!I27/10),0.7))))</f>
        <v>9.2708197083824722</v>
      </c>
      <c r="C27" s="3">
        <f>MIN(1,(MIN(1,'Индонезия 2036'!C27+'Индонезия 2036'!F27+(0.08*LN(1+0.5*'Ход 2036'!C33)*MAX(0,1-('Индонезия 2036'!C27+'Индонезия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9.2708197083824722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2036'!B28+'Индонезия 2036'!D28+('Индонезия 2036'!C28+'Индонезия 2036'!F28+'Индонезия 2036'!G28)+(0.35*LN(1+0.6*'Ход 2036'!B34)*POWER(MAX(0,1-'Индонезия 2036'!I28/10),0.7))))</f>
        <v>9.3866186178916244</v>
      </c>
      <c r="C28" s="3">
        <f>MIN(1,(MIN(1,'Индонезия 2036'!C28+'Индонезия 2036'!F28+(0.08*LN(1+0.5*'Ход 2036'!C34)*MAX(0,1-('Индонезия 2036'!C28+'Индонезия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9.3866186178916244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2036'!B29+'Индонезия 2036'!D29+('Индонезия 2036'!C29+'Индонезия 2036'!F29+'Индонезия 2036'!G29)+(0.35*LN(1+0.6*'Ход 2036'!B35)*POWER(MAX(0,1-'Индонезия 2036'!I29/10),0.7))))</f>
        <v>8.8366186178916237</v>
      </c>
      <c r="C29" s="3">
        <f>MIN(1,(MIN(1,'Индонезия 2036'!C29+'Индонезия 2036'!F29+(0.08*LN(1+0.5*'Ход 2036'!C35)*MAX(0,1-('Индонезия 2036'!C29+'Индонезия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8.8366186178916237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2036'!B30+'Индонезия 2036'!D30+('Индонезия 2036'!C30+'Индонезия 2036'!F30+'Индонезия 2036'!G30)+(0.35*LN(1+0.6*'Ход 2036'!B36)*POWER(MAX(0,1-'Индонезия 2036'!I30/10),0.7))))</f>
        <v>8.286618617891623</v>
      </c>
      <c r="C30" s="3">
        <f>MIN(1,(MIN(1,'Индонезия 2036'!C30+'Индонезия 2036'!F30+(0.08*LN(1+0.5*'Ход 2036'!C36)*MAX(0,1-('Индонезия 2036'!C30+'Индонезия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8.286618617891623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2036'!B31+'Индонезия 2036'!D31+('Индонезия 2036'!C31+'Индонезия 2036'!F31+'Индонезия 2036'!G31)+(0.35*LN(1+0.6*'Ход 2036'!B37)*POWER(MAX(0,1-'Индонезия 2036'!I31/10),0.7))))</f>
        <v>8.286618617891623</v>
      </c>
      <c r="C31" s="3">
        <f>MIN(1,(MIN(1,'Индонезия 2036'!C31+'Индонезия 2036'!F31+(0.08*LN(1+0.5*'Ход 2036'!C37)*MAX(0,1-('Индонезия 2036'!C31+'Индонезия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8.286618617891623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2036'!B32+'Индонезия 2036'!D32+('Индонезия 2036'!C32+'Индонезия 2036'!F32+'Индонезия 2036'!G32)+(0.35*LN(1+0.6*'Ход 2036'!B38)*POWER(MAX(0,1-'Индонезия 2036'!I32/10),0.7))))</f>
        <v>9.3288890791791239</v>
      </c>
      <c r="C32" s="3">
        <f>MIN(1,(MIN(1,'Индонезия 2036'!C32+'Индонезия 2036'!F32+(0.08*LN(1+0.5*'Ход 2036'!C38)*MAX(0,1-('Индонезия 2036'!C32+'Индонезия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9.3288890791791239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2036'!B34+'Индонезия 2036'!D34+('Индонезия 2036'!C34+'Индонезия 2036'!F34+'Индонезия 2036'!G34)+(0.35*LN(1+0.6*'Ход 2036'!B40)*POWER(MAX(0,1-'Индонезия 2036'!I34/10),0.7))))</f>
        <v>10</v>
      </c>
      <c r="C34" s="3">
        <f>MIN(1,(MIN(1,'Индонезия 2036'!C34+'Индонезия 2036'!F34+(0.08*LN(1+0.5*'Ход 2036'!C40)*MAX(0,1-('Индонезия 2036'!C34+'Индонезия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2036'!B35+'Индонезия 2036'!D35+('Индонезия 2036'!C35+'Индонезия 2036'!F35+'Индонезия 2036'!G35)+(0.35*LN(1+0.6*'Ход 2036'!B41)*POWER(MAX(0,1-'Индонезия 2036'!I35/10),0.7))))</f>
        <v>9.2123343251271841</v>
      </c>
      <c r="C35" s="3">
        <f>MIN(1,(MIN(1,'Индонезия 2036'!C35+'Индонезия 2036'!F35+(0.08*LN(1+0.5*'Ход 2036'!C41)*MAX(0,1-('Индонезия 2036'!C35+'Индонезия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9.2123343251271841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2036'!B36+'Индонезия 2036'!D36+('Индонезия 2036'!C36+'Индонезия 2036'!F36+'Индонезия 2036'!G36)+(0.35*LN(1+0.6*'Ход 2036'!B42)*POWER(MAX(0,1-'Индонезия 2036'!I36/10),0.7))))</f>
        <v>10</v>
      </c>
      <c r="C36" s="3">
        <f>MIN(1,(MIN(1,'Индонезия 2036'!C36+'Индонезия 2036'!F36+(0.08*LN(1+0.5*'Ход 2036'!C42)*MAX(0,1-('Индонезия 2036'!C36+'Индонезия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2036'!B37+'Индонезия 2036'!D37+('Индонезия 2036'!C37+'Индонезия 2036'!F37+'Индонезия 2036'!G37)+(0.35*LN(1+0.6*'Ход 2036'!B43)*POWER(MAX(0,1-'Индонезия 2036'!I37/10),0.7))))</f>
        <v>9.8788890791791282</v>
      </c>
      <c r="C37" s="3">
        <f>MIN(1,(MIN(1,'Индонезия 2036'!C37+'Индонезия 2036'!F37+(0.08*LN(1+0.5*'Ход 2036'!C43)*MAX(0,1-('Индонезия 2036'!C37+'Индонезия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9.8788890791791282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2036'!B38+'Индонезия 2036'!D38+('Индонезия 2036'!C38+'Индонезия 2036'!F38+'Индонезия 2036'!G38)+(0.35*LN(1+0.6*'Ход 2036'!B44)*POWER(MAX(0,1-'Индонезия 2036'!I38/10),0.7))))</f>
        <v>9.3288890791791239</v>
      </c>
      <c r="C38" s="3">
        <f>MIN(1,(MIN(1,'Индонезия 2036'!C38+'Индонезия 2036'!F38+(0.08*LN(1+0.5*'Ход 2036'!C44)*MAX(0,1-('Индонезия 2036'!C38+'Индонезия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9.3288890791791239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2036'!B39+'Индонезия 2036'!D39+('Индонезия 2036'!C39+'Индонезия 2036'!F39+'Индонезия 2036'!G39)+(0.35*LN(1+0.6*'Ход 2036'!B45)*POWER(MAX(0,1-'Индонезия 2036'!I39/10),0.7))))</f>
        <v>10</v>
      </c>
      <c r="C39" s="3">
        <f>MIN(1,(MIN(1,'Индонезия 2036'!C39+'Индонезия 2036'!F39+(0.08*LN(1+0.5*'Ход 2036'!C45)*MAX(0,1-('Индонезия 2036'!C39+'Индонезия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2036'!B40+'Индонезия 2036'!D40+('Индонезия 2036'!C40+'Индонезия 2036'!F40+'Индонезия 2036'!G40)+(0.35*LN(1+0.6*'Ход 2036'!B46)*POWER(MAX(0,1-'Индонезия 2036'!I40/10),0.7))))</f>
        <v>9.8208197083824764</v>
      </c>
      <c r="C40" s="3">
        <f>MIN(1,(MIN(1,'Индонезия 2036'!C40+'Индонезия 2036'!F40+(0.08*LN(1+0.5*'Ход 2036'!C46)*MAX(0,1-('Индонезия 2036'!C40+'Индонезия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9.8208197083824764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2036'!B41+'Индонезия 2036'!D41+('Индонезия 2036'!C41+'Индонезия 2036'!F41+'Индонезия 2036'!G41)+(0.35*LN(1+0.6*'Ход 2036'!B47)*POWER(MAX(0,1-'Индонезия 2036'!I41/10),0.7))))</f>
        <v>9.8208197083824764</v>
      </c>
      <c r="C41" s="3">
        <f>MIN(1,(MIN(1,'Индонезия 2036'!C41+'Индонезия 2036'!F41+(0.08*LN(1+0.5*'Ход 2036'!C47)*MAX(0,1-('Индонезия 2036'!C41+'Индонезия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9.8208197083824764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2036'!B42+'Индонезия 2036'!D42+('Индонезия 2036'!C42+'Индонезия 2036'!F42+'Индонезия 2036'!G42)+(0.35*LN(1+0.6*'Ход 2036'!B48)*POWER(MAX(0,1-'Индонезия 2036'!I42/10),0.7))))</f>
        <v>9.6435946441648959</v>
      </c>
      <c r="C42" s="3">
        <f>MIN(1,(MIN(1,'Индонезия 2036'!C42+'Индонезия 2036'!F42+(0.08*LN(1+0.5*'Ход 2036'!C48)*MAX(0,1-('Индонезия 2036'!C42+'Индонезия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9.6435946441648959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2036'!B44+'Индонезия 2036'!D44+('Индонезия 2036'!C44+'Индонезия 2036'!F44+'Индонезия 2036'!G44)+(0.35*LN(1+0.6*'Ход 2036'!B50)*POWER(MAX(0,1-'Индонезия 2036'!I44/10),0.7))))</f>
        <v>8.7788890791791232</v>
      </c>
      <c r="C44" s="3">
        <f>MIN(1,(MIN(1,'Индонезия 2036'!C44+'Индонезия 2036'!F44+(0.08*LN(1+0.5*'Ход 2036'!C50)*MAX(0,1-('Индонезия 2036'!C44+'Индонезия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8.7788890791791232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2036'!B45+'Индонезия 2036'!D45+('Индонезия 2036'!C45+'Индонезия 2036'!F45+'Индонезия 2036'!G45)+(0.35*LN(1+0.6*'Ход 2036'!B51)*POWER(MAX(0,1-'Индонезия 2036'!I45/10),0.7))))</f>
        <v>8.7788890791791232</v>
      </c>
      <c r="C45" s="3">
        <f>MIN(1,(MIN(1,'Индонезия 2036'!C45+'Индонезия 2036'!F45+(0.08*LN(1+0.5*'Ход 2036'!C51)*MAX(0,1-('Индонезия 2036'!C45+'Индонезия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8.7788890791791232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2036'!B46+'Индонезия 2036'!D46+('Индонезия 2036'!C46+'Индонезия 2036'!F46+'Индонезия 2036'!G46)+(0.35*LN(1+0.6*'Ход 2036'!B52)*POWER(MAX(0,1-'Индонезия 2036'!I46/10),0.7))))</f>
        <v>8.7788890791791232</v>
      </c>
      <c r="C46" s="3">
        <f>MIN(1,(MIN(1,'Индонезия 2036'!C46+'Индонезия 2036'!F46+(0.08*LN(1+0.5*'Ход 2036'!C52)*MAX(0,1-('Индонезия 2036'!C46+'Индонезия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8.7788890791791232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2036'!B47+'Индонезия 2036'!D47+('Индонезия 2036'!C47+'Индонезия 2036'!F47+'Индонезия 2036'!G47)+(0.35*LN(1+0.6*'Ход 2036'!B53)*POWER(MAX(0,1-'Индонезия 2036'!I47/10),0.7))))</f>
        <v>8.7208197083824786</v>
      </c>
      <c r="C47" s="3">
        <f>MIN(1,(MIN(1,'Индонезия 2036'!C47+'Индонезия 2036'!F47+(0.08*LN(1+0.5*'Ход 2036'!C53)*MAX(0,1-('Индонезия 2036'!C47+'Индонезия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8.7208197083824786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2036'!B48+'Индонезия 2036'!D48+('Индонезия 2036'!C48+'Индонезия 2036'!F48+'Индонезия 2036'!G48)+(0.35*LN(1+0.6*'Ход 2036'!B54)*POWER(MAX(0,1-'Индонезия 2036'!I48/10),0.7))))</f>
        <v>#REF!</v>
      </c>
      <c r="C48" s="3">
        <f>MIN(1,(MIN(1,'Индонезия 2036'!C48+'Индонезия 2036'!F48+(0.08*LN(1+0.5*'Ход 2036'!C54)*MAX(0,1-('Индонезия 2036'!C48+'Индонезия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2036'!B49+'Индонезия 2036'!D49+('Индонезия 2036'!C49+'Индонезия 2036'!F49+'Индонезия 2036'!G49)+(0.35*LN(1+0.6*'Ход 2036'!B55)*POWER(MAX(0,1-'Индонезия 2036'!I49/10),0.7))))</f>
        <v>10</v>
      </c>
      <c r="C49" s="3">
        <f>MIN(1,(MIN(1,'Индонезия 2036'!C49+'Индонезия 2036'!F49+(0.08*LN(1+0.5*'Ход 2036'!C55)*MAX(0,1-('Индонезия 2036'!C49+'Индонезия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2036'!B50+'Индонезия 2036'!D50+('Индонезия 2036'!C50+'Индонезия 2036'!F50+'Индонезия 2036'!G50)+(0.35*LN(1+0.6*'Ход 2036'!B56)*POWER(MAX(0,1-'Индонезия 2036'!I50/10),0.7))))</f>
        <v>10</v>
      </c>
      <c r="C50" s="3">
        <f>MIN(1,(MIN(1,'Индонезия 2036'!C50+'Индонезия 2036'!F50+(0.08*LN(1+0.5*'Ход 2036'!C56)*MAX(0,1-('Индонезия 2036'!C50+'Индонезия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2036'!B51+'Индонезия 2036'!D51+('Индонезия 2036'!C51+'Индонезия 2036'!F51+'Индонезия 2036'!G51)+(0.35*LN(1+0.6*'Ход 2036'!B57)*POWER(MAX(0,1-'Индонезия 2036'!I51/10),0.7))))</f>
        <v>9.3288890791791239</v>
      </c>
      <c r="C51" s="3">
        <f>MIN(1,(MIN(1,'Индонезия 2036'!C51+'Индонезия 2036'!F51+(0.08*LN(1+0.5*'Ход 2036'!C57)*MAX(0,1-('Индонезия 2036'!C51+'Индонезия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9.3288890791791239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2036'!B53+'Индонезия 2036'!D53+('Индонезия 2036'!C53+'Индонезия 2036'!F53+'Индонезия 2036'!G53)+(0.35*LN(1+0.6*'Ход 2036'!B59)*POWER(MAX(0,1-'Индонезия 2036'!I53/10),0.7))))</f>
        <v>8.8366186178916237</v>
      </c>
      <c r="C53" s="3">
        <f>MIN(1,(MIN(1,'Индонезия 2036'!C53+'Индонезия 2036'!F53+(0.08*LN(1+0.5*'Ход 2036'!C59)*MAX(0,1-('Индонезия 2036'!C53+'Индонезия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8.8366186178916237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2036'!B54+'Индонезия 2036'!D54+('Индонезия 2036'!C54+'Индонезия 2036'!F54+'Индонезия 2036'!G54)+(0.35*LN(1+0.6*'Ход 2036'!B60)*POWER(MAX(0,1-'Индонезия 2036'!I54/10),0.7))))</f>
        <v>8.8366186178916237</v>
      </c>
      <c r="C54" s="3">
        <f>MIN(1,(MIN(1,'Индонезия 2036'!C54+'Индонезия 2036'!F54+(0.08*LN(1+0.5*'Ход 2036'!C60)*MAX(0,1-('Индонезия 2036'!C54+'Индонезия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8.8366186178916237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2036'!B55+'Индонезия 2036'!D55+('Индонезия 2036'!C55+'Индонезия 2036'!F55+'Индонезия 2036'!G55)+(0.35*LN(1+0.6*'Ход 2036'!B61)*POWER(MAX(0,1-'Индонезия 2036'!I55/10),0.7))))</f>
        <v>7.7940628244860317</v>
      </c>
      <c r="C55" s="3">
        <f>MIN(1,(MIN(1,'Индонезия 2036'!C55+'Индонезия 2036'!F55+(0.08*LN(1+0.5*'Ход 2036'!C61)*MAX(0,1-('Индонезия 2036'!C55+'Индонезия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7.7940628244860317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2037'!U6</f>
        <v>97.859169335515205</v>
      </c>
      <c r="C6" s="3"/>
      <c r="D6" s="3"/>
      <c r="E6" s="3" t="s">
        <v>321</v>
      </c>
      <c r="F6" s="3" t="e">
        <f>'Индонезия 2037'!K6</f>
        <v>#REF!</v>
      </c>
      <c r="G6" s="3"/>
      <c r="H6" s="3"/>
      <c r="I6" s="3" t="s">
        <v>321</v>
      </c>
      <c r="J6" s="3">
        <f>'Индонезия 2037'!N6</f>
        <v>99.460968099542328</v>
      </c>
      <c r="K6" s="3"/>
      <c r="L6" s="3"/>
      <c r="M6" s="3" t="s">
        <v>321</v>
      </c>
      <c r="N6" s="3">
        <f>'Индонезия 2037'!Q6</f>
        <v>87.437568563137873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97.859169335515205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99.460968099542328</v>
      </c>
      <c r="K8" s="3" t="str">
        <f>IF(J8&lt;0,"ПРЕВЫШЕНИЕ","OK")</f>
        <v>OK</v>
      </c>
      <c r="L8" s="3"/>
      <c r="M8" s="3" t="s">
        <v>323</v>
      </c>
      <c r="N8" s="3">
        <f>N6-N7</f>
        <v>87.437568563137873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2037'!V11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2037'!V12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2037'!V13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2037'!V14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2037'!V15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2037'!V16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2037'!V17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2037'!V18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2037'!V19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2037'!V20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2037'!V21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2037'!V22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'Индонезия 2037'!V23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2037'!V24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2037'!V25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99.59134633287043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88.146531341171908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98.11330698571868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2037'!B8+'Индонезия 2037'!D8+('Индонезия 2037'!C8+'Индонезия 2037'!F8+'Индонезия 2037'!G8)+(0.35*LN(1+0.6*('Ход 2037'!B14*(1+'Эффекты технологий'!U$12)))*POWER(MAX(0,1-'Индонезия 2037'!I8/10),0.7))))</f>
        <v>9.696810731366881</v>
      </c>
      <c r="C8" s="3">
        <f>MIN(1,(MIN(1,'Индонезия 2037'!C8+'Индонезия 2037'!F8+(0.08*LN(1+0.5*('Ход 2037'!C14*(1+'Эффекты технологий'!U$12)))*MAX(0,1-('Индонезия 2037'!C8+'Индонезия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9.696810731366881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2037'!B9+'Индонезия 2037'!D9+('Индонезия 2037'!C9+'Индонезия 2037'!F9+'Индонезия 2037'!G9)+(0.35*LN(1+0.6*('Ход 2037'!B15*(1+'Эффекты технологий'!U$12)))*POWER(MAX(0,1-'Индонезия 2037'!I9/10),0.7))))</f>
        <v>7.6054128889638966</v>
      </c>
      <c r="C9" s="3">
        <f>MIN(1,(MIN(1,'Индонезия 2037'!C9+'Индонезия 2037'!F9+(0.08*LN(1+0.5*('Ход 2037'!C15*(1+'Эффекты технологий'!U$12)))*MAX(0,1-('Индонезия 2037'!C9+'Индонезия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7.6054128889638966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2037'!B10+'Индонезия 2037'!D10+('Индонезия 2037'!C10+'Индонезия 2037'!F10+'Индонезия 2037'!G10)+(0.35*LN(1+0.6*('Ход 2037'!B16*(1+'Эффекты технологий'!U$12)))*POWER(MAX(0,1-'Индонезия 2037'!I10/10),0.7))))</f>
        <v>9.3731249250628625</v>
      </c>
      <c r="C10" s="3">
        <f>MIN(1,(MIN(1,'Индонезия 2037'!C10+'Индонезия 2037'!F10+(0.08*LN(1+0.5*('Ход 2037'!C16*(1+'Эффекты технологий'!U$12)))*MAX(0,1-('Индонезия 2037'!C10+'Индонезия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9.3731249250628625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2037'!B11+'Индонезия 2037'!D11+('Индонезия 2037'!C11+'Индонезия 2037'!F11+'Индонезия 2037'!G11)+(0.35*LN(1+0.6*('Ход 2037'!B17*(1+'Эффекты технологий'!U$12)))*POWER(MAX(0,1-'Индонезия 2037'!I11/10),0.7))))</f>
        <v>8.7731249250628753</v>
      </c>
      <c r="C11" s="3">
        <f>MIN(1,(MIN(1,'Индонезия 2037'!C11+'Индонезия 2037'!F11+(0.08*LN(1+0.5*('Ход 2037'!C17*(1+'Эффекты технологий'!U$12)))*MAX(0,1-('Индонезия 2037'!C11+'Индонезия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8.7731249250628753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2037'!L11+'Индонезия 2037'!N11+('Индонезия 2037'!M11+'Индонезия 2037'!P11+'Индонезия 2037'!Q11)))</f>
        <v>10</v>
      </c>
      <c r="M11" s="3">
        <f>MIN(1,(MIN(1,'Индонезия 2037'!M11+'Индонезия 2037'!P11+(0.1*LN(1+0.5*('Ход 2037'!H13*(1+'Эффекты технологий'!U$10)))*POWER(MAX(0,1-'Индонезия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2037'!V11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2037'!B12+'Индонезия 2037'!D12+('Индонезия 2037'!C12+'Индонезия 2037'!F12+'Индонезия 2037'!G12)+(0.35*LN(1+0.6*('Ход 2037'!B18*(1+'Эффекты технологий'!U$12)))*POWER(MAX(0,1-'Индонезия 2037'!I12/10),0.7))))</f>
        <v>9.7358910416054023</v>
      </c>
      <c r="C12" s="3">
        <f>MIN(1,(MIN(1,'Индонезия 2037'!C12+'Индонезия 2037'!F12+(0.08*LN(1+0.5*('Ход 2037'!C18*(1+'Эффекты технологий'!U$12)))*MAX(0,1-('Индонезия 2037'!C12+'Индонезия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9.7358910416054023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2037'!L12+'Индонезия 2037'!N12+('Индонезия 2037'!M12+'Индонезия 2037'!P12+'Индонезия 2037'!Q12)))</f>
        <v>10</v>
      </c>
      <c r="M12" s="3">
        <f>MIN(1,(MIN(1,'Индонезия 2037'!M12+'Индонезия 2037'!P12+(0.1*LN(1+0.5*('Ход 2037'!H14*(1+'Эффекты технологий'!U$10)))*POWER(MAX(0,1-'Индонезия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2037'!V12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2037'!B13+'Индонезия 2037'!D13+('Индонезия 2037'!C13+'Индонезия 2037'!F13+'Индонезия 2037'!G13)+(0.35*LN(1+0.6*('Ход 2037'!B19*(1+'Эффекты технологий'!U$12)))*POWER(MAX(0,1-'Индонезия 2037'!I13/10),0.7))))</f>
        <v>5.9082533175883976</v>
      </c>
      <c r="C13" s="3">
        <f>MIN(1,(MIN(1,'Индонезия 2037'!C13+'Индонезия 2037'!F13+(0.08*LN(1+0.5*('Ход 2037'!C19*(1+'Эффекты технологий'!U$12)))*MAX(0,1-('Индонезия 2037'!C13+'Индонезия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5.9082533175883976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2037'!L13+'Индонезия 2037'!N13+('Индонезия 2037'!M13+'Индонезия 2037'!P13+'Индонезия 2037'!Q13)))</f>
        <v>10</v>
      </c>
      <c r="M13" s="3">
        <f>MIN(1,(MIN(1,'Индонезия 2037'!M13+'Индонезия 2037'!P13+(0.1*LN(1+0.5*('Ход 2037'!H15*(1+'Эффекты технологий'!U$10)))*POWER(MAX(0,1-'Индонезия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2037'!V13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2037'!B14+'Индонезия 2037'!D14+('Индонезия 2037'!C14+'Индонезия 2037'!F14+'Индонезия 2037'!G14)+(0.35*LN(1+0.6*('Ход 2037'!B20*(1+'Эффекты технологий'!U$12)))*POWER(MAX(0,1-'Индонезия 2037'!I14/10),0.7))))</f>
        <v>7.9393355625513484</v>
      </c>
      <c r="C14" s="3">
        <f>MIN(1,(MIN(1,'Индонезия 2037'!C14+'Индонезия 2037'!F14+(0.08*LN(1+0.5*('Ход 2037'!C20*(1+'Эффекты технологий'!U$12)))*MAX(0,1-('Индонезия 2037'!C14+'Индонезия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8.1393355625513486</v>
      </c>
      <c r="J14" s="10">
        <f>SUMIFS('Эффекты технологий'!$V$25:$V$240,'Эффекты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2037'!L14+'Индонезия 2037'!N14+('Индонезия 2037'!M14+'Индонезия 2037'!P14+'Индонезия 2037'!Q14)))</f>
        <v>10</v>
      </c>
      <c r="M14" s="3">
        <f>MIN(1,(MIN(1,'Индонезия 2037'!M14+'Индонезия 2037'!P14+(0.1*LN(1+0.5*('Ход 2037'!H16*(1+'Эффекты технологий'!U$10)))*POWER(MAX(0,1-'Индонезия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2037'!V14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2037'!B15+'Индонезия 2037'!D15+('Индонезия 2037'!C15+'Индонезия 2037'!F15+'Индонезия 2037'!G15)+(0.35*LN(1+0.6*('Ход 2037'!B21*(1+'Эффекты технологий'!U$12)))*POWER(MAX(0,1-'Индонезия 2037'!I15/10),0.7))))</f>
        <v>10</v>
      </c>
      <c r="C15" s="3">
        <f>MIN(1,(MIN(1,'Индонезия 2037'!C15+'Индонезия 2037'!F15+(0.08*LN(1+0.5*('Ход 2037'!C21*(1+'Эффекты технологий'!U$12)))*MAX(0,1-('Индонезия 2037'!C15+'Индонезия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2037'!L15+'Индонезия 2037'!N15+('Индонезия 2037'!M15+'Индонезия 2037'!P15+'Индонезия 2037'!Q15)))</f>
        <v>9.5405007666003296</v>
      </c>
      <c r="M15" s="3">
        <f>MIN(1,(MIN(1,'Индонезия 2037'!M15+'Индонезия 2037'!P15+(0.1*LN(1+0.5*('Ход 2037'!H17*(1+'Эффекты технологий'!U$10)))*POWER(MAX(0,1-'Индонезия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9.5405007666003296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2037'!V15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2037'!B16+'Индонезия 2037'!D16+('Индонезия 2037'!C16+'Индонезия 2037'!F16+'Индонезия 2037'!G16)+(0.35*LN(1+0.6*('Ход 2037'!B22*(1+'Эффекты технологий'!U$12)))*POWER(MAX(0,1-'Индонезия 2037'!I16/10),0.7))))</f>
        <v>10</v>
      </c>
      <c r="C16" s="3">
        <f>MIN(1,(MIN(1,'Индонезия 2037'!C16+'Индонезия 2037'!F16+(0.08*LN(1+0.5*('Ход 2037'!C22*(1+'Эффекты технологий'!U$12)))*MAX(0,1-('Индонезия 2037'!C16+'Индонезия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2037'!L16+'Индонезия 2037'!N16+('Индонезия 2037'!M16+'Индонезия 2037'!P16+'Индонезия 2037'!Q16)))</f>
        <v>10</v>
      </c>
      <c r="M16" s="3">
        <f>MIN(1,(MIN(1,'Индонезия 2037'!M16+'Индонезия 2037'!P16+(0.1*LN(1+0.5*('Ход 2037'!H18*(1+'Эффекты технологий'!U$10)))*POWER(MAX(0,1-'Индонезия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2037'!V16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2037'!B17+'Индонезия 2037'!D17+('Индонезия 2037'!C17+'Индонезия 2037'!F17+'Индонезия 2037'!G17)+(0.35*LN(1+0.6*('Ход 2037'!B23*(1+'Эффекты технологий'!U$12)))*POWER(MAX(0,1-'Индонезия 2037'!I17/10),0.7))))</f>
        <v>9.4708197083824714</v>
      </c>
      <c r="C17" s="3">
        <f>MIN(1,(MIN(1,'Индонезия 2037'!C17+'Индонезия 2037'!F17+(0.08*LN(1+0.5*('Ход 2037'!C23*(1+'Эффекты технологий'!U$12)))*MAX(0,1-('Индонезия 2037'!C17+'Индонезия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9.4708197083824714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2037'!L17+'Индонезия 2037'!N17+('Индонезия 2037'!M17+'Индонезия 2037'!P17+'Индонезия 2037'!Q17)))</f>
        <v>10</v>
      </c>
      <c r="M17" s="3">
        <f>MIN(1,(MIN(1,'Индонезия 2037'!M17+'Индонезия 2037'!P17+(0.1*LN(1+0.5*('Ход 2037'!H19*(1+'Эффекты технологий'!U$10)))*POWER(MAX(0,1-'Индонезия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2037'!V17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2037'!L18+'Индонезия 2037'!N18+('Индонезия 2037'!M18+'Индонезия 2037'!P18+'Индонезия 2037'!Q18)))</f>
        <v>10</v>
      </c>
      <c r="M18" s="3">
        <f>MIN(1,(MIN(1,'Индонезия 2037'!M18+'Индонезия 2037'!P18+(0.1*LN(1+0.5*('Ход 2037'!H20*(1+'Эффекты технологий'!U$10)))*POWER(MAX(0,1-'Индонезия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2037'!V18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2037'!B19+'Индонезия 2037'!D19+('Индонезия 2037'!C19+'Индонезия 2037'!F19+'Индонезия 2037'!G19)+(0.35*LN(1+0.6*'Ход 2037'!B25)*POWER(MAX(0,1-'Индонезия 2037'!I19/10),0.7))))</f>
        <v>9.0866186178916237</v>
      </c>
      <c r="C19" s="3">
        <f>MIN(1,(MIN(1,'Индонезия 2037'!C19+'Индонезия 2037'!F19+(0.08*LN(1+0.5*'Ход 2037'!C25)*MAX(0,1-('Индонезия 2037'!C19+'Индонезия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9.0866186178916237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2037'!V19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2037'!B20+'Индонезия 2037'!D20+('Индонезия 2037'!C20+'Индонезия 2037'!F20+'Индонезия 2037'!G20)+(0.35*LN(1+0.6*'Ход 2037'!B26)*POWER(MAX(0,1-'Индонезия 2037'!I20/10),0.7))))</f>
        <v>9.6866186178916251</v>
      </c>
      <c r="C20" s="3">
        <f>MIN(1,(MIN(1,'Индонезия 2037'!C20+'Индонезия 2037'!F20+(0.08*LN(1+0.5*'Ход 2037'!C26)*MAX(0,1-('Индонезия 2037'!C20+'Индонезия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9.6866186178916251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2037'!V20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2037'!B21+'Индонезия 2037'!D21+('Индонезия 2037'!C21+'Индонезия 2037'!F21+'Индонезия 2037'!G21)+(0.35*LN(1+0.6*'Ход 2037'!B27)*POWER(MAX(0,1-'Индонезия 2037'!I21/10),0.7))))</f>
        <v>9.1940628244860303</v>
      </c>
      <c r="C21" s="3">
        <f>MIN(1,(MIN(1,'Индонезия 2037'!C21+'Индонезия 2037'!F21+(0.08*LN(1+0.5*'Ход 2037'!C27)*MAX(0,1-('Индонезия 2037'!C21+'Индонезия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9.1940628244860303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2037'!V21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2037'!B22+'Индонезия 2037'!D22+('Индонезия 2037'!C22+'Индонезия 2037'!F22+'Индонезия 2037'!G22)+(0.35*LN(1+0.6*'Ход 2037'!B28)*POWER(MAX(0,1-'Индонезия 2037'!I22/10),0.7))))</f>
        <v>8.9788890791791225</v>
      </c>
      <c r="C22" s="3">
        <f>MIN(1,(MIN(1,'Индонезия 2037'!C22+'Индонезия 2037'!F22+(0.08*LN(1+0.5*'Ход 2037'!C28)*MAX(0,1-('Индонезия 2037'!C22+'Индонезия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8.9788890791791225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2037'!V22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2037'!B23+'Индонезия 2037'!D23+('Индонезия 2037'!C23+'Индонезия 2037'!F23+'Индонезия 2037'!G23)+(0.35*LN(1+0.6*'Ход 2037'!B29)*POWER(MAX(0,1-'Индонезия 2037'!I23/10),0.7))))</f>
        <v>9.0866186178916237</v>
      </c>
      <c r="C23" s="3">
        <f>MIN(1,(MIN(1,'Индонезия 2037'!C23+'Индонезия 2037'!F23+(0.08*LN(1+0.5*'Ход 2037'!C29)*MAX(0,1-('Индонезия 2037'!C23+'Индонезия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9.0866186178916237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2037'!V23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2037'!V24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2037'!B25+'Индонезия 2037'!D25+('Индонезия 2037'!C25+'Индонезия 2037'!F25+'Индонезия 2037'!G25)+(0.35*LN(1+0.6*'Ход 2037'!B31)*POWER(MAX(0,1-'Индонезия 2037'!I25/10),0.7))))</f>
        <v>9.7435946441648955</v>
      </c>
      <c r="C25" s="3">
        <f>MIN(1,(MIN(1,'Индонезия 2037'!C25+'Индонезия 2037'!F25+(0.08*LN(1+0.5*'Ход 2037'!C31)*MAX(0,1-('Индонезия 2037'!C25+'Индонезия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9.7435946441648955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2037'!V25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2037'!B26+'Индонезия 2037'!D26+('Индонезия 2037'!C26+'Индонезия 2037'!F26+'Индонезия 2037'!G26)+(0.35*LN(1+0.6*'Ход 2037'!B32)*POWER(MAX(0,1-'Индонезия 2037'!I26/10),0.7))))</f>
        <v>9.5788890791791239</v>
      </c>
      <c r="C26" s="3">
        <f>MIN(1,(MIN(1,'Индонезия 2037'!C26+'Индонезия 2037'!F26+(0.08*LN(1+0.5*'Ход 2037'!C32)*MAX(0,1-('Индонезия 2037'!C26+'Индонезия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9.5788890791791239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2037'!B27+'Индонезия 2037'!D27+('Индонезия 2037'!C27+'Индонезия 2037'!F27+'Индонезия 2037'!G27)+(0.35*LN(1+0.6*'Ход 2037'!B33)*POWER(MAX(0,1-'Индонезия 2037'!I27/10),0.7))))</f>
        <v>9.4708197083824714</v>
      </c>
      <c r="C27" s="3">
        <f>MIN(1,(MIN(1,'Индонезия 2037'!C27+'Индонезия 2037'!F27+(0.08*LN(1+0.5*'Ход 2037'!C33)*MAX(0,1-('Индонезия 2037'!C27+'Индонезия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9.4708197083824714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2037'!B28+'Индонезия 2037'!D28+('Индонезия 2037'!C28+'Индонезия 2037'!F28+'Индонезия 2037'!G28)+(0.35*LN(1+0.6*'Ход 2037'!B34)*POWER(MAX(0,1-'Индонезия 2037'!I28/10),0.7))))</f>
        <v>9.6866186178916251</v>
      </c>
      <c r="C28" s="3">
        <f>MIN(1,(MIN(1,'Индонезия 2037'!C28+'Индонезия 2037'!F28+(0.08*LN(1+0.5*'Ход 2037'!C34)*MAX(0,1-('Индонезия 2037'!C28+'Индонезия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9.6866186178916251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2037'!B29+'Индонезия 2037'!D29+('Индонезия 2037'!C29+'Индонезия 2037'!F29+'Индонезия 2037'!G29)+(0.35*LN(1+0.6*'Ход 2037'!B35)*POWER(MAX(0,1-'Индонезия 2037'!I29/10),0.7))))</f>
        <v>9.0866186178916237</v>
      </c>
      <c r="C29" s="3">
        <f>MIN(1,(MIN(1,'Индонезия 2037'!C29+'Индонезия 2037'!F29+(0.08*LN(1+0.5*'Ход 2037'!C35)*MAX(0,1-('Индонезия 2037'!C29+'Индонезия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9.0866186178916237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2037'!B30+'Индонезия 2037'!D30+('Индонезия 2037'!C30+'Индонезия 2037'!F30+'Индонезия 2037'!G30)+(0.35*LN(1+0.6*'Ход 2037'!B36)*POWER(MAX(0,1-'Индонезия 2037'!I30/10),0.7))))</f>
        <v>8.4866186178916223</v>
      </c>
      <c r="C30" s="3">
        <f>MIN(1,(MIN(1,'Индонезия 2037'!C30+'Индонезия 2037'!F30+(0.08*LN(1+0.5*'Ход 2037'!C36)*MAX(0,1-('Индонезия 2037'!C30+'Индонезия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8.4866186178916223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2037'!B31+'Индонезия 2037'!D31+('Индонезия 2037'!C31+'Индонезия 2037'!F31+'Индонезия 2037'!G31)+(0.35*LN(1+0.6*'Ход 2037'!B37)*POWER(MAX(0,1-'Индонезия 2037'!I31/10),0.7))))</f>
        <v>8.4866186178916223</v>
      </c>
      <c r="C31" s="3">
        <f>MIN(1,(MIN(1,'Индонезия 2037'!C31+'Индонезия 2037'!F31+(0.08*LN(1+0.5*'Ход 2037'!C37)*MAX(0,1-('Индонезия 2037'!C31+'Индонезия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8.4866186178916223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2037'!B32+'Индонезия 2037'!D32+('Индонезия 2037'!C32+'Индонезия 2037'!F32+'Индонезия 2037'!G32)+(0.35*LN(1+0.6*'Ход 2037'!B38)*POWER(MAX(0,1-'Индонезия 2037'!I32/10),0.7))))</f>
        <v>9.5788890791791239</v>
      </c>
      <c r="C32" s="3">
        <f>MIN(1,(MIN(1,'Индонезия 2037'!C32+'Индонезия 2037'!F32+(0.08*LN(1+0.5*'Ход 2037'!C38)*MAX(0,1-('Индонезия 2037'!C32+'Индонезия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9.5788890791791239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2037'!B34+'Индонезия 2037'!D34+('Индонезия 2037'!C34+'Индонезия 2037'!F34+'Индонезия 2037'!G34)+(0.35*LN(1+0.6*'Ход 2037'!B40)*POWER(MAX(0,1-'Индонезия 2037'!I34/10),0.7))))</f>
        <v>10</v>
      </c>
      <c r="C34" s="3">
        <f>MIN(1,(MIN(1,'Индонезия 2037'!C34+'Индонезия 2037'!F34+(0.08*LN(1+0.5*'Ход 2037'!C40)*MAX(0,1-('Индонезия 2037'!C34+'Индонезия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2037'!B35+'Индонезия 2037'!D35+('Индонезия 2037'!C35+'Индонезия 2037'!F35+'Индонезия 2037'!G35)+(0.35*LN(1+0.6*'Ход 2037'!B41)*POWER(MAX(0,1-'Индонезия 2037'!I35/10),0.7))))</f>
        <v>9.3623343251271844</v>
      </c>
      <c r="C35" s="3">
        <f>MIN(1,(MIN(1,'Индонезия 2037'!C35+'Индонезия 2037'!F35+(0.08*LN(1+0.5*'Ход 2037'!C41)*MAX(0,1-('Индонезия 2037'!C35+'Индонезия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9.3623343251271844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2037'!B36+'Индонезия 2037'!D36+('Индонезия 2037'!C36+'Индонезия 2037'!F36+'Индонезия 2037'!G36)+(0.35*LN(1+0.6*'Ход 2037'!B42)*POWER(MAX(0,1-'Индонезия 2037'!I36/10),0.7))))</f>
        <v>10</v>
      </c>
      <c r="C36" s="3">
        <f>MIN(1,(MIN(1,'Индонезия 2037'!C36+'Индонезия 2037'!F36+(0.08*LN(1+0.5*'Ход 2037'!C42)*MAX(0,1-('Индонезия 2037'!C36+'Индонезия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2037'!B37+'Индонезия 2037'!D37+('Индонезия 2037'!C37+'Индонезия 2037'!F37+'Индонезия 2037'!G37)+(0.35*LN(1+0.6*'Ход 2037'!B43)*POWER(MAX(0,1-'Индонезия 2037'!I37/10),0.7))))</f>
        <v>10</v>
      </c>
      <c r="C37" s="3">
        <f>MIN(1,(MIN(1,'Индонезия 2037'!C37+'Индонезия 2037'!F37+(0.08*LN(1+0.5*'Ход 2037'!C43)*MAX(0,1-('Индонезия 2037'!C37+'Индонезия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2037'!B38+'Индонезия 2037'!D38+('Индонезия 2037'!C38+'Индонезия 2037'!F38+'Индонезия 2037'!G38)+(0.35*LN(1+0.6*'Ход 2037'!B44)*POWER(MAX(0,1-'Индонезия 2037'!I38/10),0.7))))</f>
        <v>9.5788890791791239</v>
      </c>
      <c r="C38" s="3">
        <f>MIN(1,(MIN(1,'Индонезия 2037'!C38+'Индонезия 2037'!F38+(0.08*LN(1+0.5*'Ход 2037'!C44)*MAX(0,1-('Индонезия 2037'!C38+'Индонезия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9.5788890791791239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2037'!B39+'Индонезия 2037'!D39+('Индонезия 2037'!C39+'Индонезия 2037'!F39+'Индонезия 2037'!G39)+(0.35*LN(1+0.6*'Ход 2037'!B45)*POWER(MAX(0,1-'Индонезия 2037'!I39/10),0.7))))</f>
        <v>10</v>
      </c>
      <c r="C39" s="3">
        <f>MIN(1,(MIN(1,'Индонезия 2037'!C39+'Индонезия 2037'!F39+(0.08*LN(1+0.5*'Ход 2037'!C45)*MAX(0,1-('Индонезия 2037'!C39+'Индонезия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2037'!B40+'Индонезия 2037'!D40+('Индонезия 2037'!C40+'Индонезия 2037'!F40+'Индонезия 2037'!G40)+(0.35*LN(1+0.6*'Ход 2037'!B46)*POWER(MAX(0,1-'Индонезия 2037'!I40/10),0.7))))</f>
        <v>10</v>
      </c>
      <c r="C40" s="3">
        <f>MIN(1,(MIN(1,'Индонезия 2037'!C40+'Индонезия 2037'!F40+(0.08*LN(1+0.5*'Ход 2037'!C46)*MAX(0,1-('Индонезия 2037'!C40+'Индонезия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2037'!B41+'Индонезия 2037'!D41+('Индонезия 2037'!C41+'Индонезия 2037'!F41+'Индонезия 2037'!G41)+(0.35*LN(1+0.6*'Ход 2037'!B47)*POWER(MAX(0,1-'Индонезия 2037'!I41/10),0.7))))</f>
        <v>10</v>
      </c>
      <c r="C41" s="3">
        <f>MIN(1,(MIN(1,'Индонезия 2037'!C41+'Индонезия 2037'!F41+(0.08*LN(1+0.5*'Ход 2037'!C47)*MAX(0,1-('Индонезия 2037'!C41+'Индонезия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2037'!B42+'Индонезия 2037'!D42+('Индонезия 2037'!C42+'Индонезия 2037'!F42+'Индонезия 2037'!G42)+(0.35*LN(1+0.6*'Ход 2037'!B48)*POWER(MAX(0,1-'Индонезия 2037'!I42/10),0.7))))</f>
        <v>9.7435946441648955</v>
      </c>
      <c r="C42" s="3">
        <f>MIN(1,(MIN(1,'Индонезия 2037'!C42+'Индонезия 2037'!F42+(0.08*LN(1+0.5*'Ход 2037'!C48)*MAX(0,1-('Индонезия 2037'!C42+'Индонезия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9.7435946441648955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2037'!B44+'Индонезия 2037'!D44+('Индонезия 2037'!C44+'Индонезия 2037'!F44+'Индонезия 2037'!G44)+(0.35*LN(1+0.6*'Ход 2037'!B50)*POWER(MAX(0,1-'Индонезия 2037'!I44/10),0.7))))</f>
        <v>8.9788890791791225</v>
      </c>
      <c r="C44" s="3">
        <f>MIN(1,(MIN(1,'Индонезия 2037'!C44+'Индонезия 2037'!F44+(0.08*LN(1+0.5*'Ход 2037'!C50)*MAX(0,1-('Индонезия 2037'!C44+'Индонезия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8.9788890791791225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2037'!B45+'Индонезия 2037'!D45+('Индонезия 2037'!C45+'Индонезия 2037'!F45+'Индонезия 2037'!G45)+(0.35*LN(1+0.6*'Ход 2037'!B51)*POWER(MAX(0,1-'Индонезия 2037'!I45/10),0.7))))</f>
        <v>8.9788890791791225</v>
      </c>
      <c r="C45" s="3">
        <f>MIN(1,(MIN(1,'Индонезия 2037'!C45+'Индонезия 2037'!F45+(0.08*LN(1+0.5*'Ход 2037'!C51)*MAX(0,1-('Индонезия 2037'!C45+'Индонезия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8.9788890791791225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2037'!B46+'Индонезия 2037'!D46+('Индонезия 2037'!C46+'Индонезия 2037'!F46+'Индонезия 2037'!G46)+(0.35*LN(1+0.6*'Ход 2037'!B52)*POWER(MAX(0,1-'Индонезия 2037'!I46/10),0.7))))</f>
        <v>8.9788890791791225</v>
      </c>
      <c r="C46" s="3">
        <f>MIN(1,(MIN(1,'Индонезия 2037'!C46+'Индонезия 2037'!F46+(0.08*LN(1+0.5*'Ход 2037'!C52)*MAX(0,1-('Индонезия 2037'!C46+'Индонезия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8.9788890791791225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2037'!B47+'Индонезия 2037'!D47+('Индонезия 2037'!C47+'Индонезия 2037'!F47+'Индонезия 2037'!G47)+(0.35*LN(1+0.6*'Ход 2037'!B53)*POWER(MAX(0,1-'Индонезия 2037'!I47/10),0.7))))</f>
        <v>8.8708197083824789</v>
      </c>
      <c r="C47" s="3">
        <f>MIN(1,(MIN(1,'Индонезия 2037'!C47+'Индонезия 2037'!F47+(0.08*LN(1+0.5*'Ход 2037'!C53)*MAX(0,1-('Индонезия 2037'!C47+'Индонезия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8.8708197083824789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2037'!B48+'Индонезия 2037'!D48+('Индонезия 2037'!C48+'Индонезия 2037'!F48+'Индонезия 2037'!G48)+(0.35*LN(1+0.6*'Ход 2037'!B54)*POWER(MAX(0,1-'Индонезия 2037'!I48/10),0.7))))</f>
        <v>#REF!</v>
      </c>
      <c r="C48" s="3">
        <f>MIN(1,(MIN(1,'Индонезия 2037'!C48+'Индонезия 2037'!F48+(0.08*LN(1+0.5*'Ход 2037'!C54)*MAX(0,1-('Индонезия 2037'!C48+'Индонезия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2037'!B49+'Индонезия 2037'!D49+('Индонезия 2037'!C49+'Индонезия 2037'!F49+'Индонезия 2037'!G49)+(0.35*LN(1+0.6*'Ход 2037'!B55)*POWER(MAX(0,1-'Индонезия 2037'!I49/10),0.7))))</f>
        <v>10</v>
      </c>
      <c r="C49" s="3">
        <f>MIN(1,(MIN(1,'Индонезия 2037'!C49+'Индонезия 2037'!F49+(0.08*LN(1+0.5*'Ход 2037'!C55)*MAX(0,1-('Индонезия 2037'!C49+'Индонезия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2037'!B50+'Индонезия 2037'!D50+('Индонезия 2037'!C50+'Индонезия 2037'!F50+'Индонезия 2037'!G50)+(0.35*LN(1+0.6*'Ход 2037'!B56)*POWER(MAX(0,1-'Индонезия 2037'!I50/10),0.7))))</f>
        <v>10</v>
      </c>
      <c r="C50" s="3">
        <f>MIN(1,(MIN(1,'Индонезия 2037'!C50+'Индонезия 2037'!F50+(0.08*LN(1+0.5*'Ход 2037'!C56)*MAX(0,1-('Индонезия 2037'!C50+'Индонезия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2037'!B51+'Индонезия 2037'!D51+('Индонезия 2037'!C51+'Индонезия 2037'!F51+'Индонезия 2037'!G51)+(0.35*LN(1+0.6*'Ход 2037'!B57)*POWER(MAX(0,1-'Индонезия 2037'!I51/10),0.7))))</f>
        <v>9.5788890791791239</v>
      </c>
      <c r="C51" s="3">
        <f>MIN(1,(MIN(1,'Индонезия 2037'!C51+'Индонезия 2037'!F51+(0.08*LN(1+0.5*'Ход 2037'!C57)*MAX(0,1-('Индонезия 2037'!C51+'Индонезия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9.5788890791791239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2037'!B53+'Индонезия 2037'!D53+('Индонезия 2037'!C53+'Индонезия 2037'!F53+'Индонезия 2037'!G53)+(0.35*LN(1+0.6*'Ход 2037'!B59)*POWER(MAX(0,1-'Индонезия 2037'!I53/10),0.7))))</f>
        <v>9.0866186178916237</v>
      </c>
      <c r="C53" s="3">
        <f>MIN(1,(MIN(1,'Индонезия 2037'!C53+'Индонезия 2037'!F53+(0.08*LN(1+0.5*'Ход 2037'!C59)*MAX(0,1-('Индонезия 2037'!C53+'Индонезия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9.0866186178916237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2037'!B54+'Индонезия 2037'!D54+('Индонезия 2037'!C54+'Индонезия 2037'!F54+'Индонезия 2037'!G54)+(0.35*LN(1+0.6*'Ход 2037'!B60)*POWER(MAX(0,1-'Индонезия 2037'!I54/10),0.7))))</f>
        <v>9.0866186178916237</v>
      </c>
      <c r="C54" s="3">
        <f>MIN(1,(MIN(1,'Индонезия 2037'!C54+'Индонезия 2037'!F54+(0.08*LN(1+0.5*'Ход 2037'!C60)*MAX(0,1-('Индонезия 2037'!C54+'Индонезия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9.0866186178916237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2037'!B55+'Индонезия 2037'!D55+('Индонезия 2037'!C55+'Индонезия 2037'!F55+'Индонезия 2037'!G55)+(0.35*LN(1+0.6*'Ход 2037'!B61)*POWER(MAX(0,1-'Индонезия 2037'!I55/10),0.7))))</f>
        <v>7.9940628244860319</v>
      </c>
      <c r="C55" s="3">
        <f>MIN(1,(MIN(1,'Индонезия 2037'!C55+'Индонезия 2037'!F55+(0.08*LN(1+0.5*'Ход 2037'!C61)*MAX(0,1-('Индонезия 2037'!C55+'Индонезия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7.9940628244860319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2038'!U6</f>
        <v>98.11330698571868</v>
      </c>
      <c r="C6" s="3"/>
      <c r="D6" s="3"/>
      <c r="E6" s="3" t="s">
        <v>321</v>
      </c>
      <c r="F6" s="3" t="e">
        <f>'Индонезия 2038'!K6</f>
        <v>#REF!</v>
      </c>
      <c r="G6" s="3"/>
      <c r="H6" s="3"/>
      <c r="I6" s="3" t="s">
        <v>321</v>
      </c>
      <c r="J6" s="3">
        <f>'Индонезия 2038'!N6</f>
        <v>99.59134633287043</v>
      </c>
      <c r="K6" s="3"/>
      <c r="L6" s="3"/>
      <c r="M6" s="3" t="s">
        <v>321</v>
      </c>
      <c r="N6" s="3">
        <f>'Индонезия 2038'!Q6</f>
        <v>88.146531341171908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98.11330698571868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99.59134633287043</v>
      </c>
      <c r="K8" s="3" t="str">
        <f>IF(J8&lt;0,"ПРЕВЫШЕНИЕ","OK")</f>
        <v>OK</v>
      </c>
      <c r="L8" s="3"/>
      <c r="M8" s="3" t="s">
        <v>323</v>
      </c>
      <c r="N8" s="3">
        <f>N6-N7</f>
        <v>88.146531341171908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2038'!V11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2038'!V12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2038'!V13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2038'!V14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2038'!V15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2038'!V16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2038'!V17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2038'!V18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2038'!V19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2038'!V20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2038'!V21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2038'!V22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'Индонезия 2038'!V23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2038'!V24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2038'!V25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99.701805579495357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88.676589327616867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98.358119991630204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2038'!B8+'Индонезия 2038'!D8+('Индонезия 2038'!C8+'Индонезия 2038'!F8+'Индонезия 2038'!G8)+(0.35*LN(1+0.6*('Ход 2038'!B14*(1+'Эффекты технологий'!V$12)))*POWER(MAX(0,1-'Индонезия 2038'!I8/10),0.7))))</f>
        <v>9.7468107313668817</v>
      </c>
      <c r="C8" s="3">
        <f>MIN(1,(MIN(1,'Индонезия 2038'!C8+'Индонезия 2038'!F8+(0.08*LN(1+0.5*('Ход 2038'!C14*(1+'Эффекты технологий'!V$12)))*MAX(0,1-('Индонезия 2038'!C8+'Индонезия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9.7468107313668817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2038'!B9+'Индонезия 2038'!D9+('Индонезия 2038'!C9+'Индонезия 2038'!F9+'Индонезия 2038'!G9)+(0.35*LN(1+0.6*('Ход 2038'!B15*(1+'Эффекты технологий'!V$12)))*POWER(MAX(0,1-'Индонезия 2038'!I9/10),0.7))))</f>
        <v>7.7554128889638969</v>
      </c>
      <c r="C9" s="3">
        <f>MIN(1,(MIN(1,'Индонезия 2038'!C9+'Индонезия 2038'!F9+(0.08*LN(1+0.5*('Ход 2038'!C15*(1+'Эффекты технологий'!V$12)))*MAX(0,1-('Индонезия 2038'!C9+'Индонезия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7.7554128889638969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2038'!B10+'Индонезия 2038'!D10+('Индонезия 2038'!C10+'Индонезия 2038'!F10+'Индонезия 2038'!G10)+(0.35*LN(1+0.6*('Ход 2038'!B16*(1+'Эффекты технологий'!V$12)))*POWER(MAX(0,1-'Индонезия 2038'!I10/10),0.7))))</f>
        <v>9.4731249250628622</v>
      </c>
      <c r="C10" s="3">
        <f>MIN(1,(MIN(1,'Индонезия 2038'!C10+'Индонезия 2038'!F10+(0.08*LN(1+0.5*('Ход 2038'!C16*(1+'Эффекты технологий'!V$12)))*MAX(0,1-('Индонезия 2038'!C10+'Индонезия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9.4731249250628622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2038'!B11+'Индонезия 2038'!D11+('Индонезия 2038'!C11+'Индонезия 2038'!F11+'Индонезия 2038'!G11)+(0.35*LN(1+0.6*('Ход 2038'!B17*(1+'Эффекты технологий'!V$12)))*POWER(MAX(0,1-'Индонезия 2038'!I11/10),0.7))))</f>
        <v>8.823124925062876</v>
      </c>
      <c r="C11" s="3">
        <f>MIN(1,(MIN(1,'Индонезия 2038'!C11+'Индонезия 2038'!F11+(0.08*LN(1+0.5*('Ход 2038'!C17*(1+'Эффекты технологий'!V$12)))*MAX(0,1-('Индонезия 2038'!C11+'Индонезия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8.823124925062876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2038'!L11+'Индонезия 2038'!N11+('Индонезия 2038'!M11+'Индонезия 2038'!P11+'Индонезия 2038'!Q11)))</f>
        <v>10</v>
      </c>
      <c r="M11" s="3">
        <f>MIN(1,(MIN(1,'Индонезия 2038'!M11+'Индонезия 2038'!P11+(0.1*LN(1+0.5*('Ход 2038'!H13*(1+'Эффекты технологий'!V$10)))*POWER(MAX(0,1-'Индонезия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2038'!V11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2038'!B12+'Индонезия 2038'!D12+('Индонезия 2038'!C12+'Индонезия 2038'!F12+'Индонезия 2038'!G12)+(0.35*LN(1+0.6*('Ход 2038'!B18*(1+'Эффекты технологий'!V$12)))*POWER(MAX(0,1-'Индонезия 2038'!I12/10),0.7))))</f>
        <v>9.785891041605403</v>
      </c>
      <c r="C12" s="3">
        <f>MIN(1,(MIN(1,'Индонезия 2038'!C12+'Индонезия 2038'!F12+(0.08*LN(1+0.5*('Ход 2038'!C18*(1+'Эффекты технологий'!V$12)))*MAX(0,1-('Индонезия 2038'!C12+'Индонезия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9.785891041605403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2038'!L12+'Индонезия 2038'!N12+('Индонезия 2038'!M12+'Индонезия 2038'!P12+'Индонезия 2038'!Q12)))</f>
        <v>10</v>
      </c>
      <c r="M12" s="3">
        <f>MIN(1,(MIN(1,'Индонезия 2038'!M12+'Индонезия 2038'!P12+(0.1*LN(1+0.5*('Ход 2038'!H14*(1+'Эффекты технологий'!V$10)))*POWER(MAX(0,1-'Индонезия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2038'!V12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2038'!B13+'Индонезия 2038'!D13+('Индонезия 2038'!C13+'Индонезия 2038'!F13+'Индонезия 2038'!G13)+(0.35*LN(1+0.6*('Ход 2038'!B19*(1+'Эффекты технологий'!V$12)))*POWER(MAX(0,1-'Индонезия 2038'!I13/10),0.7))))</f>
        <v>6.2082533175883974</v>
      </c>
      <c r="C13" s="3">
        <f>MIN(1,(MIN(1,'Индонезия 2038'!C13+'Индонезия 2038'!F13+(0.08*LN(1+0.5*('Ход 2038'!C19*(1+'Эффекты технологий'!V$12)))*MAX(0,1-('Индонезия 2038'!C13+'Индонезия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6.2082533175883974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2038'!L13+'Индонезия 2038'!N13+('Индонезия 2038'!M13+'Индонезия 2038'!P13+'Индонезия 2038'!Q13)))</f>
        <v>10</v>
      </c>
      <c r="M13" s="3">
        <f>MIN(1,(MIN(1,'Индонезия 2038'!M13+'Индонезия 2038'!P13+(0.1*LN(1+0.5*('Ход 2038'!H15*(1+'Эффекты технологий'!V$10)))*POWER(MAX(0,1-'Индонезия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2038'!V13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2038'!B14+'Индонезия 2038'!D14+('Индонезия 2038'!C14+'Индонезия 2038'!F14+'Индонезия 2038'!G14)+(0.35*LN(1+0.6*('Ход 2038'!B20*(1+'Эффекты технологий'!V$12)))*POWER(MAX(0,1-'Индонезия 2038'!I14/10),0.7))))</f>
        <v>8.2393355625513482</v>
      </c>
      <c r="C14" s="3">
        <f>MIN(1,(MIN(1,'Индонезия 2038'!C14+'Индонезия 2038'!F14+(0.08*LN(1+0.5*('Ход 2038'!C20*(1+'Эффекты технологий'!V$12)))*MAX(0,1-('Индонезия 2038'!C14+'Индонезия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8.4393355625513475</v>
      </c>
      <c r="J14" s="10">
        <f>SUMIFS('Эффекты технологий'!$W$25:$W$240,'Эффекты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2038'!L14+'Индонезия 2038'!N14+('Индонезия 2038'!M14+'Индонезия 2038'!P14+'Индонезия 2038'!Q14)))</f>
        <v>10</v>
      </c>
      <c r="M14" s="3">
        <f>MIN(1,(MIN(1,'Индонезия 2038'!M14+'Индонезия 2038'!P14+(0.1*LN(1+0.5*('Ход 2038'!H16*(1+'Эффекты технологий'!V$10)))*POWER(MAX(0,1-'Индонезия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2038'!V14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2038'!B15+'Индонезия 2038'!D15+('Индонезия 2038'!C15+'Индонезия 2038'!F15+'Индонезия 2038'!G15)+(0.35*LN(1+0.6*('Ход 2038'!B21*(1+'Эффекты технологий'!V$12)))*POWER(MAX(0,1-'Индонезия 2038'!I15/10),0.7))))</f>
        <v>10</v>
      </c>
      <c r="C15" s="3">
        <f>MIN(1,(MIN(1,'Индонезия 2038'!C15+'Индонезия 2038'!F15+(0.08*LN(1+0.5*('Ход 2038'!C21*(1+'Эффекты технологий'!V$12)))*MAX(0,1-('Индонезия 2038'!C15+'Индонезия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2038'!L15+'Индонезия 2038'!N15+('Индонезия 2038'!M15+'Индонезия 2038'!P15+'Индонезия 2038'!Q15)))</f>
        <v>9.8850917453821783</v>
      </c>
      <c r="M15" s="3">
        <f>MIN(1,(MIN(1,'Индонезия 2038'!M15+'Индонезия 2038'!P15+(0.1*LN(1+0.5*('Ход 2038'!H17*(1+'Эффекты технологий'!V$10)))*POWER(MAX(0,1-'Индонезия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9.8850917453821783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2038'!V15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2038'!B16+'Индонезия 2038'!D16+('Индонезия 2038'!C16+'Индонезия 2038'!F16+'Индонезия 2038'!G16)+(0.35*LN(1+0.6*('Ход 2038'!B22*(1+'Эффекты технологий'!V$12)))*POWER(MAX(0,1-'Индонезия 2038'!I16/10),0.7))))</f>
        <v>10</v>
      </c>
      <c r="C16" s="3">
        <f>MIN(1,(MIN(1,'Индонезия 2038'!C16+'Индонезия 2038'!F16+(0.08*LN(1+0.5*('Ход 2038'!C22*(1+'Эффекты технологий'!V$12)))*MAX(0,1-('Индонезия 2038'!C16+'Индонезия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2038'!L16+'Индонезия 2038'!N16+('Индонезия 2038'!M16+'Индонезия 2038'!P16+'Индонезия 2038'!Q16)))</f>
        <v>10</v>
      </c>
      <c r="M16" s="3">
        <f>MIN(1,(MIN(1,'Индонезия 2038'!M16+'Индонезия 2038'!P16+(0.1*LN(1+0.5*('Ход 2038'!H18*(1+'Эффекты технологий'!V$10)))*POWER(MAX(0,1-'Индонезия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2038'!V16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2038'!B17+'Индонезия 2038'!D17+('Индонезия 2038'!C17+'Индонезия 2038'!F17+'Индонезия 2038'!G17)+(0.35*LN(1+0.6*('Ход 2038'!B23*(1+'Эффекты технологий'!V$12)))*POWER(MAX(0,1-'Индонезия 2038'!I17/10),0.7))))</f>
        <v>9.6708197083824707</v>
      </c>
      <c r="C17" s="3">
        <f>MIN(1,(MIN(1,'Индонезия 2038'!C17+'Индонезия 2038'!F17+(0.08*LN(1+0.5*('Ход 2038'!C23*(1+'Эффекты технологий'!V$12)))*MAX(0,1-('Индонезия 2038'!C17+'Индонезия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9.6708197083824707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2038'!L17+'Индонезия 2038'!N17+('Индонезия 2038'!M17+'Индонезия 2038'!P17+'Индонезия 2038'!Q17)))</f>
        <v>10</v>
      </c>
      <c r="M17" s="3">
        <f>MIN(1,(MIN(1,'Индонезия 2038'!M17+'Индонезия 2038'!P17+(0.1*LN(1+0.5*('Ход 2038'!H19*(1+'Эффекты технологий'!V$10)))*POWER(MAX(0,1-'Индонезия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2038'!V17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2038'!L18+'Индонезия 2038'!N18+('Индонезия 2038'!M18+'Индонезия 2038'!P18+'Индонезия 2038'!Q18)))</f>
        <v>10</v>
      </c>
      <c r="M18" s="3">
        <f>MIN(1,(MIN(1,'Индонезия 2038'!M18+'Индонезия 2038'!P18+(0.1*LN(1+0.5*('Ход 2038'!H20*(1+'Эффекты технологий'!V$10)))*POWER(MAX(0,1-'Индонезия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2038'!V18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2038'!B19+'Индонезия 2038'!D19+('Индонезия 2038'!C19+'Индонезия 2038'!F19+'Индонезия 2038'!G19)+(0.35*LN(1+0.6*'Ход 2038'!B25)*POWER(MAX(0,1-'Индонезия 2038'!I19/10),0.7))))</f>
        <v>9.3366186178916237</v>
      </c>
      <c r="C19" s="3">
        <f>MIN(1,(MIN(1,'Индонезия 2038'!C19+'Индонезия 2038'!F19+(0.08*LN(1+0.5*'Ход 2038'!C25)*MAX(0,1-('Индонезия 2038'!C19+'Индонезия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9.3366186178916237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2038'!V19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2038'!B20+'Индонезия 2038'!D20+('Индонезия 2038'!C20+'Индонезия 2038'!F20+'Индонезия 2038'!G20)+(0.35*LN(1+0.6*'Ход 2038'!B26)*POWER(MAX(0,1-'Индонезия 2038'!I20/10),0.7))))</f>
        <v>9.9866186178916259</v>
      </c>
      <c r="C20" s="3">
        <f>MIN(1,(MIN(1,'Индонезия 2038'!C20+'Индонезия 2038'!F20+(0.08*LN(1+0.5*'Ход 2038'!C26)*MAX(0,1-('Индонезия 2038'!C20+'Индонезия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9.9866186178916259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2038'!V20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2038'!B21+'Индонезия 2038'!D21+('Индонезия 2038'!C21+'Индонезия 2038'!F21+'Индонезия 2038'!G21)+(0.35*LN(1+0.6*'Ход 2038'!B27)*POWER(MAX(0,1-'Индонезия 2038'!I21/10),0.7))))</f>
        <v>9.494062824486031</v>
      </c>
      <c r="C21" s="3">
        <f>MIN(1,(MIN(1,'Индонезия 2038'!C21+'Индонезия 2038'!F21+(0.08*LN(1+0.5*'Ход 2038'!C27)*MAX(0,1-('Индонезия 2038'!C21+'Индонезия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9.494062824486031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2038'!V21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2038'!B22+'Индонезия 2038'!D22+('Индонезия 2038'!C22+'Индонезия 2038'!F22+'Индонезия 2038'!G22)+(0.35*LN(1+0.6*'Ход 2038'!B28)*POWER(MAX(0,1-'Индонезия 2038'!I22/10),0.7))))</f>
        <v>9.1788890791791218</v>
      </c>
      <c r="C22" s="3">
        <f>MIN(1,(MIN(1,'Индонезия 2038'!C22+'Индонезия 2038'!F22+(0.08*LN(1+0.5*'Ход 2038'!C28)*MAX(0,1-('Индонезия 2038'!C22+'Индонезия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9.1788890791791218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2038'!V22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2038'!B23+'Индонезия 2038'!D23+('Индонезия 2038'!C23+'Индонезия 2038'!F23+'Индонезия 2038'!G23)+(0.35*LN(1+0.6*'Ход 2038'!B29)*POWER(MAX(0,1-'Индонезия 2038'!I23/10),0.7))))</f>
        <v>9.3366186178916237</v>
      </c>
      <c r="C23" s="3">
        <f>MIN(1,(MIN(1,'Индонезия 2038'!C23+'Индонезия 2038'!F23+(0.08*LN(1+0.5*'Ход 2038'!C29)*MAX(0,1-('Индонезия 2038'!C23+'Индонезия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9.3366186178916237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2038'!V23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2038'!V24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2038'!B25+'Индонезия 2038'!D25+('Индонезия 2038'!C25+'Индонезия 2038'!F25+'Индонезия 2038'!G25)+(0.35*LN(1+0.6*'Ход 2038'!B31)*POWER(MAX(0,1-'Индонезия 2038'!I25/10),0.7))))</f>
        <v>9.8435946441648952</v>
      </c>
      <c r="C25" s="3">
        <f>MIN(1,(MIN(1,'Индонезия 2038'!C25+'Индонезия 2038'!F25+(0.08*LN(1+0.5*'Ход 2038'!C31)*MAX(0,1-('Индонезия 2038'!C25+'Индонезия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9.8435946441648952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2038'!V25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2038'!B26+'Индонезия 2038'!D26+('Индонезия 2038'!C26+'Индонезия 2038'!F26+'Индонезия 2038'!G26)+(0.35*LN(1+0.6*'Ход 2038'!B32)*POWER(MAX(0,1-'Индонезия 2038'!I26/10),0.7))))</f>
        <v>9.8288890791791239</v>
      </c>
      <c r="C26" s="3">
        <f>MIN(1,(MIN(1,'Индонезия 2038'!C26+'Индонезия 2038'!F26+(0.08*LN(1+0.5*'Ход 2038'!C32)*MAX(0,1-('Индонезия 2038'!C26+'Индонезия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9.8288890791791239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2038'!B27+'Индонезия 2038'!D27+('Индонезия 2038'!C27+'Индонезия 2038'!F27+'Индонезия 2038'!G27)+(0.35*LN(1+0.6*'Ход 2038'!B33)*POWER(MAX(0,1-'Индонезия 2038'!I27/10),0.7))))</f>
        <v>9.6708197083824707</v>
      </c>
      <c r="C27" s="3">
        <f>MIN(1,(MIN(1,'Индонезия 2038'!C27+'Индонезия 2038'!F27+(0.08*LN(1+0.5*'Ход 2038'!C33)*MAX(0,1-('Индонезия 2038'!C27+'Индонезия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9.6708197083824707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2038'!B28+'Индонезия 2038'!D28+('Индонезия 2038'!C28+'Индонезия 2038'!F28+'Индонезия 2038'!G28)+(0.35*LN(1+0.6*'Ход 2038'!B34)*POWER(MAX(0,1-'Индонезия 2038'!I28/10),0.7))))</f>
        <v>9.9866186178916259</v>
      </c>
      <c r="C28" s="3">
        <f>MIN(1,(MIN(1,'Индонезия 2038'!C28+'Индонезия 2038'!F28+(0.08*LN(1+0.5*'Ход 2038'!C34)*MAX(0,1-('Индонезия 2038'!C28+'Индонезия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9.9866186178916259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2038'!B29+'Индонезия 2038'!D29+('Индонезия 2038'!C29+'Индонезия 2038'!F29+'Индонезия 2038'!G29)+(0.35*LN(1+0.6*'Ход 2038'!B35)*POWER(MAX(0,1-'Индонезия 2038'!I29/10),0.7))))</f>
        <v>9.3366186178916237</v>
      </c>
      <c r="C29" s="3">
        <f>MIN(1,(MIN(1,'Индонезия 2038'!C29+'Индонезия 2038'!F29+(0.08*LN(1+0.5*'Ход 2038'!C35)*MAX(0,1-('Индонезия 2038'!C29+'Индонезия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9.3366186178916237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2038'!B30+'Индонезия 2038'!D30+('Индонезия 2038'!C30+'Индонезия 2038'!F30+'Индонезия 2038'!G30)+(0.35*LN(1+0.6*'Ход 2038'!B36)*POWER(MAX(0,1-'Индонезия 2038'!I30/10),0.7))))</f>
        <v>8.6866186178916216</v>
      </c>
      <c r="C30" s="3">
        <f>MIN(1,(MIN(1,'Индонезия 2038'!C30+'Индонезия 2038'!F30+(0.08*LN(1+0.5*'Ход 2038'!C36)*MAX(0,1-('Индонезия 2038'!C30+'Индонезия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8.6866186178916216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2038'!B31+'Индонезия 2038'!D31+('Индонезия 2038'!C31+'Индонезия 2038'!F31+'Индонезия 2038'!G31)+(0.35*LN(1+0.6*'Ход 2038'!B37)*POWER(MAX(0,1-'Индонезия 2038'!I31/10),0.7))))</f>
        <v>8.6866186178916216</v>
      </c>
      <c r="C31" s="3">
        <f>MIN(1,(MIN(1,'Индонезия 2038'!C31+'Индонезия 2038'!F31+(0.08*LN(1+0.5*'Ход 2038'!C37)*MAX(0,1-('Индонезия 2038'!C31+'Индонезия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8.6866186178916216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2038'!B32+'Индонезия 2038'!D32+('Индонезия 2038'!C32+'Индонезия 2038'!F32+'Индонезия 2038'!G32)+(0.35*LN(1+0.6*'Ход 2038'!B38)*POWER(MAX(0,1-'Индонезия 2038'!I32/10),0.7))))</f>
        <v>9.8288890791791239</v>
      </c>
      <c r="C32" s="3">
        <f>MIN(1,(MIN(1,'Индонезия 2038'!C32+'Индонезия 2038'!F32+(0.08*LN(1+0.5*'Ход 2038'!C38)*MAX(0,1-('Индонезия 2038'!C32+'Индонезия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9.8288890791791239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2038'!B34+'Индонезия 2038'!D34+('Индонезия 2038'!C34+'Индонезия 2038'!F34+'Индонезия 2038'!G34)+(0.35*LN(1+0.6*'Ход 2038'!B40)*POWER(MAX(0,1-'Индонезия 2038'!I34/10),0.7))))</f>
        <v>10</v>
      </c>
      <c r="C34" s="3">
        <f>MIN(1,(MIN(1,'Индонезия 2038'!C34+'Индонезия 2038'!F34+(0.08*LN(1+0.5*'Ход 2038'!C40)*MAX(0,1-('Индонезия 2038'!C34+'Индонезия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2038'!B35+'Индонезия 2038'!D35+('Индонезия 2038'!C35+'Индонезия 2038'!F35+'Индонезия 2038'!G35)+(0.35*LN(1+0.6*'Ход 2038'!B41)*POWER(MAX(0,1-'Индонезия 2038'!I35/10),0.7))))</f>
        <v>9.5123343251271848</v>
      </c>
      <c r="C35" s="3">
        <f>MIN(1,(MIN(1,'Индонезия 2038'!C35+'Индонезия 2038'!F35+(0.08*LN(1+0.5*'Ход 2038'!C41)*MAX(0,1-('Индонезия 2038'!C35+'Индонезия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9.5123343251271848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2038'!B36+'Индонезия 2038'!D36+('Индонезия 2038'!C36+'Индонезия 2038'!F36+'Индонезия 2038'!G36)+(0.35*LN(1+0.6*'Ход 2038'!B42)*POWER(MAX(0,1-'Индонезия 2038'!I36/10),0.7))))</f>
        <v>10</v>
      </c>
      <c r="C36" s="3">
        <f>MIN(1,(MIN(1,'Индонезия 2038'!C36+'Индонезия 2038'!F36+(0.08*LN(1+0.5*'Ход 2038'!C42)*MAX(0,1-('Индонезия 2038'!C36+'Индонезия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2038'!B37+'Индонезия 2038'!D37+('Индонезия 2038'!C37+'Индонезия 2038'!F37+'Индонезия 2038'!G37)+(0.35*LN(1+0.6*'Ход 2038'!B43)*POWER(MAX(0,1-'Индонезия 2038'!I37/10),0.7))))</f>
        <v>10</v>
      </c>
      <c r="C37" s="3">
        <f>MIN(1,(MIN(1,'Индонезия 2038'!C37+'Индонезия 2038'!F37+(0.08*LN(1+0.5*'Ход 2038'!C43)*MAX(0,1-('Индонезия 2038'!C37+'Индонезия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2038'!B38+'Индонезия 2038'!D38+('Индонезия 2038'!C38+'Индонезия 2038'!F38+'Индонезия 2038'!G38)+(0.35*LN(1+0.6*'Ход 2038'!B44)*POWER(MAX(0,1-'Индонезия 2038'!I38/10),0.7))))</f>
        <v>9.8288890791791239</v>
      </c>
      <c r="C38" s="3">
        <f>MIN(1,(MIN(1,'Индонезия 2038'!C38+'Индонезия 2038'!F38+(0.08*LN(1+0.5*'Ход 2038'!C44)*MAX(0,1-('Индонезия 2038'!C38+'Индонезия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9.8288890791791239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2038'!B39+'Индонезия 2038'!D39+('Индонезия 2038'!C39+'Индонезия 2038'!F39+'Индонезия 2038'!G39)+(0.35*LN(1+0.6*'Ход 2038'!B45)*POWER(MAX(0,1-'Индонезия 2038'!I39/10),0.7))))</f>
        <v>10</v>
      </c>
      <c r="C39" s="3">
        <f>MIN(1,(MIN(1,'Индонезия 2038'!C39+'Индонезия 2038'!F39+(0.08*LN(1+0.5*'Ход 2038'!C45)*MAX(0,1-('Индонезия 2038'!C39+'Индонезия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2038'!B40+'Индонезия 2038'!D40+('Индонезия 2038'!C40+'Индонезия 2038'!F40+'Индонезия 2038'!G40)+(0.35*LN(1+0.6*'Ход 2038'!B46)*POWER(MAX(0,1-'Индонезия 2038'!I40/10),0.7))))</f>
        <v>10</v>
      </c>
      <c r="C40" s="3">
        <f>MIN(1,(MIN(1,'Индонезия 2038'!C40+'Индонезия 2038'!F40+(0.08*LN(1+0.5*'Ход 2038'!C46)*MAX(0,1-('Индонезия 2038'!C40+'Индонезия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2038'!B41+'Индонезия 2038'!D41+('Индонезия 2038'!C41+'Индонезия 2038'!F41+'Индонезия 2038'!G41)+(0.35*LN(1+0.6*'Ход 2038'!B47)*POWER(MAX(0,1-'Индонезия 2038'!I41/10),0.7))))</f>
        <v>10</v>
      </c>
      <c r="C41" s="3">
        <f>MIN(1,(MIN(1,'Индонезия 2038'!C41+'Индонезия 2038'!F41+(0.08*LN(1+0.5*'Ход 2038'!C47)*MAX(0,1-('Индонезия 2038'!C41+'Индонезия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2038'!B42+'Индонезия 2038'!D42+('Индонезия 2038'!C42+'Индонезия 2038'!F42+'Индонезия 2038'!G42)+(0.35*LN(1+0.6*'Ход 2038'!B48)*POWER(MAX(0,1-'Индонезия 2038'!I42/10),0.7))))</f>
        <v>9.8435946441648952</v>
      </c>
      <c r="C42" s="3">
        <f>MIN(1,(MIN(1,'Индонезия 2038'!C42+'Индонезия 2038'!F42+(0.08*LN(1+0.5*'Ход 2038'!C48)*MAX(0,1-('Индонезия 2038'!C42+'Индонезия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9.8435946441648952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2038'!B44+'Индонезия 2038'!D44+('Индонезия 2038'!C44+'Индонезия 2038'!F44+'Индонезия 2038'!G44)+(0.35*LN(1+0.6*'Ход 2038'!B50)*POWER(MAX(0,1-'Индонезия 2038'!I44/10),0.7))))</f>
        <v>9.1788890791791218</v>
      </c>
      <c r="C44" s="3">
        <f>MIN(1,(MIN(1,'Индонезия 2038'!C44+'Индонезия 2038'!F44+(0.08*LN(1+0.5*'Ход 2038'!C50)*MAX(0,1-('Индонезия 2038'!C44+'Индонезия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9.1788890791791218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2038'!B45+'Индонезия 2038'!D45+('Индонезия 2038'!C45+'Индонезия 2038'!F45+'Индонезия 2038'!G45)+(0.35*LN(1+0.6*'Ход 2038'!B51)*POWER(MAX(0,1-'Индонезия 2038'!I45/10),0.7))))</f>
        <v>9.1788890791791218</v>
      </c>
      <c r="C45" s="3">
        <f>MIN(1,(MIN(1,'Индонезия 2038'!C45+'Индонезия 2038'!F45+(0.08*LN(1+0.5*'Ход 2038'!C51)*MAX(0,1-('Индонезия 2038'!C45+'Индонезия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9.1788890791791218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2038'!B46+'Индонезия 2038'!D46+('Индонезия 2038'!C46+'Индонезия 2038'!F46+'Индонезия 2038'!G46)+(0.35*LN(1+0.6*'Ход 2038'!B52)*POWER(MAX(0,1-'Индонезия 2038'!I46/10),0.7))))</f>
        <v>9.1788890791791218</v>
      </c>
      <c r="C46" s="3">
        <f>MIN(1,(MIN(1,'Индонезия 2038'!C46+'Индонезия 2038'!F46+(0.08*LN(1+0.5*'Ход 2038'!C52)*MAX(0,1-('Индонезия 2038'!C46+'Индонезия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9.1788890791791218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2038'!B47+'Индонезия 2038'!D47+('Индонезия 2038'!C47+'Индонезия 2038'!F47+'Индонезия 2038'!G47)+(0.35*LN(1+0.6*'Ход 2038'!B53)*POWER(MAX(0,1-'Индонезия 2038'!I47/10),0.7))))</f>
        <v>9.0208197083824793</v>
      </c>
      <c r="C47" s="3">
        <f>MIN(1,(MIN(1,'Индонезия 2038'!C47+'Индонезия 2038'!F47+(0.08*LN(1+0.5*'Ход 2038'!C53)*MAX(0,1-('Индонезия 2038'!C47+'Индонезия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9.0208197083824793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2038'!B48+'Индонезия 2038'!D48+('Индонезия 2038'!C48+'Индонезия 2038'!F48+'Индонезия 2038'!G48)+(0.35*LN(1+0.6*'Ход 2038'!B54)*POWER(MAX(0,1-'Индонезия 2038'!I48/10),0.7))))</f>
        <v>#REF!</v>
      </c>
      <c r="C48" s="3">
        <f>MIN(1,(MIN(1,'Индонезия 2038'!C48+'Индонезия 2038'!F48+(0.08*LN(1+0.5*'Ход 2038'!C54)*MAX(0,1-('Индонезия 2038'!C48+'Индонезия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2038'!B49+'Индонезия 2038'!D49+('Индонезия 2038'!C49+'Индонезия 2038'!F49+'Индонезия 2038'!G49)+(0.35*LN(1+0.6*'Ход 2038'!B55)*POWER(MAX(0,1-'Индонезия 2038'!I49/10),0.7))))</f>
        <v>10</v>
      </c>
      <c r="C49" s="3">
        <f>MIN(1,(MIN(1,'Индонезия 2038'!C49+'Индонезия 2038'!F49+(0.08*LN(1+0.5*'Ход 2038'!C55)*MAX(0,1-('Индонезия 2038'!C49+'Индонезия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2038'!B50+'Индонезия 2038'!D50+('Индонезия 2038'!C50+'Индонезия 2038'!F50+'Индонезия 2038'!G50)+(0.35*LN(1+0.6*'Ход 2038'!B56)*POWER(MAX(0,1-'Индонезия 2038'!I50/10),0.7))))</f>
        <v>10</v>
      </c>
      <c r="C50" s="3">
        <f>MIN(1,(MIN(1,'Индонезия 2038'!C50+'Индонезия 2038'!F50+(0.08*LN(1+0.5*'Ход 2038'!C56)*MAX(0,1-('Индонезия 2038'!C50+'Индонезия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2038'!B51+'Индонезия 2038'!D51+('Индонезия 2038'!C51+'Индонезия 2038'!F51+'Индонезия 2038'!G51)+(0.35*LN(1+0.6*'Ход 2038'!B57)*POWER(MAX(0,1-'Индонезия 2038'!I51/10),0.7))))</f>
        <v>9.8288890791791239</v>
      </c>
      <c r="C51" s="3">
        <f>MIN(1,(MIN(1,'Индонезия 2038'!C51+'Индонезия 2038'!F51+(0.08*LN(1+0.5*'Ход 2038'!C57)*MAX(0,1-('Индонезия 2038'!C51+'Индонезия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9.8288890791791239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2038'!B53+'Индонезия 2038'!D53+('Индонезия 2038'!C53+'Индонезия 2038'!F53+'Индонезия 2038'!G53)+(0.35*LN(1+0.6*'Ход 2038'!B59)*POWER(MAX(0,1-'Индонезия 2038'!I53/10),0.7))))</f>
        <v>9.3366186178916237</v>
      </c>
      <c r="C53" s="3">
        <f>MIN(1,(MIN(1,'Индонезия 2038'!C53+'Индонезия 2038'!F53+(0.08*LN(1+0.5*'Ход 2038'!C59)*MAX(0,1-('Индонезия 2038'!C53+'Индонезия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9.3366186178916237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2038'!B54+'Индонезия 2038'!D54+('Индонезия 2038'!C54+'Индонезия 2038'!F54+'Индонезия 2038'!G54)+(0.35*LN(1+0.6*'Ход 2038'!B60)*POWER(MAX(0,1-'Индонезия 2038'!I54/10),0.7))))</f>
        <v>9.3366186178916237</v>
      </c>
      <c r="C54" s="3">
        <f>MIN(1,(MIN(1,'Индонезия 2038'!C54+'Индонезия 2038'!F54+(0.08*LN(1+0.5*'Ход 2038'!C60)*MAX(0,1-('Индонезия 2038'!C54+'Индонезия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9.3366186178916237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2038'!B55+'Индонезия 2038'!D55+('Индонезия 2038'!C55+'Индонезия 2038'!F55+'Индонезия 2038'!G55)+(0.35*LN(1+0.6*'Ход 2038'!B61)*POWER(MAX(0,1-'Индонезия 2038'!I55/10),0.7))))</f>
        <v>8.1940628244860321</v>
      </c>
      <c r="C55" s="3">
        <f>MIN(1,(MIN(1,'Индонезия 2038'!C55+'Индонезия 2038'!F55+(0.08*LN(1+0.5*'Ход 2038'!C61)*MAX(0,1-('Индонезия 2038'!C55+'Индонезия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8.1940628244860321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2039'!U6</f>
        <v>98.358119991630204</v>
      </c>
      <c r="C6" s="3"/>
      <c r="D6" s="3"/>
      <c r="E6" s="3" t="s">
        <v>321</v>
      </c>
      <c r="F6" s="3" t="e">
        <f>'Индонезия 2039'!K6</f>
        <v>#REF!</v>
      </c>
      <c r="G6" s="3"/>
      <c r="H6" s="3"/>
      <c r="I6" s="3" t="s">
        <v>321</v>
      </c>
      <c r="J6" s="3">
        <f>'Индонезия 2039'!N6</f>
        <v>99.701805579495357</v>
      </c>
      <c r="K6" s="3"/>
      <c r="L6" s="3"/>
      <c r="M6" s="3" t="s">
        <v>321</v>
      </c>
      <c r="N6" s="3">
        <f>'Индонезия 2039'!Q6</f>
        <v>88.676589327616867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98.358119991630204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99.701805579495357</v>
      </c>
      <c r="K8" s="3" t="str">
        <f>IF(J8&lt;0,"ПРЕВЫШЕНИЕ","OK")</f>
        <v>OK</v>
      </c>
      <c r="L8" s="3"/>
      <c r="M8" s="3" t="s">
        <v>323</v>
      </c>
      <c r="N8" s="3">
        <f>N6-N7</f>
        <v>88.676589327616867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2039'!V11</f>
        <v>2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2039'!V12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2039'!V13</f>
        <v>2.7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2039'!V14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2039'!V15</f>
        <v>1.8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2039'!V16</f>
        <v>1.8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2039'!V17</f>
        <v>1.7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2039'!V18</f>
        <v>2.9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2039'!V19</f>
        <v>2.4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2039'!V20</f>
        <v>2.5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2039'!V21</f>
        <v>2.4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2039'!V22</f>
        <v>1.6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'Индонезия 2039'!V23</f>
        <v>-1.2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2039'!V24</f>
        <v>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2039'!V25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99.783116490054866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89.00180444673363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98.571464485386542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2039'!B8+'Индонезия 2039'!D8+('Индонезия 2039'!C8+'Индонезия 2039'!F8+'Индонезия 2039'!G8)+(0.35*LN(1+0.6*('Ход 2039'!B14*(1+'Эффекты технологий'!W$12)))*POWER(MAX(0,1-'Индонезия 2039'!I8/10),0.7))))</f>
        <v>9.7968107313668824</v>
      </c>
      <c r="C8" s="3">
        <f>MIN(1,(MIN(1,'Индонезия 2039'!C8+'Индонезия 2039'!F8+(0.08*LN(1+0.5*('Ход 2039'!C14*(1+'Эффекты технологий'!W$12)))*MAX(0,1-('Индонезия 2039'!C8+'Индонезия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9.7968107313668824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2039'!B9+'Индонезия 2039'!D9+('Индонезия 2039'!C9+'Индонезия 2039'!F9+'Индонезия 2039'!G9)+(0.35*LN(1+0.6*('Ход 2039'!B15*(1+'Эффекты технологий'!W$12)))*POWER(MAX(0,1-'Индонезия 2039'!I9/10),0.7))))</f>
        <v>7.9054128889638973</v>
      </c>
      <c r="C9" s="3">
        <f>MIN(1,(MIN(1,'Индонезия 2039'!C9+'Индонезия 2039'!F9+(0.08*LN(1+0.5*('Ход 2039'!C15*(1+'Эффекты технологий'!W$12)))*MAX(0,1-('Индонезия 2039'!C9+'Индонезия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7.9054128889638973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2039'!B10+'Индонезия 2039'!D10+('Индонезия 2039'!C10+'Индонезия 2039'!F10+'Индонезия 2039'!G10)+(0.35*LN(1+0.6*('Ход 2039'!B16*(1+'Эффекты технологий'!W$12)))*POWER(MAX(0,1-'Индонезия 2039'!I10/10),0.7))))</f>
        <v>9.5731249250628618</v>
      </c>
      <c r="C10" s="3">
        <f>MIN(1,(MIN(1,'Индонезия 2039'!C10+'Индонезия 2039'!F10+(0.08*LN(1+0.5*('Ход 2039'!C16*(1+'Эффекты технологий'!W$12)))*MAX(0,1-('Индонезия 2039'!C10+'Индонезия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9.5731249250628618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2039'!B11+'Индонезия 2039'!D11+('Индонезия 2039'!C11+'Индонезия 2039'!F11+'Индонезия 2039'!G11)+(0.35*LN(1+0.6*('Ход 2039'!B17*(1+'Эффекты технологий'!W$12)))*POWER(MAX(0,1-'Индонезия 2039'!I11/10),0.7))))</f>
        <v>8.8731249250628768</v>
      </c>
      <c r="C11" s="3">
        <f>MIN(1,(MIN(1,'Индонезия 2039'!C11+'Индонезия 2039'!F11+(0.08*LN(1+0.5*('Ход 2039'!C17*(1+'Эффекты технологий'!W$12)))*MAX(0,1-('Индонезия 2039'!C11+'Индонезия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8.8731249250628768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2039'!L11+'Индонезия 2039'!N11+('Индонезия 2039'!M11+'Индонезия 2039'!P11+'Индонезия 2039'!Q11)))</f>
        <v>10</v>
      </c>
      <c r="M11" s="3">
        <f>MIN(1,(MIN(1,'Индонезия 2039'!M11+'Индонезия 2039'!P11+(0.1*LN(1+0.5*('Ход 2039'!H13*(1+'Эффекты технологий'!W$10)))*POWER(MAX(0,1-'Индонезия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2039'!V11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2039'!B12+'Индонезия 2039'!D12+('Индонезия 2039'!C12+'Индонезия 2039'!F12+'Индонезия 2039'!G12)+(0.35*LN(1+0.6*('Ход 2039'!B18*(1+'Эффекты технологий'!W$12)))*POWER(MAX(0,1-'Индонезия 2039'!I12/10),0.7))))</f>
        <v>9.8358910416054037</v>
      </c>
      <c r="C12" s="3">
        <f>MIN(1,(MIN(1,'Индонезия 2039'!C12+'Индонезия 2039'!F12+(0.08*LN(1+0.5*('Ход 2039'!C18*(1+'Эффекты технологий'!W$12)))*MAX(0,1-('Индонезия 2039'!C12+'Индонезия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9.8358910416054037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2039'!L12+'Индонезия 2039'!N12+('Индонезия 2039'!M12+'Индонезия 2039'!P12+'Индонезия 2039'!Q12)))</f>
        <v>10</v>
      </c>
      <c r="M12" s="3">
        <f>MIN(1,(MIN(1,'Индонезия 2039'!M12+'Индонезия 2039'!P12+(0.1*LN(1+0.5*('Ход 2039'!H14*(1+'Эффекты технологий'!W$10)))*POWER(MAX(0,1-'Индонезия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2039'!V12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2039'!B13+'Индонезия 2039'!D13+('Индонезия 2039'!C13+'Индонезия 2039'!F13+'Индонезия 2039'!G13)+(0.35*LN(1+0.6*('Ход 2039'!B19*(1+'Эффекты технологий'!W$12)))*POWER(MAX(0,1-'Индонезия 2039'!I13/10),0.7))))</f>
        <v>6.5082533175883972</v>
      </c>
      <c r="C13" s="3">
        <f>MIN(1,(MIN(1,'Индонезия 2039'!C13+'Индонезия 2039'!F13+(0.08*LN(1+0.5*('Ход 2039'!C19*(1+'Эффекты технологий'!W$12)))*MAX(0,1-('Индонезия 2039'!C13+'Индонезия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6.5082533175883972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2039'!L13+'Индонезия 2039'!N13+('Индонезия 2039'!M13+'Индонезия 2039'!P13+'Индонезия 2039'!Q13)))</f>
        <v>10</v>
      </c>
      <c r="M13" s="3">
        <f>MIN(1,(MIN(1,'Индонезия 2039'!M13+'Индонезия 2039'!P13+(0.1*LN(1+0.5*('Ход 2039'!H15*(1+'Эффекты технологий'!W$10)))*POWER(MAX(0,1-'Индонезия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2039'!V13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2039'!B14+'Индонезия 2039'!D14+('Индонезия 2039'!C14+'Индонезия 2039'!F14+'Индонезия 2039'!G14)+(0.35*LN(1+0.6*('Ход 2039'!B20*(1+'Эффекты технологий'!W$12)))*POWER(MAX(0,1-'Индонезия 2039'!I14/10),0.7))))</f>
        <v>8.539335562551349</v>
      </c>
      <c r="C14" s="3">
        <f>MIN(1,(MIN(1,'Индонезия 2039'!C14+'Индонезия 2039'!F14+(0.08*LN(1+0.5*('Ход 2039'!C20*(1+'Эффекты технологий'!W$12)))*MAX(0,1-('Индонезия 2039'!C14+'Индонезия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8.7393355625513482</v>
      </c>
      <c r="J14" s="10">
        <f>SUMIFS('Эффекты технологий'!$X$25:$X$240,'Эффекты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2039'!L14+'Индонезия 2039'!N14+('Индонезия 2039'!M14+'Индонезия 2039'!P14+'Индонезия 2039'!Q14)))</f>
        <v>10</v>
      </c>
      <c r="M14" s="3">
        <f>MIN(1,(MIN(1,'Индонезия 2039'!M14+'Индонезия 2039'!P14+(0.1*LN(1+0.5*('Ход 2039'!H16*(1+'Эффекты технологий'!W$10)))*POWER(MAX(0,1-'Индонезия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2039'!V14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2039'!B15+'Индонезия 2039'!D15+('Индонезия 2039'!C15+'Индонезия 2039'!F15+'Индонезия 2039'!G15)+(0.35*LN(1+0.6*('Ход 2039'!B21*(1+'Эффекты технологий'!W$12)))*POWER(MAX(0,1-'Индонезия 2039'!I15/10),0.7))))</f>
        <v>10</v>
      </c>
      <c r="C15" s="3">
        <f>MIN(1,(MIN(1,'Индонезия 2039'!C15+'Индонезия 2039'!F15+(0.08*LN(1+0.5*('Ход 2039'!C21*(1+'Эффекты технологий'!W$12)))*MAX(0,1-('Индонезия 2039'!C15+'Индонезия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2039'!L15+'Индонезия 2039'!N15+('Индонезия 2039'!M15+'Индонезия 2039'!P15+'Индонезия 2039'!Q15)))</f>
        <v>10</v>
      </c>
      <c r="M15" s="3">
        <f>MIN(1,(MIN(1,'Индонезия 2039'!M15+'Индонезия 2039'!P15+(0.1*LN(1+0.5*('Ход 2039'!H17*(1+'Эффекты технологий'!W$10)))*POWER(MAX(0,1-'Индонезия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2039'!V15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2039'!B16+'Индонезия 2039'!D16+('Индонезия 2039'!C16+'Индонезия 2039'!F16+'Индонезия 2039'!G16)+(0.35*LN(1+0.6*('Ход 2039'!B22*(1+'Эффекты технологий'!W$12)))*POWER(MAX(0,1-'Индонезия 2039'!I16/10),0.7))))</f>
        <v>10</v>
      </c>
      <c r="C16" s="3">
        <f>MIN(1,(MIN(1,'Индонезия 2039'!C16+'Индонезия 2039'!F16+(0.08*LN(1+0.5*('Ход 2039'!C22*(1+'Эффекты технологий'!W$12)))*MAX(0,1-('Индонезия 2039'!C16+'Индонезия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2039'!L16+'Индонезия 2039'!N16+('Индонезия 2039'!M16+'Индонезия 2039'!P16+'Индонезия 2039'!Q16)))</f>
        <v>10</v>
      </c>
      <c r="M16" s="3">
        <f>MIN(1,(MIN(1,'Индонезия 2039'!M16+'Индонезия 2039'!P16+(0.1*LN(1+0.5*('Ход 2039'!H18*(1+'Эффекты технологий'!W$10)))*POWER(MAX(0,1-'Индонезия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2039'!V16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2039'!B17+'Индонезия 2039'!D17+('Индонезия 2039'!C17+'Индонезия 2039'!F17+'Индонезия 2039'!G17)+(0.35*LN(1+0.6*('Ход 2039'!B23*(1+'Эффекты технологий'!W$12)))*POWER(MAX(0,1-'Индонезия 2039'!I17/10),0.7))))</f>
        <v>9.87081970838247</v>
      </c>
      <c r="C17" s="3">
        <f>MIN(1,(MIN(1,'Индонезия 2039'!C17+'Индонезия 2039'!F17+(0.08*LN(1+0.5*('Ход 2039'!C23*(1+'Эффекты технологий'!W$12)))*MAX(0,1-('Индонезия 2039'!C17+'Индонезия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9.87081970838247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2039'!L17+'Индонезия 2039'!N17+('Индонезия 2039'!M17+'Индонезия 2039'!P17+'Индонезия 2039'!Q17)))</f>
        <v>10</v>
      </c>
      <c r="M17" s="3">
        <f>MIN(1,(MIN(1,'Индонезия 2039'!M17+'Индонезия 2039'!P17+(0.1*LN(1+0.5*('Ход 2039'!H19*(1+'Эффекты технологий'!W$10)))*POWER(MAX(0,1-'Индонезия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2039'!V17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2039'!L18+'Индонезия 2039'!N18+('Индонезия 2039'!M18+'Индонезия 2039'!P18+'Индонезия 2039'!Q18)))</f>
        <v>10</v>
      </c>
      <c r="M18" s="3">
        <f>MIN(1,(MIN(1,'Индонезия 2039'!M18+'Индонезия 2039'!P18+(0.1*LN(1+0.5*('Ход 2039'!H20*(1+'Эффекты технологий'!W$10)))*POWER(MAX(0,1-'Индонезия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2039'!V18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2039'!B19+'Индонезия 2039'!D19+('Индонезия 2039'!C19+'Индонезия 2039'!F19+'Индонезия 2039'!G19)+(0.35*LN(1+0.6*'Ход 2039'!B25)*POWER(MAX(0,1-'Индонезия 2039'!I19/10),0.7))))</f>
        <v>9.5866186178916237</v>
      </c>
      <c r="C19" s="3">
        <f>MIN(1,(MIN(1,'Индонезия 2039'!C19+'Индонезия 2039'!F19+(0.08*LN(1+0.5*'Ход 2039'!C25)*MAX(0,1-('Индонезия 2039'!C19+'Индонезия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9.5866186178916237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2039'!V19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2039'!B20+'Индонезия 2039'!D20+('Индонезия 2039'!C20+'Индонезия 2039'!F20+'Индонезия 2039'!G20)+(0.35*LN(1+0.6*'Ход 2039'!B26)*POWER(MAX(0,1-'Индонезия 2039'!I20/10),0.7))))</f>
        <v>10</v>
      </c>
      <c r="C20" s="3">
        <f>MIN(1,(MIN(1,'Индонезия 2039'!C20+'Индонезия 2039'!F20+(0.08*LN(1+0.5*'Ход 2039'!C26)*MAX(0,1-('Индонезия 2039'!C20+'Индонезия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2039'!V20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2039'!B21+'Индонезия 2039'!D21+('Индонезия 2039'!C21+'Индонезия 2039'!F21+'Индонезия 2039'!G21)+(0.35*LN(1+0.6*'Ход 2039'!B27)*POWER(MAX(0,1-'Индонезия 2039'!I21/10),0.7))))</f>
        <v>9.7940628244860317</v>
      </c>
      <c r="C21" s="3">
        <f>MIN(1,(MIN(1,'Индонезия 2039'!C21+'Индонезия 2039'!F21+(0.08*LN(1+0.5*'Ход 2039'!C27)*MAX(0,1-('Индонезия 2039'!C21+'Индонезия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9.7940628244860317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2039'!V21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2039'!B22+'Индонезия 2039'!D22+('Индонезия 2039'!C22+'Индонезия 2039'!F22+'Индонезия 2039'!G22)+(0.35*LN(1+0.6*'Ход 2039'!B28)*POWER(MAX(0,1-'Индонезия 2039'!I22/10),0.7))))</f>
        <v>9.3788890791791211</v>
      </c>
      <c r="C22" s="3">
        <f>MIN(1,(MIN(1,'Индонезия 2039'!C22+'Индонезия 2039'!F22+(0.08*LN(1+0.5*'Ход 2039'!C28)*MAX(0,1-('Индонезия 2039'!C22+'Индонезия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9.3788890791791211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2039'!V22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2039'!B23+'Индонезия 2039'!D23+('Индонезия 2039'!C23+'Индонезия 2039'!F23+'Индонезия 2039'!G23)+(0.35*LN(1+0.6*'Ход 2039'!B29)*POWER(MAX(0,1-'Индонезия 2039'!I23/10),0.7))))</f>
        <v>9.5866186178916237</v>
      </c>
      <c r="C23" s="3">
        <f>MIN(1,(MIN(1,'Индонезия 2039'!C23+'Индонезия 2039'!F23+(0.08*LN(1+0.5*'Ход 2039'!C29)*MAX(0,1-('Индонезия 2039'!C23+'Индонезия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9.5866186178916237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2039'!V23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2039'!V24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2039'!B25+'Индонезия 2039'!D25+('Индонезия 2039'!C25+'Индонезия 2039'!F25+'Индонезия 2039'!G25)+(0.35*LN(1+0.6*'Ход 2039'!B31)*POWER(MAX(0,1-'Индонезия 2039'!I25/10),0.7))))</f>
        <v>9.9435946441648948</v>
      </c>
      <c r="C25" s="3">
        <f>MIN(1,(MIN(1,'Индонезия 2039'!C25+'Индонезия 2039'!F25+(0.08*LN(1+0.5*'Ход 2039'!C31)*MAX(0,1-('Индонезия 2039'!C25+'Индонезия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9.9435946441648948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2039'!V25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2039'!B26+'Индонезия 2039'!D26+('Индонезия 2039'!C26+'Индонезия 2039'!F26+'Индонезия 2039'!G26)+(0.35*LN(1+0.6*'Ход 2039'!B32)*POWER(MAX(0,1-'Индонезия 2039'!I26/10),0.7))))</f>
        <v>10</v>
      </c>
      <c r="C26" s="3">
        <f>MIN(1,(MIN(1,'Индонезия 2039'!C26+'Индонезия 2039'!F26+(0.08*LN(1+0.5*'Ход 2039'!C32)*MAX(0,1-('Индонезия 2039'!C26+'Индонезия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2039'!B27+'Индонезия 2039'!D27+('Индонезия 2039'!C27+'Индонезия 2039'!F27+'Индонезия 2039'!G27)+(0.35*LN(1+0.6*'Ход 2039'!B33)*POWER(MAX(0,1-'Индонезия 2039'!I27/10),0.7))))</f>
        <v>9.87081970838247</v>
      </c>
      <c r="C27" s="3">
        <f>MIN(1,(MIN(1,'Индонезия 2039'!C27+'Индонезия 2039'!F27+(0.08*LN(1+0.5*'Ход 2039'!C33)*MAX(0,1-('Индонезия 2039'!C27+'Индонезия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9.87081970838247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2039'!B28+'Индонезия 2039'!D28+('Индонезия 2039'!C28+'Индонезия 2039'!F28+'Индонезия 2039'!G28)+(0.35*LN(1+0.6*'Ход 2039'!B34)*POWER(MAX(0,1-'Индонезия 2039'!I28/10),0.7))))</f>
        <v>10</v>
      </c>
      <c r="C28" s="3">
        <f>MIN(1,(MIN(1,'Индонезия 2039'!C28+'Индонезия 2039'!F28+(0.08*LN(1+0.5*'Ход 2039'!C34)*MAX(0,1-('Индонезия 2039'!C28+'Индонезия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2039'!B29+'Индонезия 2039'!D29+('Индонезия 2039'!C29+'Индонезия 2039'!F29+'Индонезия 2039'!G29)+(0.35*LN(1+0.6*'Ход 2039'!B35)*POWER(MAX(0,1-'Индонезия 2039'!I29/10),0.7))))</f>
        <v>9.5866186178916237</v>
      </c>
      <c r="C29" s="3">
        <f>MIN(1,(MIN(1,'Индонезия 2039'!C29+'Индонезия 2039'!F29+(0.08*LN(1+0.5*'Ход 2039'!C35)*MAX(0,1-('Индонезия 2039'!C29+'Индонезия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9.5866186178916237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2039'!B30+'Индонезия 2039'!D30+('Индонезия 2039'!C30+'Индонезия 2039'!F30+'Индонезия 2039'!G30)+(0.35*LN(1+0.6*'Ход 2039'!B36)*POWER(MAX(0,1-'Индонезия 2039'!I30/10),0.7))))</f>
        <v>8.8866186178916209</v>
      </c>
      <c r="C30" s="3">
        <f>MIN(1,(MIN(1,'Индонезия 2039'!C30+'Индонезия 2039'!F30+(0.08*LN(1+0.5*'Ход 2039'!C36)*MAX(0,1-('Индонезия 2039'!C30+'Индонезия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8.8866186178916209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2039'!B31+'Индонезия 2039'!D31+('Индонезия 2039'!C31+'Индонезия 2039'!F31+'Индонезия 2039'!G31)+(0.35*LN(1+0.6*'Ход 2039'!B37)*POWER(MAX(0,1-'Индонезия 2039'!I31/10),0.7))))</f>
        <v>8.8866186178916209</v>
      </c>
      <c r="C31" s="3">
        <f>MIN(1,(MIN(1,'Индонезия 2039'!C31+'Индонезия 2039'!F31+(0.08*LN(1+0.5*'Ход 2039'!C37)*MAX(0,1-('Индонезия 2039'!C31+'Индонезия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8.8866186178916209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2039'!B32+'Индонезия 2039'!D32+('Индонезия 2039'!C32+'Индонезия 2039'!F32+'Индонезия 2039'!G32)+(0.35*LN(1+0.6*'Ход 2039'!B38)*POWER(MAX(0,1-'Индонезия 2039'!I32/10),0.7))))</f>
        <v>10</v>
      </c>
      <c r="C32" s="3">
        <f>MIN(1,(MIN(1,'Индонезия 2039'!C32+'Индонезия 2039'!F32+(0.08*LN(1+0.5*'Ход 2039'!C38)*MAX(0,1-('Индонезия 2039'!C32+'Индонезия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2039'!B34+'Индонезия 2039'!D34+('Индонезия 2039'!C34+'Индонезия 2039'!F34+'Индонезия 2039'!G34)+(0.35*LN(1+0.6*'Ход 2039'!B40)*POWER(MAX(0,1-'Индонезия 2039'!I34/10),0.7))))</f>
        <v>10</v>
      </c>
      <c r="C34" s="3">
        <f>MIN(1,(MIN(1,'Индонезия 2039'!C34+'Индонезия 2039'!F34+(0.08*LN(1+0.5*'Ход 2039'!C40)*MAX(0,1-('Индонезия 2039'!C34+'Индонезия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2039'!B35+'Индонезия 2039'!D35+('Индонезия 2039'!C35+'Индонезия 2039'!F35+'Индонезия 2039'!G35)+(0.35*LN(1+0.6*'Ход 2039'!B41)*POWER(MAX(0,1-'Индонезия 2039'!I35/10),0.7))))</f>
        <v>9.6623343251271852</v>
      </c>
      <c r="C35" s="3">
        <f>MIN(1,(MIN(1,'Индонезия 2039'!C35+'Индонезия 2039'!F35+(0.08*LN(1+0.5*'Ход 2039'!C41)*MAX(0,1-('Индонезия 2039'!C35+'Индонезия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9.6623343251271852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2039'!B36+'Индонезия 2039'!D36+('Индонезия 2039'!C36+'Индонезия 2039'!F36+'Индонезия 2039'!G36)+(0.35*LN(1+0.6*'Ход 2039'!B42)*POWER(MAX(0,1-'Индонезия 2039'!I36/10),0.7))))</f>
        <v>10</v>
      </c>
      <c r="C36" s="3">
        <f>MIN(1,(MIN(1,'Индонезия 2039'!C36+'Индонезия 2039'!F36+(0.08*LN(1+0.5*'Ход 2039'!C42)*MAX(0,1-('Индонезия 2039'!C36+'Индонезия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2039'!B37+'Индонезия 2039'!D37+('Индонезия 2039'!C37+'Индонезия 2039'!F37+'Индонезия 2039'!G37)+(0.35*LN(1+0.6*'Ход 2039'!B43)*POWER(MAX(0,1-'Индонезия 2039'!I37/10),0.7))))</f>
        <v>10</v>
      </c>
      <c r="C37" s="3">
        <f>MIN(1,(MIN(1,'Индонезия 2039'!C37+'Индонезия 2039'!F37+(0.08*LN(1+0.5*'Ход 2039'!C43)*MAX(0,1-('Индонезия 2039'!C37+'Индонезия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2039'!B38+'Индонезия 2039'!D38+('Индонезия 2039'!C38+'Индонезия 2039'!F38+'Индонезия 2039'!G38)+(0.35*LN(1+0.6*'Ход 2039'!B44)*POWER(MAX(0,1-'Индонезия 2039'!I38/10),0.7))))</f>
        <v>10</v>
      </c>
      <c r="C38" s="3">
        <f>MIN(1,(MIN(1,'Индонезия 2039'!C38+'Индонезия 2039'!F38+(0.08*LN(1+0.5*'Ход 2039'!C44)*MAX(0,1-('Индонезия 2039'!C38+'Индонезия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2039'!B39+'Индонезия 2039'!D39+('Индонезия 2039'!C39+'Индонезия 2039'!F39+'Индонезия 2039'!G39)+(0.35*LN(1+0.6*'Ход 2039'!B45)*POWER(MAX(0,1-'Индонезия 2039'!I39/10),0.7))))</f>
        <v>10</v>
      </c>
      <c r="C39" s="3">
        <f>MIN(1,(MIN(1,'Индонезия 2039'!C39+'Индонезия 2039'!F39+(0.08*LN(1+0.5*'Ход 2039'!C45)*MAX(0,1-('Индонезия 2039'!C39+'Индонезия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2039'!B40+'Индонезия 2039'!D40+('Индонезия 2039'!C40+'Индонезия 2039'!F40+'Индонезия 2039'!G40)+(0.35*LN(1+0.6*'Ход 2039'!B46)*POWER(MAX(0,1-'Индонезия 2039'!I40/10),0.7))))</f>
        <v>10</v>
      </c>
      <c r="C40" s="3">
        <f>MIN(1,(MIN(1,'Индонезия 2039'!C40+'Индонезия 2039'!F40+(0.08*LN(1+0.5*'Ход 2039'!C46)*MAX(0,1-('Индонезия 2039'!C40+'Индонезия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2039'!B41+'Индонезия 2039'!D41+('Индонезия 2039'!C41+'Индонезия 2039'!F41+'Индонезия 2039'!G41)+(0.35*LN(1+0.6*'Ход 2039'!B47)*POWER(MAX(0,1-'Индонезия 2039'!I41/10),0.7))))</f>
        <v>10</v>
      </c>
      <c r="C41" s="3">
        <f>MIN(1,(MIN(1,'Индонезия 2039'!C41+'Индонезия 2039'!F41+(0.08*LN(1+0.5*'Ход 2039'!C47)*MAX(0,1-('Индонезия 2039'!C41+'Индонезия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2039'!B42+'Индонезия 2039'!D42+('Индонезия 2039'!C42+'Индонезия 2039'!F42+'Индонезия 2039'!G42)+(0.35*LN(1+0.6*'Ход 2039'!B48)*POWER(MAX(0,1-'Индонезия 2039'!I42/10),0.7))))</f>
        <v>9.9435946441648948</v>
      </c>
      <c r="C42" s="3">
        <f>MIN(1,(MIN(1,'Индонезия 2039'!C42+'Индонезия 2039'!F42+(0.08*LN(1+0.5*'Ход 2039'!C48)*MAX(0,1-('Индонезия 2039'!C42+'Индонезия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9.9435946441648948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2039'!B44+'Индонезия 2039'!D44+('Индонезия 2039'!C44+'Индонезия 2039'!F44+'Индонезия 2039'!G44)+(0.35*LN(1+0.6*'Ход 2039'!B50)*POWER(MAX(0,1-'Индонезия 2039'!I44/10),0.7))))</f>
        <v>9.3788890791791211</v>
      </c>
      <c r="C44" s="3">
        <f>MIN(1,(MIN(1,'Индонезия 2039'!C44+'Индонезия 2039'!F44+(0.08*LN(1+0.5*'Ход 2039'!C50)*MAX(0,1-('Индонезия 2039'!C44+'Индонезия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9.3788890791791211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2039'!B45+'Индонезия 2039'!D45+('Индонезия 2039'!C45+'Индонезия 2039'!F45+'Индонезия 2039'!G45)+(0.35*LN(1+0.6*'Ход 2039'!B51)*POWER(MAX(0,1-'Индонезия 2039'!I45/10),0.7))))</f>
        <v>9.3788890791791211</v>
      </c>
      <c r="C45" s="3">
        <f>MIN(1,(MIN(1,'Индонезия 2039'!C45+'Индонезия 2039'!F45+(0.08*LN(1+0.5*'Ход 2039'!C51)*MAX(0,1-('Индонезия 2039'!C45+'Индонезия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9.3788890791791211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2039'!B46+'Индонезия 2039'!D46+('Индонезия 2039'!C46+'Индонезия 2039'!F46+'Индонезия 2039'!G46)+(0.35*LN(1+0.6*'Ход 2039'!B52)*POWER(MAX(0,1-'Индонезия 2039'!I46/10),0.7))))</f>
        <v>9.3788890791791211</v>
      </c>
      <c r="C46" s="3">
        <f>MIN(1,(MIN(1,'Индонезия 2039'!C46+'Индонезия 2039'!F46+(0.08*LN(1+0.5*'Ход 2039'!C52)*MAX(0,1-('Индонезия 2039'!C46+'Индонезия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9.3788890791791211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2039'!B47+'Индонезия 2039'!D47+('Индонезия 2039'!C47+'Индонезия 2039'!F47+'Индонезия 2039'!G47)+(0.35*LN(1+0.6*'Ход 2039'!B53)*POWER(MAX(0,1-'Индонезия 2039'!I47/10),0.7))))</f>
        <v>9.1708197083824796</v>
      </c>
      <c r="C47" s="3">
        <f>MIN(1,(MIN(1,'Индонезия 2039'!C47+'Индонезия 2039'!F47+(0.08*LN(1+0.5*'Ход 2039'!C53)*MAX(0,1-('Индонезия 2039'!C47+'Индонезия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9.1708197083824796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2039'!B48+'Индонезия 2039'!D48+('Индонезия 2039'!C48+'Индонезия 2039'!F48+'Индонезия 2039'!G48)+(0.35*LN(1+0.6*'Ход 2039'!B54)*POWER(MAX(0,1-'Индонезия 2039'!I48/10),0.7))))</f>
        <v>#REF!</v>
      </c>
      <c r="C48" s="3">
        <f>MIN(1,(MIN(1,'Индонезия 2039'!C48+'Индонезия 2039'!F48+(0.08*LN(1+0.5*'Ход 2039'!C54)*MAX(0,1-('Индонезия 2039'!C48+'Индонезия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2039'!B49+'Индонезия 2039'!D49+('Индонезия 2039'!C49+'Индонезия 2039'!F49+'Индонезия 2039'!G49)+(0.35*LN(1+0.6*'Ход 2039'!B55)*POWER(MAX(0,1-'Индонезия 2039'!I49/10),0.7))))</f>
        <v>10</v>
      </c>
      <c r="C49" s="3">
        <f>MIN(1,(MIN(1,'Индонезия 2039'!C49+'Индонезия 2039'!F49+(0.08*LN(1+0.5*'Ход 2039'!C55)*MAX(0,1-('Индонезия 2039'!C49+'Индонезия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2039'!B50+'Индонезия 2039'!D50+('Индонезия 2039'!C50+'Индонезия 2039'!F50+'Индонезия 2039'!G50)+(0.35*LN(1+0.6*'Ход 2039'!B56)*POWER(MAX(0,1-'Индонезия 2039'!I50/10),0.7))))</f>
        <v>10</v>
      </c>
      <c r="C50" s="3">
        <f>MIN(1,(MIN(1,'Индонезия 2039'!C50+'Индонезия 2039'!F50+(0.08*LN(1+0.5*'Ход 2039'!C56)*MAX(0,1-('Индонезия 2039'!C50+'Индонезия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2039'!B51+'Индонезия 2039'!D51+('Индонезия 2039'!C51+'Индонезия 2039'!F51+'Индонезия 2039'!G51)+(0.35*LN(1+0.6*'Ход 2039'!B57)*POWER(MAX(0,1-'Индонезия 2039'!I51/10),0.7))))</f>
        <v>10</v>
      </c>
      <c r="C51" s="3">
        <f>MIN(1,(MIN(1,'Индонезия 2039'!C51+'Индонезия 2039'!F51+(0.08*LN(1+0.5*'Ход 2039'!C57)*MAX(0,1-('Индонезия 2039'!C51+'Индонезия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2039'!B53+'Индонезия 2039'!D53+('Индонезия 2039'!C53+'Индонезия 2039'!F53+'Индонезия 2039'!G53)+(0.35*LN(1+0.6*'Ход 2039'!B59)*POWER(MAX(0,1-'Индонезия 2039'!I53/10),0.7))))</f>
        <v>9.5866186178916237</v>
      </c>
      <c r="C53" s="3">
        <f>MIN(1,(MIN(1,'Индонезия 2039'!C53+'Индонезия 2039'!F53+(0.08*LN(1+0.5*'Ход 2039'!C59)*MAX(0,1-('Индонезия 2039'!C53+'Индонезия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9.5866186178916237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2039'!B54+'Индонезия 2039'!D54+('Индонезия 2039'!C54+'Индонезия 2039'!F54+'Индонезия 2039'!G54)+(0.35*LN(1+0.6*'Ход 2039'!B60)*POWER(MAX(0,1-'Индонезия 2039'!I54/10),0.7))))</f>
        <v>9.5866186178916237</v>
      </c>
      <c r="C54" s="3">
        <f>MIN(1,(MIN(1,'Индонезия 2039'!C54+'Индонезия 2039'!F54+(0.08*LN(1+0.5*'Ход 2039'!C60)*MAX(0,1-('Индонезия 2039'!C54+'Индонезия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9.5866186178916237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2039'!B55+'Индонезия 2039'!D55+('Индонезия 2039'!C55+'Индонезия 2039'!F55+'Индонезия 2039'!G55)+(0.35*LN(1+0.6*'Ход 2039'!B61)*POWER(MAX(0,1-'Индонезия 2039'!I55/10),0.7))))</f>
        <v>8.3940628244860314</v>
      </c>
      <c r="C55" s="3">
        <f>MIN(1,(MIN(1,'Индонезия 2039'!C55+'Индонезия 2039'!F55+(0.08*LN(1+0.5*'Ход 2039'!C61)*MAX(0,1-('Индонезия 2039'!C55+'Индонезия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8.3940628244860314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'Индонезия 2040'!U6</f>
        <v>98.571464485386542</v>
      </c>
      <c r="C6" s="3"/>
      <c r="D6" s="3"/>
      <c r="E6" s="3" t="s">
        <v>321</v>
      </c>
      <c r="F6" s="3" t="e">
        <f>'Индонезия 2040'!K6</f>
        <v>#REF!</v>
      </c>
      <c r="G6" s="3"/>
      <c r="H6" s="3"/>
      <c r="I6" s="3" t="s">
        <v>321</v>
      </c>
      <c r="J6" s="3">
        <f>'Индонезия 2040'!N6</f>
        <v>99.783116490054866</v>
      </c>
      <c r="K6" s="3"/>
      <c r="L6" s="3"/>
      <c r="M6" s="3" t="s">
        <v>321</v>
      </c>
      <c r="N6" s="3">
        <f>'Индонезия 2040'!Q6</f>
        <v>89.00180444673363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98.571464485386542</v>
      </c>
      <c r="C8" s="3" t="str">
        <f>IF(B8&lt;0,"ПРЕВЫШЕНИЕ","OK")</f>
        <v>OK</v>
      </c>
      <c r="D8" s="3"/>
      <c r="E8" s="3" t="s">
        <v>323</v>
      </c>
      <c r="F8" s="3" t="e">
        <f>F6-F7</f>
        <v>#REF!</v>
      </c>
      <c r="G8" s="3" t="e">
        <f>IF(F8&lt;0,"ПРЕВЫШЕНИЕ","OK")</f>
        <v>#REF!</v>
      </c>
      <c r="H8" s="3"/>
      <c r="I8" s="3" t="s">
        <v>323</v>
      </c>
      <c r="J8" s="3">
        <f>J6-J7</f>
        <v>99.783116490054866</v>
      </c>
      <c r="K8" s="3" t="str">
        <f>IF(J8&lt;0,"ПРЕВЫШЕНИЕ","OK")</f>
        <v>OK</v>
      </c>
      <c r="L8" s="3"/>
      <c r="M8" s="3" t="s">
        <v>323</v>
      </c>
      <c r="N8" s="3">
        <f>N6-N7</f>
        <v>89.00180444673363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'Индонезия 2040'!V11</f>
        <v>2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72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'Индонезия 2040'!V12</f>
        <v>2.2999999999999998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96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'Индонезия 2040'!V13</f>
        <v>2.7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33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'Индонезия 2040'!V14</f>
        <v>2.2999999999999998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1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'Индонезия 2040'!V15</f>
        <v>1.8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53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'Индонезия 2040'!V16</f>
        <v>1.8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47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'Индонезия 2040'!V17</f>
        <v>1.7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40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'Индонезия 2040'!V18</f>
        <v>2.9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44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'Индонезия 2040'!V19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32</v>
      </c>
    </row>
    <row r="22" spans="1:21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'Индонезия 2040'!V20</f>
        <v>2.5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50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'Индонезия 2040'!V21</f>
        <v>2.4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6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'Индонезия 2040'!V22</f>
        <v>1.6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58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'Индонезия 2040'!V23</f>
        <v>-1.2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23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'Индонезия 2040'!V24</f>
        <v>2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19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'Индонезия 2040'!V25</f>
        <v>2.2999999999999998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51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'Индонезия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37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 t="e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#REF!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99.850812211349293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89.173114929761553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98.761791246338802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MAX(1,MIN(10,'Индонезия 2040'!B8+'Индонезия 2040'!D8+('Индонезия 2040'!C8+'Индонезия 2040'!F8+'Индонезия 2040'!G8)+(0.35*LN(1+0.6*('Ход 2040'!B14*(1+'Эффекты технологий'!X$12)))*POWER(MAX(0,1-'Индонезия 2040'!I8/10),0.7))))</f>
        <v>9.8468107313668831</v>
      </c>
      <c r="C8" s="3">
        <f>MIN(1,(MIN(1,'Индонезия 2040'!C8+'Индонезия 2040'!F8+(0.08*LN(1+0.5*('Ход 2040'!C14*(1+'Эффекты технологий'!X$12)))*MAX(0,1-('Индонезия 2040'!C8+'Индонезия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9.8468107313668831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MAX(1,MIN(10,'Индонезия 2040'!B9+'Индонезия 2040'!D9+('Индонезия 2040'!C9+'Индонезия 2040'!F9+'Индонезия 2040'!G9)+(0.35*LN(1+0.6*('Ход 2040'!B15*(1+'Эффекты технологий'!X$12)))*POWER(MAX(0,1-'Индонезия 2040'!I9/10),0.7))))</f>
        <v>8.0554128889638967</v>
      </c>
      <c r="C9" s="3">
        <f>MIN(1,(MIN(1,'Индонезия 2040'!C9+'Индонезия 2040'!F9+(0.08*LN(1+0.5*('Ход 2040'!C15*(1+'Эффекты технологий'!X$12)))*MAX(0,1-('Индонезия 2040'!C9+'Индонезия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8.0554128889638967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MAX(1,MIN(10,'Индонезия 2040'!B10+'Индонезия 2040'!D10+('Индонезия 2040'!C10+'Индонезия 2040'!F10+'Индонезия 2040'!G10)+(0.35*LN(1+0.6*('Ход 2040'!B16*(1+'Эффекты технологий'!X$12)))*POWER(MAX(0,1-'Индонезия 2040'!I10/10),0.7))))</f>
        <v>9.6731249250628615</v>
      </c>
      <c r="C10" s="3">
        <f>MIN(1,(MIN(1,'Индонезия 2040'!C10+'Индонезия 2040'!F10+(0.08*LN(1+0.5*('Ход 2040'!C16*(1+'Эффекты технологий'!X$12)))*MAX(0,1-('Индонезия 2040'!C10+'Индонезия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9.6731249250628615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42.75">
      <c r="A11" s="3" t="s">
        <v>266</v>
      </c>
      <c r="B11" s="3">
        <f>MAX(1,MIN(10,'Индонезия 2040'!B11+'Индонезия 2040'!D11+('Индонезия 2040'!C11+'Индонезия 2040'!F11+'Индонезия 2040'!G11)+(0.35*LN(1+0.6*('Ход 2040'!B17*(1+'Эффекты технологий'!X$12)))*POWER(MAX(0,1-'Индонезия 2040'!I11/10),0.7))))</f>
        <v>8.9231249250628775</v>
      </c>
      <c r="C11" s="3">
        <f>MIN(1,(MIN(1,'Индонезия 2040'!C11+'Индонезия 2040'!F11+(0.08*LN(1+0.5*('Ход 2040'!C17*(1+'Эффекты технологий'!X$12)))*MAX(0,1-('Индонезия 2040'!C11+'Индонезия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8.9231249250628775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MAX(1,MIN(10,'Индонезия 2040'!L11+'Индонезия 2040'!N11+('Индонезия 2040'!M11+'Индонезия 2040'!P11+'Индонезия 2040'!Q11)))</f>
        <v>10</v>
      </c>
      <c r="M11" s="3">
        <f>MIN(1,(MIN(1,'Индонезия 2040'!M11+'Индонезия 2040'!P11+(0.1*LN(1+0.5*('Ход 2040'!H13*(1+'Эффекты технологий'!X$10)))*POWER(MAX(0,1-'Индонезия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0.44240205627575141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'Индонезия 2040'!V11</f>
        <v>2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Партнёрство</v>
      </c>
      <c r="X11" s="3" t="s">
        <v>535</v>
      </c>
    </row>
    <row r="12" spans="1:24" ht="57">
      <c r="A12" s="3" t="s">
        <v>268</v>
      </c>
      <c r="B12" s="3">
        <f>MAX(1,MIN(10,'Индонезия 2040'!B12+'Индонезия 2040'!D12+('Индонезия 2040'!C12+'Индонезия 2040'!F12+'Индонезия 2040'!G12)+(0.35*LN(1+0.6*('Ход 2040'!B18*(1+'Эффекты технологий'!X$12)))*POWER(MAX(0,1-'Индонезия 2040'!I12/10),0.7))))</f>
        <v>9.8858910416054044</v>
      </c>
      <c r="C12" s="3">
        <f>MIN(1,(MIN(1,'Индонезия 2040'!C12+'Индонезия 2040'!F12+(0.08*LN(1+0.5*('Ход 2040'!C18*(1+'Эффекты технологий'!X$12)))*MAX(0,1-('Индонезия 2040'!C12+'Индонезия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9.8858910416054044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MAX(1,MIN(10,'Индонезия 2040'!L12+'Индонезия 2040'!N12+('Индонезия 2040'!M12+'Индонезия 2040'!P12+'Индонезия 2040'!Q12)))</f>
        <v>10</v>
      </c>
      <c r="M12" s="3">
        <f>MIN(1,(MIN(1,'Индонезия 2040'!M12+'Индонезия 2040'!P12+(0.1*LN(1+0.5*('Ход 2040'!H14*(1+'Эффекты технологий'!X$10)))*POWER(MAX(0,1-'Индонезия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0.39240205627575142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'Индонезия 2040'!V12</f>
        <v>2.2999999999999998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MAX(1,MIN(10,'Индонезия 2040'!B13+'Индонезия 2040'!D13+('Индонезия 2040'!C13+'Индонезия 2040'!F13+'Индонезия 2040'!G13)+(0.35*LN(1+0.6*('Ход 2040'!B19*(1+'Эффекты технологий'!X$12)))*POWER(MAX(0,1-'Индонезия 2040'!I13/10),0.7))))</f>
        <v>6.808253317588397</v>
      </c>
      <c r="C13" s="3">
        <f>MIN(1,(MIN(1,'Индонезия 2040'!C13+'Индонезия 2040'!F13+(0.08*LN(1+0.5*('Ход 2040'!C19*(1+'Эффекты технологий'!X$12)))*MAX(0,1-('Индонезия 2040'!C13+'Индонезия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0.3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6.808253317588397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MAX(1,MIN(10,'Индонезия 2040'!L13+'Индонезия 2040'!N13+('Индонезия 2040'!M13+'Индонезия 2040'!P13+'Индонезия 2040'!Q13)))</f>
        <v>10</v>
      </c>
      <c r="M13" s="3">
        <f>MIN(1,(MIN(1,'Индонезия 2040'!M13+'Индонезия 2040'!P13+(0.1*LN(1+0.5*('Ход 2040'!H15*(1+'Эффекты технологий'!X$10)))*POWER(MAX(0,1-'Индонезия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0.3598563033965656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'Индонезия 2040'!V13</f>
        <v>2.7</v>
      </c>
      <c r="W13" s="3" t="str">
        <f t="shared" si="2"/>
        <v>Стратегическое партнёрство</v>
      </c>
      <c r="X13" s="3" t="s">
        <v>539</v>
      </c>
    </row>
    <row r="14" spans="1:24" ht="57">
      <c r="A14" s="3" t="s">
        <v>272</v>
      </c>
      <c r="B14" s="3">
        <f>MAX(1,MIN(10,'Индонезия 2040'!B14+'Индонезия 2040'!D14+('Индонезия 2040'!C14+'Индонезия 2040'!F14+'Индонезия 2040'!G14)+(0.35*LN(1+0.6*('Ход 2040'!B20*(1+'Эффекты технологий'!X$12)))*POWER(MAX(0,1-'Индонезия 2040'!I14/10),0.7))))</f>
        <v>8.8393355625513497</v>
      </c>
      <c r="C14" s="3">
        <f>MIN(1,(MIN(1,'Индонезия 2040'!C14+'Индонезия 2040'!F14+(0.08*LN(1+0.5*('Ход 2040'!C20*(1+'Эффекты технологий'!X$12)))*MAX(0,1-('Индонезия 2040'!C14+'Индонезия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0.3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9.039335562551349</v>
      </c>
      <c r="J14" s="10">
        <f>SUMIFS('Эффекты технологий'!$Y$25:$Y$240,'Эффекты технологий'!$C$25:$C$240,$A14,'Эффекты технологий'!$D$25:$D$240,"Значение")</f>
        <v>0.2</v>
      </c>
      <c r="K14" s="3" t="s">
        <v>273</v>
      </c>
      <c r="L14" s="3">
        <f>MAX(1,MIN(10,'Индонезия 2040'!L14+'Индонезия 2040'!N14+('Индонезия 2040'!M14+'Индонезия 2040'!P14+'Индонезия 2040'!Q14)))</f>
        <v>10</v>
      </c>
      <c r="M14" s="3">
        <f>MIN(1,(MIN(1,'Индонезия 2040'!M14+'Индонезия 2040'!P14+(0.1*LN(1+0.5*('Ход 2040'!H16*(1+'Эффекты технологий'!X$10)))*POWER(MAX(0,1-'Индонезия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0.42736314985595525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'Индонезия 2040'!V14</f>
        <v>2.2999999999999998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MAX(1,MIN(10,'Индонезия 2040'!B15+'Индонезия 2040'!D15+('Индонезия 2040'!C15+'Индонезия 2040'!F15+'Индонезия 2040'!G15)+(0.35*LN(1+0.6*('Ход 2040'!B21*(1+'Эффекты технологий'!X$12)))*POWER(MAX(0,1-'Индонезия 2040'!I15/10),0.7))))</f>
        <v>10</v>
      </c>
      <c r="C15" s="3">
        <f>MIN(1,(MIN(1,'Индонезия 2040'!C15+'Индонезия 2040'!F15+(0.08*LN(1+0.5*('Ход 2040'!C21*(1+'Эффекты технологий'!X$12)))*MAX(0,1-('Индонезия 2040'!C15+'Индонезия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0.35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MAX(1,MIN(10,'Индонезия 2040'!L15+'Индонезия 2040'!N15+('Индонезия 2040'!M15+'Индонезия 2040'!P15+'Индонезия 2040'!Q15)))</f>
        <v>10</v>
      </c>
      <c r="M15" s="3">
        <f>MIN(1,(MIN(1,'Индонезия 2040'!M15+'Индонезия 2040'!P15+(0.1*LN(1+0.5*('Ход 2040'!H17*(1+'Эффекты технологий'!X$10)))*POWER(MAX(0,1-'Индонезия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0.34459097878184786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'Индонезия 2040'!V15</f>
        <v>1.8</v>
      </c>
      <c r="W15" s="3" t="str">
        <f t="shared" si="2"/>
        <v>Партнёрство</v>
      </c>
      <c r="X15" s="3" t="s">
        <v>543</v>
      </c>
    </row>
    <row r="16" spans="1:24" ht="57">
      <c r="A16" s="3" t="s">
        <v>276</v>
      </c>
      <c r="B16" s="3">
        <f>MAX(1,MIN(10,'Индонезия 2040'!B16+'Индонезия 2040'!D16+('Индонезия 2040'!C16+'Индонезия 2040'!F16+'Индонезия 2040'!G16)+(0.35*LN(1+0.6*('Ход 2040'!B22*(1+'Эффекты технологий'!X$12)))*POWER(MAX(0,1-'Индонезия 2040'!I16/10),0.7))))</f>
        <v>10</v>
      </c>
      <c r="C16" s="3">
        <f>MIN(1,(MIN(1,'Индонезия 2040'!C16+'Индонезия 2040'!F16+(0.08*LN(1+0.5*('Ход 2040'!C22*(1+'Эффекты технологий'!X$12)))*MAX(0,1-('Индонезия 2040'!C16+'Индонезия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MAX(1,MIN(10,'Индонезия 2040'!L16+'Индонезия 2040'!N16+('Индонезия 2040'!M16+'Индонезия 2040'!P16+'Индонезия 2040'!Q16)))</f>
        <v>10</v>
      </c>
      <c r="M16" s="3">
        <f>MIN(1,(MIN(1,'Индонезия 2040'!M16+'Индонезия 2040'!P16+(0.1*LN(1+0.5*('Ход 2040'!H18*(1+'Эффекты технологий'!X$10)))*POWER(MAX(0,1-'Индонезия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0.39132576618132431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'Индонезия 2040'!V16</f>
        <v>1.8</v>
      </c>
      <c r="W16" s="3" t="str">
        <f t="shared" si="2"/>
        <v>Партнёрство</v>
      </c>
      <c r="X16" s="3" t="s">
        <v>545</v>
      </c>
    </row>
    <row r="17" spans="1:24" ht="42.75">
      <c r="A17" s="3" t="s">
        <v>278</v>
      </c>
      <c r="B17" s="3">
        <f>MAX(1,MIN(10,'Индонезия 2040'!B17+'Индонезия 2040'!D17+('Индонезия 2040'!C17+'Индонезия 2040'!F17+'Индонезия 2040'!G17)+(0.35*LN(1+0.6*('Ход 2040'!B23*(1+'Эффекты технологий'!X$12)))*POWER(MAX(0,1-'Индонезия 2040'!I17/10),0.7))))</f>
        <v>10</v>
      </c>
      <c r="C17" s="3">
        <f>MIN(1,(MIN(1,'Индонезия 2040'!C17+'Индонезия 2040'!F17+(0.08*LN(1+0.5*('Ход 2040'!C23*(1+'Эффекты технологий'!X$12)))*MAX(0,1-('Индонезия 2040'!C17+'Индонезия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MAX(1,MIN(10,'Индонезия 2040'!L17+'Индонезия 2040'!N17+('Индонезия 2040'!M17+'Индонезия 2040'!P17+'Индонезия 2040'!Q17)))</f>
        <v>10</v>
      </c>
      <c r="M17" s="3">
        <f>MIN(1,(MIN(1,'Индонезия 2040'!M17+'Индонезия 2040'!P17+(0.1*LN(1+0.5*('Ход 2040'!H19*(1+'Эффекты технологий'!X$10)))*POWER(MAX(0,1-'Индонезия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0.39132576618132431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'Индонезия 2040'!V17</f>
        <v>1.7</v>
      </c>
      <c r="W17" s="3" t="str">
        <f t="shared" si="2"/>
        <v>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MAX(1,MIN(10,'Индонезия 2040'!L18+'Индонезия 2040'!N18+('Индонезия 2040'!M18+'Индонезия 2040'!P18+'Индонезия 2040'!Q18)))</f>
        <v>10</v>
      </c>
      <c r="M18" s="3">
        <f>MIN(1,(MIN(1,'Индонезия 2040'!M18+'Индонезия 2040'!P18+(0.1*LN(1+0.5*('Ход 2040'!H20*(1+'Эффекты технологий'!X$10)))*POWER(MAX(0,1-'Индонезия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0.21098564247843071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'Индонезия 2040'!V18</f>
        <v>2.9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MAX(1,MIN(10,'Индонезия 2040'!B19+'Индонезия 2040'!D19+('Индонезия 2040'!C19+'Индонезия 2040'!F19+'Индонезия 2040'!G19)+(0.35*LN(1+0.6*'Ход 2040'!B25)*POWER(MAX(0,1-'Индонезия 2040'!I19/10),0.7))))</f>
        <v>9.8366186178916237</v>
      </c>
      <c r="C19" s="3">
        <f>MIN(1,(MIN(1,'Индонезия 2040'!C19+'Индонезия 2040'!F19+(0.08*LN(1+0.5*'Ход 2040'!C25)*MAX(0,1-('Индонезия 2040'!C19+'Индонезия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9.8366186178916237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'Индонезия 2040'!V19</f>
        <v>2.4</v>
      </c>
      <c r="W19" s="3" t="str">
        <f t="shared" si="2"/>
        <v>Стратегическое партнёрство</v>
      </c>
      <c r="X19" s="3" t="s">
        <v>551</v>
      </c>
    </row>
    <row r="20" spans="1:24" ht="42.75">
      <c r="A20" s="3" t="s">
        <v>283</v>
      </c>
      <c r="B20" s="3">
        <f>MAX(1,MIN(10,'Индонезия 2040'!B20+'Индонезия 2040'!D20+('Индонезия 2040'!C20+'Индонезия 2040'!F20+'Индонезия 2040'!G20)+(0.35*LN(1+0.6*'Ход 2040'!B26)*POWER(MAX(0,1-'Индонезия 2040'!I20/10),0.7))))</f>
        <v>10</v>
      </c>
      <c r="C20" s="3">
        <f>MIN(1,(MIN(1,'Индонезия 2040'!C20+'Индонезия 2040'!F20+(0.08*LN(1+0.5*'Ход 2040'!C26)*MAX(0,1-('Индонезия 2040'!C20+'Индонезия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'Индонезия 2040'!V20</f>
        <v>2.5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MAX(1,MIN(10,'Индонезия 2040'!B21+'Индонезия 2040'!D21+('Индонезия 2040'!C21+'Индонезия 2040'!F21+'Индонезия 2040'!G21)+(0.35*LN(1+0.6*'Ход 2040'!B27)*POWER(MAX(0,1-'Индонезия 2040'!I21/10),0.7))))</f>
        <v>10</v>
      </c>
      <c r="C21" s="3">
        <f>MIN(1,(MIN(1,'Индонезия 2040'!C21+'Индонезия 2040'!F21+(0.08*LN(1+0.5*'Ход 2040'!C27)*MAX(0,1-('Индонезия 2040'!C21+'Индонезия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0.3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'Индонезия 2040'!V21</f>
        <v>2.4</v>
      </c>
      <c r="W21" s="3" t="str">
        <f t="shared" si="2"/>
        <v>Стратегическое партнёрство</v>
      </c>
      <c r="X21" s="3" t="s">
        <v>555</v>
      </c>
    </row>
    <row r="22" spans="1:24" ht="42.75">
      <c r="A22" s="3" t="s">
        <v>285</v>
      </c>
      <c r="B22" s="3">
        <f>MAX(1,MIN(10,'Индонезия 2040'!B22+'Индонезия 2040'!D22+('Индонезия 2040'!C22+'Индонезия 2040'!F22+'Индонезия 2040'!G22)+(0.35*LN(1+0.6*'Ход 2040'!B28)*POWER(MAX(0,1-'Индонезия 2040'!I22/10),0.7))))</f>
        <v>9.5788890791791204</v>
      </c>
      <c r="C22" s="3">
        <f>MIN(1,(MIN(1,'Индонезия 2040'!C22+'Индонезия 2040'!F22+(0.08*LN(1+0.5*'Ход 2040'!C28)*MAX(0,1-('Индонезия 2040'!C22+'Индонезия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0.2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9.5788890791791204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'Индонезия 2040'!V22</f>
        <v>1.6</v>
      </c>
      <c r="W22" s="3" t="str">
        <f t="shared" si="2"/>
        <v>Партнёрство</v>
      </c>
      <c r="X22" s="3" t="s">
        <v>557</v>
      </c>
    </row>
    <row r="23" spans="1:24" ht="42.75">
      <c r="A23" s="3" t="s">
        <v>286</v>
      </c>
      <c r="B23" s="3">
        <f>MAX(1,MIN(10,'Индонезия 2040'!B23+'Индонезия 2040'!D23+('Индонезия 2040'!C23+'Индонезия 2040'!F23+'Индонезия 2040'!G23)+(0.35*LN(1+0.6*'Ход 2040'!B29)*POWER(MAX(0,1-'Индонезия 2040'!I23/10),0.7))))</f>
        <v>9.8366186178916237</v>
      </c>
      <c r="C23" s="3">
        <f>MIN(1,(MIN(1,'Индонезия 2040'!C23+'Индонезия 2040'!F23+(0.08*LN(1+0.5*'Ход 2040'!C29)*MAX(0,1-('Индонезия 2040'!C23+'Индонезия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9.8366186178916237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'Индонезия 2040'!V23</f>
        <v>-1.2</v>
      </c>
      <c r="W23" s="3" t="str">
        <f t="shared" si="2"/>
        <v>Конфронтация</v>
      </c>
      <c r="X23" s="3" t="s">
        <v>559</v>
      </c>
    </row>
    <row r="24" spans="1:24" ht="42.75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'Индонезия 2040'!V24</f>
        <v>2</v>
      </c>
      <c r="W24" s="3" t="str">
        <f t="shared" si="2"/>
        <v>Партнёрство</v>
      </c>
      <c r="X24" s="3" t="s">
        <v>561</v>
      </c>
    </row>
    <row r="25" spans="1:24" ht="42.75">
      <c r="A25" s="3" t="s">
        <v>288</v>
      </c>
      <c r="B25" s="3">
        <f>MAX(1,MIN(10,'Индонезия 2040'!B25+'Индонезия 2040'!D25+('Индонезия 2040'!C25+'Индонезия 2040'!F25+'Индонезия 2040'!G25)+(0.35*LN(1+0.6*'Ход 2040'!B31)*POWER(MAX(0,1-'Индонезия 2040'!I25/10),0.7))))</f>
        <v>10</v>
      </c>
      <c r="C25" s="3">
        <f>MIN(1,(MIN(1,'Индонезия 2040'!C25+'Индонезия 2040'!F25+(0.08*LN(1+0.5*'Ход 2040'!C31)*MAX(0,1-('Индонезия 2040'!C25+'Индонезия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'Индонезия 2040'!V25</f>
        <v>2.2999999999999998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MAX(1,MIN(10,'Индонезия 2040'!B26+'Индонезия 2040'!D26+('Индонезия 2040'!C26+'Индонезия 2040'!F26+'Индонезия 2040'!G26)+(0.35*LN(1+0.6*'Ход 2040'!B32)*POWER(MAX(0,1-'Индонезия 2040'!I26/10),0.7))))</f>
        <v>10</v>
      </c>
      <c r="C26" s="3">
        <f>MIN(1,(MIN(1,'Индонезия 2040'!C26+'Индонезия 2040'!F26+(0.08*LN(1+0.5*'Ход 2040'!C32)*MAX(0,1-('Индонезия 2040'!C26+'Индонезия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'Индонезия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MAX(1,MIN(10,'Индонезия 2040'!B27+'Индонезия 2040'!D27+('Индонезия 2040'!C27+'Индонезия 2040'!F27+'Индонезия 2040'!G27)+(0.35*LN(1+0.6*'Ход 2040'!B33)*POWER(MAX(0,1-'Индонезия 2040'!I27/10),0.7))))</f>
        <v>10</v>
      </c>
      <c r="C27" s="3">
        <f>MIN(1,(MIN(1,'Индонезия 2040'!C27+'Индонезия 2040'!F27+(0.08*LN(1+0.5*'Ход 2040'!C33)*MAX(0,1-('Индонезия 2040'!C27+'Индонезия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MAX(1,MIN(10,'Индонезия 2040'!B28+'Индонезия 2040'!D28+('Индонезия 2040'!C28+'Индонезия 2040'!F28+'Индонезия 2040'!G28)+(0.35*LN(1+0.6*'Ход 2040'!B34)*POWER(MAX(0,1-'Индонезия 2040'!I28/10),0.7))))</f>
        <v>10</v>
      </c>
      <c r="C28" s="3">
        <f>MIN(1,(MIN(1,'Индонезия 2040'!C28+'Индонезия 2040'!F28+(0.08*LN(1+0.5*'Ход 2040'!C34)*MAX(0,1-('Индонезия 2040'!C28+'Индонезия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MAX(1,MIN(10,'Индонезия 2040'!B29+'Индонезия 2040'!D29+('Индонезия 2040'!C29+'Индонезия 2040'!F29+'Индонезия 2040'!G29)+(0.35*LN(1+0.6*'Ход 2040'!B35)*POWER(MAX(0,1-'Индонезия 2040'!I29/10),0.7))))</f>
        <v>9.8366186178916237</v>
      </c>
      <c r="C29" s="3">
        <f>MIN(1,(MIN(1,'Индонезия 2040'!C29+'Индонезия 2040'!F29+(0.08*LN(1+0.5*'Ход 2040'!C35)*MAX(0,1-('Индонезия 2040'!C29+'Индонезия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9.8366186178916237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MAX(1,MIN(10,'Индонезия 2040'!B30+'Индонезия 2040'!D30+('Индонезия 2040'!C30+'Индонезия 2040'!F30+'Индонезия 2040'!G30)+(0.35*LN(1+0.6*'Ход 2040'!B36)*POWER(MAX(0,1-'Индонезия 2040'!I30/10),0.7))))</f>
        <v>9.0866186178916202</v>
      </c>
      <c r="C30" s="3">
        <f>MIN(1,(MIN(1,'Индонезия 2040'!C30+'Индонезия 2040'!F30+(0.08*LN(1+0.5*'Ход 2040'!C36)*MAX(0,1-('Индонезия 2040'!C30+'Индонезия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9.0866186178916202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MAX(1,MIN(10,'Индонезия 2040'!B31+'Индонезия 2040'!D31+('Индонезия 2040'!C31+'Индонезия 2040'!F31+'Индонезия 2040'!G31)+(0.35*LN(1+0.6*'Ход 2040'!B37)*POWER(MAX(0,1-'Индонезия 2040'!I31/10),0.7))))</f>
        <v>9.0866186178916202</v>
      </c>
      <c r="C31" s="3">
        <f>MIN(1,(MIN(1,'Индонезия 2040'!C31+'Индонезия 2040'!F31+(0.08*LN(1+0.5*'Ход 2040'!C37)*MAX(0,1-('Индонезия 2040'!C31+'Индонезия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0.2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9.0866186178916202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MAX(1,MIN(10,'Индонезия 2040'!B32+'Индонезия 2040'!D32+('Индонезия 2040'!C32+'Индонезия 2040'!F32+'Индонезия 2040'!G32)+(0.35*LN(1+0.6*'Ход 2040'!B38)*POWER(MAX(0,1-'Индонезия 2040'!I32/10),0.7))))</f>
        <v>10</v>
      </c>
      <c r="C32" s="3">
        <f>MIN(1,(MIN(1,'Индонезия 2040'!C32+'Индонезия 2040'!F32+(0.08*LN(1+0.5*'Ход 2040'!C38)*MAX(0,1-('Индонезия 2040'!C32+'Индонезия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0.25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MAX(1,MIN(10,'Индонезия 2040'!B34+'Индонезия 2040'!D34+('Индонезия 2040'!C34+'Индонезия 2040'!F34+'Индонезия 2040'!G34)+(0.35*LN(1+0.6*'Ход 2040'!B40)*POWER(MAX(0,1-'Индонезия 2040'!I34/10),0.7))))</f>
        <v>10</v>
      </c>
      <c r="C34" s="3">
        <f>MIN(1,(MIN(1,'Индонезия 2040'!C34+'Индонезия 2040'!F34+(0.08*LN(1+0.5*'Ход 2040'!C40)*MAX(0,1-('Индонезия 2040'!C34+'Индонезия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MAX(1,MIN(10,'Индонезия 2040'!B35+'Индонезия 2040'!D35+('Индонезия 2040'!C35+'Индонезия 2040'!F35+'Индонезия 2040'!G35)+(0.35*LN(1+0.6*'Ход 2040'!B41)*POWER(MAX(0,1-'Индонезия 2040'!I35/10),0.7))))</f>
        <v>9.8123343251271855</v>
      </c>
      <c r="C35" s="3">
        <f>MIN(1,(MIN(1,'Индонезия 2040'!C35+'Индонезия 2040'!F35+(0.08*LN(1+0.5*'Ход 2040'!C41)*MAX(0,1-('Индонезия 2040'!C35+'Индонезия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0.15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9.8123343251271855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MAX(1,MIN(10,'Индонезия 2040'!B36+'Индонезия 2040'!D36+('Индонезия 2040'!C36+'Индонезия 2040'!F36+'Индонезия 2040'!G36)+(0.35*LN(1+0.6*'Ход 2040'!B42)*POWER(MAX(0,1-'Индонезия 2040'!I36/10),0.7))))</f>
        <v>10</v>
      </c>
      <c r="C36" s="3">
        <f>MIN(1,(MIN(1,'Индонезия 2040'!C36+'Индонезия 2040'!F36+(0.08*LN(1+0.5*'Ход 2040'!C42)*MAX(0,1-('Индонезия 2040'!C36+'Индонезия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MAX(1,MIN(10,'Индонезия 2040'!B37+'Индонезия 2040'!D37+('Индонезия 2040'!C37+'Индонезия 2040'!F37+'Индонезия 2040'!G37)+(0.35*LN(1+0.6*'Ход 2040'!B43)*POWER(MAX(0,1-'Индонезия 2040'!I37/10),0.7))))</f>
        <v>10</v>
      </c>
      <c r="C37" s="3">
        <f>MIN(1,(MIN(1,'Индонезия 2040'!C37+'Индонезия 2040'!F37+(0.08*LN(1+0.5*'Ход 2040'!C43)*MAX(0,1-('Индонезия 2040'!C37+'Индонезия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MAX(1,MIN(10,'Индонезия 2040'!B38+'Индонезия 2040'!D38+('Индонезия 2040'!C38+'Индонезия 2040'!F38+'Индонезия 2040'!G38)+(0.35*LN(1+0.6*'Ход 2040'!B44)*POWER(MAX(0,1-'Индонезия 2040'!I38/10),0.7))))</f>
        <v>10</v>
      </c>
      <c r="C38" s="3">
        <f>MIN(1,(MIN(1,'Индонезия 2040'!C38+'Индонезия 2040'!F38+(0.08*LN(1+0.5*'Ход 2040'!C44)*MAX(0,1-('Индонезия 2040'!C38+'Индонезия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MAX(1,MIN(10,'Индонезия 2040'!B39+'Индонезия 2040'!D39+('Индонезия 2040'!C39+'Индонезия 2040'!F39+'Индонезия 2040'!G39)+(0.35*LN(1+0.6*'Ход 2040'!B45)*POWER(MAX(0,1-'Индонезия 2040'!I39/10),0.7))))</f>
        <v>10</v>
      </c>
      <c r="C39" s="3">
        <f>MIN(1,(MIN(1,'Индонезия 2040'!C39+'Индонезия 2040'!F39+(0.08*LN(1+0.5*'Ход 2040'!C45)*MAX(0,1-('Индонезия 2040'!C39+'Индонезия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MAX(1,MIN(10,'Индонезия 2040'!B40+'Индонезия 2040'!D40+('Индонезия 2040'!C40+'Индонезия 2040'!F40+'Индонезия 2040'!G40)+(0.35*LN(1+0.6*'Ход 2040'!B46)*POWER(MAX(0,1-'Индонезия 2040'!I40/10),0.7))))</f>
        <v>10</v>
      </c>
      <c r="C40" s="3">
        <f>MIN(1,(MIN(1,'Индонезия 2040'!C40+'Индонезия 2040'!F40+(0.08*LN(1+0.5*'Ход 2040'!C46)*MAX(0,1-('Индонезия 2040'!C40+'Индонезия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0.25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MAX(1,MIN(10,'Индонезия 2040'!B41+'Индонезия 2040'!D41+('Индонезия 2040'!C41+'Индонезия 2040'!F41+'Индонезия 2040'!G41)+(0.35*LN(1+0.6*'Ход 2040'!B47)*POWER(MAX(0,1-'Индонезия 2040'!I41/10),0.7))))</f>
        <v>10</v>
      </c>
      <c r="C41" s="3">
        <f>MIN(1,(MIN(1,'Индонезия 2040'!C41+'Индонезия 2040'!F41+(0.08*LN(1+0.5*'Ход 2040'!C47)*MAX(0,1-('Индонезия 2040'!C41+'Индонезия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MAX(1,MIN(10,'Индонезия 2040'!B42+'Индонезия 2040'!D42+('Индонезия 2040'!C42+'Индонезия 2040'!F42+'Индонезия 2040'!G42)+(0.35*LN(1+0.6*'Ход 2040'!B48)*POWER(MAX(0,1-'Индонезия 2040'!I42/10),0.7))))</f>
        <v>10</v>
      </c>
      <c r="C42" s="3">
        <f>MIN(1,(MIN(1,'Индонезия 2040'!C42+'Индонезия 2040'!F42+(0.08*LN(1+0.5*'Ход 2040'!C48)*MAX(0,1-('Индонезия 2040'!C42+'Индонезия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MAX(1,MIN(10,'Индонезия 2040'!B44+'Индонезия 2040'!D44+('Индонезия 2040'!C44+'Индонезия 2040'!F44+'Индонезия 2040'!G44)+(0.35*LN(1+0.6*'Ход 2040'!B50)*POWER(MAX(0,1-'Индонезия 2040'!I44/10),0.7))))</f>
        <v>9.5788890791791204</v>
      </c>
      <c r="C44" s="3">
        <f>MIN(1,(MIN(1,'Индонезия 2040'!C44+'Индонезия 2040'!F44+(0.08*LN(1+0.5*'Ход 2040'!C50)*MAX(0,1-('Индонезия 2040'!C44+'Индонезия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9.5788890791791204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MAX(1,MIN(10,'Индонезия 2040'!B45+'Индонезия 2040'!D45+('Индонезия 2040'!C45+'Индонезия 2040'!F45+'Индонезия 2040'!G45)+(0.35*LN(1+0.6*'Ход 2040'!B51)*POWER(MAX(0,1-'Индонезия 2040'!I45/10),0.7))))</f>
        <v>9.5788890791791204</v>
      </c>
      <c r="C45" s="3">
        <f>MIN(1,(MIN(1,'Индонезия 2040'!C45+'Индонезия 2040'!F45+(0.08*LN(1+0.5*'Ход 2040'!C51)*MAX(0,1-('Индонезия 2040'!C45+'Индонезия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9.5788890791791204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MAX(1,MIN(10,'Индонезия 2040'!B46+'Индонезия 2040'!D46+('Индонезия 2040'!C46+'Индонезия 2040'!F46+'Индонезия 2040'!G46)+(0.35*LN(1+0.6*'Ход 2040'!B52)*POWER(MAX(0,1-'Индонезия 2040'!I46/10),0.7))))</f>
        <v>9.5788890791791204</v>
      </c>
      <c r="C46" s="3">
        <f>MIN(1,(MIN(1,'Индонезия 2040'!C46+'Индонезия 2040'!F46+(0.08*LN(1+0.5*'Ход 2040'!C52)*MAX(0,1-('Индонезия 2040'!C46+'Индонезия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0.2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9.5788890791791204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MAX(1,MIN(10,'Индонезия 2040'!B47+'Индонезия 2040'!D47+('Индонезия 2040'!C47+'Индонезия 2040'!F47+'Индонезия 2040'!G47)+(0.35*LN(1+0.6*'Ход 2040'!B53)*POWER(MAX(0,1-'Индонезия 2040'!I47/10),0.7))))</f>
        <v>9.32081970838248</v>
      </c>
      <c r="C47" s="3">
        <f>MIN(1,(MIN(1,'Индонезия 2040'!C47+'Индонезия 2040'!F47+(0.08*LN(1+0.5*'Ход 2040'!C53)*MAX(0,1-('Индонезия 2040'!C47+'Индонезия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9.32081970838248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 t="e">
        <f>MAX(1,MIN(10,'Индонезия 2040'!B48+'Индонезия 2040'!D48+('Индонезия 2040'!C48+'Индонезия 2040'!F48+'Индонезия 2040'!G48)+(0.35*LN(1+0.6*'Ход 2040'!B54)*POWER(MAX(0,1-'Индонезия 2040'!I48/10),0.7))))</f>
        <v>#REF!</v>
      </c>
      <c r="C48" s="3">
        <f>MIN(1,(MIN(1,'Индонезия 2040'!C48+'Индонезия 2040'!F48+(0.08*LN(1+0.5*'Ход 2040'!C54)*MAX(0,1-('Индонезия 2040'!C48+'Индонезия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 t="e">
        <f t="shared" si="5"/>
        <v>#REF!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MAX(1,MIN(10,'Индонезия 2040'!B49+'Индонезия 2040'!D49+('Индонезия 2040'!C49+'Индонезия 2040'!F49+'Индонезия 2040'!G49)+(0.35*LN(1+0.6*'Ход 2040'!B55)*POWER(MAX(0,1-'Индонезия 2040'!I49/10),0.7))))</f>
        <v>10</v>
      </c>
      <c r="C49" s="3">
        <f>MIN(1,(MIN(1,'Индонезия 2040'!C49+'Индонезия 2040'!F49+(0.08*LN(1+0.5*'Ход 2040'!C55)*MAX(0,1-('Индонезия 2040'!C49+'Индонезия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MAX(1,MIN(10,'Индонезия 2040'!B50+'Индонезия 2040'!D50+('Индонезия 2040'!C50+'Индонезия 2040'!F50+'Индонезия 2040'!G50)+(0.35*LN(1+0.6*'Ход 2040'!B56)*POWER(MAX(0,1-'Индонезия 2040'!I50/10),0.7))))</f>
        <v>10</v>
      </c>
      <c r="C50" s="3">
        <f>MIN(1,(MIN(1,'Индонезия 2040'!C50+'Индонезия 2040'!F50+(0.08*LN(1+0.5*'Ход 2040'!C56)*MAX(0,1-('Индонезия 2040'!C50+'Индонезия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MAX(1,MIN(10,'Индонезия 2040'!B51+'Индонезия 2040'!D51+('Индонезия 2040'!C51+'Индонезия 2040'!F51+'Индонезия 2040'!G51)+(0.35*LN(1+0.6*'Ход 2040'!B57)*POWER(MAX(0,1-'Индонезия 2040'!I51/10),0.7))))</f>
        <v>10</v>
      </c>
      <c r="C51" s="3">
        <f>MIN(1,(MIN(1,'Индонезия 2040'!C51+'Индонезия 2040'!F51+(0.08*LN(1+0.5*'Ход 2040'!C57)*MAX(0,1-('Индонезия 2040'!C51+'Индонезия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MAX(1,MIN(10,'Индонезия 2040'!B53+'Индонезия 2040'!D53+('Индонезия 2040'!C53+'Индонезия 2040'!F53+'Индонезия 2040'!G53)+(0.35*LN(1+0.6*'Ход 2040'!B59)*POWER(MAX(0,1-'Индонезия 2040'!I53/10),0.7))))</f>
        <v>9.8366186178916237</v>
      </c>
      <c r="C53" s="3">
        <f>MIN(1,(MIN(1,'Индонезия 2040'!C53+'Индонезия 2040'!F53+(0.08*LN(1+0.5*'Ход 2040'!C59)*MAX(0,1-('Индонезия 2040'!C53+'Индонезия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9.8366186178916237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MAX(1,MIN(10,'Индонезия 2040'!B54+'Индонезия 2040'!D54+('Индонезия 2040'!C54+'Индонезия 2040'!F54+'Индонезия 2040'!G54)+(0.35*LN(1+0.6*'Ход 2040'!B60)*POWER(MAX(0,1-'Индонезия 2040'!I54/10),0.7))))</f>
        <v>9.8366186178916237</v>
      </c>
      <c r="C54" s="3">
        <f>MIN(1,(MIN(1,'Индонезия 2040'!C54+'Индонезия 2040'!F54+(0.08*LN(1+0.5*'Ход 2040'!C60)*MAX(0,1-('Индонезия 2040'!C54+'Индонезия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9.8366186178916237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MAX(1,MIN(10,'Индонезия 2040'!B55+'Индонезия 2040'!D55+('Индонезия 2040'!C55+'Индонезия 2040'!F55+'Индонезия 2040'!G55)+(0.35*LN(1+0.6*'Ход 2040'!B61)*POWER(MAX(0,1-'Индонезия 2040'!I55/10),0.7))))</f>
        <v>8.5940628244860306</v>
      </c>
      <c r="C55" s="3">
        <f>MIN(1,(MIN(1,'Индонезия 2040'!C55+'Индонезия 2040'!F55+(0.08*LN(1+0.5*'Ход 2040'!C61)*MAX(0,1-('Индонезия 2040'!C55+'Индонезия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8.5940628244860306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>
        <f>IF(Технологии!BH11="","",Технологии!BH11)</f>
        <v>2027</v>
      </c>
      <c r="G25" s="25" t="s">
        <v>390</v>
      </c>
      <c r="J25" s="21">
        <f>0</f>
        <v>0</v>
      </c>
      <c r="K25" s="21">
        <f>IF(Технологии!AR11="ИЗУЧЕНО",$E25,0)</f>
        <v>0.2</v>
      </c>
      <c r="L25" s="21">
        <f>IF(Технологии!AS11="ИЗУЧЕНО",$E25,0)</f>
        <v>0.2</v>
      </c>
      <c r="M25" s="21">
        <f>IF(Технологии!AT11="ИЗУЧЕНО",$E25,0)</f>
        <v>0.2</v>
      </c>
      <c r="N25" s="21">
        <f>IF(Технологии!AU11="ИЗУЧЕНО",$E25,0)</f>
        <v>0.2</v>
      </c>
      <c r="O25" s="21">
        <f>IF(Технологии!AV11="ИЗУЧЕНО",$E25,0)</f>
        <v>0.2</v>
      </c>
      <c r="P25" s="21">
        <f>IF(Технологии!AW11="ИЗУЧЕНО",$E25,0)</f>
        <v>0.2</v>
      </c>
      <c r="Q25" s="21">
        <f>IF(Технологии!AX11="ИЗУЧЕНО",$E25,0)</f>
        <v>0.2</v>
      </c>
      <c r="R25" s="21">
        <f>IF(Технологии!AY11="ИЗУЧЕНО",$E25,0)</f>
        <v>0.2</v>
      </c>
      <c r="S25" s="21">
        <f>IF(Технологии!AZ11="ИЗУЧЕНО",$E25,0)</f>
        <v>0.2</v>
      </c>
      <c r="T25" s="21">
        <f>IF(Технологии!BA11="ИЗУЧЕНО",$E25,0)</f>
        <v>0.2</v>
      </c>
      <c r="U25" s="21">
        <f>IF(Технологии!BB11="ИЗУЧЕНО",$E25,0)</f>
        <v>0.2</v>
      </c>
      <c r="V25" s="21">
        <f>IF(Технологии!BC11="ИЗУЧЕНО",$E25,0)</f>
        <v>0.2</v>
      </c>
      <c r="W25" s="21">
        <f>IF(Технологии!BD11="ИЗУЧЕНО",$E25,0)</f>
        <v>0.2</v>
      </c>
      <c r="X25" s="21">
        <f>IF(Технологии!BE11="ИЗУЧЕНО",$E25,0)</f>
        <v>0.2</v>
      </c>
      <c r="Y25" s="21">
        <f>IF(Технологии!BF11="ИЗУЧЕНО",$E25,0)</f>
        <v>0.2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 t="str">
        <f>IF(Технологии!BH17="","",Технологии!BH17)</f>
        <v/>
      </c>
      <c r="G57" s="18" t="s">
        <v>421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 t="str">
        <f>IF(Технологии!BH18="","",Технологии!BH18)</f>
        <v/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 t="str">
        <f>IF(Технологии!BH18="","",Технологии!BH18)</f>
        <v/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 t="str">
        <f>IF(Технологии!BH18="","",Технологии!BH18)</f>
        <v/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 t="str">
        <f>IF(Технологии!BH19="","",Технологии!BH19)</f>
        <v/>
      </c>
      <c r="G61" s="18" t="s">
        <v>425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 t="str">
        <f>IF(Технологии!BH19="","",Технологии!BH19)</f>
        <v/>
      </c>
      <c r="G62" s="18" t="s">
        <v>426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 t="str">
        <f>IF(Технологии!BH19="","",Технологии!BH19)</f>
        <v/>
      </c>
      <c r="G63" s="18" t="s">
        <v>427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 t="str">
        <f>IF(Технологии!BH19="","",Технологии!BH19)</f>
        <v/>
      </c>
      <c r="G64" s="18" t="s">
        <v>400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 t="str">
        <f>IF(Технологии!BH29="","",Технологии!BH29)</f>
        <v/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</v>
      </c>
      <c r="M125" s="21">
        <f>IF(Технологии!AT29="ИЗУЧЕНО",$E125,0)</f>
        <v>0</v>
      </c>
      <c r="N125" s="21">
        <f>IF(Технологии!AU29="ИЗУЧЕНО",$E125,0)</f>
        <v>0</v>
      </c>
      <c r="O125" s="21">
        <f>IF(Технологии!AV29="ИЗУЧЕНО",$E125,0)</f>
        <v>0</v>
      </c>
      <c r="P125" s="21">
        <f>IF(Технологии!AW29="ИЗУЧЕНО",$E125,0)</f>
        <v>0</v>
      </c>
      <c r="Q125" s="21">
        <f>IF(Технологии!AX29="ИЗУЧЕНО",$E125,0)</f>
        <v>0</v>
      </c>
      <c r="R125" s="21">
        <f>IF(Технологии!AY29="ИЗУЧЕНО",$E125,0)</f>
        <v>0</v>
      </c>
      <c r="S125" s="21">
        <f>IF(Технологии!AZ29="ИЗУЧЕНО",$E125,0)</f>
        <v>0</v>
      </c>
      <c r="T125" s="21">
        <f>IF(Технологии!BA29="ИЗУЧЕНО",$E125,0)</f>
        <v>0</v>
      </c>
      <c r="U125" s="21">
        <f>IF(Технологии!BB29="ИЗУЧЕНО",$E125,0)</f>
        <v>0</v>
      </c>
      <c r="V125" s="21">
        <f>IF(Технологии!BC29="ИЗУЧЕНО",$E125,0)</f>
        <v>0</v>
      </c>
      <c r="W125" s="21">
        <f>IF(Технологии!BD29="ИЗУЧЕНО",$E125,0)</f>
        <v>0</v>
      </c>
      <c r="X125" s="21">
        <f>IF(Технологии!BE29="ИЗУЧЕНО",$E125,0)</f>
        <v>0</v>
      </c>
      <c r="Y125" s="21">
        <f>IF(Технологии!BF29="ИЗУЧЕНО",$E125,0)</f>
        <v>0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 t="str">
        <f>IF(Технологии!BH30="","",Технологии!BH30)</f>
        <v/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 t="str">
        <f>IF(Технологии!BH30="","",Технологии!BH30)</f>
        <v/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 t="str">
        <f>IF(Технологии!BH30="","",Технологии!BH30)</f>
        <v/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 t="str">
        <f>IF(Технологии!BH30="","",Технологии!BH30)</f>
        <v/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 t="str">
        <f>IF(Технологии!BH31="","",Технологии!BH31)</f>
        <v/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 t="str">
        <f>IF(Технологии!BH31="","",Технологии!BH31)</f>
        <v/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 t="str">
        <f>IF(Технологии!BH31="","",Технологии!BH31)</f>
        <v/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 t="str">
        <f>IF(Технологии!BH31="","",Технологии!BH31)</f>
        <v/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 t="str">
        <f>IF(Технологии!BH32="","",Технологии!BH32)</f>
        <v/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 t="str">
        <f>IF(Технологии!BH32="","",Технологии!BH32)</f>
        <v/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 t="str">
        <f>IF(Технологии!BH32="","",Технологии!BH32)</f>
        <v/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 t="str">
        <f>IF(Технологии!BH32="","",Технологии!BH32)</f>
        <v/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 t="str">
        <f>IF(Технологии!BH32="","",Технологии!BH32)</f>
        <v/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 t="str">
        <f>IF(Технологии!BH32="","",Технологии!BH32)</f>
        <v/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Индонезия 2026</vt:lpstr>
      <vt:lpstr>Ход 2026</vt:lpstr>
      <vt:lpstr>Индонезия 2027</vt:lpstr>
      <vt:lpstr>Ход 2027</vt:lpstr>
      <vt:lpstr>Индонезия 2028</vt:lpstr>
      <vt:lpstr>Ход 2028</vt:lpstr>
      <vt:lpstr>Индонезия 2029</vt:lpstr>
      <vt:lpstr>Ход 2029</vt:lpstr>
      <vt:lpstr>Индонезия 2030</vt:lpstr>
      <vt:lpstr>Ход 2030</vt:lpstr>
      <vt:lpstr>Индонезия 2031</vt:lpstr>
      <vt:lpstr>Ход 2031</vt:lpstr>
      <vt:lpstr>Индонезия 2032</vt:lpstr>
      <vt:lpstr>Ход 2032</vt:lpstr>
      <vt:lpstr>Индонезия 2033</vt:lpstr>
      <vt:lpstr>Ход 2033</vt:lpstr>
      <vt:lpstr>Индонезия 2034</vt:lpstr>
      <vt:lpstr>Ход 2034</vt:lpstr>
      <vt:lpstr>Индонезия 2035</vt:lpstr>
      <vt:lpstr>Ход 2035</vt:lpstr>
      <vt:lpstr>Индонезия 2036</vt:lpstr>
      <vt:lpstr>Ход 2036</vt:lpstr>
      <vt:lpstr>Индонезия 2037</vt:lpstr>
      <vt:lpstr>Ход 2037</vt:lpstr>
      <vt:lpstr>Индонезия 2038</vt:lpstr>
      <vt:lpstr>Ход 2038</vt:lpstr>
      <vt:lpstr>Индонезия 2039</vt:lpstr>
      <vt:lpstr>Ход 2039</vt:lpstr>
      <vt:lpstr>Индонезия 2040</vt:lpstr>
      <vt:lpstr>Ход 2040</vt:lpstr>
      <vt:lpstr>Индонезия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IT_Cube6</cp:lastModifiedBy>
  <dcterms:modified xsi:type="dcterms:W3CDTF">2026-10-28T08:38:10Z</dcterms:modified>
</cp:coreProperties>
</file>