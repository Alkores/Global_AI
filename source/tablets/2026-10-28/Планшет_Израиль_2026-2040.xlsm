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Израиль 2026" sheetId="2" r:id="rId5"/>
    <sheet state="visible" name="Ход 2026" sheetId="3" r:id="rId6"/>
    <sheet state="visible" name="Израиль 2027" sheetId="4" r:id="rId7"/>
    <sheet state="visible" name="Ход 2027" sheetId="5" r:id="rId8"/>
    <sheet state="visible" name="Израиль 2028" sheetId="6" r:id="rId9"/>
    <sheet state="visible" name="Ход 2028" sheetId="7" r:id="rId10"/>
    <sheet state="visible" name="Израиль 2029" sheetId="8" r:id="rId11"/>
    <sheet state="visible" name="Ход 2029" sheetId="9" r:id="rId12"/>
    <sheet state="visible" name="Израиль 2030" sheetId="10" r:id="rId13"/>
    <sheet state="visible" name="Ход 2030" sheetId="11" r:id="rId14"/>
    <sheet state="visible" name="Израиль 2031" sheetId="12" r:id="rId15"/>
    <sheet state="visible" name="Ход 2031" sheetId="13" r:id="rId16"/>
    <sheet state="visible" name="Израиль 2032" sheetId="14" r:id="rId17"/>
    <sheet state="visible" name="Ход 2032" sheetId="15" r:id="rId18"/>
    <sheet state="visible" name="Израиль 2033" sheetId="16" r:id="rId19"/>
    <sheet state="visible" name="Ход 2033" sheetId="17" r:id="rId20"/>
    <sheet state="visible" name="Израиль 2034" sheetId="18" r:id="rId21"/>
    <sheet state="visible" name="Ход 2034" sheetId="19" r:id="rId22"/>
    <sheet state="visible" name="Израиль 2035" sheetId="20" r:id="rId23"/>
    <sheet state="visible" name="Ход 2035" sheetId="21" r:id="rId24"/>
    <sheet state="visible" name="Израиль 2036" sheetId="22" r:id="rId25"/>
    <sheet state="visible" name="Ход 2036" sheetId="23" r:id="rId26"/>
    <sheet state="visible" name="Израиль 2037" sheetId="24" r:id="rId27"/>
    <sheet state="visible" name="Ход 2037" sheetId="25" r:id="rId28"/>
    <sheet state="visible" name="Израиль 2038" sheetId="26" r:id="rId29"/>
    <sheet state="visible" name="Ход 2038" sheetId="27" r:id="rId30"/>
    <sheet state="visible" name="Израиль 2039" sheetId="28" r:id="rId31"/>
    <sheet state="visible" name="Ход 2039" sheetId="29" r:id="rId32"/>
    <sheet state="visible" name="Израиль 2040" sheetId="30" r:id="rId33"/>
    <sheet state="visible" name="Ход 2040" sheetId="31" r:id="rId34"/>
    <sheet state="visible" name="Израиль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v9HcMNGkfHfG/UdFJQqXMElHG3cdA/uA1VqUUmtoXUE="/>
    </ext>
  </extLst>
</workbook>
</file>

<file path=xl/sharedStrings.xml><?xml version="1.0" encoding="utf-8"?>
<sst xmlns="http://schemas.openxmlformats.org/spreadsheetml/2006/main" count="5217" uniqueCount="584">
  <si>
    <t>ИЗРАИЛЬ — СОСТОЯНИЕ НА НАЧАЛО 2026 ГОДА</t>
  </si>
  <si>
    <t>ХОД 2026 — РАСПРЕДЕЛЕНИЕ ОЧКОВ</t>
  </si>
  <si>
    <t>ДЕРЕВО ТЕХНОЛОГИЙ — 15 ХОДОВ</t>
  </si>
  <si>
    <t>ИЗРАИЛЬ — СОСТОЯНИЕ НА НАЧАЛО 2027 ГОДА</t>
  </si>
  <si>
    <t>Жёлтые ячейки — ввод игрока.</t>
  </si>
  <si>
    <t>Жёлтые поля заполняются вручную. Четыре колонки эффектов всегда создаются с нулём и не содержат формул.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</si>
  <si>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</si>
  <si>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1. РЕСУРСНАЯ БАЗА ИИ</t>
  </si>
  <si>
    <t>ОЧКИ ТРАНСФОРМАЦИИ</t>
  </si>
  <si>
    <t>ОЧКИ ИИ</t>
  </si>
  <si>
    <t>ВСЕГО ТЕХНОЛОГИЙ</t>
  </si>
  <si>
    <t>ОЧКИ НАУКИ</t>
  </si>
  <si>
    <t>ВНЕШНЕПОЛИТИЧЕСКИЕ ОЧКИ</t>
  </si>
  <si>
    <t>ОСНОВНЫХ ВЕТВЕЙ</t>
  </si>
  <si>
    <t>МЕЖВЕТВЕВЫХ</t>
  </si>
  <si>
    <t>Ресурс</t>
  </si>
  <si>
    <t>Доступно</t>
  </si>
  <si>
    <t>Начальное
значение</t>
  </si>
  <si>
    <t>СТАРТОВО ОТКРЫТО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</si>
  <si>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</si>
  <si>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</si>
  <si>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</si>
  <si>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</si>
  <si>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</si>
  <si>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</si>
  <si>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</si>
  <si>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</si>
  <si>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</si>
  <si>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</si>
  <si>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</si>
  <si>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</si>
  <si>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</si>
  <si>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</si>
  <si>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</si>
  <si>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</si>
  <si>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</si>
  <si>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</si>
  <si>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</si>
  <si>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</si>
  <si>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</si>
  <si>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</si>
  <si>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</si>
  <si>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</si>
  <si>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</si>
  <si>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</si>
  <si>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</si>
  <si>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Распределено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</si>
  <si>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</si>
  <si>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</si>
  <si>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</si>
  <si>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</si>
  <si>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</si>
  <si>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</si>
  <si>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</si>
  <si>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</si>
  <si>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</si>
  <si>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</si>
  <si>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</si>
  <si>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</si>
  <si>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</si>
  <si>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</si>
  <si>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</si>
  <si>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</si>
  <si>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</si>
  <si>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</si>
  <si>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</si>
  <si>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</si>
  <si>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</si>
  <si>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</si>
  <si>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</si>
  <si>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</si>
  <si>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</si>
  <si>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</si>
  <si>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</si>
  <si>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</si>
  <si>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</si>
  <si>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</si>
  <si>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</si>
  <si>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</si>
  <si>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</si>
  <si>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</si>
  <si>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</si>
  <si>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</si>
  <si>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</si>
  <si>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</si>
  <si>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</si>
  <si>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</si>
  <si>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</si>
  <si>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</si>
  <si>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</si>
  <si>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</si>
  <si>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</si>
  <si>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</si>
  <si>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</si>
  <si>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</si>
  <si>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</si>
  <si>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</si>
  <si>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</si>
  <si>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</si>
  <si>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</si>
  <si>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</si>
  <si>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</si>
  <si>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</si>
  <si>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</si>
  <si>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</si>
  <si>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</si>
  <si>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</si>
  <si>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</si>
  <si>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</si>
  <si>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</si>
  <si>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</si>
  <si>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</si>
  <si>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</si>
  <si>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</si>
  <si>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</si>
  <si>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</si>
  <si>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</si>
  <si>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</si>
  <si>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</si>
  <si>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</si>
  <si>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</si>
  <si>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</si>
  <si>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</si>
  <si>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</si>
  <si>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</si>
  <si>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</si>
  <si>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</si>
  <si>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</si>
  <si>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</si>
  <si>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</si>
  <si>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</si>
  <si>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</si>
  <si>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</si>
  <si>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</si>
  <si>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</si>
  <si>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</si>
  <si>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</si>
  <si>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</si>
  <si>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</si>
  <si>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</si>
  <si>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</si>
  <si>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</si>
  <si>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Саудовская Аравия</t>
  </si>
  <si>
    <t>II. Программно-алгоритмический потенциал</t>
  </si>
  <si>
    <t>C2</t>
  </si>
  <si>
    <t>II</t>
  </si>
  <si>
    <t>ASIC-ускорители с памятью HBM</t>
  </si>
  <si>
    <t>Иран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</si>
  <si>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</si>
  <si>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</si>
  <si>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Базовый программный стек вычислений</t>
  </si>
  <si>
    <t>Эффект науки</t>
  </si>
  <si>
    <t>Бразилия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</si>
  <si>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</si>
  <si>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</si>
  <si>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</si>
  <si>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</si>
  <si>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</si>
  <si>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</si>
  <si>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</si>
  <si>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</si>
  <si>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</si>
  <si>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</si>
  <si>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</si>
  <si>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</si>
  <si>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</si>
  <si>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M1</t>
  </si>
  <si>
    <t>Итого вложено</t>
  </si>
  <si>
    <t>III. Данные, модели и информационная безопасность</t>
  </si>
  <si>
    <t>c1</t>
  </si>
  <si>
    <t>Исходные данные</t>
  </si>
  <si>
    <t>c2</t>
  </si>
  <si>
    <t>Атака с бонусом</t>
  </si>
  <si>
    <t>Производные данные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</si>
  <si>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</si>
  <si>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</si>
  <si>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</si>
  <si>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</si>
  <si>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Контекстные информационные ресурсы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</si>
  <si>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</si>
  <si>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</si>
  <si>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</si>
  <si>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</si>
  <si>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</si>
  <si>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</si>
  <si>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</si>
  <si>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</si>
  <si>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</si>
  <si>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</si>
  <si>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</si>
  <si>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2. СФЕРЫ ВНЕДРЕНИЯ ИИ</t>
  </si>
  <si>
    <t>C4</t>
  </si>
  <si>
    <t>Организационная способность к изменению</t>
  </si>
  <si>
    <t>3. МЕЖДУНАРОДНЫЕ ОТНОШЕНИЯ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</si>
  <si>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</si>
  <si>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</si>
  <si>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</si>
  <si>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</si>
  <si>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</si>
  <si>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</si>
  <si>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</si>
  <si>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</si>
  <si>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</si>
  <si>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Код −5…+5</t>
  </si>
  <si>
    <t>Статус</t>
  </si>
  <si>
    <t>Краткое положение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</si>
  <si>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</si>
  <si>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</si>
  <si>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</si>
  <si>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</si>
  <si>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</si>
  <si>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</si>
  <si>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</si>
  <si>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</si>
  <si>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</si>
  <si>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</si>
  <si>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</si>
  <si>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Ограниченные и напряжённые отношения: сохраняются отдельные дипломатические и гуманитарные каналы, но стратегическое доверие существенно снижено.</t>
  </si>
  <si>
    <t>Исключительно тесное военно-политическое, технологическое и финансовое партнёрство, институционально закреплённое многолетним союзом.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</si>
  <si>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</si>
  <si>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</si>
  <si>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</si>
  <si>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</si>
  <si>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</si>
  <si>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Экономические и технологические связи сохраняются, но политическая и технологическая дистанция выросла из-за вопросов безопасности и отношений Израиля с США.</t>
  </si>
  <si>
    <t>Очень тесное стратегическое, оборонное, технологическое и сельскохозяйственное сотрудничество.</t>
  </si>
  <si>
    <t>Развитые экономические и технологические связи при заметных политических разногласиях по ближневосточной повестке.</t>
  </si>
  <si>
    <t>Положительные экономические и политические связи при существенных расхождениях по региональной политике.</t>
  </si>
  <si>
    <t>Особые исторические обязательства Германии сочетаются с тесными политическими, оборонными, научными и экономическими связями.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</si>
  <si>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</si>
  <si>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</si>
  <si>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</si>
  <si>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</si>
  <si>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</si>
  <si>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Положительные торговые и технологические отношения при относительно ограниченной военно-политической вовлечённости.</t>
  </si>
  <si>
    <t>Положительные технологические и торговые отношения, включая сотрудничество в инновациях и оборонных технологиях.</t>
  </si>
  <si>
    <t>Отношения резко осложнены региональными конфликтами и политической риторикой при сохранении части экономических и дипломатических каналов.</t>
  </si>
  <si>
    <t>Формальных дипломатических отношений нет; потенциальное сближение ограничено палестинским вопросом и региональной обстановкой.</t>
  </si>
  <si>
    <t>Крайняя взаимная враждебность и прямое военно-политическое противостояние.</t>
  </si>
  <si>
    <t>Политические отношения заметно охлаждены, хотя экономические и общественные связи полностью не прекращены.</t>
  </si>
  <si>
    <t>После нормализации сформировались интенсивные торговые, инвестиционные, технологические и туристические связи.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</si>
  <si>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</si>
  <si>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</si>
  <si>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</si>
  <si>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</si>
  <si>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Отсутствуют полноценные дипломатические отношения; политические контакты ограничены палестинским вопросом, хотя отдельные экономические связи возможны.</t>
  </si>
  <si>
    <t>Усреднённый нейтральный уровень для государств, не выделенных отдельной строкой.</t>
  </si>
  <si>
    <t>ХОД 2027 — РАСПРЕДЕЛЕНИЕ ОЧКОВ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</si>
  <si>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</si>
  <si>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</si>
  <si>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</si>
  <si>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</si>
  <si>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</si>
  <si>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</si>
  <si>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</si>
  <si>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</si>
  <si>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</si>
  <si>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</si>
  <si>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</si>
  <si>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</si>
  <si>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</si>
  <si>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</si>
  <si>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</si>
  <si>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</si>
  <si>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ИЗРАИЛЬ — СОСТОЯНИЕ НА НАЧАЛО 2028 ГОДА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</si>
  <si>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</si>
  <si>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</si>
  <si>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</si>
  <si>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</si>
  <si>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</si>
  <si>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</si>
  <si>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</si>
  <si>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</si>
  <si>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</si>
  <si>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ХОД 2028 — РАСПРЕДЕЛЕНИЕ ОЧКОВ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</si>
  <si>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</si>
  <si>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</si>
  <si>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</si>
  <si>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</si>
  <si>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</si>
  <si>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</si>
  <si>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</si>
  <si>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</si>
  <si>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</si>
  <si>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</si>
  <si>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</si>
  <si>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</si>
  <si>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</si>
  <si>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</si>
  <si>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</si>
  <si>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</si>
  <si>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</si>
  <si>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</si>
  <si>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</si>
  <si>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</si>
  <si>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</si>
  <si>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</si>
  <si>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</si>
  <si>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</si>
  <si>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</si>
  <si>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ИЗРАИЛЬ — СОСТОЯНИЕ НА НАЧАЛО 2029 ГОДА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</si>
  <si>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</si>
  <si>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</si>
  <si>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</si>
  <si>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</si>
  <si>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</si>
  <si>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</si>
  <si>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</si>
  <si>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</si>
  <si>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</si>
  <si>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</si>
  <si>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</si>
  <si>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</si>
  <si>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</si>
  <si>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</si>
  <si>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</si>
  <si>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</si>
  <si>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</si>
  <si>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</si>
  <si>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</si>
  <si>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</si>
  <si>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</si>
  <si>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</si>
  <si>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</si>
  <si>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</si>
  <si>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</si>
  <si>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</si>
  <si>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</si>
  <si>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</si>
  <si>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</si>
  <si>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</si>
  <si>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</si>
  <si>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</si>
  <si>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</si>
  <si>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ХОД 2029 — РАСПРЕДЕЛЕНИЕ ОЧКОВ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</si>
  <si>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</si>
  <si>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</si>
  <si>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</si>
  <si>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</si>
  <si>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</si>
  <si>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</si>
  <si>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</si>
  <si>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</si>
  <si>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</si>
  <si>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</si>
  <si>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</si>
  <si>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</si>
  <si>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</si>
  <si>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</si>
  <si>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</si>
  <si>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</si>
  <si>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</si>
  <si>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</si>
  <si>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</si>
  <si>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</si>
  <si>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</si>
  <si>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</si>
  <si>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</si>
  <si>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</si>
  <si>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</si>
  <si>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</si>
  <si>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</si>
  <si>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</si>
  <si>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</si>
  <si>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</si>
  <si>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</si>
  <si>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</si>
  <si>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</si>
  <si>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ИЗРАИЛЬ — СОСТОЯНИЕ НА НАЧАЛО 2030 ГОДА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</si>
  <si>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</si>
  <si>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</si>
  <si>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</si>
  <si>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</si>
  <si>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</si>
  <si>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</si>
  <si>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</si>
  <si>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</si>
  <si>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</si>
  <si>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ХОД 2030 — РАСПРЕДЕЛЕНИЕ ОЧКОВ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</si>
  <si>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</si>
  <si>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</si>
  <si>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</si>
  <si>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</si>
  <si>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</si>
  <si>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</si>
  <si>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</si>
  <si>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</si>
  <si>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</si>
  <si>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</si>
  <si>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</si>
  <si>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</si>
  <si>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</si>
  <si>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ИЗРАИЛЬ — СОСТОЯНИЕ НА НАЧАЛО 2031 ГОДА</t>
  </si>
  <si>
    <t>ХОД 2031 — РАСПРЕДЕЛЕНИЕ ОЧКОВ</t>
  </si>
  <si>
    <t>ИЗРАИЛЬ — СОСТОЯНИЕ НА НАЧАЛО 2032 ГОДА</t>
  </si>
  <si>
    <t>ХОД 2032 — РАСПРЕДЕЛЕНИЕ ОЧКОВ</t>
  </si>
  <si>
    <t>ИЗРАИЛЬ — СОСТОЯНИЕ НА НАЧАЛО 2033 ГОДА</t>
  </si>
  <si>
    <t>ХОД 2033 — РАСПРЕДЕЛЕНИЕ ОЧКОВ</t>
  </si>
  <si>
    <t>ИЗРАИЛЬ — СОСТОЯНИЕ НА НАЧАЛО 2034 ГОДА</t>
  </si>
  <si>
    <t>ХОД 2034 — РАСПРЕДЕЛЕНИЕ ОЧКОВ</t>
  </si>
  <si>
    <t>ИЗРАИЛЬ — СОСТОЯНИЕ НА НАЧАЛО 2035 ГОДА</t>
  </si>
  <si>
    <t>ХОД 2035 — РАСПРЕДЕЛЕНИЕ ОЧКОВ</t>
  </si>
  <si>
    <t>ИЗРАИЛЬ — СОСТОЯНИЕ НА НАЧАЛО 2036 ГОДА</t>
  </si>
  <si>
    <t>ХОД 2036 — РАСПРЕДЕЛЕНИЕ ОЧКОВ</t>
  </si>
  <si>
    <t>ИЗРАИЛЬ — СОСТОЯНИЕ НА НАЧАЛО 2037 ГОДА</t>
  </si>
  <si>
    <t>ХОД 2037 — РАСПРЕДЕЛЕНИЕ ОЧКОВ</t>
  </si>
  <si>
    <t>ИЗРАИЛЬ — СОСТОЯНИЕ НА НАЧАЛО 2038 ГОДА</t>
  </si>
  <si>
    <t>ХОД 2038 — РАСПРЕДЕЛЕНИЕ ОЧКОВ</t>
  </si>
  <si>
    <t>ИЗРАИЛЬ — СОСТОЯНИЕ НА НАЧАЛО 2039 ГОДА</t>
  </si>
  <si>
    <t>ХОД 2039 — РАСПРЕДЕЛЕНИЕ ОЧКОВ</t>
  </si>
  <si>
    <t>ИЗРАИЛЬ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</si>
  <si>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</si>
  <si>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</si>
  <si>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</si>
  <si>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</si>
  <si>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</si>
  <si>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ИЗРАИЛЬ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</si>
  <si>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</si>
  <si>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</si>
  <si>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Израиля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</si>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</sst>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sz val="11.0"/>
      <color theme="1"/>
      <name val="Carlito"/>
    </font>
    <font>
      <b/>
      <sz val="12.0"/>
      <color rgb="FFFFFFFF"/>
      <name val="Carlito"/>
    </font>
    <font>
      <b/>
      <sz val="11.0"/>
      <color rgb="FFFFFFFF"/>
      <name val="Carlito"/>
    </font>
    <font>
      <b/>
      <sz val="10.0"/>
      <color rgb="FFFFFFFF"/>
      <name val="Arial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E2F0D9"/>
        <bgColor rgb="FFE2F0D9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2" fontId="1" numFmtId="0" xfId="0" applyAlignment="1" applyBorder="1" applyFill="1" applyFont="1">
      <alignment horizontal="center" shrinkToFit="0" wrapText="1"/>
    </xf>
    <xf borderId="2" fillId="0" fontId="2" numFmtId="0" xfId="0" applyBorder="1" applyFont="1"/>
    <xf borderId="1" fillId="2" fontId="1" numFmtId="0" xfId="0" applyAlignment="1" applyBorder="1" applyFill="1" applyFont="1">
      <alignment horizontal="center" vertical="center"/>
    </xf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0" fillId="0" fontId="4" numFmtId="0" xfId="0" applyAlignment="1" applyFont="1">
      <alignment shrinkToFit="0" wrapText="1"/>
    </xf>
    <xf borderId="7" fillId="4" fontId="5" numFmtId="0" xfId="0" applyAlignment="1" applyBorder="1" applyFill="1" applyFont="1">
      <alignment shrinkToFit="0" wrapText="1"/>
    </xf>
    <xf borderId="7" fillId="4" fontId="6" numFmtId="0" xfId="0" applyAlignment="1" applyBorder="1" applyFill="1" applyFont="1">
      <alignment horizontal="center" shrinkToFit="0" wrapText="1"/>
    </xf>
    <xf borderId="7" fillId="4" fontId="6" numFmtId="0" xfId="0" applyAlignment="1" applyBorder="1" applyFill="1" applyFont="1">
      <alignment horizontal="center"/>
    </xf>
    <xf borderId="10" fillId="5" fontId="6" numFmtId="0" xfId="0" applyAlignment="1" applyBorder="1" applyFill="1" applyFont="1">
      <alignment shrinkToFit="0" wrapText="1"/>
    </xf>
    <xf borderId="10" fillId="6" fontId="7" numFmtId="0" xfId="0" applyAlignment="1" applyBorder="1" applyFill="1" applyFont="1">
      <alignment shrinkToFit="0" vertical="center" wrapText="1"/>
    </xf>
    <xf borderId="1" fillId="7" fontId="8" numFmtId="0" xfId="0" applyAlignment="1" applyBorder="1" applyFill="1" applyFont="1">
      <alignment horizontal="center"/>
    </xf>
    <xf borderId="0" fillId="0" fontId="4" numFmtId="164" xfId="0" applyAlignment="1" applyFont="1" applyNumberFormat="1">
      <alignment shrinkToFit="0" wrapText="1"/>
    </xf>
    <xf borderId="10" fillId="8" fontId="9" numFmtId="0" xfId="0" applyAlignment="1" applyBorder="1" applyFill="1" applyFont="1">
      <alignment shrinkToFit="0" wrapText="1"/>
    </xf>
    <xf borderId="10" fillId="9" fontId="7" numFmtId="0" xfId="0" applyAlignment="1" applyBorder="1" applyFill="1" applyFont="1">
      <alignment shrinkToFit="0" wrapText="1"/>
    </xf>
    <xf borderId="10" fillId="8" fontId="4" numFmtId="0" xfId="0" applyAlignment="1" applyBorder="1" applyFill="1" applyFont="1">
      <alignment shrinkToFit="0" wrapText="1"/>
    </xf>
    <xf borderId="7" fillId="4" fontId="6" numFmtId="0" xfId="0" applyAlignment="1" applyBorder="1" applyFill="1" applyFont="1">
      <alignment shrinkToFit="0" wrapText="1"/>
    </xf>
    <xf borderId="10" fillId="10" fontId="4" numFmtId="0" xfId="0" applyAlignment="1" applyBorder="1" applyFill="1" applyFont="1">
      <alignment readingOrder="0" shrinkToFit="0" wrapText="1"/>
    </xf>
    <xf borderId="10" fillId="10" fontId="4" numFmtId="0" xfId="0" applyAlignment="1" applyBorder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10" fillId="7" fontId="4" numFmtId="0" xfId="0" applyAlignment="1" applyBorder="1" applyFill="1" applyFont="1">
      <alignment shrinkToFit="0" wrapText="1"/>
    </xf>
    <xf borderId="0" fillId="0" fontId="10" numFmtId="0" xfId="0" applyFont="1"/>
    <xf borderId="10" fillId="11" fontId="4" numFmtId="9" xfId="0" applyAlignment="1" applyBorder="1" applyFill="1" applyFont="1" applyNumberFormat="1">
      <alignment shrinkToFit="0" wrapText="1"/>
    </xf>
    <xf borderId="10" fillId="11" fontId="4" numFmtId="0" xfId="0" applyAlignment="1" applyBorder="1" applyFill="1" applyFont="1">
      <alignment shrinkToFit="0" wrapText="1"/>
    </xf>
    <xf borderId="1" fillId="7" fontId="8" numFmtId="164" xfId="0" applyAlignment="1" applyBorder="1" applyFill="1" applyFont="1" applyNumberFormat="1">
      <alignment horizontal="center" shrinkToFit="0" wrapText="1"/>
    </xf>
    <xf borderId="10" fillId="11" fontId="11" numFmtId="0" xfId="0" applyAlignment="1" applyBorder="1" applyFill="1" applyFont="1">
      <alignment shrinkToFit="0" wrapText="1"/>
    </xf>
    <xf borderId="10" fillId="12" fontId="4" numFmtId="0" xfId="0" applyAlignment="1" applyBorder="1" applyFill="1" applyFont="1">
      <alignment shrinkToFit="0" wrapText="1"/>
    </xf>
    <xf borderId="0" fillId="0" fontId="4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9" fontId="7" numFmtId="0" xfId="0" applyAlignment="1" applyBorder="1" applyFill="1" applyFont="1">
      <alignment vertical="center"/>
    </xf>
    <xf borderId="0" fillId="0" fontId="4" numFmtId="9" xfId="0" applyFont="1" applyNumberFormat="1"/>
    <xf borderId="0" fillId="0" fontId="4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6" xfId="0" applyBorder="1" applyFont="1" applyNumberFormat="1"/>
    <xf borderId="0" fillId="0" fontId="4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4" t="s">
        <v>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8"/>
    </row>
    <row r="3" ht="13.5" customHeight="1">
      <c r="A3" s="9" t="s">
        <v>6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1"/>
    </row>
    <row r="4" ht="13.5" customHeight="1"/>
    <row r="5" ht="13.5" customHeight="1">
      <c r="A5" s="15" t="s">
        <v>10</v>
      </c>
      <c r="B5" s="10"/>
      <c r="C5" s="11"/>
      <c r="E5" s="15" t="s">
        <v>13</v>
      </c>
      <c r="F5" s="10"/>
      <c r="G5" s="11"/>
      <c r="I5" s="15" t="s">
        <v>14</v>
      </c>
      <c r="J5" s="10"/>
      <c r="K5" s="11"/>
      <c r="M5" s="15" t="s">
        <v>18</v>
      </c>
      <c r="N5" s="11"/>
    </row>
    <row r="6" ht="13.5" customHeight="1">
      <c r="A6" s="18">
        <v>40.0</v>
      </c>
      <c r="B6" s="3"/>
      <c r="C6" s="5"/>
      <c r="E6" s="18">
        <v>6.0</v>
      </c>
      <c r="F6" s="3"/>
      <c r="G6" s="5"/>
      <c r="I6" s="18">
        <v>4.0</v>
      </c>
      <c r="J6" s="3"/>
      <c r="K6" s="5"/>
      <c r="M6" s="18">
        <v>6.0</v>
      </c>
      <c r="N6" s="5"/>
    </row>
    <row r="7" ht="13.5" customHeight="1">
      <c r="A7" s="6"/>
      <c r="B7" s="7"/>
      <c r="C7" s="8"/>
      <c r="E7" s="6"/>
      <c r="F7" s="7"/>
      <c r="G7" s="8"/>
      <c r="I7" s="6"/>
      <c r="J7" s="7"/>
      <c r="K7" s="8"/>
      <c r="M7" s="6"/>
      <c r="N7" s="8"/>
    </row>
    <row r="8" ht="13.5" customHeight="1"/>
    <row r="9" ht="13.5" customHeight="1"/>
    <row r="10" ht="13.5" customHeight="1">
      <c r="A10" s="16" t="s">
        <v>27</v>
      </c>
      <c r="B10" s="16" t="s">
        <v>28</v>
      </c>
      <c r="C10" s="16" t="s">
        <v>29</v>
      </c>
      <c r="D10" s="16" t="s">
        <v>30</v>
      </c>
      <c r="E10" s="16" t="s">
        <v>31</v>
      </c>
      <c r="F10" s="16" t="s">
        <v>32</v>
      </c>
      <c r="G10" s="16" t="s">
        <v>33</v>
      </c>
      <c r="H10" s="16" t="s">
        <v>34</v>
      </c>
      <c r="I10" s="16" t="s">
        <v>35</v>
      </c>
      <c r="J10" s="16" t="s">
        <v>36</v>
      </c>
      <c r="K10" s="16" t="s">
        <v>37</v>
      </c>
      <c r="L10" s="16" t="s">
        <v>38</v>
      </c>
      <c r="M10" s="16" t="s">
        <v>39</v>
      </c>
      <c r="N10" s="16" t="s">
        <v>40</v>
      </c>
      <c r="O10" s="16" t="s">
        <v>41</v>
      </c>
      <c r="P10" s="16" t="s">
        <v>42</v>
      </c>
      <c r="Q10" s="16" t="s">
        <v>43</v>
      </c>
      <c r="R10" s="16" t="s">
        <v>44</v>
      </c>
      <c r="S10" s="16" t="s">
        <v>45</v>
      </c>
      <c r="T10" s="16" t="s">
        <v>47</v>
      </c>
      <c r="U10" s="16" t="s">
        <v>48</v>
      </c>
      <c r="V10" s="16" t="s">
        <v>49</v>
      </c>
      <c r="W10" s="16" t="s">
        <v>50</v>
      </c>
      <c r="X10" s="16" t="s">
        <v>51</v>
      </c>
      <c r="Y10" s="16" t="s">
        <v>52</v>
      </c>
      <c r="Z10" s="16" t="s">
        <v>53</v>
      </c>
      <c r="AA10" s="16" t="s">
        <v>54</v>
      </c>
      <c r="AB10" s="16" t="s">
        <v>55</v>
      </c>
      <c r="AC10" s="20" t="s">
        <v>56</v>
      </c>
      <c r="AD10" s="20" t="s">
        <v>57</v>
      </c>
      <c r="AE10" s="20" t="s">
        <v>58</v>
      </c>
      <c r="AF10" s="20" t="s">
        <v>59</v>
      </c>
      <c r="AG10" s="20" t="s">
        <v>60</v>
      </c>
      <c r="AH10" s="20" t="s">
        <v>61</v>
      </c>
      <c r="AI10" s="20" t="s">
        <v>62</v>
      </c>
      <c r="AJ10" s="20" t="s">
        <v>63</v>
      </c>
      <c r="AK10" s="20" t="s">
        <v>64</v>
      </c>
      <c r="AL10" s="20" t="s">
        <v>65</v>
      </c>
      <c r="AM10" s="20" t="s">
        <v>66</v>
      </c>
      <c r="AN10" s="20" t="s">
        <v>67</v>
      </c>
      <c r="AO10" s="20" t="s">
        <v>68</v>
      </c>
      <c r="AP10" s="20" t="s">
        <v>69</v>
      </c>
      <c r="AQ10" s="20" t="s">
        <v>70</v>
      </c>
      <c r="AR10" s="20" t="s">
        <v>71</v>
      </c>
      <c r="AS10" s="20" t="s">
        <v>72</v>
      </c>
      <c r="AT10" s="20" t="s">
        <v>73</v>
      </c>
      <c r="AU10" s="20" t="s">
        <v>74</v>
      </c>
      <c r="AV10" s="20" t="s">
        <v>75</v>
      </c>
      <c r="AW10" s="20" t="s">
        <v>76</v>
      </c>
      <c r="AX10" s="20" t="s">
        <v>77</v>
      </c>
      <c r="AY10" s="20" t="s">
        <v>78</v>
      </c>
      <c r="AZ10" s="20" t="s">
        <v>79</v>
      </c>
      <c r="BA10" s="20" t="s">
        <v>80</v>
      </c>
      <c r="BB10" s="20" t="s">
        <v>81</v>
      </c>
      <c r="BC10" s="20" t="s">
        <v>82</v>
      </c>
      <c r="BD10" s="20" t="s">
        <v>83</v>
      </c>
      <c r="BE10" s="20" t="s">
        <v>84</v>
      </c>
      <c r="BF10" s="20" t="s">
        <v>85</v>
      </c>
      <c r="BG10" s="21" t="s">
        <v>86</v>
      </c>
      <c r="BH10" s="21" t="s">
        <v>87</v>
      </c>
    </row>
    <row r="11" ht="13.5" customHeight="1">
      <c r="A11" s="12" t="s">
        <v>88</v>
      </c>
      <c r="B11" s="12" t="s">
        <v>89</v>
      </c>
      <c r="C11" s="12" t="s">
        <v>90</v>
      </c>
      <c r="D11" s="12" t="s">
        <v>91</v>
      </c>
      <c r="E11" s="12">
        <v>20.0</v>
      </c>
      <c r="F11" s="12"/>
      <c r="G11" s="12"/>
      <c r="H11" s="12"/>
      <c r="I11" s="12" t="s">
        <v>92</v>
      </c>
      <c r="J11" s="12" t="s">
        <v>93</v>
      </c>
      <c r="K11" s="22">
        <f>SUMIF('Ход 2026'!$G$29:$G$38,$A11,'Ход 2026'!$I$29:$I$38)*(1+'Эффекты технологий'!J$7)</f>
        <v>20</v>
      </c>
      <c r="L11" s="22">
        <f>SUMIF('Ход 2027'!$G$29:$G$38,$A11,'Ход 2027'!$I$29:$I$38)*(1+'Эффекты технологий'!K$7)</f>
        <v>0</v>
      </c>
      <c r="M11" s="22">
        <f>SUMIF('Ход 2028'!$G$29:$G$38,$A11,'Ход 2028'!$I$29:$I$38)*(1+'Эффекты технологий'!L$7)</f>
        <v>0</v>
      </c>
      <c r="N11" s="22">
        <f>SUMIF('Ход 2029'!$G$29:$G$38,$A11,'Ход 2029'!$I$29:$I$38)*(1+'Эффекты технологий'!M$7)</f>
        <v>0</v>
      </c>
      <c r="O11" s="22">
        <f>SUMIF('Ход 2030'!$G$29:$G$38,$A11,'Ход 2030'!$I$29:$I$38)*(1+'Эффекты технологий'!N$7)</f>
        <v>0</v>
      </c>
      <c r="P11" s="22">
        <f>SUMIF('Ход 2031'!$G$29:$G$38,$A11,'Ход 2031'!$I$29:$I$38)*(1+'Эффекты технологий'!O$7)</f>
        <v>0</v>
      </c>
      <c r="Q11" s="22">
        <f>SUMIF('Ход 2032'!$G$29:$G$38,$A11,'Ход 2032'!$I$29:$I$38)*(1+'Эффекты технологий'!P$7)</f>
        <v>0</v>
      </c>
      <c r="R11" s="22">
        <f>SUMIF('Ход 2033'!$G$29:$G$38,$A11,'Ход 2033'!$I$29:$I$38)*(1+'Эффекты технологий'!Q$7)</f>
        <v>0</v>
      </c>
      <c r="S11" s="22">
        <f>SUMIF('Ход 2034'!$G$29:$G$38,$A11,'Ход 2034'!$I$29:$I$38)*(1+'Эффекты технологий'!R$7)</f>
        <v>0</v>
      </c>
      <c r="T11" s="22">
        <f>SUMIF('Ход 2035'!$G$29:$G$38,$A11,'Ход 2035'!$I$29:$I$38)*(1+'Эффекты технологий'!S$7)</f>
        <v>0</v>
      </c>
      <c r="U11" s="22">
        <f>SUMIF('Ход 2036'!$G$29:$G$38,$A11,'Ход 2036'!$I$29:$I$38)*(1+'Эффекты технологий'!T$7)</f>
        <v>0</v>
      </c>
      <c r="V11" s="22">
        <f>SUMIF('Ход 2037'!$G$29:$G$38,$A11,'Ход 2037'!$I$29:$I$38)*(1+'Эффекты технологий'!U$7)</f>
        <v>0</v>
      </c>
      <c r="W11" s="22">
        <f>SUMIF('Ход 2038'!$G$29:$G$38,$A11,'Ход 2038'!$I$29:$I$38)*(1+'Эффекты технологий'!V$7)</f>
        <v>0</v>
      </c>
      <c r="X11" s="22">
        <f>SUMIF('Ход 2039'!$G$29:$G$38,$A11,'Ход 2039'!$I$29:$I$38)*(1+'Эффекты технологий'!W$7)</f>
        <v>0</v>
      </c>
      <c r="Y11" s="22">
        <f>SUMIF('Ход 2040'!$G$29:$G$38,$A11,'Ход 2040'!$I$29:$I$38)*(1+'Эффекты технологий'!X$7)</f>
        <v>0</v>
      </c>
      <c r="Z11" s="27">
        <f t="shared" ref="Z11:Z50" si="3">SUM(K11:Y11)</f>
        <v>20</v>
      </c>
      <c r="AA11" s="27">
        <f t="shared" ref="AA11:AA50" si="4">MAX(0,E11-Z11)</f>
        <v>0</v>
      </c>
      <c r="AB11" s="12" t="str">
        <f t="shared" ref="AB11:AB50" si="5">BF11</f>
        <v>ИЗУЧЕНО</v>
      </c>
      <c r="AC11" s="28">
        <f t="shared" ref="AC11:AQ11" si="1">SUM($K11:K11)</f>
        <v>20</v>
      </c>
      <c r="AD11" s="28">
        <f t="shared" si="1"/>
        <v>20</v>
      </c>
      <c r="AE11" s="28">
        <f t="shared" si="1"/>
        <v>20</v>
      </c>
      <c r="AF11" s="28">
        <f t="shared" si="1"/>
        <v>20</v>
      </c>
      <c r="AG11" s="28">
        <f t="shared" si="1"/>
        <v>20</v>
      </c>
      <c r="AH11" s="28">
        <f t="shared" si="1"/>
        <v>20</v>
      </c>
      <c r="AI11" s="28">
        <f t="shared" si="1"/>
        <v>20</v>
      </c>
      <c r="AJ11" s="28">
        <f t="shared" si="1"/>
        <v>20</v>
      </c>
      <c r="AK11" s="28">
        <f t="shared" si="1"/>
        <v>20</v>
      </c>
      <c r="AL11" s="28">
        <f t="shared" si="1"/>
        <v>20</v>
      </c>
      <c r="AM11" s="28">
        <f t="shared" si="1"/>
        <v>20</v>
      </c>
      <c r="AN11" s="28">
        <f t="shared" si="1"/>
        <v>20</v>
      </c>
      <c r="AO11" s="28">
        <f t="shared" si="1"/>
        <v>20</v>
      </c>
      <c r="AP11" s="28">
        <f t="shared" si="1"/>
        <v>20</v>
      </c>
      <c r="AQ11" s="28">
        <f t="shared" si="1"/>
        <v>20</v>
      </c>
      <c r="AR11" s="28" t="str">
        <f t="shared" ref="AR11:BF11" si="2">IF(AND(AC11&gt;=$E11,TRUE),"ИЗУЧЕНО",IF(TRUE,"ОТКРЫТО","ЗАКРЫТО"))</f>
        <v>ИЗУЧЕНО</v>
      </c>
      <c r="AS11" s="28" t="str">
        <f t="shared" si="2"/>
        <v>ИЗУЧЕНО</v>
      </c>
      <c r="AT11" s="28" t="str">
        <f t="shared" si="2"/>
        <v>ИЗУЧЕНО</v>
      </c>
      <c r="AU11" s="28" t="str">
        <f t="shared" si="2"/>
        <v>ИЗУЧЕНО</v>
      </c>
      <c r="AV11" s="28" t="str">
        <f t="shared" si="2"/>
        <v>ИЗУЧЕНО</v>
      </c>
      <c r="AW11" s="28" t="str">
        <f t="shared" si="2"/>
        <v>ИЗУЧЕНО</v>
      </c>
      <c r="AX11" s="28" t="str">
        <f t="shared" si="2"/>
        <v>ИЗУЧЕНО</v>
      </c>
      <c r="AY11" s="28" t="str">
        <f t="shared" si="2"/>
        <v>ИЗУЧЕНО</v>
      </c>
      <c r="AZ11" s="28" t="str">
        <f t="shared" si="2"/>
        <v>ИЗУЧЕНО</v>
      </c>
      <c r="BA11" s="28" t="str">
        <f t="shared" si="2"/>
        <v>ИЗУЧЕНО</v>
      </c>
      <c r="BB11" s="28" t="str">
        <f t="shared" si="2"/>
        <v>ИЗУЧЕНО</v>
      </c>
      <c r="BC11" s="28" t="str">
        <f t="shared" si="2"/>
        <v>ИЗУЧЕНО</v>
      </c>
      <c r="BD11" s="28" t="str">
        <f t="shared" si="2"/>
        <v>ИЗУЧЕНО</v>
      </c>
      <c r="BE11" s="28" t="str">
        <f t="shared" si="2"/>
        <v>ИЗУЧЕНО</v>
      </c>
      <c r="BF11" s="28" t="str">
        <f t="shared" si="2"/>
        <v>ИЗУЧЕНО</v>
      </c>
      <c r="BG11" s="28">
        <f t="shared" ref="BG11:BG50" si="8">IFERROR(2025+MATCH("ИЗУЧЕНО",AR11:BF11,0),"")</f>
        <v>2026</v>
      </c>
      <c r="BH11" s="28">
        <f t="shared" ref="BH11:BH50" si="9">IF(BG11="","",BG11+1)</f>
        <v>2027</v>
      </c>
    </row>
    <row r="12" ht="13.5" customHeight="1">
      <c r="A12" s="12" t="s">
        <v>144</v>
      </c>
      <c r="B12" s="12" t="s">
        <v>89</v>
      </c>
      <c r="C12" s="12" t="s">
        <v>145</v>
      </c>
      <c r="D12" s="12" t="s">
        <v>146</v>
      </c>
      <c r="E12" s="12">
        <v>40.0</v>
      </c>
      <c r="F12" s="12" t="s">
        <v>88</v>
      </c>
      <c r="G12" s="12"/>
      <c r="H12" s="12"/>
      <c r="I12" s="12" t="s">
        <v>148</v>
      </c>
      <c r="J12" s="12" t="s">
        <v>149</v>
      </c>
      <c r="K12" s="22">
        <f>SUMIF('Ход 2026'!$G$29:$G$38,$A12,'Ход 2026'!$I$29:$I$38)*(1+'Эффекты технологий'!J$7)</f>
        <v>60</v>
      </c>
      <c r="L12" s="22">
        <f>SUMIF('Ход 2027'!$G$29:$G$38,$A12,'Ход 2027'!$I$29:$I$38)*(1+'Эффекты технологий'!K$7)</f>
        <v>0</v>
      </c>
      <c r="M12" s="22">
        <f>SUMIF('Ход 2028'!$G$29:$G$38,$A12,'Ход 2028'!$I$29:$I$38)*(1+'Эффекты технологий'!L$7)</f>
        <v>0</v>
      </c>
      <c r="N12" s="22">
        <f>SUMIF('Ход 2029'!$G$29:$G$38,$A12,'Ход 2029'!$I$29:$I$38)*(1+'Эффекты технологий'!M$7)</f>
        <v>0</v>
      </c>
      <c r="O12" s="22">
        <f>SUMIF('Ход 2030'!$G$29:$G$38,$A12,'Ход 2030'!$I$29:$I$38)*(1+'Эффекты технологий'!N$7)</f>
        <v>0</v>
      </c>
      <c r="P12" s="22">
        <f>SUMIF('Ход 2031'!$G$29:$G$38,$A12,'Ход 2031'!$I$29:$I$38)*(1+'Эффекты технологий'!O$7)</f>
        <v>0</v>
      </c>
      <c r="Q12" s="22">
        <f>SUMIF('Ход 2032'!$G$29:$G$38,$A12,'Ход 2032'!$I$29:$I$38)*(1+'Эффекты технологий'!P$7)</f>
        <v>0</v>
      </c>
      <c r="R12" s="22">
        <f>SUMIF('Ход 2033'!$G$29:$G$38,$A12,'Ход 2033'!$I$29:$I$38)*(1+'Эффекты технологий'!Q$7)</f>
        <v>0</v>
      </c>
      <c r="S12" s="22">
        <f>SUMIF('Ход 2034'!$G$29:$G$38,$A12,'Ход 2034'!$I$29:$I$38)*(1+'Эффекты технологий'!R$7)</f>
        <v>0</v>
      </c>
      <c r="T12" s="22">
        <f>SUMIF('Ход 2035'!$G$29:$G$38,$A12,'Ход 2035'!$I$29:$I$38)*(1+'Эффекты технологий'!S$7)</f>
        <v>0</v>
      </c>
      <c r="U12" s="22">
        <f>SUMIF('Ход 2036'!$G$29:$G$38,$A12,'Ход 2036'!$I$29:$I$38)*(1+'Эффекты технологий'!T$7)</f>
        <v>0</v>
      </c>
      <c r="V12" s="22">
        <f>SUMIF('Ход 2037'!$G$29:$G$38,$A12,'Ход 2037'!$I$29:$I$38)*(1+'Эффекты технологий'!U$7)</f>
        <v>0</v>
      </c>
      <c r="W12" s="22">
        <f>SUMIF('Ход 2038'!$G$29:$G$38,$A12,'Ход 2038'!$I$29:$I$38)*(1+'Эффекты технологий'!V$7)</f>
        <v>0</v>
      </c>
      <c r="X12" s="22">
        <f>SUMIF('Ход 2039'!$G$29:$G$38,$A12,'Ход 2039'!$I$29:$I$38)*(1+'Эффекты технологий'!W$7)</f>
        <v>0</v>
      </c>
      <c r="Y12" s="22">
        <f>SUMIF('Ход 2040'!$G$29:$G$38,$A12,'Ход 2040'!$I$29:$I$38)*(1+'Эффекты технологий'!X$7)</f>
        <v>0</v>
      </c>
      <c r="Z12" s="27">
        <f t="shared" si="3"/>
        <v>60</v>
      </c>
      <c r="AA12" s="27">
        <f t="shared" si="4"/>
        <v>0</v>
      </c>
      <c r="AB12" s="12" t="str">
        <f t="shared" si="5"/>
        <v>ИЗУЧЕНО</v>
      </c>
      <c r="AC12" s="28">
        <f t="shared" ref="AC12:AQ12" si="6">SUM($K12:K12)</f>
        <v>60</v>
      </c>
      <c r="AD12" s="28">
        <f t="shared" si="6"/>
        <v>60</v>
      </c>
      <c r="AE12" s="28">
        <f t="shared" si="6"/>
        <v>60</v>
      </c>
      <c r="AF12" s="28">
        <f t="shared" si="6"/>
        <v>60</v>
      </c>
      <c r="AG12" s="28">
        <f t="shared" si="6"/>
        <v>60</v>
      </c>
      <c r="AH12" s="28">
        <f t="shared" si="6"/>
        <v>60</v>
      </c>
      <c r="AI12" s="28">
        <f t="shared" si="6"/>
        <v>60</v>
      </c>
      <c r="AJ12" s="28">
        <f t="shared" si="6"/>
        <v>60</v>
      </c>
      <c r="AK12" s="28">
        <f t="shared" si="6"/>
        <v>60</v>
      </c>
      <c r="AL12" s="28">
        <f t="shared" si="6"/>
        <v>60</v>
      </c>
      <c r="AM12" s="28">
        <f t="shared" si="6"/>
        <v>60</v>
      </c>
      <c r="AN12" s="28">
        <f t="shared" si="6"/>
        <v>60</v>
      </c>
      <c r="AO12" s="28">
        <f t="shared" si="6"/>
        <v>60</v>
      </c>
      <c r="AP12" s="28">
        <f t="shared" si="6"/>
        <v>60</v>
      </c>
      <c r="AQ12" s="28">
        <f t="shared" si="6"/>
        <v>60</v>
      </c>
      <c r="AR12" s="28" t="str">
        <f t="shared" ref="AR12:BF12" si="7">IF(AND(AC12&gt;=$E12,TRUE),"ИЗУЧЕНО",IF(TRUE,"ОТКРЫТО","ЗАКРЫТО"))</f>
        <v>ИЗУЧЕНО</v>
      </c>
      <c r="AS12" s="28" t="str">
        <f t="shared" si="7"/>
        <v>ИЗУЧЕНО</v>
      </c>
      <c r="AT12" s="28" t="str">
        <f t="shared" si="7"/>
        <v>ИЗУЧЕНО</v>
      </c>
      <c r="AU12" s="28" t="str">
        <f t="shared" si="7"/>
        <v>ИЗУЧЕНО</v>
      </c>
      <c r="AV12" s="28" t="str">
        <f t="shared" si="7"/>
        <v>ИЗУЧЕНО</v>
      </c>
      <c r="AW12" s="28" t="str">
        <f t="shared" si="7"/>
        <v>ИЗУЧЕНО</v>
      </c>
      <c r="AX12" s="28" t="str">
        <f t="shared" si="7"/>
        <v>ИЗУЧЕНО</v>
      </c>
      <c r="AY12" s="28" t="str">
        <f t="shared" si="7"/>
        <v>ИЗУЧЕНО</v>
      </c>
      <c r="AZ12" s="28" t="str">
        <f t="shared" si="7"/>
        <v>ИЗУЧЕНО</v>
      </c>
      <c r="BA12" s="28" t="str">
        <f t="shared" si="7"/>
        <v>ИЗУЧЕНО</v>
      </c>
      <c r="BB12" s="28" t="str">
        <f t="shared" si="7"/>
        <v>ИЗУЧЕНО</v>
      </c>
      <c r="BC12" s="28" t="str">
        <f t="shared" si="7"/>
        <v>ИЗУЧЕНО</v>
      </c>
      <c r="BD12" s="28" t="str">
        <f t="shared" si="7"/>
        <v>ИЗУЧЕНО</v>
      </c>
      <c r="BE12" s="28" t="str">
        <f t="shared" si="7"/>
        <v>ИЗУЧЕНО</v>
      </c>
      <c r="BF12" s="28" t="str">
        <f t="shared" si="7"/>
        <v>ИЗУЧЕНО</v>
      </c>
      <c r="BG12" s="28">
        <f t="shared" si="8"/>
        <v>2026</v>
      </c>
      <c r="BH12" s="28">
        <f t="shared" si="9"/>
        <v>2027</v>
      </c>
    </row>
    <row r="13" ht="13.5" customHeight="1">
      <c r="A13" s="12" t="s">
        <v>174</v>
      </c>
      <c r="B13" s="12" t="s">
        <v>89</v>
      </c>
      <c r="C13" s="12" t="s">
        <v>145</v>
      </c>
      <c r="D13" s="12" t="s">
        <v>175</v>
      </c>
      <c r="E13" s="12">
        <v>45.0</v>
      </c>
      <c r="F13" s="12" t="s">
        <v>88</v>
      </c>
      <c r="G13" s="12"/>
      <c r="H13" s="12"/>
      <c r="I13" s="12" t="s">
        <v>176</v>
      </c>
      <c r="J13" s="12" t="s">
        <v>177</v>
      </c>
      <c r="K13" s="22">
        <f>SUMIF('Ход 2026'!$G$29:$G$38,$A13,'Ход 2026'!$I$29:$I$38)*(1+'Эффекты технологий'!J$7)</f>
        <v>0</v>
      </c>
      <c r="L13" s="22">
        <f>SUMIF('Ход 2027'!$G$29:$G$38,$A13,'Ход 2027'!$I$29:$I$38)*(1+'Эффекты технологий'!K$7)</f>
        <v>0</v>
      </c>
      <c r="M13" s="22">
        <f>SUMIF('Ход 2028'!$G$29:$G$38,$A13,'Ход 2028'!$I$29:$I$38)*(1+'Эффекты технологий'!L$7)</f>
        <v>0</v>
      </c>
      <c r="N13" s="22">
        <f>SUMIF('Ход 2029'!$G$29:$G$38,$A13,'Ход 2029'!$I$29:$I$38)*(1+'Эффекты технологий'!M$7)</f>
        <v>0</v>
      </c>
      <c r="O13" s="22">
        <f>SUMIF('Ход 2030'!$G$29:$G$38,$A13,'Ход 2030'!$I$29:$I$38)*(1+'Эффекты технологий'!N$7)</f>
        <v>0</v>
      </c>
      <c r="P13" s="22">
        <f>SUMIF('Ход 2031'!$G$29:$G$38,$A13,'Ход 2031'!$I$29:$I$38)*(1+'Эффекты технологий'!O$7)</f>
        <v>0</v>
      </c>
      <c r="Q13" s="22">
        <f>SUMIF('Ход 2032'!$G$29:$G$38,$A13,'Ход 2032'!$I$29:$I$38)*(1+'Эффекты технологий'!P$7)</f>
        <v>0</v>
      </c>
      <c r="R13" s="22">
        <f>SUMIF('Ход 2033'!$G$29:$G$38,$A13,'Ход 2033'!$I$29:$I$38)*(1+'Эффекты технологий'!Q$7)</f>
        <v>0</v>
      </c>
      <c r="S13" s="22">
        <f>SUMIF('Ход 2034'!$G$29:$G$38,$A13,'Ход 2034'!$I$29:$I$38)*(1+'Эффекты технологий'!R$7)</f>
        <v>0</v>
      </c>
      <c r="T13" s="22">
        <f>SUMIF('Ход 2035'!$G$29:$G$38,$A13,'Ход 2035'!$I$29:$I$38)*(1+'Эффекты технологий'!S$7)</f>
        <v>0</v>
      </c>
      <c r="U13" s="22">
        <f>SUMIF('Ход 2036'!$G$29:$G$38,$A13,'Ход 2036'!$I$29:$I$38)*(1+'Эффекты технологий'!T$7)</f>
        <v>0</v>
      </c>
      <c r="V13" s="22">
        <f>SUMIF('Ход 2037'!$G$29:$G$38,$A13,'Ход 2037'!$I$29:$I$38)*(1+'Эффекты технологий'!U$7)</f>
        <v>0</v>
      </c>
      <c r="W13" s="22">
        <f>SUMIF('Ход 2038'!$G$29:$G$38,$A13,'Ход 2038'!$I$29:$I$38)*(1+'Эффекты технологий'!V$7)</f>
        <v>0</v>
      </c>
      <c r="X13" s="22">
        <f>SUMIF('Ход 2039'!$G$29:$G$38,$A13,'Ход 2039'!$I$29:$I$38)*(1+'Эффекты технологий'!W$7)</f>
        <v>0</v>
      </c>
      <c r="Y13" s="22">
        <f>SUMIF('Ход 2040'!$G$29:$G$38,$A13,'Ход 2040'!$I$29:$I$38)*(1+'Эффекты технологий'!X$7)</f>
        <v>0</v>
      </c>
      <c r="Z13" s="27">
        <f t="shared" si="3"/>
        <v>0</v>
      </c>
      <c r="AA13" s="27">
        <f t="shared" si="4"/>
        <v>45</v>
      </c>
      <c r="AB13" s="12" t="str">
        <f t="shared" si="5"/>
        <v>ОТКРЫТО</v>
      </c>
      <c r="AC13" s="28">
        <f t="shared" ref="AC13:AQ13" si="10">SUM($K13:K13)</f>
        <v>0</v>
      </c>
      <c r="AD13" s="28">
        <f t="shared" si="10"/>
        <v>0</v>
      </c>
      <c r="AE13" s="28">
        <f t="shared" si="10"/>
        <v>0</v>
      </c>
      <c r="AF13" s="28">
        <f t="shared" si="10"/>
        <v>0</v>
      </c>
      <c r="AG13" s="28">
        <f t="shared" si="10"/>
        <v>0</v>
      </c>
      <c r="AH13" s="28">
        <f t="shared" si="10"/>
        <v>0</v>
      </c>
      <c r="AI13" s="28">
        <f t="shared" si="10"/>
        <v>0</v>
      </c>
      <c r="AJ13" s="28">
        <f t="shared" si="10"/>
        <v>0</v>
      </c>
      <c r="AK13" s="28">
        <f t="shared" si="10"/>
        <v>0</v>
      </c>
      <c r="AL13" s="28">
        <f t="shared" si="10"/>
        <v>0</v>
      </c>
      <c r="AM13" s="28">
        <f t="shared" si="10"/>
        <v>0</v>
      </c>
      <c r="AN13" s="28">
        <f t="shared" si="10"/>
        <v>0</v>
      </c>
      <c r="AO13" s="28">
        <f t="shared" si="10"/>
        <v>0</v>
      </c>
      <c r="AP13" s="28">
        <f t="shared" si="10"/>
        <v>0</v>
      </c>
      <c r="AQ13" s="28">
        <f t="shared" si="10"/>
        <v>0</v>
      </c>
      <c r="AR13" s="28" t="str">
        <f t="shared" ref="AR13:BF13" si="11">IF(AND(AC13&gt;=$E13,TRUE),"ИЗУЧЕНО",IF(TRUE,"ОТКРЫТО","ЗАКРЫТО"))</f>
        <v>ОТКРЫТО</v>
      </c>
      <c r="AS13" s="28" t="str">
        <f t="shared" si="11"/>
        <v>ОТКРЫТО</v>
      </c>
      <c r="AT13" s="28" t="str">
        <f t="shared" si="11"/>
        <v>ОТКРЫТО</v>
      </c>
      <c r="AU13" s="28" t="str">
        <f t="shared" si="11"/>
        <v>ОТКРЫТО</v>
      </c>
      <c r="AV13" s="28" t="str">
        <f t="shared" si="11"/>
        <v>ОТКРЫТО</v>
      </c>
      <c r="AW13" s="28" t="str">
        <f t="shared" si="11"/>
        <v>ОТКРЫТО</v>
      </c>
      <c r="AX13" s="28" t="str">
        <f t="shared" si="11"/>
        <v>ОТКРЫТО</v>
      </c>
      <c r="AY13" s="28" t="str">
        <f t="shared" si="11"/>
        <v>ОТКРЫТО</v>
      </c>
      <c r="AZ13" s="28" t="str">
        <f t="shared" si="11"/>
        <v>ОТКРЫТО</v>
      </c>
      <c r="BA13" s="28" t="str">
        <f t="shared" si="11"/>
        <v>ОТКРЫТО</v>
      </c>
      <c r="BB13" s="28" t="str">
        <f t="shared" si="11"/>
        <v>ОТКРЫТО</v>
      </c>
      <c r="BC13" s="28" t="str">
        <f t="shared" si="11"/>
        <v>ОТКРЫТО</v>
      </c>
      <c r="BD13" s="28" t="str">
        <f t="shared" si="11"/>
        <v>ОТКРЫТО</v>
      </c>
      <c r="BE13" s="28" t="str">
        <f t="shared" si="11"/>
        <v>ОТКРЫТО</v>
      </c>
      <c r="BF13" s="28" t="str">
        <f t="shared" si="11"/>
        <v>ОТКРЫТО</v>
      </c>
      <c r="BG13" s="28" t="str">
        <f t="shared" si="8"/>
        <v/>
      </c>
      <c r="BH13" s="28" t="str">
        <f t="shared" si="9"/>
        <v/>
      </c>
    </row>
    <row r="14" ht="13.5" customHeight="1">
      <c r="A14" s="12" t="s">
        <v>191</v>
      </c>
      <c r="B14" s="12" t="s">
        <v>89</v>
      </c>
      <c r="C14" s="12" t="s">
        <v>194</v>
      </c>
      <c r="D14" s="12" t="s">
        <v>195</v>
      </c>
      <c r="E14" s="12">
        <v>65.0</v>
      </c>
      <c r="F14" s="12" t="s">
        <v>144</v>
      </c>
      <c r="G14" s="12" t="s">
        <v>174</v>
      </c>
      <c r="H14" s="12"/>
      <c r="I14" s="12" t="s">
        <v>196</v>
      </c>
      <c r="J14" s="12" t="s">
        <v>197</v>
      </c>
      <c r="K14" s="22">
        <f>SUMIF('Ход 2026'!$G$29:$G$38,$A14,'Ход 2026'!$I$29:$I$38)*(1+'Эффекты технологий'!J$7)</f>
        <v>0</v>
      </c>
      <c r="L14" s="22">
        <f>SUMIF('Ход 2027'!$G$29:$G$38,$A14,'Ход 2027'!$I$29:$I$38)*(1+'Эффекты технологий'!K$7)</f>
        <v>0</v>
      </c>
      <c r="M14" s="22">
        <f>SUMIF('Ход 2028'!$G$29:$G$38,$A14,'Ход 2028'!$I$29:$I$38)*(1+'Эффекты технологий'!L$7)</f>
        <v>0</v>
      </c>
      <c r="N14" s="22">
        <f>SUMIF('Ход 2029'!$G$29:$G$38,$A14,'Ход 2029'!$I$29:$I$38)*(1+'Эффекты технологий'!M$7)</f>
        <v>0</v>
      </c>
      <c r="O14" s="22">
        <f>SUMIF('Ход 2030'!$G$29:$G$38,$A14,'Ход 2030'!$I$29:$I$38)*(1+'Эффекты технологий'!N$7)</f>
        <v>0</v>
      </c>
      <c r="P14" s="22">
        <f>SUMIF('Ход 2031'!$G$29:$G$38,$A14,'Ход 2031'!$I$29:$I$38)*(1+'Эффекты технологий'!O$7)</f>
        <v>0</v>
      </c>
      <c r="Q14" s="22">
        <f>SUMIF('Ход 2032'!$G$29:$G$38,$A14,'Ход 2032'!$I$29:$I$38)*(1+'Эффекты технологий'!P$7)</f>
        <v>0</v>
      </c>
      <c r="R14" s="22">
        <f>SUMIF('Ход 2033'!$G$29:$G$38,$A14,'Ход 2033'!$I$29:$I$38)*(1+'Эффекты технологий'!Q$7)</f>
        <v>0</v>
      </c>
      <c r="S14" s="22">
        <f>SUMIF('Ход 2034'!$G$29:$G$38,$A14,'Ход 2034'!$I$29:$I$38)*(1+'Эффекты технологий'!R$7)</f>
        <v>0</v>
      </c>
      <c r="T14" s="22">
        <f>SUMIF('Ход 2035'!$G$29:$G$38,$A14,'Ход 2035'!$I$29:$I$38)*(1+'Эффекты технологий'!S$7)</f>
        <v>0</v>
      </c>
      <c r="U14" s="22">
        <f>SUMIF('Ход 2036'!$G$29:$G$38,$A14,'Ход 2036'!$I$29:$I$38)*(1+'Эффекты технологий'!T$7)</f>
        <v>0</v>
      </c>
      <c r="V14" s="22">
        <f>SUMIF('Ход 2037'!$G$29:$G$38,$A14,'Ход 2037'!$I$29:$I$38)*(1+'Эффекты технологий'!U$7)</f>
        <v>0</v>
      </c>
      <c r="W14" s="22">
        <f>SUMIF('Ход 2038'!$G$29:$G$38,$A14,'Ход 2038'!$I$29:$I$38)*(1+'Эффекты технологий'!V$7)</f>
        <v>0</v>
      </c>
      <c r="X14" s="22">
        <f>SUMIF('Ход 2039'!$G$29:$G$38,$A14,'Ход 2039'!$I$29:$I$38)*(1+'Эффекты технологий'!W$7)</f>
        <v>0</v>
      </c>
      <c r="Y14" s="22">
        <f>SUMIF('Ход 2040'!$G$29:$G$38,$A14,'Ход 2040'!$I$29:$I$38)*(1+'Эффекты технологий'!X$7)</f>
        <v>0</v>
      </c>
      <c r="Z14" s="27">
        <f t="shared" si="3"/>
        <v>0</v>
      </c>
      <c r="AA14" s="27">
        <f t="shared" si="4"/>
        <v>65</v>
      </c>
      <c r="AB14" s="12" t="str">
        <f t="shared" si="5"/>
        <v>ОТКРЫТО</v>
      </c>
      <c r="AC14" s="28">
        <f t="shared" ref="AC14:AQ14" si="12">SUM($K14:K14)</f>
        <v>0</v>
      </c>
      <c r="AD14" s="28">
        <f t="shared" si="12"/>
        <v>0</v>
      </c>
      <c r="AE14" s="28">
        <f t="shared" si="12"/>
        <v>0</v>
      </c>
      <c r="AF14" s="28">
        <f t="shared" si="12"/>
        <v>0</v>
      </c>
      <c r="AG14" s="28">
        <f t="shared" si="12"/>
        <v>0</v>
      </c>
      <c r="AH14" s="28">
        <f t="shared" si="12"/>
        <v>0</v>
      </c>
      <c r="AI14" s="28">
        <f t="shared" si="12"/>
        <v>0</v>
      </c>
      <c r="AJ14" s="28">
        <f t="shared" si="12"/>
        <v>0</v>
      </c>
      <c r="AK14" s="28">
        <f t="shared" si="12"/>
        <v>0</v>
      </c>
      <c r="AL14" s="28">
        <f t="shared" si="12"/>
        <v>0</v>
      </c>
      <c r="AM14" s="28">
        <f t="shared" si="12"/>
        <v>0</v>
      </c>
      <c r="AN14" s="28">
        <f t="shared" si="12"/>
        <v>0</v>
      </c>
      <c r="AO14" s="28">
        <f t="shared" si="12"/>
        <v>0</v>
      </c>
      <c r="AP14" s="28">
        <f t="shared" si="12"/>
        <v>0</v>
      </c>
      <c r="AQ14" s="28">
        <f t="shared" si="12"/>
        <v>0</v>
      </c>
      <c r="AR14" s="28" t="str">
        <f t="shared" ref="AR14:BF14" si="13">IF(AND(AC14&gt;=$E14,TRUE),"ИЗУЧЕНО",IF(TRUE,"ОТКРЫТО","ЗАКРЫТО"))</f>
        <v>ОТКРЫТО</v>
      </c>
      <c r="AS14" s="28" t="str">
        <f t="shared" si="13"/>
        <v>ОТКРЫТО</v>
      </c>
      <c r="AT14" s="28" t="str">
        <f t="shared" si="13"/>
        <v>ОТКРЫТО</v>
      </c>
      <c r="AU14" s="28" t="str">
        <f t="shared" si="13"/>
        <v>ОТКРЫТО</v>
      </c>
      <c r="AV14" s="28" t="str">
        <f t="shared" si="13"/>
        <v>ОТКРЫТО</v>
      </c>
      <c r="AW14" s="28" t="str">
        <f t="shared" si="13"/>
        <v>ОТКРЫТО</v>
      </c>
      <c r="AX14" s="28" t="str">
        <f t="shared" si="13"/>
        <v>ОТКРЫТО</v>
      </c>
      <c r="AY14" s="28" t="str">
        <f t="shared" si="13"/>
        <v>ОТКРЫТО</v>
      </c>
      <c r="AZ14" s="28" t="str">
        <f t="shared" si="13"/>
        <v>ОТКРЫТО</v>
      </c>
      <c r="BA14" s="28" t="str">
        <f t="shared" si="13"/>
        <v>ОТКРЫТО</v>
      </c>
      <c r="BB14" s="28" t="str">
        <f t="shared" si="13"/>
        <v>ОТКРЫТО</v>
      </c>
      <c r="BC14" s="28" t="str">
        <f t="shared" si="13"/>
        <v>ОТКРЫТО</v>
      </c>
      <c r="BD14" s="28" t="str">
        <f t="shared" si="13"/>
        <v>ОТКРЫТО</v>
      </c>
      <c r="BE14" s="28" t="str">
        <f t="shared" si="13"/>
        <v>ОТКРЫТО</v>
      </c>
      <c r="BF14" s="28" t="str">
        <f t="shared" si="13"/>
        <v>ОТКРЫТО</v>
      </c>
      <c r="BG14" s="28" t="str">
        <f t="shared" si="8"/>
        <v/>
      </c>
      <c r="BH14" s="28" t="str">
        <f t="shared" si="9"/>
        <v/>
      </c>
    </row>
    <row r="15" ht="13.5" customHeight="1">
      <c r="A15" s="12" t="s">
        <v>219</v>
      </c>
      <c r="B15" s="12" t="s">
        <v>89</v>
      </c>
      <c r="C15" s="12" t="s">
        <v>220</v>
      </c>
      <c r="D15" s="12" t="s">
        <v>221</v>
      </c>
      <c r="E15" s="12">
        <v>100.0</v>
      </c>
      <c r="F15" s="12" t="s">
        <v>191</v>
      </c>
      <c r="G15" s="12"/>
      <c r="H15" s="12"/>
      <c r="I15" s="12" t="s">
        <v>222</v>
      </c>
      <c r="J15" s="12" t="s">
        <v>223</v>
      </c>
      <c r="K15" s="22">
        <f>SUMIF('Ход 2026'!$G$29:$G$38,$A15,'Ход 2026'!$I$29:$I$38)*(1+'Эффекты технологий'!J$7)</f>
        <v>0</v>
      </c>
      <c r="L15" s="22">
        <f>SUMIF('Ход 2027'!$G$29:$G$38,$A15,'Ход 2027'!$I$29:$I$38)*(1+'Эффекты технологий'!K$7)</f>
        <v>0</v>
      </c>
      <c r="M15" s="22">
        <f>SUMIF('Ход 2028'!$G$29:$G$38,$A15,'Ход 2028'!$I$29:$I$38)*(1+'Эффекты технологий'!L$7)</f>
        <v>0</v>
      </c>
      <c r="N15" s="22">
        <f>SUMIF('Ход 2029'!$G$29:$G$38,$A15,'Ход 2029'!$I$29:$I$38)*(1+'Эффекты технологий'!M$7)</f>
        <v>0</v>
      </c>
      <c r="O15" s="22">
        <f>SUMIF('Ход 2030'!$G$29:$G$38,$A15,'Ход 2030'!$I$29:$I$38)*(1+'Эффекты технологий'!N$7)</f>
        <v>0</v>
      </c>
      <c r="P15" s="22">
        <f>SUMIF('Ход 2031'!$G$29:$G$38,$A15,'Ход 2031'!$I$29:$I$38)*(1+'Эффекты технологий'!O$7)</f>
        <v>0</v>
      </c>
      <c r="Q15" s="22">
        <f>SUMIF('Ход 2032'!$G$29:$G$38,$A15,'Ход 2032'!$I$29:$I$38)*(1+'Эффекты технологий'!P$7)</f>
        <v>0</v>
      </c>
      <c r="R15" s="22">
        <f>SUMIF('Ход 2033'!$G$29:$G$38,$A15,'Ход 2033'!$I$29:$I$38)*(1+'Эффекты технологий'!Q$7)</f>
        <v>0</v>
      </c>
      <c r="S15" s="22">
        <f>SUMIF('Ход 2034'!$G$29:$G$38,$A15,'Ход 2034'!$I$29:$I$38)*(1+'Эффекты технологий'!R$7)</f>
        <v>0</v>
      </c>
      <c r="T15" s="22">
        <f>SUMIF('Ход 2035'!$G$29:$G$38,$A15,'Ход 2035'!$I$29:$I$38)*(1+'Эффекты технологий'!S$7)</f>
        <v>0</v>
      </c>
      <c r="U15" s="22">
        <f>SUMIF('Ход 2036'!$G$29:$G$38,$A15,'Ход 2036'!$I$29:$I$38)*(1+'Эффекты технологий'!T$7)</f>
        <v>0</v>
      </c>
      <c r="V15" s="22">
        <f>SUMIF('Ход 2037'!$G$29:$G$38,$A15,'Ход 2037'!$I$29:$I$38)*(1+'Эффекты технологий'!U$7)</f>
        <v>0</v>
      </c>
      <c r="W15" s="22">
        <f>SUMIF('Ход 2038'!$G$29:$G$38,$A15,'Ход 2038'!$I$29:$I$38)*(1+'Эффекты технологий'!V$7)</f>
        <v>0</v>
      </c>
      <c r="X15" s="22">
        <f>SUMIF('Ход 2039'!$G$29:$G$38,$A15,'Ход 2039'!$I$29:$I$38)*(1+'Эффекты технологий'!W$7)</f>
        <v>0</v>
      </c>
      <c r="Y15" s="22">
        <f>SUMIF('Ход 2040'!$G$29:$G$38,$A15,'Ход 2040'!$I$29:$I$38)*(1+'Эффекты технологий'!X$7)</f>
        <v>0</v>
      </c>
      <c r="Z15" s="27">
        <f t="shared" si="3"/>
        <v>0</v>
      </c>
      <c r="AA15" s="27">
        <f t="shared" si="4"/>
        <v>100</v>
      </c>
      <c r="AB15" s="12" t="str">
        <f t="shared" si="5"/>
        <v>ОТКРЫТО</v>
      </c>
      <c r="AC15" s="28">
        <f t="shared" ref="AC15:AQ15" si="14">SUM($K15:K15)</f>
        <v>0</v>
      </c>
      <c r="AD15" s="28">
        <f t="shared" si="14"/>
        <v>0</v>
      </c>
      <c r="AE15" s="28">
        <f t="shared" si="14"/>
        <v>0</v>
      </c>
      <c r="AF15" s="28">
        <f t="shared" si="14"/>
        <v>0</v>
      </c>
      <c r="AG15" s="28">
        <f t="shared" si="14"/>
        <v>0</v>
      </c>
      <c r="AH15" s="28">
        <f t="shared" si="14"/>
        <v>0</v>
      </c>
      <c r="AI15" s="28">
        <f t="shared" si="14"/>
        <v>0</v>
      </c>
      <c r="AJ15" s="28">
        <f t="shared" si="14"/>
        <v>0</v>
      </c>
      <c r="AK15" s="28">
        <f t="shared" si="14"/>
        <v>0</v>
      </c>
      <c r="AL15" s="28">
        <f t="shared" si="14"/>
        <v>0</v>
      </c>
      <c r="AM15" s="28">
        <f t="shared" si="14"/>
        <v>0</v>
      </c>
      <c r="AN15" s="28">
        <f t="shared" si="14"/>
        <v>0</v>
      </c>
      <c r="AO15" s="28">
        <f t="shared" si="14"/>
        <v>0</v>
      </c>
      <c r="AP15" s="28">
        <f t="shared" si="14"/>
        <v>0</v>
      </c>
      <c r="AQ15" s="28">
        <f t="shared" si="14"/>
        <v>0</v>
      </c>
      <c r="AR15" s="28" t="str">
        <f t="shared" ref="AR15:BF15" si="15">IF(AND(AC15&gt;=$E15,TRUE),"ИЗУЧЕНО",IF(TRUE,"ОТКРЫТО","ЗАКРЫТО"))</f>
        <v>ОТКРЫТО</v>
      </c>
      <c r="AS15" s="28" t="str">
        <f t="shared" si="15"/>
        <v>ОТКРЫТО</v>
      </c>
      <c r="AT15" s="28" t="str">
        <f t="shared" si="15"/>
        <v>ОТКРЫТО</v>
      </c>
      <c r="AU15" s="28" t="str">
        <f t="shared" si="15"/>
        <v>ОТКРЫТО</v>
      </c>
      <c r="AV15" s="28" t="str">
        <f t="shared" si="15"/>
        <v>ОТКРЫТО</v>
      </c>
      <c r="AW15" s="28" t="str">
        <f t="shared" si="15"/>
        <v>ОТКРЫТО</v>
      </c>
      <c r="AX15" s="28" t="str">
        <f t="shared" si="15"/>
        <v>ОТКРЫТО</v>
      </c>
      <c r="AY15" s="28" t="str">
        <f t="shared" si="15"/>
        <v>ОТКРЫТО</v>
      </c>
      <c r="AZ15" s="28" t="str">
        <f t="shared" si="15"/>
        <v>ОТКРЫТО</v>
      </c>
      <c r="BA15" s="28" t="str">
        <f t="shared" si="15"/>
        <v>ОТКРЫТО</v>
      </c>
      <c r="BB15" s="28" t="str">
        <f t="shared" si="15"/>
        <v>ОТКРЫТО</v>
      </c>
      <c r="BC15" s="28" t="str">
        <f t="shared" si="15"/>
        <v>ОТКРЫТО</v>
      </c>
      <c r="BD15" s="28" t="str">
        <f t="shared" si="15"/>
        <v>ОТКРЫТО</v>
      </c>
      <c r="BE15" s="28" t="str">
        <f t="shared" si="15"/>
        <v>ОТКРЫТО</v>
      </c>
      <c r="BF15" s="28" t="str">
        <f t="shared" si="15"/>
        <v>ОТКРЫТО</v>
      </c>
      <c r="BG15" s="28" t="str">
        <f t="shared" si="8"/>
        <v/>
      </c>
      <c r="BH15" s="28" t="str">
        <f t="shared" si="9"/>
        <v/>
      </c>
    </row>
    <row r="16" ht="13.5" customHeight="1">
      <c r="A16" s="12" t="s">
        <v>229</v>
      </c>
      <c r="B16" s="12" t="s">
        <v>89</v>
      </c>
      <c r="C16" s="12" t="s">
        <v>230</v>
      </c>
      <c r="D16" s="12" t="s">
        <v>231</v>
      </c>
      <c r="E16" s="12">
        <v>150.0</v>
      </c>
      <c r="F16" s="12" t="s">
        <v>219</v>
      </c>
      <c r="G16" s="12"/>
      <c r="H16" s="12"/>
      <c r="I16" s="12" t="s">
        <v>232</v>
      </c>
      <c r="J16" s="12" t="s">
        <v>233</v>
      </c>
      <c r="K16" s="22">
        <f>SUMIF('Ход 2026'!$G$29:$G$38,$A16,'Ход 2026'!$I$29:$I$38)*(1+'Эффекты технологий'!J$7)</f>
        <v>0</v>
      </c>
      <c r="L16" s="22">
        <f>SUMIF('Ход 2027'!$G$29:$G$38,$A16,'Ход 2027'!$I$29:$I$38)*(1+'Эффекты технологий'!K$7)</f>
        <v>0</v>
      </c>
      <c r="M16" s="22">
        <f>SUMIF('Ход 2028'!$G$29:$G$38,$A16,'Ход 2028'!$I$29:$I$38)*(1+'Эффекты технологий'!L$7)</f>
        <v>0</v>
      </c>
      <c r="N16" s="22">
        <f>SUMIF('Ход 2029'!$G$29:$G$38,$A16,'Ход 2029'!$I$29:$I$38)*(1+'Эффекты технологий'!M$7)</f>
        <v>0</v>
      </c>
      <c r="O16" s="22">
        <f>SUMIF('Ход 2030'!$G$29:$G$38,$A16,'Ход 2030'!$I$29:$I$38)*(1+'Эффекты технологий'!N$7)</f>
        <v>0</v>
      </c>
      <c r="P16" s="22">
        <f>SUMIF('Ход 2031'!$G$29:$G$38,$A16,'Ход 2031'!$I$29:$I$38)*(1+'Эффекты технологий'!O$7)</f>
        <v>0</v>
      </c>
      <c r="Q16" s="22">
        <f>SUMIF('Ход 2032'!$G$29:$G$38,$A16,'Ход 2032'!$I$29:$I$38)*(1+'Эффекты технологий'!P$7)</f>
        <v>0</v>
      </c>
      <c r="R16" s="22">
        <f>SUMIF('Ход 2033'!$G$29:$G$38,$A16,'Ход 2033'!$I$29:$I$38)*(1+'Эффекты технологий'!Q$7)</f>
        <v>0</v>
      </c>
      <c r="S16" s="22">
        <f>SUMIF('Ход 2034'!$G$29:$G$38,$A16,'Ход 2034'!$I$29:$I$38)*(1+'Эффекты технологий'!R$7)</f>
        <v>0</v>
      </c>
      <c r="T16" s="22">
        <f>SUMIF('Ход 2035'!$G$29:$G$38,$A16,'Ход 2035'!$I$29:$I$38)*(1+'Эффекты технологий'!S$7)</f>
        <v>0</v>
      </c>
      <c r="U16" s="22">
        <f>SUMIF('Ход 2036'!$G$29:$G$38,$A16,'Ход 2036'!$I$29:$I$38)*(1+'Эффекты технологий'!T$7)</f>
        <v>0</v>
      </c>
      <c r="V16" s="22">
        <f>SUMIF('Ход 2037'!$G$29:$G$38,$A16,'Ход 2037'!$I$29:$I$38)*(1+'Эффекты технологий'!U$7)</f>
        <v>0</v>
      </c>
      <c r="W16" s="22">
        <f>SUMIF('Ход 2038'!$G$29:$G$38,$A16,'Ход 2038'!$I$29:$I$38)*(1+'Эффекты технологий'!V$7)</f>
        <v>0</v>
      </c>
      <c r="X16" s="22">
        <f>SUMIF('Ход 2039'!$G$29:$G$38,$A16,'Ход 2039'!$I$29:$I$38)*(1+'Эффекты технологий'!W$7)</f>
        <v>0</v>
      </c>
      <c r="Y16" s="22">
        <f>SUMIF('Ход 2040'!$G$29:$G$38,$A16,'Ход 2040'!$I$29:$I$38)*(1+'Эффекты технологий'!X$7)</f>
        <v>0</v>
      </c>
      <c r="Z16" s="27">
        <f t="shared" si="3"/>
        <v>0</v>
      </c>
      <c r="AA16" s="27">
        <f t="shared" si="4"/>
        <v>150</v>
      </c>
      <c r="AB16" s="12" t="str">
        <f t="shared" si="5"/>
        <v>ОТКРЫТО</v>
      </c>
      <c r="AC16" s="28">
        <f t="shared" ref="AC16:AQ16" si="16">SUM($K16:K16)</f>
        <v>0</v>
      </c>
      <c r="AD16" s="28">
        <f t="shared" si="16"/>
        <v>0</v>
      </c>
      <c r="AE16" s="28">
        <f t="shared" si="16"/>
        <v>0</v>
      </c>
      <c r="AF16" s="28">
        <f t="shared" si="16"/>
        <v>0</v>
      </c>
      <c r="AG16" s="28">
        <f t="shared" si="16"/>
        <v>0</v>
      </c>
      <c r="AH16" s="28">
        <f t="shared" si="16"/>
        <v>0</v>
      </c>
      <c r="AI16" s="28">
        <f t="shared" si="16"/>
        <v>0</v>
      </c>
      <c r="AJ16" s="28">
        <f t="shared" si="16"/>
        <v>0</v>
      </c>
      <c r="AK16" s="28">
        <f t="shared" si="16"/>
        <v>0</v>
      </c>
      <c r="AL16" s="28">
        <f t="shared" si="16"/>
        <v>0</v>
      </c>
      <c r="AM16" s="28">
        <f t="shared" si="16"/>
        <v>0</v>
      </c>
      <c r="AN16" s="28">
        <f t="shared" si="16"/>
        <v>0</v>
      </c>
      <c r="AO16" s="28">
        <f t="shared" si="16"/>
        <v>0</v>
      </c>
      <c r="AP16" s="28">
        <f t="shared" si="16"/>
        <v>0</v>
      </c>
      <c r="AQ16" s="28">
        <f t="shared" si="16"/>
        <v>0</v>
      </c>
      <c r="AR16" s="28" t="str">
        <f t="shared" ref="AR16:BF16" si="17">IF(AND(AC16&gt;=$E16,TRUE),"ИЗУЧЕНО",IF(TRUE,"ОТКРЫТО","ЗАКРЫТО"))</f>
        <v>ОТКРЫТО</v>
      </c>
      <c r="AS16" s="28" t="str">
        <f t="shared" si="17"/>
        <v>ОТКРЫТО</v>
      </c>
      <c r="AT16" s="28" t="str">
        <f t="shared" si="17"/>
        <v>ОТКРЫТО</v>
      </c>
      <c r="AU16" s="28" t="str">
        <f t="shared" si="17"/>
        <v>ОТКРЫТО</v>
      </c>
      <c r="AV16" s="28" t="str">
        <f t="shared" si="17"/>
        <v>ОТКРЫТО</v>
      </c>
      <c r="AW16" s="28" t="str">
        <f t="shared" si="17"/>
        <v>ОТКРЫТО</v>
      </c>
      <c r="AX16" s="28" t="str">
        <f t="shared" si="17"/>
        <v>ОТКРЫТО</v>
      </c>
      <c r="AY16" s="28" t="str">
        <f t="shared" si="17"/>
        <v>ОТКРЫТО</v>
      </c>
      <c r="AZ16" s="28" t="str">
        <f t="shared" si="17"/>
        <v>ОТКРЫТО</v>
      </c>
      <c r="BA16" s="28" t="str">
        <f t="shared" si="17"/>
        <v>ОТКРЫТО</v>
      </c>
      <c r="BB16" s="28" t="str">
        <f t="shared" si="17"/>
        <v>ОТКРЫТО</v>
      </c>
      <c r="BC16" s="28" t="str">
        <f t="shared" si="17"/>
        <v>ОТКРЫТО</v>
      </c>
      <c r="BD16" s="28" t="str">
        <f t="shared" si="17"/>
        <v>ОТКРЫТО</v>
      </c>
      <c r="BE16" s="28" t="str">
        <f t="shared" si="17"/>
        <v>ОТКРЫТО</v>
      </c>
      <c r="BF16" s="28" t="str">
        <f t="shared" si="17"/>
        <v>ОТКРЫТО</v>
      </c>
      <c r="BG16" s="28" t="str">
        <f t="shared" si="8"/>
        <v/>
      </c>
      <c r="BH16" s="28" t="str">
        <f t="shared" si="9"/>
        <v/>
      </c>
    </row>
    <row r="17" ht="13.5" customHeight="1">
      <c r="A17" s="12" t="s">
        <v>166</v>
      </c>
      <c r="B17" s="12" t="s">
        <v>241</v>
      </c>
      <c r="C17" s="12" t="s">
        <v>90</v>
      </c>
      <c r="D17" s="12" t="s">
        <v>242</v>
      </c>
      <c r="E17" s="12">
        <v>20.0</v>
      </c>
      <c r="F17" s="12"/>
      <c r="G17" s="12"/>
      <c r="H17" s="12"/>
      <c r="I17" s="12" t="s">
        <v>243</v>
      </c>
      <c r="J17" s="12" t="s">
        <v>244</v>
      </c>
      <c r="K17" s="22">
        <f>SUMIF('Ход 2026'!$G$29:$G$38,$A17,'Ход 2026'!$I$29:$I$38)*(1+'Эффекты технологий'!J$7+'Эффекты технологий'!J$8+'Эффекты технологий'!J$9)</f>
        <v>9.6</v>
      </c>
      <c r="L17" s="22">
        <f>SUMIF('Ход 2027'!$G$29:$G$38,$A17,'Ход 2027'!$I$29:$I$38)*(1+'Эффекты технологий'!K$7+'Эффекты технологий'!K$8+'Эффекты технологий'!K$9)</f>
        <v>0</v>
      </c>
      <c r="M17" s="22">
        <f>SUMIF('Ход 2028'!$G$29:$G$38,$A17,'Ход 2028'!$I$29:$I$38)*(1+'Эффекты технологий'!L$7+'Эффекты технологий'!L$8+'Эффекты технологий'!L$9)</f>
        <v>0</v>
      </c>
      <c r="N17" s="22">
        <f>SUMIF('Ход 2029'!$G$29:$G$38,$A17,'Ход 2029'!$I$29:$I$38)*(1+'Эффекты технологий'!M$7+'Эффекты технологий'!M$8+'Эффекты технологий'!M$9)</f>
        <v>0</v>
      </c>
      <c r="O17" s="22">
        <f>SUMIF('Ход 2030'!$G$29:$G$38,$A17,'Ход 2030'!$I$29:$I$38)*(1+'Эффекты технологий'!N$7+'Эффекты технологий'!N$8+'Эффекты технологий'!N$9)</f>
        <v>0</v>
      </c>
      <c r="P17" s="22">
        <f>SUMIF('Ход 2031'!$G$29:$G$38,$A17,'Ход 2031'!$I$29:$I$38)*(1+'Эффекты технологий'!O$7+'Эффекты технологий'!O$8+'Эффекты технологий'!O$9)</f>
        <v>0</v>
      </c>
      <c r="Q17" s="22">
        <f>SUMIF('Ход 2032'!$G$29:$G$38,$A17,'Ход 2032'!$I$29:$I$38)*(1+'Эффекты технологий'!P$7+'Эффекты технологий'!P$8+'Эффекты технологий'!P$9)</f>
        <v>0</v>
      </c>
      <c r="R17" s="22">
        <f>SUMIF('Ход 2033'!$G$29:$G$38,$A17,'Ход 2033'!$I$29:$I$38)*(1+'Эффекты технологий'!Q$7+'Эффекты технологий'!Q$8+'Эффекты технологий'!Q$9)</f>
        <v>0</v>
      </c>
      <c r="S17" s="22">
        <f>SUMIF('Ход 2034'!$G$29:$G$38,$A17,'Ход 2034'!$I$29:$I$38)*(1+'Эффекты технологий'!R$7+'Эффекты технологий'!R$8+'Эффекты технологий'!R$9)</f>
        <v>0</v>
      </c>
      <c r="T17" s="22">
        <f>SUMIF('Ход 2035'!$G$29:$G$38,$A17,'Ход 2035'!$I$29:$I$38)*(1+'Эффекты технологий'!S$7+'Эффекты технологий'!S$8+'Эффекты технологий'!S$9)</f>
        <v>0</v>
      </c>
      <c r="U17" s="22">
        <f>SUMIF('Ход 2036'!$G$29:$G$38,$A17,'Ход 2036'!$I$29:$I$38)*(1+'Эффекты технологий'!T$7+'Эффекты технологий'!T$8+'Эффекты технологий'!T$9)</f>
        <v>0</v>
      </c>
      <c r="V17" s="22">
        <f>SUMIF('Ход 2037'!$G$29:$G$38,$A17,'Ход 2037'!$I$29:$I$38)*(1+'Эффекты технологий'!U$7+'Эффекты технологий'!U$8+'Эффекты технологий'!U$9)</f>
        <v>0</v>
      </c>
      <c r="W17" s="22">
        <f>SUMIF('Ход 2038'!$G$29:$G$38,$A17,'Ход 2038'!$I$29:$I$38)*(1+'Эффекты технологий'!V$7+'Эффекты технологий'!V$8+'Эффекты технологий'!V$9)</f>
        <v>0</v>
      </c>
      <c r="X17" s="22">
        <f>SUMIF('Ход 2039'!$G$29:$G$38,$A17,'Ход 2039'!$I$29:$I$38)*(1+'Эффекты технологий'!W$7+'Эффекты технологий'!W$8+'Эффекты технологий'!W$9)</f>
        <v>0</v>
      </c>
      <c r="Y17" s="22">
        <f>SUMIF('Ход 2040'!$G$29:$G$38,$A17,'Ход 2040'!$I$29:$I$38)*(1+'Эффекты технологий'!X$7+'Эффекты технологий'!X$8+'Эффекты технологий'!X$9)</f>
        <v>0</v>
      </c>
      <c r="Z17" s="27">
        <f t="shared" si="3"/>
        <v>9.6</v>
      </c>
      <c r="AA17" s="27">
        <f t="shared" si="4"/>
        <v>10.4</v>
      </c>
      <c r="AB17" s="12" t="str">
        <f t="shared" si="5"/>
        <v>ОТКРЫТО</v>
      </c>
      <c r="AC17" s="28">
        <f t="shared" ref="AC17:AQ17" si="18">SUM($K17:K17)</f>
        <v>9.6</v>
      </c>
      <c r="AD17" s="28">
        <f t="shared" si="18"/>
        <v>9.6</v>
      </c>
      <c r="AE17" s="28">
        <f t="shared" si="18"/>
        <v>9.6</v>
      </c>
      <c r="AF17" s="28">
        <f t="shared" si="18"/>
        <v>9.6</v>
      </c>
      <c r="AG17" s="28">
        <f t="shared" si="18"/>
        <v>9.6</v>
      </c>
      <c r="AH17" s="28">
        <f t="shared" si="18"/>
        <v>9.6</v>
      </c>
      <c r="AI17" s="28">
        <f t="shared" si="18"/>
        <v>9.6</v>
      </c>
      <c r="AJ17" s="28">
        <f t="shared" si="18"/>
        <v>9.6</v>
      </c>
      <c r="AK17" s="28">
        <f t="shared" si="18"/>
        <v>9.6</v>
      </c>
      <c r="AL17" s="28">
        <f t="shared" si="18"/>
        <v>9.6</v>
      </c>
      <c r="AM17" s="28">
        <f t="shared" si="18"/>
        <v>9.6</v>
      </c>
      <c r="AN17" s="28">
        <f t="shared" si="18"/>
        <v>9.6</v>
      </c>
      <c r="AO17" s="28">
        <f t="shared" si="18"/>
        <v>9.6</v>
      </c>
      <c r="AP17" s="28">
        <f t="shared" si="18"/>
        <v>9.6</v>
      </c>
      <c r="AQ17" s="28">
        <f t="shared" si="18"/>
        <v>9.6</v>
      </c>
      <c r="AR17" s="28" t="str">
        <f t="shared" ref="AR17:BF17" si="19">IF(AND(AC17&gt;=$E17,TRUE),"ИЗУЧЕНО",IF(TRUE,"ОТКРЫТО","ЗАКРЫТО"))</f>
        <v>ОТКРЫТО</v>
      </c>
      <c r="AS17" s="28" t="str">
        <f t="shared" si="19"/>
        <v>ОТКРЫТО</v>
      </c>
      <c r="AT17" s="28" t="str">
        <f t="shared" si="19"/>
        <v>ОТКРЫТО</v>
      </c>
      <c r="AU17" s="28" t="str">
        <f t="shared" si="19"/>
        <v>ОТКРЫТО</v>
      </c>
      <c r="AV17" s="28" t="str">
        <f t="shared" si="19"/>
        <v>ОТКРЫТО</v>
      </c>
      <c r="AW17" s="28" t="str">
        <f t="shared" si="19"/>
        <v>ОТКРЫТО</v>
      </c>
      <c r="AX17" s="28" t="str">
        <f t="shared" si="19"/>
        <v>ОТКРЫТО</v>
      </c>
      <c r="AY17" s="28" t="str">
        <f t="shared" si="19"/>
        <v>ОТКРЫТО</v>
      </c>
      <c r="AZ17" s="28" t="str">
        <f t="shared" si="19"/>
        <v>ОТКРЫТО</v>
      </c>
      <c r="BA17" s="28" t="str">
        <f t="shared" si="19"/>
        <v>ОТКРЫТО</v>
      </c>
      <c r="BB17" s="28" t="str">
        <f t="shared" si="19"/>
        <v>ОТКРЫТО</v>
      </c>
      <c r="BC17" s="28" t="str">
        <f t="shared" si="19"/>
        <v>ОТКРЫТО</v>
      </c>
      <c r="BD17" s="28" t="str">
        <f t="shared" si="19"/>
        <v>ОТКРЫТО</v>
      </c>
      <c r="BE17" s="28" t="str">
        <f t="shared" si="19"/>
        <v>ОТКРЫТО</v>
      </c>
      <c r="BF17" s="28" t="str">
        <f t="shared" si="19"/>
        <v>ОТКРЫТО</v>
      </c>
      <c r="BG17" s="28" t="str">
        <f t="shared" si="8"/>
        <v/>
      </c>
      <c r="BH17" s="28" t="str">
        <f t="shared" si="9"/>
        <v/>
      </c>
    </row>
    <row r="18" ht="13.5" customHeight="1">
      <c r="A18" s="12" t="s">
        <v>248</v>
      </c>
      <c r="B18" s="12" t="s">
        <v>241</v>
      </c>
      <c r="C18" s="12" t="s">
        <v>145</v>
      </c>
      <c r="D18" s="12" t="s">
        <v>249</v>
      </c>
      <c r="E18" s="12">
        <v>40.0</v>
      </c>
      <c r="F18" s="12" t="s">
        <v>166</v>
      </c>
      <c r="G18" s="12"/>
      <c r="H18" s="12"/>
      <c r="I18" s="12" t="s">
        <v>250</v>
      </c>
      <c r="J18" s="12" t="s">
        <v>251</v>
      </c>
      <c r="K18" s="22">
        <f>SUMIF('Ход 2026'!$G$29:$G$38,$A18,'Ход 2026'!$I$29:$I$38)*(1+'Эффекты технологий'!J$7+'Эффекты технологий'!J$8+'Эффекты технологий'!J$9)</f>
        <v>0</v>
      </c>
      <c r="L18" s="22">
        <f>SUMIF('Ход 2027'!$G$29:$G$38,$A18,'Ход 2027'!$I$29:$I$38)*(1+'Эффекты технологий'!K$7+'Эффекты технологий'!K$8+'Эффекты технологий'!K$9)</f>
        <v>0</v>
      </c>
      <c r="M18" s="22">
        <f>SUMIF('Ход 2028'!$G$29:$G$38,$A18,'Ход 2028'!$I$29:$I$38)*(1+'Эффекты технологий'!L$7+'Эффекты технологий'!L$8+'Эффекты технологий'!L$9)</f>
        <v>0</v>
      </c>
      <c r="N18" s="22">
        <f>SUMIF('Ход 2029'!$G$29:$G$38,$A18,'Ход 2029'!$I$29:$I$38)*(1+'Эффекты технологий'!M$7+'Эффекты технологий'!M$8+'Эффекты технологий'!M$9)</f>
        <v>0</v>
      </c>
      <c r="O18" s="22">
        <f>SUMIF('Ход 2030'!$G$29:$G$38,$A18,'Ход 2030'!$I$29:$I$38)*(1+'Эффекты технологий'!N$7+'Эффекты технологий'!N$8+'Эффекты технологий'!N$9)</f>
        <v>0</v>
      </c>
      <c r="P18" s="22">
        <f>SUMIF('Ход 2031'!$G$29:$G$38,$A18,'Ход 2031'!$I$29:$I$38)*(1+'Эффекты технологий'!O$7+'Эффекты технологий'!O$8+'Эффекты технологий'!O$9)</f>
        <v>0</v>
      </c>
      <c r="Q18" s="22">
        <f>SUMIF('Ход 2032'!$G$29:$G$38,$A18,'Ход 2032'!$I$29:$I$38)*(1+'Эффекты технологий'!P$7+'Эффекты технологий'!P$8+'Эффекты технологий'!P$9)</f>
        <v>0</v>
      </c>
      <c r="R18" s="22">
        <f>SUMIF('Ход 2033'!$G$29:$G$38,$A18,'Ход 2033'!$I$29:$I$38)*(1+'Эффекты технологий'!Q$7+'Эффекты технологий'!Q$8+'Эффекты технологий'!Q$9)</f>
        <v>0</v>
      </c>
      <c r="S18" s="22">
        <f>SUMIF('Ход 2034'!$G$29:$G$38,$A18,'Ход 2034'!$I$29:$I$38)*(1+'Эффекты технологий'!R$7+'Эффекты технологий'!R$8+'Эффекты технологий'!R$9)</f>
        <v>0</v>
      </c>
      <c r="T18" s="22">
        <f>SUMIF('Ход 2035'!$G$29:$G$38,$A18,'Ход 2035'!$I$29:$I$38)*(1+'Эффекты технологий'!S$7+'Эффекты технологий'!S$8+'Эффекты технологий'!S$9)</f>
        <v>0</v>
      </c>
      <c r="U18" s="22">
        <f>SUMIF('Ход 2036'!$G$29:$G$38,$A18,'Ход 2036'!$I$29:$I$38)*(1+'Эффекты технологий'!T$7+'Эффекты технологий'!T$8+'Эффекты технологий'!T$9)</f>
        <v>0</v>
      </c>
      <c r="V18" s="22">
        <f>SUMIF('Ход 2037'!$G$29:$G$38,$A18,'Ход 2037'!$I$29:$I$38)*(1+'Эффекты технологий'!U$7+'Эффекты технологий'!U$8+'Эффекты технологий'!U$9)</f>
        <v>0</v>
      </c>
      <c r="W18" s="22">
        <f>SUMIF('Ход 2038'!$G$29:$G$38,$A18,'Ход 2038'!$I$29:$I$38)*(1+'Эффекты технологий'!V$7+'Эффекты технологий'!V$8+'Эффекты технологий'!V$9)</f>
        <v>0</v>
      </c>
      <c r="X18" s="22">
        <f>SUMIF('Ход 2039'!$G$29:$G$38,$A18,'Ход 2039'!$I$29:$I$38)*(1+'Эффекты технологий'!W$7+'Эффекты технологий'!W$8+'Эффекты технологий'!W$9)</f>
        <v>0</v>
      </c>
      <c r="Y18" s="22">
        <f>SUMIF('Ход 2040'!$G$29:$G$38,$A18,'Ход 2040'!$I$29:$I$38)*(1+'Эффекты технологий'!X$7+'Эффекты технологий'!X$8+'Эффекты технологий'!X$9)</f>
        <v>0</v>
      </c>
      <c r="Z18" s="27">
        <f t="shared" si="3"/>
        <v>0</v>
      </c>
      <c r="AA18" s="27">
        <f t="shared" si="4"/>
        <v>40</v>
      </c>
      <c r="AB18" s="12" t="str">
        <f t="shared" si="5"/>
        <v>ОТКРЫТО</v>
      </c>
      <c r="AC18" s="28">
        <f t="shared" ref="AC18:AQ18" si="20">SUM($K18:K18)</f>
        <v>0</v>
      </c>
      <c r="AD18" s="28">
        <f t="shared" si="20"/>
        <v>0</v>
      </c>
      <c r="AE18" s="28">
        <f t="shared" si="20"/>
        <v>0</v>
      </c>
      <c r="AF18" s="28">
        <f t="shared" si="20"/>
        <v>0</v>
      </c>
      <c r="AG18" s="28">
        <f t="shared" si="20"/>
        <v>0</v>
      </c>
      <c r="AH18" s="28">
        <f t="shared" si="20"/>
        <v>0</v>
      </c>
      <c r="AI18" s="28">
        <f t="shared" si="20"/>
        <v>0</v>
      </c>
      <c r="AJ18" s="28">
        <f t="shared" si="20"/>
        <v>0</v>
      </c>
      <c r="AK18" s="28">
        <f t="shared" si="20"/>
        <v>0</v>
      </c>
      <c r="AL18" s="28">
        <f t="shared" si="20"/>
        <v>0</v>
      </c>
      <c r="AM18" s="28">
        <f t="shared" si="20"/>
        <v>0</v>
      </c>
      <c r="AN18" s="28">
        <f t="shared" si="20"/>
        <v>0</v>
      </c>
      <c r="AO18" s="28">
        <f t="shared" si="20"/>
        <v>0</v>
      </c>
      <c r="AP18" s="28">
        <f t="shared" si="20"/>
        <v>0</v>
      </c>
      <c r="AQ18" s="28">
        <f t="shared" si="20"/>
        <v>0</v>
      </c>
      <c r="AR18" s="28" t="str">
        <f t="shared" ref="AR18:BF18" si="21">IF(AND(AC18&gt;=$E18,TRUE),"ИЗУЧЕНО",IF(TRUE,"ОТКРЫТО","ЗАКРЫТО"))</f>
        <v>ОТКРЫТО</v>
      </c>
      <c r="AS18" s="28" t="str">
        <f t="shared" si="21"/>
        <v>ОТКРЫТО</v>
      </c>
      <c r="AT18" s="28" t="str">
        <f t="shared" si="21"/>
        <v>ОТКРЫТО</v>
      </c>
      <c r="AU18" s="28" t="str">
        <f t="shared" si="21"/>
        <v>ОТКРЫТО</v>
      </c>
      <c r="AV18" s="28" t="str">
        <f t="shared" si="21"/>
        <v>ОТКРЫТО</v>
      </c>
      <c r="AW18" s="28" t="str">
        <f t="shared" si="21"/>
        <v>ОТКРЫТО</v>
      </c>
      <c r="AX18" s="28" t="str">
        <f t="shared" si="21"/>
        <v>ОТКРЫТО</v>
      </c>
      <c r="AY18" s="28" t="str">
        <f t="shared" si="21"/>
        <v>ОТКРЫТО</v>
      </c>
      <c r="AZ18" s="28" t="str">
        <f t="shared" si="21"/>
        <v>ОТКРЫТО</v>
      </c>
      <c r="BA18" s="28" t="str">
        <f t="shared" si="21"/>
        <v>ОТКРЫТО</v>
      </c>
      <c r="BB18" s="28" t="str">
        <f t="shared" si="21"/>
        <v>ОТКРЫТО</v>
      </c>
      <c r="BC18" s="28" t="str">
        <f t="shared" si="21"/>
        <v>ОТКРЫТО</v>
      </c>
      <c r="BD18" s="28" t="str">
        <f t="shared" si="21"/>
        <v>ОТКРЫТО</v>
      </c>
      <c r="BE18" s="28" t="str">
        <f t="shared" si="21"/>
        <v>ОТКРЫТО</v>
      </c>
      <c r="BF18" s="28" t="str">
        <f t="shared" si="21"/>
        <v>ОТКРЫТО</v>
      </c>
      <c r="BG18" s="28" t="str">
        <f t="shared" si="8"/>
        <v/>
      </c>
      <c r="BH18" s="28" t="str">
        <f t="shared" si="9"/>
        <v/>
      </c>
    </row>
    <row r="19" ht="13.5" customHeight="1">
      <c r="A19" s="12" t="s">
        <v>252</v>
      </c>
      <c r="B19" s="12" t="s">
        <v>241</v>
      </c>
      <c r="C19" s="12" t="s">
        <v>145</v>
      </c>
      <c r="D19" s="12" t="s">
        <v>253</v>
      </c>
      <c r="E19" s="12">
        <v>45.0</v>
      </c>
      <c r="F19" s="12" t="s">
        <v>166</v>
      </c>
      <c r="G19" s="12"/>
      <c r="H19" s="12"/>
      <c r="I19" s="12" t="s">
        <v>254</v>
      </c>
      <c r="J19" s="12" t="s">
        <v>255</v>
      </c>
      <c r="K19" s="22">
        <f>SUMIF('Ход 2026'!$G$29:$G$38,$A19,'Ход 2026'!$I$29:$I$38)*(1+'Эффекты технологий'!J$7+'Эффекты технологий'!J$8+'Эффекты технологий'!J$9)</f>
        <v>0</v>
      </c>
      <c r="L19" s="22">
        <f>SUMIF('Ход 2027'!$G$29:$G$38,$A19,'Ход 2027'!$I$29:$I$38)*(1+'Эффекты технологий'!K$7+'Эффекты технологий'!K$8+'Эффекты технологий'!K$9)</f>
        <v>0</v>
      </c>
      <c r="M19" s="22">
        <f>SUMIF('Ход 2028'!$G$29:$G$38,$A19,'Ход 2028'!$I$29:$I$38)*(1+'Эффекты технологий'!L$7+'Эффекты технологий'!L$8+'Эффекты технологий'!L$9)</f>
        <v>0</v>
      </c>
      <c r="N19" s="22">
        <f>SUMIF('Ход 2029'!$G$29:$G$38,$A19,'Ход 2029'!$I$29:$I$38)*(1+'Эффекты технологий'!M$7+'Эффекты технологий'!M$8+'Эффекты технологий'!M$9)</f>
        <v>0</v>
      </c>
      <c r="O19" s="22">
        <f>SUMIF('Ход 2030'!$G$29:$G$38,$A19,'Ход 2030'!$I$29:$I$38)*(1+'Эффекты технологий'!N$7+'Эффекты технологий'!N$8+'Эффекты технологий'!N$9)</f>
        <v>0</v>
      </c>
      <c r="P19" s="22">
        <f>SUMIF('Ход 2031'!$G$29:$G$38,$A19,'Ход 2031'!$I$29:$I$38)*(1+'Эффекты технологий'!O$7+'Эффекты технологий'!O$8+'Эффекты технологий'!O$9)</f>
        <v>0</v>
      </c>
      <c r="Q19" s="22">
        <f>SUMIF('Ход 2032'!$G$29:$G$38,$A19,'Ход 2032'!$I$29:$I$38)*(1+'Эффекты технологий'!P$7+'Эффекты технологий'!P$8+'Эффекты технологий'!P$9)</f>
        <v>0</v>
      </c>
      <c r="R19" s="22">
        <f>SUMIF('Ход 2033'!$G$29:$G$38,$A19,'Ход 2033'!$I$29:$I$38)*(1+'Эффекты технологий'!Q$7+'Эффекты технологий'!Q$8+'Эффекты технологий'!Q$9)</f>
        <v>0</v>
      </c>
      <c r="S19" s="22">
        <f>SUMIF('Ход 2034'!$G$29:$G$38,$A19,'Ход 2034'!$I$29:$I$38)*(1+'Эффекты технологий'!R$7+'Эффекты технологий'!R$8+'Эффекты технологий'!R$9)</f>
        <v>0</v>
      </c>
      <c r="T19" s="22">
        <f>SUMIF('Ход 2035'!$G$29:$G$38,$A19,'Ход 2035'!$I$29:$I$38)*(1+'Эффекты технологий'!S$7+'Эффекты технологий'!S$8+'Эффекты технологий'!S$9)</f>
        <v>0</v>
      </c>
      <c r="U19" s="22">
        <f>SUMIF('Ход 2036'!$G$29:$G$38,$A19,'Ход 2036'!$I$29:$I$38)*(1+'Эффекты технологий'!T$7+'Эффекты технологий'!T$8+'Эффекты технологий'!T$9)</f>
        <v>0</v>
      </c>
      <c r="V19" s="22">
        <f>SUMIF('Ход 2037'!$G$29:$G$38,$A19,'Ход 2037'!$I$29:$I$38)*(1+'Эффекты технологий'!U$7+'Эффекты технологий'!U$8+'Эффекты технологий'!U$9)</f>
        <v>0</v>
      </c>
      <c r="W19" s="22">
        <f>SUMIF('Ход 2038'!$G$29:$G$38,$A19,'Ход 2038'!$I$29:$I$38)*(1+'Эффекты технологий'!V$7+'Эффекты технологий'!V$8+'Эффекты технологий'!V$9)</f>
        <v>0</v>
      </c>
      <c r="X19" s="22">
        <f>SUMIF('Ход 2039'!$G$29:$G$38,$A19,'Ход 2039'!$I$29:$I$38)*(1+'Эффекты технологий'!W$7+'Эффекты технологий'!W$8+'Эффекты технологий'!W$9)</f>
        <v>0</v>
      </c>
      <c r="Y19" s="22">
        <f>SUMIF('Ход 2040'!$G$29:$G$38,$A19,'Ход 2040'!$I$29:$I$38)*(1+'Эффекты технологий'!X$7+'Эффекты технологий'!X$8+'Эффекты технологий'!X$9)</f>
        <v>0</v>
      </c>
      <c r="Z19" s="27">
        <f t="shared" si="3"/>
        <v>0</v>
      </c>
      <c r="AA19" s="27">
        <f t="shared" si="4"/>
        <v>45</v>
      </c>
      <c r="AB19" s="12" t="str">
        <f t="shared" si="5"/>
        <v>ОТКРЫТО</v>
      </c>
      <c r="AC19" s="28">
        <f t="shared" ref="AC19:AQ19" si="22">SUM($K19:K19)</f>
        <v>0</v>
      </c>
      <c r="AD19" s="28">
        <f t="shared" si="22"/>
        <v>0</v>
      </c>
      <c r="AE19" s="28">
        <f t="shared" si="22"/>
        <v>0</v>
      </c>
      <c r="AF19" s="28">
        <f t="shared" si="22"/>
        <v>0</v>
      </c>
      <c r="AG19" s="28">
        <f t="shared" si="22"/>
        <v>0</v>
      </c>
      <c r="AH19" s="28">
        <f t="shared" si="22"/>
        <v>0</v>
      </c>
      <c r="AI19" s="28">
        <f t="shared" si="22"/>
        <v>0</v>
      </c>
      <c r="AJ19" s="28">
        <f t="shared" si="22"/>
        <v>0</v>
      </c>
      <c r="AK19" s="28">
        <f t="shared" si="22"/>
        <v>0</v>
      </c>
      <c r="AL19" s="28">
        <f t="shared" si="22"/>
        <v>0</v>
      </c>
      <c r="AM19" s="28">
        <f t="shared" si="22"/>
        <v>0</v>
      </c>
      <c r="AN19" s="28">
        <f t="shared" si="22"/>
        <v>0</v>
      </c>
      <c r="AO19" s="28">
        <f t="shared" si="22"/>
        <v>0</v>
      </c>
      <c r="AP19" s="28">
        <f t="shared" si="22"/>
        <v>0</v>
      </c>
      <c r="AQ19" s="28">
        <f t="shared" si="22"/>
        <v>0</v>
      </c>
      <c r="AR19" s="28" t="str">
        <f t="shared" ref="AR19:BF19" si="23">IF(AND(AC19&gt;=$E19,TRUE),"ИЗУЧЕНО",IF(TRUE,"ОТКРЫТО","ЗАКРЫТО"))</f>
        <v>ОТКРЫТО</v>
      </c>
      <c r="AS19" s="28" t="str">
        <f t="shared" si="23"/>
        <v>ОТКРЫТО</v>
      </c>
      <c r="AT19" s="28" t="str">
        <f t="shared" si="23"/>
        <v>ОТКРЫТО</v>
      </c>
      <c r="AU19" s="28" t="str">
        <f t="shared" si="23"/>
        <v>ОТКРЫТО</v>
      </c>
      <c r="AV19" s="28" t="str">
        <f t="shared" si="23"/>
        <v>ОТКРЫТО</v>
      </c>
      <c r="AW19" s="28" t="str">
        <f t="shared" si="23"/>
        <v>ОТКРЫТО</v>
      </c>
      <c r="AX19" s="28" t="str">
        <f t="shared" si="23"/>
        <v>ОТКРЫТО</v>
      </c>
      <c r="AY19" s="28" t="str">
        <f t="shared" si="23"/>
        <v>ОТКРЫТО</v>
      </c>
      <c r="AZ19" s="28" t="str">
        <f t="shared" si="23"/>
        <v>ОТКРЫТО</v>
      </c>
      <c r="BA19" s="28" t="str">
        <f t="shared" si="23"/>
        <v>ОТКРЫТО</v>
      </c>
      <c r="BB19" s="28" t="str">
        <f t="shared" si="23"/>
        <v>ОТКРЫТО</v>
      </c>
      <c r="BC19" s="28" t="str">
        <f t="shared" si="23"/>
        <v>ОТКРЫТО</v>
      </c>
      <c r="BD19" s="28" t="str">
        <f t="shared" si="23"/>
        <v>ОТКРЫТО</v>
      </c>
      <c r="BE19" s="28" t="str">
        <f t="shared" si="23"/>
        <v>ОТКРЫТО</v>
      </c>
      <c r="BF19" s="28" t="str">
        <f t="shared" si="23"/>
        <v>ОТКРЫТО</v>
      </c>
      <c r="BG19" s="28" t="str">
        <f t="shared" si="8"/>
        <v/>
      </c>
      <c r="BH19" s="28" t="str">
        <f t="shared" si="9"/>
        <v/>
      </c>
    </row>
    <row r="20" ht="13.5" customHeight="1">
      <c r="A20" s="12" t="s">
        <v>256</v>
      </c>
      <c r="B20" s="12" t="s">
        <v>241</v>
      </c>
      <c r="C20" s="12" t="s">
        <v>194</v>
      </c>
      <c r="D20" s="12" t="s">
        <v>257</v>
      </c>
      <c r="E20" s="12">
        <v>65.0</v>
      </c>
      <c r="F20" s="12" t="s">
        <v>248</v>
      </c>
      <c r="G20" s="12" t="s">
        <v>252</v>
      </c>
      <c r="H20" s="12"/>
      <c r="I20" s="12" t="s">
        <v>258</v>
      </c>
      <c r="J20" s="12" t="s">
        <v>259</v>
      </c>
      <c r="K20" s="22">
        <f>SUMIF('Ход 2026'!$G$29:$G$38,$A20,'Ход 2026'!$I$29:$I$38)*(1+'Эффекты технологий'!J$7+'Эффекты технологий'!J$8+'Эффекты технологий'!J$9)</f>
        <v>0</v>
      </c>
      <c r="L20" s="22">
        <f>SUMIF('Ход 2027'!$G$29:$G$38,$A20,'Ход 2027'!$I$29:$I$38)*(1+'Эффекты технологий'!K$7+'Эффекты технологий'!K$8+'Эффекты технологий'!K$9)</f>
        <v>0</v>
      </c>
      <c r="M20" s="22">
        <f>SUMIF('Ход 2028'!$G$29:$G$38,$A20,'Ход 2028'!$I$29:$I$38)*(1+'Эффекты технологий'!L$7+'Эффекты технологий'!L$8+'Эффекты технологий'!L$9)</f>
        <v>0</v>
      </c>
      <c r="N20" s="22">
        <f>SUMIF('Ход 2029'!$G$29:$G$38,$A20,'Ход 2029'!$I$29:$I$38)*(1+'Эффекты технологий'!M$7+'Эффекты технологий'!M$8+'Эффекты технологий'!M$9)</f>
        <v>0</v>
      </c>
      <c r="O20" s="22">
        <f>SUMIF('Ход 2030'!$G$29:$G$38,$A20,'Ход 2030'!$I$29:$I$38)*(1+'Эффекты технологий'!N$7+'Эффекты технологий'!N$8+'Эффекты технологий'!N$9)</f>
        <v>0</v>
      </c>
      <c r="P20" s="22">
        <f>SUMIF('Ход 2031'!$G$29:$G$38,$A20,'Ход 2031'!$I$29:$I$38)*(1+'Эффекты технологий'!O$7+'Эффекты технологий'!O$8+'Эффекты технологий'!O$9)</f>
        <v>0</v>
      </c>
      <c r="Q20" s="22">
        <f>SUMIF('Ход 2032'!$G$29:$G$38,$A20,'Ход 2032'!$I$29:$I$38)*(1+'Эффекты технологий'!P$7+'Эффекты технологий'!P$8+'Эффекты технологий'!P$9)</f>
        <v>0</v>
      </c>
      <c r="R20" s="22">
        <f>SUMIF('Ход 2033'!$G$29:$G$38,$A20,'Ход 2033'!$I$29:$I$38)*(1+'Эффекты технологий'!Q$7+'Эффекты технологий'!Q$8+'Эффекты технологий'!Q$9)</f>
        <v>0</v>
      </c>
      <c r="S20" s="22">
        <f>SUMIF('Ход 2034'!$G$29:$G$38,$A20,'Ход 2034'!$I$29:$I$38)*(1+'Эффекты технологий'!R$7+'Эффекты технологий'!R$8+'Эффекты технологий'!R$9)</f>
        <v>0</v>
      </c>
      <c r="T20" s="22">
        <f>SUMIF('Ход 2035'!$G$29:$G$38,$A20,'Ход 2035'!$I$29:$I$38)*(1+'Эффекты технологий'!S$7+'Эффекты технологий'!S$8+'Эффекты технологий'!S$9)</f>
        <v>0</v>
      </c>
      <c r="U20" s="22">
        <f>SUMIF('Ход 2036'!$G$29:$G$38,$A20,'Ход 2036'!$I$29:$I$38)*(1+'Эффекты технологий'!T$7+'Эффекты технологий'!T$8+'Эффекты технологий'!T$9)</f>
        <v>0</v>
      </c>
      <c r="V20" s="22">
        <f>SUMIF('Ход 2037'!$G$29:$G$38,$A20,'Ход 2037'!$I$29:$I$38)*(1+'Эффекты технологий'!U$7+'Эффекты технологий'!U$8+'Эффекты технологий'!U$9)</f>
        <v>0</v>
      </c>
      <c r="W20" s="22">
        <f>SUMIF('Ход 2038'!$G$29:$G$38,$A20,'Ход 2038'!$I$29:$I$38)*(1+'Эффекты технологий'!V$7+'Эффекты технологий'!V$8+'Эффекты технологий'!V$9)</f>
        <v>0</v>
      </c>
      <c r="X20" s="22">
        <f>SUMIF('Ход 2039'!$G$29:$G$38,$A20,'Ход 2039'!$I$29:$I$38)*(1+'Эффекты технологий'!W$7+'Эффекты технологий'!W$8+'Эффекты технологий'!W$9)</f>
        <v>0</v>
      </c>
      <c r="Y20" s="22">
        <f>SUMIF('Ход 2040'!$G$29:$G$38,$A20,'Ход 2040'!$I$29:$I$38)*(1+'Эффекты технологий'!X$7+'Эффекты технологий'!X$8+'Эффекты технологий'!X$9)</f>
        <v>0</v>
      </c>
      <c r="Z20" s="27">
        <f t="shared" si="3"/>
        <v>0</v>
      </c>
      <c r="AA20" s="27">
        <f t="shared" si="4"/>
        <v>65</v>
      </c>
      <c r="AB20" s="12" t="str">
        <f t="shared" si="5"/>
        <v>ОТКРЫТО</v>
      </c>
      <c r="AC20" s="28">
        <f t="shared" ref="AC20:AQ20" si="24">SUM($K20:K20)</f>
        <v>0</v>
      </c>
      <c r="AD20" s="28">
        <f t="shared" si="24"/>
        <v>0</v>
      </c>
      <c r="AE20" s="28">
        <f t="shared" si="24"/>
        <v>0</v>
      </c>
      <c r="AF20" s="28">
        <f t="shared" si="24"/>
        <v>0</v>
      </c>
      <c r="AG20" s="28">
        <f t="shared" si="24"/>
        <v>0</v>
      </c>
      <c r="AH20" s="28">
        <f t="shared" si="24"/>
        <v>0</v>
      </c>
      <c r="AI20" s="28">
        <f t="shared" si="24"/>
        <v>0</v>
      </c>
      <c r="AJ20" s="28">
        <f t="shared" si="24"/>
        <v>0</v>
      </c>
      <c r="AK20" s="28">
        <f t="shared" si="24"/>
        <v>0</v>
      </c>
      <c r="AL20" s="28">
        <f t="shared" si="24"/>
        <v>0</v>
      </c>
      <c r="AM20" s="28">
        <f t="shared" si="24"/>
        <v>0</v>
      </c>
      <c r="AN20" s="28">
        <f t="shared" si="24"/>
        <v>0</v>
      </c>
      <c r="AO20" s="28">
        <f t="shared" si="24"/>
        <v>0</v>
      </c>
      <c r="AP20" s="28">
        <f t="shared" si="24"/>
        <v>0</v>
      </c>
      <c r="AQ20" s="28">
        <f t="shared" si="24"/>
        <v>0</v>
      </c>
      <c r="AR20" s="28" t="str">
        <f t="shared" ref="AR20:BF20" si="25">IF(AND(AC20&gt;=$E20,TRUE),"ИЗУЧЕНО",IF(TRUE,"ОТКРЫТО","ЗАКРЫТО"))</f>
        <v>ОТКРЫТО</v>
      </c>
      <c r="AS20" s="28" t="str">
        <f t="shared" si="25"/>
        <v>ОТКРЫТО</v>
      </c>
      <c r="AT20" s="28" t="str">
        <f t="shared" si="25"/>
        <v>ОТКРЫТО</v>
      </c>
      <c r="AU20" s="28" t="str">
        <f t="shared" si="25"/>
        <v>ОТКРЫТО</v>
      </c>
      <c r="AV20" s="28" t="str">
        <f t="shared" si="25"/>
        <v>ОТКРЫТО</v>
      </c>
      <c r="AW20" s="28" t="str">
        <f t="shared" si="25"/>
        <v>ОТКРЫТО</v>
      </c>
      <c r="AX20" s="28" t="str">
        <f t="shared" si="25"/>
        <v>ОТКРЫТО</v>
      </c>
      <c r="AY20" s="28" t="str">
        <f t="shared" si="25"/>
        <v>ОТКРЫТО</v>
      </c>
      <c r="AZ20" s="28" t="str">
        <f t="shared" si="25"/>
        <v>ОТКРЫТО</v>
      </c>
      <c r="BA20" s="28" t="str">
        <f t="shared" si="25"/>
        <v>ОТКРЫТО</v>
      </c>
      <c r="BB20" s="28" t="str">
        <f t="shared" si="25"/>
        <v>ОТКРЫТО</v>
      </c>
      <c r="BC20" s="28" t="str">
        <f t="shared" si="25"/>
        <v>ОТКРЫТО</v>
      </c>
      <c r="BD20" s="28" t="str">
        <f t="shared" si="25"/>
        <v>ОТКРЫТО</v>
      </c>
      <c r="BE20" s="28" t="str">
        <f t="shared" si="25"/>
        <v>ОТКРЫТО</v>
      </c>
      <c r="BF20" s="28" t="str">
        <f t="shared" si="25"/>
        <v>ОТКРЫТО</v>
      </c>
      <c r="BG20" s="28" t="str">
        <f t="shared" si="8"/>
        <v/>
      </c>
      <c r="BH20" s="28" t="str">
        <f t="shared" si="9"/>
        <v/>
      </c>
    </row>
    <row r="21" ht="13.5" customHeight="1">
      <c r="A21" s="12" t="s">
        <v>260</v>
      </c>
      <c r="B21" s="12" t="s">
        <v>241</v>
      </c>
      <c r="C21" s="12" t="s">
        <v>220</v>
      </c>
      <c r="D21" s="12" t="s">
        <v>261</v>
      </c>
      <c r="E21" s="12">
        <v>100.0</v>
      </c>
      <c r="F21" s="12" t="s">
        <v>256</v>
      </c>
      <c r="G21" s="12"/>
      <c r="H21" s="12"/>
      <c r="I21" s="12" t="s">
        <v>262</v>
      </c>
      <c r="J21" s="12" t="s">
        <v>263</v>
      </c>
      <c r="K21" s="22">
        <f>SUMIF('Ход 2026'!$G$29:$G$38,$A21,'Ход 2026'!$I$29:$I$38)*(1+'Эффекты технологий'!J$7+'Эффекты технологий'!J$8+'Эффекты технологий'!J$9)</f>
        <v>0</v>
      </c>
      <c r="L21" s="22">
        <f>SUMIF('Ход 2027'!$G$29:$G$38,$A21,'Ход 2027'!$I$29:$I$38)*(1+'Эффекты технологий'!K$7+'Эффекты технологий'!K$8+'Эффекты технологий'!K$9)</f>
        <v>0</v>
      </c>
      <c r="M21" s="22">
        <f>SUMIF('Ход 2028'!$G$29:$G$38,$A21,'Ход 2028'!$I$29:$I$38)*(1+'Эффекты технологий'!L$7+'Эффекты технологий'!L$8+'Эффекты технологий'!L$9)</f>
        <v>0</v>
      </c>
      <c r="N21" s="22">
        <f>SUMIF('Ход 2029'!$G$29:$G$38,$A21,'Ход 2029'!$I$29:$I$38)*(1+'Эффекты технологий'!M$7+'Эффекты технологий'!M$8+'Эффекты технологий'!M$9)</f>
        <v>0</v>
      </c>
      <c r="O21" s="22">
        <f>SUMIF('Ход 2030'!$G$29:$G$38,$A21,'Ход 2030'!$I$29:$I$38)*(1+'Эффекты технологий'!N$7+'Эффекты технологий'!N$8+'Эффекты технологий'!N$9)</f>
        <v>0</v>
      </c>
      <c r="P21" s="22">
        <f>SUMIF('Ход 2031'!$G$29:$G$38,$A21,'Ход 2031'!$I$29:$I$38)*(1+'Эффекты технологий'!O$7+'Эффекты технологий'!O$8+'Эффекты технологий'!O$9)</f>
        <v>0</v>
      </c>
      <c r="Q21" s="22">
        <f>SUMIF('Ход 2032'!$G$29:$G$38,$A21,'Ход 2032'!$I$29:$I$38)*(1+'Эффекты технологий'!P$7+'Эффекты технологий'!P$8+'Эффекты технологий'!P$9)</f>
        <v>0</v>
      </c>
      <c r="R21" s="22">
        <f>SUMIF('Ход 2033'!$G$29:$G$38,$A21,'Ход 2033'!$I$29:$I$38)*(1+'Эффекты технологий'!Q$7+'Эффекты технологий'!Q$8+'Эффекты технологий'!Q$9)</f>
        <v>0</v>
      </c>
      <c r="S21" s="22">
        <f>SUMIF('Ход 2034'!$G$29:$G$38,$A21,'Ход 2034'!$I$29:$I$38)*(1+'Эффекты технологий'!R$7+'Эффекты технологий'!R$8+'Эффекты технологий'!R$9)</f>
        <v>0</v>
      </c>
      <c r="T21" s="22">
        <f>SUMIF('Ход 2035'!$G$29:$G$38,$A21,'Ход 2035'!$I$29:$I$38)*(1+'Эффекты технологий'!S$7+'Эффекты технологий'!S$8+'Эффекты технологий'!S$9)</f>
        <v>0</v>
      </c>
      <c r="U21" s="22">
        <f>SUMIF('Ход 2036'!$G$29:$G$38,$A21,'Ход 2036'!$I$29:$I$38)*(1+'Эффекты технологий'!T$7+'Эффекты технологий'!T$8+'Эффекты технологий'!T$9)</f>
        <v>0</v>
      </c>
      <c r="V21" s="22">
        <f>SUMIF('Ход 2037'!$G$29:$G$38,$A21,'Ход 2037'!$I$29:$I$38)*(1+'Эффекты технологий'!U$7+'Эффекты технологий'!U$8+'Эффекты технологий'!U$9)</f>
        <v>0</v>
      </c>
      <c r="W21" s="22">
        <f>SUMIF('Ход 2038'!$G$29:$G$38,$A21,'Ход 2038'!$I$29:$I$38)*(1+'Эффекты технологий'!V$7+'Эффекты технологий'!V$8+'Эффекты технологий'!V$9)</f>
        <v>0</v>
      </c>
      <c r="X21" s="22">
        <f>SUMIF('Ход 2039'!$G$29:$G$38,$A21,'Ход 2039'!$I$29:$I$38)*(1+'Эффекты технологий'!W$7+'Эффекты технологий'!W$8+'Эффекты технологий'!W$9)</f>
        <v>0</v>
      </c>
      <c r="Y21" s="22">
        <f>SUMIF('Ход 2040'!$G$29:$G$38,$A21,'Ход 2040'!$I$29:$I$38)*(1+'Эффекты технологий'!X$7+'Эффекты технологий'!X$8+'Эффекты технологий'!X$9)</f>
        <v>0</v>
      </c>
      <c r="Z21" s="27">
        <f t="shared" si="3"/>
        <v>0</v>
      </c>
      <c r="AA21" s="27">
        <f t="shared" si="4"/>
        <v>100</v>
      </c>
      <c r="AB21" s="12" t="str">
        <f t="shared" si="5"/>
        <v>ОТКРЫТО</v>
      </c>
      <c r="AC21" s="28">
        <f t="shared" ref="AC21:AQ21" si="26">SUM($K21:K21)</f>
        <v>0</v>
      </c>
      <c r="AD21" s="28">
        <f t="shared" si="26"/>
        <v>0</v>
      </c>
      <c r="AE21" s="28">
        <f t="shared" si="26"/>
        <v>0</v>
      </c>
      <c r="AF21" s="28">
        <f t="shared" si="26"/>
        <v>0</v>
      </c>
      <c r="AG21" s="28">
        <f t="shared" si="26"/>
        <v>0</v>
      </c>
      <c r="AH21" s="28">
        <f t="shared" si="26"/>
        <v>0</v>
      </c>
      <c r="AI21" s="28">
        <f t="shared" si="26"/>
        <v>0</v>
      </c>
      <c r="AJ21" s="28">
        <f t="shared" si="26"/>
        <v>0</v>
      </c>
      <c r="AK21" s="28">
        <f t="shared" si="26"/>
        <v>0</v>
      </c>
      <c r="AL21" s="28">
        <f t="shared" si="26"/>
        <v>0</v>
      </c>
      <c r="AM21" s="28">
        <f t="shared" si="26"/>
        <v>0</v>
      </c>
      <c r="AN21" s="28">
        <f t="shared" si="26"/>
        <v>0</v>
      </c>
      <c r="AO21" s="28">
        <f t="shared" si="26"/>
        <v>0</v>
      </c>
      <c r="AP21" s="28">
        <f t="shared" si="26"/>
        <v>0</v>
      </c>
      <c r="AQ21" s="28">
        <f t="shared" si="26"/>
        <v>0</v>
      </c>
      <c r="AR21" s="28" t="str">
        <f t="shared" ref="AR21:BF21" si="27">IF(AND(AC21&gt;=$E21,TRUE),"ИЗУЧЕНО",IF(TRUE,"ОТКРЫТО","ЗАКРЫТО"))</f>
        <v>ОТКРЫТО</v>
      </c>
      <c r="AS21" s="28" t="str">
        <f t="shared" si="27"/>
        <v>ОТКРЫТО</v>
      </c>
      <c r="AT21" s="28" t="str">
        <f t="shared" si="27"/>
        <v>ОТКРЫТО</v>
      </c>
      <c r="AU21" s="28" t="str">
        <f t="shared" si="27"/>
        <v>ОТКРЫТО</v>
      </c>
      <c r="AV21" s="28" t="str">
        <f t="shared" si="27"/>
        <v>ОТКРЫТО</v>
      </c>
      <c r="AW21" s="28" t="str">
        <f t="shared" si="27"/>
        <v>ОТКРЫТО</v>
      </c>
      <c r="AX21" s="28" t="str">
        <f t="shared" si="27"/>
        <v>ОТКРЫТО</v>
      </c>
      <c r="AY21" s="28" t="str">
        <f t="shared" si="27"/>
        <v>ОТКРЫТО</v>
      </c>
      <c r="AZ21" s="28" t="str">
        <f t="shared" si="27"/>
        <v>ОТКРЫТО</v>
      </c>
      <c r="BA21" s="28" t="str">
        <f t="shared" si="27"/>
        <v>ОТКРЫТО</v>
      </c>
      <c r="BB21" s="28" t="str">
        <f t="shared" si="27"/>
        <v>ОТКРЫТО</v>
      </c>
      <c r="BC21" s="28" t="str">
        <f t="shared" si="27"/>
        <v>ОТКРЫТО</v>
      </c>
      <c r="BD21" s="28" t="str">
        <f t="shared" si="27"/>
        <v>ОТКРЫТО</v>
      </c>
      <c r="BE21" s="28" t="str">
        <f t="shared" si="27"/>
        <v>ОТКРЫТО</v>
      </c>
      <c r="BF21" s="28" t="str">
        <f t="shared" si="27"/>
        <v>ОТКРЫТО</v>
      </c>
      <c r="BG21" s="28" t="str">
        <f t="shared" si="8"/>
        <v/>
      </c>
      <c r="BH21" s="28" t="str">
        <f t="shared" si="9"/>
        <v/>
      </c>
    </row>
    <row r="22" ht="13.5" customHeight="1">
      <c r="A22" s="12" t="s">
        <v>265</v>
      </c>
      <c r="B22" s="12" t="s">
        <v>241</v>
      </c>
      <c r="C22" s="12" t="s">
        <v>230</v>
      </c>
      <c r="D22" s="12" t="s">
        <v>266</v>
      </c>
      <c r="E22" s="12">
        <v>155.0</v>
      </c>
      <c r="F22" s="12" t="s">
        <v>260</v>
      </c>
      <c r="G22" s="12"/>
      <c r="H22" s="12"/>
      <c r="I22" s="12" t="s">
        <v>267</v>
      </c>
      <c r="J22" s="12" t="s">
        <v>268</v>
      </c>
      <c r="K22" s="22">
        <f>SUMIF('Ход 2026'!$G$29:$G$38,$A22,'Ход 2026'!$I$29:$I$38)*(1+'Эффекты технологий'!J$7+'Эффекты технологий'!J$8+'Эффекты технологий'!J$9)</f>
        <v>0</v>
      </c>
      <c r="L22" s="22">
        <f>SUMIF('Ход 2027'!$G$29:$G$38,$A22,'Ход 2027'!$I$29:$I$38)*(1+'Эффекты технологий'!K$7+'Эффекты технологий'!K$8+'Эффекты технологий'!K$9)</f>
        <v>0</v>
      </c>
      <c r="M22" s="22">
        <f>SUMIF('Ход 2028'!$G$29:$G$38,$A22,'Ход 2028'!$I$29:$I$38)*(1+'Эффекты технологий'!L$7+'Эффекты технологий'!L$8+'Эффекты технологий'!L$9)</f>
        <v>0</v>
      </c>
      <c r="N22" s="22">
        <f>SUMIF('Ход 2029'!$G$29:$G$38,$A22,'Ход 2029'!$I$29:$I$38)*(1+'Эффекты технологий'!M$7+'Эффекты технологий'!M$8+'Эффекты технологий'!M$9)</f>
        <v>0</v>
      </c>
      <c r="O22" s="22">
        <f>SUMIF('Ход 2030'!$G$29:$G$38,$A22,'Ход 2030'!$I$29:$I$38)*(1+'Эффекты технологий'!N$7+'Эффекты технологий'!N$8+'Эффекты технологий'!N$9)</f>
        <v>0</v>
      </c>
      <c r="P22" s="22">
        <f>SUMIF('Ход 2031'!$G$29:$G$38,$A22,'Ход 2031'!$I$29:$I$38)*(1+'Эффекты технологий'!O$7+'Эффекты технологий'!O$8+'Эффекты технологий'!O$9)</f>
        <v>0</v>
      </c>
      <c r="Q22" s="22">
        <f>SUMIF('Ход 2032'!$G$29:$G$38,$A22,'Ход 2032'!$I$29:$I$38)*(1+'Эффекты технологий'!P$7+'Эффекты технологий'!P$8+'Эффекты технологий'!P$9)</f>
        <v>0</v>
      </c>
      <c r="R22" s="22">
        <f>SUMIF('Ход 2033'!$G$29:$G$38,$A22,'Ход 2033'!$I$29:$I$38)*(1+'Эффекты технологий'!Q$7+'Эффекты технологий'!Q$8+'Эффекты технологий'!Q$9)</f>
        <v>0</v>
      </c>
      <c r="S22" s="22">
        <f>SUMIF('Ход 2034'!$G$29:$G$38,$A22,'Ход 2034'!$I$29:$I$38)*(1+'Эффекты технологий'!R$7+'Эффекты технологий'!R$8+'Эффекты технологий'!R$9)</f>
        <v>0</v>
      </c>
      <c r="T22" s="22">
        <f>SUMIF('Ход 2035'!$G$29:$G$38,$A22,'Ход 2035'!$I$29:$I$38)*(1+'Эффекты технологий'!S$7+'Эффекты технологий'!S$8+'Эффекты технологий'!S$9)</f>
        <v>0</v>
      </c>
      <c r="U22" s="22">
        <f>SUMIF('Ход 2036'!$G$29:$G$38,$A22,'Ход 2036'!$I$29:$I$38)*(1+'Эффекты технологий'!T$7+'Эффекты технологий'!T$8+'Эффекты технологий'!T$9)</f>
        <v>0</v>
      </c>
      <c r="V22" s="22">
        <f>SUMIF('Ход 2037'!$G$29:$G$38,$A22,'Ход 2037'!$I$29:$I$38)*(1+'Эффекты технологий'!U$7+'Эффекты технологий'!U$8+'Эффекты технологий'!U$9)</f>
        <v>0</v>
      </c>
      <c r="W22" s="22">
        <f>SUMIF('Ход 2038'!$G$29:$G$38,$A22,'Ход 2038'!$I$29:$I$38)*(1+'Эффекты технологий'!V$7+'Эффекты технологий'!V$8+'Эффекты технологий'!V$9)</f>
        <v>0</v>
      </c>
      <c r="X22" s="22">
        <f>SUMIF('Ход 2039'!$G$29:$G$38,$A22,'Ход 2039'!$I$29:$I$38)*(1+'Эффекты технологий'!W$7+'Эффекты технологий'!W$8+'Эффекты технологий'!W$9)</f>
        <v>0</v>
      </c>
      <c r="Y22" s="22">
        <f>SUMIF('Ход 2040'!$G$29:$G$38,$A22,'Ход 2040'!$I$29:$I$38)*(1+'Эффекты технологий'!X$7+'Эффекты технологий'!X$8+'Эффекты технологий'!X$9)</f>
        <v>0</v>
      </c>
      <c r="Z22" s="27">
        <f t="shared" si="3"/>
        <v>0</v>
      </c>
      <c r="AA22" s="27">
        <f t="shared" si="4"/>
        <v>155</v>
      </c>
      <c r="AB22" s="12" t="str">
        <f t="shared" si="5"/>
        <v>ОТКРЫТО</v>
      </c>
      <c r="AC22" s="28">
        <f t="shared" ref="AC22:AQ22" si="28">SUM($K22:K22)</f>
        <v>0</v>
      </c>
      <c r="AD22" s="28">
        <f t="shared" si="28"/>
        <v>0</v>
      </c>
      <c r="AE22" s="28">
        <f t="shared" si="28"/>
        <v>0</v>
      </c>
      <c r="AF22" s="28">
        <f t="shared" si="28"/>
        <v>0</v>
      </c>
      <c r="AG22" s="28">
        <f t="shared" si="28"/>
        <v>0</v>
      </c>
      <c r="AH22" s="28">
        <f t="shared" si="28"/>
        <v>0</v>
      </c>
      <c r="AI22" s="28">
        <f t="shared" si="28"/>
        <v>0</v>
      </c>
      <c r="AJ22" s="28">
        <f t="shared" si="28"/>
        <v>0</v>
      </c>
      <c r="AK22" s="28">
        <f t="shared" si="28"/>
        <v>0</v>
      </c>
      <c r="AL22" s="28">
        <f t="shared" si="28"/>
        <v>0</v>
      </c>
      <c r="AM22" s="28">
        <f t="shared" si="28"/>
        <v>0</v>
      </c>
      <c r="AN22" s="28">
        <f t="shared" si="28"/>
        <v>0</v>
      </c>
      <c r="AO22" s="28">
        <f t="shared" si="28"/>
        <v>0</v>
      </c>
      <c r="AP22" s="28">
        <f t="shared" si="28"/>
        <v>0</v>
      </c>
      <c r="AQ22" s="28">
        <f t="shared" si="28"/>
        <v>0</v>
      </c>
      <c r="AR22" s="28" t="str">
        <f t="shared" ref="AR22:BF22" si="29">IF(AND(AC22&gt;=$E22,TRUE),"ИЗУЧЕНО",IF(TRUE,"ОТКРЫТО","ЗАКРЫТО"))</f>
        <v>ОТКРЫТО</v>
      </c>
      <c r="AS22" s="28" t="str">
        <f t="shared" si="29"/>
        <v>ОТКРЫТО</v>
      </c>
      <c r="AT22" s="28" t="str">
        <f t="shared" si="29"/>
        <v>ОТКРЫТО</v>
      </c>
      <c r="AU22" s="28" t="str">
        <f t="shared" si="29"/>
        <v>ОТКРЫТО</v>
      </c>
      <c r="AV22" s="28" t="str">
        <f t="shared" si="29"/>
        <v>ОТКРЫТО</v>
      </c>
      <c r="AW22" s="28" t="str">
        <f t="shared" si="29"/>
        <v>ОТКРЫТО</v>
      </c>
      <c r="AX22" s="28" t="str">
        <f t="shared" si="29"/>
        <v>ОТКРЫТО</v>
      </c>
      <c r="AY22" s="28" t="str">
        <f t="shared" si="29"/>
        <v>ОТКРЫТО</v>
      </c>
      <c r="AZ22" s="28" t="str">
        <f t="shared" si="29"/>
        <v>ОТКРЫТО</v>
      </c>
      <c r="BA22" s="28" t="str">
        <f t="shared" si="29"/>
        <v>ОТКРЫТО</v>
      </c>
      <c r="BB22" s="28" t="str">
        <f t="shared" si="29"/>
        <v>ОТКРЫТО</v>
      </c>
      <c r="BC22" s="28" t="str">
        <f t="shared" si="29"/>
        <v>ОТКРЫТО</v>
      </c>
      <c r="BD22" s="28" t="str">
        <f t="shared" si="29"/>
        <v>ОТКРЫТО</v>
      </c>
      <c r="BE22" s="28" t="str">
        <f t="shared" si="29"/>
        <v>ОТКРЫТО</v>
      </c>
      <c r="BF22" s="28" t="str">
        <f t="shared" si="29"/>
        <v>ОТКРЫТО</v>
      </c>
      <c r="BG22" s="28" t="str">
        <f t="shared" si="8"/>
        <v/>
      </c>
      <c r="BH22" s="28" t="str">
        <f t="shared" si="9"/>
        <v/>
      </c>
    </row>
    <row r="23" ht="13.5" customHeight="1">
      <c r="A23" s="12" t="s">
        <v>269</v>
      </c>
      <c r="B23" s="12" t="s">
        <v>270</v>
      </c>
      <c r="C23" s="12" t="s">
        <v>90</v>
      </c>
      <c r="D23" s="12" t="s">
        <v>271</v>
      </c>
      <c r="E23" s="12">
        <v>20.0</v>
      </c>
      <c r="F23" s="12"/>
      <c r="G23" s="12"/>
      <c r="H23" s="12"/>
      <c r="I23" s="12" t="s">
        <v>272</v>
      </c>
      <c r="J23" s="12" t="s">
        <v>273</v>
      </c>
      <c r="K23" s="22">
        <f>SUMIF('Ход 2026'!$G$29:$G$38,$A23,'Ход 2026'!$I$29:$I$38)*(1+'Эффекты технологий'!J$7)</f>
        <v>0</v>
      </c>
      <c r="L23" s="22">
        <f>SUMIF('Ход 2027'!$G$29:$G$38,$A23,'Ход 2027'!$I$29:$I$38)*(1+'Эффекты технологий'!K$7)</f>
        <v>0</v>
      </c>
      <c r="M23" s="22">
        <f>SUMIF('Ход 2028'!$G$29:$G$38,$A23,'Ход 2028'!$I$29:$I$38)*(1+'Эффекты технологий'!L$7)</f>
        <v>0</v>
      </c>
      <c r="N23" s="22">
        <f>SUMIF('Ход 2029'!$G$29:$G$38,$A23,'Ход 2029'!$I$29:$I$38)*(1+'Эффекты технологий'!M$7)</f>
        <v>0</v>
      </c>
      <c r="O23" s="22">
        <f>SUMIF('Ход 2030'!$G$29:$G$38,$A23,'Ход 2030'!$I$29:$I$38)*(1+'Эффекты технологий'!N$7)</f>
        <v>0</v>
      </c>
      <c r="P23" s="22">
        <f>SUMIF('Ход 2031'!$G$29:$G$38,$A23,'Ход 2031'!$I$29:$I$38)*(1+'Эффекты технологий'!O$7)</f>
        <v>0</v>
      </c>
      <c r="Q23" s="22">
        <f>SUMIF('Ход 2032'!$G$29:$G$38,$A23,'Ход 2032'!$I$29:$I$38)*(1+'Эффекты технологий'!P$7)</f>
        <v>0</v>
      </c>
      <c r="R23" s="22">
        <f>SUMIF('Ход 2033'!$G$29:$G$38,$A23,'Ход 2033'!$I$29:$I$38)*(1+'Эффекты технологий'!Q$7)</f>
        <v>0</v>
      </c>
      <c r="S23" s="22">
        <f>SUMIF('Ход 2034'!$G$29:$G$38,$A23,'Ход 2034'!$I$29:$I$38)*(1+'Эффекты технологий'!R$7)</f>
        <v>0</v>
      </c>
      <c r="T23" s="22">
        <f>SUMIF('Ход 2035'!$G$29:$G$38,$A23,'Ход 2035'!$I$29:$I$38)*(1+'Эффекты технологий'!S$7)</f>
        <v>0</v>
      </c>
      <c r="U23" s="22">
        <f>SUMIF('Ход 2036'!$G$29:$G$38,$A23,'Ход 2036'!$I$29:$I$38)*(1+'Эффекты технологий'!T$7)</f>
        <v>0</v>
      </c>
      <c r="V23" s="22">
        <f>SUMIF('Ход 2037'!$G$29:$G$38,$A23,'Ход 2037'!$I$29:$I$38)*(1+'Эффекты технологий'!U$7)</f>
        <v>0</v>
      </c>
      <c r="W23" s="22">
        <f>SUMIF('Ход 2038'!$G$29:$G$38,$A23,'Ход 2038'!$I$29:$I$38)*(1+'Эффекты технологий'!V$7)</f>
        <v>0</v>
      </c>
      <c r="X23" s="22">
        <f>SUMIF('Ход 2039'!$G$29:$G$38,$A23,'Ход 2039'!$I$29:$I$38)*(1+'Эффекты технологий'!W$7)</f>
        <v>0</v>
      </c>
      <c r="Y23" s="22">
        <f>SUMIF('Ход 2040'!$G$29:$G$38,$A23,'Ход 2040'!$I$29:$I$38)*(1+'Эффекты технологий'!X$7)</f>
        <v>0</v>
      </c>
      <c r="Z23" s="27">
        <f t="shared" si="3"/>
        <v>0</v>
      </c>
      <c r="AA23" s="27">
        <f t="shared" si="4"/>
        <v>20</v>
      </c>
      <c r="AB23" s="12" t="str">
        <f t="shared" si="5"/>
        <v>ОТКРЫТО</v>
      </c>
      <c r="AC23" s="28">
        <f t="shared" ref="AC23:AQ23" si="30">SUM($K23:K23)</f>
        <v>0</v>
      </c>
      <c r="AD23" s="28">
        <f t="shared" si="30"/>
        <v>0</v>
      </c>
      <c r="AE23" s="28">
        <f t="shared" si="30"/>
        <v>0</v>
      </c>
      <c r="AF23" s="28">
        <f t="shared" si="30"/>
        <v>0</v>
      </c>
      <c r="AG23" s="28">
        <f t="shared" si="30"/>
        <v>0</v>
      </c>
      <c r="AH23" s="28">
        <f t="shared" si="30"/>
        <v>0</v>
      </c>
      <c r="AI23" s="28">
        <f t="shared" si="30"/>
        <v>0</v>
      </c>
      <c r="AJ23" s="28">
        <f t="shared" si="30"/>
        <v>0</v>
      </c>
      <c r="AK23" s="28">
        <f t="shared" si="30"/>
        <v>0</v>
      </c>
      <c r="AL23" s="28">
        <f t="shared" si="30"/>
        <v>0</v>
      </c>
      <c r="AM23" s="28">
        <f t="shared" si="30"/>
        <v>0</v>
      </c>
      <c r="AN23" s="28">
        <f t="shared" si="30"/>
        <v>0</v>
      </c>
      <c r="AO23" s="28">
        <f t="shared" si="30"/>
        <v>0</v>
      </c>
      <c r="AP23" s="28">
        <f t="shared" si="30"/>
        <v>0</v>
      </c>
      <c r="AQ23" s="28">
        <f t="shared" si="30"/>
        <v>0</v>
      </c>
      <c r="AR23" s="28" t="str">
        <f t="shared" ref="AR23:BF23" si="31">IF(AND(AC23&gt;=$E23,TRUE),"ИЗУЧЕНО",IF(TRUE,"ОТКРЫТО","ЗАКРЫТО"))</f>
        <v>ОТКРЫТО</v>
      </c>
      <c r="AS23" s="28" t="str">
        <f t="shared" si="31"/>
        <v>ОТКРЫТО</v>
      </c>
      <c r="AT23" s="28" t="str">
        <f t="shared" si="31"/>
        <v>ОТКРЫТО</v>
      </c>
      <c r="AU23" s="28" t="str">
        <f t="shared" si="31"/>
        <v>ОТКРЫТО</v>
      </c>
      <c r="AV23" s="28" t="str">
        <f t="shared" si="31"/>
        <v>ОТКРЫТО</v>
      </c>
      <c r="AW23" s="28" t="str">
        <f t="shared" si="31"/>
        <v>ОТКРЫТО</v>
      </c>
      <c r="AX23" s="28" t="str">
        <f t="shared" si="31"/>
        <v>ОТКРЫТО</v>
      </c>
      <c r="AY23" s="28" t="str">
        <f t="shared" si="31"/>
        <v>ОТКРЫТО</v>
      </c>
      <c r="AZ23" s="28" t="str">
        <f t="shared" si="31"/>
        <v>ОТКРЫТО</v>
      </c>
      <c r="BA23" s="28" t="str">
        <f t="shared" si="31"/>
        <v>ОТКРЫТО</v>
      </c>
      <c r="BB23" s="28" t="str">
        <f t="shared" si="31"/>
        <v>ОТКРЫТО</v>
      </c>
      <c r="BC23" s="28" t="str">
        <f t="shared" si="31"/>
        <v>ОТКРЫТО</v>
      </c>
      <c r="BD23" s="28" t="str">
        <f t="shared" si="31"/>
        <v>ОТКРЫТО</v>
      </c>
      <c r="BE23" s="28" t="str">
        <f t="shared" si="31"/>
        <v>ОТКРЫТО</v>
      </c>
      <c r="BF23" s="28" t="str">
        <f t="shared" si="31"/>
        <v>ОТКРЫТО</v>
      </c>
      <c r="BG23" s="28" t="str">
        <f t="shared" si="8"/>
        <v/>
      </c>
      <c r="BH23" s="28" t="str">
        <f t="shared" si="9"/>
        <v/>
      </c>
    </row>
    <row r="24" ht="13.5" customHeight="1">
      <c r="A24" s="12" t="s">
        <v>275</v>
      </c>
      <c r="B24" s="12" t="s">
        <v>270</v>
      </c>
      <c r="C24" s="12" t="s">
        <v>145</v>
      </c>
      <c r="D24" s="12" t="s">
        <v>276</v>
      </c>
      <c r="E24" s="12">
        <v>35.0</v>
      </c>
      <c r="F24" s="12" t="s">
        <v>269</v>
      </c>
      <c r="G24" s="12"/>
      <c r="H24" s="12"/>
      <c r="I24" s="12" t="s">
        <v>277</v>
      </c>
      <c r="J24" s="12" t="s">
        <v>278</v>
      </c>
      <c r="K24" s="22">
        <f>SUMIF('Ход 2026'!$G$29:$G$38,$A24,'Ход 2026'!$I$29:$I$38)*(1+'Эффекты технологий'!J$7)</f>
        <v>0</v>
      </c>
      <c r="L24" s="22">
        <f>SUMIF('Ход 2027'!$G$29:$G$38,$A24,'Ход 2027'!$I$29:$I$38)*(1+'Эффекты технологий'!K$7)</f>
        <v>0</v>
      </c>
      <c r="M24" s="22">
        <f>SUMIF('Ход 2028'!$G$29:$G$38,$A24,'Ход 2028'!$I$29:$I$38)*(1+'Эффекты технологий'!L$7)</f>
        <v>0</v>
      </c>
      <c r="N24" s="22">
        <f>SUMIF('Ход 2029'!$G$29:$G$38,$A24,'Ход 2029'!$I$29:$I$38)*(1+'Эффекты технологий'!M$7)</f>
        <v>0</v>
      </c>
      <c r="O24" s="22">
        <f>SUMIF('Ход 2030'!$G$29:$G$38,$A24,'Ход 2030'!$I$29:$I$38)*(1+'Эффекты технологий'!N$7)</f>
        <v>0</v>
      </c>
      <c r="P24" s="22">
        <f>SUMIF('Ход 2031'!$G$29:$G$38,$A24,'Ход 2031'!$I$29:$I$38)*(1+'Эффекты технологий'!O$7)</f>
        <v>0</v>
      </c>
      <c r="Q24" s="22">
        <f>SUMIF('Ход 2032'!$G$29:$G$38,$A24,'Ход 2032'!$I$29:$I$38)*(1+'Эффекты технологий'!P$7)</f>
        <v>0</v>
      </c>
      <c r="R24" s="22">
        <f>SUMIF('Ход 2033'!$G$29:$G$38,$A24,'Ход 2033'!$I$29:$I$38)*(1+'Эффекты технологий'!Q$7)</f>
        <v>0</v>
      </c>
      <c r="S24" s="22">
        <f>SUMIF('Ход 2034'!$G$29:$G$38,$A24,'Ход 2034'!$I$29:$I$38)*(1+'Эффекты технологий'!R$7)</f>
        <v>0</v>
      </c>
      <c r="T24" s="22">
        <f>SUMIF('Ход 2035'!$G$29:$G$38,$A24,'Ход 2035'!$I$29:$I$38)*(1+'Эффекты технологий'!S$7)</f>
        <v>0</v>
      </c>
      <c r="U24" s="22">
        <f>SUMIF('Ход 2036'!$G$29:$G$38,$A24,'Ход 2036'!$I$29:$I$38)*(1+'Эффекты технологий'!T$7)</f>
        <v>0</v>
      </c>
      <c r="V24" s="22">
        <f>SUMIF('Ход 2037'!$G$29:$G$38,$A24,'Ход 2037'!$I$29:$I$38)*(1+'Эффекты технологий'!U$7)</f>
        <v>0</v>
      </c>
      <c r="W24" s="22">
        <f>SUMIF('Ход 2038'!$G$29:$G$38,$A24,'Ход 2038'!$I$29:$I$38)*(1+'Эффекты технологий'!V$7)</f>
        <v>0</v>
      </c>
      <c r="X24" s="22">
        <f>SUMIF('Ход 2039'!$G$29:$G$38,$A24,'Ход 2039'!$I$29:$I$38)*(1+'Эффекты технологий'!W$7)</f>
        <v>0</v>
      </c>
      <c r="Y24" s="22">
        <f>SUMIF('Ход 2040'!$G$29:$G$38,$A24,'Ход 2040'!$I$29:$I$38)*(1+'Эффекты технологий'!X$7)</f>
        <v>0</v>
      </c>
      <c r="Z24" s="27">
        <f t="shared" si="3"/>
        <v>0</v>
      </c>
      <c r="AA24" s="27">
        <f t="shared" si="4"/>
        <v>35</v>
      </c>
      <c r="AB24" s="12" t="str">
        <f t="shared" si="5"/>
        <v>ОТКРЫТО</v>
      </c>
      <c r="AC24" s="28">
        <f t="shared" ref="AC24:AQ24" si="32">SUM($K24:K24)</f>
        <v>0</v>
      </c>
      <c r="AD24" s="28">
        <f t="shared" si="32"/>
        <v>0</v>
      </c>
      <c r="AE24" s="28">
        <f t="shared" si="32"/>
        <v>0</v>
      </c>
      <c r="AF24" s="28">
        <f t="shared" si="32"/>
        <v>0</v>
      </c>
      <c r="AG24" s="28">
        <f t="shared" si="32"/>
        <v>0</v>
      </c>
      <c r="AH24" s="28">
        <f t="shared" si="32"/>
        <v>0</v>
      </c>
      <c r="AI24" s="28">
        <f t="shared" si="32"/>
        <v>0</v>
      </c>
      <c r="AJ24" s="28">
        <f t="shared" si="32"/>
        <v>0</v>
      </c>
      <c r="AK24" s="28">
        <f t="shared" si="32"/>
        <v>0</v>
      </c>
      <c r="AL24" s="28">
        <f t="shared" si="32"/>
        <v>0</v>
      </c>
      <c r="AM24" s="28">
        <f t="shared" si="32"/>
        <v>0</v>
      </c>
      <c r="AN24" s="28">
        <f t="shared" si="32"/>
        <v>0</v>
      </c>
      <c r="AO24" s="28">
        <f t="shared" si="32"/>
        <v>0</v>
      </c>
      <c r="AP24" s="28">
        <f t="shared" si="32"/>
        <v>0</v>
      </c>
      <c r="AQ24" s="28">
        <f t="shared" si="32"/>
        <v>0</v>
      </c>
      <c r="AR24" s="28" t="str">
        <f t="shared" ref="AR24:BF24" si="33">IF(AND(AC24&gt;=$E24,TRUE),"ИЗУЧЕНО",IF(TRUE,"ОТКРЫТО","ЗАКРЫТО"))</f>
        <v>ОТКРЫТО</v>
      </c>
      <c r="AS24" s="28" t="str">
        <f t="shared" si="33"/>
        <v>ОТКРЫТО</v>
      </c>
      <c r="AT24" s="28" t="str">
        <f t="shared" si="33"/>
        <v>ОТКРЫТО</v>
      </c>
      <c r="AU24" s="28" t="str">
        <f t="shared" si="33"/>
        <v>ОТКРЫТО</v>
      </c>
      <c r="AV24" s="28" t="str">
        <f t="shared" si="33"/>
        <v>ОТКРЫТО</v>
      </c>
      <c r="AW24" s="28" t="str">
        <f t="shared" si="33"/>
        <v>ОТКРЫТО</v>
      </c>
      <c r="AX24" s="28" t="str">
        <f t="shared" si="33"/>
        <v>ОТКРЫТО</v>
      </c>
      <c r="AY24" s="28" t="str">
        <f t="shared" si="33"/>
        <v>ОТКРЫТО</v>
      </c>
      <c r="AZ24" s="28" t="str">
        <f t="shared" si="33"/>
        <v>ОТКРЫТО</v>
      </c>
      <c r="BA24" s="28" t="str">
        <f t="shared" si="33"/>
        <v>ОТКРЫТО</v>
      </c>
      <c r="BB24" s="28" t="str">
        <f t="shared" si="33"/>
        <v>ОТКРЫТО</v>
      </c>
      <c r="BC24" s="28" t="str">
        <f t="shared" si="33"/>
        <v>ОТКРЫТО</v>
      </c>
      <c r="BD24" s="28" t="str">
        <f t="shared" si="33"/>
        <v>ОТКРЫТО</v>
      </c>
      <c r="BE24" s="28" t="str">
        <f t="shared" si="33"/>
        <v>ОТКРЫТО</v>
      </c>
      <c r="BF24" s="28" t="str">
        <f t="shared" si="33"/>
        <v>ОТКРЫТО</v>
      </c>
      <c r="BG24" s="28" t="str">
        <f t="shared" si="8"/>
        <v/>
      </c>
      <c r="BH24" s="28" t="str">
        <f t="shared" si="9"/>
        <v/>
      </c>
    </row>
    <row r="25" ht="13.5" customHeight="1">
      <c r="A25" s="12" t="s">
        <v>279</v>
      </c>
      <c r="B25" s="12" t="s">
        <v>270</v>
      </c>
      <c r="C25" s="12" t="s">
        <v>145</v>
      </c>
      <c r="D25" s="12" t="s">
        <v>280</v>
      </c>
      <c r="E25" s="12">
        <v>40.0</v>
      </c>
      <c r="F25" s="12" t="s">
        <v>269</v>
      </c>
      <c r="G25" s="12"/>
      <c r="H25" s="12"/>
      <c r="I25" s="12" t="s">
        <v>281</v>
      </c>
      <c r="J25" s="12" t="s">
        <v>282</v>
      </c>
      <c r="K25" s="22">
        <f>SUMIF('Ход 2026'!$G$29:$G$38,$A25,'Ход 2026'!$I$29:$I$38)*(1+'Эффекты технологий'!J$7)</f>
        <v>0</v>
      </c>
      <c r="L25" s="22">
        <f>SUMIF('Ход 2027'!$G$29:$G$38,$A25,'Ход 2027'!$I$29:$I$38)*(1+'Эффекты технологий'!K$7)</f>
        <v>0</v>
      </c>
      <c r="M25" s="22">
        <f>SUMIF('Ход 2028'!$G$29:$G$38,$A25,'Ход 2028'!$I$29:$I$38)*(1+'Эффекты технологий'!L$7)</f>
        <v>0</v>
      </c>
      <c r="N25" s="22">
        <f>SUMIF('Ход 2029'!$G$29:$G$38,$A25,'Ход 2029'!$I$29:$I$38)*(1+'Эффекты технологий'!M$7)</f>
        <v>0</v>
      </c>
      <c r="O25" s="22">
        <f>SUMIF('Ход 2030'!$G$29:$G$38,$A25,'Ход 2030'!$I$29:$I$38)*(1+'Эффекты технологий'!N$7)</f>
        <v>0</v>
      </c>
      <c r="P25" s="22">
        <f>SUMIF('Ход 2031'!$G$29:$G$38,$A25,'Ход 2031'!$I$29:$I$38)*(1+'Эффекты технологий'!O$7)</f>
        <v>0</v>
      </c>
      <c r="Q25" s="22">
        <f>SUMIF('Ход 2032'!$G$29:$G$38,$A25,'Ход 2032'!$I$29:$I$38)*(1+'Эффекты технологий'!P$7)</f>
        <v>0</v>
      </c>
      <c r="R25" s="22">
        <f>SUMIF('Ход 2033'!$G$29:$G$38,$A25,'Ход 2033'!$I$29:$I$38)*(1+'Эффекты технологий'!Q$7)</f>
        <v>0</v>
      </c>
      <c r="S25" s="22">
        <f>SUMIF('Ход 2034'!$G$29:$G$38,$A25,'Ход 2034'!$I$29:$I$38)*(1+'Эффекты технологий'!R$7)</f>
        <v>0</v>
      </c>
      <c r="T25" s="22">
        <f>SUMIF('Ход 2035'!$G$29:$G$38,$A25,'Ход 2035'!$I$29:$I$38)*(1+'Эффекты технологий'!S$7)</f>
        <v>0</v>
      </c>
      <c r="U25" s="22">
        <f>SUMIF('Ход 2036'!$G$29:$G$38,$A25,'Ход 2036'!$I$29:$I$38)*(1+'Эффекты технологий'!T$7)</f>
        <v>0</v>
      </c>
      <c r="V25" s="22">
        <f>SUMIF('Ход 2037'!$G$29:$G$38,$A25,'Ход 2037'!$I$29:$I$38)*(1+'Эффекты технологий'!U$7)</f>
        <v>0</v>
      </c>
      <c r="W25" s="22">
        <f>SUMIF('Ход 2038'!$G$29:$G$38,$A25,'Ход 2038'!$I$29:$I$38)*(1+'Эффекты технологий'!V$7)</f>
        <v>0</v>
      </c>
      <c r="X25" s="22">
        <f>SUMIF('Ход 2039'!$G$29:$G$38,$A25,'Ход 2039'!$I$29:$I$38)*(1+'Эффекты технологий'!W$7)</f>
        <v>0</v>
      </c>
      <c r="Y25" s="22">
        <f>SUMIF('Ход 2040'!$G$29:$G$38,$A25,'Ход 2040'!$I$29:$I$38)*(1+'Эффекты технологий'!X$7)</f>
        <v>0</v>
      </c>
      <c r="Z25" s="27">
        <f t="shared" si="3"/>
        <v>0</v>
      </c>
      <c r="AA25" s="27">
        <f t="shared" si="4"/>
        <v>40</v>
      </c>
      <c r="AB25" s="12" t="str">
        <f t="shared" si="5"/>
        <v>ОТКРЫТО</v>
      </c>
      <c r="AC25" s="28">
        <f t="shared" ref="AC25:AQ25" si="34">SUM($K25:K25)</f>
        <v>0</v>
      </c>
      <c r="AD25" s="28">
        <f t="shared" si="34"/>
        <v>0</v>
      </c>
      <c r="AE25" s="28">
        <f t="shared" si="34"/>
        <v>0</v>
      </c>
      <c r="AF25" s="28">
        <f t="shared" si="34"/>
        <v>0</v>
      </c>
      <c r="AG25" s="28">
        <f t="shared" si="34"/>
        <v>0</v>
      </c>
      <c r="AH25" s="28">
        <f t="shared" si="34"/>
        <v>0</v>
      </c>
      <c r="AI25" s="28">
        <f t="shared" si="34"/>
        <v>0</v>
      </c>
      <c r="AJ25" s="28">
        <f t="shared" si="34"/>
        <v>0</v>
      </c>
      <c r="AK25" s="28">
        <f t="shared" si="34"/>
        <v>0</v>
      </c>
      <c r="AL25" s="28">
        <f t="shared" si="34"/>
        <v>0</v>
      </c>
      <c r="AM25" s="28">
        <f t="shared" si="34"/>
        <v>0</v>
      </c>
      <c r="AN25" s="28">
        <f t="shared" si="34"/>
        <v>0</v>
      </c>
      <c r="AO25" s="28">
        <f t="shared" si="34"/>
        <v>0</v>
      </c>
      <c r="AP25" s="28">
        <f t="shared" si="34"/>
        <v>0</v>
      </c>
      <c r="AQ25" s="28">
        <f t="shared" si="34"/>
        <v>0</v>
      </c>
      <c r="AR25" s="28" t="str">
        <f t="shared" ref="AR25:BF25" si="35">IF(AND(AC25&gt;=$E25,TRUE),"ИЗУЧЕНО",IF(TRUE,"ОТКРЫТО","ЗАКРЫТО"))</f>
        <v>ОТКРЫТО</v>
      </c>
      <c r="AS25" s="28" t="str">
        <f t="shared" si="35"/>
        <v>ОТКРЫТО</v>
      </c>
      <c r="AT25" s="28" t="str">
        <f t="shared" si="35"/>
        <v>ОТКРЫТО</v>
      </c>
      <c r="AU25" s="28" t="str">
        <f t="shared" si="35"/>
        <v>ОТКРЫТО</v>
      </c>
      <c r="AV25" s="28" t="str">
        <f t="shared" si="35"/>
        <v>ОТКРЫТО</v>
      </c>
      <c r="AW25" s="28" t="str">
        <f t="shared" si="35"/>
        <v>ОТКРЫТО</v>
      </c>
      <c r="AX25" s="28" t="str">
        <f t="shared" si="35"/>
        <v>ОТКРЫТО</v>
      </c>
      <c r="AY25" s="28" t="str">
        <f t="shared" si="35"/>
        <v>ОТКРЫТО</v>
      </c>
      <c r="AZ25" s="28" t="str">
        <f t="shared" si="35"/>
        <v>ОТКРЫТО</v>
      </c>
      <c r="BA25" s="28" t="str">
        <f t="shared" si="35"/>
        <v>ОТКРЫТО</v>
      </c>
      <c r="BB25" s="28" t="str">
        <f t="shared" si="35"/>
        <v>ОТКРЫТО</v>
      </c>
      <c r="BC25" s="28" t="str">
        <f t="shared" si="35"/>
        <v>ОТКРЫТО</v>
      </c>
      <c r="BD25" s="28" t="str">
        <f t="shared" si="35"/>
        <v>ОТКРЫТО</v>
      </c>
      <c r="BE25" s="28" t="str">
        <f t="shared" si="35"/>
        <v>ОТКРЫТО</v>
      </c>
      <c r="BF25" s="28" t="str">
        <f t="shared" si="35"/>
        <v>ОТКРЫТО</v>
      </c>
      <c r="BG25" s="28" t="str">
        <f t="shared" si="8"/>
        <v/>
      </c>
      <c r="BH25" s="28" t="str">
        <f t="shared" si="9"/>
        <v/>
      </c>
    </row>
    <row r="26" ht="13.5" customHeight="1">
      <c r="A26" s="12" t="s">
        <v>283</v>
      </c>
      <c r="B26" s="12" t="s">
        <v>270</v>
      </c>
      <c r="C26" s="12" t="s">
        <v>194</v>
      </c>
      <c r="D26" s="12" t="s">
        <v>284</v>
      </c>
      <c r="E26" s="12">
        <v>60.0</v>
      </c>
      <c r="F26" s="12" t="s">
        <v>275</v>
      </c>
      <c r="G26" s="12" t="s">
        <v>279</v>
      </c>
      <c r="H26" s="12"/>
      <c r="I26" s="12" t="s">
        <v>285</v>
      </c>
      <c r="J26" s="12" t="s">
        <v>286</v>
      </c>
      <c r="K26" s="22">
        <f>SUMIF('Ход 2026'!$G$29:$G$38,$A26,'Ход 2026'!$I$29:$I$38)*(1+'Эффекты технологий'!J$7)</f>
        <v>0</v>
      </c>
      <c r="L26" s="22">
        <f>SUMIF('Ход 2027'!$G$29:$G$38,$A26,'Ход 2027'!$I$29:$I$38)*(1+'Эффекты технологий'!K$7)</f>
        <v>0</v>
      </c>
      <c r="M26" s="22">
        <f>SUMIF('Ход 2028'!$G$29:$G$38,$A26,'Ход 2028'!$I$29:$I$38)*(1+'Эффекты технологий'!L$7)</f>
        <v>0</v>
      </c>
      <c r="N26" s="22">
        <f>SUMIF('Ход 2029'!$G$29:$G$38,$A26,'Ход 2029'!$I$29:$I$38)*(1+'Эффекты технологий'!M$7)</f>
        <v>0</v>
      </c>
      <c r="O26" s="22">
        <f>SUMIF('Ход 2030'!$G$29:$G$38,$A26,'Ход 2030'!$I$29:$I$38)*(1+'Эффекты технологий'!N$7)</f>
        <v>0</v>
      </c>
      <c r="P26" s="22">
        <f>SUMIF('Ход 2031'!$G$29:$G$38,$A26,'Ход 2031'!$I$29:$I$38)*(1+'Эффекты технологий'!O$7)</f>
        <v>0</v>
      </c>
      <c r="Q26" s="22">
        <f>SUMIF('Ход 2032'!$G$29:$G$38,$A26,'Ход 2032'!$I$29:$I$38)*(1+'Эффекты технологий'!P$7)</f>
        <v>0</v>
      </c>
      <c r="R26" s="22">
        <f>SUMIF('Ход 2033'!$G$29:$G$38,$A26,'Ход 2033'!$I$29:$I$38)*(1+'Эффекты технологий'!Q$7)</f>
        <v>0</v>
      </c>
      <c r="S26" s="22">
        <f>SUMIF('Ход 2034'!$G$29:$G$38,$A26,'Ход 2034'!$I$29:$I$38)*(1+'Эффекты технологий'!R$7)</f>
        <v>0</v>
      </c>
      <c r="T26" s="22">
        <f>SUMIF('Ход 2035'!$G$29:$G$38,$A26,'Ход 2035'!$I$29:$I$38)*(1+'Эффекты технологий'!S$7)</f>
        <v>0</v>
      </c>
      <c r="U26" s="22">
        <f>SUMIF('Ход 2036'!$G$29:$G$38,$A26,'Ход 2036'!$I$29:$I$38)*(1+'Эффекты технологий'!T$7)</f>
        <v>0</v>
      </c>
      <c r="V26" s="22">
        <f>SUMIF('Ход 2037'!$G$29:$G$38,$A26,'Ход 2037'!$I$29:$I$38)*(1+'Эффекты технологий'!U$7)</f>
        <v>0</v>
      </c>
      <c r="W26" s="22">
        <f>SUMIF('Ход 2038'!$G$29:$G$38,$A26,'Ход 2038'!$I$29:$I$38)*(1+'Эффекты технологий'!V$7)</f>
        <v>0</v>
      </c>
      <c r="X26" s="22">
        <f>SUMIF('Ход 2039'!$G$29:$G$38,$A26,'Ход 2039'!$I$29:$I$38)*(1+'Эффекты технологий'!W$7)</f>
        <v>0</v>
      </c>
      <c r="Y26" s="22">
        <f>SUMIF('Ход 2040'!$G$29:$G$38,$A26,'Ход 2040'!$I$29:$I$38)*(1+'Эффекты технологий'!X$7)</f>
        <v>0</v>
      </c>
      <c r="Z26" s="27">
        <f t="shared" si="3"/>
        <v>0</v>
      </c>
      <c r="AA26" s="27">
        <f t="shared" si="4"/>
        <v>60</v>
      </c>
      <c r="AB26" s="12" t="str">
        <f t="shared" si="5"/>
        <v>ОТКРЫТО</v>
      </c>
      <c r="AC26" s="28">
        <f t="shared" ref="AC26:AQ26" si="36">SUM($K26:K26)</f>
        <v>0</v>
      </c>
      <c r="AD26" s="28">
        <f t="shared" si="36"/>
        <v>0</v>
      </c>
      <c r="AE26" s="28">
        <f t="shared" si="36"/>
        <v>0</v>
      </c>
      <c r="AF26" s="28">
        <f t="shared" si="36"/>
        <v>0</v>
      </c>
      <c r="AG26" s="28">
        <f t="shared" si="36"/>
        <v>0</v>
      </c>
      <c r="AH26" s="28">
        <f t="shared" si="36"/>
        <v>0</v>
      </c>
      <c r="AI26" s="28">
        <f t="shared" si="36"/>
        <v>0</v>
      </c>
      <c r="AJ26" s="28">
        <f t="shared" si="36"/>
        <v>0</v>
      </c>
      <c r="AK26" s="28">
        <f t="shared" si="36"/>
        <v>0</v>
      </c>
      <c r="AL26" s="28">
        <f t="shared" si="36"/>
        <v>0</v>
      </c>
      <c r="AM26" s="28">
        <f t="shared" si="36"/>
        <v>0</v>
      </c>
      <c r="AN26" s="28">
        <f t="shared" si="36"/>
        <v>0</v>
      </c>
      <c r="AO26" s="28">
        <f t="shared" si="36"/>
        <v>0</v>
      </c>
      <c r="AP26" s="28">
        <f t="shared" si="36"/>
        <v>0</v>
      </c>
      <c r="AQ26" s="28">
        <f t="shared" si="36"/>
        <v>0</v>
      </c>
      <c r="AR26" s="28" t="str">
        <f t="shared" ref="AR26:BF26" si="37">IF(AND(AC26&gt;=$E26,TRUE),"ИЗУЧЕНО",IF(TRUE,"ОТКРЫТО","ЗАКРЫТО"))</f>
        <v>ОТКРЫТО</v>
      </c>
      <c r="AS26" s="28" t="str">
        <f t="shared" si="37"/>
        <v>ОТКРЫТО</v>
      </c>
      <c r="AT26" s="28" t="str">
        <f t="shared" si="37"/>
        <v>ОТКРЫТО</v>
      </c>
      <c r="AU26" s="28" t="str">
        <f t="shared" si="37"/>
        <v>ОТКРЫТО</v>
      </c>
      <c r="AV26" s="28" t="str">
        <f t="shared" si="37"/>
        <v>ОТКРЫТО</v>
      </c>
      <c r="AW26" s="28" t="str">
        <f t="shared" si="37"/>
        <v>ОТКРЫТО</v>
      </c>
      <c r="AX26" s="28" t="str">
        <f t="shared" si="37"/>
        <v>ОТКРЫТО</v>
      </c>
      <c r="AY26" s="28" t="str">
        <f t="shared" si="37"/>
        <v>ОТКРЫТО</v>
      </c>
      <c r="AZ26" s="28" t="str">
        <f t="shared" si="37"/>
        <v>ОТКРЫТО</v>
      </c>
      <c r="BA26" s="28" t="str">
        <f t="shared" si="37"/>
        <v>ОТКРЫТО</v>
      </c>
      <c r="BB26" s="28" t="str">
        <f t="shared" si="37"/>
        <v>ОТКРЫТО</v>
      </c>
      <c r="BC26" s="28" t="str">
        <f t="shared" si="37"/>
        <v>ОТКРЫТО</v>
      </c>
      <c r="BD26" s="28" t="str">
        <f t="shared" si="37"/>
        <v>ОТКРЫТО</v>
      </c>
      <c r="BE26" s="28" t="str">
        <f t="shared" si="37"/>
        <v>ОТКРЫТО</v>
      </c>
      <c r="BF26" s="28" t="str">
        <f t="shared" si="37"/>
        <v>ОТКРЫТО</v>
      </c>
      <c r="BG26" s="28" t="str">
        <f t="shared" si="8"/>
        <v/>
      </c>
      <c r="BH26" s="28" t="str">
        <f t="shared" si="9"/>
        <v/>
      </c>
    </row>
    <row r="27" ht="13.5" customHeight="1">
      <c r="A27" s="12" t="s">
        <v>287</v>
      </c>
      <c r="B27" s="12" t="s">
        <v>270</v>
      </c>
      <c r="C27" s="12" t="s">
        <v>220</v>
      </c>
      <c r="D27" s="12" t="s">
        <v>288</v>
      </c>
      <c r="E27" s="12">
        <v>95.0</v>
      </c>
      <c r="F27" s="12" t="s">
        <v>283</v>
      </c>
      <c r="G27" s="12"/>
      <c r="H27" s="12"/>
      <c r="I27" s="12" t="s">
        <v>289</v>
      </c>
      <c r="J27" s="12" t="s">
        <v>290</v>
      </c>
      <c r="K27" s="22">
        <f>SUMIF('Ход 2026'!$G$29:$G$38,$A27,'Ход 2026'!$I$29:$I$38)*(1+'Эффекты технологий'!J$7)</f>
        <v>0</v>
      </c>
      <c r="L27" s="22">
        <f>SUMIF('Ход 2027'!$G$29:$G$38,$A27,'Ход 2027'!$I$29:$I$38)*(1+'Эффекты технологий'!K$7)</f>
        <v>0</v>
      </c>
      <c r="M27" s="22">
        <f>SUMIF('Ход 2028'!$G$29:$G$38,$A27,'Ход 2028'!$I$29:$I$38)*(1+'Эффекты технологий'!L$7)</f>
        <v>0</v>
      </c>
      <c r="N27" s="22">
        <f>SUMIF('Ход 2029'!$G$29:$G$38,$A27,'Ход 2029'!$I$29:$I$38)*(1+'Эффекты технологий'!M$7)</f>
        <v>0</v>
      </c>
      <c r="O27" s="22">
        <f>SUMIF('Ход 2030'!$G$29:$G$38,$A27,'Ход 2030'!$I$29:$I$38)*(1+'Эффекты технологий'!N$7)</f>
        <v>0</v>
      </c>
      <c r="P27" s="22">
        <f>SUMIF('Ход 2031'!$G$29:$G$38,$A27,'Ход 2031'!$I$29:$I$38)*(1+'Эффекты технологий'!O$7)</f>
        <v>0</v>
      </c>
      <c r="Q27" s="22">
        <f>SUMIF('Ход 2032'!$G$29:$G$38,$A27,'Ход 2032'!$I$29:$I$38)*(1+'Эффекты технологий'!P$7)</f>
        <v>0</v>
      </c>
      <c r="R27" s="22">
        <f>SUMIF('Ход 2033'!$G$29:$G$38,$A27,'Ход 2033'!$I$29:$I$38)*(1+'Эффекты технологий'!Q$7)</f>
        <v>0</v>
      </c>
      <c r="S27" s="22">
        <f>SUMIF('Ход 2034'!$G$29:$G$38,$A27,'Ход 2034'!$I$29:$I$38)*(1+'Эффекты технологий'!R$7)</f>
        <v>0</v>
      </c>
      <c r="T27" s="22">
        <f>SUMIF('Ход 2035'!$G$29:$G$38,$A27,'Ход 2035'!$I$29:$I$38)*(1+'Эффекты технологий'!S$7)</f>
        <v>0</v>
      </c>
      <c r="U27" s="22">
        <f>SUMIF('Ход 2036'!$G$29:$G$38,$A27,'Ход 2036'!$I$29:$I$38)*(1+'Эффекты технологий'!T$7)</f>
        <v>0</v>
      </c>
      <c r="V27" s="22">
        <f>SUMIF('Ход 2037'!$G$29:$G$38,$A27,'Ход 2037'!$I$29:$I$38)*(1+'Эффекты технологий'!U$7)</f>
        <v>0</v>
      </c>
      <c r="W27" s="22">
        <f>SUMIF('Ход 2038'!$G$29:$G$38,$A27,'Ход 2038'!$I$29:$I$38)*(1+'Эффекты технологий'!V$7)</f>
        <v>0</v>
      </c>
      <c r="X27" s="22">
        <f>SUMIF('Ход 2039'!$G$29:$G$38,$A27,'Ход 2039'!$I$29:$I$38)*(1+'Эффекты технологий'!W$7)</f>
        <v>0</v>
      </c>
      <c r="Y27" s="22">
        <f>SUMIF('Ход 2040'!$G$29:$G$38,$A27,'Ход 2040'!$I$29:$I$38)*(1+'Эффекты технологий'!X$7)</f>
        <v>0</v>
      </c>
      <c r="Z27" s="27">
        <f t="shared" si="3"/>
        <v>0</v>
      </c>
      <c r="AA27" s="27">
        <f t="shared" si="4"/>
        <v>95</v>
      </c>
      <c r="AB27" s="12" t="str">
        <f t="shared" si="5"/>
        <v>ОТКРЫТО</v>
      </c>
      <c r="AC27" s="28">
        <f t="shared" ref="AC27:AQ27" si="38">SUM($K27:K27)</f>
        <v>0</v>
      </c>
      <c r="AD27" s="28">
        <f t="shared" si="38"/>
        <v>0</v>
      </c>
      <c r="AE27" s="28">
        <f t="shared" si="38"/>
        <v>0</v>
      </c>
      <c r="AF27" s="28">
        <f t="shared" si="38"/>
        <v>0</v>
      </c>
      <c r="AG27" s="28">
        <f t="shared" si="38"/>
        <v>0</v>
      </c>
      <c r="AH27" s="28">
        <f t="shared" si="38"/>
        <v>0</v>
      </c>
      <c r="AI27" s="28">
        <f t="shared" si="38"/>
        <v>0</v>
      </c>
      <c r="AJ27" s="28">
        <f t="shared" si="38"/>
        <v>0</v>
      </c>
      <c r="AK27" s="28">
        <f t="shared" si="38"/>
        <v>0</v>
      </c>
      <c r="AL27" s="28">
        <f t="shared" si="38"/>
        <v>0</v>
      </c>
      <c r="AM27" s="28">
        <f t="shared" si="38"/>
        <v>0</v>
      </c>
      <c r="AN27" s="28">
        <f t="shared" si="38"/>
        <v>0</v>
      </c>
      <c r="AO27" s="28">
        <f t="shared" si="38"/>
        <v>0</v>
      </c>
      <c r="AP27" s="28">
        <f t="shared" si="38"/>
        <v>0</v>
      </c>
      <c r="AQ27" s="28">
        <f t="shared" si="38"/>
        <v>0</v>
      </c>
      <c r="AR27" s="28" t="str">
        <f t="shared" ref="AR27:BF27" si="39">IF(AND(AC27&gt;=$E27,TRUE),"ИЗУЧЕНО",IF(TRUE,"ОТКРЫТО","ЗАКРЫТО"))</f>
        <v>ОТКРЫТО</v>
      </c>
      <c r="AS27" s="28" t="str">
        <f t="shared" si="39"/>
        <v>ОТКРЫТО</v>
      </c>
      <c r="AT27" s="28" t="str">
        <f t="shared" si="39"/>
        <v>ОТКРЫТО</v>
      </c>
      <c r="AU27" s="28" t="str">
        <f t="shared" si="39"/>
        <v>ОТКРЫТО</v>
      </c>
      <c r="AV27" s="28" t="str">
        <f t="shared" si="39"/>
        <v>ОТКРЫТО</v>
      </c>
      <c r="AW27" s="28" t="str">
        <f t="shared" si="39"/>
        <v>ОТКРЫТО</v>
      </c>
      <c r="AX27" s="28" t="str">
        <f t="shared" si="39"/>
        <v>ОТКРЫТО</v>
      </c>
      <c r="AY27" s="28" t="str">
        <f t="shared" si="39"/>
        <v>ОТКРЫТО</v>
      </c>
      <c r="AZ27" s="28" t="str">
        <f t="shared" si="39"/>
        <v>ОТКРЫТО</v>
      </c>
      <c r="BA27" s="28" t="str">
        <f t="shared" si="39"/>
        <v>ОТКРЫТО</v>
      </c>
      <c r="BB27" s="28" t="str">
        <f t="shared" si="39"/>
        <v>ОТКРЫТО</v>
      </c>
      <c r="BC27" s="28" t="str">
        <f t="shared" si="39"/>
        <v>ОТКРЫТО</v>
      </c>
      <c r="BD27" s="28" t="str">
        <f t="shared" si="39"/>
        <v>ОТКРЫТО</v>
      </c>
      <c r="BE27" s="28" t="str">
        <f t="shared" si="39"/>
        <v>ОТКРЫТО</v>
      </c>
      <c r="BF27" s="28" t="str">
        <f t="shared" si="39"/>
        <v>ОТКРЫТО</v>
      </c>
      <c r="BG27" s="28" t="str">
        <f t="shared" si="8"/>
        <v/>
      </c>
      <c r="BH27" s="28" t="str">
        <f t="shared" si="9"/>
        <v/>
      </c>
    </row>
    <row r="28" ht="13.5" customHeight="1">
      <c r="A28" s="12" t="s">
        <v>291</v>
      </c>
      <c r="B28" s="12" t="s">
        <v>270</v>
      </c>
      <c r="C28" s="12" t="s">
        <v>230</v>
      </c>
      <c r="D28" s="12" t="s">
        <v>292</v>
      </c>
      <c r="E28" s="12">
        <v>140.0</v>
      </c>
      <c r="F28" s="12" t="s">
        <v>287</v>
      </c>
      <c r="G28" s="12"/>
      <c r="H28" s="12"/>
      <c r="I28" s="12" t="s">
        <v>293</v>
      </c>
      <c r="J28" s="12" t="s">
        <v>294</v>
      </c>
      <c r="K28" s="22">
        <f>SUMIF('Ход 2026'!$G$29:$G$38,$A28,'Ход 2026'!$I$29:$I$38)*(1+'Эффекты технологий'!J$7)</f>
        <v>0</v>
      </c>
      <c r="L28" s="22">
        <f>SUMIF('Ход 2027'!$G$29:$G$38,$A28,'Ход 2027'!$I$29:$I$38)*(1+'Эффекты технологий'!K$7)</f>
        <v>0</v>
      </c>
      <c r="M28" s="22">
        <f>SUMIF('Ход 2028'!$G$29:$G$38,$A28,'Ход 2028'!$I$29:$I$38)*(1+'Эффекты технологий'!L$7)</f>
        <v>0</v>
      </c>
      <c r="N28" s="22">
        <f>SUMIF('Ход 2029'!$G$29:$G$38,$A28,'Ход 2029'!$I$29:$I$38)*(1+'Эффекты технологий'!M$7)</f>
        <v>0</v>
      </c>
      <c r="O28" s="22">
        <f>SUMIF('Ход 2030'!$G$29:$G$38,$A28,'Ход 2030'!$I$29:$I$38)*(1+'Эффекты технологий'!N$7)</f>
        <v>0</v>
      </c>
      <c r="P28" s="22">
        <f>SUMIF('Ход 2031'!$G$29:$G$38,$A28,'Ход 2031'!$I$29:$I$38)*(1+'Эффекты технологий'!O$7)</f>
        <v>0</v>
      </c>
      <c r="Q28" s="22">
        <f>SUMIF('Ход 2032'!$G$29:$G$38,$A28,'Ход 2032'!$I$29:$I$38)*(1+'Эффекты технологий'!P$7)</f>
        <v>0</v>
      </c>
      <c r="R28" s="22">
        <f>SUMIF('Ход 2033'!$G$29:$G$38,$A28,'Ход 2033'!$I$29:$I$38)*(1+'Эффекты технологий'!Q$7)</f>
        <v>0</v>
      </c>
      <c r="S28" s="22">
        <f>SUMIF('Ход 2034'!$G$29:$G$38,$A28,'Ход 2034'!$I$29:$I$38)*(1+'Эффекты технологий'!R$7)</f>
        <v>0</v>
      </c>
      <c r="T28" s="22">
        <f>SUMIF('Ход 2035'!$G$29:$G$38,$A28,'Ход 2035'!$I$29:$I$38)*(1+'Эффекты технологий'!S$7)</f>
        <v>0</v>
      </c>
      <c r="U28" s="22">
        <f>SUMIF('Ход 2036'!$G$29:$G$38,$A28,'Ход 2036'!$I$29:$I$38)*(1+'Эффекты технологий'!T$7)</f>
        <v>0</v>
      </c>
      <c r="V28" s="22">
        <f>SUMIF('Ход 2037'!$G$29:$G$38,$A28,'Ход 2037'!$I$29:$I$38)*(1+'Эффекты технологий'!U$7)</f>
        <v>0</v>
      </c>
      <c r="W28" s="22">
        <f>SUMIF('Ход 2038'!$G$29:$G$38,$A28,'Ход 2038'!$I$29:$I$38)*(1+'Эффекты технологий'!V$7)</f>
        <v>0</v>
      </c>
      <c r="X28" s="22">
        <f>SUMIF('Ход 2039'!$G$29:$G$38,$A28,'Ход 2039'!$I$29:$I$38)*(1+'Эффекты технологий'!W$7)</f>
        <v>0</v>
      </c>
      <c r="Y28" s="22">
        <f>SUMIF('Ход 2040'!$G$29:$G$38,$A28,'Ход 2040'!$I$29:$I$38)*(1+'Эффекты технологий'!X$7)</f>
        <v>0</v>
      </c>
      <c r="Z28" s="27">
        <f t="shared" si="3"/>
        <v>0</v>
      </c>
      <c r="AA28" s="27">
        <f t="shared" si="4"/>
        <v>140</v>
      </c>
      <c r="AB28" s="12" t="str">
        <f t="shared" si="5"/>
        <v>ОТКРЫТО</v>
      </c>
      <c r="AC28" s="28">
        <f t="shared" ref="AC28:AQ28" si="40">SUM($K28:K28)</f>
        <v>0</v>
      </c>
      <c r="AD28" s="28">
        <f t="shared" si="40"/>
        <v>0</v>
      </c>
      <c r="AE28" s="28">
        <f t="shared" si="40"/>
        <v>0</v>
      </c>
      <c r="AF28" s="28">
        <f t="shared" si="40"/>
        <v>0</v>
      </c>
      <c r="AG28" s="28">
        <f t="shared" si="40"/>
        <v>0</v>
      </c>
      <c r="AH28" s="28">
        <f t="shared" si="40"/>
        <v>0</v>
      </c>
      <c r="AI28" s="28">
        <f t="shared" si="40"/>
        <v>0</v>
      </c>
      <c r="AJ28" s="28">
        <f t="shared" si="40"/>
        <v>0</v>
      </c>
      <c r="AK28" s="28">
        <f t="shared" si="40"/>
        <v>0</v>
      </c>
      <c r="AL28" s="28">
        <f t="shared" si="40"/>
        <v>0</v>
      </c>
      <c r="AM28" s="28">
        <f t="shared" si="40"/>
        <v>0</v>
      </c>
      <c r="AN28" s="28">
        <f t="shared" si="40"/>
        <v>0</v>
      </c>
      <c r="AO28" s="28">
        <f t="shared" si="40"/>
        <v>0</v>
      </c>
      <c r="AP28" s="28">
        <f t="shared" si="40"/>
        <v>0</v>
      </c>
      <c r="AQ28" s="28">
        <f t="shared" si="40"/>
        <v>0</v>
      </c>
      <c r="AR28" s="28" t="str">
        <f t="shared" ref="AR28:BF28" si="41">IF(AND(AC28&gt;=$E28,TRUE),"ИЗУЧЕНО",IF(TRUE,"ОТКРЫТО","ЗАКРЫТО"))</f>
        <v>ОТКРЫТО</v>
      </c>
      <c r="AS28" s="28" t="str">
        <f t="shared" si="41"/>
        <v>ОТКРЫТО</v>
      </c>
      <c r="AT28" s="28" t="str">
        <f t="shared" si="41"/>
        <v>ОТКРЫТО</v>
      </c>
      <c r="AU28" s="28" t="str">
        <f t="shared" si="41"/>
        <v>ОТКРЫТО</v>
      </c>
      <c r="AV28" s="28" t="str">
        <f t="shared" si="41"/>
        <v>ОТКРЫТО</v>
      </c>
      <c r="AW28" s="28" t="str">
        <f t="shared" si="41"/>
        <v>ОТКРЫТО</v>
      </c>
      <c r="AX28" s="28" t="str">
        <f t="shared" si="41"/>
        <v>ОТКРЫТО</v>
      </c>
      <c r="AY28" s="28" t="str">
        <f t="shared" si="41"/>
        <v>ОТКРЫТО</v>
      </c>
      <c r="AZ28" s="28" t="str">
        <f t="shared" si="41"/>
        <v>ОТКРЫТО</v>
      </c>
      <c r="BA28" s="28" t="str">
        <f t="shared" si="41"/>
        <v>ОТКРЫТО</v>
      </c>
      <c r="BB28" s="28" t="str">
        <f t="shared" si="41"/>
        <v>ОТКРЫТО</v>
      </c>
      <c r="BC28" s="28" t="str">
        <f t="shared" si="41"/>
        <v>ОТКРЫТО</v>
      </c>
      <c r="BD28" s="28" t="str">
        <f t="shared" si="41"/>
        <v>ОТКРЫТО</v>
      </c>
      <c r="BE28" s="28" t="str">
        <f t="shared" si="41"/>
        <v>ОТКРЫТО</v>
      </c>
      <c r="BF28" s="28" t="str">
        <f t="shared" si="41"/>
        <v>ОТКРЫТО</v>
      </c>
      <c r="BG28" s="28" t="str">
        <f t="shared" si="8"/>
        <v/>
      </c>
      <c r="BH28" s="28" t="str">
        <f t="shared" si="9"/>
        <v/>
      </c>
    </row>
    <row r="29" ht="13.5" customHeight="1">
      <c r="A29" s="12" t="s">
        <v>295</v>
      </c>
      <c r="B29" s="12" t="s">
        <v>296</v>
      </c>
      <c r="C29" s="12" t="s">
        <v>90</v>
      </c>
      <c r="D29" s="12" t="s">
        <v>297</v>
      </c>
      <c r="E29" s="12">
        <v>20.0</v>
      </c>
      <c r="F29" s="12"/>
      <c r="G29" s="12"/>
      <c r="H29" s="12"/>
      <c r="I29" s="12" t="s">
        <v>298</v>
      </c>
      <c r="J29" s="12" t="s">
        <v>299</v>
      </c>
      <c r="K29" s="22">
        <f>SUMIF('Ход 2026'!$G$29:$G$38,$A29,'Ход 2026'!$I$29:$I$38)*(1+'Эффекты технологий'!J$7+'Эффекты технологий'!J$9)</f>
        <v>0</v>
      </c>
      <c r="L29" s="22">
        <f>SUMIF('Ход 2027'!$G$29:$G$38,$A29,'Ход 2027'!$I$29:$I$38)*(1+'Эффекты технологий'!K$7+'Эффекты технологий'!K$9)</f>
        <v>0</v>
      </c>
      <c r="M29" s="22">
        <f>SUMIF('Ход 2028'!$G$29:$G$38,$A29,'Ход 2028'!$I$29:$I$38)*(1+'Эффекты технологий'!L$7+'Эффекты технологий'!L$9)</f>
        <v>0</v>
      </c>
      <c r="N29" s="22">
        <f>SUMIF('Ход 2029'!$G$29:$G$38,$A29,'Ход 2029'!$I$29:$I$38)*(1+'Эффекты технологий'!M$7+'Эффекты технологий'!M$9)</f>
        <v>0</v>
      </c>
      <c r="O29" s="22">
        <f>SUMIF('Ход 2030'!$G$29:$G$38,$A29,'Ход 2030'!$I$29:$I$38)*(1+'Эффекты технологий'!N$7+'Эффекты технологий'!N$9)</f>
        <v>0</v>
      </c>
      <c r="P29" s="22">
        <f>SUMIF('Ход 2031'!$G$29:$G$38,$A29,'Ход 2031'!$I$29:$I$38)*(1+'Эффекты технологий'!O$7+'Эффекты технологий'!O$9)</f>
        <v>0</v>
      </c>
      <c r="Q29" s="22">
        <f>SUMIF('Ход 2032'!$G$29:$G$38,$A29,'Ход 2032'!$I$29:$I$38)*(1+'Эффекты технологий'!P$7+'Эффекты технологий'!P$9)</f>
        <v>0</v>
      </c>
      <c r="R29" s="22">
        <f>SUMIF('Ход 2033'!$G$29:$G$38,$A29,'Ход 2033'!$I$29:$I$38)*(1+'Эффекты технологий'!Q$7+'Эффекты технологий'!Q$9)</f>
        <v>0</v>
      </c>
      <c r="S29" s="22">
        <f>SUMIF('Ход 2034'!$G$29:$G$38,$A29,'Ход 2034'!$I$29:$I$38)*(1+'Эффекты технологий'!R$7+'Эффекты технологий'!R$9)</f>
        <v>0</v>
      </c>
      <c r="T29" s="22">
        <f>SUMIF('Ход 2035'!$G$29:$G$38,$A29,'Ход 2035'!$I$29:$I$38)*(1+'Эффекты технологий'!S$7+'Эффекты технологий'!S$9)</f>
        <v>0</v>
      </c>
      <c r="U29" s="22">
        <f>SUMIF('Ход 2036'!$G$29:$G$38,$A29,'Ход 2036'!$I$29:$I$38)*(1+'Эффекты технологий'!T$7+'Эффекты технологий'!T$9)</f>
        <v>0</v>
      </c>
      <c r="V29" s="22">
        <f>SUMIF('Ход 2037'!$G$29:$G$38,$A29,'Ход 2037'!$I$29:$I$38)*(1+'Эффекты технологий'!U$7+'Эффекты технологий'!U$9)</f>
        <v>0</v>
      </c>
      <c r="W29" s="22">
        <f>SUMIF('Ход 2038'!$G$29:$G$38,$A29,'Ход 2038'!$I$29:$I$38)*(1+'Эффекты технологий'!V$7+'Эффекты технологий'!V$9)</f>
        <v>0</v>
      </c>
      <c r="X29" s="22">
        <f>SUMIF('Ход 2039'!$G$29:$G$38,$A29,'Ход 2039'!$I$29:$I$38)*(1+'Эффекты технологий'!W$7+'Эффекты технологий'!W$9)</f>
        <v>0</v>
      </c>
      <c r="Y29" s="22">
        <f>SUMIF('Ход 2040'!$G$29:$G$38,$A29,'Ход 2040'!$I$29:$I$38)*(1+'Эффекты технологий'!X$7+'Эффекты технологий'!X$9)</f>
        <v>0</v>
      </c>
      <c r="Z29" s="27">
        <f t="shared" si="3"/>
        <v>0</v>
      </c>
      <c r="AA29" s="27">
        <f t="shared" si="4"/>
        <v>20</v>
      </c>
      <c r="AB29" s="12" t="str">
        <f t="shared" si="5"/>
        <v>ОТКРЫТО</v>
      </c>
      <c r="AC29" s="28">
        <f t="shared" ref="AC29:AQ29" si="42">SUM($K29:K29)</f>
        <v>0</v>
      </c>
      <c r="AD29" s="28">
        <f t="shared" si="42"/>
        <v>0</v>
      </c>
      <c r="AE29" s="28">
        <f t="shared" si="42"/>
        <v>0</v>
      </c>
      <c r="AF29" s="28">
        <f t="shared" si="42"/>
        <v>0</v>
      </c>
      <c r="AG29" s="28">
        <f t="shared" si="42"/>
        <v>0</v>
      </c>
      <c r="AH29" s="28">
        <f t="shared" si="42"/>
        <v>0</v>
      </c>
      <c r="AI29" s="28">
        <f t="shared" si="42"/>
        <v>0</v>
      </c>
      <c r="AJ29" s="28">
        <f t="shared" si="42"/>
        <v>0</v>
      </c>
      <c r="AK29" s="28">
        <f t="shared" si="42"/>
        <v>0</v>
      </c>
      <c r="AL29" s="28">
        <f t="shared" si="42"/>
        <v>0</v>
      </c>
      <c r="AM29" s="28">
        <f t="shared" si="42"/>
        <v>0</v>
      </c>
      <c r="AN29" s="28">
        <f t="shared" si="42"/>
        <v>0</v>
      </c>
      <c r="AO29" s="28">
        <f t="shared" si="42"/>
        <v>0</v>
      </c>
      <c r="AP29" s="28">
        <f t="shared" si="42"/>
        <v>0</v>
      </c>
      <c r="AQ29" s="28">
        <f t="shared" si="42"/>
        <v>0</v>
      </c>
      <c r="AR29" s="28" t="str">
        <f t="shared" ref="AR29:BF29" si="43">IF(AND(AC29&gt;=$E29,TRUE),"ИЗУЧЕНО",IF(TRUE,"ОТКРЫТО","ЗАКРЫТО"))</f>
        <v>ОТКРЫТО</v>
      </c>
      <c r="AS29" s="28" t="str">
        <f t="shared" si="43"/>
        <v>ОТКРЫТО</v>
      </c>
      <c r="AT29" s="28" t="str">
        <f t="shared" si="43"/>
        <v>ОТКРЫТО</v>
      </c>
      <c r="AU29" s="28" t="str">
        <f t="shared" si="43"/>
        <v>ОТКРЫТО</v>
      </c>
      <c r="AV29" s="28" t="str">
        <f t="shared" si="43"/>
        <v>ОТКРЫТО</v>
      </c>
      <c r="AW29" s="28" t="str">
        <f t="shared" si="43"/>
        <v>ОТКРЫТО</v>
      </c>
      <c r="AX29" s="28" t="str">
        <f t="shared" si="43"/>
        <v>ОТКРЫТО</v>
      </c>
      <c r="AY29" s="28" t="str">
        <f t="shared" si="43"/>
        <v>ОТКРЫТО</v>
      </c>
      <c r="AZ29" s="28" t="str">
        <f t="shared" si="43"/>
        <v>ОТКРЫТО</v>
      </c>
      <c r="BA29" s="28" t="str">
        <f t="shared" si="43"/>
        <v>ОТКРЫТО</v>
      </c>
      <c r="BB29" s="28" t="str">
        <f t="shared" si="43"/>
        <v>ОТКРЫТО</v>
      </c>
      <c r="BC29" s="28" t="str">
        <f t="shared" si="43"/>
        <v>ОТКРЫТО</v>
      </c>
      <c r="BD29" s="28" t="str">
        <f t="shared" si="43"/>
        <v>ОТКРЫТО</v>
      </c>
      <c r="BE29" s="28" t="str">
        <f t="shared" si="43"/>
        <v>ОТКРЫТО</v>
      </c>
      <c r="BF29" s="28" t="str">
        <f t="shared" si="43"/>
        <v>ОТКРЫТО</v>
      </c>
      <c r="BG29" s="28" t="str">
        <f t="shared" si="8"/>
        <v/>
      </c>
      <c r="BH29" s="28" t="str">
        <f t="shared" si="9"/>
        <v/>
      </c>
    </row>
    <row r="30" ht="13.5" customHeight="1">
      <c r="A30" s="12" t="s">
        <v>301</v>
      </c>
      <c r="B30" s="12" t="s">
        <v>296</v>
      </c>
      <c r="C30" s="12" t="s">
        <v>145</v>
      </c>
      <c r="D30" s="12" t="s">
        <v>302</v>
      </c>
      <c r="E30" s="12">
        <v>35.0</v>
      </c>
      <c r="F30" s="12" t="s">
        <v>295</v>
      </c>
      <c r="G30" s="12"/>
      <c r="H30" s="12"/>
      <c r="I30" s="12" t="s">
        <v>303</v>
      </c>
      <c r="J30" s="12" t="s">
        <v>304</v>
      </c>
      <c r="K30" s="22">
        <f>SUMIF('Ход 2026'!$G$29:$G$38,$A30,'Ход 2026'!$I$29:$I$38)*(1+'Эффекты технологий'!J$7+'Эффекты технологий'!J$9)</f>
        <v>0</v>
      </c>
      <c r="L30" s="22">
        <f>SUMIF('Ход 2027'!$G$29:$G$38,$A30,'Ход 2027'!$I$29:$I$38)*(1+'Эффекты технологий'!K$7+'Эффекты технологий'!K$9)</f>
        <v>0</v>
      </c>
      <c r="M30" s="22">
        <f>SUMIF('Ход 2028'!$G$29:$G$38,$A30,'Ход 2028'!$I$29:$I$38)*(1+'Эффекты технологий'!L$7+'Эффекты технологий'!L$9)</f>
        <v>0</v>
      </c>
      <c r="N30" s="22">
        <f>SUMIF('Ход 2029'!$G$29:$G$38,$A30,'Ход 2029'!$I$29:$I$38)*(1+'Эффекты технологий'!M$7+'Эффекты технологий'!M$9)</f>
        <v>0</v>
      </c>
      <c r="O30" s="22">
        <f>SUMIF('Ход 2030'!$G$29:$G$38,$A30,'Ход 2030'!$I$29:$I$38)*(1+'Эффекты технологий'!N$7+'Эффекты технологий'!N$9)</f>
        <v>0</v>
      </c>
      <c r="P30" s="22">
        <f>SUMIF('Ход 2031'!$G$29:$G$38,$A30,'Ход 2031'!$I$29:$I$38)*(1+'Эффекты технологий'!O$7+'Эффекты технологий'!O$9)</f>
        <v>0</v>
      </c>
      <c r="Q30" s="22">
        <f>SUMIF('Ход 2032'!$G$29:$G$38,$A30,'Ход 2032'!$I$29:$I$38)*(1+'Эффекты технологий'!P$7+'Эффекты технологий'!P$9)</f>
        <v>0</v>
      </c>
      <c r="R30" s="22">
        <f>SUMIF('Ход 2033'!$G$29:$G$38,$A30,'Ход 2033'!$I$29:$I$38)*(1+'Эффекты технологий'!Q$7+'Эффекты технологий'!Q$9)</f>
        <v>0</v>
      </c>
      <c r="S30" s="22">
        <f>SUMIF('Ход 2034'!$G$29:$G$38,$A30,'Ход 2034'!$I$29:$I$38)*(1+'Эффекты технологий'!R$7+'Эффекты технологий'!R$9)</f>
        <v>0</v>
      </c>
      <c r="T30" s="22">
        <f>SUMIF('Ход 2035'!$G$29:$G$38,$A30,'Ход 2035'!$I$29:$I$38)*(1+'Эффекты технологий'!S$7+'Эффекты технологий'!S$9)</f>
        <v>0</v>
      </c>
      <c r="U30" s="22">
        <f>SUMIF('Ход 2036'!$G$29:$G$38,$A30,'Ход 2036'!$I$29:$I$38)*(1+'Эффекты технологий'!T$7+'Эффекты технологий'!T$9)</f>
        <v>0</v>
      </c>
      <c r="V30" s="22">
        <f>SUMIF('Ход 2037'!$G$29:$G$38,$A30,'Ход 2037'!$I$29:$I$38)*(1+'Эффекты технологий'!U$7+'Эффекты технологий'!U$9)</f>
        <v>0</v>
      </c>
      <c r="W30" s="22">
        <f>SUMIF('Ход 2038'!$G$29:$G$38,$A30,'Ход 2038'!$I$29:$I$38)*(1+'Эффекты технологий'!V$7+'Эффекты технологий'!V$9)</f>
        <v>0</v>
      </c>
      <c r="X30" s="22">
        <f>SUMIF('Ход 2039'!$G$29:$G$38,$A30,'Ход 2039'!$I$29:$I$38)*(1+'Эффекты технологий'!W$7+'Эффекты технологий'!W$9)</f>
        <v>0</v>
      </c>
      <c r="Y30" s="22">
        <f>SUMIF('Ход 2040'!$G$29:$G$38,$A30,'Ход 2040'!$I$29:$I$38)*(1+'Эффекты технологий'!X$7+'Эффекты технологий'!X$9)</f>
        <v>0</v>
      </c>
      <c r="Z30" s="27">
        <f t="shared" si="3"/>
        <v>0</v>
      </c>
      <c r="AA30" s="27">
        <f t="shared" si="4"/>
        <v>35</v>
      </c>
      <c r="AB30" s="12" t="str">
        <f t="shared" si="5"/>
        <v>ОТКРЫТО</v>
      </c>
      <c r="AC30" s="28">
        <f t="shared" ref="AC30:AQ30" si="44">SUM($K30:K30)</f>
        <v>0</v>
      </c>
      <c r="AD30" s="28">
        <f t="shared" si="44"/>
        <v>0</v>
      </c>
      <c r="AE30" s="28">
        <f t="shared" si="44"/>
        <v>0</v>
      </c>
      <c r="AF30" s="28">
        <f t="shared" si="44"/>
        <v>0</v>
      </c>
      <c r="AG30" s="28">
        <f t="shared" si="44"/>
        <v>0</v>
      </c>
      <c r="AH30" s="28">
        <f t="shared" si="44"/>
        <v>0</v>
      </c>
      <c r="AI30" s="28">
        <f t="shared" si="44"/>
        <v>0</v>
      </c>
      <c r="AJ30" s="28">
        <f t="shared" si="44"/>
        <v>0</v>
      </c>
      <c r="AK30" s="28">
        <f t="shared" si="44"/>
        <v>0</v>
      </c>
      <c r="AL30" s="28">
        <f t="shared" si="44"/>
        <v>0</v>
      </c>
      <c r="AM30" s="28">
        <f t="shared" si="44"/>
        <v>0</v>
      </c>
      <c r="AN30" s="28">
        <f t="shared" si="44"/>
        <v>0</v>
      </c>
      <c r="AO30" s="28">
        <f t="shared" si="44"/>
        <v>0</v>
      </c>
      <c r="AP30" s="28">
        <f t="shared" si="44"/>
        <v>0</v>
      </c>
      <c r="AQ30" s="28">
        <f t="shared" si="44"/>
        <v>0</v>
      </c>
      <c r="AR30" s="28" t="str">
        <f t="shared" ref="AR30:BF30" si="45">IF(AND(AC30&gt;=$E30,TRUE),"ИЗУЧЕНО",IF(TRUE,"ОТКРЫТО","ЗАКРЫТО"))</f>
        <v>ОТКРЫТО</v>
      </c>
      <c r="AS30" s="28" t="str">
        <f t="shared" si="45"/>
        <v>ОТКРЫТО</v>
      </c>
      <c r="AT30" s="28" t="str">
        <f t="shared" si="45"/>
        <v>ОТКРЫТО</v>
      </c>
      <c r="AU30" s="28" t="str">
        <f t="shared" si="45"/>
        <v>ОТКРЫТО</v>
      </c>
      <c r="AV30" s="28" t="str">
        <f t="shared" si="45"/>
        <v>ОТКРЫТО</v>
      </c>
      <c r="AW30" s="28" t="str">
        <f t="shared" si="45"/>
        <v>ОТКРЫТО</v>
      </c>
      <c r="AX30" s="28" t="str">
        <f t="shared" si="45"/>
        <v>ОТКРЫТО</v>
      </c>
      <c r="AY30" s="28" t="str">
        <f t="shared" si="45"/>
        <v>ОТКРЫТО</v>
      </c>
      <c r="AZ30" s="28" t="str">
        <f t="shared" si="45"/>
        <v>ОТКРЫТО</v>
      </c>
      <c r="BA30" s="28" t="str">
        <f t="shared" si="45"/>
        <v>ОТКРЫТО</v>
      </c>
      <c r="BB30" s="28" t="str">
        <f t="shared" si="45"/>
        <v>ОТКРЫТО</v>
      </c>
      <c r="BC30" s="28" t="str">
        <f t="shared" si="45"/>
        <v>ОТКРЫТО</v>
      </c>
      <c r="BD30" s="28" t="str">
        <f t="shared" si="45"/>
        <v>ОТКРЫТО</v>
      </c>
      <c r="BE30" s="28" t="str">
        <f t="shared" si="45"/>
        <v>ОТКРЫТО</v>
      </c>
      <c r="BF30" s="28" t="str">
        <f t="shared" si="45"/>
        <v>ОТКРЫТО</v>
      </c>
      <c r="BG30" s="28" t="str">
        <f t="shared" si="8"/>
        <v/>
      </c>
      <c r="BH30" s="28" t="str">
        <f t="shared" si="9"/>
        <v/>
      </c>
    </row>
    <row r="31" ht="13.5" customHeight="1">
      <c r="A31" s="12" t="s">
        <v>305</v>
      </c>
      <c r="B31" s="12" t="s">
        <v>296</v>
      </c>
      <c r="C31" s="12" t="s">
        <v>194</v>
      </c>
      <c r="D31" s="12" t="s">
        <v>306</v>
      </c>
      <c r="E31" s="12">
        <v>55.0</v>
      </c>
      <c r="F31" s="12" t="s">
        <v>301</v>
      </c>
      <c r="G31" s="12"/>
      <c r="H31" s="12"/>
      <c r="I31" s="12" t="s">
        <v>307</v>
      </c>
      <c r="J31" s="12" t="s">
        <v>308</v>
      </c>
      <c r="K31" s="22">
        <f>SUMIF('Ход 2026'!$G$29:$G$38,$A31,'Ход 2026'!$I$29:$I$38)*(1+'Эффекты технологий'!J$7+'Эффекты технологий'!J$9)</f>
        <v>0</v>
      </c>
      <c r="L31" s="22">
        <f>SUMIF('Ход 2027'!$G$29:$G$38,$A31,'Ход 2027'!$I$29:$I$38)*(1+'Эффекты технологий'!K$7+'Эффекты технологий'!K$9)</f>
        <v>0</v>
      </c>
      <c r="M31" s="22">
        <f>SUMIF('Ход 2028'!$G$29:$G$38,$A31,'Ход 2028'!$I$29:$I$38)*(1+'Эффекты технологий'!L$7+'Эффекты технологий'!L$9)</f>
        <v>0</v>
      </c>
      <c r="N31" s="22">
        <f>SUMIF('Ход 2029'!$G$29:$G$38,$A31,'Ход 2029'!$I$29:$I$38)*(1+'Эффекты технологий'!M$7+'Эффекты технологий'!M$9)</f>
        <v>0</v>
      </c>
      <c r="O31" s="22">
        <f>SUMIF('Ход 2030'!$G$29:$G$38,$A31,'Ход 2030'!$I$29:$I$38)*(1+'Эффекты технологий'!N$7+'Эффекты технологий'!N$9)</f>
        <v>0</v>
      </c>
      <c r="P31" s="22">
        <f>SUMIF('Ход 2031'!$G$29:$G$38,$A31,'Ход 2031'!$I$29:$I$38)*(1+'Эффекты технологий'!O$7+'Эффекты технологий'!O$9)</f>
        <v>0</v>
      </c>
      <c r="Q31" s="22">
        <f>SUMIF('Ход 2032'!$G$29:$G$38,$A31,'Ход 2032'!$I$29:$I$38)*(1+'Эффекты технологий'!P$7+'Эффекты технологий'!P$9)</f>
        <v>0</v>
      </c>
      <c r="R31" s="22">
        <f>SUMIF('Ход 2033'!$G$29:$G$38,$A31,'Ход 2033'!$I$29:$I$38)*(1+'Эффекты технологий'!Q$7+'Эффекты технологий'!Q$9)</f>
        <v>0</v>
      </c>
      <c r="S31" s="22">
        <f>SUMIF('Ход 2034'!$G$29:$G$38,$A31,'Ход 2034'!$I$29:$I$38)*(1+'Эффекты технологий'!R$7+'Эффекты технологий'!R$9)</f>
        <v>0</v>
      </c>
      <c r="T31" s="22">
        <f>SUMIF('Ход 2035'!$G$29:$G$38,$A31,'Ход 2035'!$I$29:$I$38)*(1+'Эффекты технологий'!S$7+'Эффекты технологий'!S$9)</f>
        <v>0</v>
      </c>
      <c r="U31" s="22">
        <f>SUMIF('Ход 2036'!$G$29:$G$38,$A31,'Ход 2036'!$I$29:$I$38)*(1+'Эффекты технологий'!T$7+'Эффекты технологий'!T$9)</f>
        <v>0</v>
      </c>
      <c r="V31" s="22">
        <f>SUMIF('Ход 2037'!$G$29:$G$38,$A31,'Ход 2037'!$I$29:$I$38)*(1+'Эффекты технологий'!U$7+'Эффекты технологий'!U$9)</f>
        <v>0</v>
      </c>
      <c r="W31" s="22">
        <f>SUMIF('Ход 2038'!$G$29:$G$38,$A31,'Ход 2038'!$I$29:$I$38)*(1+'Эффекты технологий'!V$7+'Эффекты технологий'!V$9)</f>
        <v>0</v>
      </c>
      <c r="X31" s="22">
        <f>SUMIF('Ход 2039'!$G$29:$G$38,$A31,'Ход 2039'!$I$29:$I$38)*(1+'Эффекты технологий'!W$7+'Эффекты технологий'!W$9)</f>
        <v>0</v>
      </c>
      <c r="Y31" s="22">
        <f>SUMIF('Ход 2040'!$G$29:$G$38,$A31,'Ход 2040'!$I$29:$I$38)*(1+'Эффекты технологий'!X$7+'Эффекты технологий'!X$9)</f>
        <v>0</v>
      </c>
      <c r="Z31" s="27">
        <f t="shared" si="3"/>
        <v>0</v>
      </c>
      <c r="AA31" s="27">
        <f t="shared" si="4"/>
        <v>55</v>
      </c>
      <c r="AB31" s="12" t="str">
        <f t="shared" si="5"/>
        <v>ОТКРЫТО</v>
      </c>
      <c r="AC31" s="28">
        <f t="shared" ref="AC31:AQ31" si="46">SUM($K31:K31)</f>
        <v>0</v>
      </c>
      <c r="AD31" s="28">
        <f t="shared" si="46"/>
        <v>0</v>
      </c>
      <c r="AE31" s="28">
        <f t="shared" si="46"/>
        <v>0</v>
      </c>
      <c r="AF31" s="28">
        <f t="shared" si="46"/>
        <v>0</v>
      </c>
      <c r="AG31" s="28">
        <f t="shared" si="46"/>
        <v>0</v>
      </c>
      <c r="AH31" s="28">
        <f t="shared" si="46"/>
        <v>0</v>
      </c>
      <c r="AI31" s="28">
        <f t="shared" si="46"/>
        <v>0</v>
      </c>
      <c r="AJ31" s="28">
        <f t="shared" si="46"/>
        <v>0</v>
      </c>
      <c r="AK31" s="28">
        <f t="shared" si="46"/>
        <v>0</v>
      </c>
      <c r="AL31" s="28">
        <f t="shared" si="46"/>
        <v>0</v>
      </c>
      <c r="AM31" s="28">
        <f t="shared" si="46"/>
        <v>0</v>
      </c>
      <c r="AN31" s="28">
        <f t="shared" si="46"/>
        <v>0</v>
      </c>
      <c r="AO31" s="28">
        <f t="shared" si="46"/>
        <v>0</v>
      </c>
      <c r="AP31" s="28">
        <f t="shared" si="46"/>
        <v>0</v>
      </c>
      <c r="AQ31" s="28">
        <f t="shared" si="46"/>
        <v>0</v>
      </c>
      <c r="AR31" s="28" t="str">
        <f t="shared" ref="AR31:BF31" si="47">IF(AND(AC31&gt;=$E31,TRUE),"ИЗУЧЕНО",IF(TRUE,"ОТКРЫТО","ЗАКРЫТО"))</f>
        <v>ОТКРЫТО</v>
      </c>
      <c r="AS31" s="28" t="str">
        <f t="shared" si="47"/>
        <v>ОТКРЫТО</v>
      </c>
      <c r="AT31" s="28" t="str">
        <f t="shared" si="47"/>
        <v>ОТКРЫТО</v>
      </c>
      <c r="AU31" s="28" t="str">
        <f t="shared" si="47"/>
        <v>ОТКРЫТО</v>
      </c>
      <c r="AV31" s="28" t="str">
        <f t="shared" si="47"/>
        <v>ОТКРЫТО</v>
      </c>
      <c r="AW31" s="28" t="str">
        <f t="shared" si="47"/>
        <v>ОТКРЫТО</v>
      </c>
      <c r="AX31" s="28" t="str">
        <f t="shared" si="47"/>
        <v>ОТКРЫТО</v>
      </c>
      <c r="AY31" s="28" t="str">
        <f t="shared" si="47"/>
        <v>ОТКРЫТО</v>
      </c>
      <c r="AZ31" s="28" t="str">
        <f t="shared" si="47"/>
        <v>ОТКРЫТО</v>
      </c>
      <c r="BA31" s="28" t="str">
        <f t="shared" si="47"/>
        <v>ОТКРЫТО</v>
      </c>
      <c r="BB31" s="28" t="str">
        <f t="shared" si="47"/>
        <v>ОТКРЫТО</v>
      </c>
      <c r="BC31" s="28" t="str">
        <f t="shared" si="47"/>
        <v>ОТКРЫТО</v>
      </c>
      <c r="BD31" s="28" t="str">
        <f t="shared" si="47"/>
        <v>ОТКРЫТО</v>
      </c>
      <c r="BE31" s="28" t="str">
        <f t="shared" si="47"/>
        <v>ОТКРЫТО</v>
      </c>
      <c r="BF31" s="28" t="str">
        <f t="shared" si="47"/>
        <v>ОТКРЫТО</v>
      </c>
      <c r="BG31" s="28" t="str">
        <f t="shared" si="8"/>
        <v/>
      </c>
      <c r="BH31" s="28" t="str">
        <f t="shared" si="9"/>
        <v/>
      </c>
    </row>
    <row r="32" ht="13.5" customHeight="1">
      <c r="A32" s="12" t="s">
        <v>309</v>
      </c>
      <c r="B32" s="12" t="s">
        <v>296</v>
      </c>
      <c r="C32" s="12" t="s">
        <v>194</v>
      </c>
      <c r="D32" s="12" t="s">
        <v>310</v>
      </c>
      <c r="E32" s="12">
        <v>70.0</v>
      </c>
      <c r="F32" s="12" t="s">
        <v>305</v>
      </c>
      <c r="G32" s="12"/>
      <c r="H32" s="12"/>
      <c r="I32" s="12" t="s">
        <v>311</v>
      </c>
      <c r="J32" s="12" t="s">
        <v>312</v>
      </c>
      <c r="K32" s="22">
        <f>SUMIF('Ход 2026'!$G$29:$G$38,$A32,'Ход 2026'!$I$29:$I$38)*(1+'Эффекты технологий'!J$7+'Эффекты технологий'!J$9)</f>
        <v>0</v>
      </c>
      <c r="L32" s="22">
        <f>SUMIF('Ход 2027'!$G$29:$G$38,$A32,'Ход 2027'!$I$29:$I$38)*(1+'Эффекты технологий'!K$7+'Эффекты технологий'!K$9)</f>
        <v>0</v>
      </c>
      <c r="M32" s="22">
        <f>SUMIF('Ход 2028'!$G$29:$G$38,$A32,'Ход 2028'!$I$29:$I$38)*(1+'Эффекты технологий'!L$7+'Эффекты технологий'!L$9)</f>
        <v>0</v>
      </c>
      <c r="N32" s="22">
        <f>SUMIF('Ход 2029'!$G$29:$G$38,$A32,'Ход 2029'!$I$29:$I$38)*(1+'Эффекты технологий'!M$7+'Эффекты технологий'!M$9)</f>
        <v>0</v>
      </c>
      <c r="O32" s="22">
        <f>SUMIF('Ход 2030'!$G$29:$G$38,$A32,'Ход 2030'!$I$29:$I$38)*(1+'Эффекты технологий'!N$7+'Эффекты технологий'!N$9)</f>
        <v>0</v>
      </c>
      <c r="P32" s="22">
        <f>SUMIF('Ход 2031'!$G$29:$G$38,$A32,'Ход 2031'!$I$29:$I$38)*(1+'Эффекты технологий'!O$7+'Эффекты технологий'!O$9)</f>
        <v>0</v>
      </c>
      <c r="Q32" s="22">
        <f>SUMIF('Ход 2032'!$G$29:$G$38,$A32,'Ход 2032'!$I$29:$I$38)*(1+'Эффекты технологий'!P$7+'Эффекты технологий'!P$9)</f>
        <v>0</v>
      </c>
      <c r="R32" s="22">
        <f>SUMIF('Ход 2033'!$G$29:$G$38,$A32,'Ход 2033'!$I$29:$I$38)*(1+'Эффекты технологий'!Q$7+'Эффекты технологий'!Q$9)</f>
        <v>0</v>
      </c>
      <c r="S32" s="22">
        <f>SUMIF('Ход 2034'!$G$29:$G$38,$A32,'Ход 2034'!$I$29:$I$38)*(1+'Эффекты технологий'!R$7+'Эффекты технологий'!R$9)</f>
        <v>0</v>
      </c>
      <c r="T32" s="22">
        <f>SUMIF('Ход 2035'!$G$29:$G$38,$A32,'Ход 2035'!$I$29:$I$38)*(1+'Эффекты технологий'!S$7+'Эффекты технологий'!S$9)</f>
        <v>0</v>
      </c>
      <c r="U32" s="22">
        <f>SUMIF('Ход 2036'!$G$29:$G$38,$A32,'Ход 2036'!$I$29:$I$38)*(1+'Эффекты технологий'!T$7+'Эффекты технологий'!T$9)</f>
        <v>0</v>
      </c>
      <c r="V32" s="22">
        <f>SUMIF('Ход 2037'!$G$29:$G$38,$A32,'Ход 2037'!$I$29:$I$38)*(1+'Эффекты технологий'!U$7+'Эффекты технологий'!U$9)</f>
        <v>0</v>
      </c>
      <c r="W32" s="22">
        <f>SUMIF('Ход 2038'!$G$29:$G$38,$A32,'Ход 2038'!$I$29:$I$38)*(1+'Эффекты технологий'!V$7+'Эффекты технологий'!V$9)</f>
        <v>0</v>
      </c>
      <c r="X32" s="22">
        <f>SUMIF('Ход 2039'!$G$29:$G$38,$A32,'Ход 2039'!$I$29:$I$38)*(1+'Эффекты технологий'!W$7+'Эффекты технологий'!W$9)</f>
        <v>0</v>
      </c>
      <c r="Y32" s="22">
        <f>SUMIF('Ход 2040'!$G$29:$G$38,$A32,'Ход 2040'!$I$29:$I$38)*(1+'Эффекты технологий'!X$7+'Эффекты технологий'!X$9)</f>
        <v>0</v>
      </c>
      <c r="Z32" s="27">
        <f t="shared" si="3"/>
        <v>0</v>
      </c>
      <c r="AA32" s="27">
        <f t="shared" si="4"/>
        <v>70</v>
      </c>
      <c r="AB32" s="12" t="str">
        <f t="shared" si="5"/>
        <v>ОТКРЫТО</v>
      </c>
      <c r="AC32" s="28">
        <f t="shared" ref="AC32:AQ32" si="48">SUM($K32:K32)</f>
        <v>0</v>
      </c>
      <c r="AD32" s="28">
        <f t="shared" si="48"/>
        <v>0</v>
      </c>
      <c r="AE32" s="28">
        <f t="shared" si="48"/>
        <v>0</v>
      </c>
      <c r="AF32" s="28">
        <f t="shared" si="48"/>
        <v>0</v>
      </c>
      <c r="AG32" s="28">
        <f t="shared" si="48"/>
        <v>0</v>
      </c>
      <c r="AH32" s="28">
        <f t="shared" si="48"/>
        <v>0</v>
      </c>
      <c r="AI32" s="28">
        <f t="shared" si="48"/>
        <v>0</v>
      </c>
      <c r="AJ32" s="28">
        <f t="shared" si="48"/>
        <v>0</v>
      </c>
      <c r="AK32" s="28">
        <f t="shared" si="48"/>
        <v>0</v>
      </c>
      <c r="AL32" s="28">
        <f t="shared" si="48"/>
        <v>0</v>
      </c>
      <c r="AM32" s="28">
        <f t="shared" si="48"/>
        <v>0</v>
      </c>
      <c r="AN32" s="28">
        <f t="shared" si="48"/>
        <v>0</v>
      </c>
      <c r="AO32" s="28">
        <f t="shared" si="48"/>
        <v>0</v>
      </c>
      <c r="AP32" s="28">
        <f t="shared" si="48"/>
        <v>0</v>
      </c>
      <c r="AQ32" s="28">
        <f t="shared" si="48"/>
        <v>0</v>
      </c>
      <c r="AR32" s="28" t="str">
        <f t="shared" ref="AR32:BF32" si="49">IF(AND(AC32&gt;=$E32,TRUE),"ИЗУЧЕНО",IF(TRUE,"ОТКРЫТО","ЗАКРЫТО"))</f>
        <v>ОТКРЫТО</v>
      </c>
      <c r="AS32" s="28" t="str">
        <f t="shared" si="49"/>
        <v>ОТКРЫТО</v>
      </c>
      <c r="AT32" s="28" t="str">
        <f t="shared" si="49"/>
        <v>ОТКРЫТО</v>
      </c>
      <c r="AU32" s="28" t="str">
        <f t="shared" si="49"/>
        <v>ОТКРЫТО</v>
      </c>
      <c r="AV32" s="28" t="str">
        <f t="shared" si="49"/>
        <v>ОТКРЫТО</v>
      </c>
      <c r="AW32" s="28" t="str">
        <f t="shared" si="49"/>
        <v>ОТКРЫТО</v>
      </c>
      <c r="AX32" s="28" t="str">
        <f t="shared" si="49"/>
        <v>ОТКРЫТО</v>
      </c>
      <c r="AY32" s="28" t="str">
        <f t="shared" si="49"/>
        <v>ОТКРЫТО</v>
      </c>
      <c r="AZ32" s="28" t="str">
        <f t="shared" si="49"/>
        <v>ОТКРЫТО</v>
      </c>
      <c r="BA32" s="28" t="str">
        <f t="shared" si="49"/>
        <v>ОТКРЫТО</v>
      </c>
      <c r="BB32" s="28" t="str">
        <f t="shared" si="49"/>
        <v>ОТКРЫТО</v>
      </c>
      <c r="BC32" s="28" t="str">
        <f t="shared" si="49"/>
        <v>ОТКРЫТО</v>
      </c>
      <c r="BD32" s="28" t="str">
        <f t="shared" si="49"/>
        <v>ОТКРЫТО</v>
      </c>
      <c r="BE32" s="28" t="str">
        <f t="shared" si="49"/>
        <v>ОТКРЫТО</v>
      </c>
      <c r="BF32" s="28" t="str">
        <f t="shared" si="49"/>
        <v>ОТКРЫТО</v>
      </c>
      <c r="BG32" s="28" t="str">
        <f t="shared" si="8"/>
        <v/>
      </c>
      <c r="BH32" s="28" t="str">
        <f t="shared" si="9"/>
        <v/>
      </c>
    </row>
    <row r="33" ht="13.5" customHeight="1">
      <c r="A33" s="12" t="s">
        <v>313</v>
      </c>
      <c r="B33" s="12" t="s">
        <v>296</v>
      </c>
      <c r="C33" s="12" t="s">
        <v>220</v>
      </c>
      <c r="D33" s="12" t="s">
        <v>314</v>
      </c>
      <c r="E33" s="12">
        <v>105.0</v>
      </c>
      <c r="F33" s="12" t="s">
        <v>309</v>
      </c>
      <c r="G33" s="12"/>
      <c r="H33" s="12"/>
      <c r="I33" s="12" t="s">
        <v>315</v>
      </c>
      <c r="J33" s="12" t="s">
        <v>316</v>
      </c>
      <c r="K33" s="22">
        <f>SUMIF('Ход 2026'!$G$29:$G$38,$A33,'Ход 2026'!$I$29:$I$38)*(1+'Эффекты технологий'!J$7+'Эффекты технологий'!J$9)</f>
        <v>0</v>
      </c>
      <c r="L33" s="22">
        <f>SUMIF('Ход 2027'!$G$29:$G$38,$A33,'Ход 2027'!$I$29:$I$38)*(1+'Эффекты технологий'!K$7+'Эффекты технологий'!K$9)</f>
        <v>0</v>
      </c>
      <c r="M33" s="22">
        <f>SUMIF('Ход 2028'!$G$29:$G$38,$A33,'Ход 2028'!$I$29:$I$38)*(1+'Эффекты технологий'!L$7+'Эффекты технологий'!L$9)</f>
        <v>0</v>
      </c>
      <c r="N33" s="22">
        <f>SUMIF('Ход 2029'!$G$29:$G$38,$A33,'Ход 2029'!$I$29:$I$38)*(1+'Эффекты технологий'!M$7+'Эффекты технологий'!M$9)</f>
        <v>0</v>
      </c>
      <c r="O33" s="22">
        <f>SUMIF('Ход 2030'!$G$29:$G$38,$A33,'Ход 2030'!$I$29:$I$38)*(1+'Эффекты технологий'!N$7+'Эффекты технологий'!N$9)</f>
        <v>0</v>
      </c>
      <c r="P33" s="22">
        <f>SUMIF('Ход 2031'!$G$29:$G$38,$A33,'Ход 2031'!$I$29:$I$38)*(1+'Эффекты технологий'!O$7+'Эффекты технологий'!O$9)</f>
        <v>0</v>
      </c>
      <c r="Q33" s="22">
        <f>SUMIF('Ход 2032'!$G$29:$G$38,$A33,'Ход 2032'!$I$29:$I$38)*(1+'Эффекты технологий'!P$7+'Эффекты технологий'!P$9)</f>
        <v>0</v>
      </c>
      <c r="R33" s="22">
        <f>SUMIF('Ход 2033'!$G$29:$G$38,$A33,'Ход 2033'!$I$29:$I$38)*(1+'Эффекты технологий'!Q$7+'Эффекты технологий'!Q$9)</f>
        <v>0</v>
      </c>
      <c r="S33" s="22">
        <f>SUMIF('Ход 2034'!$G$29:$G$38,$A33,'Ход 2034'!$I$29:$I$38)*(1+'Эффекты технологий'!R$7+'Эффекты технологий'!R$9)</f>
        <v>0</v>
      </c>
      <c r="T33" s="22">
        <f>SUMIF('Ход 2035'!$G$29:$G$38,$A33,'Ход 2035'!$I$29:$I$38)*(1+'Эффекты технологий'!S$7+'Эффекты технологий'!S$9)</f>
        <v>0</v>
      </c>
      <c r="U33" s="22">
        <f>SUMIF('Ход 2036'!$G$29:$G$38,$A33,'Ход 2036'!$I$29:$I$38)*(1+'Эффекты технологий'!T$7+'Эффекты технологий'!T$9)</f>
        <v>0</v>
      </c>
      <c r="V33" s="22">
        <f>SUMIF('Ход 2037'!$G$29:$G$38,$A33,'Ход 2037'!$I$29:$I$38)*(1+'Эффекты технологий'!U$7+'Эффекты технологий'!U$9)</f>
        <v>0</v>
      </c>
      <c r="W33" s="22">
        <f>SUMIF('Ход 2038'!$G$29:$G$38,$A33,'Ход 2038'!$I$29:$I$38)*(1+'Эффекты технологий'!V$7+'Эффекты технологий'!V$9)</f>
        <v>0</v>
      </c>
      <c r="X33" s="22">
        <f>SUMIF('Ход 2039'!$G$29:$G$38,$A33,'Ход 2039'!$I$29:$I$38)*(1+'Эффекты технологий'!W$7+'Эффекты технологий'!W$9)</f>
        <v>0</v>
      </c>
      <c r="Y33" s="22">
        <f>SUMIF('Ход 2040'!$G$29:$G$38,$A33,'Ход 2040'!$I$29:$I$38)*(1+'Эффекты технологий'!X$7+'Эффекты технологий'!X$9)</f>
        <v>0</v>
      </c>
      <c r="Z33" s="27">
        <f t="shared" si="3"/>
        <v>0</v>
      </c>
      <c r="AA33" s="27">
        <f t="shared" si="4"/>
        <v>105</v>
      </c>
      <c r="AB33" s="12" t="str">
        <f t="shared" si="5"/>
        <v>ОТКРЫТО</v>
      </c>
      <c r="AC33" s="28">
        <f t="shared" ref="AC33:AQ33" si="50">SUM($K33:K33)</f>
        <v>0</v>
      </c>
      <c r="AD33" s="28">
        <f t="shared" si="50"/>
        <v>0</v>
      </c>
      <c r="AE33" s="28">
        <f t="shared" si="50"/>
        <v>0</v>
      </c>
      <c r="AF33" s="28">
        <f t="shared" si="50"/>
        <v>0</v>
      </c>
      <c r="AG33" s="28">
        <f t="shared" si="50"/>
        <v>0</v>
      </c>
      <c r="AH33" s="28">
        <f t="shared" si="50"/>
        <v>0</v>
      </c>
      <c r="AI33" s="28">
        <f t="shared" si="50"/>
        <v>0</v>
      </c>
      <c r="AJ33" s="28">
        <f t="shared" si="50"/>
        <v>0</v>
      </c>
      <c r="AK33" s="28">
        <f t="shared" si="50"/>
        <v>0</v>
      </c>
      <c r="AL33" s="28">
        <f t="shared" si="50"/>
        <v>0</v>
      </c>
      <c r="AM33" s="28">
        <f t="shared" si="50"/>
        <v>0</v>
      </c>
      <c r="AN33" s="28">
        <f t="shared" si="50"/>
        <v>0</v>
      </c>
      <c r="AO33" s="28">
        <f t="shared" si="50"/>
        <v>0</v>
      </c>
      <c r="AP33" s="28">
        <f t="shared" si="50"/>
        <v>0</v>
      </c>
      <c r="AQ33" s="28">
        <f t="shared" si="50"/>
        <v>0</v>
      </c>
      <c r="AR33" s="28" t="str">
        <f t="shared" ref="AR33:BF33" si="51">IF(AND(AC33&gt;=$E33,TRUE),"ИЗУЧЕНО",IF(TRUE,"ОТКРЫТО","ЗАКРЫТО"))</f>
        <v>ОТКРЫТО</v>
      </c>
      <c r="AS33" s="28" t="str">
        <f t="shared" si="51"/>
        <v>ОТКРЫТО</v>
      </c>
      <c r="AT33" s="28" t="str">
        <f t="shared" si="51"/>
        <v>ОТКРЫТО</v>
      </c>
      <c r="AU33" s="28" t="str">
        <f t="shared" si="51"/>
        <v>ОТКРЫТО</v>
      </c>
      <c r="AV33" s="28" t="str">
        <f t="shared" si="51"/>
        <v>ОТКРЫТО</v>
      </c>
      <c r="AW33" s="28" t="str">
        <f t="shared" si="51"/>
        <v>ОТКРЫТО</v>
      </c>
      <c r="AX33" s="28" t="str">
        <f t="shared" si="51"/>
        <v>ОТКРЫТО</v>
      </c>
      <c r="AY33" s="28" t="str">
        <f t="shared" si="51"/>
        <v>ОТКРЫТО</v>
      </c>
      <c r="AZ33" s="28" t="str">
        <f t="shared" si="51"/>
        <v>ОТКРЫТО</v>
      </c>
      <c r="BA33" s="28" t="str">
        <f t="shared" si="51"/>
        <v>ОТКРЫТО</v>
      </c>
      <c r="BB33" s="28" t="str">
        <f t="shared" si="51"/>
        <v>ОТКРЫТО</v>
      </c>
      <c r="BC33" s="28" t="str">
        <f t="shared" si="51"/>
        <v>ОТКРЫТО</v>
      </c>
      <c r="BD33" s="28" t="str">
        <f t="shared" si="51"/>
        <v>ОТКРЫТО</v>
      </c>
      <c r="BE33" s="28" t="str">
        <f t="shared" si="51"/>
        <v>ОТКРЫТО</v>
      </c>
      <c r="BF33" s="28" t="str">
        <f t="shared" si="51"/>
        <v>ОТКРЫТО</v>
      </c>
      <c r="BG33" s="28" t="str">
        <f t="shared" si="8"/>
        <v/>
      </c>
      <c r="BH33" s="28" t="str">
        <f t="shared" si="9"/>
        <v/>
      </c>
    </row>
    <row r="34" ht="13.5" customHeight="1">
      <c r="A34" s="12" t="s">
        <v>317</v>
      </c>
      <c r="B34" s="12" t="s">
        <v>296</v>
      </c>
      <c r="C34" s="12" t="s">
        <v>230</v>
      </c>
      <c r="D34" s="12" t="s">
        <v>318</v>
      </c>
      <c r="E34" s="12">
        <v>155.0</v>
      </c>
      <c r="F34" s="12" t="s">
        <v>313</v>
      </c>
      <c r="G34" s="12"/>
      <c r="H34" s="12"/>
      <c r="I34" s="12" t="s">
        <v>319</v>
      </c>
      <c r="J34" s="12" t="s">
        <v>320</v>
      </c>
      <c r="K34" s="22">
        <f>SUMIF('Ход 2026'!$G$29:$G$38,$A34,'Ход 2026'!$I$29:$I$38)*(1+'Эффекты технологий'!J$7+'Эффекты технологий'!J$9)</f>
        <v>0</v>
      </c>
      <c r="L34" s="22">
        <f>SUMIF('Ход 2027'!$G$29:$G$38,$A34,'Ход 2027'!$I$29:$I$38)*(1+'Эффекты технологий'!K$7+'Эффекты технологий'!K$9)</f>
        <v>0</v>
      </c>
      <c r="M34" s="22">
        <f>SUMIF('Ход 2028'!$G$29:$G$38,$A34,'Ход 2028'!$I$29:$I$38)*(1+'Эффекты технологий'!L$7+'Эффекты технологий'!L$9)</f>
        <v>0</v>
      </c>
      <c r="N34" s="22">
        <f>SUMIF('Ход 2029'!$G$29:$G$38,$A34,'Ход 2029'!$I$29:$I$38)*(1+'Эффекты технологий'!M$7+'Эффекты технологий'!M$9)</f>
        <v>0</v>
      </c>
      <c r="O34" s="22">
        <f>SUMIF('Ход 2030'!$G$29:$G$38,$A34,'Ход 2030'!$I$29:$I$38)*(1+'Эффекты технологий'!N$7+'Эффекты технологий'!N$9)</f>
        <v>0</v>
      </c>
      <c r="P34" s="22">
        <f>SUMIF('Ход 2031'!$G$29:$G$38,$A34,'Ход 2031'!$I$29:$I$38)*(1+'Эффекты технологий'!O$7+'Эффекты технологий'!O$9)</f>
        <v>0</v>
      </c>
      <c r="Q34" s="22">
        <f>SUMIF('Ход 2032'!$G$29:$G$38,$A34,'Ход 2032'!$I$29:$I$38)*(1+'Эффекты технологий'!P$7+'Эффекты технологий'!P$9)</f>
        <v>0</v>
      </c>
      <c r="R34" s="22">
        <f>SUMIF('Ход 2033'!$G$29:$G$38,$A34,'Ход 2033'!$I$29:$I$38)*(1+'Эффекты технологий'!Q$7+'Эффекты технологий'!Q$9)</f>
        <v>0</v>
      </c>
      <c r="S34" s="22">
        <f>SUMIF('Ход 2034'!$G$29:$G$38,$A34,'Ход 2034'!$I$29:$I$38)*(1+'Эффекты технологий'!R$7+'Эффекты технологий'!R$9)</f>
        <v>0</v>
      </c>
      <c r="T34" s="22">
        <f>SUMIF('Ход 2035'!$G$29:$G$38,$A34,'Ход 2035'!$I$29:$I$38)*(1+'Эффекты технологий'!S$7+'Эффекты технологий'!S$9)</f>
        <v>0</v>
      </c>
      <c r="U34" s="22">
        <f>SUMIF('Ход 2036'!$G$29:$G$38,$A34,'Ход 2036'!$I$29:$I$38)*(1+'Эффекты технологий'!T$7+'Эффекты технологий'!T$9)</f>
        <v>0</v>
      </c>
      <c r="V34" s="22">
        <f>SUMIF('Ход 2037'!$G$29:$G$38,$A34,'Ход 2037'!$I$29:$I$38)*(1+'Эффекты технологий'!U$7+'Эффекты технологий'!U$9)</f>
        <v>0</v>
      </c>
      <c r="W34" s="22">
        <f>SUMIF('Ход 2038'!$G$29:$G$38,$A34,'Ход 2038'!$I$29:$I$38)*(1+'Эффекты технологий'!V$7+'Эффекты технологий'!V$9)</f>
        <v>0</v>
      </c>
      <c r="X34" s="22">
        <f>SUMIF('Ход 2039'!$G$29:$G$38,$A34,'Ход 2039'!$I$29:$I$38)*(1+'Эффекты технологий'!W$7+'Эффекты технологий'!W$9)</f>
        <v>0</v>
      </c>
      <c r="Y34" s="22">
        <f>SUMIF('Ход 2040'!$G$29:$G$38,$A34,'Ход 2040'!$I$29:$I$38)*(1+'Эффекты технологий'!X$7+'Эффекты технологий'!X$9)</f>
        <v>0</v>
      </c>
      <c r="Z34" s="27">
        <f t="shared" si="3"/>
        <v>0</v>
      </c>
      <c r="AA34" s="27">
        <f t="shared" si="4"/>
        <v>155</v>
      </c>
      <c r="AB34" s="12" t="str">
        <f t="shared" si="5"/>
        <v>ОТКРЫТО</v>
      </c>
      <c r="AC34" s="28">
        <f t="shared" ref="AC34:AQ34" si="52">SUM($K34:K34)</f>
        <v>0</v>
      </c>
      <c r="AD34" s="28">
        <f t="shared" si="52"/>
        <v>0</v>
      </c>
      <c r="AE34" s="28">
        <f t="shared" si="52"/>
        <v>0</v>
      </c>
      <c r="AF34" s="28">
        <f t="shared" si="52"/>
        <v>0</v>
      </c>
      <c r="AG34" s="28">
        <f t="shared" si="52"/>
        <v>0</v>
      </c>
      <c r="AH34" s="28">
        <f t="shared" si="52"/>
        <v>0</v>
      </c>
      <c r="AI34" s="28">
        <f t="shared" si="52"/>
        <v>0</v>
      </c>
      <c r="AJ34" s="28">
        <f t="shared" si="52"/>
        <v>0</v>
      </c>
      <c r="AK34" s="28">
        <f t="shared" si="52"/>
        <v>0</v>
      </c>
      <c r="AL34" s="28">
        <f t="shared" si="52"/>
        <v>0</v>
      </c>
      <c r="AM34" s="28">
        <f t="shared" si="52"/>
        <v>0</v>
      </c>
      <c r="AN34" s="28">
        <f t="shared" si="52"/>
        <v>0</v>
      </c>
      <c r="AO34" s="28">
        <f t="shared" si="52"/>
        <v>0</v>
      </c>
      <c r="AP34" s="28">
        <f t="shared" si="52"/>
        <v>0</v>
      </c>
      <c r="AQ34" s="28">
        <f t="shared" si="52"/>
        <v>0</v>
      </c>
      <c r="AR34" s="28" t="str">
        <f t="shared" ref="AR34:BF34" si="53">IF(AND(AC34&gt;=$E34,TRUE),"ИЗУЧЕНО",IF(TRUE,"ОТКРЫТО","ЗАКРЫТО"))</f>
        <v>ОТКРЫТО</v>
      </c>
      <c r="AS34" s="28" t="str">
        <f t="shared" si="53"/>
        <v>ОТКРЫТО</v>
      </c>
      <c r="AT34" s="28" t="str">
        <f t="shared" si="53"/>
        <v>ОТКРЫТО</v>
      </c>
      <c r="AU34" s="28" t="str">
        <f t="shared" si="53"/>
        <v>ОТКРЫТО</v>
      </c>
      <c r="AV34" s="28" t="str">
        <f t="shared" si="53"/>
        <v>ОТКРЫТО</v>
      </c>
      <c r="AW34" s="28" t="str">
        <f t="shared" si="53"/>
        <v>ОТКРЫТО</v>
      </c>
      <c r="AX34" s="28" t="str">
        <f t="shared" si="53"/>
        <v>ОТКРЫТО</v>
      </c>
      <c r="AY34" s="28" t="str">
        <f t="shared" si="53"/>
        <v>ОТКРЫТО</v>
      </c>
      <c r="AZ34" s="28" t="str">
        <f t="shared" si="53"/>
        <v>ОТКРЫТО</v>
      </c>
      <c r="BA34" s="28" t="str">
        <f t="shared" si="53"/>
        <v>ОТКРЫТО</v>
      </c>
      <c r="BB34" s="28" t="str">
        <f t="shared" si="53"/>
        <v>ОТКРЫТО</v>
      </c>
      <c r="BC34" s="28" t="str">
        <f t="shared" si="53"/>
        <v>ОТКРЫТО</v>
      </c>
      <c r="BD34" s="28" t="str">
        <f t="shared" si="53"/>
        <v>ОТКРЫТО</v>
      </c>
      <c r="BE34" s="28" t="str">
        <f t="shared" si="53"/>
        <v>ОТКРЫТО</v>
      </c>
      <c r="BF34" s="28" t="str">
        <f t="shared" si="53"/>
        <v>ОТКРЫТО</v>
      </c>
      <c r="BG34" s="28" t="str">
        <f t="shared" si="8"/>
        <v/>
      </c>
      <c r="BH34" s="28" t="str">
        <f t="shared" si="9"/>
        <v/>
      </c>
    </row>
    <row r="35" ht="13.5" customHeight="1">
      <c r="A35" s="12" t="s">
        <v>321</v>
      </c>
      <c r="B35" s="12" t="s">
        <v>322</v>
      </c>
      <c r="C35" s="12" t="s">
        <v>90</v>
      </c>
      <c r="D35" s="12" t="s">
        <v>323</v>
      </c>
      <c r="E35" s="12">
        <v>20.0</v>
      </c>
      <c r="F35" s="12"/>
      <c r="G35" s="12"/>
      <c r="H35" s="12"/>
      <c r="I35" s="12" t="s">
        <v>324</v>
      </c>
      <c r="J35" s="12" t="s">
        <v>325</v>
      </c>
      <c r="K35" s="22">
        <f>SUMIF('Ход 2026'!$G$29:$G$38,$A35,'Ход 2026'!$I$29:$I$38)*(1+'Эффекты технологий'!J$7)</f>
        <v>0</v>
      </c>
      <c r="L35" s="22">
        <f>SUMIF('Ход 2027'!$G$29:$G$38,$A35,'Ход 2027'!$I$29:$I$38)*(1+'Эффекты технологий'!K$7)</f>
        <v>0</v>
      </c>
      <c r="M35" s="22">
        <f>SUMIF('Ход 2028'!$G$29:$G$38,$A35,'Ход 2028'!$I$29:$I$38)*(1+'Эффекты технологий'!L$7)</f>
        <v>0</v>
      </c>
      <c r="N35" s="22">
        <f>SUMIF('Ход 2029'!$G$29:$G$38,$A35,'Ход 2029'!$I$29:$I$38)*(1+'Эффекты технологий'!M$7)</f>
        <v>0</v>
      </c>
      <c r="O35" s="22">
        <f>SUMIF('Ход 2030'!$G$29:$G$38,$A35,'Ход 2030'!$I$29:$I$38)*(1+'Эффекты технологий'!N$7)</f>
        <v>0</v>
      </c>
      <c r="P35" s="22">
        <f>SUMIF('Ход 2031'!$G$29:$G$38,$A35,'Ход 2031'!$I$29:$I$38)*(1+'Эффекты технологий'!O$7)</f>
        <v>0</v>
      </c>
      <c r="Q35" s="22">
        <f>SUMIF('Ход 2032'!$G$29:$G$38,$A35,'Ход 2032'!$I$29:$I$38)*(1+'Эффекты технологий'!P$7)</f>
        <v>0</v>
      </c>
      <c r="R35" s="22">
        <f>SUMIF('Ход 2033'!$G$29:$G$38,$A35,'Ход 2033'!$I$29:$I$38)*(1+'Эффекты технологий'!Q$7)</f>
        <v>0</v>
      </c>
      <c r="S35" s="22">
        <f>SUMIF('Ход 2034'!$G$29:$G$38,$A35,'Ход 2034'!$I$29:$I$38)*(1+'Эффекты технологий'!R$7)</f>
        <v>0</v>
      </c>
      <c r="T35" s="22">
        <f>SUMIF('Ход 2035'!$G$29:$G$38,$A35,'Ход 2035'!$I$29:$I$38)*(1+'Эффекты технологий'!S$7)</f>
        <v>0</v>
      </c>
      <c r="U35" s="22">
        <f>SUMIF('Ход 2036'!$G$29:$G$38,$A35,'Ход 2036'!$I$29:$I$38)*(1+'Эффекты технологий'!T$7)</f>
        <v>0</v>
      </c>
      <c r="V35" s="22">
        <f>SUMIF('Ход 2037'!$G$29:$G$38,$A35,'Ход 2037'!$I$29:$I$38)*(1+'Эффекты технологий'!U$7)</f>
        <v>0</v>
      </c>
      <c r="W35" s="22">
        <f>SUMIF('Ход 2038'!$G$29:$G$38,$A35,'Ход 2038'!$I$29:$I$38)*(1+'Эффекты технологий'!V$7)</f>
        <v>0</v>
      </c>
      <c r="X35" s="22">
        <f>SUMIF('Ход 2039'!$G$29:$G$38,$A35,'Ход 2039'!$I$29:$I$38)*(1+'Эффекты технологий'!W$7)</f>
        <v>0</v>
      </c>
      <c r="Y35" s="22">
        <f>SUMIF('Ход 2040'!$G$29:$G$38,$A35,'Ход 2040'!$I$29:$I$38)*(1+'Эффекты технологий'!X$7)</f>
        <v>0</v>
      </c>
      <c r="Z35" s="27">
        <f t="shared" si="3"/>
        <v>0</v>
      </c>
      <c r="AA35" s="27">
        <f t="shared" si="4"/>
        <v>20</v>
      </c>
      <c r="AB35" s="12" t="str">
        <f t="shared" si="5"/>
        <v>ОТКРЫТО</v>
      </c>
      <c r="AC35" s="28">
        <f t="shared" ref="AC35:AQ35" si="54">SUM($K35:K35)</f>
        <v>0</v>
      </c>
      <c r="AD35" s="28">
        <f t="shared" si="54"/>
        <v>0</v>
      </c>
      <c r="AE35" s="28">
        <f t="shared" si="54"/>
        <v>0</v>
      </c>
      <c r="AF35" s="28">
        <f t="shared" si="54"/>
        <v>0</v>
      </c>
      <c r="AG35" s="28">
        <f t="shared" si="54"/>
        <v>0</v>
      </c>
      <c r="AH35" s="28">
        <f t="shared" si="54"/>
        <v>0</v>
      </c>
      <c r="AI35" s="28">
        <f t="shared" si="54"/>
        <v>0</v>
      </c>
      <c r="AJ35" s="28">
        <f t="shared" si="54"/>
        <v>0</v>
      </c>
      <c r="AK35" s="28">
        <f t="shared" si="54"/>
        <v>0</v>
      </c>
      <c r="AL35" s="28">
        <f t="shared" si="54"/>
        <v>0</v>
      </c>
      <c r="AM35" s="28">
        <f t="shared" si="54"/>
        <v>0</v>
      </c>
      <c r="AN35" s="28">
        <f t="shared" si="54"/>
        <v>0</v>
      </c>
      <c r="AO35" s="28">
        <f t="shared" si="54"/>
        <v>0</v>
      </c>
      <c r="AP35" s="28">
        <f t="shared" si="54"/>
        <v>0</v>
      </c>
      <c r="AQ35" s="28">
        <f t="shared" si="54"/>
        <v>0</v>
      </c>
      <c r="AR35" s="28" t="str">
        <f t="shared" ref="AR35:BF35" si="55">IF(AND(AC35&gt;=$E35,TRUE),"ИЗУЧЕНО",IF(TRUE,"ОТКРЫТО","ЗАКРЫТО"))</f>
        <v>ОТКРЫТО</v>
      </c>
      <c r="AS35" s="28" t="str">
        <f t="shared" si="55"/>
        <v>ОТКРЫТО</v>
      </c>
      <c r="AT35" s="28" t="str">
        <f t="shared" si="55"/>
        <v>ОТКРЫТО</v>
      </c>
      <c r="AU35" s="28" t="str">
        <f t="shared" si="55"/>
        <v>ОТКРЫТО</v>
      </c>
      <c r="AV35" s="28" t="str">
        <f t="shared" si="55"/>
        <v>ОТКРЫТО</v>
      </c>
      <c r="AW35" s="28" t="str">
        <f t="shared" si="55"/>
        <v>ОТКРЫТО</v>
      </c>
      <c r="AX35" s="28" t="str">
        <f t="shared" si="55"/>
        <v>ОТКРЫТО</v>
      </c>
      <c r="AY35" s="28" t="str">
        <f t="shared" si="55"/>
        <v>ОТКРЫТО</v>
      </c>
      <c r="AZ35" s="28" t="str">
        <f t="shared" si="55"/>
        <v>ОТКРЫТО</v>
      </c>
      <c r="BA35" s="28" t="str">
        <f t="shared" si="55"/>
        <v>ОТКРЫТО</v>
      </c>
      <c r="BB35" s="28" t="str">
        <f t="shared" si="55"/>
        <v>ОТКРЫТО</v>
      </c>
      <c r="BC35" s="28" t="str">
        <f t="shared" si="55"/>
        <v>ОТКРЫТО</v>
      </c>
      <c r="BD35" s="28" t="str">
        <f t="shared" si="55"/>
        <v>ОТКРЫТО</v>
      </c>
      <c r="BE35" s="28" t="str">
        <f t="shared" si="55"/>
        <v>ОТКРЫТО</v>
      </c>
      <c r="BF35" s="28" t="str">
        <f t="shared" si="55"/>
        <v>ОТКРЫТО</v>
      </c>
      <c r="BG35" s="28" t="str">
        <f t="shared" si="8"/>
        <v/>
      </c>
      <c r="BH35" s="28" t="str">
        <f t="shared" si="9"/>
        <v/>
      </c>
    </row>
    <row r="36" ht="13.5" customHeight="1">
      <c r="A36" s="12" t="s">
        <v>326</v>
      </c>
      <c r="B36" s="12" t="s">
        <v>322</v>
      </c>
      <c r="C36" s="12" t="s">
        <v>145</v>
      </c>
      <c r="D36" s="12" t="s">
        <v>327</v>
      </c>
      <c r="E36" s="12">
        <v>40.0</v>
      </c>
      <c r="F36" s="12" t="s">
        <v>321</v>
      </c>
      <c r="G36" s="12"/>
      <c r="H36" s="12"/>
      <c r="I36" s="12" t="s">
        <v>328</v>
      </c>
      <c r="J36" s="12" t="s">
        <v>329</v>
      </c>
      <c r="K36" s="22">
        <f>SUMIF('Ход 2026'!$G$29:$G$38,$A36,'Ход 2026'!$I$29:$I$38)*(1+'Эффекты технологий'!J$7)</f>
        <v>0</v>
      </c>
      <c r="L36" s="22">
        <f>SUMIF('Ход 2027'!$G$29:$G$38,$A36,'Ход 2027'!$I$29:$I$38)*(1+'Эффекты технологий'!K$7)</f>
        <v>0</v>
      </c>
      <c r="M36" s="22">
        <f>SUMIF('Ход 2028'!$G$29:$G$38,$A36,'Ход 2028'!$I$29:$I$38)*(1+'Эффекты технологий'!L$7)</f>
        <v>0</v>
      </c>
      <c r="N36" s="22">
        <f>SUMIF('Ход 2029'!$G$29:$G$38,$A36,'Ход 2029'!$I$29:$I$38)*(1+'Эффекты технологий'!M$7)</f>
        <v>0</v>
      </c>
      <c r="O36" s="22">
        <f>SUMIF('Ход 2030'!$G$29:$G$38,$A36,'Ход 2030'!$I$29:$I$38)*(1+'Эффекты технологий'!N$7)</f>
        <v>0</v>
      </c>
      <c r="P36" s="22">
        <f>SUMIF('Ход 2031'!$G$29:$G$38,$A36,'Ход 2031'!$I$29:$I$38)*(1+'Эффекты технологий'!O$7)</f>
        <v>0</v>
      </c>
      <c r="Q36" s="22">
        <f>SUMIF('Ход 2032'!$G$29:$G$38,$A36,'Ход 2032'!$I$29:$I$38)*(1+'Эффекты технологий'!P$7)</f>
        <v>0</v>
      </c>
      <c r="R36" s="22">
        <f>SUMIF('Ход 2033'!$G$29:$G$38,$A36,'Ход 2033'!$I$29:$I$38)*(1+'Эффекты технологий'!Q$7)</f>
        <v>0</v>
      </c>
      <c r="S36" s="22">
        <f>SUMIF('Ход 2034'!$G$29:$G$38,$A36,'Ход 2034'!$I$29:$I$38)*(1+'Эффекты технологий'!R$7)</f>
        <v>0</v>
      </c>
      <c r="T36" s="22">
        <f>SUMIF('Ход 2035'!$G$29:$G$38,$A36,'Ход 2035'!$I$29:$I$38)*(1+'Эффекты технологий'!S$7)</f>
        <v>0</v>
      </c>
      <c r="U36" s="22">
        <f>SUMIF('Ход 2036'!$G$29:$G$38,$A36,'Ход 2036'!$I$29:$I$38)*(1+'Эффекты технологий'!T$7)</f>
        <v>0</v>
      </c>
      <c r="V36" s="22">
        <f>SUMIF('Ход 2037'!$G$29:$G$38,$A36,'Ход 2037'!$I$29:$I$38)*(1+'Эффекты технологий'!U$7)</f>
        <v>0</v>
      </c>
      <c r="W36" s="22">
        <f>SUMIF('Ход 2038'!$G$29:$G$38,$A36,'Ход 2038'!$I$29:$I$38)*(1+'Эффекты технологий'!V$7)</f>
        <v>0</v>
      </c>
      <c r="X36" s="22">
        <f>SUMIF('Ход 2039'!$G$29:$G$38,$A36,'Ход 2039'!$I$29:$I$38)*(1+'Эффекты технологий'!W$7)</f>
        <v>0</v>
      </c>
      <c r="Y36" s="22">
        <f>SUMIF('Ход 2040'!$G$29:$G$38,$A36,'Ход 2040'!$I$29:$I$38)*(1+'Эффекты технологий'!X$7)</f>
        <v>0</v>
      </c>
      <c r="Z36" s="27">
        <f t="shared" si="3"/>
        <v>0</v>
      </c>
      <c r="AA36" s="27">
        <f t="shared" si="4"/>
        <v>40</v>
      </c>
      <c r="AB36" s="12" t="str">
        <f t="shared" si="5"/>
        <v>ОТКРЫТО</v>
      </c>
      <c r="AC36" s="28">
        <f t="shared" ref="AC36:AQ36" si="56">SUM($K36:K36)</f>
        <v>0</v>
      </c>
      <c r="AD36" s="28">
        <f t="shared" si="56"/>
        <v>0</v>
      </c>
      <c r="AE36" s="28">
        <f t="shared" si="56"/>
        <v>0</v>
      </c>
      <c r="AF36" s="28">
        <f t="shared" si="56"/>
        <v>0</v>
      </c>
      <c r="AG36" s="28">
        <f t="shared" si="56"/>
        <v>0</v>
      </c>
      <c r="AH36" s="28">
        <f t="shared" si="56"/>
        <v>0</v>
      </c>
      <c r="AI36" s="28">
        <f t="shared" si="56"/>
        <v>0</v>
      </c>
      <c r="AJ36" s="28">
        <f t="shared" si="56"/>
        <v>0</v>
      </c>
      <c r="AK36" s="28">
        <f t="shared" si="56"/>
        <v>0</v>
      </c>
      <c r="AL36" s="28">
        <f t="shared" si="56"/>
        <v>0</v>
      </c>
      <c r="AM36" s="28">
        <f t="shared" si="56"/>
        <v>0</v>
      </c>
      <c r="AN36" s="28">
        <f t="shared" si="56"/>
        <v>0</v>
      </c>
      <c r="AO36" s="28">
        <f t="shared" si="56"/>
        <v>0</v>
      </c>
      <c r="AP36" s="28">
        <f t="shared" si="56"/>
        <v>0</v>
      </c>
      <c r="AQ36" s="28">
        <f t="shared" si="56"/>
        <v>0</v>
      </c>
      <c r="AR36" s="28" t="str">
        <f t="shared" ref="AR36:BF36" si="57">IF(AND(AC36&gt;=$E36,TRUE),"ИЗУЧЕНО",IF(TRUE,"ОТКРЫТО","ЗАКРЫТО"))</f>
        <v>ОТКРЫТО</v>
      </c>
      <c r="AS36" s="28" t="str">
        <f t="shared" si="57"/>
        <v>ОТКРЫТО</v>
      </c>
      <c r="AT36" s="28" t="str">
        <f t="shared" si="57"/>
        <v>ОТКРЫТО</v>
      </c>
      <c r="AU36" s="28" t="str">
        <f t="shared" si="57"/>
        <v>ОТКРЫТО</v>
      </c>
      <c r="AV36" s="28" t="str">
        <f t="shared" si="57"/>
        <v>ОТКРЫТО</v>
      </c>
      <c r="AW36" s="28" t="str">
        <f t="shared" si="57"/>
        <v>ОТКРЫТО</v>
      </c>
      <c r="AX36" s="28" t="str">
        <f t="shared" si="57"/>
        <v>ОТКРЫТО</v>
      </c>
      <c r="AY36" s="28" t="str">
        <f t="shared" si="57"/>
        <v>ОТКРЫТО</v>
      </c>
      <c r="AZ36" s="28" t="str">
        <f t="shared" si="57"/>
        <v>ОТКРЫТО</v>
      </c>
      <c r="BA36" s="28" t="str">
        <f t="shared" si="57"/>
        <v>ОТКРЫТО</v>
      </c>
      <c r="BB36" s="28" t="str">
        <f t="shared" si="57"/>
        <v>ОТКРЫТО</v>
      </c>
      <c r="BC36" s="28" t="str">
        <f t="shared" si="57"/>
        <v>ОТКРЫТО</v>
      </c>
      <c r="BD36" s="28" t="str">
        <f t="shared" si="57"/>
        <v>ОТКРЫТО</v>
      </c>
      <c r="BE36" s="28" t="str">
        <f t="shared" si="57"/>
        <v>ОТКРЫТО</v>
      </c>
      <c r="BF36" s="28" t="str">
        <f t="shared" si="57"/>
        <v>ОТКРЫТО</v>
      </c>
      <c r="BG36" s="28" t="str">
        <f t="shared" si="8"/>
        <v/>
      </c>
      <c r="BH36" s="28" t="str">
        <f t="shared" si="9"/>
        <v/>
      </c>
    </row>
    <row r="37" ht="13.5" customHeight="1">
      <c r="A37" s="12" t="s">
        <v>330</v>
      </c>
      <c r="B37" s="12" t="s">
        <v>322</v>
      </c>
      <c r="C37" s="12" t="s">
        <v>145</v>
      </c>
      <c r="D37" s="12" t="s">
        <v>331</v>
      </c>
      <c r="E37" s="12">
        <v>45.0</v>
      </c>
      <c r="F37" s="12" t="s">
        <v>321</v>
      </c>
      <c r="G37" s="12"/>
      <c r="H37" s="12"/>
      <c r="I37" s="12" t="s">
        <v>332</v>
      </c>
      <c r="J37" s="12" t="s">
        <v>333</v>
      </c>
      <c r="K37" s="22">
        <f>SUMIF('Ход 2026'!$G$29:$G$38,$A37,'Ход 2026'!$I$29:$I$38)*(1+'Эффекты технологий'!J$7)</f>
        <v>0</v>
      </c>
      <c r="L37" s="22">
        <f>SUMIF('Ход 2027'!$G$29:$G$38,$A37,'Ход 2027'!$I$29:$I$38)*(1+'Эффекты технологий'!K$7)</f>
        <v>0</v>
      </c>
      <c r="M37" s="22">
        <f>SUMIF('Ход 2028'!$G$29:$G$38,$A37,'Ход 2028'!$I$29:$I$38)*(1+'Эффекты технологий'!L$7)</f>
        <v>0</v>
      </c>
      <c r="N37" s="22">
        <f>SUMIF('Ход 2029'!$G$29:$G$38,$A37,'Ход 2029'!$I$29:$I$38)*(1+'Эффекты технологий'!M$7)</f>
        <v>0</v>
      </c>
      <c r="O37" s="22">
        <f>SUMIF('Ход 2030'!$G$29:$G$38,$A37,'Ход 2030'!$I$29:$I$38)*(1+'Эффекты технологий'!N$7)</f>
        <v>0</v>
      </c>
      <c r="P37" s="22">
        <f>SUMIF('Ход 2031'!$G$29:$G$38,$A37,'Ход 2031'!$I$29:$I$38)*(1+'Эффекты технологий'!O$7)</f>
        <v>0</v>
      </c>
      <c r="Q37" s="22">
        <f>SUMIF('Ход 2032'!$G$29:$G$38,$A37,'Ход 2032'!$I$29:$I$38)*(1+'Эффекты технологий'!P$7)</f>
        <v>0</v>
      </c>
      <c r="R37" s="22">
        <f>SUMIF('Ход 2033'!$G$29:$G$38,$A37,'Ход 2033'!$I$29:$I$38)*(1+'Эффекты технологий'!Q$7)</f>
        <v>0</v>
      </c>
      <c r="S37" s="22">
        <f>SUMIF('Ход 2034'!$G$29:$G$38,$A37,'Ход 2034'!$I$29:$I$38)*(1+'Эффекты технологий'!R$7)</f>
        <v>0</v>
      </c>
      <c r="T37" s="22">
        <f>SUMIF('Ход 2035'!$G$29:$G$38,$A37,'Ход 2035'!$I$29:$I$38)*(1+'Эффекты технологий'!S$7)</f>
        <v>0</v>
      </c>
      <c r="U37" s="22">
        <f>SUMIF('Ход 2036'!$G$29:$G$38,$A37,'Ход 2036'!$I$29:$I$38)*(1+'Эффекты технологий'!T$7)</f>
        <v>0</v>
      </c>
      <c r="V37" s="22">
        <f>SUMIF('Ход 2037'!$G$29:$G$38,$A37,'Ход 2037'!$I$29:$I$38)*(1+'Эффекты технологий'!U$7)</f>
        <v>0</v>
      </c>
      <c r="W37" s="22">
        <f>SUMIF('Ход 2038'!$G$29:$G$38,$A37,'Ход 2038'!$I$29:$I$38)*(1+'Эффекты технологий'!V$7)</f>
        <v>0</v>
      </c>
      <c r="X37" s="22">
        <f>SUMIF('Ход 2039'!$G$29:$G$38,$A37,'Ход 2039'!$I$29:$I$38)*(1+'Эффекты технологий'!W$7)</f>
        <v>0</v>
      </c>
      <c r="Y37" s="22">
        <f>SUMIF('Ход 2040'!$G$29:$G$38,$A37,'Ход 2040'!$I$29:$I$38)*(1+'Эффекты технологий'!X$7)</f>
        <v>0</v>
      </c>
      <c r="Z37" s="27">
        <f t="shared" si="3"/>
        <v>0</v>
      </c>
      <c r="AA37" s="27">
        <f t="shared" si="4"/>
        <v>45</v>
      </c>
      <c r="AB37" s="12" t="str">
        <f t="shared" si="5"/>
        <v>ОТКРЫТО</v>
      </c>
      <c r="AC37" s="28">
        <f t="shared" ref="AC37:AQ37" si="58">SUM($K37:K37)</f>
        <v>0</v>
      </c>
      <c r="AD37" s="28">
        <f t="shared" si="58"/>
        <v>0</v>
      </c>
      <c r="AE37" s="28">
        <f t="shared" si="58"/>
        <v>0</v>
      </c>
      <c r="AF37" s="28">
        <f t="shared" si="58"/>
        <v>0</v>
      </c>
      <c r="AG37" s="28">
        <f t="shared" si="58"/>
        <v>0</v>
      </c>
      <c r="AH37" s="28">
        <f t="shared" si="58"/>
        <v>0</v>
      </c>
      <c r="AI37" s="28">
        <f t="shared" si="58"/>
        <v>0</v>
      </c>
      <c r="AJ37" s="28">
        <f t="shared" si="58"/>
        <v>0</v>
      </c>
      <c r="AK37" s="28">
        <f t="shared" si="58"/>
        <v>0</v>
      </c>
      <c r="AL37" s="28">
        <f t="shared" si="58"/>
        <v>0</v>
      </c>
      <c r="AM37" s="28">
        <f t="shared" si="58"/>
        <v>0</v>
      </c>
      <c r="AN37" s="28">
        <f t="shared" si="58"/>
        <v>0</v>
      </c>
      <c r="AO37" s="28">
        <f t="shared" si="58"/>
        <v>0</v>
      </c>
      <c r="AP37" s="28">
        <f t="shared" si="58"/>
        <v>0</v>
      </c>
      <c r="AQ37" s="28">
        <f t="shared" si="58"/>
        <v>0</v>
      </c>
      <c r="AR37" s="28" t="str">
        <f t="shared" ref="AR37:BF37" si="59">IF(AND(AC37&gt;=$E37,TRUE),"ИЗУЧЕНО",IF(TRUE,"ОТКРЫТО","ЗАКРЫТО"))</f>
        <v>ОТКРЫТО</v>
      </c>
      <c r="AS37" s="28" t="str">
        <f t="shared" si="59"/>
        <v>ОТКРЫТО</v>
      </c>
      <c r="AT37" s="28" t="str">
        <f t="shared" si="59"/>
        <v>ОТКРЫТО</v>
      </c>
      <c r="AU37" s="28" t="str">
        <f t="shared" si="59"/>
        <v>ОТКРЫТО</v>
      </c>
      <c r="AV37" s="28" t="str">
        <f t="shared" si="59"/>
        <v>ОТКРЫТО</v>
      </c>
      <c r="AW37" s="28" t="str">
        <f t="shared" si="59"/>
        <v>ОТКРЫТО</v>
      </c>
      <c r="AX37" s="28" t="str">
        <f t="shared" si="59"/>
        <v>ОТКРЫТО</v>
      </c>
      <c r="AY37" s="28" t="str">
        <f t="shared" si="59"/>
        <v>ОТКРЫТО</v>
      </c>
      <c r="AZ37" s="28" t="str">
        <f t="shared" si="59"/>
        <v>ОТКРЫТО</v>
      </c>
      <c r="BA37" s="28" t="str">
        <f t="shared" si="59"/>
        <v>ОТКРЫТО</v>
      </c>
      <c r="BB37" s="28" t="str">
        <f t="shared" si="59"/>
        <v>ОТКРЫТО</v>
      </c>
      <c r="BC37" s="28" t="str">
        <f t="shared" si="59"/>
        <v>ОТКРЫТО</v>
      </c>
      <c r="BD37" s="28" t="str">
        <f t="shared" si="59"/>
        <v>ОТКРЫТО</v>
      </c>
      <c r="BE37" s="28" t="str">
        <f t="shared" si="59"/>
        <v>ОТКРЫТО</v>
      </c>
      <c r="BF37" s="28" t="str">
        <f t="shared" si="59"/>
        <v>ОТКРЫТО</v>
      </c>
      <c r="BG37" s="28" t="str">
        <f t="shared" si="8"/>
        <v/>
      </c>
      <c r="BH37" s="28" t="str">
        <f t="shared" si="9"/>
        <v/>
      </c>
    </row>
    <row r="38" ht="13.5" customHeight="1">
      <c r="A38" s="12" t="s">
        <v>335</v>
      </c>
      <c r="B38" s="12" t="s">
        <v>322</v>
      </c>
      <c r="C38" s="12" t="s">
        <v>194</v>
      </c>
      <c r="D38" s="12" t="s">
        <v>336</v>
      </c>
      <c r="E38" s="12">
        <v>70.0</v>
      </c>
      <c r="F38" s="12" t="s">
        <v>326</v>
      </c>
      <c r="G38" s="12" t="s">
        <v>330</v>
      </c>
      <c r="H38" s="12"/>
      <c r="I38" s="12" t="s">
        <v>337</v>
      </c>
      <c r="J38" s="12" t="s">
        <v>338</v>
      </c>
      <c r="K38" s="22">
        <f>SUMIF('Ход 2026'!$G$29:$G$38,$A38,'Ход 2026'!$I$29:$I$38)*(1+'Эффекты технологий'!J$7)</f>
        <v>0</v>
      </c>
      <c r="L38" s="22">
        <f>SUMIF('Ход 2027'!$G$29:$G$38,$A38,'Ход 2027'!$I$29:$I$38)*(1+'Эффекты технологий'!K$7)</f>
        <v>0</v>
      </c>
      <c r="M38" s="22">
        <f>SUMIF('Ход 2028'!$G$29:$G$38,$A38,'Ход 2028'!$I$29:$I$38)*(1+'Эффекты технологий'!L$7)</f>
        <v>0</v>
      </c>
      <c r="N38" s="22">
        <f>SUMIF('Ход 2029'!$G$29:$G$38,$A38,'Ход 2029'!$I$29:$I$38)*(1+'Эффекты технологий'!M$7)</f>
        <v>0</v>
      </c>
      <c r="O38" s="22">
        <f>SUMIF('Ход 2030'!$G$29:$G$38,$A38,'Ход 2030'!$I$29:$I$38)*(1+'Эффекты технологий'!N$7)</f>
        <v>0</v>
      </c>
      <c r="P38" s="22">
        <f>SUMIF('Ход 2031'!$G$29:$G$38,$A38,'Ход 2031'!$I$29:$I$38)*(1+'Эффекты технологий'!O$7)</f>
        <v>0</v>
      </c>
      <c r="Q38" s="22">
        <f>SUMIF('Ход 2032'!$G$29:$G$38,$A38,'Ход 2032'!$I$29:$I$38)*(1+'Эффекты технологий'!P$7)</f>
        <v>0</v>
      </c>
      <c r="R38" s="22">
        <f>SUMIF('Ход 2033'!$G$29:$G$38,$A38,'Ход 2033'!$I$29:$I$38)*(1+'Эффекты технологий'!Q$7)</f>
        <v>0</v>
      </c>
      <c r="S38" s="22">
        <f>SUMIF('Ход 2034'!$G$29:$G$38,$A38,'Ход 2034'!$I$29:$I$38)*(1+'Эффекты технологий'!R$7)</f>
        <v>0</v>
      </c>
      <c r="T38" s="22">
        <f>SUMIF('Ход 2035'!$G$29:$G$38,$A38,'Ход 2035'!$I$29:$I$38)*(1+'Эффекты технологий'!S$7)</f>
        <v>0</v>
      </c>
      <c r="U38" s="22">
        <f>SUMIF('Ход 2036'!$G$29:$G$38,$A38,'Ход 2036'!$I$29:$I$38)*(1+'Эффекты технологий'!T$7)</f>
        <v>0</v>
      </c>
      <c r="V38" s="22">
        <f>SUMIF('Ход 2037'!$G$29:$G$38,$A38,'Ход 2037'!$I$29:$I$38)*(1+'Эффекты технологий'!U$7)</f>
        <v>0</v>
      </c>
      <c r="W38" s="22">
        <f>SUMIF('Ход 2038'!$G$29:$G$38,$A38,'Ход 2038'!$I$29:$I$38)*(1+'Эффекты технологий'!V$7)</f>
        <v>0</v>
      </c>
      <c r="X38" s="22">
        <f>SUMIF('Ход 2039'!$G$29:$G$38,$A38,'Ход 2039'!$I$29:$I$38)*(1+'Эффекты технологий'!W$7)</f>
        <v>0</v>
      </c>
      <c r="Y38" s="22">
        <f>SUMIF('Ход 2040'!$G$29:$G$38,$A38,'Ход 2040'!$I$29:$I$38)*(1+'Эффекты технологий'!X$7)</f>
        <v>0</v>
      </c>
      <c r="Z38" s="27">
        <f t="shared" si="3"/>
        <v>0</v>
      </c>
      <c r="AA38" s="27">
        <f t="shared" si="4"/>
        <v>70</v>
      </c>
      <c r="AB38" s="12" t="str">
        <f t="shared" si="5"/>
        <v>ОТКРЫТО</v>
      </c>
      <c r="AC38" s="28">
        <f t="shared" ref="AC38:AQ38" si="60">SUM($K38:K38)</f>
        <v>0</v>
      </c>
      <c r="AD38" s="28">
        <f t="shared" si="60"/>
        <v>0</v>
      </c>
      <c r="AE38" s="28">
        <f t="shared" si="60"/>
        <v>0</v>
      </c>
      <c r="AF38" s="28">
        <f t="shared" si="60"/>
        <v>0</v>
      </c>
      <c r="AG38" s="28">
        <f t="shared" si="60"/>
        <v>0</v>
      </c>
      <c r="AH38" s="28">
        <f t="shared" si="60"/>
        <v>0</v>
      </c>
      <c r="AI38" s="28">
        <f t="shared" si="60"/>
        <v>0</v>
      </c>
      <c r="AJ38" s="28">
        <f t="shared" si="60"/>
        <v>0</v>
      </c>
      <c r="AK38" s="28">
        <f t="shared" si="60"/>
        <v>0</v>
      </c>
      <c r="AL38" s="28">
        <f t="shared" si="60"/>
        <v>0</v>
      </c>
      <c r="AM38" s="28">
        <f t="shared" si="60"/>
        <v>0</v>
      </c>
      <c r="AN38" s="28">
        <f t="shared" si="60"/>
        <v>0</v>
      </c>
      <c r="AO38" s="28">
        <f t="shared" si="60"/>
        <v>0</v>
      </c>
      <c r="AP38" s="28">
        <f t="shared" si="60"/>
        <v>0</v>
      </c>
      <c r="AQ38" s="28">
        <f t="shared" si="60"/>
        <v>0</v>
      </c>
      <c r="AR38" s="28" t="str">
        <f t="shared" ref="AR38:BF38" si="61">IF(AND(AC38&gt;=$E38,TRUE),"ИЗУЧЕНО",IF(TRUE,"ОТКРЫТО","ЗАКРЫТО"))</f>
        <v>ОТКРЫТО</v>
      </c>
      <c r="AS38" s="28" t="str">
        <f t="shared" si="61"/>
        <v>ОТКРЫТО</v>
      </c>
      <c r="AT38" s="28" t="str">
        <f t="shared" si="61"/>
        <v>ОТКРЫТО</v>
      </c>
      <c r="AU38" s="28" t="str">
        <f t="shared" si="61"/>
        <v>ОТКРЫТО</v>
      </c>
      <c r="AV38" s="28" t="str">
        <f t="shared" si="61"/>
        <v>ОТКРЫТО</v>
      </c>
      <c r="AW38" s="28" t="str">
        <f t="shared" si="61"/>
        <v>ОТКРЫТО</v>
      </c>
      <c r="AX38" s="28" t="str">
        <f t="shared" si="61"/>
        <v>ОТКРЫТО</v>
      </c>
      <c r="AY38" s="28" t="str">
        <f t="shared" si="61"/>
        <v>ОТКРЫТО</v>
      </c>
      <c r="AZ38" s="28" t="str">
        <f t="shared" si="61"/>
        <v>ОТКРЫТО</v>
      </c>
      <c r="BA38" s="28" t="str">
        <f t="shared" si="61"/>
        <v>ОТКРЫТО</v>
      </c>
      <c r="BB38" s="28" t="str">
        <f t="shared" si="61"/>
        <v>ОТКРЫТО</v>
      </c>
      <c r="BC38" s="28" t="str">
        <f t="shared" si="61"/>
        <v>ОТКРЫТО</v>
      </c>
      <c r="BD38" s="28" t="str">
        <f t="shared" si="61"/>
        <v>ОТКРЫТО</v>
      </c>
      <c r="BE38" s="28" t="str">
        <f t="shared" si="61"/>
        <v>ОТКРЫТО</v>
      </c>
      <c r="BF38" s="28" t="str">
        <f t="shared" si="61"/>
        <v>ОТКРЫТО</v>
      </c>
      <c r="BG38" s="28" t="str">
        <f t="shared" si="8"/>
        <v/>
      </c>
      <c r="BH38" s="28" t="str">
        <f t="shared" si="9"/>
        <v/>
      </c>
    </row>
    <row r="39" ht="13.5" customHeight="1">
      <c r="A39" s="12" t="s">
        <v>339</v>
      </c>
      <c r="B39" s="12" t="s">
        <v>322</v>
      </c>
      <c r="C39" s="12" t="s">
        <v>220</v>
      </c>
      <c r="D39" s="12" t="s">
        <v>340</v>
      </c>
      <c r="E39" s="12">
        <v>105.0</v>
      </c>
      <c r="F39" s="12" t="s">
        <v>335</v>
      </c>
      <c r="G39" s="12"/>
      <c r="H39" s="12"/>
      <c r="I39" s="12" t="s">
        <v>341</v>
      </c>
      <c r="J39" s="12" t="s">
        <v>342</v>
      </c>
      <c r="K39" s="22">
        <f>SUMIF('Ход 2026'!$G$29:$G$38,$A39,'Ход 2026'!$I$29:$I$38)*(1+'Эффекты технологий'!J$7)</f>
        <v>0</v>
      </c>
      <c r="L39" s="22">
        <f>SUMIF('Ход 2027'!$G$29:$G$38,$A39,'Ход 2027'!$I$29:$I$38)*(1+'Эффекты технологий'!K$7)</f>
        <v>0</v>
      </c>
      <c r="M39" s="22">
        <f>SUMIF('Ход 2028'!$G$29:$G$38,$A39,'Ход 2028'!$I$29:$I$38)*(1+'Эффекты технологий'!L$7)</f>
        <v>0</v>
      </c>
      <c r="N39" s="22">
        <f>SUMIF('Ход 2029'!$G$29:$G$38,$A39,'Ход 2029'!$I$29:$I$38)*(1+'Эффекты технологий'!M$7)</f>
        <v>0</v>
      </c>
      <c r="O39" s="22">
        <f>SUMIF('Ход 2030'!$G$29:$G$38,$A39,'Ход 2030'!$I$29:$I$38)*(1+'Эффекты технологий'!N$7)</f>
        <v>0</v>
      </c>
      <c r="P39" s="22">
        <f>SUMIF('Ход 2031'!$G$29:$G$38,$A39,'Ход 2031'!$I$29:$I$38)*(1+'Эффекты технологий'!O$7)</f>
        <v>0</v>
      </c>
      <c r="Q39" s="22">
        <f>SUMIF('Ход 2032'!$G$29:$G$38,$A39,'Ход 2032'!$I$29:$I$38)*(1+'Эффекты технологий'!P$7)</f>
        <v>0</v>
      </c>
      <c r="R39" s="22">
        <f>SUMIF('Ход 2033'!$G$29:$G$38,$A39,'Ход 2033'!$I$29:$I$38)*(1+'Эффекты технологий'!Q$7)</f>
        <v>0</v>
      </c>
      <c r="S39" s="22">
        <f>SUMIF('Ход 2034'!$G$29:$G$38,$A39,'Ход 2034'!$I$29:$I$38)*(1+'Эффекты технологий'!R$7)</f>
        <v>0</v>
      </c>
      <c r="T39" s="22">
        <f>SUMIF('Ход 2035'!$G$29:$G$38,$A39,'Ход 2035'!$I$29:$I$38)*(1+'Эффекты технологий'!S$7)</f>
        <v>0</v>
      </c>
      <c r="U39" s="22">
        <f>SUMIF('Ход 2036'!$G$29:$G$38,$A39,'Ход 2036'!$I$29:$I$38)*(1+'Эффекты технологий'!T$7)</f>
        <v>0</v>
      </c>
      <c r="V39" s="22">
        <f>SUMIF('Ход 2037'!$G$29:$G$38,$A39,'Ход 2037'!$I$29:$I$38)*(1+'Эффекты технологий'!U$7)</f>
        <v>0</v>
      </c>
      <c r="W39" s="22">
        <f>SUMIF('Ход 2038'!$G$29:$G$38,$A39,'Ход 2038'!$I$29:$I$38)*(1+'Эффекты технологий'!V$7)</f>
        <v>0</v>
      </c>
      <c r="X39" s="22">
        <f>SUMIF('Ход 2039'!$G$29:$G$38,$A39,'Ход 2039'!$I$29:$I$38)*(1+'Эффекты технологий'!W$7)</f>
        <v>0</v>
      </c>
      <c r="Y39" s="22">
        <f>SUMIF('Ход 2040'!$G$29:$G$38,$A39,'Ход 2040'!$I$29:$I$38)*(1+'Эффекты технологий'!X$7)</f>
        <v>0</v>
      </c>
      <c r="Z39" s="27">
        <f t="shared" si="3"/>
        <v>0</v>
      </c>
      <c r="AA39" s="27">
        <f t="shared" si="4"/>
        <v>105</v>
      </c>
      <c r="AB39" s="12" t="str">
        <f t="shared" si="5"/>
        <v>ОТКРЫТО</v>
      </c>
      <c r="AC39" s="28">
        <f t="shared" ref="AC39:AQ39" si="62">SUM($K39:K39)</f>
        <v>0</v>
      </c>
      <c r="AD39" s="28">
        <f t="shared" si="62"/>
        <v>0</v>
      </c>
      <c r="AE39" s="28">
        <f t="shared" si="62"/>
        <v>0</v>
      </c>
      <c r="AF39" s="28">
        <f t="shared" si="62"/>
        <v>0</v>
      </c>
      <c r="AG39" s="28">
        <f t="shared" si="62"/>
        <v>0</v>
      </c>
      <c r="AH39" s="28">
        <f t="shared" si="62"/>
        <v>0</v>
      </c>
      <c r="AI39" s="28">
        <f t="shared" si="62"/>
        <v>0</v>
      </c>
      <c r="AJ39" s="28">
        <f t="shared" si="62"/>
        <v>0</v>
      </c>
      <c r="AK39" s="28">
        <f t="shared" si="62"/>
        <v>0</v>
      </c>
      <c r="AL39" s="28">
        <f t="shared" si="62"/>
        <v>0</v>
      </c>
      <c r="AM39" s="28">
        <f t="shared" si="62"/>
        <v>0</v>
      </c>
      <c r="AN39" s="28">
        <f t="shared" si="62"/>
        <v>0</v>
      </c>
      <c r="AO39" s="28">
        <f t="shared" si="62"/>
        <v>0</v>
      </c>
      <c r="AP39" s="28">
        <f t="shared" si="62"/>
        <v>0</v>
      </c>
      <c r="AQ39" s="28">
        <f t="shared" si="62"/>
        <v>0</v>
      </c>
      <c r="AR39" s="28" t="str">
        <f t="shared" ref="AR39:BF39" si="63">IF(AND(AC39&gt;=$E39,TRUE),"ИЗУЧЕНО",IF(TRUE,"ОТКРЫТО","ЗАКРЫТО"))</f>
        <v>ОТКРЫТО</v>
      </c>
      <c r="AS39" s="28" t="str">
        <f t="shared" si="63"/>
        <v>ОТКРЫТО</v>
      </c>
      <c r="AT39" s="28" t="str">
        <f t="shared" si="63"/>
        <v>ОТКРЫТО</v>
      </c>
      <c r="AU39" s="28" t="str">
        <f t="shared" si="63"/>
        <v>ОТКРЫТО</v>
      </c>
      <c r="AV39" s="28" t="str">
        <f t="shared" si="63"/>
        <v>ОТКРЫТО</v>
      </c>
      <c r="AW39" s="28" t="str">
        <f t="shared" si="63"/>
        <v>ОТКРЫТО</v>
      </c>
      <c r="AX39" s="28" t="str">
        <f t="shared" si="63"/>
        <v>ОТКРЫТО</v>
      </c>
      <c r="AY39" s="28" t="str">
        <f t="shared" si="63"/>
        <v>ОТКРЫТО</v>
      </c>
      <c r="AZ39" s="28" t="str">
        <f t="shared" si="63"/>
        <v>ОТКРЫТО</v>
      </c>
      <c r="BA39" s="28" t="str">
        <f t="shared" si="63"/>
        <v>ОТКРЫТО</v>
      </c>
      <c r="BB39" s="28" t="str">
        <f t="shared" si="63"/>
        <v>ОТКРЫТО</v>
      </c>
      <c r="BC39" s="28" t="str">
        <f t="shared" si="63"/>
        <v>ОТКРЫТО</v>
      </c>
      <c r="BD39" s="28" t="str">
        <f t="shared" si="63"/>
        <v>ОТКРЫТО</v>
      </c>
      <c r="BE39" s="28" t="str">
        <f t="shared" si="63"/>
        <v>ОТКРЫТО</v>
      </c>
      <c r="BF39" s="28" t="str">
        <f t="shared" si="63"/>
        <v>ОТКРЫТО</v>
      </c>
      <c r="BG39" s="28" t="str">
        <f t="shared" si="8"/>
        <v/>
      </c>
      <c r="BH39" s="28" t="str">
        <f t="shared" si="9"/>
        <v/>
      </c>
    </row>
    <row r="40" ht="13.5" customHeight="1">
      <c r="A40" s="12" t="s">
        <v>343</v>
      </c>
      <c r="B40" s="12" t="s">
        <v>322</v>
      </c>
      <c r="C40" s="12" t="s">
        <v>230</v>
      </c>
      <c r="D40" s="12" t="s">
        <v>344</v>
      </c>
      <c r="E40" s="12">
        <v>150.0</v>
      </c>
      <c r="F40" s="12" t="s">
        <v>339</v>
      </c>
      <c r="G40" s="12"/>
      <c r="H40" s="12"/>
      <c r="I40" s="12" t="s">
        <v>345</v>
      </c>
      <c r="J40" s="12" t="s">
        <v>346</v>
      </c>
      <c r="K40" s="22">
        <f>SUMIF('Ход 2026'!$G$29:$G$38,$A40,'Ход 2026'!$I$29:$I$38)*(1+'Эффекты технологий'!J$7)</f>
        <v>0</v>
      </c>
      <c r="L40" s="22">
        <f>SUMIF('Ход 2027'!$G$29:$G$38,$A40,'Ход 2027'!$I$29:$I$38)*(1+'Эффекты технологий'!K$7)</f>
        <v>0</v>
      </c>
      <c r="M40" s="22">
        <f>SUMIF('Ход 2028'!$G$29:$G$38,$A40,'Ход 2028'!$I$29:$I$38)*(1+'Эффекты технологий'!L$7)</f>
        <v>0</v>
      </c>
      <c r="N40" s="22">
        <f>SUMIF('Ход 2029'!$G$29:$G$38,$A40,'Ход 2029'!$I$29:$I$38)*(1+'Эффекты технологий'!M$7)</f>
        <v>0</v>
      </c>
      <c r="O40" s="22">
        <f>SUMIF('Ход 2030'!$G$29:$G$38,$A40,'Ход 2030'!$I$29:$I$38)*(1+'Эффекты технологий'!N$7)</f>
        <v>0</v>
      </c>
      <c r="P40" s="22">
        <f>SUMIF('Ход 2031'!$G$29:$G$38,$A40,'Ход 2031'!$I$29:$I$38)*(1+'Эффекты технологий'!O$7)</f>
        <v>0</v>
      </c>
      <c r="Q40" s="22">
        <f>SUMIF('Ход 2032'!$G$29:$G$38,$A40,'Ход 2032'!$I$29:$I$38)*(1+'Эффекты технологий'!P$7)</f>
        <v>0</v>
      </c>
      <c r="R40" s="22">
        <f>SUMIF('Ход 2033'!$G$29:$G$38,$A40,'Ход 2033'!$I$29:$I$38)*(1+'Эффекты технологий'!Q$7)</f>
        <v>0</v>
      </c>
      <c r="S40" s="22">
        <f>SUMIF('Ход 2034'!$G$29:$G$38,$A40,'Ход 2034'!$I$29:$I$38)*(1+'Эффекты технологий'!R$7)</f>
        <v>0</v>
      </c>
      <c r="T40" s="22">
        <f>SUMIF('Ход 2035'!$G$29:$G$38,$A40,'Ход 2035'!$I$29:$I$38)*(1+'Эффекты технологий'!S$7)</f>
        <v>0</v>
      </c>
      <c r="U40" s="22">
        <f>SUMIF('Ход 2036'!$G$29:$G$38,$A40,'Ход 2036'!$I$29:$I$38)*(1+'Эффекты технологий'!T$7)</f>
        <v>0</v>
      </c>
      <c r="V40" s="22">
        <f>SUMIF('Ход 2037'!$G$29:$G$38,$A40,'Ход 2037'!$I$29:$I$38)*(1+'Эффекты технологий'!U$7)</f>
        <v>0</v>
      </c>
      <c r="W40" s="22">
        <f>SUMIF('Ход 2038'!$G$29:$G$38,$A40,'Ход 2038'!$I$29:$I$38)*(1+'Эффекты технологий'!V$7)</f>
        <v>0</v>
      </c>
      <c r="X40" s="22">
        <f>SUMIF('Ход 2039'!$G$29:$G$38,$A40,'Ход 2039'!$I$29:$I$38)*(1+'Эффекты технологий'!W$7)</f>
        <v>0</v>
      </c>
      <c r="Y40" s="22">
        <f>SUMIF('Ход 2040'!$G$29:$G$38,$A40,'Ход 2040'!$I$29:$I$38)*(1+'Эффекты технологий'!X$7)</f>
        <v>0</v>
      </c>
      <c r="Z40" s="27">
        <f t="shared" si="3"/>
        <v>0</v>
      </c>
      <c r="AA40" s="27">
        <f t="shared" si="4"/>
        <v>150</v>
      </c>
      <c r="AB40" s="12" t="str">
        <f t="shared" si="5"/>
        <v>ОТКРЫТО</v>
      </c>
      <c r="AC40" s="28">
        <f t="shared" ref="AC40:AQ40" si="64">SUM($K40:K40)</f>
        <v>0</v>
      </c>
      <c r="AD40" s="28">
        <f t="shared" si="64"/>
        <v>0</v>
      </c>
      <c r="AE40" s="28">
        <f t="shared" si="64"/>
        <v>0</v>
      </c>
      <c r="AF40" s="28">
        <f t="shared" si="64"/>
        <v>0</v>
      </c>
      <c r="AG40" s="28">
        <f t="shared" si="64"/>
        <v>0</v>
      </c>
      <c r="AH40" s="28">
        <f t="shared" si="64"/>
        <v>0</v>
      </c>
      <c r="AI40" s="28">
        <f t="shared" si="64"/>
        <v>0</v>
      </c>
      <c r="AJ40" s="28">
        <f t="shared" si="64"/>
        <v>0</v>
      </c>
      <c r="AK40" s="28">
        <f t="shared" si="64"/>
        <v>0</v>
      </c>
      <c r="AL40" s="28">
        <f t="shared" si="64"/>
        <v>0</v>
      </c>
      <c r="AM40" s="28">
        <f t="shared" si="64"/>
        <v>0</v>
      </c>
      <c r="AN40" s="28">
        <f t="shared" si="64"/>
        <v>0</v>
      </c>
      <c r="AO40" s="28">
        <f t="shared" si="64"/>
        <v>0</v>
      </c>
      <c r="AP40" s="28">
        <f t="shared" si="64"/>
        <v>0</v>
      </c>
      <c r="AQ40" s="28">
        <f t="shared" si="64"/>
        <v>0</v>
      </c>
      <c r="AR40" s="28" t="str">
        <f t="shared" ref="AR40:BF40" si="65">IF(AND(AC40&gt;=$E40,TRUE),"ИЗУЧЕНО",IF(TRUE,"ОТКРЫТО","ЗАКРЫТО"))</f>
        <v>ОТКРЫТО</v>
      </c>
      <c r="AS40" s="28" t="str">
        <f t="shared" si="65"/>
        <v>ОТКРЫТО</v>
      </c>
      <c r="AT40" s="28" t="str">
        <f t="shared" si="65"/>
        <v>ОТКРЫТО</v>
      </c>
      <c r="AU40" s="28" t="str">
        <f t="shared" si="65"/>
        <v>ОТКРЫТО</v>
      </c>
      <c r="AV40" s="28" t="str">
        <f t="shared" si="65"/>
        <v>ОТКРЫТО</v>
      </c>
      <c r="AW40" s="28" t="str">
        <f t="shared" si="65"/>
        <v>ОТКРЫТО</v>
      </c>
      <c r="AX40" s="28" t="str">
        <f t="shared" si="65"/>
        <v>ОТКРЫТО</v>
      </c>
      <c r="AY40" s="28" t="str">
        <f t="shared" si="65"/>
        <v>ОТКРЫТО</v>
      </c>
      <c r="AZ40" s="28" t="str">
        <f t="shared" si="65"/>
        <v>ОТКРЫТО</v>
      </c>
      <c r="BA40" s="28" t="str">
        <f t="shared" si="65"/>
        <v>ОТКРЫТО</v>
      </c>
      <c r="BB40" s="28" t="str">
        <f t="shared" si="65"/>
        <v>ОТКРЫТО</v>
      </c>
      <c r="BC40" s="28" t="str">
        <f t="shared" si="65"/>
        <v>ОТКРЫТО</v>
      </c>
      <c r="BD40" s="28" t="str">
        <f t="shared" si="65"/>
        <v>ОТКРЫТО</v>
      </c>
      <c r="BE40" s="28" t="str">
        <f t="shared" si="65"/>
        <v>ОТКРЫТО</v>
      </c>
      <c r="BF40" s="28" t="str">
        <f t="shared" si="65"/>
        <v>ОТКРЫТО</v>
      </c>
      <c r="BG40" s="28" t="str">
        <f t="shared" si="8"/>
        <v/>
      </c>
      <c r="BH40" s="28" t="str">
        <f t="shared" si="9"/>
        <v/>
      </c>
    </row>
    <row r="41" ht="13.5" customHeight="1">
      <c r="A41" s="12" t="s">
        <v>347</v>
      </c>
      <c r="B41" s="12" t="s">
        <v>348</v>
      </c>
      <c r="C41" s="12" t="s">
        <v>90</v>
      </c>
      <c r="D41" s="12" t="s">
        <v>349</v>
      </c>
      <c r="E41" s="12">
        <v>20.0</v>
      </c>
      <c r="F41" s="12"/>
      <c r="G41" s="12"/>
      <c r="H41" s="12"/>
      <c r="I41" s="12" t="s">
        <v>350</v>
      </c>
      <c r="J41" s="12" t="s">
        <v>351</v>
      </c>
      <c r="K41" s="22">
        <f>SUMIF('Ход 2026'!$G$29:$G$38,$A41,'Ход 2026'!$I$29:$I$38)*(1+'Эффекты технологий'!J$7)</f>
        <v>0</v>
      </c>
      <c r="L41" s="22">
        <f>SUMIF('Ход 2027'!$G$29:$G$38,$A41,'Ход 2027'!$I$29:$I$38)*(1+'Эффекты технологий'!K$7)</f>
        <v>0</v>
      </c>
      <c r="M41" s="22">
        <f>SUMIF('Ход 2028'!$G$29:$G$38,$A41,'Ход 2028'!$I$29:$I$38)*(1+'Эффекты технологий'!L$7)</f>
        <v>0</v>
      </c>
      <c r="N41" s="22">
        <f>SUMIF('Ход 2029'!$G$29:$G$38,$A41,'Ход 2029'!$I$29:$I$38)*(1+'Эффекты технологий'!M$7)</f>
        <v>0</v>
      </c>
      <c r="O41" s="22">
        <f>SUMIF('Ход 2030'!$G$29:$G$38,$A41,'Ход 2030'!$I$29:$I$38)*(1+'Эффекты технологий'!N$7)</f>
        <v>0</v>
      </c>
      <c r="P41" s="22">
        <f>SUMIF('Ход 2031'!$G$29:$G$38,$A41,'Ход 2031'!$I$29:$I$38)*(1+'Эффекты технологий'!O$7)</f>
        <v>0</v>
      </c>
      <c r="Q41" s="22">
        <f>SUMIF('Ход 2032'!$G$29:$G$38,$A41,'Ход 2032'!$I$29:$I$38)*(1+'Эффекты технологий'!P$7)</f>
        <v>0</v>
      </c>
      <c r="R41" s="22">
        <f>SUMIF('Ход 2033'!$G$29:$G$38,$A41,'Ход 2033'!$I$29:$I$38)*(1+'Эффекты технологий'!Q$7)</f>
        <v>0</v>
      </c>
      <c r="S41" s="22">
        <f>SUMIF('Ход 2034'!$G$29:$G$38,$A41,'Ход 2034'!$I$29:$I$38)*(1+'Эффекты технологий'!R$7)</f>
        <v>0</v>
      </c>
      <c r="T41" s="22">
        <f>SUMIF('Ход 2035'!$G$29:$G$38,$A41,'Ход 2035'!$I$29:$I$38)*(1+'Эффекты технологий'!S$7)</f>
        <v>0</v>
      </c>
      <c r="U41" s="22">
        <f>SUMIF('Ход 2036'!$G$29:$G$38,$A41,'Ход 2036'!$I$29:$I$38)*(1+'Эффекты технологий'!T$7)</f>
        <v>0</v>
      </c>
      <c r="V41" s="22">
        <f>SUMIF('Ход 2037'!$G$29:$G$38,$A41,'Ход 2037'!$I$29:$I$38)*(1+'Эффекты технологий'!U$7)</f>
        <v>0</v>
      </c>
      <c r="W41" s="22">
        <f>SUMIF('Ход 2038'!$G$29:$G$38,$A41,'Ход 2038'!$I$29:$I$38)*(1+'Эффекты технологий'!V$7)</f>
        <v>0</v>
      </c>
      <c r="X41" s="22">
        <f>SUMIF('Ход 2039'!$G$29:$G$38,$A41,'Ход 2039'!$I$29:$I$38)*(1+'Эффекты технологий'!W$7)</f>
        <v>0</v>
      </c>
      <c r="Y41" s="22">
        <f>SUMIF('Ход 2040'!$G$29:$G$38,$A41,'Ход 2040'!$I$29:$I$38)*(1+'Эффекты технологий'!X$7)</f>
        <v>0</v>
      </c>
      <c r="Z41" s="27">
        <f t="shared" si="3"/>
        <v>0</v>
      </c>
      <c r="AA41" s="27">
        <f t="shared" si="4"/>
        <v>20</v>
      </c>
      <c r="AB41" s="12" t="str">
        <f t="shared" si="5"/>
        <v>ОТКРЫТО</v>
      </c>
      <c r="AC41" s="28">
        <f t="shared" ref="AC41:AQ41" si="66">SUM($K41:K41)</f>
        <v>0</v>
      </c>
      <c r="AD41" s="28">
        <f t="shared" si="66"/>
        <v>0</v>
      </c>
      <c r="AE41" s="28">
        <f t="shared" si="66"/>
        <v>0</v>
      </c>
      <c r="AF41" s="28">
        <f t="shared" si="66"/>
        <v>0</v>
      </c>
      <c r="AG41" s="28">
        <f t="shared" si="66"/>
        <v>0</v>
      </c>
      <c r="AH41" s="28">
        <f t="shared" si="66"/>
        <v>0</v>
      </c>
      <c r="AI41" s="28">
        <f t="shared" si="66"/>
        <v>0</v>
      </c>
      <c r="AJ41" s="28">
        <f t="shared" si="66"/>
        <v>0</v>
      </c>
      <c r="AK41" s="28">
        <f t="shared" si="66"/>
        <v>0</v>
      </c>
      <c r="AL41" s="28">
        <f t="shared" si="66"/>
        <v>0</v>
      </c>
      <c r="AM41" s="28">
        <f t="shared" si="66"/>
        <v>0</v>
      </c>
      <c r="AN41" s="28">
        <f t="shared" si="66"/>
        <v>0</v>
      </c>
      <c r="AO41" s="28">
        <f t="shared" si="66"/>
        <v>0</v>
      </c>
      <c r="AP41" s="28">
        <f t="shared" si="66"/>
        <v>0</v>
      </c>
      <c r="AQ41" s="28">
        <f t="shared" si="66"/>
        <v>0</v>
      </c>
      <c r="AR41" s="28" t="str">
        <f t="shared" ref="AR41:BF41" si="67">IF(AND(AC41&gt;=$E41,TRUE),"ИЗУЧЕНО",IF(TRUE,"ОТКРЫТО","ЗАКРЫТО"))</f>
        <v>ОТКРЫТО</v>
      </c>
      <c r="AS41" s="28" t="str">
        <f t="shared" si="67"/>
        <v>ОТКРЫТО</v>
      </c>
      <c r="AT41" s="28" t="str">
        <f t="shared" si="67"/>
        <v>ОТКРЫТО</v>
      </c>
      <c r="AU41" s="28" t="str">
        <f t="shared" si="67"/>
        <v>ОТКРЫТО</v>
      </c>
      <c r="AV41" s="28" t="str">
        <f t="shared" si="67"/>
        <v>ОТКРЫТО</v>
      </c>
      <c r="AW41" s="28" t="str">
        <f t="shared" si="67"/>
        <v>ОТКРЫТО</v>
      </c>
      <c r="AX41" s="28" t="str">
        <f t="shared" si="67"/>
        <v>ОТКРЫТО</v>
      </c>
      <c r="AY41" s="28" t="str">
        <f t="shared" si="67"/>
        <v>ОТКРЫТО</v>
      </c>
      <c r="AZ41" s="28" t="str">
        <f t="shared" si="67"/>
        <v>ОТКРЫТО</v>
      </c>
      <c r="BA41" s="28" t="str">
        <f t="shared" si="67"/>
        <v>ОТКРЫТО</v>
      </c>
      <c r="BB41" s="28" t="str">
        <f t="shared" si="67"/>
        <v>ОТКРЫТО</v>
      </c>
      <c r="BC41" s="28" t="str">
        <f t="shared" si="67"/>
        <v>ОТКРЫТО</v>
      </c>
      <c r="BD41" s="28" t="str">
        <f t="shared" si="67"/>
        <v>ОТКРЫТО</v>
      </c>
      <c r="BE41" s="28" t="str">
        <f t="shared" si="67"/>
        <v>ОТКРЫТО</v>
      </c>
      <c r="BF41" s="28" t="str">
        <f t="shared" si="67"/>
        <v>ОТКРЫТО</v>
      </c>
      <c r="BG41" s="28" t="str">
        <f t="shared" si="8"/>
        <v/>
      </c>
      <c r="BH41" s="28" t="str">
        <f t="shared" si="9"/>
        <v/>
      </c>
    </row>
    <row r="42" ht="13.5" customHeight="1">
      <c r="A42" s="12" t="s">
        <v>352</v>
      </c>
      <c r="B42" s="12" t="s">
        <v>348</v>
      </c>
      <c r="C42" s="12" t="s">
        <v>145</v>
      </c>
      <c r="D42" s="12" t="s">
        <v>353</v>
      </c>
      <c r="E42" s="12">
        <v>35.0</v>
      </c>
      <c r="F42" s="12" t="s">
        <v>347</v>
      </c>
      <c r="G42" s="12"/>
      <c r="H42" s="12"/>
      <c r="I42" s="12" t="s">
        <v>354</v>
      </c>
      <c r="J42" s="12" t="s">
        <v>355</v>
      </c>
      <c r="K42" s="22">
        <f>SUMIF('Ход 2026'!$G$29:$G$38,$A42,'Ход 2026'!$I$29:$I$38)*(1+'Эффекты технологий'!J$7)</f>
        <v>0</v>
      </c>
      <c r="L42" s="22">
        <f>SUMIF('Ход 2027'!$G$29:$G$38,$A42,'Ход 2027'!$I$29:$I$38)*(1+'Эффекты технологий'!K$7)</f>
        <v>0</v>
      </c>
      <c r="M42" s="22">
        <f>SUMIF('Ход 2028'!$G$29:$G$38,$A42,'Ход 2028'!$I$29:$I$38)*(1+'Эффекты технологий'!L$7)</f>
        <v>0</v>
      </c>
      <c r="N42" s="22">
        <f>SUMIF('Ход 2029'!$G$29:$G$38,$A42,'Ход 2029'!$I$29:$I$38)*(1+'Эффекты технологий'!M$7)</f>
        <v>0</v>
      </c>
      <c r="O42" s="22">
        <f>SUMIF('Ход 2030'!$G$29:$G$38,$A42,'Ход 2030'!$I$29:$I$38)*(1+'Эффекты технологий'!N$7)</f>
        <v>0</v>
      </c>
      <c r="P42" s="22">
        <f>SUMIF('Ход 2031'!$G$29:$G$38,$A42,'Ход 2031'!$I$29:$I$38)*(1+'Эффекты технологий'!O$7)</f>
        <v>0</v>
      </c>
      <c r="Q42" s="22">
        <f>SUMIF('Ход 2032'!$G$29:$G$38,$A42,'Ход 2032'!$I$29:$I$38)*(1+'Эффекты технологий'!P$7)</f>
        <v>0</v>
      </c>
      <c r="R42" s="22">
        <f>SUMIF('Ход 2033'!$G$29:$G$38,$A42,'Ход 2033'!$I$29:$I$38)*(1+'Эффекты технологий'!Q$7)</f>
        <v>0</v>
      </c>
      <c r="S42" s="22">
        <f>SUMIF('Ход 2034'!$G$29:$G$38,$A42,'Ход 2034'!$I$29:$I$38)*(1+'Эффекты технологий'!R$7)</f>
        <v>0</v>
      </c>
      <c r="T42" s="22">
        <f>SUMIF('Ход 2035'!$G$29:$G$38,$A42,'Ход 2035'!$I$29:$I$38)*(1+'Эффекты технологий'!S$7)</f>
        <v>0</v>
      </c>
      <c r="U42" s="22">
        <f>SUMIF('Ход 2036'!$G$29:$G$38,$A42,'Ход 2036'!$I$29:$I$38)*(1+'Эффекты технологий'!T$7)</f>
        <v>0</v>
      </c>
      <c r="V42" s="22">
        <f>SUMIF('Ход 2037'!$G$29:$G$38,$A42,'Ход 2037'!$I$29:$I$38)*(1+'Эффекты технологий'!U$7)</f>
        <v>0</v>
      </c>
      <c r="W42" s="22">
        <f>SUMIF('Ход 2038'!$G$29:$G$38,$A42,'Ход 2038'!$I$29:$I$38)*(1+'Эффекты технологий'!V$7)</f>
        <v>0</v>
      </c>
      <c r="X42" s="22">
        <f>SUMIF('Ход 2039'!$G$29:$G$38,$A42,'Ход 2039'!$I$29:$I$38)*(1+'Эффекты технологий'!W$7)</f>
        <v>0</v>
      </c>
      <c r="Y42" s="22">
        <f>SUMIF('Ход 2040'!$G$29:$G$38,$A42,'Ход 2040'!$I$29:$I$38)*(1+'Эффекты технологий'!X$7)</f>
        <v>0</v>
      </c>
      <c r="Z42" s="27">
        <f t="shared" si="3"/>
        <v>0</v>
      </c>
      <c r="AA42" s="27">
        <f t="shared" si="4"/>
        <v>35</v>
      </c>
      <c r="AB42" s="12" t="str">
        <f t="shared" si="5"/>
        <v>ОТКРЫТО</v>
      </c>
      <c r="AC42" s="28">
        <f t="shared" ref="AC42:AQ42" si="68">SUM($K42:K42)</f>
        <v>0</v>
      </c>
      <c r="AD42" s="28">
        <f t="shared" si="68"/>
        <v>0</v>
      </c>
      <c r="AE42" s="28">
        <f t="shared" si="68"/>
        <v>0</v>
      </c>
      <c r="AF42" s="28">
        <f t="shared" si="68"/>
        <v>0</v>
      </c>
      <c r="AG42" s="28">
        <f t="shared" si="68"/>
        <v>0</v>
      </c>
      <c r="AH42" s="28">
        <f t="shared" si="68"/>
        <v>0</v>
      </c>
      <c r="AI42" s="28">
        <f t="shared" si="68"/>
        <v>0</v>
      </c>
      <c r="AJ42" s="28">
        <f t="shared" si="68"/>
        <v>0</v>
      </c>
      <c r="AK42" s="28">
        <f t="shared" si="68"/>
        <v>0</v>
      </c>
      <c r="AL42" s="28">
        <f t="shared" si="68"/>
        <v>0</v>
      </c>
      <c r="AM42" s="28">
        <f t="shared" si="68"/>
        <v>0</v>
      </c>
      <c r="AN42" s="28">
        <f t="shared" si="68"/>
        <v>0</v>
      </c>
      <c r="AO42" s="28">
        <f t="shared" si="68"/>
        <v>0</v>
      </c>
      <c r="AP42" s="28">
        <f t="shared" si="68"/>
        <v>0</v>
      </c>
      <c r="AQ42" s="28">
        <f t="shared" si="68"/>
        <v>0</v>
      </c>
      <c r="AR42" s="28" t="str">
        <f t="shared" ref="AR42:BF42" si="69">IF(AND(AC42&gt;=$E42,TRUE),"ИЗУЧЕНО",IF(TRUE,"ОТКРЫТО","ЗАКРЫТО"))</f>
        <v>ОТКРЫТО</v>
      </c>
      <c r="AS42" s="28" t="str">
        <f t="shared" si="69"/>
        <v>ОТКРЫТО</v>
      </c>
      <c r="AT42" s="28" t="str">
        <f t="shared" si="69"/>
        <v>ОТКРЫТО</v>
      </c>
      <c r="AU42" s="28" t="str">
        <f t="shared" si="69"/>
        <v>ОТКРЫТО</v>
      </c>
      <c r="AV42" s="28" t="str">
        <f t="shared" si="69"/>
        <v>ОТКРЫТО</v>
      </c>
      <c r="AW42" s="28" t="str">
        <f t="shared" si="69"/>
        <v>ОТКРЫТО</v>
      </c>
      <c r="AX42" s="28" t="str">
        <f t="shared" si="69"/>
        <v>ОТКРЫТО</v>
      </c>
      <c r="AY42" s="28" t="str">
        <f t="shared" si="69"/>
        <v>ОТКРЫТО</v>
      </c>
      <c r="AZ42" s="28" t="str">
        <f t="shared" si="69"/>
        <v>ОТКРЫТО</v>
      </c>
      <c r="BA42" s="28" t="str">
        <f t="shared" si="69"/>
        <v>ОТКРЫТО</v>
      </c>
      <c r="BB42" s="28" t="str">
        <f t="shared" si="69"/>
        <v>ОТКРЫТО</v>
      </c>
      <c r="BC42" s="28" t="str">
        <f t="shared" si="69"/>
        <v>ОТКРЫТО</v>
      </c>
      <c r="BD42" s="28" t="str">
        <f t="shared" si="69"/>
        <v>ОТКРЫТО</v>
      </c>
      <c r="BE42" s="28" t="str">
        <f t="shared" si="69"/>
        <v>ОТКРЫТО</v>
      </c>
      <c r="BF42" s="28" t="str">
        <f t="shared" si="69"/>
        <v>ОТКРЫТО</v>
      </c>
      <c r="BG42" s="28" t="str">
        <f t="shared" si="8"/>
        <v/>
      </c>
      <c r="BH42" s="28" t="str">
        <f t="shared" si="9"/>
        <v/>
      </c>
    </row>
    <row r="43" ht="13.5" customHeight="1">
      <c r="A43" s="12" t="s">
        <v>356</v>
      </c>
      <c r="B43" s="12" t="s">
        <v>348</v>
      </c>
      <c r="C43" s="12" t="s">
        <v>145</v>
      </c>
      <c r="D43" s="12" t="s">
        <v>357</v>
      </c>
      <c r="E43" s="12">
        <v>40.0</v>
      </c>
      <c r="F43" s="12" t="s">
        <v>347</v>
      </c>
      <c r="G43" s="12"/>
      <c r="H43" s="12"/>
      <c r="I43" s="12" t="s">
        <v>358</v>
      </c>
      <c r="J43" s="12" t="s">
        <v>359</v>
      </c>
      <c r="K43" s="22">
        <f>SUMIF('Ход 2026'!$G$29:$G$38,$A43,'Ход 2026'!$I$29:$I$38)*(1+'Эффекты технологий'!J$7)</f>
        <v>0</v>
      </c>
      <c r="L43" s="22">
        <f>SUMIF('Ход 2027'!$G$29:$G$38,$A43,'Ход 2027'!$I$29:$I$38)*(1+'Эффекты технологий'!K$7)</f>
        <v>0</v>
      </c>
      <c r="M43" s="22">
        <f>SUMIF('Ход 2028'!$G$29:$G$38,$A43,'Ход 2028'!$I$29:$I$38)*(1+'Эффекты технологий'!L$7)</f>
        <v>0</v>
      </c>
      <c r="N43" s="22">
        <f>SUMIF('Ход 2029'!$G$29:$G$38,$A43,'Ход 2029'!$I$29:$I$38)*(1+'Эффекты технологий'!M$7)</f>
        <v>0</v>
      </c>
      <c r="O43" s="22">
        <f>SUMIF('Ход 2030'!$G$29:$G$38,$A43,'Ход 2030'!$I$29:$I$38)*(1+'Эффекты технологий'!N$7)</f>
        <v>0</v>
      </c>
      <c r="P43" s="22">
        <f>SUMIF('Ход 2031'!$G$29:$G$38,$A43,'Ход 2031'!$I$29:$I$38)*(1+'Эффекты технологий'!O$7)</f>
        <v>0</v>
      </c>
      <c r="Q43" s="22">
        <f>SUMIF('Ход 2032'!$G$29:$G$38,$A43,'Ход 2032'!$I$29:$I$38)*(1+'Эффекты технологий'!P$7)</f>
        <v>0</v>
      </c>
      <c r="R43" s="22">
        <f>SUMIF('Ход 2033'!$G$29:$G$38,$A43,'Ход 2033'!$I$29:$I$38)*(1+'Эффекты технологий'!Q$7)</f>
        <v>0</v>
      </c>
      <c r="S43" s="22">
        <f>SUMIF('Ход 2034'!$G$29:$G$38,$A43,'Ход 2034'!$I$29:$I$38)*(1+'Эффекты технологий'!R$7)</f>
        <v>0</v>
      </c>
      <c r="T43" s="22">
        <f>SUMIF('Ход 2035'!$G$29:$G$38,$A43,'Ход 2035'!$I$29:$I$38)*(1+'Эффекты технологий'!S$7)</f>
        <v>0</v>
      </c>
      <c r="U43" s="22">
        <f>SUMIF('Ход 2036'!$G$29:$G$38,$A43,'Ход 2036'!$I$29:$I$38)*(1+'Эффекты технологий'!T$7)</f>
        <v>0</v>
      </c>
      <c r="V43" s="22">
        <f>SUMIF('Ход 2037'!$G$29:$G$38,$A43,'Ход 2037'!$I$29:$I$38)*(1+'Эффекты технологий'!U$7)</f>
        <v>0</v>
      </c>
      <c r="W43" s="22">
        <f>SUMIF('Ход 2038'!$G$29:$G$38,$A43,'Ход 2038'!$I$29:$I$38)*(1+'Эффекты технологий'!V$7)</f>
        <v>0</v>
      </c>
      <c r="X43" s="22">
        <f>SUMIF('Ход 2039'!$G$29:$G$38,$A43,'Ход 2039'!$I$29:$I$38)*(1+'Эффекты технологий'!W$7)</f>
        <v>0</v>
      </c>
      <c r="Y43" s="22">
        <f>SUMIF('Ход 2040'!$G$29:$G$38,$A43,'Ход 2040'!$I$29:$I$38)*(1+'Эффекты технологий'!X$7)</f>
        <v>0</v>
      </c>
      <c r="Z43" s="27">
        <f t="shared" si="3"/>
        <v>0</v>
      </c>
      <c r="AA43" s="27">
        <f t="shared" si="4"/>
        <v>40</v>
      </c>
      <c r="AB43" s="12" t="str">
        <f t="shared" si="5"/>
        <v>ОТКРЫТО</v>
      </c>
      <c r="AC43" s="28">
        <f t="shared" ref="AC43:AQ43" si="70">SUM($K43:K43)</f>
        <v>0</v>
      </c>
      <c r="AD43" s="28">
        <f t="shared" si="70"/>
        <v>0</v>
      </c>
      <c r="AE43" s="28">
        <f t="shared" si="70"/>
        <v>0</v>
      </c>
      <c r="AF43" s="28">
        <f t="shared" si="70"/>
        <v>0</v>
      </c>
      <c r="AG43" s="28">
        <f t="shared" si="70"/>
        <v>0</v>
      </c>
      <c r="AH43" s="28">
        <f t="shared" si="70"/>
        <v>0</v>
      </c>
      <c r="AI43" s="28">
        <f t="shared" si="70"/>
        <v>0</v>
      </c>
      <c r="AJ43" s="28">
        <f t="shared" si="70"/>
        <v>0</v>
      </c>
      <c r="AK43" s="28">
        <f t="shared" si="70"/>
        <v>0</v>
      </c>
      <c r="AL43" s="28">
        <f t="shared" si="70"/>
        <v>0</v>
      </c>
      <c r="AM43" s="28">
        <f t="shared" si="70"/>
        <v>0</v>
      </c>
      <c r="AN43" s="28">
        <f t="shared" si="70"/>
        <v>0</v>
      </c>
      <c r="AO43" s="28">
        <f t="shared" si="70"/>
        <v>0</v>
      </c>
      <c r="AP43" s="28">
        <f t="shared" si="70"/>
        <v>0</v>
      </c>
      <c r="AQ43" s="28">
        <f t="shared" si="70"/>
        <v>0</v>
      </c>
      <c r="AR43" s="28" t="str">
        <f t="shared" ref="AR43:BF43" si="71">IF(AND(AC43&gt;=$E43,TRUE),"ИЗУЧЕНО",IF(TRUE,"ОТКРЫТО","ЗАКРЫТО"))</f>
        <v>ОТКРЫТО</v>
      </c>
      <c r="AS43" s="28" t="str">
        <f t="shared" si="71"/>
        <v>ОТКРЫТО</v>
      </c>
      <c r="AT43" s="28" t="str">
        <f t="shared" si="71"/>
        <v>ОТКРЫТО</v>
      </c>
      <c r="AU43" s="28" t="str">
        <f t="shared" si="71"/>
        <v>ОТКРЫТО</v>
      </c>
      <c r="AV43" s="28" t="str">
        <f t="shared" si="71"/>
        <v>ОТКРЫТО</v>
      </c>
      <c r="AW43" s="28" t="str">
        <f t="shared" si="71"/>
        <v>ОТКРЫТО</v>
      </c>
      <c r="AX43" s="28" t="str">
        <f t="shared" si="71"/>
        <v>ОТКРЫТО</v>
      </c>
      <c r="AY43" s="28" t="str">
        <f t="shared" si="71"/>
        <v>ОТКРЫТО</v>
      </c>
      <c r="AZ43" s="28" t="str">
        <f t="shared" si="71"/>
        <v>ОТКРЫТО</v>
      </c>
      <c r="BA43" s="28" t="str">
        <f t="shared" si="71"/>
        <v>ОТКРЫТО</v>
      </c>
      <c r="BB43" s="28" t="str">
        <f t="shared" si="71"/>
        <v>ОТКРЫТО</v>
      </c>
      <c r="BC43" s="28" t="str">
        <f t="shared" si="71"/>
        <v>ОТКРЫТО</v>
      </c>
      <c r="BD43" s="28" t="str">
        <f t="shared" si="71"/>
        <v>ОТКРЫТО</v>
      </c>
      <c r="BE43" s="28" t="str">
        <f t="shared" si="71"/>
        <v>ОТКРЫТО</v>
      </c>
      <c r="BF43" s="28" t="str">
        <f t="shared" si="71"/>
        <v>ОТКРЫТО</v>
      </c>
      <c r="BG43" s="28" t="str">
        <f t="shared" si="8"/>
        <v/>
      </c>
      <c r="BH43" s="28" t="str">
        <f t="shared" si="9"/>
        <v/>
      </c>
    </row>
    <row r="44" ht="13.5" customHeight="1">
      <c r="A44" s="12" t="s">
        <v>360</v>
      </c>
      <c r="B44" s="12" t="s">
        <v>348</v>
      </c>
      <c r="C44" s="12" t="s">
        <v>194</v>
      </c>
      <c r="D44" s="12" t="s">
        <v>361</v>
      </c>
      <c r="E44" s="12">
        <v>65.0</v>
      </c>
      <c r="F44" s="12" t="s">
        <v>352</v>
      </c>
      <c r="G44" s="12" t="s">
        <v>356</v>
      </c>
      <c r="H44" s="12"/>
      <c r="I44" s="12" t="s">
        <v>362</v>
      </c>
      <c r="J44" s="12" t="s">
        <v>363</v>
      </c>
      <c r="K44" s="22">
        <f>SUMIF('Ход 2026'!$G$29:$G$38,$A44,'Ход 2026'!$I$29:$I$38)*(1+'Эффекты технологий'!J$7)</f>
        <v>0</v>
      </c>
      <c r="L44" s="22">
        <f>SUMIF('Ход 2027'!$G$29:$G$38,$A44,'Ход 2027'!$I$29:$I$38)*(1+'Эффекты технологий'!K$7)</f>
        <v>0</v>
      </c>
      <c r="M44" s="22">
        <f>SUMIF('Ход 2028'!$G$29:$G$38,$A44,'Ход 2028'!$I$29:$I$38)*(1+'Эффекты технологий'!L$7)</f>
        <v>0</v>
      </c>
      <c r="N44" s="22">
        <f>SUMIF('Ход 2029'!$G$29:$G$38,$A44,'Ход 2029'!$I$29:$I$38)*(1+'Эффекты технологий'!M$7)</f>
        <v>0</v>
      </c>
      <c r="O44" s="22">
        <f>SUMIF('Ход 2030'!$G$29:$G$38,$A44,'Ход 2030'!$I$29:$I$38)*(1+'Эффекты технологий'!N$7)</f>
        <v>0</v>
      </c>
      <c r="P44" s="22">
        <f>SUMIF('Ход 2031'!$G$29:$G$38,$A44,'Ход 2031'!$I$29:$I$38)*(1+'Эффекты технологий'!O$7)</f>
        <v>0</v>
      </c>
      <c r="Q44" s="22">
        <f>SUMIF('Ход 2032'!$G$29:$G$38,$A44,'Ход 2032'!$I$29:$I$38)*(1+'Эффекты технологий'!P$7)</f>
        <v>0</v>
      </c>
      <c r="R44" s="22">
        <f>SUMIF('Ход 2033'!$G$29:$G$38,$A44,'Ход 2033'!$I$29:$I$38)*(1+'Эффекты технологий'!Q$7)</f>
        <v>0</v>
      </c>
      <c r="S44" s="22">
        <f>SUMIF('Ход 2034'!$G$29:$G$38,$A44,'Ход 2034'!$I$29:$I$38)*(1+'Эффекты технологий'!R$7)</f>
        <v>0</v>
      </c>
      <c r="T44" s="22">
        <f>SUMIF('Ход 2035'!$G$29:$G$38,$A44,'Ход 2035'!$I$29:$I$38)*(1+'Эффекты технологий'!S$7)</f>
        <v>0</v>
      </c>
      <c r="U44" s="22">
        <f>SUMIF('Ход 2036'!$G$29:$G$38,$A44,'Ход 2036'!$I$29:$I$38)*(1+'Эффекты технологий'!T$7)</f>
        <v>0</v>
      </c>
      <c r="V44" s="22">
        <f>SUMIF('Ход 2037'!$G$29:$G$38,$A44,'Ход 2037'!$I$29:$I$38)*(1+'Эффекты технологий'!U$7)</f>
        <v>0</v>
      </c>
      <c r="W44" s="22">
        <f>SUMIF('Ход 2038'!$G$29:$G$38,$A44,'Ход 2038'!$I$29:$I$38)*(1+'Эффекты технологий'!V$7)</f>
        <v>0</v>
      </c>
      <c r="X44" s="22">
        <f>SUMIF('Ход 2039'!$G$29:$G$38,$A44,'Ход 2039'!$I$29:$I$38)*(1+'Эффекты технологий'!W$7)</f>
        <v>0</v>
      </c>
      <c r="Y44" s="22">
        <f>SUMIF('Ход 2040'!$G$29:$G$38,$A44,'Ход 2040'!$I$29:$I$38)*(1+'Эффекты технологий'!X$7)</f>
        <v>0</v>
      </c>
      <c r="Z44" s="27">
        <f t="shared" si="3"/>
        <v>0</v>
      </c>
      <c r="AA44" s="27">
        <f t="shared" si="4"/>
        <v>65</v>
      </c>
      <c r="AB44" s="12" t="str">
        <f t="shared" si="5"/>
        <v>ОТКРЫТО</v>
      </c>
      <c r="AC44" s="28">
        <f t="shared" ref="AC44:AQ44" si="72">SUM($K44:K44)</f>
        <v>0</v>
      </c>
      <c r="AD44" s="28">
        <f t="shared" si="72"/>
        <v>0</v>
      </c>
      <c r="AE44" s="28">
        <f t="shared" si="72"/>
        <v>0</v>
      </c>
      <c r="AF44" s="28">
        <f t="shared" si="72"/>
        <v>0</v>
      </c>
      <c r="AG44" s="28">
        <f t="shared" si="72"/>
        <v>0</v>
      </c>
      <c r="AH44" s="28">
        <f t="shared" si="72"/>
        <v>0</v>
      </c>
      <c r="AI44" s="28">
        <f t="shared" si="72"/>
        <v>0</v>
      </c>
      <c r="AJ44" s="28">
        <f t="shared" si="72"/>
        <v>0</v>
      </c>
      <c r="AK44" s="28">
        <f t="shared" si="72"/>
        <v>0</v>
      </c>
      <c r="AL44" s="28">
        <f t="shared" si="72"/>
        <v>0</v>
      </c>
      <c r="AM44" s="28">
        <f t="shared" si="72"/>
        <v>0</v>
      </c>
      <c r="AN44" s="28">
        <f t="shared" si="72"/>
        <v>0</v>
      </c>
      <c r="AO44" s="28">
        <f t="shared" si="72"/>
        <v>0</v>
      </c>
      <c r="AP44" s="28">
        <f t="shared" si="72"/>
        <v>0</v>
      </c>
      <c r="AQ44" s="28">
        <f t="shared" si="72"/>
        <v>0</v>
      </c>
      <c r="AR44" s="28" t="str">
        <f t="shared" ref="AR44:BF44" si="73">IF(AND(AC44&gt;=$E44,TRUE),"ИЗУЧЕНО",IF(TRUE,"ОТКРЫТО","ЗАКРЫТО"))</f>
        <v>ОТКРЫТО</v>
      </c>
      <c r="AS44" s="28" t="str">
        <f t="shared" si="73"/>
        <v>ОТКРЫТО</v>
      </c>
      <c r="AT44" s="28" t="str">
        <f t="shared" si="73"/>
        <v>ОТКРЫТО</v>
      </c>
      <c r="AU44" s="28" t="str">
        <f t="shared" si="73"/>
        <v>ОТКРЫТО</v>
      </c>
      <c r="AV44" s="28" t="str">
        <f t="shared" si="73"/>
        <v>ОТКРЫТО</v>
      </c>
      <c r="AW44" s="28" t="str">
        <f t="shared" si="73"/>
        <v>ОТКРЫТО</v>
      </c>
      <c r="AX44" s="28" t="str">
        <f t="shared" si="73"/>
        <v>ОТКРЫТО</v>
      </c>
      <c r="AY44" s="28" t="str">
        <f t="shared" si="73"/>
        <v>ОТКРЫТО</v>
      </c>
      <c r="AZ44" s="28" t="str">
        <f t="shared" si="73"/>
        <v>ОТКРЫТО</v>
      </c>
      <c r="BA44" s="28" t="str">
        <f t="shared" si="73"/>
        <v>ОТКРЫТО</v>
      </c>
      <c r="BB44" s="28" t="str">
        <f t="shared" si="73"/>
        <v>ОТКРЫТО</v>
      </c>
      <c r="BC44" s="28" t="str">
        <f t="shared" si="73"/>
        <v>ОТКРЫТО</v>
      </c>
      <c r="BD44" s="28" t="str">
        <f t="shared" si="73"/>
        <v>ОТКРЫТО</v>
      </c>
      <c r="BE44" s="28" t="str">
        <f t="shared" si="73"/>
        <v>ОТКРЫТО</v>
      </c>
      <c r="BF44" s="28" t="str">
        <f t="shared" si="73"/>
        <v>ОТКРЫТО</v>
      </c>
      <c r="BG44" s="28" t="str">
        <f t="shared" si="8"/>
        <v/>
      </c>
      <c r="BH44" s="28" t="str">
        <f t="shared" si="9"/>
        <v/>
      </c>
    </row>
    <row r="45" ht="13.5" customHeight="1">
      <c r="A45" s="12" t="s">
        <v>364</v>
      </c>
      <c r="B45" s="12" t="s">
        <v>348</v>
      </c>
      <c r="C45" s="12" t="s">
        <v>220</v>
      </c>
      <c r="D45" s="12" t="s">
        <v>365</v>
      </c>
      <c r="E45" s="12">
        <v>100.0</v>
      </c>
      <c r="F45" s="12" t="s">
        <v>360</v>
      </c>
      <c r="G45" s="12"/>
      <c r="H45" s="12"/>
      <c r="I45" s="12" t="s">
        <v>366</v>
      </c>
      <c r="J45" s="12" t="s">
        <v>367</v>
      </c>
      <c r="K45" s="22">
        <f>SUMIF('Ход 2026'!$G$29:$G$38,$A45,'Ход 2026'!$I$29:$I$38)*(1+'Эффекты технологий'!J$7)</f>
        <v>0</v>
      </c>
      <c r="L45" s="22">
        <f>SUMIF('Ход 2027'!$G$29:$G$38,$A45,'Ход 2027'!$I$29:$I$38)*(1+'Эффекты технологий'!K$7)</f>
        <v>0</v>
      </c>
      <c r="M45" s="22">
        <f>SUMIF('Ход 2028'!$G$29:$G$38,$A45,'Ход 2028'!$I$29:$I$38)*(1+'Эффекты технологий'!L$7)</f>
        <v>0</v>
      </c>
      <c r="N45" s="22">
        <f>SUMIF('Ход 2029'!$G$29:$G$38,$A45,'Ход 2029'!$I$29:$I$38)*(1+'Эффекты технологий'!M$7)</f>
        <v>0</v>
      </c>
      <c r="O45" s="22">
        <f>SUMIF('Ход 2030'!$G$29:$G$38,$A45,'Ход 2030'!$I$29:$I$38)*(1+'Эффекты технологий'!N$7)</f>
        <v>0</v>
      </c>
      <c r="P45" s="22">
        <f>SUMIF('Ход 2031'!$G$29:$G$38,$A45,'Ход 2031'!$I$29:$I$38)*(1+'Эффекты технологий'!O$7)</f>
        <v>0</v>
      </c>
      <c r="Q45" s="22">
        <f>SUMIF('Ход 2032'!$G$29:$G$38,$A45,'Ход 2032'!$I$29:$I$38)*(1+'Эффекты технологий'!P$7)</f>
        <v>0</v>
      </c>
      <c r="R45" s="22">
        <f>SUMIF('Ход 2033'!$G$29:$G$38,$A45,'Ход 2033'!$I$29:$I$38)*(1+'Эффекты технологий'!Q$7)</f>
        <v>0</v>
      </c>
      <c r="S45" s="22">
        <f>SUMIF('Ход 2034'!$G$29:$G$38,$A45,'Ход 2034'!$I$29:$I$38)*(1+'Эффекты технологий'!R$7)</f>
        <v>0</v>
      </c>
      <c r="T45" s="22">
        <f>SUMIF('Ход 2035'!$G$29:$G$38,$A45,'Ход 2035'!$I$29:$I$38)*(1+'Эффекты технологий'!S$7)</f>
        <v>0</v>
      </c>
      <c r="U45" s="22">
        <f>SUMIF('Ход 2036'!$G$29:$G$38,$A45,'Ход 2036'!$I$29:$I$38)*(1+'Эффекты технологий'!T$7)</f>
        <v>0</v>
      </c>
      <c r="V45" s="22">
        <f>SUMIF('Ход 2037'!$G$29:$G$38,$A45,'Ход 2037'!$I$29:$I$38)*(1+'Эффекты технологий'!U$7)</f>
        <v>0</v>
      </c>
      <c r="W45" s="22">
        <f>SUMIF('Ход 2038'!$G$29:$G$38,$A45,'Ход 2038'!$I$29:$I$38)*(1+'Эффекты технологий'!V$7)</f>
        <v>0</v>
      </c>
      <c r="X45" s="22">
        <f>SUMIF('Ход 2039'!$G$29:$G$38,$A45,'Ход 2039'!$I$29:$I$38)*(1+'Эффекты технологий'!W$7)</f>
        <v>0</v>
      </c>
      <c r="Y45" s="22">
        <f>SUMIF('Ход 2040'!$G$29:$G$38,$A45,'Ход 2040'!$I$29:$I$38)*(1+'Эффекты технологий'!X$7)</f>
        <v>0</v>
      </c>
      <c r="Z45" s="27">
        <f t="shared" si="3"/>
        <v>0</v>
      </c>
      <c r="AA45" s="27">
        <f t="shared" si="4"/>
        <v>100</v>
      </c>
      <c r="AB45" s="12" t="str">
        <f t="shared" si="5"/>
        <v>ОТКРЫТО</v>
      </c>
      <c r="AC45" s="28">
        <f t="shared" ref="AC45:AQ45" si="74">SUM($K45:K45)</f>
        <v>0</v>
      </c>
      <c r="AD45" s="28">
        <f t="shared" si="74"/>
        <v>0</v>
      </c>
      <c r="AE45" s="28">
        <f t="shared" si="74"/>
        <v>0</v>
      </c>
      <c r="AF45" s="28">
        <f t="shared" si="74"/>
        <v>0</v>
      </c>
      <c r="AG45" s="28">
        <f t="shared" si="74"/>
        <v>0</v>
      </c>
      <c r="AH45" s="28">
        <f t="shared" si="74"/>
        <v>0</v>
      </c>
      <c r="AI45" s="28">
        <f t="shared" si="74"/>
        <v>0</v>
      </c>
      <c r="AJ45" s="28">
        <f t="shared" si="74"/>
        <v>0</v>
      </c>
      <c r="AK45" s="28">
        <f t="shared" si="74"/>
        <v>0</v>
      </c>
      <c r="AL45" s="28">
        <f t="shared" si="74"/>
        <v>0</v>
      </c>
      <c r="AM45" s="28">
        <f t="shared" si="74"/>
        <v>0</v>
      </c>
      <c r="AN45" s="28">
        <f t="shared" si="74"/>
        <v>0</v>
      </c>
      <c r="AO45" s="28">
        <f t="shared" si="74"/>
        <v>0</v>
      </c>
      <c r="AP45" s="28">
        <f t="shared" si="74"/>
        <v>0</v>
      </c>
      <c r="AQ45" s="28">
        <f t="shared" si="74"/>
        <v>0</v>
      </c>
      <c r="AR45" s="28" t="str">
        <f t="shared" ref="AR45:BF45" si="75">IF(AND(AC45&gt;=$E45,TRUE),"ИЗУЧЕНО",IF(TRUE,"ОТКРЫТО","ЗАКРЫТО"))</f>
        <v>ОТКРЫТО</v>
      </c>
      <c r="AS45" s="28" t="str">
        <f t="shared" si="75"/>
        <v>ОТКРЫТО</v>
      </c>
      <c r="AT45" s="28" t="str">
        <f t="shared" si="75"/>
        <v>ОТКРЫТО</v>
      </c>
      <c r="AU45" s="28" t="str">
        <f t="shared" si="75"/>
        <v>ОТКРЫТО</v>
      </c>
      <c r="AV45" s="28" t="str">
        <f t="shared" si="75"/>
        <v>ОТКРЫТО</v>
      </c>
      <c r="AW45" s="28" t="str">
        <f t="shared" si="75"/>
        <v>ОТКРЫТО</v>
      </c>
      <c r="AX45" s="28" t="str">
        <f t="shared" si="75"/>
        <v>ОТКРЫТО</v>
      </c>
      <c r="AY45" s="28" t="str">
        <f t="shared" si="75"/>
        <v>ОТКРЫТО</v>
      </c>
      <c r="AZ45" s="28" t="str">
        <f t="shared" si="75"/>
        <v>ОТКРЫТО</v>
      </c>
      <c r="BA45" s="28" t="str">
        <f t="shared" si="75"/>
        <v>ОТКРЫТО</v>
      </c>
      <c r="BB45" s="28" t="str">
        <f t="shared" si="75"/>
        <v>ОТКРЫТО</v>
      </c>
      <c r="BC45" s="28" t="str">
        <f t="shared" si="75"/>
        <v>ОТКРЫТО</v>
      </c>
      <c r="BD45" s="28" t="str">
        <f t="shared" si="75"/>
        <v>ОТКРЫТО</v>
      </c>
      <c r="BE45" s="28" t="str">
        <f t="shared" si="75"/>
        <v>ОТКРЫТО</v>
      </c>
      <c r="BF45" s="28" t="str">
        <f t="shared" si="75"/>
        <v>ОТКРЫТО</v>
      </c>
      <c r="BG45" s="28" t="str">
        <f t="shared" si="8"/>
        <v/>
      </c>
      <c r="BH45" s="28" t="str">
        <f t="shared" si="9"/>
        <v/>
      </c>
    </row>
    <row r="46" ht="13.5" customHeight="1">
      <c r="A46" s="12" t="s">
        <v>369</v>
      </c>
      <c r="B46" s="12" t="s">
        <v>348</v>
      </c>
      <c r="C46" s="12" t="s">
        <v>230</v>
      </c>
      <c r="D46" s="12" t="s">
        <v>370</v>
      </c>
      <c r="E46" s="12">
        <v>150.0</v>
      </c>
      <c r="F46" s="12" t="s">
        <v>364</v>
      </c>
      <c r="G46" s="12"/>
      <c r="H46" s="12"/>
      <c r="I46" s="12" t="s">
        <v>371</v>
      </c>
      <c r="J46" s="12" t="s">
        <v>372</v>
      </c>
      <c r="K46" s="22">
        <f>SUMIF('Ход 2026'!$G$29:$G$38,$A46,'Ход 2026'!$I$29:$I$38)*(1+'Эффекты технологий'!J$7)</f>
        <v>0</v>
      </c>
      <c r="L46" s="22">
        <f>SUMIF('Ход 2027'!$G$29:$G$38,$A46,'Ход 2027'!$I$29:$I$38)*(1+'Эффекты технологий'!K$7)</f>
        <v>0</v>
      </c>
      <c r="M46" s="22">
        <f>SUMIF('Ход 2028'!$G$29:$G$38,$A46,'Ход 2028'!$I$29:$I$38)*(1+'Эффекты технологий'!L$7)</f>
        <v>0</v>
      </c>
      <c r="N46" s="22">
        <f>SUMIF('Ход 2029'!$G$29:$G$38,$A46,'Ход 2029'!$I$29:$I$38)*(1+'Эффекты технологий'!M$7)</f>
        <v>0</v>
      </c>
      <c r="O46" s="22">
        <f>SUMIF('Ход 2030'!$G$29:$G$38,$A46,'Ход 2030'!$I$29:$I$38)*(1+'Эффекты технологий'!N$7)</f>
        <v>0</v>
      </c>
      <c r="P46" s="22">
        <f>SUMIF('Ход 2031'!$G$29:$G$38,$A46,'Ход 2031'!$I$29:$I$38)*(1+'Эффекты технологий'!O$7)</f>
        <v>0</v>
      </c>
      <c r="Q46" s="22">
        <f>SUMIF('Ход 2032'!$G$29:$G$38,$A46,'Ход 2032'!$I$29:$I$38)*(1+'Эффекты технологий'!P$7)</f>
        <v>0</v>
      </c>
      <c r="R46" s="22">
        <f>SUMIF('Ход 2033'!$G$29:$G$38,$A46,'Ход 2033'!$I$29:$I$38)*(1+'Эффекты технологий'!Q$7)</f>
        <v>0</v>
      </c>
      <c r="S46" s="22">
        <f>SUMIF('Ход 2034'!$G$29:$G$38,$A46,'Ход 2034'!$I$29:$I$38)*(1+'Эффекты технологий'!R$7)</f>
        <v>0</v>
      </c>
      <c r="T46" s="22">
        <f>SUMIF('Ход 2035'!$G$29:$G$38,$A46,'Ход 2035'!$I$29:$I$38)*(1+'Эффекты технологий'!S$7)</f>
        <v>0</v>
      </c>
      <c r="U46" s="22">
        <f>SUMIF('Ход 2036'!$G$29:$G$38,$A46,'Ход 2036'!$I$29:$I$38)*(1+'Эффекты технологий'!T$7)</f>
        <v>0</v>
      </c>
      <c r="V46" s="22">
        <f>SUMIF('Ход 2037'!$G$29:$G$38,$A46,'Ход 2037'!$I$29:$I$38)*(1+'Эффекты технологий'!U$7)</f>
        <v>0</v>
      </c>
      <c r="W46" s="22">
        <f>SUMIF('Ход 2038'!$G$29:$G$38,$A46,'Ход 2038'!$I$29:$I$38)*(1+'Эффекты технологий'!V$7)</f>
        <v>0</v>
      </c>
      <c r="X46" s="22">
        <f>SUMIF('Ход 2039'!$G$29:$G$38,$A46,'Ход 2039'!$I$29:$I$38)*(1+'Эффекты технологий'!W$7)</f>
        <v>0</v>
      </c>
      <c r="Y46" s="22">
        <f>SUMIF('Ход 2040'!$G$29:$G$38,$A46,'Ход 2040'!$I$29:$I$38)*(1+'Эффекты технологий'!X$7)</f>
        <v>0</v>
      </c>
      <c r="Z46" s="27">
        <f t="shared" si="3"/>
        <v>0</v>
      </c>
      <c r="AA46" s="27">
        <f t="shared" si="4"/>
        <v>150</v>
      </c>
      <c r="AB46" s="12" t="str">
        <f t="shared" si="5"/>
        <v>ОТКРЫТО</v>
      </c>
      <c r="AC46" s="28">
        <f t="shared" ref="AC46:AQ46" si="76">SUM($K46:K46)</f>
        <v>0</v>
      </c>
      <c r="AD46" s="28">
        <f t="shared" si="76"/>
        <v>0</v>
      </c>
      <c r="AE46" s="28">
        <f t="shared" si="76"/>
        <v>0</v>
      </c>
      <c r="AF46" s="28">
        <f t="shared" si="76"/>
        <v>0</v>
      </c>
      <c r="AG46" s="28">
        <f t="shared" si="76"/>
        <v>0</v>
      </c>
      <c r="AH46" s="28">
        <f t="shared" si="76"/>
        <v>0</v>
      </c>
      <c r="AI46" s="28">
        <f t="shared" si="76"/>
        <v>0</v>
      </c>
      <c r="AJ46" s="28">
        <f t="shared" si="76"/>
        <v>0</v>
      </c>
      <c r="AK46" s="28">
        <f t="shared" si="76"/>
        <v>0</v>
      </c>
      <c r="AL46" s="28">
        <f t="shared" si="76"/>
        <v>0</v>
      </c>
      <c r="AM46" s="28">
        <f t="shared" si="76"/>
        <v>0</v>
      </c>
      <c r="AN46" s="28">
        <f t="shared" si="76"/>
        <v>0</v>
      </c>
      <c r="AO46" s="28">
        <f t="shared" si="76"/>
        <v>0</v>
      </c>
      <c r="AP46" s="28">
        <f t="shared" si="76"/>
        <v>0</v>
      </c>
      <c r="AQ46" s="28">
        <f t="shared" si="76"/>
        <v>0</v>
      </c>
      <c r="AR46" s="28" t="str">
        <f t="shared" ref="AR46:BF46" si="77">IF(AND(AC46&gt;=$E46,TRUE),"ИЗУЧЕНО",IF(TRUE,"ОТКРЫТО","ЗАКРЫТО"))</f>
        <v>ОТКРЫТО</v>
      </c>
      <c r="AS46" s="28" t="str">
        <f t="shared" si="77"/>
        <v>ОТКРЫТО</v>
      </c>
      <c r="AT46" s="28" t="str">
        <f t="shared" si="77"/>
        <v>ОТКРЫТО</v>
      </c>
      <c r="AU46" s="28" t="str">
        <f t="shared" si="77"/>
        <v>ОТКРЫТО</v>
      </c>
      <c r="AV46" s="28" t="str">
        <f t="shared" si="77"/>
        <v>ОТКРЫТО</v>
      </c>
      <c r="AW46" s="28" t="str">
        <f t="shared" si="77"/>
        <v>ОТКРЫТО</v>
      </c>
      <c r="AX46" s="28" t="str">
        <f t="shared" si="77"/>
        <v>ОТКРЫТО</v>
      </c>
      <c r="AY46" s="28" t="str">
        <f t="shared" si="77"/>
        <v>ОТКРЫТО</v>
      </c>
      <c r="AZ46" s="28" t="str">
        <f t="shared" si="77"/>
        <v>ОТКРЫТО</v>
      </c>
      <c r="BA46" s="28" t="str">
        <f t="shared" si="77"/>
        <v>ОТКРЫТО</v>
      </c>
      <c r="BB46" s="28" t="str">
        <f t="shared" si="77"/>
        <v>ОТКРЫТО</v>
      </c>
      <c r="BC46" s="28" t="str">
        <f t="shared" si="77"/>
        <v>ОТКРЫТО</v>
      </c>
      <c r="BD46" s="28" t="str">
        <f t="shared" si="77"/>
        <v>ОТКРЫТО</v>
      </c>
      <c r="BE46" s="28" t="str">
        <f t="shared" si="77"/>
        <v>ОТКРЫТО</v>
      </c>
      <c r="BF46" s="28" t="str">
        <f t="shared" si="77"/>
        <v>ОТКРЫТО</v>
      </c>
      <c r="BG46" s="28" t="str">
        <f t="shared" si="8"/>
        <v/>
      </c>
      <c r="BH46" s="28" t="str">
        <f t="shared" si="9"/>
        <v/>
      </c>
    </row>
    <row r="47" ht="13.5" customHeight="1">
      <c r="A47" s="12" t="s">
        <v>373</v>
      </c>
      <c r="B47" s="12" t="s">
        <v>374</v>
      </c>
      <c r="C47" s="12" t="s">
        <v>220</v>
      </c>
      <c r="D47" s="12" t="s">
        <v>375</v>
      </c>
      <c r="E47" s="12">
        <v>100.0</v>
      </c>
      <c r="F47" s="12" t="s">
        <v>256</v>
      </c>
      <c r="G47" s="12" t="s">
        <v>283</v>
      </c>
      <c r="H47" s="12" t="s">
        <v>305</v>
      </c>
      <c r="I47" s="12" t="s">
        <v>376</v>
      </c>
      <c r="J47" s="12" t="s">
        <v>377</v>
      </c>
      <c r="K47" s="22">
        <f>SUMIF('Ход 2026'!$G$29:$G$38,$A47,'Ход 2026'!$I$29:$I$38)*(1+'Эффекты технологий'!J$7+'Эффекты технологий'!J$9)</f>
        <v>0</v>
      </c>
      <c r="L47" s="22">
        <f>SUMIF('Ход 2027'!$G$29:$G$38,$A47,'Ход 2027'!$I$29:$I$38)*(1+'Эффекты технологий'!K$7+'Эффекты технологий'!K$9)</f>
        <v>0</v>
      </c>
      <c r="M47" s="22">
        <f>SUMIF('Ход 2028'!$G$29:$G$38,$A47,'Ход 2028'!$I$29:$I$38)*(1+'Эффекты технологий'!L$7+'Эффекты технологий'!L$9)</f>
        <v>0</v>
      </c>
      <c r="N47" s="22">
        <f>SUMIF('Ход 2029'!$G$29:$G$38,$A47,'Ход 2029'!$I$29:$I$38)*(1+'Эффекты технологий'!M$7+'Эффекты технологий'!M$9)</f>
        <v>0</v>
      </c>
      <c r="O47" s="22">
        <f>SUMIF('Ход 2030'!$G$29:$G$38,$A47,'Ход 2030'!$I$29:$I$38)*(1+'Эффекты технологий'!N$7+'Эффекты технологий'!N$9)</f>
        <v>0</v>
      </c>
      <c r="P47" s="22">
        <f>SUMIF('Ход 2031'!$G$29:$G$38,$A47,'Ход 2031'!$I$29:$I$38)*(1+'Эффекты технологий'!O$7+'Эффекты технологий'!O$9)</f>
        <v>0</v>
      </c>
      <c r="Q47" s="22">
        <f>SUMIF('Ход 2032'!$G$29:$G$38,$A47,'Ход 2032'!$I$29:$I$38)*(1+'Эффекты технологий'!P$7+'Эффекты технологий'!P$9)</f>
        <v>0</v>
      </c>
      <c r="R47" s="22">
        <f>SUMIF('Ход 2033'!$G$29:$G$38,$A47,'Ход 2033'!$I$29:$I$38)*(1+'Эффекты технологий'!Q$7+'Эффекты технологий'!Q$9)</f>
        <v>0</v>
      </c>
      <c r="S47" s="22">
        <f>SUMIF('Ход 2034'!$G$29:$G$38,$A47,'Ход 2034'!$I$29:$I$38)*(1+'Эффекты технологий'!R$7+'Эффекты технологий'!R$9)</f>
        <v>0</v>
      </c>
      <c r="T47" s="22">
        <f>SUMIF('Ход 2035'!$G$29:$G$38,$A47,'Ход 2035'!$I$29:$I$38)*(1+'Эффекты технологий'!S$7+'Эффекты технологий'!S$9)</f>
        <v>0</v>
      </c>
      <c r="U47" s="22">
        <f>SUMIF('Ход 2036'!$G$29:$G$38,$A47,'Ход 2036'!$I$29:$I$38)*(1+'Эффекты технологий'!T$7+'Эффекты технологий'!T$9)</f>
        <v>0</v>
      </c>
      <c r="V47" s="22">
        <f>SUMIF('Ход 2037'!$G$29:$G$38,$A47,'Ход 2037'!$I$29:$I$38)*(1+'Эффекты технологий'!U$7+'Эффекты технологий'!U$9)</f>
        <v>0</v>
      </c>
      <c r="W47" s="22">
        <f>SUMIF('Ход 2038'!$G$29:$G$38,$A47,'Ход 2038'!$I$29:$I$38)*(1+'Эффекты технологий'!V$7+'Эффекты технологий'!V$9)</f>
        <v>0</v>
      </c>
      <c r="X47" s="22">
        <f>SUMIF('Ход 2039'!$G$29:$G$38,$A47,'Ход 2039'!$I$29:$I$38)*(1+'Эффекты технологий'!W$7+'Эффекты технологий'!W$9)</f>
        <v>0</v>
      </c>
      <c r="Y47" s="22">
        <f>SUMIF('Ход 2040'!$G$29:$G$38,$A47,'Ход 2040'!$I$29:$I$38)*(1+'Эффекты технологий'!X$7+'Эффекты технологий'!X$9)</f>
        <v>0</v>
      </c>
      <c r="Z47" s="27">
        <f t="shared" si="3"/>
        <v>0</v>
      </c>
      <c r="AA47" s="27">
        <f t="shared" si="4"/>
        <v>100</v>
      </c>
      <c r="AB47" s="12" t="str">
        <f t="shared" si="5"/>
        <v>ОТКРЫТО</v>
      </c>
      <c r="AC47" s="28">
        <f t="shared" ref="AC47:AQ47" si="78">SUM($K47:K47)</f>
        <v>0</v>
      </c>
      <c r="AD47" s="28">
        <f t="shared" si="78"/>
        <v>0</v>
      </c>
      <c r="AE47" s="28">
        <f t="shared" si="78"/>
        <v>0</v>
      </c>
      <c r="AF47" s="28">
        <f t="shared" si="78"/>
        <v>0</v>
      </c>
      <c r="AG47" s="28">
        <f t="shared" si="78"/>
        <v>0</v>
      </c>
      <c r="AH47" s="28">
        <f t="shared" si="78"/>
        <v>0</v>
      </c>
      <c r="AI47" s="28">
        <f t="shared" si="78"/>
        <v>0</v>
      </c>
      <c r="AJ47" s="28">
        <f t="shared" si="78"/>
        <v>0</v>
      </c>
      <c r="AK47" s="28">
        <f t="shared" si="78"/>
        <v>0</v>
      </c>
      <c r="AL47" s="28">
        <f t="shared" si="78"/>
        <v>0</v>
      </c>
      <c r="AM47" s="28">
        <f t="shared" si="78"/>
        <v>0</v>
      </c>
      <c r="AN47" s="28">
        <f t="shared" si="78"/>
        <v>0</v>
      </c>
      <c r="AO47" s="28">
        <f t="shared" si="78"/>
        <v>0</v>
      </c>
      <c r="AP47" s="28">
        <f t="shared" si="78"/>
        <v>0</v>
      </c>
      <c r="AQ47" s="28">
        <f t="shared" si="78"/>
        <v>0</v>
      </c>
      <c r="AR47" s="28" t="str">
        <f t="shared" ref="AR47:BF47" si="79">IF(AND(AC47&gt;=$E47,TRUE),"ИЗУЧЕНО",IF(TRUE,"ОТКРЫТО","ЗАКРЫТО"))</f>
        <v>ОТКРЫТО</v>
      </c>
      <c r="AS47" s="28" t="str">
        <f t="shared" si="79"/>
        <v>ОТКРЫТО</v>
      </c>
      <c r="AT47" s="28" t="str">
        <f t="shared" si="79"/>
        <v>ОТКРЫТО</v>
      </c>
      <c r="AU47" s="28" t="str">
        <f t="shared" si="79"/>
        <v>ОТКРЫТО</v>
      </c>
      <c r="AV47" s="28" t="str">
        <f t="shared" si="79"/>
        <v>ОТКРЫТО</v>
      </c>
      <c r="AW47" s="28" t="str">
        <f t="shared" si="79"/>
        <v>ОТКРЫТО</v>
      </c>
      <c r="AX47" s="28" t="str">
        <f t="shared" si="79"/>
        <v>ОТКРЫТО</v>
      </c>
      <c r="AY47" s="28" t="str">
        <f t="shared" si="79"/>
        <v>ОТКРЫТО</v>
      </c>
      <c r="AZ47" s="28" t="str">
        <f t="shared" si="79"/>
        <v>ОТКРЫТО</v>
      </c>
      <c r="BA47" s="28" t="str">
        <f t="shared" si="79"/>
        <v>ОТКРЫТО</v>
      </c>
      <c r="BB47" s="28" t="str">
        <f t="shared" si="79"/>
        <v>ОТКРЫТО</v>
      </c>
      <c r="BC47" s="28" t="str">
        <f t="shared" si="79"/>
        <v>ОТКРЫТО</v>
      </c>
      <c r="BD47" s="28" t="str">
        <f t="shared" si="79"/>
        <v>ОТКРЫТО</v>
      </c>
      <c r="BE47" s="28" t="str">
        <f t="shared" si="79"/>
        <v>ОТКРЫТО</v>
      </c>
      <c r="BF47" s="28" t="str">
        <f t="shared" si="79"/>
        <v>ОТКРЫТО</v>
      </c>
      <c r="BG47" s="28" t="str">
        <f t="shared" si="8"/>
        <v/>
      </c>
      <c r="BH47" s="28" t="str">
        <f t="shared" si="9"/>
        <v/>
      </c>
    </row>
    <row r="48" ht="13.5" customHeight="1">
      <c r="A48" s="12" t="s">
        <v>379</v>
      </c>
      <c r="B48" s="12" t="s">
        <v>374</v>
      </c>
      <c r="C48" s="12" t="s">
        <v>220</v>
      </c>
      <c r="D48" s="12" t="s">
        <v>380</v>
      </c>
      <c r="E48" s="12">
        <v>110.0</v>
      </c>
      <c r="F48" s="12" t="s">
        <v>191</v>
      </c>
      <c r="G48" s="12" t="s">
        <v>283</v>
      </c>
      <c r="H48" s="12" t="s">
        <v>356</v>
      </c>
      <c r="I48" s="12" t="s">
        <v>381</v>
      </c>
      <c r="J48" s="12" t="s">
        <v>382</v>
      </c>
      <c r="K48" s="22">
        <f>SUMIF('Ход 2026'!$G$29:$G$38,$A48,'Ход 2026'!$I$29:$I$38)*(1+'Эффекты технологий'!J$7+'Эффекты технологий'!J$9)</f>
        <v>0</v>
      </c>
      <c r="L48" s="22">
        <f>SUMIF('Ход 2027'!$G$29:$G$38,$A48,'Ход 2027'!$I$29:$I$38)*(1+'Эффекты технологий'!K$7+'Эффекты технологий'!K$9)</f>
        <v>0</v>
      </c>
      <c r="M48" s="22">
        <f>SUMIF('Ход 2028'!$G$29:$G$38,$A48,'Ход 2028'!$I$29:$I$38)*(1+'Эффекты технологий'!L$7+'Эффекты технологий'!L$9)</f>
        <v>0</v>
      </c>
      <c r="N48" s="22">
        <f>SUMIF('Ход 2029'!$G$29:$G$38,$A48,'Ход 2029'!$I$29:$I$38)*(1+'Эффекты технологий'!M$7+'Эффекты технологий'!M$9)</f>
        <v>0</v>
      </c>
      <c r="O48" s="22">
        <f>SUMIF('Ход 2030'!$G$29:$G$38,$A48,'Ход 2030'!$I$29:$I$38)*(1+'Эффекты технологий'!N$7+'Эффекты технологий'!N$9)</f>
        <v>0</v>
      </c>
      <c r="P48" s="22">
        <f>SUMIF('Ход 2031'!$G$29:$G$38,$A48,'Ход 2031'!$I$29:$I$38)*(1+'Эффекты технологий'!O$7+'Эффекты технологий'!O$9)</f>
        <v>0</v>
      </c>
      <c r="Q48" s="22">
        <f>SUMIF('Ход 2032'!$G$29:$G$38,$A48,'Ход 2032'!$I$29:$I$38)*(1+'Эффекты технологий'!P$7+'Эффекты технологий'!P$9)</f>
        <v>0</v>
      </c>
      <c r="R48" s="22">
        <f>SUMIF('Ход 2033'!$G$29:$G$38,$A48,'Ход 2033'!$I$29:$I$38)*(1+'Эффекты технологий'!Q$7+'Эффекты технологий'!Q$9)</f>
        <v>0</v>
      </c>
      <c r="S48" s="22">
        <f>SUMIF('Ход 2034'!$G$29:$G$38,$A48,'Ход 2034'!$I$29:$I$38)*(1+'Эффекты технологий'!R$7+'Эффекты технологий'!R$9)</f>
        <v>0</v>
      </c>
      <c r="T48" s="22">
        <f>SUMIF('Ход 2035'!$G$29:$G$38,$A48,'Ход 2035'!$I$29:$I$38)*(1+'Эффекты технологий'!S$7+'Эффекты технологий'!S$9)</f>
        <v>0</v>
      </c>
      <c r="U48" s="22">
        <f>SUMIF('Ход 2036'!$G$29:$G$38,$A48,'Ход 2036'!$I$29:$I$38)*(1+'Эффекты технологий'!T$7+'Эффекты технологий'!T$9)</f>
        <v>0</v>
      </c>
      <c r="V48" s="22">
        <f>SUMIF('Ход 2037'!$G$29:$G$38,$A48,'Ход 2037'!$I$29:$I$38)*(1+'Эффекты технологий'!U$7+'Эффекты технологий'!U$9)</f>
        <v>0</v>
      </c>
      <c r="W48" s="22">
        <f>SUMIF('Ход 2038'!$G$29:$G$38,$A48,'Ход 2038'!$I$29:$I$38)*(1+'Эффекты технологий'!V$7+'Эффекты технологий'!V$9)</f>
        <v>0</v>
      </c>
      <c r="X48" s="22">
        <f>SUMIF('Ход 2039'!$G$29:$G$38,$A48,'Ход 2039'!$I$29:$I$38)*(1+'Эффекты технологий'!W$7+'Эффекты технологий'!W$9)</f>
        <v>0</v>
      </c>
      <c r="Y48" s="22">
        <f>SUMIF('Ход 2040'!$G$29:$G$38,$A48,'Ход 2040'!$I$29:$I$38)*(1+'Эффекты технологий'!X$7+'Эффекты технологий'!X$9)</f>
        <v>0</v>
      </c>
      <c r="Z48" s="27">
        <f t="shared" si="3"/>
        <v>0</v>
      </c>
      <c r="AA48" s="27">
        <f t="shared" si="4"/>
        <v>110</v>
      </c>
      <c r="AB48" s="12" t="str">
        <f t="shared" si="5"/>
        <v>ОТКРЫТО</v>
      </c>
      <c r="AC48" s="28">
        <f t="shared" ref="AC48:AQ48" si="80">SUM($K48:K48)</f>
        <v>0</v>
      </c>
      <c r="AD48" s="28">
        <f t="shared" si="80"/>
        <v>0</v>
      </c>
      <c r="AE48" s="28">
        <f t="shared" si="80"/>
        <v>0</v>
      </c>
      <c r="AF48" s="28">
        <f t="shared" si="80"/>
        <v>0</v>
      </c>
      <c r="AG48" s="28">
        <f t="shared" si="80"/>
        <v>0</v>
      </c>
      <c r="AH48" s="28">
        <f t="shared" si="80"/>
        <v>0</v>
      </c>
      <c r="AI48" s="28">
        <f t="shared" si="80"/>
        <v>0</v>
      </c>
      <c r="AJ48" s="28">
        <f t="shared" si="80"/>
        <v>0</v>
      </c>
      <c r="AK48" s="28">
        <f t="shared" si="80"/>
        <v>0</v>
      </c>
      <c r="AL48" s="28">
        <f t="shared" si="80"/>
        <v>0</v>
      </c>
      <c r="AM48" s="28">
        <f t="shared" si="80"/>
        <v>0</v>
      </c>
      <c r="AN48" s="28">
        <f t="shared" si="80"/>
        <v>0</v>
      </c>
      <c r="AO48" s="28">
        <f t="shared" si="80"/>
        <v>0</v>
      </c>
      <c r="AP48" s="28">
        <f t="shared" si="80"/>
        <v>0</v>
      </c>
      <c r="AQ48" s="28">
        <f t="shared" si="80"/>
        <v>0</v>
      </c>
      <c r="AR48" s="28" t="str">
        <f t="shared" ref="AR48:BF48" si="81">IF(AND(AC48&gt;=$E48,TRUE),"ИЗУЧЕНО",IF(TRUE,"ОТКРЫТО","ЗАКРЫТО"))</f>
        <v>ОТКРЫТО</v>
      </c>
      <c r="AS48" s="28" t="str">
        <f t="shared" si="81"/>
        <v>ОТКРЫТО</v>
      </c>
      <c r="AT48" s="28" t="str">
        <f t="shared" si="81"/>
        <v>ОТКРЫТО</v>
      </c>
      <c r="AU48" s="28" t="str">
        <f t="shared" si="81"/>
        <v>ОТКРЫТО</v>
      </c>
      <c r="AV48" s="28" t="str">
        <f t="shared" si="81"/>
        <v>ОТКРЫТО</v>
      </c>
      <c r="AW48" s="28" t="str">
        <f t="shared" si="81"/>
        <v>ОТКРЫТО</v>
      </c>
      <c r="AX48" s="28" t="str">
        <f t="shared" si="81"/>
        <v>ОТКРЫТО</v>
      </c>
      <c r="AY48" s="28" t="str">
        <f t="shared" si="81"/>
        <v>ОТКРЫТО</v>
      </c>
      <c r="AZ48" s="28" t="str">
        <f t="shared" si="81"/>
        <v>ОТКРЫТО</v>
      </c>
      <c r="BA48" s="28" t="str">
        <f t="shared" si="81"/>
        <v>ОТКРЫТО</v>
      </c>
      <c r="BB48" s="28" t="str">
        <f t="shared" si="81"/>
        <v>ОТКРЫТО</v>
      </c>
      <c r="BC48" s="28" t="str">
        <f t="shared" si="81"/>
        <v>ОТКРЫТО</v>
      </c>
      <c r="BD48" s="28" t="str">
        <f t="shared" si="81"/>
        <v>ОТКРЫТО</v>
      </c>
      <c r="BE48" s="28" t="str">
        <f t="shared" si="81"/>
        <v>ОТКРЫТО</v>
      </c>
      <c r="BF48" s="28" t="str">
        <f t="shared" si="81"/>
        <v>ОТКРЫТО</v>
      </c>
      <c r="BG48" s="28" t="str">
        <f t="shared" si="8"/>
        <v/>
      </c>
      <c r="BH48" s="28" t="str">
        <f t="shared" si="9"/>
        <v/>
      </c>
    </row>
    <row r="49" ht="13.5" customHeight="1">
      <c r="A49" s="12" t="s">
        <v>383</v>
      </c>
      <c r="B49" s="12" t="s">
        <v>374</v>
      </c>
      <c r="C49" s="12" t="s">
        <v>230</v>
      </c>
      <c r="D49" s="12" t="s">
        <v>384</v>
      </c>
      <c r="E49" s="12">
        <v>140.0</v>
      </c>
      <c r="F49" s="12" t="s">
        <v>313</v>
      </c>
      <c r="G49" s="12" t="s">
        <v>287</v>
      </c>
      <c r="H49" s="12" t="s">
        <v>364</v>
      </c>
      <c r="I49" s="12" t="s">
        <v>385</v>
      </c>
      <c r="J49" s="12" t="s">
        <v>386</v>
      </c>
      <c r="K49" s="22">
        <f>SUMIF('Ход 2026'!$G$29:$G$38,$A49,'Ход 2026'!$I$29:$I$38)*(1+'Эффекты технологий'!J$7+'Эффекты технологий'!J$9)</f>
        <v>0</v>
      </c>
      <c r="L49" s="22">
        <f>SUMIF('Ход 2027'!$G$29:$G$38,$A49,'Ход 2027'!$I$29:$I$38)*(1+'Эффекты технологий'!K$7+'Эффекты технологий'!K$9)</f>
        <v>0</v>
      </c>
      <c r="M49" s="22">
        <f>SUMIF('Ход 2028'!$G$29:$G$38,$A49,'Ход 2028'!$I$29:$I$38)*(1+'Эффекты технологий'!L$7+'Эффекты технологий'!L$9)</f>
        <v>0</v>
      </c>
      <c r="N49" s="22">
        <f>SUMIF('Ход 2029'!$G$29:$G$38,$A49,'Ход 2029'!$I$29:$I$38)*(1+'Эффекты технологий'!M$7+'Эффекты технологий'!M$9)</f>
        <v>0</v>
      </c>
      <c r="O49" s="22">
        <f>SUMIF('Ход 2030'!$G$29:$G$38,$A49,'Ход 2030'!$I$29:$I$38)*(1+'Эффекты технологий'!N$7+'Эффекты технологий'!N$9)</f>
        <v>0</v>
      </c>
      <c r="P49" s="22">
        <f>SUMIF('Ход 2031'!$G$29:$G$38,$A49,'Ход 2031'!$I$29:$I$38)*(1+'Эффекты технологий'!O$7+'Эффекты технологий'!O$9)</f>
        <v>0</v>
      </c>
      <c r="Q49" s="22">
        <f>SUMIF('Ход 2032'!$G$29:$G$38,$A49,'Ход 2032'!$I$29:$I$38)*(1+'Эффекты технологий'!P$7+'Эффекты технологий'!P$9)</f>
        <v>0</v>
      </c>
      <c r="R49" s="22">
        <f>SUMIF('Ход 2033'!$G$29:$G$38,$A49,'Ход 2033'!$I$29:$I$38)*(1+'Эффекты технологий'!Q$7+'Эффекты технологий'!Q$9)</f>
        <v>0</v>
      </c>
      <c r="S49" s="22">
        <f>SUMIF('Ход 2034'!$G$29:$G$38,$A49,'Ход 2034'!$I$29:$I$38)*(1+'Эффекты технологий'!R$7+'Эффекты технологий'!R$9)</f>
        <v>0</v>
      </c>
      <c r="T49" s="22">
        <f>SUMIF('Ход 2035'!$G$29:$G$38,$A49,'Ход 2035'!$I$29:$I$38)*(1+'Эффекты технологий'!S$7+'Эффекты технологий'!S$9)</f>
        <v>0</v>
      </c>
      <c r="U49" s="22">
        <f>SUMIF('Ход 2036'!$G$29:$G$38,$A49,'Ход 2036'!$I$29:$I$38)*(1+'Эффекты технологий'!T$7+'Эффекты технологий'!T$9)</f>
        <v>0</v>
      </c>
      <c r="V49" s="22">
        <f>SUMIF('Ход 2037'!$G$29:$G$38,$A49,'Ход 2037'!$I$29:$I$38)*(1+'Эффекты технологий'!U$7+'Эффекты технологий'!U$9)</f>
        <v>0</v>
      </c>
      <c r="W49" s="22">
        <f>SUMIF('Ход 2038'!$G$29:$G$38,$A49,'Ход 2038'!$I$29:$I$38)*(1+'Эффекты технологий'!V$7+'Эффекты технологий'!V$9)</f>
        <v>0</v>
      </c>
      <c r="X49" s="22">
        <f>SUMIF('Ход 2039'!$G$29:$G$38,$A49,'Ход 2039'!$I$29:$I$38)*(1+'Эффекты технологий'!W$7+'Эффекты технологий'!W$9)</f>
        <v>0</v>
      </c>
      <c r="Y49" s="22">
        <f>SUMIF('Ход 2040'!$G$29:$G$38,$A49,'Ход 2040'!$I$29:$I$38)*(1+'Эффекты технологий'!X$7+'Эффекты технологий'!X$9)</f>
        <v>0</v>
      </c>
      <c r="Z49" s="27">
        <f t="shared" si="3"/>
        <v>0</v>
      </c>
      <c r="AA49" s="27">
        <f t="shared" si="4"/>
        <v>140</v>
      </c>
      <c r="AB49" s="12" t="str">
        <f t="shared" si="5"/>
        <v>ОТКРЫТО</v>
      </c>
      <c r="AC49" s="28">
        <f t="shared" ref="AC49:AQ49" si="82">SUM($K49:K49)</f>
        <v>0</v>
      </c>
      <c r="AD49" s="28">
        <f t="shared" si="82"/>
        <v>0</v>
      </c>
      <c r="AE49" s="28">
        <f t="shared" si="82"/>
        <v>0</v>
      </c>
      <c r="AF49" s="28">
        <f t="shared" si="82"/>
        <v>0</v>
      </c>
      <c r="AG49" s="28">
        <f t="shared" si="82"/>
        <v>0</v>
      </c>
      <c r="AH49" s="28">
        <f t="shared" si="82"/>
        <v>0</v>
      </c>
      <c r="AI49" s="28">
        <f t="shared" si="82"/>
        <v>0</v>
      </c>
      <c r="AJ49" s="28">
        <f t="shared" si="82"/>
        <v>0</v>
      </c>
      <c r="AK49" s="28">
        <f t="shared" si="82"/>
        <v>0</v>
      </c>
      <c r="AL49" s="28">
        <f t="shared" si="82"/>
        <v>0</v>
      </c>
      <c r="AM49" s="28">
        <f t="shared" si="82"/>
        <v>0</v>
      </c>
      <c r="AN49" s="28">
        <f t="shared" si="82"/>
        <v>0</v>
      </c>
      <c r="AO49" s="28">
        <f t="shared" si="82"/>
        <v>0</v>
      </c>
      <c r="AP49" s="28">
        <f t="shared" si="82"/>
        <v>0</v>
      </c>
      <c r="AQ49" s="28">
        <f t="shared" si="82"/>
        <v>0</v>
      </c>
      <c r="AR49" s="28" t="str">
        <f t="shared" ref="AR49:BF49" si="83">IF(AND(AC49&gt;=$E49,TRUE),"ИЗУЧЕНО",IF(TRUE,"ОТКРЫТО","ЗАКРЫТО"))</f>
        <v>ОТКРЫТО</v>
      </c>
      <c r="AS49" s="28" t="str">
        <f t="shared" si="83"/>
        <v>ОТКРЫТО</v>
      </c>
      <c r="AT49" s="28" t="str">
        <f t="shared" si="83"/>
        <v>ОТКРЫТО</v>
      </c>
      <c r="AU49" s="28" t="str">
        <f t="shared" si="83"/>
        <v>ОТКРЫТО</v>
      </c>
      <c r="AV49" s="28" t="str">
        <f t="shared" si="83"/>
        <v>ОТКРЫТО</v>
      </c>
      <c r="AW49" s="28" t="str">
        <f t="shared" si="83"/>
        <v>ОТКРЫТО</v>
      </c>
      <c r="AX49" s="28" t="str">
        <f t="shared" si="83"/>
        <v>ОТКРЫТО</v>
      </c>
      <c r="AY49" s="28" t="str">
        <f t="shared" si="83"/>
        <v>ОТКРЫТО</v>
      </c>
      <c r="AZ49" s="28" t="str">
        <f t="shared" si="83"/>
        <v>ОТКРЫТО</v>
      </c>
      <c r="BA49" s="28" t="str">
        <f t="shared" si="83"/>
        <v>ОТКРЫТО</v>
      </c>
      <c r="BB49" s="28" t="str">
        <f t="shared" si="83"/>
        <v>ОТКРЫТО</v>
      </c>
      <c r="BC49" s="28" t="str">
        <f t="shared" si="83"/>
        <v>ОТКРЫТО</v>
      </c>
      <c r="BD49" s="28" t="str">
        <f t="shared" si="83"/>
        <v>ОТКРЫТО</v>
      </c>
      <c r="BE49" s="28" t="str">
        <f t="shared" si="83"/>
        <v>ОТКРЫТО</v>
      </c>
      <c r="BF49" s="28" t="str">
        <f t="shared" si="83"/>
        <v>ОТКРЫТО</v>
      </c>
      <c r="BG49" s="28" t="str">
        <f t="shared" si="8"/>
        <v/>
      </c>
      <c r="BH49" s="28" t="str">
        <f t="shared" si="9"/>
        <v/>
      </c>
    </row>
    <row r="50" ht="13.5" customHeight="1">
      <c r="A50" s="12" t="s">
        <v>387</v>
      </c>
      <c r="B50" s="12" t="s">
        <v>374</v>
      </c>
      <c r="C50" s="12" t="s">
        <v>388</v>
      </c>
      <c r="D50" s="12" t="s">
        <v>389</v>
      </c>
      <c r="E50" s="12">
        <v>190.0</v>
      </c>
      <c r="F50" s="12" t="s">
        <v>265</v>
      </c>
      <c r="G50" s="12" t="s">
        <v>317</v>
      </c>
      <c r="H50" s="12" t="s">
        <v>369</v>
      </c>
      <c r="I50" s="12" t="s">
        <v>390</v>
      </c>
      <c r="J50" s="12" t="s">
        <v>391</v>
      </c>
      <c r="K50" s="22">
        <f>SUMIF('Ход 2026'!$G$29:$G$38,$A50,'Ход 2026'!$I$29:$I$38)*(1+'Эффекты технологий'!J$7+'Эффекты технологий'!J$9)</f>
        <v>0</v>
      </c>
      <c r="L50" s="22">
        <f>SUMIF('Ход 2027'!$G$29:$G$38,$A50,'Ход 2027'!$I$29:$I$38)*(1+'Эффекты технологий'!K$7+'Эффекты технологий'!K$9)</f>
        <v>0</v>
      </c>
      <c r="M50" s="22">
        <f>SUMIF('Ход 2028'!$G$29:$G$38,$A50,'Ход 2028'!$I$29:$I$38)*(1+'Эффекты технологий'!L$7+'Эффекты технологий'!L$9)</f>
        <v>0</v>
      </c>
      <c r="N50" s="22">
        <f>SUMIF('Ход 2029'!$G$29:$G$38,$A50,'Ход 2029'!$I$29:$I$38)*(1+'Эффекты технологий'!M$7+'Эффекты технологий'!M$9)</f>
        <v>0</v>
      </c>
      <c r="O50" s="22">
        <f>SUMIF('Ход 2030'!$G$29:$G$38,$A50,'Ход 2030'!$I$29:$I$38)*(1+'Эффекты технологий'!N$7+'Эффекты технологий'!N$9)</f>
        <v>0</v>
      </c>
      <c r="P50" s="22">
        <f>SUMIF('Ход 2031'!$G$29:$G$38,$A50,'Ход 2031'!$I$29:$I$38)*(1+'Эффекты технологий'!O$7+'Эффекты технологий'!O$9)</f>
        <v>0</v>
      </c>
      <c r="Q50" s="22">
        <f>SUMIF('Ход 2032'!$G$29:$G$38,$A50,'Ход 2032'!$I$29:$I$38)*(1+'Эффекты технологий'!P$7+'Эффекты технологий'!P$9)</f>
        <v>0</v>
      </c>
      <c r="R50" s="22">
        <f>SUMIF('Ход 2033'!$G$29:$G$38,$A50,'Ход 2033'!$I$29:$I$38)*(1+'Эффекты технологий'!Q$7+'Эффекты технологий'!Q$9)</f>
        <v>0</v>
      </c>
      <c r="S50" s="22">
        <f>SUMIF('Ход 2034'!$G$29:$G$38,$A50,'Ход 2034'!$I$29:$I$38)*(1+'Эффекты технологий'!R$7+'Эффекты технологий'!R$9)</f>
        <v>0</v>
      </c>
      <c r="T50" s="22">
        <f>SUMIF('Ход 2035'!$G$29:$G$38,$A50,'Ход 2035'!$I$29:$I$38)*(1+'Эффекты технологий'!S$7+'Эффекты технологий'!S$9)</f>
        <v>0</v>
      </c>
      <c r="U50" s="22">
        <f>SUMIF('Ход 2036'!$G$29:$G$38,$A50,'Ход 2036'!$I$29:$I$38)*(1+'Эффекты технологий'!T$7+'Эффекты технологий'!T$9)</f>
        <v>0</v>
      </c>
      <c r="V50" s="22">
        <f>SUMIF('Ход 2037'!$G$29:$G$38,$A50,'Ход 2037'!$I$29:$I$38)*(1+'Эффекты технологий'!U$7+'Эффекты технологий'!U$9)</f>
        <v>0</v>
      </c>
      <c r="W50" s="22">
        <f>SUMIF('Ход 2038'!$G$29:$G$38,$A50,'Ход 2038'!$I$29:$I$38)*(1+'Эффекты технологий'!V$7+'Эффекты технологий'!V$9)</f>
        <v>0</v>
      </c>
      <c r="X50" s="22">
        <f>SUMIF('Ход 2039'!$G$29:$G$38,$A50,'Ход 2039'!$I$29:$I$38)*(1+'Эффекты технологий'!W$7+'Эффекты технологий'!W$9)</f>
        <v>0</v>
      </c>
      <c r="Y50" s="22">
        <f>SUMIF('Ход 2040'!$G$29:$G$38,$A50,'Ход 2040'!$I$29:$I$38)*(1+'Эффекты технологий'!X$7+'Эффекты технологий'!X$9)</f>
        <v>0</v>
      </c>
      <c r="Z50" s="27">
        <f t="shared" si="3"/>
        <v>0</v>
      </c>
      <c r="AA50" s="27">
        <f t="shared" si="4"/>
        <v>190</v>
      </c>
      <c r="AB50" s="12" t="str">
        <f t="shared" si="5"/>
        <v>ОТКРЫТО</v>
      </c>
      <c r="AC50" s="28">
        <f t="shared" ref="AC50:AQ50" si="84">SUM($K50:K50)</f>
        <v>0</v>
      </c>
      <c r="AD50" s="28">
        <f t="shared" si="84"/>
        <v>0</v>
      </c>
      <c r="AE50" s="28">
        <f t="shared" si="84"/>
        <v>0</v>
      </c>
      <c r="AF50" s="28">
        <f t="shared" si="84"/>
        <v>0</v>
      </c>
      <c r="AG50" s="28">
        <f t="shared" si="84"/>
        <v>0</v>
      </c>
      <c r="AH50" s="28">
        <f t="shared" si="84"/>
        <v>0</v>
      </c>
      <c r="AI50" s="28">
        <f t="shared" si="84"/>
        <v>0</v>
      </c>
      <c r="AJ50" s="28">
        <f t="shared" si="84"/>
        <v>0</v>
      </c>
      <c r="AK50" s="28">
        <f t="shared" si="84"/>
        <v>0</v>
      </c>
      <c r="AL50" s="28">
        <f t="shared" si="84"/>
        <v>0</v>
      </c>
      <c r="AM50" s="28">
        <f t="shared" si="84"/>
        <v>0</v>
      </c>
      <c r="AN50" s="28">
        <f t="shared" si="84"/>
        <v>0</v>
      </c>
      <c r="AO50" s="28">
        <f t="shared" si="84"/>
        <v>0</v>
      </c>
      <c r="AP50" s="28">
        <f t="shared" si="84"/>
        <v>0</v>
      </c>
      <c r="AQ50" s="28">
        <f t="shared" si="84"/>
        <v>0</v>
      </c>
      <c r="AR50" s="28" t="str">
        <f t="shared" ref="AR50:BF50" si="85">IF(AND(AC50&gt;=$E50,TRUE),"ИЗУЧЕНО",IF(TRUE,"ОТКРЫТО","ЗАКРЫТО"))</f>
        <v>ОТКРЫТО</v>
      </c>
      <c r="AS50" s="28" t="str">
        <f t="shared" si="85"/>
        <v>ОТКРЫТО</v>
      </c>
      <c r="AT50" s="28" t="str">
        <f t="shared" si="85"/>
        <v>ОТКРЫТО</v>
      </c>
      <c r="AU50" s="28" t="str">
        <f t="shared" si="85"/>
        <v>ОТКРЫТО</v>
      </c>
      <c r="AV50" s="28" t="str">
        <f t="shared" si="85"/>
        <v>ОТКРЫТО</v>
      </c>
      <c r="AW50" s="28" t="str">
        <f t="shared" si="85"/>
        <v>ОТКРЫТО</v>
      </c>
      <c r="AX50" s="28" t="str">
        <f t="shared" si="85"/>
        <v>ОТКРЫТО</v>
      </c>
      <c r="AY50" s="28" t="str">
        <f t="shared" si="85"/>
        <v>ОТКРЫТО</v>
      </c>
      <c r="AZ50" s="28" t="str">
        <f t="shared" si="85"/>
        <v>ОТКРЫТО</v>
      </c>
      <c r="BA50" s="28" t="str">
        <f t="shared" si="85"/>
        <v>ОТКРЫТО</v>
      </c>
      <c r="BB50" s="28" t="str">
        <f t="shared" si="85"/>
        <v>ОТКРЫТО</v>
      </c>
      <c r="BC50" s="28" t="str">
        <f t="shared" si="85"/>
        <v>ОТКРЫТО</v>
      </c>
      <c r="BD50" s="28" t="str">
        <f t="shared" si="85"/>
        <v>ОТКРЫТО</v>
      </c>
      <c r="BE50" s="28" t="str">
        <f t="shared" si="85"/>
        <v>ОТКРЫТО</v>
      </c>
      <c r="BF50" s="28" t="str">
        <f t="shared" si="85"/>
        <v>ОТКРЫТО</v>
      </c>
      <c r="BG50" s="28" t="str">
        <f t="shared" si="8"/>
        <v/>
      </c>
      <c r="BH50" s="28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87.13768939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89.65226843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73.87841705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90.84924398</v>
      </c>
      <c r="V6" s="3"/>
      <c r="W6" s="5"/>
      <c r="X6" s="12"/>
    </row>
    <row r="7" ht="13.5" customHeight="1">
      <c r="A7" s="33" t="s">
        <v>108</v>
      </c>
      <c r="B7" s="33"/>
      <c r="C7" s="33"/>
      <c r="D7" s="25"/>
      <c r="E7" s="25"/>
      <c r="F7" s="25"/>
      <c r="G7" s="25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v>3.0</v>
      </c>
      <c r="C8" s="12"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</v>
      </c>
      <c r="J8" s="34">
        <f>SUMIFS('Эффекты технологий'!$J$25:$J$240,'Эффекты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v>7.0</v>
      </c>
      <c r="C9" s="12"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</v>
      </c>
      <c r="J9" s="34">
        <f>SUMIFS('Эффекты технологий'!$J$25:$J$240,'Эффекты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v>6.5</v>
      </c>
      <c r="C10" s="12">
        <v>0.1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6.5</v>
      </c>
      <c r="J10" s="34">
        <f>SUMIFS('Эффекты технологий'!$J$25:$J$240,'Эффекты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 t="s">
        <v>205</v>
      </c>
    </row>
    <row r="11" ht="13.5" customHeight="1">
      <c r="A11" s="12" t="s">
        <v>120</v>
      </c>
      <c r="B11" s="12">
        <v>9.0</v>
      </c>
      <c r="C11" s="12"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</v>
      </c>
      <c r="J11" s="34">
        <f>SUMIFS('Эффекты технологий'!$J$25:$J$240,'Эффекты технологий'!$C$25:$C$240,$A11,'Эффекты технологий'!$D$25:$D$240,"Значение")</f>
        <v>0</v>
      </c>
      <c r="K11" s="12" t="s">
        <v>109</v>
      </c>
      <c r="L11" s="12">
        <v>7.0</v>
      </c>
      <c r="M11" s="12">
        <v>0.25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</v>
      </c>
      <c r="T11" s="34">
        <f>SUMIFS('Эффекты технологий'!$J$25:$J$240,'Эффекты технологий'!$C$25:$C$240,$K11,'Эффекты технологий'!$D$25:$D$240,"Значение")</f>
        <v>0</v>
      </c>
      <c r="U11" s="12" t="s">
        <v>110</v>
      </c>
      <c r="V11" s="12"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v>3.5</v>
      </c>
      <c r="C12" s="12"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3.5</v>
      </c>
      <c r="J12" s="34">
        <f>SUMIFS('Эффекты технологий'!$J$25:$J$240,'Эффекты технологий'!$C$25:$C$240,$A12,'Эффекты технологий'!$D$25:$D$240,"Значение")</f>
        <v>0</v>
      </c>
      <c r="K12" s="12" t="s">
        <v>112</v>
      </c>
      <c r="L12" s="12">
        <v>8.0</v>
      </c>
      <c r="M12" s="12">
        <v>0.2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</v>
      </c>
      <c r="T12" s="34">
        <f>SUMIFS('Эффекты технологий'!$J$25:$J$240,'Эффекты технологий'!$C$25:$C$240,$K12,'Эффекты технологий'!$D$25:$D$240,"Значение")</f>
        <v>0</v>
      </c>
      <c r="U12" s="12" t="s">
        <v>113</v>
      </c>
      <c r="V12" s="12"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v>7.5</v>
      </c>
      <c r="C13" s="12">
        <v>0.15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7.5</v>
      </c>
      <c r="J13" s="34">
        <f>SUMIFS('Эффекты технологий'!$J$25:$J$240,'Эффекты технологий'!$C$25:$C$240,$A13,'Эффекты технологий'!$D$25:$D$240,"Значение")</f>
        <v>0</v>
      </c>
      <c r="K13" s="12" t="s">
        <v>115</v>
      </c>
      <c r="L13" s="12">
        <v>8.5</v>
      </c>
      <c r="M13" s="12">
        <v>0.15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8.5</v>
      </c>
      <c r="T13" s="34">
        <f>SUMIFS('Эффекты технологий'!$J$25:$J$240,'Эффекты технологий'!$C$25:$C$240,$K13,'Эффекты технологий'!$D$25:$D$240,"Значение")</f>
        <v>0</v>
      </c>
      <c r="U13" s="12" t="s">
        <v>116</v>
      </c>
      <c r="V13" s="12">
        <v>0.0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v>8.5</v>
      </c>
      <c r="C14" s="12">
        <v>0.15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8.5</v>
      </c>
      <c r="J14" s="34">
        <f>SUMIFS('Эффекты технологий'!$J$25:$J$240,'Эффекты технологий'!$C$25:$C$240,$A14,'Эффекты технологий'!$D$25:$D$240,"Значение")</f>
        <v>0</v>
      </c>
      <c r="K14" s="12" t="s">
        <v>118</v>
      </c>
      <c r="L14" s="12">
        <v>7.5</v>
      </c>
      <c r="M14" s="12">
        <v>0.2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7.5</v>
      </c>
      <c r="T14" s="34">
        <f>SUMIFS('Эффекты технологий'!$J$25:$J$240,'Эффекты технологий'!$C$25:$C$240,$K14,'Эффекты технологий'!$D$25:$D$240,"Значение")</f>
        <v>0</v>
      </c>
      <c r="U14" s="12" t="s">
        <v>119</v>
      </c>
      <c r="V14" s="12"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v>8.0</v>
      </c>
      <c r="C15" s="12"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</v>
      </c>
      <c r="J15" s="34">
        <f>SUMIFS('Эффекты технологий'!$J$25:$J$240,'Эффекты технологий'!$C$25:$C$240,$A15,'Эффекты технологий'!$D$25:$D$240,"Значение")</f>
        <v>0</v>
      </c>
      <c r="K15" s="12" t="s">
        <v>121</v>
      </c>
      <c r="L15" s="12">
        <v>8.5</v>
      </c>
      <c r="M15" s="12">
        <v>0.15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8.5</v>
      </c>
      <c r="T15" s="34">
        <f>SUMIFS('Эффекты технологий'!$J$25:$J$240,'Эффекты технологий'!$C$25:$C$240,$K15,'Эффекты технологий'!$D$25:$D$240,"Значение")</f>
        <v>0</v>
      </c>
      <c r="U15" s="12" t="s">
        <v>122</v>
      </c>
      <c r="V15" s="12"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v>8.0</v>
      </c>
      <c r="C16" s="12">
        <v>0.15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</v>
      </c>
      <c r="J16" s="34">
        <f>SUMIFS('Эффекты технологий'!$J$25:$J$240,'Эффекты технологий'!$C$25:$C$240,$A16,'Эффекты технологий'!$D$25:$D$240,"Значение")</f>
        <v>0</v>
      </c>
      <c r="K16" s="12" t="s">
        <v>124</v>
      </c>
      <c r="L16" s="12">
        <v>8.0</v>
      </c>
      <c r="M16" s="12">
        <v>0.2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</v>
      </c>
      <c r="T16" s="34">
        <f>SUMIFS('Эффекты технологий'!$J$25:$J$240,'Эффекты технологий'!$C$25:$C$240,$K16,'Эффекты технологий'!$D$25:$D$240,"Значение")</f>
        <v>0</v>
      </c>
      <c r="U16" s="12" t="s">
        <v>125</v>
      </c>
      <c r="V16" s="12">
        <v>1.0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v>7.5</v>
      </c>
      <c r="C17" s="12"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7.5</v>
      </c>
      <c r="J17" s="34">
        <f>SUMIFS('Эффекты технологий'!$J$25:$J$240,'Эффекты технологий'!$C$25:$C$240,$A17,'Эффекты технологий'!$D$25:$D$240,"Значение")</f>
        <v>0</v>
      </c>
      <c r="K17" s="12" t="s">
        <v>127</v>
      </c>
      <c r="L17" s="12">
        <v>7.5</v>
      </c>
      <c r="M17" s="12">
        <v>0.2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7.5</v>
      </c>
      <c r="T17" s="34">
        <f>SUMIFS('Эффекты технологий'!$J$25:$J$240,'Эффекты технологий'!$C$25:$C$240,$K17,'Эффекты технологий'!$D$25:$D$240,"Значение")</f>
        <v>0</v>
      </c>
      <c r="U17" s="12" t="s">
        <v>128</v>
      </c>
      <c r="V17" s="12"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25"/>
      <c r="E18" s="25"/>
      <c r="F18" s="25"/>
      <c r="G18" s="25"/>
      <c r="H18" s="33"/>
      <c r="I18" s="33"/>
      <c r="J18" s="12"/>
      <c r="K18" s="12" t="s">
        <v>130</v>
      </c>
      <c r="L18" s="12">
        <v>7.5</v>
      </c>
      <c r="M18" s="12">
        <v>0.2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7.5</v>
      </c>
      <c r="T18" s="34">
        <f>SUMIFS('Эффекты технологий'!$J$25:$J$240,'Эффекты технологий'!$C$25:$C$240,$K18,'Эффекты технологий'!$D$25:$D$240,"Значение")</f>
        <v>0</v>
      </c>
      <c r="U18" s="12" t="s">
        <v>131</v>
      </c>
      <c r="V18" s="12"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v>9.0</v>
      </c>
      <c r="C19" s="12"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</v>
      </c>
      <c r="J19" s="34">
        <f>SUMIFS('Эффекты технологий'!$J$25:$J$240,'Эффекты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12"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v>9.5</v>
      </c>
      <c r="C20" s="12">
        <v>0.15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9.5</v>
      </c>
      <c r="J20" s="34">
        <f>SUMIFS('Эффекты технологий'!$J$25:$J$240,'Эффекты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12"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v>9.0</v>
      </c>
      <c r="C21" s="12">
        <v>0.15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</v>
      </c>
      <c r="J21" s="34">
        <f>SUMIFS('Эффекты технологий'!$J$25:$J$240,'Эффекты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12"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v>9.5</v>
      </c>
      <c r="C22" s="12"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9.5</v>
      </c>
      <c r="J22" s="34">
        <f>SUMIFS('Эффекты технологий'!$J$25:$J$240,'Эффекты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12">
        <v>-4.0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v>9.5</v>
      </c>
      <c r="C23" s="12"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9.5</v>
      </c>
      <c r="J23" s="34">
        <f>SUMIFS('Эффекты технологий'!$J$25:$J$240,'Эффекты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12"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25"/>
      <c r="E24" s="25"/>
      <c r="F24" s="25"/>
      <c r="G24" s="25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12"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v>8.0</v>
      </c>
      <c r="C25" s="12"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</v>
      </c>
      <c r="J25" s="34">
        <f>SUMIFS('Эффекты технологий'!$J$25:$J$240,'Эффекты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12"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v>8.5</v>
      </c>
      <c r="C26" s="12">
        <v>0.15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8.5</v>
      </c>
      <c r="J26" s="34">
        <f>SUMIFS('Эффекты технологий'!$J$25:$J$240,'Эффекты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12">
        <v>0.0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v>8.5</v>
      </c>
      <c r="C27" s="12"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8.5</v>
      </c>
      <c r="J27" s="34">
        <f>SUMIFS('Эффекты технологий'!$J$25:$J$240,'Эффекты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v>9.0</v>
      </c>
      <c r="C28" s="12"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</v>
      </c>
      <c r="J28" s="34">
        <f>SUMIFS('Эффекты технологий'!$J$25:$J$240,'Эффекты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v>9.0</v>
      </c>
      <c r="C29" s="12"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</v>
      </c>
      <c r="J29" s="34">
        <f>SUMIFS('Эффекты технологий'!$J$25:$J$240,'Эффекты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v>9.0</v>
      </c>
      <c r="C30" s="12"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</v>
      </c>
      <c r="J30" s="34">
        <f>SUMIFS('Эффекты технологий'!$J$25:$J$240,'Эффекты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v>8.5</v>
      </c>
      <c r="C31" s="12"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8.5</v>
      </c>
      <c r="J31" s="34">
        <f>SUMIFS('Эффекты технологий'!$J$25:$J$240,'Эффекты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v>10.0</v>
      </c>
      <c r="C32" s="12">
        <v>0.0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технологий'!$J$25:$J$240,'Эффекты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25"/>
      <c r="E33" s="25"/>
      <c r="F33" s="25"/>
      <c r="G33" s="25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v>9.5</v>
      </c>
      <c r="C34" s="12">
        <v>0.1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9.5</v>
      </c>
      <c r="J34" s="34">
        <f>SUMIFS('Эффекты технологий'!$J$25:$J$240,'Эффекты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v>9.0</v>
      </c>
      <c r="C35" s="12">
        <v>0.1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</v>
      </c>
      <c r="J35" s="34">
        <f>SUMIFS('Эффекты технологий'!$J$25:$J$240,'Эффекты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v>9.0</v>
      </c>
      <c r="C36" s="12">
        <v>0.15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</v>
      </c>
      <c r="J36" s="34">
        <f>SUMIFS('Эффекты технологий'!$J$25:$J$240,'Эффекты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v>8.5</v>
      </c>
      <c r="C37" s="12">
        <v>0.15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8.5</v>
      </c>
      <c r="J37" s="34">
        <f>SUMIFS('Эффекты технологий'!$J$25:$J$240,'Эффекты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v>8.5</v>
      </c>
      <c r="C38" s="12">
        <v>0.15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8.5</v>
      </c>
      <c r="J38" s="34">
        <f>SUMIFS('Эффекты технологий'!$J$25:$J$240,'Эффекты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v>9.0</v>
      </c>
      <c r="C39" s="12">
        <v>0.15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</v>
      </c>
      <c r="J39" s="34">
        <f>SUMIFS('Эффекты технологий'!$J$25:$J$240,'Эффекты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v>9.5</v>
      </c>
      <c r="C40" s="12">
        <v>0.1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9.5</v>
      </c>
      <c r="J40" s="34">
        <f>SUMIFS('Эффекты технологий'!$J$25:$J$240,'Эффекты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v>9.5</v>
      </c>
      <c r="C41" s="12">
        <v>0.1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9.5</v>
      </c>
      <c r="J41" s="34">
        <f>SUMIFS('Эффекты технологий'!$J$25:$J$240,'Эффекты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v>9.0</v>
      </c>
      <c r="C42" s="12">
        <v>0.05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</v>
      </c>
      <c r="J42" s="34">
        <f>SUMIFS('Эффекты технологий'!$J$25:$J$240,'Эффекты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25"/>
      <c r="E43" s="25"/>
      <c r="F43" s="25"/>
      <c r="G43" s="25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v>8.5</v>
      </c>
      <c r="C44" s="12">
        <v>0.1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8.5</v>
      </c>
      <c r="J44" s="34">
        <f>SUMIFS('Эффекты технологий'!$J$25:$J$240,'Эффекты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v>8.5</v>
      </c>
      <c r="C45" s="12">
        <v>0.1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8.5</v>
      </c>
      <c r="J45" s="34">
        <f>SUMIFS('Эффекты технологий'!$J$25:$J$240,'Эффекты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v>8.0</v>
      </c>
      <c r="C46" s="12">
        <v>0.1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</v>
      </c>
      <c r="J46" s="34">
        <f>SUMIFS('Эффекты технологий'!$J$25:$J$240,'Эффекты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v>8.5</v>
      </c>
      <c r="C47" s="12">
        <v>0.05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8.5</v>
      </c>
      <c r="J47" s="34">
        <f>SUMIFS('Эффекты технологий'!$J$25:$J$240,'Эффекты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v>6.5</v>
      </c>
      <c r="C48" s="12">
        <v>0.05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6.5</v>
      </c>
      <c r="J48" s="34">
        <f>SUMIFS('Эффекты технологий'!$J$25:$J$240,'Эффекты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v>9.0</v>
      </c>
      <c r="C49" s="12">
        <v>0.15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</v>
      </c>
      <c r="J49" s="34">
        <f>SUMIFS('Эффекты технологий'!$J$25:$J$240,'Эффекты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v>9.0</v>
      </c>
      <c r="C50" s="12">
        <v>0.05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</v>
      </c>
      <c r="J50" s="34">
        <f>SUMIFS('Эффекты технологий'!$J$25:$J$240,'Эффекты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v>8.5</v>
      </c>
      <c r="C51" s="12">
        <v>0.1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8.5</v>
      </c>
      <c r="J51" s="34">
        <f>SUMIFS('Эффекты технологий'!$J$25:$J$240,'Эффекты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25"/>
      <c r="E52" s="25"/>
      <c r="F52" s="25"/>
      <c r="G52" s="25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v>8.5</v>
      </c>
      <c r="C53" s="12">
        <v>0.1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8.5</v>
      </c>
      <c r="J53" s="34">
        <f>SUMIFS('Эффекты технологий'!$J$25:$J$240,'Эффекты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v>8.5</v>
      </c>
      <c r="C54" s="12">
        <v>0.1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8.5</v>
      </c>
      <c r="J54" s="34">
        <f>SUMIFS('Эффекты технологий'!$J$25:$J$240,'Эффекты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v>7.5</v>
      </c>
      <c r="C55" s="12">
        <v>0.1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7.5</v>
      </c>
      <c r="J55" s="34">
        <f>SUMIFS('Эффекты технологий'!$J$25:$J$240,'Эффекты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2026'!U6</f>
        <v>90.84924398</v>
      </c>
      <c r="C6" s="12"/>
      <c r="D6" s="12"/>
      <c r="E6" s="12" t="s">
        <v>16</v>
      </c>
      <c r="F6" s="19">
        <f>'Израиль 2026'!K6</f>
        <v>87.13768939</v>
      </c>
      <c r="G6" s="12"/>
      <c r="H6" s="12"/>
      <c r="I6" s="12" t="s">
        <v>16</v>
      </c>
      <c r="J6" s="19">
        <f>'Израиль 2026'!N6</f>
        <v>89.65226843</v>
      </c>
      <c r="K6" s="12"/>
      <c r="L6" s="12"/>
      <c r="M6" s="12" t="s">
        <v>16</v>
      </c>
      <c r="N6" s="19">
        <f>'Израиль 2026'!Q6</f>
        <v>73.87841705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90.8</v>
      </c>
      <c r="C7" s="12"/>
      <c r="D7" s="12"/>
      <c r="E7" s="12" t="s">
        <v>46</v>
      </c>
      <c r="F7" s="12">
        <f>SUM(H13:H20)</f>
        <v>87.1</v>
      </c>
      <c r="G7" s="12"/>
      <c r="H7" s="12"/>
      <c r="I7" s="12" t="s">
        <v>46</v>
      </c>
      <c r="J7" s="12">
        <f>SUM(I29:I38)</f>
        <v>89.6</v>
      </c>
      <c r="K7" s="12"/>
      <c r="L7" s="12"/>
      <c r="M7" s="12" t="s">
        <v>46</v>
      </c>
      <c r="N7" s="12">
        <f>SUM(N13:Q28)+J24</f>
        <v>73.8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0.04924397611</v>
      </c>
      <c r="C8" s="12" t="str">
        <f>IF(B8&lt;0,"ПРЕВЫШЕНИЕ","OK")</f>
        <v>OK</v>
      </c>
      <c r="D8" s="12"/>
      <c r="E8" s="12" t="s">
        <v>94</v>
      </c>
      <c r="F8" s="19">
        <f>F6-F7</f>
        <v>0.03768938784</v>
      </c>
      <c r="G8" s="12" t="str">
        <f>IF(F8&lt;0,"ПРЕВЫШЕНИЕ","OK")</f>
        <v>OK</v>
      </c>
      <c r="H8" s="12"/>
      <c r="I8" s="12" t="s">
        <v>94</v>
      </c>
      <c r="J8" s="19">
        <f>J6-J7</f>
        <v>0.05226842881</v>
      </c>
      <c r="K8" s="12" t="str">
        <f>IF(J8&lt;0,"ПРЕВЫШЕНИЕ","OK")</f>
        <v>OK</v>
      </c>
      <c r="L8" s="12"/>
      <c r="M8" s="12" t="s">
        <v>94</v>
      </c>
      <c r="N8" s="19">
        <f>N6-N7</f>
        <v>0.07841705223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4">
        <v>1.8</v>
      </c>
      <c r="C13" s="25"/>
      <c r="D13" s="12"/>
      <c r="E13" s="12"/>
      <c r="F13" s="12"/>
      <c r="G13" s="12" t="s">
        <v>109</v>
      </c>
      <c r="H13" s="24">
        <v>12.1</v>
      </c>
      <c r="I13" s="12"/>
      <c r="J13" s="12"/>
      <c r="K13" s="12"/>
      <c r="L13" s="12" t="s">
        <v>110</v>
      </c>
      <c r="M13" s="12">
        <f>'Израиль 2026'!V11</f>
        <v>-0.4</v>
      </c>
      <c r="N13" s="24">
        <v>5.0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4">
        <v>1.8</v>
      </c>
      <c r="C14" s="25">
        <v>0.0</v>
      </c>
      <c r="D14" s="12"/>
      <c r="E14" s="12"/>
      <c r="F14" s="12"/>
      <c r="G14" s="12" t="s">
        <v>112</v>
      </c>
      <c r="H14" s="24">
        <v>15.0</v>
      </c>
      <c r="I14" s="12"/>
      <c r="J14" s="12"/>
      <c r="K14" s="12"/>
      <c r="L14" s="12" t="s">
        <v>113</v>
      </c>
      <c r="M14" s="12">
        <f>'Израиль 2026'!V12</f>
        <v>4.1</v>
      </c>
      <c r="N14" s="24">
        <v>12.1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4">
        <v>1.8</v>
      </c>
      <c r="C15" s="25">
        <v>0.0</v>
      </c>
      <c r="D15" s="12"/>
      <c r="E15" s="12"/>
      <c r="F15" s="12"/>
      <c r="G15" s="12" t="s">
        <v>115</v>
      </c>
      <c r="H15" s="24">
        <v>12.0</v>
      </c>
      <c r="I15" s="12"/>
      <c r="J15" s="12"/>
      <c r="K15" s="12"/>
      <c r="L15" s="12" t="s">
        <v>116</v>
      </c>
      <c r="M15" s="12">
        <f>'Израиль 2026'!V13</f>
        <v>0</v>
      </c>
      <c r="N15" s="24">
        <v>5.0</v>
      </c>
      <c r="O15" s="25">
        <v>0.0</v>
      </c>
      <c r="P15" s="25">
        <v>0.0</v>
      </c>
      <c r="Q15" s="24">
        <v>0.0</v>
      </c>
      <c r="R15" s="26"/>
      <c r="S15" s="26"/>
      <c r="T15" s="26"/>
      <c r="U15" s="12"/>
    </row>
    <row r="16" ht="13.5" customHeight="1">
      <c r="A16" s="12" t="s">
        <v>117</v>
      </c>
      <c r="B16" s="24">
        <v>1.8</v>
      </c>
      <c r="C16" s="24">
        <v>1.5</v>
      </c>
      <c r="D16" s="12"/>
      <c r="E16" s="12"/>
      <c r="F16" s="12"/>
      <c r="G16" s="12" t="s">
        <v>118</v>
      </c>
      <c r="H16" s="24">
        <v>11.0</v>
      </c>
      <c r="I16" s="12"/>
      <c r="J16" s="12"/>
      <c r="K16" s="12"/>
      <c r="L16" s="12" t="s">
        <v>119</v>
      </c>
      <c r="M16" s="12">
        <f>'Израиль 2026'!V14</f>
        <v>3.2</v>
      </c>
      <c r="N16" s="24">
        <v>6.8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4">
        <v>1.8</v>
      </c>
      <c r="C17" s="25">
        <v>0.0</v>
      </c>
      <c r="D17" s="12"/>
      <c r="E17" s="12"/>
      <c r="F17" s="12"/>
      <c r="G17" s="12" t="s">
        <v>121</v>
      </c>
      <c r="H17" s="24">
        <v>5.0</v>
      </c>
      <c r="I17" s="12"/>
      <c r="J17" s="12"/>
      <c r="K17" s="12"/>
      <c r="L17" s="12" t="s">
        <v>122</v>
      </c>
      <c r="M17" s="12">
        <f>'Израиль 2026'!V15</f>
        <v>1.5</v>
      </c>
      <c r="N17" s="24">
        <v>5.3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4">
        <v>1.8</v>
      </c>
      <c r="C18" s="25">
        <v>0.0</v>
      </c>
      <c r="D18" s="12"/>
      <c r="E18" s="12"/>
      <c r="F18" s="12"/>
      <c r="G18" s="12" t="s">
        <v>124</v>
      </c>
      <c r="H18" s="24">
        <v>10.0</v>
      </c>
      <c r="I18" s="12"/>
      <c r="J18" s="12"/>
      <c r="K18" s="12"/>
      <c r="L18" s="12" t="s">
        <v>125</v>
      </c>
      <c r="M18" s="12">
        <f>'Израиль 2026'!V16</f>
        <v>1</v>
      </c>
      <c r="N18" s="25">
        <v>0.0</v>
      </c>
      <c r="O18" s="25">
        <v>0.0</v>
      </c>
      <c r="P18" s="24">
        <v>3.0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4">
        <v>1.8</v>
      </c>
      <c r="C19" s="24">
        <v>1.0</v>
      </c>
      <c r="D19" s="12"/>
      <c r="E19" s="12"/>
      <c r="F19" s="12"/>
      <c r="G19" s="12" t="s">
        <v>127</v>
      </c>
      <c r="H19" s="24">
        <v>9.0</v>
      </c>
      <c r="I19" s="12"/>
      <c r="J19" s="12"/>
      <c r="K19" s="12"/>
      <c r="L19" s="12" t="s">
        <v>128</v>
      </c>
      <c r="M19" s="12">
        <f>'Израиль 2026'!V17</f>
        <v>2.4</v>
      </c>
      <c r="N19" s="24">
        <v>5.3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4">
        <v>1.8</v>
      </c>
      <c r="C20" s="24">
        <v>2.0</v>
      </c>
      <c r="D20" s="12"/>
      <c r="E20" s="12"/>
      <c r="F20" s="12"/>
      <c r="G20" s="12" t="s">
        <v>130</v>
      </c>
      <c r="H20" s="24">
        <v>13.0</v>
      </c>
      <c r="I20" s="12"/>
      <c r="J20" s="12"/>
      <c r="K20" s="12"/>
      <c r="L20" s="12" t="s">
        <v>131</v>
      </c>
      <c r="M20" s="12">
        <f>'Израиль 2026'!V18</f>
        <v>1.2</v>
      </c>
      <c r="N20" s="25">
        <v>0.0</v>
      </c>
      <c r="O20" s="25">
        <v>0.0</v>
      </c>
      <c r="P20" s="24">
        <v>0.6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4">
        <v>1.8</v>
      </c>
      <c r="C21" s="24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2026'!V19</f>
        <v>1.4</v>
      </c>
      <c r="N21" s="24">
        <v>5.3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4">
        <v>1.8</v>
      </c>
      <c r="C22" s="24">
        <v>0.9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2026'!V20</f>
        <v>-1.8</v>
      </c>
      <c r="N22" s="24">
        <v>1.8</v>
      </c>
      <c r="O22" s="25">
        <v>0.0</v>
      </c>
      <c r="P22" s="24">
        <v>3.0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4">
        <v>1.8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2026'!V21</f>
        <v>-0.2</v>
      </c>
      <c r="N23" s="24">
        <v>5.2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4">
        <v>1.8</v>
      </c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2026'!V22</f>
        <v>-4</v>
      </c>
      <c r="N24" s="25">
        <v>0.0</v>
      </c>
      <c r="O24" s="25">
        <v>0.0</v>
      </c>
      <c r="P24" s="24">
        <v>5.0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4">
        <v>1.8</v>
      </c>
      <c r="C25" s="25">
        <v>0.0</v>
      </c>
      <c r="D25" s="12"/>
      <c r="E25" s="12"/>
      <c r="F25" s="12" t="s">
        <v>151</v>
      </c>
      <c r="G25" s="29">
        <f>'Эффекты технологий'!J$16</f>
        <v>0</v>
      </c>
      <c r="H25" s="29">
        <f>'Эффекты технологий'!J$17</f>
        <v>0</v>
      </c>
      <c r="I25" s="29">
        <f>'Эффекты технологий'!J$18</f>
        <v>0</v>
      </c>
      <c r="J25" s="30"/>
      <c r="K25" s="12"/>
      <c r="L25" s="12" t="s">
        <v>152</v>
      </c>
      <c r="M25" s="12">
        <f>'Израиль 2026'!V23</f>
        <v>-0.9</v>
      </c>
      <c r="N25" s="24">
        <v>1.0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4">
        <v>1.8</v>
      </c>
      <c r="C26" s="24">
        <v>1.0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2026'!V24</f>
        <v>2.2</v>
      </c>
      <c r="N26" s="24">
        <v>5.3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4">
        <v>1.8</v>
      </c>
      <c r="C27" s="24">
        <v>1.0</v>
      </c>
      <c r="D27" s="12"/>
      <c r="E27" s="12"/>
      <c r="F27" s="12"/>
      <c r="G27" s="12" t="s">
        <v>157</v>
      </c>
      <c r="L27" s="12" t="s">
        <v>158</v>
      </c>
      <c r="M27" s="12">
        <f>'Израиль 2026'!V25</f>
        <v>-1.1</v>
      </c>
      <c r="N27" s="24">
        <v>1.1</v>
      </c>
      <c r="O27" s="25">
        <v>0.0</v>
      </c>
      <c r="P27" s="24">
        <v>3.0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4">
        <v>1.8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2026'!V26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4">
        <v>1.8</v>
      </c>
      <c r="C29" s="25">
        <v>0.0</v>
      </c>
      <c r="D29" s="12"/>
      <c r="E29" s="12"/>
      <c r="F29" s="12"/>
      <c r="G29" s="24" t="s">
        <v>166</v>
      </c>
      <c r="H29" s="22" t="str">
        <f>IF(G29="","",VLOOKUP(G29,'Технологии'!$A$11:$D$50,4,FALSE))</f>
        <v>Обучение нейросетей со смешанной точностью и адаптивными оптимизаторами</v>
      </c>
      <c r="I29" s="24">
        <v>9.6</v>
      </c>
      <c r="J29" s="25"/>
      <c r="K29" s="22" t="str">
        <f>IF(G29="","",VLOOKUP(G29,'Технологии'!$A$11:$BF$50,44,FALSE))</f>
        <v>ОТКРЫТО</v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14.6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4">
        <v>1.8</v>
      </c>
      <c r="C30" s="25"/>
      <c r="D30" s="12"/>
      <c r="E30" s="12"/>
      <c r="F30" s="12"/>
      <c r="G30" s="24" t="s">
        <v>169</v>
      </c>
      <c r="H30" s="22" t="str">
        <f>IF(G30="","",VLOOKUP(G30,'Технологии'!$A$11:$D$50,4,FALSE))</f>
        <v>GPU-узлы с тензорными ядрами</v>
      </c>
      <c r="I30" s="24">
        <v>20.0</v>
      </c>
      <c r="J30" s="25"/>
      <c r="K30" s="22" t="str">
        <f>IF(G30="","",VLOOKUP(G30,'Технологии'!$A$11:$BF$50,44,FALSE))</f>
        <v>ИЗУЧЕНО</v>
      </c>
      <c r="L30" s="12"/>
      <c r="M30" s="12"/>
      <c r="N30" s="30" t="s">
        <v>151</v>
      </c>
      <c r="O30" s="29">
        <f>'Эффекты технологий'!J$13</f>
        <v>0</v>
      </c>
      <c r="P30" s="29">
        <f>'Эффекты технологий'!J$14</f>
        <v>0</v>
      </c>
      <c r="Q30" s="29">
        <f>'Эффекты технологий'!J$15</f>
        <v>0</v>
      </c>
      <c r="R30" s="12"/>
      <c r="S30" s="12"/>
      <c r="T30" s="12"/>
      <c r="U30" s="12"/>
    </row>
    <row r="31" ht="13.5" customHeight="1">
      <c r="A31" s="12" t="s">
        <v>170</v>
      </c>
      <c r="B31" s="24">
        <v>1.8</v>
      </c>
      <c r="C31" s="25">
        <v>0.0</v>
      </c>
      <c r="D31" s="12"/>
      <c r="E31" s="12"/>
      <c r="F31" s="12"/>
      <c r="G31" s="24" t="s">
        <v>171</v>
      </c>
      <c r="H31" s="22" t="str">
        <f>IF(G31="","",VLOOKUP(G31,'Технологии'!$A$11:$D$50,4,FALSE))</f>
        <v>ASIC-ускорители с памятью HBM</v>
      </c>
      <c r="I31" s="24">
        <v>60.0</v>
      </c>
      <c r="J31" s="25"/>
      <c r="K31" s="22" t="str">
        <f>IF(G31="","",VLOOKUP(G31,'Технологии'!$A$11:$BF$50,44,FALSE))</f>
        <v>ИЗУЧЕНО</v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14.6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4">
        <v>1.8</v>
      </c>
      <c r="C32" s="24">
        <v>1.0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4">
        <v>1.8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4">
        <v>1.8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4">
        <v>1.8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4">
        <v>1.8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4">
        <v>1.8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4">
        <v>1.8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4">
        <v>1.8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4">
        <v>1.8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4">
        <v>1.0</v>
      </c>
      <c r="C41" s="24">
        <v>1.8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4">
        <v>1.8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4">
        <v>1.8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4">
        <v>1.0</v>
      </c>
      <c r="C44" s="24">
        <v>1.8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4">
        <v>1.8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4">
        <v>1.8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4">
        <v>1.8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4">
        <v>1.8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4">
        <v>1.8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4">
        <v>1.8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4">
        <v>1.0</v>
      </c>
      <c r="C51" s="24">
        <v>1.8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4">
        <v>1.8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4">
        <v>1.8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4">
        <v>1.8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4">
        <v>2.0</v>
      </c>
      <c r="C55" s="24">
        <v>1.8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4">
        <v>1.8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4">
        <v>1.8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4">
        <v>1.8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4">
        <v>1.8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4">
        <v>1.8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4">
        <v>1.8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88.68285298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90.84089644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74.83005059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91.80102089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2026'!B8+'Израиль 2026'!D8+('Израиль 2026'!C8+'Израиль 2026'!F8+'Израиль 2026'!G8)+(0.35*LN(1+0.6*('Ход 2026'!B14*(1+'Эффекты технологий'!J$12)))*POWER(MAX(0,1-'Израиль 2026'!I8/10),0.7))))</f>
        <v>3.249694438</v>
      </c>
      <c r="C8" s="12">
        <f>MIN(1,(MIN(1,'Израиль 2026'!C8+'Израиль 2026'!F8+(0.08*LN(1+0.5*('Ход 2026'!C14*(1+'Эффекты технологий'!J$12)))*MAX(0,1-('Израиль 2026'!C8+'Израиль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3.099694438</v>
      </c>
      <c r="J8" s="34">
        <f>SUMIFS('Эффекты технологий'!$K$25:$K$240,'Эффекты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2026'!B9+'Израиль 2026'!D9+('Израиль 2026'!C9+'Израиль 2026'!F9+'Израиль 2026'!G9)+(0.35*LN(1+0.6*('Ход 2026'!B15*(1+'Эффекты технологий'!J$12)))*POWER(MAX(0,1-'Израиль 2026'!I9/10),0.7))))</f>
        <v>7.210352511</v>
      </c>
      <c r="C9" s="12">
        <f>MIN(1,(MIN(1,'Израиль 2026'!C9+'Израиль 2026'!F9+(0.08*LN(1+0.5*('Ход 2026'!C15*(1+'Эффекты технологий'!J$12)))*MAX(0,1-('Израиль 2026'!C9+'Израиль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7.210352511</v>
      </c>
      <c r="J9" s="34">
        <f>SUMIFS('Эффекты технологий'!$K$25:$K$240,'Эффекты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2026'!B10+'Израиль 2026'!D10+('Израиль 2026'!C10+'Израиль 2026'!F10+'Израиль 2026'!G10)+(0.35*LN(1+0.6*('Ход 2026'!B16*(1+'Эффекты технологий'!J$12)))*POWER(MAX(0,1-'Израиль 2026'!I10/10),0.7))))</f>
        <v>6.722926346</v>
      </c>
      <c r="C10" s="12">
        <f>MIN(1,(MIN(1,'Израиль 2026'!C10+'Израиль 2026'!F10+(0.08*LN(1+0.5*('Ход 2026'!C16*(1+'Эффекты технологий'!J$12)))*MAX(0,1-('Израиль 2026'!C10+'Израиль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6.722926346</v>
      </c>
      <c r="J10" s="34">
        <f>SUMIFS('Эффекты технологий'!$K$25:$K$240,'Эффекты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2026'!B11+'Израиль 2026'!D11+('Израиль 2026'!C11+'Израиль 2026'!F11+'Израиль 2026'!G11)+(0.35*LN(1+0.6*('Ход 2026'!B17*(1+'Эффекты технологий'!J$12)))*POWER(MAX(0,1-'Израиль 2026'!I11/10),0.7))))</f>
        <v>9.101144312</v>
      </c>
      <c r="C11" s="12">
        <f>MIN(1,(MIN(1,'Израиль 2026'!C11+'Израиль 2026'!F11+(0.08*LN(1+0.5*('Ход 2026'!C17*(1+'Эффекты технологий'!J$12)))*MAX(0,1-('Израиль 2026'!C11+'Израиль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9.101144312</v>
      </c>
      <c r="J11" s="34">
        <f>SUMIFS('Эффекты технологий'!$K$25:$K$240,'Эффекты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2026'!L11+'Израиль 2026'!N11+('Израиль 2026'!M11+'Израиль 2026'!P11+'Израиль 2026'!Q11)))</f>
        <v>7.25</v>
      </c>
      <c r="M11" s="12">
        <f>MIN(1,(MIN(1,'Израиль 2026'!M11+'Израиль 2026'!P11+(0.1*LN(1+0.5*('Ход 2026'!H13*(1+'Эффекты технологий'!J$10)))*POWER(MAX(0,1-'Израиль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7.25</v>
      </c>
      <c r="T11" s="34">
        <f>SUMIFS('Эффекты технологий'!$K$25:$K$240,'Эффекты технологий'!$C$25:$C$240,$K11,'Эффекты технологий'!$D$25:$D$240,"Значение")</f>
        <v>0</v>
      </c>
      <c r="U11" s="12" t="s">
        <v>110</v>
      </c>
      <c r="V11" s="25">
        <f>'Израиль 2026'!V11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2026'!B12+'Израиль 2026'!D12+('Израиль 2026'!C12+'Израиль 2026'!F12+'Израиль 2026'!G12)+(0.35*LN(1+0.6*('Ход 2026'!B18*(1+'Эффекты технологий'!J$12)))*POWER(MAX(0,1-'Израиль 2026'!I12/10),0.7))))</f>
        <v>3.739599283</v>
      </c>
      <c r="C12" s="12">
        <f>MIN(1,(MIN(1,'Израиль 2026'!C12+'Израиль 2026'!F12+(0.08*LN(1+0.5*('Ход 2026'!C18*(1+'Эффекты технологий'!J$12)))*MAX(0,1-('Израиль 2026'!C12+'Израиль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3.739599283</v>
      </c>
      <c r="J12" s="34">
        <f>SUMIFS('Эффекты технологий'!$K$25:$K$240,'Эффекты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2026'!L12+'Израиль 2026'!N12+('Израиль 2026'!M12+'Израиль 2026'!P12+'Израиль 2026'!Q12)))</f>
        <v>8.2</v>
      </c>
      <c r="M12" s="12">
        <f>MIN(1,(MIN(1,'Израиль 2026'!M12+'Израиль 2026'!P12+(0.1*LN(1+0.5*('Ход 2026'!H14*(1+'Эффекты технологий'!J$10)))*POWER(MAX(0,1-'Израиль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8.2</v>
      </c>
      <c r="T12" s="34">
        <f>SUMIFS('Эффекты технологий'!$K$25:$K$240,'Эффекты технологий'!$C$25:$C$240,$K12,'Эффекты технологий'!$D$25:$D$240,"Значение")</f>
        <v>0</v>
      </c>
      <c r="U12" s="12" t="s">
        <v>113</v>
      </c>
      <c r="V12" s="25">
        <f>'Израиль 2026'!V12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2026'!B13+'Израиль 2026'!D13+('Израиль 2026'!C13+'Израиль 2026'!F13+'Израиль 2026'!G13)+(0.35*LN(1+0.6*('Ход 2026'!B19*(1+'Эффекты технологий'!J$12)))*POWER(MAX(0,1-'Израиль 2026'!I13/10),0.7))))</f>
        <v>7.747130438</v>
      </c>
      <c r="C13" s="12">
        <f>MIN(1,(MIN(1,'Израиль 2026'!C13+'Израиль 2026'!F13+(0.08*LN(1+0.5*('Ход 2026'!C19*(1+'Эффекты технологий'!J$12)))*MAX(0,1-('Израиль 2026'!C13+'Израиль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7.747130438</v>
      </c>
      <c r="J13" s="34">
        <f>SUMIFS('Эффекты технологий'!$K$25:$K$240,'Эффекты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2026'!L13+'Израиль 2026'!N13+('Израиль 2026'!M13+'Израиль 2026'!P13+'Израиль 2026'!Q13)))</f>
        <v>8.65</v>
      </c>
      <c r="M13" s="12">
        <f>MIN(1,(MIN(1,'Израиль 2026'!M13+'Израиль 2026'!P13+(0.1*LN(1+0.5*('Ход 2026'!H15*(1+'Эффекты технологий'!J$10)))*POWER(MAX(0,1-'Израиль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8.65</v>
      </c>
      <c r="T13" s="34">
        <f>SUMIFS('Эффекты технологий'!$K$25:$K$240,'Эффекты технологий'!$C$25:$C$240,$K13,'Эффекты технологий'!$D$25:$D$240,"Значение")</f>
        <v>0</v>
      </c>
      <c r="U13" s="12" t="s">
        <v>116</v>
      </c>
      <c r="V13" s="25">
        <f>'Израиль 2026'!V13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2026'!B14+'Израиль 2026'!D14+('Израиль 2026'!C14+'Израиль 2026'!F14+'Израиль 2026'!G14)+(0.35*LN(1+0.6*('Ход 2026'!B20*(1+'Эффекты технологий'!J$12)))*POWER(MAX(0,1-'Израиль 2026'!I14/10),0.7))))</f>
        <v>8.717929939</v>
      </c>
      <c r="C14" s="12">
        <f>MIN(1,(MIN(1,'Израиль 2026'!C14+'Израиль 2026'!F14+(0.08*LN(1+0.5*('Ход 2026'!C20*(1+'Эффекты технологий'!J$12)))*MAX(0,1-('Израиль 2026'!C14+'Израиль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9.217929939</v>
      </c>
      <c r="J14" s="34">
        <f>SUMIFS('Эффекты технологий'!$K$25:$K$240,'Эффекты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2026'!L14+'Израиль 2026'!N14+('Израиль 2026'!M14+'Израиль 2026'!P14+'Израиль 2026'!Q14)))</f>
        <v>7.7</v>
      </c>
      <c r="M14" s="12">
        <f>MIN(1,(MIN(1,'Израиль 2026'!M14+'Израиль 2026'!P14+(0.1*LN(1+0.5*('Ход 2026'!H16*(1+'Эффекты технологий'!J$10)))*POWER(MAX(0,1-'Израиль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7.7</v>
      </c>
      <c r="T14" s="34">
        <f>SUMIFS('Эффекты технологий'!$K$25:$K$240,'Эффекты технологий'!$C$25:$C$240,$K14,'Эффекты технологий'!$D$25:$D$240,"Значение")</f>
        <v>0</v>
      </c>
      <c r="U14" s="12" t="s">
        <v>119</v>
      </c>
      <c r="V14" s="25">
        <f>'Израиль 2026'!V14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2026'!B15+'Израиль 2026'!D15+('Израиль 2026'!C15+'Израиль 2026'!F15+'Израиль 2026'!G15)+(0.35*LN(1+0.6*('Ход 2026'!B21*(1+'Эффекты технологий'!J$12)))*POWER(MAX(0,1-'Израиль 2026'!I15/10),0.7))))</f>
        <v>8.28308418</v>
      </c>
      <c r="C15" s="12">
        <f>MIN(1,(MIN(1,'Израиль 2026'!C15+'Израиль 2026'!F15+(0.08*LN(1+0.5*('Ход 2026'!C21*(1+'Эффекты технологий'!J$12)))*MAX(0,1-('Израиль 2026'!C15+'Израиль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8.28308418</v>
      </c>
      <c r="J15" s="34">
        <f>SUMIFS('Эффекты технологий'!$K$25:$K$240,'Эффекты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2026'!L15+'Израиль 2026'!N15+('Израиль 2026'!M15+'Израиль 2026'!P15+'Израиль 2026'!Q15)))</f>
        <v>8.65</v>
      </c>
      <c r="M15" s="12">
        <f>MIN(1,(MIN(1,'Израиль 2026'!M15+'Израиль 2026'!P15+(0.1*LN(1+0.5*('Ход 2026'!H17*(1+'Эффекты технологий'!J$10)))*POWER(MAX(0,1-'Израиль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8.65</v>
      </c>
      <c r="T15" s="34">
        <f>SUMIFS('Эффекты технологий'!$K$25:$K$240,'Эффекты технологий'!$C$25:$C$240,$K15,'Эффекты технологий'!$D$25:$D$240,"Значение")</f>
        <v>0</v>
      </c>
      <c r="U15" s="12" t="s">
        <v>122</v>
      </c>
      <c r="V15" s="25">
        <f>'Израиль 2026'!V15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2026'!B16+'Израиль 2026'!D16+('Израиль 2026'!C16+'Израиль 2026'!F16+'Израиль 2026'!G16)+(0.35*LN(1+0.6*('Ход 2026'!B22*(1+'Эффекты технологий'!J$12)))*POWER(MAX(0,1-'Израиль 2026'!I16/10),0.7))))</f>
        <v>8.23308418</v>
      </c>
      <c r="C16" s="12">
        <f>MIN(1,(MIN(1,'Израиль 2026'!C16+'Израиль 2026'!F16+(0.08*LN(1+0.5*('Ход 2026'!C22*(1+'Эффекты технологий'!J$12)))*MAX(0,1-('Израиль 2026'!C16+'Израиль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8.23308418</v>
      </c>
      <c r="J16" s="34">
        <f>SUMIFS('Эффекты технологий'!$K$25:$K$240,'Эффекты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2026'!L16+'Израиль 2026'!N16+('Израиль 2026'!M16+'Израиль 2026'!P16+'Израиль 2026'!Q16)))</f>
        <v>8.2</v>
      </c>
      <c r="M16" s="12">
        <f>MIN(1,(MIN(1,'Израиль 2026'!M16+'Израиль 2026'!P16+(0.1*LN(1+0.5*('Ход 2026'!H18*(1+'Эффекты технологий'!J$10)))*POWER(MAX(0,1-'Израиль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8.2</v>
      </c>
      <c r="T16" s="34">
        <f>SUMIFS('Эффекты технологий'!$K$25:$K$240,'Эффекты технологий'!$C$25:$C$240,$K16,'Эффекты технологий'!$D$25:$D$240,"Значение")</f>
        <v>0</v>
      </c>
      <c r="U16" s="12" t="s">
        <v>125</v>
      </c>
      <c r="V16" s="25">
        <f>'Израиль 2026'!V16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2026'!B17+'Израиль 2026'!D17+('Израиль 2026'!C17+'Израиль 2026'!F17+'Израиль 2026'!G17)+(0.35*LN(1+0.6*('Ход 2026'!B23*(1+'Эффекты технологий'!J$12)))*POWER(MAX(0,1-'Израиль 2026'!I17/10),0.7))))</f>
        <v>7.697130438</v>
      </c>
      <c r="C17" s="12">
        <f>MIN(1,(MIN(1,'Израиль 2026'!C17+'Израиль 2026'!F17+(0.08*LN(1+0.5*('Ход 2026'!C23*(1+'Эффекты технологий'!J$12)))*MAX(0,1-('Израиль 2026'!C17+'Израиль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7.697130438</v>
      </c>
      <c r="J17" s="34">
        <f>SUMIFS('Эффекты технологий'!$K$25:$K$240,'Эффекты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2026'!L17+'Израиль 2026'!N17+('Израиль 2026'!M17+'Израиль 2026'!P17+'Израиль 2026'!Q17)))</f>
        <v>7.7</v>
      </c>
      <c r="M17" s="12">
        <f>MIN(1,(MIN(1,'Израиль 2026'!M17+'Израиль 2026'!P17+(0.1*LN(1+0.5*('Ход 2026'!H19*(1+'Эффекты технологий'!J$10)))*POWER(MAX(0,1-'Израиль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7.7</v>
      </c>
      <c r="T17" s="34">
        <f>SUMIFS('Эффекты технологий'!$K$25:$K$240,'Эффекты технологий'!$C$25:$C$240,$K17,'Эффекты технологий'!$D$25:$D$240,"Значение")</f>
        <v>0</v>
      </c>
      <c r="U17" s="12" t="s">
        <v>128</v>
      </c>
      <c r="V17" s="25">
        <f>'Израиль 2026'!V17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2026'!L18+'Израиль 2026'!N18+('Израиль 2026'!M18+'Израиль 2026'!P18+'Израиль 2026'!Q18)))</f>
        <v>7.7</v>
      </c>
      <c r="M18" s="12">
        <f>MIN(1,(MIN(1,'Израиль 2026'!M18+'Израиль 2026'!P18+(0.1*LN(1+0.5*('Ход 2026'!H20*(1+'Эффекты технологий'!J$10)))*POWER(MAX(0,1-'Израиль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7.7</v>
      </c>
      <c r="T18" s="34">
        <f>SUMIFS('Эффекты технологий'!$K$25:$K$240,'Эффекты технологий'!$C$25:$C$240,$K18,'Эффекты технологий'!$D$25:$D$240,"Значение")</f>
        <v>0</v>
      </c>
      <c r="U18" s="12" t="s">
        <v>131</v>
      </c>
      <c r="V18" s="25">
        <f>'Израиль 2026'!V18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2026'!B19+'Израиль 2026'!D19+('Израиль 2026'!C19+'Израиль 2026'!F19+'Израиль 2026'!G19)+(0.35*LN(1+0.6*'Ход 2026'!B25)*POWER(MAX(0,1-'Израиль 2026'!I19/10),0.7))))</f>
        <v>9.201144312</v>
      </c>
      <c r="C19" s="12">
        <f>MIN(1,(MIN(1,'Израиль 2026'!C19+'Израиль 2026'!F19+(0.08*LN(1+0.5*'Ход 2026'!C25)*MAX(0,1-('Израиль 2026'!C19+'Израиль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9.401144312</v>
      </c>
      <c r="J19" s="34">
        <f>SUMIFS('Эффекты технологий'!$K$25:$K$240,'Эффекты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2026'!V19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2026'!B20+'Израиль 2026'!D20+('Израиль 2026'!C20+'Израиль 2026'!F20+'Израиль 2026'!G20)+(0.35*LN(1+0.6*'Ход 2026'!B26)*POWER(MAX(0,1-'Израиль 2026'!I20/10),0.7))))</f>
        <v>9.681483017</v>
      </c>
      <c r="C20" s="12">
        <f>MIN(1,(MIN(1,'Израиль 2026'!C20+'Израиль 2026'!F20+(0.08*LN(1+0.5*'Ход 2026'!C26)*MAX(0,1-('Израиль 2026'!C20+'Израиль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9.681483017</v>
      </c>
      <c r="J20" s="34">
        <f>SUMIFS('Эффекты технологий'!$K$25:$K$240,'Эффекты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2026'!V20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2026'!B21+'Израиль 2026'!D21+('Израиль 2026'!C21+'Израиль 2026'!F21+'Израиль 2026'!G21)+(0.35*LN(1+0.6*'Ход 2026'!B27)*POWER(MAX(0,1-'Израиль 2026'!I21/10),0.7))))</f>
        <v>9.201144312</v>
      </c>
      <c r="C21" s="12">
        <f>MIN(1,(MIN(1,'Израиль 2026'!C21+'Израиль 2026'!F21+(0.08*LN(1+0.5*'Ход 2026'!C27)*MAX(0,1-('Израиль 2026'!C21+'Израиль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9.201144312</v>
      </c>
      <c r="J21" s="34">
        <f>SUMIFS('Эффекты технологий'!$K$25:$K$240,'Эффекты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2026'!V21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2026'!B22+'Израиль 2026'!D22+('Израиль 2026'!C22+'Израиль 2026'!F22+'Израиль 2026'!G22)+(0.35*LN(1+0.6*'Ход 2026'!B28)*POWER(MAX(0,1-'Израиль 2026'!I22/10),0.7))))</f>
        <v>9.631483017</v>
      </c>
      <c r="C22" s="12">
        <f>MIN(1,(MIN(1,'Израиль 2026'!C22+'Израиль 2026'!F22+(0.08*LN(1+0.5*'Ход 2026'!C28)*MAX(0,1-('Израиль 2026'!C22+'Израиль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9.631483017</v>
      </c>
      <c r="J22" s="34">
        <f>SUMIFS('Эффекты технологий'!$K$25:$K$240,'Эффекты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2026'!V22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2026'!B23+'Израиль 2026'!D23+('Израиль 2026'!C23+'Израиль 2026'!F23+'Израиль 2026'!G23)+(0.35*LN(1+0.6*'Ход 2026'!B29)*POWER(MAX(0,1-'Израиль 2026'!I23/10),0.7))))</f>
        <v>9.631483017</v>
      </c>
      <c r="C23" s="12">
        <f>MIN(1,(MIN(1,'Израиль 2026'!C23+'Израиль 2026'!F23+(0.08*LN(1+0.5*'Ход 2026'!C29)*MAX(0,1-('Израиль 2026'!C23+'Израиль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9.631483017</v>
      </c>
      <c r="J23" s="34">
        <f>SUMIFS('Эффекты технологий'!$K$25:$K$240,'Эффекты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2026'!V23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2026'!V24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2026'!B25+'Израиль 2026'!D25+('Израиль 2026'!C25+'Израиль 2026'!F25+'Израиль 2026'!G25)+(0.35*LN(1+0.6*'Ход 2026'!B31)*POWER(MAX(0,1-'Израиль 2026'!I25/10),0.7))))</f>
        <v>8.18308418</v>
      </c>
      <c r="C25" s="12">
        <f>MIN(1,(MIN(1,'Израиль 2026'!C25+'Израиль 2026'!F25+(0.08*LN(1+0.5*'Ход 2026'!C31)*MAX(0,1-('Израиль 2026'!C25+'Израиль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8.18308418</v>
      </c>
      <c r="J25" s="34">
        <f>SUMIFS('Эффекты технологий'!$K$25:$K$240,'Эффекты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2026'!V25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2026'!B26+'Израиль 2026'!D26+('Израиль 2026'!C26+'Израиль 2026'!F26+'Израиль 2026'!G26)+(0.35*LN(1+0.6*'Ход 2026'!B32)*POWER(MAX(0,1-'Израиль 2026'!I26/10),0.7))))</f>
        <v>8.717929939</v>
      </c>
      <c r="C26" s="12">
        <f>MIN(1,(MIN(1,'Израиль 2026'!C26+'Израиль 2026'!F26+(0.08*LN(1+0.5*'Ход 2026'!C32)*MAX(0,1-('Израиль 2026'!C26+'Израиль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8.717929939</v>
      </c>
      <c r="J26" s="34">
        <f>SUMIFS('Эффекты технологий'!$K$25:$K$240,'Эффекты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2026'!V26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2026'!B27+'Израиль 2026'!D27+('Израиль 2026'!C27+'Израиль 2026'!F27+'Израиль 2026'!G27)+(0.35*LN(1+0.6*'Ход 2026'!B33)*POWER(MAX(0,1-'Израиль 2026'!I27/10),0.7))))</f>
        <v>8.667929939</v>
      </c>
      <c r="C27" s="12">
        <f>MIN(1,(MIN(1,'Израиль 2026'!C27+'Израиль 2026'!F27+(0.08*LN(1+0.5*'Ход 2026'!C33)*MAX(0,1-('Израиль 2026'!C27+'Израиль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8.667929939</v>
      </c>
      <c r="J27" s="34">
        <f>SUMIFS('Эффекты технологий'!$K$25:$K$240,'Эффекты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2026'!B28+'Израиль 2026'!D28+('Израиль 2026'!C28+'Израиль 2026'!F28+'Израиль 2026'!G28)+(0.35*LN(1+0.6*'Ход 2026'!B34)*POWER(MAX(0,1-'Израиль 2026'!I28/10),0.7))))</f>
        <v>9.201144312</v>
      </c>
      <c r="C28" s="12">
        <f>MIN(1,(MIN(1,'Израиль 2026'!C28+'Израиль 2026'!F28+(0.08*LN(1+0.5*'Ход 2026'!C34)*MAX(0,1-('Израиль 2026'!C28+'Израиль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9.201144312</v>
      </c>
      <c r="J28" s="34">
        <f>SUMIFS('Эффекты технологий'!$K$25:$K$240,'Эффекты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2026'!B29+'Израиль 2026'!D29+('Израиль 2026'!C29+'Израиль 2026'!F29+'Израиль 2026'!G29)+(0.35*LN(1+0.6*'Ход 2026'!B35)*POWER(MAX(0,1-'Израиль 2026'!I29/10),0.7))))</f>
        <v>9.151144312</v>
      </c>
      <c r="C29" s="12">
        <f>MIN(1,(MIN(1,'Израиль 2026'!C29+'Израиль 2026'!F29+(0.08*LN(1+0.5*'Ход 2026'!C35)*MAX(0,1-('Израиль 2026'!C29+'Израиль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9.151144312</v>
      </c>
      <c r="J29" s="34">
        <f>SUMIFS('Эффекты технологий'!$K$25:$K$240,'Эффекты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2026'!B30+'Израиль 2026'!D30+('Израиль 2026'!C30+'Израиль 2026'!F30+'Израиль 2026'!G30)+(0.35*LN(1+0.6*'Ход 2026'!B36)*POWER(MAX(0,1-'Израиль 2026'!I30/10),0.7))))</f>
        <v>9.151144312</v>
      </c>
      <c r="C30" s="12">
        <f>MIN(1,(MIN(1,'Израиль 2026'!C30+'Израиль 2026'!F30+(0.08*LN(1+0.5*'Ход 2026'!C36)*MAX(0,1-('Израиль 2026'!C30+'Израиль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9.151144312</v>
      </c>
      <c r="J30" s="34">
        <f>SUMIFS('Эффекты технологий'!$K$25:$K$240,'Эффекты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2026'!B31+'Израиль 2026'!D31+('Израиль 2026'!C31+'Израиль 2026'!F31+'Израиль 2026'!G31)+(0.35*LN(1+0.6*'Ход 2026'!B37)*POWER(MAX(0,1-'Израиль 2026'!I31/10),0.7))))</f>
        <v>8.667929939</v>
      </c>
      <c r="C31" s="12">
        <f>MIN(1,(MIN(1,'Израиль 2026'!C31+'Израиль 2026'!F31+(0.08*LN(1+0.5*'Ход 2026'!C37)*MAX(0,1-('Израиль 2026'!C31+'Израиль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8.667929939</v>
      </c>
      <c r="J31" s="34">
        <f>SUMIFS('Эффекты технологий'!$K$25:$K$240,'Эффекты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2026'!B32+'Израиль 2026'!D32+('Израиль 2026'!C32+'Израиль 2026'!F32+'Израиль 2026'!G32)+(0.35*LN(1+0.6*'Ход 2026'!B38)*POWER(MAX(0,1-'Израиль 2026'!I32/10),0.7))))</f>
        <v>10</v>
      </c>
      <c r="C32" s="12">
        <f>MIN(1,(MIN(1,'Израиль 2026'!C32+'Израиль 2026'!F32+(0.08*LN(1+0.5*'Ход 2026'!C38)*MAX(0,1-('Израиль 2026'!C32+'Израиль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технологий'!$K$25:$K$240,'Эффекты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2026'!B34+'Израиль 2026'!D34+('Израиль 2026'!C34+'Израиль 2026'!F34+'Израиль 2026'!G34)+(0.35*LN(1+0.6*'Ход 2026'!B40)*POWER(MAX(0,1-'Израиль 2026'!I34/10),0.7))))</f>
        <v>9.6</v>
      </c>
      <c r="C34" s="12">
        <f>MIN(1,(MIN(1,'Израиль 2026'!C34+'Израиль 2026'!F34+(0.08*LN(1+0.5*'Ход 2026'!C40)*MAX(0,1-('Израиль 2026'!C34+'Израиль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9.6</v>
      </c>
      <c r="J34" s="34">
        <f>SUMIFS('Эффекты технологий'!$K$25:$K$240,'Эффекты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2026'!B35+'Израиль 2026'!D35+('Израиль 2026'!C35+'Израиль 2026'!F35+'Израиль 2026'!G35)+(0.35*LN(1+0.6*'Ход 2026'!B41)*POWER(MAX(0,1-'Израиль 2026'!I35/10),0.7))))</f>
        <v>9.132822319</v>
      </c>
      <c r="C35" s="12">
        <f>MIN(1,(MIN(1,'Израиль 2026'!C35+'Израиль 2026'!F35+(0.08*LN(1+0.5*'Ход 2026'!C41)*MAX(0,1-('Израиль 2026'!C35+'Израиль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9.132822319</v>
      </c>
      <c r="J35" s="34">
        <f>SUMIFS('Эффекты технологий'!$K$25:$K$240,'Эффекты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2026'!B36+'Израиль 2026'!D36+('Израиль 2026'!C36+'Израиль 2026'!F36+'Израиль 2026'!G36)+(0.35*LN(1+0.6*'Ход 2026'!B42)*POWER(MAX(0,1-'Израиль 2026'!I36/10),0.7))))</f>
        <v>9.15</v>
      </c>
      <c r="C36" s="12">
        <f>MIN(1,(MIN(1,'Израиль 2026'!C36+'Израиль 2026'!F36+(0.08*LN(1+0.5*'Ход 2026'!C42)*MAX(0,1-('Израиль 2026'!C36+'Израиль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9.15</v>
      </c>
      <c r="J36" s="34">
        <f>SUMIFS('Эффекты технологий'!$K$25:$K$240,'Эффекты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2026'!B37+'Израиль 2026'!D37+('Израиль 2026'!C37+'Израиль 2026'!F37+'Израиль 2026'!G37)+(0.35*LN(1+0.6*'Ход 2026'!B43)*POWER(MAX(0,1-'Израиль 2026'!I37/10),0.7))))</f>
        <v>8.65</v>
      </c>
      <c r="C37" s="12">
        <f>MIN(1,(MIN(1,'Израиль 2026'!C37+'Израиль 2026'!F37+(0.08*LN(1+0.5*'Ход 2026'!C43)*MAX(0,1-('Израиль 2026'!C37+'Израиль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8.65</v>
      </c>
      <c r="J37" s="34">
        <f>SUMIFS('Эффекты технологий'!$K$25:$K$240,'Эффекты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2026'!B38+'Израиль 2026'!D38+('Израиль 2026'!C38+'Израиль 2026'!F38+'Израиль 2026'!G38)+(0.35*LN(1+0.6*'Ход 2026'!B44)*POWER(MAX(0,1-'Израиль 2026'!I38/10),0.7))))</f>
        <v>8.693594644</v>
      </c>
      <c r="C38" s="12">
        <f>MIN(1,(MIN(1,'Израиль 2026'!C38+'Израиль 2026'!F38+(0.08*LN(1+0.5*'Ход 2026'!C44)*MAX(0,1-('Израиль 2026'!C38+'Израиль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8.693594644</v>
      </c>
      <c r="J38" s="34">
        <f>SUMIFS('Эффекты технологий'!$K$25:$K$240,'Эффекты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2026'!B39+'Израиль 2026'!D39+('Израиль 2026'!C39+'Израиль 2026'!F39+'Израиль 2026'!G39)+(0.35*LN(1+0.6*'Ход 2026'!B45)*POWER(MAX(0,1-'Израиль 2026'!I39/10),0.7))))</f>
        <v>9.15</v>
      </c>
      <c r="C39" s="12">
        <f>MIN(1,(MIN(1,'Израиль 2026'!C39+'Израиль 2026'!F39+(0.08*LN(1+0.5*'Ход 2026'!C45)*MAX(0,1-('Израиль 2026'!C39+'Израиль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9.15</v>
      </c>
      <c r="J39" s="34">
        <f>SUMIFS('Эффекты технологий'!$K$25:$K$240,'Эффекты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2026'!B40+'Израиль 2026'!D40+('Израиль 2026'!C40+'Израиль 2026'!F40+'Израиль 2026'!G40)+(0.35*LN(1+0.6*'Ход 2026'!B46)*POWER(MAX(0,1-'Израиль 2026'!I40/10),0.7))))</f>
        <v>9.6</v>
      </c>
      <c r="C40" s="12">
        <f>MIN(1,(MIN(1,'Израиль 2026'!C40+'Израиль 2026'!F40+(0.08*LN(1+0.5*'Ход 2026'!C46)*MAX(0,1-('Израиль 2026'!C40+'Израиль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9.6</v>
      </c>
      <c r="J40" s="34">
        <f>SUMIFS('Эффекты технологий'!$K$25:$K$240,'Эффекты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2026'!B41+'Израиль 2026'!D41+('Израиль 2026'!C41+'Израиль 2026'!F41+'Израиль 2026'!G41)+(0.35*LN(1+0.6*'Ход 2026'!B47)*POWER(MAX(0,1-'Израиль 2026'!I41/10),0.7))))</f>
        <v>9.6</v>
      </c>
      <c r="C41" s="12">
        <f>MIN(1,(MIN(1,'Израиль 2026'!C41+'Израиль 2026'!F41+(0.08*LN(1+0.5*'Ход 2026'!C47)*MAX(0,1-('Израиль 2026'!C41+'Израиль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9.6</v>
      </c>
      <c r="J41" s="34">
        <f>SUMIFS('Эффекты технологий'!$K$25:$K$240,'Эффекты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2026'!B42+'Израиль 2026'!D42+('Израиль 2026'!C42+'Израиль 2026'!F42+'Израиль 2026'!G42)+(0.35*LN(1+0.6*'Ход 2026'!B48)*POWER(MAX(0,1-'Израиль 2026'!I42/10),0.7))))</f>
        <v>9.05</v>
      </c>
      <c r="C42" s="12">
        <f>MIN(1,(MIN(1,'Израиль 2026'!C42+'Израиль 2026'!F42+(0.08*LN(1+0.5*'Ход 2026'!C48)*MAX(0,1-('Израиль 2026'!C42+'Израиль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9.05</v>
      </c>
      <c r="J42" s="34">
        <f>SUMIFS('Эффекты технологий'!$K$25:$K$240,'Эффекты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2026'!B44+'Израиль 2026'!D44+('Израиль 2026'!C44+'Израиль 2026'!F44+'Израиль 2026'!G44)+(0.35*LN(1+0.6*'Ход 2026'!B50)*POWER(MAX(0,1-'Израиль 2026'!I44/10),0.7))))</f>
        <v>8.6</v>
      </c>
      <c r="C44" s="12">
        <f>MIN(1,(MIN(1,'Израиль 2026'!C44+'Израиль 2026'!F44+(0.08*LN(1+0.5*'Ход 2026'!C50)*MAX(0,1-('Израиль 2026'!C44+'Израиль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8.6</v>
      </c>
      <c r="J44" s="34">
        <f>SUMIFS('Эффекты технологий'!$K$25:$K$240,'Эффекты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2026'!B45+'Израиль 2026'!D45+('Израиль 2026'!C45+'Израиль 2026'!F45+'Израиль 2026'!G45)+(0.35*LN(1+0.6*'Ход 2026'!B51)*POWER(MAX(0,1-'Израиль 2026'!I45/10),0.7))))</f>
        <v>8.643594644</v>
      </c>
      <c r="C45" s="12">
        <f>MIN(1,(MIN(1,'Израиль 2026'!C45+'Израиль 2026'!F45+(0.08*LN(1+0.5*'Ход 2026'!C51)*MAX(0,1-('Израиль 2026'!C45+'Израиль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8.643594644</v>
      </c>
      <c r="J45" s="34">
        <f>SUMIFS('Эффекты технологий'!$K$25:$K$240,'Эффекты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2026'!B46+'Израиль 2026'!D46+('Израиль 2026'!C46+'Израиль 2026'!F46+'Израиль 2026'!G46)+(0.35*LN(1+0.6*'Ход 2026'!B52)*POWER(MAX(0,1-'Израиль 2026'!I46/10),0.7))))</f>
        <v>8.1</v>
      </c>
      <c r="C46" s="12">
        <f>MIN(1,(MIN(1,'Израиль 2026'!C46+'Израиль 2026'!F46+(0.08*LN(1+0.5*'Ход 2026'!C52)*MAX(0,1-('Израиль 2026'!C46+'Израиль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8.1</v>
      </c>
      <c r="J46" s="34">
        <f>SUMIFS('Эффекты технологий'!$K$25:$K$240,'Эффекты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2026'!B47+'Израиль 2026'!D47+('Израиль 2026'!C47+'Израиль 2026'!F47+'Израиль 2026'!G47)+(0.35*LN(1+0.6*'Ход 2026'!B53)*POWER(MAX(0,1-'Израиль 2026'!I47/10),0.7))))</f>
        <v>8.55</v>
      </c>
      <c r="C47" s="12">
        <f>MIN(1,(MIN(1,'Израиль 2026'!C47+'Израиль 2026'!F47+(0.08*LN(1+0.5*'Ход 2026'!C53)*MAX(0,1-('Израиль 2026'!C47+'Израиль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8.55</v>
      </c>
      <c r="J47" s="34">
        <f>SUMIFS('Эффекты технологий'!$K$25:$K$240,'Эффекты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2026'!B48+'Израиль 2026'!D48+('Израиль 2026'!C48+'Израиль 2026'!F48+'Израиль 2026'!G48)+(0.35*LN(1+0.6*'Ход 2026'!B54)*POWER(MAX(0,1-'Израиль 2026'!I48/10),0.7))))</f>
        <v>6.55</v>
      </c>
      <c r="C48" s="12">
        <f>MIN(1,(MIN(1,'Израиль 2026'!C48+'Израиль 2026'!F48+(0.08*LN(1+0.5*'Ход 2026'!C54)*MAX(0,1-('Израиль 2026'!C48+'Израиль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6.55</v>
      </c>
      <c r="J48" s="34">
        <f>SUMIFS('Эффекты технологий'!$K$25:$K$240,'Эффекты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2026'!B49+'Израиль 2026'!D49+('Израиль 2026'!C49+'Израиль 2026'!F49+'Израиль 2026'!G49)+(0.35*LN(1+0.6*'Ход 2026'!B55)*POWER(MAX(0,1-'Израиль 2026'!I49/10),0.7))))</f>
        <v>9.205061274</v>
      </c>
      <c r="C49" s="12">
        <f>MIN(1,(MIN(1,'Израиль 2026'!C49+'Израиль 2026'!F49+(0.08*LN(1+0.5*'Ход 2026'!C55)*MAX(0,1-('Израиль 2026'!C49+'Израиль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9.205061274</v>
      </c>
      <c r="J49" s="34">
        <f>SUMIFS('Эффекты технологий'!$K$25:$K$240,'Эффекты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2026'!B50+'Израиль 2026'!D50+('Израиль 2026'!C50+'Израиль 2026'!F50+'Израиль 2026'!G50)+(0.35*LN(1+0.6*'Ход 2026'!B56)*POWER(MAX(0,1-'Израиль 2026'!I50/10),0.7))))</f>
        <v>9.05</v>
      </c>
      <c r="C50" s="12">
        <f>MIN(1,(MIN(1,'Израиль 2026'!C50+'Израиль 2026'!F50+(0.08*LN(1+0.5*'Ход 2026'!C56)*MAX(0,1-('Израиль 2026'!C50+'Израиль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9.05</v>
      </c>
      <c r="J50" s="34">
        <f>SUMIFS('Эффекты технологий'!$K$25:$K$240,'Эффекты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2026'!B51+'Израиль 2026'!D51+('Израиль 2026'!C51+'Израиль 2026'!F51+'Израиль 2026'!G51)+(0.35*LN(1+0.6*'Ход 2026'!B57)*POWER(MAX(0,1-'Израиль 2026'!I51/10),0.7))))</f>
        <v>8.6</v>
      </c>
      <c r="C51" s="12">
        <f>MIN(1,(MIN(1,'Израиль 2026'!C51+'Израиль 2026'!F51+(0.08*LN(1+0.5*'Ход 2026'!C57)*MAX(0,1-('Израиль 2026'!C51+'Израиль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8.6</v>
      </c>
      <c r="J51" s="34">
        <f>SUMIFS('Эффекты технологий'!$K$25:$K$240,'Эффекты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2026'!B53+'Израиль 2026'!D53+('Израиль 2026'!C53+'Израиль 2026'!F53+'Израиль 2026'!G53)+(0.35*LN(1+0.6*'Ход 2026'!B59)*POWER(MAX(0,1-'Израиль 2026'!I53/10),0.7))))</f>
        <v>8.6</v>
      </c>
      <c r="C53" s="12">
        <f>MIN(1,(MIN(1,'Израиль 2026'!C53+'Израиль 2026'!F53+(0.08*LN(1+0.5*'Ход 2026'!C59)*MAX(0,1-('Израиль 2026'!C53+'Израиль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8.6</v>
      </c>
      <c r="J53" s="34">
        <f>SUMIFS('Эффекты технологий'!$K$25:$K$240,'Эффекты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2026'!B54+'Израиль 2026'!D54+('Израиль 2026'!C54+'Израиль 2026'!F54+'Израиль 2026'!G54)+(0.35*LN(1+0.6*'Ход 2026'!B60)*POWER(MAX(0,1-'Израиль 2026'!I54/10),0.7))))</f>
        <v>8.6</v>
      </c>
      <c r="C54" s="12">
        <f>MIN(1,(MIN(1,'Израиль 2026'!C54+'Израиль 2026'!F54+(0.08*LN(1+0.5*'Ход 2026'!C60)*MAX(0,1-('Израиль 2026'!C54+'Израиль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8.6</v>
      </c>
      <c r="J54" s="34">
        <f>SUMIFS('Эффекты технологий'!$K$25:$K$240,'Эффекты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2026'!B55+'Израиль 2026'!D55+('Израиль 2026'!C55+'Израиль 2026'!F55+'Израиль 2026'!G55)+(0.35*LN(1+0.6*'Ход 2026'!B61)*POWER(MAX(0,1-'Израиль 2026'!I55/10),0.7))))</f>
        <v>7.6</v>
      </c>
      <c r="C55" s="12">
        <f>MIN(1,(MIN(1,'Израиль 2026'!C55+'Израиль 2026'!F55+(0.08*LN(1+0.5*'Ход 2026'!C61)*MAX(0,1-('Израиль 2026'!C55+'Израиль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7.6</v>
      </c>
      <c r="J55" s="34">
        <f>SUMIFS('Эффекты технологий'!$K$25:$K$240,'Эффекты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247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2027'!U6</f>
        <v>91.80102089</v>
      </c>
      <c r="C6" s="12"/>
      <c r="D6" s="12"/>
      <c r="E6" s="12" t="s">
        <v>16</v>
      </c>
      <c r="F6" s="19">
        <f>'Израиль 2027'!K6</f>
        <v>88.68285298</v>
      </c>
      <c r="G6" s="12"/>
      <c r="H6" s="12"/>
      <c r="I6" s="12" t="s">
        <v>16</v>
      </c>
      <c r="J6" s="19">
        <f>'Израиль 2027'!N6</f>
        <v>90.84089644</v>
      </c>
      <c r="K6" s="12"/>
      <c r="L6" s="12"/>
      <c r="M6" s="12" t="s">
        <v>16</v>
      </c>
      <c r="N6" s="19">
        <f>'Израиль 2027'!Q6</f>
        <v>74.83005059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91.80102089</v>
      </c>
      <c r="C8" s="12" t="str">
        <f>IF(B8&lt;0,"ПРЕВЫШЕНИЕ","OK")</f>
        <v>OK</v>
      </c>
      <c r="D8" s="12"/>
      <c r="E8" s="12" t="s">
        <v>94</v>
      </c>
      <c r="F8" s="19">
        <f>F6-F7</f>
        <v>88.68285298</v>
      </c>
      <c r="G8" s="12" t="str">
        <f>IF(F8&lt;0,"ПРЕВЫШЕНИЕ","OK")</f>
        <v>OK</v>
      </c>
      <c r="H8" s="12"/>
      <c r="I8" s="12" t="s">
        <v>94</v>
      </c>
      <c r="J8" s="19">
        <f>J6-J7</f>
        <v>90.84089644</v>
      </c>
      <c r="K8" s="12" t="str">
        <f>IF(J8&lt;0,"ПРЕВЫШЕНИЕ","OK")</f>
        <v>OK</v>
      </c>
      <c r="L8" s="12"/>
      <c r="M8" s="12" t="s">
        <v>94</v>
      </c>
      <c r="N8" s="19">
        <f>N6-N7</f>
        <v>74.83005059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2027'!V11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2027'!V12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2027'!V13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2027'!V14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2027'!V15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2027'!V16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2027'!V17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2027'!V18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2027'!V19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2027'!V20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2027'!V21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2027'!V22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технологий'!K$16</f>
        <v>0</v>
      </c>
      <c r="H25" s="29">
        <f>'Эффекты технологий'!K$17</f>
        <v>0</v>
      </c>
      <c r="I25" s="29">
        <f>'Эффекты технологий'!K$18</f>
        <v>0</v>
      </c>
      <c r="J25" s="30"/>
      <c r="K25" s="12"/>
      <c r="L25" s="12" t="s">
        <v>152</v>
      </c>
      <c r="M25" s="12">
        <f>'Израиль 2027'!V23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2027'!V24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2027'!V25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2027'!V26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IF(G29="","",VLOOKUP(G29,'Технологии'!$A$11:$BF$50,45,FALSE))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IF(G30="","",VLOOKUP(G30,'Технологии'!$A$11:$BF$50,45,FALSE))</f>
        <v/>
      </c>
      <c r="L30" s="12"/>
      <c r="M30" s="12"/>
      <c r="N30" s="30" t="s">
        <v>151</v>
      </c>
      <c r="O30" s="29">
        <f>'Эффекты технологий'!K$13</f>
        <v>0</v>
      </c>
      <c r="P30" s="29">
        <f>'Эффекты технологий'!K$14</f>
        <v>0</v>
      </c>
      <c r="Q30" s="29">
        <f>'Эффекты технологий'!K$15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IF(G31="","",VLOOKUP(G31,'Технологии'!$A$11:$BF$50,45,FALSE))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264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89.65299675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92.21437779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76.01160705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92.66530478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2027'!B8+'Израиль 2027'!D8+('Израиль 2027'!C8+'Израиль 2027'!F8+'Израиль 2027'!G8)+(0.35*LN(1+0.6*('Ход 2027'!B14*(1+'Эффекты технологий'!K$12)))*POWER(MAX(0,1-'Израиль 2027'!I8/10),0.7))))</f>
        <v>3.299694438</v>
      </c>
      <c r="C8" s="12">
        <f>MIN(1,(MIN(1,'Израиль 2027'!C8+'Израиль 2027'!F8+(0.08*LN(1+0.5*('Ход 2027'!C14*(1+'Эффекты технологий'!K$12)))*MAX(0,1-('Израиль 2027'!C8+'Израиль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3.149694438</v>
      </c>
      <c r="J8" s="34">
        <f>SUMIFS('Эффекты технологий'!$L$25:$L$240,'Эффекты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2027'!B9+'Израиль 2027'!D9+('Израиль 2027'!C9+'Израиль 2027'!F9+'Израиль 2027'!G9)+(0.35*LN(1+0.6*('Ход 2027'!B15*(1+'Эффекты технологий'!K$12)))*POWER(MAX(0,1-'Израиль 2027'!I9/10),0.7))))</f>
        <v>7.310352511</v>
      </c>
      <c r="C9" s="12">
        <f>MIN(1,(MIN(1,'Израиль 2027'!C9+'Израиль 2027'!F9+(0.08*LN(1+0.5*('Ход 2027'!C15*(1+'Эффекты технологий'!K$12)))*MAX(0,1-('Израиль 2027'!C9+'Израиль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7.310352511</v>
      </c>
      <c r="J9" s="34">
        <f>SUMIFS('Эффекты технологий'!$L$25:$L$240,'Эффекты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2027'!B10+'Израиль 2027'!D10+('Израиль 2027'!C10+'Израиль 2027'!F10+'Израиль 2027'!G10)+(0.35*LN(1+0.6*('Ход 2027'!B16*(1+'Эффекты технологий'!K$12)))*POWER(MAX(0,1-'Израиль 2027'!I10/10),0.7))))</f>
        <v>6.863218683</v>
      </c>
      <c r="C10" s="12">
        <f>MIN(1,(MIN(1,'Израиль 2027'!C10+'Израиль 2027'!F10+(0.08*LN(1+0.5*('Ход 2027'!C16*(1+'Эффекты технологий'!K$12)))*MAX(0,1-('Израиль 2027'!C10+'Израиль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6.863218683</v>
      </c>
      <c r="J10" s="34">
        <f>SUMIFS('Эффекты технологий'!$L$25:$L$240,'Эффекты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2027'!B11+'Израиль 2027'!D11+('Израиль 2027'!C11+'Израиль 2027'!F11+'Израиль 2027'!G11)+(0.35*LN(1+0.6*('Ход 2027'!B17*(1+'Эффекты технологий'!K$12)))*POWER(MAX(0,1-'Израиль 2027'!I11/10),0.7))))</f>
        <v>9.151144312</v>
      </c>
      <c r="C11" s="12">
        <f>MIN(1,(MIN(1,'Израиль 2027'!C11+'Израиль 2027'!F11+(0.08*LN(1+0.5*('Ход 2027'!C17*(1+'Эффекты технологий'!K$12)))*MAX(0,1-('Израиль 2027'!C11+'Израиль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9.151144312</v>
      </c>
      <c r="J11" s="34">
        <f>SUMIFS('Эффекты технологий'!$L$25:$L$240,'Эффекты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2027'!L11+'Израиль 2027'!N11+('Израиль 2027'!M11+'Израиль 2027'!P11+'Израиль 2027'!Q11)))</f>
        <v>7.574542746</v>
      </c>
      <c r="M11" s="12">
        <f>MIN(1,(MIN(1,'Израиль 2027'!M11+'Израиль 2027'!P11+(0.1*LN(1+0.5*('Ход 2027'!H13*(1+'Эффекты технологий'!K$10)))*POWER(MAX(0,1-'Израиль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7.574542746</v>
      </c>
      <c r="T11" s="34">
        <f>SUMIFS('Эффекты технологий'!$L$25:$L$240,'Эффекты технологий'!$C$25:$C$240,$K11,'Эффекты технологий'!$D$25:$D$240,"Значение")</f>
        <v>0</v>
      </c>
      <c r="U11" s="12" t="s">
        <v>110</v>
      </c>
      <c r="V11" s="25">
        <f>'Израиль 2027'!V11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2027'!B12+'Израиль 2027'!D12+('Израиль 2027'!C12+'Израиль 2027'!F12+'Израиль 2027'!G12)+(0.35*LN(1+0.6*('Ход 2027'!B18*(1+'Эффекты технологий'!K$12)))*POWER(MAX(0,1-'Израиль 2027'!I12/10),0.7))))</f>
        <v>3.789599283</v>
      </c>
      <c r="C12" s="12">
        <f>MIN(1,(MIN(1,'Израиль 2027'!C12+'Израиль 2027'!F12+(0.08*LN(1+0.5*('Ход 2027'!C18*(1+'Эффекты технологий'!K$12)))*MAX(0,1-('Израиль 2027'!C12+'Израиль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3.789599283</v>
      </c>
      <c r="J12" s="34">
        <f>SUMIFS('Эффекты технологий'!$L$25:$L$240,'Эффекты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2027'!L12+'Израиль 2027'!N12+('Израиль 2027'!M12+'Израиль 2027'!P12+'Израиль 2027'!Q12)))</f>
        <v>8.459054255</v>
      </c>
      <c r="M12" s="12">
        <f>MIN(1,(MIN(1,'Израиль 2027'!M12+'Израиль 2027'!P12+(0.1*LN(1+0.5*('Ход 2027'!H14*(1+'Эффекты технологий'!K$10)))*POWER(MAX(0,1-'Израиль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8.459054255</v>
      </c>
      <c r="T12" s="34">
        <f>SUMIFS('Эффекты технологий'!$L$25:$L$240,'Эффекты технологий'!$C$25:$C$240,$K12,'Эффекты технологий'!$D$25:$D$240,"Значение")</f>
        <v>0</v>
      </c>
      <c r="U12" s="12" t="s">
        <v>113</v>
      </c>
      <c r="V12" s="25">
        <f>'Израиль 2027'!V12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2027'!B13+'Израиль 2027'!D13+('Израиль 2027'!C13+'Израиль 2027'!F13+'Израиль 2027'!G13)+(0.35*LN(1+0.6*('Ход 2027'!B19*(1+'Эффекты технологий'!K$12)))*POWER(MAX(0,1-'Израиль 2027'!I13/10),0.7))))</f>
        <v>7.924702065</v>
      </c>
      <c r="C13" s="12">
        <f>MIN(1,(MIN(1,'Израиль 2027'!C13+'Израиль 2027'!F13+(0.08*LN(1+0.5*('Ход 2027'!C19*(1+'Эффекты технологий'!K$12)))*MAX(0,1-('Израиль 2027'!C13+'Израиль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7.924702065</v>
      </c>
      <c r="J13" s="34">
        <f>SUMIFS('Эффекты технологий'!$L$25:$L$240,'Эффекты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2027'!L13+'Израиль 2027'!N13+('Израиль 2027'!M13+'Израиль 2027'!P13+'Израиль 2027'!Q13)))</f>
        <v>8.842657538</v>
      </c>
      <c r="M13" s="12">
        <f>MIN(1,(MIN(1,'Израиль 2027'!M13+'Израиль 2027'!P13+(0.1*LN(1+0.5*('Ход 2027'!H15*(1+'Эффекты технологий'!K$10)))*POWER(MAX(0,1-'Израиль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8.842657538</v>
      </c>
      <c r="T13" s="34">
        <f>SUMIFS('Эффекты технологий'!$L$25:$L$240,'Эффекты технологий'!$C$25:$C$240,$K13,'Эффекты технологий'!$D$25:$D$240,"Значение")</f>
        <v>0</v>
      </c>
      <c r="U13" s="12" t="s">
        <v>116</v>
      </c>
      <c r="V13" s="25">
        <f>'Израиль 2027'!V13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2027'!B14+'Израиль 2027'!D14+('Израиль 2027'!C14+'Израиль 2027'!F14+'Израиль 2027'!G14)+(0.35*LN(1+0.6*('Ход 2027'!B20*(1+'Эффекты технологий'!K$12)))*POWER(MAX(0,1-'Израиль 2027'!I14/10),0.7))))</f>
        <v>8.915063947</v>
      </c>
      <c r="C14" s="12">
        <f>MIN(1,(MIN(1,'Израиль 2027'!C14+'Израиль 2027'!F14+(0.08*LN(1+0.5*('Ход 2027'!C20*(1+'Эффекты технологий'!K$12)))*MAX(0,1-('Израиль 2027'!C14+'Израиль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9.415063947</v>
      </c>
      <c r="J14" s="34">
        <f>SUMIFS('Эффекты технологий'!$L$25:$L$240,'Эффекты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2027'!L14+'Израиль 2027'!N14+('Израиль 2027'!M14+'Израиль 2027'!P14+'Израиль 2027'!Q14)))</f>
        <v>7.961746444</v>
      </c>
      <c r="M14" s="12">
        <f>MIN(1,(MIN(1,'Израиль 2027'!M14+'Израиль 2027'!P14+(0.1*LN(1+0.5*('Ход 2027'!H16*(1+'Эффекты технологий'!K$10)))*POWER(MAX(0,1-'Израиль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7.961746444</v>
      </c>
      <c r="T14" s="34">
        <f>SUMIFS('Эффекты технологий'!$L$25:$L$240,'Эффекты технологий'!$C$25:$C$240,$K14,'Эффекты технологий'!$D$25:$D$240,"Значение")</f>
        <v>0</v>
      </c>
      <c r="U14" s="12" t="s">
        <v>119</v>
      </c>
      <c r="V14" s="25">
        <f>'Израиль 2027'!V14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2027'!B15+'Израиль 2027'!D15+('Израиль 2027'!C15+'Израиль 2027'!F15+'Израиль 2027'!G15)+(0.35*LN(1+0.6*('Ход 2027'!B21*(1+'Эффекты технологий'!K$12)))*POWER(MAX(0,1-'Израиль 2027'!I15/10),0.7))))</f>
        <v>8.48308418</v>
      </c>
      <c r="C15" s="12">
        <f>MIN(1,(MIN(1,'Израиль 2027'!C15+'Израиль 2027'!F15+(0.08*LN(1+0.5*('Ход 2027'!C21*(1+'Эффекты технологий'!K$12)))*MAX(0,1-('Израиль 2027'!C15+'Израиль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8.48308418</v>
      </c>
      <c r="J15" s="34">
        <f>SUMIFS('Эффекты технологий'!$L$25:$L$240,'Эффекты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2027'!L15+'Израиль 2027'!N15+('Израиль 2027'!M15+'Израиль 2027'!P15+'Израиль 2027'!Q15)))</f>
        <v>8.827462617</v>
      </c>
      <c r="M15" s="12">
        <f>MIN(1,(MIN(1,'Израиль 2027'!M15+'Израиль 2027'!P15+(0.1*LN(1+0.5*('Ход 2027'!H17*(1+'Эффекты технологий'!K$10)))*POWER(MAX(0,1-'Израиль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8.827462617</v>
      </c>
      <c r="T15" s="34">
        <f>SUMIFS('Эффекты технологий'!$L$25:$L$240,'Эффекты технологий'!$C$25:$C$240,$K15,'Эффекты технологий'!$D$25:$D$240,"Значение")</f>
        <v>0</v>
      </c>
      <c r="U15" s="12" t="s">
        <v>122</v>
      </c>
      <c r="V15" s="25">
        <f>'Израиль 2027'!V15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2027'!B16+'Израиль 2027'!D16+('Израиль 2027'!C16+'Израиль 2027'!F16+'Израиль 2027'!G16)+(0.35*LN(1+0.6*('Ход 2027'!B22*(1+'Эффекты технологий'!K$12)))*POWER(MAX(0,1-'Израиль 2027'!I16/10),0.7))))</f>
        <v>8.408350502</v>
      </c>
      <c r="C16" s="12">
        <f>MIN(1,(MIN(1,'Израиль 2027'!C16+'Израиль 2027'!F16+(0.08*LN(1+0.5*('Ход 2027'!C22*(1+'Эффекты технологий'!K$12)))*MAX(0,1-('Израиль 2027'!C16+'Израиль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8.408350502</v>
      </c>
      <c r="J16" s="34">
        <f>SUMIFS('Эффекты технологий'!$L$25:$L$240,'Эффекты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2027'!L16+'Израиль 2027'!N16+('Израиль 2027'!M16+'Израиль 2027'!P16+'Израиль 2027'!Q16)))</f>
        <v>8.449442874</v>
      </c>
      <c r="M16" s="12">
        <f>MIN(1,(MIN(1,'Израиль 2027'!M16+'Израиль 2027'!P16+(0.1*LN(1+0.5*('Ход 2027'!H18*(1+'Эффекты технологий'!K$10)))*POWER(MAX(0,1-'Израиль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8.449442874</v>
      </c>
      <c r="T16" s="34">
        <f>SUMIFS('Эффекты технологий'!$L$25:$L$240,'Эффекты технологий'!$C$25:$C$240,$K16,'Эффекты технологий'!$D$25:$D$240,"Значение")</f>
        <v>0</v>
      </c>
      <c r="U16" s="12" t="s">
        <v>125</v>
      </c>
      <c r="V16" s="25">
        <f>'Израиль 2027'!V16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2027'!B17+'Израиль 2027'!D17+('Израиль 2027'!C17+'Израиль 2027'!F17+'Израиль 2027'!G17)+(0.35*LN(1+0.6*('Ход 2027'!B23*(1+'Эффекты технологий'!K$12)))*POWER(MAX(0,1-'Израиль 2027'!I17/10),0.7))))</f>
        <v>7.797130438</v>
      </c>
      <c r="C17" s="12">
        <f>MIN(1,(MIN(1,'Израиль 2027'!C17+'Израиль 2027'!F17+(0.08*LN(1+0.5*('Ход 2027'!C23*(1+'Эффекты технологий'!K$12)))*MAX(0,1-('Израиль 2027'!C17+'Израиль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7.797130438</v>
      </c>
      <c r="J17" s="34">
        <f>SUMIFS('Эффекты технологий'!$L$25:$L$240,'Эффекты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2027'!L17+'Израиль 2027'!N17+('Израиль 2027'!M17+'Израиль 2027'!P17+'Израиль 2027'!Q17)))</f>
        <v>7.956235715</v>
      </c>
      <c r="M17" s="12">
        <f>MIN(1,(MIN(1,'Израиль 2027'!M17+'Израиль 2027'!P17+(0.1*LN(1+0.5*('Ход 2027'!H19*(1+'Эффекты технологий'!K$10)))*POWER(MAX(0,1-'Израиль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7.956235715</v>
      </c>
      <c r="T17" s="34">
        <f>SUMIFS('Эффекты технологий'!$L$25:$L$240,'Эффекты технологий'!$C$25:$C$240,$K17,'Эффекты технологий'!$D$25:$D$240,"Значение")</f>
        <v>0</v>
      </c>
      <c r="U17" s="12" t="s">
        <v>128</v>
      </c>
      <c r="V17" s="25">
        <f>'Израиль 2027'!V17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2027'!L18+'Израиль 2027'!N18+('Израиль 2027'!M18+'Израиль 2027'!P18+'Израиль 2027'!Q18)))</f>
        <v>7.966467012</v>
      </c>
      <c r="M18" s="12">
        <f>MIN(1,(MIN(1,'Израиль 2027'!M18+'Израиль 2027'!P18+(0.1*LN(1+0.5*('Ход 2027'!H20*(1+'Эффекты технологий'!K$10)))*POWER(MAX(0,1-'Израиль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7.966467012</v>
      </c>
      <c r="T18" s="34">
        <f>SUMIFS('Эффекты технологий'!$L$25:$L$240,'Эффекты технологий'!$C$25:$C$240,$K18,'Эффекты технологий'!$D$25:$D$240,"Значение")</f>
        <v>0</v>
      </c>
      <c r="U18" s="12" t="s">
        <v>131</v>
      </c>
      <c r="V18" s="25">
        <f>'Израиль 2027'!V18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2027'!B19+'Израиль 2027'!D19+('Израиль 2027'!C19+'Израиль 2027'!F19+'Израиль 2027'!G19)+(0.35*LN(1+0.6*'Ход 2027'!B25)*POWER(MAX(0,1-'Израиль 2027'!I19/10),0.7))))</f>
        <v>9.351144312</v>
      </c>
      <c r="C19" s="12">
        <f>MIN(1,(MIN(1,'Израиль 2027'!C19+'Израиль 2027'!F19+(0.08*LN(1+0.5*'Ход 2027'!C25)*MAX(0,1-('Израиль 2027'!C19+'Израиль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9.551144312</v>
      </c>
      <c r="J19" s="34">
        <f>SUMIFS('Эффекты технологий'!$L$25:$L$240,'Эффекты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2027'!V19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2027'!B20+'Израиль 2027'!D20+('Израиль 2027'!C20+'Израиль 2027'!F20+'Израиль 2027'!G20)+(0.35*LN(1+0.6*'Ход 2027'!B26)*POWER(MAX(0,1-'Израиль 2027'!I20/10),0.7))))</f>
        <v>9.859054644</v>
      </c>
      <c r="C20" s="12">
        <f>MIN(1,(MIN(1,'Израиль 2027'!C20+'Израиль 2027'!F20+(0.08*LN(1+0.5*'Ход 2027'!C26)*MAX(0,1-('Израиль 2027'!C20+'Израиль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9.859054644</v>
      </c>
      <c r="J20" s="34">
        <f>SUMIFS('Эффекты технологий'!$L$25:$L$240,'Эффекты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2027'!V20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2027'!B21+'Израиль 2027'!D21+('Израиль 2027'!C21+'Израиль 2027'!F21+'Израиль 2027'!G21)+(0.35*LN(1+0.6*'Ход 2027'!B27)*POWER(MAX(0,1-'Израиль 2027'!I21/10),0.7))))</f>
        <v>9.378715939</v>
      </c>
      <c r="C21" s="12">
        <f>MIN(1,(MIN(1,'Израиль 2027'!C21+'Израиль 2027'!F21+(0.08*LN(1+0.5*'Ход 2027'!C27)*MAX(0,1-('Израиль 2027'!C21+'Израиль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9.378715939</v>
      </c>
      <c r="J21" s="34">
        <f>SUMIFS('Эффекты технологий'!$L$25:$L$240,'Эффекты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2027'!V21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2027'!B22+'Израиль 2027'!D22+('Израиль 2027'!C22+'Израиль 2027'!F22+'Израиль 2027'!G22)+(0.35*LN(1+0.6*'Ход 2027'!B28)*POWER(MAX(0,1-'Израиль 2027'!I22/10),0.7))))</f>
        <v>9.731483017</v>
      </c>
      <c r="C22" s="12">
        <f>MIN(1,(MIN(1,'Израиль 2027'!C22+'Израиль 2027'!F22+(0.08*LN(1+0.5*'Ход 2027'!C28)*MAX(0,1-('Израиль 2027'!C22+'Израиль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9.731483017</v>
      </c>
      <c r="J22" s="34">
        <f>SUMIFS('Эффекты технологий'!$L$25:$L$240,'Эффекты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2027'!V22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2027'!B23+'Израиль 2027'!D23+('Израиль 2027'!C23+'Израиль 2027'!F23+'Израиль 2027'!G23)+(0.35*LN(1+0.6*'Ход 2027'!B29)*POWER(MAX(0,1-'Израиль 2027'!I23/10),0.7))))</f>
        <v>9.731483017</v>
      </c>
      <c r="C23" s="12">
        <f>MIN(1,(MIN(1,'Израиль 2027'!C23+'Израиль 2027'!F23+(0.08*LN(1+0.5*'Ход 2027'!C29)*MAX(0,1-('Израиль 2027'!C23+'Израиль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9.731483017</v>
      </c>
      <c r="J23" s="34">
        <f>SUMIFS('Эффекты технологий'!$L$25:$L$240,'Эффекты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2027'!V23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2027'!V24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2027'!B25+'Израиль 2027'!D25+('Израиль 2027'!C25+'Израиль 2027'!F25+'Израиль 2027'!G25)+(0.35*LN(1+0.6*'Ход 2027'!B31)*POWER(MAX(0,1-'Израиль 2027'!I25/10),0.7))))</f>
        <v>8.28308418</v>
      </c>
      <c r="C25" s="12">
        <f>MIN(1,(MIN(1,'Израиль 2027'!C25+'Израиль 2027'!F25+(0.08*LN(1+0.5*'Ход 2027'!C31)*MAX(0,1-('Израиль 2027'!C25+'Израиль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8.28308418</v>
      </c>
      <c r="J25" s="34">
        <f>SUMIFS('Эффекты технологий'!$L$25:$L$240,'Эффекты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2027'!V25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2027'!B26+'Израиль 2027'!D26+('Израиль 2027'!C26+'Израиль 2027'!F26+'Израиль 2027'!G26)+(0.35*LN(1+0.6*'Ход 2027'!B32)*POWER(MAX(0,1-'Израиль 2027'!I26/10),0.7))))</f>
        <v>8.895501566</v>
      </c>
      <c r="C26" s="12">
        <f>MIN(1,(MIN(1,'Израиль 2027'!C26+'Израиль 2027'!F26+(0.08*LN(1+0.5*'Ход 2027'!C32)*MAX(0,1-('Израиль 2027'!C26+'Израиль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8.895501566</v>
      </c>
      <c r="J26" s="34">
        <f>SUMIFS('Эффекты технологий'!$L$25:$L$240,'Эффекты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2027'!V26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2027'!B27+'Израиль 2027'!D27+('Израиль 2027'!C27+'Израиль 2027'!F27+'Израиль 2027'!G27)+(0.35*LN(1+0.6*'Ход 2027'!B33)*POWER(MAX(0,1-'Израиль 2027'!I27/10),0.7))))</f>
        <v>8.767929939</v>
      </c>
      <c r="C27" s="12">
        <f>MIN(1,(MIN(1,'Израиль 2027'!C27+'Израиль 2027'!F27+(0.08*LN(1+0.5*'Ход 2027'!C33)*MAX(0,1-('Израиль 2027'!C27+'Израиль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8.767929939</v>
      </c>
      <c r="J27" s="34">
        <f>SUMIFS('Эффекты технологий'!$L$25:$L$240,'Эффекты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2027'!B28+'Израиль 2027'!D28+('Израиль 2027'!C28+'Израиль 2027'!F28+'Израиль 2027'!G28)+(0.35*LN(1+0.6*'Ход 2027'!B34)*POWER(MAX(0,1-'Израиль 2027'!I28/10),0.7))))</f>
        <v>9.351144312</v>
      </c>
      <c r="C28" s="12">
        <f>MIN(1,(MIN(1,'Израиль 2027'!C28+'Израиль 2027'!F28+(0.08*LN(1+0.5*'Ход 2027'!C34)*MAX(0,1-('Израиль 2027'!C28+'Израиль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9.351144312</v>
      </c>
      <c r="J28" s="34">
        <f>SUMIFS('Эффекты технологий'!$L$25:$L$240,'Эффекты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2027'!B29+'Израиль 2027'!D29+('Израиль 2027'!C29+'Израиль 2027'!F29+'Израиль 2027'!G29)+(0.35*LN(1+0.6*'Ход 2027'!B35)*POWER(MAX(0,1-'Израиль 2027'!I29/10),0.7))))</f>
        <v>9.251144312</v>
      </c>
      <c r="C29" s="12">
        <f>MIN(1,(MIN(1,'Израиль 2027'!C29+'Израиль 2027'!F29+(0.08*LN(1+0.5*'Ход 2027'!C35)*MAX(0,1-('Израиль 2027'!C29+'Израиль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9.251144312</v>
      </c>
      <c r="J29" s="34">
        <f>SUMIFS('Эффекты технологий'!$L$25:$L$240,'Эффекты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2027'!B30+'Израиль 2027'!D30+('Израиль 2027'!C30+'Израиль 2027'!F30+'Израиль 2027'!G30)+(0.35*LN(1+0.6*'Ход 2027'!B36)*POWER(MAX(0,1-'Израиль 2027'!I30/10),0.7))))</f>
        <v>9.251144312</v>
      </c>
      <c r="C30" s="12">
        <f>MIN(1,(MIN(1,'Израиль 2027'!C30+'Израиль 2027'!F30+(0.08*LN(1+0.5*'Ход 2027'!C36)*MAX(0,1-('Израиль 2027'!C30+'Израиль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9.251144312</v>
      </c>
      <c r="J30" s="34">
        <f>SUMIFS('Эффекты технологий'!$L$25:$L$240,'Эффекты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2027'!B31+'Израиль 2027'!D31+('Израиль 2027'!C31+'Израиль 2027'!F31+'Израиль 2027'!G31)+(0.35*LN(1+0.6*'Ход 2027'!B37)*POWER(MAX(0,1-'Израиль 2027'!I31/10),0.7))))</f>
        <v>8.767929939</v>
      </c>
      <c r="C31" s="12">
        <f>MIN(1,(MIN(1,'Израиль 2027'!C31+'Израиль 2027'!F31+(0.08*LN(1+0.5*'Ход 2027'!C37)*MAX(0,1-('Израиль 2027'!C31+'Израиль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8.767929939</v>
      </c>
      <c r="J31" s="34">
        <f>SUMIFS('Эффекты технологий'!$L$25:$L$240,'Эффекты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2027'!B32+'Израиль 2027'!D32+('Израиль 2027'!C32+'Израиль 2027'!F32+'Израиль 2027'!G32)+(0.35*LN(1+0.6*'Ход 2027'!B38)*POWER(MAX(0,1-'Израиль 2027'!I32/10),0.7))))</f>
        <v>10</v>
      </c>
      <c r="C32" s="12">
        <f>MIN(1,(MIN(1,'Израиль 2027'!C32+'Израиль 2027'!F32+(0.08*LN(1+0.5*'Ход 2027'!C38)*MAX(0,1-('Израиль 2027'!C32+'Израиль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технологий'!$L$25:$L$240,'Эффекты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2027'!B34+'Израиль 2027'!D34+('Израиль 2027'!C34+'Израиль 2027'!F34+'Израиль 2027'!G34)+(0.35*LN(1+0.6*'Ход 2027'!B40)*POWER(MAX(0,1-'Израиль 2027'!I34/10),0.7))))</f>
        <v>9.74621348</v>
      </c>
      <c r="C34" s="12">
        <f>MIN(1,(MIN(1,'Израиль 2027'!C34+'Израиль 2027'!F34+(0.08*LN(1+0.5*'Ход 2027'!C40)*MAX(0,1-('Израиль 2027'!C34+'Израиль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9.74621348</v>
      </c>
      <c r="J34" s="34">
        <f>SUMIFS('Эффекты технологий'!$L$25:$L$240,'Эффекты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2027'!B35+'Израиль 2027'!D35+('Израиль 2027'!C35+'Израиль 2027'!F35+'Израиль 2027'!G35)+(0.35*LN(1+0.6*'Ход 2027'!B41)*POWER(MAX(0,1-'Израиль 2027'!I35/10),0.7))))</f>
        <v>9.279035798</v>
      </c>
      <c r="C35" s="12">
        <f>MIN(1,(MIN(1,'Израиль 2027'!C35+'Израиль 2027'!F35+(0.08*LN(1+0.5*'Ход 2027'!C41)*MAX(0,1-('Израиль 2027'!C35+'Израиль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9.279035798</v>
      </c>
      <c r="J35" s="34">
        <f>SUMIFS('Эффекты технологий'!$L$25:$L$240,'Эффекты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2027'!B36+'Израиль 2027'!D36+('Израиль 2027'!C36+'Израиль 2027'!F36+'Израиль 2027'!G36)+(0.35*LN(1+0.6*'Ход 2027'!B42)*POWER(MAX(0,1-'Израиль 2027'!I36/10),0.7))))</f>
        <v>9.343646064</v>
      </c>
      <c r="C36" s="12">
        <f>MIN(1,(MIN(1,'Израиль 2027'!C36+'Израиль 2027'!F36+(0.08*LN(1+0.5*'Ход 2027'!C42)*MAX(0,1-('Израиль 2027'!C36+'Израиль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9.343646064</v>
      </c>
      <c r="J36" s="34">
        <f>SUMIFS('Эффекты технологий'!$L$25:$L$240,'Эффекты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2027'!B37+'Израиль 2027'!D37+('Израиль 2027'!C37+'Израиль 2027'!F37+'Израиль 2027'!G37)+(0.35*LN(1+0.6*'Ход 2027'!B43)*POWER(MAX(0,1-'Израиль 2027'!I37/10),0.7))))</f>
        <v>8.843646064</v>
      </c>
      <c r="C37" s="12">
        <f>MIN(1,(MIN(1,'Израиль 2027'!C37+'Израиль 2027'!F37+(0.08*LN(1+0.5*'Ход 2027'!C43)*MAX(0,1-('Израиль 2027'!C37+'Израиль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8.843646064</v>
      </c>
      <c r="J37" s="34">
        <f>SUMIFS('Эффекты технологий'!$L$25:$L$240,'Эффекты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2027'!B38+'Израиль 2027'!D38+('Израиль 2027'!C38+'Израиль 2027'!F38+'Израиль 2027'!G38)+(0.35*LN(1+0.6*'Ход 2027'!B44)*POWER(MAX(0,1-'Израиль 2027'!I38/10),0.7))))</f>
        <v>8.887240708</v>
      </c>
      <c r="C38" s="12">
        <f>MIN(1,(MIN(1,'Израиль 2027'!C38+'Израиль 2027'!F38+(0.08*LN(1+0.5*'Ход 2027'!C44)*MAX(0,1-('Израиль 2027'!C38+'Израиль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8.887240708</v>
      </c>
      <c r="J38" s="34">
        <f>SUMIFS('Эффекты технологий'!$L$25:$L$240,'Эффекты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2027'!B39+'Израиль 2027'!D39+('Израиль 2027'!C39+'Израиль 2027'!F39+'Израиль 2027'!G39)+(0.35*LN(1+0.6*'Ход 2027'!B45)*POWER(MAX(0,1-'Израиль 2027'!I39/10),0.7))))</f>
        <v>9.343646064</v>
      </c>
      <c r="C39" s="12">
        <f>MIN(1,(MIN(1,'Израиль 2027'!C39+'Израиль 2027'!F39+(0.08*LN(1+0.5*'Ход 2027'!C45)*MAX(0,1-('Израиль 2027'!C39+'Израиль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9.343646064</v>
      </c>
      <c r="J39" s="34">
        <f>SUMIFS('Эффекты технологий'!$L$25:$L$240,'Эффекты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2027'!B40+'Израиль 2027'!D40+('Израиль 2027'!C40+'Израиль 2027'!F40+'Израиль 2027'!G40)+(0.35*LN(1+0.6*'Ход 2027'!B46)*POWER(MAX(0,1-'Израиль 2027'!I40/10),0.7))))</f>
        <v>9.74621348</v>
      </c>
      <c r="C40" s="12">
        <f>MIN(1,(MIN(1,'Израиль 2027'!C40+'Израиль 2027'!F40+(0.08*LN(1+0.5*'Ход 2027'!C46)*MAX(0,1-('Израиль 2027'!C40+'Израиль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9.74621348</v>
      </c>
      <c r="J40" s="34">
        <f>SUMIFS('Эффекты технологий'!$L$25:$L$240,'Эффекты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2027'!B41+'Израиль 2027'!D41+('Израиль 2027'!C41+'Израиль 2027'!F41+'Израиль 2027'!G41)+(0.35*LN(1+0.6*'Ход 2027'!B47)*POWER(MAX(0,1-'Израиль 2027'!I41/10),0.7))))</f>
        <v>9.74621348</v>
      </c>
      <c r="C41" s="12">
        <f>MIN(1,(MIN(1,'Израиль 2027'!C41+'Израиль 2027'!F41+(0.08*LN(1+0.5*'Ход 2027'!C47)*MAX(0,1-('Израиль 2027'!C41+'Израиль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9.74621348</v>
      </c>
      <c r="J41" s="34">
        <f>SUMIFS('Эффекты технологий'!$L$25:$L$240,'Эффекты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2027'!B42+'Израиль 2027'!D42+('Израиль 2027'!C42+'Израиль 2027'!F42+'Израиль 2027'!G42)+(0.35*LN(1+0.6*'Ход 2027'!B48)*POWER(MAX(0,1-'Израиль 2027'!I42/10),0.7))))</f>
        <v>9.148780895</v>
      </c>
      <c r="C42" s="12">
        <f>MIN(1,(MIN(1,'Израиль 2027'!C42+'Израиль 2027'!F42+(0.08*LN(1+0.5*'Ход 2027'!C48)*MAX(0,1-('Израиль 2027'!C42+'Израиль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9.148780895</v>
      </c>
      <c r="J42" s="34">
        <f>SUMIFS('Эффекты технологий'!$L$25:$L$240,'Эффекты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2027'!B44+'Израиль 2027'!D44+('Израиль 2027'!C44+'Израиль 2027'!F44+'Израиль 2027'!G44)+(0.35*LN(1+0.6*'Ход 2027'!B50)*POWER(MAX(0,1-'Израиль 2027'!I44/10),0.7))))</f>
        <v>8.74621348</v>
      </c>
      <c r="C44" s="12">
        <f>MIN(1,(MIN(1,'Израиль 2027'!C44+'Израиль 2027'!F44+(0.08*LN(1+0.5*'Ход 2027'!C50)*MAX(0,1-('Израиль 2027'!C44+'Израиль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8.74621348</v>
      </c>
      <c r="J44" s="34">
        <f>SUMIFS('Эффекты технологий'!$L$25:$L$240,'Эффекты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2027'!B45+'Израиль 2027'!D45+('Израиль 2027'!C45+'Израиль 2027'!F45+'Израиль 2027'!G45)+(0.35*LN(1+0.6*'Ход 2027'!B51)*POWER(MAX(0,1-'Израиль 2027'!I45/10),0.7))))</f>
        <v>8.789808124</v>
      </c>
      <c r="C45" s="12">
        <f>MIN(1,(MIN(1,'Израиль 2027'!C45+'Израиль 2027'!F45+(0.08*LN(1+0.5*'Ход 2027'!C51)*MAX(0,1-('Израиль 2027'!C45+'Израиль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8.789808124</v>
      </c>
      <c r="J45" s="34">
        <f>SUMIFS('Эффекты технологий'!$L$25:$L$240,'Эффекты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2027'!B46+'Израиль 2027'!D46+('Израиль 2027'!C46+'Израиль 2027'!F46+'Израиль 2027'!G46)+(0.35*LN(1+0.6*'Ход 2027'!B52)*POWER(MAX(0,1-'Израиль 2027'!I46/10),0.7))))</f>
        <v>8.24621348</v>
      </c>
      <c r="C46" s="12">
        <f>MIN(1,(MIN(1,'Израиль 2027'!C46+'Израиль 2027'!F46+(0.08*LN(1+0.5*'Ход 2027'!C52)*MAX(0,1-('Израиль 2027'!C46+'Израиль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8.24621348</v>
      </c>
      <c r="J46" s="34">
        <f>SUMIFS('Эффекты технологий'!$L$25:$L$240,'Эффекты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2027'!B47+'Израиль 2027'!D47+('Израиль 2027'!C47+'Израиль 2027'!F47+'Израиль 2027'!G47)+(0.35*LN(1+0.6*'Ход 2027'!B53)*POWER(MAX(0,1-'Израиль 2027'!I47/10),0.7))))</f>
        <v>8.648780895</v>
      </c>
      <c r="C47" s="12">
        <f>MIN(1,(MIN(1,'Израиль 2027'!C47+'Израиль 2027'!F47+(0.08*LN(1+0.5*'Ход 2027'!C53)*MAX(0,1-('Израиль 2027'!C47+'Израиль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8.648780895</v>
      </c>
      <c r="J47" s="34">
        <f>SUMIFS('Эффекты технологий'!$L$25:$L$240,'Эффекты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2027'!B48+'Израиль 2027'!D48+('Израиль 2027'!C48+'Израиль 2027'!F48+'Израиль 2027'!G48)+(0.35*LN(1+0.6*'Ход 2027'!B54)*POWER(MAX(0,1-'Израиль 2027'!I48/10),0.7))))</f>
        <v>6.648780895</v>
      </c>
      <c r="C48" s="12">
        <f>MIN(1,(MIN(1,'Израиль 2027'!C48+'Израиль 2027'!F48+(0.08*LN(1+0.5*'Ход 2027'!C54)*MAX(0,1-('Израиль 2027'!C48+'Израиль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6.648780895</v>
      </c>
      <c r="J48" s="34">
        <f>SUMIFS('Эффекты технологий'!$L$25:$L$240,'Эффекты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2027'!B49+'Израиль 2027'!D49+('Израиль 2027'!C49+'Израиль 2027'!F49+'Израиль 2027'!G49)+(0.35*LN(1+0.6*'Ход 2027'!B55)*POWER(MAX(0,1-'Израиль 2027'!I49/10),0.7))))</f>
        <v>9.398707338</v>
      </c>
      <c r="C49" s="12">
        <f>MIN(1,(MIN(1,'Израиль 2027'!C49+'Израиль 2027'!F49+(0.08*LN(1+0.5*'Ход 2027'!C55)*MAX(0,1-('Израиль 2027'!C49+'Израиль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9.398707338</v>
      </c>
      <c r="J49" s="34">
        <f>SUMIFS('Эффекты технологий'!$L$25:$L$240,'Эффекты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2027'!B50+'Израиль 2027'!D50+('Израиль 2027'!C50+'Израиль 2027'!F50+'Израиль 2027'!G50)+(0.35*LN(1+0.6*'Ход 2027'!B56)*POWER(MAX(0,1-'Израиль 2027'!I50/10),0.7))))</f>
        <v>9.148780895</v>
      </c>
      <c r="C50" s="12">
        <f>MIN(1,(MIN(1,'Израиль 2027'!C50+'Израиль 2027'!F50+(0.08*LN(1+0.5*'Ход 2027'!C56)*MAX(0,1-('Израиль 2027'!C50+'Израиль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9.148780895</v>
      </c>
      <c r="J50" s="34">
        <f>SUMIFS('Эффекты технологий'!$L$25:$L$240,'Эффекты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2027'!B51+'Израиль 2027'!D51+('Израиль 2027'!C51+'Израиль 2027'!F51+'Израиль 2027'!G51)+(0.35*LN(1+0.6*'Ход 2027'!B57)*POWER(MAX(0,1-'Израиль 2027'!I51/10),0.7))))</f>
        <v>8.74621348</v>
      </c>
      <c r="C51" s="12">
        <f>MIN(1,(MIN(1,'Израиль 2027'!C51+'Израиль 2027'!F51+(0.08*LN(1+0.5*'Ход 2027'!C57)*MAX(0,1-('Израиль 2027'!C51+'Израиль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8.74621348</v>
      </c>
      <c r="J51" s="34">
        <f>SUMIFS('Эффекты технологий'!$L$25:$L$240,'Эффекты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2027'!B53+'Израиль 2027'!D53+('Израиль 2027'!C53+'Израиль 2027'!F53+'Израиль 2027'!G53)+(0.35*LN(1+0.6*'Ход 2027'!B59)*POWER(MAX(0,1-'Израиль 2027'!I53/10),0.7))))</f>
        <v>8.74621348</v>
      </c>
      <c r="C53" s="12">
        <f>MIN(1,(MIN(1,'Израиль 2027'!C53+'Израиль 2027'!F53+(0.08*LN(1+0.5*'Ход 2027'!C59)*MAX(0,1-('Израиль 2027'!C53+'Израиль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8.74621348</v>
      </c>
      <c r="J53" s="34">
        <f>SUMIFS('Эффекты технологий'!$L$25:$L$240,'Эффекты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2027'!B54+'Израиль 2027'!D54+('Израиль 2027'!C54+'Израиль 2027'!F54+'Израиль 2027'!G54)+(0.35*LN(1+0.6*'Ход 2027'!B60)*POWER(MAX(0,1-'Израиль 2027'!I54/10),0.7))))</f>
        <v>8.74621348</v>
      </c>
      <c r="C54" s="12">
        <f>MIN(1,(MIN(1,'Израиль 2027'!C54+'Израиль 2027'!F54+(0.08*LN(1+0.5*'Ход 2027'!C60)*MAX(0,1-('Израиль 2027'!C54+'Израиль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8.74621348</v>
      </c>
      <c r="J54" s="34">
        <f>SUMIFS('Эффекты технологий'!$L$25:$L$240,'Эффекты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2027'!B55+'Израиль 2027'!D55+('Израиль 2027'!C55+'Израиль 2027'!F55+'Израиль 2027'!G55)+(0.35*LN(1+0.6*'Ход 2027'!B61)*POWER(MAX(0,1-'Израиль 2027'!I55/10),0.7))))</f>
        <v>7.74621348</v>
      </c>
      <c r="C55" s="12">
        <f>MIN(1,(MIN(1,'Израиль 2027'!C55+'Израиль 2027'!F55+(0.08*LN(1+0.5*'Ход 2027'!C61)*MAX(0,1-('Израиль 2027'!C55+'Израиль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7.74621348</v>
      </c>
      <c r="J55" s="34">
        <f>SUMIFS('Эффекты технологий'!$L$25:$L$240,'Эффекты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274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2028'!U6</f>
        <v>92.66530478</v>
      </c>
      <c r="C6" s="12"/>
      <c r="D6" s="12"/>
      <c r="E6" s="12" t="s">
        <v>16</v>
      </c>
      <c r="F6" s="19">
        <f>'Израиль 2028'!K6</f>
        <v>89.65299675</v>
      </c>
      <c r="G6" s="12"/>
      <c r="H6" s="12"/>
      <c r="I6" s="12" t="s">
        <v>16</v>
      </c>
      <c r="J6" s="19">
        <f>'Израиль 2028'!N6</f>
        <v>92.21437779</v>
      </c>
      <c r="K6" s="12"/>
      <c r="L6" s="12"/>
      <c r="M6" s="12" t="s">
        <v>16</v>
      </c>
      <c r="N6" s="19">
        <f>'Израиль 2028'!Q6</f>
        <v>76.01160705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92.66530478</v>
      </c>
      <c r="C8" s="12" t="str">
        <f>IF(B8&lt;0,"ПРЕВЫШЕНИЕ","OK")</f>
        <v>OK</v>
      </c>
      <c r="D8" s="12"/>
      <c r="E8" s="12" t="s">
        <v>94</v>
      </c>
      <c r="F8" s="19">
        <f>F6-F7</f>
        <v>89.65299675</v>
      </c>
      <c r="G8" s="12" t="str">
        <f>IF(F8&lt;0,"ПРЕВЫШЕНИЕ","OK")</f>
        <v>OK</v>
      </c>
      <c r="H8" s="12"/>
      <c r="I8" s="12" t="s">
        <v>94</v>
      </c>
      <c r="J8" s="19">
        <f>J6-J7</f>
        <v>92.21437779</v>
      </c>
      <c r="K8" s="12" t="str">
        <f>IF(J8&lt;0,"ПРЕВЫШЕНИЕ","OK")</f>
        <v>OK</v>
      </c>
      <c r="L8" s="12"/>
      <c r="M8" s="12" t="s">
        <v>94</v>
      </c>
      <c r="N8" s="19">
        <f>N6-N7</f>
        <v>76.01160705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2028'!V11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2028'!V12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2028'!V13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2028'!V14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2028'!V15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2028'!V16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2028'!V17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2028'!V18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2028'!V19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2028'!V20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2028'!V21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2028'!V22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технологий'!L$16</f>
        <v>0</v>
      </c>
      <c r="H25" s="29">
        <f>'Эффекты технологий'!L$17</f>
        <v>0</v>
      </c>
      <c r="I25" s="29">
        <f>'Эффекты технологий'!L$18</f>
        <v>0</v>
      </c>
      <c r="J25" s="30"/>
      <c r="K25" s="12"/>
      <c r="L25" s="12" t="s">
        <v>152</v>
      </c>
      <c r="M25" s="12">
        <f>'Израиль 2028'!V23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2028'!V24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2028'!V25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2028'!V26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IF(G29="","",VLOOKUP(G29,'Технологии'!$A$11:$BF$50,46,FALSE))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IF(G30="","",VLOOKUP(G30,'Технологии'!$A$11:$BF$50,46,FALSE))</f>
        <v/>
      </c>
      <c r="L30" s="12"/>
      <c r="M30" s="12"/>
      <c r="N30" s="30" t="s">
        <v>151</v>
      </c>
      <c r="O30" s="29">
        <f>'Эффекты технологий'!L$13</f>
        <v>0</v>
      </c>
      <c r="P30" s="29">
        <f>'Эффекты технологий'!L$14</f>
        <v>0</v>
      </c>
      <c r="Q30" s="29">
        <f>'Эффекты технологий'!L$15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IF(G31="","",VLOOKUP(G31,'Технологии'!$A$11:$BF$50,46,FALSE))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300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90.57439627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93.52391633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77.18080814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93.50514225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2028'!B8+'Израиль 2028'!D8+('Израиль 2028'!C8+'Израиль 2028'!F8+'Израиль 2028'!G8)+(0.35*LN(1+0.6*('Ход 2028'!B14*(1+'Эффекты технологий'!L$12)))*POWER(MAX(0,1-'Израиль 2028'!I8/10),0.7))))</f>
        <v>3.349694438</v>
      </c>
      <c r="C8" s="12">
        <f>MIN(1,(MIN(1,'Израиль 2028'!C8+'Израиль 2028'!F8+(0.08*LN(1+0.5*('Ход 2028'!C14*(1+'Эффекты технологий'!L$12)))*MAX(0,1-('Израиль 2028'!C8+'Израиль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3.199694438</v>
      </c>
      <c r="J8" s="34">
        <f>SUMIFS('Эффекты технологий'!$M$25:$M$240,'Эффекты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2028'!B9+'Израиль 2028'!D9+('Израиль 2028'!C9+'Израиль 2028'!F9+'Израиль 2028'!G9)+(0.35*LN(1+0.6*('Ход 2028'!B15*(1+'Эффекты технологий'!L$12)))*POWER(MAX(0,1-'Израиль 2028'!I9/10),0.7))))</f>
        <v>7.410352511</v>
      </c>
      <c r="C9" s="12">
        <f>MIN(1,(MIN(1,'Израиль 2028'!C9+'Израиль 2028'!F9+(0.08*LN(1+0.5*('Ход 2028'!C15*(1+'Эффекты технологий'!L$12)))*MAX(0,1-('Израиль 2028'!C9+'Израиль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7.410352511</v>
      </c>
      <c r="J9" s="34">
        <f>SUMIFS('Эффекты технологий'!$M$25:$M$240,'Эффекты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2028'!B10+'Израиль 2028'!D10+('Израиль 2028'!C10+'Израиль 2028'!F10+'Израиль 2028'!G10)+(0.35*LN(1+0.6*('Ход 2028'!B16*(1+'Эффекты технологий'!L$12)))*POWER(MAX(0,1-'Израиль 2028'!I10/10),0.7))))</f>
        <v>7.003511019</v>
      </c>
      <c r="C10" s="12">
        <f>MIN(1,(MIN(1,'Израиль 2028'!C10+'Израиль 2028'!F10+(0.08*LN(1+0.5*('Ход 2028'!C16*(1+'Эффекты технологий'!L$12)))*MAX(0,1-('Израиль 2028'!C10+'Израиль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7.003511019</v>
      </c>
      <c r="J10" s="34">
        <f>SUMIFS('Эффекты технологий'!$M$25:$M$240,'Эффекты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2028'!B11+'Израиль 2028'!D11+('Израиль 2028'!C11+'Израиль 2028'!F11+'Израиль 2028'!G11)+(0.35*LN(1+0.6*('Ход 2028'!B17*(1+'Эффекты технологий'!L$12)))*POWER(MAX(0,1-'Израиль 2028'!I11/10),0.7))))</f>
        <v>9.201144312</v>
      </c>
      <c r="C11" s="12">
        <f>MIN(1,(MIN(1,'Израиль 2028'!C11+'Израиль 2028'!F11+(0.08*LN(1+0.5*('Ход 2028'!C17*(1+'Эффекты технологий'!L$12)))*MAX(0,1-('Израиль 2028'!C11+'Израиль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9.201144312</v>
      </c>
      <c r="J11" s="34">
        <f>SUMIFS('Эффекты технологий'!$M$25:$M$240,'Эффекты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2028'!L11+'Израиль 2028'!N11+('Израиль 2028'!M11+'Израиль 2028'!P11+'Израиль 2028'!Q11)))</f>
        <v>7.899085492</v>
      </c>
      <c r="M11" s="12">
        <f>MIN(1,(MIN(1,'Израиль 2028'!M11+'Израиль 2028'!P11+(0.1*LN(1+0.5*('Ход 2028'!H13*(1+'Эффекты технологий'!L$10)))*POWER(MAX(0,1-'Израиль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7.899085492</v>
      </c>
      <c r="T11" s="34">
        <f>SUMIFS('Эффекты технологий'!$M$25:$M$240,'Эффекты технологий'!$C$25:$C$240,$K11,'Эффекты технологий'!$D$25:$D$240,"Значение")</f>
        <v>0</v>
      </c>
      <c r="U11" s="12" t="s">
        <v>110</v>
      </c>
      <c r="V11" s="25">
        <f>'Израиль 2028'!V11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2028'!B12+'Израиль 2028'!D12+('Израиль 2028'!C12+'Израиль 2028'!F12+'Израиль 2028'!G12)+(0.35*LN(1+0.6*('Ход 2028'!B18*(1+'Эффекты технологий'!L$12)))*POWER(MAX(0,1-'Израиль 2028'!I12/10),0.7))))</f>
        <v>3.839599283</v>
      </c>
      <c r="C12" s="12">
        <f>MIN(1,(MIN(1,'Израиль 2028'!C12+'Израиль 2028'!F12+(0.08*LN(1+0.5*('Ход 2028'!C18*(1+'Эффекты технологий'!L$12)))*MAX(0,1-('Израиль 2028'!C12+'Израиль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3.839599283</v>
      </c>
      <c r="J12" s="34">
        <f>SUMIFS('Эффекты технологий'!$M$25:$M$240,'Эффекты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2028'!L12+'Израиль 2028'!N12+('Израиль 2028'!M12+'Израиль 2028'!P12+'Израиль 2028'!Q12)))</f>
        <v>8.718108511</v>
      </c>
      <c r="M12" s="12">
        <f>MIN(1,(MIN(1,'Израиль 2028'!M12+'Израиль 2028'!P12+(0.1*LN(1+0.5*('Ход 2028'!H14*(1+'Эффекты технологий'!L$10)))*POWER(MAX(0,1-'Израиль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8.718108511</v>
      </c>
      <c r="T12" s="34">
        <f>SUMIFS('Эффекты технологий'!$M$25:$M$240,'Эффекты технологий'!$C$25:$C$240,$K12,'Эффекты технологий'!$D$25:$D$240,"Значение")</f>
        <v>0</v>
      </c>
      <c r="U12" s="12" t="s">
        <v>113</v>
      </c>
      <c r="V12" s="25">
        <f>'Израиль 2028'!V12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2028'!B13+'Израиль 2028'!D13+('Израиль 2028'!C13+'Израиль 2028'!F13+'Израиль 2028'!G13)+(0.35*LN(1+0.6*('Ход 2028'!B19*(1+'Эффекты технологий'!L$12)))*POWER(MAX(0,1-'Израиль 2028'!I13/10),0.7))))</f>
        <v>8.102273693</v>
      </c>
      <c r="C13" s="12">
        <f>MIN(1,(MIN(1,'Израиль 2028'!C13+'Израиль 2028'!F13+(0.08*LN(1+0.5*('Ход 2028'!C19*(1+'Эффекты технологий'!L$12)))*MAX(0,1-('Израиль 2028'!C13+'Израиль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8.102273693</v>
      </c>
      <c r="J13" s="34">
        <f>SUMIFS('Эффекты технологий'!$M$25:$M$240,'Эффекты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2028'!L13+'Израиль 2028'!N13+('Израиль 2028'!M13+'Израиль 2028'!P13+'Израиль 2028'!Q13)))</f>
        <v>9.035315077</v>
      </c>
      <c r="M13" s="12">
        <f>MIN(1,(MIN(1,'Израиль 2028'!M13+'Израиль 2028'!P13+(0.1*LN(1+0.5*('Ход 2028'!H15*(1+'Эффекты технологий'!L$10)))*POWER(MAX(0,1-'Израиль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9.035315077</v>
      </c>
      <c r="T13" s="34">
        <f>SUMIFS('Эффекты технологий'!$M$25:$M$240,'Эффекты технологий'!$C$25:$C$240,$K13,'Эффекты технологий'!$D$25:$D$240,"Значение")</f>
        <v>0</v>
      </c>
      <c r="U13" s="12" t="s">
        <v>116</v>
      </c>
      <c r="V13" s="25">
        <f>'Израиль 2028'!V13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2028'!B14+'Израиль 2028'!D14+('Израиль 2028'!C14+'Израиль 2028'!F14+'Израиль 2028'!G14)+(0.35*LN(1+0.6*('Ход 2028'!B20*(1+'Эффекты технологий'!L$12)))*POWER(MAX(0,1-'Израиль 2028'!I14/10),0.7))))</f>
        <v>9.112197955</v>
      </c>
      <c r="C14" s="12">
        <f>MIN(1,(MIN(1,'Израиль 2028'!C14+'Израиль 2028'!F14+(0.08*LN(1+0.5*('Ход 2028'!C20*(1+'Эффекты технологий'!L$12)))*MAX(0,1-('Израиль 2028'!C14+'Израиль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9.612197955</v>
      </c>
      <c r="J14" s="34">
        <f>SUMIFS('Эффекты технологий'!$M$25:$M$240,'Эффекты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2028'!L14+'Израиль 2028'!N14+('Израиль 2028'!M14+'Израиль 2028'!P14+'Израиль 2028'!Q14)))</f>
        <v>8.223492889</v>
      </c>
      <c r="M14" s="12">
        <f>MIN(1,(MIN(1,'Израиль 2028'!M14+'Израиль 2028'!P14+(0.1*LN(1+0.5*('Ход 2028'!H16*(1+'Эффекты технологий'!L$10)))*POWER(MAX(0,1-'Израиль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8.223492889</v>
      </c>
      <c r="T14" s="34">
        <f>SUMIFS('Эффекты технологий'!$M$25:$M$240,'Эффекты технологий'!$C$25:$C$240,$K14,'Эффекты технологий'!$D$25:$D$240,"Значение")</f>
        <v>0</v>
      </c>
      <c r="U14" s="12" t="s">
        <v>119</v>
      </c>
      <c r="V14" s="25">
        <f>'Израиль 2028'!V14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2028'!B15+'Израиль 2028'!D15+('Израиль 2028'!C15+'Израиль 2028'!F15+'Израиль 2028'!G15)+(0.35*LN(1+0.6*('Ход 2028'!B21*(1+'Эффекты технологий'!L$12)))*POWER(MAX(0,1-'Израиль 2028'!I15/10),0.7))))</f>
        <v>8.68308418</v>
      </c>
      <c r="C15" s="12">
        <f>MIN(1,(MIN(1,'Израиль 2028'!C15+'Израиль 2028'!F15+(0.08*LN(1+0.5*('Ход 2028'!C21*(1+'Эффекты технологий'!L$12)))*MAX(0,1-('Израиль 2028'!C15+'Израиль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8.68308418</v>
      </c>
      <c r="J15" s="34">
        <f>SUMIFS('Эффекты технологий'!$M$25:$M$240,'Эффекты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2028'!L15+'Израиль 2028'!N15+('Израиль 2028'!M15+'Израиль 2028'!P15+'Израиль 2028'!Q15)))</f>
        <v>9.004925233</v>
      </c>
      <c r="M15" s="12">
        <f>MIN(1,(MIN(1,'Израиль 2028'!M15+'Израиль 2028'!P15+(0.1*LN(1+0.5*('Ход 2028'!H17*(1+'Эффекты технологий'!L$10)))*POWER(MAX(0,1-'Израиль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9.004925233</v>
      </c>
      <c r="T15" s="34">
        <f>SUMIFS('Эффекты технологий'!$M$25:$M$240,'Эффекты технологий'!$C$25:$C$240,$K15,'Эффекты технологий'!$D$25:$D$240,"Значение")</f>
        <v>0</v>
      </c>
      <c r="U15" s="12" t="s">
        <v>122</v>
      </c>
      <c r="V15" s="25">
        <f>'Израиль 2028'!V15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2028'!B16+'Израиль 2028'!D16+('Израиль 2028'!C16+'Израиль 2028'!F16+'Израиль 2028'!G16)+(0.35*LN(1+0.6*('Ход 2028'!B22*(1+'Эффекты технологий'!L$12)))*POWER(MAX(0,1-'Израиль 2028'!I16/10),0.7))))</f>
        <v>8.583616824</v>
      </c>
      <c r="C16" s="12">
        <f>MIN(1,(MIN(1,'Израиль 2028'!C16+'Израиль 2028'!F16+(0.08*LN(1+0.5*('Ход 2028'!C22*(1+'Эффекты технологий'!L$12)))*MAX(0,1-('Израиль 2028'!C16+'Израиль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8.583616824</v>
      </c>
      <c r="J16" s="34">
        <f>SUMIFS('Эффекты технологий'!$M$25:$M$240,'Эффекты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2028'!L16+'Израиль 2028'!N16+('Израиль 2028'!M16+'Израиль 2028'!P16+'Израиль 2028'!Q16)))</f>
        <v>8.698885747</v>
      </c>
      <c r="M16" s="12">
        <f>MIN(1,(MIN(1,'Израиль 2028'!M16+'Израиль 2028'!P16+(0.1*LN(1+0.5*('Ход 2028'!H18*(1+'Эффекты технологий'!L$10)))*POWER(MAX(0,1-'Израиль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8.698885747</v>
      </c>
      <c r="T16" s="34">
        <f>SUMIFS('Эффекты технологий'!$M$25:$M$240,'Эффекты технологий'!$C$25:$C$240,$K16,'Эффекты технологий'!$D$25:$D$240,"Значение")</f>
        <v>0</v>
      </c>
      <c r="U16" s="12" t="s">
        <v>125</v>
      </c>
      <c r="V16" s="25">
        <f>'Израиль 2028'!V16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2028'!B17+'Израиль 2028'!D17+('Израиль 2028'!C17+'Израиль 2028'!F17+'Израиль 2028'!G17)+(0.35*LN(1+0.6*('Ход 2028'!B23*(1+'Эффекты технологий'!L$12)))*POWER(MAX(0,1-'Израиль 2028'!I17/10),0.7))))</f>
        <v>7.897130438</v>
      </c>
      <c r="C17" s="12">
        <f>MIN(1,(MIN(1,'Израиль 2028'!C17+'Израиль 2028'!F17+(0.08*LN(1+0.5*('Ход 2028'!C23*(1+'Эффекты технологий'!L$12)))*MAX(0,1-('Израиль 2028'!C17+'Израиль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7.897130438</v>
      </c>
      <c r="J17" s="34">
        <f>SUMIFS('Эффекты технологий'!$M$25:$M$240,'Эффекты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2028'!L17+'Израиль 2028'!N17+('Израиль 2028'!M17+'Израиль 2028'!P17+'Израиль 2028'!Q17)))</f>
        <v>8.21247143</v>
      </c>
      <c r="M17" s="12">
        <f>MIN(1,(MIN(1,'Израиль 2028'!M17+'Израиль 2028'!P17+(0.1*LN(1+0.5*('Ход 2028'!H19*(1+'Эффекты технологий'!L$10)))*POWER(MAX(0,1-'Израиль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8.21247143</v>
      </c>
      <c r="T17" s="34">
        <f>SUMIFS('Эффекты технологий'!$M$25:$M$240,'Эффекты технологий'!$C$25:$C$240,$K17,'Эффекты технологий'!$D$25:$D$240,"Значение")</f>
        <v>0</v>
      </c>
      <c r="U17" s="12" t="s">
        <v>128</v>
      </c>
      <c r="V17" s="25">
        <f>'Израиль 2028'!V17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2028'!L18+'Израиль 2028'!N18+('Израиль 2028'!M18+'Израиль 2028'!P18+'Израиль 2028'!Q18)))</f>
        <v>8.232934024</v>
      </c>
      <c r="M18" s="12">
        <f>MIN(1,(MIN(1,'Израиль 2028'!M18+'Израиль 2028'!P18+(0.1*LN(1+0.5*('Ход 2028'!H20*(1+'Эффекты технологий'!L$10)))*POWER(MAX(0,1-'Израиль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8.232934024</v>
      </c>
      <c r="T18" s="34">
        <f>SUMIFS('Эффекты технологий'!$M$25:$M$240,'Эффекты технологий'!$C$25:$C$240,$K18,'Эффекты технологий'!$D$25:$D$240,"Значение")</f>
        <v>0</v>
      </c>
      <c r="U18" s="12" t="s">
        <v>131</v>
      </c>
      <c r="V18" s="25">
        <f>'Израиль 2028'!V18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2028'!B19+'Израиль 2028'!D19+('Израиль 2028'!C19+'Израиль 2028'!F19+'Израиль 2028'!G19)+(0.35*LN(1+0.6*'Ход 2028'!B25)*POWER(MAX(0,1-'Израиль 2028'!I19/10),0.7))))</f>
        <v>9.501144312</v>
      </c>
      <c r="C19" s="12">
        <f>MIN(1,(MIN(1,'Израиль 2028'!C19+'Израиль 2028'!F19+(0.08*LN(1+0.5*'Ход 2028'!C25)*MAX(0,1-('Израиль 2028'!C19+'Израиль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9.701144312</v>
      </c>
      <c r="J19" s="34">
        <f>SUMIFS('Эффекты технологий'!$M$25:$M$240,'Эффекты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2028'!V19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2028'!B20+'Израиль 2028'!D20+('Израиль 2028'!C20+'Израиль 2028'!F20+'Израиль 2028'!G20)+(0.35*LN(1+0.6*'Ход 2028'!B26)*POWER(MAX(0,1-'Израиль 2028'!I20/10),0.7))))</f>
        <v>10</v>
      </c>
      <c r="C20" s="12">
        <f>MIN(1,(MIN(1,'Израиль 2028'!C20+'Израиль 2028'!F20+(0.08*LN(1+0.5*'Ход 2028'!C26)*MAX(0,1-('Израиль 2028'!C20+'Израиль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технологий'!$M$25:$M$240,'Эффекты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2028'!V20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2028'!B21+'Израиль 2028'!D21+('Израиль 2028'!C21+'Израиль 2028'!F21+'Израиль 2028'!G21)+(0.35*LN(1+0.6*'Ход 2028'!B27)*POWER(MAX(0,1-'Израиль 2028'!I21/10),0.7))))</f>
        <v>9.556287567</v>
      </c>
      <c r="C21" s="12">
        <f>MIN(1,(MIN(1,'Израиль 2028'!C21+'Израиль 2028'!F21+(0.08*LN(1+0.5*'Ход 2028'!C27)*MAX(0,1-('Израиль 2028'!C21+'Израиль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9.556287567</v>
      </c>
      <c r="J21" s="34">
        <f>SUMIFS('Эффекты технологий'!$M$25:$M$240,'Эффекты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2028'!V21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2028'!B22+'Израиль 2028'!D22+('Израиль 2028'!C22+'Израиль 2028'!F22+'Израиль 2028'!G22)+(0.35*LN(1+0.6*'Ход 2028'!B28)*POWER(MAX(0,1-'Израиль 2028'!I22/10),0.7))))</f>
        <v>9.831483017</v>
      </c>
      <c r="C22" s="12">
        <f>MIN(1,(MIN(1,'Израиль 2028'!C22+'Израиль 2028'!F22+(0.08*LN(1+0.5*'Ход 2028'!C28)*MAX(0,1-('Израиль 2028'!C22+'Израиль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9.831483017</v>
      </c>
      <c r="J22" s="34">
        <f>SUMIFS('Эффекты технологий'!$M$25:$M$240,'Эффекты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2028'!V22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2028'!B23+'Израиль 2028'!D23+('Израиль 2028'!C23+'Израиль 2028'!F23+'Израиль 2028'!G23)+(0.35*LN(1+0.6*'Ход 2028'!B29)*POWER(MAX(0,1-'Израиль 2028'!I23/10),0.7))))</f>
        <v>9.831483017</v>
      </c>
      <c r="C23" s="12">
        <f>MIN(1,(MIN(1,'Израиль 2028'!C23+'Израиль 2028'!F23+(0.08*LN(1+0.5*'Ход 2028'!C29)*MAX(0,1-('Израиль 2028'!C23+'Израиль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9.831483017</v>
      </c>
      <c r="J23" s="34">
        <f>SUMIFS('Эффекты технологий'!$M$25:$M$240,'Эффекты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2028'!V23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2028'!V24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2028'!B25+'Израиль 2028'!D25+('Израиль 2028'!C25+'Израиль 2028'!F25+'Израиль 2028'!G25)+(0.35*LN(1+0.6*'Ход 2028'!B31)*POWER(MAX(0,1-'Израиль 2028'!I25/10),0.7))))</f>
        <v>8.38308418</v>
      </c>
      <c r="C25" s="12">
        <f>MIN(1,(MIN(1,'Израиль 2028'!C25+'Израиль 2028'!F25+(0.08*LN(1+0.5*'Ход 2028'!C31)*MAX(0,1-('Израиль 2028'!C25+'Израиль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8.38308418</v>
      </c>
      <c r="J25" s="34">
        <f>SUMIFS('Эффекты технологий'!$M$25:$M$240,'Эффекты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2028'!V25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2028'!B26+'Израиль 2028'!D26+('Израиль 2028'!C26+'Израиль 2028'!F26+'Израиль 2028'!G26)+(0.35*LN(1+0.6*'Ход 2028'!B32)*POWER(MAX(0,1-'Израиль 2028'!I26/10),0.7))))</f>
        <v>9.073073193</v>
      </c>
      <c r="C26" s="12">
        <f>MIN(1,(MIN(1,'Израиль 2028'!C26+'Израиль 2028'!F26+(0.08*LN(1+0.5*'Ход 2028'!C32)*MAX(0,1-('Израиль 2028'!C26+'Израиль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9.073073193</v>
      </c>
      <c r="J26" s="34">
        <f>SUMIFS('Эффекты технологий'!$M$25:$M$240,'Эффекты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2028'!V26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2028'!B27+'Израиль 2028'!D27+('Израиль 2028'!C27+'Израиль 2028'!F27+'Израиль 2028'!G27)+(0.35*LN(1+0.6*'Ход 2028'!B33)*POWER(MAX(0,1-'Израиль 2028'!I27/10),0.7))))</f>
        <v>8.867929939</v>
      </c>
      <c r="C27" s="12">
        <f>MIN(1,(MIN(1,'Израиль 2028'!C27+'Израиль 2028'!F27+(0.08*LN(1+0.5*'Ход 2028'!C33)*MAX(0,1-('Израиль 2028'!C27+'Израиль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8.867929939</v>
      </c>
      <c r="J27" s="34">
        <f>SUMIFS('Эффекты технологий'!$M$25:$M$240,'Эффекты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2028'!B28+'Израиль 2028'!D28+('Израиль 2028'!C28+'Израиль 2028'!F28+'Израиль 2028'!G28)+(0.35*LN(1+0.6*'Ход 2028'!B34)*POWER(MAX(0,1-'Израиль 2028'!I28/10),0.7))))</f>
        <v>9.501144312</v>
      </c>
      <c r="C28" s="12">
        <f>MIN(1,(MIN(1,'Израиль 2028'!C28+'Израиль 2028'!F28+(0.08*LN(1+0.5*'Ход 2028'!C34)*MAX(0,1-('Израиль 2028'!C28+'Израиль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9.501144312</v>
      </c>
      <c r="J28" s="34">
        <f>SUMIFS('Эффекты технологий'!$M$25:$M$240,'Эффекты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2028'!B29+'Израиль 2028'!D29+('Израиль 2028'!C29+'Израиль 2028'!F29+'Израиль 2028'!G29)+(0.35*LN(1+0.6*'Ход 2028'!B35)*POWER(MAX(0,1-'Израиль 2028'!I29/10),0.7))))</f>
        <v>9.351144312</v>
      </c>
      <c r="C29" s="12">
        <f>MIN(1,(MIN(1,'Израиль 2028'!C29+'Израиль 2028'!F29+(0.08*LN(1+0.5*'Ход 2028'!C35)*MAX(0,1-('Израиль 2028'!C29+'Израиль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9.351144312</v>
      </c>
      <c r="J29" s="34">
        <f>SUMIFS('Эффекты технологий'!$M$25:$M$240,'Эффекты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2028'!B30+'Израиль 2028'!D30+('Израиль 2028'!C30+'Израиль 2028'!F30+'Израиль 2028'!G30)+(0.35*LN(1+0.6*'Ход 2028'!B36)*POWER(MAX(0,1-'Израиль 2028'!I30/10),0.7))))</f>
        <v>9.351144312</v>
      </c>
      <c r="C30" s="12">
        <f>MIN(1,(MIN(1,'Израиль 2028'!C30+'Израиль 2028'!F30+(0.08*LN(1+0.5*'Ход 2028'!C36)*MAX(0,1-('Израиль 2028'!C30+'Израиль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9.351144312</v>
      </c>
      <c r="J30" s="34">
        <f>SUMIFS('Эффекты технологий'!$M$25:$M$240,'Эффекты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2028'!B31+'Израиль 2028'!D31+('Израиль 2028'!C31+'Израиль 2028'!F31+'Израиль 2028'!G31)+(0.35*LN(1+0.6*'Ход 2028'!B37)*POWER(MAX(0,1-'Израиль 2028'!I31/10),0.7))))</f>
        <v>8.867929939</v>
      </c>
      <c r="C31" s="12">
        <f>MIN(1,(MIN(1,'Израиль 2028'!C31+'Израиль 2028'!F31+(0.08*LN(1+0.5*'Ход 2028'!C37)*MAX(0,1-('Израиль 2028'!C31+'Израиль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8.867929939</v>
      </c>
      <c r="J31" s="34">
        <f>SUMIFS('Эффекты технологий'!$M$25:$M$240,'Эффекты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2028'!B32+'Израиль 2028'!D32+('Израиль 2028'!C32+'Израиль 2028'!F32+'Израиль 2028'!G32)+(0.35*LN(1+0.6*'Ход 2028'!B38)*POWER(MAX(0,1-'Израиль 2028'!I32/10),0.7))))</f>
        <v>10</v>
      </c>
      <c r="C32" s="12">
        <f>MIN(1,(MIN(1,'Израиль 2028'!C32+'Израиль 2028'!F32+(0.08*LN(1+0.5*'Ход 2028'!C38)*MAX(0,1-('Израиль 2028'!C32+'Израиль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технологий'!$M$25:$M$240,'Эффекты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2028'!B34+'Израиль 2028'!D34+('Израиль 2028'!C34+'Израиль 2028'!F34+'Израиль 2028'!G34)+(0.35*LN(1+0.6*'Ход 2028'!B40)*POWER(MAX(0,1-'Израиль 2028'!I34/10),0.7))))</f>
        <v>9.89242696</v>
      </c>
      <c r="C34" s="12">
        <f>MIN(1,(MIN(1,'Израиль 2028'!C34+'Израиль 2028'!F34+(0.08*LN(1+0.5*'Ход 2028'!C40)*MAX(0,1-('Израиль 2028'!C34+'Израиль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9.89242696</v>
      </c>
      <c r="J34" s="34">
        <f>SUMIFS('Эффекты технологий'!$M$25:$M$240,'Эффекты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2028'!B35+'Израиль 2028'!D35+('Израиль 2028'!C35+'Израиль 2028'!F35+'Израиль 2028'!G35)+(0.35*LN(1+0.6*'Ход 2028'!B41)*POWER(MAX(0,1-'Израиль 2028'!I35/10),0.7))))</f>
        <v>9.425249278</v>
      </c>
      <c r="C35" s="12">
        <f>MIN(1,(MIN(1,'Израиль 2028'!C35+'Израиль 2028'!F35+(0.08*LN(1+0.5*'Ход 2028'!C41)*MAX(0,1-('Израиль 2028'!C35+'Израиль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9.425249278</v>
      </c>
      <c r="J35" s="34">
        <f>SUMIFS('Эффекты технологий'!$M$25:$M$240,'Эффекты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2028'!B36+'Израиль 2028'!D36+('Израиль 2028'!C36+'Израиль 2028'!F36+'Израиль 2028'!G36)+(0.35*LN(1+0.6*'Ход 2028'!B42)*POWER(MAX(0,1-'Израиль 2028'!I36/10),0.7))))</f>
        <v>9.537292129</v>
      </c>
      <c r="C36" s="12">
        <f>MIN(1,(MIN(1,'Израиль 2028'!C36+'Израиль 2028'!F36+(0.08*LN(1+0.5*'Ход 2028'!C42)*MAX(0,1-('Израиль 2028'!C36+'Израиль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9.537292129</v>
      </c>
      <c r="J36" s="34">
        <f>SUMIFS('Эффекты технологий'!$M$25:$M$240,'Эффекты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2028'!B37+'Израиль 2028'!D37+('Израиль 2028'!C37+'Израиль 2028'!F37+'Израиль 2028'!G37)+(0.35*LN(1+0.6*'Ход 2028'!B43)*POWER(MAX(0,1-'Израиль 2028'!I37/10),0.7))))</f>
        <v>9.037292129</v>
      </c>
      <c r="C37" s="12">
        <f>MIN(1,(MIN(1,'Израиль 2028'!C37+'Израиль 2028'!F37+(0.08*LN(1+0.5*'Ход 2028'!C43)*MAX(0,1-('Израиль 2028'!C37+'Израиль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9.037292129</v>
      </c>
      <c r="J37" s="34">
        <f>SUMIFS('Эффекты технологий'!$M$25:$M$240,'Эффекты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2028'!B38+'Израиль 2028'!D38+('Израиль 2028'!C38+'Израиль 2028'!F38+'Израиль 2028'!G38)+(0.35*LN(1+0.6*'Ход 2028'!B44)*POWER(MAX(0,1-'Израиль 2028'!I38/10),0.7))))</f>
        <v>9.080886773</v>
      </c>
      <c r="C38" s="12">
        <f>MIN(1,(MIN(1,'Израиль 2028'!C38+'Израиль 2028'!F38+(0.08*LN(1+0.5*'Ход 2028'!C44)*MAX(0,1-('Израиль 2028'!C38+'Израиль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9.080886773</v>
      </c>
      <c r="J38" s="34">
        <f>SUMIFS('Эффекты технологий'!$M$25:$M$240,'Эффекты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2028'!B39+'Израиль 2028'!D39+('Израиль 2028'!C39+'Израиль 2028'!F39+'Израиль 2028'!G39)+(0.35*LN(1+0.6*'Ход 2028'!B45)*POWER(MAX(0,1-'Израиль 2028'!I39/10),0.7))))</f>
        <v>9.537292129</v>
      </c>
      <c r="C39" s="12">
        <f>MIN(1,(MIN(1,'Израиль 2028'!C39+'Израиль 2028'!F39+(0.08*LN(1+0.5*'Ход 2028'!C45)*MAX(0,1-('Израиль 2028'!C39+'Израиль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9.537292129</v>
      </c>
      <c r="J39" s="34">
        <f>SUMIFS('Эффекты технологий'!$M$25:$M$240,'Эффекты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2028'!B40+'Израиль 2028'!D40+('Израиль 2028'!C40+'Израиль 2028'!F40+'Израиль 2028'!G40)+(0.35*LN(1+0.6*'Ход 2028'!B46)*POWER(MAX(0,1-'Израиль 2028'!I40/10),0.7))))</f>
        <v>9.89242696</v>
      </c>
      <c r="C40" s="12">
        <f>MIN(1,(MIN(1,'Израиль 2028'!C40+'Израиль 2028'!F40+(0.08*LN(1+0.5*'Ход 2028'!C46)*MAX(0,1-('Израиль 2028'!C40+'Израиль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9.89242696</v>
      </c>
      <c r="J40" s="34">
        <f>SUMIFS('Эффекты технологий'!$M$25:$M$240,'Эффекты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2028'!B41+'Израиль 2028'!D41+('Израиль 2028'!C41+'Израиль 2028'!F41+'Израиль 2028'!G41)+(0.35*LN(1+0.6*'Ход 2028'!B47)*POWER(MAX(0,1-'Израиль 2028'!I41/10),0.7))))</f>
        <v>9.89242696</v>
      </c>
      <c r="C41" s="12">
        <f>MIN(1,(MIN(1,'Израиль 2028'!C41+'Израиль 2028'!F41+(0.08*LN(1+0.5*'Ход 2028'!C47)*MAX(0,1-('Израиль 2028'!C41+'Израиль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9.89242696</v>
      </c>
      <c r="J41" s="34">
        <f>SUMIFS('Эффекты технологий'!$M$25:$M$240,'Эффекты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2028'!B42+'Израиль 2028'!D42+('Израиль 2028'!C42+'Израиль 2028'!F42+'Израиль 2028'!G42)+(0.35*LN(1+0.6*'Ход 2028'!B48)*POWER(MAX(0,1-'Израиль 2028'!I42/10),0.7))))</f>
        <v>9.247561791</v>
      </c>
      <c r="C42" s="12">
        <f>MIN(1,(MIN(1,'Израиль 2028'!C42+'Израиль 2028'!F42+(0.08*LN(1+0.5*'Ход 2028'!C48)*MAX(0,1-('Израиль 2028'!C42+'Израиль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9.247561791</v>
      </c>
      <c r="J42" s="34">
        <f>SUMIFS('Эффекты технологий'!$M$25:$M$240,'Эффекты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2028'!B44+'Израиль 2028'!D44+('Израиль 2028'!C44+'Израиль 2028'!F44+'Израиль 2028'!G44)+(0.35*LN(1+0.6*'Ход 2028'!B50)*POWER(MAX(0,1-'Израиль 2028'!I44/10),0.7))))</f>
        <v>8.89242696</v>
      </c>
      <c r="C44" s="12">
        <f>MIN(1,(MIN(1,'Израиль 2028'!C44+'Израиль 2028'!F44+(0.08*LN(1+0.5*'Ход 2028'!C50)*MAX(0,1-('Израиль 2028'!C44+'Израиль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8.89242696</v>
      </c>
      <c r="J44" s="34">
        <f>SUMIFS('Эффекты технологий'!$M$25:$M$240,'Эффекты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2028'!B45+'Израиль 2028'!D45+('Израиль 2028'!C45+'Израиль 2028'!F45+'Израиль 2028'!G45)+(0.35*LN(1+0.6*'Ход 2028'!B51)*POWER(MAX(0,1-'Израиль 2028'!I45/10),0.7))))</f>
        <v>8.936021604</v>
      </c>
      <c r="C45" s="12">
        <f>MIN(1,(MIN(1,'Израиль 2028'!C45+'Израиль 2028'!F45+(0.08*LN(1+0.5*'Ход 2028'!C51)*MAX(0,1-('Израиль 2028'!C45+'Израиль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8.936021604</v>
      </c>
      <c r="J45" s="34">
        <f>SUMIFS('Эффекты технологий'!$M$25:$M$240,'Эффекты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2028'!B46+'Израиль 2028'!D46+('Израиль 2028'!C46+'Израиль 2028'!F46+'Израиль 2028'!G46)+(0.35*LN(1+0.6*'Ход 2028'!B52)*POWER(MAX(0,1-'Израиль 2028'!I46/10),0.7))))</f>
        <v>8.39242696</v>
      </c>
      <c r="C46" s="12">
        <f>MIN(1,(MIN(1,'Израиль 2028'!C46+'Израиль 2028'!F46+(0.08*LN(1+0.5*'Ход 2028'!C52)*MAX(0,1-('Израиль 2028'!C46+'Израиль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8.39242696</v>
      </c>
      <c r="J46" s="34">
        <f>SUMIFS('Эффекты технологий'!$M$25:$M$240,'Эффекты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2028'!B47+'Израиль 2028'!D47+('Израиль 2028'!C47+'Израиль 2028'!F47+'Израиль 2028'!G47)+(0.35*LN(1+0.6*'Ход 2028'!B53)*POWER(MAX(0,1-'Израиль 2028'!I47/10),0.7))))</f>
        <v>8.747561791</v>
      </c>
      <c r="C47" s="12">
        <f>MIN(1,(MIN(1,'Израиль 2028'!C47+'Израиль 2028'!F47+(0.08*LN(1+0.5*'Ход 2028'!C53)*MAX(0,1-('Израиль 2028'!C47+'Израиль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8.747561791</v>
      </c>
      <c r="J47" s="34">
        <f>SUMIFS('Эффекты технологий'!$M$25:$M$240,'Эффекты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2028'!B48+'Израиль 2028'!D48+('Израиль 2028'!C48+'Израиль 2028'!F48+'Израиль 2028'!G48)+(0.35*LN(1+0.6*'Ход 2028'!B54)*POWER(MAX(0,1-'Израиль 2028'!I48/10),0.7))))</f>
        <v>6.747561791</v>
      </c>
      <c r="C48" s="12">
        <f>MIN(1,(MIN(1,'Израиль 2028'!C48+'Израиль 2028'!F48+(0.08*LN(1+0.5*'Ход 2028'!C54)*MAX(0,1-('Израиль 2028'!C48+'Израиль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6.747561791</v>
      </c>
      <c r="J48" s="34">
        <f>SUMIFS('Эффекты технологий'!$M$25:$M$240,'Эффекты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2028'!B49+'Израиль 2028'!D49+('Израиль 2028'!C49+'Израиль 2028'!F49+'Израиль 2028'!G49)+(0.35*LN(1+0.6*'Ход 2028'!B55)*POWER(MAX(0,1-'Израиль 2028'!I49/10),0.7))))</f>
        <v>9.592353403</v>
      </c>
      <c r="C49" s="12">
        <f>MIN(1,(MIN(1,'Израиль 2028'!C49+'Израиль 2028'!F49+(0.08*LN(1+0.5*'Ход 2028'!C55)*MAX(0,1-('Израиль 2028'!C49+'Израиль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9.592353403</v>
      </c>
      <c r="J49" s="34">
        <f>SUMIFS('Эффекты технологий'!$M$25:$M$240,'Эффекты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2028'!B50+'Израиль 2028'!D50+('Израиль 2028'!C50+'Израиль 2028'!F50+'Израиль 2028'!G50)+(0.35*LN(1+0.6*'Ход 2028'!B56)*POWER(MAX(0,1-'Израиль 2028'!I50/10),0.7))))</f>
        <v>9.247561791</v>
      </c>
      <c r="C50" s="12">
        <f>MIN(1,(MIN(1,'Израиль 2028'!C50+'Израиль 2028'!F50+(0.08*LN(1+0.5*'Ход 2028'!C56)*MAX(0,1-('Израиль 2028'!C50+'Израиль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9.247561791</v>
      </c>
      <c r="J50" s="34">
        <f>SUMIFS('Эффекты технологий'!$M$25:$M$240,'Эффекты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2028'!B51+'Израиль 2028'!D51+('Израиль 2028'!C51+'Израиль 2028'!F51+'Израиль 2028'!G51)+(0.35*LN(1+0.6*'Ход 2028'!B57)*POWER(MAX(0,1-'Израиль 2028'!I51/10),0.7))))</f>
        <v>8.89242696</v>
      </c>
      <c r="C51" s="12">
        <f>MIN(1,(MIN(1,'Израиль 2028'!C51+'Израиль 2028'!F51+(0.08*LN(1+0.5*'Ход 2028'!C57)*MAX(0,1-('Израиль 2028'!C51+'Израиль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8.89242696</v>
      </c>
      <c r="J51" s="34">
        <f>SUMIFS('Эффекты технологий'!$M$25:$M$240,'Эффекты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2028'!B53+'Израиль 2028'!D53+('Израиль 2028'!C53+'Израиль 2028'!F53+'Израиль 2028'!G53)+(0.35*LN(1+0.6*'Ход 2028'!B59)*POWER(MAX(0,1-'Израиль 2028'!I53/10),0.7))))</f>
        <v>8.89242696</v>
      </c>
      <c r="C53" s="12">
        <f>MIN(1,(MIN(1,'Израиль 2028'!C53+'Израиль 2028'!F53+(0.08*LN(1+0.5*'Ход 2028'!C59)*MAX(0,1-('Израиль 2028'!C53+'Израиль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8.89242696</v>
      </c>
      <c r="J53" s="34">
        <f>SUMIFS('Эффекты технологий'!$M$25:$M$240,'Эффекты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2028'!B54+'Израиль 2028'!D54+('Израиль 2028'!C54+'Израиль 2028'!F54+'Израиль 2028'!G54)+(0.35*LN(1+0.6*'Ход 2028'!B60)*POWER(MAX(0,1-'Израиль 2028'!I54/10),0.7))))</f>
        <v>8.89242696</v>
      </c>
      <c r="C54" s="12">
        <f>MIN(1,(MIN(1,'Израиль 2028'!C54+'Израиль 2028'!F54+(0.08*LN(1+0.5*'Ход 2028'!C60)*MAX(0,1-('Израиль 2028'!C54+'Израиль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8.89242696</v>
      </c>
      <c r="J54" s="34">
        <f>SUMIFS('Эффекты технологий'!$M$25:$M$240,'Эффекты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2028'!B55+'Израиль 2028'!D55+('Израиль 2028'!C55+'Израиль 2028'!F55+'Израиль 2028'!G55)+(0.35*LN(1+0.6*'Ход 2028'!B61)*POWER(MAX(0,1-'Израиль 2028'!I55/10),0.7))))</f>
        <v>7.89242696</v>
      </c>
      <c r="C55" s="12">
        <f>MIN(1,(MIN(1,'Израиль 2028'!C55+'Израиль 2028'!F55+(0.08*LN(1+0.5*'Ход 2028'!C61)*MAX(0,1-('Израиль 2028'!C55+'Израиль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7.89242696</v>
      </c>
      <c r="J55" s="34">
        <f>SUMIFS('Эффекты технологий'!$M$25:$M$240,'Эффекты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334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2029'!U6</f>
        <v>93.50514225</v>
      </c>
      <c r="C6" s="12"/>
      <c r="D6" s="12"/>
      <c r="E6" s="12" t="s">
        <v>16</v>
      </c>
      <c r="F6" s="19">
        <f>'Израиль 2029'!K6</f>
        <v>90.57439627</v>
      </c>
      <c r="G6" s="12"/>
      <c r="H6" s="12"/>
      <c r="I6" s="12" t="s">
        <v>16</v>
      </c>
      <c r="J6" s="19">
        <f>'Израиль 2029'!N6</f>
        <v>93.52391633</v>
      </c>
      <c r="K6" s="12"/>
      <c r="L6" s="12"/>
      <c r="M6" s="12" t="s">
        <v>16</v>
      </c>
      <c r="N6" s="19">
        <f>'Израиль 2029'!Q6</f>
        <v>77.18080814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93.50514225</v>
      </c>
      <c r="C8" s="12" t="str">
        <f>IF(B8&lt;0,"ПРЕВЫШЕНИЕ","OK")</f>
        <v>OK</v>
      </c>
      <c r="D8" s="12"/>
      <c r="E8" s="12" t="s">
        <v>94</v>
      </c>
      <c r="F8" s="19">
        <f>F6-F7</f>
        <v>90.57439627</v>
      </c>
      <c r="G8" s="12" t="str">
        <f>IF(F8&lt;0,"ПРЕВЫШЕНИЕ","OK")</f>
        <v>OK</v>
      </c>
      <c r="H8" s="12"/>
      <c r="I8" s="12" t="s">
        <v>94</v>
      </c>
      <c r="J8" s="19">
        <f>J6-J7</f>
        <v>93.52391633</v>
      </c>
      <c r="K8" s="12" t="str">
        <f>IF(J8&lt;0,"ПРЕВЫШЕНИЕ","OK")</f>
        <v>OK</v>
      </c>
      <c r="L8" s="12"/>
      <c r="M8" s="12" t="s">
        <v>94</v>
      </c>
      <c r="N8" s="19">
        <f>N6-N7</f>
        <v>77.18080814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2029'!V11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2029'!V12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2029'!V13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2029'!V14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2029'!V15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2029'!V16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2029'!V17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2029'!V18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2029'!V19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2029'!V20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2029'!V21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2029'!V22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технологий'!M$16</f>
        <v>0</v>
      </c>
      <c r="H25" s="29">
        <f>'Эффекты технологий'!M$17</f>
        <v>0</v>
      </c>
      <c r="I25" s="29">
        <f>'Эффекты технологий'!M$18</f>
        <v>0</v>
      </c>
      <c r="J25" s="30"/>
      <c r="K25" s="12"/>
      <c r="L25" s="12" t="s">
        <v>152</v>
      </c>
      <c r="M25" s="12">
        <f>'Израиль 2029'!V23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2029'!V24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2029'!V25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2029'!V26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IF(G29="","",VLOOKUP(G29,'Технологии'!$A$11:$BF$50,47,FALSE))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IF(G30="","",VLOOKUP(G30,'Технологии'!$A$11:$BF$50,47,FALSE))</f>
        <v/>
      </c>
      <c r="L30" s="12"/>
      <c r="M30" s="12"/>
      <c r="N30" s="30" t="s">
        <v>151</v>
      </c>
      <c r="O30" s="29">
        <f>'Эффекты технологий'!M$13</f>
        <v>0</v>
      </c>
      <c r="P30" s="29">
        <f>'Эффекты технологий'!M$14</f>
        <v>0</v>
      </c>
      <c r="Q30" s="29">
        <f>'Эффекты технологий'!M$15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IF(G31="","",VLOOKUP(G31,'Технологии'!$A$11:$BF$50,47,FALSE))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368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91.41399886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94.76098141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78.306476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94.32198384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2029'!B8+'Израиль 2029'!D8+('Израиль 2029'!C8+'Израиль 2029'!F8+'Израиль 2029'!G8)+(0.35*LN(1+0.6*('Ход 2029'!B14*(1+'Эффекты технологий'!M$12)))*POWER(MAX(0,1-'Израиль 2029'!I8/10),0.7))))</f>
        <v>3.399694438</v>
      </c>
      <c r="C8" s="12">
        <f>MIN(1,(MIN(1,'Израиль 2029'!C8+'Израиль 2029'!F8+(0.08*LN(1+0.5*('Ход 2029'!C14*(1+'Эффекты технологий'!M$12)))*MAX(0,1-('Израиль 2029'!C8+'Израиль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3.249694438</v>
      </c>
      <c r="J8" s="34">
        <f>SUMIFS('Эффекты технологий'!$N$25:$N$240,'Эффекты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2029'!B9+'Израиль 2029'!D9+('Израиль 2029'!C9+'Израиль 2029'!F9+'Израиль 2029'!G9)+(0.35*LN(1+0.6*('Ход 2029'!B15*(1+'Эффекты технологий'!M$12)))*POWER(MAX(0,1-'Израиль 2029'!I9/10),0.7))))</f>
        <v>7.510352511</v>
      </c>
      <c r="C9" s="12">
        <f>MIN(1,(MIN(1,'Израиль 2029'!C9+'Израиль 2029'!F9+(0.08*LN(1+0.5*('Ход 2029'!C15*(1+'Эффекты технологий'!M$12)))*MAX(0,1-('Израиль 2029'!C9+'Израиль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7.510352511</v>
      </c>
      <c r="J9" s="34">
        <f>SUMIFS('Эффекты технологий'!$N$25:$N$240,'Эффекты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2029'!B10+'Израиль 2029'!D10+('Израиль 2029'!C10+'Израиль 2029'!F10+'Израиль 2029'!G10)+(0.35*LN(1+0.6*('Ход 2029'!B16*(1+'Эффекты технологий'!M$12)))*POWER(MAX(0,1-'Израиль 2029'!I10/10),0.7))))</f>
        <v>7.143803356</v>
      </c>
      <c r="C10" s="12">
        <f>MIN(1,(MIN(1,'Израиль 2029'!C10+'Израиль 2029'!F10+(0.08*LN(1+0.5*('Ход 2029'!C16*(1+'Эффекты технологий'!M$12)))*MAX(0,1-('Израиль 2029'!C10+'Израиль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7.143803356</v>
      </c>
      <c r="J10" s="34">
        <f>SUMIFS('Эффекты технологий'!$N$25:$N$240,'Эффекты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2029'!B11+'Израиль 2029'!D11+('Израиль 2029'!C11+'Израиль 2029'!F11+'Израиль 2029'!G11)+(0.35*LN(1+0.6*('Ход 2029'!B17*(1+'Эффекты технологий'!M$12)))*POWER(MAX(0,1-'Израиль 2029'!I11/10),0.7))))</f>
        <v>9.251144312</v>
      </c>
      <c r="C11" s="12">
        <f>MIN(1,(MIN(1,'Израиль 2029'!C11+'Израиль 2029'!F11+(0.08*LN(1+0.5*('Ход 2029'!C17*(1+'Эффекты технологий'!M$12)))*MAX(0,1-('Израиль 2029'!C11+'Израиль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9.251144312</v>
      </c>
      <c r="J11" s="34">
        <f>SUMIFS('Эффекты технологий'!$N$25:$N$240,'Эффекты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2029'!L11+'Израиль 2029'!N11+('Израиль 2029'!M11+'Израиль 2029'!P11+'Израиль 2029'!Q11)))</f>
        <v>8.223628239</v>
      </c>
      <c r="M11" s="12">
        <f>MIN(1,(MIN(1,'Израиль 2029'!M11+'Израиль 2029'!P11+(0.1*LN(1+0.5*('Ход 2029'!H13*(1+'Эффекты технологий'!M$10)))*POWER(MAX(0,1-'Израиль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8.223628239</v>
      </c>
      <c r="T11" s="34">
        <f>SUMIFS('Эффекты технологий'!$N$25:$N$240,'Эффекты технологий'!$C$25:$C$240,$K11,'Эффекты технологий'!$D$25:$D$240,"Значение")</f>
        <v>0</v>
      </c>
      <c r="U11" s="12" t="s">
        <v>110</v>
      </c>
      <c r="V11" s="25">
        <f>'Израиль 2029'!V11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2029'!B12+'Израиль 2029'!D12+('Израиль 2029'!C12+'Израиль 2029'!F12+'Израиль 2029'!G12)+(0.35*LN(1+0.6*('Ход 2029'!B18*(1+'Эффекты технологий'!M$12)))*POWER(MAX(0,1-'Израиль 2029'!I12/10),0.7))))</f>
        <v>3.889599283</v>
      </c>
      <c r="C12" s="12">
        <f>MIN(1,(MIN(1,'Израиль 2029'!C12+'Израиль 2029'!F12+(0.08*LN(1+0.5*('Ход 2029'!C18*(1+'Эффекты технологий'!M$12)))*MAX(0,1-('Израиль 2029'!C12+'Израиль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3.889599283</v>
      </c>
      <c r="J12" s="34">
        <f>SUMIFS('Эффекты технологий'!$N$25:$N$240,'Эффекты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2029'!L12+'Израиль 2029'!N12+('Израиль 2029'!M12+'Израиль 2029'!P12+'Израиль 2029'!Q12)))</f>
        <v>8.977162766</v>
      </c>
      <c r="M12" s="12">
        <f>MIN(1,(MIN(1,'Израиль 2029'!M12+'Израиль 2029'!P12+(0.1*LN(1+0.5*('Ход 2029'!H14*(1+'Эффекты технологий'!M$10)))*POWER(MAX(0,1-'Израиль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8.977162766</v>
      </c>
      <c r="T12" s="34">
        <f>SUMIFS('Эффекты технологий'!$N$25:$N$240,'Эффекты технологий'!$C$25:$C$240,$K12,'Эффекты технологий'!$D$25:$D$240,"Значение")</f>
        <v>0</v>
      </c>
      <c r="U12" s="12" t="s">
        <v>113</v>
      </c>
      <c r="V12" s="25">
        <f>'Израиль 2029'!V12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2029'!B13+'Израиль 2029'!D13+('Израиль 2029'!C13+'Израиль 2029'!F13+'Израиль 2029'!G13)+(0.35*LN(1+0.6*('Ход 2029'!B19*(1+'Эффекты технологий'!M$12)))*POWER(MAX(0,1-'Израиль 2029'!I13/10),0.7))))</f>
        <v>8.27984532</v>
      </c>
      <c r="C13" s="12">
        <f>MIN(1,(MIN(1,'Израиль 2029'!C13+'Израиль 2029'!F13+(0.08*LN(1+0.5*('Ход 2029'!C19*(1+'Эффекты технологий'!M$12)))*MAX(0,1-('Израиль 2029'!C13+'Израиль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8.27984532</v>
      </c>
      <c r="J13" s="34">
        <f>SUMIFS('Эффекты технологий'!$N$25:$N$240,'Эффекты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2029'!L13+'Израиль 2029'!N13+('Израиль 2029'!M13+'Израиль 2029'!P13+'Израиль 2029'!Q13)))</f>
        <v>9.227972615</v>
      </c>
      <c r="M13" s="12">
        <f>MIN(1,(MIN(1,'Израиль 2029'!M13+'Израиль 2029'!P13+(0.1*LN(1+0.5*('Ход 2029'!H15*(1+'Эффекты технологий'!M$10)))*POWER(MAX(0,1-'Израиль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9.227972615</v>
      </c>
      <c r="T13" s="34">
        <f>SUMIFS('Эффекты технологий'!$N$25:$N$240,'Эффекты технологий'!$C$25:$C$240,$K13,'Эффекты технологий'!$D$25:$D$240,"Значение")</f>
        <v>0</v>
      </c>
      <c r="U13" s="12" t="s">
        <v>116</v>
      </c>
      <c r="V13" s="25">
        <f>'Израиль 2029'!V13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2029'!B14+'Израиль 2029'!D14+('Израиль 2029'!C14+'Израиль 2029'!F14+'Израиль 2029'!G14)+(0.35*LN(1+0.6*('Ход 2029'!B20*(1+'Эффекты технологий'!M$12)))*POWER(MAX(0,1-'Израиль 2029'!I14/10),0.7))))</f>
        <v>9.309331964</v>
      </c>
      <c r="C14" s="12">
        <f>MIN(1,(MIN(1,'Израиль 2029'!C14+'Израиль 2029'!F14+(0.08*LN(1+0.5*('Ход 2029'!C20*(1+'Эффекты технологий'!M$12)))*MAX(0,1-('Израиль 2029'!C14+'Израиль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9.809331964</v>
      </c>
      <c r="J14" s="34">
        <f>SUMIFS('Эффекты технологий'!$N$25:$N$240,'Эффекты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2029'!L14+'Израиль 2029'!N14+('Израиль 2029'!M14+'Израиль 2029'!P14+'Израиль 2029'!Q14)))</f>
        <v>8.485239333</v>
      </c>
      <c r="M14" s="12">
        <f>MIN(1,(MIN(1,'Израиль 2029'!M14+'Израиль 2029'!P14+(0.1*LN(1+0.5*('Ход 2029'!H16*(1+'Эффекты технологий'!M$10)))*POWER(MAX(0,1-'Израиль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8.485239333</v>
      </c>
      <c r="T14" s="34">
        <f>SUMIFS('Эффекты технологий'!$N$25:$N$240,'Эффекты технологий'!$C$25:$C$240,$K14,'Эффекты технологий'!$D$25:$D$240,"Значение")</f>
        <v>0</v>
      </c>
      <c r="U14" s="12" t="s">
        <v>119</v>
      </c>
      <c r="V14" s="25">
        <f>'Израиль 2029'!V14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2029'!B15+'Израиль 2029'!D15+('Израиль 2029'!C15+'Израиль 2029'!F15+'Израиль 2029'!G15)+(0.35*LN(1+0.6*('Ход 2029'!B21*(1+'Эффекты технологий'!M$12)))*POWER(MAX(0,1-'Израиль 2029'!I15/10),0.7))))</f>
        <v>8.88308418</v>
      </c>
      <c r="C15" s="12">
        <f>MIN(1,(MIN(1,'Израиль 2029'!C15+'Израиль 2029'!F15+(0.08*LN(1+0.5*('Ход 2029'!C21*(1+'Эффекты технологий'!M$12)))*MAX(0,1-('Израиль 2029'!C15+'Израиль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8.88308418</v>
      </c>
      <c r="J15" s="34">
        <f>SUMIFS('Эффекты технологий'!$N$25:$N$240,'Эффекты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2029'!L15+'Израиль 2029'!N15+('Израиль 2029'!M15+'Израиль 2029'!P15+'Израиль 2029'!Q15)))</f>
        <v>9.18238785</v>
      </c>
      <c r="M15" s="12">
        <f>MIN(1,(MIN(1,'Израиль 2029'!M15+'Израиль 2029'!P15+(0.1*LN(1+0.5*('Ход 2029'!H17*(1+'Эффекты технологий'!M$10)))*POWER(MAX(0,1-'Израиль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9.18238785</v>
      </c>
      <c r="T15" s="34">
        <f>SUMIFS('Эффекты технологий'!$N$25:$N$240,'Эффекты технологий'!$C$25:$C$240,$K15,'Эффекты технологий'!$D$25:$D$240,"Значение")</f>
        <v>0</v>
      </c>
      <c r="U15" s="12" t="s">
        <v>122</v>
      </c>
      <c r="V15" s="25">
        <f>'Израиль 2029'!V15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2029'!B16+'Израиль 2029'!D16+('Израиль 2029'!C16+'Израиль 2029'!F16+'Израиль 2029'!G16)+(0.35*LN(1+0.6*('Ход 2029'!B22*(1+'Эффекты технологий'!M$12)))*POWER(MAX(0,1-'Израиль 2029'!I16/10),0.7))))</f>
        <v>8.758883146</v>
      </c>
      <c r="C16" s="12">
        <f>MIN(1,(MIN(1,'Израиль 2029'!C16+'Израиль 2029'!F16+(0.08*LN(1+0.5*('Ход 2029'!C22*(1+'Эффекты технологий'!M$12)))*MAX(0,1-('Израиль 2029'!C16+'Израиль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8.758883146</v>
      </c>
      <c r="J16" s="34">
        <f>SUMIFS('Эффекты технологий'!$N$25:$N$240,'Эффекты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2029'!L16+'Израиль 2029'!N16+('Израиль 2029'!M16+'Израиль 2029'!P16+'Израиль 2029'!Q16)))</f>
        <v>8.948328621</v>
      </c>
      <c r="M16" s="12">
        <f>MIN(1,(MIN(1,'Израиль 2029'!M16+'Израиль 2029'!P16+(0.1*LN(1+0.5*('Ход 2029'!H18*(1+'Эффекты технологий'!M$10)))*POWER(MAX(0,1-'Израиль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8.948328621</v>
      </c>
      <c r="T16" s="34">
        <f>SUMIFS('Эффекты технологий'!$N$25:$N$240,'Эффекты технологий'!$C$25:$C$240,$K16,'Эффекты технологий'!$D$25:$D$240,"Значение")</f>
        <v>0</v>
      </c>
      <c r="U16" s="12" t="s">
        <v>125</v>
      </c>
      <c r="V16" s="25">
        <f>'Израиль 2029'!V16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2029'!B17+'Израиль 2029'!D17+('Израиль 2029'!C17+'Израиль 2029'!F17+'Израиль 2029'!G17)+(0.35*LN(1+0.6*('Ход 2029'!B23*(1+'Эффекты технологий'!M$12)))*POWER(MAX(0,1-'Израиль 2029'!I17/10),0.7))))</f>
        <v>7.997130438</v>
      </c>
      <c r="C17" s="12">
        <f>MIN(1,(MIN(1,'Израиль 2029'!C17+'Израиль 2029'!F17+(0.08*LN(1+0.5*('Ход 2029'!C23*(1+'Эффекты технологий'!M$12)))*MAX(0,1-('Израиль 2029'!C17+'Израиль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7.997130438</v>
      </c>
      <c r="J17" s="34">
        <f>SUMIFS('Эффекты технологий'!$N$25:$N$240,'Эффекты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2029'!L17+'Израиль 2029'!N17+('Израиль 2029'!M17+'Израиль 2029'!P17+'Израиль 2029'!Q17)))</f>
        <v>8.468707145</v>
      </c>
      <c r="M17" s="12">
        <f>MIN(1,(MIN(1,'Израиль 2029'!M17+'Израиль 2029'!P17+(0.1*LN(1+0.5*('Ход 2029'!H19*(1+'Эффекты технологий'!M$10)))*POWER(MAX(0,1-'Израиль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8.468707145</v>
      </c>
      <c r="T17" s="34">
        <f>SUMIFS('Эффекты технологий'!$N$25:$N$240,'Эффекты технологий'!$C$25:$C$240,$K17,'Эффекты технологий'!$D$25:$D$240,"Значение")</f>
        <v>0</v>
      </c>
      <c r="U17" s="12" t="s">
        <v>128</v>
      </c>
      <c r="V17" s="25">
        <f>'Израиль 2029'!V17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2029'!L18+'Израиль 2029'!N18+('Израиль 2029'!M18+'Израиль 2029'!P18+'Израиль 2029'!Q18)))</f>
        <v>8.499401036</v>
      </c>
      <c r="M18" s="12">
        <f>MIN(1,(MIN(1,'Израиль 2029'!M18+'Израиль 2029'!P18+(0.1*LN(1+0.5*('Ход 2029'!H20*(1+'Эффекты технологий'!M$10)))*POWER(MAX(0,1-'Израиль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8.499401036</v>
      </c>
      <c r="T18" s="34">
        <f>SUMIFS('Эффекты технологий'!$N$25:$N$240,'Эффекты технологий'!$C$25:$C$240,$K18,'Эффекты технологий'!$D$25:$D$240,"Значение")</f>
        <v>0</v>
      </c>
      <c r="U18" s="12" t="s">
        <v>131</v>
      </c>
      <c r="V18" s="25">
        <f>'Израиль 2029'!V18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2029'!B19+'Израиль 2029'!D19+('Израиль 2029'!C19+'Израиль 2029'!F19+'Израиль 2029'!G19)+(0.35*LN(1+0.6*'Ход 2029'!B25)*POWER(MAX(0,1-'Израиль 2029'!I19/10),0.7))))</f>
        <v>9.651144312</v>
      </c>
      <c r="C19" s="12">
        <f>MIN(1,(MIN(1,'Израиль 2029'!C19+'Израиль 2029'!F19+(0.08*LN(1+0.5*'Ход 2029'!C25)*MAX(0,1-('Израиль 2029'!C19+'Израиль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9.851144312</v>
      </c>
      <c r="J19" s="34">
        <f>SUMIFS('Эффекты технологий'!$N$25:$N$240,'Эффекты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2029'!V19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2029'!B20+'Израиль 2029'!D20+('Израиль 2029'!C20+'Израиль 2029'!F20+'Израиль 2029'!G20)+(0.35*LN(1+0.6*'Ход 2029'!B26)*POWER(MAX(0,1-'Израиль 2029'!I20/10),0.7))))</f>
        <v>10</v>
      </c>
      <c r="C20" s="12">
        <f>MIN(1,(MIN(1,'Израиль 2029'!C20+'Израиль 2029'!F20+(0.08*LN(1+0.5*'Ход 2029'!C26)*MAX(0,1-('Израиль 2029'!C20+'Израиль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технологий'!$N$25:$N$240,'Эффекты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2029'!V20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2029'!B21+'Израиль 2029'!D21+('Израиль 2029'!C21+'Израиль 2029'!F21+'Израиль 2029'!G21)+(0.35*LN(1+0.6*'Ход 2029'!B27)*POWER(MAX(0,1-'Израиль 2029'!I21/10),0.7))))</f>
        <v>9.733859194</v>
      </c>
      <c r="C21" s="12">
        <f>MIN(1,(MIN(1,'Израиль 2029'!C21+'Израиль 2029'!F21+(0.08*LN(1+0.5*'Ход 2029'!C27)*MAX(0,1-('Израиль 2029'!C21+'Израиль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9.733859194</v>
      </c>
      <c r="J21" s="34">
        <f>SUMIFS('Эффекты технологий'!$N$25:$N$240,'Эффекты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2029'!V21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2029'!B22+'Израиль 2029'!D22+('Израиль 2029'!C22+'Израиль 2029'!F22+'Израиль 2029'!G22)+(0.35*LN(1+0.6*'Ход 2029'!B28)*POWER(MAX(0,1-'Израиль 2029'!I22/10),0.7))))</f>
        <v>9.931483017</v>
      </c>
      <c r="C22" s="12">
        <f>MIN(1,(MIN(1,'Израиль 2029'!C22+'Израиль 2029'!F22+(0.08*LN(1+0.5*'Ход 2029'!C28)*MAX(0,1-('Израиль 2029'!C22+'Израиль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9.931483017</v>
      </c>
      <c r="J22" s="34">
        <f>SUMIFS('Эффекты технологий'!$N$25:$N$240,'Эффекты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2029'!V22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2029'!B23+'Израиль 2029'!D23+('Израиль 2029'!C23+'Израиль 2029'!F23+'Израиль 2029'!G23)+(0.35*LN(1+0.6*'Ход 2029'!B29)*POWER(MAX(0,1-'Израиль 2029'!I23/10),0.7))))</f>
        <v>9.931483017</v>
      </c>
      <c r="C23" s="12">
        <f>MIN(1,(MIN(1,'Израиль 2029'!C23+'Израиль 2029'!F23+(0.08*LN(1+0.5*'Ход 2029'!C29)*MAX(0,1-('Израиль 2029'!C23+'Израиль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9.931483017</v>
      </c>
      <c r="J23" s="34">
        <f>SUMIFS('Эффекты технологий'!$N$25:$N$240,'Эффекты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2029'!V23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2029'!V24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2029'!B25+'Израиль 2029'!D25+('Израиль 2029'!C25+'Израиль 2029'!F25+'Израиль 2029'!G25)+(0.35*LN(1+0.6*'Ход 2029'!B31)*POWER(MAX(0,1-'Израиль 2029'!I25/10),0.7))))</f>
        <v>8.48308418</v>
      </c>
      <c r="C25" s="12">
        <f>MIN(1,(MIN(1,'Израиль 2029'!C25+'Израиль 2029'!F25+(0.08*LN(1+0.5*'Ход 2029'!C31)*MAX(0,1-('Израиль 2029'!C25+'Израиль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8.48308418</v>
      </c>
      <c r="J25" s="34">
        <f>SUMIFS('Эффекты технологий'!$N$25:$N$240,'Эффекты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2029'!V25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2029'!B26+'Израиль 2029'!D26+('Израиль 2029'!C26+'Израиль 2029'!F26+'Израиль 2029'!G26)+(0.35*LN(1+0.6*'Ход 2029'!B32)*POWER(MAX(0,1-'Израиль 2029'!I26/10),0.7))))</f>
        <v>9.250644821</v>
      </c>
      <c r="C26" s="12">
        <f>MIN(1,(MIN(1,'Израиль 2029'!C26+'Израиль 2029'!F26+(0.08*LN(1+0.5*'Ход 2029'!C32)*MAX(0,1-('Израиль 2029'!C26+'Израиль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9.250644821</v>
      </c>
      <c r="J26" s="34">
        <f>SUMIFS('Эффекты технологий'!$N$25:$N$240,'Эффекты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2029'!V26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2029'!B27+'Израиль 2029'!D27+('Израиль 2029'!C27+'Израиль 2029'!F27+'Израиль 2029'!G27)+(0.35*LN(1+0.6*'Ход 2029'!B33)*POWER(MAX(0,1-'Израиль 2029'!I27/10),0.7))))</f>
        <v>8.967929939</v>
      </c>
      <c r="C27" s="12">
        <f>MIN(1,(MIN(1,'Израиль 2029'!C27+'Израиль 2029'!F27+(0.08*LN(1+0.5*'Ход 2029'!C33)*MAX(0,1-('Израиль 2029'!C27+'Израиль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8.967929939</v>
      </c>
      <c r="J27" s="34">
        <f>SUMIFS('Эффекты технологий'!$N$25:$N$240,'Эффекты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2029'!B28+'Израиль 2029'!D28+('Израиль 2029'!C28+'Израиль 2029'!F28+'Израиль 2029'!G28)+(0.35*LN(1+0.6*'Ход 2029'!B34)*POWER(MAX(0,1-'Израиль 2029'!I28/10),0.7))))</f>
        <v>9.651144312</v>
      </c>
      <c r="C28" s="12">
        <f>MIN(1,(MIN(1,'Израиль 2029'!C28+'Израиль 2029'!F28+(0.08*LN(1+0.5*'Ход 2029'!C34)*MAX(0,1-('Израиль 2029'!C28+'Израиль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9.651144312</v>
      </c>
      <c r="J28" s="34">
        <f>SUMIFS('Эффекты технологий'!$N$25:$N$240,'Эффекты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2029'!B29+'Израиль 2029'!D29+('Израиль 2029'!C29+'Израиль 2029'!F29+'Израиль 2029'!G29)+(0.35*LN(1+0.6*'Ход 2029'!B35)*POWER(MAX(0,1-'Израиль 2029'!I29/10),0.7))))</f>
        <v>9.451144312</v>
      </c>
      <c r="C29" s="12">
        <f>MIN(1,(MIN(1,'Израиль 2029'!C29+'Израиль 2029'!F29+(0.08*LN(1+0.5*'Ход 2029'!C35)*MAX(0,1-('Израиль 2029'!C29+'Израиль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9.451144312</v>
      </c>
      <c r="J29" s="34">
        <f>SUMIFS('Эффекты технологий'!$N$25:$N$240,'Эффекты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2029'!B30+'Израиль 2029'!D30+('Израиль 2029'!C30+'Израиль 2029'!F30+'Израиль 2029'!G30)+(0.35*LN(1+0.6*'Ход 2029'!B36)*POWER(MAX(0,1-'Израиль 2029'!I30/10),0.7))))</f>
        <v>9.451144312</v>
      </c>
      <c r="C30" s="12">
        <f>MIN(1,(MIN(1,'Израиль 2029'!C30+'Израиль 2029'!F30+(0.08*LN(1+0.5*'Ход 2029'!C36)*MAX(0,1-('Израиль 2029'!C30+'Израиль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9.451144312</v>
      </c>
      <c r="J30" s="34">
        <f>SUMIFS('Эффекты технологий'!$N$25:$N$240,'Эффекты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2029'!B31+'Израиль 2029'!D31+('Израиль 2029'!C31+'Израиль 2029'!F31+'Израиль 2029'!G31)+(0.35*LN(1+0.6*'Ход 2029'!B37)*POWER(MAX(0,1-'Израиль 2029'!I31/10),0.7))))</f>
        <v>8.967929939</v>
      </c>
      <c r="C31" s="12">
        <f>MIN(1,(MIN(1,'Израиль 2029'!C31+'Израиль 2029'!F31+(0.08*LN(1+0.5*'Ход 2029'!C37)*MAX(0,1-('Израиль 2029'!C31+'Израиль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8.967929939</v>
      </c>
      <c r="J31" s="34">
        <f>SUMIFS('Эффекты технологий'!$N$25:$N$240,'Эффекты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2029'!B32+'Израиль 2029'!D32+('Израиль 2029'!C32+'Израиль 2029'!F32+'Израиль 2029'!G32)+(0.35*LN(1+0.6*'Ход 2029'!B38)*POWER(MAX(0,1-'Израиль 2029'!I32/10),0.7))))</f>
        <v>10</v>
      </c>
      <c r="C32" s="12">
        <f>MIN(1,(MIN(1,'Израиль 2029'!C32+'Израиль 2029'!F32+(0.08*LN(1+0.5*'Ход 2029'!C38)*MAX(0,1-('Израиль 2029'!C32+'Израиль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технологий'!$N$25:$N$240,'Эффекты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2029'!B34+'Израиль 2029'!D34+('Израиль 2029'!C34+'Израиль 2029'!F34+'Израиль 2029'!G34)+(0.35*LN(1+0.6*'Ход 2029'!B40)*POWER(MAX(0,1-'Израиль 2029'!I34/10),0.7))))</f>
        <v>10</v>
      </c>
      <c r="C34" s="12">
        <f>MIN(1,(MIN(1,'Израиль 2029'!C34+'Израиль 2029'!F34+(0.08*LN(1+0.5*'Ход 2029'!C40)*MAX(0,1-('Израиль 2029'!C34+'Израиль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технологий'!$N$25:$N$240,'Эффекты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2029'!B35+'Израиль 2029'!D35+('Израиль 2029'!C35+'Израиль 2029'!F35+'Израиль 2029'!G35)+(0.35*LN(1+0.6*'Ход 2029'!B41)*POWER(MAX(0,1-'Израиль 2029'!I35/10),0.7))))</f>
        <v>9.571462758</v>
      </c>
      <c r="C35" s="12">
        <f>MIN(1,(MIN(1,'Израиль 2029'!C35+'Израиль 2029'!F35+(0.08*LN(1+0.5*'Ход 2029'!C41)*MAX(0,1-('Израиль 2029'!C35+'Израиль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9.571462758</v>
      </c>
      <c r="J35" s="34">
        <f>SUMIFS('Эффекты технологий'!$N$25:$N$240,'Эффекты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2029'!B36+'Израиль 2029'!D36+('Израиль 2029'!C36+'Израиль 2029'!F36+'Израиль 2029'!G36)+(0.35*LN(1+0.6*'Ход 2029'!B42)*POWER(MAX(0,1-'Израиль 2029'!I36/10),0.7))))</f>
        <v>9.730938193</v>
      </c>
      <c r="C36" s="12">
        <f>MIN(1,(MIN(1,'Израиль 2029'!C36+'Израиль 2029'!F36+(0.08*LN(1+0.5*'Ход 2029'!C42)*MAX(0,1-('Израиль 2029'!C36+'Израиль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9.730938193</v>
      </c>
      <c r="J36" s="34">
        <f>SUMIFS('Эффекты технологий'!$N$25:$N$240,'Эффекты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2029'!B37+'Израиль 2029'!D37+('Израиль 2029'!C37+'Израиль 2029'!F37+'Израиль 2029'!G37)+(0.35*LN(1+0.6*'Ход 2029'!B43)*POWER(MAX(0,1-'Израиль 2029'!I37/10),0.7))))</f>
        <v>9.230938193</v>
      </c>
      <c r="C37" s="12">
        <f>MIN(1,(MIN(1,'Израиль 2029'!C37+'Израиль 2029'!F37+(0.08*LN(1+0.5*'Ход 2029'!C43)*MAX(0,1-('Израиль 2029'!C37+'Израиль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9.230938193</v>
      </c>
      <c r="J37" s="34">
        <f>SUMIFS('Эффекты технологий'!$N$25:$N$240,'Эффекты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2029'!B38+'Израиль 2029'!D38+('Израиль 2029'!C38+'Израиль 2029'!F38+'Израиль 2029'!G38)+(0.35*LN(1+0.6*'Ход 2029'!B44)*POWER(MAX(0,1-'Израиль 2029'!I38/10),0.7))))</f>
        <v>9.274532837</v>
      </c>
      <c r="C38" s="12">
        <f>MIN(1,(MIN(1,'Израиль 2029'!C38+'Израиль 2029'!F38+(0.08*LN(1+0.5*'Ход 2029'!C44)*MAX(0,1-('Израиль 2029'!C38+'Израиль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9.274532837</v>
      </c>
      <c r="J38" s="34">
        <f>SUMIFS('Эффекты технологий'!$N$25:$N$240,'Эффекты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2029'!B39+'Израиль 2029'!D39+('Израиль 2029'!C39+'Израиль 2029'!F39+'Израиль 2029'!G39)+(0.35*LN(1+0.6*'Ход 2029'!B45)*POWER(MAX(0,1-'Израиль 2029'!I39/10),0.7))))</f>
        <v>9.730938193</v>
      </c>
      <c r="C39" s="12">
        <f>MIN(1,(MIN(1,'Израиль 2029'!C39+'Израиль 2029'!F39+(0.08*LN(1+0.5*'Ход 2029'!C45)*MAX(0,1-('Израиль 2029'!C39+'Израиль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9.730938193</v>
      </c>
      <c r="J39" s="34">
        <f>SUMIFS('Эффекты технологий'!$N$25:$N$240,'Эффекты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2029'!B40+'Израиль 2029'!D40+('Израиль 2029'!C40+'Израиль 2029'!F40+'Израиль 2029'!G40)+(0.35*LN(1+0.6*'Ход 2029'!B46)*POWER(MAX(0,1-'Израиль 2029'!I40/10),0.7))))</f>
        <v>10</v>
      </c>
      <c r="C40" s="12">
        <f>MIN(1,(MIN(1,'Израиль 2029'!C40+'Израиль 2029'!F40+(0.08*LN(1+0.5*'Ход 2029'!C46)*MAX(0,1-('Израиль 2029'!C40+'Израиль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технологий'!$N$25:$N$240,'Эффекты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2029'!B41+'Израиль 2029'!D41+('Израиль 2029'!C41+'Израиль 2029'!F41+'Израиль 2029'!G41)+(0.35*LN(1+0.6*'Ход 2029'!B47)*POWER(MAX(0,1-'Израиль 2029'!I41/10),0.7))))</f>
        <v>10</v>
      </c>
      <c r="C41" s="12">
        <f>MIN(1,(MIN(1,'Израиль 2029'!C41+'Израиль 2029'!F41+(0.08*LN(1+0.5*'Ход 2029'!C47)*MAX(0,1-('Израиль 2029'!C41+'Израиль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технологий'!$N$25:$N$240,'Эффекты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2029'!B42+'Израиль 2029'!D42+('Израиль 2029'!C42+'Израиль 2029'!F42+'Израиль 2029'!G42)+(0.35*LN(1+0.6*'Ход 2029'!B48)*POWER(MAX(0,1-'Израиль 2029'!I42/10),0.7))))</f>
        <v>9.346342686</v>
      </c>
      <c r="C42" s="12">
        <f>MIN(1,(MIN(1,'Израиль 2029'!C42+'Израиль 2029'!F42+(0.08*LN(1+0.5*'Ход 2029'!C48)*MAX(0,1-('Израиль 2029'!C42+'Израиль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9.346342686</v>
      </c>
      <c r="J42" s="34">
        <f>SUMIFS('Эффекты технологий'!$N$25:$N$240,'Эффекты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2029'!B44+'Израиль 2029'!D44+('Израиль 2029'!C44+'Израиль 2029'!F44+'Израиль 2029'!G44)+(0.35*LN(1+0.6*'Ход 2029'!B50)*POWER(MAX(0,1-'Израиль 2029'!I44/10),0.7))))</f>
        <v>9.038640439</v>
      </c>
      <c r="C44" s="12">
        <f>MIN(1,(MIN(1,'Израиль 2029'!C44+'Израиль 2029'!F44+(0.08*LN(1+0.5*'Ход 2029'!C50)*MAX(0,1-('Израиль 2029'!C44+'Израиль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9.038640439</v>
      </c>
      <c r="J44" s="34">
        <f>SUMIFS('Эффекты технологий'!$N$25:$N$240,'Эффекты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2029'!B45+'Израиль 2029'!D45+('Израиль 2029'!C45+'Израиль 2029'!F45+'Израиль 2029'!G45)+(0.35*LN(1+0.6*'Ход 2029'!B51)*POWER(MAX(0,1-'Израиль 2029'!I45/10),0.7))))</f>
        <v>9.082235084</v>
      </c>
      <c r="C45" s="12">
        <f>MIN(1,(MIN(1,'Израиль 2029'!C45+'Израиль 2029'!F45+(0.08*LN(1+0.5*'Ход 2029'!C51)*MAX(0,1-('Израиль 2029'!C45+'Израиль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9.082235084</v>
      </c>
      <c r="J45" s="34">
        <f>SUMIFS('Эффекты технологий'!$N$25:$N$240,'Эффекты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2029'!B46+'Израиль 2029'!D46+('Израиль 2029'!C46+'Израиль 2029'!F46+'Израиль 2029'!G46)+(0.35*LN(1+0.6*'Ход 2029'!B52)*POWER(MAX(0,1-'Израиль 2029'!I46/10),0.7))))</f>
        <v>8.538640439</v>
      </c>
      <c r="C46" s="12">
        <f>MIN(1,(MIN(1,'Израиль 2029'!C46+'Израиль 2029'!F46+(0.08*LN(1+0.5*'Ход 2029'!C52)*MAX(0,1-('Израиль 2029'!C46+'Израиль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8.538640439</v>
      </c>
      <c r="J46" s="34">
        <f>SUMIFS('Эффекты технологий'!$N$25:$N$240,'Эффекты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2029'!B47+'Израиль 2029'!D47+('Израиль 2029'!C47+'Израиль 2029'!F47+'Израиль 2029'!G47)+(0.35*LN(1+0.6*'Ход 2029'!B53)*POWER(MAX(0,1-'Израиль 2029'!I47/10),0.7))))</f>
        <v>8.846342686</v>
      </c>
      <c r="C47" s="12">
        <f>MIN(1,(MIN(1,'Израиль 2029'!C47+'Израиль 2029'!F47+(0.08*LN(1+0.5*'Ход 2029'!C53)*MAX(0,1-('Израиль 2029'!C47+'Израиль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8.846342686</v>
      </c>
      <c r="J47" s="34">
        <f>SUMIFS('Эффекты технологий'!$N$25:$N$240,'Эффекты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2029'!B48+'Израиль 2029'!D48+('Израиль 2029'!C48+'Израиль 2029'!F48+'Израиль 2029'!G48)+(0.35*LN(1+0.6*'Ход 2029'!B54)*POWER(MAX(0,1-'Израиль 2029'!I48/10),0.7))))</f>
        <v>6.846342686</v>
      </c>
      <c r="C48" s="12">
        <f>MIN(1,(MIN(1,'Израиль 2029'!C48+'Израиль 2029'!F48+(0.08*LN(1+0.5*'Ход 2029'!C54)*MAX(0,1-('Израиль 2029'!C48+'Израиль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6.846342686</v>
      </c>
      <c r="J48" s="34">
        <f>SUMIFS('Эффекты технологий'!$N$25:$N$240,'Эффекты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2029'!B49+'Израиль 2029'!D49+('Израиль 2029'!C49+'Израиль 2029'!F49+'Израиль 2029'!G49)+(0.35*LN(1+0.6*'Ход 2029'!B55)*POWER(MAX(0,1-'Израиль 2029'!I49/10),0.7))))</f>
        <v>9.785999467</v>
      </c>
      <c r="C49" s="12">
        <f>MIN(1,(MIN(1,'Израиль 2029'!C49+'Израиль 2029'!F49+(0.08*LN(1+0.5*'Ход 2029'!C55)*MAX(0,1-('Израиль 2029'!C49+'Израиль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9.785999467</v>
      </c>
      <c r="J49" s="34">
        <f>SUMIFS('Эффекты технологий'!$N$25:$N$240,'Эффекты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2029'!B50+'Израиль 2029'!D50+('Израиль 2029'!C50+'Израиль 2029'!F50+'Израиль 2029'!G50)+(0.35*LN(1+0.6*'Ход 2029'!B56)*POWER(MAX(0,1-'Израиль 2029'!I50/10),0.7))))</f>
        <v>9.346342686</v>
      </c>
      <c r="C50" s="12">
        <f>MIN(1,(MIN(1,'Израиль 2029'!C50+'Израиль 2029'!F50+(0.08*LN(1+0.5*'Ход 2029'!C56)*MAX(0,1-('Израиль 2029'!C50+'Израиль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9.346342686</v>
      </c>
      <c r="J50" s="34">
        <f>SUMIFS('Эффекты технологий'!$N$25:$N$240,'Эффекты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2029'!B51+'Израиль 2029'!D51+('Израиль 2029'!C51+'Израиль 2029'!F51+'Израиль 2029'!G51)+(0.35*LN(1+0.6*'Ход 2029'!B57)*POWER(MAX(0,1-'Израиль 2029'!I51/10),0.7))))</f>
        <v>9.038640439</v>
      </c>
      <c r="C51" s="12">
        <f>MIN(1,(MIN(1,'Израиль 2029'!C51+'Израиль 2029'!F51+(0.08*LN(1+0.5*'Ход 2029'!C57)*MAX(0,1-('Израиль 2029'!C51+'Израиль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9.038640439</v>
      </c>
      <c r="J51" s="34">
        <f>SUMIFS('Эффекты технологий'!$N$25:$N$240,'Эффекты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2029'!B53+'Израиль 2029'!D53+('Израиль 2029'!C53+'Израиль 2029'!F53+'Израиль 2029'!G53)+(0.35*LN(1+0.6*'Ход 2029'!B59)*POWER(MAX(0,1-'Израиль 2029'!I53/10),0.7))))</f>
        <v>9.038640439</v>
      </c>
      <c r="C53" s="12">
        <f>MIN(1,(MIN(1,'Израиль 2029'!C53+'Израиль 2029'!F53+(0.08*LN(1+0.5*'Ход 2029'!C59)*MAX(0,1-('Израиль 2029'!C53+'Израиль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9.038640439</v>
      </c>
      <c r="J53" s="34">
        <f>SUMIFS('Эффекты технологий'!$N$25:$N$240,'Эффекты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2029'!B54+'Израиль 2029'!D54+('Израиль 2029'!C54+'Израиль 2029'!F54+'Израиль 2029'!G54)+(0.35*LN(1+0.6*'Ход 2029'!B60)*POWER(MAX(0,1-'Израиль 2029'!I54/10),0.7))))</f>
        <v>9.038640439</v>
      </c>
      <c r="C54" s="12">
        <f>MIN(1,(MIN(1,'Израиль 2029'!C54+'Израиль 2029'!F54+(0.08*LN(1+0.5*'Ход 2029'!C60)*MAX(0,1-('Израиль 2029'!C54+'Израиль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9.038640439</v>
      </c>
      <c r="J54" s="34">
        <f>SUMIFS('Эффекты технологий'!$N$25:$N$240,'Эффекты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2029'!B55+'Израиль 2029'!D55+('Израиль 2029'!C55+'Израиль 2029'!F55+'Израиль 2029'!G55)+(0.35*LN(1+0.6*'Ход 2029'!B61)*POWER(MAX(0,1-'Израиль 2029'!I55/10),0.7))))</f>
        <v>8.038640439</v>
      </c>
      <c r="C55" s="12">
        <f>MIN(1,(MIN(1,'Израиль 2029'!C55+'Израиль 2029'!F55+(0.08*LN(1+0.5*'Ход 2029'!C61)*MAX(0,1-('Израиль 2029'!C55+'Израиль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8.038640439</v>
      </c>
      <c r="J55" s="34">
        <f>SUMIFS('Эффекты технологий'!$N$25:$N$240,'Эффекты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2030'!U6</f>
        <v>94.32198384</v>
      </c>
      <c r="C6" s="12"/>
      <c r="D6" s="12"/>
      <c r="E6" s="12" t="s">
        <v>16</v>
      </c>
      <c r="F6" s="19">
        <f>'Израиль 2030'!K6</f>
        <v>91.41399886</v>
      </c>
      <c r="G6" s="12"/>
      <c r="H6" s="12"/>
      <c r="I6" s="12" t="s">
        <v>16</v>
      </c>
      <c r="J6" s="19">
        <f>'Израиль 2030'!N6</f>
        <v>94.76098141</v>
      </c>
      <c r="K6" s="12"/>
      <c r="L6" s="12"/>
      <c r="M6" s="12" t="s">
        <v>16</v>
      </c>
      <c r="N6" s="19">
        <f>'Израиль 2030'!Q6</f>
        <v>78.306476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94.32198384</v>
      </c>
      <c r="C8" s="12" t="str">
        <f>IF(B8&lt;0,"ПРЕВЫШЕНИЕ","OK")</f>
        <v>OK</v>
      </c>
      <c r="D8" s="12"/>
      <c r="E8" s="12" t="s">
        <v>94</v>
      </c>
      <c r="F8" s="19">
        <f>F6-F7</f>
        <v>91.41399886</v>
      </c>
      <c r="G8" s="12" t="str">
        <f>IF(F8&lt;0,"ПРЕВЫШЕНИЕ","OK")</f>
        <v>OK</v>
      </c>
      <c r="H8" s="12"/>
      <c r="I8" s="12" t="s">
        <v>94</v>
      </c>
      <c r="J8" s="19">
        <f>J6-J7</f>
        <v>94.76098141</v>
      </c>
      <c r="K8" s="12" t="str">
        <f>IF(J8&lt;0,"ПРЕВЫШЕНИЕ","OK")</f>
        <v>OK</v>
      </c>
      <c r="L8" s="12"/>
      <c r="M8" s="12" t="s">
        <v>94</v>
      </c>
      <c r="N8" s="19">
        <f>N6-N7</f>
        <v>78.306476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2030'!V11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2030'!V12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2030'!V13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2030'!V15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2030'!V16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2030'!V17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2030'!V18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2030'!V19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2030'!V20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2030'!V21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2030'!V22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технологий'!N$16</f>
        <v>0</v>
      </c>
      <c r="H25" s="29">
        <f>'Эффекты технологий'!N$17</f>
        <v>0</v>
      </c>
      <c r="I25" s="29">
        <f>'Эффекты технологий'!N$18</f>
        <v>0</v>
      </c>
      <c r="J25" s="30"/>
      <c r="K25" s="12"/>
      <c r="L25" s="12" t="s">
        <v>152</v>
      </c>
      <c r="M25" s="12">
        <f>'Израиль 2030'!V23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2030'!V24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2030'!V25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2030'!V26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IF(G29="","",VLOOKUP(G29,'Технологии'!$A$11:$BF$50,48,FALSE))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IF(G30="","",VLOOKUP(G30,'Технологии'!$A$11:$BF$50,48,FALSE))</f>
        <v/>
      </c>
      <c r="L30" s="12"/>
      <c r="M30" s="12"/>
      <c r="N30" s="30" t="s">
        <v>151</v>
      </c>
      <c r="O30" s="29">
        <f>'Эффекты технологий'!N$13</f>
        <v>0</v>
      </c>
      <c r="P30" s="29">
        <f>'Эффекты технологий'!N$14</f>
        <v>0</v>
      </c>
      <c r="Q30" s="29">
        <f>'Эффекты технологий'!N$15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IF(G31="","",VLOOKUP(G31,'Технологии'!$A$11:$BF$50,48,FALSE))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92.17392184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95.90433414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79.33153583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95.11609391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2030'!B8+'Израиль 2030'!D8+('Израиль 2030'!C8+'Израиль 2030'!F8+'Израиль 2030'!G8)+(0.35*LN(1+0.6*('Ход 2030'!B14*(1+'Эффекты технологий'!N$12)))*POWER(MAX(0,1-'Израиль 2030'!I8/10),0.7))))</f>
        <v>3.449694438</v>
      </c>
      <c r="C8" s="12">
        <f>MIN(1,(MIN(1,'Израиль 2030'!C8+'Израиль 2030'!F8+(0.08*LN(1+0.5*('Ход 2030'!C14*(1+'Эффекты технологий'!N$12)))*MAX(0,1-('Израиль 2030'!C8+'Израиль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3.299694438</v>
      </c>
      <c r="J8" s="34">
        <f>SUMIFS('Эффекты технологий'!$O$25:$O$240,'Эффекты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2030'!B9+'Израиль 2030'!D9+('Израиль 2030'!C9+'Израиль 2030'!F9+'Израиль 2030'!G9)+(0.35*LN(1+0.6*('Ход 2030'!B15*(1+'Эффекты технологий'!N$12)))*POWER(MAX(0,1-'Израиль 2030'!I9/10),0.7))))</f>
        <v>7.610352511</v>
      </c>
      <c r="C9" s="12">
        <f>MIN(1,(MIN(1,'Израиль 2030'!C9+'Израиль 2030'!F9+(0.08*LN(1+0.5*('Ход 2030'!C15*(1+'Эффекты технологий'!N$12)))*MAX(0,1-('Израиль 2030'!C9+'Израиль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7.610352511</v>
      </c>
      <c r="J9" s="34">
        <f>SUMIFS('Эффекты технологий'!$O$25:$O$240,'Эффекты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2030'!B10+'Израиль 2030'!D10+('Израиль 2030'!C10+'Израиль 2030'!F10+'Израиль 2030'!G10)+(0.35*LN(1+0.6*('Ход 2030'!B16*(1+'Эффекты технологий'!N$12)))*POWER(MAX(0,1-'Израиль 2030'!I10/10),0.7))))</f>
        <v>7.284095693</v>
      </c>
      <c r="C10" s="12">
        <f>MIN(1,(MIN(1,'Израиль 2030'!C10+'Израиль 2030'!F10+(0.08*LN(1+0.5*('Ход 2030'!C16*(1+'Эффекты технологий'!N$12)))*MAX(0,1-('Израиль 2030'!C10+'Израиль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7.284095693</v>
      </c>
      <c r="J10" s="34">
        <f>SUMIFS('Эффекты технологий'!$O$25:$O$240,'Эффекты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2030'!B11+'Израиль 2030'!D11+('Израиль 2030'!C11+'Израиль 2030'!F11+'Израиль 2030'!G11)+(0.35*LN(1+0.6*('Ход 2030'!B17*(1+'Эффекты технологий'!N$12)))*POWER(MAX(0,1-'Израиль 2030'!I11/10),0.7))))</f>
        <v>9.301144312</v>
      </c>
      <c r="C11" s="12">
        <f>MIN(1,(MIN(1,'Израиль 2030'!C11+'Израиль 2030'!F11+(0.08*LN(1+0.5*('Ход 2030'!C17*(1+'Эффекты технологий'!N$12)))*MAX(0,1-('Израиль 2030'!C11+'Израиль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9.301144312</v>
      </c>
      <c r="J11" s="34">
        <f>SUMIFS('Эффекты технологий'!$O$25:$O$240,'Эффекты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2030'!L11+'Израиль 2030'!N11+('Израиль 2030'!M11+'Израиль 2030'!P11+'Израиль 2030'!Q11)))</f>
        <v>8.548170985</v>
      </c>
      <c r="M11" s="12">
        <f>MIN(1,(MIN(1,'Израиль 2030'!M11+'Израиль 2030'!P11+(0.1*LN(1+0.5*('Ход 2030'!H13*(1+'Эффекты технологий'!N$10)))*POWER(MAX(0,1-'Израиль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8.548170985</v>
      </c>
      <c r="T11" s="34">
        <f>SUMIFS('Эффекты технологий'!$O$25:$O$240,'Эффекты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2030'!V11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2030'!B12+'Израиль 2030'!D12+('Израиль 2030'!C12+'Израиль 2030'!F12+'Израиль 2030'!G12)+(0.35*LN(1+0.6*('Ход 2030'!B18*(1+'Эффекты технологий'!N$12)))*POWER(MAX(0,1-'Израиль 2030'!I12/10),0.7))))</f>
        <v>3.939599283</v>
      </c>
      <c r="C12" s="12">
        <f>MIN(1,(MIN(1,'Израиль 2030'!C12+'Израиль 2030'!F12+(0.08*LN(1+0.5*('Ход 2030'!C18*(1+'Эффекты технологий'!N$12)))*MAX(0,1-('Израиль 2030'!C12+'Израиль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3.939599283</v>
      </c>
      <c r="J12" s="34">
        <f>SUMIFS('Эффекты технологий'!$O$25:$O$240,'Эффекты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2030'!L12+'Израиль 2030'!N12+('Израиль 2030'!M12+'Израиль 2030'!P12+'Израиль 2030'!Q12)))</f>
        <v>9.236217021</v>
      </c>
      <c r="M12" s="12">
        <f>MIN(1,(MIN(1,'Израиль 2030'!M12+'Израиль 2030'!P12+(0.1*LN(1+0.5*('Ход 2030'!H14*(1+'Эффекты технологий'!N$10)))*POWER(MAX(0,1-'Израиль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9.236217021</v>
      </c>
      <c r="T12" s="34">
        <f>SUMIFS('Эффекты технологий'!$O$25:$O$240,'Эффекты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2030'!V12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2030'!B13+'Израиль 2030'!D13+('Израиль 2030'!C13+'Израиль 2030'!F13+'Израиль 2030'!G13)+(0.35*LN(1+0.6*('Ход 2030'!B19*(1+'Эффекты технологий'!N$12)))*POWER(MAX(0,1-'Израиль 2030'!I13/10),0.7))))</f>
        <v>8.457416947</v>
      </c>
      <c r="C13" s="12">
        <f>MIN(1,(MIN(1,'Израиль 2030'!C13+'Израиль 2030'!F13+(0.08*LN(1+0.5*('Ход 2030'!C19*(1+'Эффекты технологий'!N$12)))*MAX(0,1-('Израиль 2030'!C13+'Израиль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8.457416947</v>
      </c>
      <c r="J13" s="34">
        <f>SUMIFS('Эффекты технологий'!$O$25:$O$240,'Эффекты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2030'!L13+'Израиль 2030'!N13+('Израиль 2030'!M13+'Израиль 2030'!P13+'Израиль 2030'!Q13)))</f>
        <v>9.420630154</v>
      </c>
      <c r="M13" s="12">
        <f>MIN(1,(MIN(1,'Израиль 2030'!M13+'Израиль 2030'!P13+(0.1*LN(1+0.5*('Ход 2030'!H15*(1+'Эффекты технологий'!N$10)))*POWER(MAX(0,1-'Израиль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9.420630154</v>
      </c>
      <c r="T13" s="34">
        <f>SUMIFS('Эффекты технологий'!$O$25:$O$240,'Эффекты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2030'!V13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2030'!B14+'Израиль 2030'!D14+('Израиль 2030'!C14+'Израиль 2030'!F14+'Израиль 2030'!G14)+(0.35*LN(1+0.6*('Ход 2030'!B20*(1+'Эффекты технологий'!N$12)))*POWER(MAX(0,1-'Израиль 2030'!I14/10),0.7))))</f>
        <v>9.506465972</v>
      </c>
      <c r="C14" s="12">
        <f>MIN(1,(MIN(1,'Израиль 2030'!C14+'Израиль 2030'!F14+(0.08*LN(1+0.5*('Ход 2030'!C20*(1+'Эффекты технологий'!N$12)))*MAX(0,1-('Израиль 2030'!C14+'Израиль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технологий'!$O$25:$O$240,'Эффекты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2030'!L14+'Израиль 2030'!N14+('Израиль 2030'!M14+'Израиль 2030'!P14+'Израиль 2030'!Q14)))</f>
        <v>8.746985778</v>
      </c>
      <c r="M14" s="12">
        <f>MIN(1,(MIN(1,'Израиль 2030'!M14+'Израиль 2030'!P14+(0.1*LN(1+0.5*('Ход 2030'!H16*(1+'Эффекты технологий'!N$10)))*POWER(MAX(0,1-'Израиль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8.746985778</v>
      </c>
      <c r="T14" s="34">
        <f>SUMIFS('Эффекты технологий'!$O$25:$O$240,'Эффекты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2030'!V14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2030'!B15+'Израиль 2030'!D15+('Израиль 2030'!C15+'Израиль 2030'!F15+'Израиль 2030'!G15)+(0.35*LN(1+0.6*('Ход 2030'!B21*(1+'Эффекты технологий'!N$12)))*POWER(MAX(0,1-'Израиль 2030'!I15/10),0.7))))</f>
        <v>9.08308418</v>
      </c>
      <c r="C15" s="12">
        <f>MIN(1,(MIN(1,'Израиль 2030'!C15+'Израиль 2030'!F15+(0.08*LN(1+0.5*('Ход 2030'!C21*(1+'Эффекты технологий'!N$12)))*MAX(0,1-('Израиль 2030'!C15+'Израиль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9.08308418</v>
      </c>
      <c r="J15" s="34">
        <f>SUMIFS('Эффекты технологий'!$O$25:$O$240,'Эффекты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2030'!L15+'Израиль 2030'!N15+('Израиль 2030'!M15+'Израиль 2030'!P15+'Израиль 2030'!Q15)))</f>
        <v>9.359850467</v>
      </c>
      <c r="M15" s="12">
        <f>MIN(1,(MIN(1,'Израиль 2030'!M15+'Израиль 2030'!P15+(0.1*LN(1+0.5*('Ход 2030'!H17*(1+'Эффекты технологий'!N$10)))*POWER(MAX(0,1-'Израиль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9.359850467</v>
      </c>
      <c r="T15" s="34">
        <f>SUMIFS('Эффекты технологий'!$O$25:$O$240,'Эффекты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2030'!V15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2030'!B16+'Израиль 2030'!D16+('Израиль 2030'!C16+'Израиль 2030'!F16+'Израиль 2030'!G16)+(0.35*LN(1+0.6*('Ход 2030'!B22*(1+'Эффекты технологий'!N$12)))*POWER(MAX(0,1-'Израиль 2030'!I16/10),0.7))))</f>
        <v>8.934149467</v>
      </c>
      <c r="C16" s="12">
        <f>MIN(1,(MIN(1,'Израиль 2030'!C16+'Израиль 2030'!F16+(0.08*LN(1+0.5*('Ход 2030'!C22*(1+'Эффекты технологий'!N$12)))*MAX(0,1-('Израиль 2030'!C16+'Израиль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8.934149467</v>
      </c>
      <c r="J16" s="34">
        <f>SUMIFS('Эффекты технологий'!$O$25:$O$240,'Эффекты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2030'!L16+'Израиль 2030'!N16+('Израиль 2030'!M16+'Израиль 2030'!P16+'Израиль 2030'!Q16)))</f>
        <v>9.197771495</v>
      </c>
      <c r="M16" s="12">
        <f>MIN(1,(MIN(1,'Израиль 2030'!M16+'Израиль 2030'!P16+(0.1*LN(1+0.5*('Ход 2030'!H18*(1+'Эффекты технологий'!N$10)))*POWER(MAX(0,1-'Израиль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9.197771495</v>
      </c>
      <c r="T16" s="34">
        <f>SUMIFS('Эффекты технологий'!$O$25:$O$240,'Эффекты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2030'!V16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2030'!B17+'Израиль 2030'!D17+('Израиль 2030'!C17+'Израиль 2030'!F17+'Израиль 2030'!G17)+(0.35*LN(1+0.6*('Ход 2030'!B23*(1+'Эффекты технологий'!N$12)))*POWER(MAX(0,1-'Израиль 2030'!I17/10),0.7))))</f>
        <v>8.097130438</v>
      </c>
      <c r="C17" s="12">
        <f>MIN(1,(MIN(1,'Израиль 2030'!C17+'Израиль 2030'!F17+(0.08*LN(1+0.5*('Ход 2030'!C23*(1+'Эффекты технологий'!N$12)))*MAX(0,1-('Израиль 2030'!C17+'Израиль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8.097130438</v>
      </c>
      <c r="J17" s="34">
        <f>SUMIFS('Эффекты технологий'!$O$25:$O$240,'Эффекты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2030'!L17+'Израиль 2030'!N17+('Израиль 2030'!M17+'Израиль 2030'!P17+'Израиль 2030'!Q17)))</f>
        <v>8.724942859</v>
      </c>
      <c r="M17" s="12">
        <f>MIN(1,(MIN(1,'Израиль 2030'!M17+'Израиль 2030'!P17+(0.1*LN(1+0.5*('Ход 2030'!H19*(1+'Эффекты технологий'!N$10)))*POWER(MAX(0,1-'Израиль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8.724942859</v>
      </c>
      <c r="T17" s="34">
        <f>SUMIFS('Эффекты технологий'!$O$25:$O$240,'Эффекты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2030'!V17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2030'!L18+'Израиль 2030'!N18+('Израиль 2030'!M18+'Израиль 2030'!P18+'Израиль 2030'!Q18)))</f>
        <v>8.765868048</v>
      </c>
      <c r="M18" s="12">
        <f>MIN(1,(MIN(1,'Израиль 2030'!M18+'Израиль 2030'!P18+(0.1*LN(1+0.5*('Ход 2030'!H20*(1+'Эффекты технологий'!N$10)))*POWER(MAX(0,1-'Израиль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8.765868048</v>
      </c>
      <c r="T18" s="34">
        <f>SUMIFS('Эффекты технологий'!$O$25:$O$240,'Эффекты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2030'!V18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2030'!B19+'Израиль 2030'!D19+('Израиль 2030'!C19+'Израиль 2030'!F19+'Израиль 2030'!G19)+(0.35*LN(1+0.6*'Ход 2030'!B25)*POWER(MAX(0,1-'Израиль 2030'!I19/10),0.7))))</f>
        <v>9.801144312</v>
      </c>
      <c r="C19" s="12">
        <f>MIN(1,(MIN(1,'Израиль 2030'!C19+'Израиль 2030'!F19+(0.08*LN(1+0.5*'Ход 2030'!C25)*MAX(0,1-('Израиль 2030'!C19+'Израиль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технологий'!$O$25:$O$240,'Эффекты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2030'!V19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2030'!B20+'Израиль 2030'!D20+('Израиль 2030'!C20+'Израиль 2030'!F20+'Израиль 2030'!G20)+(0.35*LN(1+0.6*'Ход 2030'!B26)*POWER(MAX(0,1-'Израиль 2030'!I20/10),0.7))))</f>
        <v>10</v>
      </c>
      <c r="C20" s="12">
        <f>MIN(1,(MIN(1,'Израиль 2030'!C20+'Израиль 2030'!F20+(0.08*LN(1+0.5*'Ход 2030'!C26)*MAX(0,1-('Израиль 2030'!C20+'Израиль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технологий'!$O$25:$O$240,'Эффекты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2030'!V20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2030'!B21+'Израиль 2030'!D21+('Израиль 2030'!C21+'Израиль 2030'!F21+'Израиль 2030'!G21)+(0.35*LN(1+0.6*'Ход 2030'!B27)*POWER(MAX(0,1-'Израиль 2030'!I21/10),0.7))))</f>
        <v>9.911430821</v>
      </c>
      <c r="C21" s="12">
        <f>MIN(1,(MIN(1,'Израиль 2030'!C21+'Израиль 2030'!F21+(0.08*LN(1+0.5*'Ход 2030'!C27)*MAX(0,1-('Израиль 2030'!C21+'Израиль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9.911430821</v>
      </c>
      <c r="J21" s="34">
        <f>SUMIFS('Эффекты технологий'!$O$25:$O$240,'Эффекты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2030'!V21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2030'!B22+'Израиль 2030'!D22+('Израиль 2030'!C22+'Израиль 2030'!F22+'Израиль 2030'!G22)+(0.35*LN(1+0.6*'Ход 2030'!B28)*POWER(MAX(0,1-'Израиль 2030'!I22/10),0.7))))</f>
        <v>10</v>
      </c>
      <c r="C22" s="12">
        <f>MIN(1,(MIN(1,'Израиль 2030'!C22+'Израиль 2030'!F22+(0.08*LN(1+0.5*'Ход 2030'!C28)*MAX(0,1-('Израиль 2030'!C22+'Израиль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технологий'!$O$25:$O$240,'Эффекты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2030'!V22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2030'!B23+'Израиль 2030'!D23+('Израиль 2030'!C23+'Израиль 2030'!F23+'Израиль 2030'!G23)+(0.35*LN(1+0.6*'Ход 2030'!B29)*POWER(MAX(0,1-'Израиль 2030'!I23/10),0.7))))</f>
        <v>10</v>
      </c>
      <c r="C23" s="12">
        <f>MIN(1,(MIN(1,'Израиль 2030'!C23+'Израиль 2030'!F23+(0.08*LN(1+0.5*'Ход 2030'!C29)*MAX(0,1-('Израиль 2030'!C23+'Израиль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технологий'!$O$25:$O$240,'Эффекты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2030'!V23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2030'!V24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2030'!B25+'Израиль 2030'!D25+('Израиль 2030'!C25+'Израиль 2030'!F25+'Израиль 2030'!G25)+(0.35*LN(1+0.6*'Ход 2030'!B31)*POWER(MAX(0,1-'Израиль 2030'!I25/10),0.7))))</f>
        <v>8.58308418</v>
      </c>
      <c r="C25" s="12">
        <f>MIN(1,(MIN(1,'Израиль 2030'!C25+'Израиль 2030'!F25+(0.08*LN(1+0.5*'Ход 2030'!C31)*MAX(0,1-('Израиль 2030'!C25+'Израиль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8.58308418</v>
      </c>
      <c r="J25" s="34">
        <f>SUMIFS('Эффекты технологий'!$O$25:$O$240,'Эффекты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2030'!V25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2030'!B26+'Израиль 2030'!D26+('Израиль 2030'!C26+'Израиль 2030'!F26+'Израиль 2030'!G26)+(0.35*LN(1+0.6*'Ход 2030'!B32)*POWER(MAX(0,1-'Израиль 2030'!I26/10),0.7))))</f>
        <v>9.428216448</v>
      </c>
      <c r="C26" s="12">
        <f>MIN(1,(MIN(1,'Израиль 2030'!C26+'Израиль 2030'!F26+(0.08*LN(1+0.5*'Ход 2030'!C32)*MAX(0,1-('Израиль 2030'!C26+'Израиль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9.428216448</v>
      </c>
      <c r="J26" s="34">
        <f>SUMIFS('Эффекты технологий'!$O$25:$O$240,'Эффекты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2030'!V26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2030'!B27+'Израиль 2030'!D27+('Израиль 2030'!C27+'Израиль 2030'!F27+'Израиль 2030'!G27)+(0.35*LN(1+0.6*'Ход 2030'!B33)*POWER(MAX(0,1-'Израиль 2030'!I27/10),0.7))))</f>
        <v>9.067929939</v>
      </c>
      <c r="C27" s="12">
        <f>MIN(1,(MIN(1,'Израиль 2030'!C27+'Израиль 2030'!F27+(0.08*LN(1+0.5*'Ход 2030'!C33)*MAX(0,1-('Израиль 2030'!C27+'Израиль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9.067929939</v>
      </c>
      <c r="J27" s="34">
        <f>SUMIFS('Эффекты технологий'!$O$25:$O$240,'Эффекты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2030'!B28+'Израиль 2030'!D28+('Израиль 2030'!C28+'Израиль 2030'!F28+'Израиль 2030'!G28)+(0.35*LN(1+0.6*'Ход 2030'!B34)*POWER(MAX(0,1-'Израиль 2030'!I28/10),0.7))))</f>
        <v>9.801144312</v>
      </c>
      <c r="C28" s="12">
        <f>MIN(1,(MIN(1,'Израиль 2030'!C28+'Израиль 2030'!F28+(0.08*LN(1+0.5*'Ход 2030'!C34)*MAX(0,1-('Израиль 2030'!C28+'Израиль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9.801144312</v>
      </c>
      <c r="J28" s="34">
        <f>SUMIFS('Эффекты технологий'!$O$25:$O$240,'Эффекты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2030'!B29+'Израиль 2030'!D29+('Израиль 2030'!C29+'Израиль 2030'!F29+'Израиль 2030'!G29)+(0.35*LN(1+0.6*'Ход 2030'!B35)*POWER(MAX(0,1-'Израиль 2030'!I29/10),0.7))))</f>
        <v>9.551144312</v>
      </c>
      <c r="C29" s="12">
        <f>MIN(1,(MIN(1,'Израиль 2030'!C29+'Израиль 2030'!F29+(0.08*LN(1+0.5*'Ход 2030'!C35)*MAX(0,1-('Израиль 2030'!C29+'Израиль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9.551144312</v>
      </c>
      <c r="J29" s="34">
        <f>SUMIFS('Эффекты технологий'!$O$25:$O$240,'Эффекты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2030'!B30+'Израиль 2030'!D30+('Израиль 2030'!C30+'Израиль 2030'!F30+'Израиль 2030'!G30)+(0.35*LN(1+0.6*'Ход 2030'!B36)*POWER(MAX(0,1-'Израиль 2030'!I30/10),0.7))))</f>
        <v>9.551144312</v>
      </c>
      <c r="C30" s="12">
        <f>MIN(1,(MIN(1,'Израиль 2030'!C30+'Израиль 2030'!F30+(0.08*LN(1+0.5*'Ход 2030'!C36)*MAX(0,1-('Израиль 2030'!C30+'Израиль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9.551144312</v>
      </c>
      <c r="J30" s="34">
        <f>SUMIFS('Эффекты технологий'!$O$25:$O$240,'Эффекты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2030'!B31+'Израиль 2030'!D31+('Израиль 2030'!C31+'Израиль 2030'!F31+'Израиль 2030'!G31)+(0.35*LN(1+0.6*'Ход 2030'!B37)*POWER(MAX(0,1-'Израиль 2030'!I31/10),0.7))))</f>
        <v>9.067929939</v>
      </c>
      <c r="C31" s="12">
        <f>MIN(1,(MIN(1,'Израиль 2030'!C31+'Израиль 2030'!F31+(0.08*LN(1+0.5*'Ход 2030'!C37)*MAX(0,1-('Израиль 2030'!C31+'Израиль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9.067929939</v>
      </c>
      <c r="J31" s="34">
        <f>SUMIFS('Эффекты технологий'!$O$25:$O$240,'Эффекты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2030'!B32+'Израиль 2030'!D32+('Израиль 2030'!C32+'Израиль 2030'!F32+'Израиль 2030'!G32)+(0.35*LN(1+0.6*'Ход 2030'!B38)*POWER(MAX(0,1-'Израиль 2030'!I32/10),0.7))))</f>
        <v>10</v>
      </c>
      <c r="C32" s="12">
        <f>MIN(1,(MIN(1,'Израиль 2030'!C32+'Израиль 2030'!F32+(0.08*LN(1+0.5*'Ход 2030'!C38)*MAX(0,1-('Израиль 2030'!C32+'Израиль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технологий'!$O$25:$O$240,'Эффекты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2030'!B34+'Израиль 2030'!D34+('Израиль 2030'!C34+'Израиль 2030'!F34+'Израиль 2030'!G34)+(0.35*LN(1+0.6*'Ход 2030'!B40)*POWER(MAX(0,1-'Израиль 2030'!I34/10),0.7))))</f>
        <v>10</v>
      </c>
      <c r="C34" s="12">
        <f>MIN(1,(MIN(1,'Израиль 2030'!C34+'Израиль 2030'!F34+(0.08*LN(1+0.5*'Ход 2030'!C40)*MAX(0,1-('Израиль 2030'!C34+'Израиль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технологий'!$O$25:$O$240,'Эффекты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2030'!B35+'Израиль 2030'!D35+('Израиль 2030'!C35+'Израиль 2030'!F35+'Израиль 2030'!G35)+(0.35*LN(1+0.6*'Ход 2030'!B41)*POWER(MAX(0,1-'Израиль 2030'!I35/10),0.7))))</f>
        <v>9.717676238</v>
      </c>
      <c r="C35" s="12">
        <f>MIN(1,(MIN(1,'Израиль 2030'!C35+'Израиль 2030'!F35+(0.08*LN(1+0.5*'Ход 2030'!C41)*MAX(0,1-('Израиль 2030'!C35+'Израиль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9.717676238</v>
      </c>
      <c r="J35" s="34">
        <f>SUMIFS('Эффекты технологий'!$O$25:$O$240,'Эффекты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2030'!B36+'Израиль 2030'!D36+('Израиль 2030'!C36+'Израиль 2030'!F36+'Израиль 2030'!G36)+(0.35*LN(1+0.6*'Ход 2030'!B42)*POWER(MAX(0,1-'Израиль 2030'!I36/10),0.7))))</f>
        <v>9.924584257</v>
      </c>
      <c r="C36" s="12">
        <f>MIN(1,(MIN(1,'Израиль 2030'!C36+'Израиль 2030'!F36+(0.08*LN(1+0.5*'Ход 2030'!C42)*MAX(0,1-('Израиль 2030'!C36+'Израиль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9.924584257</v>
      </c>
      <c r="J36" s="34">
        <f>SUMIFS('Эффекты технологий'!$O$25:$O$240,'Эффекты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2030'!B37+'Израиль 2030'!D37+('Израиль 2030'!C37+'Израиль 2030'!F37+'Израиль 2030'!G37)+(0.35*LN(1+0.6*'Ход 2030'!B43)*POWER(MAX(0,1-'Израиль 2030'!I37/10),0.7))))</f>
        <v>9.424584257</v>
      </c>
      <c r="C37" s="12">
        <f>MIN(1,(MIN(1,'Израиль 2030'!C37+'Израиль 2030'!F37+(0.08*LN(1+0.5*'Ход 2030'!C43)*MAX(0,1-('Израиль 2030'!C37+'Израиль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9.424584257</v>
      </c>
      <c r="J37" s="34">
        <f>SUMIFS('Эффекты технологий'!$O$25:$O$240,'Эффекты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2030'!B38+'Израиль 2030'!D38+('Израиль 2030'!C38+'Израиль 2030'!F38+'Израиль 2030'!G38)+(0.35*LN(1+0.6*'Ход 2030'!B44)*POWER(MAX(0,1-'Израиль 2030'!I38/10),0.7))))</f>
        <v>9.468178901</v>
      </c>
      <c r="C38" s="12">
        <f>MIN(1,(MIN(1,'Израиль 2030'!C38+'Израиль 2030'!F38+(0.08*LN(1+0.5*'Ход 2030'!C44)*MAX(0,1-('Израиль 2030'!C38+'Израиль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9.468178901</v>
      </c>
      <c r="J38" s="34">
        <f>SUMIFS('Эффекты технологий'!$O$25:$O$240,'Эффекты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2030'!B39+'Израиль 2030'!D39+('Израиль 2030'!C39+'Израиль 2030'!F39+'Израиль 2030'!G39)+(0.35*LN(1+0.6*'Ход 2030'!B45)*POWER(MAX(0,1-'Израиль 2030'!I39/10),0.7))))</f>
        <v>9.924584257</v>
      </c>
      <c r="C39" s="12">
        <f>MIN(1,(MIN(1,'Израиль 2030'!C39+'Израиль 2030'!F39+(0.08*LN(1+0.5*'Ход 2030'!C45)*MAX(0,1-('Израиль 2030'!C39+'Израиль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9.924584257</v>
      </c>
      <c r="J39" s="34">
        <f>SUMIFS('Эффекты технологий'!$O$25:$O$240,'Эффекты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2030'!B40+'Израиль 2030'!D40+('Израиль 2030'!C40+'Израиль 2030'!F40+'Израиль 2030'!G40)+(0.35*LN(1+0.6*'Ход 2030'!B46)*POWER(MAX(0,1-'Израиль 2030'!I40/10),0.7))))</f>
        <v>10</v>
      </c>
      <c r="C40" s="12">
        <f>MIN(1,(MIN(1,'Израиль 2030'!C40+'Израиль 2030'!F40+(0.08*LN(1+0.5*'Ход 2030'!C46)*MAX(0,1-('Израиль 2030'!C40+'Израиль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технологий'!$O$25:$O$240,'Эффекты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2030'!B41+'Израиль 2030'!D41+('Израиль 2030'!C41+'Израиль 2030'!F41+'Израиль 2030'!G41)+(0.35*LN(1+0.6*'Ход 2030'!B47)*POWER(MAX(0,1-'Израиль 2030'!I41/10),0.7))))</f>
        <v>10</v>
      </c>
      <c r="C41" s="12">
        <f>MIN(1,(MIN(1,'Израиль 2030'!C41+'Израиль 2030'!F41+(0.08*LN(1+0.5*'Ход 2030'!C47)*MAX(0,1-('Израиль 2030'!C41+'Израиль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технологий'!$O$25:$O$240,'Эффекты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2030'!B42+'Израиль 2030'!D42+('Израиль 2030'!C42+'Израиль 2030'!F42+'Израиль 2030'!G42)+(0.35*LN(1+0.6*'Ход 2030'!B48)*POWER(MAX(0,1-'Израиль 2030'!I42/10),0.7))))</f>
        <v>9.445123581</v>
      </c>
      <c r="C42" s="12">
        <f>MIN(1,(MIN(1,'Израиль 2030'!C42+'Израиль 2030'!F42+(0.08*LN(1+0.5*'Ход 2030'!C48)*MAX(0,1-('Израиль 2030'!C42+'Израиль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9.445123581</v>
      </c>
      <c r="J42" s="34">
        <f>SUMIFS('Эффекты технологий'!$O$25:$O$240,'Эффекты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2030'!B44+'Израиль 2030'!D44+('Израиль 2030'!C44+'Израиль 2030'!F44+'Израиль 2030'!G44)+(0.35*LN(1+0.6*'Ход 2030'!B50)*POWER(MAX(0,1-'Израиль 2030'!I44/10),0.7))))</f>
        <v>9.184853919</v>
      </c>
      <c r="C44" s="12">
        <f>MIN(1,(MIN(1,'Израиль 2030'!C44+'Израиль 2030'!F44+(0.08*LN(1+0.5*'Ход 2030'!C50)*MAX(0,1-('Израиль 2030'!C44+'Израиль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9.184853919</v>
      </c>
      <c r="J44" s="34">
        <f>SUMIFS('Эффекты технологий'!$O$25:$O$240,'Эффекты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2030'!B45+'Израиль 2030'!D45+('Израиль 2030'!C45+'Израиль 2030'!F45+'Израиль 2030'!G45)+(0.35*LN(1+0.6*'Ход 2030'!B51)*POWER(MAX(0,1-'Израиль 2030'!I45/10),0.7))))</f>
        <v>9.228448563</v>
      </c>
      <c r="C45" s="12">
        <f>MIN(1,(MIN(1,'Израиль 2030'!C45+'Израиль 2030'!F45+(0.08*LN(1+0.5*'Ход 2030'!C51)*MAX(0,1-('Израиль 2030'!C45+'Израиль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9.228448563</v>
      </c>
      <c r="J45" s="34">
        <f>SUMIFS('Эффекты технологий'!$O$25:$O$240,'Эффекты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2030'!B46+'Израиль 2030'!D46+('Израиль 2030'!C46+'Израиль 2030'!F46+'Израиль 2030'!G46)+(0.35*LN(1+0.6*'Ход 2030'!B52)*POWER(MAX(0,1-'Израиль 2030'!I46/10),0.7))))</f>
        <v>8.684853919</v>
      </c>
      <c r="C46" s="12">
        <f>MIN(1,(MIN(1,'Израиль 2030'!C46+'Израиль 2030'!F46+(0.08*LN(1+0.5*'Ход 2030'!C52)*MAX(0,1-('Израиль 2030'!C46+'Израиль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8.684853919</v>
      </c>
      <c r="J46" s="34">
        <f>SUMIFS('Эффекты технологий'!$O$25:$O$240,'Эффекты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2030'!B47+'Израиль 2030'!D47+('Израиль 2030'!C47+'Израиль 2030'!F47+'Израиль 2030'!G47)+(0.35*LN(1+0.6*'Ход 2030'!B53)*POWER(MAX(0,1-'Израиль 2030'!I47/10),0.7))))</f>
        <v>8.945123581</v>
      </c>
      <c r="C47" s="12">
        <f>MIN(1,(MIN(1,'Израиль 2030'!C47+'Израиль 2030'!F47+(0.08*LN(1+0.5*'Ход 2030'!C53)*MAX(0,1-('Израиль 2030'!C47+'Израиль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8.945123581</v>
      </c>
      <c r="J47" s="34">
        <f>SUMIFS('Эффекты технологий'!$O$25:$O$240,'Эффекты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2030'!B48+'Израиль 2030'!D48+('Израиль 2030'!C48+'Израиль 2030'!F48+'Израиль 2030'!G48)+(0.35*LN(1+0.6*'Ход 2030'!B54)*POWER(MAX(0,1-'Израиль 2030'!I48/10),0.7))))</f>
        <v>6.945123581</v>
      </c>
      <c r="C48" s="12">
        <f>MIN(1,(MIN(1,'Израиль 2030'!C48+'Израиль 2030'!F48+(0.08*LN(1+0.5*'Ход 2030'!C54)*MAX(0,1-('Израиль 2030'!C48+'Израиль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6.945123581</v>
      </c>
      <c r="J48" s="34">
        <f>SUMIFS('Эффекты технологий'!$O$25:$O$240,'Эффекты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2030'!B49+'Израиль 2030'!D49+('Израиль 2030'!C49+'Израиль 2030'!F49+'Израиль 2030'!G49)+(0.35*LN(1+0.6*'Ход 2030'!B55)*POWER(MAX(0,1-'Израиль 2030'!I49/10),0.7))))</f>
        <v>9.979645531</v>
      </c>
      <c r="C49" s="12">
        <f>MIN(1,(MIN(1,'Израиль 2030'!C49+'Израиль 2030'!F49+(0.08*LN(1+0.5*'Ход 2030'!C55)*MAX(0,1-('Израиль 2030'!C49+'Израиль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9.979645531</v>
      </c>
      <c r="J49" s="34">
        <f>SUMIFS('Эффекты технологий'!$O$25:$O$240,'Эффекты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2030'!B50+'Израиль 2030'!D50+('Израиль 2030'!C50+'Израиль 2030'!F50+'Израиль 2030'!G50)+(0.35*LN(1+0.6*'Ход 2030'!B56)*POWER(MAX(0,1-'Израиль 2030'!I50/10),0.7))))</f>
        <v>9.445123581</v>
      </c>
      <c r="C50" s="12">
        <f>MIN(1,(MIN(1,'Израиль 2030'!C50+'Израиль 2030'!F50+(0.08*LN(1+0.5*'Ход 2030'!C56)*MAX(0,1-('Израиль 2030'!C50+'Израиль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9.445123581</v>
      </c>
      <c r="J50" s="34">
        <f>SUMIFS('Эффекты технологий'!$O$25:$O$240,'Эффекты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2030'!B51+'Израиль 2030'!D51+('Израиль 2030'!C51+'Израиль 2030'!F51+'Израиль 2030'!G51)+(0.35*LN(1+0.6*'Ход 2030'!B57)*POWER(MAX(0,1-'Израиль 2030'!I51/10),0.7))))</f>
        <v>9.184853919</v>
      </c>
      <c r="C51" s="12">
        <f>MIN(1,(MIN(1,'Израиль 2030'!C51+'Израиль 2030'!F51+(0.08*LN(1+0.5*'Ход 2030'!C57)*MAX(0,1-('Израиль 2030'!C51+'Израиль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9.184853919</v>
      </c>
      <c r="J51" s="34">
        <f>SUMIFS('Эффекты технологий'!$O$25:$O$240,'Эффекты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2030'!B53+'Израиль 2030'!D53+('Израиль 2030'!C53+'Израиль 2030'!F53+'Израиль 2030'!G53)+(0.35*LN(1+0.6*'Ход 2030'!B59)*POWER(MAX(0,1-'Израиль 2030'!I53/10),0.7))))</f>
        <v>9.184853919</v>
      </c>
      <c r="C53" s="12">
        <f>MIN(1,(MIN(1,'Израиль 2030'!C53+'Израиль 2030'!F53+(0.08*LN(1+0.5*'Ход 2030'!C59)*MAX(0,1-('Израиль 2030'!C53+'Израиль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9.184853919</v>
      </c>
      <c r="J53" s="34">
        <f>SUMIFS('Эффекты технологий'!$O$25:$O$240,'Эффекты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2030'!B54+'Израиль 2030'!D54+('Израиль 2030'!C54+'Израиль 2030'!F54+'Израиль 2030'!G54)+(0.35*LN(1+0.6*'Ход 2030'!B60)*POWER(MAX(0,1-'Израиль 2030'!I54/10),0.7))))</f>
        <v>9.184853919</v>
      </c>
      <c r="C54" s="12">
        <f>MIN(1,(MIN(1,'Израиль 2030'!C54+'Израиль 2030'!F54+(0.08*LN(1+0.5*'Ход 2030'!C60)*MAX(0,1-('Израиль 2030'!C54+'Израиль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9.184853919</v>
      </c>
      <c r="J54" s="34">
        <f>SUMIFS('Эффекты технологий'!$O$25:$O$240,'Эффекты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2030'!B55+'Израиль 2030'!D55+('Израиль 2030'!C55+'Израиль 2030'!F55+'Израиль 2030'!G55)+(0.35*LN(1+0.6*'Ход 2030'!B61)*POWER(MAX(0,1-'Израиль 2030'!I55/10),0.7))))</f>
        <v>8.184853919</v>
      </c>
      <c r="C55" s="12">
        <f>MIN(1,(MIN(1,'Израиль 2030'!C55+'Израиль 2030'!F55+(0.08*LN(1+0.5*'Ход 2030'!C61)*MAX(0,1-('Израиль 2030'!C55+'Израиль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8.184853919</v>
      </c>
      <c r="J55" s="34">
        <f>SUMIFS('Эффекты технологий'!$O$25:$O$240,'Эффекты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2031'!U6</f>
        <v>95.11609391</v>
      </c>
      <c r="C6" s="12"/>
      <c r="D6" s="12"/>
      <c r="E6" s="12" t="s">
        <v>16</v>
      </c>
      <c r="F6" s="19">
        <f>'Израиль 2031'!K6</f>
        <v>92.17392184</v>
      </c>
      <c r="G6" s="12"/>
      <c r="H6" s="12"/>
      <c r="I6" s="12" t="s">
        <v>16</v>
      </c>
      <c r="J6" s="19">
        <f>'Израиль 2031'!N6</f>
        <v>95.90433414</v>
      </c>
      <c r="K6" s="12"/>
      <c r="L6" s="12"/>
      <c r="M6" s="12" t="s">
        <v>16</v>
      </c>
      <c r="N6" s="19">
        <f>'Израиль 2031'!Q6</f>
        <v>79.33153583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95.11609391</v>
      </c>
      <c r="C8" s="12" t="str">
        <f>IF(B8&lt;0,"ПРЕВЫШЕНИЕ","OK")</f>
        <v>OK</v>
      </c>
      <c r="D8" s="12"/>
      <c r="E8" s="12" t="s">
        <v>94</v>
      </c>
      <c r="F8" s="19">
        <f>F6-F7</f>
        <v>92.17392184</v>
      </c>
      <c r="G8" s="12" t="str">
        <f>IF(F8&lt;0,"ПРЕВЫШЕНИЕ","OK")</f>
        <v>OK</v>
      </c>
      <c r="H8" s="12"/>
      <c r="I8" s="12" t="s">
        <v>94</v>
      </c>
      <c r="J8" s="19">
        <f>J6-J7</f>
        <v>95.90433414</v>
      </c>
      <c r="K8" s="12" t="str">
        <f>IF(J8&lt;0,"ПРЕВЫШЕНИЕ","OK")</f>
        <v>OK</v>
      </c>
      <c r="L8" s="12"/>
      <c r="M8" s="12" t="s">
        <v>94</v>
      </c>
      <c r="N8" s="19">
        <f>N6-N7</f>
        <v>79.33153583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2031'!V11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2031'!V12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2031'!V13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2031'!V14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2031'!V15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2031'!V16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2031'!V17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2031'!V18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2031'!V19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2031'!V20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2031'!V21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2031'!V22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технологий'!O$16</f>
        <v>0</v>
      </c>
      <c r="H25" s="29">
        <f>'Эффекты технологий'!O$17</f>
        <v>0</v>
      </c>
      <c r="I25" s="29">
        <f>'Эффекты технологий'!O$18</f>
        <v>0</v>
      </c>
      <c r="J25" s="30"/>
      <c r="K25" s="12"/>
      <c r="L25" s="12" t="s">
        <v>152</v>
      </c>
      <c r="M25" s="12">
        <f>'Израиль 2031'!V23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2031'!V24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2031'!V25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2031'!V26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IF(G29="","",VLOOKUP(G29,'Технологии'!$A$11:$BF$50,49,FALSE))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IF(G30="","",VLOOKUP(G30,'Технологии'!$A$11:$BF$50,49,FALSE))</f>
        <v/>
      </c>
      <c r="L30" s="12"/>
      <c r="M30" s="12"/>
      <c r="N30" s="30" t="s">
        <v>151</v>
      </c>
      <c r="O30" s="29">
        <f>'Эффекты технологий'!O$13</f>
        <v>0</v>
      </c>
      <c r="P30" s="29">
        <f>'Эффекты технологий'!O$14</f>
        <v>0</v>
      </c>
      <c r="Q30" s="29">
        <f>'Эффекты технологий'!O$15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IF(G31="","",VLOOKUP(G31,'Технологии'!$A$11:$BF$50,49,FALSE))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IF(G32="","",VLOOKUP(G32,'Технологии'!$A$11:$BF$50,49,FALSE))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IF(G33="","",VLOOKUP(G33,'Технологии'!$A$11:$BF$50,49,FALSE))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IF(G34="","",VLOOKUP(G34,'Технологии'!$A$11:$BF$50,49,FALSE))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IF(G35="","",VLOOKUP(G35,'Технологии'!$A$11:$BF$50,49,FALSE))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IF(G36="","",VLOOKUP(G36,'Технологии'!$A$11:$BF$50,49,FALSE))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IF(G37="","",VLOOKUP(G37,'Технологии'!$A$11:$BF$50,49,FALSE))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IF(G38="","",VLOOKUP(G38,'Технологии'!$A$11:$BF$50,49,FALSE))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92.76347944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96.98607142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80.34422329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95.85895267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2031'!B8+'Израиль 2031'!D8+('Израиль 2031'!C8+'Израиль 2031'!F8+'Израиль 2031'!G8)+(0.35*LN(1+0.6*('Ход 2031'!B14*(1+'Эффекты технологий'!O$12)))*POWER(MAX(0,1-'Израиль 2031'!I8/10),0.7))))</f>
        <v>3.499694438</v>
      </c>
      <c r="C8" s="12">
        <f>MIN(1,(MIN(1,'Израиль 2031'!C8+'Израиль 2031'!F8+(0.08*LN(1+0.5*('Ход 2031'!C14*(1+'Эффекты технологий'!O$12)))*MAX(0,1-('Израиль 2031'!C8+'Израиль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3.349694438</v>
      </c>
      <c r="J8" s="34">
        <f>SUMIFS('Эффекты технологий'!$P$25:$P$240,'Эффекты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2031'!B9+'Израиль 2031'!D9+('Израиль 2031'!C9+'Израиль 2031'!F9+'Израиль 2031'!G9)+(0.35*LN(1+0.6*('Ход 2031'!B15*(1+'Эффекты технологий'!O$12)))*POWER(MAX(0,1-'Израиль 2031'!I9/10),0.7))))</f>
        <v>7.710352511</v>
      </c>
      <c r="C9" s="12">
        <f>MIN(1,(MIN(1,'Израиль 2031'!C9+'Израиль 2031'!F9+(0.08*LN(1+0.5*('Ход 2031'!C15*(1+'Эффекты технологий'!O$12)))*MAX(0,1-('Израиль 2031'!C9+'Израиль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7.710352511</v>
      </c>
      <c r="J9" s="34">
        <f>SUMIFS('Эффекты технологий'!$P$25:$P$240,'Эффекты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2031'!B10+'Израиль 2031'!D10+('Израиль 2031'!C10+'Израиль 2031'!F10+'Израиль 2031'!G10)+(0.35*LN(1+0.6*('Ход 2031'!B16*(1+'Эффекты технологий'!O$12)))*POWER(MAX(0,1-'Израиль 2031'!I10/10),0.7))))</f>
        <v>7.42438803</v>
      </c>
      <c r="C10" s="12">
        <f>MIN(1,(MIN(1,'Израиль 2031'!C10+'Израиль 2031'!F10+(0.08*LN(1+0.5*('Ход 2031'!C16*(1+'Эффекты технологий'!O$12)))*MAX(0,1-('Израиль 2031'!C10+'Израиль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7.42438803</v>
      </c>
      <c r="J10" s="34">
        <f>SUMIFS('Эффекты технологий'!$P$25:$P$240,'Эффекты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2031'!B11+'Израиль 2031'!D11+('Израиль 2031'!C11+'Израиль 2031'!F11+'Израиль 2031'!G11)+(0.35*LN(1+0.6*('Ход 2031'!B17*(1+'Эффекты технологий'!O$12)))*POWER(MAX(0,1-'Израиль 2031'!I11/10),0.7))))</f>
        <v>9.351144312</v>
      </c>
      <c r="C11" s="12">
        <f>MIN(1,(MIN(1,'Израиль 2031'!C11+'Израиль 2031'!F11+(0.08*LN(1+0.5*('Ход 2031'!C17*(1+'Эффекты технологий'!O$12)))*MAX(0,1-('Израиль 2031'!C11+'Израиль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9.351144312</v>
      </c>
      <c r="J11" s="34">
        <f>SUMIFS('Эффекты технологий'!$P$25:$P$240,'Эффекты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2031'!L11+'Израиль 2031'!N11+('Израиль 2031'!M11+'Израиль 2031'!P11+'Израиль 2031'!Q11)))</f>
        <v>8.872713731</v>
      </c>
      <c r="M11" s="12">
        <f>MIN(1,(MIN(1,'Израиль 2031'!M11+'Израиль 2031'!P11+(0.1*LN(1+0.5*('Ход 2031'!H13*(1+'Эффекты технологий'!O$10)))*POWER(MAX(0,1-'Израиль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8.872713731</v>
      </c>
      <c r="T11" s="34">
        <f>SUMIFS('Эффекты технологий'!$P$25:$P$240,'Эффекты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2031'!V11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2031'!B12+'Израиль 2031'!D12+('Израиль 2031'!C12+'Израиль 2031'!F12+'Израиль 2031'!G12)+(0.35*LN(1+0.6*('Ход 2031'!B18*(1+'Эффекты технологий'!O$12)))*POWER(MAX(0,1-'Израиль 2031'!I12/10),0.7))))</f>
        <v>3.989599283</v>
      </c>
      <c r="C12" s="12">
        <f>MIN(1,(MIN(1,'Израиль 2031'!C12+'Израиль 2031'!F12+(0.08*LN(1+0.5*('Ход 2031'!C18*(1+'Эффекты технологий'!O$12)))*MAX(0,1-('Израиль 2031'!C12+'Израиль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3.989599283</v>
      </c>
      <c r="J12" s="34">
        <f>SUMIFS('Эффекты технологий'!$P$25:$P$240,'Эффекты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2031'!L12+'Израиль 2031'!N12+('Израиль 2031'!M12+'Израиль 2031'!P12+'Израиль 2031'!Q12)))</f>
        <v>9.495271276</v>
      </c>
      <c r="M12" s="12">
        <f>MIN(1,(MIN(1,'Израиль 2031'!M12+'Израиль 2031'!P12+(0.1*LN(1+0.5*('Ход 2031'!H14*(1+'Эффекты технологий'!O$10)))*POWER(MAX(0,1-'Израиль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9.495271276</v>
      </c>
      <c r="T12" s="34">
        <f>SUMIFS('Эффекты технологий'!$P$25:$P$240,'Эффекты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2031'!V12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2031'!B13+'Израиль 2031'!D13+('Израиль 2031'!C13+'Израиль 2031'!F13+'Израиль 2031'!G13)+(0.35*LN(1+0.6*('Ход 2031'!B19*(1+'Эффекты технологий'!O$12)))*POWER(MAX(0,1-'Израиль 2031'!I13/10),0.7))))</f>
        <v>8.634988575</v>
      </c>
      <c r="C13" s="12">
        <f>MIN(1,(MIN(1,'Израиль 2031'!C13+'Израиль 2031'!F13+(0.08*LN(1+0.5*('Ход 2031'!C19*(1+'Эффекты технологий'!O$12)))*MAX(0,1-('Израиль 2031'!C13+'Израиль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8.634988575</v>
      </c>
      <c r="J13" s="34">
        <f>SUMIFS('Эффекты технологий'!$P$25:$P$240,'Эффекты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2031'!L13+'Израиль 2031'!N13+('Израиль 2031'!M13+'Израиль 2031'!P13+'Израиль 2031'!Q13)))</f>
        <v>9.613287692</v>
      </c>
      <c r="M13" s="12">
        <f>MIN(1,(MIN(1,'Израиль 2031'!M13+'Израиль 2031'!P13+(0.1*LN(1+0.5*('Ход 2031'!H15*(1+'Эффекты технологий'!O$10)))*POWER(MAX(0,1-'Израиль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9.613287692</v>
      </c>
      <c r="T13" s="34">
        <f>SUMIFS('Эффекты технологий'!$P$25:$P$240,'Эффекты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2031'!V13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2031'!B14+'Израиль 2031'!D14+('Израиль 2031'!C14+'Израиль 2031'!F14+'Израиль 2031'!G14)+(0.35*LN(1+0.6*('Ход 2031'!B20*(1+'Эффекты технологий'!O$12)))*POWER(MAX(0,1-'Израиль 2031'!I14/10),0.7))))</f>
        <v>9.70359998</v>
      </c>
      <c r="C14" s="12">
        <f>MIN(1,(MIN(1,'Израиль 2031'!C14+'Израиль 2031'!F14+(0.08*LN(1+0.5*('Ход 2031'!C20*(1+'Эффекты технологий'!O$12)))*MAX(0,1-('Израиль 2031'!C14+'Израиль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технологий'!$P$25:$P$240,'Эффекты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2031'!L14+'Израиль 2031'!N14+('Израиль 2031'!M14+'Израиль 2031'!P14+'Израиль 2031'!Q14)))</f>
        <v>9.008732222</v>
      </c>
      <c r="M14" s="12">
        <f>MIN(1,(MIN(1,'Израиль 2031'!M14+'Израиль 2031'!P14+(0.1*LN(1+0.5*('Ход 2031'!H16*(1+'Эффекты технологий'!O$10)))*POWER(MAX(0,1-'Израиль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9.008732222</v>
      </c>
      <c r="T14" s="34">
        <f>SUMIFS('Эффекты технологий'!$P$25:$P$240,'Эффекты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2031'!V14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2031'!B15+'Израиль 2031'!D15+('Израиль 2031'!C15+'Израиль 2031'!F15+'Израиль 2031'!G15)+(0.35*LN(1+0.6*('Ход 2031'!B21*(1+'Эффекты технологий'!O$12)))*POWER(MAX(0,1-'Израиль 2031'!I15/10),0.7))))</f>
        <v>9.28308418</v>
      </c>
      <c r="C15" s="12">
        <f>MIN(1,(MIN(1,'Израиль 2031'!C15+'Израиль 2031'!F15+(0.08*LN(1+0.5*('Ход 2031'!C21*(1+'Эффекты технологий'!O$12)))*MAX(0,1-('Израиль 2031'!C15+'Израиль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9.28308418</v>
      </c>
      <c r="J15" s="34">
        <f>SUMIFS('Эффекты технологий'!$P$25:$P$240,'Эффекты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2031'!L15+'Израиль 2031'!N15+('Израиль 2031'!M15+'Израиль 2031'!P15+'Израиль 2031'!Q15)))</f>
        <v>9.537313083</v>
      </c>
      <c r="M15" s="12">
        <f>MIN(1,(MIN(1,'Израиль 2031'!M15+'Израиль 2031'!P15+(0.1*LN(1+0.5*('Ход 2031'!H17*(1+'Эффекты технологий'!O$10)))*POWER(MAX(0,1-'Израиль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9.537313083</v>
      </c>
      <c r="T15" s="34">
        <f>SUMIFS('Эффекты технологий'!$P$25:$P$240,'Эффекты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2031'!V15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2031'!B16+'Израиль 2031'!D16+('Израиль 2031'!C16+'Израиль 2031'!F16+'Израиль 2031'!G16)+(0.35*LN(1+0.6*('Ход 2031'!B22*(1+'Эффекты технологий'!O$12)))*POWER(MAX(0,1-'Израиль 2031'!I16/10),0.7))))</f>
        <v>9.109415789</v>
      </c>
      <c r="C16" s="12">
        <f>MIN(1,(MIN(1,'Израиль 2031'!C16+'Израиль 2031'!F16+(0.08*LN(1+0.5*('Ход 2031'!C22*(1+'Эффекты технологий'!O$12)))*MAX(0,1-('Израиль 2031'!C16+'Израиль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9.109415789</v>
      </c>
      <c r="J16" s="34">
        <f>SUMIFS('Эффекты технологий'!$P$25:$P$240,'Эффекты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2031'!L16+'Израиль 2031'!N16+('Израиль 2031'!M16+'Израиль 2031'!P16+'Израиль 2031'!Q16)))</f>
        <v>9.447214369</v>
      </c>
      <c r="M16" s="12">
        <f>MIN(1,(MIN(1,'Израиль 2031'!M16+'Израиль 2031'!P16+(0.1*LN(1+0.5*('Ход 2031'!H18*(1+'Эффекты технологий'!O$10)))*POWER(MAX(0,1-'Израиль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9.447214369</v>
      </c>
      <c r="T16" s="34">
        <f>SUMIFS('Эффекты технологий'!$P$25:$P$240,'Эффекты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2031'!V16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2031'!B17+'Израиль 2031'!D17+('Израиль 2031'!C17+'Израиль 2031'!F17+'Израиль 2031'!G17)+(0.35*LN(1+0.6*('Ход 2031'!B23*(1+'Эффекты технологий'!O$12)))*POWER(MAX(0,1-'Израиль 2031'!I17/10),0.7))))</f>
        <v>8.197130438</v>
      </c>
      <c r="C17" s="12">
        <f>MIN(1,(MIN(1,'Израиль 2031'!C17+'Израиль 2031'!F17+(0.08*LN(1+0.5*('Ход 2031'!C23*(1+'Эффекты технологий'!O$12)))*MAX(0,1-('Израиль 2031'!C17+'Израиль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8.197130438</v>
      </c>
      <c r="J17" s="34">
        <f>SUMIFS('Эффекты технологий'!$P$25:$P$240,'Эффекты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2031'!L17+'Израиль 2031'!N17+('Израиль 2031'!M17+'Израиль 2031'!P17+'Израиль 2031'!Q17)))</f>
        <v>8.981178574</v>
      </c>
      <c r="M17" s="12">
        <f>MIN(1,(MIN(1,'Израиль 2031'!M17+'Израиль 2031'!P17+(0.1*LN(1+0.5*('Ход 2031'!H19*(1+'Эффекты технологий'!O$10)))*POWER(MAX(0,1-'Израиль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8.981178574</v>
      </c>
      <c r="T17" s="34">
        <f>SUMIFS('Эффекты технологий'!$P$25:$P$240,'Эффекты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2031'!V17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2031'!L18+'Израиль 2031'!N18+('Израиль 2031'!M18+'Израиль 2031'!P18+'Израиль 2031'!Q18)))</f>
        <v>9.032335059</v>
      </c>
      <c r="M18" s="12">
        <f>MIN(1,(MIN(1,'Израиль 2031'!M18+'Израиль 2031'!P18+(0.1*LN(1+0.5*('Ход 2031'!H20*(1+'Эффекты технологий'!O$10)))*POWER(MAX(0,1-'Израиль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9.032335059</v>
      </c>
      <c r="T18" s="34">
        <f>SUMIFS('Эффекты технологий'!$P$25:$P$240,'Эффекты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2031'!V18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2031'!B19+'Израиль 2031'!D19+('Израиль 2031'!C19+'Израиль 2031'!F19+'Израиль 2031'!G19)+(0.35*LN(1+0.6*'Ход 2031'!B25)*POWER(MAX(0,1-'Израиль 2031'!I19/10),0.7))))</f>
        <v>9.951144312</v>
      </c>
      <c r="C19" s="12">
        <f>MIN(1,(MIN(1,'Израиль 2031'!C19+'Израиль 2031'!F19+(0.08*LN(1+0.5*'Ход 2031'!C25)*MAX(0,1-('Израиль 2031'!C19+'Израиль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технологий'!$P$25:$P$240,'Эффекты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2031'!V19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2031'!B20+'Израиль 2031'!D20+('Израиль 2031'!C20+'Израиль 2031'!F20+'Израиль 2031'!G20)+(0.35*LN(1+0.6*'Ход 2031'!B26)*POWER(MAX(0,1-'Израиль 2031'!I20/10),0.7))))</f>
        <v>10</v>
      </c>
      <c r="C20" s="12">
        <f>MIN(1,(MIN(1,'Израиль 2031'!C20+'Израиль 2031'!F20+(0.08*LN(1+0.5*'Ход 2031'!C26)*MAX(0,1-('Израиль 2031'!C20+'Израиль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технологий'!$P$25:$P$240,'Эффекты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2031'!V20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2031'!B21+'Израиль 2031'!D21+('Израиль 2031'!C21+'Израиль 2031'!F21+'Израиль 2031'!G21)+(0.35*LN(1+0.6*'Ход 2031'!B27)*POWER(MAX(0,1-'Израиль 2031'!I21/10),0.7))))</f>
        <v>10</v>
      </c>
      <c r="C21" s="12">
        <f>MIN(1,(MIN(1,'Израиль 2031'!C21+'Израиль 2031'!F21+(0.08*LN(1+0.5*'Ход 2031'!C27)*MAX(0,1-('Израиль 2031'!C21+'Израиль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технологий'!$P$25:$P$240,'Эффекты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2031'!V21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2031'!B22+'Израиль 2031'!D22+('Израиль 2031'!C22+'Израиль 2031'!F22+'Израиль 2031'!G22)+(0.35*LN(1+0.6*'Ход 2031'!B28)*POWER(MAX(0,1-'Израиль 2031'!I22/10),0.7))))</f>
        <v>10</v>
      </c>
      <c r="C22" s="12">
        <f>MIN(1,(MIN(1,'Израиль 2031'!C22+'Израиль 2031'!F22+(0.08*LN(1+0.5*'Ход 2031'!C28)*MAX(0,1-('Израиль 2031'!C22+'Израиль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технологий'!$P$25:$P$240,'Эффекты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2031'!V22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2031'!B23+'Израиль 2031'!D23+('Израиль 2031'!C23+'Израиль 2031'!F23+'Израиль 2031'!G23)+(0.35*LN(1+0.6*'Ход 2031'!B29)*POWER(MAX(0,1-'Израиль 2031'!I23/10),0.7))))</f>
        <v>10</v>
      </c>
      <c r="C23" s="12">
        <f>MIN(1,(MIN(1,'Израиль 2031'!C23+'Израиль 2031'!F23+(0.08*LN(1+0.5*'Ход 2031'!C29)*MAX(0,1-('Израиль 2031'!C23+'Израиль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технологий'!$P$25:$P$240,'Эффекты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2031'!V23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2031'!V24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2031'!B25+'Израиль 2031'!D25+('Израиль 2031'!C25+'Израиль 2031'!F25+'Израиль 2031'!G25)+(0.35*LN(1+0.6*'Ход 2031'!B31)*POWER(MAX(0,1-'Израиль 2031'!I25/10),0.7))))</f>
        <v>8.68308418</v>
      </c>
      <c r="C25" s="12">
        <f>MIN(1,(MIN(1,'Израиль 2031'!C25+'Израиль 2031'!F25+(0.08*LN(1+0.5*'Ход 2031'!C31)*MAX(0,1-('Израиль 2031'!C25+'Израиль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8.68308418</v>
      </c>
      <c r="J25" s="34">
        <f>SUMIFS('Эффекты технологий'!$P$25:$P$240,'Эффекты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2031'!V25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2031'!B26+'Израиль 2031'!D26+('Израиль 2031'!C26+'Израиль 2031'!F26+'Израиль 2031'!G26)+(0.35*LN(1+0.6*'Ход 2031'!B32)*POWER(MAX(0,1-'Израиль 2031'!I26/10),0.7))))</f>
        <v>9.605788075</v>
      </c>
      <c r="C26" s="12">
        <f>MIN(1,(MIN(1,'Израиль 2031'!C26+'Израиль 2031'!F26+(0.08*LN(1+0.5*'Ход 2031'!C32)*MAX(0,1-('Израиль 2031'!C26+'Израиль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9.605788075</v>
      </c>
      <c r="J26" s="34">
        <f>SUMIFS('Эффекты технологий'!$P$25:$P$240,'Эффекты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2031'!V26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2031'!B27+'Израиль 2031'!D27+('Израиль 2031'!C27+'Израиль 2031'!F27+'Израиль 2031'!G27)+(0.35*LN(1+0.6*'Ход 2031'!B33)*POWER(MAX(0,1-'Израиль 2031'!I27/10),0.7))))</f>
        <v>9.167929939</v>
      </c>
      <c r="C27" s="12">
        <f>MIN(1,(MIN(1,'Израиль 2031'!C27+'Израиль 2031'!F27+(0.08*LN(1+0.5*'Ход 2031'!C33)*MAX(0,1-('Израиль 2031'!C27+'Израиль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9.167929939</v>
      </c>
      <c r="J27" s="34">
        <f>SUMIFS('Эффекты технологий'!$P$25:$P$240,'Эффекты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2031'!B28+'Израиль 2031'!D28+('Израиль 2031'!C28+'Израиль 2031'!F28+'Израиль 2031'!G28)+(0.35*LN(1+0.6*'Ход 2031'!B34)*POWER(MAX(0,1-'Израиль 2031'!I28/10),0.7))))</f>
        <v>9.951144312</v>
      </c>
      <c r="C28" s="12">
        <f>MIN(1,(MIN(1,'Израиль 2031'!C28+'Израиль 2031'!F28+(0.08*LN(1+0.5*'Ход 2031'!C34)*MAX(0,1-('Израиль 2031'!C28+'Израиль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9.951144312</v>
      </c>
      <c r="J28" s="34">
        <f>SUMIFS('Эффекты технологий'!$P$25:$P$240,'Эффекты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2031'!B29+'Израиль 2031'!D29+('Израиль 2031'!C29+'Израиль 2031'!F29+'Израиль 2031'!G29)+(0.35*LN(1+0.6*'Ход 2031'!B35)*POWER(MAX(0,1-'Израиль 2031'!I29/10),0.7))))</f>
        <v>9.651144312</v>
      </c>
      <c r="C29" s="12">
        <f>MIN(1,(MIN(1,'Израиль 2031'!C29+'Израиль 2031'!F29+(0.08*LN(1+0.5*'Ход 2031'!C35)*MAX(0,1-('Израиль 2031'!C29+'Израиль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9.651144312</v>
      </c>
      <c r="J29" s="34">
        <f>SUMIFS('Эффекты технологий'!$P$25:$P$240,'Эффекты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2031'!B30+'Израиль 2031'!D30+('Израиль 2031'!C30+'Израиль 2031'!F30+'Израиль 2031'!G30)+(0.35*LN(1+0.6*'Ход 2031'!B36)*POWER(MAX(0,1-'Израиль 2031'!I30/10),0.7))))</f>
        <v>9.651144312</v>
      </c>
      <c r="C30" s="12">
        <f>MIN(1,(MIN(1,'Израиль 2031'!C30+'Израиль 2031'!F30+(0.08*LN(1+0.5*'Ход 2031'!C36)*MAX(0,1-('Израиль 2031'!C30+'Израиль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9.651144312</v>
      </c>
      <c r="J30" s="34">
        <f>SUMIFS('Эффекты технологий'!$P$25:$P$240,'Эффекты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2031'!B31+'Израиль 2031'!D31+('Израиль 2031'!C31+'Израиль 2031'!F31+'Израиль 2031'!G31)+(0.35*LN(1+0.6*'Ход 2031'!B37)*POWER(MAX(0,1-'Израиль 2031'!I31/10),0.7))))</f>
        <v>9.167929939</v>
      </c>
      <c r="C31" s="12">
        <f>MIN(1,(MIN(1,'Израиль 2031'!C31+'Израиль 2031'!F31+(0.08*LN(1+0.5*'Ход 2031'!C37)*MAX(0,1-('Израиль 2031'!C31+'Израиль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9.167929939</v>
      </c>
      <c r="J31" s="34">
        <f>SUMIFS('Эффекты технологий'!$P$25:$P$240,'Эффекты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2031'!B32+'Израиль 2031'!D32+('Израиль 2031'!C32+'Израиль 2031'!F32+'Израиль 2031'!G32)+(0.35*LN(1+0.6*'Ход 2031'!B38)*POWER(MAX(0,1-'Израиль 2031'!I32/10),0.7))))</f>
        <v>10</v>
      </c>
      <c r="C32" s="12">
        <f>MIN(1,(MIN(1,'Израиль 2031'!C32+'Израиль 2031'!F32+(0.08*LN(1+0.5*'Ход 2031'!C38)*MAX(0,1-('Израиль 2031'!C32+'Израиль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технологий'!$P$25:$P$240,'Эффекты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2031'!B34+'Израиль 2031'!D34+('Израиль 2031'!C34+'Израиль 2031'!F34+'Израиль 2031'!G34)+(0.35*LN(1+0.6*'Ход 2031'!B40)*POWER(MAX(0,1-'Израиль 2031'!I34/10),0.7))))</f>
        <v>10</v>
      </c>
      <c r="C34" s="12">
        <f>MIN(1,(MIN(1,'Израиль 2031'!C34+'Израиль 2031'!F34+(0.08*LN(1+0.5*'Ход 2031'!C40)*MAX(0,1-('Израиль 2031'!C34+'Израиль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технологий'!$P$25:$P$240,'Эффекты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2031'!B35+'Израиль 2031'!D35+('Израиль 2031'!C35+'Израиль 2031'!F35+'Израиль 2031'!G35)+(0.35*LN(1+0.6*'Ход 2031'!B41)*POWER(MAX(0,1-'Израиль 2031'!I35/10),0.7))))</f>
        <v>9.863889718</v>
      </c>
      <c r="C35" s="12">
        <f>MIN(1,(MIN(1,'Израиль 2031'!C35+'Израиль 2031'!F35+(0.08*LN(1+0.5*'Ход 2031'!C41)*MAX(0,1-('Израиль 2031'!C35+'Израиль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9.863889718</v>
      </c>
      <c r="J35" s="34">
        <f>SUMIFS('Эффекты технологий'!$P$25:$P$240,'Эффекты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2031'!B36+'Израиль 2031'!D36+('Израиль 2031'!C36+'Израиль 2031'!F36+'Израиль 2031'!G36)+(0.35*LN(1+0.6*'Ход 2031'!B42)*POWER(MAX(0,1-'Израиль 2031'!I36/10),0.7))))</f>
        <v>10</v>
      </c>
      <c r="C36" s="12">
        <f>MIN(1,(MIN(1,'Израиль 2031'!C36+'Израиль 2031'!F36+(0.08*LN(1+0.5*'Ход 2031'!C42)*MAX(0,1-('Израиль 2031'!C36+'Израиль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технологий'!$P$25:$P$240,'Эффекты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2031'!B37+'Израиль 2031'!D37+('Израиль 2031'!C37+'Израиль 2031'!F37+'Израиль 2031'!G37)+(0.35*LN(1+0.6*'Ход 2031'!B43)*POWER(MAX(0,1-'Израиль 2031'!I37/10),0.7))))</f>
        <v>9.618230321</v>
      </c>
      <c r="C37" s="12">
        <f>MIN(1,(MIN(1,'Израиль 2031'!C37+'Израиль 2031'!F37+(0.08*LN(1+0.5*'Ход 2031'!C43)*MAX(0,1-('Израиль 2031'!C37+'Израиль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9.618230321</v>
      </c>
      <c r="J37" s="34">
        <f>SUMIFS('Эффекты технологий'!$P$25:$P$240,'Эффекты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2031'!B38+'Израиль 2031'!D38+('Израиль 2031'!C38+'Израиль 2031'!F38+'Израиль 2031'!G38)+(0.35*LN(1+0.6*'Ход 2031'!B44)*POWER(MAX(0,1-'Израиль 2031'!I38/10),0.7))))</f>
        <v>9.661824965</v>
      </c>
      <c r="C38" s="12">
        <f>MIN(1,(MIN(1,'Израиль 2031'!C38+'Израиль 2031'!F38+(0.08*LN(1+0.5*'Ход 2031'!C44)*MAX(0,1-('Израиль 2031'!C38+'Израиль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9.661824965</v>
      </c>
      <c r="J38" s="34">
        <f>SUMIFS('Эффекты технологий'!$P$25:$P$240,'Эффекты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2031'!B39+'Израиль 2031'!D39+('Израиль 2031'!C39+'Израиль 2031'!F39+'Израиль 2031'!G39)+(0.35*LN(1+0.6*'Ход 2031'!B45)*POWER(MAX(0,1-'Израиль 2031'!I39/10),0.7))))</f>
        <v>10</v>
      </c>
      <c r="C39" s="12">
        <f>MIN(1,(MIN(1,'Израиль 2031'!C39+'Израиль 2031'!F39+(0.08*LN(1+0.5*'Ход 2031'!C45)*MAX(0,1-('Израиль 2031'!C39+'Израиль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технологий'!$P$25:$P$240,'Эффекты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2031'!B40+'Израиль 2031'!D40+('Израиль 2031'!C40+'Израиль 2031'!F40+'Израиль 2031'!G40)+(0.35*LN(1+0.6*'Ход 2031'!B46)*POWER(MAX(0,1-'Израиль 2031'!I40/10),0.7))))</f>
        <v>10</v>
      </c>
      <c r="C40" s="12">
        <f>MIN(1,(MIN(1,'Израиль 2031'!C40+'Израиль 2031'!F40+(0.08*LN(1+0.5*'Ход 2031'!C46)*MAX(0,1-('Израиль 2031'!C40+'Израиль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технологий'!$P$25:$P$240,'Эффекты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2031'!B41+'Израиль 2031'!D41+('Израиль 2031'!C41+'Израиль 2031'!F41+'Израиль 2031'!G41)+(0.35*LN(1+0.6*'Ход 2031'!B47)*POWER(MAX(0,1-'Израиль 2031'!I41/10),0.7))))</f>
        <v>10</v>
      </c>
      <c r="C41" s="12">
        <f>MIN(1,(MIN(1,'Израиль 2031'!C41+'Израиль 2031'!F41+(0.08*LN(1+0.5*'Ход 2031'!C47)*MAX(0,1-('Израиль 2031'!C41+'Израиль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технологий'!$P$25:$P$240,'Эффекты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2031'!B42+'Израиль 2031'!D42+('Израиль 2031'!C42+'Израиль 2031'!F42+'Израиль 2031'!G42)+(0.35*LN(1+0.6*'Ход 2031'!B48)*POWER(MAX(0,1-'Израиль 2031'!I42/10),0.7))))</f>
        <v>9.543904477</v>
      </c>
      <c r="C42" s="12">
        <f>MIN(1,(MIN(1,'Израиль 2031'!C42+'Израиль 2031'!F42+(0.08*LN(1+0.5*'Ход 2031'!C48)*MAX(0,1-('Израиль 2031'!C42+'Израиль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9.543904477</v>
      </c>
      <c r="J42" s="34">
        <f>SUMIFS('Эффекты технологий'!$P$25:$P$240,'Эффекты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2031'!B44+'Израиль 2031'!D44+('Израиль 2031'!C44+'Израиль 2031'!F44+'Израиль 2031'!G44)+(0.35*LN(1+0.6*'Ход 2031'!B50)*POWER(MAX(0,1-'Израиль 2031'!I44/10),0.7))))</f>
        <v>9.331067399</v>
      </c>
      <c r="C44" s="12">
        <f>MIN(1,(MIN(1,'Израиль 2031'!C44+'Израиль 2031'!F44+(0.08*LN(1+0.5*'Ход 2031'!C50)*MAX(0,1-('Израиль 2031'!C44+'Израиль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9.331067399</v>
      </c>
      <c r="J44" s="34">
        <f>SUMIFS('Эффекты технологий'!$P$25:$P$240,'Эффекты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2031'!B45+'Израиль 2031'!D45+('Израиль 2031'!C45+'Израиль 2031'!F45+'Израиль 2031'!G45)+(0.35*LN(1+0.6*'Ход 2031'!B51)*POWER(MAX(0,1-'Израиль 2031'!I45/10),0.7))))</f>
        <v>9.374662043</v>
      </c>
      <c r="C45" s="12">
        <f>MIN(1,(MIN(1,'Израиль 2031'!C45+'Израиль 2031'!F45+(0.08*LN(1+0.5*'Ход 2031'!C51)*MAX(0,1-('Израиль 2031'!C45+'Израиль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9.374662043</v>
      </c>
      <c r="J45" s="34">
        <f>SUMIFS('Эффекты технологий'!$P$25:$P$240,'Эффекты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2031'!B46+'Израиль 2031'!D46+('Израиль 2031'!C46+'Израиль 2031'!F46+'Израиль 2031'!G46)+(0.35*LN(1+0.6*'Ход 2031'!B52)*POWER(MAX(0,1-'Израиль 2031'!I46/10),0.7))))</f>
        <v>8.831067399</v>
      </c>
      <c r="C46" s="12">
        <f>MIN(1,(MIN(1,'Израиль 2031'!C46+'Израиль 2031'!F46+(0.08*LN(1+0.5*'Ход 2031'!C52)*MAX(0,1-('Израиль 2031'!C46+'Израиль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8.831067399</v>
      </c>
      <c r="J46" s="34">
        <f>SUMIFS('Эффекты технологий'!$P$25:$P$240,'Эффекты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2031'!B47+'Израиль 2031'!D47+('Израиль 2031'!C47+'Израиль 2031'!F47+'Израиль 2031'!G47)+(0.35*LN(1+0.6*'Ход 2031'!B53)*POWER(MAX(0,1-'Израиль 2031'!I47/10),0.7))))</f>
        <v>9.043904477</v>
      </c>
      <c r="C47" s="12">
        <f>MIN(1,(MIN(1,'Израиль 2031'!C47+'Израиль 2031'!F47+(0.08*LN(1+0.5*'Ход 2031'!C53)*MAX(0,1-('Израиль 2031'!C47+'Израиль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9.043904477</v>
      </c>
      <c r="J47" s="34">
        <f>SUMIFS('Эффекты технологий'!$P$25:$P$240,'Эффекты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2031'!B48+'Израиль 2031'!D48+('Израиль 2031'!C48+'Израиль 2031'!F48+'Израиль 2031'!G48)+(0.35*LN(1+0.6*'Ход 2031'!B54)*POWER(MAX(0,1-'Израиль 2031'!I48/10),0.7))))</f>
        <v>7.043904477</v>
      </c>
      <c r="C48" s="12">
        <f>MIN(1,(MIN(1,'Израиль 2031'!C48+'Израиль 2031'!F48+(0.08*LN(1+0.5*'Ход 2031'!C54)*MAX(0,1-('Израиль 2031'!C48+'Израиль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7.043904477</v>
      </c>
      <c r="J48" s="34">
        <f>SUMIFS('Эффекты технологий'!$P$25:$P$240,'Эффекты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2031'!B49+'Израиль 2031'!D49+('Израиль 2031'!C49+'Израиль 2031'!F49+'Израиль 2031'!G49)+(0.35*LN(1+0.6*'Ход 2031'!B55)*POWER(MAX(0,1-'Израиль 2031'!I49/10),0.7))))</f>
        <v>10</v>
      </c>
      <c r="C49" s="12">
        <f>MIN(1,(MIN(1,'Израиль 2031'!C49+'Израиль 2031'!F49+(0.08*LN(1+0.5*'Ход 2031'!C55)*MAX(0,1-('Израиль 2031'!C49+'Израиль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технологий'!$P$25:$P$240,'Эффекты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2031'!B50+'Израиль 2031'!D50+('Израиль 2031'!C50+'Израиль 2031'!F50+'Израиль 2031'!G50)+(0.35*LN(1+0.6*'Ход 2031'!B56)*POWER(MAX(0,1-'Израиль 2031'!I50/10),0.7))))</f>
        <v>9.543904477</v>
      </c>
      <c r="C50" s="12">
        <f>MIN(1,(MIN(1,'Израиль 2031'!C50+'Израиль 2031'!F50+(0.08*LN(1+0.5*'Ход 2031'!C56)*MAX(0,1-('Израиль 2031'!C50+'Израиль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9.543904477</v>
      </c>
      <c r="J50" s="34">
        <f>SUMIFS('Эффекты технологий'!$P$25:$P$240,'Эффекты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2031'!B51+'Израиль 2031'!D51+('Израиль 2031'!C51+'Израиль 2031'!F51+'Израиль 2031'!G51)+(0.35*LN(1+0.6*'Ход 2031'!B57)*POWER(MAX(0,1-'Израиль 2031'!I51/10),0.7))))</f>
        <v>9.331067399</v>
      </c>
      <c r="C51" s="12">
        <f>MIN(1,(MIN(1,'Израиль 2031'!C51+'Израиль 2031'!F51+(0.08*LN(1+0.5*'Ход 2031'!C57)*MAX(0,1-('Израиль 2031'!C51+'Израиль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9.331067399</v>
      </c>
      <c r="J51" s="34">
        <f>SUMIFS('Эффекты технологий'!$P$25:$P$240,'Эффекты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2031'!B53+'Израиль 2031'!D53+('Израиль 2031'!C53+'Израиль 2031'!F53+'Израиль 2031'!G53)+(0.35*LN(1+0.6*'Ход 2031'!B59)*POWER(MAX(0,1-'Израиль 2031'!I53/10),0.7))))</f>
        <v>9.331067399</v>
      </c>
      <c r="C53" s="12">
        <f>MIN(1,(MIN(1,'Израиль 2031'!C53+'Израиль 2031'!F53+(0.08*LN(1+0.5*'Ход 2031'!C59)*MAX(0,1-('Израиль 2031'!C53+'Израиль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9.331067399</v>
      </c>
      <c r="J53" s="34">
        <f>SUMIFS('Эффекты технологий'!$P$25:$P$240,'Эффекты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2031'!B54+'Израиль 2031'!D54+('Израиль 2031'!C54+'Израиль 2031'!F54+'Израиль 2031'!G54)+(0.35*LN(1+0.6*'Ход 2031'!B60)*POWER(MAX(0,1-'Израиль 2031'!I54/10),0.7))))</f>
        <v>9.331067399</v>
      </c>
      <c r="C54" s="12">
        <f>MIN(1,(MIN(1,'Израиль 2031'!C54+'Израиль 2031'!F54+(0.08*LN(1+0.5*'Ход 2031'!C60)*MAX(0,1-('Израиль 2031'!C54+'Израиль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9.331067399</v>
      </c>
      <c r="J54" s="34">
        <f>SUMIFS('Эффекты технологий'!$P$25:$P$240,'Эффекты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2031'!B55+'Израиль 2031'!D55+('Израиль 2031'!C55+'Израиль 2031'!F55+'Израиль 2031'!G55)+(0.35*LN(1+0.6*'Ход 2031'!B61)*POWER(MAX(0,1-'Израиль 2031'!I55/10),0.7))))</f>
        <v>8.331067399</v>
      </c>
      <c r="C55" s="12">
        <f>MIN(1,(MIN(1,'Израиль 2031'!C55+'Израиль 2031'!F55+(0.08*LN(1+0.5*'Ход 2031'!C61)*MAX(0,1-('Израиль 2031'!C55+'Израиль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8.331067399</v>
      </c>
      <c r="J55" s="34">
        <f>SUMIFS('Эффекты технологий'!$P$25:$P$240,'Эффекты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2032'!U6</f>
        <v>95.85895267</v>
      </c>
      <c r="C6" s="12"/>
      <c r="D6" s="12"/>
      <c r="E6" s="12" t="s">
        <v>16</v>
      </c>
      <c r="F6" s="19">
        <f>'Израиль 2032'!K6</f>
        <v>92.76347944</v>
      </c>
      <c r="G6" s="12"/>
      <c r="H6" s="12"/>
      <c r="I6" s="12" t="s">
        <v>16</v>
      </c>
      <c r="J6" s="19">
        <f>'Израиль 2032'!N6</f>
        <v>96.98607142</v>
      </c>
      <c r="K6" s="12"/>
      <c r="L6" s="12"/>
      <c r="M6" s="12" t="s">
        <v>16</v>
      </c>
      <c r="N6" s="19">
        <f>'Израиль 2032'!Q6</f>
        <v>80.34422329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95.85895267</v>
      </c>
      <c r="C8" s="12" t="str">
        <f>IF(B8&lt;0,"ПРЕВЫШЕНИЕ","OK")</f>
        <v>OK</v>
      </c>
      <c r="D8" s="12"/>
      <c r="E8" s="12" t="s">
        <v>94</v>
      </c>
      <c r="F8" s="19">
        <f>F6-F7</f>
        <v>92.76347944</v>
      </c>
      <c r="G8" s="12" t="str">
        <f>IF(F8&lt;0,"ПРЕВЫШЕНИЕ","OK")</f>
        <v>OK</v>
      </c>
      <c r="H8" s="12"/>
      <c r="I8" s="12" t="s">
        <v>94</v>
      </c>
      <c r="J8" s="19">
        <f>J6-J7</f>
        <v>96.98607142</v>
      </c>
      <c r="K8" s="12" t="str">
        <f>IF(J8&lt;0,"ПРЕВЫШЕНИЕ","OK")</f>
        <v>OK</v>
      </c>
      <c r="L8" s="12"/>
      <c r="M8" s="12" t="s">
        <v>94</v>
      </c>
      <c r="N8" s="19">
        <f>N6-N7</f>
        <v>80.34422329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2032'!V11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2032'!V12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2032'!V13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2032'!V14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2032'!V15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2032'!V16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2032'!V17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2032'!V18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2032'!V19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2032'!V20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2032'!V21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2032'!V22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технологий'!P$16</f>
        <v>0</v>
      </c>
      <c r="H25" s="29">
        <f>'Эффекты технологий'!P$17</f>
        <v>0</v>
      </c>
      <c r="I25" s="29">
        <f>'Эффекты технологий'!P$18</f>
        <v>0</v>
      </c>
      <c r="J25" s="30"/>
      <c r="K25" s="12"/>
      <c r="L25" s="12" t="s">
        <v>152</v>
      </c>
      <c r="M25" s="12">
        <f>'Израиль 2032'!V23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2032'!V24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2032'!V25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2032'!V26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IF(G29="","",VLOOKUP(G29,'Технологии'!$A$11:$BF$50,50,FALSE))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IF(G30="","",VLOOKUP(G30,'Технологии'!$A$11:$BF$50,50,FALSE))</f>
        <v/>
      </c>
      <c r="L30" s="12"/>
      <c r="M30" s="12"/>
      <c r="N30" s="30" t="s">
        <v>151</v>
      </c>
      <c r="O30" s="29">
        <f>'Эффекты технологий'!P$13</f>
        <v>0</v>
      </c>
      <c r="P30" s="29">
        <f>'Эффекты технологий'!P$14</f>
        <v>0</v>
      </c>
      <c r="Q30" s="29">
        <f>'Эффекты технологий'!P$15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IF(G31="","",VLOOKUP(G31,'Технологии'!$A$11:$BF$50,50,FALSE))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IF(G32="","",VLOOKUP(G32,'Технологии'!$A$11:$BF$50,50,FALSE))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IF(G33="","",VLOOKUP(G33,'Технологии'!$A$11:$BF$50,50,FALSE))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IF(G34="","",VLOOKUP(G34,'Технологии'!$A$11:$BF$50,50,FALSE))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IF(G35="","",VLOOKUP(G35,'Технологии'!$A$11:$BF$50,50,FALSE))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IF(G36="","",VLOOKUP(G36,'Технологии'!$A$11:$BF$50,50,FALSE))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IF(G37="","",VLOOKUP(G37,'Технологии'!$A$11:$BF$50,50,FALSE))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IF(G38="","",VLOOKUP(G38,'Технологии'!$A$11:$BF$50,50,FALSE))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93.28322574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98.00986426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81.34503739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96.58296111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2032'!B8+'Израиль 2032'!D8+('Израиль 2032'!C8+'Израиль 2032'!F8+'Израиль 2032'!G8)+(0.35*LN(1+0.6*('Ход 2032'!B14*(1+'Эффекты технологий'!P$12)))*POWER(MAX(0,1-'Израиль 2032'!I8/10),0.7))))</f>
        <v>3.549694438</v>
      </c>
      <c r="C8" s="12">
        <f>MIN(1,(MIN(1,'Израиль 2032'!C8+'Израиль 2032'!F8+(0.08*LN(1+0.5*('Ход 2032'!C14*(1+'Эффекты технологий'!P$12)))*MAX(0,1-('Израиль 2032'!C8+'Израиль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3.399694438</v>
      </c>
      <c r="J8" s="34">
        <f>SUMIFS('Эффекты технологий'!$Q$25:$Q$240,'Эффекты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2032'!B9+'Израиль 2032'!D9+('Израиль 2032'!C9+'Израиль 2032'!F9+'Израиль 2032'!G9)+(0.35*LN(1+0.6*('Ход 2032'!B15*(1+'Эффекты технологий'!P$12)))*POWER(MAX(0,1-'Израиль 2032'!I9/10),0.7))))</f>
        <v>7.810352511</v>
      </c>
      <c r="C9" s="12">
        <f>MIN(1,(MIN(1,'Израиль 2032'!C9+'Израиль 2032'!F9+(0.08*LN(1+0.5*('Ход 2032'!C15*(1+'Эффекты технологий'!P$12)))*MAX(0,1-('Израиль 2032'!C9+'Израиль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7.810352511</v>
      </c>
      <c r="J9" s="34">
        <f>SUMIFS('Эффекты технологий'!$Q$25:$Q$240,'Эффекты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2032'!B10+'Израиль 2032'!D10+('Израиль 2032'!C10+'Израиль 2032'!F10+'Израиль 2032'!G10)+(0.35*LN(1+0.6*('Ход 2032'!B16*(1+'Эффекты технологий'!P$12)))*POWER(MAX(0,1-'Израиль 2032'!I10/10),0.7))))</f>
        <v>7.564680366</v>
      </c>
      <c r="C10" s="12">
        <f>MIN(1,(MIN(1,'Израиль 2032'!C10+'Израиль 2032'!F10+(0.08*LN(1+0.5*('Ход 2032'!C16*(1+'Эффекты технологий'!P$12)))*MAX(0,1-('Израиль 2032'!C10+'Израиль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7.564680366</v>
      </c>
      <c r="J10" s="34">
        <f>SUMIFS('Эффекты технологий'!$Q$25:$Q$240,'Эффекты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2032'!B11+'Израиль 2032'!D11+('Израиль 2032'!C11+'Израиль 2032'!F11+'Израиль 2032'!G11)+(0.35*LN(1+0.6*('Ход 2032'!B17*(1+'Эффекты технологий'!P$12)))*POWER(MAX(0,1-'Израиль 2032'!I11/10),0.7))))</f>
        <v>9.401144312</v>
      </c>
      <c r="C11" s="12">
        <f>MIN(1,(MIN(1,'Израиль 2032'!C11+'Израиль 2032'!F11+(0.08*LN(1+0.5*('Ход 2032'!C17*(1+'Эффекты технологий'!P$12)))*MAX(0,1-('Израиль 2032'!C11+'Израиль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9.401144312</v>
      </c>
      <c r="J11" s="34">
        <f>SUMIFS('Эффекты технологий'!$Q$25:$Q$240,'Эффекты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2032'!L11+'Израиль 2032'!N11+('Израиль 2032'!M11+'Израиль 2032'!P11+'Израиль 2032'!Q11)))</f>
        <v>9.197256477</v>
      </c>
      <c r="M11" s="12">
        <f>MIN(1,(MIN(1,'Израиль 2032'!M11+'Израиль 2032'!P11+(0.1*LN(1+0.5*('Ход 2032'!H13*(1+'Эффекты технологий'!P$10)))*POWER(MAX(0,1-'Израиль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9.197256477</v>
      </c>
      <c r="T11" s="34">
        <f>SUMIFS('Эффекты технологий'!$Q$25:$Q$240,'Эффекты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2032'!V11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2032'!B12+'Израиль 2032'!D12+('Израиль 2032'!C12+'Израиль 2032'!F12+'Израиль 2032'!G12)+(0.35*LN(1+0.6*('Ход 2032'!B18*(1+'Эффекты технологий'!P$12)))*POWER(MAX(0,1-'Израиль 2032'!I12/10),0.7))))</f>
        <v>4.039599283</v>
      </c>
      <c r="C12" s="12">
        <f>MIN(1,(MIN(1,'Израиль 2032'!C12+'Израиль 2032'!F12+(0.08*LN(1+0.5*('Ход 2032'!C18*(1+'Эффекты технологий'!P$12)))*MAX(0,1-('Израиль 2032'!C12+'Израиль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4.039599283</v>
      </c>
      <c r="J12" s="34">
        <f>SUMIFS('Эффекты технологий'!$Q$25:$Q$240,'Эффекты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2032'!L12+'Израиль 2032'!N12+('Израиль 2032'!M12+'Израиль 2032'!P12+'Израиль 2032'!Q12)))</f>
        <v>9.754325532</v>
      </c>
      <c r="M12" s="12">
        <f>MIN(1,(MIN(1,'Израиль 2032'!M12+'Израиль 2032'!P12+(0.1*LN(1+0.5*('Ход 2032'!H14*(1+'Эффекты технологий'!P$10)))*POWER(MAX(0,1-'Израиль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9.754325532</v>
      </c>
      <c r="T12" s="34">
        <f>SUMIFS('Эффекты технологий'!$Q$25:$Q$240,'Эффекты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2032'!V12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2032'!B13+'Израиль 2032'!D13+('Израиль 2032'!C13+'Израиль 2032'!F13+'Израиль 2032'!G13)+(0.35*LN(1+0.6*('Ход 2032'!B19*(1+'Эффекты технологий'!P$12)))*POWER(MAX(0,1-'Израиль 2032'!I13/10),0.7))))</f>
        <v>8.812560202</v>
      </c>
      <c r="C13" s="12">
        <f>MIN(1,(MIN(1,'Израиль 2032'!C13+'Израиль 2032'!F13+(0.08*LN(1+0.5*('Ход 2032'!C19*(1+'Эффекты технологий'!P$12)))*MAX(0,1-('Израиль 2032'!C13+'Израиль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8.812560202</v>
      </c>
      <c r="J13" s="34">
        <f>SUMIFS('Эффекты технологий'!$Q$25:$Q$240,'Эффекты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2032'!L13+'Израиль 2032'!N13+('Израиль 2032'!M13+'Израиль 2032'!P13+'Израиль 2032'!Q13)))</f>
        <v>9.80594523</v>
      </c>
      <c r="M13" s="12">
        <f>MIN(1,(MIN(1,'Израиль 2032'!M13+'Израиль 2032'!P13+(0.1*LN(1+0.5*('Ход 2032'!H15*(1+'Эффекты технологий'!P$10)))*POWER(MAX(0,1-'Израиль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9.80594523</v>
      </c>
      <c r="T13" s="34">
        <f>SUMIFS('Эффекты технологий'!$Q$25:$Q$240,'Эффекты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2032'!V13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2032'!B14+'Израиль 2032'!D14+('Израиль 2032'!C14+'Израиль 2032'!F14+'Израиль 2032'!G14)+(0.35*LN(1+0.6*('Ход 2032'!B20*(1+'Эффекты технологий'!P$12)))*POWER(MAX(0,1-'Израиль 2032'!I14/10),0.7))))</f>
        <v>9.900733988</v>
      </c>
      <c r="C14" s="12">
        <f>MIN(1,(MIN(1,'Израиль 2032'!C14+'Израиль 2032'!F14+(0.08*LN(1+0.5*('Ход 2032'!C20*(1+'Эффекты технологий'!P$12)))*MAX(0,1-('Израиль 2032'!C14+'Израиль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технологий'!$Q$25:$Q$240,'Эффекты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2032'!L14+'Израиль 2032'!N14+('Израиль 2032'!M14+'Израиль 2032'!P14+'Израиль 2032'!Q14)))</f>
        <v>9.270478667</v>
      </c>
      <c r="M14" s="12">
        <f>MIN(1,(MIN(1,'Израиль 2032'!M14+'Израиль 2032'!P14+(0.1*LN(1+0.5*('Ход 2032'!H16*(1+'Эффекты технологий'!P$10)))*POWER(MAX(0,1-'Израиль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9.270478667</v>
      </c>
      <c r="T14" s="34">
        <f>SUMIFS('Эффекты технологий'!$Q$25:$Q$240,'Эффекты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2032'!V14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2032'!B15+'Израиль 2032'!D15+('Израиль 2032'!C15+'Израиль 2032'!F15+'Израиль 2032'!G15)+(0.35*LN(1+0.6*('Ход 2032'!B21*(1+'Эффекты технологий'!P$12)))*POWER(MAX(0,1-'Израиль 2032'!I15/10),0.7))))</f>
        <v>9.48308418</v>
      </c>
      <c r="C15" s="12">
        <f>MIN(1,(MIN(1,'Израиль 2032'!C15+'Израиль 2032'!F15+(0.08*LN(1+0.5*('Ход 2032'!C21*(1+'Эффекты технологий'!P$12)))*MAX(0,1-('Израиль 2032'!C15+'Израиль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9.48308418</v>
      </c>
      <c r="J15" s="34">
        <f>SUMIFS('Эффекты технологий'!$Q$25:$Q$240,'Эффекты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2032'!L15+'Израиль 2032'!N15+('Израиль 2032'!M15+'Израиль 2032'!P15+'Израиль 2032'!Q15)))</f>
        <v>9.7147757</v>
      </c>
      <c r="M15" s="12">
        <f>MIN(1,(MIN(1,'Израиль 2032'!M15+'Израиль 2032'!P15+(0.1*LN(1+0.5*('Ход 2032'!H17*(1+'Эффекты технологий'!P$10)))*POWER(MAX(0,1-'Израиль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9.7147757</v>
      </c>
      <c r="T15" s="34">
        <f>SUMIFS('Эффекты технологий'!$Q$25:$Q$240,'Эффекты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2032'!V15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2032'!B16+'Израиль 2032'!D16+('Израиль 2032'!C16+'Израиль 2032'!F16+'Израиль 2032'!G16)+(0.35*LN(1+0.6*('Ход 2032'!B22*(1+'Эффекты технологий'!P$12)))*POWER(MAX(0,1-'Израиль 2032'!I16/10),0.7))))</f>
        <v>9.284682111</v>
      </c>
      <c r="C16" s="12">
        <f>MIN(1,(MIN(1,'Израиль 2032'!C16+'Израиль 2032'!F16+(0.08*LN(1+0.5*('Ход 2032'!C22*(1+'Эффекты технологий'!P$12)))*MAX(0,1-('Израиль 2032'!C16+'Израиль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9.284682111</v>
      </c>
      <c r="J16" s="34">
        <f>SUMIFS('Эффекты технологий'!$Q$25:$Q$240,'Эффекты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2032'!L16+'Израиль 2032'!N16+('Израиль 2032'!M16+'Израиль 2032'!P16+'Израиль 2032'!Q16)))</f>
        <v>9.696657242</v>
      </c>
      <c r="M16" s="12">
        <f>MIN(1,(MIN(1,'Израиль 2032'!M16+'Израиль 2032'!P16+(0.1*LN(1+0.5*('Ход 2032'!H18*(1+'Эффекты технологий'!P$10)))*POWER(MAX(0,1-'Израиль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9.696657242</v>
      </c>
      <c r="T16" s="34">
        <f>SUMIFS('Эффекты технологий'!$Q$25:$Q$240,'Эффекты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2032'!V16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2032'!B17+'Израиль 2032'!D17+('Израиль 2032'!C17+'Израиль 2032'!F17+'Израиль 2032'!G17)+(0.35*LN(1+0.6*('Ход 2032'!B23*(1+'Эффекты технологий'!P$12)))*POWER(MAX(0,1-'Израиль 2032'!I17/10),0.7))))</f>
        <v>8.297130438</v>
      </c>
      <c r="C17" s="12">
        <f>MIN(1,(MIN(1,'Израиль 2032'!C17+'Израиль 2032'!F17+(0.08*LN(1+0.5*('Ход 2032'!C23*(1+'Эффекты технологий'!P$12)))*MAX(0,1-('Израиль 2032'!C17+'Израиль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8.297130438</v>
      </c>
      <c r="J17" s="34">
        <f>SUMIFS('Эффекты технологий'!$Q$25:$Q$240,'Эффекты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2032'!L17+'Израиль 2032'!N17+('Израиль 2032'!M17+'Израиль 2032'!P17+'Израиль 2032'!Q17)))</f>
        <v>9.237414289</v>
      </c>
      <c r="M17" s="12">
        <f>MIN(1,(MIN(1,'Израиль 2032'!M17+'Израиль 2032'!P17+(0.1*LN(1+0.5*('Ход 2032'!H19*(1+'Эффекты технологий'!P$10)))*POWER(MAX(0,1-'Израиль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9.237414289</v>
      </c>
      <c r="T17" s="34">
        <f>SUMIFS('Эффекты технологий'!$Q$25:$Q$240,'Эффекты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2032'!V17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2032'!L18+'Израиль 2032'!N18+('Израиль 2032'!M18+'Израиль 2032'!P18+'Израиль 2032'!Q18)))</f>
        <v>9.298802071</v>
      </c>
      <c r="M18" s="12">
        <f>MIN(1,(MIN(1,'Израиль 2032'!M18+'Израиль 2032'!P18+(0.1*LN(1+0.5*('Ход 2032'!H20*(1+'Эффекты технологий'!P$10)))*POWER(MAX(0,1-'Израиль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9.298802071</v>
      </c>
      <c r="T18" s="34">
        <f>SUMIFS('Эффекты технологий'!$Q$25:$Q$240,'Эффекты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2032'!V18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2032'!B19+'Израиль 2032'!D19+('Израиль 2032'!C19+'Израиль 2032'!F19+'Израиль 2032'!G19)+(0.35*LN(1+0.6*'Ход 2032'!B25)*POWER(MAX(0,1-'Израиль 2032'!I19/10),0.7))))</f>
        <v>10</v>
      </c>
      <c r="C19" s="12">
        <f>MIN(1,(MIN(1,'Израиль 2032'!C19+'Израиль 2032'!F19+(0.08*LN(1+0.5*'Ход 2032'!C25)*MAX(0,1-('Израиль 2032'!C19+'Израиль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технологий'!$Q$25:$Q$240,'Эффекты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2032'!V19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2032'!B20+'Израиль 2032'!D20+('Израиль 2032'!C20+'Израиль 2032'!F20+'Израиль 2032'!G20)+(0.35*LN(1+0.6*'Ход 2032'!B26)*POWER(MAX(0,1-'Израиль 2032'!I20/10),0.7))))</f>
        <v>10</v>
      </c>
      <c r="C20" s="12">
        <f>MIN(1,(MIN(1,'Израиль 2032'!C20+'Израиль 2032'!F20+(0.08*LN(1+0.5*'Ход 2032'!C26)*MAX(0,1-('Израиль 2032'!C20+'Израиль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технологий'!$Q$25:$Q$240,'Эффекты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2032'!V20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2032'!B21+'Израиль 2032'!D21+('Израиль 2032'!C21+'Израиль 2032'!F21+'Израиль 2032'!G21)+(0.35*LN(1+0.6*'Ход 2032'!B27)*POWER(MAX(0,1-'Израиль 2032'!I21/10),0.7))))</f>
        <v>10</v>
      </c>
      <c r="C21" s="12">
        <f>MIN(1,(MIN(1,'Израиль 2032'!C21+'Израиль 2032'!F21+(0.08*LN(1+0.5*'Ход 2032'!C27)*MAX(0,1-('Израиль 2032'!C21+'Израиль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технологий'!$Q$25:$Q$240,'Эффекты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2032'!V21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2032'!B22+'Израиль 2032'!D22+('Израиль 2032'!C22+'Израиль 2032'!F22+'Израиль 2032'!G22)+(0.35*LN(1+0.6*'Ход 2032'!B28)*POWER(MAX(0,1-'Израиль 2032'!I22/10),0.7))))</f>
        <v>10</v>
      </c>
      <c r="C22" s="12">
        <f>MIN(1,(MIN(1,'Израиль 2032'!C22+'Израиль 2032'!F22+(0.08*LN(1+0.5*'Ход 2032'!C28)*MAX(0,1-('Израиль 2032'!C22+'Израиль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технологий'!$Q$25:$Q$240,'Эффекты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2032'!V22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2032'!B23+'Израиль 2032'!D23+('Израиль 2032'!C23+'Израиль 2032'!F23+'Израиль 2032'!G23)+(0.35*LN(1+0.6*'Ход 2032'!B29)*POWER(MAX(0,1-'Израиль 2032'!I23/10),0.7))))</f>
        <v>10</v>
      </c>
      <c r="C23" s="12">
        <f>MIN(1,(MIN(1,'Израиль 2032'!C23+'Израиль 2032'!F23+(0.08*LN(1+0.5*'Ход 2032'!C29)*MAX(0,1-('Израиль 2032'!C23+'Израиль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технологий'!$Q$25:$Q$240,'Эффекты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2032'!V23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2032'!V24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2032'!B25+'Израиль 2032'!D25+('Израиль 2032'!C25+'Израиль 2032'!F25+'Израиль 2032'!G25)+(0.35*LN(1+0.6*'Ход 2032'!B31)*POWER(MAX(0,1-'Израиль 2032'!I25/10),0.7))))</f>
        <v>8.78308418</v>
      </c>
      <c r="C25" s="12">
        <f>MIN(1,(MIN(1,'Израиль 2032'!C25+'Израиль 2032'!F25+(0.08*LN(1+0.5*'Ход 2032'!C31)*MAX(0,1-('Израиль 2032'!C25+'Израиль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8.78308418</v>
      </c>
      <c r="J25" s="34">
        <f>SUMIFS('Эффекты технологий'!$Q$25:$Q$240,'Эффекты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2032'!V25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2032'!B26+'Израиль 2032'!D26+('Израиль 2032'!C26+'Израиль 2032'!F26+'Израиль 2032'!G26)+(0.35*LN(1+0.6*'Ход 2032'!B32)*POWER(MAX(0,1-'Израиль 2032'!I26/10),0.7))))</f>
        <v>9.783359703</v>
      </c>
      <c r="C26" s="12">
        <f>MIN(1,(MIN(1,'Израиль 2032'!C26+'Израиль 2032'!F26+(0.08*LN(1+0.5*'Ход 2032'!C32)*MAX(0,1-('Израиль 2032'!C26+'Израиль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9.783359703</v>
      </c>
      <c r="J26" s="34">
        <f>SUMIFS('Эффекты технологий'!$Q$25:$Q$240,'Эффекты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2032'!V26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2032'!B27+'Израиль 2032'!D27+('Израиль 2032'!C27+'Израиль 2032'!F27+'Израиль 2032'!G27)+(0.35*LN(1+0.6*'Ход 2032'!B33)*POWER(MAX(0,1-'Израиль 2032'!I27/10),0.7))))</f>
        <v>9.267929939</v>
      </c>
      <c r="C27" s="12">
        <f>MIN(1,(MIN(1,'Израиль 2032'!C27+'Израиль 2032'!F27+(0.08*LN(1+0.5*'Ход 2032'!C33)*MAX(0,1-('Израиль 2032'!C27+'Израиль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9.267929939</v>
      </c>
      <c r="J27" s="34">
        <f>SUMIFS('Эффекты технологий'!$Q$25:$Q$240,'Эффекты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2032'!B28+'Израиль 2032'!D28+('Израиль 2032'!C28+'Израиль 2032'!F28+'Израиль 2032'!G28)+(0.35*LN(1+0.6*'Ход 2032'!B34)*POWER(MAX(0,1-'Израиль 2032'!I28/10),0.7))))</f>
        <v>10</v>
      </c>
      <c r="C28" s="12">
        <f>MIN(1,(MIN(1,'Израиль 2032'!C28+'Израиль 2032'!F28+(0.08*LN(1+0.5*'Ход 2032'!C34)*MAX(0,1-('Израиль 2032'!C28+'Израиль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технологий'!$Q$25:$Q$240,'Эффекты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2032'!B29+'Израиль 2032'!D29+('Израиль 2032'!C29+'Израиль 2032'!F29+'Израиль 2032'!G29)+(0.35*LN(1+0.6*'Ход 2032'!B35)*POWER(MAX(0,1-'Израиль 2032'!I29/10),0.7))))</f>
        <v>9.751144312</v>
      </c>
      <c r="C29" s="12">
        <f>MIN(1,(MIN(1,'Израиль 2032'!C29+'Израиль 2032'!F29+(0.08*LN(1+0.5*'Ход 2032'!C35)*MAX(0,1-('Израиль 2032'!C29+'Израиль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9.751144312</v>
      </c>
      <c r="J29" s="34">
        <f>SUMIFS('Эффекты технологий'!$Q$25:$Q$240,'Эффекты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2032'!B30+'Израиль 2032'!D30+('Израиль 2032'!C30+'Израиль 2032'!F30+'Израиль 2032'!G30)+(0.35*LN(1+0.6*'Ход 2032'!B36)*POWER(MAX(0,1-'Израиль 2032'!I30/10),0.7))))</f>
        <v>9.751144312</v>
      </c>
      <c r="C30" s="12">
        <f>MIN(1,(MIN(1,'Израиль 2032'!C30+'Израиль 2032'!F30+(0.08*LN(1+0.5*'Ход 2032'!C36)*MAX(0,1-('Израиль 2032'!C30+'Израиль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9.751144312</v>
      </c>
      <c r="J30" s="34">
        <f>SUMIFS('Эффекты технологий'!$Q$25:$Q$240,'Эффекты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2032'!B31+'Израиль 2032'!D31+('Израиль 2032'!C31+'Израиль 2032'!F31+'Израиль 2032'!G31)+(0.35*LN(1+0.6*'Ход 2032'!B37)*POWER(MAX(0,1-'Израиль 2032'!I31/10),0.7))))</f>
        <v>9.267929939</v>
      </c>
      <c r="C31" s="12">
        <f>MIN(1,(MIN(1,'Израиль 2032'!C31+'Израиль 2032'!F31+(0.08*LN(1+0.5*'Ход 2032'!C37)*MAX(0,1-('Израиль 2032'!C31+'Израиль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9.267929939</v>
      </c>
      <c r="J31" s="34">
        <f>SUMIFS('Эффекты технологий'!$Q$25:$Q$240,'Эффекты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2032'!B32+'Израиль 2032'!D32+('Израиль 2032'!C32+'Израиль 2032'!F32+'Израиль 2032'!G32)+(0.35*LN(1+0.6*'Ход 2032'!B38)*POWER(MAX(0,1-'Израиль 2032'!I32/10),0.7))))</f>
        <v>10</v>
      </c>
      <c r="C32" s="12">
        <f>MIN(1,(MIN(1,'Израиль 2032'!C32+'Израиль 2032'!F32+(0.08*LN(1+0.5*'Ход 2032'!C38)*MAX(0,1-('Израиль 2032'!C32+'Израиль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технологий'!$Q$25:$Q$240,'Эффекты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2032'!B34+'Израиль 2032'!D34+('Израиль 2032'!C34+'Израиль 2032'!F34+'Израиль 2032'!G34)+(0.35*LN(1+0.6*'Ход 2032'!B40)*POWER(MAX(0,1-'Израиль 2032'!I34/10),0.7))))</f>
        <v>10</v>
      </c>
      <c r="C34" s="12">
        <f>MIN(1,(MIN(1,'Израиль 2032'!C34+'Израиль 2032'!F34+(0.08*LN(1+0.5*'Ход 2032'!C40)*MAX(0,1-('Израиль 2032'!C34+'Израиль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технологий'!$Q$25:$Q$240,'Эффекты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2032'!B35+'Израиль 2032'!D35+('Израиль 2032'!C35+'Израиль 2032'!F35+'Израиль 2032'!G35)+(0.35*LN(1+0.6*'Ход 2032'!B41)*POWER(MAX(0,1-'Израиль 2032'!I35/10),0.7))))</f>
        <v>10</v>
      </c>
      <c r="C35" s="12">
        <f>MIN(1,(MIN(1,'Израиль 2032'!C35+'Израиль 2032'!F35+(0.08*LN(1+0.5*'Ход 2032'!C41)*MAX(0,1-('Израиль 2032'!C35+'Израиль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технологий'!$Q$25:$Q$240,'Эффекты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2032'!B36+'Израиль 2032'!D36+('Израиль 2032'!C36+'Израиль 2032'!F36+'Израиль 2032'!G36)+(0.35*LN(1+0.6*'Ход 2032'!B42)*POWER(MAX(0,1-'Израиль 2032'!I36/10),0.7))))</f>
        <v>10</v>
      </c>
      <c r="C36" s="12">
        <f>MIN(1,(MIN(1,'Израиль 2032'!C36+'Израиль 2032'!F36+(0.08*LN(1+0.5*'Ход 2032'!C42)*MAX(0,1-('Израиль 2032'!C36+'Израиль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технологий'!$Q$25:$Q$240,'Эффекты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2032'!B37+'Израиль 2032'!D37+('Израиль 2032'!C37+'Израиль 2032'!F37+'Израиль 2032'!G37)+(0.35*LN(1+0.6*'Ход 2032'!B43)*POWER(MAX(0,1-'Израиль 2032'!I37/10),0.7))))</f>
        <v>9.811876386</v>
      </c>
      <c r="C37" s="12">
        <f>MIN(1,(MIN(1,'Израиль 2032'!C37+'Израиль 2032'!F37+(0.08*LN(1+0.5*'Ход 2032'!C43)*MAX(0,1-('Израиль 2032'!C37+'Израиль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9.811876386</v>
      </c>
      <c r="J37" s="34">
        <f>SUMIFS('Эффекты технологий'!$Q$25:$Q$240,'Эффекты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2032'!B38+'Израиль 2032'!D38+('Израиль 2032'!C38+'Израиль 2032'!F38+'Израиль 2032'!G38)+(0.35*LN(1+0.6*'Ход 2032'!B44)*POWER(MAX(0,1-'Израиль 2032'!I38/10),0.7))))</f>
        <v>9.85547103</v>
      </c>
      <c r="C38" s="12">
        <f>MIN(1,(MIN(1,'Израиль 2032'!C38+'Израиль 2032'!F38+(0.08*LN(1+0.5*'Ход 2032'!C44)*MAX(0,1-('Израиль 2032'!C38+'Израиль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9.85547103</v>
      </c>
      <c r="J38" s="34">
        <f>SUMIFS('Эффекты технологий'!$Q$25:$Q$240,'Эффекты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2032'!B39+'Израиль 2032'!D39+('Израиль 2032'!C39+'Израиль 2032'!F39+'Израиль 2032'!G39)+(0.35*LN(1+0.6*'Ход 2032'!B45)*POWER(MAX(0,1-'Израиль 2032'!I39/10),0.7))))</f>
        <v>10</v>
      </c>
      <c r="C39" s="12">
        <f>MIN(1,(MIN(1,'Израиль 2032'!C39+'Израиль 2032'!F39+(0.08*LN(1+0.5*'Ход 2032'!C45)*MAX(0,1-('Израиль 2032'!C39+'Израиль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технологий'!$Q$25:$Q$240,'Эффекты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2032'!B40+'Израиль 2032'!D40+('Израиль 2032'!C40+'Израиль 2032'!F40+'Израиль 2032'!G40)+(0.35*LN(1+0.6*'Ход 2032'!B46)*POWER(MAX(0,1-'Израиль 2032'!I40/10),0.7))))</f>
        <v>10</v>
      </c>
      <c r="C40" s="12">
        <f>MIN(1,(MIN(1,'Израиль 2032'!C40+'Израиль 2032'!F40+(0.08*LN(1+0.5*'Ход 2032'!C46)*MAX(0,1-('Израиль 2032'!C40+'Израиль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технологий'!$Q$25:$Q$240,'Эффекты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2032'!B41+'Израиль 2032'!D41+('Израиль 2032'!C41+'Израиль 2032'!F41+'Израиль 2032'!G41)+(0.35*LN(1+0.6*'Ход 2032'!B47)*POWER(MAX(0,1-'Израиль 2032'!I41/10),0.7))))</f>
        <v>10</v>
      </c>
      <c r="C41" s="12">
        <f>MIN(1,(MIN(1,'Израиль 2032'!C41+'Израиль 2032'!F41+(0.08*LN(1+0.5*'Ход 2032'!C47)*MAX(0,1-('Израиль 2032'!C41+'Израиль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технологий'!$Q$25:$Q$240,'Эффекты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2032'!B42+'Израиль 2032'!D42+('Израиль 2032'!C42+'Израиль 2032'!F42+'Израиль 2032'!G42)+(0.35*LN(1+0.6*'Ход 2032'!B48)*POWER(MAX(0,1-'Израиль 2032'!I42/10),0.7))))</f>
        <v>9.642685372</v>
      </c>
      <c r="C42" s="12">
        <f>MIN(1,(MIN(1,'Израиль 2032'!C42+'Израиль 2032'!F42+(0.08*LN(1+0.5*'Ход 2032'!C48)*MAX(0,1-('Израиль 2032'!C42+'Израиль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9.642685372</v>
      </c>
      <c r="J42" s="34">
        <f>SUMIFS('Эффекты технологий'!$Q$25:$Q$240,'Эффекты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2032'!B44+'Израиль 2032'!D44+('Израиль 2032'!C44+'Израиль 2032'!F44+'Израиль 2032'!G44)+(0.35*LN(1+0.6*'Ход 2032'!B50)*POWER(MAX(0,1-'Израиль 2032'!I44/10),0.7))))</f>
        <v>9.477280879</v>
      </c>
      <c r="C44" s="12">
        <f>MIN(1,(MIN(1,'Израиль 2032'!C44+'Израиль 2032'!F44+(0.08*LN(1+0.5*'Ход 2032'!C50)*MAX(0,1-('Израиль 2032'!C44+'Израиль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9.477280879</v>
      </c>
      <c r="J44" s="34">
        <f>SUMIFS('Эффекты технологий'!$Q$25:$Q$240,'Эффекты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2032'!B45+'Израиль 2032'!D45+('Израиль 2032'!C45+'Израиль 2032'!F45+'Израиль 2032'!G45)+(0.35*LN(1+0.6*'Ход 2032'!B51)*POWER(MAX(0,1-'Израиль 2032'!I45/10),0.7))))</f>
        <v>9.520875523</v>
      </c>
      <c r="C45" s="12">
        <f>MIN(1,(MIN(1,'Израиль 2032'!C45+'Израиль 2032'!F45+(0.08*LN(1+0.5*'Ход 2032'!C51)*MAX(0,1-('Израиль 2032'!C45+'Израиль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9.520875523</v>
      </c>
      <c r="J45" s="34">
        <f>SUMIFS('Эффекты технологий'!$Q$25:$Q$240,'Эффекты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2032'!B46+'Израиль 2032'!D46+('Израиль 2032'!C46+'Израиль 2032'!F46+'Израиль 2032'!G46)+(0.35*LN(1+0.6*'Ход 2032'!B52)*POWER(MAX(0,1-'Израиль 2032'!I46/10),0.7))))</f>
        <v>8.977280879</v>
      </c>
      <c r="C46" s="12">
        <f>MIN(1,(MIN(1,'Израиль 2032'!C46+'Израиль 2032'!F46+(0.08*LN(1+0.5*'Ход 2032'!C52)*MAX(0,1-('Израиль 2032'!C46+'Израиль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8.977280879</v>
      </c>
      <c r="J46" s="34">
        <f>SUMIFS('Эффекты технологий'!$Q$25:$Q$240,'Эффекты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2032'!B47+'Израиль 2032'!D47+('Израиль 2032'!C47+'Израиль 2032'!F47+'Израиль 2032'!G47)+(0.35*LN(1+0.6*'Ход 2032'!B53)*POWER(MAX(0,1-'Израиль 2032'!I47/10),0.7))))</f>
        <v>9.142685372</v>
      </c>
      <c r="C47" s="12">
        <f>MIN(1,(MIN(1,'Израиль 2032'!C47+'Израиль 2032'!F47+(0.08*LN(1+0.5*'Ход 2032'!C53)*MAX(0,1-('Израиль 2032'!C47+'Израиль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9.142685372</v>
      </c>
      <c r="J47" s="34">
        <f>SUMIFS('Эффекты технологий'!$Q$25:$Q$240,'Эффекты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2032'!B48+'Израиль 2032'!D48+('Израиль 2032'!C48+'Израиль 2032'!F48+'Израиль 2032'!G48)+(0.35*LN(1+0.6*'Ход 2032'!B54)*POWER(MAX(0,1-'Израиль 2032'!I48/10),0.7))))</f>
        <v>7.142685372</v>
      </c>
      <c r="C48" s="12">
        <f>MIN(1,(MIN(1,'Израиль 2032'!C48+'Израиль 2032'!F48+(0.08*LN(1+0.5*'Ход 2032'!C54)*MAX(0,1-('Израиль 2032'!C48+'Израиль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7.142685372</v>
      </c>
      <c r="J48" s="34">
        <f>SUMIFS('Эффекты технологий'!$Q$25:$Q$240,'Эффекты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2032'!B49+'Израиль 2032'!D49+('Израиль 2032'!C49+'Израиль 2032'!F49+'Израиль 2032'!G49)+(0.35*LN(1+0.6*'Ход 2032'!B55)*POWER(MAX(0,1-'Израиль 2032'!I49/10),0.7))))</f>
        <v>10</v>
      </c>
      <c r="C49" s="12">
        <f>MIN(1,(MIN(1,'Израиль 2032'!C49+'Израиль 2032'!F49+(0.08*LN(1+0.5*'Ход 2032'!C55)*MAX(0,1-('Израиль 2032'!C49+'Израиль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технологий'!$Q$25:$Q$240,'Эффекты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2032'!B50+'Израиль 2032'!D50+('Израиль 2032'!C50+'Израиль 2032'!F50+'Израиль 2032'!G50)+(0.35*LN(1+0.6*'Ход 2032'!B56)*POWER(MAX(0,1-'Израиль 2032'!I50/10),0.7))))</f>
        <v>9.642685372</v>
      </c>
      <c r="C50" s="12">
        <f>MIN(1,(MIN(1,'Израиль 2032'!C50+'Израиль 2032'!F50+(0.08*LN(1+0.5*'Ход 2032'!C56)*MAX(0,1-('Израиль 2032'!C50+'Израиль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9.642685372</v>
      </c>
      <c r="J50" s="34">
        <f>SUMIFS('Эффекты технологий'!$Q$25:$Q$240,'Эффекты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2032'!B51+'Израиль 2032'!D51+('Израиль 2032'!C51+'Израиль 2032'!F51+'Израиль 2032'!G51)+(0.35*LN(1+0.6*'Ход 2032'!B57)*POWER(MAX(0,1-'Израиль 2032'!I51/10),0.7))))</f>
        <v>9.477280879</v>
      </c>
      <c r="C51" s="12">
        <f>MIN(1,(MIN(1,'Израиль 2032'!C51+'Израиль 2032'!F51+(0.08*LN(1+0.5*'Ход 2032'!C57)*MAX(0,1-('Израиль 2032'!C51+'Израиль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9.477280879</v>
      </c>
      <c r="J51" s="34">
        <f>SUMIFS('Эффекты технологий'!$Q$25:$Q$240,'Эффекты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2032'!B53+'Израиль 2032'!D53+('Израиль 2032'!C53+'Израиль 2032'!F53+'Израиль 2032'!G53)+(0.35*LN(1+0.6*'Ход 2032'!B59)*POWER(MAX(0,1-'Израиль 2032'!I53/10),0.7))))</f>
        <v>9.477280879</v>
      </c>
      <c r="C53" s="12">
        <f>MIN(1,(MIN(1,'Израиль 2032'!C53+'Израиль 2032'!F53+(0.08*LN(1+0.5*'Ход 2032'!C59)*MAX(0,1-('Израиль 2032'!C53+'Израиль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9.477280879</v>
      </c>
      <c r="J53" s="34">
        <f>SUMIFS('Эффекты технологий'!$Q$25:$Q$240,'Эффекты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2032'!B54+'Израиль 2032'!D54+('Израиль 2032'!C54+'Израиль 2032'!F54+'Израиль 2032'!G54)+(0.35*LN(1+0.6*'Ход 2032'!B60)*POWER(MAX(0,1-'Израиль 2032'!I54/10),0.7))))</f>
        <v>9.477280879</v>
      </c>
      <c r="C54" s="12">
        <f>MIN(1,(MIN(1,'Израиль 2032'!C54+'Израиль 2032'!F54+(0.08*LN(1+0.5*'Ход 2032'!C60)*MAX(0,1-('Израиль 2032'!C54+'Израиль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9.477280879</v>
      </c>
      <c r="J54" s="34">
        <f>SUMIFS('Эффекты технологий'!$Q$25:$Q$240,'Эффекты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2032'!B55+'Израиль 2032'!D55+('Израиль 2032'!C55+'Израиль 2032'!F55+'Израиль 2032'!G55)+(0.35*LN(1+0.6*'Ход 2032'!B61)*POWER(MAX(0,1-'Израиль 2032'!I55/10),0.7))))</f>
        <v>8.477280879</v>
      </c>
      <c r="C55" s="12">
        <f>MIN(1,(MIN(1,'Израиль 2032'!C55+'Израиль 2032'!F55+(0.08*LN(1+0.5*'Ход 2032'!C61)*MAX(0,1-('Израиль 2032'!C55+'Израиль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8.477280879</v>
      </c>
      <c r="J55" s="34">
        <f>SUMIFS('Эффекты технологий'!$Q$25:$Q$240,'Эффекты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2033'!U6</f>
        <v>96.58296111</v>
      </c>
      <c r="C6" s="12"/>
      <c r="D6" s="12"/>
      <c r="E6" s="12" t="s">
        <v>16</v>
      </c>
      <c r="F6" s="19">
        <f>'Израиль 2033'!K6</f>
        <v>93.28322574</v>
      </c>
      <c r="G6" s="12"/>
      <c r="H6" s="12"/>
      <c r="I6" s="12" t="s">
        <v>16</v>
      </c>
      <c r="J6" s="19">
        <f>'Израиль 2033'!N6</f>
        <v>98.00986426</v>
      </c>
      <c r="K6" s="12"/>
      <c r="L6" s="12"/>
      <c r="M6" s="12" t="s">
        <v>16</v>
      </c>
      <c r="N6" s="19">
        <f>'Израиль 2033'!Q6</f>
        <v>81.34503739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96.58296111</v>
      </c>
      <c r="C8" s="12" t="str">
        <f>IF(B8&lt;0,"ПРЕВЫШЕНИЕ","OK")</f>
        <v>OK</v>
      </c>
      <c r="D8" s="12"/>
      <c r="E8" s="12" t="s">
        <v>94</v>
      </c>
      <c r="F8" s="19">
        <f>F6-F7</f>
        <v>93.28322574</v>
      </c>
      <c r="G8" s="12" t="str">
        <f>IF(F8&lt;0,"ПРЕВЫШЕНИЕ","OK")</f>
        <v>OK</v>
      </c>
      <c r="H8" s="12"/>
      <c r="I8" s="12" t="s">
        <v>94</v>
      </c>
      <c r="J8" s="19">
        <f>J6-J7</f>
        <v>98.00986426</v>
      </c>
      <c r="K8" s="12" t="str">
        <f>IF(J8&lt;0,"ПРЕВЫШЕНИЕ","OK")</f>
        <v>OK</v>
      </c>
      <c r="L8" s="12"/>
      <c r="M8" s="12" t="s">
        <v>94</v>
      </c>
      <c r="N8" s="19">
        <f>N6-N7</f>
        <v>81.34503739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2033'!V11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2033'!V12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2033'!V13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2033'!V14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2033'!V15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2033'!V16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2033'!V17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2033'!V18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2033'!V19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2033'!V20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2033'!V21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2033'!V22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технологий'!Q$16</f>
        <v>0</v>
      </c>
      <c r="H25" s="29">
        <f>'Эффекты технологий'!Q$17</f>
        <v>0</v>
      </c>
      <c r="I25" s="29">
        <f>'Эффекты технологий'!Q$18</f>
        <v>0</v>
      </c>
      <c r="J25" s="30"/>
      <c r="K25" s="12"/>
      <c r="L25" s="12" t="s">
        <v>152</v>
      </c>
      <c r="M25" s="12">
        <f>'Израиль 2033'!V23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2033'!V24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2033'!V25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2033'!V26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IF(G29="","",VLOOKUP(G29,'Технологии'!$A$11:$BF$50,51,FALSE))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IF(G30="","",VLOOKUP(G30,'Технологии'!$A$11:$BF$50,51,FALSE))</f>
        <v/>
      </c>
      <c r="L30" s="12"/>
      <c r="M30" s="12"/>
      <c r="N30" s="30" t="s">
        <v>151</v>
      </c>
      <c r="O30" s="29">
        <f>'Эффекты технологий'!Q$13</f>
        <v>0</v>
      </c>
      <c r="P30" s="29">
        <f>'Эффекты технологий'!Q$14</f>
        <v>0</v>
      </c>
      <c r="Q30" s="29">
        <f>'Эффекты технологий'!Q$15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IF(G31="","",VLOOKUP(G31,'Технологии'!$A$11:$BF$50,51,FALSE))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IF(G32="","",VLOOKUP(G32,'Технологии'!$A$11:$BF$50,51,FALSE))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IF(G33="","",VLOOKUP(G33,'Технологии'!$A$11:$BF$50,51,FALSE))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IF(G34="","",VLOOKUP(G34,'Технологии'!$A$11:$BF$50,51,FALSE))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IF(G35="","",VLOOKUP(G35,'Технологии'!$A$11:$BF$50,51,FALSE))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IF(G36="","",VLOOKUP(G36,'Технологии'!$A$11:$BF$50,51,FALSE))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IF(G37="","",VLOOKUP(G37,'Технологии'!$A$11:$BF$50,51,FALSE))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IF(G38="","",VLOOKUP(G38,'Технологии'!$A$11:$BF$50,51,FALSE))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398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93.76214793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98.97897439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82.32563671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97.28505115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2033'!B8+'Израиль 2033'!D8+('Израиль 2033'!C8+'Израиль 2033'!F8+'Израиль 2033'!G8)+(0.35*LN(1+0.6*('Ход 2033'!B14*(1+'Эффекты технологий'!Q$12)))*POWER(MAX(0,1-'Израиль 2033'!I8/10),0.7))))</f>
        <v>3.599694438</v>
      </c>
      <c r="C8" s="12">
        <f>MIN(1,(MIN(1,'Израиль 2033'!C8+'Израиль 2033'!F8+(0.08*LN(1+0.5*('Ход 2033'!C14*(1+'Эффекты технологий'!Q$12)))*MAX(0,1-('Израиль 2033'!C8+'Израиль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3.449694438</v>
      </c>
      <c r="J8" s="34">
        <f>SUMIFS('Эффекты технологий'!$R$25:$R$240,'Эффекты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2033'!B9+'Израиль 2033'!D9+('Израиль 2033'!C9+'Израиль 2033'!F9+'Израиль 2033'!G9)+(0.35*LN(1+0.6*('Ход 2033'!B15*(1+'Эффекты технологий'!Q$12)))*POWER(MAX(0,1-'Израиль 2033'!I9/10),0.7))))</f>
        <v>7.910352511</v>
      </c>
      <c r="C9" s="12">
        <f>MIN(1,(MIN(1,'Израиль 2033'!C9+'Израиль 2033'!F9+(0.08*LN(1+0.5*('Ход 2033'!C15*(1+'Эффекты технологий'!Q$12)))*MAX(0,1-('Израиль 2033'!C9+'Израиль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7.910352511</v>
      </c>
      <c r="J9" s="34">
        <f>SUMIFS('Эффекты технологий'!$R$25:$R$240,'Эффекты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2033'!B10+'Израиль 2033'!D10+('Израиль 2033'!C10+'Израиль 2033'!F10+'Израиль 2033'!G10)+(0.35*LN(1+0.6*('Ход 2033'!B16*(1+'Эффекты технологий'!Q$12)))*POWER(MAX(0,1-'Израиль 2033'!I10/10),0.7))))</f>
        <v>7.704972703</v>
      </c>
      <c r="C10" s="12">
        <f>MIN(1,(MIN(1,'Израиль 2033'!C10+'Израиль 2033'!F10+(0.08*LN(1+0.5*('Ход 2033'!C16*(1+'Эффекты технологий'!Q$12)))*MAX(0,1-('Израиль 2033'!C10+'Израиль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7.704972703</v>
      </c>
      <c r="J10" s="34">
        <f>SUMIFS('Эффекты технологий'!$R$25:$R$240,'Эффекты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2033'!B11+'Израиль 2033'!D11+('Израиль 2033'!C11+'Израиль 2033'!F11+'Израиль 2033'!G11)+(0.35*LN(1+0.6*('Ход 2033'!B17*(1+'Эффекты технологий'!Q$12)))*POWER(MAX(0,1-'Израиль 2033'!I11/10),0.7))))</f>
        <v>9.451144312</v>
      </c>
      <c r="C11" s="12">
        <f>MIN(1,(MIN(1,'Израиль 2033'!C11+'Израиль 2033'!F11+(0.08*LN(1+0.5*('Ход 2033'!C17*(1+'Эффекты технологий'!Q$12)))*MAX(0,1-('Израиль 2033'!C11+'Израиль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9.451144312</v>
      </c>
      <c r="J11" s="34">
        <f>SUMIFS('Эффекты технологий'!$R$25:$R$240,'Эффекты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2033'!L11+'Израиль 2033'!N11+('Израиль 2033'!M11+'Израиль 2033'!P11+'Израиль 2033'!Q11)))</f>
        <v>9.521799223</v>
      </c>
      <c r="M11" s="12">
        <f>MIN(1,(MIN(1,'Израиль 2033'!M11+'Израиль 2033'!P11+(0.1*LN(1+0.5*('Ход 2033'!H13*(1+'Эффекты технологий'!Q$10)))*POWER(MAX(0,1-'Израиль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9.521799223</v>
      </c>
      <c r="T11" s="34">
        <f>SUMIFS('Эффекты технологий'!$R$25:$R$240,'Эффекты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2033'!V11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2033'!B12+'Израиль 2033'!D12+('Израиль 2033'!C12+'Израиль 2033'!F12+'Израиль 2033'!G12)+(0.35*LN(1+0.6*('Ход 2033'!B18*(1+'Эффекты технологий'!Q$12)))*POWER(MAX(0,1-'Израиль 2033'!I12/10),0.7))))</f>
        <v>4.089599283</v>
      </c>
      <c r="C12" s="12">
        <f>MIN(1,(MIN(1,'Израиль 2033'!C12+'Израиль 2033'!F12+(0.08*LN(1+0.5*('Ход 2033'!C18*(1+'Эффекты технологий'!Q$12)))*MAX(0,1-('Израиль 2033'!C12+'Израиль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4.089599283</v>
      </c>
      <c r="J12" s="34">
        <f>SUMIFS('Эффекты технологий'!$R$25:$R$240,'Эффекты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2033'!L12+'Израиль 2033'!N12+('Израиль 2033'!M12+'Израиль 2033'!P12+'Израиль 2033'!Q12)))</f>
        <v>10</v>
      </c>
      <c r="M12" s="12">
        <f>MIN(1,(MIN(1,'Израиль 2033'!M12+'Израиль 2033'!P12+(0.1*LN(1+0.5*('Ход 2033'!H14*(1+'Эффекты технологий'!Q$10)))*POWER(MAX(0,1-'Израиль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технологий'!$R$25:$R$240,'Эффекты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2033'!V12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2033'!B13+'Израиль 2033'!D13+('Израиль 2033'!C13+'Израиль 2033'!F13+'Израиль 2033'!G13)+(0.35*LN(1+0.6*('Ход 2033'!B19*(1+'Эффекты технологий'!Q$12)))*POWER(MAX(0,1-'Израиль 2033'!I13/10),0.7))))</f>
        <v>8.99013183</v>
      </c>
      <c r="C13" s="12">
        <f>MIN(1,(MIN(1,'Израиль 2033'!C13+'Израиль 2033'!F13+(0.08*LN(1+0.5*('Ход 2033'!C19*(1+'Эффекты технологий'!Q$12)))*MAX(0,1-('Израиль 2033'!C13+'Израиль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8.99013183</v>
      </c>
      <c r="J13" s="34">
        <f>SUMIFS('Эффекты технологий'!$R$25:$R$240,'Эффекты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2033'!L13+'Израиль 2033'!N13+('Израиль 2033'!M13+'Израиль 2033'!P13+'Израиль 2033'!Q13)))</f>
        <v>9.998602769</v>
      </c>
      <c r="M13" s="12">
        <f>MIN(1,(MIN(1,'Израиль 2033'!M13+'Израиль 2033'!P13+(0.1*LN(1+0.5*('Ход 2033'!H15*(1+'Эффекты технологий'!Q$10)))*POWER(MAX(0,1-'Израиль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9.998602769</v>
      </c>
      <c r="T13" s="34">
        <f>SUMIFS('Эффекты технологий'!$R$25:$R$240,'Эффекты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2033'!V13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2033'!B14+'Израиль 2033'!D14+('Израиль 2033'!C14+'Израиль 2033'!F14+'Израиль 2033'!G14)+(0.35*LN(1+0.6*('Ход 2033'!B20*(1+'Эффекты технологий'!Q$12)))*POWER(MAX(0,1-'Израиль 2033'!I14/10),0.7))))</f>
        <v>10</v>
      </c>
      <c r="C14" s="12">
        <f>MIN(1,(MIN(1,'Израиль 2033'!C14+'Израиль 2033'!F14+(0.08*LN(1+0.5*('Ход 2033'!C20*(1+'Эффекты технологий'!Q$12)))*MAX(0,1-('Израиль 2033'!C14+'Израиль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технологий'!$R$25:$R$240,'Эффекты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2033'!L14+'Израиль 2033'!N14+('Израиль 2033'!M14+'Израиль 2033'!P14+'Израиль 2033'!Q14)))</f>
        <v>9.532225111</v>
      </c>
      <c r="M14" s="12">
        <f>MIN(1,(MIN(1,'Израиль 2033'!M14+'Израиль 2033'!P14+(0.1*LN(1+0.5*('Ход 2033'!H16*(1+'Эффекты технологий'!Q$10)))*POWER(MAX(0,1-'Израиль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9.532225111</v>
      </c>
      <c r="T14" s="34">
        <f>SUMIFS('Эффекты технологий'!$R$25:$R$240,'Эффекты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2033'!V14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2033'!B15+'Израиль 2033'!D15+('Израиль 2033'!C15+'Израиль 2033'!F15+'Израиль 2033'!G15)+(0.35*LN(1+0.6*('Ход 2033'!B21*(1+'Эффекты технологий'!Q$12)))*POWER(MAX(0,1-'Израиль 2033'!I15/10),0.7))))</f>
        <v>9.68308418</v>
      </c>
      <c r="C15" s="12">
        <f>MIN(1,(MIN(1,'Израиль 2033'!C15+'Израиль 2033'!F15+(0.08*LN(1+0.5*('Ход 2033'!C21*(1+'Эффекты технологий'!Q$12)))*MAX(0,1-('Израиль 2033'!C15+'Израиль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9.68308418</v>
      </c>
      <c r="J15" s="34">
        <f>SUMIFS('Эффекты технологий'!$R$25:$R$240,'Эффекты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2033'!L15+'Израиль 2033'!N15+('Израиль 2033'!M15+'Израиль 2033'!P15+'Израиль 2033'!Q15)))</f>
        <v>9.892238316</v>
      </c>
      <c r="M15" s="12">
        <f>MIN(1,(MIN(1,'Израиль 2033'!M15+'Израиль 2033'!P15+(0.1*LN(1+0.5*('Ход 2033'!H17*(1+'Эффекты технологий'!Q$10)))*POWER(MAX(0,1-'Израиль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9.892238316</v>
      </c>
      <c r="T15" s="34">
        <f>SUMIFS('Эффекты технологий'!$R$25:$R$240,'Эффекты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2033'!V15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2033'!B16+'Израиль 2033'!D16+('Израиль 2033'!C16+'Израиль 2033'!F16+'Израиль 2033'!G16)+(0.35*LN(1+0.6*('Ход 2033'!B22*(1+'Эффекты технологий'!Q$12)))*POWER(MAX(0,1-'Израиль 2033'!I16/10),0.7))))</f>
        <v>9.459948433</v>
      </c>
      <c r="C16" s="12">
        <f>MIN(1,(MIN(1,'Израиль 2033'!C16+'Израиль 2033'!F16+(0.08*LN(1+0.5*('Ход 2033'!C22*(1+'Эффекты технологий'!Q$12)))*MAX(0,1-('Израиль 2033'!C16+'Израиль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9.459948433</v>
      </c>
      <c r="J16" s="34">
        <f>SUMIFS('Эффекты технологий'!$R$25:$R$240,'Эффекты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2033'!L16+'Израиль 2033'!N16+('Израиль 2033'!M16+'Израиль 2033'!P16+'Израиль 2033'!Q16)))</f>
        <v>9.946100116</v>
      </c>
      <c r="M16" s="12">
        <f>MIN(1,(MIN(1,'Израиль 2033'!M16+'Израиль 2033'!P16+(0.1*LN(1+0.5*('Ход 2033'!H18*(1+'Эффекты технологий'!Q$10)))*POWER(MAX(0,1-'Израиль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9.946100116</v>
      </c>
      <c r="T16" s="34">
        <f>SUMIFS('Эффекты технологий'!$R$25:$R$240,'Эффекты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2033'!V16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2033'!B17+'Израиль 2033'!D17+('Израиль 2033'!C17+'Израиль 2033'!F17+'Израиль 2033'!G17)+(0.35*LN(1+0.6*('Ход 2033'!B23*(1+'Эффекты технологий'!Q$12)))*POWER(MAX(0,1-'Израиль 2033'!I17/10),0.7))))</f>
        <v>8.397130438</v>
      </c>
      <c r="C17" s="12">
        <f>MIN(1,(MIN(1,'Израиль 2033'!C17+'Израиль 2033'!F17+(0.08*LN(1+0.5*('Ход 2033'!C23*(1+'Эффекты технологий'!Q$12)))*MAX(0,1-('Израиль 2033'!C17+'Израиль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8.397130438</v>
      </c>
      <c r="J17" s="34">
        <f>SUMIFS('Эффекты технологий'!$R$25:$R$240,'Эффекты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2033'!L17+'Израиль 2033'!N17+('Израиль 2033'!M17+'Израиль 2033'!P17+'Израиль 2033'!Q17)))</f>
        <v>9.493650004</v>
      </c>
      <c r="M17" s="12">
        <f>MIN(1,(MIN(1,'Израиль 2033'!M17+'Израиль 2033'!P17+(0.1*LN(1+0.5*('Ход 2033'!H19*(1+'Эффекты технологий'!Q$10)))*POWER(MAX(0,1-'Израиль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9.493650004</v>
      </c>
      <c r="T17" s="34">
        <f>SUMIFS('Эффекты технологий'!$R$25:$R$240,'Эффекты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2033'!V17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2033'!L18+'Израиль 2033'!N18+('Израиль 2033'!M18+'Израиль 2033'!P18+'Израиль 2033'!Q18)))</f>
        <v>9.565269083</v>
      </c>
      <c r="M18" s="12">
        <f>MIN(1,(MIN(1,'Израиль 2033'!M18+'Израиль 2033'!P18+(0.1*LN(1+0.5*('Ход 2033'!H20*(1+'Эффекты технологий'!Q$10)))*POWER(MAX(0,1-'Израиль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9.565269083</v>
      </c>
      <c r="T18" s="34">
        <f>SUMIFS('Эффекты технологий'!$R$25:$R$240,'Эффекты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2033'!V18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2033'!B19+'Израиль 2033'!D19+('Израиль 2033'!C19+'Израиль 2033'!F19+'Израиль 2033'!G19)+(0.35*LN(1+0.6*'Ход 2033'!B25)*POWER(MAX(0,1-'Израиль 2033'!I19/10),0.7))))</f>
        <v>10</v>
      </c>
      <c r="C19" s="12">
        <f>MIN(1,(MIN(1,'Израиль 2033'!C19+'Израиль 2033'!F19+(0.08*LN(1+0.5*'Ход 2033'!C25)*MAX(0,1-('Израиль 2033'!C19+'Израиль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технологий'!$R$25:$R$240,'Эффекты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2033'!V19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2033'!B20+'Израиль 2033'!D20+('Израиль 2033'!C20+'Израиль 2033'!F20+'Израиль 2033'!G20)+(0.35*LN(1+0.6*'Ход 2033'!B26)*POWER(MAX(0,1-'Израиль 2033'!I20/10),0.7))))</f>
        <v>10</v>
      </c>
      <c r="C20" s="12">
        <f>MIN(1,(MIN(1,'Израиль 2033'!C20+'Израиль 2033'!F20+(0.08*LN(1+0.5*'Ход 2033'!C26)*MAX(0,1-('Израиль 2033'!C20+'Израиль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технологий'!$R$25:$R$240,'Эффекты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2033'!V20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2033'!B21+'Израиль 2033'!D21+('Израиль 2033'!C21+'Израиль 2033'!F21+'Израиль 2033'!G21)+(0.35*LN(1+0.6*'Ход 2033'!B27)*POWER(MAX(0,1-'Израиль 2033'!I21/10),0.7))))</f>
        <v>10</v>
      </c>
      <c r="C21" s="12">
        <f>MIN(1,(MIN(1,'Израиль 2033'!C21+'Израиль 2033'!F21+(0.08*LN(1+0.5*'Ход 2033'!C27)*MAX(0,1-('Израиль 2033'!C21+'Израиль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технологий'!$R$25:$R$240,'Эффекты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2033'!V21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2033'!B22+'Израиль 2033'!D22+('Израиль 2033'!C22+'Израиль 2033'!F22+'Израиль 2033'!G22)+(0.35*LN(1+0.6*'Ход 2033'!B28)*POWER(MAX(0,1-'Израиль 2033'!I22/10),0.7))))</f>
        <v>10</v>
      </c>
      <c r="C22" s="12">
        <f>MIN(1,(MIN(1,'Израиль 2033'!C22+'Израиль 2033'!F22+(0.08*LN(1+0.5*'Ход 2033'!C28)*MAX(0,1-('Израиль 2033'!C22+'Израиль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технологий'!$R$25:$R$240,'Эффекты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2033'!V22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2033'!B23+'Израиль 2033'!D23+('Израиль 2033'!C23+'Израиль 2033'!F23+'Израиль 2033'!G23)+(0.35*LN(1+0.6*'Ход 2033'!B29)*POWER(MAX(0,1-'Израиль 2033'!I23/10),0.7))))</f>
        <v>10</v>
      </c>
      <c r="C23" s="12">
        <f>MIN(1,(MIN(1,'Израиль 2033'!C23+'Израиль 2033'!F23+(0.08*LN(1+0.5*'Ход 2033'!C29)*MAX(0,1-('Израиль 2033'!C23+'Израиль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технологий'!$R$25:$R$240,'Эффекты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2033'!V23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2033'!V24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2033'!B25+'Израиль 2033'!D25+('Израиль 2033'!C25+'Израиль 2033'!F25+'Израиль 2033'!G25)+(0.35*LN(1+0.6*'Ход 2033'!B31)*POWER(MAX(0,1-'Израиль 2033'!I25/10),0.7))))</f>
        <v>8.88308418</v>
      </c>
      <c r="C25" s="12">
        <f>MIN(1,(MIN(1,'Израиль 2033'!C25+'Израиль 2033'!F25+(0.08*LN(1+0.5*'Ход 2033'!C31)*MAX(0,1-('Израиль 2033'!C25+'Израиль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8.88308418</v>
      </c>
      <c r="J25" s="34">
        <f>SUMIFS('Эффекты технологий'!$R$25:$R$240,'Эффекты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2033'!V25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2033'!B26+'Израиль 2033'!D26+('Израиль 2033'!C26+'Израиль 2033'!F26+'Израиль 2033'!G26)+(0.35*LN(1+0.6*'Ход 2033'!B32)*POWER(MAX(0,1-'Израиль 2033'!I26/10),0.7))))</f>
        <v>9.96093133</v>
      </c>
      <c r="C26" s="12">
        <f>MIN(1,(MIN(1,'Израиль 2033'!C26+'Израиль 2033'!F26+(0.08*LN(1+0.5*'Ход 2033'!C32)*MAX(0,1-('Израиль 2033'!C26+'Израиль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9.96093133</v>
      </c>
      <c r="J26" s="34">
        <f>SUMIFS('Эффекты технологий'!$R$25:$R$240,'Эффекты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2033'!V26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2033'!B27+'Израиль 2033'!D27+('Израиль 2033'!C27+'Израиль 2033'!F27+'Израиль 2033'!G27)+(0.35*LN(1+0.6*'Ход 2033'!B33)*POWER(MAX(0,1-'Израиль 2033'!I27/10),0.7))))</f>
        <v>9.367929939</v>
      </c>
      <c r="C27" s="12">
        <f>MIN(1,(MIN(1,'Израиль 2033'!C27+'Израиль 2033'!F27+(0.08*LN(1+0.5*'Ход 2033'!C33)*MAX(0,1-('Израиль 2033'!C27+'Израиль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9.367929939</v>
      </c>
      <c r="J27" s="34">
        <f>SUMIFS('Эффекты технологий'!$R$25:$R$240,'Эффекты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2033'!B28+'Израиль 2033'!D28+('Израиль 2033'!C28+'Израиль 2033'!F28+'Израиль 2033'!G28)+(0.35*LN(1+0.6*'Ход 2033'!B34)*POWER(MAX(0,1-'Израиль 2033'!I28/10),0.7))))</f>
        <v>10</v>
      </c>
      <c r="C28" s="12">
        <f>MIN(1,(MIN(1,'Израиль 2033'!C28+'Израиль 2033'!F28+(0.08*LN(1+0.5*'Ход 2033'!C34)*MAX(0,1-('Израиль 2033'!C28+'Израиль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технологий'!$R$25:$R$240,'Эффекты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2033'!B29+'Израиль 2033'!D29+('Израиль 2033'!C29+'Израиль 2033'!F29+'Израиль 2033'!G29)+(0.35*LN(1+0.6*'Ход 2033'!B35)*POWER(MAX(0,1-'Израиль 2033'!I29/10),0.7))))</f>
        <v>9.851144312</v>
      </c>
      <c r="C29" s="12">
        <f>MIN(1,(MIN(1,'Израиль 2033'!C29+'Израиль 2033'!F29+(0.08*LN(1+0.5*'Ход 2033'!C35)*MAX(0,1-('Израиль 2033'!C29+'Израиль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9.851144312</v>
      </c>
      <c r="J29" s="34">
        <f>SUMIFS('Эффекты технологий'!$R$25:$R$240,'Эффекты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2033'!B30+'Израиль 2033'!D30+('Израиль 2033'!C30+'Израиль 2033'!F30+'Израиль 2033'!G30)+(0.35*LN(1+0.6*'Ход 2033'!B36)*POWER(MAX(0,1-'Израиль 2033'!I30/10),0.7))))</f>
        <v>9.851144312</v>
      </c>
      <c r="C30" s="12">
        <f>MIN(1,(MIN(1,'Израиль 2033'!C30+'Израиль 2033'!F30+(0.08*LN(1+0.5*'Ход 2033'!C36)*MAX(0,1-('Израиль 2033'!C30+'Израиль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9.851144312</v>
      </c>
      <c r="J30" s="34">
        <f>SUMIFS('Эффекты технологий'!$R$25:$R$240,'Эффекты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2033'!B31+'Израиль 2033'!D31+('Израиль 2033'!C31+'Израиль 2033'!F31+'Израиль 2033'!G31)+(0.35*LN(1+0.6*'Ход 2033'!B37)*POWER(MAX(0,1-'Израиль 2033'!I31/10),0.7))))</f>
        <v>9.367929939</v>
      </c>
      <c r="C31" s="12">
        <f>MIN(1,(MIN(1,'Израиль 2033'!C31+'Израиль 2033'!F31+(0.08*LN(1+0.5*'Ход 2033'!C37)*MAX(0,1-('Израиль 2033'!C31+'Израиль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9.367929939</v>
      </c>
      <c r="J31" s="34">
        <f>SUMIFS('Эффекты технологий'!$R$25:$R$240,'Эффекты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2033'!B32+'Израиль 2033'!D32+('Израиль 2033'!C32+'Израиль 2033'!F32+'Израиль 2033'!G32)+(0.35*LN(1+0.6*'Ход 2033'!B38)*POWER(MAX(0,1-'Израиль 2033'!I32/10),0.7))))</f>
        <v>10</v>
      </c>
      <c r="C32" s="12">
        <f>MIN(1,(MIN(1,'Израиль 2033'!C32+'Израиль 2033'!F32+(0.08*LN(1+0.5*'Ход 2033'!C38)*MAX(0,1-('Израиль 2033'!C32+'Израиль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технологий'!$R$25:$R$240,'Эффекты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2033'!B34+'Израиль 2033'!D34+('Израиль 2033'!C34+'Израиль 2033'!F34+'Израиль 2033'!G34)+(0.35*LN(1+0.6*'Ход 2033'!B40)*POWER(MAX(0,1-'Израиль 2033'!I34/10),0.7))))</f>
        <v>10</v>
      </c>
      <c r="C34" s="12">
        <f>MIN(1,(MIN(1,'Израиль 2033'!C34+'Израиль 2033'!F34+(0.08*LN(1+0.5*'Ход 2033'!C40)*MAX(0,1-('Израиль 2033'!C34+'Израиль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технологий'!$R$25:$R$240,'Эффекты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2033'!B35+'Израиль 2033'!D35+('Израиль 2033'!C35+'Израиль 2033'!F35+'Израиль 2033'!G35)+(0.35*LN(1+0.6*'Ход 2033'!B41)*POWER(MAX(0,1-'Израиль 2033'!I35/10),0.7))))</f>
        <v>10</v>
      </c>
      <c r="C35" s="12">
        <f>MIN(1,(MIN(1,'Израиль 2033'!C35+'Израиль 2033'!F35+(0.08*LN(1+0.5*'Ход 2033'!C41)*MAX(0,1-('Израиль 2033'!C35+'Израиль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технологий'!$R$25:$R$240,'Эффекты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2033'!B36+'Израиль 2033'!D36+('Израиль 2033'!C36+'Израиль 2033'!F36+'Израиль 2033'!G36)+(0.35*LN(1+0.6*'Ход 2033'!B42)*POWER(MAX(0,1-'Израиль 2033'!I36/10),0.7))))</f>
        <v>10</v>
      </c>
      <c r="C36" s="12">
        <f>MIN(1,(MIN(1,'Израиль 2033'!C36+'Израиль 2033'!F36+(0.08*LN(1+0.5*'Ход 2033'!C42)*MAX(0,1-('Израиль 2033'!C36+'Израиль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технологий'!$R$25:$R$240,'Эффекты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2033'!B37+'Израиль 2033'!D37+('Израиль 2033'!C37+'Израиль 2033'!F37+'Израиль 2033'!G37)+(0.35*LN(1+0.6*'Ход 2033'!B43)*POWER(MAX(0,1-'Израиль 2033'!I37/10),0.7))))</f>
        <v>10</v>
      </c>
      <c r="C37" s="12">
        <f>MIN(1,(MIN(1,'Израиль 2033'!C37+'Израиль 2033'!F37+(0.08*LN(1+0.5*'Ход 2033'!C43)*MAX(0,1-('Израиль 2033'!C37+'Израиль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технологий'!$R$25:$R$240,'Эффекты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2033'!B38+'Израиль 2033'!D38+('Израиль 2033'!C38+'Израиль 2033'!F38+'Израиль 2033'!G38)+(0.35*LN(1+0.6*'Ход 2033'!B44)*POWER(MAX(0,1-'Израиль 2033'!I38/10),0.7))))</f>
        <v>10</v>
      </c>
      <c r="C38" s="12">
        <f>MIN(1,(MIN(1,'Израиль 2033'!C38+'Израиль 2033'!F38+(0.08*LN(1+0.5*'Ход 2033'!C44)*MAX(0,1-('Израиль 2033'!C38+'Израиль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технологий'!$R$25:$R$240,'Эффекты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2033'!B39+'Израиль 2033'!D39+('Израиль 2033'!C39+'Израиль 2033'!F39+'Израиль 2033'!G39)+(0.35*LN(1+0.6*'Ход 2033'!B45)*POWER(MAX(0,1-'Израиль 2033'!I39/10),0.7))))</f>
        <v>10</v>
      </c>
      <c r="C39" s="12">
        <f>MIN(1,(MIN(1,'Израиль 2033'!C39+'Израиль 2033'!F39+(0.08*LN(1+0.5*'Ход 2033'!C45)*MAX(0,1-('Израиль 2033'!C39+'Израиль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технологий'!$R$25:$R$240,'Эффекты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2033'!B40+'Израиль 2033'!D40+('Израиль 2033'!C40+'Израиль 2033'!F40+'Израиль 2033'!G40)+(0.35*LN(1+0.6*'Ход 2033'!B46)*POWER(MAX(0,1-'Израиль 2033'!I40/10),0.7))))</f>
        <v>10</v>
      </c>
      <c r="C40" s="12">
        <f>MIN(1,(MIN(1,'Израиль 2033'!C40+'Израиль 2033'!F40+(0.08*LN(1+0.5*'Ход 2033'!C46)*MAX(0,1-('Израиль 2033'!C40+'Израиль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технологий'!$R$25:$R$240,'Эффекты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2033'!B41+'Израиль 2033'!D41+('Израиль 2033'!C41+'Израиль 2033'!F41+'Израиль 2033'!G41)+(0.35*LN(1+0.6*'Ход 2033'!B47)*POWER(MAX(0,1-'Израиль 2033'!I41/10),0.7))))</f>
        <v>10</v>
      </c>
      <c r="C41" s="12">
        <f>MIN(1,(MIN(1,'Израиль 2033'!C41+'Израиль 2033'!F41+(0.08*LN(1+0.5*'Ход 2033'!C47)*MAX(0,1-('Израиль 2033'!C41+'Израиль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технологий'!$R$25:$R$240,'Эффекты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2033'!B42+'Израиль 2033'!D42+('Израиль 2033'!C42+'Израиль 2033'!F42+'Израиль 2033'!G42)+(0.35*LN(1+0.6*'Ход 2033'!B48)*POWER(MAX(0,1-'Израиль 2033'!I42/10),0.7))))</f>
        <v>9.741466267</v>
      </c>
      <c r="C42" s="12">
        <f>MIN(1,(MIN(1,'Израиль 2033'!C42+'Израиль 2033'!F42+(0.08*LN(1+0.5*'Ход 2033'!C48)*MAX(0,1-('Израиль 2033'!C42+'Израиль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9.741466267</v>
      </c>
      <c r="J42" s="34">
        <f>SUMIFS('Эффекты технологий'!$R$25:$R$240,'Эффекты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2033'!B44+'Израиль 2033'!D44+('Израиль 2033'!C44+'Израиль 2033'!F44+'Израиль 2033'!G44)+(0.35*LN(1+0.6*'Ход 2033'!B50)*POWER(MAX(0,1-'Израиль 2033'!I44/10),0.7))))</f>
        <v>9.623494359</v>
      </c>
      <c r="C44" s="12">
        <f>MIN(1,(MIN(1,'Израиль 2033'!C44+'Израиль 2033'!F44+(0.08*LN(1+0.5*'Ход 2033'!C50)*MAX(0,1-('Израиль 2033'!C44+'Израиль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9.623494359</v>
      </c>
      <c r="J44" s="34">
        <f>SUMIFS('Эффекты технологий'!$R$25:$R$240,'Эффекты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2033'!B45+'Израиль 2033'!D45+('Израиль 2033'!C45+'Израиль 2033'!F45+'Израиль 2033'!G45)+(0.35*LN(1+0.6*'Ход 2033'!B51)*POWER(MAX(0,1-'Израиль 2033'!I45/10),0.7))))</f>
        <v>9.667089003</v>
      </c>
      <c r="C45" s="12">
        <f>MIN(1,(MIN(1,'Израиль 2033'!C45+'Израиль 2033'!F45+(0.08*LN(1+0.5*'Ход 2033'!C51)*MAX(0,1-('Израиль 2033'!C45+'Израиль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9.667089003</v>
      </c>
      <c r="J45" s="34">
        <f>SUMIFS('Эффекты технологий'!$R$25:$R$240,'Эффекты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2033'!B46+'Израиль 2033'!D46+('Израиль 2033'!C46+'Израиль 2033'!F46+'Израиль 2033'!G46)+(0.35*LN(1+0.6*'Ход 2033'!B52)*POWER(MAX(0,1-'Израиль 2033'!I46/10),0.7))))</f>
        <v>9.123494359</v>
      </c>
      <c r="C46" s="12">
        <f>MIN(1,(MIN(1,'Израиль 2033'!C46+'Израиль 2033'!F46+(0.08*LN(1+0.5*'Ход 2033'!C52)*MAX(0,1-('Израиль 2033'!C46+'Израиль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9.123494359</v>
      </c>
      <c r="J46" s="34">
        <f>SUMIFS('Эффекты технологий'!$R$25:$R$240,'Эффекты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2033'!B47+'Израиль 2033'!D47+('Израиль 2033'!C47+'Израиль 2033'!F47+'Израиль 2033'!G47)+(0.35*LN(1+0.6*'Ход 2033'!B53)*POWER(MAX(0,1-'Израиль 2033'!I47/10),0.7))))</f>
        <v>9.241466267</v>
      </c>
      <c r="C47" s="12">
        <f>MIN(1,(MIN(1,'Израиль 2033'!C47+'Израиль 2033'!F47+(0.08*LN(1+0.5*'Ход 2033'!C53)*MAX(0,1-('Израиль 2033'!C47+'Израиль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9.241466267</v>
      </c>
      <c r="J47" s="34">
        <f>SUMIFS('Эффекты технологий'!$R$25:$R$240,'Эффекты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2033'!B48+'Израиль 2033'!D48+('Израиль 2033'!C48+'Израиль 2033'!F48+'Израиль 2033'!G48)+(0.35*LN(1+0.6*'Ход 2033'!B54)*POWER(MAX(0,1-'Израиль 2033'!I48/10),0.7))))</f>
        <v>7.241466267</v>
      </c>
      <c r="C48" s="12">
        <f>MIN(1,(MIN(1,'Израиль 2033'!C48+'Израиль 2033'!F48+(0.08*LN(1+0.5*'Ход 2033'!C54)*MAX(0,1-('Израиль 2033'!C48+'Израиль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7.241466267</v>
      </c>
      <c r="J48" s="34">
        <f>SUMIFS('Эффекты технологий'!$R$25:$R$240,'Эффекты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2033'!B49+'Израиль 2033'!D49+('Израиль 2033'!C49+'Израиль 2033'!F49+'Израиль 2033'!G49)+(0.35*LN(1+0.6*'Ход 2033'!B55)*POWER(MAX(0,1-'Израиль 2033'!I49/10),0.7))))</f>
        <v>10</v>
      </c>
      <c r="C49" s="12">
        <f>MIN(1,(MIN(1,'Израиль 2033'!C49+'Израиль 2033'!F49+(0.08*LN(1+0.5*'Ход 2033'!C55)*MAX(0,1-('Израиль 2033'!C49+'Израиль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технологий'!$R$25:$R$240,'Эффекты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2033'!B50+'Израиль 2033'!D50+('Израиль 2033'!C50+'Израиль 2033'!F50+'Израиль 2033'!G50)+(0.35*LN(1+0.6*'Ход 2033'!B56)*POWER(MAX(0,1-'Израиль 2033'!I50/10),0.7))))</f>
        <v>9.741466267</v>
      </c>
      <c r="C50" s="12">
        <f>MIN(1,(MIN(1,'Израиль 2033'!C50+'Израиль 2033'!F50+(0.08*LN(1+0.5*'Ход 2033'!C56)*MAX(0,1-('Израиль 2033'!C50+'Израиль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9.741466267</v>
      </c>
      <c r="J50" s="34">
        <f>SUMIFS('Эффекты технологий'!$R$25:$R$240,'Эффекты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2033'!B51+'Израиль 2033'!D51+('Израиль 2033'!C51+'Израиль 2033'!F51+'Израиль 2033'!G51)+(0.35*LN(1+0.6*'Ход 2033'!B57)*POWER(MAX(0,1-'Израиль 2033'!I51/10),0.7))))</f>
        <v>9.623494359</v>
      </c>
      <c r="C51" s="12">
        <f>MIN(1,(MIN(1,'Израиль 2033'!C51+'Израиль 2033'!F51+(0.08*LN(1+0.5*'Ход 2033'!C57)*MAX(0,1-('Израиль 2033'!C51+'Израиль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9.623494359</v>
      </c>
      <c r="J51" s="34">
        <f>SUMIFS('Эффекты технологий'!$R$25:$R$240,'Эффекты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2033'!B53+'Израиль 2033'!D53+('Израиль 2033'!C53+'Израиль 2033'!F53+'Израиль 2033'!G53)+(0.35*LN(1+0.6*'Ход 2033'!B59)*POWER(MAX(0,1-'Израиль 2033'!I53/10),0.7))))</f>
        <v>9.623494359</v>
      </c>
      <c r="C53" s="12">
        <f>MIN(1,(MIN(1,'Израиль 2033'!C53+'Израиль 2033'!F53+(0.08*LN(1+0.5*'Ход 2033'!C59)*MAX(0,1-('Израиль 2033'!C53+'Израиль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9.623494359</v>
      </c>
      <c r="J53" s="34">
        <f>SUMIFS('Эффекты технологий'!$R$25:$R$240,'Эффекты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2033'!B54+'Израиль 2033'!D54+('Израиль 2033'!C54+'Израиль 2033'!F54+'Израиль 2033'!G54)+(0.35*LN(1+0.6*'Ход 2033'!B60)*POWER(MAX(0,1-'Израиль 2033'!I54/10),0.7))))</f>
        <v>9.623494359</v>
      </c>
      <c r="C54" s="12">
        <f>MIN(1,(MIN(1,'Израиль 2033'!C54+'Израиль 2033'!F54+(0.08*LN(1+0.5*'Ход 2033'!C60)*MAX(0,1-('Израиль 2033'!C54+'Израиль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9.623494359</v>
      </c>
      <c r="J54" s="34">
        <f>SUMIFS('Эффекты технологий'!$R$25:$R$240,'Эффекты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2033'!B55+'Израиль 2033'!D55+('Израиль 2033'!C55+'Израиль 2033'!F55+'Израиль 2033'!G55)+(0.35*LN(1+0.6*'Ход 2033'!B61)*POWER(MAX(0,1-'Израиль 2033'!I55/10),0.7))))</f>
        <v>8.623494359</v>
      </c>
      <c r="C55" s="12">
        <f>MIN(1,(MIN(1,'Израиль 2033'!C55+'Израиль 2033'!F55+(0.08*LN(1+0.5*'Ход 2033'!C61)*MAX(0,1-('Израиль 2033'!C55+'Израиль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8.623494359</v>
      </c>
      <c r="J55" s="34">
        <f>SUMIFS('Эффекты технологий'!$R$25:$R$240,'Эффекты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399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2034'!U6</f>
        <v>97.28505115</v>
      </c>
      <c r="C6" s="12"/>
      <c r="D6" s="12"/>
      <c r="E6" s="12" t="s">
        <v>16</v>
      </c>
      <c r="F6" s="19">
        <f>'Израиль 2034'!K6</f>
        <v>93.76214793</v>
      </c>
      <c r="G6" s="12"/>
      <c r="H6" s="12"/>
      <c r="I6" s="12" t="s">
        <v>16</v>
      </c>
      <c r="J6" s="19">
        <f>'Израиль 2034'!N6</f>
        <v>98.97897439</v>
      </c>
      <c r="K6" s="12"/>
      <c r="L6" s="12"/>
      <c r="M6" s="12" t="s">
        <v>16</v>
      </c>
      <c r="N6" s="19">
        <f>'Израиль 2034'!Q6</f>
        <v>82.32563671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97.28505115</v>
      </c>
      <c r="C8" s="12" t="str">
        <f>IF(B8&lt;0,"ПРЕВЫШЕНИЕ","OK")</f>
        <v>OK</v>
      </c>
      <c r="D8" s="12"/>
      <c r="E8" s="12" t="s">
        <v>94</v>
      </c>
      <c r="F8" s="19">
        <f>F6-F7</f>
        <v>93.76214793</v>
      </c>
      <c r="G8" s="12" t="str">
        <f>IF(F8&lt;0,"ПРЕВЫШЕНИЕ","OK")</f>
        <v>OK</v>
      </c>
      <c r="H8" s="12"/>
      <c r="I8" s="12" t="s">
        <v>94</v>
      </c>
      <c r="J8" s="19">
        <f>J6-J7</f>
        <v>98.97897439</v>
      </c>
      <c r="K8" s="12" t="str">
        <f>IF(J8&lt;0,"ПРЕВЫШЕНИЕ","OK")</f>
        <v>OK</v>
      </c>
      <c r="L8" s="12"/>
      <c r="M8" s="12" t="s">
        <v>94</v>
      </c>
      <c r="N8" s="19">
        <f>N6-N7</f>
        <v>82.32563671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2034'!V11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2034'!V12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2034'!V13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2034'!V14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2034'!V15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2034'!V16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2034'!V17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2034'!V18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2034'!V19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2034'!V20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2034'!V21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2034'!V22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технологий'!R$16</f>
        <v>0</v>
      </c>
      <c r="H25" s="29">
        <f>'Эффекты технологий'!R$17</f>
        <v>0</v>
      </c>
      <c r="I25" s="29">
        <f>'Эффекты технологий'!R$18</f>
        <v>0</v>
      </c>
      <c r="J25" s="30"/>
      <c r="K25" s="12"/>
      <c r="L25" s="12" t="s">
        <v>152</v>
      </c>
      <c r="M25" s="12">
        <f>'Израиль 2034'!V23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2034'!V24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2034'!V25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2034'!V26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IF(G29="","",VLOOKUP(G29,'Технологии'!$A$11:$BF$50,52,FALSE))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IF(G30="","",VLOOKUP(G30,'Технологии'!$A$11:$BF$50,52,FALSE))</f>
        <v/>
      </c>
      <c r="L30" s="12"/>
      <c r="M30" s="12"/>
      <c r="N30" s="30" t="s">
        <v>151</v>
      </c>
      <c r="O30" s="29">
        <f>'Эффекты технологий'!R$13</f>
        <v>0</v>
      </c>
      <c r="P30" s="29">
        <f>'Эффекты технологий'!R$14</f>
        <v>0</v>
      </c>
      <c r="Q30" s="29">
        <f>'Эффекты технологий'!R$15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IF(G31="","",VLOOKUP(G31,'Технологии'!$A$11:$BF$50,52,FALSE))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IF(G32="","",VLOOKUP(G32,'Технологии'!$A$11:$BF$50,52,FALSE))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IF(G33="","",VLOOKUP(G33,'Технологии'!$A$11:$BF$50,52,FALSE))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IF(G34="","",VLOOKUP(G34,'Технологии'!$A$11:$BF$50,52,FALSE))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IF(G35="","",VLOOKUP(G35,'Технологии'!$A$11:$BF$50,52,FALSE))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IF(G36="","",VLOOKUP(G36,'Технологии'!$A$11:$BF$50,52,FALSE))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IF(G37="","",VLOOKUP(G37,'Технологии'!$A$11:$BF$50,52,FALSE))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IF(G38="","",VLOOKUP(G38,'Технологии'!$A$11:$BF$50,52,FALSE))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94.17785717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99.46003804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82.8948759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97.7923091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2034'!B8+'Израиль 2034'!D8+('Израиль 2034'!C8+'Израиль 2034'!F8+'Израиль 2034'!G8)+(0.35*LN(1+0.6*('Ход 2034'!B14*(1+'Эффекты технологий'!R$12)))*POWER(MAX(0,1-'Израиль 2034'!I8/10),0.7))))</f>
        <v>3.649694438</v>
      </c>
      <c r="C8" s="12">
        <f>MIN(1,(MIN(1,'Израиль 2034'!C8+'Израиль 2034'!F8+(0.08*LN(1+0.5*('Ход 2034'!C14*(1+'Эффекты технологий'!R$12)))*MAX(0,1-('Израиль 2034'!C8+'Израиль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3.499694438</v>
      </c>
      <c r="J8" s="34">
        <f>SUMIFS('Эффекты технологий'!$S$25:$S$240,'Эффекты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2034'!B9+'Израиль 2034'!D9+('Израиль 2034'!C9+'Израиль 2034'!F9+'Израиль 2034'!G9)+(0.35*LN(1+0.6*('Ход 2034'!B15*(1+'Эффекты технологий'!R$12)))*POWER(MAX(0,1-'Израиль 2034'!I9/10),0.7))))</f>
        <v>8.010352511</v>
      </c>
      <c r="C9" s="12">
        <f>MIN(1,(MIN(1,'Израиль 2034'!C9+'Израиль 2034'!F9+(0.08*LN(1+0.5*('Ход 2034'!C15*(1+'Эффекты технологий'!R$12)))*MAX(0,1-('Израиль 2034'!C9+'Израиль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8.010352511</v>
      </c>
      <c r="J9" s="34">
        <f>SUMIFS('Эффекты технологий'!$S$25:$S$240,'Эффекты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2034'!B10+'Израиль 2034'!D10+('Израиль 2034'!C10+'Израиль 2034'!F10+'Израиль 2034'!G10)+(0.35*LN(1+0.6*('Ход 2034'!B16*(1+'Эффекты технологий'!R$12)))*POWER(MAX(0,1-'Израиль 2034'!I10/10),0.7))))</f>
        <v>7.84526504</v>
      </c>
      <c r="C10" s="12">
        <f>MIN(1,(MIN(1,'Израиль 2034'!C10+'Израиль 2034'!F10+(0.08*LN(1+0.5*('Ход 2034'!C16*(1+'Эффекты технологий'!R$12)))*MAX(0,1-('Израиль 2034'!C10+'Израиль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7.84526504</v>
      </c>
      <c r="J10" s="34">
        <f>SUMIFS('Эффекты технологий'!$S$25:$S$240,'Эффекты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2034'!B11+'Израиль 2034'!D11+('Израиль 2034'!C11+'Израиль 2034'!F11+'Израиль 2034'!G11)+(0.35*LN(1+0.6*('Ход 2034'!B17*(1+'Эффекты технологий'!R$12)))*POWER(MAX(0,1-'Израиль 2034'!I11/10),0.7))))</f>
        <v>9.501144312</v>
      </c>
      <c r="C11" s="12">
        <f>MIN(1,(MIN(1,'Израиль 2034'!C11+'Израиль 2034'!F11+(0.08*LN(1+0.5*('Ход 2034'!C17*(1+'Эффекты технологий'!R$12)))*MAX(0,1-('Израиль 2034'!C11+'Израиль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9.501144312</v>
      </c>
      <c r="J11" s="34">
        <f>SUMIFS('Эффекты технологий'!$S$25:$S$240,'Эффекты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2034'!L11+'Израиль 2034'!N11+('Израиль 2034'!M11+'Израиль 2034'!P11+'Израиль 2034'!Q11)))</f>
        <v>9.846341969</v>
      </c>
      <c r="M11" s="12">
        <f>MIN(1,(MIN(1,'Израиль 2034'!M11+'Израиль 2034'!P11+(0.1*LN(1+0.5*('Ход 2034'!H13*(1+'Эффекты технологий'!R$10)))*POWER(MAX(0,1-'Израиль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9.846341969</v>
      </c>
      <c r="T11" s="34">
        <f>SUMIFS('Эффекты технологий'!$S$25:$S$240,'Эффекты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2034'!V11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2034'!B12+'Израиль 2034'!D12+('Израиль 2034'!C12+'Израиль 2034'!F12+'Израиль 2034'!G12)+(0.35*LN(1+0.6*('Ход 2034'!B18*(1+'Эффекты технологий'!R$12)))*POWER(MAX(0,1-'Израиль 2034'!I12/10),0.7))))</f>
        <v>4.139599283</v>
      </c>
      <c r="C12" s="12">
        <f>MIN(1,(MIN(1,'Израиль 2034'!C12+'Израиль 2034'!F12+(0.08*LN(1+0.5*('Ход 2034'!C18*(1+'Эффекты технологий'!R$12)))*MAX(0,1-('Израиль 2034'!C12+'Израиль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4.139599283</v>
      </c>
      <c r="J12" s="34">
        <f>SUMIFS('Эффекты технологий'!$S$25:$S$240,'Эффекты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2034'!L12+'Израиль 2034'!N12+('Израиль 2034'!M12+'Израиль 2034'!P12+'Израиль 2034'!Q12)))</f>
        <v>10</v>
      </c>
      <c r="M12" s="12">
        <f>MIN(1,(MIN(1,'Израиль 2034'!M12+'Израиль 2034'!P12+(0.1*LN(1+0.5*('Ход 2034'!H14*(1+'Эффекты технологий'!R$10)))*POWER(MAX(0,1-'Израиль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технологий'!$S$25:$S$240,'Эффекты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2034'!V12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2034'!B13+'Израиль 2034'!D13+('Израиль 2034'!C13+'Израиль 2034'!F13+'Израиль 2034'!G13)+(0.35*LN(1+0.6*('Ход 2034'!B19*(1+'Эффекты технологий'!R$12)))*POWER(MAX(0,1-'Израиль 2034'!I13/10),0.7))))</f>
        <v>9.167703457</v>
      </c>
      <c r="C13" s="12">
        <f>MIN(1,(MIN(1,'Израиль 2034'!C13+'Израиль 2034'!F13+(0.08*LN(1+0.5*('Ход 2034'!C19*(1+'Эффекты технологий'!R$12)))*MAX(0,1-('Израиль 2034'!C13+'Израиль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9.167703457</v>
      </c>
      <c r="J13" s="34">
        <f>SUMIFS('Эффекты технологий'!$S$25:$S$240,'Эффекты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2034'!L13+'Израиль 2034'!N13+('Израиль 2034'!M13+'Израиль 2034'!P13+'Израиль 2034'!Q13)))</f>
        <v>10</v>
      </c>
      <c r="M13" s="12">
        <f>MIN(1,(MIN(1,'Израиль 2034'!M13+'Израиль 2034'!P13+(0.1*LN(1+0.5*('Ход 2034'!H15*(1+'Эффекты технологий'!R$10)))*POWER(MAX(0,1-'Израиль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технологий'!$S$25:$S$240,'Эффекты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2034'!V13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2034'!B14+'Израиль 2034'!D14+('Израиль 2034'!C14+'Израиль 2034'!F14+'Израиль 2034'!G14)+(0.35*LN(1+0.6*('Ход 2034'!B20*(1+'Эффекты технологий'!R$12)))*POWER(MAX(0,1-'Израиль 2034'!I14/10),0.7))))</f>
        <v>10</v>
      </c>
      <c r="C14" s="12">
        <f>MIN(1,(MIN(1,'Израиль 2034'!C14+'Израиль 2034'!F14+(0.08*LN(1+0.5*('Ход 2034'!C20*(1+'Эффекты технологий'!R$12)))*MAX(0,1-('Израиль 2034'!C14+'Израиль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технологий'!$S$25:$S$240,'Эффекты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2034'!L14+'Израиль 2034'!N14+('Израиль 2034'!M14+'Израиль 2034'!P14+'Израиль 2034'!Q14)))</f>
        <v>9.793971556</v>
      </c>
      <c r="M14" s="12">
        <f>MIN(1,(MIN(1,'Израиль 2034'!M14+'Израиль 2034'!P14+(0.1*LN(1+0.5*('Ход 2034'!H16*(1+'Эффекты технологий'!R$10)))*POWER(MAX(0,1-'Израиль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9.793971556</v>
      </c>
      <c r="T14" s="34">
        <f>SUMIFS('Эффекты технологий'!$S$25:$S$240,'Эффекты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2034'!V14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2034'!B15+'Израиль 2034'!D15+('Израиль 2034'!C15+'Израиль 2034'!F15+'Израиль 2034'!G15)+(0.35*LN(1+0.6*('Ход 2034'!B21*(1+'Эффекты технологий'!R$12)))*POWER(MAX(0,1-'Израиль 2034'!I15/10),0.7))))</f>
        <v>9.88308418</v>
      </c>
      <c r="C15" s="12">
        <f>MIN(1,(MIN(1,'Израиль 2034'!C15+'Израиль 2034'!F15+(0.08*LN(1+0.5*('Ход 2034'!C21*(1+'Эффекты технологий'!R$12)))*MAX(0,1-('Израиль 2034'!C15+'Израиль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9.88308418</v>
      </c>
      <c r="J15" s="34">
        <f>SUMIFS('Эффекты технологий'!$S$25:$S$240,'Эффекты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2034'!L15+'Израиль 2034'!N15+('Израиль 2034'!M15+'Израиль 2034'!P15+'Израиль 2034'!Q15)))</f>
        <v>10</v>
      </c>
      <c r="M15" s="12">
        <f>MIN(1,(MIN(1,'Израиль 2034'!M15+'Израиль 2034'!P15+(0.1*LN(1+0.5*('Ход 2034'!H17*(1+'Эффекты технологий'!R$10)))*POWER(MAX(0,1-'Израиль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технологий'!$S$25:$S$240,'Эффекты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2034'!V15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2034'!B16+'Израиль 2034'!D16+('Израиль 2034'!C16+'Израиль 2034'!F16+'Израиль 2034'!G16)+(0.35*LN(1+0.6*('Ход 2034'!B22*(1+'Эффекты технологий'!R$12)))*POWER(MAX(0,1-'Израиль 2034'!I16/10),0.7))))</f>
        <v>9.635214755</v>
      </c>
      <c r="C16" s="12">
        <f>MIN(1,(MIN(1,'Израиль 2034'!C16+'Израиль 2034'!F16+(0.08*LN(1+0.5*('Ход 2034'!C22*(1+'Эффекты технологий'!R$12)))*MAX(0,1-('Израиль 2034'!C16+'Израиль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9.635214755</v>
      </c>
      <c r="J16" s="34">
        <f>SUMIFS('Эффекты технологий'!$S$25:$S$240,'Эффекты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2034'!L16+'Израиль 2034'!N16+('Израиль 2034'!M16+'Израиль 2034'!P16+'Израиль 2034'!Q16)))</f>
        <v>10</v>
      </c>
      <c r="M16" s="12">
        <f>MIN(1,(MIN(1,'Израиль 2034'!M16+'Израиль 2034'!P16+(0.1*LN(1+0.5*('Ход 2034'!H18*(1+'Эффекты технологий'!R$10)))*POWER(MAX(0,1-'Израиль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технологий'!$S$25:$S$240,'Эффекты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2034'!V16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2034'!B17+'Израиль 2034'!D17+('Израиль 2034'!C17+'Израиль 2034'!F17+'Израиль 2034'!G17)+(0.35*LN(1+0.6*('Ход 2034'!B23*(1+'Эффекты технологий'!R$12)))*POWER(MAX(0,1-'Израиль 2034'!I17/10),0.7))))</f>
        <v>8.497130438</v>
      </c>
      <c r="C17" s="12">
        <f>MIN(1,(MIN(1,'Израиль 2034'!C17+'Израиль 2034'!F17+(0.08*LN(1+0.5*('Ход 2034'!C23*(1+'Эффекты технологий'!R$12)))*MAX(0,1-('Израиль 2034'!C17+'Израиль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8.497130438</v>
      </c>
      <c r="J17" s="34">
        <f>SUMIFS('Эффекты технологий'!$S$25:$S$240,'Эффекты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2034'!L17+'Израиль 2034'!N17+('Израиль 2034'!M17+'Израиль 2034'!P17+'Израиль 2034'!Q17)))</f>
        <v>9.749885719</v>
      </c>
      <c r="M17" s="12">
        <f>MIN(1,(MIN(1,'Израиль 2034'!M17+'Израиль 2034'!P17+(0.1*LN(1+0.5*('Ход 2034'!H19*(1+'Эффекты технологий'!R$10)))*POWER(MAX(0,1-'Израиль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9.749885719</v>
      </c>
      <c r="T17" s="34">
        <f>SUMIFS('Эффекты технологий'!$S$25:$S$240,'Эффекты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2034'!V17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2034'!L18+'Израиль 2034'!N18+('Израиль 2034'!M18+'Израиль 2034'!P18+'Израиль 2034'!Q18)))</f>
        <v>9.831736095</v>
      </c>
      <c r="M18" s="12">
        <f>MIN(1,(MIN(1,'Израиль 2034'!M18+'Израиль 2034'!P18+(0.1*LN(1+0.5*('Ход 2034'!H20*(1+'Эффекты технологий'!R$10)))*POWER(MAX(0,1-'Израиль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9.831736095</v>
      </c>
      <c r="T18" s="34">
        <f>SUMIFS('Эффекты технологий'!$S$25:$S$240,'Эффекты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2034'!V18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2034'!B19+'Израиль 2034'!D19+('Израиль 2034'!C19+'Израиль 2034'!F19+'Израиль 2034'!G19)+(0.35*LN(1+0.6*'Ход 2034'!B25)*POWER(MAX(0,1-'Израиль 2034'!I19/10),0.7))))</f>
        <v>10</v>
      </c>
      <c r="C19" s="12">
        <f>MIN(1,(MIN(1,'Израиль 2034'!C19+'Израиль 2034'!F19+(0.08*LN(1+0.5*'Ход 2034'!C25)*MAX(0,1-('Израиль 2034'!C19+'Израиль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технологий'!$S$25:$S$240,'Эффекты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2034'!V19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2034'!B20+'Израиль 2034'!D20+('Израиль 2034'!C20+'Израиль 2034'!F20+'Израиль 2034'!G20)+(0.35*LN(1+0.6*'Ход 2034'!B26)*POWER(MAX(0,1-'Израиль 2034'!I20/10),0.7))))</f>
        <v>10</v>
      </c>
      <c r="C20" s="12">
        <f>MIN(1,(MIN(1,'Израиль 2034'!C20+'Израиль 2034'!F20+(0.08*LN(1+0.5*'Ход 2034'!C26)*MAX(0,1-('Израиль 2034'!C20+'Израиль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технологий'!$S$25:$S$240,'Эффекты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2034'!V20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2034'!B21+'Израиль 2034'!D21+('Израиль 2034'!C21+'Израиль 2034'!F21+'Израиль 2034'!G21)+(0.35*LN(1+0.6*'Ход 2034'!B27)*POWER(MAX(0,1-'Израиль 2034'!I21/10),0.7))))</f>
        <v>10</v>
      </c>
      <c r="C21" s="12">
        <f>MIN(1,(MIN(1,'Израиль 2034'!C21+'Израиль 2034'!F21+(0.08*LN(1+0.5*'Ход 2034'!C27)*MAX(0,1-('Израиль 2034'!C21+'Израиль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технологий'!$S$25:$S$240,'Эффекты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2034'!V21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2034'!B22+'Израиль 2034'!D22+('Израиль 2034'!C22+'Израиль 2034'!F22+'Израиль 2034'!G22)+(0.35*LN(1+0.6*'Ход 2034'!B28)*POWER(MAX(0,1-'Израиль 2034'!I22/10),0.7))))</f>
        <v>10</v>
      </c>
      <c r="C22" s="12">
        <f>MIN(1,(MIN(1,'Израиль 2034'!C22+'Израиль 2034'!F22+(0.08*LN(1+0.5*'Ход 2034'!C28)*MAX(0,1-('Израиль 2034'!C22+'Израиль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технологий'!$S$25:$S$240,'Эффекты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2034'!V22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2034'!B23+'Израиль 2034'!D23+('Израиль 2034'!C23+'Израиль 2034'!F23+'Израиль 2034'!G23)+(0.35*LN(1+0.6*'Ход 2034'!B29)*POWER(MAX(0,1-'Израиль 2034'!I23/10),0.7))))</f>
        <v>10</v>
      </c>
      <c r="C23" s="12">
        <f>MIN(1,(MIN(1,'Израиль 2034'!C23+'Израиль 2034'!F23+(0.08*LN(1+0.5*'Ход 2034'!C29)*MAX(0,1-('Израиль 2034'!C23+'Израиль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технологий'!$S$25:$S$240,'Эффекты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2034'!V23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2034'!V24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2034'!B25+'Израиль 2034'!D25+('Израиль 2034'!C25+'Израиль 2034'!F25+'Израиль 2034'!G25)+(0.35*LN(1+0.6*'Ход 2034'!B31)*POWER(MAX(0,1-'Израиль 2034'!I25/10),0.7))))</f>
        <v>8.98308418</v>
      </c>
      <c r="C25" s="12">
        <f>MIN(1,(MIN(1,'Израиль 2034'!C25+'Израиль 2034'!F25+(0.08*LN(1+0.5*'Ход 2034'!C31)*MAX(0,1-('Израиль 2034'!C25+'Израиль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8.98308418</v>
      </c>
      <c r="J25" s="34">
        <f>SUMIFS('Эффекты технологий'!$S$25:$S$240,'Эффекты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2034'!V25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2034'!B26+'Израиль 2034'!D26+('Израиль 2034'!C26+'Израиль 2034'!F26+'Израиль 2034'!G26)+(0.35*LN(1+0.6*'Ход 2034'!B32)*POWER(MAX(0,1-'Израиль 2034'!I26/10),0.7))))</f>
        <v>10</v>
      </c>
      <c r="C26" s="12">
        <f>MIN(1,(MIN(1,'Израиль 2034'!C26+'Израиль 2034'!F26+(0.08*LN(1+0.5*'Ход 2034'!C32)*MAX(0,1-('Израиль 2034'!C26+'Израиль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технологий'!$S$25:$S$240,'Эффекты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2034'!V26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2034'!B27+'Израиль 2034'!D27+('Израиль 2034'!C27+'Израиль 2034'!F27+'Израиль 2034'!G27)+(0.35*LN(1+0.6*'Ход 2034'!B33)*POWER(MAX(0,1-'Израиль 2034'!I27/10),0.7))))</f>
        <v>9.467929939</v>
      </c>
      <c r="C27" s="12">
        <f>MIN(1,(MIN(1,'Израиль 2034'!C27+'Израиль 2034'!F27+(0.08*LN(1+0.5*'Ход 2034'!C33)*MAX(0,1-('Израиль 2034'!C27+'Израиль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9.467929939</v>
      </c>
      <c r="J27" s="34">
        <f>SUMIFS('Эффекты технологий'!$S$25:$S$240,'Эффекты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2034'!B28+'Израиль 2034'!D28+('Израиль 2034'!C28+'Израиль 2034'!F28+'Израиль 2034'!G28)+(0.35*LN(1+0.6*'Ход 2034'!B34)*POWER(MAX(0,1-'Израиль 2034'!I28/10),0.7))))</f>
        <v>10</v>
      </c>
      <c r="C28" s="12">
        <f>MIN(1,(MIN(1,'Израиль 2034'!C28+'Израиль 2034'!F28+(0.08*LN(1+0.5*'Ход 2034'!C34)*MAX(0,1-('Израиль 2034'!C28+'Израиль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технологий'!$S$25:$S$240,'Эффекты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2034'!B29+'Израиль 2034'!D29+('Израиль 2034'!C29+'Израиль 2034'!F29+'Израиль 2034'!G29)+(0.35*LN(1+0.6*'Ход 2034'!B35)*POWER(MAX(0,1-'Израиль 2034'!I29/10),0.7))))</f>
        <v>9.951144312</v>
      </c>
      <c r="C29" s="12">
        <f>MIN(1,(MIN(1,'Израиль 2034'!C29+'Израиль 2034'!F29+(0.08*LN(1+0.5*'Ход 2034'!C35)*MAX(0,1-('Израиль 2034'!C29+'Израиль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9.951144312</v>
      </c>
      <c r="J29" s="34">
        <f>SUMIFS('Эффекты технологий'!$S$25:$S$240,'Эффекты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2034'!B30+'Израиль 2034'!D30+('Израиль 2034'!C30+'Израиль 2034'!F30+'Израиль 2034'!G30)+(0.35*LN(1+0.6*'Ход 2034'!B36)*POWER(MAX(0,1-'Израиль 2034'!I30/10),0.7))))</f>
        <v>9.951144312</v>
      </c>
      <c r="C30" s="12">
        <f>MIN(1,(MIN(1,'Израиль 2034'!C30+'Израиль 2034'!F30+(0.08*LN(1+0.5*'Ход 2034'!C36)*MAX(0,1-('Израиль 2034'!C30+'Израиль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9.951144312</v>
      </c>
      <c r="J30" s="34">
        <f>SUMIFS('Эффекты технологий'!$S$25:$S$240,'Эффекты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2034'!B31+'Израиль 2034'!D31+('Израиль 2034'!C31+'Израиль 2034'!F31+'Израиль 2034'!G31)+(0.35*LN(1+0.6*'Ход 2034'!B37)*POWER(MAX(0,1-'Израиль 2034'!I31/10),0.7))))</f>
        <v>9.467929939</v>
      </c>
      <c r="C31" s="12">
        <f>MIN(1,(MIN(1,'Израиль 2034'!C31+'Израиль 2034'!F31+(0.08*LN(1+0.5*'Ход 2034'!C37)*MAX(0,1-('Израиль 2034'!C31+'Израиль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9.467929939</v>
      </c>
      <c r="J31" s="34">
        <f>SUMIFS('Эффекты технологий'!$S$25:$S$240,'Эффекты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2034'!B32+'Израиль 2034'!D32+('Израиль 2034'!C32+'Израиль 2034'!F32+'Израиль 2034'!G32)+(0.35*LN(1+0.6*'Ход 2034'!B38)*POWER(MAX(0,1-'Израиль 2034'!I32/10),0.7))))</f>
        <v>10</v>
      </c>
      <c r="C32" s="12">
        <f>MIN(1,(MIN(1,'Израиль 2034'!C32+'Израиль 2034'!F32+(0.08*LN(1+0.5*'Ход 2034'!C38)*MAX(0,1-('Израиль 2034'!C32+'Израиль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технологий'!$S$25:$S$240,'Эффекты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2034'!B34+'Израиль 2034'!D34+('Израиль 2034'!C34+'Израиль 2034'!F34+'Израиль 2034'!G34)+(0.35*LN(1+0.6*'Ход 2034'!B40)*POWER(MAX(0,1-'Израиль 2034'!I34/10),0.7))))</f>
        <v>10</v>
      </c>
      <c r="C34" s="12">
        <f>MIN(1,(MIN(1,'Израиль 2034'!C34+'Израиль 2034'!F34+(0.08*LN(1+0.5*'Ход 2034'!C40)*MAX(0,1-('Израиль 2034'!C34+'Израиль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технологий'!$S$25:$S$240,'Эффекты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2034'!B35+'Израиль 2034'!D35+('Израиль 2034'!C35+'Израиль 2034'!F35+'Израиль 2034'!G35)+(0.35*LN(1+0.6*'Ход 2034'!B41)*POWER(MAX(0,1-'Израиль 2034'!I35/10),0.7))))</f>
        <v>10</v>
      </c>
      <c r="C35" s="12">
        <f>MIN(1,(MIN(1,'Израиль 2034'!C35+'Израиль 2034'!F35+(0.08*LN(1+0.5*'Ход 2034'!C41)*MAX(0,1-('Израиль 2034'!C35+'Израиль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технологий'!$S$25:$S$240,'Эффекты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2034'!B36+'Израиль 2034'!D36+('Израиль 2034'!C36+'Израиль 2034'!F36+'Израиль 2034'!G36)+(0.35*LN(1+0.6*'Ход 2034'!B42)*POWER(MAX(0,1-'Израиль 2034'!I36/10),0.7))))</f>
        <v>10</v>
      </c>
      <c r="C36" s="12">
        <f>MIN(1,(MIN(1,'Израиль 2034'!C36+'Израиль 2034'!F36+(0.08*LN(1+0.5*'Ход 2034'!C42)*MAX(0,1-('Израиль 2034'!C36+'Израиль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технологий'!$S$25:$S$240,'Эффекты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2034'!B37+'Израиль 2034'!D37+('Израиль 2034'!C37+'Израиль 2034'!F37+'Израиль 2034'!G37)+(0.35*LN(1+0.6*'Ход 2034'!B43)*POWER(MAX(0,1-'Израиль 2034'!I37/10),0.7))))</f>
        <v>10</v>
      </c>
      <c r="C37" s="12">
        <f>MIN(1,(MIN(1,'Израиль 2034'!C37+'Израиль 2034'!F37+(0.08*LN(1+0.5*'Ход 2034'!C43)*MAX(0,1-('Израиль 2034'!C37+'Израиль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технологий'!$S$25:$S$240,'Эффекты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2034'!B38+'Израиль 2034'!D38+('Израиль 2034'!C38+'Израиль 2034'!F38+'Израиль 2034'!G38)+(0.35*LN(1+0.6*'Ход 2034'!B44)*POWER(MAX(0,1-'Израиль 2034'!I38/10),0.7))))</f>
        <v>10</v>
      </c>
      <c r="C38" s="12">
        <f>MIN(1,(MIN(1,'Израиль 2034'!C38+'Израиль 2034'!F38+(0.08*LN(1+0.5*'Ход 2034'!C44)*MAX(0,1-('Израиль 2034'!C38+'Израиль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технологий'!$S$25:$S$240,'Эффекты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2034'!B39+'Израиль 2034'!D39+('Израиль 2034'!C39+'Израиль 2034'!F39+'Израиль 2034'!G39)+(0.35*LN(1+0.6*'Ход 2034'!B45)*POWER(MAX(0,1-'Израиль 2034'!I39/10),0.7))))</f>
        <v>10</v>
      </c>
      <c r="C39" s="12">
        <f>MIN(1,(MIN(1,'Израиль 2034'!C39+'Израиль 2034'!F39+(0.08*LN(1+0.5*'Ход 2034'!C45)*MAX(0,1-('Израиль 2034'!C39+'Израиль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технологий'!$S$25:$S$240,'Эффекты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2034'!B40+'Израиль 2034'!D40+('Израиль 2034'!C40+'Израиль 2034'!F40+'Израиль 2034'!G40)+(0.35*LN(1+0.6*'Ход 2034'!B46)*POWER(MAX(0,1-'Израиль 2034'!I40/10),0.7))))</f>
        <v>10</v>
      </c>
      <c r="C40" s="12">
        <f>MIN(1,(MIN(1,'Израиль 2034'!C40+'Израиль 2034'!F40+(0.08*LN(1+0.5*'Ход 2034'!C46)*MAX(0,1-('Израиль 2034'!C40+'Израиль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технологий'!$S$25:$S$240,'Эффекты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2034'!B41+'Израиль 2034'!D41+('Израиль 2034'!C41+'Израиль 2034'!F41+'Израиль 2034'!G41)+(0.35*LN(1+0.6*'Ход 2034'!B47)*POWER(MAX(0,1-'Израиль 2034'!I41/10),0.7))))</f>
        <v>10</v>
      </c>
      <c r="C41" s="12">
        <f>MIN(1,(MIN(1,'Израиль 2034'!C41+'Израиль 2034'!F41+(0.08*LN(1+0.5*'Ход 2034'!C47)*MAX(0,1-('Израиль 2034'!C41+'Израиль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технологий'!$S$25:$S$240,'Эффекты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2034'!B42+'Израиль 2034'!D42+('Израиль 2034'!C42+'Израиль 2034'!F42+'Израиль 2034'!G42)+(0.35*LN(1+0.6*'Ход 2034'!B48)*POWER(MAX(0,1-'Израиль 2034'!I42/10),0.7))))</f>
        <v>9.840247163</v>
      </c>
      <c r="C42" s="12">
        <f>MIN(1,(MIN(1,'Израиль 2034'!C42+'Израиль 2034'!F42+(0.08*LN(1+0.5*'Ход 2034'!C48)*MAX(0,1-('Израиль 2034'!C42+'Израиль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9.840247163</v>
      </c>
      <c r="J42" s="34">
        <f>SUMIFS('Эффекты технологий'!$S$25:$S$240,'Эффекты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2034'!B44+'Израиль 2034'!D44+('Израиль 2034'!C44+'Израиль 2034'!F44+'Израиль 2034'!G44)+(0.35*LN(1+0.6*'Ход 2034'!B50)*POWER(MAX(0,1-'Израиль 2034'!I44/10),0.7))))</f>
        <v>9.769707838</v>
      </c>
      <c r="C44" s="12">
        <f>MIN(1,(MIN(1,'Израиль 2034'!C44+'Израиль 2034'!F44+(0.08*LN(1+0.5*'Ход 2034'!C50)*MAX(0,1-('Израиль 2034'!C44+'Израиль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9.769707838</v>
      </c>
      <c r="J44" s="34">
        <f>SUMIFS('Эффекты технологий'!$S$25:$S$240,'Эффекты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2034'!B45+'Израиль 2034'!D45+('Израиль 2034'!C45+'Израиль 2034'!F45+'Израиль 2034'!G45)+(0.35*LN(1+0.6*'Ход 2034'!B51)*POWER(MAX(0,1-'Израиль 2034'!I45/10),0.7))))</f>
        <v>9.813302483</v>
      </c>
      <c r="C45" s="12">
        <f>MIN(1,(MIN(1,'Израиль 2034'!C45+'Израиль 2034'!F45+(0.08*LN(1+0.5*'Ход 2034'!C51)*MAX(0,1-('Израиль 2034'!C45+'Израиль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9.813302483</v>
      </c>
      <c r="J45" s="34">
        <f>SUMIFS('Эффекты технологий'!$S$25:$S$240,'Эффекты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2034'!B46+'Израиль 2034'!D46+('Израиль 2034'!C46+'Израиль 2034'!F46+'Израиль 2034'!G46)+(0.35*LN(1+0.6*'Ход 2034'!B52)*POWER(MAX(0,1-'Израиль 2034'!I46/10),0.7))))</f>
        <v>9.269707838</v>
      </c>
      <c r="C46" s="12">
        <f>MIN(1,(MIN(1,'Израиль 2034'!C46+'Израиль 2034'!F46+(0.08*LN(1+0.5*'Ход 2034'!C52)*MAX(0,1-('Израиль 2034'!C46+'Израиль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9.269707838</v>
      </c>
      <c r="J46" s="34">
        <f>SUMIFS('Эффекты технологий'!$S$25:$S$240,'Эффекты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2034'!B47+'Израиль 2034'!D47+('Израиль 2034'!C47+'Израиль 2034'!F47+'Израиль 2034'!G47)+(0.35*LN(1+0.6*'Ход 2034'!B53)*POWER(MAX(0,1-'Израиль 2034'!I47/10),0.7))))</f>
        <v>9.340247163</v>
      </c>
      <c r="C47" s="12">
        <f>MIN(1,(MIN(1,'Израиль 2034'!C47+'Израиль 2034'!F47+(0.08*LN(1+0.5*'Ход 2034'!C53)*MAX(0,1-('Израиль 2034'!C47+'Израиль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9.340247163</v>
      </c>
      <c r="J47" s="34">
        <f>SUMIFS('Эффекты технологий'!$S$25:$S$240,'Эффекты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2034'!B48+'Израиль 2034'!D48+('Израиль 2034'!C48+'Израиль 2034'!F48+'Израиль 2034'!G48)+(0.35*LN(1+0.6*'Ход 2034'!B54)*POWER(MAX(0,1-'Израиль 2034'!I48/10),0.7))))</f>
        <v>7.340247163</v>
      </c>
      <c r="C48" s="12">
        <f>MIN(1,(MIN(1,'Израиль 2034'!C48+'Израиль 2034'!F48+(0.08*LN(1+0.5*'Ход 2034'!C54)*MAX(0,1-('Израиль 2034'!C48+'Израиль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7.340247163</v>
      </c>
      <c r="J48" s="34">
        <f>SUMIFS('Эффекты технологий'!$S$25:$S$240,'Эффекты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2034'!B49+'Израиль 2034'!D49+('Израиль 2034'!C49+'Израиль 2034'!F49+'Израиль 2034'!G49)+(0.35*LN(1+0.6*'Ход 2034'!B55)*POWER(MAX(0,1-'Израиль 2034'!I49/10),0.7))))</f>
        <v>10</v>
      </c>
      <c r="C49" s="12">
        <f>MIN(1,(MIN(1,'Израиль 2034'!C49+'Израиль 2034'!F49+(0.08*LN(1+0.5*'Ход 2034'!C55)*MAX(0,1-('Израиль 2034'!C49+'Израиль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технологий'!$S$25:$S$240,'Эффекты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2034'!B50+'Израиль 2034'!D50+('Израиль 2034'!C50+'Израиль 2034'!F50+'Израиль 2034'!G50)+(0.35*LN(1+0.6*'Ход 2034'!B56)*POWER(MAX(0,1-'Израиль 2034'!I50/10),0.7))))</f>
        <v>9.840247163</v>
      </c>
      <c r="C50" s="12">
        <f>MIN(1,(MIN(1,'Израиль 2034'!C50+'Израиль 2034'!F50+(0.08*LN(1+0.5*'Ход 2034'!C56)*MAX(0,1-('Израиль 2034'!C50+'Израиль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9.840247163</v>
      </c>
      <c r="J50" s="34">
        <f>SUMIFS('Эффекты технологий'!$S$25:$S$240,'Эффекты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2034'!B51+'Израиль 2034'!D51+('Израиль 2034'!C51+'Израиль 2034'!F51+'Израиль 2034'!G51)+(0.35*LN(1+0.6*'Ход 2034'!B57)*POWER(MAX(0,1-'Израиль 2034'!I51/10),0.7))))</f>
        <v>9.769707838</v>
      </c>
      <c r="C51" s="12">
        <f>MIN(1,(MIN(1,'Израиль 2034'!C51+'Израиль 2034'!F51+(0.08*LN(1+0.5*'Ход 2034'!C57)*MAX(0,1-('Израиль 2034'!C51+'Израиль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9.769707838</v>
      </c>
      <c r="J51" s="34">
        <f>SUMIFS('Эффекты технологий'!$S$25:$S$240,'Эффекты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2034'!B53+'Израиль 2034'!D53+('Израиль 2034'!C53+'Израиль 2034'!F53+'Израиль 2034'!G53)+(0.35*LN(1+0.6*'Ход 2034'!B59)*POWER(MAX(0,1-'Израиль 2034'!I53/10),0.7))))</f>
        <v>9.769707838</v>
      </c>
      <c r="C53" s="12">
        <f>MIN(1,(MIN(1,'Израиль 2034'!C53+'Израиль 2034'!F53+(0.08*LN(1+0.5*'Ход 2034'!C59)*MAX(0,1-('Израиль 2034'!C53+'Израиль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9.769707838</v>
      </c>
      <c r="J53" s="34">
        <f>SUMIFS('Эффекты технологий'!$S$25:$S$240,'Эффекты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2034'!B54+'Израиль 2034'!D54+('Израиль 2034'!C54+'Израиль 2034'!F54+'Израиль 2034'!G54)+(0.35*LN(1+0.6*'Ход 2034'!B60)*POWER(MAX(0,1-'Израиль 2034'!I54/10),0.7))))</f>
        <v>9.769707838</v>
      </c>
      <c r="C54" s="12">
        <f>MIN(1,(MIN(1,'Израиль 2034'!C54+'Израиль 2034'!F54+(0.08*LN(1+0.5*'Ход 2034'!C60)*MAX(0,1-('Израиль 2034'!C54+'Израиль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9.769707838</v>
      </c>
      <c r="J54" s="34">
        <f>SUMIFS('Эффекты технологий'!$S$25:$S$240,'Эффекты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2034'!B55+'Израиль 2034'!D55+('Израиль 2034'!C55+'Израиль 2034'!F55+'Израиль 2034'!G55)+(0.35*LN(1+0.6*'Ход 2034'!B61)*POWER(MAX(0,1-'Израиль 2034'!I55/10),0.7))))</f>
        <v>8.769707838</v>
      </c>
      <c r="C55" s="12">
        <f>MIN(1,(MIN(1,'Израиль 2034'!C55+'Израиль 2034'!F55+(0.08*LN(1+0.5*'Ход 2034'!C61)*MAX(0,1-('Израиль 2034'!C55+'Израиль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8.769707838</v>
      </c>
      <c r="J55" s="34">
        <f>SUMIFS('Эффекты технологий'!$S$25:$S$240,'Эффекты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2035'!U6</f>
        <v>97.7923091</v>
      </c>
      <c r="C6" s="12"/>
      <c r="D6" s="12"/>
      <c r="E6" s="12" t="s">
        <v>16</v>
      </c>
      <c r="F6" s="19">
        <f>'Израиль 2035'!K6</f>
        <v>94.17785717</v>
      </c>
      <c r="G6" s="12"/>
      <c r="H6" s="12"/>
      <c r="I6" s="12" t="s">
        <v>16</v>
      </c>
      <c r="J6" s="19">
        <f>'Израиль 2035'!N6</f>
        <v>99.46003804</v>
      </c>
      <c r="K6" s="12"/>
      <c r="L6" s="12"/>
      <c r="M6" s="12" t="s">
        <v>16</v>
      </c>
      <c r="N6" s="19">
        <f>'Израиль 2035'!Q6</f>
        <v>82.8948759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97.7923091</v>
      </c>
      <c r="C8" s="12" t="str">
        <f>IF(B8&lt;0,"ПРЕВЫШЕНИЕ","OK")</f>
        <v>OK</v>
      </c>
      <c r="D8" s="12"/>
      <c r="E8" s="12" t="s">
        <v>94</v>
      </c>
      <c r="F8" s="19">
        <f>F6-F7</f>
        <v>94.17785717</v>
      </c>
      <c r="G8" s="12" t="str">
        <f>IF(F8&lt;0,"ПРЕВЫШЕНИЕ","OK")</f>
        <v>OK</v>
      </c>
      <c r="H8" s="12"/>
      <c r="I8" s="12" t="s">
        <v>94</v>
      </c>
      <c r="J8" s="19">
        <f>J6-J7</f>
        <v>99.46003804</v>
      </c>
      <c r="K8" s="12" t="str">
        <f>IF(J8&lt;0,"ПРЕВЫШЕНИЕ","OK")</f>
        <v>OK</v>
      </c>
      <c r="L8" s="12"/>
      <c r="M8" s="12" t="s">
        <v>94</v>
      </c>
      <c r="N8" s="19">
        <f>N6-N7</f>
        <v>82.8948759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2035'!V11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2035'!V12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2035'!V13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2035'!V14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2035'!V15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2035'!V16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2035'!V17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2035'!V18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2035'!V19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2035'!V20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2035'!V21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2035'!V22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технологий'!S$16</f>
        <v>0</v>
      </c>
      <c r="H25" s="29">
        <f>'Эффекты технологий'!S$17</f>
        <v>0</v>
      </c>
      <c r="I25" s="29">
        <f>'Эффекты технологий'!S$18</f>
        <v>0</v>
      </c>
      <c r="J25" s="30"/>
      <c r="K25" s="12"/>
      <c r="L25" s="12" t="s">
        <v>152</v>
      </c>
      <c r="M25" s="12">
        <f>'Израиль 2035'!V23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2035'!V24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2035'!V25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2035'!V26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IF(G29="","",VLOOKUP(G29,'Технологии'!$A$11:$BF$50,53,FALSE))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IF(G30="","",VLOOKUP(G30,'Технологии'!$A$11:$BF$50,53,FALSE))</f>
        <v/>
      </c>
      <c r="L30" s="12"/>
      <c r="M30" s="12"/>
      <c r="N30" s="30" t="s">
        <v>151</v>
      </c>
      <c r="O30" s="29">
        <f>'Эффекты технологий'!S$13</f>
        <v>0</v>
      </c>
      <c r="P30" s="29">
        <f>'Эффекты технологий'!S$14</f>
        <v>0</v>
      </c>
      <c r="Q30" s="29">
        <f>'Эффекты технологий'!S$15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IF(G31="","",VLOOKUP(G31,'Технологии'!$A$11:$BF$50,53,FALSE))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IF(G32="","",VLOOKUP(G32,'Технологии'!$A$11:$BF$50,53,FALSE))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IF(G33="","",VLOOKUP(G33,'Технологии'!$A$11:$BF$50,53,FALSE))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IF(G34="","",VLOOKUP(G34,'Технологии'!$A$11:$BF$50,53,FALSE))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IF(G35="","",VLOOKUP(G35,'Технологии'!$A$11:$BF$50,53,FALSE))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IF(G36="","",VLOOKUP(G36,'Технологии'!$A$11:$BF$50,53,FALSE))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IF(G37="","",VLOOKUP(G37,'Технологии'!$A$11:$BF$50,53,FALSE))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IF(G38="","",VLOOKUP(G38,'Технологии'!$A$11:$BF$50,53,FALSE))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94.55338429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99.82825691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83.32590376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98.14500521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2035'!B8+'Израиль 2035'!D8+('Израиль 2035'!C8+'Израиль 2035'!F8+'Израиль 2035'!G8)+(0.35*LN(1+0.6*('Ход 2035'!B14*(1+'Эффекты технологий'!S$12)))*POWER(MAX(0,1-'Израиль 2035'!I8/10),0.7))))</f>
        <v>3.699694438</v>
      </c>
      <c r="C8" s="12">
        <f>MIN(1,(MIN(1,'Израиль 2035'!C8+'Израиль 2035'!F8+(0.08*LN(1+0.5*('Ход 2035'!C14*(1+'Эффекты технологий'!S$12)))*MAX(0,1-('Израиль 2035'!C8+'Израиль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3.549694438</v>
      </c>
      <c r="J8" s="34">
        <f>SUMIFS('Эффекты технологий'!$T$25:$T$240,'Эффекты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2035'!B9+'Израиль 2035'!D9+('Израиль 2035'!C9+'Израиль 2035'!F9+'Израиль 2035'!G9)+(0.35*LN(1+0.6*('Ход 2035'!B15*(1+'Эффекты технологий'!S$12)))*POWER(MAX(0,1-'Израиль 2035'!I9/10),0.7))))</f>
        <v>8.110352511</v>
      </c>
      <c r="C9" s="12">
        <f>MIN(1,(MIN(1,'Израиль 2035'!C9+'Израиль 2035'!F9+(0.08*LN(1+0.5*('Ход 2035'!C15*(1+'Эффекты технологий'!S$12)))*MAX(0,1-('Израиль 2035'!C9+'Израиль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8.110352511</v>
      </c>
      <c r="J9" s="34">
        <f>SUMIFS('Эффекты технологий'!$T$25:$T$240,'Эффекты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2035'!B10+'Израиль 2035'!D10+('Израиль 2035'!C10+'Израиль 2035'!F10+'Израиль 2035'!G10)+(0.35*LN(1+0.6*('Ход 2035'!B16*(1+'Эффекты технологий'!S$12)))*POWER(MAX(0,1-'Израиль 2035'!I10/10),0.7))))</f>
        <v>7.985557377</v>
      </c>
      <c r="C10" s="12">
        <f>MIN(1,(MIN(1,'Израиль 2035'!C10+'Израиль 2035'!F10+(0.08*LN(1+0.5*('Ход 2035'!C16*(1+'Эффекты технологий'!S$12)))*MAX(0,1-('Израиль 2035'!C10+'Израиль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7.985557377</v>
      </c>
      <c r="J10" s="34">
        <f>SUMIFS('Эффекты технологий'!$T$25:$T$240,'Эффекты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2035'!B11+'Израиль 2035'!D11+('Израиль 2035'!C11+'Израиль 2035'!F11+'Израиль 2035'!G11)+(0.35*LN(1+0.6*('Ход 2035'!B17*(1+'Эффекты технологий'!S$12)))*POWER(MAX(0,1-'Израиль 2035'!I11/10),0.7))))</f>
        <v>9.551144312</v>
      </c>
      <c r="C11" s="12">
        <f>MIN(1,(MIN(1,'Израиль 2035'!C11+'Израиль 2035'!F11+(0.08*LN(1+0.5*('Ход 2035'!C17*(1+'Эффекты технологий'!S$12)))*MAX(0,1-('Израиль 2035'!C11+'Израиль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9.551144312</v>
      </c>
      <c r="J11" s="34">
        <f>SUMIFS('Эффекты технологий'!$T$25:$T$240,'Эффекты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2035'!L11+'Израиль 2035'!N11+('Израиль 2035'!M11+'Израиль 2035'!P11+'Израиль 2035'!Q11)))</f>
        <v>10</v>
      </c>
      <c r="M11" s="12">
        <f>MIN(1,(MIN(1,'Израиль 2035'!M11+'Израиль 2035'!P11+(0.1*LN(1+0.5*('Ход 2035'!H13*(1+'Эффекты технологий'!S$10)))*POWER(MAX(0,1-'Израиль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технологий'!$T$25:$T$240,'Эффекты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2035'!V11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2035'!B12+'Израиль 2035'!D12+('Израиль 2035'!C12+'Израиль 2035'!F12+'Израиль 2035'!G12)+(0.35*LN(1+0.6*('Ход 2035'!B18*(1+'Эффекты технологий'!S$12)))*POWER(MAX(0,1-'Израиль 2035'!I12/10),0.7))))</f>
        <v>4.189599283</v>
      </c>
      <c r="C12" s="12">
        <f>MIN(1,(MIN(1,'Израиль 2035'!C12+'Израиль 2035'!F12+(0.08*LN(1+0.5*('Ход 2035'!C18*(1+'Эффекты технологий'!S$12)))*MAX(0,1-('Израиль 2035'!C12+'Израиль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4.189599283</v>
      </c>
      <c r="J12" s="34">
        <f>SUMIFS('Эффекты технологий'!$T$25:$T$240,'Эффекты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2035'!L12+'Израиль 2035'!N12+('Израиль 2035'!M12+'Израиль 2035'!P12+'Израиль 2035'!Q12)))</f>
        <v>10</v>
      </c>
      <c r="M12" s="12">
        <f>MIN(1,(MIN(1,'Израиль 2035'!M12+'Израиль 2035'!P12+(0.1*LN(1+0.5*('Ход 2035'!H14*(1+'Эффекты технологий'!S$10)))*POWER(MAX(0,1-'Израиль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технологий'!$T$25:$T$240,'Эффекты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2035'!V12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2035'!B13+'Израиль 2035'!D13+('Израиль 2035'!C13+'Израиль 2035'!F13+'Израиль 2035'!G13)+(0.35*LN(1+0.6*('Ход 2035'!B19*(1+'Эффекты технологий'!S$12)))*POWER(MAX(0,1-'Израиль 2035'!I13/10),0.7))))</f>
        <v>9.345275084</v>
      </c>
      <c r="C13" s="12">
        <f>MIN(1,(MIN(1,'Израиль 2035'!C13+'Израиль 2035'!F13+(0.08*LN(1+0.5*('Ход 2035'!C19*(1+'Эффекты технологий'!S$12)))*MAX(0,1-('Израиль 2035'!C13+'Израиль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9.345275084</v>
      </c>
      <c r="J13" s="34">
        <f>SUMIFS('Эффекты технологий'!$T$25:$T$240,'Эффекты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2035'!L13+'Израиль 2035'!N13+('Израиль 2035'!M13+'Израиль 2035'!P13+'Израиль 2035'!Q13)))</f>
        <v>10</v>
      </c>
      <c r="M13" s="12">
        <f>MIN(1,(MIN(1,'Израиль 2035'!M13+'Израиль 2035'!P13+(0.1*LN(1+0.5*('Ход 2035'!H15*(1+'Эффекты технологий'!S$10)))*POWER(MAX(0,1-'Израиль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технологий'!$T$25:$T$240,'Эффекты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2035'!V13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2035'!B14+'Израиль 2035'!D14+('Израиль 2035'!C14+'Израиль 2035'!F14+'Израиль 2035'!G14)+(0.35*LN(1+0.6*('Ход 2035'!B20*(1+'Эффекты технологий'!S$12)))*POWER(MAX(0,1-'Израиль 2035'!I14/10),0.7))))</f>
        <v>10</v>
      </c>
      <c r="C14" s="12">
        <f>MIN(1,(MIN(1,'Израиль 2035'!C14+'Израиль 2035'!F14+(0.08*LN(1+0.5*('Ход 2035'!C20*(1+'Эффекты технологий'!S$12)))*MAX(0,1-('Израиль 2035'!C14+'Израиль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технологий'!$T$25:$T$240,'Эффекты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2035'!L14+'Израиль 2035'!N14+('Израиль 2035'!M14+'Израиль 2035'!P14+'Израиль 2035'!Q14)))</f>
        <v>10</v>
      </c>
      <c r="M14" s="12">
        <f>MIN(1,(MIN(1,'Израиль 2035'!M14+'Израиль 2035'!P14+(0.1*LN(1+0.5*('Ход 2035'!H16*(1+'Эффекты технологий'!S$10)))*POWER(MAX(0,1-'Израиль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технологий'!$T$25:$T$240,'Эффекты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2035'!V14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2035'!B15+'Израиль 2035'!D15+('Израиль 2035'!C15+'Израиль 2035'!F15+'Израиль 2035'!G15)+(0.35*LN(1+0.6*('Ход 2035'!B21*(1+'Эффекты технологий'!S$12)))*POWER(MAX(0,1-'Израиль 2035'!I15/10),0.7))))</f>
        <v>10</v>
      </c>
      <c r="C15" s="12">
        <f>MIN(1,(MIN(1,'Израиль 2035'!C15+'Израиль 2035'!F15+(0.08*LN(1+0.5*('Ход 2035'!C21*(1+'Эффекты технологий'!S$12)))*MAX(0,1-('Израиль 2035'!C15+'Израиль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технологий'!$T$25:$T$240,'Эффекты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2035'!L15+'Израиль 2035'!N15+('Израиль 2035'!M15+'Израиль 2035'!P15+'Израиль 2035'!Q15)))</f>
        <v>10</v>
      </c>
      <c r="M15" s="12">
        <f>MIN(1,(MIN(1,'Израиль 2035'!M15+'Израиль 2035'!P15+(0.1*LN(1+0.5*('Ход 2035'!H17*(1+'Эффекты технологий'!S$10)))*POWER(MAX(0,1-'Израиль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технологий'!$T$25:$T$240,'Эффекты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2035'!V15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2035'!B16+'Израиль 2035'!D16+('Израиль 2035'!C16+'Израиль 2035'!F16+'Израиль 2035'!G16)+(0.35*LN(1+0.6*('Ход 2035'!B22*(1+'Эффекты технологий'!S$12)))*POWER(MAX(0,1-'Израиль 2035'!I16/10),0.7))))</f>
        <v>9.810481077</v>
      </c>
      <c r="C16" s="12">
        <f>MIN(1,(MIN(1,'Израиль 2035'!C16+'Израиль 2035'!F16+(0.08*LN(1+0.5*('Ход 2035'!C22*(1+'Эффекты технологий'!S$12)))*MAX(0,1-('Израиль 2035'!C16+'Израиль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9.810481077</v>
      </c>
      <c r="J16" s="34">
        <f>SUMIFS('Эффекты технологий'!$T$25:$T$240,'Эффекты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2035'!L16+'Израиль 2035'!N16+('Израиль 2035'!M16+'Израиль 2035'!P16+'Израиль 2035'!Q16)))</f>
        <v>10</v>
      </c>
      <c r="M16" s="12">
        <f>MIN(1,(MIN(1,'Израиль 2035'!M16+'Израиль 2035'!P16+(0.1*LN(1+0.5*('Ход 2035'!H18*(1+'Эффекты технологий'!S$10)))*POWER(MAX(0,1-'Израиль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технологий'!$T$25:$T$240,'Эффекты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2035'!V16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2035'!B17+'Израиль 2035'!D17+('Израиль 2035'!C17+'Израиль 2035'!F17+'Израиль 2035'!G17)+(0.35*LN(1+0.6*('Ход 2035'!B23*(1+'Эффекты технологий'!S$12)))*POWER(MAX(0,1-'Израиль 2035'!I17/10),0.7))))</f>
        <v>8.597130438</v>
      </c>
      <c r="C17" s="12">
        <f>MIN(1,(MIN(1,'Израиль 2035'!C17+'Израиль 2035'!F17+(0.08*LN(1+0.5*('Ход 2035'!C23*(1+'Эффекты технологий'!S$12)))*MAX(0,1-('Израиль 2035'!C17+'Израиль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8.597130438</v>
      </c>
      <c r="J17" s="34">
        <f>SUMIFS('Эффекты технологий'!$T$25:$T$240,'Эффекты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2035'!L17+'Израиль 2035'!N17+('Израиль 2035'!M17+'Израиль 2035'!P17+'Израиль 2035'!Q17)))</f>
        <v>10</v>
      </c>
      <c r="M17" s="12">
        <f>MIN(1,(MIN(1,'Израиль 2035'!M17+'Израиль 2035'!P17+(0.1*LN(1+0.5*('Ход 2035'!H19*(1+'Эффекты технологий'!S$10)))*POWER(MAX(0,1-'Израиль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технологий'!$T$25:$T$240,'Эффекты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2035'!V17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2035'!L18+'Израиль 2035'!N18+('Израиль 2035'!M18+'Израиль 2035'!P18+'Израиль 2035'!Q18)))</f>
        <v>10</v>
      </c>
      <c r="M18" s="12">
        <f>MIN(1,(MIN(1,'Израиль 2035'!M18+'Израиль 2035'!P18+(0.1*LN(1+0.5*('Ход 2035'!H20*(1+'Эффекты технологий'!S$10)))*POWER(MAX(0,1-'Израиль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технологий'!$T$25:$T$240,'Эффекты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2035'!V18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2035'!B19+'Израиль 2035'!D19+('Израиль 2035'!C19+'Израиль 2035'!F19+'Израиль 2035'!G19)+(0.35*LN(1+0.6*'Ход 2035'!B25)*POWER(MAX(0,1-'Израиль 2035'!I19/10),0.7))))</f>
        <v>10</v>
      </c>
      <c r="C19" s="12">
        <f>MIN(1,(MIN(1,'Израиль 2035'!C19+'Израиль 2035'!F19+(0.08*LN(1+0.5*'Ход 2035'!C25)*MAX(0,1-('Израиль 2035'!C19+'Израиль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технологий'!$T$25:$T$240,'Эффекты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2035'!V19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2035'!B20+'Израиль 2035'!D20+('Израиль 2035'!C20+'Израиль 2035'!F20+'Израиль 2035'!G20)+(0.35*LN(1+0.6*'Ход 2035'!B26)*POWER(MAX(0,1-'Израиль 2035'!I20/10),0.7))))</f>
        <v>10</v>
      </c>
      <c r="C20" s="12">
        <f>MIN(1,(MIN(1,'Израиль 2035'!C20+'Израиль 2035'!F20+(0.08*LN(1+0.5*'Ход 2035'!C26)*MAX(0,1-('Израиль 2035'!C20+'Израиль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технологий'!$T$25:$T$240,'Эффекты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2035'!V20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2035'!B21+'Израиль 2035'!D21+('Израиль 2035'!C21+'Израиль 2035'!F21+'Израиль 2035'!G21)+(0.35*LN(1+0.6*'Ход 2035'!B27)*POWER(MAX(0,1-'Израиль 2035'!I21/10),0.7))))</f>
        <v>10</v>
      </c>
      <c r="C21" s="12">
        <f>MIN(1,(MIN(1,'Израиль 2035'!C21+'Израиль 2035'!F21+(0.08*LN(1+0.5*'Ход 2035'!C27)*MAX(0,1-('Израиль 2035'!C21+'Израиль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технологий'!$T$25:$T$240,'Эффекты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2035'!V21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2035'!B22+'Израиль 2035'!D22+('Израиль 2035'!C22+'Израиль 2035'!F22+'Израиль 2035'!G22)+(0.35*LN(1+0.6*'Ход 2035'!B28)*POWER(MAX(0,1-'Израиль 2035'!I22/10),0.7))))</f>
        <v>10</v>
      </c>
      <c r="C22" s="12">
        <f>MIN(1,(MIN(1,'Израиль 2035'!C22+'Израиль 2035'!F22+(0.08*LN(1+0.5*'Ход 2035'!C28)*MAX(0,1-('Израиль 2035'!C22+'Израиль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технологий'!$T$25:$T$240,'Эффекты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2035'!V22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2035'!B23+'Израиль 2035'!D23+('Израиль 2035'!C23+'Израиль 2035'!F23+'Израиль 2035'!G23)+(0.35*LN(1+0.6*'Ход 2035'!B29)*POWER(MAX(0,1-'Израиль 2035'!I23/10),0.7))))</f>
        <v>10</v>
      </c>
      <c r="C23" s="12">
        <f>MIN(1,(MIN(1,'Израиль 2035'!C23+'Израиль 2035'!F23+(0.08*LN(1+0.5*'Ход 2035'!C29)*MAX(0,1-('Израиль 2035'!C23+'Израиль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технологий'!$T$25:$T$240,'Эффекты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2035'!V23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2035'!V24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2035'!B25+'Израиль 2035'!D25+('Израиль 2035'!C25+'Израиль 2035'!F25+'Израиль 2035'!G25)+(0.35*LN(1+0.6*'Ход 2035'!B31)*POWER(MAX(0,1-'Израиль 2035'!I25/10),0.7))))</f>
        <v>9.08308418</v>
      </c>
      <c r="C25" s="12">
        <f>MIN(1,(MIN(1,'Израиль 2035'!C25+'Израиль 2035'!F25+(0.08*LN(1+0.5*'Ход 2035'!C31)*MAX(0,1-('Израиль 2035'!C25+'Израиль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9.08308418</v>
      </c>
      <c r="J25" s="34">
        <f>SUMIFS('Эффекты технологий'!$T$25:$T$240,'Эффекты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2035'!V25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2035'!B26+'Израиль 2035'!D26+('Израиль 2035'!C26+'Израиль 2035'!F26+'Израиль 2035'!G26)+(0.35*LN(1+0.6*'Ход 2035'!B32)*POWER(MAX(0,1-'Израиль 2035'!I26/10),0.7))))</f>
        <v>10</v>
      </c>
      <c r="C26" s="12">
        <f>MIN(1,(MIN(1,'Израиль 2035'!C26+'Израиль 2035'!F26+(0.08*LN(1+0.5*'Ход 2035'!C32)*MAX(0,1-('Израиль 2035'!C26+'Израиль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технологий'!$T$25:$T$240,'Эффекты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2035'!V26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2035'!B27+'Израиль 2035'!D27+('Израиль 2035'!C27+'Израиль 2035'!F27+'Израиль 2035'!G27)+(0.35*LN(1+0.6*'Ход 2035'!B33)*POWER(MAX(0,1-'Израиль 2035'!I27/10),0.7))))</f>
        <v>9.567929939</v>
      </c>
      <c r="C27" s="12">
        <f>MIN(1,(MIN(1,'Израиль 2035'!C27+'Израиль 2035'!F27+(0.08*LN(1+0.5*'Ход 2035'!C33)*MAX(0,1-('Израиль 2035'!C27+'Израиль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9.567929939</v>
      </c>
      <c r="J27" s="34">
        <f>SUMIFS('Эффекты технологий'!$T$25:$T$240,'Эффекты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2035'!B28+'Израиль 2035'!D28+('Израиль 2035'!C28+'Израиль 2035'!F28+'Израиль 2035'!G28)+(0.35*LN(1+0.6*'Ход 2035'!B34)*POWER(MAX(0,1-'Израиль 2035'!I28/10),0.7))))</f>
        <v>10</v>
      </c>
      <c r="C28" s="12">
        <f>MIN(1,(MIN(1,'Израиль 2035'!C28+'Израиль 2035'!F28+(0.08*LN(1+0.5*'Ход 2035'!C34)*MAX(0,1-('Израиль 2035'!C28+'Израиль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технологий'!$T$25:$T$240,'Эффекты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2035'!B29+'Израиль 2035'!D29+('Израиль 2035'!C29+'Израиль 2035'!F29+'Израиль 2035'!G29)+(0.35*LN(1+0.6*'Ход 2035'!B35)*POWER(MAX(0,1-'Израиль 2035'!I29/10),0.7))))</f>
        <v>10</v>
      </c>
      <c r="C29" s="12">
        <f>MIN(1,(MIN(1,'Израиль 2035'!C29+'Израиль 2035'!F29+(0.08*LN(1+0.5*'Ход 2035'!C35)*MAX(0,1-('Израиль 2035'!C29+'Израиль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технологий'!$T$25:$T$240,'Эффекты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2035'!B30+'Израиль 2035'!D30+('Израиль 2035'!C30+'Израиль 2035'!F30+'Израиль 2035'!G30)+(0.35*LN(1+0.6*'Ход 2035'!B36)*POWER(MAX(0,1-'Израиль 2035'!I30/10),0.7))))</f>
        <v>10</v>
      </c>
      <c r="C30" s="12">
        <f>MIN(1,(MIN(1,'Израиль 2035'!C30+'Израиль 2035'!F30+(0.08*LN(1+0.5*'Ход 2035'!C36)*MAX(0,1-('Израиль 2035'!C30+'Израиль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технологий'!$T$25:$T$240,'Эффекты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2035'!B31+'Израиль 2035'!D31+('Израиль 2035'!C31+'Израиль 2035'!F31+'Израиль 2035'!G31)+(0.35*LN(1+0.6*'Ход 2035'!B37)*POWER(MAX(0,1-'Израиль 2035'!I31/10),0.7))))</f>
        <v>9.567929939</v>
      </c>
      <c r="C31" s="12">
        <f>MIN(1,(MIN(1,'Израиль 2035'!C31+'Израиль 2035'!F31+(0.08*LN(1+0.5*'Ход 2035'!C37)*MAX(0,1-('Израиль 2035'!C31+'Израиль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9.567929939</v>
      </c>
      <c r="J31" s="34">
        <f>SUMIFS('Эффекты технологий'!$T$25:$T$240,'Эффекты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2035'!B32+'Израиль 2035'!D32+('Израиль 2035'!C32+'Израиль 2035'!F32+'Израиль 2035'!G32)+(0.35*LN(1+0.6*'Ход 2035'!B38)*POWER(MAX(0,1-'Израиль 2035'!I32/10),0.7))))</f>
        <v>10</v>
      </c>
      <c r="C32" s="12">
        <f>MIN(1,(MIN(1,'Израиль 2035'!C32+'Израиль 2035'!F32+(0.08*LN(1+0.5*'Ход 2035'!C38)*MAX(0,1-('Израиль 2035'!C32+'Израиль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технологий'!$T$25:$T$240,'Эффекты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2035'!B34+'Израиль 2035'!D34+('Израиль 2035'!C34+'Израиль 2035'!F34+'Израиль 2035'!G34)+(0.35*LN(1+0.6*'Ход 2035'!B40)*POWER(MAX(0,1-'Израиль 2035'!I34/10),0.7))))</f>
        <v>10</v>
      </c>
      <c r="C34" s="12">
        <f>MIN(1,(MIN(1,'Израиль 2035'!C34+'Израиль 2035'!F34+(0.08*LN(1+0.5*'Ход 2035'!C40)*MAX(0,1-('Израиль 2035'!C34+'Израиль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технологий'!$T$25:$T$240,'Эффекты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2035'!B35+'Израиль 2035'!D35+('Израиль 2035'!C35+'Израиль 2035'!F35+'Израиль 2035'!G35)+(0.35*LN(1+0.6*'Ход 2035'!B41)*POWER(MAX(0,1-'Израиль 2035'!I35/10),0.7))))</f>
        <v>10</v>
      </c>
      <c r="C35" s="12">
        <f>MIN(1,(MIN(1,'Израиль 2035'!C35+'Израиль 2035'!F35+(0.08*LN(1+0.5*'Ход 2035'!C41)*MAX(0,1-('Израиль 2035'!C35+'Израиль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технологий'!$T$25:$T$240,'Эффекты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2035'!B36+'Израиль 2035'!D36+('Израиль 2035'!C36+'Израиль 2035'!F36+'Израиль 2035'!G36)+(0.35*LN(1+0.6*'Ход 2035'!B42)*POWER(MAX(0,1-'Израиль 2035'!I36/10),0.7))))</f>
        <v>10</v>
      </c>
      <c r="C36" s="12">
        <f>MIN(1,(MIN(1,'Израиль 2035'!C36+'Израиль 2035'!F36+(0.08*LN(1+0.5*'Ход 2035'!C42)*MAX(0,1-('Израиль 2035'!C36+'Израиль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технологий'!$T$25:$T$240,'Эффекты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2035'!B37+'Израиль 2035'!D37+('Израиль 2035'!C37+'Израиль 2035'!F37+'Израиль 2035'!G37)+(0.35*LN(1+0.6*'Ход 2035'!B43)*POWER(MAX(0,1-'Израиль 2035'!I37/10),0.7))))</f>
        <v>10</v>
      </c>
      <c r="C37" s="12">
        <f>MIN(1,(MIN(1,'Израиль 2035'!C37+'Израиль 2035'!F37+(0.08*LN(1+0.5*'Ход 2035'!C43)*MAX(0,1-('Израиль 2035'!C37+'Израиль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технологий'!$T$25:$T$240,'Эффекты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2035'!B38+'Израиль 2035'!D38+('Израиль 2035'!C38+'Израиль 2035'!F38+'Израиль 2035'!G38)+(0.35*LN(1+0.6*'Ход 2035'!B44)*POWER(MAX(0,1-'Израиль 2035'!I38/10),0.7))))</f>
        <v>10</v>
      </c>
      <c r="C38" s="12">
        <f>MIN(1,(MIN(1,'Израиль 2035'!C38+'Израиль 2035'!F38+(0.08*LN(1+0.5*'Ход 2035'!C44)*MAX(0,1-('Израиль 2035'!C38+'Израиль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технологий'!$T$25:$T$240,'Эффекты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2035'!B39+'Израиль 2035'!D39+('Израиль 2035'!C39+'Израиль 2035'!F39+'Израиль 2035'!G39)+(0.35*LN(1+0.6*'Ход 2035'!B45)*POWER(MAX(0,1-'Израиль 2035'!I39/10),0.7))))</f>
        <v>10</v>
      </c>
      <c r="C39" s="12">
        <f>MIN(1,(MIN(1,'Израиль 2035'!C39+'Израиль 2035'!F39+(0.08*LN(1+0.5*'Ход 2035'!C45)*MAX(0,1-('Израиль 2035'!C39+'Израиль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технологий'!$T$25:$T$240,'Эффекты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2035'!B40+'Израиль 2035'!D40+('Израиль 2035'!C40+'Израиль 2035'!F40+'Израиль 2035'!G40)+(0.35*LN(1+0.6*'Ход 2035'!B46)*POWER(MAX(0,1-'Израиль 2035'!I40/10),0.7))))</f>
        <v>10</v>
      </c>
      <c r="C40" s="12">
        <f>MIN(1,(MIN(1,'Израиль 2035'!C40+'Израиль 2035'!F40+(0.08*LN(1+0.5*'Ход 2035'!C46)*MAX(0,1-('Израиль 2035'!C40+'Израиль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технологий'!$T$25:$T$240,'Эффекты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2035'!B41+'Израиль 2035'!D41+('Израиль 2035'!C41+'Израиль 2035'!F41+'Израиль 2035'!G41)+(0.35*LN(1+0.6*'Ход 2035'!B47)*POWER(MAX(0,1-'Израиль 2035'!I41/10),0.7))))</f>
        <v>10</v>
      </c>
      <c r="C41" s="12">
        <f>MIN(1,(MIN(1,'Израиль 2035'!C41+'Израиль 2035'!F41+(0.08*LN(1+0.5*'Ход 2035'!C47)*MAX(0,1-('Израиль 2035'!C41+'Израиль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технологий'!$T$25:$T$240,'Эффекты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2035'!B42+'Израиль 2035'!D42+('Израиль 2035'!C42+'Израиль 2035'!F42+'Израиль 2035'!G42)+(0.35*LN(1+0.6*'Ход 2035'!B48)*POWER(MAX(0,1-'Израиль 2035'!I42/10),0.7))))</f>
        <v>9.939028058</v>
      </c>
      <c r="C42" s="12">
        <f>MIN(1,(MIN(1,'Израиль 2035'!C42+'Израиль 2035'!F42+(0.08*LN(1+0.5*'Ход 2035'!C48)*MAX(0,1-('Израиль 2035'!C42+'Израиль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9.939028058</v>
      </c>
      <c r="J42" s="34">
        <f>SUMIFS('Эффекты технологий'!$T$25:$T$240,'Эффекты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2035'!B44+'Израиль 2035'!D44+('Израиль 2035'!C44+'Израиль 2035'!F44+'Израиль 2035'!G44)+(0.35*LN(1+0.6*'Ход 2035'!B50)*POWER(MAX(0,1-'Израиль 2035'!I44/10),0.7))))</f>
        <v>9.915921318</v>
      </c>
      <c r="C44" s="12">
        <f>MIN(1,(MIN(1,'Израиль 2035'!C44+'Израиль 2035'!F44+(0.08*LN(1+0.5*'Ход 2035'!C50)*MAX(0,1-('Израиль 2035'!C44+'Израиль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9.915921318</v>
      </c>
      <c r="J44" s="34">
        <f>SUMIFS('Эффекты технологий'!$T$25:$T$240,'Эффекты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2035'!B45+'Израиль 2035'!D45+('Израиль 2035'!C45+'Израиль 2035'!F45+'Израиль 2035'!G45)+(0.35*LN(1+0.6*'Ход 2035'!B51)*POWER(MAX(0,1-'Израиль 2035'!I45/10),0.7))))</f>
        <v>9.959515962</v>
      </c>
      <c r="C45" s="12">
        <f>MIN(1,(MIN(1,'Израиль 2035'!C45+'Израиль 2035'!F45+(0.08*LN(1+0.5*'Ход 2035'!C51)*MAX(0,1-('Израиль 2035'!C45+'Израиль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9.959515962</v>
      </c>
      <c r="J45" s="34">
        <f>SUMIFS('Эффекты технологий'!$T$25:$T$240,'Эффекты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2035'!B46+'Израиль 2035'!D46+('Израиль 2035'!C46+'Израиль 2035'!F46+'Израиль 2035'!G46)+(0.35*LN(1+0.6*'Ход 2035'!B52)*POWER(MAX(0,1-'Израиль 2035'!I46/10),0.7))))</f>
        <v>9.415921318</v>
      </c>
      <c r="C46" s="12">
        <f>MIN(1,(MIN(1,'Израиль 2035'!C46+'Израиль 2035'!F46+(0.08*LN(1+0.5*'Ход 2035'!C52)*MAX(0,1-('Израиль 2035'!C46+'Израиль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9.415921318</v>
      </c>
      <c r="J46" s="34">
        <f>SUMIFS('Эффекты технологий'!$T$25:$T$240,'Эффекты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2035'!B47+'Израиль 2035'!D47+('Израиль 2035'!C47+'Израиль 2035'!F47+'Израиль 2035'!G47)+(0.35*LN(1+0.6*'Ход 2035'!B53)*POWER(MAX(0,1-'Израиль 2035'!I47/10),0.7))))</f>
        <v>9.439028058</v>
      </c>
      <c r="C47" s="12">
        <f>MIN(1,(MIN(1,'Израиль 2035'!C47+'Израиль 2035'!F47+(0.08*LN(1+0.5*'Ход 2035'!C53)*MAX(0,1-('Израиль 2035'!C47+'Израиль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9.439028058</v>
      </c>
      <c r="J47" s="34">
        <f>SUMIFS('Эффекты технологий'!$T$25:$T$240,'Эффекты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2035'!B48+'Израиль 2035'!D48+('Израиль 2035'!C48+'Израиль 2035'!F48+'Израиль 2035'!G48)+(0.35*LN(1+0.6*'Ход 2035'!B54)*POWER(MAX(0,1-'Израиль 2035'!I48/10),0.7))))</f>
        <v>7.439028058</v>
      </c>
      <c r="C48" s="12">
        <f>MIN(1,(MIN(1,'Израиль 2035'!C48+'Израиль 2035'!F48+(0.08*LN(1+0.5*'Ход 2035'!C54)*MAX(0,1-('Израиль 2035'!C48+'Израиль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7.439028058</v>
      </c>
      <c r="J48" s="34">
        <f>SUMIFS('Эффекты технологий'!$T$25:$T$240,'Эффекты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2035'!B49+'Израиль 2035'!D49+('Израиль 2035'!C49+'Израиль 2035'!F49+'Израиль 2035'!G49)+(0.35*LN(1+0.6*'Ход 2035'!B55)*POWER(MAX(0,1-'Израиль 2035'!I49/10),0.7))))</f>
        <v>10</v>
      </c>
      <c r="C49" s="12">
        <f>MIN(1,(MIN(1,'Израиль 2035'!C49+'Израиль 2035'!F49+(0.08*LN(1+0.5*'Ход 2035'!C55)*MAX(0,1-('Израиль 2035'!C49+'Израиль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технологий'!$T$25:$T$240,'Эффекты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2035'!B50+'Израиль 2035'!D50+('Израиль 2035'!C50+'Израиль 2035'!F50+'Израиль 2035'!G50)+(0.35*LN(1+0.6*'Ход 2035'!B56)*POWER(MAX(0,1-'Израиль 2035'!I50/10),0.7))))</f>
        <v>9.939028058</v>
      </c>
      <c r="C50" s="12">
        <f>MIN(1,(MIN(1,'Израиль 2035'!C50+'Израиль 2035'!F50+(0.08*LN(1+0.5*'Ход 2035'!C56)*MAX(0,1-('Израиль 2035'!C50+'Израиль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9.939028058</v>
      </c>
      <c r="J50" s="34">
        <f>SUMIFS('Эффекты технологий'!$T$25:$T$240,'Эффекты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2035'!B51+'Израиль 2035'!D51+('Израиль 2035'!C51+'Израиль 2035'!F51+'Израиль 2035'!G51)+(0.35*LN(1+0.6*'Ход 2035'!B57)*POWER(MAX(0,1-'Израиль 2035'!I51/10),0.7))))</f>
        <v>9.915921318</v>
      </c>
      <c r="C51" s="12">
        <f>MIN(1,(MIN(1,'Израиль 2035'!C51+'Израиль 2035'!F51+(0.08*LN(1+0.5*'Ход 2035'!C57)*MAX(0,1-('Израиль 2035'!C51+'Израиль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9.915921318</v>
      </c>
      <c r="J51" s="34">
        <f>SUMIFS('Эффекты технологий'!$T$25:$T$240,'Эффекты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2035'!B53+'Израиль 2035'!D53+('Израиль 2035'!C53+'Израиль 2035'!F53+'Израиль 2035'!G53)+(0.35*LN(1+0.6*'Ход 2035'!B59)*POWER(MAX(0,1-'Израиль 2035'!I53/10),0.7))))</f>
        <v>9.915921318</v>
      </c>
      <c r="C53" s="12">
        <f>MIN(1,(MIN(1,'Израиль 2035'!C53+'Израиль 2035'!F53+(0.08*LN(1+0.5*'Ход 2035'!C59)*MAX(0,1-('Израиль 2035'!C53+'Израиль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9.915921318</v>
      </c>
      <c r="J53" s="34">
        <f>SUMIFS('Эффекты технологий'!$T$25:$T$240,'Эффекты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2035'!B54+'Израиль 2035'!D54+('Израиль 2035'!C54+'Израиль 2035'!F54+'Израиль 2035'!G54)+(0.35*LN(1+0.6*'Ход 2035'!B60)*POWER(MAX(0,1-'Израиль 2035'!I54/10),0.7))))</f>
        <v>9.915921318</v>
      </c>
      <c r="C54" s="12">
        <f>MIN(1,(MIN(1,'Израиль 2035'!C54+'Израиль 2035'!F54+(0.08*LN(1+0.5*'Ход 2035'!C60)*MAX(0,1-('Израиль 2035'!C54+'Израиль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9.915921318</v>
      </c>
      <c r="J54" s="34">
        <f>SUMIFS('Эффекты технологий'!$T$25:$T$240,'Эффекты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2035'!B55+'Израиль 2035'!D55+('Израиль 2035'!C55+'Израиль 2035'!F55+'Израиль 2035'!G55)+(0.35*LN(1+0.6*'Ход 2035'!B61)*POWER(MAX(0,1-'Израиль 2035'!I55/10),0.7))))</f>
        <v>8.915921318</v>
      </c>
      <c r="C55" s="12">
        <f>MIN(1,(MIN(1,'Израиль 2035'!C55+'Израиль 2035'!F55+(0.08*LN(1+0.5*'Ход 2035'!C61)*MAX(0,1-('Израиль 2035'!C55+'Израиль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8.915921318</v>
      </c>
      <c r="J55" s="34">
        <f>SUMIFS('Эффекты технологий'!$T$25:$T$240,'Эффекты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2036'!U6</f>
        <v>98.14500521</v>
      </c>
      <c r="C6" s="12"/>
      <c r="D6" s="12"/>
      <c r="E6" s="12" t="s">
        <v>16</v>
      </c>
      <c r="F6" s="19">
        <f>'Израиль 2036'!K6</f>
        <v>94.55338429</v>
      </c>
      <c r="G6" s="12"/>
      <c r="H6" s="12"/>
      <c r="I6" s="12" t="s">
        <v>16</v>
      </c>
      <c r="J6" s="19">
        <f>'Израиль 2036'!N6</f>
        <v>99.82825691</v>
      </c>
      <c r="K6" s="12"/>
      <c r="L6" s="12"/>
      <c r="M6" s="12" t="s">
        <v>16</v>
      </c>
      <c r="N6" s="19">
        <f>'Израиль 2036'!Q6</f>
        <v>83.32590376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98.14500521</v>
      </c>
      <c r="C8" s="12" t="str">
        <f>IF(B8&lt;0,"ПРЕВЫШЕНИЕ","OK")</f>
        <v>OK</v>
      </c>
      <c r="D8" s="12"/>
      <c r="E8" s="12" t="s">
        <v>94</v>
      </c>
      <c r="F8" s="19">
        <f>F6-F7</f>
        <v>94.55338429</v>
      </c>
      <c r="G8" s="12" t="str">
        <f>IF(F8&lt;0,"ПРЕВЫШЕНИЕ","OK")</f>
        <v>OK</v>
      </c>
      <c r="H8" s="12"/>
      <c r="I8" s="12" t="s">
        <v>94</v>
      </c>
      <c r="J8" s="19">
        <f>J6-J7</f>
        <v>99.82825691</v>
      </c>
      <c r="K8" s="12" t="str">
        <f>IF(J8&lt;0,"ПРЕВЫШЕНИЕ","OK")</f>
        <v>OK</v>
      </c>
      <c r="L8" s="12"/>
      <c r="M8" s="12" t="s">
        <v>94</v>
      </c>
      <c r="N8" s="19">
        <f>N6-N7</f>
        <v>83.32590376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2036'!V11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2036'!V12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2036'!V13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2036'!V14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2036'!V15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2036'!V16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2036'!V17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2036'!V18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2036'!V19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2036'!V20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2036'!V21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2036'!V22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технологий'!T$16</f>
        <v>0</v>
      </c>
      <c r="H25" s="29">
        <f>'Эффекты технологий'!T$17</f>
        <v>0</v>
      </c>
      <c r="I25" s="29">
        <f>'Эффекты технологий'!T$18</f>
        <v>0</v>
      </c>
      <c r="J25" s="30"/>
      <c r="K25" s="12"/>
      <c r="L25" s="12" t="s">
        <v>152</v>
      </c>
      <c r="M25" s="12">
        <f>'Израиль 2036'!V23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2036'!V24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2036'!V25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2036'!V26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IF(G29="","",VLOOKUP(G29,'Технологии'!$A$11:$BF$50,54,FALSE))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IF(G30="","",VLOOKUP(G30,'Технологии'!$A$11:$BF$50,54,FALSE))</f>
        <v/>
      </c>
      <c r="L30" s="12"/>
      <c r="M30" s="12"/>
      <c r="N30" s="30" t="s">
        <v>151</v>
      </c>
      <c r="O30" s="29">
        <f>'Эффекты технологий'!T$13</f>
        <v>0</v>
      </c>
      <c r="P30" s="29">
        <f>'Эффекты технологий'!T$14</f>
        <v>0</v>
      </c>
      <c r="Q30" s="29">
        <f>'Эффекты технологий'!T$15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IF(G31="","",VLOOKUP(G31,'Технологии'!$A$11:$BF$50,54,FALSE))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94.86035611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99.857853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83.50231527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98.26023999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2036'!B8+'Израиль 2036'!D8+('Израиль 2036'!C8+'Израиль 2036'!F8+'Израиль 2036'!G8)+(0.35*LN(1+0.6*('Ход 2036'!B14*(1+'Эффекты технологий'!T$12)))*POWER(MAX(0,1-'Израиль 2036'!I8/10),0.7))))</f>
        <v>3.749694438</v>
      </c>
      <c r="C8" s="12">
        <f>MIN(1,(MIN(1,'Израиль 2036'!C8+'Израиль 2036'!F8+(0.08*LN(1+0.5*('Ход 2036'!C14*(1+'Эффекты технологий'!T$12)))*MAX(0,1-('Израиль 2036'!C8+'Израиль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3.599694438</v>
      </c>
      <c r="J8" s="34">
        <f>SUMIFS('Эффекты технологий'!$U$25:$U$240,'Эффекты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2036'!B9+'Израиль 2036'!D9+('Израиль 2036'!C9+'Израиль 2036'!F9+'Израиль 2036'!G9)+(0.35*LN(1+0.6*('Ход 2036'!B15*(1+'Эффекты технологий'!T$12)))*POWER(MAX(0,1-'Израиль 2036'!I9/10),0.7))))</f>
        <v>8.210352511</v>
      </c>
      <c r="C9" s="12">
        <f>MIN(1,(MIN(1,'Израиль 2036'!C9+'Израиль 2036'!F9+(0.08*LN(1+0.5*('Ход 2036'!C15*(1+'Эффекты технологий'!T$12)))*MAX(0,1-('Израиль 2036'!C9+'Израиль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8.210352511</v>
      </c>
      <c r="J9" s="34">
        <f>SUMIFS('Эффекты технологий'!$U$25:$U$240,'Эффекты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2036'!B10+'Израиль 2036'!D10+('Израиль 2036'!C10+'Израиль 2036'!F10+'Израиль 2036'!G10)+(0.35*LN(1+0.6*('Ход 2036'!B16*(1+'Эффекты технологий'!T$12)))*POWER(MAX(0,1-'Израиль 2036'!I10/10),0.7))))</f>
        <v>8.125849713</v>
      </c>
      <c r="C10" s="12">
        <f>MIN(1,(MIN(1,'Израиль 2036'!C10+'Израиль 2036'!F10+(0.08*LN(1+0.5*('Ход 2036'!C16*(1+'Эффекты технологий'!T$12)))*MAX(0,1-('Израиль 2036'!C10+'Израиль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8.125849713</v>
      </c>
      <c r="J10" s="34">
        <f>SUMIFS('Эффекты технологий'!$U$25:$U$240,'Эффекты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2036'!B11+'Израиль 2036'!D11+('Израиль 2036'!C11+'Израиль 2036'!F11+'Израиль 2036'!G11)+(0.35*LN(1+0.6*('Ход 2036'!B17*(1+'Эффекты технологий'!T$12)))*POWER(MAX(0,1-'Израиль 2036'!I11/10),0.7))))</f>
        <v>9.601144312</v>
      </c>
      <c r="C11" s="12">
        <f>MIN(1,(MIN(1,'Израиль 2036'!C11+'Израиль 2036'!F11+(0.08*LN(1+0.5*('Ход 2036'!C17*(1+'Эффекты технологий'!T$12)))*MAX(0,1-('Израиль 2036'!C11+'Израиль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9.601144312</v>
      </c>
      <c r="J11" s="34">
        <f>SUMIFS('Эффекты технологий'!$U$25:$U$240,'Эффекты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2036'!L11+'Израиль 2036'!N11+('Израиль 2036'!M11+'Израиль 2036'!P11+'Израиль 2036'!Q11)))</f>
        <v>10</v>
      </c>
      <c r="M11" s="12">
        <f>MIN(1,(MIN(1,'Израиль 2036'!M11+'Израиль 2036'!P11+(0.1*LN(1+0.5*('Ход 2036'!H13*(1+'Эффекты технологий'!T$10)))*POWER(MAX(0,1-'Израиль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технологий'!$U$25:$U$240,'Эффекты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2036'!V11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2036'!B12+'Израиль 2036'!D12+('Израиль 2036'!C12+'Израиль 2036'!F12+'Израиль 2036'!G12)+(0.35*LN(1+0.6*('Ход 2036'!B18*(1+'Эффекты технологий'!T$12)))*POWER(MAX(0,1-'Израиль 2036'!I12/10),0.7))))</f>
        <v>4.239599283</v>
      </c>
      <c r="C12" s="12">
        <f>MIN(1,(MIN(1,'Израиль 2036'!C12+'Израиль 2036'!F12+(0.08*LN(1+0.5*('Ход 2036'!C18*(1+'Эффекты технологий'!T$12)))*MAX(0,1-('Израиль 2036'!C12+'Израиль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4.239599283</v>
      </c>
      <c r="J12" s="34">
        <f>SUMIFS('Эффекты технологий'!$U$25:$U$240,'Эффекты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2036'!L12+'Израиль 2036'!N12+('Израиль 2036'!M12+'Израиль 2036'!P12+'Израиль 2036'!Q12)))</f>
        <v>10</v>
      </c>
      <c r="M12" s="12">
        <f>MIN(1,(MIN(1,'Израиль 2036'!M12+'Израиль 2036'!P12+(0.1*LN(1+0.5*('Ход 2036'!H14*(1+'Эффекты технологий'!T$10)))*POWER(MAX(0,1-'Израиль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технологий'!$U$25:$U$240,'Эффекты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2036'!V12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2036'!B13+'Израиль 2036'!D13+('Израиль 2036'!C13+'Израиль 2036'!F13+'Израиль 2036'!G13)+(0.35*LN(1+0.6*('Ход 2036'!B19*(1+'Эффекты технологий'!T$12)))*POWER(MAX(0,1-'Израиль 2036'!I13/10),0.7))))</f>
        <v>9.522846712</v>
      </c>
      <c r="C13" s="12">
        <f>MIN(1,(MIN(1,'Израиль 2036'!C13+'Израиль 2036'!F13+(0.08*LN(1+0.5*('Ход 2036'!C19*(1+'Эффекты технологий'!T$12)))*MAX(0,1-('Израиль 2036'!C13+'Израиль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9.522846712</v>
      </c>
      <c r="J13" s="34">
        <f>SUMIFS('Эффекты технологий'!$U$25:$U$240,'Эффекты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2036'!L13+'Израиль 2036'!N13+('Израиль 2036'!M13+'Израиль 2036'!P13+'Израиль 2036'!Q13)))</f>
        <v>10</v>
      </c>
      <c r="M13" s="12">
        <f>MIN(1,(MIN(1,'Израиль 2036'!M13+'Израиль 2036'!P13+(0.1*LN(1+0.5*('Ход 2036'!H15*(1+'Эффекты технологий'!T$10)))*POWER(MAX(0,1-'Израиль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технологий'!$U$25:$U$240,'Эффекты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2036'!V13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2036'!B14+'Израиль 2036'!D14+('Израиль 2036'!C14+'Израиль 2036'!F14+'Израиль 2036'!G14)+(0.35*LN(1+0.6*('Ход 2036'!B20*(1+'Эффекты технологий'!T$12)))*POWER(MAX(0,1-'Израиль 2036'!I14/10),0.7))))</f>
        <v>10</v>
      </c>
      <c r="C14" s="12">
        <f>MIN(1,(MIN(1,'Израиль 2036'!C14+'Израиль 2036'!F14+(0.08*LN(1+0.5*('Ход 2036'!C20*(1+'Эффекты технологий'!T$12)))*MAX(0,1-('Израиль 2036'!C14+'Израиль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технологий'!$U$25:$U$240,'Эффекты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2036'!L14+'Израиль 2036'!N14+('Израиль 2036'!M14+'Израиль 2036'!P14+'Израиль 2036'!Q14)))</f>
        <v>10</v>
      </c>
      <c r="M14" s="12">
        <f>MIN(1,(MIN(1,'Израиль 2036'!M14+'Израиль 2036'!P14+(0.1*LN(1+0.5*('Ход 2036'!H16*(1+'Эффекты технологий'!T$10)))*POWER(MAX(0,1-'Израиль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технологий'!$U$25:$U$240,'Эффекты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2036'!V14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2036'!B15+'Израиль 2036'!D15+('Израиль 2036'!C15+'Израиль 2036'!F15+'Израиль 2036'!G15)+(0.35*LN(1+0.6*('Ход 2036'!B21*(1+'Эффекты технологий'!T$12)))*POWER(MAX(0,1-'Израиль 2036'!I15/10),0.7))))</f>
        <v>10</v>
      </c>
      <c r="C15" s="12">
        <f>MIN(1,(MIN(1,'Израиль 2036'!C15+'Израиль 2036'!F15+(0.08*LN(1+0.5*('Ход 2036'!C21*(1+'Эффекты технологий'!T$12)))*MAX(0,1-('Израиль 2036'!C15+'Израиль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технологий'!$U$25:$U$240,'Эффекты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2036'!L15+'Израиль 2036'!N15+('Израиль 2036'!M15+'Израиль 2036'!P15+'Израиль 2036'!Q15)))</f>
        <v>10</v>
      </c>
      <c r="M15" s="12">
        <f>MIN(1,(MIN(1,'Израиль 2036'!M15+'Израиль 2036'!P15+(0.1*LN(1+0.5*('Ход 2036'!H17*(1+'Эффекты технологий'!T$10)))*POWER(MAX(0,1-'Израиль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технологий'!$U$25:$U$240,'Эффекты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2036'!V15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2036'!B16+'Израиль 2036'!D16+('Израиль 2036'!C16+'Израиль 2036'!F16+'Израиль 2036'!G16)+(0.35*LN(1+0.6*('Ход 2036'!B22*(1+'Эффекты технологий'!T$12)))*POWER(MAX(0,1-'Израиль 2036'!I16/10),0.7))))</f>
        <v>9.985747398</v>
      </c>
      <c r="C16" s="12">
        <f>MIN(1,(MIN(1,'Израиль 2036'!C16+'Израиль 2036'!F16+(0.08*LN(1+0.5*('Ход 2036'!C22*(1+'Эффекты технологий'!T$12)))*MAX(0,1-('Израиль 2036'!C16+'Израиль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9.985747398</v>
      </c>
      <c r="J16" s="34">
        <f>SUMIFS('Эффекты технологий'!$U$25:$U$240,'Эффекты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2036'!L16+'Израиль 2036'!N16+('Израиль 2036'!M16+'Израиль 2036'!P16+'Израиль 2036'!Q16)))</f>
        <v>10</v>
      </c>
      <c r="M16" s="12">
        <f>MIN(1,(MIN(1,'Израиль 2036'!M16+'Израиль 2036'!P16+(0.1*LN(1+0.5*('Ход 2036'!H18*(1+'Эффекты технологий'!T$10)))*POWER(MAX(0,1-'Израиль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технологий'!$U$25:$U$240,'Эффекты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2036'!V16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2036'!B17+'Израиль 2036'!D17+('Израиль 2036'!C17+'Израиль 2036'!F17+'Израиль 2036'!G17)+(0.35*LN(1+0.6*('Ход 2036'!B23*(1+'Эффекты технологий'!T$12)))*POWER(MAX(0,1-'Израиль 2036'!I17/10),0.7))))</f>
        <v>8.697130438</v>
      </c>
      <c r="C17" s="12">
        <f>MIN(1,(MIN(1,'Израиль 2036'!C17+'Израиль 2036'!F17+(0.08*LN(1+0.5*('Ход 2036'!C23*(1+'Эффекты технологий'!T$12)))*MAX(0,1-('Израиль 2036'!C17+'Израиль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8.697130438</v>
      </c>
      <c r="J17" s="34">
        <f>SUMIFS('Эффекты технологий'!$U$25:$U$240,'Эффекты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2036'!L17+'Израиль 2036'!N17+('Израиль 2036'!M17+'Израиль 2036'!P17+'Израиль 2036'!Q17)))</f>
        <v>10</v>
      </c>
      <c r="M17" s="12">
        <f>MIN(1,(MIN(1,'Израиль 2036'!M17+'Израиль 2036'!P17+(0.1*LN(1+0.5*('Ход 2036'!H19*(1+'Эффекты технологий'!T$10)))*POWER(MAX(0,1-'Израиль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технологий'!$U$25:$U$240,'Эффекты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2036'!V17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2036'!L18+'Израиль 2036'!N18+('Израиль 2036'!M18+'Израиль 2036'!P18+'Израиль 2036'!Q18)))</f>
        <v>10</v>
      </c>
      <c r="M18" s="12">
        <f>MIN(1,(MIN(1,'Израиль 2036'!M18+'Израиль 2036'!P18+(0.1*LN(1+0.5*('Ход 2036'!H20*(1+'Эффекты технологий'!T$10)))*POWER(MAX(0,1-'Израиль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технологий'!$U$25:$U$240,'Эффекты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2036'!V18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2036'!B19+'Израиль 2036'!D19+('Израиль 2036'!C19+'Израиль 2036'!F19+'Израиль 2036'!G19)+(0.35*LN(1+0.6*'Ход 2036'!B25)*POWER(MAX(0,1-'Израиль 2036'!I19/10),0.7))))</f>
        <v>10</v>
      </c>
      <c r="C19" s="12">
        <f>MIN(1,(MIN(1,'Израиль 2036'!C19+'Израиль 2036'!F19+(0.08*LN(1+0.5*'Ход 2036'!C25)*MAX(0,1-('Израиль 2036'!C19+'Израиль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технологий'!$U$25:$U$240,'Эффекты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2036'!V19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2036'!B20+'Израиль 2036'!D20+('Израиль 2036'!C20+'Израиль 2036'!F20+'Израиль 2036'!G20)+(0.35*LN(1+0.6*'Ход 2036'!B26)*POWER(MAX(0,1-'Израиль 2036'!I20/10),0.7))))</f>
        <v>10</v>
      </c>
      <c r="C20" s="12">
        <f>MIN(1,(MIN(1,'Израиль 2036'!C20+'Израиль 2036'!F20+(0.08*LN(1+0.5*'Ход 2036'!C26)*MAX(0,1-('Израиль 2036'!C20+'Израиль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технологий'!$U$25:$U$240,'Эффекты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2036'!V20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2036'!B21+'Израиль 2036'!D21+('Израиль 2036'!C21+'Израиль 2036'!F21+'Израиль 2036'!G21)+(0.35*LN(1+0.6*'Ход 2036'!B27)*POWER(MAX(0,1-'Израиль 2036'!I21/10),0.7))))</f>
        <v>10</v>
      </c>
      <c r="C21" s="12">
        <f>MIN(1,(MIN(1,'Израиль 2036'!C21+'Израиль 2036'!F21+(0.08*LN(1+0.5*'Ход 2036'!C27)*MAX(0,1-('Израиль 2036'!C21+'Израиль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технологий'!$U$25:$U$240,'Эффекты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2036'!V21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2036'!B22+'Израиль 2036'!D22+('Израиль 2036'!C22+'Израиль 2036'!F22+'Израиль 2036'!G22)+(0.35*LN(1+0.6*'Ход 2036'!B28)*POWER(MAX(0,1-'Израиль 2036'!I22/10),0.7))))</f>
        <v>10</v>
      </c>
      <c r="C22" s="12">
        <f>MIN(1,(MIN(1,'Израиль 2036'!C22+'Израиль 2036'!F22+(0.08*LN(1+0.5*'Ход 2036'!C28)*MAX(0,1-('Израиль 2036'!C22+'Израиль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технологий'!$U$25:$U$240,'Эффекты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2036'!V22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2036'!B23+'Израиль 2036'!D23+('Израиль 2036'!C23+'Израиль 2036'!F23+'Израиль 2036'!G23)+(0.35*LN(1+0.6*'Ход 2036'!B29)*POWER(MAX(0,1-'Израиль 2036'!I23/10),0.7))))</f>
        <v>10</v>
      </c>
      <c r="C23" s="12">
        <f>MIN(1,(MIN(1,'Израиль 2036'!C23+'Израиль 2036'!F23+(0.08*LN(1+0.5*'Ход 2036'!C29)*MAX(0,1-('Израиль 2036'!C23+'Израиль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технологий'!$U$25:$U$240,'Эффекты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2036'!V23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2036'!V24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2036'!B25+'Израиль 2036'!D25+('Израиль 2036'!C25+'Израиль 2036'!F25+'Израиль 2036'!G25)+(0.35*LN(1+0.6*'Ход 2036'!B31)*POWER(MAX(0,1-'Израиль 2036'!I25/10),0.7))))</f>
        <v>9.18308418</v>
      </c>
      <c r="C25" s="12">
        <f>MIN(1,(MIN(1,'Израиль 2036'!C25+'Израиль 2036'!F25+(0.08*LN(1+0.5*'Ход 2036'!C31)*MAX(0,1-('Израиль 2036'!C25+'Израиль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9.18308418</v>
      </c>
      <c r="J25" s="34">
        <f>SUMIFS('Эффекты технологий'!$U$25:$U$240,'Эффекты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2036'!V25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2036'!B26+'Израиль 2036'!D26+('Израиль 2036'!C26+'Израиль 2036'!F26+'Израиль 2036'!G26)+(0.35*LN(1+0.6*'Ход 2036'!B32)*POWER(MAX(0,1-'Израиль 2036'!I26/10),0.7))))</f>
        <v>10</v>
      </c>
      <c r="C26" s="12">
        <f>MIN(1,(MIN(1,'Израиль 2036'!C26+'Израиль 2036'!F26+(0.08*LN(1+0.5*'Ход 2036'!C32)*MAX(0,1-('Израиль 2036'!C26+'Израиль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технологий'!$U$25:$U$240,'Эффекты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2036'!V26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2036'!B27+'Израиль 2036'!D27+('Израиль 2036'!C27+'Израиль 2036'!F27+'Израиль 2036'!G27)+(0.35*LN(1+0.6*'Ход 2036'!B33)*POWER(MAX(0,1-'Израиль 2036'!I27/10),0.7))))</f>
        <v>9.667929939</v>
      </c>
      <c r="C27" s="12">
        <f>MIN(1,(MIN(1,'Израиль 2036'!C27+'Израиль 2036'!F27+(0.08*LN(1+0.5*'Ход 2036'!C33)*MAX(0,1-('Израиль 2036'!C27+'Израиль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9.667929939</v>
      </c>
      <c r="J27" s="34">
        <f>SUMIFS('Эффекты технологий'!$U$25:$U$240,'Эффекты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2036'!B28+'Израиль 2036'!D28+('Израиль 2036'!C28+'Израиль 2036'!F28+'Израиль 2036'!G28)+(0.35*LN(1+0.6*'Ход 2036'!B34)*POWER(MAX(0,1-'Израиль 2036'!I28/10),0.7))))</f>
        <v>10</v>
      </c>
      <c r="C28" s="12">
        <f>MIN(1,(MIN(1,'Израиль 2036'!C28+'Израиль 2036'!F28+(0.08*LN(1+0.5*'Ход 2036'!C34)*MAX(0,1-('Израиль 2036'!C28+'Израиль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технологий'!$U$25:$U$240,'Эффекты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2036'!B29+'Израиль 2036'!D29+('Израиль 2036'!C29+'Израиль 2036'!F29+'Израиль 2036'!G29)+(0.35*LN(1+0.6*'Ход 2036'!B35)*POWER(MAX(0,1-'Израиль 2036'!I29/10),0.7))))</f>
        <v>10</v>
      </c>
      <c r="C29" s="12">
        <f>MIN(1,(MIN(1,'Израиль 2036'!C29+'Израиль 2036'!F29+(0.08*LN(1+0.5*'Ход 2036'!C35)*MAX(0,1-('Израиль 2036'!C29+'Израиль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технологий'!$U$25:$U$240,'Эффекты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2036'!B30+'Израиль 2036'!D30+('Израиль 2036'!C30+'Израиль 2036'!F30+'Израиль 2036'!G30)+(0.35*LN(1+0.6*'Ход 2036'!B36)*POWER(MAX(0,1-'Израиль 2036'!I30/10),0.7))))</f>
        <v>10</v>
      </c>
      <c r="C30" s="12">
        <f>MIN(1,(MIN(1,'Израиль 2036'!C30+'Израиль 2036'!F30+(0.08*LN(1+0.5*'Ход 2036'!C36)*MAX(0,1-('Израиль 2036'!C30+'Израиль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технологий'!$U$25:$U$240,'Эффекты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2036'!B31+'Израиль 2036'!D31+('Израиль 2036'!C31+'Израиль 2036'!F31+'Израиль 2036'!G31)+(0.35*LN(1+0.6*'Ход 2036'!B37)*POWER(MAX(0,1-'Израиль 2036'!I31/10),0.7))))</f>
        <v>9.667929939</v>
      </c>
      <c r="C31" s="12">
        <f>MIN(1,(MIN(1,'Израиль 2036'!C31+'Израиль 2036'!F31+(0.08*LN(1+0.5*'Ход 2036'!C37)*MAX(0,1-('Израиль 2036'!C31+'Израиль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9.667929939</v>
      </c>
      <c r="J31" s="34">
        <f>SUMIFS('Эффекты технологий'!$U$25:$U$240,'Эффекты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2036'!B32+'Израиль 2036'!D32+('Израиль 2036'!C32+'Израиль 2036'!F32+'Израиль 2036'!G32)+(0.35*LN(1+0.6*'Ход 2036'!B38)*POWER(MAX(0,1-'Израиль 2036'!I32/10),0.7))))</f>
        <v>10</v>
      </c>
      <c r="C32" s="12">
        <f>MIN(1,(MIN(1,'Израиль 2036'!C32+'Израиль 2036'!F32+(0.08*LN(1+0.5*'Ход 2036'!C38)*MAX(0,1-('Израиль 2036'!C32+'Израиль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технологий'!$U$25:$U$240,'Эффекты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2036'!B34+'Израиль 2036'!D34+('Израиль 2036'!C34+'Израиль 2036'!F34+'Израиль 2036'!G34)+(0.35*LN(1+0.6*'Ход 2036'!B40)*POWER(MAX(0,1-'Израиль 2036'!I34/10),0.7))))</f>
        <v>10</v>
      </c>
      <c r="C34" s="12">
        <f>MIN(1,(MIN(1,'Израиль 2036'!C34+'Израиль 2036'!F34+(0.08*LN(1+0.5*'Ход 2036'!C40)*MAX(0,1-('Израиль 2036'!C34+'Израиль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технологий'!$U$25:$U$240,'Эффекты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2036'!B35+'Израиль 2036'!D35+('Израиль 2036'!C35+'Израиль 2036'!F35+'Израиль 2036'!G35)+(0.35*LN(1+0.6*'Ход 2036'!B41)*POWER(MAX(0,1-'Израиль 2036'!I35/10),0.7))))</f>
        <v>10</v>
      </c>
      <c r="C35" s="12">
        <f>MIN(1,(MIN(1,'Израиль 2036'!C35+'Израиль 2036'!F35+(0.08*LN(1+0.5*'Ход 2036'!C41)*MAX(0,1-('Израиль 2036'!C35+'Израиль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технологий'!$U$25:$U$240,'Эффекты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2036'!B36+'Израиль 2036'!D36+('Израиль 2036'!C36+'Израиль 2036'!F36+'Израиль 2036'!G36)+(0.35*LN(1+0.6*'Ход 2036'!B42)*POWER(MAX(0,1-'Израиль 2036'!I36/10),0.7))))</f>
        <v>10</v>
      </c>
      <c r="C36" s="12">
        <f>MIN(1,(MIN(1,'Израиль 2036'!C36+'Израиль 2036'!F36+(0.08*LN(1+0.5*'Ход 2036'!C42)*MAX(0,1-('Израиль 2036'!C36+'Израиль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технологий'!$U$25:$U$240,'Эффекты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2036'!B37+'Израиль 2036'!D37+('Израиль 2036'!C37+'Израиль 2036'!F37+'Израиль 2036'!G37)+(0.35*LN(1+0.6*'Ход 2036'!B43)*POWER(MAX(0,1-'Израиль 2036'!I37/10),0.7))))</f>
        <v>10</v>
      </c>
      <c r="C37" s="12">
        <f>MIN(1,(MIN(1,'Израиль 2036'!C37+'Израиль 2036'!F37+(0.08*LN(1+0.5*'Ход 2036'!C43)*MAX(0,1-('Израиль 2036'!C37+'Израиль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технологий'!$U$25:$U$240,'Эффекты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2036'!B38+'Израиль 2036'!D38+('Израиль 2036'!C38+'Израиль 2036'!F38+'Израиль 2036'!G38)+(0.35*LN(1+0.6*'Ход 2036'!B44)*POWER(MAX(0,1-'Израиль 2036'!I38/10),0.7))))</f>
        <v>10</v>
      </c>
      <c r="C38" s="12">
        <f>MIN(1,(MIN(1,'Израиль 2036'!C38+'Израиль 2036'!F38+(0.08*LN(1+0.5*'Ход 2036'!C44)*MAX(0,1-('Израиль 2036'!C38+'Израиль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технологий'!$U$25:$U$240,'Эффекты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2036'!B39+'Израиль 2036'!D39+('Израиль 2036'!C39+'Израиль 2036'!F39+'Израиль 2036'!G39)+(0.35*LN(1+0.6*'Ход 2036'!B45)*POWER(MAX(0,1-'Израиль 2036'!I39/10),0.7))))</f>
        <v>10</v>
      </c>
      <c r="C39" s="12">
        <f>MIN(1,(MIN(1,'Израиль 2036'!C39+'Израиль 2036'!F39+(0.08*LN(1+0.5*'Ход 2036'!C45)*MAX(0,1-('Израиль 2036'!C39+'Израиль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технологий'!$U$25:$U$240,'Эффекты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2036'!B40+'Израиль 2036'!D40+('Израиль 2036'!C40+'Израиль 2036'!F40+'Израиль 2036'!G40)+(0.35*LN(1+0.6*'Ход 2036'!B46)*POWER(MAX(0,1-'Израиль 2036'!I40/10),0.7))))</f>
        <v>10</v>
      </c>
      <c r="C40" s="12">
        <f>MIN(1,(MIN(1,'Израиль 2036'!C40+'Израиль 2036'!F40+(0.08*LN(1+0.5*'Ход 2036'!C46)*MAX(0,1-('Израиль 2036'!C40+'Израиль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технологий'!$U$25:$U$240,'Эффекты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2036'!B41+'Израиль 2036'!D41+('Израиль 2036'!C41+'Израиль 2036'!F41+'Израиль 2036'!G41)+(0.35*LN(1+0.6*'Ход 2036'!B47)*POWER(MAX(0,1-'Израиль 2036'!I41/10),0.7))))</f>
        <v>10</v>
      </c>
      <c r="C41" s="12">
        <f>MIN(1,(MIN(1,'Израиль 2036'!C41+'Израиль 2036'!F41+(0.08*LN(1+0.5*'Ход 2036'!C47)*MAX(0,1-('Израиль 2036'!C41+'Израиль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технологий'!$U$25:$U$240,'Эффекты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2036'!B42+'Израиль 2036'!D42+('Израиль 2036'!C42+'Израиль 2036'!F42+'Израиль 2036'!G42)+(0.35*LN(1+0.6*'Ход 2036'!B48)*POWER(MAX(0,1-'Израиль 2036'!I42/10),0.7))))</f>
        <v>10</v>
      </c>
      <c r="C42" s="12">
        <f>MIN(1,(MIN(1,'Израиль 2036'!C42+'Израиль 2036'!F42+(0.08*LN(1+0.5*'Ход 2036'!C48)*MAX(0,1-('Израиль 2036'!C42+'Израиль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технологий'!$U$25:$U$240,'Эффекты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2036'!B44+'Израиль 2036'!D44+('Израиль 2036'!C44+'Израиль 2036'!F44+'Израиль 2036'!G44)+(0.35*LN(1+0.6*'Ход 2036'!B50)*POWER(MAX(0,1-'Израиль 2036'!I44/10),0.7))))</f>
        <v>10</v>
      </c>
      <c r="C44" s="12">
        <f>MIN(1,(MIN(1,'Израиль 2036'!C44+'Израиль 2036'!F44+(0.08*LN(1+0.5*'Ход 2036'!C50)*MAX(0,1-('Израиль 2036'!C44+'Израиль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технологий'!$U$25:$U$240,'Эффекты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2036'!B45+'Израиль 2036'!D45+('Израиль 2036'!C45+'Израиль 2036'!F45+'Израиль 2036'!G45)+(0.35*LN(1+0.6*'Ход 2036'!B51)*POWER(MAX(0,1-'Израиль 2036'!I45/10),0.7))))</f>
        <v>10</v>
      </c>
      <c r="C45" s="12">
        <f>MIN(1,(MIN(1,'Израиль 2036'!C45+'Израиль 2036'!F45+(0.08*LN(1+0.5*'Ход 2036'!C51)*MAX(0,1-('Израиль 2036'!C45+'Израиль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технологий'!$U$25:$U$240,'Эффекты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2036'!B46+'Израиль 2036'!D46+('Израиль 2036'!C46+'Израиль 2036'!F46+'Израиль 2036'!G46)+(0.35*LN(1+0.6*'Ход 2036'!B52)*POWER(MAX(0,1-'Израиль 2036'!I46/10),0.7))))</f>
        <v>9.562134798</v>
      </c>
      <c r="C46" s="12">
        <f>MIN(1,(MIN(1,'Израиль 2036'!C46+'Израиль 2036'!F46+(0.08*LN(1+0.5*'Ход 2036'!C52)*MAX(0,1-('Израиль 2036'!C46+'Израиль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9.562134798</v>
      </c>
      <c r="J46" s="34">
        <f>SUMIFS('Эффекты технологий'!$U$25:$U$240,'Эффекты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2036'!B47+'Израиль 2036'!D47+('Израиль 2036'!C47+'Израиль 2036'!F47+'Израиль 2036'!G47)+(0.35*LN(1+0.6*'Ход 2036'!B53)*POWER(MAX(0,1-'Израиль 2036'!I47/10),0.7))))</f>
        <v>9.537808953</v>
      </c>
      <c r="C47" s="12">
        <f>MIN(1,(MIN(1,'Израиль 2036'!C47+'Израиль 2036'!F47+(0.08*LN(1+0.5*'Ход 2036'!C53)*MAX(0,1-('Израиль 2036'!C47+'Израиль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9.537808953</v>
      </c>
      <c r="J47" s="34">
        <f>SUMIFS('Эффекты технологий'!$U$25:$U$240,'Эффекты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2036'!B48+'Израиль 2036'!D48+('Израиль 2036'!C48+'Израиль 2036'!F48+'Израиль 2036'!G48)+(0.35*LN(1+0.6*'Ход 2036'!B54)*POWER(MAX(0,1-'Израиль 2036'!I48/10),0.7))))</f>
        <v>7.537808953</v>
      </c>
      <c r="C48" s="12">
        <f>MIN(1,(MIN(1,'Израиль 2036'!C48+'Израиль 2036'!F48+(0.08*LN(1+0.5*'Ход 2036'!C54)*MAX(0,1-('Израиль 2036'!C48+'Израиль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7.537808953</v>
      </c>
      <c r="J48" s="34">
        <f>SUMIFS('Эффекты технологий'!$U$25:$U$240,'Эффекты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2036'!B49+'Израиль 2036'!D49+('Израиль 2036'!C49+'Израиль 2036'!F49+'Израиль 2036'!G49)+(0.35*LN(1+0.6*'Ход 2036'!B55)*POWER(MAX(0,1-'Израиль 2036'!I49/10),0.7))))</f>
        <v>10</v>
      </c>
      <c r="C49" s="12">
        <f>MIN(1,(MIN(1,'Израиль 2036'!C49+'Израиль 2036'!F49+(0.08*LN(1+0.5*'Ход 2036'!C55)*MAX(0,1-('Израиль 2036'!C49+'Израиль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технологий'!$U$25:$U$240,'Эффекты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2036'!B50+'Израиль 2036'!D50+('Израиль 2036'!C50+'Израиль 2036'!F50+'Израиль 2036'!G50)+(0.35*LN(1+0.6*'Ход 2036'!B56)*POWER(MAX(0,1-'Израиль 2036'!I50/10),0.7))))</f>
        <v>10</v>
      </c>
      <c r="C50" s="12">
        <f>MIN(1,(MIN(1,'Израиль 2036'!C50+'Израиль 2036'!F50+(0.08*LN(1+0.5*'Ход 2036'!C56)*MAX(0,1-('Израиль 2036'!C50+'Израиль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10</v>
      </c>
      <c r="J50" s="34">
        <f>SUMIFS('Эффекты технологий'!$U$25:$U$240,'Эффекты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2036'!B51+'Израиль 2036'!D51+('Израиль 2036'!C51+'Израиль 2036'!F51+'Израиль 2036'!G51)+(0.35*LN(1+0.6*'Ход 2036'!B57)*POWER(MAX(0,1-'Израиль 2036'!I51/10),0.7))))</f>
        <v>10</v>
      </c>
      <c r="C51" s="12">
        <f>MIN(1,(MIN(1,'Израиль 2036'!C51+'Израиль 2036'!F51+(0.08*LN(1+0.5*'Ход 2036'!C57)*MAX(0,1-('Израиль 2036'!C51+'Израиль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технологий'!$U$25:$U$240,'Эффекты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2036'!B53+'Израиль 2036'!D53+('Израиль 2036'!C53+'Израиль 2036'!F53+'Израиль 2036'!G53)+(0.35*LN(1+0.6*'Ход 2036'!B59)*POWER(MAX(0,1-'Израиль 2036'!I53/10),0.7))))</f>
        <v>10</v>
      </c>
      <c r="C53" s="12">
        <f>MIN(1,(MIN(1,'Израиль 2036'!C53+'Израиль 2036'!F53+(0.08*LN(1+0.5*'Ход 2036'!C59)*MAX(0,1-('Израиль 2036'!C53+'Израиль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технологий'!$U$25:$U$240,'Эффекты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2036'!B54+'Израиль 2036'!D54+('Израиль 2036'!C54+'Израиль 2036'!F54+'Израиль 2036'!G54)+(0.35*LN(1+0.6*'Ход 2036'!B60)*POWER(MAX(0,1-'Израиль 2036'!I54/10),0.7))))</f>
        <v>10</v>
      </c>
      <c r="C54" s="12">
        <f>MIN(1,(MIN(1,'Израиль 2036'!C54+'Израиль 2036'!F54+(0.08*LN(1+0.5*'Ход 2036'!C60)*MAX(0,1-('Израиль 2036'!C54+'Израиль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технологий'!$U$25:$U$240,'Эффекты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2036'!B55+'Израиль 2036'!D55+('Израиль 2036'!C55+'Израиль 2036'!F55+'Израиль 2036'!G55)+(0.35*LN(1+0.6*'Ход 2036'!B61)*POWER(MAX(0,1-'Израиль 2036'!I55/10),0.7))))</f>
        <v>9.062134798</v>
      </c>
      <c r="C55" s="12">
        <f>MIN(1,(MIN(1,'Израиль 2036'!C55+'Израиль 2036'!F55+(0.08*LN(1+0.5*'Ход 2036'!C61)*MAX(0,1-('Израиль 2036'!C55+'Израиль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9.062134798</v>
      </c>
      <c r="J55" s="34">
        <f>SUMIFS('Эффекты технологий'!$U$25:$U$240,'Эффекты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2037'!U6</f>
        <v>98.26023999</v>
      </c>
      <c r="C6" s="12"/>
      <c r="D6" s="12"/>
      <c r="E6" s="12" t="s">
        <v>16</v>
      </c>
      <c r="F6" s="19">
        <f>'Израиль 2037'!K6</f>
        <v>94.86035611</v>
      </c>
      <c r="G6" s="12"/>
      <c r="H6" s="12"/>
      <c r="I6" s="12" t="s">
        <v>16</v>
      </c>
      <c r="J6" s="19">
        <f>'Израиль 2037'!N6</f>
        <v>99.857853</v>
      </c>
      <c r="K6" s="12"/>
      <c r="L6" s="12"/>
      <c r="M6" s="12" t="s">
        <v>16</v>
      </c>
      <c r="N6" s="19">
        <f>'Израиль 2037'!Q6</f>
        <v>83.50231527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98.26023999</v>
      </c>
      <c r="C8" s="12" t="str">
        <f>IF(B8&lt;0,"ПРЕВЫШЕНИЕ","OK")</f>
        <v>OK</v>
      </c>
      <c r="D8" s="12"/>
      <c r="E8" s="12" t="s">
        <v>94</v>
      </c>
      <c r="F8" s="19">
        <f>F6-F7</f>
        <v>94.86035611</v>
      </c>
      <c r="G8" s="12" t="str">
        <f>IF(F8&lt;0,"ПРЕВЫШЕНИЕ","OK")</f>
        <v>OK</v>
      </c>
      <c r="H8" s="12"/>
      <c r="I8" s="12" t="s">
        <v>94</v>
      </c>
      <c r="J8" s="19">
        <f>J6-J7</f>
        <v>99.857853</v>
      </c>
      <c r="K8" s="12" t="str">
        <f>IF(J8&lt;0,"ПРЕВЫШЕНИЕ","OK")</f>
        <v>OK</v>
      </c>
      <c r="L8" s="12"/>
      <c r="M8" s="12" t="s">
        <v>94</v>
      </c>
      <c r="N8" s="19">
        <f>N6-N7</f>
        <v>83.50231527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2037'!V11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2037'!V12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2037'!V13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2037'!V15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2037'!V16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2037'!V17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2037'!V18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2037'!V19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2037'!V20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2037'!V21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2037'!V22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технологий'!U$16</f>
        <v>0</v>
      </c>
      <c r="H25" s="29">
        <f>'Эффекты технологий'!U$17</f>
        <v>0</v>
      </c>
      <c r="I25" s="29">
        <f>'Эффекты технологий'!U$18</f>
        <v>0</v>
      </c>
      <c r="J25" s="30"/>
      <c r="K25" s="12"/>
      <c r="L25" s="12" t="s">
        <v>152</v>
      </c>
      <c r="M25" s="12">
        <f>'Израиль 2037'!V23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2037'!V24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2037'!V25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2037'!V26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IF(G29="","",VLOOKUP(G29,'Технологии'!$A$11:$BF$50,55,FALSE))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IF(G30="","",VLOOKUP(G30,'Технологии'!$A$11:$BF$50,55,FALSE))</f>
        <v/>
      </c>
      <c r="L30" s="12"/>
      <c r="M30" s="12"/>
      <c r="N30" s="30" t="s">
        <v>151</v>
      </c>
      <c r="O30" s="29">
        <f>'Эффекты технологий'!U$13</f>
        <v>0</v>
      </c>
      <c r="P30" s="29">
        <f>'Эффекты технологий'!U$14</f>
        <v>0</v>
      </c>
      <c r="Q30" s="29">
        <f>'Эффекты технологий'!U$15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IF(G31="","",VLOOKUP(G31,'Технологии'!$A$11:$BF$50,55,FALSE))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95.1033608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99.88711931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83.61639674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98.35622893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2037'!B8+'Израиль 2037'!D8+('Израиль 2037'!C8+'Израиль 2037'!F8+'Израиль 2037'!G8)+(0.35*LN(1+0.6*('Ход 2037'!B14*(1+'Эффекты технологий'!U$12)))*POWER(MAX(0,1-'Израиль 2037'!I8/10),0.7))))</f>
        <v>3.799694438</v>
      </c>
      <c r="C8" s="12">
        <f>MIN(1,(MIN(1,'Израиль 2037'!C8+'Израиль 2037'!F8+(0.08*LN(1+0.5*('Ход 2037'!C14*(1+'Эффекты технологий'!U$12)))*MAX(0,1-('Израиль 2037'!C8+'Израиль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3.649694438</v>
      </c>
      <c r="J8" s="34">
        <f>SUMIFS('Эффекты технологий'!$V$25:$V$240,'Эффекты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2037'!B9+'Израиль 2037'!D9+('Израиль 2037'!C9+'Израиль 2037'!F9+'Израиль 2037'!G9)+(0.35*LN(1+0.6*('Ход 2037'!B15*(1+'Эффекты технологий'!U$12)))*POWER(MAX(0,1-'Израиль 2037'!I9/10),0.7))))</f>
        <v>8.310352511</v>
      </c>
      <c r="C9" s="12">
        <f>MIN(1,(MIN(1,'Израиль 2037'!C9+'Израиль 2037'!F9+(0.08*LN(1+0.5*('Ход 2037'!C15*(1+'Эффекты технологий'!U$12)))*MAX(0,1-('Израиль 2037'!C9+'Израиль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8.310352511</v>
      </c>
      <c r="J9" s="34">
        <f>SUMIFS('Эффекты технологий'!$V$25:$V$240,'Эффекты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2037'!B10+'Израиль 2037'!D10+('Израиль 2037'!C10+'Израиль 2037'!F10+'Израиль 2037'!G10)+(0.35*LN(1+0.6*('Ход 2037'!B16*(1+'Эффекты технологий'!U$12)))*POWER(MAX(0,1-'Израиль 2037'!I10/10),0.7))))</f>
        <v>8.26614205</v>
      </c>
      <c r="C10" s="12">
        <f>MIN(1,(MIN(1,'Израиль 2037'!C10+'Израиль 2037'!F10+(0.08*LN(1+0.5*('Ход 2037'!C16*(1+'Эффекты технологий'!U$12)))*MAX(0,1-('Израиль 2037'!C10+'Израиль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8.26614205</v>
      </c>
      <c r="J10" s="34">
        <f>SUMIFS('Эффекты технологий'!$V$25:$V$240,'Эффекты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2037'!B11+'Израиль 2037'!D11+('Израиль 2037'!C11+'Израиль 2037'!F11+'Израиль 2037'!G11)+(0.35*LN(1+0.6*('Ход 2037'!B17*(1+'Эффекты технологий'!U$12)))*POWER(MAX(0,1-'Израиль 2037'!I11/10),0.7))))</f>
        <v>9.651144312</v>
      </c>
      <c r="C11" s="12">
        <f>MIN(1,(MIN(1,'Израиль 2037'!C11+'Израиль 2037'!F11+(0.08*LN(1+0.5*('Ход 2037'!C17*(1+'Эффекты технологий'!U$12)))*MAX(0,1-('Израиль 2037'!C11+'Израиль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9.651144312</v>
      </c>
      <c r="J11" s="34">
        <f>SUMIFS('Эффекты технологий'!$V$25:$V$240,'Эффекты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2037'!L11+'Израиль 2037'!N11+('Израиль 2037'!M11+'Израиль 2037'!P11+'Израиль 2037'!Q11)))</f>
        <v>10</v>
      </c>
      <c r="M11" s="12">
        <f>MIN(1,(MIN(1,'Израиль 2037'!M11+'Израиль 2037'!P11+(0.1*LN(1+0.5*('Ход 2037'!H13*(1+'Эффекты технологий'!U$10)))*POWER(MAX(0,1-'Израиль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технологий'!$V$25:$V$240,'Эффекты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2037'!V11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2037'!B12+'Израиль 2037'!D12+('Израиль 2037'!C12+'Израиль 2037'!F12+'Израиль 2037'!G12)+(0.35*LN(1+0.6*('Ход 2037'!B18*(1+'Эффекты технологий'!U$12)))*POWER(MAX(0,1-'Израиль 2037'!I12/10),0.7))))</f>
        <v>4.289599283</v>
      </c>
      <c r="C12" s="12">
        <f>MIN(1,(MIN(1,'Израиль 2037'!C12+'Израиль 2037'!F12+(0.08*LN(1+0.5*('Ход 2037'!C18*(1+'Эффекты технологий'!U$12)))*MAX(0,1-('Израиль 2037'!C12+'Израиль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4.289599283</v>
      </c>
      <c r="J12" s="34">
        <f>SUMIFS('Эффекты технологий'!$V$25:$V$240,'Эффекты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2037'!L12+'Израиль 2037'!N12+('Израиль 2037'!M12+'Израиль 2037'!P12+'Израиль 2037'!Q12)))</f>
        <v>10</v>
      </c>
      <c r="M12" s="12">
        <f>MIN(1,(MIN(1,'Израиль 2037'!M12+'Израиль 2037'!P12+(0.1*LN(1+0.5*('Ход 2037'!H14*(1+'Эффекты технологий'!U$10)))*POWER(MAX(0,1-'Израиль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технологий'!$V$25:$V$240,'Эффекты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2037'!V12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2037'!B13+'Израиль 2037'!D13+('Израиль 2037'!C13+'Израиль 2037'!F13+'Израиль 2037'!G13)+(0.35*LN(1+0.6*('Ход 2037'!B19*(1+'Эффекты технологий'!U$12)))*POWER(MAX(0,1-'Израиль 2037'!I13/10),0.7))))</f>
        <v>9.700418339</v>
      </c>
      <c r="C13" s="12">
        <f>MIN(1,(MIN(1,'Израиль 2037'!C13+'Израиль 2037'!F13+(0.08*LN(1+0.5*('Ход 2037'!C19*(1+'Эффекты технологий'!U$12)))*MAX(0,1-('Израиль 2037'!C13+'Израиль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9.700418339</v>
      </c>
      <c r="J13" s="34">
        <f>SUMIFS('Эффекты технологий'!$V$25:$V$240,'Эффекты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2037'!L13+'Израиль 2037'!N13+('Израиль 2037'!M13+'Израиль 2037'!P13+'Израиль 2037'!Q13)))</f>
        <v>10</v>
      </c>
      <c r="M13" s="12">
        <f>MIN(1,(MIN(1,'Израиль 2037'!M13+'Израиль 2037'!P13+(0.1*LN(1+0.5*('Ход 2037'!H15*(1+'Эффекты технологий'!U$10)))*POWER(MAX(0,1-'Израиль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технологий'!$V$25:$V$240,'Эффекты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2037'!V13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2037'!B14+'Израиль 2037'!D14+('Израиль 2037'!C14+'Израиль 2037'!F14+'Израиль 2037'!G14)+(0.35*LN(1+0.6*('Ход 2037'!B20*(1+'Эффекты технологий'!U$12)))*POWER(MAX(0,1-'Израиль 2037'!I14/10),0.7))))</f>
        <v>10</v>
      </c>
      <c r="C14" s="12">
        <f>MIN(1,(MIN(1,'Израиль 2037'!C14+'Израиль 2037'!F14+(0.08*LN(1+0.5*('Ход 2037'!C20*(1+'Эффекты технологий'!U$12)))*MAX(0,1-('Израиль 2037'!C14+'Израиль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технологий'!$V$25:$V$240,'Эффекты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2037'!L14+'Израиль 2037'!N14+('Израиль 2037'!M14+'Израиль 2037'!P14+'Израиль 2037'!Q14)))</f>
        <v>10</v>
      </c>
      <c r="M14" s="12">
        <f>MIN(1,(MIN(1,'Израиль 2037'!M14+'Израиль 2037'!P14+(0.1*LN(1+0.5*('Ход 2037'!H16*(1+'Эффекты технологий'!U$10)))*POWER(MAX(0,1-'Израиль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технологий'!$V$25:$V$240,'Эффекты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2037'!V14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2037'!B15+'Израиль 2037'!D15+('Израиль 2037'!C15+'Израиль 2037'!F15+'Израиль 2037'!G15)+(0.35*LN(1+0.6*('Ход 2037'!B21*(1+'Эффекты технологий'!U$12)))*POWER(MAX(0,1-'Израиль 2037'!I15/10),0.7))))</f>
        <v>10</v>
      </c>
      <c r="C15" s="12">
        <f>MIN(1,(MIN(1,'Израиль 2037'!C15+'Израиль 2037'!F15+(0.08*LN(1+0.5*('Ход 2037'!C21*(1+'Эффекты технологий'!U$12)))*MAX(0,1-('Израиль 2037'!C15+'Израиль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технологий'!$V$25:$V$240,'Эффекты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2037'!L15+'Израиль 2037'!N15+('Израиль 2037'!M15+'Израиль 2037'!P15+'Израиль 2037'!Q15)))</f>
        <v>10</v>
      </c>
      <c r="M15" s="12">
        <f>MIN(1,(MIN(1,'Израиль 2037'!M15+'Израиль 2037'!P15+(0.1*LN(1+0.5*('Ход 2037'!H17*(1+'Эффекты технологий'!U$10)))*POWER(MAX(0,1-'Израиль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технологий'!$V$25:$V$240,'Эффекты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2037'!V15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2037'!B16+'Израиль 2037'!D16+('Израиль 2037'!C16+'Израиль 2037'!F16+'Израиль 2037'!G16)+(0.35*LN(1+0.6*('Ход 2037'!B22*(1+'Эффекты технологий'!U$12)))*POWER(MAX(0,1-'Израиль 2037'!I16/10),0.7))))</f>
        <v>10</v>
      </c>
      <c r="C16" s="12">
        <f>MIN(1,(MIN(1,'Израиль 2037'!C16+'Израиль 2037'!F16+(0.08*LN(1+0.5*('Ход 2037'!C22*(1+'Эффекты технологий'!U$12)))*MAX(0,1-('Израиль 2037'!C16+'Израиль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технологий'!$V$25:$V$240,'Эффекты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2037'!L16+'Израиль 2037'!N16+('Израиль 2037'!M16+'Израиль 2037'!P16+'Израиль 2037'!Q16)))</f>
        <v>10</v>
      </c>
      <c r="M16" s="12">
        <f>MIN(1,(MIN(1,'Израиль 2037'!M16+'Израиль 2037'!P16+(0.1*LN(1+0.5*('Ход 2037'!H18*(1+'Эффекты технологий'!U$10)))*POWER(MAX(0,1-'Израиль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технологий'!$V$25:$V$240,'Эффекты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2037'!V16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2037'!B17+'Израиль 2037'!D17+('Израиль 2037'!C17+'Израиль 2037'!F17+'Израиль 2037'!G17)+(0.35*LN(1+0.6*('Ход 2037'!B23*(1+'Эффекты технологий'!U$12)))*POWER(MAX(0,1-'Израиль 2037'!I17/10),0.7))))</f>
        <v>8.797130438</v>
      </c>
      <c r="C17" s="12">
        <f>MIN(1,(MIN(1,'Израиль 2037'!C17+'Израиль 2037'!F17+(0.08*LN(1+0.5*('Ход 2037'!C23*(1+'Эффекты технологий'!U$12)))*MAX(0,1-('Израиль 2037'!C17+'Израиль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8.797130438</v>
      </c>
      <c r="J17" s="34">
        <f>SUMIFS('Эффекты технологий'!$V$25:$V$240,'Эффекты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2037'!L17+'Израиль 2037'!N17+('Израиль 2037'!M17+'Израиль 2037'!P17+'Израиль 2037'!Q17)))</f>
        <v>10</v>
      </c>
      <c r="M17" s="12">
        <f>MIN(1,(MIN(1,'Израиль 2037'!M17+'Израиль 2037'!P17+(0.1*LN(1+0.5*('Ход 2037'!H19*(1+'Эффекты технологий'!U$10)))*POWER(MAX(0,1-'Израиль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технологий'!$V$25:$V$240,'Эффекты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2037'!V17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2037'!L18+'Израиль 2037'!N18+('Израиль 2037'!M18+'Израиль 2037'!P18+'Израиль 2037'!Q18)))</f>
        <v>10</v>
      </c>
      <c r="M18" s="12">
        <f>MIN(1,(MIN(1,'Израиль 2037'!M18+'Израиль 2037'!P18+(0.1*LN(1+0.5*('Ход 2037'!H20*(1+'Эффекты технологий'!U$10)))*POWER(MAX(0,1-'Израиль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технологий'!$V$25:$V$240,'Эффекты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2037'!V18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2037'!B19+'Израиль 2037'!D19+('Израиль 2037'!C19+'Израиль 2037'!F19+'Израиль 2037'!G19)+(0.35*LN(1+0.6*'Ход 2037'!B25)*POWER(MAX(0,1-'Израиль 2037'!I19/10),0.7))))</f>
        <v>10</v>
      </c>
      <c r="C19" s="12">
        <f>MIN(1,(MIN(1,'Израиль 2037'!C19+'Израиль 2037'!F19+(0.08*LN(1+0.5*'Ход 2037'!C25)*MAX(0,1-('Израиль 2037'!C19+'Израиль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технологий'!$V$25:$V$240,'Эффекты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2037'!V19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2037'!B20+'Израиль 2037'!D20+('Израиль 2037'!C20+'Израиль 2037'!F20+'Израиль 2037'!G20)+(0.35*LN(1+0.6*'Ход 2037'!B26)*POWER(MAX(0,1-'Израиль 2037'!I20/10),0.7))))</f>
        <v>10</v>
      </c>
      <c r="C20" s="12">
        <f>MIN(1,(MIN(1,'Израиль 2037'!C20+'Израиль 2037'!F20+(0.08*LN(1+0.5*'Ход 2037'!C26)*MAX(0,1-('Израиль 2037'!C20+'Израиль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технологий'!$V$25:$V$240,'Эффекты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2037'!V20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2037'!B21+'Израиль 2037'!D21+('Израиль 2037'!C21+'Израиль 2037'!F21+'Израиль 2037'!G21)+(0.35*LN(1+0.6*'Ход 2037'!B27)*POWER(MAX(0,1-'Израиль 2037'!I21/10),0.7))))</f>
        <v>10</v>
      </c>
      <c r="C21" s="12">
        <f>MIN(1,(MIN(1,'Израиль 2037'!C21+'Израиль 2037'!F21+(0.08*LN(1+0.5*'Ход 2037'!C27)*MAX(0,1-('Израиль 2037'!C21+'Израиль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технологий'!$V$25:$V$240,'Эффекты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2037'!V21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2037'!B22+'Израиль 2037'!D22+('Израиль 2037'!C22+'Израиль 2037'!F22+'Израиль 2037'!G22)+(0.35*LN(1+0.6*'Ход 2037'!B28)*POWER(MAX(0,1-'Израиль 2037'!I22/10),0.7))))</f>
        <v>10</v>
      </c>
      <c r="C22" s="12">
        <f>MIN(1,(MIN(1,'Израиль 2037'!C22+'Израиль 2037'!F22+(0.08*LN(1+0.5*'Ход 2037'!C28)*MAX(0,1-('Израиль 2037'!C22+'Израиль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технологий'!$V$25:$V$240,'Эффекты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2037'!V22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2037'!B23+'Израиль 2037'!D23+('Израиль 2037'!C23+'Израиль 2037'!F23+'Израиль 2037'!G23)+(0.35*LN(1+0.6*'Ход 2037'!B29)*POWER(MAX(0,1-'Израиль 2037'!I23/10),0.7))))</f>
        <v>10</v>
      </c>
      <c r="C23" s="12">
        <f>MIN(1,(MIN(1,'Израиль 2037'!C23+'Израиль 2037'!F23+(0.08*LN(1+0.5*'Ход 2037'!C29)*MAX(0,1-('Израиль 2037'!C23+'Израиль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технологий'!$V$25:$V$240,'Эффекты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2037'!V23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2037'!V24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2037'!B25+'Израиль 2037'!D25+('Израиль 2037'!C25+'Израиль 2037'!F25+'Израиль 2037'!G25)+(0.35*LN(1+0.6*'Ход 2037'!B31)*POWER(MAX(0,1-'Израиль 2037'!I25/10),0.7))))</f>
        <v>9.28308418</v>
      </c>
      <c r="C25" s="12">
        <f>MIN(1,(MIN(1,'Израиль 2037'!C25+'Израиль 2037'!F25+(0.08*LN(1+0.5*'Ход 2037'!C31)*MAX(0,1-('Израиль 2037'!C25+'Израиль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9.28308418</v>
      </c>
      <c r="J25" s="34">
        <f>SUMIFS('Эффекты технологий'!$V$25:$V$240,'Эффекты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2037'!V25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2037'!B26+'Израиль 2037'!D26+('Израиль 2037'!C26+'Израиль 2037'!F26+'Израиль 2037'!G26)+(0.35*LN(1+0.6*'Ход 2037'!B32)*POWER(MAX(0,1-'Израиль 2037'!I26/10),0.7))))</f>
        <v>10</v>
      </c>
      <c r="C26" s="12">
        <f>MIN(1,(MIN(1,'Израиль 2037'!C26+'Израиль 2037'!F26+(0.08*LN(1+0.5*'Ход 2037'!C32)*MAX(0,1-('Израиль 2037'!C26+'Израиль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технологий'!$V$25:$V$240,'Эффекты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2037'!V26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2037'!B27+'Израиль 2037'!D27+('Израиль 2037'!C27+'Израиль 2037'!F27+'Израиль 2037'!G27)+(0.35*LN(1+0.6*'Ход 2037'!B33)*POWER(MAX(0,1-'Израиль 2037'!I27/10),0.7))))</f>
        <v>9.767929939</v>
      </c>
      <c r="C27" s="12">
        <f>MIN(1,(MIN(1,'Израиль 2037'!C27+'Израиль 2037'!F27+(0.08*LN(1+0.5*'Ход 2037'!C33)*MAX(0,1-('Израиль 2037'!C27+'Израиль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9.767929939</v>
      </c>
      <c r="J27" s="34">
        <f>SUMIFS('Эффекты технологий'!$V$25:$V$240,'Эффекты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2037'!B28+'Израиль 2037'!D28+('Израиль 2037'!C28+'Израиль 2037'!F28+'Израиль 2037'!G28)+(0.35*LN(1+0.6*'Ход 2037'!B34)*POWER(MAX(0,1-'Израиль 2037'!I28/10),0.7))))</f>
        <v>10</v>
      </c>
      <c r="C28" s="12">
        <f>MIN(1,(MIN(1,'Израиль 2037'!C28+'Израиль 2037'!F28+(0.08*LN(1+0.5*'Ход 2037'!C34)*MAX(0,1-('Израиль 2037'!C28+'Израиль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технологий'!$V$25:$V$240,'Эффекты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2037'!B29+'Израиль 2037'!D29+('Израиль 2037'!C29+'Израиль 2037'!F29+'Израиль 2037'!G29)+(0.35*LN(1+0.6*'Ход 2037'!B35)*POWER(MAX(0,1-'Израиль 2037'!I29/10),0.7))))</f>
        <v>10</v>
      </c>
      <c r="C29" s="12">
        <f>MIN(1,(MIN(1,'Израиль 2037'!C29+'Израиль 2037'!F29+(0.08*LN(1+0.5*'Ход 2037'!C35)*MAX(0,1-('Израиль 2037'!C29+'Израиль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технологий'!$V$25:$V$240,'Эффекты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2037'!B30+'Израиль 2037'!D30+('Израиль 2037'!C30+'Израиль 2037'!F30+'Израиль 2037'!G30)+(0.35*LN(1+0.6*'Ход 2037'!B36)*POWER(MAX(0,1-'Израиль 2037'!I30/10),0.7))))</f>
        <v>10</v>
      </c>
      <c r="C30" s="12">
        <f>MIN(1,(MIN(1,'Израиль 2037'!C30+'Израиль 2037'!F30+(0.08*LN(1+0.5*'Ход 2037'!C36)*MAX(0,1-('Израиль 2037'!C30+'Израиль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технологий'!$V$25:$V$240,'Эффекты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2037'!B31+'Израиль 2037'!D31+('Израиль 2037'!C31+'Израиль 2037'!F31+'Израиль 2037'!G31)+(0.35*LN(1+0.6*'Ход 2037'!B37)*POWER(MAX(0,1-'Израиль 2037'!I31/10),0.7))))</f>
        <v>9.767929939</v>
      </c>
      <c r="C31" s="12">
        <f>MIN(1,(MIN(1,'Израиль 2037'!C31+'Израиль 2037'!F31+(0.08*LN(1+0.5*'Ход 2037'!C37)*MAX(0,1-('Израиль 2037'!C31+'Израиль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9.767929939</v>
      </c>
      <c r="J31" s="34">
        <f>SUMIFS('Эффекты технологий'!$V$25:$V$240,'Эффекты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2037'!B32+'Израиль 2037'!D32+('Израиль 2037'!C32+'Израиль 2037'!F32+'Израиль 2037'!G32)+(0.35*LN(1+0.6*'Ход 2037'!B38)*POWER(MAX(0,1-'Израиль 2037'!I32/10),0.7))))</f>
        <v>10</v>
      </c>
      <c r="C32" s="12">
        <f>MIN(1,(MIN(1,'Израиль 2037'!C32+'Израиль 2037'!F32+(0.08*LN(1+0.5*'Ход 2037'!C38)*MAX(0,1-('Израиль 2037'!C32+'Израиль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технологий'!$V$25:$V$240,'Эффекты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2037'!B34+'Израиль 2037'!D34+('Израиль 2037'!C34+'Израиль 2037'!F34+'Израиль 2037'!G34)+(0.35*LN(1+0.6*'Ход 2037'!B40)*POWER(MAX(0,1-'Израиль 2037'!I34/10),0.7))))</f>
        <v>10</v>
      </c>
      <c r="C34" s="12">
        <f>MIN(1,(MIN(1,'Израиль 2037'!C34+'Израиль 2037'!F34+(0.08*LN(1+0.5*'Ход 2037'!C40)*MAX(0,1-('Израиль 2037'!C34+'Израиль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технологий'!$V$25:$V$240,'Эффекты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2037'!B35+'Израиль 2037'!D35+('Израиль 2037'!C35+'Израиль 2037'!F35+'Израиль 2037'!G35)+(0.35*LN(1+0.6*'Ход 2037'!B41)*POWER(MAX(0,1-'Израиль 2037'!I35/10),0.7))))</f>
        <v>10</v>
      </c>
      <c r="C35" s="12">
        <f>MIN(1,(MIN(1,'Израиль 2037'!C35+'Израиль 2037'!F35+(0.08*LN(1+0.5*'Ход 2037'!C41)*MAX(0,1-('Израиль 2037'!C35+'Израиль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технологий'!$V$25:$V$240,'Эффекты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2037'!B36+'Израиль 2037'!D36+('Израиль 2037'!C36+'Израиль 2037'!F36+'Израиль 2037'!G36)+(0.35*LN(1+0.6*'Ход 2037'!B42)*POWER(MAX(0,1-'Израиль 2037'!I36/10),0.7))))</f>
        <v>10</v>
      </c>
      <c r="C36" s="12">
        <f>MIN(1,(MIN(1,'Израиль 2037'!C36+'Израиль 2037'!F36+(0.08*LN(1+0.5*'Ход 2037'!C42)*MAX(0,1-('Израиль 2037'!C36+'Израиль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технологий'!$V$25:$V$240,'Эффекты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2037'!B37+'Израиль 2037'!D37+('Израиль 2037'!C37+'Израиль 2037'!F37+'Израиль 2037'!G37)+(0.35*LN(1+0.6*'Ход 2037'!B43)*POWER(MAX(0,1-'Израиль 2037'!I37/10),0.7))))</f>
        <v>10</v>
      </c>
      <c r="C37" s="12">
        <f>MIN(1,(MIN(1,'Израиль 2037'!C37+'Израиль 2037'!F37+(0.08*LN(1+0.5*'Ход 2037'!C43)*MAX(0,1-('Израиль 2037'!C37+'Израиль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технологий'!$V$25:$V$240,'Эффекты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2037'!B38+'Израиль 2037'!D38+('Израиль 2037'!C38+'Израиль 2037'!F38+'Израиль 2037'!G38)+(0.35*LN(1+0.6*'Ход 2037'!B44)*POWER(MAX(0,1-'Израиль 2037'!I38/10),0.7))))</f>
        <v>10</v>
      </c>
      <c r="C38" s="12">
        <f>MIN(1,(MIN(1,'Израиль 2037'!C38+'Израиль 2037'!F38+(0.08*LN(1+0.5*'Ход 2037'!C44)*MAX(0,1-('Израиль 2037'!C38+'Израиль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технологий'!$V$25:$V$240,'Эффекты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2037'!B39+'Израиль 2037'!D39+('Израиль 2037'!C39+'Израиль 2037'!F39+'Израиль 2037'!G39)+(0.35*LN(1+0.6*'Ход 2037'!B45)*POWER(MAX(0,1-'Израиль 2037'!I39/10),0.7))))</f>
        <v>10</v>
      </c>
      <c r="C39" s="12">
        <f>MIN(1,(MIN(1,'Израиль 2037'!C39+'Израиль 2037'!F39+(0.08*LN(1+0.5*'Ход 2037'!C45)*MAX(0,1-('Израиль 2037'!C39+'Израиль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технологий'!$V$25:$V$240,'Эффекты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2037'!B40+'Израиль 2037'!D40+('Израиль 2037'!C40+'Израиль 2037'!F40+'Израиль 2037'!G40)+(0.35*LN(1+0.6*'Ход 2037'!B46)*POWER(MAX(0,1-'Израиль 2037'!I40/10),0.7))))</f>
        <v>10</v>
      </c>
      <c r="C40" s="12">
        <f>MIN(1,(MIN(1,'Израиль 2037'!C40+'Израиль 2037'!F40+(0.08*LN(1+0.5*'Ход 2037'!C46)*MAX(0,1-('Израиль 2037'!C40+'Израиль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технологий'!$V$25:$V$240,'Эффекты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2037'!B41+'Израиль 2037'!D41+('Израиль 2037'!C41+'Израиль 2037'!F41+'Израиль 2037'!G41)+(0.35*LN(1+0.6*'Ход 2037'!B47)*POWER(MAX(0,1-'Израиль 2037'!I41/10),0.7))))</f>
        <v>10</v>
      </c>
      <c r="C41" s="12">
        <f>MIN(1,(MIN(1,'Израиль 2037'!C41+'Израиль 2037'!F41+(0.08*LN(1+0.5*'Ход 2037'!C47)*MAX(0,1-('Израиль 2037'!C41+'Израиль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технологий'!$V$25:$V$240,'Эффекты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2037'!B42+'Израиль 2037'!D42+('Израиль 2037'!C42+'Израиль 2037'!F42+'Израиль 2037'!G42)+(0.35*LN(1+0.6*'Ход 2037'!B48)*POWER(MAX(0,1-'Израиль 2037'!I42/10),0.7))))</f>
        <v>10</v>
      </c>
      <c r="C42" s="12">
        <f>MIN(1,(MIN(1,'Израиль 2037'!C42+'Израиль 2037'!F42+(0.08*LN(1+0.5*'Ход 2037'!C48)*MAX(0,1-('Израиль 2037'!C42+'Израиль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технологий'!$V$25:$V$240,'Эффекты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2037'!B44+'Израиль 2037'!D44+('Израиль 2037'!C44+'Израиль 2037'!F44+'Израиль 2037'!G44)+(0.35*LN(1+0.6*'Ход 2037'!B50)*POWER(MAX(0,1-'Израиль 2037'!I44/10),0.7))))</f>
        <v>10</v>
      </c>
      <c r="C44" s="12">
        <f>MIN(1,(MIN(1,'Израиль 2037'!C44+'Израиль 2037'!F44+(0.08*LN(1+0.5*'Ход 2037'!C50)*MAX(0,1-('Израиль 2037'!C44+'Израиль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технологий'!$V$25:$V$240,'Эффекты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2037'!B45+'Израиль 2037'!D45+('Израиль 2037'!C45+'Израиль 2037'!F45+'Израиль 2037'!G45)+(0.35*LN(1+0.6*'Ход 2037'!B51)*POWER(MAX(0,1-'Израиль 2037'!I45/10),0.7))))</f>
        <v>10</v>
      </c>
      <c r="C45" s="12">
        <f>MIN(1,(MIN(1,'Израиль 2037'!C45+'Израиль 2037'!F45+(0.08*LN(1+0.5*'Ход 2037'!C51)*MAX(0,1-('Израиль 2037'!C45+'Израиль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технологий'!$V$25:$V$240,'Эффекты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2037'!B46+'Израиль 2037'!D46+('Израиль 2037'!C46+'Израиль 2037'!F46+'Израиль 2037'!G46)+(0.35*LN(1+0.6*'Ход 2037'!B52)*POWER(MAX(0,1-'Израиль 2037'!I46/10),0.7))))</f>
        <v>9.708348278</v>
      </c>
      <c r="C46" s="12">
        <f>MIN(1,(MIN(1,'Израиль 2037'!C46+'Израиль 2037'!F46+(0.08*LN(1+0.5*'Ход 2037'!C52)*MAX(0,1-('Израиль 2037'!C46+'Израиль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9.708348278</v>
      </c>
      <c r="J46" s="34">
        <f>SUMIFS('Эффекты технологий'!$V$25:$V$240,'Эффекты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2037'!B47+'Израиль 2037'!D47+('Израиль 2037'!C47+'Израиль 2037'!F47+'Израиль 2037'!G47)+(0.35*LN(1+0.6*'Ход 2037'!B53)*POWER(MAX(0,1-'Израиль 2037'!I47/10),0.7))))</f>
        <v>9.636589849</v>
      </c>
      <c r="C47" s="12">
        <f>MIN(1,(MIN(1,'Израиль 2037'!C47+'Израиль 2037'!F47+(0.08*LN(1+0.5*'Ход 2037'!C53)*MAX(0,1-('Израиль 2037'!C47+'Израиль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9.636589849</v>
      </c>
      <c r="J47" s="34">
        <f>SUMIFS('Эффекты технологий'!$V$25:$V$240,'Эффекты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2037'!B48+'Израиль 2037'!D48+('Израиль 2037'!C48+'Израиль 2037'!F48+'Израиль 2037'!G48)+(0.35*LN(1+0.6*'Ход 2037'!B54)*POWER(MAX(0,1-'Израиль 2037'!I48/10),0.7))))</f>
        <v>7.636589849</v>
      </c>
      <c r="C48" s="12">
        <f>MIN(1,(MIN(1,'Израиль 2037'!C48+'Израиль 2037'!F48+(0.08*LN(1+0.5*'Ход 2037'!C54)*MAX(0,1-('Израиль 2037'!C48+'Израиль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7.636589849</v>
      </c>
      <c r="J48" s="34">
        <f>SUMIFS('Эффекты технологий'!$V$25:$V$240,'Эффекты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2037'!B49+'Израиль 2037'!D49+('Израиль 2037'!C49+'Израиль 2037'!F49+'Израиль 2037'!G49)+(0.35*LN(1+0.6*'Ход 2037'!B55)*POWER(MAX(0,1-'Израиль 2037'!I49/10),0.7))))</f>
        <v>10</v>
      </c>
      <c r="C49" s="12">
        <f>MIN(1,(MIN(1,'Израиль 2037'!C49+'Израиль 2037'!F49+(0.08*LN(1+0.5*'Ход 2037'!C55)*MAX(0,1-('Израиль 2037'!C49+'Израиль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технологий'!$V$25:$V$240,'Эффекты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2037'!B50+'Израиль 2037'!D50+('Израиль 2037'!C50+'Израиль 2037'!F50+'Израиль 2037'!G50)+(0.35*LN(1+0.6*'Ход 2037'!B56)*POWER(MAX(0,1-'Израиль 2037'!I50/10),0.7))))</f>
        <v>10</v>
      </c>
      <c r="C50" s="12">
        <f>MIN(1,(MIN(1,'Израиль 2037'!C50+'Израиль 2037'!F50+(0.08*LN(1+0.5*'Ход 2037'!C56)*MAX(0,1-('Израиль 2037'!C50+'Израиль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10</v>
      </c>
      <c r="J50" s="34">
        <f>SUMIFS('Эффекты технологий'!$V$25:$V$240,'Эффекты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2037'!B51+'Израиль 2037'!D51+('Израиль 2037'!C51+'Израиль 2037'!F51+'Израиль 2037'!G51)+(0.35*LN(1+0.6*'Ход 2037'!B57)*POWER(MAX(0,1-'Израиль 2037'!I51/10),0.7))))</f>
        <v>10</v>
      </c>
      <c r="C51" s="12">
        <f>MIN(1,(MIN(1,'Израиль 2037'!C51+'Израиль 2037'!F51+(0.08*LN(1+0.5*'Ход 2037'!C57)*MAX(0,1-('Израиль 2037'!C51+'Израиль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технологий'!$V$25:$V$240,'Эффекты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2037'!B53+'Израиль 2037'!D53+('Израиль 2037'!C53+'Израиль 2037'!F53+'Израиль 2037'!G53)+(0.35*LN(1+0.6*'Ход 2037'!B59)*POWER(MAX(0,1-'Израиль 2037'!I53/10),0.7))))</f>
        <v>10</v>
      </c>
      <c r="C53" s="12">
        <f>MIN(1,(MIN(1,'Израиль 2037'!C53+'Израиль 2037'!F53+(0.08*LN(1+0.5*'Ход 2037'!C59)*MAX(0,1-('Израиль 2037'!C53+'Израиль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технологий'!$V$25:$V$240,'Эффекты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2037'!B54+'Израиль 2037'!D54+('Израиль 2037'!C54+'Израиль 2037'!F54+'Израиль 2037'!G54)+(0.35*LN(1+0.6*'Ход 2037'!B60)*POWER(MAX(0,1-'Израиль 2037'!I54/10),0.7))))</f>
        <v>10</v>
      </c>
      <c r="C54" s="12">
        <f>MIN(1,(MIN(1,'Израиль 2037'!C54+'Израиль 2037'!F54+(0.08*LN(1+0.5*'Ход 2037'!C60)*MAX(0,1-('Израиль 2037'!C54+'Израиль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технологий'!$V$25:$V$240,'Эффекты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2037'!B55+'Израиль 2037'!D55+('Израиль 2037'!C55+'Израиль 2037'!F55+'Израиль 2037'!G55)+(0.35*LN(1+0.6*'Ход 2037'!B61)*POWER(MAX(0,1-'Израиль 2037'!I55/10),0.7))))</f>
        <v>9.208348278</v>
      </c>
      <c r="C55" s="12">
        <f>MIN(1,(MIN(1,'Израиль 2037'!C55+'Израиль 2037'!F55+(0.08*LN(1+0.5*'Ход 2037'!C61)*MAX(0,1-('Израиль 2037'!C55+'Израиль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9.208348278</v>
      </c>
      <c r="J55" s="34">
        <f>SUMIFS('Эффекты технологий'!$V$25:$V$240,'Эффекты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2038'!U6</f>
        <v>98.35622893</v>
      </c>
      <c r="C6" s="12"/>
      <c r="D6" s="12"/>
      <c r="E6" s="12" t="s">
        <v>16</v>
      </c>
      <c r="F6" s="19">
        <f>'Израиль 2038'!K6</f>
        <v>95.1033608</v>
      </c>
      <c r="G6" s="12"/>
      <c r="H6" s="12"/>
      <c r="I6" s="12" t="s">
        <v>16</v>
      </c>
      <c r="J6" s="19">
        <f>'Израиль 2038'!N6</f>
        <v>99.88711931</v>
      </c>
      <c r="K6" s="12"/>
      <c r="L6" s="12"/>
      <c r="M6" s="12" t="s">
        <v>16</v>
      </c>
      <c r="N6" s="19">
        <f>'Израиль 2038'!Q6</f>
        <v>83.61639674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98.35622893</v>
      </c>
      <c r="C8" s="12" t="str">
        <f>IF(B8&lt;0,"ПРЕВЫШЕНИЕ","OK")</f>
        <v>OK</v>
      </c>
      <c r="D8" s="12"/>
      <c r="E8" s="12" t="s">
        <v>94</v>
      </c>
      <c r="F8" s="19">
        <f>F6-F7</f>
        <v>95.1033608</v>
      </c>
      <c r="G8" s="12" t="str">
        <f>IF(F8&lt;0,"ПРЕВЫШЕНИЕ","OK")</f>
        <v>OK</v>
      </c>
      <c r="H8" s="12"/>
      <c r="I8" s="12" t="s">
        <v>94</v>
      </c>
      <c r="J8" s="19">
        <f>J6-J7</f>
        <v>99.88711931</v>
      </c>
      <c r="K8" s="12" t="str">
        <f>IF(J8&lt;0,"ПРЕВЫШЕНИЕ","OK")</f>
        <v>OK</v>
      </c>
      <c r="L8" s="12"/>
      <c r="M8" s="12" t="s">
        <v>94</v>
      </c>
      <c r="N8" s="19">
        <f>N6-N7</f>
        <v>83.61639674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2038'!V11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2038'!V12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2038'!V13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2038'!V15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2038'!V16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2038'!V17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2038'!V18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2038'!V19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2038'!V20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2038'!V21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2038'!V22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технологий'!V$16</f>
        <v>0</v>
      </c>
      <c r="H25" s="29">
        <f>'Эффекты технологий'!V$17</f>
        <v>0</v>
      </c>
      <c r="I25" s="29">
        <f>'Эффекты технологий'!V$18</f>
        <v>0</v>
      </c>
      <c r="J25" s="30"/>
      <c r="K25" s="12"/>
      <c r="L25" s="12" t="s">
        <v>152</v>
      </c>
      <c r="M25" s="12">
        <f>'Израиль 2038'!V23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2038'!V24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2038'!V25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2038'!V26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IF(G29="","",VLOOKUP(G29,'Технологии'!$A$11:$BF$50,56,FALSE))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IF(G30="","",VLOOKUP(G30,'Технологии'!$A$11:$BF$50,56,FALSE))</f>
        <v/>
      </c>
      <c r="L30" s="12"/>
      <c r="M30" s="12"/>
      <c r="N30" s="30" t="s">
        <v>151</v>
      </c>
      <c r="O30" s="29">
        <f>'Эффекты технологий'!V$13</f>
        <v>0</v>
      </c>
      <c r="P30" s="29">
        <f>'Эффекты технологий'!V$14</f>
        <v>0</v>
      </c>
      <c r="Q30" s="29">
        <f>'Эффекты технологий'!V$15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IF(G31="","",VLOOKUP(G31,'Технологии'!$A$11:$BF$50,56,FALSE))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408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95.33886926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99.91606286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83.72387766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98.4492351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2038'!B8+'Израиль 2038'!D8+('Израиль 2038'!C8+'Израиль 2038'!F8+'Израиль 2038'!G8)+(0.35*LN(1+0.6*('Ход 2038'!B14*(1+'Эффекты технологий'!V$12)))*POWER(MAX(0,1-'Израиль 2038'!I8/10),0.7))))</f>
        <v>3.849694438</v>
      </c>
      <c r="C8" s="12">
        <f>MIN(1,(MIN(1,'Израиль 2038'!C8+'Израиль 2038'!F8+(0.08*LN(1+0.5*('Ход 2038'!C14*(1+'Эффекты технологий'!V$12)))*MAX(0,1-('Израиль 2038'!C8+'Израиль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3.699694438</v>
      </c>
      <c r="J8" s="34">
        <f>SUMIFS('Эффекты технологий'!$W$25:$W$240,'Эффекты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2038'!B9+'Израиль 2038'!D9+('Израиль 2038'!C9+'Израиль 2038'!F9+'Израиль 2038'!G9)+(0.35*LN(1+0.6*('Ход 2038'!B15*(1+'Эффекты технологий'!V$12)))*POWER(MAX(0,1-'Израиль 2038'!I9/10),0.7))))</f>
        <v>8.410352511</v>
      </c>
      <c r="C9" s="12">
        <f>MIN(1,(MIN(1,'Израиль 2038'!C9+'Израиль 2038'!F9+(0.08*LN(1+0.5*('Ход 2038'!C15*(1+'Эффекты технологий'!V$12)))*MAX(0,1-('Израиль 2038'!C9+'Израиль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8.410352511</v>
      </c>
      <c r="J9" s="34">
        <f>SUMIFS('Эффекты технологий'!$W$25:$W$240,'Эффекты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2038'!B10+'Израиль 2038'!D10+('Израиль 2038'!C10+'Израиль 2038'!F10+'Израиль 2038'!G10)+(0.35*LN(1+0.6*('Ход 2038'!B16*(1+'Эффекты технологий'!V$12)))*POWER(MAX(0,1-'Израиль 2038'!I10/10),0.7))))</f>
        <v>8.406434387</v>
      </c>
      <c r="C10" s="12">
        <f>MIN(1,(MIN(1,'Израиль 2038'!C10+'Израиль 2038'!F10+(0.08*LN(1+0.5*('Ход 2038'!C16*(1+'Эффекты технологий'!V$12)))*MAX(0,1-('Израиль 2038'!C10+'Израиль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8.406434387</v>
      </c>
      <c r="J10" s="34">
        <f>SUMIFS('Эффекты технологий'!$W$25:$W$240,'Эффекты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2038'!B11+'Израиль 2038'!D11+('Израиль 2038'!C11+'Израиль 2038'!F11+'Израиль 2038'!G11)+(0.35*LN(1+0.6*('Ход 2038'!B17*(1+'Эффекты технологий'!V$12)))*POWER(MAX(0,1-'Израиль 2038'!I11/10),0.7))))</f>
        <v>9.701144312</v>
      </c>
      <c r="C11" s="12">
        <f>MIN(1,(MIN(1,'Израиль 2038'!C11+'Израиль 2038'!F11+(0.08*LN(1+0.5*('Ход 2038'!C17*(1+'Эффекты технологий'!V$12)))*MAX(0,1-('Израиль 2038'!C11+'Израиль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9.701144312</v>
      </c>
      <c r="J11" s="34">
        <f>SUMIFS('Эффекты технологий'!$W$25:$W$240,'Эффекты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2038'!L11+'Израиль 2038'!N11+('Израиль 2038'!M11+'Израиль 2038'!P11+'Израиль 2038'!Q11)))</f>
        <v>10</v>
      </c>
      <c r="M11" s="12">
        <f>MIN(1,(MIN(1,'Израиль 2038'!M11+'Израиль 2038'!P11+(0.1*LN(1+0.5*('Ход 2038'!H13*(1+'Эффекты технологий'!V$10)))*POWER(MAX(0,1-'Израиль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технологий'!$W$25:$W$240,'Эффекты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2038'!V11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2038'!B12+'Израиль 2038'!D12+('Израиль 2038'!C12+'Израиль 2038'!F12+'Израиль 2038'!G12)+(0.35*LN(1+0.6*('Ход 2038'!B18*(1+'Эффекты технологий'!V$12)))*POWER(MAX(0,1-'Израиль 2038'!I12/10),0.7))))</f>
        <v>4.339599283</v>
      </c>
      <c r="C12" s="12">
        <f>MIN(1,(MIN(1,'Израиль 2038'!C12+'Израиль 2038'!F12+(0.08*LN(1+0.5*('Ход 2038'!C18*(1+'Эффекты технологий'!V$12)))*MAX(0,1-('Израиль 2038'!C12+'Израиль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4.339599283</v>
      </c>
      <c r="J12" s="34">
        <f>SUMIFS('Эффекты технологий'!$W$25:$W$240,'Эффекты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2038'!L12+'Израиль 2038'!N12+('Израиль 2038'!M12+'Израиль 2038'!P12+'Израиль 2038'!Q12)))</f>
        <v>10</v>
      </c>
      <c r="M12" s="12">
        <f>MIN(1,(MIN(1,'Израиль 2038'!M12+'Израиль 2038'!P12+(0.1*LN(1+0.5*('Ход 2038'!H14*(1+'Эффекты технологий'!V$10)))*POWER(MAX(0,1-'Израиль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технологий'!$W$25:$W$240,'Эффекты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2038'!V12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2038'!B13+'Израиль 2038'!D13+('Израиль 2038'!C13+'Израиль 2038'!F13+'Израиль 2038'!G13)+(0.35*LN(1+0.6*('Ход 2038'!B19*(1+'Эффекты технологий'!V$12)))*POWER(MAX(0,1-'Израиль 2038'!I13/10),0.7))))</f>
        <v>9.877989966</v>
      </c>
      <c r="C13" s="12">
        <f>MIN(1,(MIN(1,'Израиль 2038'!C13+'Израиль 2038'!F13+(0.08*LN(1+0.5*('Ход 2038'!C19*(1+'Эффекты технологий'!V$12)))*MAX(0,1-('Израиль 2038'!C13+'Израиль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9.877989966</v>
      </c>
      <c r="J13" s="34">
        <f>SUMIFS('Эффекты технологий'!$W$25:$W$240,'Эффекты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2038'!L13+'Израиль 2038'!N13+('Израиль 2038'!M13+'Израиль 2038'!P13+'Израиль 2038'!Q13)))</f>
        <v>10</v>
      </c>
      <c r="M13" s="12">
        <f>MIN(1,(MIN(1,'Израиль 2038'!M13+'Израиль 2038'!P13+(0.1*LN(1+0.5*('Ход 2038'!H15*(1+'Эффекты технологий'!V$10)))*POWER(MAX(0,1-'Израиль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технологий'!$W$25:$W$240,'Эффекты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2038'!V13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2038'!B14+'Израиль 2038'!D14+('Израиль 2038'!C14+'Израиль 2038'!F14+'Израиль 2038'!G14)+(0.35*LN(1+0.6*('Ход 2038'!B20*(1+'Эффекты технологий'!V$12)))*POWER(MAX(0,1-'Израиль 2038'!I14/10),0.7))))</f>
        <v>10</v>
      </c>
      <c r="C14" s="12">
        <f>MIN(1,(MIN(1,'Израиль 2038'!C14+'Израиль 2038'!F14+(0.08*LN(1+0.5*('Ход 2038'!C20*(1+'Эффекты технологий'!V$12)))*MAX(0,1-('Израиль 2038'!C14+'Израиль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технологий'!$W$25:$W$240,'Эффекты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2038'!L14+'Израиль 2038'!N14+('Израиль 2038'!M14+'Израиль 2038'!P14+'Израиль 2038'!Q14)))</f>
        <v>10</v>
      </c>
      <c r="M14" s="12">
        <f>MIN(1,(MIN(1,'Израиль 2038'!M14+'Израиль 2038'!P14+(0.1*LN(1+0.5*('Ход 2038'!H16*(1+'Эффекты технологий'!V$10)))*POWER(MAX(0,1-'Израиль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технологий'!$W$25:$W$240,'Эффекты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2038'!V14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2038'!B15+'Израиль 2038'!D15+('Израиль 2038'!C15+'Израиль 2038'!F15+'Израиль 2038'!G15)+(0.35*LN(1+0.6*('Ход 2038'!B21*(1+'Эффекты технологий'!V$12)))*POWER(MAX(0,1-'Израиль 2038'!I15/10),0.7))))</f>
        <v>10</v>
      </c>
      <c r="C15" s="12">
        <f>MIN(1,(MIN(1,'Израиль 2038'!C15+'Израиль 2038'!F15+(0.08*LN(1+0.5*('Ход 2038'!C21*(1+'Эффекты технологий'!V$12)))*MAX(0,1-('Израиль 2038'!C15+'Израиль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технологий'!$W$25:$W$240,'Эффекты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2038'!L15+'Израиль 2038'!N15+('Израиль 2038'!M15+'Израиль 2038'!P15+'Израиль 2038'!Q15)))</f>
        <v>10</v>
      </c>
      <c r="M15" s="12">
        <f>MIN(1,(MIN(1,'Израиль 2038'!M15+'Израиль 2038'!P15+(0.1*LN(1+0.5*('Ход 2038'!H17*(1+'Эффекты технологий'!V$10)))*POWER(MAX(0,1-'Израиль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технологий'!$W$25:$W$240,'Эффекты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2038'!V15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2038'!B16+'Израиль 2038'!D16+('Израиль 2038'!C16+'Израиль 2038'!F16+'Израиль 2038'!G16)+(0.35*LN(1+0.6*('Ход 2038'!B22*(1+'Эффекты технологий'!V$12)))*POWER(MAX(0,1-'Израиль 2038'!I16/10),0.7))))</f>
        <v>10</v>
      </c>
      <c r="C16" s="12">
        <f>MIN(1,(MIN(1,'Израиль 2038'!C16+'Израиль 2038'!F16+(0.08*LN(1+0.5*('Ход 2038'!C22*(1+'Эффекты технологий'!V$12)))*MAX(0,1-('Израиль 2038'!C16+'Израиль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технологий'!$W$25:$W$240,'Эффекты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2038'!L16+'Израиль 2038'!N16+('Израиль 2038'!M16+'Израиль 2038'!P16+'Израиль 2038'!Q16)))</f>
        <v>10</v>
      </c>
      <c r="M16" s="12">
        <f>MIN(1,(MIN(1,'Израиль 2038'!M16+'Израиль 2038'!P16+(0.1*LN(1+0.5*('Ход 2038'!H18*(1+'Эффекты технологий'!V$10)))*POWER(MAX(0,1-'Израиль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технологий'!$W$25:$W$240,'Эффекты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2038'!V16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2038'!B17+'Израиль 2038'!D17+('Израиль 2038'!C17+'Израиль 2038'!F17+'Израиль 2038'!G17)+(0.35*LN(1+0.6*('Ход 2038'!B23*(1+'Эффекты технологий'!V$12)))*POWER(MAX(0,1-'Израиль 2038'!I17/10),0.7))))</f>
        <v>8.897130438</v>
      </c>
      <c r="C17" s="12">
        <f>MIN(1,(MIN(1,'Израиль 2038'!C17+'Израиль 2038'!F17+(0.08*LN(1+0.5*('Ход 2038'!C23*(1+'Эффекты технологий'!V$12)))*MAX(0,1-('Израиль 2038'!C17+'Израиль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8.897130438</v>
      </c>
      <c r="J17" s="34">
        <f>SUMIFS('Эффекты технологий'!$W$25:$W$240,'Эффекты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2038'!L17+'Израиль 2038'!N17+('Израиль 2038'!M17+'Израиль 2038'!P17+'Израиль 2038'!Q17)))</f>
        <v>10</v>
      </c>
      <c r="M17" s="12">
        <f>MIN(1,(MIN(1,'Израиль 2038'!M17+'Израиль 2038'!P17+(0.1*LN(1+0.5*('Ход 2038'!H19*(1+'Эффекты технологий'!V$10)))*POWER(MAX(0,1-'Израиль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технологий'!$W$25:$W$240,'Эффекты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2038'!V17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2038'!L18+'Израиль 2038'!N18+('Израиль 2038'!M18+'Израиль 2038'!P18+'Израиль 2038'!Q18)))</f>
        <v>10</v>
      </c>
      <c r="M18" s="12">
        <f>MIN(1,(MIN(1,'Израиль 2038'!M18+'Израиль 2038'!P18+(0.1*LN(1+0.5*('Ход 2038'!H20*(1+'Эффекты технологий'!V$10)))*POWER(MAX(0,1-'Израиль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технологий'!$W$25:$W$240,'Эффекты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2038'!V18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2038'!B19+'Израиль 2038'!D19+('Израиль 2038'!C19+'Израиль 2038'!F19+'Израиль 2038'!G19)+(0.35*LN(1+0.6*'Ход 2038'!B25)*POWER(MAX(0,1-'Израиль 2038'!I19/10),0.7))))</f>
        <v>10</v>
      </c>
      <c r="C19" s="12">
        <f>MIN(1,(MIN(1,'Израиль 2038'!C19+'Израиль 2038'!F19+(0.08*LN(1+0.5*'Ход 2038'!C25)*MAX(0,1-('Израиль 2038'!C19+'Израиль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технологий'!$W$25:$W$240,'Эффекты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2038'!V19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2038'!B20+'Израиль 2038'!D20+('Израиль 2038'!C20+'Израиль 2038'!F20+'Израиль 2038'!G20)+(0.35*LN(1+0.6*'Ход 2038'!B26)*POWER(MAX(0,1-'Израиль 2038'!I20/10),0.7))))</f>
        <v>10</v>
      </c>
      <c r="C20" s="12">
        <f>MIN(1,(MIN(1,'Израиль 2038'!C20+'Израиль 2038'!F20+(0.08*LN(1+0.5*'Ход 2038'!C26)*MAX(0,1-('Израиль 2038'!C20+'Израиль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технологий'!$W$25:$W$240,'Эффекты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2038'!V20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2038'!B21+'Израиль 2038'!D21+('Израиль 2038'!C21+'Израиль 2038'!F21+'Израиль 2038'!G21)+(0.35*LN(1+0.6*'Ход 2038'!B27)*POWER(MAX(0,1-'Израиль 2038'!I21/10),0.7))))</f>
        <v>10</v>
      </c>
      <c r="C21" s="12">
        <f>MIN(1,(MIN(1,'Израиль 2038'!C21+'Израиль 2038'!F21+(0.08*LN(1+0.5*'Ход 2038'!C27)*MAX(0,1-('Израиль 2038'!C21+'Израиль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технологий'!$W$25:$W$240,'Эффекты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2038'!V21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2038'!B22+'Израиль 2038'!D22+('Израиль 2038'!C22+'Израиль 2038'!F22+'Израиль 2038'!G22)+(0.35*LN(1+0.6*'Ход 2038'!B28)*POWER(MAX(0,1-'Израиль 2038'!I22/10),0.7))))</f>
        <v>10</v>
      </c>
      <c r="C22" s="12">
        <f>MIN(1,(MIN(1,'Израиль 2038'!C22+'Израиль 2038'!F22+(0.08*LN(1+0.5*'Ход 2038'!C28)*MAX(0,1-('Израиль 2038'!C22+'Израиль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технологий'!$W$25:$W$240,'Эффекты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2038'!V22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2038'!B23+'Израиль 2038'!D23+('Израиль 2038'!C23+'Израиль 2038'!F23+'Израиль 2038'!G23)+(0.35*LN(1+0.6*'Ход 2038'!B29)*POWER(MAX(0,1-'Израиль 2038'!I23/10),0.7))))</f>
        <v>10</v>
      </c>
      <c r="C23" s="12">
        <f>MIN(1,(MIN(1,'Израиль 2038'!C23+'Израиль 2038'!F23+(0.08*LN(1+0.5*'Ход 2038'!C29)*MAX(0,1-('Израиль 2038'!C23+'Израиль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технологий'!$W$25:$W$240,'Эффекты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2038'!V23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2038'!V24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2038'!B25+'Израиль 2038'!D25+('Израиль 2038'!C25+'Израиль 2038'!F25+'Израиль 2038'!G25)+(0.35*LN(1+0.6*'Ход 2038'!B31)*POWER(MAX(0,1-'Израиль 2038'!I25/10),0.7))))</f>
        <v>9.38308418</v>
      </c>
      <c r="C25" s="12">
        <f>MIN(1,(MIN(1,'Израиль 2038'!C25+'Израиль 2038'!F25+(0.08*LN(1+0.5*'Ход 2038'!C31)*MAX(0,1-('Израиль 2038'!C25+'Израиль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9.38308418</v>
      </c>
      <c r="J25" s="34">
        <f>SUMIFS('Эффекты технологий'!$W$25:$W$240,'Эффекты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2038'!V25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2038'!B26+'Израиль 2038'!D26+('Израиль 2038'!C26+'Израиль 2038'!F26+'Израиль 2038'!G26)+(0.35*LN(1+0.6*'Ход 2038'!B32)*POWER(MAX(0,1-'Израиль 2038'!I26/10),0.7))))</f>
        <v>10</v>
      </c>
      <c r="C26" s="12">
        <f>MIN(1,(MIN(1,'Израиль 2038'!C26+'Израиль 2038'!F26+(0.08*LN(1+0.5*'Ход 2038'!C32)*MAX(0,1-('Израиль 2038'!C26+'Израиль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технологий'!$W$25:$W$240,'Эффекты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2038'!V26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2038'!B27+'Израиль 2038'!D27+('Израиль 2038'!C27+'Израиль 2038'!F27+'Израиль 2038'!G27)+(0.35*LN(1+0.6*'Ход 2038'!B33)*POWER(MAX(0,1-'Израиль 2038'!I27/10),0.7))))</f>
        <v>9.867929939</v>
      </c>
      <c r="C27" s="12">
        <f>MIN(1,(MIN(1,'Израиль 2038'!C27+'Израиль 2038'!F27+(0.08*LN(1+0.5*'Ход 2038'!C33)*MAX(0,1-('Израиль 2038'!C27+'Израиль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9.867929939</v>
      </c>
      <c r="J27" s="34">
        <f>SUMIFS('Эффекты технологий'!$W$25:$W$240,'Эффекты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2038'!B28+'Израиль 2038'!D28+('Израиль 2038'!C28+'Израиль 2038'!F28+'Израиль 2038'!G28)+(0.35*LN(1+0.6*'Ход 2038'!B34)*POWER(MAX(0,1-'Израиль 2038'!I28/10),0.7))))</f>
        <v>10</v>
      </c>
      <c r="C28" s="12">
        <f>MIN(1,(MIN(1,'Израиль 2038'!C28+'Израиль 2038'!F28+(0.08*LN(1+0.5*'Ход 2038'!C34)*MAX(0,1-('Израиль 2038'!C28+'Израиль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технологий'!$W$25:$W$240,'Эффекты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2038'!B29+'Израиль 2038'!D29+('Израиль 2038'!C29+'Израиль 2038'!F29+'Израиль 2038'!G29)+(0.35*LN(1+0.6*'Ход 2038'!B35)*POWER(MAX(0,1-'Израиль 2038'!I29/10),0.7))))</f>
        <v>10</v>
      </c>
      <c r="C29" s="12">
        <f>MIN(1,(MIN(1,'Израиль 2038'!C29+'Израиль 2038'!F29+(0.08*LN(1+0.5*'Ход 2038'!C35)*MAX(0,1-('Израиль 2038'!C29+'Израиль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технологий'!$W$25:$W$240,'Эффекты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2038'!B30+'Израиль 2038'!D30+('Израиль 2038'!C30+'Израиль 2038'!F30+'Израиль 2038'!G30)+(0.35*LN(1+0.6*'Ход 2038'!B36)*POWER(MAX(0,1-'Израиль 2038'!I30/10),0.7))))</f>
        <v>10</v>
      </c>
      <c r="C30" s="12">
        <f>MIN(1,(MIN(1,'Израиль 2038'!C30+'Израиль 2038'!F30+(0.08*LN(1+0.5*'Ход 2038'!C36)*MAX(0,1-('Израиль 2038'!C30+'Израиль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технологий'!$W$25:$W$240,'Эффекты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2038'!B31+'Израиль 2038'!D31+('Израиль 2038'!C31+'Израиль 2038'!F31+'Израиль 2038'!G31)+(0.35*LN(1+0.6*'Ход 2038'!B37)*POWER(MAX(0,1-'Израиль 2038'!I31/10),0.7))))</f>
        <v>9.867929939</v>
      </c>
      <c r="C31" s="12">
        <f>MIN(1,(MIN(1,'Израиль 2038'!C31+'Израиль 2038'!F31+(0.08*LN(1+0.5*'Ход 2038'!C37)*MAX(0,1-('Израиль 2038'!C31+'Израиль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9.867929939</v>
      </c>
      <c r="J31" s="34">
        <f>SUMIFS('Эффекты технологий'!$W$25:$W$240,'Эффекты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2038'!B32+'Израиль 2038'!D32+('Израиль 2038'!C32+'Израиль 2038'!F32+'Израиль 2038'!G32)+(0.35*LN(1+0.6*'Ход 2038'!B38)*POWER(MAX(0,1-'Израиль 2038'!I32/10),0.7))))</f>
        <v>10</v>
      </c>
      <c r="C32" s="12">
        <f>MIN(1,(MIN(1,'Израиль 2038'!C32+'Израиль 2038'!F32+(0.08*LN(1+0.5*'Ход 2038'!C38)*MAX(0,1-('Израиль 2038'!C32+'Израиль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технологий'!$W$25:$W$240,'Эффекты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2038'!B34+'Израиль 2038'!D34+('Израиль 2038'!C34+'Израиль 2038'!F34+'Израиль 2038'!G34)+(0.35*LN(1+0.6*'Ход 2038'!B40)*POWER(MAX(0,1-'Израиль 2038'!I34/10),0.7))))</f>
        <v>10</v>
      </c>
      <c r="C34" s="12">
        <f>MIN(1,(MIN(1,'Израиль 2038'!C34+'Израиль 2038'!F34+(0.08*LN(1+0.5*'Ход 2038'!C40)*MAX(0,1-('Израиль 2038'!C34+'Израиль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технологий'!$W$25:$W$240,'Эффекты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2038'!B35+'Израиль 2038'!D35+('Израиль 2038'!C35+'Израиль 2038'!F35+'Израиль 2038'!G35)+(0.35*LN(1+0.6*'Ход 2038'!B41)*POWER(MAX(0,1-'Израиль 2038'!I35/10),0.7))))</f>
        <v>10</v>
      </c>
      <c r="C35" s="12">
        <f>MIN(1,(MIN(1,'Израиль 2038'!C35+'Израиль 2038'!F35+(0.08*LN(1+0.5*'Ход 2038'!C41)*MAX(0,1-('Израиль 2038'!C35+'Израиль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технологий'!$W$25:$W$240,'Эффекты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2038'!B36+'Израиль 2038'!D36+('Израиль 2038'!C36+'Израиль 2038'!F36+'Израиль 2038'!G36)+(0.35*LN(1+0.6*'Ход 2038'!B42)*POWER(MAX(0,1-'Израиль 2038'!I36/10),0.7))))</f>
        <v>10</v>
      </c>
      <c r="C36" s="12">
        <f>MIN(1,(MIN(1,'Израиль 2038'!C36+'Израиль 2038'!F36+(0.08*LN(1+0.5*'Ход 2038'!C42)*MAX(0,1-('Израиль 2038'!C36+'Израиль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технологий'!$W$25:$W$240,'Эффекты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2038'!B37+'Израиль 2038'!D37+('Израиль 2038'!C37+'Израиль 2038'!F37+'Израиль 2038'!G37)+(0.35*LN(1+0.6*'Ход 2038'!B43)*POWER(MAX(0,1-'Израиль 2038'!I37/10),0.7))))</f>
        <v>10</v>
      </c>
      <c r="C37" s="12">
        <f>MIN(1,(MIN(1,'Израиль 2038'!C37+'Израиль 2038'!F37+(0.08*LN(1+0.5*'Ход 2038'!C43)*MAX(0,1-('Израиль 2038'!C37+'Израиль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технологий'!$W$25:$W$240,'Эффекты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2038'!B38+'Израиль 2038'!D38+('Израиль 2038'!C38+'Израиль 2038'!F38+'Израиль 2038'!G38)+(0.35*LN(1+0.6*'Ход 2038'!B44)*POWER(MAX(0,1-'Израиль 2038'!I38/10),0.7))))</f>
        <v>10</v>
      </c>
      <c r="C38" s="12">
        <f>MIN(1,(MIN(1,'Израиль 2038'!C38+'Израиль 2038'!F38+(0.08*LN(1+0.5*'Ход 2038'!C44)*MAX(0,1-('Израиль 2038'!C38+'Израиль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технологий'!$W$25:$W$240,'Эффекты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2038'!B39+'Израиль 2038'!D39+('Израиль 2038'!C39+'Израиль 2038'!F39+'Израиль 2038'!G39)+(0.35*LN(1+0.6*'Ход 2038'!B45)*POWER(MAX(0,1-'Израиль 2038'!I39/10),0.7))))</f>
        <v>10</v>
      </c>
      <c r="C39" s="12">
        <f>MIN(1,(MIN(1,'Израиль 2038'!C39+'Израиль 2038'!F39+(0.08*LN(1+0.5*'Ход 2038'!C45)*MAX(0,1-('Израиль 2038'!C39+'Израиль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технологий'!$W$25:$W$240,'Эффекты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2038'!B40+'Израиль 2038'!D40+('Израиль 2038'!C40+'Израиль 2038'!F40+'Израиль 2038'!G40)+(0.35*LN(1+0.6*'Ход 2038'!B46)*POWER(MAX(0,1-'Израиль 2038'!I40/10),0.7))))</f>
        <v>10</v>
      </c>
      <c r="C40" s="12">
        <f>MIN(1,(MIN(1,'Израиль 2038'!C40+'Израиль 2038'!F40+(0.08*LN(1+0.5*'Ход 2038'!C46)*MAX(0,1-('Израиль 2038'!C40+'Израиль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технологий'!$W$25:$W$240,'Эффекты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2038'!B41+'Израиль 2038'!D41+('Израиль 2038'!C41+'Израиль 2038'!F41+'Израиль 2038'!G41)+(0.35*LN(1+0.6*'Ход 2038'!B47)*POWER(MAX(0,1-'Израиль 2038'!I41/10),0.7))))</f>
        <v>10</v>
      </c>
      <c r="C41" s="12">
        <f>MIN(1,(MIN(1,'Израиль 2038'!C41+'Израиль 2038'!F41+(0.08*LN(1+0.5*'Ход 2038'!C47)*MAX(0,1-('Израиль 2038'!C41+'Израиль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технологий'!$W$25:$W$240,'Эффекты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2038'!B42+'Израиль 2038'!D42+('Израиль 2038'!C42+'Израиль 2038'!F42+'Израиль 2038'!G42)+(0.35*LN(1+0.6*'Ход 2038'!B48)*POWER(MAX(0,1-'Израиль 2038'!I42/10),0.7))))</f>
        <v>10</v>
      </c>
      <c r="C42" s="12">
        <f>MIN(1,(MIN(1,'Израиль 2038'!C42+'Израиль 2038'!F42+(0.08*LN(1+0.5*'Ход 2038'!C48)*MAX(0,1-('Израиль 2038'!C42+'Израиль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технологий'!$W$25:$W$240,'Эффекты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2038'!B44+'Израиль 2038'!D44+('Израиль 2038'!C44+'Израиль 2038'!F44+'Израиль 2038'!G44)+(0.35*LN(1+0.6*'Ход 2038'!B50)*POWER(MAX(0,1-'Израиль 2038'!I44/10),0.7))))</f>
        <v>10</v>
      </c>
      <c r="C44" s="12">
        <f>MIN(1,(MIN(1,'Израиль 2038'!C44+'Израиль 2038'!F44+(0.08*LN(1+0.5*'Ход 2038'!C50)*MAX(0,1-('Израиль 2038'!C44+'Израиль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технологий'!$W$25:$W$240,'Эффекты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2038'!B45+'Израиль 2038'!D45+('Израиль 2038'!C45+'Израиль 2038'!F45+'Израиль 2038'!G45)+(0.35*LN(1+0.6*'Ход 2038'!B51)*POWER(MAX(0,1-'Израиль 2038'!I45/10),0.7))))</f>
        <v>10</v>
      </c>
      <c r="C45" s="12">
        <f>MIN(1,(MIN(1,'Израиль 2038'!C45+'Израиль 2038'!F45+(0.08*LN(1+0.5*'Ход 2038'!C51)*MAX(0,1-('Израиль 2038'!C45+'Израиль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технологий'!$W$25:$W$240,'Эффекты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2038'!B46+'Израиль 2038'!D46+('Израиль 2038'!C46+'Израиль 2038'!F46+'Израиль 2038'!G46)+(0.35*LN(1+0.6*'Ход 2038'!B52)*POWER(MAX(0,1-'Израиль 2038'!I46/10),0.7))))</f>
        <v>9.854561758</v>
      </c>
      <c r="C46" s="12">
        <f>MIN(1,(MIN(1,'Израиль 2038'!C46+'Израиль 2038'!F46+(0.08*LN(1+0.5*'Ход 2038'!C52)*MAX(0,1-('Израиль 2038'!C46+'Израиль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9.854561758</v>
      </c>
      <c r="J46" s="34">
        <f>SUMIFS('Эффекты технологий'!$W$25:$W$240,'Эффекты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2038'!B47+'Израиль 2038'!D47+('Израиль 2038'!C47+'Израиль 2038'!F47+'Израиль 2038'!G47)+(0.35*LN(1+0.6*'Ход 2038'!B53)*POWER(MAX(0,1-'Израиль 2038'!I47/10),0.7))))</f>
        <v>9.735370744</v>
      </c>
      <c r="C47" s="12">
        <f>MIN(1,(MIN(1,'Израиль 2038'!C47+'Израиль 2038'!F47+(0.08*LN(1+0.5*'Ход 2038'!C53)*MAX(0,1-('Израиль 2038'!C47+'Израиль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9.735370744</v>
      </c>
      <c r="J47" s="34">
        <f>SUMIFS('Эффекты технологий'!$W$25:$W$240,'Эффекты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2038'!B48+'Израиль 2038'!D48+('Израиль 2038'!C48+'Израиль 2038'!F48+'Израиль 2038'!G48)+(0.35*LN(1+0.6*'Ход 2038'!B54)*POWER(MAX(0,1-'Израиль 2038'!I48/10),0.7))))</f>
        <v>7.735370744</v>
      </c>
      <c r="C48" s="12">
        <f>MIN(1,(MIN(1,'Израиль 2038'!C48+'Израиль 2038'!F48+(0.08*LN(1+0.5*'Ход 2038'!C54)*MAX(0,1-('Израиль 2038'!C48+'Израиль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7.735370744</v>
      </c>
      <c r="J48" s="34">
        <f>SUMIFS('Эффекты технологий'!$W$25:$W$240,'Эффекты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2038'!B49+'Израиль 2038'!D49+('Израиль 2038'!C49+'Израиль 2038'!F49+'Израиль 2038'!G49)+(0.35*LN(1+0.6*'Ход 2038'!B55)*POWER(MAX(0,1-'Израиль 2038'!I49/10),0.7))))</f>
        <v>10</v>
      </c>
      <c r="C49" s="12">
        <f>MIN(1,(MIN(1,'Израиль 2038'!C49+'Израиль 2038'!F49+(0.08*LN(1+0.5*'Ход 2038'!C55)*MAX(0,1-('Израиль 2038'!C49+'Израиль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технологий'!$W$25:$W$240,'Эффекты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2038'!B50+'Израиль 2038'!D50+('Израиль 2038'!C50+'Израиль 2038'!F50+'Израиль 2038'!G50)+(0.35*LN(1+0.6*'Ход 2038'!B56)*POWER(MAX(0,1-'Израиль 2038'!I50/10),0.7))))</f>
        <v>10</v>
      </c>
      <c r="C50" s="12">
        <f>MIN(1,(MIN(1,'Израиль 2038'!C50+'Израиль 2038'!F50+(0.08*LN(1+0.5*'Ход 2038'!C56)*MAX(0,1-('Израиль 2038'!C50+'Израиль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10</v>
      </c>
      <c r="J50" s="34">
        <f>SUMIFS('Эффекты технологий'!$W$25:$W$240,'Эффекты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2038'!B51+'Израиль 2038'!D51+('Израиль 2038'!C51+'Израиль 2038'!F51+'Израиль 2038'!G51)+(0.35*LN(1+0.6*'Ход 2038'!B57)*POWER(MAX(0,1-'Израиль 2038'!I51/10),0.7))))</f>
        <v>10</v>
      </c>
      <c r="C51" s="12">
        <f>MIN(1,(MIN(1,'Израиль 2038'!C51+'Израиль 2038'!F51+(0.08*LN(1+0.5*'Ход 2038'!C57)*MAX(0,1-('Израиль 2038'!C51+'Израиль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технологий'!$W$25:$W$240,'Эффекты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2038'!B53+'Израиль 2038'!D53+('Израиль 2038'!C53+'Израиль 2038'!F53+'Израиль 2038'!G53)+(0.35*LN(1+0.6*'Ход 2038'!B59)*POWER(MAX(0,1-'Израиль 2038'!I53/10),0.7))))</f>
        <v>10</v>
      </c>
      <c r="C53" s="12">
        <f>MIN(1,(MIN(1,'Израиль 2038'!C53+'Израиль 2038'!F53+(0.08*LN(1+0.5*'Ход 2038'!C59)*MAX(0,1-('Израиль 2038'!C53+'Израиль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технологий'!$W$25:$W$240,'Эффекты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2038'!B54+'Израиль 2038'!D54+('Израиль 2038'!C54+'Израиль 2038'!F54+'Израиль 2038'!G54)+(0.35*LN(1+0.6*'Ход 2038'!B60)*POWER(MAX(0,1-'Израиль 2038'!I54/10),0.7))))</f>
        <v>10</v>
      </c>
      <c r="C54" s="12">
        <f>MIN(1,(MIN(1,'Израиль 2038'!C54+'Израиль 2038'!F54+(0.08*LN(1+0.5*'Ход 2038'!C60)*MAX(0,1-('Израиль 2038'!C54+'Израиль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технологий'!$W$25:$W$240,'Эффекты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2038'!B55+'Израиль 2038'!D55+('Израиль 2038'!C55+'Израиль 2038'!F55+'Израиль 2038'!G55)+(0.35*LN(1+0.6*'Ход 2038'!B61)*POWER(MAX(0,1-'Израиль 2038'!I55/10),0.7))))</f>
        <v>9.354561758</v>
      </c>
      <c r="C55" s="12">
        <f>MIN(1,(MIN(1,'Израиль 2038'!C55+'Израиль 2038'!F55+(0.08*LN(1+0.5*'Ход 2038'!C61)*MAX(0,1-('Израиль 2038'!C55+'Израиль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9.354561758</v>
      </c>
      <c r="J55" s="34">
        <f>SUMIFS('Эффекты технологий'!$W$25:$W$240,'Эффекты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409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2039'!U6</f>
        <v>98.4492351</v>
      </c>
      <c r="C6" s="12"/>
      <c r="D6" s="12"/>
      <c r="E6" s="12" t="s">
        <v>16</v>
      </c>
      <c r="F6" s="19">
        <f>'Израиль 2039'!K6</f>
        <v>95.33886926</v>
      </c>
      <c r="G6" s="12"/>
      <c r="H6" s="12"/>
      <c r="I6" s="12" t="s">
        <v>16</v>
      </c>
      <c r="J6" s="19">
        <f>'Израиль 2039'!N6</f>
        <v>99.91606286</v>
      </c>
      <c r="K6" s="12"/>
      <c r="L6" s="12"/>
      <c r="M6" s="12" t="s">
        <v>16</v>
      </c>
      <c r="N6" s="19">
        <f>'Израиль 2039'!Q6</f>
        <v>83.72387766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98.4492351</v>
      </c>
      <c r="C8" s="12" t="str">
        <f>IF(B8&lt;0,"ПРЕВЫШЕНИЕ","OK")</f>
        <v>OK</v>
      </c>
      <c r="D8" s="12"/>
      <c r="E8" s="12" t="s">
        <v>94</v>
      </c>
      <c r="F8" s="19">
        <f>F6-F7</f>
        <v>95.33886926</v>
      </c>
      <c r="G8" s="12" t="str">
        <f>IF(F8&lt;0,"ПРЕВЫШЕНИЕ","OK")</f>
        <v>OK</v>
      </c>
      <c r="H8" s="12"/>
      <c r="I8" s="12" t="s">
        <v>94</v>
      </c>
      <c r="J8" s="19">
        <f>J6-J7</f>
        <v>99.91606286</v>
      </c>
      <c r="K8" s="12" t="str">
        <f>IF(J8&lt;0,"ПРЕВЫШЕНИЕ","OK")</f>
        <v>OK</v>
      </c>
      <c r="L8" s="12"/>
      <c r="M8" s="12" t="s">
        <v>94</v>
      </c>
      <c r="N8" s="19">
        <f>N6-N7</f>
        <v>83.72387766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2039'!V11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/>
      <c r="S13" s="26"/>
      <c r="T13" s="26"/>
      <c r="U13" s="12"/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2039'!V12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/>
      <c r="S14" s="26"/>
      <c r="T14" s="26"/>
      <c r="U14" s="12"/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2039'!V13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/>
      <c r="S15" s="26"/>
      <c r="T15" s="26"/>
      <c r="U15" s="12"/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2039'!V14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/>
      <c r="S16" s="26"/>
      <c r="T16" s="26"/>
      <c r="U16" s="12"/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2039'!V15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/>
      <c r="S17" s="26"/>
      <c r="T17" s="26"/>
      <c r="U17" s="12"/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2039'!V16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/>
      <c r="S18" s="26"/>
      <c r="T18" s="26"/>
      <c r="U18" s="12"/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2039'!V17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/>
      <c r="S19" s="26"/>
      <c r="T19" s="26"/>
      <c r="U19" s="12"/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2039'!V18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/>
      <c r="S20" s="26"/>
      <c r="T20" s="26"/>
      <c r="U20" s="12"/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2039'!V19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/>
      <c r="S21" s="26"/>
      <c r="T21" s="26"/>
      <c r="U21" s="12"/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2039'!V20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/>
      <c r="S22" s="26"/>
      <c r="T22" s="26"/>
      <c r="U22" s="12"/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2039'!V21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/>
      <c r="S23" s="26"/>
      <c r="T23" s="26"/>
      <c r="U23" s="12"/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2039'!V22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/>
      <c r="S24" s="26"/>
      <c r="T24" s="26"/>
      <c r="U24" s="12"/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технологий'!W$16</f>
        <v>0</v>
      </c>
      <c r="H25" s="29">
        <f>'Эффекты технологий'!W$17</f>
        <v>0</v>
      </c>
      <c r="I25" s="29">
        <f>'Эффекты технологий'!W$18</f>
        <v>0</v>
      </c>
      <c r="J25" s="30"/>
      <c r="K25" s="12"/>
      <c r="L25" s="12" t="s">
        <v>152</v>
      </c>
      <c r="M25" s="12">
        <f>'Израиль 2039'!V23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/>
      <c r="S25" s="26"/>
      <c r="T25" s="26"/>
      <c r="U25" s="12"/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1">G24*(1+G25)</f>
        <v>0</v>
      </c>
      <c r="H26" s="32">
        <f t="shared" si="1"/>
        <v>0</v>
      </c>
      <c r="I26" s="32">
        <f t="shared" si="1"/>
        <v>0</v>
      </c>
      <c r="J26" s="32">
        <f>SUM(G26:I26)</f>
        <v>0</v>
      </c>
      <c r="K26" s="12"/>
      <c r="L26" s="12" t="s">
        <v>155</v>
      </c>
      <c r="M26" s="12">
        <f>'Израиль 2039'!V24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/>
      <c r="S26" s="26"/>
      <c r="T26" s="26"/>
      <c r="U26" s="12"/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2039'!V25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/>
      <c r="S27" s="26"/>
      <c r="T27" s="26"/>
      <c r="U27" s="12"/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2039'!V26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/>
      <c r="S28" s="26"/>
      <c r="T28" s="26"/>
      <c r="U28" s="12"/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IF(G29="","",VLOOKUP(G29,'Технологии'!$A$11:$BF$50,57,FALSE))</f>
        <v/>
      </c>
      <c r="L29" s="12"/>
      <c r="M29" s="12"/>
      <c r="N29" s="30" t="s">
        <v>167</v>
      </c>
      <c r="O29" s="30">
        <f t="shared" ref="O29:Q29" si="2">SUM(O13:O28)</f>
        <v>0</v>
      </c>
      <c r="P29" s="30">
        <f t="shared" si="2"/>
        <v>0</v>
      </c>
      <c r="Q29" s="30">
        <f t="shared" si="2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IF(G30="","",VLOOKUP(G30,'Технологии'!$A$11:$BF$50,57,FALSE))</f>
        <v/>
      </c>
      <c r="L30" s="12"/>
      <c r="M30" s="12"/>
      <c r="N30" s="30" t="s">
        <v>151</v>
      </c>
      <c r="O30" s="29">
        <f>'Эффекты технологий'!W$13</f>
        <v>0</v>
      </c>
      <c r="P30" s="29">
        <f>'Эффекты технологий'!W$14</f>
        <v>0</v>
      </c>
      <c r="Q30" s="29">
        <f>'Эффекты технологий'!W$15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IF(G31="","",VLOOKUP(G31,'Технологии'!$A$11:$BF$50,57,FALSE))</f>
        <v/>
      </c>
      <c r="L31" s="12"/>
      <c r="M31" s="12"/>
      <c r="N31" s="32" t="s">
        <v>172</v>
      </c>
      <c r="O31" s="32">
        <f t="shared" ref="O31:Q31" si="3">O29*(1+O30)</f>
        <v>0</v>
      </c>
      <c r="P31" s="32">
        <f t="shared" si="3"/>
        <v>0</v>
      </c>
      <c r="Q31" s="32">
        <f t="shared" si="3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410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95.5622924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99.94469048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83.82985589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98.5305709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2039'!B8+'Израиль 2039'!D8+('Израиль 2039'!C8+'Израиль 2039'!F8+'Израиль 2039'!G8)+(0.35*LN(1+0.6*('Ход 2039'!B14*(1+'Эффекты технологий'!W$12)))*POWER(MAX(0,1-'Израиль 2039'!I8/10),0.7))))</f>
        <v>3.899694438</v>
      </c>
      <c r="C8" s="12">
        <f>MIN(1,(MIN(1,'Израиль 2039'!C8+'Израиль 2039'!F8+(0.08*LN(1+0.5*('Ход 2039'!C14*(1+'Эффекты технологий'!W$12)))*MAX(0,1-('Израиль 2039'!C8+'Израиль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3.749694438</v>
      </c>
      <c r="J8" s="34">
        <f>SUMIFS('Эффекты технологий'!$X$25:$X$240,'Эффекты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2039'!B9+'Израиль 2039'!D9+('Израиль 2039'!C9+'Израиль 2039'!F9+'Израиль 2039'!G9)+(0.35*LN(1+0.6*('Ход 2039'!B15*(1+'Эффекты технологий'!W$12)))*POWER(MAX(0,1-'Израиль 2039'!I9/10),0.7))))</f>
        <v>8.510352511</v>
      </c>
      <c r="C9" s="12">
        <f>MIN(1,(MIN(1,'Израиль 2039'!C9+'Израиль 2039'!F9+(0.08*LN(1+0.5*('Ход 2039'!C15*(1+'Эффекты технологий'!W$12)))*MAX(0,1-('Израиль 2039'!C9+'Израиль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8.510352511</v>
      </c>
      <c r="J9" s="34">
        <f>SUMIFS('Эффекты технологий'!$X$25:$X$240,'Эффекты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2039'!B10+'Израиль 2039'!D10+('Израиль 2039'!C10+'Израиль 2039'!F10+'Израиль 2039'!G10)+(0.35*LN(1+0.6*('Ход 2039'!B16*(1+'Эффекты технологий'!W$12)))*POWER(MAX(0,1-'Израиль 2039'!I10/10),0.7))))</f>
        <v>8.546726724</v>
      </c>
      <c r="C10" s="12">
        <f>MIN(1,(MIN(1,'Израиль 2039'!C10+'Израиль 2039'!F10+(0.08*LN(1+0.5*('Ход 2039'!C16*(1+'Эффекты технологий'!W$12)))*MAX(0,1-('Израиль 2039'!C10+'Израиль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8.546726724</v>
      </c>
      <c r="J10" s="34">
        <f>SUMIFS('Эффекты технологий'!$X$25:$X$240,'Эффекты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2039'!B11+'Израиль 2039'!D11+('Израиль 2039'!C11+'Израиль 2039'!F11+'Израиль 2039'!G11)+(0.35*LN(1+0.6*('Ход 2039'!B17*(1+'Эффекты технологий'!W$12)))*POWER(MAX(0,1-'Израиль 2039'!I11/10),0.7))))</f>
        <v>9.751144312</v>
      </c>
      <c r="C11" s="12">
        <f>MIN(1,(MIN(1,'Израиль 2039'!C11+'Израиль 2039'!F11+(0.08*LN(1+0.5*('Ход 2039'!C17*(1+'Эффекты технологий'!W$12)))*MAX(0,1-('Израиль 2039'!C11+'Израиль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9.751144312</v>
      </c>
      <c r="J11" s="34">
        <f>SUMIFS('Эффекты технологий'!$X$25:$X$240,'Эффекты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2039'!L11+'Израиль 2039'!N11+('Израиль 2039'!M11+'Израиль 2039'!P11+'Израиль 2039'!Q11)))</f>
        <v>10</v>
      </c>
      <c r="M11" s="12">
        <f>MIN(1,(MIN(1,'Израиль 2039'!M11+'Израиль 2039'!P11+(0.1*LN(1+0.5*('Ход 2039'!H13*(1+'Эффекты технологий'!W$10)))*POWER(MAX(0,1-'Израиль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технологий'!$X$25:$X$240,'Эффекты технологий'!$C$25:$C$240,$K11,'Эффекты технологий'!$D$25:$D$240,"Значение")</f>
        <v>0</v>
      </c>
      <c r="U11" s="12" t="s">
        <v>110</v>
      </c>
      <c r="V11" s="25">
        <f>'Израиль 2039'!V11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2039'!B12+'Израиль 2039'!D12+('Израиль 2039'!C12+'Израиль 2039'!F12+'Израиль 2039'!G12)+(0.35*LN(1+0.6*('Ход 2039'!B18*(1+'Эффекты технологий'!W$12)))*POWER(MAX(0,1-'Израиль 2039'!I12/10),0.7))))</f>
        <v>4.389599283</v>
      </c>
      <c r="C12" s="12">
        <f>MIN(1,(MIN(1,'Израиль 2039'!C12+'Израиль 2039'!F12+(0.08*LN(1+0.5*('Ход 2039'!C18*(1+'Эффекты технологий'!W$12)))*MAX(0,1-('Израиль 2039'!C12+'Израиль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4.389599283</v>
      </c>
      <c r="J12" s="34">
        <f>SUMIFS('Эффекты технологий'!$X$25:$X$240,'Эффекты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2039'!L12+'Израиль 2039'!N12+('Израиль 2039'!M12+'Израиль 2039'!P12+'Израиль 2039'!Q12)))</f>
        <v>10</v>
      </c>
      <c r="M12" s="12">
        <f>MIN(1,(MIN(1,'Израиль 2039'!M12+'Израиль 2039'!P12+(0.1*LN(1+0.5*('Ход 2039'!H14*(1+'Эффекты технологий'!W$10)))*POWER(MAX(0,1-'Израиль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технологий'!$X$25:$X$240,'Эффекты технологий'!$C$25:$C$240,$K12,'Эффекты технологий'!$D$25:$D$240,"Значение")</f>
        <v>0</v>
      </c>
      <c r="U12" s="12" t="s">
        <v>113</v>
      </c>
      <c r="V12" s="25">
        <f>'Израиль 2039'!V12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2039'!B13+'Израиль 2039'!D13+('Израиль 2039'!C13+'Израиль 2039'!F13+'Израиль 2039'!G13)+(0.35*LN(1+0.6*('Ход 2039'!B19*(1+'Эффекты технологий'!W$12)))*POWER(MAX(0,1-'Израиль 2039'!I13/10),0.7))))</f>
        <v>10</v>
      </c>
      <c r="C13" s="12">
        <f>MIN(1,(MIN(1,'Израиль 2039'!C13+'Израиль 2039'!F13+(0.08*LN(1+0.5*('Ход 2039'!C19*(1+'Эффекты технологий'!W$12)))*MAX(0,1-('Израиль 2039'!C13+'Израиль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10</v>
      </c>
      <c r="J13" s="34">
        <f>SUMIFS('Эффекты технологий'!$X$25:$X$240,'Эффекты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2039'!L13+'Израиль 2039'!N13+('Израиль 2039'!M13+'Израиль 2039'!P13+'Израиль 2039'!Q13)))</f>
        <v>10</v>
      </c>
      <c r="M13" s="12">
        <f>MIN(1,(MIN(1,'Израиль 2039'!M13+'Израиль 2039'!P13+(0.1*LN(1+0.5*('Ход 2039'!H15*(1+'Эффекты технологий'!W$10)))*POWER(MAX(0,1-'Израиль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технологий'!$X$25:$X$240,'Эффекты технологий'!$C$25:$C$240,$K13,'Эффекты технологий'!$D$25:$D$240,"Значение")</f>
        <v>0</v>
      </c>
      <c r="U13" s="12" t="s">
        <v>116</v>
      </c>
      <c r="V13" s="25">
        <f>'Израиль 2039'!V13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2039'!B14+'Израиль 2039'!D14+('Израиль 2039'!C14+'Израиль 2039'!F14+'Израиль 2039'!G14)+(0.35*LN(1+0.6*('Ход 2039'!B20*(1+'Эффекты технологий'!W$12)))*POWER(MAX(0,1-'Израиль 2039'!I14/10),0.7))))</f>
        <v>10</v>
      </c>
      <c r="C14" s="12">
        <f>MIN(1,(MIN(1,'Израиль 2039'!C14+'Израиль 2039'!F14+(0.08*LN(1+0.5*('Ход 2039'!C20*(1+'Эффекты технологий'!W$12)))*MAX(0,1-('Израиль 2039'!C14+'Израиль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технологий'!$X$25:$X$240,'Эффекты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2039'!L14+'Израиль 2039'!N14+('Израиль 2039'!M14+'Израиль 2039'!P14+'Израиль 2039'!Q14)))</f>
        <v>10</v>
      </c>
      <c r="M14" s="12">
        <f>MIN(1,(MIN(1,'Израиль 2039'!M14+'Израиль 2039'!P14+(0.1*LN(1+0.5*('Ход 2039'!H16*(1+'Эффекты технологий'!W$10)))*POWER(MAX(0,1-'Израиль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технологий'!$X$25:$X$240,'Эффекты технологий'!$C$25:$C$240,$K14,'Эффекты технологий'!$D$25:$D$240,"Значение")</f>
        <v>0</v>
      </c>
      <c r="U14" s="12" t="s">
        <v>119</v>
      </c>
      <c r="V14" s="25">
        <f>'Израиль 2039'!V14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2039'!B15+'Израиль 2039'!D15+('Израиль 2039'!C15+'Израиль 2039'!F15+'Израиль 2039'!G15)+(0.35*LN(1+0.6*('Ход 2039'!B21*(1+'Эффекты технологий'!W$12)))*POWER(MAX(0,1-'Израиль 2039'!I15/10),0.7))))</f>
        <v>10</v>
      </c>
      <c r="C15" s="12">
        <f>MIN(1,(MIN(1,'Израиль 2039'!C15+'Израиль 2039'!F15+(0.08*LN(1+0.5*('Ход 2039'!C21*(1+'Эффекты технологий'!W$12)))*MAX(0,1-('Израиль 2039'!C15+'Израиль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технологий'!$X$25:$X$240,'Эффекты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2039'!L15+'Израиль 2039'!N15+('Израиль 2039'!M15+'Израиль 2039'!P15+'Израиль 2039'!Q15)))</f>
        <v>10</v>
      </c>
      <c r="M15" s="12">
        <f>MIN(1,(MIN(1,'Израиль 2039'!M15+'Израиль 2039'!P15+(0.1*LN(1+0.5*('Ход 2039'!H17*(1+'Эффекты технологий'!W$10)))*POWER(MAX(0,1-'Израиль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технологий'!$X$25:$X$240,'Эффекты технологий'!$C$25:$C$240,$K15,'Эффекты технологий'!$D$25:$D$240,"Значение")</f>
        <v>0</v>
      </c>
      <c r="U15" s="12" t="s">
        <v>122</v>
      </c>
      <c r="V15" s="25">
        <f>'Израиль 2039'!V15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2039'!B16+'Израиль 2039'!D16+('Израиль 2039'!C16+'Израиль 2039'!F16+'Израиль 2039'!G16)+(0.35*LN(1+0.6*('Ход 2039'!B22*(1+'Эффекты технологий'!W$12)))*POWER(MAX(0,1-'Израиль 2039'!I16/10),0.7))))</f>
        <v>10</v>
      </c>
      <c r="C16" s="12">
        <f>MIN(1,(MIN(1,'Израиль 2039'!C16+'Израиль 2039'!F16+(0.08*LN(1+0.5*('Ход 2039'!C22*(1+'Эффекты технологий'!W$12)))*MAX(0,1-('Израиль 2039'!C16+'Израиль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технологий'!$X$25:$X$240,'Эффекты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2039'!L16+'Израиль 2039'!N16+('Израиль 2039'!M16+'Израиль 2039'!P16+'Израиль 2039'!Q16)))</f>
        <v>10</v>
      </c>
      <c r="M16" s="12">
        <f>MIN(1,(MIN(1,'Израиль 2039'!M16+'Израиль 2039'!P16+(0.1*LN(1+0.5*('Ход 2039'!H18*(1+'Эффекты технологий'!W$10)))*POWER(MAX(0,1-'Израиль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технологий'!$X$25:$X$240,'Эффекты технологий'!$C$25:$C$240,$K16,'Эффекты технологий'!$D$25:$D$240,"Значение")</f>
        <v>0</v>
      </c>
      <c r="U16" s="12" t="s">
        <v>125</v>
      </c>
      <c r="V16" s="25">
        <f>'Израиль 2039'!V16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2039'!B17+'Израиль 2039'!D17+('Израиль 2039'!C17+'Израиль 2039'!F17+'Израиль 2039'!G17)+(0.35*LN(1+0.6*('Ход 2039'!B23*(1+'Эффекты технологий'!W$12)))*POWER(MAX(0,1-'Израиль 2039'!I17/10),0.7))))</f>
        <v>8.997130438</v>
      </c>
      <c r="C17" s="12">
        <f>MIN(1,(MIN(1,'Израиль 2039'!C17+'Израиль 2039'!F17+(0.08*LN(1+0.5*('Ход 2039'!C23*(1+'Эффекты технологий'!W$12)))*MAX(0,1-('Израиль 2039'!C17+'Израиль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8.997130438</v>
      </c>
      <c r="J17" s="34">
        <f>SUMIFS('Эффекты технологий'!$X$25:$X$240,'Эффекты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2039'!L17+'Израиль 2039'!N17+('Израиль 2039'!M17+'Израиль 2039'!P17+'Израиль 2039'!Q17)))</f>
        <v>10</v>
      </c>
      <c r="M17" s="12">
        <f>MIN(1,(MIN(1,'Израиль 2039'!M17+'Израиль 2039'!P17+(0.1*LN(1+0.5*('Ход 2039'!H19*(1+'Эффекты технологий'!W$10)))*POWER(MAX(0,1-'Израиль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технологий'!$X$25:$X$240,'Эффекты технологий'!$C$25:$C$240,$K17,'Эффекты технологий'!$D$25:$D$240,"Значение")</f>
        <v>0</v>
      </c>
      <c r="U17" s="12" t="s">
        <v>128</v>
      </c>
      <c r="V17" s="25">
        <f>'Израиль 2039'!V17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2039'!L18+'Израиль 2039'!N18+('Израиль 2039'!M18+'Израиль 2039'!P18+'Израиль 2039'!Q18)))</f>
        <v>10</v>
      </c>
      <c r="M18" s="12">
        <f>MIN(1,(MIN(1,'Израиль 2039'!M18+'Израиль 2039'!P18+(0.1*LN(1+0.5*('Ход 2039'!H20*(1+'Эффекты технологий'!W$10)))*POWER(MAX(0,1-'Израиль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технологий'!$X$25:$X$240,'Эффекты технологий'!$C$25:$C$240,$K18,'Эффекты технологий'!$D$25:$D$240,"Значение")</f>
        <v>0</v>
      </c>
      <c r="U18" s="12" t="s">
        <v>131</v>
      </c>
      <c r="V18" s="25">
        <f>'Израиль 2039'!V18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2039'!B19+'Израиль 2039'!D19+('Израиль 2039'!C19+'Израиль 2039'!F19+'Израиль 2039'!G19)+(0.35*LN(1+0.6*'Ход 2039'!B25)*POWER(MAX(0,1-'Израиль 2039'!I19/10),0.7))))</f>
        <v>10</v>
      </c>
      <c r="C19" s="12">
        <f>MIN(1,(MIN(1,'Израиль 2039'!C19+'Израиль 2039'!F19+(0.08*LN(1+0.5*'Ход 2039'!C25)*MAX(0,1-('Израиль 2039'!C19+'Израиль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технологий'!$X$25:$X$240,'Эффекты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2039'!V19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2039'!B20+'Израиль 2039'!D20+('Израиль 2039'!C20+'Израиль 2039'!F20+'Израиль 2039'!G20)+(0.35*LN(1+0.6*'Ход 2039'!B26)*POWER(MAX(0,1-'Израиль 2039'!I20/10),0.7))))</f>
        <v>10</v>
      </c>
      <c r="C20" s="12">
        <f>MIN(1,(MIN(1,'Израиль 2039'!C20+'Израиль 2039'!F20+(0.08*LN(1+0.5*'Ход 2039'!C26)*MAX(0,1-('Израиль 2039'!C20+'Израиль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технологий'!$X$25:$X$240,'Эффекты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2039'!V20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2039'!B21+'Израиль 2039'!D21+('Израиль 2039'!C21+'Израиль 2039'!F21+'Израиль 2039'!G21)+(0.35*LN(1+0.6*'Ход 2039'!B27)*POWER(MAX(0,1-'Израиль 2039'!I21/10),0.7))))</f>
        <v>10</v>
      </c>
      <c r="C21" s="12">
        <f>MIN(1,(MIN(1,'Израиль 2039'!C21+'Израиль 2039'!F21+(0.08*LN(1+0.5*'Ход 2039'!C27)*MAX(0,1-('Израиль 2039'!C21+'Израиль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технологий'!$X$25:$X$240,'Эффекты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2039'!V21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2039'!B22+'Израиль 2039'!D22+('Израиль 2039'!C22+'Израиль 2039'!F22+'Израиль 2039'!G22)+(0.35*LN(1+0.6*'Ход 2039'!B28)*POWER(MAX(0,1-'Израиль 2039'!I22/10),0.7))))</f>
        <v>10</v>
      </c>
      <c r="C22" s="12">
        <f>MIN(1,(MIN(1,'Израиль 2039'!C22+'Израиль 2039'!F22+(0.08*LN(1+0.5*'Ход 2039'!C28)*MAX(0,1-('Израиль 2039'!C22+'Израиль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технологий'!$X$25:$X$240,'Эффекты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2039'!V22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2039'!B23+'Израиль 2039'!D23+('Израиль 2039'!C23+'Израиль 2039'!F23+'Израиль 2039'!G23)+(0.35*LN(1+0.6*'Ход 2039'!B29)*POWER(MAX(0,1-'Израиль 2039'!I23/10),0.7))))</f>
        <v>10</v>
      </c>
      <c r="C23" s="12">
        <f>MIN(1,(MIN(1,'Израиль 2039'!C23+'Израиль 2039'!F23+(0.08*LN(1+0.5*'Ход 2039'!C29)*MAX(0,1-('Израиль 2039'!C23+'Израиль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технологий'!$X$25:$X$240,'Эффекты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2039'!V23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2039'!V24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2039'!B25+'Израиль 2039'!D25+('Израиль 2039'!C25+'Израиль 2039'!F25+'Израиль 2039'!G25)+(0.35*LN(1+0.6*'Ход 2039'!B31)*POWER(MAX(0,1-'Израиль 2039'!I25/10),0.7))))</f>
        <v>9.48308418</v>
      </c>
      <c r="C25" s="12">
        <f>MIN(1,(MIN(1,'Израиль 2039'!C25+'Израиль 2039'!F25+(0.08*LN(1+0.5*'Ход 2039'!C31)*MAX(0,1-('Израиль 2039'!C25+'Израиль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9.48308418</v>
      </c>
      <c r="J25" s="34">
        <f>SUMIFS('Эффекты технологий'!$X$25:$X$240,'Эффекты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2039'!V25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2039'!B26+'Израиль 2039'!D26+('Израиль 2039'!C26+'Израиль 2039'!F26+'Израиль 2039'!G26)+(0.35*LN(1+0.6*'Ход 2039'!B32)*POWER(MAX(0,1-'Израиль 2039'!I26/10),0.7))))</f>
        <v>10</v>
      </c>
      <c r="C26" s="12">
        <f>MIN(1,(MIN(1,'Израиль 2039'!C26+'Израиль 2039'!F26+(0.08*LN(1+0.5*'Ход 2039'!C32)*MAX(0,1-('Израиль 2039'!C26+'Израиль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технологий'!$X$25:$X$240,'Эффекты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2039'!V26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2039'!B27+'Израиль 2039'!D27+('Израиль 2039'!C27+'Израиль 2039'!F27+'Израиль 2039'!G27)+(0.35*LN(1+0.6*'Ход 2039'!B33)*POWER(MAX(0,1-'Израиль 2039'!I27/10),0.7))))</f>
        <v>9.967929939</v>
      </c>
      <c r="C27" s="12">
        <f>MIN(1,(MIN(1,'Израиль 2039'!C27+'Израиль 2039'!F27+(0.08*LN(1+0.5*'Ход 2039'!C33)*MAX(0,1-('Израиль 2039'!C27+'Израиль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9.967929939</v>
      </c>
      <c r="J27" s="34">
        <f>SUMIFS('Эффекты технологий'!$X$25:$X$240,'Эффекты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2039'!B28+'Израиль 2039'!D28+('Израиль 2039'!C28+'Израиль 2039'!F28+'Израиль 2039'!G28)+(0.35*LN(1+0.6*'Ход 2039'!B34)*POWER(MAX(0,1-'Израиль 2039'!I28/10),0.7))))</f>
        <v>10</v>
      </c>
      <c r="C28" s="12">
        <f>MIN(1,(MIN(1,'Израиль 2039'!C28+'Израиль 2039'!F28+(0.08*LN(1+0.5*'Ход 2039'!C34)*MAX(0,1-('Израиль 2039'!C28+'Израиль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технологий'!$X$25:$X$240,'Эффекты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2039'!B29+'Израиль 2039'!D29+('Израиль 2039'!C29+'Израиль 2039'!F29+'Израиль 2039'!G29)+(0.35*LN(1+0.6*'Ход 2039'!B35)*POWER(MAX(0,1-'Израиль 2039'!I29/10),0.7))))</f>
        <v>10</v>
      </c>
      <c r="C29" s="12">
        <f>MIN(1,(MIN(1,'Израиль 2039'!C29+'Израиль 2039'!F29+(0.08*LN(1+0.5*'Ход 2039'!C35)*MAX(0,1-('Израиль 2039'!C29+'Израиль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технологий'!$X$25:$X$240,'Эффекты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2039'!B30+'Израиль 2039'!D30+('Израиль 2039'!C30+'Израиль 2039'!F30+'Израиль 2039'!G30)+(0.35*LN(1+0.6*'Ход 2039'!B36)*POWER(MAX(0,1-'Израиль 2039'!I30/10),0.7))))</f>
        <v>10</v>
      </c>
      <c r="C30" s="12">
        <f>MIN(1,(MIN(1,'Израиль 2039'!C30+'Израиль 2039'!F30+(0.08*LN(1+0.5*'Ход 2039'!C36)*MAX(0,1-('Израиль 2039'!C30+'Израиль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технологий'!$X$25:$X$240,'Эффекты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2039'!B31+'Израиль 2039'!D31+('Израиль 2039'!C31+'Израиль 2039'!F31+'Израиль 2039'!G31)+(0.35*LN(1+0.6*'Ход 2039'!B37)*POWER(MAX(0,1-'Израиль 2039'!I31/10),0.7))))</f>
        <v>9.967929939</v>
      </c>
      <c r="C31" s="12">
        <f>MIN(1,(MIN(1,'Израиль 2039'!C31+'Израиль 2039'!F31+(0.08*LN(1+0.5*'Ход 2039'!C37)*MAX(0,1-('Израиль 2039'!C31+'Израиль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9.967929939</v>
      </c>
      <c r="J31" s="34">
        <f>SUMIFS('Эффекты технологий'!$X$25:$X$240,'Эффекты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2039'!B32+'Израиль 2039'!D32+('Израиль 2039'!C32+'Израиль 2039'!F32+'Израиль 2039'!G32)+(0.35*LN(1+0.6*'Ход 2039'!B38)*POWER(MAX(0,1-'Израиль 2039'!I32/10),0.7))))</f>
        <v>10</v>
      </c>
      <c r="C32" s="12">
        <f>MIN(1,(MIN(1,'Израиль 2039'!C32+'Израиль 2039'!F32+(0.08*LN(1+0.5*'Ход 2039'!C38)*MAX(0,1-('Израиль 2039'!C32+'Израиль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технологий'!$X$25:$X$240,'Эффекты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2039'!B34+'Израиль 2039'!D34+('Израиль 2039'!C34+'Израиль 2039'!F34+'Израиль 2039'!G34)+(0.35*LN(1+0.6*'Ход 2039'!B40)*POWER(MAX(0,1-'Израиль 2039'!I34/10),0.7))))</f>
        <v>10</v>
      </c>
      <c r="C34" s="12">
        <f>MIN(1,(MIN(1,'Израиль 2039'!C34+'Израиль 2039'!F34+(0.08*LN(1+0.5*'Ход 2039'!C40)*MAX(0,1-('Израиль 2039'!C34+'Израиль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технологий'!$X$25:$X$240,'Эффекты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2039'!B35+'Израиль 2039'!D35+('Израиль 2039'!C35+'Израиль 2039'!F35+'Израиль 2039'!G35)+(0.35*LN(1+0.6*'Ход 2039'!B41)*POWER(MAX(0,1-'Израиль 2039'!I35/10),0.7))))</f>
        <v>10</v>
      </c>
      <c r="C35" s="12">
        <f>MIN(1,(MIN(1,'Израиль 2039'!C35+'Израиль 2039'!F35+(0.08*LN(1+0.5*'Ход 2039'!C41)*MAX(0,1-('Израиль 2039'!C35+'Израиль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технологий'!$X$25:$X$240,'Эффекты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2039'!B36+'Израиль 2039'!D36+('Израиль 2039'!C36+'Израиль 2039'!F36+'Израиль 2039'!G36)+(0.35*LN(1+0.6*'Ход 2039'!B42)*POWER(MAX(0,1-'Израиль 2039'!I36/10),0.7))))</f>
        <v>10</v>
      </c>
      <c r="C36" s="12">
        <f>MIN(1,(MIN(1,'Израиль 2039'!C36+'Израиль 2039'!F36+(0.08*LN(1+0.5*'Ход 2039'!C42)*MAX(0,1-('Израиль 2039'!C36+'Израиль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технологий'!$X$25:$X$240,'Эффекты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2039'!B37+'Израиль 2039'!D37+('Израиль 2039'!C37+'Израиль 2039'!F37+'Израиль 2039'!G37)+(0.35*LN(1+0.6*'Ход 2039'!B43)*POWER(MAX(0,1-'Израиль 2039'!I37/10),0.7))))</f>
        <v>10</v>
      </c>
      <c r="C37" s="12">
        <f>MIN(1,(MIN(1,'Израиль 2039'!C37+'Израиль 2039'!F37+(0.08*LN(1+0.5*'Ход 2039'!C43)*MAX(0,1-('Израиль 2039'!C37+'Израиль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технологий'!$X$25:$X$240,'Эффекты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2039'!B38+'Израиль 2039'!D38+('Израиль 2039'!C38+'Израиль 2039'!F38+'Израиль 2039'!G38)+(0.35*LN(1+0.6*'Ход 2039'!B44)*POWER(MAX(0,1-'Израиль 2039'!I38/10),0.7))))</f>
        <v>10</v>
      </c>
      <c r="C38" s="12">
        <f>MIN(1,(MIN(1,'Израиль 2039'!C38+'Израиль 2039'!F38+(0.08*LN(1+0.5*'Ход 2039'!C44)*MAX(0,1-('Израиль 2039'!C38+'Израиль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технологий'!$X$25:$X$240,'Эффекты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2039'!B39+'Израиль 2039'!D39+('Израиль 2039'!C39+'Израиль 2039'!F39+'Израиль 2039'!G39)+(0.35*LN(1+0.6*'Ход 2039'!B45)*POWER(MAX(0,1-'Израиль 2039'!I39/10),0.7))))</f>
        <v>10</v>
      </c>
      <c r="C39" s="12">
        <f>MIN(1,(MIN(1,'Израиль 2039'!C39+'Израиль 2039'!F39+(0.08*LN(1+0.5*'Ход 2039'!C45)*MAX(0,1-('Израиль 2039'!C39+'Израиль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технологий'!$X$25:$X$240,'Эффекты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2039'!B40+'Израиль 2039'!D40+('Израиль 2039'!C40+'Израиль 2039'!F40+'Израиль 2039'!G40)+(0.35*LN(1+0.6*'Ход 2039'!B46)*POWER(MAX(0,1-'Израиль 2039'!I40/10),0.7))))</f>
        <v>10</v>
      </c>
      <c r="C40" s="12">
        <f>MIN(1,(MIN(1,'Израиль 2039'!C40+'Израиль 2039'!F40+(0.08*LN(1+0.5*'Ход 2039'!C46)*MAX(0,1-('Израиль 2039'!C40+'Израиль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технологий'!$X$25:$X$240,'Эффекты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2039'!B41+'Израиль 2039'!D41+('Израиль 2039'!C41+'Израиль 2039'!F41+'Израиль 2039'!G41)+(0.35*LN(1+0.6*'Ход 2039'!B47)*POWER(MAX(0,1-'Израиль 2039'!I41/10),0.7))))</f>
        <v>10</v>
      </c>
      <c r="C41" s="12">
        <f>MIN(1,(MIN(1,'Израиль 2039'!C41+'Израиль 2039'!F41+(0.08*LN(1+0.5*'Ход 2039'!C47)*MAX(0,1-('Израиль 2039'!C41+'Израиль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технологий'!$X$25:$X$240,'Эффекты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2039'!B42+'Израиль 2039'!D42+('Израиль 2039'!C42+'Израиль 2039'!F42+'Израиль 2039'!G42)+(0.35*LN(1+0.6*'Ход 2039'!B48)*POWER(MAX(0,1-'Израиль 2039'!I42/10),0.7))))</f>
        <v>10</v>
      </c>
      <c r="C42" s="12">
        <f>MIN(1,(MIN(1,'Израиль 2039'!C42+'Израиль 2039'!F42+(0.08*LN(1+0.5*'Ход 2039'!C48)*MAX(0,1-('Израиль 2039'!C42+'Израиль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технологий'!$X$25:$X$240,'Эффекты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2039'!B44+'Израиль 2039'!D44+('Израиль 2039'!C44+'Израиль 2039'!F44+'Израиль 2039'!G44)+(0.35*LN(1+0.6*'Ход 2039'!B50)*POWER(MAX(0,1-'Израиль 2039'!I44/10),0.7))))</f>
        <v>10</v>
      </c>
      <c r="C44" s="12">
        <f>MIN(1,(MIN(1,'Израиль 2039'!C44+'Израиль 2039'!F44+(0.08*LN(1+0.5*'Ход 2039'!C50)*MAX(0,1-('Израиль 2039'!C44+'Израиль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технологий'!$X$25:$X$240,'Эффекты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2039'!B45+'Израиль 2039'!D45+('Израиль 2039'!C45+'Израиль 2039'!F45+'Израиль 2039'!G45)+(0.35*LN(1+0.6*'Ход 2039'!B51)*POWER(MAX(0,1-'Израиль 2039'!I45/10),0.7))))</f>
        <v>10</v>
      </c>
      <c r="C45" s="12">
        <f>MIN(1,(MIN(1,'Израиль 2039'!C45+'Израиль 2039'!F45+(0.08*LN(1+0.5*'Ход 2039'!C51)*MAX(0,1-('Израиль 2039'!C45+'Израиль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технологий'!$X$25:$X$240,'Эффекты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2039'!B46+'Израиль 2039'!D46+('Израиль 2039'!C46+'Израиль 2039'!F46+'Израиль 2039'!G46)+(0.35*LN(1+0.6*'Ход 2039'!B52)*POWER(MAX(0,1-'Израиль 2039'!I46/10),0.7))))</f>
        <v>10</v>
      </c>
      <c r="C46" s="12">
        <f>MIN(1,(MIN(1,'Израиль 2039'!C46+'Израиль 2039'!F46+(0.08*LN(1+0.5*'Ход 2039'!C52)*MAX(0,1-('Израиль 2039'!C46+'Израиль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технологий'!$X$25:$X$240,'Эффекты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2039'!B47+'Израиль 2039'!D47+('Израиль 2039'!C47+'Израиль 2039'!F47+'Израиль 2039'!G47)+(0.35*LN(1+0.6*'Ход 2039'!B53)*POWER(MAX(0,1-'Израиль 2039'!I47/10),0.7))))</f>
        <v>9.83415164</v>
      </c>
      <c r="C47" s="12">
        <f>MIN(1,(MIN(1,'Израиль 2039'!C47+'Израиль 2039'!F47+(0.08*LN(1+0.5*'Ход 2039'!C53)*MAX(0,1-('Израиль 2039'!C47+'Израиль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9.83415164</v>
      </c>
      <c r="J47" s="34">
        <f>SUMIFS('Эффекты технологий'!$X$25:$X$240,'Эффекты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2039'!B48+'Израиль 2039'!D48+('Израиль 2039'!C48+'Израиль 2039'!F48+'Израиль 2039'!G48)+(0.35*LN(1+0.6*'Ход 2039'!B54)*POWER(MAX(0,1-'Израиль 2039'!I48/10),0.7))))</f>
        <v>7.83415164</v>
      </c>
      <c r="C48" s="12">
        <f>MIN(1,(MIN(1,'Израиль 2039'!C48+'Израиль 2039'!F48+(0.08*LN(1+0.5*'Ход 2039'!C54)*MAX(0,1-('Израиль 2039'!C48+'Израиль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7.83415164</v>
      </c>
      <c r="J48" s="34">
        <f>SUMIFS('Эффекты технологий'!$X$25:$X$240,'Эффекты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2039'!B49+'Израиль 2039'!D49+('Израиль 2039'!C49+'Израиль 2039'!F49+'Израиль 2039'!G49)+(0.35*LN(1+0.6*'Ход 2039'!B55)*POWER(MAX(0,1-'Израиль 2039'!I49/10),0.7))))</f>
        <v>10</v>
      </c>
      <c r="C49" s="12">
        <f>MIN(1,(MIN(1,'Израиль 2039'!C49+'Израиль 2039'!F49+(0.08*LN(1+0.5*'Ход 2039'!C55)*MAX(0,1-('Израиль 2039'!C49+'Израиль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технологий'!$X$25:$X$240,'Эффекты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2039'!B50+'Израиль 2039'!D50+('Израиль 2039'!C50+'Израиль 2039'!F50+'Израиль 2039'!G50)+(0.35*LN(1+0.6*'Ход 2039'!B56)*POWER(MAX(0,1-'Израиль 2039'!I50/10),0.7))))</f>
        <v>10</v>
      </c>
      <c r="C50" s="12">
        <f>MIN(1,(MIN(1,'Израиль 2039'!C50+'Израиль 2039'!F50+(0.08*LN(1+0.5*'Ход 2039'!C56)*MAX(0,1-('Израиль 2039'!C50+'Израиль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10</v>
      </c>
      <c r="J50" s="34">
        <f>SUMIFS('Эффекты технологий'!$X$25:$X$240,'Эффекты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2039'!B51+'Израиль 2039'!D51+('Израиль 2039'!C51+'Израиль 2039'!F51+'Израиль 2039'!G51)+(0.35*LN(1+0.6*'Ход 2039'!B57)*POWER(MAX(0,1-'Израиль 2039'!I51/10),0.7))))</f>
        <v>10</v>
      </c>
      <c r="C51" s="12">
        <f>MIN(1,(MIN(1,'Израиль 2039'!C51+'Израиль 2039'!F51+(0.08*LN(1+0.5*'Ход 2039'!C57)*MAX(0,1-('Израиль 2039'!C51+'Израиль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технологий'!$X$25:$X$240,'Эффекты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2039'!B53+'Израиль 2039'!D53+('Израиль 2039'!C53+'Израиль 2039'!F53+'Израиль 2039'!G53)+(0.35*LN(1+0.6*'Ход 2039'!B59)*POWER(MAX(0,1-'Израиль 2039'!I53/10),0.7))))</f>
        <v>10</v>
      </c>
      <c r="C53" s="12">
        <f>MIN(1,(MIN(1,'Израиль 2039'!C53+'Израиль 2039'!F53+(0.08*LN(1+0.5*'Ход 2039'!C59)*MAX(0,1-('Израиль 2039'!C53+'Израиль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технологий'!$X$25:$X$240,'Эффекты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2039'!B54+'Израиль 2039'!D54+('Израиль 2039'!C54+'Израиль 2039'!F54+'Израиль 2039'!G54)+(0.35*LN(1+0.6*'Ход 2039'!B60)*POWER(MAX(0,1-'Израиль 2039'!I54/10),0.7))))</f>
        <v>10</v>
      </c>
      <c r="C54" s="12">
        <f>MIN(1,(MIN(1,'Израиль 2039'!C54+'Израиль 2039'!F54+(0.08*LN(1+0.5*'Ход 2039'!C60)*MAX(0,1-('Израиль 2039'!C54+'Израиль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технологий'!$X$25:$X$240,'Эффекты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2039'!B55+'Израиль 2039'!D55+('Израиль 2039'!C55+'Израиль 2039'!F55+'Израиль 2039'!G55)+(0.35*LN(1+0.6*'Ход 2039'!B61)*POWER(MAX(0,1-'Израиль 2039'!I55/10),0.7))))</f>
        <v>9.500775237</v>
      </c>
      <c r="C55" s="12">
        <f>MIN(1,(MIN(1,'Израиль 2039'!C55+'Израиль 2039'!F55+(0.08*LN(1+0.5*'Ход 2039'!C61)*MAX(0,1-('Израиль 2039'!C55+'Израиль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9.500775237</v>
      </c>
      <c r="J55" s="34">
        <f>SUMIFS('Эффекты технологий'!$X$25:$X$240,'Эффекты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" t="s">
        <v>411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4" t="s">
        <v>8</v>
      </c>
      <c r="B5" s="10"/>
      <c r="C5" s="11"/>
      <c r="D5" s="12"/>
      <c r="E5" s="14" t="s">
        <v>9</v>
      </c>
      <c r="F5" s="10"/>
      <c r="G5" s="11"/>
      <c r="H5" s="12"/>
      <c r="I5" s="14" t="s">
        <v>11</v>
      </c>
      <c r="J5" s="10"/>
      <c r="K5" s="11"/>
      <c r="L5" s="12"/>
      <c r="M5" s="14" t="s">
        <v>12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16</v>
      </c>
      <c r="B6" s="19">
        <f>'Израиль 2040'!U6</f>
        <v>98.5305709</v>
      </c>
      <c r="C6" s="12"/>
      <c r="D6" s="12"/>
      <c r="E6" s="12" t="s">
        <v>16</v>
      </c>
      <c r="F6" s="19">
        <f>'Израиль 2040'!K6</f>
        <v>95.5622924</v>
      </c>
      <c r="G6" s="12"/>
      <c r="H6" s="12"/>
      <c r="I6" s="12" t="s">
        <v>16</v>
      </c>
      <c r="J6" s="19">
        <f>'Израиль 2040'!N6</f>
        <v>99.94469048</v>
      </c>
      <c r="K6" s="12"/>
      <c r="L6" s="12"/>
      <c r="M6" s="12" t="s">
        <v>16</v>
      </c>
      <c r="N6" s="19">
        <f>'Израиль 2040'!Q6</f>
        <v>83.82985589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46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46</v>
      </c>
      <c r="F7" s="12">
        <f>SUM(H13:H20)</f>
        <v>0</v>
      </c>
      <c r="G7" s="12"/>
      <c r="H7" s="12"/>
      <c r="I7" s="12" t="s">
        <v>46</v>
      </c>
      <c r="J7" s="12">
        <f>SUM(I29:I38)</f>
        <v>0</v>
      </c>
      <c r="K7" s="12"/>
      <c r="L7" s="12"/>
      <c r="M7" s="12" t="s">
        <v>46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98.5305709</v>
      </c>
      <c r="C8" s="12" t="str">
        <f>IF(B8&lt;0,"ПРЕВЫШЕНИЕ","OK")</f>
        <v>OK</v>
      </c>
      <c r="D8" s="12"/>
      <c r="E8" s="12" t="s">
        <v>94</v>
      </c>
      <c r="F8" s="19">
        <f>F6-F7</f>
        <v>95.5622924</v>
      </c>
      <c r="G8" s="12" t="str">
        <f>IF(F8&lt;0,"ПРЕВЫШЕНИЕ","OK")</f>
        <v>OK</v>
      </c>
      <c r="H8" s="12"/>
      <c r="I8" s="12" t="s">
        <v>94</v>
      </c>
      <c r="J8" s="19">
        <f>J6-J7</f>
        <v>99.94469048</v>
      </c>
      <c r="K8" s="12" t="str">
        <f>IF(J8&lt;0,"ПРЕВЫШЕНИЕ","OK")</f>
        <v>OK</v>
      </c>
      <c r="L8" s="12"/>
      <c r="M8" s="12" t="s">
        <v>94</v>
      </c>
      <c r="N8" s="19">
        <f>N6-N7</f>
        <v>83.82985589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3" t="s">
        <v>95</v>
      </c>
      <c r="B11" s="10"/>
      <c r="C11" s="11"/>
      <c r="D11" s="12"/>
      <c r="E11" s="12"/>
      <c r="F11" s="12"/>
      <c r="G11" s="23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15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 t="s">
        <v>412</v>
      </c>
      <c r="S12" s="12" t="s">
        <v>413</v>
      </c>
      <c r="T12" s="12" t="s">
        <v>414</v>
      </c>
      <c r="U12" s="12" t="s">
        <v>415</v>
      </c>
    </row>
    <row r="13" ht="13.5" customHeight="1">
      <c r="A13" s="12" t="s">
        <v>108</v>
      </c>
      <c r="B13" s="25"/>
      <c r="C13" s="25"/>
      <c r="D13" s="12"/>
      <c r="E13" s="12"/>
      <c r="F13" s="12"/>
      <c r="G13" s="12" t="s">
        <v>109</v>
      </c>
      <c r="H13" s="25">
        <v>0.0</v>
      </c>
      <c r="I13" s="12"/>
      <c r="J13" s="12"/>
      <c r="K13" s="12"/>
      <c r="L13" s="12" t="s">
        <v>110</v>
      </c>
      <c r="M13" s="12">
        <f>'Израиль 2040'!V11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26">
        <v>0.08223801269218516</v>
      </c>
      <c r="S13" s="26">
        <f t="shared" ref="S13:S28" si="1">MAX(0,1-R13-T13)</f>
        <v>0.8</v>
      </c>
      <c r="T13" s="26">
        <v>0.11776198730781486</v>
      </c>
      <c r="U13" s="12">
        <f t="shared" ref="U13:U28" si="2">RANDBETWEEN(0,100)</f>
        <v>91</v>
      </c>
    </row>
    <row r="14" ht="13.5" customHeight="1">
      <c r="A14" s="12" t="s">
        <v>111</v>
      </c>
      <c r="B14" s="25">
        <v>0.0</v>
      </c>
      <c r="C14" s="25">
        <v>0.0</v>
      </c>
      <c r="D14" s="12"/>
      <c r="E14" s="12"/>
      <c r="F14" s="12"/>
      <c r="G14" s="12" t="s">
        <v>112</v>
      </c>
      <c r="H14" s="25">
        <v>0.0</v>
      </c>
      <c r="I14" s="12"/>
      <c r="J14" s="12"/>
      <c r="K14" s="12"/>
      <c r="L14" s="12" t="s">
        <v>113</v>
      </c>
      <c r="M14" s="12">
        <f>'Израиль 2040'!V12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26">
        <v>0.14049253618384597</v>
      </c>
      <c r="S14" s="26">
        <f t="shared" si="1"/>
        <v>0.8</v>
      </c>
      <c r="T14" s="26">
        <v>0.05950746381615404</v>
      </c>
      <c r="U14" s="12">
        <f t="shared" si="2"/>
        <v>39</v>
      </c>
    </row>
    <row r="15" ht="13.5" customHeight="1">
      <c r="A15" s="12" t="s">
        <v>114</v>
      </c>
      <c r="B15" s="25">
        <v>0.0</v>
      </c>
      <c r="C15" s="25">
        <v>0.0</v>
      </c>
      <c r="D15" s="12"/>
      <c r="E15" s="12"/>
      <c r="F15" s="12"/>
      <c r="G15" s="12" t="s">
        <v>115</v>
      </c>
      <c r="H15" s="25">
        <v>0.0</v>
      </c>
      <c r="I15" s="12"/>
      <c r="J15" s="12"/>
      <c r="K15" s="12"/>
      <c r="L15" s="12" t="s">
        <v>116</v>
      </c>
      <c r="M15" s="12">
        <f>'Израиль 2040'!V13</f>
        <v>0</v>
      </c>
      <c r="N15" s="25">
        <v>0.0</v>
      </c>
      <c r="O15" s="25">
        <v>0.0</v>
      </c>
      <c r="P15" s="25">
        <v>0.0</v>
      </c>
      <c r="Q15" s="25">
        <v>0.0</v>
      </c>
      <c r="R15" s="26">
        <v>0.1387547572345661</v>
      </c>
      <c r="S15" s="26">
        <f t="shared" si="1"/>
        <v>0.8</v>
      </c>
      <c r="T15" s="26">
        <v>0.0612452427654339</v>
      </c>
      <c r="U15" s="12">
        <f t="shared" si="2"/>
        <v>42</v>
      </c>
    </row>
    <row r="16" ht="13.5" customHeight="1">
      <c r="A16" s="12" t="s">
        <v>117</v>
      </c>
      <c r="B16" s="25">
        <v>0.0</v>
      </c>
      <c r="C16" s="25">
        <v>0.0</v>
      </c>
      <c r="D16" s="12"/>
      <c r="E16" s="12"/>
      <c r="F16" s="12"/>
      <c r="G16" s="12" t="s">
        <v>118</v>
      </c>
      <c r="H16" s="25">
        <v>0.0</v>
      </c>
      <c r="I16" s="12"/>
      <c r="J16" s="12"/>
      <c r="K16" s="12"/>
      <c r="L16" s="12" t="s">
        <v>119</v>
      </c>
      <c r="M16" s="12">
        <f>'Израиль 2040'!V14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26">
        <v>0.07769161592584528</v>
      </c>
      <c r="S16" s="26">
        <f t="shared" si="1"/>
        <v>0.8</v>
      </c>
      <c r="T16" s="26">
        <v>0.12230838407415473</v>
      </c>
      <c r="U16" s="12">
        <f t="shared" si="2"/>
        <v>40</v>
      </c>
    </row>
    <row r="17" ht="13.5" customHeight="1">
      <c r="A17" s="12" t="s">
        <v>120</v>
      </c>
      <c r="B17" s="25">
        <v>0.0</v>
      </c>
      <c r="C17" s="25">
        <v>0.0</v>
      </c>
      <c r="D17" s="12"/>
      <c r="E17" s="12"/>
      <c r="F17" s="12"/>
      <c r="G17" s="12" t="s">
        <v>121</v>
      </c>
      <c r="H17" s="25">
        <v>0.0</v>
      </c>
      <c r="I17" s="12"/>
      <c r="J17" s="12"/>
      <c r="K17" s="12"/>
      <c r="L17" s="12" t="s">
        <v>122</v>
      </c>
      <c r="M17" s="12">
        <f>'Израиль 2040'!V15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26">
        <v>0.08370563178371271</v>
      </c>
      <c r="S17" s="26">
        <f t="shared" si="1"/>
        <v>0.8</v>
      </c>
      <c r="T17" s="26">
        <v>0.1162943682162873</v>
      </c>
      <c r="U17" s="12">
        <f t="shared" si="2"/>
        <v>31</v>
      </c>
    </row>
    <row r="18" ht="13.5" customHeight="1">
      <c r="A18" s="12" t="s">
        <v>123</v>
      </c>
      <c r="B18" s="25">
        <v>0.0</v>
      </c>
      <c r="C18" s="25">
        <v>0.0</v>
      </c>
      <c r="D18" s="12"/>
      <c r="E18" s="12"/>
      <c r="F18" s="12"/>
      <c r="G18" s="12" t="s">
        <v>124</v>
      </c>
      <c r="H18" s="25">
        <v>0.0</v>
      </c>
      <c r="I18" s="12"/>
      <c r="J18" s="12"/>
      <c r="K18" s="12"/>
      <c r="L18" s="12" t="s">
        <v>125</v>
      </c>
      <c r="M18" s="12">
        <f>'Израиль 2040'!V16</f>
        <v>1</v>
      </c>
      <c r="N18" s="25">
        <v>0.0</v>
      </c>
      <c r="O18" s="25">
        <v>0.0</v>
      </c>
      <c r="P18" s="25">
        <v>0.0</v>
      </c>
      <c r="Q18" s="25">
        <v>0.0</v>
      </c>
      <c r="R18" s="26">
        <v>0.07922989780987502</v>
      </c>
      <c r="S18" s="26">
        <f t="shared" si="1"/>
        <v>0.8</v>
      </c>
      <c r="T18" s="26">
        <v>0.12077010219012499</v>
      </c>
      <c r="U18" s="12">
        <f t="shared" si="2"/>
        <v>18</v>
      </c>
    </row>
    <row r="19" ht="13.5" customHeight="1">
      <c r="A19" s="12" t="s">
        <v>126</v>
      </c>
      <c r="B19" s="25">
        <v>0.0</v>
      </c>
      <c r="C19" s="25">
        <v>0.0</v>
      </c>
      <c r="D19" s="12"/>
      <c r="E19" s="12"/>
      <c r="F19" s="12"/>
      <c r="G19" s="12" t="s">
        <v>127</v>
      </c>
      <c r="H19" s="25">
        <v>0.0</v>
      </c>
      <c r="I19" s="12"/>
      <c r="J19" s="12"/>
      <c r="K19" s="12"/>
      <c r="L19" s="12" t="s">
        <v>128</v>
      </c>
      <c r="M19" s="12">
        <f>'Израиль 2040'!V17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26">
        <v>0.08514725681107768</v>
      </c>
      <c r="S19" s="26">
        <f t="shared" si="1"/>
        <v>0.8</v>
      </c>
      <c r="T19" s="26">
        <v>0.11485274318892233</v>
      </c>
      <c r="U19" s="12">
        <f t="shared" si="2"/>
        <v>47</v>
      </c>
    </row>
    <row r="20" ht="13.5" customHeight="1">
      <c r="A20" s="12" t="s">
        <v>129</v>
      </c>
      <c r="B20" s="25">
        <v>0.0</v>
      </c>
      <c r="C20" s="25">
        <v>0.0</v>
      </c>
      <c r="D20" s="12"/>
      <c r="E20" s="12"/>
      <c r="F20" s="12"/>
      <c r="G20" s="12" t="s">
        <v>130</v>
      </c>
      <c r="H20" s="25">
        <v>0.0</v>
      </c>
      <c r="I20" s="12"/>
      <c r="J20" s="12"/>
      <c r="K20" s="12"/>
      <c r="L20" s="12" t="s">
        <v>131</v>
      </c>
      <c r="M20" s="12">
        <f>'Израиль 2040'!V18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26">
        <v>0.08656139963553057</v>
      </c>
      <c r="S20" s="26">
        <f t="shared" si="1"/>
        <v>0.8</v>
      </c>
      <c r="T20" s="26">
        <v>0.11343860036446944</v>
      </c>
      <c r="U20" s="12">
        <f t="shared" si="2"/>
        <v>39</v>
      </c>
    </row>
    <row r="21" ht="13.5" customHeight="1">
      <c r="A21" s="12" t="s">
        <v>132</v>
      </c>
      <c r="B21" s="25">
        <v>0.0</v>
      </c>
      <c r="C21" s="25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133</v>
      </c>
      <c r="M21" s="12">
        <f>'Израиль 2040'!V19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26">
        <v>0.11485274318892233</v>
      </c>
      <c r="S21" s="26">
        <f t="shared" si="1"/>
        <v>0.8</v>
      </c>
      <c r="T21" s="26">
        <v>0.08514725681107768</v>
      </c>
      <c r="U21" s="12">
        <f t="shared" si="2"/>
        <v>81</v>
      </c>
    </row>
    <row r="22" ht="13.5" customHeight="1">
      <c r="A22" s="12" t="s">
        <v>134</v>
      </c>
      <c r="B22" s="25">
        <v>0.0</v>
      </c>
      <c r="C22" s="25">
        <v>0.0</v>
      </c>
      <c r="D22" s="12"/>
      <c r="E22" s="12"/>
      <c r="F22" s="12"/>
      <c r="G22" s="12" t="s">
        <v>135</v>
      </c>
      <c r="K22" s="12"/>
      <c r="L22" s="12" t="s">
        <v>136</v>
      </c>
      <c r="M22" s="12">
        <f>'Израиль 2040'!V20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26">
        <v>0.11343860036446944</v>
      </c>
      <c r="S22" s="26">
        <f t="shared" si="1"/>
        <v>0.8</v>
      </c>
      <c r="T22" s="26">
        <v>0.08656139963553057</v>
      </c>
      <c r="U22" s="12">
        <f t="shared" si="2"/>
        <v>74</v>
      </c>
    </row>
    <row r="23" ht="13.5" customHeight="1">
      <c r="A23" s="12" t="s">
        <v>137</v>
      </c>
      <c r="B23" s="25">
        <v>0.0</v>
      </c>
      <c r="C23" s="25">
        <v>0.0</v>
      </c>
      <c r="D23" s="12"/>
      <c r="E23" s="12"/>
      <c r="F23" s="12"/>
      <c r="G23" s="12" t="s">
        <v>138</v>
      </c>
      <c r="H23" s="12" t="s">
        <v>139</v>
      </c>
      <c r="I23" s="12" t="s">
        <v>140</v>
      </c>
      <c r="J23" s="12" t="s">
        <v>141</v>
      </c>
      <c r="K23" s="12"/>
      <c r="L23" s="12" t="s">
        <v>142</v>
      </c>
      <c r="M23" s="12">
        <f>'Израиль 2040'!V21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26">
        <v>0.13703242796889645</v>
      </c>
      <c r="S23" s="26">
        <f t="shared" si="1"/>
        <v>0.8</v>
      </c>
      <c r="T23" s="26">
        <v>0.06296757203110356</v>
      </c>
      <c r="U23" s="12">
        <f t="shared" si="2"/>
        <v>62</v>
      </c>
    </row>
    <row r="24" ht="13.5" customHeight="1">
      <c r="A24" s="12" t="s">
        <v>143</v>
      </c>
      <c r="B24" s="25"/>
      <c r="C24" s="25"/>
      <c r="D24" s="12"/>
      <c r="E24" s="12"/>
      <c r="F24" s="12"/>
      <c r="G24" s="25">
        <v>0.0</v>
      </c>
      <c r="H24" s="25">
        <v>0.0</v>
      </c>
      <c r="I24" s="25">
        <v>0.0</v>
      </c>
      <c r="J24" s="12">
        <f>SUM(G24:I24)</f>
        <v>0</v>
      </c>
      <c r="K24" s="12"/>
      <c r="L24" s="12" t="s">
        <v>147</v>
      </c>
      <c r="M24" s="12">
        <f>'Израиль 2040'!V22</f>
        <v>-4</v>
      </c>
      <c r="N24" s="25">
        <v>0.0</v>
      </c>
      <c r="O24" s="25">
        <v>0.0</v>
      </c>
      <c r="P24" s="25">
        <v>0.0</v>
      </c>
      <c r="Q24" s="25">
        <v>0.0</v>
      </c>
      <c r="R24" s="26">
        <v>0.09856891649440014</v>
      </c>
      <c r="S24" s="26">
        <f t="shared" si="1"/>
        <v>0.8</v>
      </c>
      <c r="T24" s="26">
        <v>0.10143108350559987</v>
      </c>
      <c r="U24" s="12">
        <f t="shared" si="2"/>
        <v>58</v>
      </c>
    </row>
    <row r="25" ht="13.5" customHeight="1">
      <c r="A25" s="12" t="s">
        <v>150</v>
      </c>
      <c r="B25" s="25">
        <v>0.0</v>
      </c>
      <c r="C25" s="25">
        <v>0.0</v>
      </c>
      <c r="D25" s="12"/>
      <c r="E25" s="12"/>
      <c r="F25" s="12" t="s">
        <v>151</v>
      </c>
      <c r="G25" s="29">
        <f>'Эффекты технологий'!X$16</f>
        <v>0</v>
      </c>
      <c r="H25" s="29">
        <f>'Эффекты технологий'!X$17</f>
        <v>0</v>
      </c>
      <c r="I25" s="29">
        <f>'Эффекты технологий'!X$18</f>
        <v>0</v>
      </c>
      <c r="J25" s="30"/>
      <c r="K25" s="12"/>
      <c r="L25" s="12" t="s">
        <v>152</v>
      </c>
      <c r="M25" s="12">
        <f>'Израиль 2040'!V23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26">
        <v>0.12077010219012499</v>
      </c>
      <c r="S25" s="26">
        <f t="shared" si="1"/>
        <v>0.8</v>
      </c>
      <c r="T25" s="26">
        <v>0.07922989780987502</v>
      </c>
      <c r="U25" s="12">
        <f t="shared" si="2"/>
        <v>86</v>
      </c>
    </row>
    <row r="26" ht="13.5" customHeight="1">
      <c r="A26" s="12" t="s">
        <v>153</v>
      </c>
      <c r="B26" s="25">
        <v>0.0</v>
      </c>
      <c r="C26" s="25">
        <v>0.0</v>
      </c>
      <c r="D26" s="12"/>
      <c r="E26" s="12"/>
      <c r="F26" s="12" t="s">
        <v>154</v>
      </c>
      <c r="G26" s="32">
        <f t="shared" ref="G26:I26" si="3">G24*(1+G25)</f>
        <v>0</v>
      </c>
      <c r="H26" s="32">
        <f t="shared" si="3"/>
        <v>0</v>
      </c>
      <c r="I26" s="32">
        <f t="shared" si="3"/>
        <v>0</v>
      </c>
      <c r="J26" s="32">
        <f>SUM(G26:I26)</f>
        <v>0</v>
      </c>
      <c r="K26" s="12"/>
      <c r="L26" s="12" t="s">
        <v>155</v>
      </c>
      <c r="M26" s="12">
        <f>'Израиль 2040'!V24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26">
        <v>0.12230838407415473</v>
      </c>
      <c r="S26" s="26">
        <f t="shared" si="1"/>
        <v>0.8</v>
      </c>
      <c r="T26" s="26">
        <v>0.07769161592584528</v>
      </c>
      <c r="U26" s="12">
        <f t="shared" si="2"/>
        <v>16</v>
      </c>
    </row>
    <row r="27" ht="13.5" customHeight="1">
      <c r="A27" s="12" t="s">
        <v>156</v>
      </c>
      <c r="B27" s="25">
        <v>0.0</v>
      </c>
      <c r="C27" s="25">
        <v>0.0</v>
      </c>
      <c r="D27" s="12"/>
      <c r="E27" s="12"/>
      <c r="F27" s="12"/>
      <c r="G27" s="12" t="s">
        <v>157</v>
      </c>
      <c r="L27" s="12" t="s">
        <v>158</v>
      </c>
      <c r="M27" s="12">
        <f>'Израиль 2040'!V25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26">
        <v>0.12230838407415473</v>
      </c>
      <c r="S27" s="26">
        <f t="shared" si="1"/>
        <v>0.8</v>
      </c>
      <c r="T27" s="26">
        <v>0.07769161592584528</v>
      </c>
      <c r="U27" s="12">
        <f t="shared" si="2"/>
        <v>44</v>
      </c>
    </row>
    <row r="28" ht="13.5" customHeight="1">
      <c r="A28" s="12" t="s">
        <v>159</v>
      </c>
      <c r="B28" s="25">
        <v>0.0</v>
      </c>
      <c r="C28" s="25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'Израиль 2040'!V26</f>
        <v>0</v>
      </c>
      <c r="N28" s="25">
        <v>0.0</v>
      </c>
      <c r="O28" s="25">
        <v>0.0</v>
      </c>
      <c r="P28" s="25">
        <v>0.0</v>
      </c>
      <c r="Q28" s="25">
        <v>0.0</v>
      </c>
      <c r="R28" s="26">
        <v>0.1</v>
      </c>
      <c r="S28" s="26">
        <f t="shared" si="1"/>
        <v>0.8</v>
      </c>
      <c r="T28" s="26">
        <v>0.1</v>
      </c>
      <c r="U28" s="12">
        <f t="shared" si="2"/>
        <v>5</v>
      </c>
    </row>
    <row r="29" ht="13.5" customHeight="1">
      <c r="A29" s="12" t="s">
        <v>165</v>
      </c>
      <c r="B29" s="25">
        <v>0.0</v>
      </c>
      <c r="C29" s="25">
        <v>0.0</v>
      </c>
      <c r="D29" s="12"/>
      <c r="E29" s="12"/>
      <c r="F29" s="12"/>
      <c r="G29" s="25"/>
      <c r="H29" s="22" t="str">
        <f>IF(G29="","",VLOOKUP(G29,'Технологии'!$A$11:$D$50,4,FALSE))</f>
        <v/>
      </c>
      <c r="I29" s="25">
        <v>0.0</v>
      </c>
      <c r="J29" s="25"/>
      <c r="K29" s="22" t="str">
        <f>IF(G29="","",VLOOKUP(G29,'Технологии'!$A$11:$BF$50,58,FALSE))</f>
        <v/>
      </c>
      <c r="L29" s="12"/>
      <c r="M29" s="12"/>
      <c r="N29" s="30" t="s">
        <v>167</v>
      </c>
      <c r="O29" s="30">
        <f t="shared" ref="O29:Q29" si="4">SUM(O13:O28)</f>
        <v>0</v>
      </c>
      <c r="P29" s="30">
        <f t="shared" si="4"/>
        <v>0</v>
      </c>
      <c r="Q29" s="30">
        <f t="shared" si="4"/>
        <v>0</v>
      </c>
      <c r="R29" s="12"/>
      <c r="S29" s="12"/>
      <c r="T29" s="12"/>
      <c r="U29" s="12"/>
    </row>
    <row r="30" ht="13.5" customHeight="1">
      <c r="A30" s="12" t="s">
        <v>168</v>
      </c>
      <c r="B30" s="25"/>
      <c r="C30" s="25"/>
      <c r="D30" s="12"/>
      <c r="E30" s="12"/>
      <c r="F30" s="12"/>
      <c r="G30" s="25"/>
      <c r="H30" s="22" t="str">
        <f>IF(G30="","",VLOOKUP(G30,'Технологии'!$A$11:$D$50,4,FALSE))</f>
        <v/>
      </c>
      <c r="I30" s="25">
        <v>0.0</v>
      </c>
      <c r="J30" s="25"/>
      <c r="K30" s="22" t="str">
        <f>IF(G30="","",VLOOKUP(G30,'Технологии'!$A$11:$BF$50,58,FALSE))</f>
        <v/>
      </c>
      <c r="L30" s="12"/>
      <c r="M30" s="12"/>
      <c r="N30" s="30" t="s">
        <v>151</v>
      </c>
      <c r="O30" s="29">
        <f>'Эффекты технологий'!X$13</f>
        <v>0</v>
      </c>
      <c r="P30" s="29">
        <f>'Эффекты технологий'!X$14</f>
        <v>0</v>
      </c>
      <c r="Q30" s="29">
        <f>'Эффекты технологий'!X$15</f>
        <v>0</v>
      </c>
      <c r="R30" s="12"/>
      <c r="S30" s="12"/>
      <c r="T30" s="12"/>
      <c r="U30" s="12"/>
    </row>
    <row r="31" ht="13.5" customHeight="1">
      <c r="A31" s="12" t="s">
        <v>170</v>
      </c>
      <c r="B31" s="25">
        <v>0.0</v>
      </c>
      <c r="C31" s="25">
        <v>0.0</v>
      </c>
      <c r="D31" s="12"/>
      <c r="E31" s="12"/>
      <c r="F31" s="12"/>
      <c r="G31" s="25"/>
      <c r="H31" s="22" t="str">
        <f>IF(G31="","",VLOOKUP(G31,'Технологии'!$A$11:$D$50,4,FALSE))</f>
        <v/>
      </c>
      <c r="I31" s="25">
        <v>0.0</v>
      </c>
      <c r="J31" s="25"/>
      <c r="K31" s="22" t="str">
        <f>IF(G31="","",VLOOKUP(G31,'Технологии'!$A$11:$BF$50,58,FALSE))</f>
        <v/>
      </c>
      <c r="L31" s="12"/>
      <c r="M31" s="12"/>
      <c r="N31" s="32" t="s">
        <v>172</v>
      </c>
      <c r="O31" s="32">
        <f t="shared" ref="O31:Q31" si="5">O29*(1+O30)</f>
        <v>0</v>
      </c>
      <c r="P31" s="32">
        <f t="shared" si="5"/>
        <v>0</v>
      </c>
      <c r="Q31" s="32">
        <f t="shared" si="5"/>
        <v>0</v>
      </c>
      <c r="R31" s="12"/>
      <c r="S31" s="12"/>
      <c r="T31" s="12"/>
      <c r="U31" s="12"/>
    </row>
    <row r="32" ht="13.5" customHeight="1">
      <c r="A32" s="12" t="s">
        <v>173</v>
      </c>
      <c r="B32" s="25">
        <v>0.0</v>
      </c>
      <c r="C32" s="25">
        <v>0.0</v>
      </c>
      <c r="D32" s="12"/>
      <c r="E32" s="12"/>
      <c r="F32" s="12"/>
      <c r="G32" s="25"/>
      <c r="H32" s="22" t="str">
        <f>IF(G32="","",VLOOKUP(G32,'Технологии'!$A$11:$D$50,4,FALSE))</f>
        <v/>
      </c>
      <c r="I32" s="25">
        <v>0.0</v>
      </c>
      <c r="J32" s="25"/>
      <c r="K32" s="22" t="str">
        <f>IF(G32="","",VLOOKUP(G32,'Технологии'!$A$11:$BF$50,58,FALSE))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178</v>
      </c>
      <c r="B33" s="25">
        <v>0.0</v>
      </c>
      <c r="C33" s="25">
        <v>0.0</v>
      </c>
      <c r="D33" s="12"/>
      <c r="E33" s="12"/>
      <c r="F33" s="12"/>
      <c r="G33" s="25"/>
      <c r="H33" s="22" t="str">
        <f>IF(G33="","",VLOOKUP(G33,'Технологии'!$A$11:$D$50,4,FALSE))</f>
        <v/>
      </c>
      <c r="I33" s="25">
        <v>0.0</v>
      </c>
      <c r="J33" s="25"/>
      <c r="K33" s="22" t="str">
        <f>IF(G33="","",VLOOKUP(G33,'Технологии'!$A$11:$BF$50,58,FALSE))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179</v>
      </c>
      <c r="B34" s="25">
        <v>0.0</v>
      </c>
      <c r="C34" s="25">
        <v>0.0</v>
      </c>
      <c r="D34" s="12"/>
      <c r="E34" s="12"/>
      <c r="F34" s="12"/>
      <c r="G34" s="25"/>
      <c r="H34" s="22" t="str">
        <f>IF(G34="","",VLOOKUP(G34,'Технологии'!$A$11:$D$50,4,FALSE))</f>
        <v/>
      </c>
      <c r="I34" s="25">
        <v>0.0</v>
      </c>
      <c r="J34" s="25"/>
      <c r="K34" s="22" t="str">
        <f>IF(G34="","",VLOOKUP(G34,'Технологии'!$A$11:$BF$50,58,FALSE))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180</v>
      </c>
      <c r="B35" s="25">
        <v>0.0</v>
      </c>
      <c r="C35" s="25">
        <v>0.0</v>
      </c>
      <c r="D35" s="12"/>
      <c r="E35" s="12"/>
      <c r="F35" s="12"/>
      <c r="G35" s="25"/>
      <c r="H35" s="22" t="str">
        <f>IF(G35="","",VLOOKUP(G35,'Технологии'!$A$11:$D$50,4,FALSE))</f>
        <v/>
      </c>
      <c r="I35" s="25">
        <v>0.0</v>
      </c>
      <c r="J35" s="25"/>
      <c r="K35" s="22" t="str">
        <f>IF(G35="","",VLOOKUP(G35,'Технологии'!$A$11:$BF$50,58,FALSE))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181</v>
      </c>
      <c r="B36" s="25">
        <v>0.0</v>
      </c>
      <c r="C36" s="25">
        <v>0.0</v>
      </c>
      <c r="D36" s="12"/>
      <c r="E36" s="12"/>
      <c r="F36" s="12"/>
      <c r="G36" s="25"/>
      <c r="H36" s="22" t="str">
        <f>IF(G36="","",VLOOKUP(G36,'Технологии'!$A$11:$D$50,4,FALSE))</f>
        <v/>
      </c>
      <c r="I36" s="25">
        <v>0.0</v>
      </c>
      <c r="J36" s="25"/>
      <c r="K36" s="22" t="str">
        <f>IF(G36="","",VLOOKUP(G36,'Технологии'!$A$11:$BF$50,58,FALSE))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182</v>
      </c>
      <c r="B37" s="25">
        <v>0.0</v>
      </c>
      <c r="C37" s="25">
        <v>0.0</v>
      </c>
      <c r="D37" s="12"/>
      <c r="E37" s="12"/>
      <c r="F37" s="12"/>
      <c r="G37" s="25"/>
      <c r="H37" s="22" t="str">
        <f>IF(G37="","",VLOOKUP(G37,'Технологии'!$A$11:$D$50,4,FALSE))</f>
        <v/>
      </c>
      <c r="I37" s="25">
        <v>0.0</v>
      </c>
      <c r="J37" s="25"/>
      <c r="K37" s="22" t="str">
        <f>IF(G37="","",VLOOKUP(G37,'Технологии'!$A$11:$BF$50,58,FALSE))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183</v>
      </c>
      <c r="B38" s="25">
        <v>0.0</v>
      </c>
      <c r="C38" s="25">
        <v>0.0</v>
      </c>
      <c r="D38" s="12"/>
      <c r="E38" s="12"/>
      <c r="F38" s="12"/>
      <c r="G38" s="25"/>
      <c r="H38" s="22" t="str">
        <f>IF(G38="","",VLOOKUP(G38,'Технологии'!$A$11:$D$50,4,FALSE))</f>
        <v/>
      </c>
      <c r="I38" s="25">
        <v>0.0</v>
      </c>
      <c r="J38" s="25"/>
      <c r="K38" s="22" t="str">
        <f>IF(G38="","",VLOOKUP(G38,'Технологии'!$A$11:$BF$50,58,FALSE))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184</v>
      </c>
      <c r="B39" s="25"/>
      <c r="C39" s="25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185</v>
      </c>
      <c r="B40" s="25">
        <v>0.0</v>
      </c>
      <c r="C40" s="25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186</v>
      </c>
      <c r="B41" s="25">
        <v>0.0</v>
      </c>
      <c r="C41" s="25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187</v>
      </c>
      <c r="B42" s="25">
        <v>0.0</v>
      </c>
      <c r="C42" s="25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188</v>
      </c>
      <c r="B43" s="25">
        <v>0.0</v>
      </c>
      <c r="C43" s="25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189</v>
      </c>
      <c r="B44" s="25">
        <v>0.0</v>
      </c>
      <c r="C44" s="25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192</v>
      </c>
      <c r="B45" s="25">
        <v>0.0</v>
      </c>
      <c r="C45" s="25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198</v>
      </c>
      <c r="B46" s="25">
        <v>0.0</v>
      </c>
      <c r="C46" s="25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199</v>
      </c>
      <c r="B47" s="25">
        <v>0.0</v>
      </c>
      <c r="C47" s="25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200</v>
      </c>
      <c r="B48" s="25">
        <v>0.0</v>
      </c>
      <c r="C48" s="25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201</v>
      </c>
      <c r="B49" s="25"/>
      <c r="C49" s="25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202</v>
      </c>
      <c r="B50" s="25">
        <v>0.0</v>
      </c>
      <c r="C50" s="25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206</v>
      </c>
      <c r="B51" s="25">
        <v>0.0</v>
      </c>
      <c r="C51" s="25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207</v>
      </c>
      <c r="B52" s="25">
        <v>0.0</v>
      </c>
      <c r="C52" s="25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208</v>
      </c>
      <c r="B53" s="25">
        <v>0.0</v>
      </c>
      <c r="C53" s="25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209</v>
      </c>
      <c r="B54" s="25">
        <v>0.0</v>
      </c>
      <c r="C54" s="25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210</v>
      </c>
      <c r="B55" s="25">
        <v>0.0</v>
      </c>
      <c r="C55" s="25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211</v>
      </c>
      <c r="B56" s="25">
        <v>0.0</v>
      </c>
      <c r="C56" s="25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212</v>
      </c>
      <c r="B57" s="25">
        <v>0.0</v>
      </c>
      <c r="C57" s="25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213</v>
      </c>
      <c r="B58" s="25"/>
      <c r="C58" s="25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214</v>
      </c>
      <c r="B59" s="25">
        <v>0.0</v>
      </c>
      <c r="C59" s="25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215</v>
      </c>
      <c r="B60" s="25">
        <v>0.0</v>
      </c>
      <c r="C60" s="25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216</v>
      </c>
      <c r="B61" s="25">
        <v>0.0</v>
      </c>
      <c r="C61" s="25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" t="s">
        <v>416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3" t="s">
        <v>7</v>
      </c>
      <c r="B5" s="10"/>
      <c r="C5" s="10"/>
      <c r="D5" s="10"/>
      <c r="E5" s="10"/>
      <c r="F5" s="10"/>
      <c r="G5" s="10"/>
      <c r="H5" s="10"/>
      <c r="I5" s="11"/>
      <c r="J5" s="12"/>
      <c r="K5" s="14" t="s">
        <v>9</v>
      </c>
      <c r="L5" s="10"/>
      <c r="M5" s="11"/>
      <c r="N5" s="14" t="s">
        <v>11</v>
      </c>
      <c r="O5" s="10"/>
      <c r="P5" s="11"/>
      <c r="Q5" s="14" t="s">
        <v>12</v>
      </c>
      <c r="R5" s="10"/>
      <c r="S5" s="11"/>
      <c r="T5" s="12"/>
      <c r="U5" s="14" t="s">
        <v>8</v>
      </c>
      <c r="V5" s="10"/>
      <c r="W5" s="11"/>
      <c r="X5" s="12"/>
    </row>
    <row r="6" ht="13.5" customHeight="1">
      <c r="A6" s="16" t="s">
        <v>15</v>
      </c>
      <c r="B6" s="16" t="s">
        <v>17</v>
      </c>
      <c r="C6" s="16" t="s">
        <v>19</v>
      </c>
      <c r="D6" s="16" t="s">
        <v>20</v>
      </c>
      <c r="E6" s="16" t="s">
        <v>21</v>
      </c>
      <c r="F6" s="16" t="s">
        <v>22</v>
      </c>
      <c r="G6" s="17" t="s">
        <v>23</v>
      </c>
      <c r="H6" s="17" t="s">
        <v>24</v>
      </c>
      <c r="I6" s="17" t="s">
        <v>25</v>
      </c>
      <c r="J6" s="17" t="s">
        <v>26</v>
      </c>
      <c r="K6" s="31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95.73996853</v>
      </c>
      <c r="L6" s="3"/>
      <c r="M6" s="5"/>
      <c r="N6" s="31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99.96042066</v>
      </c>
      <c r="O6" s="3"/>
      <c r="P6" s="5"/>
      <c r="Q6" s="31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83.88014155</v>
      </c>
      <c r="R6" s="3"/>
      <c r="S6" s="5"/>
      <c r="T6" s="12"/>
      <c r="U6" s="31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98.58834528</v>
      </c>
      <c r="V6" s="3"/>
      <c r="W6" s="5"/>
      <c r="X6" s="12"/>
    </row>
    <row r="7" ht="13.5" customHeight="1">
      <c r="A7" s="33" t="s">
        <v>108</v>
      </c>
      <c r="B7" s="33"/>
      <c r="C7" s="33"/>
      <c r="D7" s="33"/>
      <c r="E7" s="33"/>
      <c r="F7" s="33"/>
      <c r="G7" s="33"/>
      <c r="H7" s="33"/>
      <c r="I7" s="33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MAX(1,MIN(10,'Израиль 2040'!B8+'Израиль 2040'!D8+('Израиль 2040'!C8+'Израиль 2040'!F8+'Израиль 2040'!G8)+(0.35*LN(1+0.6*('Ход 2040'!B14*(1+'Эффекты технологий'!X$12)))*POWER(MAX(0,1-'Израиль 2040'!I8/10),0.7))))</f>
        <v>3.949694438</v>
      </c>
      <c r="C8" s="12">
        <f>MIN(1,(MIN(1,'Израиль 2040'!C8+'Израиль 2040'!F8+(0.08*LN(1+0.5*('Ход 2040'!C14*(1+'Эффекты технологий'!X$12)))*MAX(0,1-('Израиль 2040'!C8+'Израиль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2">
        <v>0.0</v>
      </c>
      <c r="I8" s="12">
        <f t="shared" ref="I8:I17" si="1">MAX(1,MIN(10,B8+D8+E8+H8+J8))</f>
        <v>3.799694438</v>
      </c>
      <c r="J8" s="34">
        <f>SUMIFS('Эффекты технологий'!$Y$25:$Y$240,'Эффекты технологий'!$C$25:$C$240,$A8,'Эффекты технологий'!$D$25:$D$240,"Значение")</f>
        <v>-0.15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MAX(1,MIN(10,'Израиль 2040'!B9+'Израиль 2040'!D9+('Израиль 2040'!C9+'Израиль 2040'!F9+'Израиль 2040'!G9)+(0.35*LN(1+0.6*('Ход 2040'!B15*(1+'Эффекты технологий'!X$12)))*POWER(MAX(0,1-'Израиль 2040'!I9/10),0.7))))</f>
        <v>8.610352511</v>
      </c>
      <c r="C9" s="12">
        <f>MIN(1,(MIN(1,'Израиль 2040'!C9+'Израиль 2040'!F9+(0.08*LN(1+0.5*('Ход 2040'!C15*(1+'Эффекты технологий'!X$12)))*MAX(0,1-('Израиль 2040'!C9+'Израиль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2">
        <v>0.0</v>
      </c>
      <c r="I9" s="12">
        <f t="shared" si="1"/>
        <v>8.610352511</v>
      </c>
      <c r="J9" s="34">
        <f>SUMIFS('Эффекты технологий'!$Y$25:$Y$240,'Эффекты технологий'!$C$25:$C$240,$A9,'Эффекты технологий'!$D$25:$D$240,"Значение")</f>
        <v>0</v>
      </c>
      <c r="K9" s="13" t="s">
        <v>190</v>
      </c>
      <c r="L9" s="10"/>
      <c r="M9" s="10"/>
      <c r="N9" s="10"/>
      <c r="O9" s="10"/>
      <c r="P9" s="10"/>
      <c r="Q9" s="10"/>
      <c r="R9" s="10"/>
      <c r="S9" s="11"/>
      <c r="T9" s="12"/>
      <c r="U9" s="13" t="s">
        <v>193</v>
      </c>
      <c r="V9" s="10"/>
      <c r="W9" s="10"/>
      <c r="X9" s="11"/>
    </row>
    <row r="10" ht="13.5" customHeight="1">
      <c r="A10" s="12" t="s">
        <v>117</v>
      </c>
      <c r="B10" s="12">
        <f>MAX(1,MIN(10,'Израиль 2040'!B10+'Израиль 2040'!D10+('Израиль 2040'!C10+'Израиль 2040'!F10+'Израиль 2040'!G10)+(0.35*LN(1+0.6*('Ход 2040'!B16*(1+'Эффекты технологий'!X$12)))*POWER(MAX(0,1-'Израиль 2040'!I10/10),0.7))))</f>
        <v>8.68701906</v>
      </c>
      <c r="C10" s="12">
        <f>MIN(1,(MIN(1,'Израиль 2040'!C10+'Израиль 2040'!F10+(0.08*LN(1+0.5*('Ход 2040'!C16*(1+'Эффекты технологий'!X$12)))*MAX(0,1-('Израиль 2040'!C10+'Израиль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0.1402923367</v>
      </c>
      <c r="D10" s="25">
        <v>0.0</v>
      </c>
      <c r="E10" s="25">
        <v>0.0</v>
      </c>
      <c r="F10" s="25">
        <v>0.0</v>
      </c>
      <c r="G10" s="25">
        <v>0.0</v>
      </c>
      <c r="H10" s="12">
        <v>0.0</v>
      </c>
      <c r="I10" s="12">
        <f t="shared" si="1"/>
        <v>8.68701906</v>
      </c>
      <c r="J10" s="34">
        <f>SUMIFS('Эффекты технологий'!$Y$25:$Y$240,'Эффекты технологий'!$C$25:$C$240,$A10,'Эффекты технологий'!$D$25:$D$240,"Значение")</f>
        <v>0</v>
      </c>
      <c r="K10" s="16" t="s">
        <v>100</v>
      </c>
      <c r="L10" s="16" t="s">
        <v>17</v>
      </c>
      <c r="M10" s="16" t="s">
        <v>19</v>
      </c>
      <c r="N10" s="16" t="s">
        <v>20</v>
      </c>
      <c r="O10" s="16" t="s">
        <v>21</v>
      </c>
      <c r="P10" s="16" t="s">
        <v>22</v>
      </c>
      <c r="Q10" s="16" t="s">
        <v>23</v>
      </c>
      <c r="R10" s="17" t="s">
        <v>24</v>
      </c>
      <c r="S10" s="17" t="s">
        <v>25</v>
      </c>
      <c r="T10" s="17" t="s">
        <v>26</v>
      </c>
      <c r="U10" s="16" t="s">
        <v>102</v>
      </c>
      <c r="V10" s="16" t="s">
        <v>203</v>
      </c>
      <c r="W10" s="16" t="s">
        <v>204</v>
      </c>
      <c r="X10" s="16"/>
    </row>
    <row r="11" ht="13.5" customHeight="1">
      <c r="A11" s="12" t="s">
        <v>120</v>
      </c>
      <c r="B11" s="12">
        <f>MAX(1,MIN(10,'Израиль 2040'!B11+'Израиль 2040'!D11+('Израиль 2040'!C11+'Израиль 2040'!F11+'Израиль 2040'!G11)+(0.35*LN(1+0.6*('Ход 2040'!B17*(1+'Эффекты технологий'!X$12)))*POWER(MAX(0,1-'Израиль 2040'!I11/10),0.7))))</f>
        <v>9.801144312</v>
      </c>
      <c r="C11" s="12">
        <f>MIN(1,(MIN(1,'Израиль 2040'!C11+'Израиль 2040'!F11+(0.08*LN(1+0.5*('Ход 2040'!C17*(1+'Эффекты технологий'!X$12)))*MAX(0,1-('Израиль 2040'!C11+'Израиль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2">
        <v>0.0</v>
      </c>
      <c r="I11" s="12">
        <f t="shared" si="1"/>
        <v>9.801144312</v>
      </c>
      <c r="J11" s="34">
        <f>SUMIFS('Эффекты технологий'!$Y$25:$Y$240,'Эффекты технологий'!$C$25:$C$240,$A11,'Эффекты технологий'!$D$25:$D$240,"Значение")</f>
        <v>0</v>
      </c>
      <c r="K11" s="12" t="s">
        <v>109</v>
      </c>
      <c r="L11" s="12">
        <f>MAX(1,MIN(10,'Израиль 2040'!L11+'Израиль 2040'!N11+('Израиль 2040'!M11+'Израиль 2040'!P11+'Израиль 2040'!Q11)))</f>
        <v>10</v>
      </c>
      <c r="M11" s="12">
        <f>MIN(1,(MIN(1,'Израиль 2040'!M11+'Израиль 2040'!P11+(0.1*LN(1+0.5*('Ход 2040'!H13*(1+'Эффекты технологий'!X$10)))*POWER(MAX(0,1-'Израиль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0.3245427462</v>
      </c>
      <c r="N11" s="25">
        <v>0.0</v>
      </c>
      <c r="O11" s="25">
        <v>0.0</v>
      </c>
      <c r="P11" s="25">
        <v>0.0</v>
      </c>
      <c r="Q11" s="25">
        <v>0.0</v>
      </c>
      <c r="R11" s="12">
        <v>0.0</v>
      </c>
      <c r="S11" s="12">
        <f t="shared" ref="S11:S18" si="2">MAX(1,MIN(10,L11+N11+O11+R11+T11))</f>
        <v>10</v>
      </c>
      <c r="T11" s="34">
        <f>SUMIFS('Эффекты технологий'!$Y$25:$Y$240,'Эффекты технологий'!$C$25:$C$240,$K11,'Эффекты технологий'!$D$25:$D$240,"Значение")</f>
        <v>0</v>
      </c>
      <c r="U11" s="12" t="s">
        <v>110</v>
      </c>
      <c r="V11" s="25">
        <f>'Израиль 2040'!V11</f>
        <v>-0.4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2" t="s">
        <v>217</v>
      </c>
    </row>
    <row r="12" ht="13.5" customHeight="1">
      <c r="A12" s="12" t="s">
        <v>123</v>
      </c>
      <c r="B12" s="12">
        <f>MAX(1,MIN(10,'Израиль 2040'!B12+'Израиль 2040'!D12+('Израиль 2040'!C12+'Израиль 2040'!F12+'Израиль 2040'!G12)+(0.35*LN(1+0.6*('Ход 2040'!B18*(1+'Эффекты технологий'!X$12)))*POWER(MAX(0,1-'Израиль 2040'!I12/10),0.7))))</f>
        <v>4.439599283</v>
      </c>
      <c r="C12" s="12">
        <f>MIN(1,(MIN(1,'Израиль 2040'!C12+'Израиль 2040'!F12+(0.08*LN(1+0.5*('Ход 2040'!C18*(1+'Эффекты технологий'!X$12)))*MAX(0,1-('Израиль 2040'!C12+'Израиль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2">
        <v>0.0</v>
      </c>
      <c r="I12" s="12">
        <f t="shared" si="1"/>
        <v>4.439599283</v>
      </c>
      <c r="J12" s="34">
        <f>SUMIFS('Эффекты технологий'!$Y$25:$Y$240,'Эффекты технологий'!$C$25:$C$240,$A12,'Эффекты технологий'!$D$25:$D$240,"Значение")</f>
        <v>0</v>
      </c>
      <c r="K12" s="12" t="s">
        <v>112</v>
      </c>
      <c r="L12" s="12">
        <f>MAX(1,MIN(10,'Израиль 2040'!L12+'Израиль 2040'!N12+('Израиль 2040'!M12+'Израиль 2040'!P12+'Израиль 2040'!Q12)))</f>
        <v>10</v>
      </c>
      <c r="M12" s="12">
        <f>MIN(1,(MIN(1,'Израиль 2040'!M12+'Израиль 2040'!P12+(0.1*LN(1+0.5*('Ход 2040'!H14*(1+'Эффекты технологий'!X$10)))*POWER(MAX(0,1-'Израиль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0.2590542553</v>
      </c>
      <c r="N12" s="25">
        <v>0.0</v>
      </c>
      <c r="O12" s="25">
        <v>0.0</v>
      </c>
      <c r="P12" s="25">
        <v>0.0</v>
      </c>
      <c r="Q12" s="25">
        <v>0.0</v>
      </c>
      <c r="R12" s="12">
        <v>0.0</v>
      </c>
      <c r="S12" s="12">
        <f t="shared" si="2"/>
        <v>10</v>
      </c>
      <c r="T12" s="34">
        <f>SUMIFS('Эффекты технологий'!$Y$25:$Y$240,'Эффекты технологий'!$C$25:$C$240,$K12,'Эффекты технологий'!$D$25:$D$240,"Значение")</f>
        <v>0</v>
      </c>
      <c r="U12" s="12" t="s">
        <v>113</v>
      </c>
      <c r="V12" s="25">
        <f>'Израиль 2040'!V12</f>
        <v>4.1</v>
      </c>
      <c r="W12" s="12" t="str">
        <f t="shared" si="3"/>
        <v>Интеграция</v>
      </c>
      <c r="X12" s="12" t="s">
        <v>218</v>
      </c>
    </row>
    <row r="13" ht="13.5" customHeight="1">
      <c r="A13" s="12" t="s">
        <v>126</v>
      </c>
      <c r="B13" s="12">
        <f>MAX(1,MIN(10,'Израиль 2040'!B13+'Израиль 2040'!D13+('Израиль 2040'!C13+'Израиль 2040'!F13+'Израиль 2040'!G13)+(0.35*LN(1+0.6*('Ход 2040'!B19*(1+'Эффекты технологий'!X$12)))*POWER(MAX(0,1-'Израиль 2040'!I13/10),0.7))))</f>
        <v>10</v>
      </c>
      <c r="C13" s="12">
        <f>MIN(1,(MIN(1,'Израиль 2040'!C13+'Израиль 2040'!F13+(0.08*LN(1+0.5*('Ход 2040'!C19*(1+'Эффекты технологий'!X$12)))*MAX(0,1-('Израиль 2040'!C13+'Израиль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0.1775716274</v>
      </c>
      <c r="D13" s="25">
        <v>0.0</v>
      </c>
      <c r="E13" s="25">
        <v>0.0</v>
      </c>
      <c r="F13" s="25">
        <v>0.0</v>
      </c>
      <c r="G13" s="25">
        <v>0.0</v>
      </c>
      <c r="H13" s="12">
        <v>0.0</v>
      </c>
      <c r="I13" s="12">
        <f t="shared" si="1"/>
        <v>10</v>
      </c>
      <c r="J13" s="34">
        <f>SUMIFS('Эффекты технологий'!$Y$25:$Y$240,'Эффекты технологий'!$C$25:$C$240,$A13,'Эффекты технологий'!$D$25:$D$240,"Значение")</f>
        <v>0</v>
      </c>
      <c r="K13" s="12" t="s">
        <v>115</v>
      </c>
      <c r="L13" s="12">
        <f>MAX(1,MIN(10,'Израиль 2040'!L13+'Израиль 2040'!N13+('Израиль 2040'!M13+'Израиль 2040'!P13+'Израиль 2040'!Q13)))</f>
        <v>10</v>
      </c>
      <c r="M13" s="12">
        <f>MIN(1,(MIN(1,'Израиль 2040'!M13+'Израиль 2040'!P13+(0.1*LN(1+0.5*('Ход 2040'!H15*(1+'Эффекты технологий'!X$10)))*POWER(MAX(0,1-'Израиль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0.1926575384</v>
      </c>
      <c r="N13" s="25">
        <v>0.0</v>
      </c>
      <c r="O13" s="25">
        <v>0.0</v>
      </c>
      <c r="P13" s="25">
        <v>0.0</v>
      </c>
      <c r="Q13" s="25">
        <v>0.0</v>
      </c>
      <c r="R13" s="12">
        <v>0.0</v>
      </c>
      <c r="S13" s="12">
        <f t="shared" si="2"/>
        <v>10</v>
      </c>
      <c r="T13" s="34">
        <f>SUMIFS('Эффекты технологий'!$Y$25:$Y$240,'Эффекты технологий'!$C$25:$C$240,$K13,'Эффекты технологий'!$D$25:$D$240,"Значение")</f>
        <v>0</v>
      </c>
      <c r="U13" s="12" t="s">
        <v>116</v>
      </c>
      <c r="V13" s="25">
        <f>'Израиль 2040'!V13</f>
        <v>0</v>
      </c>
      <c r="W13" s="12" t="str">
        <f t="shared" si="3"/>
        <v>Нейтралитет</v>
      </c>
      <c r="X13" s="12" t="s">
        <v>224</v>
      </c>
    </row>
    <row r="14" ht="13.5" customHeight="1">
      <c r="A14" s="12" t="s">
        <v>129</v>
      </c>
      <c r="B14" s="12">
        <f>MAX(1,MIN(10,'Израиль 2040'!B14+'Израиль 2040'!D14+('Израиль 2040'!C14+'Израиль 2040'!F14+'Израиль 2040'!G14)+(0.35*LN(1+0.6*('Ход 2040'!B20*(1+'Эффекты технологий'!X$12)))*POWER(MAX(0,1-'Израиль 2040'!I14/10),0.7))))</f>
        <v>10</v>
      </c>
      <c r="C14" s="12">
        <f>MIN(1,(MIN(1,'Израиль 2040'!C14+'Израиль 2040'!F14+(0.08*LN(1+0.5*('Ход 2040'!C20*(1+'Эффекты технологий'!X$12)))*MAX(0,1-('Израиль 2040'!C14+'Израиль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0.1971340083</v>
      </c>
      <c r="D14" s="25">
        <v>0.0</v>
      </c>
      <c r="E14" s="25">
        <v>0.0</v>
      </c>
      <c r="F14" s="25">
        <v>0.0</v>
      </c>
      <c r="G14" s="25">
        <v>0.0</v>
      </c>
      <c r="H14" s="12">
        <v>0.0</v>
      </c>
      <c r="I14" s="12">
        <f t="shared" si="1"/>
        <v>10</v>
      </c>
      <c r="J14" s="34">
        <f>SUMIFS('Эффекты технологий'!$Y$25:$Y$240,'Эффекты технологий'!$C$25:$C$240,$A14,'Эффекты технологий'!$D$25:$D$240,"Значение")</f>
        <v>0.5</v>
      </c>
      <c r="K14" s="12" t="s">
        <v>118</v>
      </c>
      <c r="L14" s="12">
        <f>MAX(1,MIN(10,'Израиль 2040'!L14+'Израиль 2040'!N14+('Израиль 2040'!M14+'Израиль 2040'!P14+'Израиль 2040'!Q14)))</f>
        <v>10</v>
      </c>
      <c r="M14" s="12">
        <f>MIN(1,(MIN(1,'Израиль 2040'!M14+'Израиль 2040'!P14+(0.1*LN(1+0.5*('Ход 2040'!H16*(1+'Эффекты технологий'!X$10)))*POWER(MAX(0,1-'Израиль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0.2617464445</v>
      </c>
      <c r="N14" s="25">
        <v>0.0</v>
      </c>
      <c r="O14" s="25">
        <v>0.0</v>
      </c>
      <c r="P14" s="25">
        <v>0.0</v>
      </c>
      <c r="Q14" s="25">
        <v>0.0</v>
      </c>
      <c r="R14" s="12">
        <v>0.0</v>
      </c>
      <c r="S14" s="12">
        <f t="shared" si="2"/>
        <v>10</v>
      </c>
      <c r="T14" s="34">
        <f>SUMIFS('Эффекты технологий'!$Y$25:$Y$240,'Эффекты технологий'!$C$25:$C$240,$K14,'Эффекты технологий'!$D$25:$D$240,"Значение")</f>
        <v>0</v>
      </c>
      <c r="U14" s="12" t="s">
        <v>119</v>
      </c>
      <c r="V14" s="25">
        <f>'Израиль 2040'!V14</f>
        <v>3.2</v>
      </c>
      <c r="W14" s="12" t="str">
        <f t="shared" si="3"/>
        <v>Стратегический союз</v>
      </c>
      <c r="X14" s="12" t="s">
        <v>225</v>
      </c>
    </row>
    <row r="15" ht="13.5" customHeight="1">
      <c r="A15" s="12" t="s">
        <v>132</v>
      </c>
      <c r="B15" s="12">
        <f>MAX(1,MIN(10,'Израиль 2040'!B15+'Израиль 2040'!D15+('Израиль 2040'!C15+'Израиль 2040'!F15+'Израиль 2040'!G15)+(0.35*LN(1+0.6*('Ход 2040'!B21*(1+'Эффекты технологий'!X$12)))*POWER(MAX(0,1-'Израиль 2040'!I15/10),0.7))))</f>
        <v>10</v>
      </c>
      <c r="C15" s="12">
        <f>MIN(1,(MIN(1,'Израиль 2040'!C15+'Израиль 2040'!F15+(0.08*LN(1+0.5*('Ход 2040'!C21*(1+'Эффекты технологий'!X$12)))*MAX(0,1-('Израиль 2040'!C15+'Израиль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2">
        <v>0.0</v>
      </c>
      <c r="I15" s="12">
        <f t="shared" si="1"/>
        <v>10</v>
      </c>
      <c r="J15" s="34">
        <f>SUMIFS('Эффекты технологий'!$Y$25:$Y$240,'Эффекты технологий'!$C$25:$C$240,$A15,'Эффекты технологий'!$D$25:$D$240,"Значение")</f>
        <v>0</v>
      </c>
      <c r="K15" s="12" t="s">
        <v>121</v>
      </c>
      <c r="L15" s="12">
        <f>MAX(1,MIN(10,'Израиль 2040'!L15+'Израиль 2040'!N15+('Израиль 2040'!M15+'Израиль 2040'!P15+'Израиль 2040'!Q15)))</f>
        <v>10</v>
      </c>
      <c r="M15" s="12">
        <f>MIN(1,(MIN(1,'Израиль 2040'!M15+'Израиль 2040'!P15+(0.1*LN(1+0.5*('Ход 2040'!H17*(1+'Эффекты технологий'!X$10)))*POWER(MAX(0,1-'Израиль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0.1774626166</v>
      </c>
      <c r="N15" s="25">
        <v>0.0</v>
      </c>
      <c r="O15" s="25">
        <v>0.0</v>
      </c>
      <c r="P15" s="25">
        <v>0.0</v>
      </c>
      <c r="Q15" s="25">
        <v>0.0</v>
      </c>
      <c r="R15" s="12">
        <v>0.0</v>
      </c>
      <c r="S15" s="12">
        <f t="shared" si="2"/>
        <v>10</v>
      </c>
      <c r="T15" s="34">
        <f>SUMIFS('Эффекты технологий'!$Y$25:$Y$240,'Эффекты технологий'!$C$25:$C$240,$K15,'Эффекты технологий'!$D$25:$D$240,"Значение")</f>
        <v>0</v>
      </c>
      <c r="U15" s="12" t="s">
        <v>122</v>
      </c>
      <c r="V15" s="25">
        <f>'Израиль 2040'!V15</f>
        <v>1.5</v>
      </c>
      <c r="W15" s="12" t="str">
        <f t="shared" si="3"/>
        <v>Партнёрство</v>
      </c>
      <c r="X15" s="12" t="s">
        <v>226</v>
      </c>
    </row>
    <row r="16" ht="13.5" customHeight="1">
      <c r="A16" s="12" t="s">
        <v>134</v>
      </c>
      <c r="B16" s="12">
        <f>MAX(1,MIN(10,'Израиль 2040'!B16+'Израиль 2040'!D16+('Израиль 2040'!C16+'Израиль 2040'!F16+'Израиль 2040'!G16)+(0.35*LN(1+0.6*('Ход 2040'!B22*(1+'Эффекты технологий'!X$12)))*POWER(MAX(0,1-'Израиль 2040'!I16/10),0.7))))</f>
        <v>10</v>
      </c>
      <c r="C16" s="12">
        <f>MIN(1,(MIN(1,'Израиль 2040'!C16+'Израиль 2040'!F16+(0.08*LN(1+0.5*('Ход 2040'!C22*(1+'Эффекты технологий'!X$12)))*MAX(0,1-('Израиль 2040'!C16+'Израиль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0.1752663218</v>
      </c>
      <c r="D16" s="25">
        <v>0.0</v>
      </c>
      <c r="E16" s="25">
        <v>0.0</v>
      </c>
      <c r="F16" s="25">
        <v>0.0</v>
      </c>
      <c r="G16" s="25">
        <v>0.0</v>
      </c>
      <c r="H16" s="12">
        <v>0.0</v>
      </c>
      <c r="I16" s="12">
        <f t="shared" si="1"/>
        <v>10</v>
      </c>
      <c r="J16" s="34">
        <f>SUMIFS('Эффекты технологий'!$Y$25:$Y$240,'Эффекты технологий'!$C$25:$C$240,$A16,'Эффекты технологий'!$D$25:$D$240,"Значение")</f>
        <v>0</v>
      </c>
      <c r="K16" s="12" t="s">
        <v>124</v>
      </c>
      <c r="L16" s="12">
        <f>MAX(1,MIN(10,'Израиль 2040'!L16+'Израиль 2040'!N16+('Израиль 2040'!M16+'Израиль 2040'!P16+'Израиль 2040'!Q16)))</f>
        <v>10</v>
      </c>
      <c r="M16" s="12">
        <f>MIN(1,(MIN(1,'Израиль 2040'!M16+'Израиль 2040'!P16+(0.1*LN(1+0.5*('Ход 2040'!H18*(1+'Эффекты технологий'!X$10)))*POWER(MAX(0,1-'Израиль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0.2494428737</v>
      </c>
      <c r="N16" s="25">
        <v>0.0</v>
      </c>
      <c r="O16" s="25">
        <v>0.0</v>
      </c>
      <c r="P16" s="25">
        <v>0.0</v>
      </c>
      <c r="Q16" s="25">
        <v>0.0</v>
      </c>
      <c r="R16" s="12">
        <v>0.0</v>
      </c>
      <c r="S16" s="12">
        <f t="shared" si="2"/>
        <v>10</v>
      </c>
      <c r="T16" s="34">
        <f>SUMIFS('Эффекты технологий'!$Y$25:$Y$240,'Эффекты технологий'!$C$25:$C$240,$K16,'Эффекты технологий'!$D$25:$D$240,"Значение")</f>
        <v>0</v>
      </c>
      <c r="U16" s="12" t="s">
        <v>125</v>
      </c>
      <c r="V16" s="25">
        <f>'Израиль 2040'!V16</f>
        <v>1</v>
      </c>
      <c r="W16" s="12" t="str">
        <f t="shared" si="3"/>
        <v>Сотрудничество</v>
      </c>
      <c r="X16" s="12" t="s">
        <v>227</v>
      </c>
    </row>
    <row r="17" ht="13.5" customHeight="1">
      <c r="A17" s="12" t="s">
        <v>137</v>
      </c>
      <c r="B17" s="12">
        <f>MAX(1,MIN(10,'Израиль 2040'!B17+'Израиль 2040'!D17+('Израиль 2040'!C17+'Израиль 2040'!F17+'Израиль 2040'!G17)+(0.35*LN(1+0.6*('Ход 2040'!B23*(1+'Эффекты технологий'!X$12)))*POWER(MAX(0,1-'Израиль 2040'!I17/10),0.7))))</f>
        <v>9.097130438</v>
      </c>
      <c r="C17" s="12">
        <f>MIN(1,(MIN(1,'Израиль 2040'!C17+'Израиль 2040'!F17+(0.08*LN(1+0.5*('Ход 2040'!C23*(1+'Эффекты технологий'!X$12)))*MAX(0,1-('Израиль 2040'!C17+'Израиль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2">
        <v>0.0</v>
      </c>
      <c r="I17" s="12">
        <f t="shared" si="1"/>
        <v>9.097130438</v>
      </c>
      <c r="J17" s="34">
        <f>SUMIFS('Эффекты технологий'!$Y$25:$Y$240,'Эффекты технологий'!$C$25:$C$240,$A17,'Эффекты технологий'!$D$25:$D$240,"Значение")</f>
        <v>0</v>
      </c>
      <c r="K17" s="12" t="s">
        <v>127</v>
      </c>
      <c r="L17" s="12">
        <f>MAX(1,MIN(10,'Израиль 2040'!L17+'Израиль 2040'!N17+('Израиль 2040'!M17+'Израиль 2040'!P17+'Израиль 2040'!Q17)))</f>
        <v>10</v>
      </c>
      <c r="M17" s="12">
        <f>MIN(1,(MIN(1,'Израиль 2040'!M17+'Израиль 2040'!P17+(0.1*LN(1+0.5*('Ход 2040'!H19*(1+'Эффекты технологий'!X$10)))*POWER(MAX(0,1-'Израиль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0.2562357148</v>
      </c>
      <c r="N17" s="25">
        <v>0.0</v>
      </c>
      <c r="O17" s="25">
        <v>0.0</v>
      </c>
      <c r="P17" s="25">
        <v>0.0</v>
      </c>
      <c r="Q17" s="25">
        <v>0.0</v>
      </c>
      <c r="R17" s="12">
        <v>0.0</v>
      </c>
      <c r="S17" s="12">
        <f t="shared" si="2"/>
        <v>10</v>
      </c>
      <c r="T17" s="34">
        <f>SUMIFS('Эффекты технологий'!$Y$25:$Y$240,'Эффекты технологий'!$C$25:$C$240,$K17,'Эффекты технологий'!$D$25:$D$240,"Значение")</f>
        <v>0</v>
      </c>
      <c r="U17" s="12" t="s">
        <v>128</v>
      </c>
      <c r="V17" s="25">
        <f>'Израиль 2040'!V17</f>
        <v>2.4</v>
      </c>
      <c r="W17" s="12" t="str">
        <f t="shared" si="3"/>
        <v>Стратегическое партнёрство</v>
      </c>
      <c r="X17" s="12" t="s">
        <v>228</v>
      </c>
    </row>
    <row r="18" ht="13.5" customHeight="1">
      <c r="A18" s="33" t="s">
        <v>143</v>
      </c>
      <c r="B18" s="33"/>
      <c r="C18" s="33"/>
      <c r="D18" s="33"/>
      <c r="E18" s="33"/>
      <c r="F18" s="33"/>
      <c r="G18" s="33"/>
      <c r="H18" s="33"/>
      <c r="I18" s="33"/>
      <c r="J18" s="12"/>
      <c r="K18" s="12" t="s">
        <v>130</v>
      </c>
      <c r="L18" s="12">
        <f>MAX(1,MIN(10,'Израиль 2040'!L18+'Израиль 2040'!N18+('Израиль 2040'!M18+'Израиль 2040'!P18+'Израиль 2040'!Q18)))</f>
        <v>10</v>
      </c>
      <c r="M18" s="12">
        <f>MIN(1,(MIN(1,'Израиль 2040'!M18+'Израиль 2040'!P18+(0.1*LN(1+0.5*('Ход 2040'!H20*(1+'Эффекты технологий'!X$10)))*POWER(MAX(0,1-'Израиль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0.2664670119</v>
      </c>
      <c r="N18" s="25">
        <v>0.0</v>
      </c>
      <c r="O18" s="25">
        <v>0.0</v>
      </c>
      <c r="P18" s="25">
        <v>0.0</v>
      </c>
      <c r="Q18" s="25">
        <v>0.0</v>
      </c>
      <c r="R18" s="12">
        <v>0.0</v>
      </c>
      <c r="S18" s="12">
        <f t="shared" si="2"/>
        <v>10</v>
      </c>
      <c r="T18" s="34">
        <f>SUMIFS('Эффекты технологий'!$Y$25:$Y$240,'Эффекты технологий'!$C$25:$C$240,$K18,'Эффекты технологий'!$D$25:$D$240,"Значение")</f>
        <v>0</v>
      </c>
      <c r="U18" s="12" t="s">
        <v>131</v>
      </c>
      <c r="V18" s="25">
        <f>'Израиль 2040'!V18</f>
        <v>1.2</v>
      </c>
      <c r="W18" s="12" t="str">
        <f t="shared" si="3"/>
        <v>Партнёрство</v>
      </c>
      <c r="X18" s="12" t="s">
        <v>234</v>
      </c>
    </row>
    <row r="19" ht="13.5" customHeight="1">
      <c r="A19" s="12" t="s">
        <v>150</v>
      </c>
      <c r="B19" s="12">
        <f>MAX(1,MIN(10,'Израиль 2040'!B19+'Израиль 2040'!D19+('Израиль 2040'!C19+'Израиль 2040'!F19+'Израиль 2040'!G19)+(0.35*LN(1+0.6*'Ход 2040'!B25)*POWER(MAX(0,1-'Израиль 2040'!I19/10),0.7))))</f>
        <v>10</v>
      </c>
      <c r="C19" s="12">
        <f>MIN(1,(MIN(1,'Израиль 2040'!C19+'Израиль 2040'!F19+(0.08*LN(1+0.5*'Ход 2040'!C25)*MAX(0,1-('Израиль 2040'!C19+'Израиль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2">
        <v>0.0</v>
      </c>
      <c r="I19" s="12">
        <f t="shared" ref="I19:I23" si="4">MAX(1,MIN(10,B19+D19+E19+H19+J19))</f>
        <v>10</v>
      </c>
      <c r="J19" s="34">
        <f>SUMIFS('Эффекты технологий'!$Y$25:$Y$240,'Эффекты технологий'!$C$25:$C$240,$A19,'Эффекты технологий'!$D$25:$D$240,"Значение")</f>
        <v>0.2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133</v>
      </c>
      <c r="V19" s="25">
        <f>'Израиль 2040'!V19</f>
        <v>1.4</v>
      </c>
      <c r="W19" s="12" t="str">
        <f t="shared" si="3"/>
        <v>Партнёрство</v>
      </c>
      <c r="X19" s="12" t="s">
        <v>235</v>
      </c>
    </row>
    <row r="20" ht="13.5" customHeight="1">
      <c r="A20" s="12" t="s">
        <v>153</v>
      </c>
      <c r="B20" s="12">
        <f>MAX(1,MIN(10,'Израиль 2040'!B20+'Израиль 2040'!D20+('Израиль 2040'!C20+'Израиль 2040'!F20+'Израиль 2040'!G20)+(0.35*LN(1+0.6*'Ход 2040'!B26)*POWER(MAX(0,1-'Израиль 2040'!I20/10),0.7))))</f>
        <v>10</v>
      </c>
      <c r="C20" s="12">
        <f>MIN(1,(MIN(1,'Израиль 2040'!C20+'Израиль 2040'!F20+(0.08*LN(1+0.5*'Ход 2040'!C26)*MAX(0,1-('Израиль 2040'!C20+'Израиль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0.1775716274</v>
      </c>
      <c r="D20" s="25">
        <v>0.0</v>
      </c>
      <c r="E20" s="25">
        <v>0.0</v>
      </c>
      <c r="F20" s="25">
        <v>0.0</v>
      </c>
      <c r="G20" s="25">
        <v>0.0</v>
      </c>
      <c r="H20" s="12">
        <v>0.0</v>
      </c>
      <c r="I20" s="12">
        <f t="shared" si="4"/>
        <v>10</v>
      </c>
      <c r="J20" s="34">
        <f>SUMIFS('Эффекты технологий'!$Y$25:$Y$240,'Эффекты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136</v>
      </c>
      <c r="V20" s="25">
        <f>'Израиль 2040'!V20</f>
        <v>-1.8</v>
      </c>
      <c r="W20" s="12" t="str">
        <f t="shared" si="3"/>
        <v>Конфронтация</v>
      </c>
      <c r="X20" s="12" t="s">
        <v>236</v>
      </c>
    </row>
    <row r="21" ht="13.5" customHeight="1">
      <c r="A21" s="12" t="s">
        <v>156</v>
      </c>
      <c r="B21" s="12">
        <f>MAX(1,MIN(10,'Израиль 2040'!B21+'Израиль 2040'!D21+('Израиль 2040'!C21+'Израиль 2040'!F21+'Израиль 2040'!G21)+(0.35*LN(1+0.6*'Ход 2040'!B27)*POWER(MAX(0,1-'Израиль 2040'!I21/10),0.7))))</f>
        <v>10</v>
      </c>
      <c r="C21" s="12">
        <f>MIN(1,(MIN(1,'Израиль 2040'!C21+'Израиль 2040'!F21+(0.08*LN(1+0.5*'Ход 2040'!C27)*MAX(0,1-('Израиль 2040'!C21+'Израиль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0.1775716274</v>
      </c>
      <c r="D21" s="25">
        <v>0.0</v>
      </c>
      <c r="E21" s="25">
        <v>0.0</v>
      </c>
      <c r="F21" s="25">
        <v>0.0</v>
      </c>
      <c r="G21" s="25">
        <v>0.0</v>
      </c>
      <c r="H21" s="12">
        <v>0.0</v>
      </c>
      <c r="I21" s="12">
        <f t="shared" si="4"/>
        <v>10</v>
      </c>
      <c r="J21" s="34">
        <f>SUMIFS('Эффекты технологий'!$Y$25:$Y$240,'Эффекты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142</v>
      </c>
      <c r="V21" s="25">
        <f>'Израиль 2040'!V21</f>
        <v>-0.2</v>
      </c>
      <c r="W21" s="12" t="str">
        <f t="shared" si="3"/>
        <v>Напряжённые отношения</v>
      </c>
      <c r="X21" s="12" t="s">
        <v>237</v>
      </c>
    </row>
    <row r="22" ht="13.5" customHeight="1">
      <c r="A22" s="12" t="s">
        <v>159</v>
      </c>
      <c r="B22" s="12">
        <f>MAX(1,MIN(10,'Израиль 2040'!B22+'Израиль 2040'!D22+('Израиль 2040'!C22+'Израиль 2040'!F22+'Израиль 2040'!G22)+(0.35*LN(1+0.6*'Ход 2040'!B28)*POWER(MAX(0,1-'Израиль 2040'!I22/10),0.7))))</f>
        <v>10</v>
      </c>
      <c r="C22" s="12">
        <f>MIN(1,(MIN(1,'Израиль 2040'!C22+'Израиль 2040'!F22+(0.08*LN(1+0.5*'Ход 2040'!C28)*MAX(0,1-('Израиль 2040'!C22+'Израиль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2">
        <v>0.0</v>
      </c>
      <c r="I22" s="12">
        <f t="shared" si="4"/>
        <v>10</v>
      </c>
      <c r="J22" s="34">
        <f>SUMIFS('Эффекты технологий'!$Y$25:$Y$240,'Эффекты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147</v>
      </c>
      <c r="V22" s="25">
        <f>'Израиль 2040'!V22</f>
        <v>-4</v>
      </c>
      <c r="W22" s="12" t="str">
        <f t="shared" si="3"/>
        <v>Война</v>
      </c>
      <c r="X22" s="12" t="s">
        <v>238</v>
      </c>
    </row>
    <row r="23" ht="13.5" customHeight="1">
      <c r="A23" s="12" t="s">
        <v>165</v>
      </c>
      <c r="B23" s="12">
        <f>MAX(1,MIN(10,'Израиль 2040'!B23+'Израиль 2040'!D23+('Израиль 2040'!C23+'Израиль 2040'!F23+'Израиль 2040'!G23)+(0.35*LN(1+0.6*'Ход 2040'!B29)*POWER(MAX(0,1-'Израиль 2040'!I23/10),0.7))))</f>
        <v>10</v>
      </c>
      <c r="C23" s="12">
        <f>MIN(1,(MIN(1,'Израиль 2040'!C23+'Израиль 2040'!F23+(0.08*LN(1+0.5*'Ход 2040'!C29)*MAX(0,1-('Израиль 2040'!C23+'Израиль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2">
        <v>0.0</v>
      </c>
      <c r="I23" s="12">
        <f t="shared" si="4"/>
        <v>10</v>
      </c>
      <c r="J23" s="34">
        <f>SUMIFS('Эффекты технологий'!$Y$25:$Y$240,'Эффекты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5">
        <f>'Израиль 2040'!V23</f>
        <v>-0.9</v>
      </c>
      <c r="W23" s="12" t="str">
        <f t="shared" si="3"/>
        <v>Напряжённые отношения</v>
      </c>
      <c r="X23" s="12" t="s">
        <v>239</v>
      </c>
    </row>
    <row r="24" ht="13.5" customHeight="1">
      <c r="A24" s="33" t="s">
        <v>168</v>
      </c>
      <c r="B24" s="33"/>
      <c r="C24" s="33"/>
      <c r="D24" s="33"/>
      <c r="E24" s="33"/>
      <c r="F24" s="33"/>
      <c r="G24" s="33"/>
      <c r="H24" s="33"/>
      <c r="I24" s="33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5">
        <f>'Израиль 2040'!V24</f>
        <v>2.2</v>
      </c>
      <c r="W24" s="12" t="str">
        <f t="shared" si="3"/>
        <v>Стратегическое партнёрство</v>
      </c>
      <c r="X24" s="12" t="s">
        <v>240</v>
      </c>
    </row>
    <row r="25" ht="13.5" customHeight="1">
      <c r="A25" s="12" t="s">
        <v>170</v>
      </c>
      <c r="B25" s="12">
        <f>MAX(1,MIN(10,'Израиль 2040'!B25+'Израиль 2040'!D25+('Израиль 2040'!C25+'Израиль 2040'!F25+'Израиль 2040'!G25)+(0.35*LN(1+0.6*'Ход 2040'!B31)*POWER(MAX(0,1-'Израиль 2040'!I25/10),0.7))))</f>
        <v>9.58308418</v>
      </c>
      <c r="C25" s="12">
        <f>MIN(1,(MIN(1,'Израиль 2040'!C25+'Израиль 2040'!F25+(0.08*LN(1+0.5*'Ход 2040'!C31)*MAX(0,1-('Израиль 2040'!C25+'Израиль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2">
        <v>0.0</v>
      </c>
      <c r="I25" s="12">
        <f t="shared" ref="I25:I32" si="5">MAX(1,MIN(10,B25+D25+E25+H25+J25))</f>
        <v>9.58308418</v>
      </c>
      <c r="J25" s="34">
        <f>SUMIFS('Эффекты технологий'!$Y$25:$Y$240,'Эффекты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5">
        <f>'Израиль 2040'!V25</f>
        <v>-1.1</v>
      </c>
      <c r="W25" s="12" t="str">
        <f t="shared" si="3"/>
        <v>Конфронтация</v>
      </c>
      <c r="X25" s="12" t="s">
        <v>245</v>
      </c>
    </row>
    <row r="26" ht="13.5" customHeight="1">
      <c r="A26" s="12" t="s">
        <v>173</v>
      </c>
      <c r="B26" s="12">
        <f>MAX(1,MIN(10,'Израиль 2040'!B26+'Израиль 2040'!D26+('Израиль 2040'!C26+'Израиль 2040'!F26+'Израиль 2040'!G26)+(0.35*LN(1+0.6*'Ход 2040'!B32)*POWER(MAX(0,1-'Израиль 2040'!I26/10),0.7))))</f>
        <v>10</v>
      </c>
      <c r="C26" s="12">
        <f>MIN(1,(MIN(1,'Израиль 2040'!C26+'Израиль 2040'!F26+(0.08*LN(1+0.5*'Ход 2040'!C32)*MAX(0,1-('Израиль 2040'!C26+'Израиль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0.1775716274</v>
      </c>
      <c r="D26" s="25">
        <v>0.0</v>
      </c>
      <c r="E26" s="25">
        <v>0.0</v>
      </c>
      <c r="F26" s="25">
        <v>0.0</v>
      </c>
      <c r="G26" s="25">
        <v>0.0</v>
      </c>
      <c r="H26" s="12">
        <v>0.0</v>
      </c>
      <c r="I26" s="12">
        <f t="shared" si="5"/>
        <v>10</v>
      </c>
      <c r="J26" s="34">
        <f>SUMIFS('Эффекты технологий'!$Y$25:$Y$240,'Эффекты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5">
        <f>'Израиль 2040'!V26</f>
        <v>0</v>
      </c>
      <c r="W26" s="12" t="str">
        <f t="shared" si="3"/>
        <v>Нейтралитет</v>
      </c>
      <c r="X26" s="12" t="s">
        <v>246</v>
      </c>
    </row>
    <row r="27" ht="13.5" customHeight="1">
      <c r="A27" s="12" t="s">
        <v>178</v>
      </c>
      <c r="B27" s="12">
        <f>MAX(1,MIN(10,'Израиль 2040'!B27+'Израиль 2040'!D27+('Израиль 2040'!C27+'Израиль 2040'!F27+'Израиль 2040'!G27)+(0.35*LN(1+0.6*'Ход 2040'!B33)*POWER(MAX(0,1-'Израиль 2040'!I27/10),0.7))))</f>
        <v>10</v>
      </c>
      <c r="C27" s="12">
        <f>MIN(1,(MIN(1,'Израиль 2040'!C27+'Израиль 2040'!F27+(0.08*LN(1+0.5*'Ход 2040'!C33)*MAX(0,1-('Израиль 2040'!C27+'Израиль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2">
        <v>0.0</v>
      </c>
      <c r="I27" s="12">
        <f t="shared" si="5"/>
        <v>10</v>
      </c>
      <c r="J27" s="34">
        <f>SUMIFS('Эффекты технологий'!$Y$25:$Y$240,'Эффекты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179</v>
      </c>
      <c r="B28" s="12">
        <f>MAX(1,MIN(10,'Израиль 2040'!B28+'Израиль 2040'!D28+('Израиль 2040'!C28+'Израиль 2040'!F28+'Израиль 2040'!G28)+(0.35*LN(1+0.6*'Ход 2040'!B34)*POWER(MAX(0,1-'Израиль 2040'!I28/10),0.7))))</f>
        <v>10</v>
      </c>
      <c r="C28" s="12">
        <f>MIN(1,(MIN(1,'Израиль 2040'!C28+'Израиль 2040'!F28+(0.08*LN(1+0.5*'Ход 2040'!C34)*MAX(0,1-('Израиль 2040'!C28+'Израиль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2">
        <v>0.0</v>
      </c>
      <c r="I28" s="12">
        <f t="shared" si="5"/>
        <v>10</v>
      </c>
      <c r="J28" s="34">
        <f>SUMIFS('Эффекты технологий'!$Y$25:$Y$240,'Эффекты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180</v>
      </c>
      <c r="B29" s="12">
        <f>MAX(1,MIN(10,'Израиль 2040'!B29+'Израиль 2040'!D29+('Израиль 2040'!C29+'Израиль 2040'!F29+'Израиль 2040'!G29)+(0.35*LN(1+0.6*'Ход 2040'!B35)*POWER(MAX(0,1-'Израиль 2040'!I29/10),0.7))))</f>
        <v>10</v>
      </c>
      <c r="C29" s="12">
        <f>MIN(1,(MIN(1,'Израиль 2040'!C29+'Израиль 2040'!F29+(0.08*LN(1+0.5*'Ход 2040'!C35)*MAX(0,1-('Израиль 2040'!C29+'Израиль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2">
        <v>0.0</v>
      </c>
      <c r="I29" s="12">
        <f t="shared" si="5"/>
        <v>10</v>
      </c>
      <c r="J29" s="34">
        <f>SUMIFS('Эффекты технологий'!$Y$25:$Y$240,'Эффекты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181</v>
      </c>
      <c r="B30" s="12">
        <f>MAX(1,MIN(10,'Израиль 2040'!B30+'Израиль 2040'!D30+('Израиль 2040'!C30+'Израиль 2040'!F30+'Израиль 2040'!G30)+(0.35*LN(1+0.6*'Ход 2040'!B36)*POWER(MAX(0,1-'Израиль 2040'!I30/10),0.7))))</f>
        <v>10</v>
      </c>
      <c r="C30" s="12">
        <f>MIN(1,(MIN(1,'Израиль 2040'!C30+'Израиль 2040'!F30+(0.08*LN(1+0.5*'Ход 2040'!C36)*MAX(0,1-('Израиль 2040'!C30+'Израиль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2">
        <v>0.0</v>
      </c>
      <c r="I30" s="12">
        <f t="shared" si="5"/>
        <v>10</v>
      </c>
      <c r="J30" s="34">
        <f>SUMIFS('Эффекты технологий'!$Y$25:$Y$240,'Эффекты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182</v>
      </c>
      <c r="B31" s="12">
        <f>MAX(1,MIN(10,'Израиль 2040'!B31+'Израиль 2040'!D31+('Израиль 2040'!C31+'Израиль 2040'!F31+'Израиль 2040'!G31)+(0.35*LN(1+0.6*'Ход 2040'!B37)*POWER(MAX(0,1-'Израиль 2040'!I31/10),0.7))))</f>
        <v>10</v>
      </c>
      <c r="C31" s="12">
        <f>MIN(1,(MIN(1,'Израиль 2040'!C31+'Израиль 2040'!F31+(0.08*LN(1+0.5*'Ход 2040'!C37)*MAX(0,1-('Израиль 2040'!C31+'Израиль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2">
        <v>0.0</v>
      </c>
      <c r="I31" s="12">
        <f t="shared" si="5"/>
        <v>10</v>
      </c>
      <c r="J31" s="34">
        <f>SUMIFS('Эффекты технологий'!$Y$25:$Y$240,'Эффекты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183</v>
      </c>
      <c r="B32" s="12">
        <f>MAX(1,MIN(10,'Израиль 2040'!B32+'Израиль 2040'!D32+('Израиль 2040'!C32+'Израиль 2040'!F32+'Израиль 2040'!G32)+(0.35*LN(1+0.6*'Ход 2040'!B38)*POWER(MAX(0,1-'Израиль 2040'!I32/10),0.7))))</f>
        <v>10</v>
      </c>
      <c r="C32" s="12">
        <f>MIN(1,(MIN(1,'Израиль 2040'!C32+'Израиль 2040'!F32+(0.08*LN(1+0.5*'Ход 2040'!C38)*MAX(0,1-('Израиль 2040'!C32+'Израиль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0.05134831089</v>
      </c>
      <c r="D32" s="25">
        <v>0.0</v>
      </c>
      <c r="E32" s="25">
        <v>0.0</v>
      </c>
      <c r="F32" s="25">
        <v>0.0</v>
      </c>
      <c r="G32" s="25">
        <v>0.0</v>
      </c>
      <c r="H32" s="12">
        <v>0.0</v>
      </c>
      <c r="I32" s="12">
        <f t="shared" si="5"/>
        <v>10</v>
      </c>
      <c r="J32" s="34">
        <f>SUMIFS('Эффекты технологий'!$Y$25:$Y$240,'Эффекты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3" t="s">
        <v>184</v>
      </c>
      <c r="B33" s="33"/>
      <c r="C33" s="33"/>
      <c r="D33" s="33"/>
      <c r="E33" s="33"/>
      <c r="F33" s="33"/>
      <c r="G33" s="33"/>
      <c r="H33" s="33"/>
      <c r="I33" s="33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185</v>
      </c>
      <c r="B34" s="12">
        <f>MAX(1,MIN(10,'Израиль 2040'!B34+'Израиль 2040'!D34+('Израиль 2040'!C34+'Израиль 2040'!F34+'Израиль 2040'!G34)+(0.35*LN(1+0.6*'Ход 2040'!B40)*POWER(MAX(0,1-'Израиль 2040'!I34/10),0.7))))</f>
        <v>10</v>
      </c>
      <c r="C34" s="12">
        <f>MIN(1,(MIN(1,'Израиль 2040'!C34+'Израиль 2040'!F34+(0.08*LN(1+0.5*'Ход 2040'!C40)*MAX(0,1-('Израиль 2040'!C34+'Израиль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0.1462134798</v>
      </c>
      <c r="D34" s="25">
        <v>0.0</v>
      </c>
      <c r="E34" s="25">
        <v>0.0</v>
      </c>
      <c r="F34" s="25">
        <v>0.0</v>
      </c>
      <c r="G34" s="25">
        <v>0.0</v>
      </c>
      <c r="H34" s="12">
        <v>0.0</v>
      </c>
      <c r="I34" s="12">
        <f t="shared" ref="I34:I42" si="6">MAX(1,MIN(10,B34+D34+E34+H34+J34))</f>
        <v>10</v>
      </c>
      <c r="J34" s="34">
        <f>SUMIFS('Эффекты технологий'!$Y$25:$Y$240,'Эффекты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186</v>
      </c>
      <c r="B35" s="12">
        <f>MAX(1,MIN(10,'Израиль 2040'!B35+'Израиль 2040'!D35+('Израиль 2040'!C35+'Израиль 2040'!F35+'Израиль 2040'!G35)+(0.35*LN(1+0.6*'Ход 2040'!B41)*POWER(MAX(0,1-'Израиль 2040'!I35/10),0.7))))</f>
        <v>10</v>
      </c>
      <c r="C35" s="12">
        <f>MIN(1,(MIN(1,'Израиль 2040'!C35+'Израиль 2040'!F35+(0.08*LN(1+0.5*'Ход 2040'!C41)*MAX(0,1-('Израиль 2040'!C35+'Израиль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0.1462134798</v>
      </c>
      <c r="D35" s="25">
        <v>0.0</v>
      </c>
      <c r="E35" s="25">
        <v>0.0</v>
      </c>
      <c r="F35" s="25">
        <v>0.0</v>
      </c>
      <c r="G35" s="25">
        <v>0.0</v>
      </c>
      <c r="H35" s="12">
        <v>0.0</v>
      </c>
      <c r="I35" s="12">
        <f t="shared" si="6"/>
        <v>10</v>
      </c>
      <c r="J35" s="34">
        <f>SUMIFS('Эффекты технологий'!$Y$25:$Y$240,'Эффекты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187</v>
      </c>
      <c r="B36" s="12">
        <f>MAX(1,MIN(10,'Израиль 2040'!B36+'Израиль 2040'!D36+('Израиль 2040'!C36+'Израиль 2040'!F36+'Израиль 2040'!G36)+(0.35*LN(1+0.6*'Ход 2040'!B42)*POWER(MAX(0,1-'Израиль 2040'!I36/10),0.7))))</f>
        <v>10</v>
      </c>
      <c r="C36" s="12">
        <f>MIN(1,(MIN(1,'Израиль 2040'!C36+'Израиль 2040'!F36+(0.08*LN(1+0.5*'Ход 2040'!C42)*MAX(0,1-('Израиль 2040'!C36+'Израиль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0.1936460643</v>
      </c>
      <c r="D36" s="25">
        <v>0.0</v>
      </c>
      <c r="E36" s="25">
        <v>0.0</v>
      </c>
      <c r="F36" s="25">
        <v>0.0</v>
      </c>
      <c r="G36" s="25">
        <v>0.0</v>
      </c>
      <c r="H36" s="12">
        <v>0.0</v>
      </c>
      <c r="I36" s="12">
        <f t="shared" si="6"/>
        <v>10</v>
      </c>
      <c r="J36" s="34">
        <f>SUMIFS('Эффекты технологий'!$Y$25:$Y$240,'Эффекты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188</v>
      </c>
      <c r="B37" s="12">
        <f>MAX(1,MIN(10,'Израиль 2040'!B37+'Израиль 2040'!D37+('Израиль 2040'!C37+'Израиль 2040'!F37+'Израиль 2040'!G37)+(0.35*LN(1+0.6*'Ход 2040'!B43)*POWER(MAX(0,1-'Израиль 2040'!I37/10),0.7))))</f>
        <v>10</v>
      </c>
      <c r="C37" s="12">
        <f>MIN(1,(MIN(1,'Израиль 2040'!C37+'Израиль 2040'!F37+(0.08*LN(1+0.5*'Ход 2040'!C43)*MAX(0,1-('Израиль 2040'!C37+'Израиль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0.1936460643</v>
      </c>
      <c r="D37" s="25">
        <v>0.0</v>
      </c>
      <c r="E37" s="25">
        <v>0.0</v>
      </c>
      <c r="F37" s="25">
        <v>0.0</v>
      </c>
      <c r="G37" s="25">
        <v>0.0</v>
      </c>
      <c r="H37" s="12">
        <v>0.0</v>
      </c>
      <c r="I37" s="12">
        <f t="shared" si="6"/>
        <v>10</v>
      </c>
      <c r="J37" s="34">
        <f>SUMIFS('Эффекты технологий'!$Y$25:$Y$240,'Эффекты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189</v>
      </c>
      <c r="B38" s="12">
        <f>MAX(1,MIN(10,'Израиль 2040'!B38+'Израиль 2040'!D38+('Израиль 2040'!C38+'Израиль 2040'!F38+'Израиль 2040'!G38)+(0.35*LN(1+0.6*'Ход 2040'!B44)*POWER(MAX(0,1-'Израиль 2040'!I38/10),0.7))))</f>
        <v>10</v>
      </c>
      <c r="C38" s="12">
        <f>MIN(1,(MIN(1,'Израиль 2040'!C38+'Израиль 2040'!F38+(0.08*LN(1+0.5*'Ход 2040'!C44)*MAX(0,1-('Израиль 2040'!C38+'Израиль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0.1936460643</v>
      </c>
      <c r="D38" s="25">
        <v>0.0</v>
      </c>
      <c r="E38" s="25">
        <v>0.0</v>
      </c>
      <c r="F38" s="25">
        <v>0.0</v>
      </c>
      <c r="G38" s="25">
        <v>0.0</v>
      </c>
      <c r="H38" s="12">
        <v>0.0</v>
      </c>
      <c r="I38" s="12">
        <f t="shared" si="6"/>
        <v>10</v>
      </c>
      <c r="J38" s="34">
        <f>SUMIFS('Эффекты технологий'!$Y$25:$Y$240,'Эффекты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192</v>
      </c>
      <c r="B39" s="12">
        <f>MAX(1,MIN(10,'Израиль 2040'!B39+'Израиль 2040'!D39+('Израиль 2040'!C39+'Израиль 2040'!F39+'Израиль 2040'!G39)+(0.35*LN(1+0.6*'Ход 2040'!B45)*POWER(MAX(0,1-'Израиль 2040'!I39/10),0.7))))</f>
        <v>10</v>
      </c>
      <c r="C39" s="12">
        <f>MIN(1,(MIN(1,'Израиль 2040'!C39+'Израиль 2040'!F39+(0.08*LN(1+0.5*'Ход 2040'!C45)*MAX(0,1-('Израиль 2040'!C39+'Израиль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0.1936460643</v>
      </c>
      <c r="D39" s="25">
        <v>0.0</v>
      </c>
      <c r="E39" s="25">
        <v>0.0</v>
      </c>
      <c r="F39" s="25">
        <v>0.0</v>
      </c>
      <c r="G39" s="25">
        <v>0.0</v>
      </c>
      <c r="H39" s="12">
        <v>0.0</v>
      </c>
      <c r="I39" s="12">
        <f t="shared" si="6"/>
        <v>10</v>
      </c>
      <c r="J39" s="34">
        <f>SUMIFS('Эффекты технологий'!$Y$25:$Y$240,'Эффекты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198</v>
      </c>
      <c r="B40" s="12">
        <f>MAX(1,MIN(10,'Израиль 2040'!B40+'Израиль 2040'!D40+('Израиль 2040'!C40+'Израиль 2040'!F40+'Израиль 2040'!G40)+(0.35*LN(1+0.6*'Ход 2040'!B46)*POWER(MAX(0,1-'Израиль 2040'!I40/10),0.7))))</f>
        <v>10</v>
      </c>
      <c r="C40" s="12">
        <f>MIN(1,(MIN(1,'Израиль 2040'!C40+'Израиль 2040'!F40+(0.08*LN(1+0.5*'Ход 2040'!C46)*MAX(0,1-('Израиль 2040'!C40+'Израиль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0.1462134798</v>
      </c>
      <c r="D40" s="25">
        <v>0.0</v>
      </c>
      <c r="E40" s="25">
        <v>0.0</v>
      </c>
      <c r="F40" s="25">
        <v>0.0</v>
      </c>
      <c r="G40" s="25">
        <v>0.0</v>
      </c>
      <c r="H40" s="12">
        <v>0.0</v>
      </c>
      <c r="I40" s="12">
        <f t="shared" si="6"/>
        <v>10</v>
      </c>
      <c r="J40" s="34">
        <f>SUMIFS('Эффекты технологий'!$Y$25:$Y$240,'Эффекты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199</v>
      </c>
      <c r="B41" s="12">
        <f>MAX(1,MIN(10,'Израиль 2040'!B41+'Израиль 2040'!D41+('Израиль 2040'!C41+'Израиль 2040'!F41+'Израиль 2040'!G41)+(0.35*LN(1+0.6*'Ход 2040'!B47)*POWER(MAX(0,1-'Израиль 2040'!I41/10),0.7))))</f>
        <v>10</v>
      </c>
      <c r="C41" s="12">
        <f>MIN(1,(MIN(1,'Израиль 2040'!C41+'Израиль 2040'!F41+(0.08*LN(1+0.5*'Ход 2040'!C47)*MAX(0,1-('Израиль 2040'!C41+'Израиль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0.1462134798</v>
      </c>
      <c r="D41" s="25">
        <v>0.0</v>
      </c>
      <c r="E41" s="25">
        <v>0.0</v>
      </c>
      <c r="F41" s="25">
        <v>0.0</v>
      </c>
      <c r="G41" s="25">
        <v>0.0</v>
      </c>
      <c r="H41" s="12">
        <v>0.0</v>
      </c>
      <c r="I41" s="12">
        <f t="shared" si="6"/>
        <v>10</v>
      </c>
      <c r="J41" s="34">
        <f>SUMIFS('Эффекты технологий'!$Y$25:$Y$240,'Эффекты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200</v>
      </c>
      <c r="B42" s="12">
        <f>MAX(1,MIN(10,'Израиль 2040'!B42+'Израиль 2040'!D42+('Израиль 2040'!C42+'Израиль 2040'!F42+'Израиль 2040'!G42)+(0.35*LN(1+0.6*'Ход 2040'!B48)*POWER(MAX(0,1-'Израиль 2040'!I42/10),0.7))))</f>
        <v>10</v>
      </c>
      <c r="C42" s="12">
        <f>MIN(1,(MIN(1,'Израиль 2040'!C42+'Израиль 2040'!F42+(0.08*LN(1+0.5*'Ход 2040'!C48)*MAX(0,1-('Израиль 2040'!C42+'Израиль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0.09878089535</v>
      </c>
      <c r="D42" s="25">
        <v>0.0</v>
      </c>
      <c r="E42" s="25">
        <v>0.0</v>
      </c>
      <c r="F42" s="25">
        <v>0.0</v>
      </c>
      <c r="G42" s="25">
        <v>0.0</v>
      </c>
      <c r="H42" s="12">
        <v>0.0</v>
      </c>
      <c r="I42" s="12">
        <f t="shared" si="6"/>
        <v>10</v>
      </c>
      <c r="J42" s="34">
        <f>SUMIFS('Эффекты технологий'!$Y$25:$Y$240,'Эффекты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3" t="s">
        <v>201</v>
      </c>
      <c r="B43" s="33"/>
      <c r="C43" s="33"/>
      <c r="D43" s="33"/>
      <c r="E43" s="33"/>
      <c r="F43" s="33"/>
      <c r="G43" s="33"/>
      <c r="H43" s="33"/>
      <c r="I43" s="33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202</v>
      </c>
      <c r="B44" s="12">
        <f>MAX(1,MIN(10,'Израиль 2040'!B44+'Израиль 2040'!D44+('Израиль 2040'!C44+'Израиль 2040'!F44+'Израиль 2040'!G44)+(0.35*LN(1+0.6*'Ход 2040'!B50)*POWER(MAX(0,1-'Израиль 2040'!I44/10),0.7))))</f>
        <v>10</v>
      </c>
      <c r="C44" s="12">
        <f>MIN(1,(MIN(1,'Израиль 2040'!C44+'Израиль 2040'!F44+(0.08*LN(1+0.5*'Ход 2040'!C50)*MAX(0,1-('Израиль 2040'!C44+'Израиль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0.1462134798</v>
      </c>
      <c r="D44" s="25">
        <v>0.0</v>
      </c>
      <c r="E44" s="25">
        <v>0.0</v>
      </c>
      <c r="F44" s="25">
        <v>0.0</v>
      </c>
      <c r="G44" s="25">
        <v>0.0</v>
      </c>
      <c r="H44" s="12">
        <v>0.0</v>
      </c>
      <c r="I44" s="12">
        <f t="shared" ref="I44:I51" si="7">MAX(1,MIN(10,B44+D44+E44+H44+J44))</f>
        <v>10</v>
      </c>
      <c r="J44" s="34">
        <f>SUMIFS('Эффекты технологий'!$Y$25:$Y$240,'Эффекты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206</v>
      </c>
      <c r="B45" s="12">
        <f>MAX(1,MIN(10,'Израиль 2040'!B45+'Израиль 2040'!D45+('Израиль 2040'!C45+'Израиль 2040'!F45+'Израиль 2040'!G45)+(0.35*LN(1+0.6*'Ход 2040'!B51)*POWER(MAX(0,1-'Израиль 2040'!I45/10),0.7))))</f>
        <v>10</v>
      </c>
      <c r="C45" s="12">
        <f>MIN(1,(MIN(1,'Израиль 2040'!C45+'Израиль 2040'!F45+(0.08*LN(1+0.5*'Ход 2040'!C51)*MAX(0,1-('Израиль 2040'!C45+'Израиль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0.1462134798</v>
      </c>
      <c r="D45" s="25">
        <v>0.0</v>
      </c>
      <c r="E45" s="25">
        <v>0.0</v>
      </c>
      <c r="F45" s="25">
        <v>0.0</v>
      </c>
      <c r="G45" s="25">
        <v>0.0</v>
      </c>
      <c r="H45" s="12">
        <v>0.0</v>
      </c>
      <c r="I45" s="12">
        <f t="shared" si="7"/>
        <v>10</v>
      </c>
      <c r="J45" s="34">
        <f>SUMIFS('Эффекты технологий'!$Y$25:$Y$240,'Эффекты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207</v>
      </c>
      <c r="B46" s="12">
        <f>MAX(1,MIN(10,'Израиль 2040'!B46+'Израиль 2040'!D46+('Израиль 2040'!C46+'Израиль 2040'!F46+'Израиль 2040'!G46)+(0.35*LN(1+0.6*'Ход 2040'!B52)*POWER(MAX(0,1-'Израиль 2040'!I46/10),0.7))))</f>
        <v>10</v>
      </c>
      <c r="C46" s="12">
        <f>MIN(1,(MIN(1,'Израиль 2040'!C46+'Израиль 2040'!F46+(0.08*LN(1+0.5*'Ход 2040'!C52)*MAX(0,1-('Израиль 2040'!C46+'Израиль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0.1462134798</v>
      </c>
      <c r="D46" s="25">
        <v>0.0</v>
      </c>
      <c r="E46" s="25">
        <v>0.0</v>
      </c>
      <c r="F46" s="25">
        <v>0.0</v>
      </c>
      <c r="G46" s="25">
        <v>0.0</v>
      </c>
      <c r="H46" s="12">
        <v>0.0</v>
      </c>
      <c r="I46" s="12">
        <f t="shared" si="7"/>
        <v>10</v>
      </c>
      <c r="J46" s="34">
        <f>SUMIFS('Эффекты технологий'!$Y$25:$Y$240,'Эффекты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208</v>
      </c>
      <c r="B47" s="12">
        <f>MAX(1,MIN(10,'Израиль 2040'!B47+'Израиль 2040'!D47+('Израиль 2040'!C47+'Израиль 2040'!F47+'Израиль 2040'!G47)+(0.35*LN(1+0.6*'Ход 2040'!B53)*POWER(MAX(0,1-'Израиль 2040'!I47/10),0.7))))</f>
        <v>9.932932535</v>
      </c>
      <c r="C47" s="12">
        <f>MIN(1,(MIN(1,'Израиль 2040'!C47+'Израиль 2040'!F47+(0.08*LN(1+0.5*'Ход 2040'!C53)*MAX(0,1-('Израиль 2040'!C47+'Израиль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0.09878089535</v>
      </c>
      <c r="D47" s="25">
        <v>0.0</v>
      </c>
      <c r="E47" s="25">
        <v>0.0</v>
      </c>
      <c r="F47" s="25">
        <v>0.0</v>
      </c>
      <c r="G47" s="25">
        <v>0.0</v>
      </c>
      <c r="H47" s="12">
        <v>0.0</v>
      </c>
      <c r="I47" s="12">
        <f t="shared" si="7"/>
        <v>9.932932535</v>
      </c>
      <c r="J47" s="34">
        <f>SUMIFS('Эффекты технологий'!$Y$25:$Y$240,'Эффекты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209</v>
      </c>
      <c r="B48" s="12">
        <f>MAX(1,MIN(10,'Израиль 2040'!B48+'Израиль 2040'!D48+('Израиль 2040'!C48+'Израиль 2040'!F48+'Израиль 2040'!G48)+(0.35*LN(1+0.6*'Ход 2040'!B54)*POWER(MAX(0,1-'Израиль 2040'!I48/10),0.7))))</f>
        <v>7.932932535</v>
      </c>
      <c r="C48" s="12">
        <f>MIN(1,(MIN(1,'Израиль 2040'!C48+'Израиль 2040'!F48+(0.08*LN(1+0.5*'Ход 2040'!C54)*MAX(0,1-('Израиль 2040'!C48+'Израиль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0.09878089535</v>
      </c>
      <c r="D48" s="25">
        <v>0.0</v>
      </c>
      <c r="E48" s="25">
        <v>0.0</v>
      </c>
      <c r="F48" s="25">
        <v>0.0</v>
      </c>
      <c r="G48" s="25">
        <v>0.0</v>
      </c>
      <c r="H48" s="12">
        <v>0.0</v>
      </c>
      <c r="I48" s="12">
        <f t="shared" si="7"/>
        <v>7.932932535</v>
      </c>
      <c r="J48" s="34">
        <f>SUMIFS('Эффекты технологий'!$Y$25:$Y$240,'Эффекты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210</v>
      </c>
      <c r="B49" s="12">
        <f>MAX(1,MIN(10,'Израиль 2040'!B49+'Израиль 2040'!D49+('Израиль 2040'!C49+'Израиль 2040'!F49+'Израиль 2040'!G49)+(0.35*LN(1+0.6*'Ход 2040'!B55)*POWER(MAX(0,1-'Израиль 2040'!I49/10),0.7))))</f>
        <v>10</v>
      </c>
      <c r="C49" s="12">
        <f>MIN(1,(MIN(1,'Израиль 2040'!C49+'Израиль 2040'!F49+(0.08*LN(1+0.5*'Ход 2040'!C55)*MAX(0,1-('Израиль 2040'!C49+'Израиль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0.1936460643</v>
      </c>
      <c r="D49" s="25">
        <v>0.0</v>
      </c>
      <c r="E49" s="25">
        <v>0.0</v>
      </c>
      <c r="F49" s="25">
        <v>0.0</v>
      </c>
      <c r="G49" s="25">
        <v>0.0</v>
      </c>
      <c r="H49" s="12">
        <v>0.0</v>
      </c>
      <c r="I49" s="12">
        <f t="shared" si="7"/>
        <v>10</v>
      </c>
      <c r="J49" s="34">
        <f>SUMIFS('Эффекты технологий'!$Y$25:$Y$240,'Эффекты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211</v>
      </c>
      <c r="B50" s="12">
        <f>MAX(1,MIN(10,'Израиль 2040'!B50+'Израиль 2040'!D50+('Израиль 2040'!C50+'Израиль 2040'!F50+'Израиль 2040'!G50)+(0.35*LN(1+0.6*'Ход 2040'!B56)*POWER(MAX(0,1-'Израиль 2040'!I50/10),0.7))))</f>
        <v>10</v>
      </c>
      <c r="C50" s="12">
        <f>MIN(1,(MIN(1,'Израиль 2040'!C50+'Израиль 2040'!F50+(0.08*LN(1+0.5*'Ход 2040'!C56)*MAX(0,1-('Израиль 2040'!C50+'Израиль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0.09878089535</v>
      </c>
      <c r="D50" s="25">
        <v>0.0</v>
      </c>
      <c r="E50" s="25">
        <v>0.0</v>
      </c>
      <c r="F50" s="25">
        <v>0.0</v>
      </c>
      <c r="G50" s="25">
        <v>0.0</v>
      </c>
      <c r="H50" s="12">
        <v>0.0</v>
      </c>
      <c r="I50" s="12">
        <f t="shared" si="7"/>
        <v>10</v>
      </c>
      <c r="J50" s="34">
        <f>SUMIFS('Эффекты технологий'!$Y$25:$Y$240,'Эффекты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212</v>
      </c>
      <c r="B51" s="12">
        <f>MAX(1,MIN(10,'Израиль 2040'!B51+'Израиль 2040'!D51+('Израиль 2040'!C51+'Израиль 2040'!F51+'Израиль 2040'!G51)+(0.35*LN(1+0.6*'Ход 2040'!B57)*POWER(MAX(0,1-'Израиль 2040'!I51/10),0.7))))</f>
        <v>10</v>
      </c>
      <c r="C51" s="12">
        <f>MIN(1,(MIN(1,'Израиль 2040'!C51+'Израиль 2040'!F51+(0.08*LN(1+0.5*'Ход 2040'!C57)*MAX(0,1-('Израиль 2040'!C51+'Израиль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0.1462134798</v>
      </c>
      <c r="D51" s="25">
        <v>0.0</v>
      </c>
      <c r="E51" s="25">
        <v>0.0</v>
      </c>
      <c r="F51" s="25">
        <v>0.0</v>
      </c>
      <c r="G51" s="25">
        <v>0.0</v>
      </c>
      <c r="H51" s="12">
        <v>0.0</v>
      </c>
      <c r="I51" s="12">
        <f t="shared" si="7"/>
        <v>10</v>
      </c>
      <c r="J51" s="34">
        <f>SUMIFS('Эффекты технологий'!$Y$25:$Y$240,'Эффекты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3" t="s">
        <v>213</v>
      </c>
      <c r="B52" s="33"/>
      <c r="C52" s="33"/>
      <c r="D52" s="33"/>
      <c r="E52" s="33"/>
      <c r="F52" s="33"/>
      <c r="G52" s="33"/>
      <c r="H52" s="33"/>
      <c r="I52" s="33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214</v>
      </c>
      <c r="B53" s="12">
        <f>MAX(1,MIN(10,'Израиль 2040'!B53+'Израиль 2040'!D53+('Израиль 2040'!C53+'Израиль 2040'!F53+'Израиль 2040'!G53)+(0.35*LN(1+0.6*'Ход 2040'!B59)*POWER(MAX(0,1-'Израиль 2040'!I53/10),0.7))))</f>
        <v>10</v>
      </c>
      <c r="C53" s="12">
        <f>MIN(1,(MIN(1,'Израиль 2040'!C53+'Израиль 2040'!F53+(0.08*LN(1+0.5*'Ход 2040'!C59)*MAX(0,1-('Израиль 2040'!C53+'Израиль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0.1462134798</v>
      </c>
      <c r="D53" s="25">
        <v>0.0</v>
      </c>
      <c r="E53" s="25">
        <v>0.0</v>
      </c>
      <c r="F53" s="25">
        <v>0.0</v>
      </c>
      <c r="G53" s="25">
        <v>0.0</v>
      </c>
      <c r="H53" s="12">
        <v>0.0</v>
      </c>
      <c r="I53" s="12">
        <f t="shared" ref="I53:I55" si="8">MAX(1,MIN(10,B53+D53+E53+H53+J53))</f>
        <v>10</v>
      </c>
      <c r="J53" s="34">
        <f>SUMIFS('Эффекты технологий'!$Y$25:$Y$240,'Эффекты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215</v>
      </c>
      <c r="B54" s="12">
        <f>MAX(1,MIN(10,'Израиль 2040'!B54+'Израиль 2040'!D54+('Израиль 2040'!C54+'Израиль 2040'!F54+'Израиль 2040'!G54)+(0.35*LN(1+0.6*'Ход 2040'!B60)*POWER(MAX(0,1-'Израиль 2040'!I54/10),0.7))))</f>
        <v>10</v>
      </c>
      <c r="C54" s="12">
        <f>MIN(1,(MIN(1,'Израиль 2040'!C54+'Израиль 2040'!F54+(0.08*LN(1+0.5*'Ход 2040'!C60)*MAX(0,1-('Израиль 2040'!C54+'Израиль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0.1462134798</v>
      </c>
      <c r="D54" s="25">
        <v>0.0</v>
      </c>
      <c r="E54" s="25">
        <v>0.0</v>
      </c>
      <c r="F54" s="25">
        <v>0.0</v>
      </c>
      <c r="G54" s="25">
        <v>0.0</v>
      </c>
      <c r="H54" s="12">
        <v>0.0</v>
      </c>
      <c r="I54" s="12">
        <f t="shared" si="8"/>
        <v>10</v>
      </c>
      <c r="J54" s="34">
        <f>SUMIFS('Эффекты технологий'!$Y$25:$Y$240,'Эффекты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216</v>
      </c>
      <c r="B55" s="12">
        <f>MAX(1,MIN(10,'Израиль 2040'!B55+'Израиль 2040'!D55+('Израиль 2040'!C55+'Израиль 2040'!F55+'Израиль 2040'!G55)+(0.35*LN(1+0.6*'Ход 2040'!B61)*POWER(MAX(0,1-'Израиль 2040'!I55/10),0.7))))</f>
        <v>9.646988717</v>
      </c>
      <c r="C55" s="12">
        <f>MIN(1,(MIN(1,'Израиль 2040'!C55+'Израиль 2040'!F55+(0.08*LN(1+0.5*'Ход 2040'!C61)*MAX(0,1-('Израиль 2040'!C55+'Израиль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0.1462134798</v>
      </c>
      <c r="D55" s="25">
        <v>0.0</v>
      </c>
      <c r="E55" s="25">
        <v>0.0</v>
      </c>
      <c r="F55" s="25">
        <v>0.0</v>
      </c>
      <c r="G55" s="25">
        <v>0.0</v>
      </c>
      <c r="H55" s="12">
        <v>0.0</v>
      </c>
      <c r="I55" s="12">
        <f t="shared" si="8"/>
        <v>9.646988717</v>
      </c>
      <c r="J55" s="34">
        <f>SUMIFS('Эффекты технологий'!$Y$25:$Y$240,'Эффекты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417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418</v>
      </c>
      <c r="B3" s="36"/>
      <c r="C3" s="36"/>
      <c r="D3" s="36"/>
      <c r="E3" s="36"/>
      <c r="F3" s="36"/>
      <c r="G3" s="36"/>
    </row>
    <row r="4" ht="13.5" customHeight="1">
      <c r="A4" s="36" t="s">
        <v>419</v>
      </c>
      <c r="B4" s="36"/>
      <c r="C4" s="36"/>
      <c r="D4" s="36"/>
      <c r="E4" s="36"/>
      <c r="F4" s="36"/>
      <c r="G4" s="36"/>
    </row>
    <row r="5" ht="13.5" customHeight="1">
      <c r="I5" s="37" t="s">
        <v>420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421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28" t="s">
        <v>422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28" t="s">
        <v>423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28" t="s">
        <v>424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28" t="s">
        <v>425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28" t="s">
        <v>426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28" t="s">
        <v>427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28" t="s">
        <v>428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28" t="s">
        <v>429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28" t="s">
        <v>430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28" t="s">
        <v>431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28" t="s">
        <v>432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28" t="s">
        <v>433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28" t="s">
        <v>434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435</v>
      </c>
      <c r="B24" s="38" t="s">
        <v>30</v>
      </c>
      <c r="C24" s="38" t="s">
        <v>436</v>
      </c>
      <c r="D24" s="38" t="s">
        <v>437</v>
      </c>
      <c r="E24" s="38" t="s">
        <v>438</v>
      </c>
      <c r="F24" s="38" t="s">
        <v>439</v>
      </c>
      <c r="G24" s="38" t="s">
        <v>440</v>
      </c>
    </row>
    <row r="25" ht="13.5" customHeight="1">
      <c r="A25" s="41" t="s">
        <v>88</v>
      </c>
      <c r="B25" s="42" t="s">
        <v>91</v>
      </c>
      <c r="C25" s="42" t="s">
        <v>129</v>
      </c>
      <c r="D25" s="42" t="s">
        <v>438</v>
      </c>
      <c r="E25" s="43">
        <v>0.2</v>
      </c>
      <c r="F25" s="42">
        <f>IF('Технологии'!BH11="","",'Технологии'!BH11)</f>
        <v>2027</v>
      </c>
      <c r="G25" s="42" t="s">
        <v>441</v>
      </c>
      <c r="J25" s="44">
        <f t="shared" ref="J25:J240" si="14">0</f>
        <v>0</v>
      </c>
      <c r="K25" s="44">
        <f>IF('Технологии'!AR11="ИЗУЧЕНО",$E25,0)</f>
        <v>0.2</v>
      </c>
      <c r="L25" s="44">
        <f>IF('Технологии'!AS11="ИЗУЧЕНО",$E25,0)</f>
        <v>0.2</v>
      </c>
      <c r="M25" s="44">
        <f>IF('Технологии'!AT11="ИЗУЧЕНО",$E25,0)</f>
        <v>0.2</v>
      </c>
      <c r="N25" s="44">
        <f>IF('Технологии'!AU11="ИЗУЧЕНО",$E25,0)</f>
        <v>0.2</v>
      </c>
      <c r="O25" s="44">
        <f>IF('Технологии'!AV11="ИЗУЧЕНО",$E25,0)</f>
        <v>0.2</v>
      </c>
      <c r="P25" s="44">
        <f>IF('Технологии'!AW11="ИЗУЧЕНО",$E25,0)</f>
        <v>0.2</v>
      </c>
      <c r="Q25" s="44">
        <f>IF('Технологии'!AX11="ИЗУЧЕНО",$E25,0)</f>
        <v>0.2</v>
      </c>
      <c r="R25" s="44">
        <f>IF('Технологии'!AY11="ИЗУЧЕНО",$E25,0)</f>
        <v>0.2</v>
      </c>
      <c r="S25" s="44">
        <f>IF('Технологии'!AZ11="ИЗУЧЕНО",$E25,0)</f>
        <v>0.2</v>
      </c>
      <c r="T25" s="44">
        <f>IF('Технологии'!BA11="ИЗУЧЕНО",$E25,0)</f>
        <v>0.2</v>
      </c>
      <c r="U25" s="44">
        <f>IF('Технологии'!BB11="ИЗУЧЕНО",$E25,0)</f>
        <v>0.2</v>
      </c>
      <c r="V25" s="44">
        <f>IF('Технологии'!BC11="ИЗУЧЕНО",$E25,0)</f>
        <v>0.2</v>
      </c>
      <c r="W25" s="44">
        <f>IF('Технологии'!BD11="ИЗУЧЕНО",$E25,0)</f>
        <v>0.2</v>
      </c>
      <c r="X25" s="44">
        <f>IF('Технологии'!BE11="ИЗУЧЕНО",$E25,0)</f>
        <v>0.2</v>
      </c>
      <c r="Y25" s="44">
        <f>IF('Технологии'!BF11="ИЗУЧЕНО",$E25,0)</f>
        <v>0.2</v>
      </c>
    </row>
    <row r="26" ht="13.5" customHeight="1">
      <c r="A26" s="45" t="s">
        <v>144</v>
      </c>
      <c r="B26" s="46" t="s">
        <v>146</v>
      </c>
      <c r="C26" s="46" t="s">
        <v>129</v>
      </c>
      <c r="D26" s="46" t="s">
        <v>438</v>
      </c>
      <c r="E26" s="47">
        <v>0.3</v>
      </c>
      <c r="F26" s="46">
        <f>IF('Технологии'!BH12="","",'Технологии'!BH12)</f>
        <v>2027</v>
      </c>
      <c r="G26" s="46" t="s">
        <v>442</v>
      </c>
      <c r="J26" s="44">
        <f t="shared" si="14"/>
        <v>0</v>
      </c>
      <c r="K26" s="44">
        <f>IF('Технологии'!AR12="ИЗУЧЕНО",$E26,0)</f>
        <v>0.3</v>
      </c>
      <c r="L26" s="44">
        <f>IF('Технологии'!AS12="ИЗУЧЕНО",$E26,0)</f>
        <v>0.3</v>
      </c>
      <c r="M26" s="44">
        <f>IF('Технологии'!AT12="ИЗУЧЕНО",$E26,0)</f>
        <v>0.3</v>
      </c>
      <c r="N26" s="44">
        <f>IF('Технологии'!AU12="ИЗУЧЕНО",$E26,0)</f>
        <v>0.3</v>
      </c>
      <c r="O26" s="44">
        <f>IF('Технологии'!AV12="ИЗУЧЕНО",$E26,0)</f>
        <v>0.3</v>
      </c>
      <c r="P26" s="44">
        <f>IF('Технологии'!AW12="ИЗУЧЕНО",$E26,0)</f>
        <v>0.3</v>
      </c>
      <c r="Q26" s="44">
        <f>IF('Технологии'!AX12="ИЗУЧЕНО",$E26,0)</f>
        <v>0.3</v>
      </c>
      <c r="R26" s="44">
        <f>IF('Технологии'!AY12="ИЗУЧЕНО",$E26,0)</f>
        <v>0.3</v>
      </c>
      <c r="S26" s="44">
        <f>IF('Технологии'!AZ12="ИЗУЧЕНО",$E26,0)</f>
        <v>0.3</v>
      </c>
      <c r="T26" s="44">
        <f>IF('Технологии'!BA12="ИЗУЧЕНО",$E26,0)</f>
        <v>0.3</v>
      </c>
      <c r="U26" s="44">
        <f>IF('Технологии'!BB12="ИЗУЧЕНО",$E26,0)</f>
        <v>0.3</v>
      </c>
      <c r="V26" s="44">
        <f>IF('Технологии'!BC12="ИЗУЧЕНО",$E26,0)</f>
        <v>0.3</v>
      </c>
      <c r="W26" s="44">
        <f>IF('Технологии'!BD12="ИЗУЧЕНО",$E26,0)</f>
        <v>0.3</v>
      </c>
      <c r="X26" s="44">
        <f>IF('Технологии'!BE12="ИЗУЧЕНО",$E26,0)</f>
        <v>0.3</v>
      </c>
      <c r="Y26" s="44">
        <f>IF('Технологии'!BF12="ИЗУЧЕНО",$E26,0)</f>
        <v>0.3</v>
      </c>
    </row>
    <row r="27" ht="13.5" customHeight="1">
      <c r="A27" s="45" t="s">
        <v>144</v>
      </c>
      <c r="B27" s="46" t="s">
        <v>146</v>
      </c>
      <c r="C27" s="46" t="s">
        <v>150</v>
      </c>
      <c r="D27" s="46" t="s">
        <v>438</v>
      </c>
      <c r="E27" s="47">
        <v>0.2</v>
      </c>
      <c r="F27" s="46">
        <f>IF('Технологии'!BH12="","",'Технологии'!BH12)</f>
        <v>2027</v>
      </c>
      <c r="G27" s="46" t="s">
        <v>443</v>
      </c>
      <c r="J27" s="44">
        <f t="shared" si="14"/>
        <v>0</v>
      </c>
      <c r="K27" s="44">
        <f>IF('Технологии'!AR12="ИЗУЧЕНО",$E27,0)</f>
        <v>0.2</v>
      </c>
      <c r="L27" s="44">
        <f>IF('Технологии'!AS12="ИЗУЧЕНО",$E27,0)</f>
        <v>0.2</v>
      </c>
      <c r="M27" s="44">
        <f>IF('Технологии'!AT12="ИЗУЧЕНО",$E27,0)</f>
        <v>0.2</v>
      </c>
      <c r="N27" s="44">
        <f>IF('Технологии'!AU12="ИЗУЧЕНО",$E27,0)</f>
        <v>0.2</v>
      </c>
      <c r="O27" s="44">
        <f>IF('Технологии'!AV12="ИЗУЧЕНО",$E27,0)</f>
        <v>0.2</v>
      </c>
      <c r="P27" s="44">
        <f>IF('Технологии'!AW12="ИЗУЧЕНО",$E27,0)</f>
        <v>0.2</v>
      </c>
      <c r="Q27" s="44">
        <f>IF('Технологии'!AX12="ИЗУЧЕНО",$E27,0)</f>
        <v>0.2</v>
      </c>
      <c r="R27" s="44">
        <f>IF('Технологии'!AY12="ИЗУЧЕНО",$E27,0)</f>
        <v>0.2</v>
      </c>
      <c r="S27" s="44">
        <f>IF('Технологии'!AZ12="ИЗУЧЕНО",$E27,0)</f>
        <v>0.2</v>
      </c>
      <c r="T27" s="44">
        <f>IF('Технологии'!BA12="ИЗУЧЕНО",$E27,0)</f>
        <v>0.2</v>
      </c>
      <c r="U27" s="44">
        <f>IF('Технологии'!BB12="ИЗУЧЕНО",$E27,0)</f>
        <v>0.2</v>
      </c>
      <c r="V27" s="44">
        <f>IF('Технологии'!BC12="ИЗУЧЕНО",$E27,0)</f>
        <v>0.2</v>
      </c>
      <c r="W27" s="44">
        <f>IF('Технологии'!BD12="ИЗУЧЕНО",$E27,0)</f>
        <v>0.2</v>
      </c>
      <c r="X27" s="44">
        <f>IF('Технологии'!BE12="ИЗУЧЕНО",$E27,0)</f>
        <v>0.2</v>
      </c>
      <c r="Y27" s="44">
        <f>IF('Технологии'!BF12="ИЗУЧЕНО",$E27,0)</f>
        <v>0.2</v>
      </c>
    </row>
    <row r="28" ht="13.5" customHeight="1">
      <c r="A28" s="45" t="s">
        <v>144</v>
      </c>
      <c r="B28" s="46" t="s">
        <v>146</v>
      </c>
      <c r="C28" s="46" t="s">
        <v>111</v>
      </c>
      <c r="D28" s="46" t="s">
        <v>438</v>
      </c>
      <c r="E28" s="47">
        <v>-0.15</v>
      </c>
      <c r="F28" s="46">
        <f>IF('Технологии'!BH12="","",'Технологии'!BH12)</f>
        <v>2027</v>
      </c>
      <c r="G28" s="46" t="s">
        <v>444</v>
      </c>
      <c r="J28" s="44">
        <f t="shared" si="14"/>
        <v>0</v>
      </c>
      <c r="K28" s="44">
        <f>IF('Технологии'!AR12="ИЗУЧЕНО",$E28,0)</f>
        <v>-0.15</v>
      </c>
      <c r="L28" s="44">
        <f>IF('Технологии'!AS12="ИЗУЧЕНО",$E28,0)</f>
        <v>-0.15</v>
      </c>
      <c r="M28" s="44">
        <f>IF('Технологии'!AT12="ИЗУЧЕНО",$E28,0)</f>
        <v>-0.15</v>
      </c>
      <c r="N28" s="44">
        <f>IF('Технологии'!AU12="ИЗУЧЕНО",$E28,0)</f>
        <v>-0.15</v>
      </c>
      <c r="O28" s="44">
        <f>IF('Технологии'!AV12="ИЗУЧЕНО",$E28,0)</f>
        <v>-0.15</v>
      </c>
      <c r="P28" s="44">
        <f>IF('Технологии'!AW12="ИЗУЧЕНО",$E28,0)</f>
        <v>-0.15</v>
      </c>
      <c r="Q28" s="44">
        <f>IF('Технологии'!AX12="ИЗУЧЕНО",$E28,0)</f>
        <v>-0.15</v>
      </c>
      <c r="R28" s="44">
        <f>IF('Технологии'!AY12="ИЗУЧЕНО",$E28,0)</f>
        <v>-0.15</v>
      </c>
      <c r="S28" s="44">
        <f>IF('Технологии'!AZ12="ИЗУЧЕНО",$E28,0)</f>
        <v>-0.15</v>
      </c>
      <c r="T28" s="44">
        <f>IF('Технологии'!BA12="ИЗУЧЕНО",$E28,0)</f>
        <v>-0.15</v>
      </c>
      <c r="U28" s="44">
        <f>IF('Технологии'!BB12="ИЗУЧЕНО",$E28,0)</f>
        <v>-0.15</v>
      </c>
      <c r="V28" s="44">
        <f>IF('Технологии'!BC12="ИЗУЧЕНО",$E28,0)</f>
        <v>-0.15</v>
      </c>
      <c r="W28" s="44">
        <f>IF('Технологии'!BD12="ИЗУЧЕНО",$E28,0)</f>
        <v>-0.15</v>
      </c>
      <c r="X28" s="44">
        <f>IF('Технологии'!BE12="ИЗУЧЕНО",$E28,0)</f>
        <v>-0.15</v>
      </c>
      <c r="Y28" s="44">
        <f>IF('Технологии'!BF12="ИЗУЧЕНО",$E28,0)</f>
        <v>-0.15</v>
      </c>
    </row>
    <row r="29" ht="13.5" customHeight="1">
      <c r="A29" s="45" t="s">
        <v>174</v>
      </c>
      <c r="B29" s="46" t="s">
        <v>175</v>
      </c>
      <c r="C29" s="46" t="s">
        <v>126</v>
      </c>
      <c r="D29" s="46" t="s">
        <v>438</v>
      </c>
      <c r="E29" s="47">
        <v>0.4</v>
      </c>
      <c r="F29" s="46" t="str">
        <f>IF('Технологии'!BH13="","",'Технологии'!BH13)</f>
        <v/>
      </c>
      <c r="G29" s="46" t="s">
        <v>445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174</v>
      </c>
      <c r="B30" s="46" t="s">
        <v>175</v>
      </c>
      <c r="C30" s="46" t="s">
        <v>129</v>
      </c>
      <c r="D30" s="46" t="s">
        <v>438</v>
      </c>
      <c r="E30" s="47">
        <v>0.2</v>
      </c>
      <c r="F30" s="46" t="str">
        <f>IF('Технологии'!BH13="","",'Технологии'!BH13)</f>
        <v/>
      </c>
      <c r="G30" s="46" t="s">
        <v>441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174</v>
      </c>
      <c r="B31" s="46" t="s">
        <v>175</v>
      </c>
      <c r="C31" s="46" t="s">
        <v>114</v>
      </c>
      <c r="D31" s="46" t="s">
        <v>438</v>
      </c>
      <c r="E31" s="47">
        <v>0.2</v>
      </c>
      <c r="F31" s="46" t="str">
        <f>IF('Технологии'!BH13="","",'Технологии'!BH13)</f>
        <v/>
      </c>
      <c r="G31" s="46" t="s">
        <v>446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174</v>
      </c>
      <c r="B32" s="46" t="s">
        <v>175</v>
      </c>
      <c r="C32" s="46" t="s">
        <v>111</v>
      </c>
      <c r="D32" s="46" t="s">
        <v>438</v>
      </c>
      <c r="E32" s="47">
        <v>-0.4</v>
      </c>
      <c r="F32" s="46" t="str">
        <f>IF('Технологии'!BH13="","",'Технологии'!BH13)</f>
        <v/>
      </c>
      <c r="G32" s="46" t="s">
        <v>447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191</v>
      </c>
      <c r="B33" s="46" t="s">
        <v>195</v>
      </c>
      <c r="C33" s="46" t="s">
        <v>132</v>
      </c>
      <c r="D33" s="46" t="s">
        <v>438</v>
      </c>
      <c r="E33" s="47">
        <v>0.4</v>
      </c>
      <c r="F33" s="46" t="str">
        <f>IF('Технологии'!BH14="","",'Технологии'!BH14)</f>
        <v/>
      </c>
      <c r="G33" s="46" t="s">
        <v>448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191</v>
      </c>
      <c r="B34" s="46" t="s">
        <v>195</v>
      </c>
      <c r="C34" s="46" t="s">
        <v>156</v>
      </c>
      <c r="D34" s="46" t="s">
        <v>438</v>
      </c>
      <c r="E34" s="47">
        <v>0.2</v>
      </c>
      <c r="F34" s="46" t="str">
        <f>IF('Технологии'!BH14="","",'Технологии'!BH14)</f>
        <v/>
      </c>
      <c r="G34" s="46" t="s">
        <v>449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191</v>
      </c>
      <c r="B35" s="46" t="s">
        <v>195</v>
      </c>
      <c r="C35" s="46" t="s">
        <v>134</v>
      </c>
      <c r="D35" s="46" t="s">
        <v>438</v>
      </c>
      <c r="E35" s="47">
        <v>0.2</v>
      </c>
      <c r="F35" s="46" t="str">
        <f>IF('Технологии'!BH14="","",'Технологии'!BH14)</f>
        <v/>
      </c>
      <c r="G35" s="46" t="s">
        <v>450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191</v>
      </c>
      <c r="B36" s="46" t="s">
        <v>195</v>
      </c>
      <c r="C36" s="46" t="s">
        <v>129</v>
      </c>
      <c r="D36" s="46" t="s">
        <v>438</v>
      </c>
      <c r="E36" s="47">
        <v>0.2</v>
      </c>
      <c r="F36" s="46" t="str">
        <f>IF('Технологии'!BH14="","",'Технологии'!BH14)</f>
        <v/>
      </c>
      <c r="G36" s="46" t="s">
        <v>441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191</v>
      </c>
      <c r="B37" s="46" t="s">
        <v>195</v>
      </c>
      <c r="C37" s="46" t="s">
        <v>117</v>
      </c>
      <c r="D37" s="46" t="s">
        <v>438</v>
      </c>
      <c r="E37" s="47">
        <v>-0.25</v>
      </c>
      <c r="F37" s="46" t="str">
        <f>IF('Технологии'!BH14="","",'Технологии'!BH14)</f>
        <v/>
      </c>
      <c r="G37" s="46" t="s">
        <v>451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191</v>
      </c>
      <c r="B38" s="46" t="s">
        <v>195</v>
      </c>
      <c r="C38" s="46" t="s">
        <v>120</v>
      </c>
      <c r="D38" s="46" t="s">
        <v>438</v>
      </c>
      <c r="E38" s="47">
        <v>-0.2</v>
      </c>
      <c r="F38" s="46" t="str">
        <f>IF('Технологии'!BH14="","",'Технологии'!BH14)</f>
        <v/>
      </c>
      <c r="G38" s="46" t="s">
        <v>452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219</v>
      </c>
      <c r="B39" s="46" t="s">
        <v>221</v>
      </c>
      <c r="C39" s="46" t="s">
        <v>134</v>
      </c>
      <c r="D39" s="46" t="s">
        <v>438</v>
      </c>
      <c r="E39" s="47">
        <v>0.5</v>
      </c>
      <c r="F39" s="46" t="str">
        <f>IF('Технологии'!BH15="","",'Технологии'!BH15)</f>
        <v/>
      </c>
      <c r="G39" s="46" t="s">
        <v>453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219</v>
      </c>
      <c r="B40" s="46" t="s">
        <v>221</v>
      </c>
      <c r="C40" s="46" t="s">
        <v>132</v>
      </c>
      <c r="D40" s="46" t="s">
        <v>438</v>
      </c>
      <c r="E40" s="47">
        <v>0.35</v>
      </c>
      <c r="F40" s="46" t="str">
        <f>IF('Технологии'!BH15="","",'Технологии'!BH15)</f>
        <v/>
      </c>
      <c r="G40" s="46" t="s">
        <v>454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219</v>
      </c>
      <c r="B41" s="46" t="s">
        <v>221</v>
      </c>
      <c r="C41" s="46" t="s">
        <v>188</v>
      </c>
      <c r="D41" s="46" t="s">
        <v>438</v>
      </c>
      <c r="E41" s="47">
        <v>0.25</v>
      </c>
      <c r="F41" s="46" t="str">
        <f>IF('Технологии'!BH15="","",'Технологии'!BH15)</f>
        <v/>
      </c>
      <c r="G41" s="46" t="s">
        <v>455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219</v>
      </c>
      <c r="B42" s="46" t="s">
        <v>221</v>
      </c>
      <c r="C42" s="46" t="s">
        <v>156</v>
      </c>
      <c r="D42" s="46" t="s">
        <v>438</v>
      </c>
      <c r="E42" s="47">
        <v>0.2</v>
      </c>
      <c r="F42" s="46" t="str">
        <f>IF('Технологии'!BH15="","",'Технологии'!BH15)</f>
        <v/>
      </c>
      <c r="G42" s="46" t="s">
        <v>449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219</v>
      </c>
      <c r="B43" s="46" t="s">
        <v>221</v>
      </c>
      <c r="C43" s="46" t="s">
        <v>432</v>
      </c>
      <c r="D43" s="46" t="s">
        <v>456</v>
      </c>
      <c r="E43" s="47">
        <v>0.15</v>
      </c>
      <c r="F43" s="46" t="str">
        <f>IF('Технологии'!BH15="","",'Технологии'!BH15)</f>
        <v/>
      </c>
      <c r="G43" s="46" t="s">
        <v>457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219</v>
      </c>
      <c r="B44" s="46" t="s">
        <v>221</v>
      </c>
      <c r="C44" s="46" t="s">
        <v>117</v>
      </c>
      <c r="D44" s="46" t="s">
        <v>438</v>
      </c>
      <c r="E44" s="47">
        <v>-0.35</v>
      </c>
      <c r="F44" s="46" t="str">
        <f>IF('Технологии'!BH15="","",'Технологии'!BH15)</f>
        <v/>
      </c>
      <c r="G44" s="46" t="s">
        <v>458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219</v>
      </c>
      <c r="B45" s="46" t="s">
        <v>221</v>
      </c>
      <c r="C45" s="46" t="s">
        <v>120</v>
      </c>
      <c r="D45" s="46" t="s">
        <v>438</v>
      </c>
      <c r="E45" s="47">
        <v>-0.25</v>
      </c>
      <c r="F45" s="46" t="str">
        <f>IF('Технологии'!BH15="","",'Технологии'!BH15)</f>
        <v/>
      </c>
      <c r="G45" s="46" t="s">
        <v>459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219</v>
      </c>
      <c r="B46" s="46" t="s">
        <v>221</v>
      </c>
      <c r="C46" s="46" t="s">
        <v>123</v>
      </c>
      <c r="D46" s="46" t="s">
        <v>438</v>
      </c>
      <c r="E46" s="47">
        <v>-0.2</v>
      </c>
      <c r="F46" s="46" t="str">
        <f>IF('Технологии'!BH15="","",'Технологии'!BH15)</f>
        <v/>
      </c>
      <c r="G46" s="46" t="s">
        <v>460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229</v>
      </c>
      <c r="B47" s="46" t="s">
        <v>231</v>
      </c>
      <c r="C47" s="46" t="s">
        <v>129</v>
      </c>
      <c r="D47" s="46" t="s">
        <v>438</v>
      </c>
      <c r="E47" s="47">
        <v>0.5</v>
      </c>
      <c r="F47" s="46" t="str">
        <f>IF('Технологии'!BH16="","",'Технологии'!BH16)</f>
        <v/>
      </c>
      <c r="G47" s="46" t="s">
        <v>461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229</v>
      </c>
      <c r="B48" s="46" t="s">
        <v>231</v>
      </c>
      <c r="C48" s="46" t="s">
        <v>159</v>
      </c>
      <c r="D48" s="46" t="s">
        <v>438</v>
      </c>
      <c r="E48" s="47">
        <v>0.35</v>
      </c>
      <c r="F48" s="46" t="str">
        <f>IF('Технологии'!BH16="","",'Технологии'!BH16)</f>
        <v/>
      </c>
      <c r="G48" s="46" t="s">
        <v>462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229</v>
      </c>
      <c r="B49" s="46" t="s">
        <v>231</v>
      </c>
      <c r="C49" s="46" t="s">
        <v>126</v>
      </c>
      <c r="D49" s="46" t="s">
        <v>438</v>
      </c>
      <c r="E49" s="47">
        <v>0.35</v>
      </c>
      <c r="F49" s="46" t="str">
        <f>IF('Технологии'!BH16="","",'Технологии'!BH16)</f>
        <v/>
      </c>
      <c r="G49" s="46" t="s">
        <v>463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229</v>
      </c>
      <c r="B50" s="46" t="s">
        <v>231</v>
      </c>
      <c r="C50" s="46" t="s">
        <v>179</v>
      </c>
      <c r="D50" s="46" t="s">
        <v>438</v>
      </c>
      <c r="E50" s="47">
        <v>0.25</v>
      </c>
      <c r="F50" s="46" t="str">
        <f>IF('Технологии'!BH16="","",'Технологии'!BH16)</f>
        <v/>
      </c>
      <c r="G50" s="46" t="s">
        <v>464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229</v>
      </c>
      <c r="B51" s="46" t="s">
        <v>231</v>
      </c>
      <c r="C51" s="46" t="s">
        <v>132</v>
      </c>
      <c r="D51" s="46" t="s">
        <v>465</v>
      </c>
      <c r="E51" s="47">
        <v>0.1</v>
      </c>
      <c r="F51" s="46" t="str">
        <f>IF('Технологии'!BH16="","",'Технологии'!BH16)</f>
        <v/>
      </c>
      <c r="G51" s="46" t="s">
        <v>466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229</v>
      </c>
      <c r="B52" s="46" t="s">
        <v>231</v>
      </c>
      <c r="C52" s="46" t="s">
        <v>423</v>
      </c>
      <c r="D52" s="46" t="s">
        <v>456</v>
      </c>
      <c r="E52" s="47">
        <v>0.1</v>
      </c>
      <c r="F52" s="46" t="str">
        <f>IF('Технологии'!BH16="","",'Технологии'!BH16)</f>
        <v/>
      </c>
      <c r="G52" s="46" t="s">
        <v>467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229</v>
      </c>
      <c r="B53" s="46" t="s">
        <v>231</v>
      </c>
      <c r="C53" s="46" t="s">
        <v>111</v>
      </c>
      <c r="D53" s="46" t="s">
        <v>438</v>
      </c>
      <c r="E53" s="47">
        <v>-0.45</v>
      </c>
      <c r="F53" s="46" t="str">
        <f>IF('Технологии'!BH16="","",'Технологии'!BH16)</f>
        <v/>
      </c>
      <c r="G53" s="46" t="s">
        <v>468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229</v>
      </c>
      <c r="B54" s="46" t="s">
        <v>231</v>
      </c>
      <c r="C54" s="46" t="s">
        <v>117</v>
      </c>
      <c r="D54" s="46" t="s">
        <v>438</v>
      </c>
      <c r="E54" s="47">
        <v>-0.5</v>
      </c>
      <c r="F54" s="46" t="str">
        <f>IF('Технологии'!BH16="","",'Технологии'!BH16)</f>
        <v/>
      </c>
      <c r="G54" s="46" t="s">
        <v>469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229</v>
      </c>
      <c r="B55" s="46" t="s">
        <v>231</v>
      </c>
      <c r="C55" s="46" t="s">
        <v>120</v>
      </c>
      <c r="D55" s="46" t="s">
        <v>438</v>
      </c>
      <c r="E55" s="47">
        <v>-0.4</v>
      </c>
      <c r="F55" s="46" t="str">
        <f>IF('Технологии'!BH16="","",'Технологии'!BH16)</f>
        <v/>
      </c>
      <c r="G55" s="46" t="s">
        <v>470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229</v>
      </c>
      <c r="B56" s="46" t="s">
        <v>231</v>
      </c>
      <c r="C56" s="46" t="s">
        <v>123</v>
      </c>
      <c r="D56" s="46" t="s">
        <v>438</v>
      </c>
      <c r="E56" s="47">
        <v>-0.3</v>
      </c>
      <c r="F56" s="46" t="str">
        <f>IF('Технологии'!BH16="","",'Технологии'!BH16)</f>
        <v/>
      </c>
      <c r="G56" s="46" t="s">
        <v>471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166</v>
      </c>
      <c r="B57" s="46" t="s">
        <v>242</v>
      </c>
      <c r="C57" s="46" t="s">
        <v>165</v>
      </c>
      <c r="D57" s="46" t="s">
        <v>438</v>
      </c>
      <c r="E57" s="47">
        <v>0.2</v>
      </c>
      <c r="F57" s="46" t="str">
        <f>IF('Технологии'!BH17="","",'Технологии'!BH17)</f>
        <v/>
      </c>
      <c r="G57" s="46" t="s">
        <v>472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248</v>
      </c>
      <c r="B58" s="46" t="s">
        <v>249</v>
      </c>
      <c r="C58" s="46" t="s">
        <v>179</v>
      </c>
      <c r="D58" s="46" t="s">
        <v>438</v>
      </c>
      <c r="E58" s="47">
        <v>0.3</v>
      </c>
      <c r="F58" s="46" t="str">
        <f>IF('Технологии'!BH18="","",'Технологии'!BH18)</f>
        <v/>
      </c>
      <c r="G58" s="46" t="s">
        <v>473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248</v>
      </c>
      <c r="B59" s="46" t="s">
        <v>249</v>
      </c>
      <c r="C59" s="46" t="s">
        <v>430</v>
      </c>
      <c r="D59" s="46" t="s">
        <v>456</v>
      </c>
      <c r="E59" s="47">
        <v>0.1</v>
      </c>
      <c r="F59" s="46" t="str">
        <f>IF('Технологии'!BH18="","",'Технологии'!BH18)</f>
        <v/>
      </c>
      <c r="G59" s="46" t="s">
        <v>474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248</v>
      </c>
      <c r="B60" s="46" t="s">
        <v>249</v>
      </c>
      <c r="C60" s="46" t="s">
        <v>117</v>
      </c>
      <c r="D60" s="46" t="s">
        <v>438</v>
      </c>
      <c r="E60" s="47">
        <v>-0.15</v>
      </c>
      <c r="F60" s="46" t="str">
        <f>IF('Технологии'!BH18="","",'Технологии'!BH18)</f>
        <v/>
      </c>
      <c r="G60" s="46" t="s">
        <v>475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252</v>
      </c>
      <c r="B61" s="46" t="s">
        <v>253</v>
      </c>
      <c r="C61" s="46" t="s">
        <v>165</v>
      </c>
      <c r="D61" s="46" t="s">
        <v>438</v>
      </c>
      <c r="E61" s="47">
        <v>0.3</v>
      </c>
      <c r="F61" s="46" t="str">
        <f>IF('Технологии'!BH19="","",'Технологии'!BH19)</f>
        <v/>
      </c>
      <c r="G61" s="46" t="s">
        <v>476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252</v>
      </c>
      <c r="B62" s="46" t="s">
        <v>253</v>
      </c>
      <c r="C62" s="46" t="s">
        <v>115</v>
      </c>
      <c r="D62" s="46" t="s">
        <v>465</v>
      </c>
      <c r="E62" s="47">
        <v>0.08</v>
      </c>
      <c r="F62" s="46" t="str">
        <f>IF('Технологии'!BH19="","",'Технологии'!BH19)</f>
        <v/>
      </c>
      <c r="G62" s="46" t="s">
        <v>477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252</v>
      </c>
      <c r="B63" s="46" t="s">
        <v>253</v>
      </c>
      <c r="C63" s="46" t="s">
        <v>180</v>
      </c>
      <c r="D63" s="46" t="s">
        <v>438</v>
      </c>
      <c r="E63" s="47">
        <v>0.2</v>
      </c>
      <c r="F63" s="46" t="str">
        <f>IF('Технологии'!BH19="","",'Технологии'!BH19)</f>
        <v/>
      </c>
      <c r="G63" s="46" t="s">
        <v>478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252</v>
      </c>
      <c r="B64" s="46" t="s">
        <v>253</v>
      </c>
      <c r="C64" s="46" t="s">
        <v>117</v>
      </c>
      <c r="D64" s="46" t="s">
        <v>438</v>
      </c>
      <c r="E64" s="47">
        <v>-0.25</v>
      </c>
      <c r="F64" s="46" t="str">
        <f>IF('Технологии'!BH19="","",'Технологии'!BH19)</f>
        <v/>
      </c>
      <c r="G64" s="46" t="s">
        <v>451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256</v>
      </c>
      <c r="B65" s="46" t="s">
        <v>257</v>
      </c>
      <c r="C65" s="46" t="s">
        <v>179</v>
      </c>
      <c r="D65" s="46" t="s">
        <v>438</v>
      </c>
      <c r="E65" s="47">
        <v>0.4</v>
      </c>
      <c r="F65" s="46" t="str">
        <f>IF('Технологии'!BH20="","",'Технологии'!BH20)</f>
        <v/>
      </c>
      <c r="G65" s="46" t="s">
        <v>479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256</v>
      </c>
      <c r="B66" s="46" t="s">
        <v>257</v>
      </c>
      <c r="C66" s="46" t="s">
        <v>179</v>
      </c>
      <c r="D66" s="46" t="s">
        <v>465</v>
      </c>
      <c r="E66" s="47">
        <v>0.08</v>
      </c>
      <c r="F66" s="46" t="str">
        <f>IF('Технологии'!BH20="","",'Технологии'!BH20)</f>
        <v/>
      </c>
      <c r="G66" s="46" t="s">
        <v>479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256</v>
      </c>
      <c r="B67" s="46" t="s">
        <v>257</v>
      </c>
      <c r="C67" s="46" t="s">
        <v>165</v>
      </c>
      <c r="D67" s="46" t="s">
        <v>438</v>
      </c>
      <c r="E67" s="47">
        <v>0.2</v>
      </c>
      <c r="F67" s="46" t="str">
        <f>IF('Технологии'!BH20="","",'Технологии'!BH20)</f>
        <v/>
      </c>
      <c r="G67" s="46" t="s">
        <v>472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256</v>
      </c>
      <c r="B68" s="46" t="s">
        <v>257</v>
      </c>
      <c r="C68" s="46" t="s">
        <v>112</v>
      </c>
      <c r="D68" s="46" t="s">
        <v>465</v>
      </c>
      <c r="E68" s="47">
        <v>0.05</v>
      </c>
      <c r="F68" s="46" t="str">
        <f>IF('Технологии'!BH20="","",'Технологии'!BH20)</f>
        <v/>
      </c>
      <c r="G68" s="46" t="s">
        <v>480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256</v>
      </c>
      <c r="B69" s="46" t="s">
        <v>257</v>
      </c>
      <c r="C69" s="46" t="s">
        <v>180</v>
      </c>
      <c r="D69" s="46" t="s">
        <v>438</v>
      </c>
      <c r="E69" s="47">
        <v>0.2</v>
      </c>
      <c r="F69" s="46" t="str">
        <f>IF('Технологии'!BH20="","",'Технологии'!BH20)</f>
        <v/>
      </c>
      <c r="G69" s="46" t="s">
        <v>478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256</v>
      </c>
      <c r="B70" s="46" t="s">
        <v>257</v>
      </c>
      <c r="C70" s="46" t="s">
        <v>117</v>
      </c>
      <c r="D70" s="46" t="s">
        <v>438</v>
      </c>
      <c r="E70" s="47">
        <v>-0.25</v>
      </c>
      <c r="F70" s="46" t="str">
        <f>IF('Технологии'!BH20="","",'Технологии'!BH20)</f>
        <v/>
      </c>
      <c r="G70" s="46" t="s">
        <v>451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256</v>
      </c>
      <c r="B71" s="46" t="s">
        <v>257</v>
      </c>
      <c r="C71" s="46" t="s">
        <v>183</v>
      </c>
      <c r="D71" s="46" t="s">
        <v>438</v>
      </c>
      <c r="E71" s="47">
        <v>-0.15</v>
      </c>
      <c r="F71" s="46" t="str">
        <f>IF('Технологии'!BH20="","",'Технологии'!BH20)</f>
        <v/>
      </c>
      <c r="G71" s="46" t="s">
        <v>481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260</v>
      </c>
      <c r="B72" s="46" t="s">
        <v>261</v>
      </c>
      <c r="C72" s="46" t="s">
        <v>115</v>
      </c>
      <c r="D72" s="46" t="s">
        <v>438</v>
      </c>
      <c r="E72" s="47">
        <v>0.3</v>
      </c>
      <c r="F72" s="46" t="str">
        <f>IF('Технологии'!BH21="","",'Технологии'!BH21)</f>
        <v/>
      </c>
      <c r="G72" s="46" t="s">
        <v>482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260</v>
      </c>
      <c r="B73" s="46" t="s">
        <v>261</v>
      </c>
      <c r="C73" s="46" t="s">
        <v>115</v>
      </c>
      <c r="D73" s="46" t="s">
        <v>465</v>
      </c>
      <c r="E73" s="47">
        <v>0.1</v>
      </c>
      <c r="F73" s="46" t="str">
        <f>IF('Технологии'!BH21="","",'Технологии'!BH21)</f>
        <v/>
      </c>
      <c r="G73" s="46" t="s">
        <v>482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260</v>
      </c>
      <c r="B74" s="46" t="s">
        <v>261</v>
      </c>
      <c r="C74" s="46" t="s">
        <v>179</v>
      </c>
      <c r="D74" s="46" t="s">
        <v>438</v>
      </c>
      <c r="E74" s="47">
        <v>0.25</v>
      </c>
      <c r="F74" s="46" t="str">
        <f>IF('Технологии'!BH21="","",'Технологии'!BH21)</f>
        <v/>
      </c>
      <c r="G74" s="46" t="s">
        <v>464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260</v>
      </c>
      <c r="B75" s="46" t="s">
        <v>261</v>
      </c>
      <c r="C75" s="46" t="s">
        <v>127</v>
      </c>
      <c r="D75" s="46" t="s">
        <v>465</v>
      </c>
      <c r="E75" s="47">
        <v>0.08</v>
      </c>
      <c r="F75" s="46" t="str">
        <f>IF('Технологии'!BH21="","",'Технологии'!BH21)</f>
        <v/>
      </c>
      <c r="G75" s="46" t="s">
        <v>483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260</v>
      </c>
      <c r="B76" s="46" t="s">
        <v>261</v>
      </c>
      <c r="C76" s="46" t="s">
        <v>159</v>
      </c>
      <c r="D76" s="46" t="s">
        <v>438</v>
      </c>
      <c r="E76" s="47">
        <v>0.2</v>
      </c>
      <c r="F76" s="46" t="str">
        <f>IF('Технологии'!BH21="","",'Технологии'!BH21)</f>
        <v/>
      </c>
      <c r="G76" s="46" t="s">
        <v>484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260</v>
      </c>
      <c r="B77" s="46" t="s">
        <v>261</v>
      </c>
      <c r="C77" s="46" t="s">
        <v>429</v>
      </c>
      <c r="D77" s="46" t="s">
        <v>456</v>
      </c>
      <c r="E77" s="47">
        <v>0.1</v>
      </c>
      <c r="F77" s="46" t="str">
        <f>IF('Технологии'!BH21="","",'Технологии'!BH21)</f>
        <v/>
      </c>
      <c r="G77" s="46" t="s">
        <v>485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260</v>
      </c>
      <c r="B78" s="46" t="s">
        <v>261</v>
      </c>
      <c r="C78" s="46" t="s">
        <v>117</v>
      </c>
      <c r="D78" s="46" t="s">
        <v>438</v>
      </c>
      <c r="E78" s="47">
        <v>-0.3</v>
      </c>
      <c r="F78" s="46" t="str">
        <f>IF('Технологии'!BH21="","",'Технологии'!BH21)</f>
        <v/>
      </c>
      <c r="G78" s="46" t="s">
        <v>486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260</v>
      </c>
      <c r="B79" s="46" t="s">
        <v>261</v>
      </c>
      <c r="C79" s="46" t="s">
        <v>120</v>
      </c>
      <c r="D79" s="46" t="s">
        <v>438</v>
      </c>
      <c r="E79" s="47">
        <v>-0.2</v>
      </c>
      <c r="F79" s="46" t="str">
        <f>IF('Технологии'!BH21="","",'Технологии'!BH21)</f>
        <v/>
      </c>
      <c r="G79" s="46" t="s">
        <v>452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260</v>
      </c>
      <c r="B80" s="46" t="s">
        <v>261</v>
      </c>
      <c r="C80" s="46" t="s">
        <v>209</v>
      </c>
      <c r="D80" s="46" t="s">
        <v>438</v>
      </c>
      <c r="E80" s="47">
        <v>-0.15</v>
      </c>
      <c r="F80" s="46" t="str">
        <f>IF('Технологии'!BH21="","",'Технологии'!BH21)</f>
        <v/>
      </c>
      <c r="G80" s="46" t="s">
        <v>487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265</v>
      </c>
      <c r="B81" s="46" t="s">
        <v>266</v>
      </c>
      <c r="C81" s="46" t="s">
        <v>165</v>
      </c>
      <c r="D81" s="46" t="s">
        <v>465</v>
      </c>
      <c r="E81" s="47">
        <v>0.15</v>
      </c>
      <c r="F81" s="46" t="str">
        <f>IF('Технологии'!BH22="","",'Технологии'!BH22)</f>
        <v/>
      </c>
      <c r="G81" s="46" t="s">
        <v>488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265</v>
      </c>
      <c r="B82" s="46" t="s">
        <v>266</v>
      </c>
      <c r="C82" s="46" t="s">
        <v>179</v>
      </c>
      <c r="D82" s="46" t="s">
        <v>465</v>
      </c>
      <c r="E82" s="47">
        <v>0.1</v>
      </c>
      <c r="F82" s="46" t="str">
        <f>IF('Технологии'!BH22="","",'Технологии'!BH22)</f>
        <v/>
      </c>
      <c r="G82" s="46" t="s">
        <v>489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265</v>
      </c>
      <c r="B83" s="46" t="s">
        <v>266</v>
      </c>
      <c r="C83" s="46" t="s">
        <v>159</v>
      </c>
      <c r="D83" s="46" t="s">
        <v>438</v>
      </c>
      <c r="E83" s="47">
        <v>0.25</v>
      </c>
      <c r="F83" s="46" t="str">
        <f>IF('Технологии'!BH22="","",'Технологии'!BH22)</f>
        <v/>
      </c>
      <c r="G83" s="46" t="s">
        <v>490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265</v>
      </c>
      <c r="B84" s="46" t="s">
        <v>266</v>
      </c>
      <c r="C84" s="46" t="s">
        <v>180</v>
      </c>
      <c r="D84" s="46" t="s">
        <v>438</v>
      </c>
      <c r="E84" s="47">
        <v>0.2</v>
      </c>
      <c r="F84" s="46" t="str">
        <f>IF('Технологии'!BH22="","",'Технологии'!BH22)</f>
        <v/>
      </c>
      <c r="G84" s="46" t="s">
        <v>478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265</v>
      </c>
      <c r="B85" s="46" t="s">
        <v>266</v>
      </c>
      <c r="C85" s="46" t="s">
        <v>115</v>
      </c>
      <c r="D85" s="46" t="s">
        <v>465</v>
      </c>
      <c r="E85" s="47">
        <v>0.08</v>
      </c>
      <c r="F85" s="46" t="str">
        <f>IF('Технологии'!BH22="","",'Технологии'!BH22)</f>
        <v/>
      </c>
      <c r="G85" s="46" t="s">
        <v>477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265</v>
      </c>
      <c r="B86" s="46" t="s">
        <v>266</v>
      </c>
      <c r="C86" s="46" t="s">
        <v>424</v>
      </c>
      <c r="D86" s="46" t="s">
        <v>456</v>
      </c>
      <c r="E86" s="47">
        <v>0.15</v>
      </c>
      <c r="F86" s="46" t="str">
        <f>IF('Технологии'!BH22="","",'Технологии'!BH22)</f>
        <v/>
      </c>
      <c r="G86" s="46" t="s">
        <v>491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265</v>
      </c>
      <c r="B87" s="46" t="s">
        <v>266</v>
      </c>
      <c r="C87" s="46" t="s">
        <v>117</v>
      </c>
      <c r="D87" s="46" t="s">
        <v>438</v>
      </c>
      <c r="E87" s="47">
        <v>-0.4</v>
      </c>
      <c r="F87" s="46" t="str">
        <f>IF('Технологии'!BH22="","",'Технологии'!BH22)</f>
        <v/>
      </c>
      <c r="G87" s="46" t="s">
        <v>492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265</v>
      </c>
      <c r="B88" s="46" t="s">
        <v>266</v>
      </c>
      <c r="C88" s="46" t="s">
        <v>120</v>
      </c>
      <c r="D88" s="46" t="s">
        <v>438</v>
      </c>
      <c r="E88" s="47">
        <v>-0.25</v>
      </c>
      <c r="F88" s="46" t="str">
        <f>IF('Технологии'!BH22="","",'Технологии'!BH22)</f>
        <v/>
      </c>
      <c r="G88" s="46" t="s">
        <v>459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265</v>
      </c>
      <c r="B89" s="46" t="s">
        <v>266</v>
      </c>
      <c r="C89" s="46" t="s">
        <v>198</v>
      </c>
      <c r="D89" s="46" t="s">
        <v>438</v>
      </c>
      <c r="E89" s="47">
        <v>-0.2</v>
      </c>
      <c r="F89" s="46" t="str">
        <f>IF('Технологии'!BH22="","",'Технологии'!BH22)</f>
        <v/>
      </c>
      <c r="G89" s="46" t="s">
        <v>493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265</v>
      </c>
      <c r="B90" s="46" t="s">
        <v>266</v>
      </c>
      <c r="C90" s="46" t="s">
        <v>209</v>
      </c>
      <c r="D90" s="46" t="s">
        <v>438</v>
      </c>
      <c r="E90" s="47">
        <v>-0.2</v>
      </c>
      <c r="F90" s="46" t="str">
        <f>IF('Технологии'!BH22="","",'Технологии'!BH22)</f>
        <v/>
      </c>
      <c r="G90" s="46" t="s">
        <v>494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269</v>
      </c>
      <c r="B91" s="46" t="s">
        <v>271</v>
      </c>
      <c r="C91" s="46" t="s">
        <v>188</v>
      </c>
      <c r="D91" s="46" t="s">
        <v>438</v>
      </c>
      <c r="E91" s="47">
        <v>0.2</v>
      </c>
      <c r="F91" s="46" t="str">
        <f>IF('Технологии'!BH23="","",'Технологии'!BH23)</f>
        <v/>
      </c>
      <c r="G91" s="46" t="s">
        <v>495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275</v>
      </c>
      <c r="B92" s="46" t="s">
        <v>276</v>
      </c>
      <c r="C92" s="46" t="s">
        <v>173</v>
      </c>
      <c r="D92" s="46" t="s">
        <v>438</v>
      </c>
      <c r="E92" s="47">
        <v>0.3</v>
      </c>
      <c r="F92" s="46" t="str">
        <f>IF('Технологии'!BH24="","",'Технологии'!BH24)</f>
        <v/>
      </c>
      <c r="G92" s="46" t="s">
        <v>496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275</v>
      </c>
      <c r="B93" s="46" t="s">
        <v>276</v>
      </c>
      <c r="C93" s="46" t="s">
        <v>173</v>
      </c>
      <c r="D93" s="46" t="s">
        <v>465</v>
      </c>
      <c r="E93" s="47">
        <v>0.1</v>
      </c>
      <c r="F93" s="46" t="str">
        <f>IF('Технологии'!BH24="","",'Технологии'!BH24)</f>
        <v/>
      </c>
      <c r="G93" s="46" t="s">
        <v>496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275</v>
      </c>
      <c r="B94" s="46" t="s">
        <v>276</v>
      </c>
      <c r="C94" s="46" t="s">
        <v>180</v>
      </c>
      <c r="D94" s="46" t="s">
        <v>438</v>
      </c>
      <c r="E94" s="47">
        <v>0.2</v>
      </c>
      <c r="F94" s="46" t="str">
        <f>IF('Технологии'!BH24="","",'Технологии'!BH24)</f>
        <v/>
      </c>
      <c r="G94" s="46" t="s">
        <v>478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275</v>
      </c>
      <c r="B95" s="46" t="s">
        <v>276</v>
      </c>
      <c r="C95" s="46" t="s">
        <v>209</v>
      </c>
      <c r="D95" s="46" t="s">
        <v>438</v>
      </c>
      <c r="E95" s="47">
        <v>-0.1</v>
      </c>
      <c r="F95" s="46" t="str">
        <f>IF('Технологии'!BH24="","",'Технологии'!BH24)</f>
        <v/>
      </c>
      <c r="G95" s="46" t="s">
        <v>497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279</v>
      </c>
      <c r="B96" s="46" t="s">
        <v>280</v>
      </c>
      <c r="C96" s="46" t="s">
        <v>178</v>
      </c>
      <c r="D96" s="46" t="s">
        <v>438</v>
      </c>
      <c r="E96" s="47">
        <v>0.3</v>
      </c>
      <c r="F96" s="46" t="str">
        <f>IF('Технологии'!BH25="","",'Технологии'!BH25)</f>
        <v/>
      </c>
      <c r="G96" s="46" t="s">
        <v>498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279</v>
      </c>
      <c r="B97" s="46" t="s">
        <v>280</v>
      </c>
      <c r="C97" s="46" t="s">
        <v>115</v>
      </c>
      <c r="D97" s="46" t="s">
        <v>465</v>
      </c>
      <c r="E97" s="47">
        <v>0.05</v>
      </c>
      <c r="F97" s="46" t="str">
        <f>IF('Технологии'!BH25="","",'Технологии'!BH25)</f>
        <v/>
      </c>
      <c r="G97" s="46" t="s">
        <v>499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279</v>
      </c>
      <c r="B98" s="46" t="s">
        <v>280</v>
      </c>
      <c r="C98" s="46" t="s">
        <v>181</v>
      </c>
      <c r="D98" s="46" t="s">
        <v>438</v>
      </c>
      <c r="E98" s="47">
        <v>0.2</v>
      </c>
      <c r="F98" s="46" t="str">
        <f>IF('Технологии'!BH25="","",'Технологии'!BH25)</f>
        <v/>
      </c>
      <c r="G98" s="46" t="s">
        <v>500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279</v>
      </c>
      <c r="B99" s="46" t="s">
        <v>280</v>
      </c>
      <c r="C99" s="46" t="s">
        <v>198</v>
      </c>
      <c r="D99" s="46" t="s">
        <v>438</v>
      </c>
      <c r="E99" s="47">
        <v>-0.15</v>
      </c>
      <c r="F99" s="46" t="str">
        <f>IF('Технологии'!BH25="","",'Технологии'!BH25)</f>
        <v/>
      </c>
      <c r="G99" s="46" t="s">
        <v>501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283</v>
      </c>
      <c r="B100" s="46" t="s">
        <v>284</v>
      </c>
      <c r="C100" s="46" t="s">
        <v>181</v>
      </c>
      <c r="D100" s="46" t="s">
        <v>438</v>
      </c>
      <c r="E100" s="47">
        <v>0.3</v>
      </c>
      <c r="F100" s="46" t="str">
        <f>IF('Технологии'!BH26="","",'Технологии'!BH26)</f>
        <v/>
      </c>
      <c r="G100" s="46" t="s">
        <v>502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283</v>
      </c>
      <c r="B101" s="46" t="s">
        <v>284</v>
      </c>
      <c r="C101" s="46" t="s">
        <v>182</v>
      </c>
      <c r="D101" s="46" t="s">
        <v>438</v>
      </c>
      <c r="E101" s="47">
        <v>0.2</v>
      </c>
      <c r="F101" s="46" t="str">
        <f>IF('Технологии'!BH26="","",'Технологии'!BH26)</f>
        <v/>
      </c>
      <c r="G101" s="46" t="s">
        <v>503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283</v>
      </c>
      <c r="B102" s="46" t="s">
        <v>284</v>
      </c>
      <c r="C102" s="46" t="s">
        <v>127</v>
      </c>
      <c r="D102" s="46" t="s">
        <v>465</v>
      </c>
      <c r="E102" s="47">
        <v>0.05</v>
      </c>
      <c r="F102" s="46" t="str">
        <f>IF('Технологии'!BH26="","",'Технологии'!BH26)</f>
        <v/>
      </c>
      <c r="G102" s="46" t="s">
        <v>504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283</v>
      </c>
      <c r="B103" s="46" t="s">
        <v>284</v>
      </c>
      <c r="C103" s="46" t="s">
        <v>180</v>
      </c>
      <c r="D103" s="46" t="s">
        <v>438</v>
      </c>
      <c r="E103" s="47">
        <v>0.2</v>
      </c>
      <c r="F103" s="46" t="str">
        <f>IF('Технологии'!BH26="","",'Технологии'!BH26)</f>
        <v/>
      </c>
      <c r="G103" s="46" t="s">
        <v>478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283</v>
      </c>
      <c r="B104" s="46" t="s">
        <v>284</v>
      </c>
      <c r="C104" s="46" t="s">
        <v>117</v>
      </c>
      <c r="D104" s="46" t="s">
        <v>438</v>
      </c>
      <c r="E104" s="47">
        <v>-0.2</v>
      </c>
      <c r="F104" s="46" t="str">
        <f>IF('Технологии'!BH26="","",'Технологии'!BH26)</f>
        <v/>
      </c>
      <c r="G104" s="46" t="s">
        <v>505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283</v>
      </c>
      <c r="B105" s="46" t="s">
        <v>284</v>
      </c>
      <c r="C105" s="46" t="s">
        <v>183</v>
      </c>
      <c r="D105" s="46" t="s">
        <v>438</v>
      </c>
      <c r="E105" s="47">
        <v>-0.15</v>
      </c>
      <c r="F105" s="46" t="str">
        <f>IF('Технологии'!BH26="","",'Технологии'!BH26)</f>
        <v/>
      </c>
      <c r="G105" s="46" t="s">
        <v>481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287</v>
      </c>
      <c r="B106" s="46" t="s">
        <v>288</v>
      </c>
      <c r="C106" s="46" t="s">
        <v>178</v>
      </c>
      <c r="D106" s="46" t="s">
        <v>438</v>
      </c>
      <c r="E106" s="47">
        <v>0.5</v>
      </c>
      <c r="F106" s="46" t="str">
        <f>IF('Технологии'!BH27="","",'Технологии'!BH27)</f>
        <v/>
      </c>
      <c r="G106" s="46" t="s">
        <v>506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287</v>
      </c>
      <c r="B107" s="46" t="s">
        <v>288</v>
      </c>
      <c r="C107" s="46" t="s">
        <v>178</v>
      </c>
      <c r="D107" s="46" t="s">
        <v>465</v>
      </c>
      <c r="E107" s="47">
        <v>0.1</v>
      </c>
      <c r="F107" s="46" t="str">
        <f>IF('Технологии'!BH27="","",'Технологии'!BH27)</f>
        <v/>
      </c>
      <c r="G107" s="46" t="s">
        <v>506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287</v>
      </c>
      <c r="B108" s="46" t="s">
        <v>288</v>
      </c>
      <c r="C108" s="46" t="s">
        <v>188</v>
      </c>
      <c r="D108" s="46" t="s">
        <v>438</v>
      </c>
      <c r="E108" s="47">
        <v>0.3</v>
      </c>
      <c r="F108" s="46" t="str">
        <f>IF('Технологии'!BH27="","",'Технологии'!BH27)</f>
        <v/>
      </c>
      <c r="G108" s="46" t="s">
        <v>507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287</v>
      </c>
      <c r="B109" s="46" t="s">
        <v>288</v>
      </c>
      <c r="C109" s="46" t="s">
        <v>181</v>
      </c>
      <c r="D109" s="46" t="s">
        <v>438</v>
      </c>
      <c r="E109" s="47">
        <v>0.2</v>
      </c>
      <c r="F109" s="46" t="str">
        <f>IF('Технологии'!BH27="","",'Технологии'!BH27)</f>
        <v/>
      </c>
      <c r="G109" s="46" t="s">
        <v>500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287</v>
      </c>
      <c r="B110" s="46" t="s">
        <v>288</v>
      </c>
      <c r="C110" s="46" t="s">
        <v>127</v>
      </c>
      <c r="D110" s="46" t="s">
        <v>465</v>
      </c>
      <c r="E110" s="47">
        <v>0.08</v>
      </c>
      <c r="F110" s="46" t="str">
        <f>IF('Технологии'!BH27="","",'Технологии'!BH27)</f>
        <v/>
      </c>
      <c r="G110" s="46" t="s">
        <v>483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287</v>
      </c>
      <c r="B111" s="46" t="s">
        <v>288</v>
      </c>
      <c r="C111" s="46" t="s">
        <v>433</v>
      </c>
      <c r="D111" s="46" t="s">
        <v>456</v>
      </c>
      <c r="E111" s="47">
        <v>0.15</v>
      </c>
      <c r="F111" s="46" t="str">
        <f>IF('Технологии'!BH27="","",'Технологии'!BH27)</f>
        <v/>
      </c>
      <c r="G111" s="46" t="s">
        <v>508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287</v>
      </c>
      <c r="B112" s="46" t="s">
        <v>288</v>
      </c>
      <c r="C112" s="46" t="s">
        <v>198</v>
      </c>
      <c r="D112" s="46" t="s">
        <v>438</v>
      </c>
      <c r="E112" s="47">
        <v>-0.25</v>
      </c>
      <c r="F112" s="46" t="str">
        <f>IF('Технологии'!BH27="","",'Технологии'!BH27)</f>
        <v/>
      </c>
      <c r="G112" s="46" t="s">
        <v>509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287</v>
      </c>
      <c r="B113" s="46" t="s">
        <v>288</v>
      </c>
      <c r="C113" s="46" t="s">
        <v>183</v>
      </c>
      <c r="D113" s="46" t="s">
        <v>438</v>
      </c>
      <c r="E113" s="47">
        <v>-0.2</v>
      </c>
      <c r="F113" s="46" t="str">
        <f>IF('Технологии'!BH27="","",'Технологии'!BH27)</f>
        <v/>
      </c>
      <c r="G113" s="46" t="s">
        <v>510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287</v>
      </c>
      <c r="B114" s="46" t="s">
        <v>288</v>
      </c>
      <c r="C114" s="46" t="s">
        <v>117</v>
      </c>
      <c r="D114" s="46" t="s">
        <v>438</v>
      </c>
      <c r="E114" s="47">
        <v>-0.2</v>
      </c>
      <c r="F114" s="46" t="str">
        <f>IF('Технологии'!BH27="","",'Технологии'!BH27)</f>
        <v/>
      </c>
      <c r="G114" s="46" t="s">
        <v>505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291</v>
      </c>
      <c r="B115" s="46" t="s">
        <v>292</v>
      </c>
      <c r="C115" s="46" t="s">
        <v>170</v>
      </c>
      <c r="D115" s="46" t="s">
        <v>465</v>
      </c>
      <c r="E115" s="47">
        <v>0.1</v>
      </c>
      <c r="F115" s="46" t="str">
        <f>IF('Технологии'!BH28="","",'Технологии'!BH28)</f>
        <v/>
      </c>
      <c r="G115" s="46" t="s">
        <v>511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291</v>
      </c>
      <c r="B116" s="46" t="s">
        <v>292</v>
      </c>
      <c r="C116" s="46" t="s">
        <v>173</v>
      </c>
      <c r="D116" s="46" t="s">
        <v>465</v>
      </c>
      <c r="E116" s="47">
        <v>0.15</v>
      </c>
      <c r="F116" s="46" t="str">
        <f>IF('Технологии'!BH28="","",'Технологии'!BH28)</f>
        <v/>
      </c>
      <c r="G116" s="46" t="s">
        <v>512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291</v>
      </c>
      <c r="B117" s="46" t="s">
        <v>292</v>
      </c>
      <c r="C117" s="46" t="s">
        <v>180</v>
      </c>
      <c r="D117" s="46" t="s">
        <v>465</v>
      </c>
      <c r="E117" s="47">
        <v>0.1</v>
      </c>
      <c r="F117" s="46" t="str">
        <f>IF('Технологии'!BH28="","",'Технологии'!BH28)</f>
        <v/>
      </c>
      <c r="G117" s="46" t="s">
        <v>513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291</v>
      </c>
      <c r="B118" s="46" t="s">
        <v>292</v>
      </c>
      <c r="C118" s="46" t="s">
        <v>181</v>
      </c>
      <c r="D118" s="46" t="s">
        <v>438</v>
      </c>
      <c r="E118" s="47">
        <v>0.2</v>
      </c>
      <c r="F118" s="46" t="str">
        <f>IF('Технологии'!BH28="","",'Технологии'!BH28)</f>
        <v/>
      </c>
      <c r="G118" s="46" t="s">
        <v>500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291</v>
      </c>
      <c r="B119" s="46" t="s">
        <v>292</v>
      </c>
      <c r="C119" s="46" t="s">
        <v>178</v>
      </c>
      <c r="D119" s="46" t="s">
        <v>438</v>
      </c>
      <c r="E119" s="47">
        <v>0.3</v>
      </c>
      <c r="F119" s="46" t="str">
        <f>IF('Технологии'!BH28="","",'Технологии'!BH28)</f>
        <v/>
      </c>
      <c r="G119" s="46" t="s">
        <v>498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291</v>
      </c>
      <c r="B120" s="46" t="s">
        <v>292</v>
      </c>
      <c r="C120" s="46" t="s">
        <v>130</v>
      </c>
      <c r="D120" s="46" t="s">
        <v>465</v>
      </c>
      <c r="E120" s="47">
        <v>0.05</v>
      </c>
      <c r="F120" s="46" t="str">
        <f>IF('Технологии'!BH28="","",'Технологии'!BH28)</f>
        <v/>
      </c>
      <c r="G120" s="46" t="s">
        <v>514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291</v>
      </c>
      <c r="B121" s="46" t="s">
        <v>292</v>
      </c>
      <c r="C121" s="46" t="s">
        <v>198</v>
      </c>
      <c r="D121" s="46" t="s">
        <v>438</v>
      </c>
      <c r="E121" s="47">
        <v>-0.2</v>
      </c>
      <c r="F121" s="46" t="str">
        <f>IF('Технологии'!BH28="","",'Технологии'!BH28)</f>
        <v/>
      </c>
      <c r="G121" s="46" t="s">
        <v>493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291</v>
      </c>
      <c r="B122" s="46" t="s">
        <v>292</v>
      </c>
      <c r="C122" s="46" t="s">
        <v>117</v>
      </c>
      <c r="D122" s="46" t="s">
        <v>438</v>
      </c>
      <c r="E122" s="47">
        <v>-0.25</v>
      </c>
      <c r="F122" s="46" t="str">
        <f>IF('Технологии'!BH28="","",'Технологии'!BH28)</f>
        <v/>
      </c>
      <c r="G122" s="46" t="s">
        <v>451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291</v>
      </c>
      <c r="B123" s="46" t="s">
        <v>292</v>
      </c>
      <c r="C123" s="46" t="s">
        <v>120</v>
      </c>
      <c r="D123" s="46" t="s">
        <v>438</v>
      </c>
      <c r="E123" s="47">
        <v>-0.15</v>
      </c>
      <c r="F123" s="46" t="str">
        <f>IF('Технологии'!BH28="","",'Технологии'!BH28)</f>
        <v/>
      </c>
      <c r="G123" s="46" t="s">
        <v>515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291</v>
      </c>
      <c r="B124" s="46" t="s">
        <v>292</v>
      </c>
      <c r="C124" s="46" t="s">
        <v>209</v>
      </c>
      <c r="D124" s="46" t="s">
        <v>438</v>
      </c>
      <c r="E124" s="47">
        <v>-0.15</v>
      </c>
      <c r="F124" s="46" t="str">
        <f>IF('Технологии'!BH28="","",'Технологии'!BH28)</f>
        <v/>
      </c>
      <c r="G124" s="46" t="s">
        <v>487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295</v>
      </c>
      <c r="B125" s="46" t="s">
        <v>297</v>
      </c>
      <c r="C125" s="46" t="s">
        <v>112</v>
      </c>
      <c r="D125" s="46" t="s">
        <v>465</v>
      </c>
      <c r="E125" s="47">
        <v>0.05</v>
      </c>
      <c r="F125" s="46" t="str">
        <f>IF('Технологии'!BH29="","",'Технологии'!BH29)</f>
        <v/>
      </c>
      <c r="G125" s="46" t="s">
        <v>480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301</v>
      </c>
      <c r="B126" s="46" t="s">
        <v>302</v>
      </c>
      <c r="C126" s="46" t="s">
        <v>189</v>
      </c>
      <c r="D126" s="46" t="s">
        <v>438</v>
      </c>
      <c r="E126" s="47">
        <v>0.3</v>
      </c>
      <c r="F126" s="46" t="str">
        <f>IF('Технологии'!BH30="","",'Технологии'!BH30)</f>
        <v/>
      </c>
      <c r="G126" s="46" t="s">
        <v>516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301</v>
      </c>
      <c r="B127" s="46" t="s">
        <v>302</v>
      </c>
      <c r="C127" s="46" t="s">
        <v>189</v>
      </c>
      <c r="D127" s="46" t="s">
        <v>465</v>
      </c>
      <c r="E127" s="47">
        <v>0.08</v>
      </c>
      <c r="F127" s="46" t="str">
        <f>IF('Технологии'!BH30="","",'Технологии'!BH30)</f>
        <v/>
      </c>
      <c r="G127" s="46" t="s">
        <v>516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301</v>
      </c>
      <c r="B128" s="46" t="s">
        <v>302</v>
      </c>
      <c r="C128" s="46" t="s">
        <v>187</v>
      </c>
      <c r="D128" s="46" t="s">
        <v>438</v>
      </c>
      <c r="E128" s="47">
        <v>0.2</v>
      </c>
      <c r="F128" s="46" t="str">
        <f>IF('Технологии'!BH30="","",'Технологии'!BH30)</f>
        <v/>
      </c>
      <c r="G128" s="46" t="s">
        <v>517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301</v>
      </c>
      <c r="B129" s="46" t="s">
        <v>302</v>
      </c>
      <c r="C129" s="46" t="s">
        <v>183</v>
      </c>
      <c r="D129" s="46" t="s">
        <v>438</v>
      </c>
      <c r="E129" s="47">
        <v>-0.15</v>
      </c>
      <c r="F129" s="46" t="str">
        <f>IF('Технологии'!BH30="","",'Технологии'!BH30)</f>
        <v/>
      </c>
      <c r="G129" s="46" t="s">
        <v>481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305</v>
      </c>
      <c r="B130" s="46" t="s">
        <v>306</v>
      </c>
      <c r="C130" s="46" t="s">
        <v>112</v>
      </c>
      <c r="D130" s="46" t="s">
        <v>465</v>
      </c>
      <c r="E130" s="47">
        <v>0.08</v>
      </c>
      <c r="F130" s="46" t="str">
        <f>IF('Технологии'!BH31="","",'Технологии'!BH31)</f>
        <v/>
      </c>
      <c r="G130" s="46" t="s">
        <v>518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305</v>
      </c>
      <c r="B131" s="46" t="s">
        <v>306</v>
      </c>
      <c r="C131" s="46" t="s">
        <v>189</v>
      </c>
      <c r="D131" s="46" t="s">
        <v>438</v>
      </c>
      <c r="E131" s="47">
        <v>0.2</v>
      </c>
      <c r="F131" s="46" t="str">
        <f>IF('Технологии'!BH31="","",'Технологии'!BH31)</f>
        <v/>
      </c>
      <c r="G131" s="46" t="s">
        <v>519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305</v>
      </c>
      <c r="B132" s="46" t="s">
        <v>306</v>
      </c>
      <c r="C132" s="46" t="s">
        <v>429</v>
      </c>
      <c r="D132" s="46" t="s">
        <v>456</v>
      </c>
      <c r="E132" s="47">
        <v>0.1</v>
      </c>
      <c r="F132" s="46" t="str">
        <f>IF('Технологии'!BH31="","",'Технологии'!BH31)</f>
        <v/>
      </c>
      <c r="G132" s="46" t="s">
        <v>485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305</v>
      </c>
      <c r="B133" s="46" t="s">
        <v>306</v>
      </c>
      <c r="C133" s="46" t="s">
        <v>182</v>
      </c>
      <c r="D133" s="46" t="s">
        <v>438</v>
      </c>
      <c r="E133" s="47">
        <v>-0.2</v>
      </c>
      <c r="F133" s="46" t="str">
        <f>IF('Технологии'!BH31="","",'Технологии'!BH31)</f>
        <v/>
      </c>
      <c r="G133" s="46" t="s">
        <v>520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309</v>
      </c>
      <c r="B134" s="46" t="s">
        <v>310</v>
      </c>
      <c r="C134" s="46" t="s">
        <v>192</v>
      </c>
      <c r="D134" s="46" t="s">
        <v>438</v>
      </c>
      <c r="E134" s="47">
        <v>0.4</v>
      </c>
      <c r="F134" s="46" t="str">
        <f>IF('Технологии'!BH32="","",'Технологии'!BH32)</f>
        <v/>
      </c>
      <c r="G134" s="46" t="s">
        <v>521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309</v>
      </c>
      <c r="B135" s="46" t="s">
        <v>310</v>
      </c>
      <c r="C135" s="46" t="s">
        <v>124</v>
      </c>
      <c r="D135" s="46" t="s">
        <v>465</v>
      </c>
      <c r="E135" s="47">
        <v>0.08</v>
      </c>
      <c r="F135" s="46" t="str">
        <f>IF('Технологии'!BH32="","",'Технологии'!BH32)</f>
        <v/>
      </c>
      <c r="G135" s="46" t="s">
        <v>522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309</v>
      </c>
      <c r="B136" s="46" t="s">
        <v>310</v>
      </c>
      <c r="C136" s="46" t="s">
        <v>187</v>
      </c>
      <c r="D136" s="46" t="s">
        <v>438</v>
      </c>
      <c r="E136" s="47">
        <v>0.2</v>
      </c>
      <c r="F136" s="46" t="str">
        <f>IF('Технологии'!BH32="","",'Технологии'!BH32)</f>
        <v/>
      </c>
      <c r="G136" s="46" t="s">
        <v>517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309</v>
      </c>
      <c r="B137" s="46" t="s">
        <v>310</v>
      </c>
      <c r="C137" s="46" t="s">
        <v>130</v>
      </c>
      <c r="D137" s="46" t="s">
        <v>465</v>
      </c>
      <c r="E137" s="47">
        <v>0.05</v>
      </c>
      <c r="F137" s="46" t="str">
        <f>IF('Технологии'!BH32="","",'Технологии'!BH32)</f>
        <v/>
      </c>
      <c r="G137" s="46" t="s">
        <v>514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309</v>
      </c>
      <c r="B138" s="46" t="s">
        <v>310</v>
      </c>
      <c r="C138" s="46" t="s">
        <v>209</v>
      </c>
      <c r="D138" s="46" t="s">
        <v>438</v>
      </c>
      <c r="E138" s="47">
        <v>-0.15</v>
      </c>
      <c r="F138" s="46" t="str">
        <f>IF('Технологии'!BH32="","",'Технологии'!BH32)</f>
        <v/>
      </c>
      <c r="G138" s="46" t="s">
        <v>487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309</v>
      </c>
      <c r="B139" s="46" t="s">
        <v>310</v>
      </c>
      <c r="C139" s="46" t="s">
        <v>210</v>
      </c>
      <c r="D139" s="46" t="s">
        <v>438</v>
      </c>
      <c r="E139" s="47">
        <v>-0.15</v>
      </c>
      <c r="F139" s="46" t="str">
        <f>IF('Технологии'!BH32="","",'Технологии'!BH32)</f>
        <v/>
      </c>
      <c r="G139" s="46" t="s">
        <v>523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313</v>
      </c>
      <c r="B140" s="46" t="s">
        <v>314</v>
      </c>
      <c r="C140" s="46" t="s">
        <v>127</v>
      </c>
      <c r="D140" s="46" t="s">
        <v>465</v>
      </c>
      <c r="E140" s="47">
        <v>0.12</v>
      </c>
      <c r="F140" s="46" t="str">
        <f>IF('Технологии'!BH33="","",'Технологии'!BH33)</f>
        <v/>
      </c>
      <c r="G140" s="46" t="s">
        <v>524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313</v>
      </c>
      <c r="B141" s="46" t="s">
        <v>314</v>
      </c>
      <c r="C141" s="46" t="s">
        <v>112</v>
      </c>
      <c r="D141" s="46" t="s">
        <v>465</v>
      </c>
      <c r="E141" s="47">
        <v>0.08</v>
      </c>
      <c r="F141" s="46" t="str">
        <f>IF('Технологии'!BH33="","",'Технологии'!BH33)</f>
        <v/>
      </c>
      <c r="G141" s="46" t="s">
        <v>518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313</v>
      </c>
      <c r="B142" s="46" t="s">
        <v>314</v>
      </c>
      <c r="C142" s="46" t="s">
        <v>212</v>
      </c>
      <c r="D142" s="46" t="s">
        <v>438</v>
      </c>
      <c r="E142" s="47">
        <v>0.3</v>
      </c>
      <c r="F142" s="46" t="str">
        <f>IF('Технологии'!BH33="","",'Технологии'!BH33)</f>
        <v/>
      </c>
      <c r="G142" s="46" t="s">
        <v>525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313</v>
      </c>
      <c r="B143" s="46" t="s">
        <v>314</v>
      </c>
      <c r="C143" s="46" t="s">
        <v>181</v>
      </c>
      <c r="D143" s="46" t="s">
        <v>438</v>
      </c>
      <c r="E143" s="47">
        <v>0.2</v>
      </c>
      <c r="F143" s="46" t="str">
        <f>IF('Технологии'!BH33="","",'Технологии'!BH33)</f>
        <v/>
      </c>
      <c r="G143" s="46" t="s">
        <v>500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313</v>
      </c>
      <c r="B144" s="46" t="s">
        <v>314</v>
      </c>
      <c r="C144" s="46" t="s">
        <v>426</v>
      </c>
      <c r="D144" s="46" t="s">
        <v>456</v>
      </c>
      <c r="E144" s="47">
        <v>0.1</v>
      </c>
      <c r="F144" s="46" t="str">
        <f>IF('Технологии'!BH33="","",'Технологии'!BH33)</f>
        <v/>
      </c>
      <c r="G144" s="46" t="s">
        <v>526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313</v>
      </c>
      <c r="B145" s="46" t="s">
        <v>314</v>
      </c>
      <c r="C145" s="46" t="s">
        <v>183</v>
      </c>
      <c r="D145" s="46" t="s">
        <v>438</v>
      </c>
      <c r="E145" s="47">
        <v>-0.25</v>
      </c>
      <c r="F145" s="46" t="str">
        <f>IF('Технологии'!BH33="","",'Технологии'!BH33)</f>
        <v/>
      </c>
      <c r="G145" s="46" t="s">
        <v>527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313</v>
      </c>
      <c r="B146" s="46" t="s">
        <v>314</v>
      </c>
      <c r="C146" s="46" t="s">
        <v>182</v>
      </c>
      <c r="D146" s="46" t="s">
        <v>438</v>
      </c>
      <c r="E146" s="47">
        <v>-0.2</v>
      </c>
      <c r="F146" s="46" t="str">
        <f>IF('Технологии'!BH33="","",'Технологии'!BH33)</f>
        <v/>
      </c>
      <c r="G146" s="46" t="s">
        <v>520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313</v>
      </c>
      <c r="B147" s="46" t="s">
        <v>314</v>
      </c>
      <c r="C147" s="46" t="s">
        <v>209</v>
      </c>
      <c r="D147" s="46" t="s">
        <v>438</v>
      </c>
      <c r="E147" s="47">
        <v>-0.15</v>
      </c>
      <c r="F147" s="46" t="str">
        <f>IF('Технологии'!BH33="","",'Технологии'!BH33)</f>
        <v/>
      </c>
      <c r="G147" s="46" t="s">
        <v>487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317</v>
      </c>
      <c r="B148" s="46" t="s">
        <v>318</v>
      </c>
      <c r="C148" s="46" t="s">
        <v>112</v>
      </c>
      <c r="D148" s="46" t="s">
        <v>438</v>
      </c>
      <c r="E148" s="47">
        <v>0.4</v>
      </c>
      <c r="F148" s="46" t="str">
        <f>IF('Технологии'!BH34="","",'Технологии'!BH34)</f>
        <v/>
      </c>
      <c r="G148" s="46" t="s">
        <v>528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317</v>
      </c>
      <c r="B149" s="46" t="s">
        <v>318</v>
      </c>
      <c r="C149" s="46" t="s">
        <v>127</v>
      </c>
      <c r="D149" s="46" t="s">
        <v>438</v>
      </c>
      <c r="E149" s="47">
        <v>0.3</v>
      </c>
      <c r="F149" s="46" t="str">
        <f>IF('Технологии'!BH34="","",'Технологии'!BH34)</f>
        <v/>
      </c>
      <c r="G149" s="46" t="s">
        <v>529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317</v>
      </c>
      <c r="B150" s="46" t="s">
        <v>318</v>
      </c>
      <c r="C150" s="46" t="s">
        <v>115</v>
      </c>
      <c r="D150" s="46" t="s">
        <v>438</v>
      </c>
      <c r="E150" s="47">
        <v>0.25</v>
      </c>
      <c r="F150" s="46" t="str">
        <f>IF('Технологии'!BH34="","",'Технологии'!BH34)</f>
        <v/>
      </c>
      <c r="G150" s="46" t="s">
        <v>530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317</v>
      </c>
      <c r="B151" s="46" t="s">
        <v>318</v>
      </c>
      <c r="C151" s="46" t="s">
        <v>124</v>
      </c>
      <c r="D151" s="46" t="s">
        <v>465</v>
      </c>
      <c r="E151" s="47">
        <v>0.1</v>
      </c>
      <c r="F151" s="46" t="str">
        <f>IF('Технологии'!BH34="","",'Технологии'!BH34)</f>
        <v/>
      </c>
      <c r="G151" s="46" t="s">
        <v>531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317</v>
      </c>
      <c r="B152" s="46" t="s">
        <v>318</v>
      </c>
      <c r="C152" s="46" t="s">
        <v>429</v>
      </c>
      <c r="D152" s="46" t="s">
        <v>456</v>
      </c>
      <c r="E152" s="47">
        <v>0.15</v>
      </c>
      <c r="F152" s="46" t="str">
        <f>IF('Технологии'!BH34="","",'Технологии'!BH34)</f>
        <v/>
      </c>
      <c r="G152" s="46" t="s">
        <v>532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317</v>
      </c>
      <c r="B153" s="46" t="s">
        <v>318</v>
      </c>
      <c r="C153" s="46" t="s">
        <v>430</v>
      </c>
      <c r="D153" s="46" t="s">
        <v>456</v>
      </c>
      <c r="E153" s="47">
        <v>0.15</v>
      </c>
      <c r="F153" s="46" t="str">
        <f>IF('Технологии'!BH34="","",'Технологии'!BH34)</f>
        <v/>
      </c>
      <c r="G153" s="46" t="s">
        <v>533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317</v>
      </c>
      <c r="B154" s="46" t="s">
        <v>318</v>
      </c>
      <c r="C154" s="46" t="s">
        <v>183</v>
      </c>
      <c r="D154" s="46" t="s">
        <v>438</v>
      </c>
      <c r="E154" s="47">
        <v>-0.3</v>
      </c>
      <c r="F154" s="46" t="str">
        <f>IF('Технологии'!BH34="","",'Технологии'!BH34)</f>
        <v/>
      </c>
      <c r="G154" s="46" t="s">
        <v>534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317</v>
      </c>
      <c r="B155" s="46" t="s">
        <v>318</v>
      </c>
      <c r="C155" s="46" t="s">
        <v>182</v>
      </c>
      <c r="D155" s="46" t="s">
        <v>438</v>
      </c>
      <c r="E155" s="47">
        <v>-0.25</v>
      </c>
      <c r="F155" s="46" t="str">
        <f>IF('Технологии'!BH34="","",'Технологии'!BH34)</f>
        <v/>
      </c>
      <c r="G155" s="46" t="s">
        <v>535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317</v>
      </c>
      <c r="B156" s="46" t="s">
        <v>318</v>
      </c>
      <c r="C156" s="46" t="s">
        <v>209</v>
      </c>
      <c r="D156" s="46" t="s">
        <v>438</v>
      </c>
      <c r="E156" s="47">
        <v>-0.2</v>
      </c>
      <c r="F156" s="46" t="str">
        <f>IF('Технологии'!BH34="","",'Технологии'!BH34)</f>
        <v/>
      </c>
      <c r="G156" s="46" t="s">
        <v>494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317</v>
      </c>
      <c r="B157" s="46" t="s">
        <v>318</v>
      </c>
      <c r="C157" s="46" t="s">
        <v>192</v>
      </c>
      <c r="D157" s="46" t="s">
        <v>438</v>
      </c>
      <c r="E157" s="47">
        <v>-0.15</v>
      </c>
      <c r="F157" s="46" t="str">
        <f>IF('Технологии'!BH34="","",'Технологии'!BH34)</f>
        <v/>
      </c>
      <c r="G157" s="46" t="s">
        <v>536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321</v>
      </c>
      <c r="B158" s="46" t="s">
        <v>323</v>
      </c>
      <c r="C158" s="46" t="s">
        <v>187</v>
      </c>
      <c r="D158" s="46" t="s">
        <v>438</v>
      </c>
      <c r="E158" s="47">
        <v>0.2</v>
      </c>
      <c r="F158" s="46" t="str">
        <f>IF('Технологии'!BH35="","",'Технологии'!BH35)</f>
        <v/>
      </c>
      <c r="G158" s="46" t="s">
        <v>517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326</v>
      </c>
      <c r="B159" s="46" t="s">
        <v>327</v>
      </c>
      <c r="C159" s="46" t="s">
        <v>109</v>
      </c>
      <c r="D159" s="46" t="s">
        <v>438</v>
      </c>
      <c r="E159" s="47">
        <v>0.3</v>
      </c>
      <c r="F159" s="46" t="str">
        <f>IF('Технологии'!BH36="","",'Технологии'!BH36)</f>
        <v/>
      </c>
      <c r="G159" s="46" t="s">
        <v>537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326</v>
      </c>
      <c r="B160" s="46" t="s">
        <v>327</v>
      </c>
      <c r="C160" s="46" t="s">
        <v>109</v>
      </c>
      <c r="D160" s="46" t="s">
        <v>465</v>
      </c>
      <c r="E160" s="47">
        <v>0.08</v>
      </c>
      <c r="F160" s="46" t="str">
        <f>IF('Технологии'!BH36="","",'Технологии'!BH36)</f>
        <v/>
      </c>
      <c r="G160" s="46" t="s">
        <v>537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326</v>
      </c>
      <c r="B161" s="46" t="s">
        <v>327</v>
      </c>
      <c r="C161" s="46" t="s">
        <v>210</v>
      </c>
      <c r="D161" s="46" t="s">
        <v>438</v>
      </c>
      <c r="E161" s="47">
        <v>0.2</v>
      </c>
      <c r="F161" s="46" t="str">
        <f>IF('Технологии'!BH36="","",'Технологии'!BH36)</f>
        <v/>
      </c>
      <c r="G161" s="46" t="s">
        <v>538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326</v>
      </c>
      <c r="B162" s="46" t="s">
        <v>327</v>
      </c>
      <c r="C162" s="46" t="s">
        <v>117</v>
      </c>
      <c r="D162" s="46" t="s">
        <v>438</v>
      </c>
      <c r="E162" s="47">
        <v>-0.15</v>
      </c>
      <c r="F162" s="46" t="str">
        <f>IF('Технологии'!BH36="","",'Технологии'!BH36)</f>
        <v/>
      </c>
      <c r="G162" s="46" t="s">
        <v>475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330</v>
      </c>
      <c r="B163" s="46" t="s">
        <v>331</v>
      </c>
      <c r="C163" s="46" t="s">
        <v>124</v>
      </c>
      <c r="D163" s="46" t="s">
        <v>465</v>
      </c>
      <c r="E163" s="47">
        <v>0.08</v>
      </c>
      <c r="F163" s="46" t="str">
        <f>IF('Технологии'!BH37="","",'Технологии'!BH37)</f>
        <v/>
      </c>
      <c r="G163" s="46" t="s">
        <v>522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330</v>
      </c>
      <c r="B164" s="46" t="s">
        <v>331</v>
      </c>
      <c r="C164" s="46" t="s">
        <v>134</v>
      </c>
      <c r="D164" s="46" t="s">
        <v>438</v>
      </c>
      <c r="E164" s="47">
        <v>0.2</v>
      </c>
      <c r="F164" s="46" t="str">
        <f>IF('Технологии'!BH37="","",'Технологии'!BH37)</f>
        <v/>
      </c>
      <c r="G164" s="46" t="s">
        <v>450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330</v>
      </c>
      <c r="B165" s="46" t="s">
        <v>331</v>
      </c>
      <c r="C165" s="46" t="s">
        <v>432</v>
      </c>
      <c r="D165" s="46" t="s">
        <v>456</v>
      </c>
      <c r="E165" s="47">
        <v>0.1</v>
      </c>
      <c r="F165" s="46" t="str">
        <f>IF('Технологии'!BH37="","",'Технологии'!BH37)</f>
        <v/>
      </c>
      <c r="G165" s="46" t="s">
        <v>539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330</v>
      </c>
      <c r="B166" s="46" t="s">
        <v>331</v>
      </c>
      <c r="C166" s="46" t="s">
        <v>123</v>
      </c>
      <c r="D166" s="46" t="s">
        <v>438</v>
      </c>
      <c r="E166" s="47">
        <v>-0.2</v>
      </c>
      <c r="F166" s="46" t="str">
        <f>IF('Технологии'!BH37="","",'Технологии'!BH37)</f>
        <v/>
      </c>
      <c r="G166" s="46" t="s">
        <v>460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335</v>
      </c>
      <c r="B167" s="46" t="s">
        <v>336</v>
      </c>
      <c r="C167" s="46" t="s">
        <v>121</v>
      </c>
      <c r="D167" s="46" t="s">
        <v>465</v>
      </c>
      <c r="E167" s="47">
        <v>0.08</v>
      </c>
      <c r="F167" s="46" t="str">
        <f>IF('Технологии'!BH38="","",'Технологии'!BH38)</f>
        <v/>
      </c>
      <c r="G167" s="46" t="s">
        <v>540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335</v>
      </c>
      <c r="B168" s="46" t="s">
        <v>336</v>
      </c>
      <c r="C168" s="46" t="s">
        <v>109</v>
      </c>
      <c r="D168" s="46" t="s">
        <v>438</v>
      </c>
      <c r="E168" s="47">
        <v>0.2</v>
      </c>
      <c r="F168" s="46" t="str">
        <f>IF('Технологии'!BH38="","",'Технологии'!BH38)</f>
        <v/>
      </c>
      <c r="G168" s="46" t="s">
        <v>541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335</v>
      </c>
      <c r="B169" s="46" t="s">
        <v>336</v>
      </c>
      <c r="C169" s="46" t="s">
        <v>134</v>
      </c>
      <c r="D169" s="46" t="s">
        <v>438</v>
      </c>
      <c r="E169" s="47">
        <v>0.2</v>
      </c>
      <c r="F169" s="46" t="str">
        <f>IF('Технологии'!BH38="","",'Технологии'!BH38)</f>
        <v/>
      </c>
      <c r="G169" s="46" t="s">
        <v>450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335</v>
      </c>
      <c r="B170" s="46" t="s">
        <v>336</v>
      </c>
      <c r="C170" s="46" t="s">
        <v>428</v>
      </c>
      <c r="D170" s="46" t="s">
        <v>456</v>
      </c>
      <c r="E170" s="47">
        <v>0.15</v>
      </c>
      <c r="F170" s="46" t="str">
        <f>IF('Технологии'!BH38="","",'Технологии'!BH38)</f>
        <v/>
      </c>
      <c r="G170" s="46" t="s">
        <v>542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335</v>
      </c>
      <c r="B171" s="46" t="s">
        <v>336</v>
      </c>
      <c r="C171" s="46" t="s">
        <v>111</v>
      </c>
      <c r="D171" s="46" t="s">
        <v>438</v>
      </c>
      <c r="E171" s="47">
        <v>-0.2</v>
      </c>
      <c r="F171" s="46" t="str">
        <f>IF('Технологии'!BH38="","",'Технологии'!BH38)</f>
        <v/>
      </c>
      <c r="G171" s="46" t="s">
        <v>543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335</v>
      </c>
      <c r="B172" s="46" t="s">
        <v>336</v>
      </c>
      <c r="C172" s="46" t="s">
        <v>117</v>
      </c>
      <c r="D172" s="46" t="s">
        <v>438</v>
      </c>
      <c r="E172" s="47">
        <v>-0.3</v>
      </c>
      <c r="F172" s="46" t="str">
        <f>IF('Технологии'!BH38="","",'Технологии'!BH38)</f>
        <v/>
      </c>
      <c r="G172" s="46" t="s">
        <v>486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339</v>
      </c>
      <c r="B173" s="46" t="s">
        <v>340</v>
      </c>
      <c r="C173" s="46" t="s">
        <v>109</v>
      </c>
      <c r="D173" s="46" t="s">
        <v>465</v>
      </c>
      <c r="E173" s="47">
        <v>0.12</v>
      </c>
      <c r="F173" s="46" t="str">
        <f>IF('Технологии'!BH39="","",'Технологии'!BH39)</f>
        <v/>
      </c>
      <c r="G173" s="46" t="s">
        <v>544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339</v>
      </c>
      <c r="B174" s="46" t="s">
        <v>340</v>
      </c>
      <c r="C174" s="46" t="s">
        <v>210</v>
      </c>
      <c r="D174" s="46" t="s">
        <v>438</v>
      </c>
      <c r="E174" s="47">
        <v>0.2</v>
      </c>
      <c r="F174" s="46" t="str">
        <f>IF('Технологии'!BH39="","",'Технологии'!BH39)</f>
        <v/>
      </c>
      <c r="G174" s="46" t="s">
        <v>538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339</v>
      </c>
      <c r="B175" s="46" t="s">
        <v>340</v>
      </c>
      <c r="C175" s="46" t="s">
        <v>130</v>
      </c>
      <c r="D175" s="46" t="s">
        <v>465</v>
      </c>
      <c r="E175" s="47">
        <v>0.05</v>
      </c>
      <c r="F175" s="46" t="str">
        <f>IF('Технологии'!BH39="","",'Технологии'!BH39)</f>
        <v/>
      </c>
      <c r="G175" s="46" t="s">
        <v>514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339</v>
      </c>
      <c r="B176" s="46" t="s">
        <v>340</v>
      </c>
      <c r="C176" s="46" t="s">
        <v>187</v>
      </c>
      <c r="D176" s="46" t="s">
        <v>438</v>
      </c>
      <c r="E176" s="47">
        <v>0.25</v>
      </c>
      <c r="F176" s="46" t="str">
        <f>IF('Технологии'!BH39="","",'Технологии'!BH39)</f>
        <v/>
      </c>
      <c r="G176" s="46" t="s">
        <v>545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339</v>
      </c>
      <c r="B177" s="46" t="s">
        <v>340</v>
      </c>
      <c r="C177" s="46" t="s">
        <v>124</v>
      </c>
      <c r="D177" s="46" t="s">
        <v>465</v>
      </c>
      <c r="E177" s="47">
        <v>0.05</v>
      </c>
      <c r="F177" s="46" t="str">
        <f>IF('Технологии'!BH39="","",'Технологии'!BH39)</f>
        <v/>
      </c>
      <c r="G177" s="46" t="s">
        <v>546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339</v>
      </c>
      <c r="B178" s="46" t="s">
        <v>340</v>
      </c>
      <c r="C178" s="46" t="s">
        <v>111</v>
      </c>
      <c r="D178" s="46" t="s">
        <v>438</v>
      </c>
      <c r="E178" s="47">
        <v>-0.3</v>
      </c>
      <c r="F178" s="46" t="str">
        <f>IF('Технологии'!BH39="","",'Технологии'!BH39)</f>
        <v/>
      </c>
      <c r="G178" s="46" t="s">
        <v>547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339</v>
      </c>
      <c r="B179" s="46" t="s">
        <v>340</v>
      </c>
      <c r="C179" s="46" t="s">
        <v>117</v>
      </c>
      <c r="D179" s="46" t="s">
        <v>438</v>
      </c>
      <c r="E179" s="47">
        <v>-0.25</v>
      </c>
      <c r="F179" s="46" t="str">
        <f>IF('Технологии'!BH39="","",'Технологии'!BH39)</f>
        <v/>
      </c>
      <c r="G179" s="46" t="s">
        <v>451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339</v>
      </c>
      <c r="B180" s="46" t="s">
        <v>340</v>
      </c>
      <c r="C180" s="46" t="s">
        <v>185</v>
      </c>
      <c r="D180" s="46" t="s">
        <v>438</v>
      </c>
      <c r="E180" s="47">
        <v>-0.15</v>
      </c>
      <c r="F180" s="46" t="str">
        <f>IF('Технологии'!BH39="","",'Технологии'!BH39)</f>
        <v/>
      </c>
      <c r="G180" s="46" t="s">
        <v>548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343</v>
      </c>
      <c r="B181" s="46" t="s">
        <v>344</v>
      </c>
      <c r="C181" s="46" t="s">
        <v>109</v>
      </c>
      <c r="D181" s="46" t="s">
        <v>438</v>
      </c>
      <c r="E181" s="47">
        <v>0.5</v>
      </c>
      <c r="F181" s="46" t="str">
        <f>IF('Технологии'!BH40="","",'Технологии'!BH40)</f>
        <v/>
      </c>
      <c r="G181" s="46" t="s">
        <v>549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343</v>
      </c>
      <c r="B182" s="46" t="s">
        <v>344</v>
      </c>
      <c r="C182" s="46" t="s">
        <v>109</v>
      </c>
      <c r="D182" s="46" t="s">
        <v>465</v>
      </c>
      <c r="E182" s="47">
        <v>0.15</v>
      </c>
      <c r="F182" s="46" t="str">
        <f>IF('Технологии'!BH40="","",'Технологии'!BH40)</f>
        <v/>
      </c>
      <c r="G182" s="46" t="s">
        <v>549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343</v>
      </c>
      <c r="B183" s="46" t="s">
        <v>344</v>
      </c>
      <c r="C183" s="46" t="s">
        <v>189</v>
      </c>
      <c r="D183" s="46" t="s">
        <v>438</v>
      </c>
      <c r="E183" s="47">
        <v>0.3</v>
      </c>
      <c r="F183" s="46" t="str">
        <f>IF('Технологии'!BH40="","",'Технологии'!BH40)</f>
        <v/>
      </c>
      <c r="G183" s="46" t="s">
        <v>550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343</v>
      </c>
      <c r="B184" s="46" t="s">
        <v>344</v>
      </c>
      <c r="C184" s="46" t="s">
        <v>187</v>
      </c>
      <c r="D184" s="46" t="s">
        <v>438</v>
      </c>
      <c r="E184" s="47">
        <v>0.3</v>
      </c>
      <c r="F184" s="46" t="str">
        <f>IF('Технологии'!BH40="","",'Технологии'!BH40)</f>
        <v/>
      </c>
      <c r="G184" s="46" t="s">
        <v>551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343</v>
      </c>
      <c r="B185" s="46" t="s">
        <v>344</v>
      </c>
      <c r="C185" s="46" t="s">
        <v>185</v>
      </c>
      <c r="D185" s="46" t="s">
        <v>438</v>
      </c>
      <c r="E185" s="47">
        <v>0.2</v>
      </c>
      <c r="F185" s="46" t="str">
        <f>IF('Технологии'!BH40="","",'Технологии'!BH40)</f>
        <v/>
      </c>
      <c r="G185" s="46" t="s">
        <v>552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343</v>
      </c>
      <c r="B186" s="46" t="s">
        <v>344</v>
      </c>
      <c r="C186" s="46" t="s">
        <v>124</v>
      </c>
      <c r="D186" s="46" t="s">
        <v>465</v>
      </c>
      <c r="E186" s="47">
        <v>0.1</v>
      </c>
      <c r="F186" s="46" t="str">
        <f>IF('Технологии'!BH40="","",'Технологии'!BH40)</f>
        <v/>
      </c>
      <c r="G186" s="46" t="s">
        <v>531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343</v>
      </c>
      <c r="B187" s="46" t="s">
        <v>344</v>
      </c>
      <c r="C187" s="46" t="s">
        <v>427</v>
      </c>
      <c r="D187" s="46" t="s">
        <v>456</v>
      </c>
      <c r="E187" s="47">
        <v>0.15</v>
      </c>
      <c r="F187" s="46" t="str">
        <f>IF('Технологии'!BH40="","",'Технологии'!BH40)</f>
        <v/>
      </c>
      <c r="G187" s="46" t="s">
        <v>553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343</v>
      </c>
      <c r="B188" s="46" t="s">
        <v>344</v>
      </c>
      <c r="C188" s="46" t="s">
        <v>111</v>
      </c>
      <c r="D188" s="46" t="s">
        <v>438</v>
      </c>
      <c r="E188" s="47">
        <v>-0.45</v>
      </c>
      <c r="F188" s="46" t="str">
        <f>IF('Технологии'!BH40="","",'Технологии'!BH40)</f>
        <v/>
      </c>
      <c r="G188" s="46" t="s">
        <v>468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343</v>
      </c>
      <c r="B189" s="46" t="s">
        <v>344</v>
      </c>
      <c r="C189" s="46" t="s">
        <v>117</v>
      </c>
      <c r="D189" s="46" t="s">
        <v>438</v>
      </c>
      <c r="E189" s="47">
        <v>-0.4</v>
      </c>
      <c r="F189" s="46" t="str">
        <f>IF('Технологии'!BH40="","",'Технологии'!BH40)</f>
        <v/>
      </c>
      <c r="G189" s="46" t="s">
        <v>492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343</v>
      </c>
      <c r="B190" s="46" t="s">
        <v>344</v>
      </c>
      <c r="C190" s="46" t="s">
        <v>120</v>
      </c>
      <c r="D190" s="46" t="s">
        <v>438</v>
      </c>
      <c r="E190" s="47">
        <v>-0.3</v>
      </c>
      <c r="F190" s="46" t="str">
        <f>IF('Технологии'!BH40="","",'Технологии'!BH40)</f>
        <v/>
      </c>
      <c r="G190" s="46" t="s">
        <v>554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343</v>
      </c>
      <c r="B191" s="46" t="s">
        <v>344</v>
      </c>
      <c r="C191" s="46" t="s">
        <v>123</v>
      </c>
      <c r="D191" s="46" t="s">
        <v>438</v>
      </c>
      <c r="E191" s="47">
        <v>-0.25</v>
      </c>
      <c r="F191" s="46" t="str">
        <f>IF('Технологии'!BH40="","",'Технологии'!BH40)</f>
        <v/>
      </c>
      <c r="G191" s="46" t="s">
        <v>555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347</v>
      </c>
      <c r="B192" s="46" t="s">
        <v>349</v>
      </c>
      <c r="C192" s="46" t="s">
        <v>180</v>
      </c>
      <c r="D192" s="46" t="s">
        <v>438</v>
      </c>
      <c r="E192" s="47">
        <v>0.3</v>
      </c>
      <c r="F192" s="46" t="str">
        <f>IF('Технологии'!BH41="","",'Технологии'!BH41)</f>
        <v/>
      </c>
      <c r="G192" s="46" t="s">
        <v>556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352</v>
      </c>
      <c r="B193" s="46" t="s">
        <v>353</v>
      </c>
      <c r="C193" s="46" t="s">
        <v>181</v>
      </c>
      <c r="D193" s="46" t="s">
        <v>438</v>
      </c>
      <c r="E193" s="47">
        <v>0.2</v>
      </c>
      <c r="F193" s="46" t="str">
        <f>IF('Технологии'!BH42="","",'Технологии'!BH42)</f>
        <v/>
      </c>
      <c r="G193" s="46" t="s">
        <v>500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352</v>
      </c>
      <c r="B194" s="46" t="s">
        <v>353</v>
      </c>
      <c r="C194" s="46" t="s">
        <v>209</v>
      </c>
      <c r="D194" s="46" t="s">
        <v>438</v>
      </c>
      <c r="E194" s="47">
        <v>0.2</v>
      </c>
      <c r="F194" s="46" t="str">
        <f>IF('Технологии'!BH42="","",'Технологии'!BH42)</f>
        <v/>
      </c>
      <c r="G194" s="46" t="s">
        <v>557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352</v>
      </c>
      <c r="B195" s="46" t="s">
        <v>353</v>
      </c>
      <c r="C195" s="46" t="s">
        <v>179</v>
      </c>
      <c r="D195" s="46" t="s">
        <v>438</v>
      </c>
      <c r="E195" s="47">
        <v>-0.1</v>
      </c>
      <c r="F195" s="46" t="str">
        <f>IF('Технологии'!BH42="","",'Технологии'!BH42)</f>
        <v/>
      </c>
      <c r="G195" s="46" t="s">
        <v>558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356</v>
      </c>
      <c r="B196" s="46" t="s">
        <v>357</v>
      </c>
      <c r="C196" s="46" t="s">
        <v>183</v>
      </c>
      <c r="D196" s="46" t="s">
        <v>438</v>
      </c>
      <c r="E196" s="47">
        <v>0.3</v>
      </c>
      <c r="F196" s="46" t="str">
        <f>IF('Технологии'!BH43="","",'Технологии'!BH43)</f>
        <v/>
      </c>
      <c r="G196" s="46" t="s">
        <v>559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356</v>
      </c>
      <c r="B197" s="46" t="s">
        <v>357</v>
      </c>
      <c r="C197" s="46" t="s">
        <v>156</v>
      </c>
      <c r="D197" s="46" t="s">
        <v>438</v>
      </c>
      <c r="E197" s="47">
        <v>0.2</v>
      </c>
      <c r="F197" s="46" t="str">
        <f>IF('Технологии'!BH43="","",'Технологии'!BH43)</f>
        <v/>
      </c>
      <c r="G197" s="46" t="s">
        <v>449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356</v>
      </c>
      <c r="B198" s="46" t="s">
        <v>357</v>
      </c>
      <c r="C198" s="46" t="s">
        <v>432</v>
      </c>
      <c r="D198" s="46" t="s">
        <v>456</v>
      </c>
      <c r="E198" s="47">
        <v>0.1</v>
      </c>
      <c r="F198" s="46" t="str">
        <f>IF('Технологии'!BH43="","",'Технологии'!BH43)</f>
        <v/>
      </c>
      <c r="G198" s="46" t="s">
        <v>539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356</v>
      </c>
      <c r="B199" s="46" t="s">
        <v>357</v>
      </c>
      <c r="C199" s="46" t="s">
        <v>198</v>
      </c>
      <c r="D199" s="46" t="s">
        <v>438</v>
      </c>
      <c r="E199" s="47">
        <v>-0.15</v>
      </c>
      <c r="F199" s="46" t="str">
        <f>IF('Технологии'!BH43="","",'Технологии'!BH43)</f>
        <v/>
      </c>
      <c r="G199" s="46" t="s">
        <v>501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360</v>
      </c>
      <c r="B200" s="46" t="s">
        <v>361</v>
      </c>
      <c r="C200" s="46" t="s">
        <v>180</v>
      </c>
      <c r="D200" s="46" t="s">
        <v>438</v>
      </c>
      <c r="E200" s="47">
        <v>0.4</v>
      </c>
      <c r="F200" s="46" t="str">
        <f>IF('Технологии'!BH44="","",'Технологии'!BH44)</f>
        <v/>
      </c>
      <c r="G200" s="46" t="s">
        <v>560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360</v>
      </c>
      <c r="B201" s="46" t="s">
        <v>361</v>
      </c>
      <c r="C201" s="46" t="s">
        <v>183</v>
      </c>
      <c r="D201" s="46" t="s">
        <v>465</v>
      </c>
      <c r="E201" s="47">
        <v>0.08</v>
      </c>
      <c r="F201" s="46" t="str">
        <f>IF('Технологии'!BH44="","",'Технологии'!BH44)</f>
        <v/>
      </c>
      <c r="G201" s="46" t="s">
        <v>561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360</v>
      </c>
      <c r="B202" s="46" t="s">
        <v>361</v>
      </c>
      <c r="C202" s="46" t="s">
        <v>181</v>
      </c>
      <c r="D202" s="46" t="s">
        <v>438</v>
      </c>
      <c r="E202" s="47">
        <v>0.2</v>
      </c>
      <c r="F202" s="46" t="str">
        <f>IF('Технологии'!BH44="","",'Технологии'!BH44)</f>
        <v/>
      </c>
      <c r="G202" s="46" t="s">
        <v>500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360</v>
      </c>
      <c r="B203" s="46" t="s">
        <v>361</v>
      </c>
      <c r="C203" s="46" t="s">
        <v>433</v>
      </c>
      <c r="D203" s="46" t="s">
        <v>456</v>
      </c>
      <c r="E203" s="47">
        <v>0.1</v>
      </c>
      <c r="F203" s="46" t="str">
        <f>IF('Технологии'!BH44="","",'Технологии'!BH44)</f>
        <v/>
      </c>
      <c r="G203" s="46" t="s">
        <v>562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360</v>
      </c>
      <c r="B204" s="46" t="s">
        <v>361</v>
      </c>
      <c r="C204" s="46" t="s">
        <v>117</v>
      </c>
      <c r="D204" s="46" t="s">
        <v>438</v>
      </c>
      <c r="E204" s="47">
        <v>-0.15</v>
      </c>
      <c r="F204" s="46" t="str">
        <f>IF('Технологии'!BH44="","",'Технологии'!BH44)</f>
        <v/>
      </c>
      <c r="G204" s="46" t="s">
        <v>475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360</v>
      </c>
      <c r="B205" s="46" t="s">
        <v>361</v>
      </c>
      <c r="C205" s="46" t="s">
        <v>129</v>
      </c>
      <c r="D205" s="46" t="s">
        <v>438</v>
      </c>
      <c r="E205" s="47">
        <v>-0.1</v>
      </c>
      <c r="F205" s="46" t="str">
        <f>IF('Технологии'!BH44="","",'Технологии'!BH44)</f>
        <v/>
      </c>
      <c r="G205" s="46" t="s">
        <v>563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364</v>
      </c>
      <c r="B206" s="46" t="s">
        <v>365</v>
      </c>
      <c r="C206" s="46" t="s">
        <v>212</v>
      </c>
      <c r="D206" s="46" t="s">
        <v>438</v>
      </c>
      <c r="E206" s="47">
        <v>0.4</v>
      </c>
      <c r="F206" s="46" t="str">
        <f>IF('Технологии'!BH45="","",'Технологии'!BH45)</f>
        <v/>
      </c>
      <c r="G206" s="46" t="s">
        <v>564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364</v>
      </c>
      <c r="B207" s="46" t="s">
        <v>365</v>
      </c>
      <c r="C207" s="46" t="s">
        <v>130</v>
      </c>
      <c r="D207" s="46" t="s">
        <v>465</v>
      </c>
      <c r="E207" s="47">
        <v>0.08</v>
      </c>
      <c r="F207" s="46" t="str">
        <f>IF('Технологии'!BH45="","",'Технологии'!BH45)</f>
        <v/>
      </c>
      <c r="G207" s="46" t="s">
        <v>565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364</v>
      </c>
      <c r="B208" s="46" t="s">
        <v>365</v>
      </c>
      <c r="C208" s="46" t="s">
        <v>180</v>
      </c>
      <c r="D208" s="46" t="s">
        <v>438</v>
      </c>
      <c r="E208" s="47">
        <v>0.2</v>
      </c>
      <c r="F208" s="46" t="str">
        <f>IF('Технологии'!BH45="","",'Технологии'!BH45)</f>
        <v/>
      </c>
      <c r="G208" s="46" t="s">
        <v>478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364</v>
      </c>
      <c r="B209" s="46" t="s">
        <v>365</v>
      </c>
      <c r="C209" s="46" t="s">
        <v>432</v>
      </c>
      <c r="D209" s="46" t="s">
        <v>456</v>
      </c>
      <c r="E209" s="47">
        <v>0.1</v>
      </c>
      <c r="F209" s="46" t="str">
        <f>IF('Технологии'!BH45="","",'Технологии'!BH45)</f>
        <v/>
      </c>
      <c r="G209" s="46" t="s">
        <v>539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364</v>
      </c>
      <c r="B210" s="46" t="s">
        <v>365</v>
      </c>
      <c r="C210" s="46" t="s">
        <v>433</v>
      </c>
      <c r="D210" s="46" t="s">
        <v>456</v>
      </c>
      <c r="E210" s="47">
        <v>0.1</v>
      </c>
      <c r="F210" s="46" t="str">
        <f>IF('Технологии'!BH45="","",'Технологии'!BH45)</f>
        <v/>
      </c>
      <c r="G210" s="46" t="s">
        <v>562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364</v>
      </c>
      <c r="B211" s="46" t="s">
        <v>365</v>
      </c>
      <c r="C211" s="46" t="s">
        <v>198</v>
      </c>
      <c r="D211" s="46" t="s">
        <v>438</v>
      </c>
      <c r="E211" s="47">
        <v>-0.25</v>
      </c>
      <c r="F211" s="46" t="str">
        <f>IF('Технологии'!BH45="","",'Технологии'!BH45)</f>
        <v/>
      </c>
      <c r="G211" s="46" t="s">
        <v>509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364</v>
      </c>
      <c r="B212" s="46" t="s">
        <v>365</v>
      </c>
      <c r="C212" s="46" t="s">
        <v>192</v>
      </c>
      <c r="D212" s="46" t="s">
        <v>438</v>
      </c>
      <c r="E212" s="47">
        <v>-0.15</v>
      </c>
      <c r="F212" s="46" t="str">
        <f>IF('Технологии'!BH45="","",'Технологии'!BH45)</f>
        <v/>
      </c>
      <c r="G212" s="46" t="s">
        <v>536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364</v>
      </c>
      <c r="B213" s="46" t="s">
        <v>365</v>
      </c>
      <c r="C213" s="46" t="s">
        <v>117</v>
      </c>
      <c r="D213" s="46" t="s">
        <v>438</v>
      </c>
      <c r="E213" s="47">
        <v>-0.1</v>
      </c>
      <c r="F213" s="46" t="str">
        <f>IF('Технологии'!BH45="","",'Технологии'!BH45)</f>
        <v/>
      </c>
      <c r="G213" s="46" t="s">
        <v>566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369</v>
      </c>
      <c r="B214" s="46" t="s">
        <v>370</v>
      </c>
      <c r="C214" s="46" t="s">
        <v>212</v>
      </c>
      <c r="D214" s="46" t="s">
        <v>438</v>
      </c>
      <c r="E214" s="47">
        <v>0.5</v>
      </c>
      <c r="F214" s="46" t="str">
        <f>IF('Технологии'!BH46="","",'Технологии'!BH46)</f>
        <v/>
      </c>
      <c r="G214" s="46" t="s">
        <v>567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369</v>
      </c>
      <c r="B215" s="46" t="s">
        <v>370</v>
      </c>
      <c r="C215" s="46" t="s">
        <v>206</v>
      </c>
      <c r="D215" s="46" t="s">
        <v>438</v>
      </c>
      <c r="E215" s="47">
        <v>0.3</v>
      </c>
      <c r="F215" s="46" t="str">
        <f>IF('Технологии'!BH46="","",'Технологии'!BH46)</f>
        <v/>
      </c>
      <c r="G215" s="46" t="s">
        <v>568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369</v>
      </c>
      <c r="B216" s="46" t="s">
        <v>370</v>
      </c>
      <c r="C216" s="46" t="s">
        <v>209</v>
      </c>
      <c r="D216" s="46" t="s">
        <v>465</v>
      </c>
      <c r="E216" s="47">
        <v>0.1</v>
      </c>
      <c r="F216" s="46" t="str">
        <f>IF('Технологии'!BH46="","",'Технологии'!BH46)</f>
        <v/>
      </c>
      <c r="G216" s="46" t="s">
        <v>569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369</v>
      </c>
      <c r="B217" s="46" t="s">
        <v>370</v>
      </c>
      <c r="C217" s="46" t="s">
        <v>431</v>
      </c>
      <c r="D217" s="46" t="s">
        <v>456</v>
      </c>
      <c r="E217" s="47">
        <v>0.1</v>
      </c>
      <c r="F217" s="46" t="str">
        <f>IF('Технологии'!BH46="","",'Технологии'!BH46)</f>
        <v/>
      </c>
      <c r="G217" s="46" t="s">
        <v>570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369</v>
      </c>
      <c r="B218" s="46" t="s">
        <v>370</v>
      </c>
      <c r="C218" s="46" t="s">
        <v>432</v>
      </c>
      <c r="D218" s="46" t="s">
        <v>456</v>
      </c>
      <c r="E218" s="47">
        <v>0.1</v>
      </c>
      <c r="F218" s="46" t="str">
        <f>IF('Технологии'!BH46="","",'Технологии'!BH46)</f>
        <v/>
      </c>
      <c r="G218" s="46" t="s">
        <v>539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369</v>
      </c>
      <c r="B219" s="46" t="s">
        <v>370</v>
      </c>
      <c r="C219" s="46" t="s">
        <v>433</v>
      </c>
      <c r="D219" s="46" t="s">
        <v>456</v>
      </c>
      <c r="E219" s="47">
        <v>0.1</v>
      </c>
      <c r="F219" s="46" t="str">
        <f>IF('Технологии'!BH46="","",'Технологии'!BH46)</f>
        <v/>
      </c>
      <c r="G219" s="46" t="s">
        <v>562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369</v>
      </c>
      <c r="B220" s="46" t="s">
        <v>370</v>
      </c>
      <c r="C220" s="46" t="s">
        <v>198</v>
      </c>
      <c r="D220" s="46" t="s">
        <v>438</v>
      </c>
      <c r="E220" s="47">
        <v>-0.35</v>
      </c>
      <c r="F220" s="46" t="str">
        <f>IF('Технологии'!BH46="","",'Технологии'!BH46)</f>
        <v/>
      </c>
      <c r="G220" s="46" t="s">
        <v>571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369</v>
      </c>
      <c r="B221" s="46" t="s">
        <v>370</v>
      </c>
      <c r="C221" s="46" t="s">
        <v>117</v>
      </c>
      <c r="D221" s="46" t="s">
        <v>438</v>
      </c>
      <c r="E221" s="47">
        <v>-0.2</v>
      </c>
      <c r="F221" s="46" t="str">
        <f>IF('Технологии'!BH46="","",'Технологии'!BH46)</f>
        <v/>
      </c>
      <c r="G221" s="46" t="s">
        <v>505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369</v>
      </c>
      <c r="B222" s="46" t="s">
        <v>370</v>
      </c>
      <c r="C222" s="46" t="s">
        <v>129</v>
      </c>
      <c r="D222" s="46" t="s">
        <v>438</v>
      </c>
      <c r="E222" s="47">
        <v>-0.2</v>
      </c>
      <c r="F222" s="46" t="str">
        <f>IF('Технологии'!BH46="","",'Технологии'!BH46)</f>
        <v/>
      </c>
      <c r="G222" s="46" t="s">
        <v>572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369</v>
      </c>
      <c r="B223" s="46" t="s">
        <v>370</v>
      </c>
      <c r="C223" s="46" t="s">
        <v>192</v>
      </c>
      <c r="D223" s="46" t="s">
        <v>438</v>
      </c>
      <c r="E223" s="47">
        <v>-0.15</v>
      </c>
      <c r="F223" s="46" t="str">
        <f>IF('Технологии'!BH46="","",'Технологии'!BH46)</f>
        <v/>
      </c>
      <c r="G223" s="46" t="s">
        <v>536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373</v>
      </c>
      <c r="B224" s="46" t="s">
        <v>375</v>
      </c>
      <c r="C224" s="46" t="s">
        <v>422</v>
      </c>
      <c r="D224" s="46" t="s">
        <v>456</v>
      </c>
      <c r="E224" s="47">
        <v>0.15</v>
      </c>
      <c r="F224" s="46" t="str">
        <f>IF('Технологии'!BH47="","",'Технологии'!BH47)</f>
        <v/>
      </c>
      <c r="G224" s="46" t="s">
        <v>573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379</v>
      </c>
      <c r="B225" s="46" t="s">
        <v>380</v>
      </c>
      <c r="C225" s="46" t="s">
        <v>130</v>
      </c>
      <c r="D225" s="46" t="s">
        <v>465</v>
      </c>
      <c r="E225" s="47">
        <v>0.1</v>
      </c>
      <c r="F225" s="46" t="str">
        <f>IF('Технологии'!BH48="","",'Технологии'!BH48)</f>
        <v/>
      </c>
      <c r="G225" s="46" t="s">
        <v>574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379</v>
      </c>
      <c r="B226" s="46" t="s">
        <v>380</v>
      </c>
      <c r="C226" s="46" t="s">
        <v>425</v>
      </c>
      <c r="D226" s="46" t="s">
        <v>456</v>
      </c>
      <c r="E226" s="47">
        <v>0.1</v>
      </c>
      <c r="F226" s="46" t="str">
        <f>IF('Технологии'!BH48="","",'Технологии'!BH48)</f>
        <v/>
      </c>
      <c r="G226" s="46" t="s">
        <v>575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379</v>
      </c>
      <c r="B227" s="46" t="s">
        <v>380</v>
      </c>
      <c r="C227" s="46" t="s">
        <v>117</v>
      </c>
      <c r="D227" s="46" t="s">
        <v>438</v>
      </c>
      <c r="E227" s="47">
        <v>-0.2</v>
      </c>
      <c r="F227" s="46" t="str">
        <f>IF('Технологии'!BH48="","",'Технологии'!BH48)</f>
        <v/>
      </c>
      <c r="G227" s="46" t="s">
        <v>505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383</v>
      </c>
      <c r="B228" s="46" t="s">
        <v>384</v>
      </c>
      <c r="C228" s="46" t="s">
        <v>127</v>
      </c>
      <c r="D228" s="46" t="s">
        <v>438</v>
      </c>
      <c r="E228" s="47">
        <v>0.5</v>
      </c>
      <c r="F228" s="46" t="str">
        <f>IF('Технологии'!BH49="","",'Технологии'!BH49)</f>
        <v/>
      </c>
      <c r="G228" s="46" t="s">
        <v>576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383</v>
      </c>
      <c r="B229" s="46" t="s">
        <v>384</v>
      </c>
      <c r="C229" s="46" t="s">
        <v>127</v>
      </c>
      <c r="D229" s="46" t="s">
        <v>465</v>
      </c>
      <c r="E229" s="47">
        <v>0.12</v>
      </c>
      <c r="F229" s="46" t="str">
        <f>IF('Технологии'!BH49="","",'Технологии'!BH49)</f>
        <v/>
      </c>
      <c r="G229" s="46" t="s">
        <v>576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383</v>
      </c>
      <c r="B230" s="46" t="s">
        <v>384</v>
      </c>
      <c r="C230" s="46" t="s">
        <v>426</v>
      </c>
      <c r="D230" s="46" t="s">
        <v>456</v>
      </c>
      <c r="E230" s="47">
        <v>0.15</v>
      </c>
      <c r="F230" s="46" t="str">
        <f>IF('Технологии'!BH49="","",'Технологии'!BH49)</f>
        <v/>
      </c>
      <c r="G230" s="46" t="s">
        <v>577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383</v>
      </c>
      <c r="B231" s="46" t="s">
        <v>384</v>
      </c>
      <c r="C231" s="46" t="s">
        <v>433</v>
      </c>
      <c r="D231" s="46" t="s">
        <v>456</v>
      </c>
      <c r="E231" s="47">
        <v>0.1</v>
      </c>
      <c r="F231" s="46" t="str">
        <f>IF('Технологии'!BH49="","",'Технологии'!BH49)</f>
        <v/>
      </c>
      <c r="G231" s="46" t="s">
        <v>562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383</v>
      </c>
      <c r="B232" s="46" t="s">
        <v>384</v>
      </c>
      <c r="C232" s="46" t="s">
        <v>182</v>
      </c>
      <c r="D232" s="46" t="s">
        <v>438</v>
      </c>
      <c r="E232" s="47">
        <v>-0.3</v>
      </c>
      <c r="F232" s="46" t="str">
        <f>IF('Технологии'!BH49="","",'Технологии'!BH49)</f>
        <v/>
      </c>
      <c r="G232" s="46" t="s">
        <v>578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383</v>
      </c>
      <c r="B233" s="46" t="s">
        <v>384</v>
      </c>
      <c r="C233" s="46" t="s">
        <v>209</v>
      </c>
      <c r="D233" s="46" t="s">
        <v>438</v>
      </c>
      <c r="E233" s="47">
        <v>-0.25</v>
      </c>
      <c r="F233" s="46" t="str">
        <f>IF('Технологии'!BH49="","",'Технологии'!BH49)</f>
        <v/>
      </c>
      <c r="G233" s="46" t="s">
        <v>579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387</v>
      </c>
      <c r="B234" s="46" t="s">
        <v>389</v>
      </c>
      <c r="C234" s="46" t="s">
        <v>422</v>
      </c>
      <c r="D234" s="46" t="s">
        <v>456</v>
      </c>
      <c r="E234" s="47">
        <v>0.25</v>
      </c>
      <c r="F234" s="46" t="str">
        <f>IF('Технологии'!BH50="","",'Технологии'!BH50)</f>
        <v/>
      </c>
      <c r="G234" s="46" t="s">
        <v>580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387</v>
      </c>
      <c r="B235" s="46" t="s">
        <v>389</v>
      </c>
      <c r="C235" s="46" t="s">
        <v>165</v>
      </c>
      <c r="D235" s="46" t="s">
        <v>465</v>
      </c>
      <c r="E235" s="47">
        <v>0.1</v>
      </c>
      <c r="F235" s="46" t="str">
        <f>IF('Технологии'!BH50="","",'Технологии'!BH50)</f>
        <v/>
      </c>
      <c r="G235" s="46" t="s">
        <v>581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387</v>
      </c>
      <c r="B236" s="46" t="s">
        <v>389</v>
      </c>
      <c r="C236" s="46" t="s">
        <v>179</v>
      </c>
      <c r="D236" s="46" t="s">
        <v>465</v>
      </c>
      <c r="E236" s="47">
        <v>0.1</v>
      </c>
      <c r="F236" s="46" t="str">
        <f>IF('Технологии'!BH50="","",'Технологии'!BH50)</f>
        <v/>
      </c>
      <c r="G236" s="46" t="s">
        <v>489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387</v>
      </c>
      <c r="B237" s="46" t="s">
        <v>389</v>
      </c>
      <c r="C237" s="46" t="s">
        <v>434</v>
      </c>
      <c r="D237" s="46" t="s">
        <v>582</v>
      </c>
      <c r="E237" s="47">
        <v>1.0</v>
      </c>
      <c r="F237" s="46" t="str">
        <f>IF('Технологии'!BH50="","",'Технологии'!BH50)</f>
        <v/>
      </c>
      <c r="G237" s="46" t="s">
        <v>583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387</v>
      </c>
      <c r="B238" s="46" t="s">
        <v>389</v>
      </c>
      <c r="C238" s="46" t="s">
        <v>117</v>
      </c>
      <c r="D238" s="46" t="s">
        <v>438</v>
      </c>
      <c r="E238" s="47">
        <v>-0.4</v>
      </c>
      <c r="F238" s="46" t="str">
        <f>IF('Технологии'!BH50="","",'Технологии'!BH50)</f>
        <v/>
      </c>
      <c r="G238" s="46" t="s">
        <v>492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387</v>
      </c>
      <c r="B239" s="46" t="s">
        <v>389</v>
      </c>
      <c r="C239" s="46" t="s">
        <v>183</v>
      </c>
      <c r="D239" s="46" t="s">
        <v>438</v>
      </c>
      <c r="E239" s="47">
        <v>-0.3</v>
      </c>
      <c r="F239" s="46" t="str">
        <f>IF('Технологии'!BH50="","",'Технологии'!BH50)</f>
        <v/>
      </c>
      <c r="G239" s="46" t="s">
        <v>534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387</v>
      </c>
      <c r="B240" s="46" t="s">
        <v>389</v>
      </c>
      <c r="C240" s="46" t="s">
        <v>209</v>
      </c>
      <c r="D240" s="46" t="s">
        <v>438</v>
      </c>
      <c r="E240" s="47">
        <v>-0.25</v>
      </c>
      <c r="F240" s="46" t="str">
        <f>IF('Технологии'!BH50="","",'Технологии'!BH50)</f>
        <v/>
      </c>
      <c r="G240" s="46" t="s">
        <v>579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